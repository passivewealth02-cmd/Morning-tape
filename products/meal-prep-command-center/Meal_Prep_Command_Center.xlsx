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Meal Cost" sheetId="3" state="visible" r:id="rId3"/>
    <sheet name="Meal Plans" sheetId="4" state="visible" r:id="rId4"/>
    <sheet name="Menu" sheetId="5" state="visible" r:id="rId5"/>
    <sheet name="Subscribers" sheetId="6" state="visible" r:id="rId6"/>
    <sheet name="Production Plan" sheetId="7" state="visible" r:id="rId7"/>
    <sheet name="Ingredient Costs" sheetId="8" state="visible" r:id="rId8"/>
    <sheet name="Packaging &amp; Delivery" sheetId="9" state="visible" r:id="rId9"/>
    <sheet name="Weekly Orders" sheetId="10" state="visible" r:id="rId10"/>
    <sheet name="Waste Log" sheetId="11" state="visible" r:id="rId11"/>
    <sheet name="Income &amp; Expenses" sheetId="12" state="visible" r:id="rId12"/>
    <sheet name="Monthly Summary" sheetId="13" state="visible" r:id="rId13"/>
    <sheet name="Settings" sheetId="14" state="visible" r:id="rId14"/>
  </sheets>
  <definedNames>
    <definedName name="Business">Settings!$C$6</definedName>
    <definedName name="Owner">Settings!$C$7</definedName>
    <definedName name="TargetFC">Settings!$C$8</definedName>
    <definedName name="MarginGoal">Settings!$C$9</definedName>
    <definedName name="SubGoal">Settings!$C$10</definedName>
    <definedName name="ProfitGoal">Settings!$C$11</definedName>
    <definedName name="WasteLimit">Settings!$C$12</definedName>
    <definedName name="Currency">Settings!$C$13</definedName>
    <definedName name="UnitList">Settings!$E$7:$E$14</definedName>
    <definedName name="PlanList">Settings!$F$7:$F$10</definedName>
    <definedName name="StatusList">Settings!$G$7:$G$10</definedName>
    <definedName name="YesNoList">Settings!$H$7:$H$8</definedName>
    <definedName name="MealCost">'Meal Cost'!$C$13</definedName>
    <definedName name="IngredientCost">'Meal Cost'!$C$15</definedName>
    <definedName name="PlanName">'Meal Plans'!$B$5:$B$8</definedName>
    <definedName name="PlanMeals">'Meal Plans'!$C$5:$C$8</definedName>
    <definedName name="PlanPrice">'Meal Plans'!$D$5:$D$8</definedName>
    <definedName name="PlanCost">'Meal Plans'!$E$5:$E$8</definedName>
    <definedName name="MenuItem">'Menu'!$B$5:$B$12</definedName>
    <definedName name="SubPlan">'Subscribers'!$B$5:$B$8</definedName>
    <definedName name="SubCount">'Subscribers'!$C$5:$C$8</definedName>
    <definedName name="SubMeals">'Subscribers'!$E$5:$E$8</definedName>
    <definedName name="SubRev">'Subscribers'!$F$5:$F$8</definedName>
    <definedName name="TotalSubs">'Subscribers'!$C$9</definedName>
    <definedName name="MealsWeek">'Subscribers'!$E$9</definedName>
    <definedName name="WeeklyRev">'Subscribers'!$F$9</definedName>
    <definedName name="MRR">'Subscribers'!$F$11</definedName>
    <definedName name="AvgPriceMeal">'Subscribers'!$F$12</definedName>
    <definedName name="FoodCostPct">'Subscribers'!$F$13</definedName>
    <definedName name="MarginPct">'Subscribers'!$F$14</definedName>
    <definedName name="WasteCost">'Waste Log'!$D$5:$D$28</definedName>
    <definedName name="WasteTotal">'Waste Log'!$D$29</definedName>
    <definedName name="TotalIncome">'Income &amp; Expenses'!$C$6</definedName>
    <definedName name="ExpAmt">'Income &amp; Expenses'!$C$10:$C$14</definedName>
    <definedName name="ExpTotal">'Income &amp; Expenses'!$C$15</definedName>
    <definedName name="NetProfit">'Income &amp; Expenses'!$C$17</definedName>
    <definedName name="MonthMRR">'Monthly Summary'!$C$5:$C$10</definedName>
    <definedName name="HealthRange">'Dashboard'!$C$13:$C$18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"/>
    <numFmt numFmtId="166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i val="1"/>
      <color rgb="00E5D3BA"/>
      <sz val="11"/>
    </font>
    <font>
      <name val="Calibri"/>
      <b val="1"/>
      <color rgb="001B4F48"/>
      <sz val="12"/>
    </font>
    <font>
      <name val="Calibri"/>
      <b val="1"/>
      <color rgb="00937356"/>
      <sz val="12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B4F48"/>
      <sz val="11"/>
    </font>
    <font>
      <name val="Calibri"/>
      <b val="1"/>
      <color rgb="00937356"/>
      <sz val="10"/>
    </font>
    <font>
      <color rgb="00333333"/>
      <sz val="11"/>
    </font>
    <font>
      <b val="1"/>
      <color rgb="001B4F48"/>
    </font>
    <font>
      <b val="1"/>
      <color rgb="00C94C4C"/>
    </font>
    <font>
      <b val="1"/>
      <color rgb="001B4F48"/>
      <sz val="13"/>
    </font>
    <font>
      <b val="1"/>
      <color rgb="00937356"/>
      <sz val="9"/>
    </font>
    <font>
      <b val="1"/>
      <color rgb="001B4F48"/>
      <sz val="18"/>
    </font>
    <font>
      <b val="1"/>
      <color rgb="001B4F48"/>
      <sz val="12"/>
    </font>
  </fonts>
  <fills count="10">
    <fill>
      <patternFill/>
    </fill>
    <fill>
      <patternFill patternType="gray125"/>
    </fill>
    <fill>
      <patternFill patternType="solid">
        <fgColor rgb="001B4F48"/>
      </patternFill>
    </fill>
    <fill>
      <patternFill patternType="solid">
        <fgColor rgb="00E5D3BA"/>
      </patternFill>
    </fill>
    <fill>
      <patternFill patternType="solid">
        <fgColor rgb="00FAF7F1"/>
      </patternFill>
    </fill>
    <fill>
      <patternFill patternType="solid">
        <fgColor rgb="00C9A86A"/>
      </patternFill>
    </fill>
    <fill>
      <patternFill patternType="solid">
        <fgColor rgb="00E3F8EF"/>
      </patternFill>
    </fill>
    <fill>
      <patternFill patternType="solid">
        <fgColor rgb="00FBF0E2"/>
      </patternFill>
    </fill>
    <fill>
      <patternFill patternType="solid">
        <fgColor rgb="00F4ECD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/>
    <border>
      <left style="thin">
        <color rgb="00D6D2C8"/>
      </left>
      <right style="thin">
        <color rgb="00D6D2C8"/>
      </right>
      <top style="thin">
        <color rgb="00D6D2C8"/>
      </top>
      <bottom style="thin">
        <color rgb="00D6D2C8"/>
      </bottom>
    </border>
    <border>
      <left style="thin">
        <color rgb="00D6D2C8"/>
      </left>
      <right style="thin">
        <color rgb="00D6D2C8"/>
      </right>
      <top style="medium">
        <color rgb="00C9A86A"/>
      </top>
      <bottom style="thin">
        <color rgb="00D6D2C8"/>
      </bottom>
    </border>
  </borders>
  <cellStyleXfs count="12">
    <xf numFmtId="0" fontId="0" fillId="0" borderId="0"/>
    <xf numFmtId="0" fontId="1" fillId="2" borderId="1" applyAlignment="1">
      <alignment horizontal="left" vertical="center" indent="2"/>
    </xf>
    <xf numFmtId="0" fontId="2" fillId="2" borderId="1" applyAlignment="1">
      <alignment horizontal="left" vertical="center" indent="2"/>
    </xf>
    <xf numFmtId="0" fontId="3" fillId="0" borderId="1" applyAlignment="1">
      <alignment horizontal="left" vertical="center"/>
    </xf>
    <xf numFmtId="0" fontId="4" fillId="0" borderId="1" applyAlignment="1">
      <alignment horizontal="left" vertical="center"/>
    </xf>
    <xf numFmtId="0" fontId="5" fillId="2" borderId="2" applyAlignment="1">
      <alignment horizontal="center" vertical="center" wrapText="1"/>
    </xf>
    <xf numFmtId="0" fontId="6" fillId="0" borderId="2" applyAlignment="1">
      <alignment horizontal="center" vertical="center" wrapText="1"/>
    </xf>
    <xf numFmtId="0" fontId="6" fillId="0" borderId="2" applyAlignment="1">
      <alignment horizontal="left" vertical="center" wrapText="1" indent="1"/>
    </xf>
    <xf numFmtId="0" fontId="7" fillId="3" borderId="2" applyAlignment="1">
      <alignment horizontal="center" vertical="center"/>
    </xf>
    <xf numFmtId="0" fontId="8" fillId="4" borderId="2" applyAlignment="1">
      <alignment horizontal="left" vertical="center" indent="1"/>
    </xf>
    <xf numFmtId="0" fontId="7" fillId="0" borderId="2" applyAlignment="1">
      <alignment horizontal="left" vertical="center" indent="1"/>
    </xf>
    <xf numFmtId="0" fontId="6" fillId="0" borderId="1" applyAlignment="1">
      <alignment horizontal="left" vertical="top" wrapText="1" indent="1"/>
    </xf>
  </cellStyleXfs>
  <cellXfs count="59">
    <xf numFmtId="0" fontId="0" fillId="0" borderId="0" pivotButton="0" quotePrefix="0" xfId="0"/>
    <xf numFmtId="0" fontId="1" fillId="2" borderId="1" applyAlignment="1" pivotButton="0" quotePrefix="0" xfId="1">
      <alignment horizontal="left" vertical="center" indent="2"/>
    </xf>
    <xf numFmtId="0" fontId="2" fillId="2" borderId="1" applyAlignment="1" pivotButton="0" quotePrefix="0" xfId="2">
      <alignment horizontal="left" vertical="center" indent="2"/>
    </xf>
    <xf numFmtId="0" fontId="0" fillId="5" borderId="0" pivotButton="0" quotePrefix="0" xfId="0"/>
    <xf numFmtId="0" fontId="4" fillId="0" borderId="1" applyAlignment="1" pivotButton="0" quotePrefix="0" xfId="4">
      <alignment horizontal="left" vertical="center"/>
    </xf>
    <xf numFmtId="0" fontId="6" fillId="6" borderId="2" applyAlignment="1" pivotButton="0" quotePrefix="0" xfId="11">
      <alignment horizontal="left" vertical="top" wrapText="1" indent="1"/>
    </xf>
    <xf numFmtId="0" fontId="0" fillId="6" borderId="0" pivotButton="0" quotePrefix="0" xfId="0"/>
    <xf numFmtId="0" fontId="3" fillId="0" borderId="1" applyAlignment="1" pivotButton="0" quotePrefix="0" xfId="3">
      <alignment horizontal="left" vertical="center"/>
    </xf>
    <xf numFmtId="0" fontId="6" fillId="0" borderId="1" applyAlignment="1" pivotButton="0" quotePrefix="0" xfId="11">
      <alignment horizontal="left" vertical="top" wrapText="1" indent="1"/>
    </xf>
    <xf numFmtId="0" fontId="5" fillId="2" borderId="2" applyAlignment="1" pivotButton="0" quotePrefix="0" xfId="5">
      <alignment horizontal="center" vertical="center" wrapText="1"/>
    </xf>
    <xf numFmtId="0" fontId="9" fillId="7" borderId="2" applyAlignment="1" pivotButton="0" quotePrefix="0" xfId="0">
      <alignment horizontal="left" vertical="top" wrapText="1" indent="1"/>
    </xf>
    <xf numFmtId="0" fontId="0" fillId="7" borderId="0" pivotButton="0" quotePrefix="0" xfId="0"/>
    <xf numFmtId="0" fontId="13" fillId="9" borderId="3" applyAlignment="1" pivotButton="0" quotePrefix="0" xfId="0">
      <alignment horizontal="center" vertical="center"/>
    </xf>
    <xf numFmtId="0" fontId="0" fillId="9" borderId="3" pivotButton="0" quotePrefix="0" xfId="0"/>
    <xf numFmtId="165" fontId="14" fillId="9" borderId="2" applyAlignment="1" pivotButton="0" quotePrefix="0" xfId="0">
      <alignment horizontal="center" vertical="center"/>
    </xf>
    <xf numFmtId="0" fontId="0" fillId="9" borderId="2" pivotButton="0" quotePrefix="0" xfId="0"/>
    <xf numFmtId="9" fontId="14" fillId="9" borderId="2" applyAlignment="1" pivotButton="0" quotePrefix="0" xfId="0">
      <alignment horizontal="center" vertical="center"/>
    </xf>
    <xf numFmtId="3" fontId="14" fillId="9" borderId="2" applyAlignment="1" pivotButton="0" quotePrefix="0" xfId="0">
      <alignment horizontal="center" vertical="center"/>
    </xf>
    <xf numFmtId="0" fontId="15" fillId="9" borderId="2" applyAlignment="1" pivotButton="0" quotePrefix="0" xfId="0">
      <alignment horizontal="center" vertical="center"/>
    </xf>
    <xf numFmtId="164" fontId="14" fillId="9" borderId="2" applyAlignment="1" pivotButton="0" quotePrefix="0" xfId="0">
      <alignment horizontal="center" vertical="center"/>
    </xf>
    <xf numFmtId="0" fontId="6" fillId="0" borderId="2" applyAlignment="1" pivotButton="0" quotePrefix="0" xfId="7">
      <alignment horizontal="left" vertical="center" wrapText="1" indent="1"/>
    </xf>
    <xf numFmtId="9" fontId="6" fillId="0" borderId="2" applyAlignment="1" pivotButton="0" quotePrefix="0" xfId="6">
      <alignment horizontal="center" vertical="center" wrapText="1"/>
    </xf>
    <xf numFmtId="0" fontId="6" fillId="0" borderId="2" applyAlignment="1" pivotButton="0" quotePrefix="0" xfId="6">
      <alignment horizontal="center" vertical="center" wrapText="1"/>
    </xf>
    <xf numFmtId="0" fontId="6" fillId="8" borderId="2" applyAlignment="1" pivotButton="0" quotePrefix="0" xfId="7">
      <alignment horizontal="left" vertical="center" wrapText="1" indent="1"/>
    </xf>
    <xf numFmtId="9" fontId="6" fillId="8" borderId="2" applyAlignment="1" pivotButton="0" quotePrefix="0" xfId="6">
      <alignment horizontal="center" vertical="center" wrapText="1"/>
    </xf>
    <xf numFmtId="0" fontId="6" fillId="8" borderId="2" applyAlignment="1" pivotButton="0" quotePrefix="0" xfId="6">
      <alignment horizontal="center" vertical="center" wrapText="1"/>
    </xf>
    <xf numFmtId="0" fontId="10" fillId="0" borderId="0" pivotButton="0" quotePrefix="0" xfId="0"/>
    <xf numFmtId="165" fontId="7" fillId="3" borderId="2" applyAlignment="1" pivotButton="0" quotePrefix="0" xfId="8">
      <alignment horizontal="center" vertical="center"/>
    </xf>
    <xf numFmtId="165" fontId="7" fillId="8" borderId="2" applyAlignment="1" pivotButton="0" quotePrefix="0" xfId="8">
      <alignment horizontal="center" vertical="center"/>
    </xf>
    <xf numFmtId="165" fontId="10" fillId="6" borderId="2" applyAlignment="1" pivotButton="0" quotePrefix="0" xfId="6">
      <alignment horizontal="center" vertical="center" wrapText="1"/>
    </xf>
    <xf numFmtId="0" fontId="8" fillId="4" borderId="2" applyAlignment="1" pivotButton="0" quotePrefix="0" xfId="9">
      <alignment horizontal="left" vertical="center" indent="1"/>
    </xf>
    <xf numFmtId="165" fontId="7" fillId="6" borderId="2" applyAlignment="1" pivotButton="0" quotePrefix="0" xfId="10">
      <alignment horizontal="left" vertical="center" indent="1"/>
    </xf>
    <xf numFmtId="3" fontId="7" fillId="3" borderId="2" applyAlignment="1" pivotButton="0" quotePrefix="0" xfId="8">
      <alignment horizontal="center" vertical="center"/>
    </xf>
    <xf numFmtId="164" fontId="7" fillId="3" borderId="2" applyAlignment="1" pivotButton="0" quotePrefix="0" xfId="8">
      <alignment horizontal="center" vertical="center"/>
    </xf>
    <xf numFmtId="164" fontId="6" fillId="0" borderId="2" applyAlignment="1" pivotButton="0" quotePrefix="0" xfId="6">
      <alignment horizontal="center" vertical="center" wrapText="1"/>
    </xf>
    <xf numFmtId="164" fontId="10" fillId="0" borderId="2" applyAlignment="1" pivotButton="0" quotePrefix="0" xfId="6">
      <alignment horizontal="center" vertical="center" wrapText="1"/>
    </xf>
    <xf numFmtId="3" fontId="7" fillId="8" borderId="2" applyAlignment="1" pivotButton="0" quotePrefix="0" xfId="8">
      <alignment horizontal="center" vertical="center"/>
    </xf>
    <xf numFmtId="164" fontId="7" fillId="8" borderId="2" applyAlignment="1" pivotButton="0" quotePrefix="0" xfId="8">
      <alignment horizontal="center" vertical="center"/>
    </xf>
    <xf numFmtId="164" fontId="6" fillId="8" borderId="2" applyAlignment="1" pivotButton="0" quotePrefix="0" xfId="6">
      <alignment horizontal="center" vertical="center" wrapText="1"/>
    </xf>
    <xf numFmtId="164" fontId="10" fillId="8" borderId="2" applyAlignment="1" pivotButton="0" quotePrefix="0" xfId="6">
      <alignment horizontal="center" vertical="center" wrapText="1"/>
    </xf>
    <xf numFmtId="3" fontId="6" fillId="0" borderId="2" applyAlignment="1" pivotButton="0" quotePrefix="0" xfId="6">
      <alignment horizontal="center" vertical="center" wrapText="1"/>
    </xf>
    <xf numFmtId="3" fontId="6" fillId="8" borderId="2" applyAlignment="1" pivotButton="0" quotePrefix="0" xfId="6">
      <alignment horizontal="center" vertical="center" wrapText="1"/>
    </xf>
    <xf numFmtId="3" fontId="10" fillId="3" borderId="2" applyAlignment="1" pivotButton="0" quotePrefix="0" xfId="6">
      <alignment horizontal="center" vertical="center" wrapText="1"/>
    </xf>
    <xf numFmtId="0" fontId="6" fillId="3" borderId="2" applyAlignment="1" pivotButton="0" quotePrefix="0" xfId="6">
      <alignment horizontal="center" vertical="center" wrapText="1"/>
    </xf>
    <xf numFmtId="164" fontId="10" fillId="6" borderId="2" applyAlignment="1" pivotButton="0" quotePrefix="0" xfId="6">
      <alignment horizontal="center" vertical="center" wrapText="1"/>
    </xf>
    <xf numFmtId="164" fontId="7" fillId="6" borderId="2" applyAlignment="1" pivotButton="0" quotePrefix="0" xfId="10">
      <alignment horizontal="left" vertical="center" indent="1"/>
    </xf>
    <xf numFmtId="9" fontId="7" fillId="6" borderId="2" applyAlignment="1" pivotButton="0" quotePrefix="0" xfId="10">
      <alignment horizontal="left" vertical="center" indent="1"/>
    </xf>
    <xf numFmtId="166" fontId="6" fillId="0" borderId="2" applyAlignment="1" pivotButton="0" quotePrefix="0" xfId="6">
      <alignment horizontal="center" vertical="center" wrapText="1"/>
    </xf>
    <xf numFmtId="166" fontId="6" fillId="8" borderId="2" applyAlignment="1" pivotButton="0" quotePrefix="0" xfId="6">
      <alignment horizontal="center" vertical="center" wrapText="1"/>
    </xf>
    <xf numFmtId="166" fontId="10" fillId="3" borderId="2" applyAlignment="1" pivotButton="0" quotePrefix="0" xfId="6">
      <alignment horizontal="center" vertical="center" wrapText="1"/>
    </xf>
    <xf numFmtId="0" fontId="6" fillId="9" borderId="2" applyAlignment="1" pivotButton="0" quotePrefix="0" xfId="7">
      <alignment horizontal="left" vertical="center" wrapText="1" indent="1"/>
    </xf>
    <xf numFmtId="165" fontId="6" fillId="9" borderId="2" applyAlignment="1" pivotButton="0" quotePrefix="0" xfId="6">
      <alignment horizontal="center" vertical="center" wrapText="1"/>
    </xf>
    <xf numFmtId="0" fontId="6" fillId="9" borderId="2" applyAlignment="1" pivotButton="0" quotePrefix="0" xfId="6">
      <alignment horizontal="center" vertical="center" wrapText="1"/>
    </xf>
    <xf numFmtId="165" fontId="6" fillId="8" borderId="2" applyAlignment="1" pivotButton="0" quotePrefix="0" xfId="6">
      <alignment horizontal="center" vertical="center" wrapText="1"/>
    </xf>
    <xf numFmtId="165" fontId="11" fillId="3" borderId="2" applyAlignment="1" pivotButton="0" quotePrefix="0" xfId="6">
      <alignment horizontal="center" vertical="center" wrapText="1"/>
    </xf>
    <xf numFmtId="164" fontId="11" fillId="3" borderId="2" applyAlignment="1" pivotButton="0" quotePrefix="0" xfId="6">
      <alignment horizontal="center" vertical="center" wrapText="1"/>
    </xf>
    <xf numFmtId="164" fontId="12" fillId="6" borderId="2" applyAlignment="1" pivotButton="0" quotePrefix="0" xfId="6">
      <alignment horizontal="center" vertical="center" wrapText="1"/>
    </xf>
    <xf numFmtId="0" fontId="7" fillId="3" borderId="2" applyAlignment="1" pivotButton="0" quotePrefix="0" xfId="8">
      <alignment horizontal="center" vertical="center"/>
    </xf>
    <xf numFmtId="9" fontId="7" fillId="3" borderId="2" applyAlignment="1" pivotButton="0" quotePrefix="0" xfId="8">
      <alignment horizontal="center" vertical="center"/>
    </xf>
  </cellXfs>
  <cellStyles count="12">
    <cellStyle name="Normal" xfId="0" builtinId="0" hidden="0"/>
    <cellStyle name="title" xfId="1" hidden="0"/>
    <cellStyle name="subtitle" xfId="2" hidden="0"/>
    <cellStyle name="section" xfId="3" hidden="0"/>
    <cellStyle name="section_gold" xfId="4" hidden="0"/>
    <cellStyle name="th" xfId="5" hidden="0"/>
    <cellStyle name="td" xfId="6" hidden="0"/>
    <cellStyle name="td_left" xfId="7" hidden="0"/>
    <cellStyle name="input" xfId="8" hidden="0"/>
    <cellStyle name="field_label" xfId="9" hidden="0"/>
    <cellStyle name="field_value" xfId="10" hidden="0"/>
    <cellStyle name="body" xfId="1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MRR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MRR by Month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'Monthly Summary'!$B$5:$B$10</f>
            </numRef>
          </cat>
          <val>
            <numRef>
              <f>'Monthly Summary'!$C$5:$C$10</f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3096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4320000" cy="266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4" customWidth="1" min="2" max="2"/>
    <col width="3" customWidth="1" min="3" max="3"/>
  </cols>
  <sheetData>
    <row r="1" ht="58" customHeight="1">
      <c r="A1" s="1" t="inlineStr">
        <is>
          <t xml:space="preserve">  🍱  MEAL PREP BUSINESS COMMAND CENTER™</t>
        </is>
      </c>
    </row>
    <row r="2" ht="24" customHeight="1">
      <c r="A2" s="2" t="inlineStr">
        <is>
          <t xml:space="preserve">  Cost every meal, and grow your recurring revenue.</t>
        </is>
      </c>
    </row>
    <row r="3" ht="6" customHeight="1">
      <c r="A3" s="3" t="n"/>
      <c r="B3" s="3" t="n"/>
      <c r="C3" s="3" t="n"/>
    </row>
    <row r="5">
      <c r="B5" s="4" t="inlineStr">
        <is>
          <t>YOUR WHOLE MEAL-PREP BUSINESS, IN ONE PLACE</t>
        </is>
      </c>
    </row>
    <row r="6" ht="22" customHeight="1">
      <c r="B6" s="5" t="inlineStr">
        <is>
          <t>Meal prep lives or dies on two numbers: the cost of a single meal and how many subscribers you keep. This makes both visible: a per-meal cost engine (protein, carb, veg, sauce, packaging &amp; labor), meal-plan pricing at 5/10/15/21 meals a week, and a subscriber board that turns counts into weekly revenue and monthly recurring revenue. Plan production, track ingredient &amp; packaging costs, manage weekly orders &amp; delivery, and keep income &amp; expenses — all in ONE premium Google Sheets &amp; Excel system built for meal-prep businesses.</t>
        </is>
      </c>
    </row>
    <row r="7" ht="22" customHeight="1">
      <c r="B7" s="6" t="n"/>
    </row>
    <row r="8" ht="22" customHeight="1">
      <c r="B8" s="6" t="n"/>
    </row>
    <row r="9" ht="22" customHeight="1">
      <c r="B9" s="6" t="n"/>
    </row>
    <row r="11">
      <c r="B11" s="7" t="inlineStr">
        <is>
          <t>START HERE — 6 QUICK STEPS</t>
        </is>
      </c>
    </row>
    <row r="12" ht="22" customHeight="1">
      <c r="B12" s="8" t="inlineStr">
        <is>
          <t>1.  Open Settings — set your target food-cost % &amp; subscriber goal.</t>
        </is>
      </c>
    </row>
    <row r="13" ht="22" customHeight="1">
      <c r="B13" s="8" t="inlineStr">
        <is>
          <t>2.  Cost a meal in Meal Cost — protein, sides, packaging &amp; labor.</t>
        </is>
      </c>
    </row>
    <row r="14" ht="22" customHeight="1">
      <c r="B14" s="8" t="inlineStr">
        <is>
          <t>3.  Price your Meal Plans; the margin per plan calculates live.</t>
        </is>
      </c>
    </row>
    <row r="15" ht="22" customHeight="1">
      <c r="B15" s="8" t="inlineStr">
        <is>
          <t>4.  Add Subscribers by plan — weekly revenue &amp; MRR roll up.</t>
        </is>
      </c>
    </row>
    <row r="16" ht="22" customHeight="1">
      <c r="B16" s="8" t="inlineStr">
        <is>
          <t>5.  Plan production, track packaging, delivery &amp; orders.</t>
        </is>
      </c>
    </row>
    <row r="17" ht="22" customHeight="1">
      <c r="B17" s="8" t="inlineStr">
        <is>
          <t>6.  Check the Dashboard: MRR, profit &amp; a Prep Score.</t>
        </is>
      </c>
    </row>
    <row r="20" ht="26" customHeight="1">
      <c r="B20" s="9" t="inlineStr">
        <is>
          <t xml:space="preserve">  GOOD TO KNOW</t>
        </is>
      </c>
    </row>
    <row r="21" ht="22" customHeight="1">
      <c r="B21" s="10" t="inlineStr">
        <is>
          <t>Sample data for a fictional meal-prep business (Fresh Fuel Co.) is included so you can see how it all connects — just type over it with your own meals and plans. Cost per meal and monthly recurring revenue are the two numbers that decide whether a meal-prep business scales, and they roll into a live Prep Score. Twelve matching printable pages (meal cost card, prep list, delivery run sheet, subscriber list &amp; more) are included. This is a business tool, not financial, legal or food-safety advice — follow your local food-handling rules and confirm figures with your own advisors.</t>
        </is>
      </c>
    </row>
    <row r="22" ht="22" customHeight="1">
      <c r="B22" s="11" t="n"/>
    </row>
    <row r="23" ht="22" customHeight="1">
      <c r="B23" s="11" t="n"/>
    </row>
    <row r="25">
      <c r="B25" s="4" t="inlineStr">
        <is>
          <t>Cost per meal × subscribers = a business that scales — measure both.</t>
        </is>
      </c>
    </row>
  </sheetData>
  <mergeCells count="14">
    <mergeCell ref="B17"/>
    <mergeCell ref="B12"/>
    <mergeCell ref="B13"/>
    <mergeCell ref="A1:C1"/>
    <mergeCell ref="B15"/>
    <mergeCell ref="B11"/>
    <mergeCell ref="B21:B23"/>
    <mergeCell ref="B6:B9"/>
    <mergeCell ref="B16"/>
    <mergeCell ref="B20"/>
    <mergeCell ref="B25"/>
    <mergeCell ref="B5"/>
    <mergeCell ref="B1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2" customWidth="1" min="14" max="14"/>
  </cols>
  <sheetData>
    <row r="1" ht="56" customHeight="1">
      <c r="A1" s="1" t="inlineStr">
        <is>
          <t xml:space="preserve">  🍱  MEAL PREP BUSINESS COMMAND CENTER™</t>
        </is>
      </c>
    </row>
    <row r="2" ht="24" customHeight="1">
      <c r="A2" s="2" t="inlineStr">
        <is>
          <t xml:space="preserve">  Cost per meal, subscribers, MRR &amp; a Prep Score — your whole meal-prep business, at a glance.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5" ht="18" customHeight="1">
      <c r="B5" s="12" t="inlineStr">
        <is>
          <t>MEAL COST</t>
        </is>
      </c>
      <c r="C5" s="13" t="n"/>
      <c r="D5" s="12" t="inlineStr">
        <is>
          <t>AVG PRICE/MEAL</t>
        </is>
      </c>
      <c r="E5" s="13" t="n"/>
      <c r="F5" s="12" t="inlineStr">
        <is>
          <t>FOOD COST</t>
        </is>
      </c>
      <c r="G5" s="13" t="n"/>
      <c r="H5" s="12" t="inlineStr">
        <is>
          <t>MARGIN/MEAL</t>
        </is>
      </c>
      <c r="I5" s="13" t="n"/>
      <c r="J5" s="12" t="inlineStr">
        <is>
          <t>SUBSCRIBERS</t>
        </is>
      </c>
      <c r="K5" s="13" t="n"/>
      <c r="L5" s="12" t="inlineStr">
        <is>
          <t>TOP PLAN</t>
        </is>
      </c>
      <c r="M5" s="13" t="n"/>
    </row>
    <row r="6" ht="40" customHeight="1">
      <c r="B6" s="14">
        <f>MealCost</f>
        <v/>
      </c>
      <c r="C6" s="15" t="n"/>
      <c r="D6" s="14">
        <f>AvgPriceMeal</f>
        <v/>
      </c>
      <c r="E6" s="15" t="n"/>
      <c r="F6" s="16">
        <f>FoodCostPct</f>
        <v/>
      </c>
      <c r="G6" s="15" t="n"/>
      <c r="H6" s="16">
        <f>MarginPct</f>
        <v/>
      </c>
      <c r="I6" s="15" t="n"/>
      <c r="J6" s="17">
        <f>TotalSubs</f>
        <v/>
      </c>
      <c r="K6" s="15" t="n"/>
      <c r="L6" s="18">
        <f>INDEX(SubPlan,MATCH(MAX(SubRev),SubRev,0))</f>
        <v/>
      </c>
      <c r="M6" s="15" t="n"/>
    </row>
    <row r="8" ht="18" customHeight="1">
      <c r="B8" s="12" t="inlineStr">
        <is>
          <t>WEEKLY REVENUE</t>
        </is>
      </c>
      <c r="C8" s="13" t="n"/>
      <c r="D8" s="12" t="inlineStr">
        <is>
          <t>MRR</t>
        </is>
      </c>
      <c r="E8" s="13" t="n"/>
      <c r="F8" s="12" t="inlineStr">
        <is>
          <t>MEALS / WEEK</t>
        </is>
      </c>
      <c r="G8" s="13" t="n"/>
      <c r="H8" s="12" t="inlineStr">
        <is>
          <t>MONTHLY PROFIT</t>
        </is>
      </c>
      <c r="I8" s="13" t="n"/>
      <c r="J8" s="12" t="inlineStr">
        <is>
          <t>WASTE %</t>
        </is>
      </c>
      <c r="K8" s="13" t="n"/>
      <c r="L8" s="12" t="inlineStr">
        <is>
          <t>PREP SCORE</t>
        </is>
      </c>
      <c r="M8" s="13" t="n"/>
    </row>
    <row r="9" ht="40" customHeight="1">
      <c r="B9" s="19">
        <f>WeeklyRev</f>
        <v/>
      </c>
      <c r="C9" s="15" t="n"/>
      <c r="D9" s="19">
        <f>MRR</f>
        <v/>
      </c>
      <c r="E9" s="15" t="n"/>
      <c r="F9" s="17">
        <f>MealsWeek</f>
        <v/>
      </c>
      <c r="G9" s="15" t="n"/>
      <c r="H9" s="19">
        <f>NetProfit</f>
        <v/>
      </c>
      <c r="I9" s="15" t="n"/>
      <c r="J9" s="16">
        <f>IFERROR(WasteTotal/MRR,0)</f>
        <v/>
      </c>
      <c r="K9" s="15" t="n"/>
      <c r="L9" s="16">
        <f>IFERROR(AVERAGE(HealthRange),0)</f>
        <v/>
      </c>
      <c r="M9" s="15" t="n"/>
    </row>
    <row r="11" ht="26" customHeight="1">
      <c r="B11" s="4" t="inlineStr">
        <is>
          <t>PREP HEALTH</t>
        </is>
      </c>
      <c r="H11" s="4" t="inlineStr">
        <is>
          <t>MRR BY MONTH</t>
        </is>
      </c>
    </row>
    <row r="12" ht="30" customHeight="1">
      <c r="B12" s="9" t="inlineStr">
        <is>
          <t>Check</t>
        </is>
      </c>
      <c r="C12" s="9" t="inlineStr">
        <is>
          <t>Score</t>
        </is>
      </c>
      <c r="D12" s="9" t="inlineStr">
        <is>
          <t>Status</t>
        </is>
      </c>
    </row>
    <row r="13">
      <c r="B13" s="20" t="inlineStr">
        <is>
          <t>Food cost on target</t>
        </is>
      </c>
      <c r="C13" s="21">
        <f>IFERROR(MIN(TargetFC/FoodCostPct,1),0)</f>
        <v/>
      </c>
      <c r="D13" s="22">
        <f>IF(C13&gt;=0.85,"Strong",IF(C13&gt;=0.6,"OK","Watch"))</f>
        <v/>
      </c>
    </row>
    <row r="14">
      <c r="B14" s="23" t="inlineStr">
        <is>
          <t>Margin healthy</t>
        </is>
      </c>
      <c r="C14" s="24">
        <f>IFERROR(MIN(MarginPct/MarginGoal,1),0)</f>
        <v/>
      </c>
      <c r="D14" s="25">
        <f>IF(C14&gt;=0.85,"Strong",IF(C14&gt;=0.6,"OK","Watch"))</f>
        <v/>
      </c>
    </row>
    <row r="15">
      <c r="B15" s="20" t="inlineStr">
        <is>
          <t>Plans costed</t>
        </is>
      </c>
      <c r="C15" s="21">
        <f>IFERROR(COUNTIF(PlanCost,"&gt;0")/COUNTA(PlanName),0)</f>
        <v/>
      </c>
      <c r="D15" s="22">
        <f>IF(C15&gt;=0.85,"Strong",IF(C15&gt;=0.6,"OK","Watch"))</f>
        <v/>
      </c>
    </row>
    <row r="16">
      <c r="B16" s="23" t="inlineStr">
        <is>
          <t>Subscribers vs goal</t>
        </is>
      </c>
      <c r="C16" s="24">
        <f>IFERROR(MIN(TotalSubs/SubGoal,1),0)</f>
        <v/>
      </c>
      <c r="D16" s="25">
        <f>IF(C16&gt;=0.85,"Strong",IF(C16&gt;=0.6,"OK","Watch"))</f>
        <v/>
      </c>
    </row>
    <row r="17">
      <c r="B17" s="20" t="inlineStr">
        <is>
          <t>Profitable</t>
        </is>
      </c>
      <c r="C17" s="21">
        <f>IFERROR(MIN(NetProfit/ProfitGoal,1),0)</f>
        <v/>
      </c>
      <c r="D17" s="22">
        <f>IF(C17&gt;=0.85,"Strong",IF(C17&gt;=0.6,"OK","Watch"))</f>
        <v/>
      </c>
    </row>
    <row r="18">
      <c r="B18" s="23" t="inlineStr">
        <is>
          <t>Waste low</t>
        </is>
      </c>
      <c r="C18" s="24">
        <f>IFERROR(1-MIN((WasteTotal/MRR)/WasteLimit,1),0)</f>
        <v/>
      </c>
      <c r="D18" s="25">
        <f>IF(C18&gt;=0.85,"Strong",IF(C18&gt;=0.6,"OK","Watch"))</f>
        <v/>
      </c>
    </row>
    <row r="21" ht="26" customHeight="1">
      <c r="B21" s="2" t="inlineStr">
        <is>
          <t>Meal Prep Business Command Center™ — cost every meal, and grow your recurring revenue.</t>
        </is>
      </c>
    </row>
  </sheetData>
  <mergeCells count="29">
    <mergeCell ref="J5:K5"/>
    <mergeCell ref="F6:G6"/>
    <mergeCell ref="H11:M11"/>
    <mergeCell ref="H9:I9"/>
    <mergeCell ref="A1:N1"/>
    <mergeCell ref="J9:K9"/>
    <mergeCell ref="D6:E6"/>
    <mergeCell ref="H6:I6"/>
    <mergeCell ref="J6:K6"/>
    <mergeCell ref="B21:M21"/>
    <mergeCell ref="F5:G5"/>
    <mergeCell ref="L5:M5"/>
    <mergeCell ref="L8:M8"/>
    <mergeCell ref="B8:C8"/>
    <mergeCell ref="F8:G8"/>
    <mergeCell ref="A2:N2"/>
    <mergeCell ref="B9:C9"/>
    <mergeCell ref="D9:E9"/>
    <mergeCell ref="F9:G9"/>
    <mergeCell ref="L9:M9"/>
    <mergeCell ref="D8:E8"/>
    <mergeCell ref="B6:C6"/>
    <mergeCell ref="L6:M6"/>
    <mergeCell ref="B5:C5"/>
    <mergeCell ref="D5:E5"/>
    <mergeCell ref="H5:I5"/>
    <mergeCell ref="H8:I8"/>
    <mergeCell ref="J8:K8"/>
    <mergeCell ref="B11:G11"/>
  </mergeCells>
  <conditionalFormatting sqref="C13:C18">
    <cfRule type="colorScale" priority="1">
      <colorScale>
        <cfvo type="num" val="0"/>
        <cfvo type="num" val="0.5"/>
        <cfvo type="num" val="1"/>
        <color rgb="FFFBF0E2"/>
        <color rgb="FFFFF3CD"/>
        <color rgb="FF75E6C1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🍲  MEAL COST</t>
        </is>
      </c>
    </row>
    <row r="2" ht="22" customHeight="1">
      <c r="A2" s="2" t="inlineStr">
        <is>
          <t xml:space="preserve">  Cost a meal to the component — protein, carb, veg, sauce, packaging &amp; labor. The engine behind pricing.</t>
        </is>
      </c>
    </row>
    <row r="3" ht="6" customHeight="1">
      <c r="A3" s="3" t="n"/>
      <c r="B3" s="3" t="n"/>
      <c r="C3" s="3" t="n"/>
    </row>
    <row r="5">
      <c r="B5" s="4" t="inlineStr">
        <is>
          <t>MEAL</t>
        </is>
      </c>
      <c r="C5" s="26" t="inlineStr">
        <is>
          <t>Grilled Chicken Bowl</t>
        </is>
      </c>
    </row>
    <row r="6" ht="30" customHeight="1">
      <c r="B6" s="9" t="inlineStr">
        <is>
          <t>Component</t>
        </is>
      </c>
      <c r="C6" s="9" t="inlineStr">
        <is>
          <t>Cost</t>
        </is>
      </c>
    </row>
    <row r="7">
      <c r="B7" s="20" t="inlineStr">
        <is>
          <t>Protein (chicken 6 oz)</t>
        </is>
      </c>
      <c r="C7" s="27" t="n">
        <v>1.8</v>
      </c>
    </row>
    <row r="8">
      <c r="B8" s="23" t="inlineStr">
        <is>
          <t>Carb (rice / potato)</t>
        </is>
      </c>
      <c r="C8" s="28" t="n">
        <v>0.45</v>
      </c>
    </row>
    <row r="9">
      <c r="B9" s="20" t="inlineStr">
        <is>
          <t>Roasted veg</t>
        </is>
      </c>
      <c r="C9" s="27" t="n">
        <v>0.6</v>
      </c>
    </row>
    <row r="10">
      <c r="B10" s="23" t="inlineStr">
        <is>
          <t>Sauce &amp; seasoning</t>
        </is>
      </c>
      <c r="C10" s="28" t="n">
        <v>0.35</v>
      </c>
    </row>
    <row r="11">
      <c r="B11" s="20" t="inlineStr">
        <is>
          <t>Container + label</t>
        </is>
      </c>
      <c r="C11" s="27" t="n">
        <v>0.55</v>
      </c>
    </row>
    <row r="12">
      <c r="B12" s="23" t="inlineStr">
        <is>
          <t>Kitchen labor / meal</t>
        </is>
      </c>
      <c r="C12" s="28" t="n">
        <v>1.25</v>
      </c>
    </row>
    <row r="13">
      <c r="B13" s="9" t="inlineStr">
        <is>
          <t>COST PER MEAL</t>
        </is>
      </c>
      <c r="C13" s="29">
        <f>SUM(C7:C12)</f>
        <v/>
      </c>
    </row>
    <row r="15">
      <c r="B15" s="30" t="inlineStr">
        <is>
          <t>Ingredient cost (food only)</t>
        </is>
      </c>
      <c r="C15" s="31">
        <f>SUM(C7:C10)</f>
        <v/>
      </c>
    </row>
    <row r="17">
      <c r="B17" s="7" t="inlineStr">
        <is>
          <t>Copy this build for every meal — swap the protein, carb &amp; sauce.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14" customWidth="1" min="4" max="4"/>
    <col width="14" customWidth="1" min="5" max="5"/>
    <col width="14" customWidth="1" min="6" max="6"/>
    <col width="12" customWidth="1" min="7" max="7"/>
    <col width="2" customWidth="1" min="8" max="8"/>
  </cols>
  <sheetData>
    <row r="1" ht="46" customHeight="1">
      <c r="A1" s="1" t="inlineStr">
        <is>
          <t xml:space="preserve">  📦  MEAL PLANS</t>
        </is>
      </c>
    </row>
    <row r="2" ht="22" customHeight="1">
      <c r="A2" s="2" t="inlineStr">
        <is>
          <t xml:space="preserve">  Price each weekly plan — meals × cost = plan cost, and the margin calculates live.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</row>
    <row r="4" ht="30" customHeight="1">
      <c r="B4" s="9" t="inlineStr">
        <is>
          <t>Plan</t>
        </is>
      </c>
      <c r="C4" s="9" t="inlineStr">
        <is>
          <t>Meals</t>
        </is>
      </c>
      <c r="D4" s="9" t="inlineStr">
        <is>
          <t>Price/wk</t>
        </is>
      </c>
      <c r="E4" s="9" t="inlineStr">
        <is>
          <t>Cost/wk</t>
        </is>
      </c>
      <c r="F4" s="9" t="inlineStr">
        <is>
          <t>Margin</t>
        </is>
      </c>
      <c r="G4" s="9" t="inlineStr">
        <is>
          <t>Margin %</t>
        </is>
      </c>
    </row>
    <row r="5">
      <c r="B5" s="20" t="inlineStr">
        <is>
          <t>5 meals / week</t>
        </is>
      </c>
      <c r="C5" s="32" t="n">
        <v>5</v>
      </c>
      <c r="D5" s="33" t="n">
        <v>55</v>
      </c>
      <c r="E5" s="34">
        <f>C5*MealCost</f>
        <v/>
      </c>
      <c r="F5" s="35">
        <f>D5-E5</f>
        <v/>
      </c>
      <c r="G5" s="21">
        <f>IFERROR(F5/D5,0)</f>
        <v/>
      </c>
    </row>
    <row r="6">
      <c r="B6" s="23" t="inlineStr">
        <is>
          <t>10 meals / week</t>
        </is>
      </c>
      <c r="C6" s="36" t="n">
        <v>10</v>
      </c>
      <c r="D6" s="37" t="n">
        <v>105</v>
      </c>
      <c r="E6" s="38">
        <f>C6*MealCost</f>
        <v/>
      </c>
      <c r="F6" s="39">
        <f>D6-E6</f>
        <v/>
      </c>
      <c r="G6" s="24">
        <f>IFERROR(F6/D6,0)</f>
        <v/>
      </c>
    </row>
    <row r="7">
      <c r="B7" s="20" t="inlineStr">
        <is>
          <t>15 meals / week</t>
        </is>
      </c>
      <c r="C7" s="32" t="n">
        <v>15</v>
      </c>
      <c r="D7" s="33" t="n">
        <v>150</v>
      </c>
      <c r="E7" s="34">
        <f>C7*MealCost</f>
        <v/>
      </c>
      <c r="F7" s="35">
        <f>D7-E7</f>
        <v/>
      </c>
      <c r="G7" s="21">
        <f>IFERROR(F7/D7,0)</f>
        <v/>
      </c>
    </row>
    <row r="8">
      <c r="B8" s="23" t="inlineStr">
        <is>
          <t>21 meals / week</t>
        </is>
      </c>
      <c r="C8" s="36" t="n">
        <v>21</v>
      </c>
      <c r="D8" s="37" t="n">
        <v>200</v>
      </c>
      <c r="E8" s="38">
        <f>C8*MealCost</f>
        <v/>
      </c>
      <c r="F8" s="39">
        <f>D8-E8</f>
        <v/>
      </c>
      <c r="G8" s="24">
        <f>IFERROR(F8/D8,0)</f>
        <v/>
      </c>
    </row>
  </sheetData>
  <mergeCells count="2">
    <mergeCell ref="A2:G2"/>
    <mergeCell ref="A1:G1"/>
  </mergeCells>
  <conditionalFormatting sqref="G5:G8">
    <cfRule type="colorScale" priority="1">
      <colorScale>
        <cfvo type="num" val="0.35"/>
        <cfvo type="num" val="0.5"/>
        <cfvo type="num" val="0.65"/>
        <color rgb="FFFBE6E6"/>
        <color rgb="FFFFF3CD"/>
        <color rgb="FF75E6C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2" customWidth="1" min="4" max="4"/>
    <col width="12" customWidth="1" min="5" max="5"/>
    <col width="12" customWidth="1" min="6" max="6"/>
    <col width="2" customWidth="1" min="7" max="7"/>
  </cols>
  <sheetData>
    <row r="1" ht="46" customHeight="1">
      <c r="A1" s="1" t="inlineStr">
        <is>
          <t xml:space="preserve">  🍽  MENU</t>
        </is>
      </c>
    </row>
    <row r="2" ht="22" customHeight="1">
      <c r="A2" s="2" t="inlineStr">
        <is>
          <t xml:space="preserve">  Every meal on rotation — cost, price, margin &amp; food-cost %. Keep the low-cost stars in.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Meal</t>
        </is>
      </c>
      <c r="C4" s="9" t="inlineStr">
        <is>
          <t>Protein</t>
        </is>
      </c>
      <c r="D4" s="9" t="inlineStr">
        <is>
          <t>Cost</t>
        </is>
      </c>
      <c r="E4" s="9" t="inlineStr">
        <is>
          <t>Price</t>
        </is>
      </c>
      <c r="F4" s="9" t="inlineStr">
        <is>
          <t>Food %</t>
        </is>
      </c>
    </row>
    <row r="5">
      <c r="B5" s="20" t="inlineStr">
        <is>
          <t>Grilled Chicken Bowl</t>
        </is>
      </c>
      <c r="C5" s="22" t="inlineStr">
        <is>
          <t>Chicken</t>
        </is>
      </c>
      <c r="D5" s="27" t="n">
        <v>5</v>
      </c>
      <c r="E5" s="33" t="n">
        <v>11</v>
      </c>
      <c r="F5" s="21">
        <f>IFERROR(D5/E5,0)</f>
        <v/>
      </c>
    </row>
    <row r="6">
      <c r="B6" s="23" t="inlineStr">
        <is>
          <t>Beef &amp; Broccoli</t>
        </is>
      </c>
      <c r="C6" s="25" t="inlineStr">
        <is>
          <t>Beef</t>
        </is>
      </c>
      <c r="D6" s="28" t="n">
        <v>5.8</v>
      </c>
      <c r="E6" s="37" t="n">
        <v>12</v>
      </c>
      <c r="F6" s="24">
        <f>IFERROR(D6/E6,0)</f>
        <v/>
      </c>
    </row>
    <row r="7">
      <c r="B7" s="20" t="inlineStr">
        <is>
          <t>Salmon &amp; Quinoa</t>
        </is>
      </c>
      <c r="C7" s="22" t="inlineStr">
        <is>
          <t>Salmon</t>
        </is>
      </c>
      <c r="D7" s="27" t="n">
        <v>6.5</v>
      </c>
      <c r="E7" s="33" t="n">
        <v>13</v>
      </c>
      <c r="F7" s="21">
        <f>IFERROR(D7/E7,0)</f>
        <v/>
      </c>
    </row>
    <row r="8">
      <c r="B8" s="23" t="inlineStr">
        <is>
          <t>Turkey Meatballs</t>
        </is>
      </c>
      <c r="C8" s="25" t="inlineStr">
        <is>
          <t>Turkey</t>
        </is>
      </c>
      <c r="D8" s="28" t="n">
        <v>4.9</v>
      </c>
      <c r="E8" s="37" t="n">
        <v>11</v>
      </c>
      <c r="F8" s="24">
        <f>IFERROR(D8/E8,0)</f>
        <v/>
      </c>
    </row>
    <row r="9">
      <c r="B9" s="20" t="inlineStr">
        <is>
          <t>Veggie Buddha Bowl</t>
        </is>
      </c>
      <c r="C9" s="22" t="inlineStr">
        <is>
          <t>Tofu</t>
        </is>
      </c>
      <c r="D9" s="27" t="n">
        <v>4.2</v>
      </c>
      <c r="E9" s="33" t="n">
        <v>10</v>
      </c>
      <c r="F9" s="21">
        <f>IFERROR(D9/E9,0)</f>
        <v/>
      </c>
    </row>
    <row r="10">
      <c r="B10" s="23" t="inlineStr">
        <is>
          <t>Shrimp Stir-Fry</t>
        </is>
      </c>
      <c r="C10" s="25" t="inlineStr">
        <is>
          <t>Shrimp</t>
        </is>
      </c>
      <c r="D10" s="28" t="n">
        <v>6.2</v>
      </c>
      <c r="E10" s="37" t="n">
        <v>12</v>
      </c>
      <c r="F10" s="24">
        <f>IFERROR(D10/E10,0)</f>
        <v/>
      </c>
    </row>
    <row r="11">
      <c r="B11" s="20" t="inlineStr">
        <is>
          <t>Chicken Fajita</t>
        </is>
      </c>
      <c r="C11" s="22" t="inlineStr">
        <is>
          <t>Chicken</t>
        </is>
      </c>
      <c r="D11" s="27" t="n">
        <v>5.1</v>
      </c>
      <c r="E11" s="33" t="n">
        <v>11</v>
      </c>
      <c r="F11" s="21">
        <f>IFERROR(D11/E11,0)</f>
        <v/>
      </c>
    </row>
    <row r="12">
      <c r="B12" s="23" t="inlineStr">
        <is>
          <t>Pesto Pasta</t>
        </is>
      </c>
      <c r="C12" s="25" t="inlineStr">
        <is>
          <t>—</t>
        </is>
      </c>
      <c r="D12" s="28" t="n">
        <v>4</v>
      </c>
      <c r="E12" s="37" t="n">
        <v>10</v>
      </c>
      <c r="F12" s="24">
        <f>IFERROR(D12/E12,0)</f>
        <v/>
      </c>
    </row>
  </sheetData>
  <mergeCells count="2">
    <mergeCell ref="A2:F2"/>
    <mergeCell ref="A1:F1"/>
  </mergeCells>
  <conditionalFormatting sqref="F5:F12">
    <cfRule type="colorScale" priority="1">
      <colorScale>
        <cfvo type="num" val="0.3"/>
        <cfvo type="num" val="0.45"/>
        <cfvo type="num" val="0.6"/>
        <color rgb="FF75E6C1"/>
        <color rgb="FFFFF3CD"/>
        <color rgb="FFFBE6E6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4" customWidth="1" min="5" max="5"/>
    <col width="16" customWidth="1" min="6" max="6"/>
    <col width="2" customWidth="1" min="7" max="7"/>
  </cols>
  <sheetData>
    <row r="1" ht="46" customHeight="1">
      <c r="A1" s="1" t="inlineStr">
        <is>
          <t xml:space="preserve">  👥  SUBSCRIBERS</t>
        </is>
      </c>
    </row>
    <row r="2" ht="22" customHeight="1">
      <c r="A2" s="2" t="inlineStr">
        <is>
          <t xml:space="preserve">  How many on each plan — the counts turn into weekly revenue and monthly recurring revenue.</t>
        </is>
      </c>
    </row>
    <row r="3" ht="6" customHeight="1">
      <c r="A3" s="3" t="n"/>
      <c r="B3" s="3" t="n"/>
      <c r="C3" s="3" t="n"/>
      <c r="D3" s="3" t="n"/>
      <c r="E3" s="3" t="n"/>
      <c r="F3" s="3" t="n"/>
    </row>
    <row r="4" ht="30" customHeight="1">
      <c r="B4" s="9" t="inlineStr">
        <is>
          <t>Plan</t>
        </is>
      </c>
      <c r="C4" s="9" t="inlineStr">
        <is>
          <t>Subscribers</t>
        </is>
      </c>
      <c r="D4" s="9" t="inlineStr">
        <is>
          <t>Price/wk</t>
        </is>
      </c>
      <c r="E4" s="9" t="inlineStr">
        <is>
          <t>Meals/wk</t>
        </is>
      </c>
      <c r="F4" s="9" t="inlineStr">
        <is>
          <t>Weekly Rev</t>
        </is>
      </c>
    </row>
    <row r="5">
      <c r="B5" s="20" t="inlineStr">
        <is>
          <t>5 meals / week</t>
        </is>
      </c>
      <c r="C5" s="32" t="n">
        <v>20</v>
      </c>
      <c r="D5" s="34">
        <f>IFERROR(INDEX(PlanPrice,MATCH(B5,PlanName,0)),0)</f>
        <v/>
      </c>
      <c r="E5" s="40">
        <f>C5*IFERROR(INDEX(PlanMeals,MATCH(B5,PlanName,0)),0)</f>
        <v/>
      </c>
      <c r="F5" s="35">
        <f>C5*D5</f>
        <v/>
      </c>
    </row>
    <row r="6">
      <c r="B6" s="23" t="inlineStr">
        <is>
          <t>10 meals / week</t>
        </is>
      </c>
      <c r="C6" s="36" t="n">
        <v>15</v>
      </c>
      <c r="D6" s="38">
        <f>IFERROR(INDEX(PlanPrice,MATCH(B6,PlanName,0)),0)</f>
        <v/>
      </c>
      <c r="E6" s="41">
        <f>C6*IFERROR(INDEX(PlanMeals,MATCH(B6,PlanName,0)),0)</f>
        <v/>
      </c>
      <c r="F6" s="39">
        <f>C6*D6</f>
        <v/>
      </c>
    </row>
    <row r="7">
      <c r="B7" s="20" t="inlineStr">
        <is>
          <t>15 meals / week</t>
        </is>
      </c>
      <c r="C7" s="32" t="n">
        <v>8</v>
      </c>
      <c r="D7" s="34">
        <f>IFERROR(INDEX(PlanPrice,MATCH(B7,PlanName,0)),0)</f>
        <v/>
      </c>
      <c r="E7" s="40">
        <f>C7*IFERROR(INDEX(PlanMeals,MATCH(B7,PlanName,0)),0)</f>
        <v/>
      </c>
      <c r="F7" s="35">
        <f>C7*D7</f>
        <v/>
      </c>
    </row>
    <row r="8">
      <c r="B8" s="23" t="inlineStr">
        <is>
          <t>21 meals / week</t>
        </is>
      </c>
      <c r="C8" s="36" t="n">
        <v>3</v>
      </c>
      <c r="D8" s="38">
        <f>IFERROR(INDEX(PlanPrice,MATCH(B8,PlanName,0)),0)</f>
        <v/>
      </c>
      <c r="E8" s="41">
        <f>C8*IFERROR(INDEX(PlanMeals,MATCH(B8,PlanName,0)),0)</f>
        <v/>
      </c>
      <c r="F8" s="39">
        <f>C8*D8</f>
        <v/>
      </c>
    </row>
    <row r="9">
      <c r="B9" s="9" t="inlineStr">
        <is>
          <t>TOTALS</t>
        </is>
      </c>
      <c r="C9" s="42">
        <f>SUM(SubCount)</f>
        <v/>
      </c>
      <c r="D9" s="43" t="n"/>
      <c r="E9" s="42">
        <f>SUM(SubMeals)</f>
        <v/>
      </c>
      <c r="F9" s="44">
        <f>SUM(SubRev)</f>
        <v/>
      </c>
    </row>
    <row r="11">
      <c r="B11" s="30" t="inlineStr">
        <is>
          <t>Monthly recurring revenue (×4)</t>
        </is>
      </c>
      <c r="F11" s="45">
        <f>WeeklyRev*4</f>
        <v/>
      </c>
    </row>
    <row r="12">
      <c r="B12" s="30" t="inlineStr">
        <is>
          <t>Avg price per meal</t>
        </is>
      </c>
      <c r="F12" s="31">
        <f>IFERROR(WeeklyRev/MealsWeek,0)</f>
        <v/>
      </c>
    </row>
    <row r="13">
      <c r="B13" s="30" t="inlineStr">
        <is>
          <t>Food cost % / Margin %</t>
        </is>
      </c>
      <c r="F13" s="46">
        <f>IFERROR(IngredientCost/AvgPriceMeal,0)</f>
        <v/>
      </c>
    </row>
    <row r="14">
      <c r="B14" s="30" t="inlineStr">
        <is>
          <t>Margin % per meal</t>
        </is>
      </c>
      <c r="F14" s="46">
        <f>IFERROR((AvgPriceMeal-MealCost)/AvgPriceMeal,0)</f>
        <v/>
      </c>
    </row>
  </sheetData>
  <mergeCells count="2">
    <mergeCell ref="A2:F2"/>
    <mergeCell ref="A1:F1"/>
  </mergeCells>
  <dataValidations count="4">
    <dataValidation sqref="B5" showDropDown="0" showInputMessage="0" showErrorMessage="0" allowBlank="1" type="list">
      <formula1>=PlanList</formula1>
    </dataValidation>
    <dataValidation sqref="B6" showDropDown="0" showInputMessage="0" showErrorMessage="0" allowBlank="1" type="list">
      <formula1>=PlanList</formula1>
    </dataValidation>
    <dataValidation sqref="B7" showDropDown="0" showInputMessage="0" showErrorMessage="0" allowBlank="1" type="list">
      <formula1>=PlanList</formula1>
    </dataValidation>
    <dataValidation sqref="B8" showDropDown="0" showInputMessage="0" showErrorMessage="0" allowBlank="1" type="list">
      <formula1>=PlanList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12" customWidth="1" min="3" max="3"/>
    <col width="14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👨‍🍳  PRODUCTION PLAN</t>
        </is>
      </c>
    </row>
    <row r="2" ht="22" customHeight="1">
      <c r="A2" s="2" t="inlineStr">
        <is>
          <t xml:space="preserve">  The weekly batch cook — how many of each meal to make, and the prep time it takes.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Meal</t>
        </is>
      </c>
      <c r="C4" s="9" t="inlineStr">
        <is>
          <t>Qty</t>
        </is>
      </c>
      <c r="D4" s="9" t="inlineStr">
        <is>
          <t>Prep (min)</t>
        </is>
      </c>
      <c r="E4" s="9" t="inlineStr">
        <is>
          <t>Prep (hrs)</t>
        </is>
      </c>
    </row>
    <row r="5">
      <c r="B5" s="20" t="inlineStr">
        <is>
          <t>Grilled Chicken Bowl</t>
        </is>
      </c>
      <c r="C5" s="32" t="n">
        <v>120</v>
      </c>
      <c r="D5" s="32" t="n">
        <v>90</v>
      </c>
      <c r="E5" s="47">
        <f>D5/60</f>
        <v/>
      </c>
    </row>
    <row r="6">
      <c r="B6" s="23" t="inlineStr">
        <is>
          <t>Beef &amp; Broccoli</t>
        </is>
      </c>
      <c r="C6" s="36" t="n">
        <v>80</v>
      </c>
      <c r="D6" s="36" t="n">
        <v>75</v>
      </c>
      <c r="E6" s="48">
        <f>D6/60</f>
        <v/>
      </c>
    </row>
    <row r="7">
      <c r="B7" s="20" t="inlineStr">
        <is>
          <t>Salmon &amp; Quinoa</t>
        </is>
      </c>
      <c r="C7" s="32" t="n">
        <v>60</v>
      </c>
      <c r="D7" s="32" t="n">
        <v>60</v>
      </c>
      <c r="E7" s="47">
        <f>D7/60</f>
        <v/>
      </c>
    </row>
    <row r="8">
      <c r="B8" s="23" t="inlineStr">
        <is>
          <t>Turkey Meatballs</t>
        </is>
      </c>
      <c r="C8" s="36" t="n">
        <v>70</v>
      </c>
      <c r="D8" s="36" t="n">
        <v>70</v>
      </c>
      <c r="E8" s="48">
        <f>D8/60</f>
        <v/>
      </c>
    </row>
    <row r="9">
      <c r="B9" s="20" t="inlineStr">
        <is>
          <t>Veggie Buddha Bowl</t>
        </is>
      </c>
      <c r="C9" s="32" t="n">
        <v>50</v>
      </c>
      <c r="D9" s="32" t="n">
        <v>45</v>
      </c>
      <c r="E9" s="47">
        <f>D9/60</f>
        <v/>
      </c>
    </row>
    <row r="10">
      <c r="B10" s="23" t="inlineStr">
        <is>
          <t>Chicken Fajita</t>
        </is>
      </c>
      <c r="C10" s="36" t="n">
        <v>53</v>
      </c>
      <c r="D10" s="36" t="n">
        <v>50</v>
      </c>
      <c r="E10" s="48">
        <f>D10/60</f>
        <v/>
      </c>
    </row>
    <row r="11">
      <c r="B11" s="9" t="inlineStr">
        <is>
          <t>WEEK TOTAL</t>
        </is>
      </c>
      <c r="C11" s="42">
        <f>SUM(C5:C10)</f>
        <v/>
      </c>
      <c r="D11" s="42">
        <f>SUM(D5:D10)</f>
        <v/>
      </c>
      <c r="E11" s="49">
        <f>SUM(E5:E10)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4" customWidth="1" min="4" max="4"/>
    <col width="12" customWidth="1" min="5" max="5"/>
    <col width="2" customWidth="1" min="6" max="6"/>
  </cols>
  <sheetData>
    <row r="1" ht="46" customHeight="1">
      <c r="A1" s="1" t="inlineStr">
        <is>
          <t xml:space="preserve">  🥕  INGREDIENT COSTS</t>
        </is>
      </c>
    </row>
    <row r="2" ht="22" customHeight="1">
      <c r="A2" s="2" t="inlineStr">
        <is>
          <t xml:space="preserve">  Your buying list — what each ingredient costs, so meal costing stays accurate.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Ingredient</t>
        </is>
      </c>
      <c r="C4" s="9" t="inlineStr">
        <is>
          <t>Pack Price</t>
        </is>
      </c>
      <c r="D4" s="9" t="inlineStr">
        <is>
          <t>Pack Size</t>
        </is>
      </c>
      <c r="E4" s="9" t="inlineStr">
        <is>
          <t>Unit</t>
        </is>
      </c>
    </row>
    <row r="5">
      <c r="B5" s="50" t="inlineStr">
        <is>
          <t>Chicken breast</t>
        </is>
      </c>
      <c r="C5" s="51" t="n">
        <v>2.8</v>
      </c>
      <c r="D5" s="50" t="inlineStr">
        <is>
          <t>1 lb</t>
        </is>
      </c>
      <c r="E5" s="52" t="inlineStr">
        <is>
          <t>lb</t>
        </is>
      </c>
    </row>
    <row r="6">
      <c r="B6" s="23" t="inlineStr">
        <is>
          <t>Ground beef</t>
        </is>
      </c>
      <c r="C6" s="53" t="n">
        <v>4.5</v>
      </c>
      <c r="D6" s="23" t="inlineStr">
        <is>
          <t>1 lb</t>
        </is>
      </c>
      <c r="E6" s="25" t="inlineStr">
        <is>
          <t>lb</t>
        </is>
      </c>
    </row>
    <row r="7">
      <c r="B7" s="50" t="inlineStr">
        <is>
          <t>Salmon</t>
        </is>
      </c>
      <c r="C7" s="51" t="n">
        <v>9</v>
      </c>
      <c r="D7" s="50" t="inlineStr">
        <is>
          <t>1 lb</t>
        </is>
      </c>
      <c r="E7" s="52" t="inlineStr">
        <is>
          <t>lb</t>
        </is>
      </c>
    </row>
    <row r="8">
      <c r="B8" s="23" t="inlineStr">
        <is>
          <t>Rice</t>
        </is>
      </c>
      <c r="C8" s="53" t="n">
        <v>0.9</v>
      </c>
      <c r="D8" s="23" t="inlineStr">
        <is>
          <t>1 lb</t>
        </is>
      </c>
      <c r="E8" s="25" t="inlineStr">
        <is>
          <t>lb</t>
        </is>
      </c>
    </row>
    <row r="9">
      <c r="B9" s="50" t="inlineStr">
        <is>
          <t>Mixed veg</t>
        </is>
      </c>
      <c r="C9" s="51" t="n">
        <v>1.6</v>
      </c>
      <c r="D9" s="50" t="inlineStr">
        <is>
          <t>1 lb</t>
        </is>
      </c>
      <c r="E9" s="52" t="inlineStr">
        <is>
          <t>lb</t>
        </is>
      </c>
    </row>
    <row r="10">
      <c r="B10" s="23" t="inlineStr">
        <is>
          <t>Sauces</t>
        </is>
      </c>
      <c r="C10" s="53" t="n">
        <v>3.2</v>
      </c>
      <c r="D10" s="23" t="inlineStr">
        <is>
          <t>16 oz</t>
        </is>
      </c>
      <c r="E10" s="25" t="inlineStr">
        <is>
          <t>oz</t>
        </is>
      </c>
    </row>
    <row r="11">
      <c r="B11" s="50" t="inlineStr">
        <is>
          <t>Containers</t>
        </is>
      </c>
      <c r="C11" s="51" t="n">
        <v>0.42</v>
      </c>
      <c r="D11" s="50" t="inlineStr">
        <is>
          <t>each</t>
        </is>
      </c>
      <c r="E11" s="52" t="inlineStr">
        <is>
          <t>each</t>
        </is>
      </c>
    </row>
    <row r="12">
      <c r="B12" s="23" t="inlineStr">
        <is>
          <t>Labels</t>
        </is>
      </c>
      <c r="C12" s="53" t="n">
        <v>0.06</v>
      </c>
      <c r="D12" s="23" t="inlineStr">
        <is>
          <t>each</t>
        </is>
      </c>
      <c r="E12" s="25" t="inlineStr">
        <is>
          <t>each</t>
        </is>
      </c>
    </row>
    <row r="13">
      <c r="B13" s="50" t="n"/>
      <c r="C13" s="51" t="n"/>
      <c r="D13" s="50" t="n"/>
      <c r="E13" s="52" t="n"/>
    </row>
    <row r="14">
      <c r="B14" s="23" t="n"/>
      <c r="C14" s="53" t="n"/>
      <c r="D14" s="23" t="n"/>
      <c r="E14" s="25" t="n"/>
    </row>
    <row r="15">
      <c r="B15" s="50" t="n"/>
      <c r="C15" s="51" t="n"/>
      <c r="D15" s="50" t="n"/>
      <c r="E15" s="52" t="n"/>
    </row>
    <row r="16">
      <c r="B16" s="23" t="n"/>
      <c r="C16" s="53" t="n"/>
      <c r="D16" s="23" t="n"/>
      <c r="E16" s="25" t="n"/>
    </row>
    <row r="17">
      <c r="B17" s="50" t="n"/>
      <c r="C17" s="51" t="n"/>
      <c r="D17" s="50" t="n"/>
      <c r="E17" s="52" t="n"/>
    </row>
    <row r="18">
      <c r="B18" s="23" t="n"/>
      <c r="C18" s="53" t="n"/>
      <c r="D18" s="23" t="n"/>
      <c r="E18" s="25" t="n"/>
    </row>
    <row r="19">
      <c r="B19" s="50" t="n"/>
      <c r="C19" s="51" t="n"/>
      <c r="D19" s="50" t="n"/>
      <c r="E19" s="52" t="n"/>
    </row>
    <row r="20">
      <c r="B20" s="23" t="n"/>
      <c r="C20" s="53" t="n"/>
      <c r="D20" s="23" t="n"/>
      <c r="E20" s="25" t="n"/>
    </row>
    <row r="21">
      <c r="B21" s="50" t="n"/>
      <c r="C21" s="51" t="n"/>
      <c r="D21" s="50" t="n"/>
      <c r="E21" s="52" t="n"/>
    </row>
    <row r="22">
      <c r="B22" s="23" t="n"/>
      <c r="C22" s="53" t="n"/>
      <c r="D22" s="23" t="n"/>
      <c r="E22" s="25" t="n"/>
    </row>
    <row r="23">
      <c r="B23" s="50" t="n"/>
      <c r="C23" s="51" t="n"/>
      <c r="D23" s="50" t="n"/>
      <c r="E23" s="52" t="n"/>
    </row>
    <row r="24">
      <c r="B24" s="23" t="n"/>
      <c r="C24" s="53" t="n"/>
      <c r="D24" s="23" t="n"/>
      <c r="E24" s="25" t="n"/>
    </row>
    <row r="25">
      <c r="B25" s="50" t="n"/>
      <c r="C25" s="51" t="n"/>
      <c r="D25" s="50" t="n"/>
      <c r="E25" s="52" t="n"/>
    </row>
    <row r="26">
      <c r="B26" s="23" t="n"/>
      <c r="C26" s="53" t="n"/>
      <c r="D26" s="23" t="n"/>
      <c r="E26" s="25" t="n"/>
    </row>
    <row r="27">
      <c r="B27" s="50" t="n"/>
      <c r="C27" s="51" t="n"/>
      <c r="D27" s="50" t="n"/>
      <c r="E27" s="52" t="n"/>
    </row>
    <row r="28">
      <c r="B28" s="23" t="n"/>
      <c r="C28" s="53" t="n"/>
      <c r="D28" s="23" t="n"/>
      <c r="E28" s="25" t="n"/>
    </row>
  </sheetData>
  <mergeCells count="2">
    <mergeCell ref="A2:E2"/>
    <mergeCell ref="A1:E1"/>
  </mergeCells>
  <dataValidations count="1">
    <dataValidation sqref="E5:E28" showDropDown="0" showInputMessage="0" showErrorMessage="0" allowBlank="1" type="list">
      <formula1>=UnitList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24" customWidth="1" min="4" max="4"/>
    <col width="2" customWidth="1" min="5" max="5"/>
  </cols>
  <sheetData>
    <row r="1" ht="46" customHeight="1">
      <c r="A1" s="1" t="inlineStr">
        <is>
          <t xml:space="preserve">  🚚  PACKAGING &amp; DELIVERY</t>
        </is>
      </c>
    </row>
    <row r="2" ht="22" customHeight="1">
      <c r="A2" s="2" t="inlineStr">
        <is>
          <t xml:space="preserve">  Containers, labels &amp; delivery — the real cost of getting a meal to the door.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Cost</t>
        </is>
      </c>
      <c r="D4" s="9" t="inlineStr">
        <is>
          <t>Notes</t>
        </is>
      </c>
    </row>
    <row r="5">
      <c r="B5" s="50" t="inlineStr">
        <is>
          <t>Meal container</t>
        </is>
      </c>
      <c r="C5" s="51" t="n">
        <v>0.42</v>
      </c>
      <c r="D5" s="50" t="inlineStr">
        <is>
          <t>3-compartment</t>
        </is>
      </c>
    </row>
    <row r="6">
      <c r="B6" s="23" t="inlineStr">
        <is>
          <t>Label + sleeve</t>
        </is>
      </c>
      <c r="C6" s="53" t="n">
        <v>0.13</v>
      </c>
      <c r="D6" s="23" t="inlineStr">
        <is>
          <t>Printed weekly</t>
        </is>
      </c>
    </row>
    <row r="7">
      <c r="B7" s="50" t="inlineStr">
        <is>
          <t>Insulated bag</t>
        </is>
      </c>
      <c r="C7" s="51" t="n">
        <v>1.2</v>
      </c>
      <c r="D7" s="50" t="inlineStr">
        <is>
          <t>Reusable</t>
        </is>
      </c>
    </row>
    <row r="8">
      <c r="B8" s="23" t="inlineStr">
        <is>
          <t>Ice pack</t>
        </is>
      </c>
      <c r="C8" s="53" t="n">
        <v>0.35</v>
      </c>
      <c r="D8" s="23" t="inlineStr">
        <is>
          <t>Per delivery</t>
        </is>
      </c>
    </row>
    <row r="9">
      <c r="B9" s="50" t="inlineStr">
        <is>
          <t>Delivery — Zone A</t>
        </is>
      </c>
      <c r="C9" s="51" t="n">
        <v>4</v>
      </c>
      <c r="D9" s="50" t="inlineStr">
        <is>
          <t>Local</t>
        </is>
      </c>
    </row>
    <row r="10">
      <c r="B10" s="23" t="inlineStr">
        <is>
          <t>Delivery — Zone B</t>
        </is>
      </c>
      <c r="C10" s="53" t="n">
        <v>6</v>
      </c>
      <c r="D10" s="23" t="inlineStr">
        <is>
          <t>Suburbs</t>
        </is>
      </c>
    </row>
    <row r="11">
      <c r="B11" s="50" t="n"/>
      <c r="C11" s="51" t="n"/>
      <c r="D11" s="50" t="n"/>
    </row>
    <row r="12">
      <c r="B12" s="23" t="n"/>
      <c r="C12" s="53" t="n"/>
      <c r="D12" s="23" t="n"/>
    </row>
    <row r="13">
      <c r="B13" s="50" t="n"/>
      <c r="C13" s="51" t="n"/>
      <c r="D13" s="50" t="n"/>
    </row>
    <row r="14">
      <c r="B14" s="23" t="n"/>
      <c r="C14" s="53" t="n"/>
      <c r="D14" s="23" t="n"/>
    </row>
    <row r="15">
      <c r="B15" s="50" t="n"/>
      <c r="C15" s="51" t="n"/>
      <c r="D15" s="50" t="n"/>
    </row>
    <row r="16">
      <c r="B16" s="23" t="n"/>
      <c r="C16" s="53" t="n"/>
      <c r="D16" s="23" t="n"/>
    </row>
    <row r="17">
      <c r="B17" s="50" t="n"/>
      <c r="C17" s="51" t="n"/>
      <c r="D17" s="50" t="n"/>
    </row>
    <row r="18">
      <c r="B18" s="23" t="n"/>
      <c r="C18" s="53" t="n"/>
      <c r="D18" s="23" t="n"/>
    </row>
    <row r="19">
      <c r="B19" s="50" t="n"/>
      <c r="C19" s="51" t="n"/>
      <c r="D19" s="50" t="n"/>
    </row>
    <row r="20">
      <c r="B20" s="23" t="n"/>
      <c r="C20" s="53" t="n"/>
      <c r="D20" s="23" t="n"/>
    </row>
    <row r="21">
      <c r="B21" s="50" t="n"/>
      <c r="C21" s="51" t="n"/>
      <c r="D21" s="50" t="n"/>
    </row>
    <row r="22">
      <c r="B22" s="23" t="n"/>
      <c r="C22" s="53" t="n"/>
      <c r="D22" s="23" t="n"/>
    </row>
    <row r="23">
      <c r="B23" s="50" t="n"/>
      <c r="C23" s="51" t="n"/>
      <c r="D23" s="50" t="n"/>
    </row>
    <row r="24">
      <c r="B24" s="23" t="n"/>
      <c r="C24" s="53" t="n"/>
      <c r="D24" s="23" t="n"/>
    </row>
    <row r="25">
      <c r="B25" s="50" t="n"/>
      <c r="C25" s="51" t="n"/>
      <c r="D25" s="50" t="n"/>
    </row>
    <row r="26">
      <c r="B26" s="23" t="n"/>
      <c r="C26" s="53" t="n"/>
      <c r="D26" s="23" t="n"/>
    </row>
    <row r="27">
      <c r="B27" s="50" t="n"/>
      <c r="C27" s="51" t="n"/>
      <c r="D27" s="50" t="n"/>
    </row>
    <row r="28">
      <c r="B28" s="23" t="n"/>
      <c r="C28" s="53" t="n"/>
      <c r="D28" s="23" t="n"/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12" customWidth="1" min="4" max="4"/>
    <col width="16" customWidth="1" min="5" max="5"/>
    <col width="2" customWidth="1" min="6" max="6"/>
  </cols>
  <sheetData>
    <row r="1" ht="46" customHeight="1">
      <c r="A1" s="1" t="inlineStr">
        <is>
          <t xml:space="preserve">  📋  WEEKLY ORDERS</t>
        </is>
      </c>
    </row>
    <row r="2" ht="22" customHeight="1">
      <c r="A2" s="2" t="inlineStr">
        <is>
          <t xml:space="preserve">  This week's deliveries — who gets what, how many meals &amp; which day.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Client</t>
        </is>
      </c>
      <c r="C4" s="9" t="inlineStr">
        <is>
          <t>Plan</t>
        </is>
      </c>
      <c r="D4" s="9" t="inlineStr">
        <is>
          <t>Meals</t>
        </is>
      </c>
      <c r="E4" s="9" t="inlineStr">
        <is>
          <t>Delivery Day</t>
        </is>
      </c>
    </row>
    <row r="5">
      <c r="B5" s="20" t="inlineStr">
        <is>
          <t>Alex P.</t>
        </is>
      </c>
      <c r="C5" s="20" t="inlineStr">
        <is>
          <t>10 meals / week</t>
        </is>
      </c>
      <c r="D5" s="32" t="n">
        <v>10</v>
      </c>
      <c r="E5" s="22" t="inlineStr">
        <is>
          <t>Sunday</t>
        </is>
      </c>
    </row>
    <row r="6">
      <c r="B6" s="23" t="inlineStr">
        <is>
          <t>Bri T.</t>
        </is>
      </c>
      <c r="C6" s="23" t="inlineStr">
        <is>
          <t>5 meals / week</t>
        </is>
      </c>
      <c r="D6" s="36" t="n">
        <v>5</v>
      </c>
      <c r="E6" s="25" t="inlineStr">
        <is>
          <t>Sunday</t>
        </is>
      </c>
    </row>
    <row r="7">
      <c r="B7" s="20" t="inlineStr">
        <is>
          <t>Chris L.</t>
        </is>
      </c>
      <c r="C7" s="20" t="inlineStr">
        <is>
          <t>21 meals / week</t>
        </is>
      </c>
      <c r="D7" s="32" t="n">
        <v>21</v>
      </c>
      <c r="E7" s="22" t="inlineStr">
        <is>
          <t>Monday</t>
        </is>
      </c>
    </row>
    <row r="8">
      <c r="B8" s="23" t="inlineStr">
        <is>
          <t>Dana W.</t>
        </is>
      </c>
      <c r="C8" s="23" t="inlineStr">
        <is>
          <t>15 meals / week</t>
        </is>
      </c>
      <c r="D8" s="36" t="n">
        <v>15</v>
      </c>
      <c r="E8" s="25" t="inlineStr">
        <is>
          <t>Sunday</t>
        </is>
      </c>
    </row>
    <row r="9">
      <c r="B9" s="20" t="inlineStr">
        <is>
          <t>Evan R.</t>
        </is>
      </c>
      <c r="C9" s="20" t="inlineStr">
        <is>
          <t>10 meals / week</t>
        </is>
      </c>
      <c r="D9" s="32" t="n">
        <v>10</v>
      </c>
      <c r="E9" s="22" t="inlineStr">
        <is>
          <t>Monday</t>
        </is>
      </c>
    </row>
    <row r="10">
      <c r="B10" s="23" t="inlineStr">
        <is>
          <t>Faye M.</t>
        </is>
      </c>
      <c r="C10" s="23" t="inlineStr">
        <is>
          <t>5 meals / week</t>
        </is>
      </c>
      <c r="D10" s="36" t="n">
        <v>5</v>
      </c>
      <c r="E10" s="25" t="inlineStr">
        <is>
          <t>Sunday</t>
        </is>
      </c>
    </row>
    <row r="11">
      <c r="B11" s="9" t="inlineStr">
        <is>
          <t>THIS WEEK</t>
        </is>
      </c>
      <c r="C11" s="43" t="n"/>
      <c r="D11" s="42">
        <f>SUM(D5:D10)</f>
        <v/>
      </c>
      <c r="E11" s="43" t="n"/>
    </row>
  </sheetData>
  <mergeCells count="2">
    <mergeCell ref="A2:E2"/>
    <mergeCell ref="A1:E1"/>
  </mergeCells>
  <dataValidations count="6">
    <dataValidation sqref="C5" showDropDown="0" showInputMessage="0" showErrorMessage="0" allowBlank="1" type="list">
      <formula1>=PlanList</formula1>
    </dataValidation>
    <dataValidation sqref="C6" showDropDown="0" showInputMessage="0" showErrorMessage="0" allowBlank="1" type="list">
      <formula1>=PlanList</formula1>
    </dataValidation>
    <dataValidation sqref="C7" showDropDown="0" showInputMessage="0" showErrorMessage="0" allowBlank="1" type="list">
      <formula1>=PlanList</formula1>
    </dataValidation>
    <dataValidation sqref="C8" showDropDown="0" showInputMessage="0" showErrorMessage="0" allowBlank="1" type="list">
      <formula1>=PlanList</formula1>
    </dataValidation>
    <dataValidation sqref="C9" showDropDown="0" showInputMessage="0" showErrorMessage="0" allowBlank="1" type="list">
      <formula1>=PlanList</formula1>
    </dataValidation>
    <dataValidation sqref="C10" showDropDown="0" showInputMessage="0" showErrorMessage="0" allowBlank="1" type="list">
      <formula1>=PlanList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26" customWidth="1" min="2" max="2"/>
    <col width="24" customWidth="1" min="3" max="3"/>
    <col width="14" customWidth="1" min="4" max="4"/>
    <col width="2" customWidth="1" min="5" max="5"/>
  </cols>
  <sheetData>
    <row r="1" ht="46" customHeight="1">
      <c r="A1" s="1" t="inlineStr">
        <is>
          <t xml:space="preserve">  🗑  WASTE LOG</t>
        </is>
      </c>
    </row>
    <row r="2" ht="22" customHeight="1">
      <c r="A2" s="2" t="inlineStr">
        <is>
          <t xml:space="preserve">  Over-prep, cancels &amp; spoilage — the leaks that eat your meal margin.</t>
        </is>
      </c>
    </row>
    <row r="3" ht="6" customHeight="1">
      <c r="A3" s="3" t="n"/>
      <c r="B3" s="3" t="n"/>
      <c r="C3" s="3" t="n"/>
      <c r="D3" s="3" t="n"/>
    </row>
    <row r="4" ht="30" customHeight="1">
      <c r="B4" s="9" t="inlineStr">
        <is>
          <t>Item</t>
        </is>
      </c>
      <c r="C4" s="9" t="inlineStr">
        <is>
          <t>Reason</t>
        </is>
      </c>
      <c r="D4" s="9" t="inlineStr">
        <is>
          <t>Cost</t>
        </is>
      </c>
    </row>
    <row r="5">
      <c r="B5" s="50" t="inlineStr">
        <is>
          <t>Over-prep</t>
        </is>
      </c>
      <c r="C5" s="50" t="inlineStr">
        <is>
          <t>Batch surplus</t>
        </is>
      </c>
      <c r="D5" s="51" t="n">
        <v>160</v>
      </c>
    </row>
    <row r="6">
      <c r="B6" s="23" t="inlineStr">
        <is>
          <t>Cancelled orders</t>
        </is>
      </c>
      <c r="C6" s="23" t="inlineStr">
        <is>
          <t>Late cancel</t>
        </is>
      </c>
      <c r="D6" s="53" t="n">
        <v>120</v>
      </c>
    </row>
    <row r="7">
      <c r="B7" s="50" t="inlineStr">
        <is>
          <t>Spoiled produce</t>
        </is>
      </c>
      <c r="C7" s="50" t="inlineStr">
        <is>
          <t>Cold-chain</t>
        </is>
      </c>
      <c r="D7" s="51" t="n">
        <v>90</v>
      </c>
    </row>
    <row r="8">
      <c r="B8" s="23" t="inlineStr">
        <is>
          <t>Remakes</t>
        </is>
      </c>
      <c r="C8" s="23" t="inlineStr">
        <is>
          <t>Order error</t>
        </is>
      </c>
      <c r="D8" s="53" t="n">
        <v>60</v>
      </c>
    </row>
    <row r="9">
      <c r="B9" s="50" t="n"/>
      <c r="C9" s="50" t="n"/>
      <c r="D9" s="51" t="n"/>
    </row>
    <row r="10">
      <c r="B10" s="23" t="n"/>
      <c r="C10" s="23" t="n"/>
      <c r="D10" s="53" t="n"/>
    </row>
    <row r="11">
      <c r="B11" s="50" t="n"/>
      <c r="C11" s="50" t="n"/>
      <c r="D11" s="51" t="n"/>
    </row>
    <row r="12">
      <c r="B12" s="23" t="n"/>
      <c r="C12" s="23" t="n"/>
      <c r="D12" s="53" t="n"/>
    </row>
    <row r="13">
      <c r="B13" s="50" t="n"/>
      <c r="C13" s="50" t="n"/>
      <c r="D13" s="51" t="n"/>
    </row>
    <row r="14">
      <c r="B14" s="23" t="n"/>
      <c r="C14" s="23" t="n"/>
      <c r="D14" s="53" t="n"/>
    </row>
    <row r="15">
      <c r="B15" s="50" t="n"/>
      <c r="C15" s="50" t="n"/>
      <c r="D15" s="51" t="n"/>
    </row>
    <row r="16">
      <c r="B16" s="23" t="n"/>
      <c r="C16" s="23" t="n"/>
      <c r="D16" s="53" t="n"/>
    </row>
    <row r="17">
      <c r="B17" s="50" t="n"/>
      <c r="C17" s="50" t="n"/>
      <c r="D17" s="51" t="n"/>
    </row>
    <row r="18">
      <c r="B18" s="23" t="n"/>
      <c r="C18" s="23" t="n"/>
      <c r="D18" s="53" t="n"/>
    </row>
    <row r="19">
      <c r="B19" s="50" t="n"/>
      <c r="C19" s="50" t="n"/>
      <c r="D19" s="51" t="n"/>
    </row>
    <row r="20">
      <c r="B20" s="23" t="n"/>
      <c r="C20" s="23" t="n"/>
      <c r="D20" s="53" t="n"/>
    </row>
    <row r="21">
      <c r="B21" s="50" t="n"/>
      <c r="C21" s="50" t="n"/>
      <c r="D21" s="51" t="n"/>
    </row>
    <row r="22">
      <c r="B22" s="23" t="n"/>
      <c r="C22" s="23" t="n"/>
      <c r="D22" s="53" t="n"/>
    </row>
    <row r="23">
      <c r="B23" s="50" t="n"/>
      <c r="C23" s="50" t="n"/>
      <c r="D23" s="51" t="n"/>
    </row>
    <row r="24">
      <c r="B24" s="23" t="n"/>
      <c r="C24" s="23" t="n"/>
      <c r="D24" s="53" t="n"/>
    </row>
    <row r="25">
      <c r="B25" s="50" t="n"/>
      <c r="C25" s="50" t="n"/>
      <c r="D25" s="51" t="n"/>
    </row>
    <row r="26">
      <c r="B26" s="23" t="n"/>
      <c r="C26" s="23" t="n"/>
      <c r="D26" s="53" t="n"/>
    </row>
    <row r="27">
      <c r="B27" s="50" t="n"/>
      <c r="C27" s="50" t="n"/>
      <c r="D27" s="51" t="n"/>
    </row>
    <row r="28">
      <c r="B28" s="23" t="n"/>
      <c r="C28" s="23" t="n"/>
      <c r="D28" s="53" t="n"/>
    </row>
    <row r="29">
      <c r="B29" s="9" t="inlineStr">
        <is>
          <t>TOTAL WASTE</t>
        </is>
      </c>
      <c r="C29" s="43" t="n"/>
      <c r="D29" s="54">
        <f>SUM(WasteCost)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6" customWidth="1" min="3" max="3"/>
    <col width="2" customWidth="1" min="4" max="4"/>
  </cols>
  <sheetData>
    <row r="1" ht="46" customHeight="1">
      <c r="A1" s="1" t="inlineStr">
        <is>
          <t xml:space="preserve">  💰  INCOME &amp; EXPENSES</t>
        </is>
      </c>
    </row>
    <row r="2" ht="22" customHeight="1">
      <c r="A2" s="2" t="inlineStr">
        <is>
          <t xml:space="preserve">  Monthly books — recurring revenue in, costs out, and the profit that's really yours.</t>
        </is>
      </c>
    </row>
    <row r="3" ht="6" customHeight="1">
      <c r="A3" s="3" t="n"/>
      <c r="B3" s="3" t="n"/>
      <c r="C3" s="3" t="n"/>
    </row>
    <row r="5">
      <c r="B5" s="4" t="inlineStr">
        <is>
          <t>INCOME</t>
        </is>
      </c>
    </row>
    <row r="6">
      <c r="B6" s="20" t="inlineStr">
        <is>
          <t>Monthly recurring revenue</t>
        </is>
      </c>
      <c r="C6" s="44">
        <f>MRR</f>
        <v/>
      </c>
    </row>
    <row r="8">
      <c r="B8" s="4" t="inlineStr">
        <is>
          <t>EXPENSES</t>
        </is>
      </c>
    </row>
    <row r="9" ht="30" customHeight="1">
      <c r="B9" s="9" t="inlineStr">
        <is>
          <t>Expense</t>
        </is>
      </c>
      <c r="C9" s="9" t="inlineStr">
        <is>
          <t>Amount</t>
        </is>
      </c>
    </row>
    <row r="10">
      <c r="B10" s="20" t="inlineStr">
        <is>
          <t>Ingredients</t>
        </is>
      </c>
      <c r="C10" s="33" t="n">
        <v>5542</v>
      </c>
    </row>
    <row r="11">
      <c r="B11" s="23" t="inlineStr">
        <is>
          <t>Packaging</t>
        </is>
      </c>
      <c r="C11" s="37" t="n">
        <v>953</v>
      </c>
    </row>
    <row r="12">
      <c r="B12" s="20" t="inlineStr">
        <is>
          <t>Kitchen labor</t>
        </is>
      </c>
      <c r="C12" s="33" t="n">
        <v>2165</v>
      </c>
    </row>
    <row r="13">
      <c r="B13" s="23" t="inlineStr">
        <is>
          <t>Delivery &amp; fuel</t>
        </is>
      </c>
      <c r="C13" s="37" t="n">
        <v>1200</v>
      </c>
    </row>
    <row r="14">
      <c r="B14" s="20" t="inlineStr">
        <is>
          <t>Overhead &amp; marketing</t>
        </is>
      </c>
      <c r="C14" s="33" t="n">
        <v>1300</v>
      </c>
    </row>
    <row r="15">
      <c r="B15" s="9" t="inlineStr">
        <is>
          <t>TOTAL EXPENSES</t>
        </is>
      </c>
      <c r="C15" s="55">
        <f>SUM(ExpAmt)</f>
        <v/>
      </c>
    </row>
    <row r="17">
      <c r="B17" s="9">
        <f> MONTHLY PROFIT</f>
        <v/>
      </c>
      <c r="C17" s="56">
        <f>TotalIncome-ExpTotal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4" customWidth="1" min="5" max="5"/>
    <col width="2" customWidth="1" min="6" max="6"/>
  </cols>
  <sheetData>
    <row r="1" ht="46" customHeight="1">
      <c r="A1" s="1" t="inlineStr">
        <is>
          <t xml:space="preserve">  📈  MONTHLY SUMMARY</t>
        </is>
      </c>
    </row>
    <row r="2" ht="22" customHeight="1">
      <c r="A2" s="2" t="inlineStr">
        <is>
          <t xml:space="preserve">  MRR, expenses &amp; profit by month — watch your recurring revenue compound.</t>
        </is>
      </c>
    </row>
    <row r="3" ht="6" customHeight="1">
      <c r="A3" s="3" t="n"/>
      <c r="B3" s="3" t="n"/>
      <c r="C3" s="3" t="n"/>
      <c r="D3" s="3" t="n"/>
      <c r="E3" s="3" t="n"/>
    </row>
    <row r="4" ht="30" customHeight="1">
      <c r="B4" s="9" t="inlineStr">
        <is>
          <t>Month</t>
        </is>
      </c>
      <c r="C4" s="9" t="inlineStr">
        <is>
          <t>MRR</t>
        </is>
      </c>
      <c r="D4" s="9" t="inlineStr">
        <is>
          <t>Expenses</t>
        </is>
      </c>
      <c r="E4" s="9" t="inlineStr">
        <is>
          <t>Profit</t>
        </is>
      </c>
    </row>
    <row r="5">
      <c r="B5" s="20" t="inlineStr">
        <is>
          <t>Jul</t>
        </is>
      </c>
      <c r="C5" s="33" t="n">
        <v>13200</v>
      </c>
      <c r="D5" s="33" t="n">
        <v>9400</v>
      </c>
      <c r="E5" s="35">
        <f>C5-D5</f>
        <v/>
      </c>
    </row>
    <row r="6">
      <c r="B6" s="23" t="inlineStr">
        <is>
          <t>Aug</t>
        </is>
      </c>
      <c r="C6" s="37" t="n">
        <v>14800</v>
      </c>
      <c r="D6" s="37" t="n">
        <v>10100</v>
      </c>
      <c r="E6" s="39">
        <f>C6-D6</f>
        <v/>
      </c>
    </row>
    <row r="7">
      <c r="B7" s="20" t="inlineStr">
        <is>
          <t>Sep</t>
        </is>
      </c>
      <c r="C7" s="33" t="n">
        <v>17900</v>
      </c>
      <c r="D7" s="33" t="n">
        <v>11160</v>
      </c>
      <c r="E7" s="35">
        <f>C7-D7</f>
        <v/>
      </c>
    </row>
    <row r="8">
      <c r="B8" s="23" t="inlineStr">
        <is>
          <t>Oct</t>
        </is>
      </c>
      <c r="C8" s="37" t="n">
        <v>20400</v>
      </c>
      <c r="D8" s="37" t="n">
        <v>12200</v>
      </c>
      <c r="E8" s="39">
        <f>C8-D8</f>
        <v/>
      </c>
    </row>
    <row r="9">
      <c r="B9" s="20" t="inlineStr">
        <is>
          <t>Nov</t>
        </is>
      </c>
      <c r="C9" s="33" t="n">
        <v>23600</v>
      </c>
      <c r="D9" s="33" t="n">
        <v>13800</v>
      </c>
      <c r="E9" s="35">
        <f>C9-D9</f>
        <v/>
      </c>
    </row>
    <row r="10">
      <c r="B10" s="23" t="inlineStr">
        <is>
          <t>Dec</t>
        </is>
      </c>
      <c r="C10" s="37" t="n">
        <v>26000</v>
      </c>
      <c r="D10" s="37" t="n">
        <v>14900</v>
      </c>
      <c r="E10" s="39">
        <f>C10-D10</f>
        <v/>
      </c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20" customWidth="1" min="3" max="3"/>
    <col width="3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46" customHeight="1">
      <c r="A1" s="1" t="inlineStr">
        <is>
          <t xml:space="preserve">  ⚙  SETTINGS</t>
        </is>
      </c>
    </row>
    <row r="2" ht="22" customHeight="1">
      <c r="A2" s="2" t="inlineStr">
        <is>
          <t xml:space="preserve">  Set your targets &amp; lists once — every tab follows.</t>
        </is>
      </c>
    </row>
    <row r="3" ht="6" customHeight="1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5">
      <c r="B5" s="7" t="inlineStr">
        <is>
          <t>YOUR TARGETS</t>
        </is>
      </c>
      <c r="E5" s="4" t="inlineStr">
        <is>
          <t>DROPDOWN LISTS</t>
        </is>
      </c>
    </row>
    <row r="6">
      <c r="B6" s="30" t="inlineStr">
        <is>
          <t>Business name</t>
        </is>
      </c>
      <c r="C6" s="57" t="inlineStr">
        <is>
          <t>Fresh Fuel Co.</t>
        </is>
      </c>
      <c r="E6" s="9" t="inlineStr">
        <is>
          <t>Unit</t>
        </is>
      </c>
      <c r="F6" s="9" t="inlineStr">
        <is>
          <t>Plan</t>
        </is>
      </c>
      <c r="G6" s="9" t="inlineStr">
        <is>
          <t>Status</t>
        </is>
      </c>
      <c r="H6" s="9" t="inlineStr">
        <is>
          <t>Yes / No</t>
        </is>
      </c>
    </row>
    <row r="7">
      <c r="B7" s="30" t="inlineStr">
        <is>
          <t>Owner</t>
        </is>
      </c>
      <c r="C7" s="57" t="inlineStr">
        <is>
          <t>Kai</t>
        </is>
      </c>
      <c r="E7" s="20" t="inlineStr">
        <is>
          <t>each</t>
        </is>
      </c>
      <c r="F7" s="20" t="inlineStr">
        <is>
          <t>5 meals / week</t>
        </is>
      </c>
      <c r="G7" s="20" t="inlineStr">
        <is>
          <t>Active</t>
        </is>
      </c>
      <c r="H7" s="20" t="inlineStr">
        <is>
          <t>Yes</t>
        </is>
      </c>
    </row>
    <row r="8">
      <c r="B8" s="30" t="inlineStr">
        <is>
          <t>Target food-cost %</t>
        </is>
      </c>
      <c r="C8" s="58" t="n">
        <v>0.35</v>
      </c>
      <c r="E8" s="20" t="inlineStr">
        <is>
          <t>lb</t>
        </is>
      </c>
      <c r="F8" s="20" t="inlineStr">
        <is>
          <t>10 meals / week</t>
        </is>
      </c>
      <c r="G8" s="20" t="inlineStr">
        <is>
          <t>Paused</t>
        </is>
      </c>
      <c r="H8" s="20" t="inlineStr">
        <is>
          <t>No</t>
        </is>
      </c>
    </row>
    <row r="9">
      <c r="B9" s="30" t="inlineStr">
        <is>
          <t>Margin goal %</t>
        </is>
      </c>
      <c r="C9" s="58" t="n">
        <v>0.5</v>
      </c>
      <c r="E9" s="20" t="inlineStr">
        <is>
          <t>oz</t>
        </is>
      </c>
      <c r="F9" s="20" t="inlineStr">
        <is>
          <t>15 meals / week</t>
        </is>
      </c>
      <c r="G9" s="20" t="inlineStr">
        <is>
          <t>New</t>
        </is>
      </c>
    </row>
    <row r="10">
      <c r="B10" s="30" t="inlineStr">
        <is>
          <t>Subscriber goal</t>
        </is>
      </c>
      <c r="C10" s="32" t="n">
        <v>45</v>
      </c>
      <c r="E10" s="20" t="inlineStr">
        <is>
          <t>case</t>
        </is>
      </c>
      <c r="F10" s="20" t="inlineStr">
        <is>
          <t>21 meals / week</t>
        </is>
      </c>
      <c r="G10" s="20" t="inlineStr">
        <is>
          <t>Cancelled</t>
        </is>
      </c>
    </row>
    <row r="11">
      <c r="B11" s="30" t="inlineStr">
        <is>
          <t>Monthly profit goal</t>
        </is>
      </c>
      <c r="C11" s="33" t="n">
        <v>6000</v>
      </c>
      <c r="E11" s="20" t="inlineStr">
        <is>
          <t>tray</t>
        </is>
      </c>
    </row>
    <row r="12">
      <c r="B12" s="30" t="inlineStr">
        <is>
          <t>Waste limit %</t>
        </is>
      </c>
      <c r="C12" s="58" t="n">
        <v>0.04</v>
      </c>
      <c r="E12" s="20" t="inlineStr">
        <is>
          <t>gallon</t>
        </is>
      </c>
    </row>
    <row r="13">
      <c r="B13" s="30" t="inlineStr">
        <is>
          <t>Currency</t>
        </is>
      </c>
      <c r="C13" s="57" t="inlineStr">
        <is>
          <t>USD ($)</t>
        </is>
      </c>
      <c r="E13" s="20" t="inlineStr">
        <is>
          <t>bag</t>
        </is>
      </c>
    </row>
    <row r="14">
      <c r="E14" s="20" t="inlineStr">
        <is>
          <t>meal</t>
        </is>
      </c>
    </row>
  </sheetData>
  <mergeCells count="4">
    <mergeCell ref="A1:J1"/>
    <mergeCell ref="B5:C5"/>
    <mergeCell ref="E5:J5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2026-07-22T18:52:44Z</dcterms:created>
  <dcterms:modified xsi:type="dcterms:W3CDTF">2026-07-22T18:52:44Z</dcterms:modified>
</cp:coreProperties>
</file>