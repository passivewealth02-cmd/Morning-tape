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Cup Cost" sheetId="3" state="visible" r:id="rId3"/>
    <sheet name="Menu Board" sheetId="4" state="visible" r:id="rId4"/>
    <sheet name="Daypart Sales" sheetId="5" state="visible" r:id="rId5"/>
    <sheet name="Weekly Sales" sheetId="6" state="visible" r:id="rId6"/>
    <sheet name="Labor &amp; Prime" sheetId="7" state="visible" r:id="rId7"/>
    <sheet name="Bean &amp; Milk" sheetId="8" state="visible" r:id="rId8"/>
    <sheet name="Inventory &amp; Par" sheetId="9" state="visible" r:id="rId9"/>
    <sheet name="Waste Log" sheetId="10" state="visible" r:id="rId10"/>
    <sheet name="Ordering" sheetId="11" state="visible" r:id="rId11"/>
    <sheet name="Cash &amp; Tips" sheetId="12" state="visible" r:id="rId12"/>
    <sheet name="Regulars" sheetId="13" state="visible" r:id="rId13"/>
    <sheet name="Settings" sheetId="14" state="visible" r:id="rId14"/>
  </sheets>
  <definedNames>
    <definedName name="Cafe">Settings!$C$6</definedName>
    <definedName name="Owner">Settings!$C$7</definedName>
    <definedName name="TargetBev">Settings!$C$8</definedName>
    <definedName name="TargetLabor">Settings!$C$9</definedName>
    <definedName name="TicketGoal">Settings!$C$10</definedName>
    <definedName name="Currency">Settings!$C$11</definedName>
    <definedName name="UnitList">Settings!$E$7:$E$14</definedName>
    <definedName name="CatList">Settings!$F$7:$F$13</definedName>
    <definedName name="RoleList">Settings!$G$7:$G$11</definedName>
    <definedName name="YesNoList">Settings!$H$7:$H$8</definedName>
    <definedName name="LatteCost">'Cup Cost'!$F$12</definedName>
    <definedName name="MenuItem">'Menu Board'!$B$5:$B$14</definedName>
    <definedName name="MenuCost">'Menu Board'!$D$5:$D$14</definedName>
    <definedName name="MenuPrice">'Menu Board'!$E$5:$E$14</definedName>
    <definedName name="MenuUnits">'Menu Board'!$F$5:$F$14</definedName>
    <definedName name="MenuMargin">'Menu Board'!$H$5:$H$14</definedName>
    <definedName name="BevCostPct">'Menu Board'!$D$16</definedName>
    <definedName name="DaypartName">'Daypart Sales'!$B$5:$B$7</definedName>
    <definedName name="DaypartSales">'Daypart Sales'!$D$5:$D$7</definedName>
    <definedName name="DayTotal">'Daypart Sales'!$D$8</definedName>
    <definedName name="TxnTotal">'Daypart Sales'!$C$8</definedName>
    <definedName name="WeekSalesTotal">'Weekly Sales'!$C$12</definedName>
    <definedName name="LaborTotal">'Labor &amp; Prime'!$C$12</definedName>
    <definedName name="LaborPct">'Labor &amp; Prime'!$E$12</definedName>
    <definedName name="PrimeCost">'Labor &amp; Prime'!$E$14</definedName>
    <definedName name="UsageCost">'Bean &amp; Milk'!$E$5:$E$24</definedName>
    <definedName name="WasteCost">'Waste Log'!$D$5:$D$28</definedName>
    <definedName name="WasteTotal">'Waste Log'!$D$29</definedName>
    <definedName name="OrderCost">'Ordering'!$E$5:$E$28</definedName>
    <definedName name="TipsTotal">'Cash &amp; Tips'!$E$12</definedName>
    <definedName name="RegSpend">'Regulars'!$E$5:$E$9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##"/>
    <numFmt numFmtId="166" formatCode="&quot;$&quot;#,##0.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C94C4C"/>
    </font>
    <font>
      <b val="1"/>
      <color rgb="001B4F48"/>
      <sz val="13"/>
    </font>
    <font>
      <b val="1"/>
      <color rgb="00937356"/>
      <sz val="9"/>
    </font>
    <font>
      <b val="1"/>
      <color rgb="001B4F48"/>
      <sz val="18"/>
    </font>
    <font>
      <b val="1"/>
      <color rgb="001B4F48"/>
      <sz val="12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2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9" borderId="3" applyAlignment="1" pivotButton="0" quotePrefix="0" xfId="0">
      <alignment horizontal="center" vertical="center"/>
    </xf>
    <xf numFmtId="0" fontId="0" fillId="9" borderId="3" pivotButton="0" quotePrefix="0" xfId="0"/>
    <xf numFmtId="3" fontId="14" fillId="9" borderId="2" applyAlignment="1" pivotButton="0" quotePrefix="0" xfId="0">
      <alignment horizontal="center" vertical="center"/>
    </xf>
    <xf numFmtId="0" fontId="0" fillId="9" borderId="2" pivotButton="0" quotePrefix="0" xfId="0"/>
    <xf numFmtId="167" fontId="14" fillId="9" borderId="2" applyAlignment="1" pivotButton="0" quotePrefix="0" xfId="0">
      <alignment horizontal="center" vertical="center"/>
    </xf>
    <xf numFmtId="9" fontId="14" fillId="9" borderId="2" applyAlignment="1" pivotButton="0" quotePrefix="0" xfId="0">
      <alignment horizontal="center" vertical="center"/>
    </xf>
    <xf numFmtId="164" fontId="14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10" fillId="0" borderId="0" pivotButton="0" quotePrefix="0" xfId="0"/>
    <xf numFmtId="165" fontId="7" fillId="3" borderId="2" applyAlignment="1" pivotButton="0" quotePrefix="0" xfId="8">
      <alignment horizontal="center" vertical="center"/>
    </xf>
    <xf numFmtId="166" fontId="7" fillId="3" borderId="2" applyAlignment="1" pivotButton="0" quotePrefix="0" xfId="8">
      <alignment horizontal="center" vertical="center"/>
    </xf>
    <xf numFmtId="166" fontId="6" fillId="0" borderId="2" applyAlignment="1" pivotButton="0" quotePrefix="0" xfId="6">
      <alignment horizontal="center" vertical="center" wrapText="1"/>
    </xf>
    <xf numFmtId="165" fontId="7" fillId="8" borderId="2" applyAlignment="1" pivotButton="0" quotePrefix="0" xfId="8">
      <alignment horizontal="center" vertical="center"/>
    </xf>
    <xf numFmtId="166" fontId="7" fillId="8" borderId="2" applyAlignment="1" pivotButton="0" quotePrefix="0" xfId="8">
      <alignment horizontal="center" vertical="center"/>
    </xf>
    <xf numFmtId="166" fontId="6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7" fontId="10" fillId="6" borderId="2" applyAlignment="1" pivotButton="0" quotePrefix="0" xfId="6">
      <alignment horizontal="center" vertical="center" wrapText="1"/>
    </xf>
    <xf numFmtId="167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67" fontId="6" fillId="0" borderId="2" applyAlignment="1" pivotButton="0" quotePrefix="0" xfId="6">
      <alignment horizontal="center" vertical="center" wrapText="1"/>
    </xf>
    <xf numFmtId="167" fontId="7" fillId="8" borderId="2" applyAlignment="1" pivotButton="0" quotePrefix="0" xfId="8">
      <alignment horizontal="center" vertical="center"/>
    </xf>
    <xf numFmtId="3" fontId="7" fillId="8" borderId="2" applyAlignment="1" pivotButton="0" quotePrefix="0" xfId="8">
      <alignment horizontal="center" vertical="center"/>
    </xf>
    <xf numFmtId="167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164" fontId="7" fillId="8" borderId="2" applyAlignment="1" pivotButton="0" quotePrefix="0" xfId="8">
      <alignment horizontal="center" vertical="center"/>
    </xf>
    <xf numFmtId="3" fontId="10" fillId="3" borderId="2" applyAlignment="1" pivotButton="0" quotePrefix="0" xfId="6">
      <alignment horizontal="center" vertical="center" wrapText="1"/>
    </xf>
    <xf numFmtId="164" fontId="10" fillId="3" borderId="2" applyAlignment="1" pivotButton="0" quotePrefix="0" xfId="6">
      <alignment horizontal="center" vertical="center" wrapText="1"/>
    </xf>
    <xf numFmtId="167" fontId="10" fillId="3" borderId="2" applyAlignment="1" pivotButton="0" quotePrefix="0" xfId="6">
      <alignment horizontal="center" vertical="center" wrapText="1"/>
    </xf>
    <xf numFmtId="9" fontId="11" fillId="3" borderId="2" applyAlignment="1" pivotButton="0" quotePrefix="0" xfId="6">
      <alignment horizontal="center" vertical="center" wrapText="1"/>
    </xf>
    <xf numFmtId="9" fontId="12" fillId="6" borderId="2" applyAlignment="1" pivotButton="0" quotePrefix="0" xfId="10">
      <alignment horizontal="left" vertical="center" indent="1"/>
    </xf>
    <xf numFmtId="0" fontId="6" fillId="9" borderId="2" applyAlignment="1" pivotButton="0" quotePrefix="0" xfId="7">
      <alignment horizontal="left" vertical="center" wrapText="1" indent="1"/>
    </xf>
    <xf numFmtId="3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3" fontId="10" fillId="0" borderId="2" applyAlignment="1" pivotButton="0" quotePrefix="0" xfId="6">
      <alignment horizontal="center" vertical="center" wrapText="1"/>
    </xf>
    <xf numFmtId="3" fontId="10" fillId="8" borderId="2" applyAlignment="1" pivotButton="0" quotePrefix="0" xfId="6">
      <alignment horizontal="center" vertical="center" wrapText="1"/>
    </xf>
    <xf numFmtId="167" fontId="11" fillId="3" borderId="2" applyAlignment="1" pivotButton="0" quotePrefix="0" xfId="6">
      <alignment horizontal="center" vertical="center" wrapText="1"/>
    </xf>
    <xf numFmtId="164" fontId="10" fillId="0" borderId="2" applyAlignment="1" pivotButton="0" quotePrefix="0" xfId="6">
      <alignment horizontal="center" vertical="center" wrapText="1"/>
    </xf>
    <xf numFmtId="164" fontId="10" fillId="8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dxfs count="1"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Daypart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'Daypart Sales'!$B$5:$B$7</f>
            </numRef>
          </cat>
          <val>
            <numRef>
              <f>'Daypart Sales'!$D$5:$D$7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Daypart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'Daypart Sales'!$B$5:$B$7</f>
            </numRef>
          </cat>
          <val>
            <numRef>
              <f>'Daypart Sales'!$D$5:$D$7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'Weekly Sales'!$B$5:$B$11</f>
            </numRef>
          </cat>
          <val>
            <numRef>
              <f>'Weekly Sales'!$C$5:$C$11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324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☕  CAFE &amp; COFFEE SHOP COMMAND CENTER™</t>
        </is>
      </c>
    </row>
    <row r="2" ht="24" customHeight="1">
      <c r="A2" s="2" t="inlineStr">
        <is>
          <t xml:space="preserve">  Cost every cup, watch your prime cost &amp; pour more profit.</t>
        </is>
      </c>
    </row>
    <row r="3" ht="6" customHeight="1">
      <c r="A3" s="3" t="n"/>
      <c r="B3" s="3" t="n"/>
      <c r="C3" s="3" t="n"/>
    </row>
    <row r="5">
      <c r="B5" s="4" t="inlineStr">
        <is>
          <t>YOUR WHOLE CAFE, IN ONE PLACE</t>
        </is>
      </c>
    </row>
    <row r="6" ht="22" customHeight="1">
      <c r="B6" s="5" t="inlineStr">
        <is>
          <t>Cost every drink down to the cup — beans, milk, cup, lid &amp; sleeve — and see each menu item's beverage-cost % and margin. Track sales by daypart so you know where the money is, keep labor and prime cost in check, and watch bean &amp; milk usage, inventory, waste, ordering, cash &amp; tips and your regulars — all in ONE premium Google Sheets &amp; Excel system built for coffee shops.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cafe name &amp; target beverage-cost / labor %.</t>
        </is>
      </c>
    </row>
    <row r="13" ht="22" customHeight="1">
      <c r="B13" s="8" t="inlineStr">
        <is>
          <t>2.  Build a Cup Cost — beans, milk, cup &amp; lid give the true cost per drink.</t>
        </is>
      </c>
    </row>
    <row r="14" ht="22" customHeight="1">
      <c r="B14" s="8" t="inlineStr">
        <is>
          <t>3.  Fill the Menu Board — beverage-cost % and margin calculate per item.</t>
        </is>
      </c>
    </row>
    <row r="15" ht="22" customHeight="1">
      <c r="B15" s="8" t="inlineStr">
        <is>
          <t>4.  Log Daypart &amp; Weekly Sales; track Labor to see your prime cost.</t>
        </is>
      </c>
    </row>
    <row r="16" ht="22" customHeight="1">
      <c r="B16" s="8" t="inlineStr">
        <is>
          <t>5.  Keep Bean &amp; Milk, Inventory, Waste, Ordering &amp; Cash-&amp;-Tips current.</t>
        </is>
      </c>
    </row>
    <row r="17" ht="22" customHeight="1">
      <c r="B17" s="8" t="inlineStr">
        <is>
          <t>6.  Check the Dashboard: sales, avg ticket, prime cost &amp; a Cafe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cafe (Wildroot Coffee) is included so you can see how it all connects — just type over it with your own drinks and numbers. Prime cost (beverage + labor) is the number that makes or breaks a cafe, and it rolls into a live Cafe Score. Twelve matching printable pages (cup-cost card, daypart log, prep &amp; par list, waste log &amp; more) are included for the bar. This is a business tool, not financial or accounting advice — confirm figures with your own books.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A café lives and dies on prime cost — keep it under 60% and pour profit.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☕  CAFE &amp; COFFEE SHOP COMMAND CENTER™</t>
        </is>
      </c>
    </row>
    <row r="2" ht="24" customHeight="1">
      <c r="A2" s="2" t="inlineStr">
        <is>
          <t xml:space="preserve">  Cup cost, beverage &amp; labor %, prime cost &amp; a Cafe Score — your whole shop,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MENU ITEMS</t>
        </is>
      </c>
      <c r="C5" s="13" t="n"/>
      <c r="D5" s="12" t="inlineStr">
        <is>
          <t>AVG CUP COST</t>
        </is>
      </c>
      <c r="E5" s="13" t="n"/>
      <c r="F5" s="12" t="inlineStr">
        <is>
          <t>AVG PRICE</t>
        </is>
      </c>
      <c r="G5" s="13" t="n"/>
      <c r="H5" s="12" t="inlineStr">
        <is>
          <t>AVG MARGIN</t>
        </is>
      </c>
      <c r="I5" s="13" t="n"/>
      <c r="J5" s="12" t="inlineStr">
        <is>
          <t>BEV COST</t>
        </is>
      </c>
      <c r="K5" s="13" t="n"/>
      <c r="L5" s="12" t="inlineStr">
        <is>
          <t>LABOR COST</t>
        </is>
      </c>
      <c r="M5" s="13" t="n"/>
    </row>
    <row r="6" ht="40" customHeight="1">
      <c r="B6" s="14">
        <f>COUNTA(MenuItem)</f>
        <v/>
      </c>
      <c r="C6" s="15" t="n"/>
      <c r="D6" s="16">
        <f>AVERAGE(MenuCost)</f>
        <v/>
      </c>
      <c r="E6" s="15" t="n"/>
      <c r="F6" s="16">
        <f>AVERAGE(MenuPrice)</f>
        <v/>
      </c>
      <c r="G6" s="15" t="n"/>
      <c r="H6" s="16">
        <f>AVERAGE(MenuMargin)</f>
        <v/>
      </c>
      <c r="I6" s="15" t="n"/>
      <c r="J6" s="17">
        <f>BevCostPct</f>
        <v/>
      </c>
      <c r="K6" s="15" t="n"/>
      <c r="L6" s="17">
        <f>LaborPct</f>
        <v/>
      </c>
      <c r="M6" s="15" t="n"/>
    </row>
    <row r="8" ht="18" customHeight="1">
      <c r="B8" s="12" t="inlineStr">
        <is>
          <t>DAILY SALES</t>
        </is>
      </c>
      <c r="C8" s="13" t="n"/>
      <c r="D8" s="12" t="inlineStr">
        <is>
          <t>TRANSACTIONS</t>
        </is>
      </c>
      <c r="E8" s="13" t="n"/>
      <c r="F8" s="12" t="inlineStr">
        <is>
          <t>AVG TICKET</t>
        </is>
      </c>
      <c r="G8" s="13" t="n"/>
      <c r="H8" s="12" t="inlineStr">
        <is>
          <t>TOP DAYPART</t>
        </is>
      </c>
      <c r="I8" s="13" t="n"/>
      <c r="J8" s="12" t="inlineStr">
        <is>
          <t>PRIME COST</t>
        </is>
      </c>
      <c r="K8" s="13" t="n"/>
      <c r="L8" s="12" t="inlineStr">
        <is>
          <t>CAFE SCORE</t>
        </is>
      </c>
      <c r="M8" s="13" t="n"/>
    </row>
    <row r="9" ht="40" customHeight="1">
      <c r="B9" s="18">
        <f>DayTotal</f>
        <v/>
      </c>
      <c r="C9" s="15" t="n"/>
      <c r="D9" s="14">
        <f>TxnTotal</f>
        <v/>
      </c>
      <c r="E9" s="15" t="n"/>
      <c r="F9" s="16">
        <f>IFERROR(DayTotal/TxnTotal,0)</f>
        <v/>
      </c>
      <c r="G9" s="15" t="n"/>
      <c r="H9" s="19">
        <f>INDEX(DaypartName,MATCH(MAX(DaypartSales),DaypartSales,0))</f>
        <v/>
      </c>
      <c r="I9" s="15" t="n"/>
      <c r="J9" s="17">
        <f>PrimeCost</f>
        <v/>
      </c>
      <c r="K9" s="15" t="n"/>
      <c r="L9" s="17">
        <f>IFERROR(AVERAGE(HealthRange),0)</f>
        <v/>
      </c>
      <c r="M9" s="15" t="n"/>
    </row>
    <row r="11" ht="26" customHeight="1">
      <c r="B11" s="4" t="inlineStr">
        <is>
          <t>CAFE HEALTH</t>
        </is>
      </c>
      <c r="H11" s="4" t="inlineStr">
        <is>
          <t>SALES BY DAYPART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Beverage cost on target</t>
        </is>
      </c>
      <c r="C13" s="21">
        <f>IFERROR(MIN(TargetBev/BevCostPct,1),0)</f>
        <v/>
      </c>
      <c r="D13" s="22">
        <f>IF(C13&gt;=0.85,"Strong",IF(C13&gt;=0.6,"OK","Watch"))</f>
        <v/>
      </c>
    </row>
    <row r="14">
      <c r="B14" s="23" t="inlineStr">
        <is>
          <t>Labor on target</t>
        </is>
      </c>
      <c r="C14" s="24">
        <f>IFERROR(MIN(TargetLabor/LaborPct,1),0)</f>
        <v/>
      </c>
      <c r="D14" s="25">
        <f>IF(C14&gt;=0.85,"Strong",IF(C14&gt;=0.6,"OK","Watch"))</f>
        <v/>
      </c>
    </row>
    <row r="15">
      <c r="B15" s="20" t="inlineStr">
        <is>
          <t>Prime cost healthy</t>
        </is>
      </c>
      <c r="C15" s="21">
        <f>IFERROR(MIN(0.62/PrimeCost,1),0)</f>
        <v/>
      </c>
      <c r="D15" s="22">
        <f>IF(C15&gt;=0.85,"Strong",IF(C15&gt;=0.6,"OK","Watch"))</f>
        <v/>
      </c>
    </row>
    <row r="16">
      <c r="B16" s="23" t="inlineStr">
        <is>
          <t>Avg ticket vs goal</t>
        </is>
      </c>
      <c r="C16" s="24">
        <f>IFERROR(MIN((DayTotal/TxnTotal)/TicketGoal,1),0)</f>
        <v/>
      </c>
      <c r="D16" s="25">
        <f>IF(C16&gt;=0.85,"Strong",IF(C16&gt;=0.6,"OK","Watch"))</f>
        <v/>
      </c>
    </row>
    <row r="17">
      <c r="B17" s="20" t="inlineStr">
        <is>
          <t>Margin per cup</t>
        </is>
      </c>
      <c r="C17" s="21">
        <f>IFERROR(MIN(AVERAGE(MenuMargin)/4,1),0)</f>
        <v/>
      </c>
      <c r="D17" s="22">
        <f>IF(C17&gt;=0.85,"Strong",IF(C17&gt;=0.6,"OK","Watch"))</f>
        <v/>
      </c>
    </row>
    <row r="18">
      <c r="B18" s="23" t="inlineStr">
        <is>
          <t>Low waste</t>
        </is>
      </c>
      <c r="C18" s="24">
        <f>IFERROR(1-MIN((WasteTotal/WeekSalesTotal)/0.06,1),0)</f>
        <v/>
      </c>
      <c r="D18" s="25">
        <f>IF(C18&gt;=0.85,"Strong",IF(C18&gt;=0.6,"OK","Watch"))</f>
        <v/>
      </c>
    </row>
    <row r="21" ht="26" customHeight="1">
      <c r="B21" s="2" t="inlineStr">
        <is>
          <t>Cafe &amp; Coffee Shop Command Center™ — cost every cup &amp; watch your prime cost.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0" customWidth="1" min="3" max="3"/>
    <col width="10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☕  CUP COST</t>
        </is>
      </c>
    </row>
    <row r="2" ht="22" customHeight="1">
      <c r="A2" s="2" t="inlineStr">
        <is>
          <t xml:space="preserve">  Cost a drink to the cup — beans, milk, cup, lid &amp; sleeve. The engine behind your menu.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>
      <c r="B5" s="4" t="inlineStr">
        <is>
          <t>DRINK</t>
        </is>
      </c>
      <c r="D5" s="26" t="inlineStr">
        <is>
          <t>Latte (12 oz)</t>
        </is>
      </c>
    </row>
    <row r="6" ht="30" customHeight="1">
      <c r="B6" s="9" t="inlineStr">
        <is>
          <t>Component</t>
        </is>
      </c>
      <c r="C6" s="9" t="inlineStr">
        <is>
          <t>Qty</t>
        </is>
      </c>
      <c r="D6" s="9" t="inlineStr">
        <is>
          <t>Unit</t>
        </is>
      </c>
      <c r="E6" s="9" t="inlineStr">
        <is>
          <t>Cost/Unit</t>
        </is>
      </c>
      <c r="F6" s="9" t="inlineStr">
        <is>
          <t>Ext. Cost</t>
        </is>
      </c>
    </row>
    <row r="7">
      <c r="B7" s="20" t="inlineStr">
        <is>
          <t>Espresso beans</t>
        </is>
      </c>
      <c r="C7" s="27" t="n">
        <v>18</v>
      </c>
      <c r="D7" s="22" t="inlineStr">
        <is>
          <t>g</t>
        </is>
      </c>
      <c r="E7" s="28" t="n">
        <v>0.024</v>
      </c>
      <c r="F7" s="29">
        <f>C7*E7</f>
        <v/>
      </c>
    </row>
    <row r="8">
      <c r="B8" s="23" t="inlineStr">
        <is>
          <t>Whole milk</t>
        </is>
      </c>
      <c r="C8" s="30" t="n">
        <v>12</v>
      </c>
      <c r="D8" s="25" t="inlineStr">
        <is>
          <t>oz</t>
        </is>
      </c>
      <c r="E8" s="31" t="n">
        <v>0.048</v>
      </c>
      <c r="F8" s="32">
        <f>C8*E8</f>
        <v/>
      </c>
    </row>
    <row r="9">
      <c r="B9" s="20" t="inlineStr">
        <is>
          <t>12 oz cup</t>
        </is>
      </c>
      <c r="C9" s="27" t="n">
        <v>1</v>
      </c>
      <c r="D9" s="22" t="inlineStr">
        <is>
          <t>each</t>
        </is>
      </c>
      <c r="E9" s="28" t="n">
        <v>0.12</v>
      </c>
      <c r="F9" s="29">
        <f>C9*E9</f>
        <v/>
      </c>
    </row>
    <row r="10">
      <c r="B10" s="23" t="inlineStr">
        <is>
          <t>Lid</t>
        </is>
      </c>
      <c r="C10" s="30" t="n">
        <v>1</v>
      </c>
      <c r="D10" s="25" t="inlineStr">
        <is>
          <t>each</t>
        </is>
      </c>
      <c r="E10" s="31" t="n">
        <v>0.03</v>
      </c>
      <c r="F10" s="32">
        <f>C10*E10</f>
        <v/>
      </c>
    </row>
    <row r="11">
      <c r="B11" s="20" t="inlineStr">
        <is>
          <t>Sleeve</t>
        </is>
      </c>
      <c r="C11" s="27" t="n">
        <v>1</v>
      </c>
      <c r="D11" s="22" t="inlineStr">
        <is>
          <t>each</t>
        </is>
      </c>
      <c r="E11" s="28" t="n">
        <v>0.02</v>
      </c>
      <c r="F11" s="29">
        <f>C11*E11</f>
        <v/>
      </c>
    </row>
    <row r="12">
      <c r="B12" s="9" t="inlineStr">
        <is>
          <t>CUP COST</t>
        </is>
      </c>
      <c r="C12" s="33" t="n"/>
      <c r="D12" s="33" t="n"/>
      <c r="E12" s="33" t="n"/>
      <c r="F12" s="34">
        <f>SUM(F7:F11)</f>
        <v/>
      </c>
    </row>
    <row r="14">
      <c r="B14" s="7" t="inlineStr">
        <is>
          <t>Copy this build for every drink — swap milk, add syrups, change the cup.</t>
        </is>
      </c>
    </row>
  </sheetData>
  <mergeCells count="3">
    <mergeCell ref="A2:F2"/>
    <mergeCell ref="B5:C5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📋  MENU BOARD</t>
        </is>
      </c>
    </row>
    <row r="2" ht="22" customHeight="1">
      <c r="A2" s="2" t="inlineStr">
        <is>
          <t xml:space="preserve">  Every drink's cup cost, price, beverage-cost % &amp; margin — price for a healthy pour.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B4" s="9" t="inlineStr">
        <is>
          <t>Item</t>
        </is>
      </c>
      <c r="C4" s="9" t="inlineStr">
        <is>
          <t>Category</t>
        </is>
      </c>
      <c r="D4" s="9" t="inlineStr">
        <is>
          <t>Cup Cost</t>
        </is>
      </c>
      <c r="E4" s="9" t="inlineStr">
        <is>
          <t>Price</t>
        </is>
      </c>
      <c r="F4" s="9" t="inlineStr">
        <is>
          <t>Units/day</t>
        </is>
      </c>
      <c r="G4" s="9" t="inlineStr">
        <is>
          <t>Bev %</t>
        </is>
      </c>
      <c r="H4" s="9" t="inlineStr">
        <is>
          <t>Margin $</t>
        </is>
      </c>
    </row>
    <row r="5">
      <c r="B5" s="20" t="inlineStr">
        <is>
          <t>Latte</t>
        </is>
      </c>
      <c r="C5" s="22" t="inlineStr">
        <is>
          <t>Espresso</t>
        </is>
      </c>
      <c r="D5" s="35">
        <f>LatteCost</f>
        <v/>
      </c>
      <c r="E5" s="35" t="n">
        <v>5.25</v>
      </c>
      <c r="F5" s="36" t="n">
        <v>90</v>
      </c>
      <c r="G5" s="21">
        <f>IFERROR(D5/E5,0)</f>
        <v/>
      </c>
      <c r="H5" s="37">
        <f>E5-D5</f>
        <v/>
      </c>
    </row>
    <row r="6">
      <c r="B6" s="23" t="inlineStr">
        <is>
          <t>Cappuccino</t>
        </is>
      </c>
      <c r="C6" s="25" t="inlineStr">
        <is>
          <t>Espresso</t>
        </is>
      </c>
      <c r="D6" s="38" t="n">
        <v>0.98</v>
      </c>
      <c r="E6" s="38" t="n">
        <v>4.75</v>
      </c>
      <c r="F6" s="39" t="n">
        <v>55</v>
      </c>
      <c r="G6" s="24">
        <f>IFERROR(D6/E6,0)</f>
        <v/>
      </c>
      <c r="H6" s="40">
        <f>E6-D6</f>
        <v/>
      </c>
    </row>
    <row r="7">
      <c r="B7" s="20" t="inlineStr">
        <is>
          <t>Drip Coffee</t>
        </is>
      </c>
      <c r="C7" s="22" t="inlineStr">
        <is>
          <t>Brewed</t>
        </is>
      </c>
      <c r="D7" s="35" t="n">
        <v>0.52</v>
      </c>
      <c r="E7" s="35" t="n">
        <v>3.25</v>
      </c>
      <c r="F7" s="36" t="n">
        <v>120</v>
      </c>
      <c r="G7" s="21">
        <f>IFERROR(D7/E7,0)</f>
        <v/>
      </c>
      <c r="H7" s="37">
        <f>E7-D7</f>
        <v/>
      </c>
    </row>
    <row r="8">
      <c r="B8" s="23" t="inlineStr">
        <is>
          <t>Cold Brew</t>
        </is>
      </c>
      <c r="C8" s="25" t="inlineStr">
        <is>
          <t>Cold</t>
        </is>
      </c>
      <c r="D8" s="38" t="n">
        <v>1.1</v>
      </c>
      <c r="E8" s="38" t="n">
        <v>5</v>
      </c>
      <c r="F8" s="39" t="n">
        <v>70</v>
      </c>
      <c r="G8" s="24">
        <f>IFERROR(D8/E8,0)</f>
        <v/>
      </c>
      <c r="H8" s="40">
        <f>E8-D8</f>
        <v/>
      </c>
    </row>
    <row r="9">
      <c r="B9" s="20" t="inlineStr">
        <is>
          <t>Mocha</t>
        </is>
      </c>
      <c r="C9" s="22" t="inlineStr">
        <is>
          <t>Espresso</t>
        </is>
      </c>
      <c r="D9" s="35" t="n">
        <v>1.45</v>
      </c>
      <c r="E9" s="35" t="n">
        <v>5.75</v>
      </c>
      <c r="F9" s="36" t="n">
        <v>45</v>
      </c>
      <c r="G9" s="21">
        <f>IFERROR(D9/E9,0)</f>
        <v/>
      </c>
      <c r="H9" s="37">
        <f>E9-D9</f>
        <v/>
      </c>
    </row>
    <row r="10">
      <c r="B10" s="23" t="inlineStr">
        <is>
          <t>Americano</t>
        </is>
      </c>
      <c r="C10" s="25" t="inlineStr">
        <is>
          <t>Espresso</t>
        </is>
      </c>
      <c r="D10" s="38" t="n">
        <v>0.58</v>
      </c>
      <c r="E10" s="38" t="n">
        <v>4</v>
      </c>
      <c r="F10" s="39" t="n">
        <v>40</v>
      </c>
      <c r="G10" s="24">
        <f>IFERROR(D10/E10,0)</f>
        <v/>
      </c>
      <c r="H10" s="40">
        <f>E10-D10</f>
        <v/>
      </c>
    </row>
    <row r="11">
      <c r="B11" s="20" t="inlineStr">
        <is>
          <t>Espresso</t>
        </is>
      </c>
      <c r="C11" s="22" t="inlineStr">
        <is>
          <t>Espresso</t>
        </is>
      </c>
      <c r="D11" s="35" t="n">
        <v>0.48</v>
      </c>
      <c r="E11" s="35" t="n">
        <v>3.5</v>
      </c>
      <c r="F11" s="36" t="n">
        <v>30</v>
      </c>
      <c r="G11" s="21">
        <f>IFERROR(D11/E11,0)</f>
        <v/>
      </c>
      <c r="H11" s="37">
        <f>E11-D11</f>
        <v/>
      </c>
    </row>
    <row r="12">
      <c r="B12" s="23" t="inlineStr">
        <is>
          <t>Chai Latte</t>
        </is>
      </c>
      <c r="C12" s="25" t="inlineStr">
        <is>
          <t>Tea</t>
        </is>
      </c>
      <c r="D12" s="38" t="n">
        <v>1.22</v>
      </c>
      <c r="E12" s="38" t="n">
        <v>5.25</v>
      </c>
      <c r="F12" s="39" t="n">
        <v>35</v>
      </c>
      <c r="G12" s="24">
        <f>IFERROR(D12/E12,0)</f>
        <v/>
      </c>
      <c r="H12" s="40">
        <f>E12-D12</f>
        <v/>
      </c>
    </row>
    <row r="13">
      <c r="B13" s="20" t="inlineStr">
        <is>
          <t>Croissant</t>
        </is>
      </c>
      <c r="C13" s="22" t="inlineStr">
        <is>
          <t>Pastry</t>
        </is>
      </c>
      <c r="D13" s="35" t="n">
        <v>1.2</v>
      </c>
      <c r="E13" s="35" t="n">
        <v>4.25</v>
      </c>
      <c r="F13" s="36" t="n">
        <v>60</v>
      </c>
      <c r="G13" s="21">
        <f>IFERROR(D13/E13,0)</f>
        <v/>
      </c>
      <c r="H13" s="37">
        <f>E13-D13</f>
        <v/>
      </c>
    </row>
    <row r="14">
      <c r="B14" s="23" t="inlineStr">
        <is>
          <t>Avocado Toast</t>
        </is>
      </c>
      <c r="C14" s="25" t="inlineStr">
        <is>
          <t>Food</t>
        </is>
      </c>
      <c r="D14" s="38" t="n">
        <v>2.6</v>
      </c>
      <c r="E14" s="38" t="n">
        <v>9.5</v>
      </c>
      <c r="F14" s="39" t="n">
        <v>35</v>
      </c>
      <c r="G14" s="24">
        <f>IFERROR(D14/E14,0)</f>
        <v/>
      </c>
      <c r="H14" s="40">
        <f>E14-D14</f>
        <v/>
      </c>
    </row>
    <row r="16">
      <c r="B16" s="41" t="inlineStr">
        <is>
          <t>Overall beverage-cost %</t>
        </is>
      </c>
      <c r="D16" s="42">
        <f>IFERROR(SUMPRODUCT(MenuCost,MenuUnits)/SUMPRODUCT(MenuPrice,MenuUnits),0)</f>
        <v/>
      </c>
    </row>
  </sheetData>
  <mergeCells count="2">
    <mergeCell ref="A2:H2"/>
    <mergeCell ref="A1:H1"/>
  </mergeCells>
  <conditionalFormatting sqref="G5:G14">
    <cfRule type="colorScale" priority="1">
      <colorScale>
        <cfvo type="num" val="0.12"/>
        <cfvo type="num" val="0.28"/>
        <cfvo type="num" val="0.4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🕗  DAYPART SALES</t>
        </is>
      </c>
    </row>
    <row r="2" ht="22" customHeight="1">
      <c r="A2" s="2" t="inlineStr">
        <is>
          <t xml:space="preserve">  Where the money is by time of day — feed the rush, fix the lull.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Daypart</t>
        </is>
      </c>
      <c r="C4" s="9" t="inlineStr">
        <is>
          <t>Transactions</t>
        </is>
      </c>
      <c r="D4" s="9" t="inlineStr">
        <is>
          <t>Sales</t>
        </is>
      </c>
      <c r="E4" s="9" t="inlineStr">
        <is>
          <t>Avg Ticket</t>
        </is>
      </c>
    </row>
    <row r="5">
      <c r="B5" s="20" t="inlineStr">
        <is>
          <t>Morning rush (6-10)</t>
        </is>
      </c>
      <c r="C5" s="36" t="n">
        <v>190</v>
      </c>
      <c r="D5" s="43" t="n">
        <v>1329</v>
      </c>
      <c r="E5" s="37">
        <f>IFERROR(D5/C5,0)</f>
        <v/>
      </c>
    </row>
    <row r="6">
      <c r="B6" s="23" t="inlineStr">
        <is>
          <t>Midday (10-2)</t>
        </is>
      </c>
      <c r="C6" s="39" t="n">
        <v>100</v>
      </c>
      <c r="D6" s="44" t="n">
        <v>831</v>
      </c>
      <c r="E6" s="40">
        <f>IFERROR(D6/C6,0)</f>
        <v/>
      </c>
    </row>
    <row r="7">
      <c r="B7" s="20" t="inlineStr">
        <is>
          <t>Afternoon (2-6)</t>
        </is>
      </c>
      <c r="C7" s="36" t="n">
        <v>62</v>
      </c>
      <c r="D7" s="43" t="n">
        <v>609</v>
      </c>
      <c r="E7" s="37">
        <f>IFERROR(D7/C7,0)</f>
        <v/>
      </c>
    </row>
    <row r="8">
      <c r="B8" s="9" t="inlineStr">
        <is>
          <t>DAY TOTAL</t>
        </is>
      </c>
      <c r="C8" s="45">
        <f>SUM(C5:C7)</f>
        <v/>
      </c>
      <c r="D8" s="46">
        <f>SUM(D5:D7)</f>
        <v/>
      </c>
      <c r="E8" s="47">
        <f>IFERROR(D8/C8,0)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📈  WEEKLY SALES</t>
        </is>
      </c>
    </row>
    <row r="2" ht="22" customHeight="1">
      <c r="A2" s="2" t="inlineStr">
        <is>
          <t xml:space="preserve">  The week at a glance — sales, transactions &amp; average ticket by day.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Sales</t>
        </is>
      </c>
      <c r="D4" s="9" t="inlineStr">
        <is>
          <t>Transactions</t>
        </is>
      </c>
      <c r="E4" s="9" t="inlineStr">
        <is>
          <t>Avg Ticket</t>
        </is>
      </c>
    </row>
    <row r="5">
      <c r="B5" s="20" t="inlineStr">
        <is>
          <t>Monday</t>
        </is>
      </c>
      <c r="C5" s="43" t="n">
        <v>2450</v>
      </c>
      <c r="D5" s="36" t="n">
        <v>312</v>
      </c>
      <c r="E5" s="37">
        <f>IFERROR(C5/D5,0)</f>
        <v/>
      </c>
    </row>
    <row r="6">
      <c r="B6" s="23" t="inlineStr">
        <is>
          <t>Tuesday</t>
        </is>
      </c>
      <c r="C6" s="44" t="n">
        <v>2680</v>
      </c>
      <c r="D6" s="39" t="n">
        <v>338</v>
      </c>
      <c r="E6" s="40">
        <f>IFERROR(C6/D6,0)</f>
        <v/>
      </c>
    </row>
    <row r="7">
      <c r="B7" s="20" t="inlineStr">
        <is>
          <t>Wednesday</t>
        </is>
      </c>
      <c r="C7" s="43" t="n">
        <v>2769</v>
      </c>
      <c r="D7" s="36" t="n">
        <v>352</v>
      </c>
      <c r="E7" s="37">
        <f>IFERROR(C7/D7,0)</f>
        <v/>
      </c>
    </row>
    <row r="8">
      <c r="B8" s="23" t="inlineStr">
        <is>
          <t>Thursday</t>
        </is>
      </c>
      <c r="C8" s="44" t="n">
        <v>2900</v>
      </c>
      <c r="D8" s="39" t="n">
        <v>366</v>
      </c>
      <c r="E8" s="40">
        <f>IFERROR(C8/D8,0)</f>
        <v/>
      </c>
    </row>
    <row r="9">
      <c r="B9" s="20" t="inlineStr">
        <is>
          <t>Friday</t>
        </is>
      </c>
      <c r="C9" s="43" t="n">
        <v>3350</v>
      </c>
      <c r="D9" s="36" t="n">
        <v>410</v>
      </c>
      <c r="E9" s="37">
        <f>IFERROR(C9/D9,0)</f>
        <v/>
      </c>
    </row>
    <row r="10">
      <c r="B10" s="23" t="inlineStr">
        <is>
          <t>Saturday</t>
        </is>
      </c>
      <c r="C10" s="44" t="n">
        <v>3600</v>
      </c>
      <c r="D10" s="39" t="n">
        <v>430</v>
      </c>
      <c r="E10" s="40">
        <f>IFERROR(C10/D10,0)</f>
        <v/>
      </c>
    </row>
    <row r="11">
      <c r="B11" s="20" t="inlineStr">
        <is>
          <t>Sunday</t>
        </is>
      </c>
      <c r="C11" s="43" t="n">
        <v>2100</v>
      </c>
      <c r="D11" s="36" t="n">
        <v>270</v>
      </c>
      <c r="E11" s="37">
        <f>IFERROR(C11/D11,0)</f>
        <v/>
      </c>
    </row>
    <row r="12">
      <c r="B12" s="9" t="inlineStr">
        <is>
          <t>WEEK TOTAL</t>
        </is>
      </c>
      <c r="C12" s="46">
        <f>SUM(C5:C11)</f>
        <v/>
      </c>
      <c r="D12" s="45">
        <f>SUM(D5:D11)</f>
        <v/>
      </c>
      <c r="E12" s="33" t="n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👥  LABOR &amp; PRIME COST</t>
        </is>
      </c>
    </row>
    <row r="2" ht="22" customHeight="1">
      <c r="A2" s="2" t="inlineStr">
        <is>
          <t xml:space="preserve">  Daily labor vs sales — plus the prime cost (beverage + labor) that runs your cafe.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Labor $</t>
        </is>
      </c>
      <c r="D4" s="9" t="inlineStr">
        <is>
          <t>Sales</t>
        </is>
      </c>
      <c r="E4" s="9" t="inlineStr">
        <is>
          <t>Labor %</t>
        </is>
      </c>
    </row>
    <row r="5">
      <c r="B5" s="20" t="inlineStr">
        <is>
          <t>Monday</t>
        </is>
      </c>
      <c r="C5" s="43" t="n">
        <v>686</v>
      </c>
      <c r="D5" s="43" t="n">
        <v>2450</v>
      </c>
      <c r="E5" s="21">
        <f>IFERROR(C5/D5,0)</f>
        <v/>
      </c>
    </row>
    <row r="6">
      <c r="B6" s="23" t="inlineStr">
        <is>
          <t>Tuesday</t>
        </is>
      </c>
      <c r="C6" s="44" t="n">
        <v>750</v>
      </c>
      <c r="D6" s="44" t="n">
        <v>2680</v>
      </c>
      <c r="E6" s="24">
        <f>IFERROR(C6/D6,0)</f>
        <v/>
      </c>
    </row>
    <row r="7">
      <c r="B7" s="20" t="inlineStr">
        <is>
          <t>Wednesday</t>
        </is>
      </c>
      <c r="C7" s="43" t="n">
        <v>775</v>
      </c>
      <c r="D7" s="43" t="n">
        <v>2769</v>
      </c>
      <c r="E7" s="21">
        <f>IFERROR(C7/D7,0)</f>
        <v/>
      </c>
    </row>
    <row r="8">
      <c r="B8" s="23" t="inlineStr">
        <is>
          <t>Thursday</t>
        </is>
      </c>
      <c r="C8" s="44" t="n">
        <v>812</v>
      </c>
      <c r="D8" s="44" t="n">
        <v>2900</v>
      </c>
      <c r="E8" s="24">
        <f>IFERROR(C8/D8,0)</f>
        <v/>
      </c>
    </row>
    <row r="9">
      <c r="B9" s="20" t="inlineStr">
        <is>
          <t>Friday</t>
        </is>
      </c>
      <c r="C9" s="43" t="n">
        <v>938</v>
      </c>
      <c r="D9" s="43" t="n">
        <v>3350</v>
      </c>
      <c r="E9" s="21">
        <f>IFERROR(C9/D9,0)</f>
        <v/>
      </c>
    </row>
    <row r="10">
      <c r="B10" s="23" t="inlineStr">
        <is>
          <t>Saturday</t>
        </is>
      </c>
      <c r="C10" s="44" t="n">
        <v>1008</v>
      </c>
      <c r="D10" s="44" t="n">
        <v>3600</v>
      </c>
      <c r="E10" s="24">
        <f>IFERROR(C10/D10,0)</f>
        <v/>
      </c>
    </row>
    <row r="11">
      <c r="B11" s="20" t="inlineStr">
        <is>
          <t>Sunday</t>
        </is>
      </c>
      <c r="C11" s="43" t="n">
        <v>588</v>
      </c>
      <c r="D11" s="43" t="n">
        <v>2100</v>
      </c>
      <c r="E11" s="21">
        <f>IFERROR(C11/D11,0)</f>
        <v/>
      </c>
    </row>
    <row r="12">
      <c r="B12" s="9" t="inlineStr">
        <is>
          <t>WEEK TOTAL</t>
        </is>
      </c>
      <c r="C12" s="46">
        <f>SUM(C5:C11)</f>
        <v/>
      </c>
      <c r="D12" s="46">
        <f>SUM(D5:D11)</f>
        <v/>
      </c>
      <c r="E12" s="48">
        <f>IFERROR(C12/D12,0)</f>
        <v/>
      </c>
    </row>
    <row r="14">
      <c r="B14" s="7" t="inlineStr">
        <is>
          <t>PRIME COST  (beverage % + labor %)</t>
        </is>
      </c>
      <c r="E14" s="49">
        <f>BevCostPct+LaborPct</f>
        <v/>
      </c>
    </row>
  </sheetData>
  <mergeCells count="3">
    <mergeCell ref="A2:E2"/>
    <mergeCell ref="A1:E1"/>
    <mergeCell ref="B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0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🥛  BEAN &amp; MILK USAGE</t>
        </is>
      </c>
    </row>
    <row r="2" ht="22" customHeight="1">
      <c r="A2" s="2" t="inlineStr">
        <is>
          <t xml:space="preserve">  Weekly usage &amp; cost of your biggest inputs — where beverage cost really comes from.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Qty</t>
        </is>
      </c>
      <c r="D4" s="9" t="inlineStr">
        <is>
          <t>Unit</t>
        </is>
      </c>
      <c r="E4" s="9" t="inlineStr">
        <is>
          <t>Weekly Cost</t>
        </is>
      </c>
    </row>
    <row r="5">
      <c r="B5" s="50" t="inlineStr">
        <is>
          <t>Espresso beans</t>
        </is>
      </c>
      <c r="C5" s="51" t="n">
        <v>22</v>
      </c>
      <c r="D5" s="52" t="inlineStr">
        <is>
          <t>lb</t>
        </is>
      </c>
      <c r="E5" s="53" t="n">
        <v>286</v>
      </c>
    </row>
    <row r="6">
      <c r="B6" s="23" t="inlineStr">
        <is>
          <t>Whole milk</t>
        </is>
      </c>
      <c r="C6" s="54" t="n">
        <v>48</v>
      </c>
      <c r="D6" s="25" t="inlineStr">
        <is>
          <t>gal</t>
        </is>
      </c>
      <c r="E6" s="40" t="n">
        <v>216</v>
      </c>
    </row>
    <row r="7">
      <c r="B7" s="50" t="inlineStr">
        <is>
          <t>Oat milk</t>
        </is>
      </c>
      <c r="C7" s="51" t="n">
        <v>18</v>
      </c>
      <c r="D7" s="52" t="inlineStr">
        <is>
          <t>gal</t>
        </is>
      </c>
      <c r="E7" s="53" t="n">
        <v>144</v>
      </c>
    </row>
    <row r="8">
      <c r="B8" s="23" t="inlineStr">
        <is>
          <t>Cold brew concentrate</t>
        </is>
      </c>
      <c r="C8" s="54" t="n">
        <v>6</v>
      </c>
      <c r="D8" s="25" t="inlineStr">
        <is>
          <t>gal</t>
        </is>
      </c>
      <c r="E8" s="40" t="n">
        <v>90</v>
      </c>
    </row>
    <row r="9">
      <c r="B9" s="50" t="inlineStr">
        <is>
          <t>Syrups (asst.)</t>
        </is>
      </c>
      <c r="C9" s="51" t="n">
        <v>12</v>
      </c>
      <c r="D9" s="52" t="inlineStr">
        <is>
          <t>each</t>
        </is>
      </c>
      <c r="E9" s="53" t="n">
        <v>96</v>
      </c>
    </row>
    <row r="10">
      <c r="B10" s="23" t="n"/>
      <c r="C10" s="54" t="n"/>
      <c r="D10" s="25" t="n"/>
      <c r="E10" s="40" t="n"/>
    </row>
    <row r="11">
      <c r="B11" s="50" t="n"/>
      <c r="C11" s="51" t="n"/>
      <c r="D11" s="52" t="n"/>
      <c r="E11" s="53" t="n"/>
    </row>
    <row r="12">
      <c r="B12" s="23" t="n"/>
      <c r="C12" s="54" t="n"/>
      <c r="D12" s="25" t="n"/>
      <c r="E12" s="40" t="n"/>
    </row>
    <row r="13">
      <c r="B13" s="50" t="n"/>
      <c r="C13" s="51" t="n"/>
      <c r="D13" s="52" t="n"/>
      <c r="E13" s="53" t="n"/>
    </row>
    <row r="14">
      <c r="B14" s="23" t="n"/>
      <c r="C14" s="54" t="n"/>
      <c r="D14" s="25" t="n"/>
      <c r="E14" s="40" t="n"/>
    </row>
    <row r="15">
      <c r="B15" s="50" t="n"/>
      <c r="C15" s="51" t="n"/>
      <c r="D15" s="52" t="n"/>
      <c r="E15" s="53" t="n"/>
    </row>
    <row r="16">
      <c r="B16" s="23" t="n"/>
      <c r="C16" s="54" t="n"/>
      <c r="D16" s="25" t="n"/>
      <c r="E16" s="40" t="n"/>
    </row>
    <row r="17">
      <c r="B17" s="50" t="n"/>
      <c r="C17" s="51" t="n"/>
      <c r="D17" s="52" t="n"/>
      <c r="E17" s="53" t="n"/>
    </row>
    <row r="18">
      <c r="B18" s="23" t="n"/>
      <c r="C18" s="54" t="n"/>
      <c r="D18" s="25" t="n"/>
      <c r="E18" s="40" t="n"/>
    </row>
    <row r="19">
      <c r="B19" s="50" t="n"/>
      <c r="C19" s="51" t="n"/>
      <c r="D19" s="52" t="n"/>
      <c r="E19" s="53" t="n"/>
    </row>
    <row r="20">
      <c r="B20" s="23" t="n"/>
      <c r="C20" s="54" t="n"/>
      <c r="D20" s="25" t="n"/>
      <c r="E20" s="40" t="n"/>
    </row>
    <row r="21">
      <c r="B21" s="50" t="n"/>
      <c r="C21" s="51" t="n"/>
      <c r="D21" s="52" t="n"/>
      <c r="E21" s="53" t="n"/>
    </row>
    <row r="22">
      <c r="B22" s="23" t="n"/>
      <c r="C22" s="54" t="n"/>
      <c r="D22" s="25" t="n"/>
      <c r="E22" s="40" t="n"/>
    </row>
    <row r="23">
      <c r="B23" s="50" t="n"/>
      <c r="C23" s="51" t="n"/>
      <c r="D23" s="52" t="n"/>
      <c r="E23" s="53" t="n"/>
    </row>
    <row r="24">
      <c r="B24" s="23" t="n"/>
      <c r="C24" s="54" t="n"/>
      <c r="D24" s="25" t="n"/>
      <c r="E24" s="40" t="n"/>
    </row>
    <row r="25">
      <c r="B25" s="9" t="inlineStr">
        <is>
          <t>WEEKLY INPUT COST</t>
        </is>
      </c>
      <c r="C25" s="33" t="n"/>
      <c r="D25" s="33" t="n"/>
      <c r="E25" s="47">
        <f>SUM(UsageCost)</f>
        <v/>
      </c>
    </row>
  </sheetData>
  <mergeCells count="2">
    <mergeCell ref="A2:E2"/>
    <mergeCell ref="A1:E1"/>
  </mergeCells>
  <dataValidations count="1">
    <dataValidation sqref="D5:D24" showDropDown="0" showInputMessage="0" showErrorMessage="0" allowBlank="1" type="list">
      <formula1>=UnitList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0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📦  INVENTORY &amp; PAR</t>
        </is>
      </c>
    </row>
    <row r="2" ht="22" customHeight="1">
      <c r="A2" s="2" t="inlineStr">
        <is>
          <t xml:space="preserve">  Par vs on hand — see what to order before you 86 the oat milk mid-rush.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Par</t>
        </is>
      </c>
      <c r="D4" s="9" t="inlineStr">
        <is>
          <t>On Hand</t>
        </is>
      </c>
      <c r="E4" s="9" t="inlineStr">
        <is>
          <t>Unit</t>
        </is>
      </c>
      <c r="F4" s="9" t="inlineStr">
        <is>
          <t>To Order</t>
        </is>
      </c>
    </row>
    <row r="5">
      <c r="B5" s="20" t="inlineStr">
        <is>
          <t>Espresso beans</t>
        </is>
      </c>
      <c r="C5" s="36" t="n">
        <v>30</v>
      </c>
      <c r="D5" s="36" t="n">
        <v>14</v>
      </c>
      <c r="E5" s="22" t="inlineStr">
        <is>
          <t>lb</t>
        </is>
      </c>
      <c r="F5" s="55">
        <f>MAX(C5-D5,0)</f>
        <v/>
      </c>
    </row>
    <row r="6">
      <c r="B6" s="23" t="inlineStr">
        <is>
          <t>Whole milk</t>
        </is>
      </c>
      <c r="C6" s="39" t="n">
        <v>60</v>
      </c>
      <c r="D6" s="39" t="n">
        <v>28</v>
      </c>
      <c r="E6" s="25" t="inlineStr">
        <is>
          <t>gal</t>
        </is>
      </c>
      <c r="F6" s="56">
        <f>MAX(C6-D6,0)</f>
        <v/>
      </c>
    </row>
    <row r="7">
      <c r="B7" s="20" t="inlineStr">
        <is>
          <t>Oat milk</t>
        </is>
      </c>
      <c r="C7" s="36" t="n">
        <v>24</v>
      </c>
      <c r="D7" s="36" t="n">
        <v>10</v>
      </c>
      <c r="E7" s="22" t="inlineStr">
        <is>
          <t>gal</t>
        </is>
      </c>
      <c r="F7" s="55">
        <f>MAX(C7-D7,0)</f>
        <v/>
      </c>
    </row>
    <row r="8">
      <c r="B8" s="23" t="inlineStr">
        <is>
          <t>12 oz cups</t>
        </is>
      </c>
      <c r="C8" s="39" t="n">
        <v>1000</v>
      </c>
      <c r="D8" s="39" t="n">
        <v>420</v>
      </c>
      <c r="E8" s="25" t="inlineStr">
        <is>
          <t>each</t>
        </is>
      </c>
      <c r="F8" s="56">
        <f>MAX(C8-D8,0)</f>
        <v/>
      </c>
    </row>
    <row r="9">
      <c r="B9" s="20" t="inlineStr">
        <is>
          <t>Lids</t>
        </is>
      </c>
      <c r="C9" s="36" t="n">
        <v>1000</v>
      </c>
      <c r="D9" s="36" t="n">
        <v>380</v>
      </c>
      <c r="E9" s="22" t="inlineStr">
        <is>
          <t>each</t>
        </is>
      </c>
      <c r="F9" s="55">
        <f>MAX(C9-D9,0)</f>
        <v/>
      </c>
    </row>
    <row r="10">
      <c r="B10" s="23" t="inlineStr">
        <is>
          <t>Pastries</t>
        </is>
      </c>
      <c r="C10" s="39" t="n">
        <v>120</v>
      </c>
      <c r="D10" s="39" t="n">
        <v>45</v>
      </c>
      <c r="E10" s="25" t="inlineStr">
        <is>
          <t>each</t>
        </is>
      </c>
      <c r="F10" s="56">
        <f>MAX(C10-D10,0)</f>
        <v/>
      </c>
    </row>
    <row r="11">
      <c r="B11" s="20" t="inlineStr">
        <is>
          <t>Syrups</t>
        </is>
      </c>
      <c r="C11" s="36" t="n">
        <v>18</v>
      </c>
      <c r="D11" s="36" t="n">
        <v>8</v>
      </c>
      <c r="E11" s="22" t="inlineStr">
        <is>
          <t>each</t>
        </is>
      </c>
      <c r="F11" s="55">
        <f>MAX(C11-D11,0)</f>
        <v/>
      </c>
    </row>
    <row r="12">
      <c r="B12" s="23" t="inlineStr">
        <is>
          <t>Cold cups</t>
        </is>
      </c>
      <c r="C12" s="39" t="n">
        <v>800</v>
      </c>
      <c r="D12" s="39" t="n">
        <v>300</v>
      </c>
      <c r="E12" s="25" t="inlineStr">
        <is>
          <t>each</t>
        </is>
      </c>
      <c r="F12" s="56">
        <f>MAX(C12-D12,0)</f>
        <v/>
      </c>
    </row>
  </sheetData>
  <mergeCells count="2">
    <mergeCell ref="A2:F2"/>
    <mergeCell ref="A1:F1"/>
  </mergeCells>
  <conditionalFormatting sqref="D5:D12">
    <cfRule type="cellIs" priority="1" operator="lessThan" dxfId="0">
      <formula>C5*0.5</formula>
    </cfRule>
  </conditionalFormatting>
  <dataValidations count="5"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🗑  WASTE LOG</t>
        </is>
      </c>
    </row>
    <row r="2" ht="22" customHeight="1">
      <c r="A2" s="2" t="inlineStr">
        <is>
          <t xml:space="preserve">  Dumped shots, spoiled milk &amp; stale pastries — every dollar of waste, logged.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Reason</t>
        </is>
      </c>
      <c r="D4" s="9" t="inlineStr">
        <is>
          <t>Cost</t>
        </is>
      </c>
    </row>
    <row r="5">
      <c r="B5" s="50" t="inlineStr">
        <is>
          <t>Spoiled milk</t>
        </is>
      </c>
      <c r="C5" s="50" t="inlineStr">
        <is>
          <t>Over-ordered</t>
        </is>
      </c>
      <c r="D5" s="53" t="n">
        <v>180</v>
      </c>
    </row>
    <row r="6">
      <c r="B6" s="23" t="inlineStr">
        <is>
          <t>Stale pastries</t>
        </is>
      </c>
      <c r="C6" s="23" t="inlineStr">
        <is>
          <t>End of day</t>
        </is>
      </c>
      <c r="D6" s="40" t="n">
        <v>145</v>
      </c>
    </row>
    <row r="7">
      <c r="B7" s="50" t="inlineStr">
        <is>
          <t>Wasted shots</t>
        </is>
      </c>
      <c r="C7" s="50" t="inlineStr">
        <is>
          <t>Training</t>
        </is>
      </c>
      <c r="D7" s="53" t="n">
        <v>90</v>
      </c>
    </row>
    <row r="8">
      <c r="B8" s="23" t="inlineStr">
        <is>
          <t>Dumped brew</t>
        </is>
      </c>
      <c r="C8" s="23" t="inlineStr">
        <is>
          <t>Slow afternoon</t>
        </is>
      </c>
      <c r="D8" s="40" t="n">
        <v>120</v>
      </c>
    </row>
    <row r="9">
      <c r="B9" s="50" t="inlineStr">
        <is>
          <t>Dropped inventory</t>
        </is>
      </c>
      <c r="C9" s="50" t="inlineStr">
        <is>
          <t>Breakage</t>
        </is>
      </c>
      <c r="D9" s="53" t="n">
        <v>80</v>
      </c>
    </row>
    <row r="10">
      <c r="B10" s="23" t="n"/>
      <c r="C10" s="23" t="n"/>
      <c r="D10" s="40" t="n"/>
    </row>
    <row r="11">
      <c r="B11" s="50" t="n"/>
      <c r="C11" s="50" t="n"/>
      <c r="D11" s="53" t="n"/>
    </row>
    <row r="12">
      <c r="B12" s="23" t="n"/>
      <c r="C12" s="23" t="n"/>
      <c r="D12" s="40" t="n"/>
    </row>
    <row r="13">
      <c r="B13" s="50" t="n"/>
      <c r="C13" s="50" t="n"/>
      <c r="D13" s="53" t="n"/>
    </row>
    <row r="14">
      <c r="B14" s="23" t="n"/>
      <c r="C14" s="23" t="n"/>
      <c r="D14" s="40" t="n"/>
    </row>
    <row r="15">
      <c r="B15" s="50" t="n"/>
      <c r="C15" s="50" t="n"/>
      <c r="D15" s="53" t="n"/>
    </row>
    <row r="16">
      <c r="B16" s="23" t="n"/>
      <c r="C16" s="23" t="n"/>
      <c r="D16" s="40" t="n"/>
    </row>
    <row r="17">
      <c r="B17" s="50" t="n"/>
      <c r="C17" s="50" t="n"/>
      <c r="D17" s="53" t="n"/>
    </row>
    <row r="18">
      <c r="B18" s="23" t="n"/>
      <c r="C18" s="23" t="n"/>
      <c r="D18" s="40" t="n"/>
    </row>
    <row r="19">
      <c r="B19" s="50" t="n"/>
      <c r="C19" s="50" t="n"/>
      <c r="D19" s="53" t="n"/>
    </row>
    <row r="20">
      <c r="B20" s="23" t="n"/>
      <c r="C20" s="23" t="n"/>
      <c r="D20" s="40" t="n"/>
    </row>
    <row r="21">
      <c r="B21" s="50" t="n"/>
      <c r="C21" s="50" t="n"/>
      <c r="D21" s="53" t="n"/>
    </row>
    <row r="22">
      <c r="B22" s="23" t="n"/>
      <c r="C22" s="23" t="n"/>
      <c r="D22" s="40" t="n"/>
    </row>
    <row r="23">
      <c r="B23" s="50" t="n"/>
      <c r="C23" s="50" t="n"/>
      <c r="D23" s="53" t="n"/>
    </row>
    <row r="24">
      <c r="B24" s="23" t="n"/>
      <c r="C24" s="23" t="n"/>
      <c r="D24" s="40" t="n"/>
    </row>
    <row r="25">
      <c r="B25" s="50" t="n"/>
      <c r="C25" s="50" t="n"/>
      <c r="D25" s="53" t="n"/>
    </row>
    <row r="26">
      <c r="B26" s="23" t="n"/>
      <c r="C26" s="23" t="n"/>
      <c r="D26" s="40" t="n"/>
    </row>
    <row r="27">
      <c r="B27" s="50" t="n"/>
      <c r="C27" s="50" t="n"/>
      <c r="D27" s="53" t="n"/>
    </row>
    <row r="28">
      <c r="B28" s="23" t="n"/>
      <c r="C28" s="23" t="n"/>
      <c r="D28" s="40" t="n"/>
    </row>
    <row r="29">
      <c r="B29" s="9" t="inlineStr">
        <is>
          <t>WEEKLY WASTE</t>
        </is>
      </c>
      <c r="C29" s="33" t="n"/>
      <c r="D29" s="57">
        <f>SUM(WasteCost)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🚚  ORDERING &amp; SUPPLIERS</t>
        </is>
      </c>
    </row>
    <row r="2" ht="22" customHeight="1">
      <c r="A2" s="2" t="inlineStr">
        <is>
          <t xml:space="preserve">  Your standing order — par quantities &amp; cost, by supplier.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Supplier</t>
        </is>
      </c>
      <c r="D4" s="9" t="inlineStr">
        <is>
          <t>Par Order</t>
        </is>
      </c>
      <c r="E4" s="9" t="inlineStr">
        <is>
          <t>Cost</t>
        </is>
      </c>
    </row>
    <row r="5">
      <c r="B5" s="50" t="inlineStr">
        <is>
          <t>Espresso beans (bulk)</t>
        </is>
      </c>
      <c r="C5" s="50" t="inlineStr">
        <is>
          <t>Roaster Co.</t>
        </is>
      </c>
      <c r="D5" s="51" t="n">
        <v>30</v>
      </c>
      <c r="E5" s="53" t="n">
        <v>390</v>
      </c>
    </row>
    <row r="6">
      <c r="B6" s="23" t="inlineStr">
        <is>
          <t>Milk (case)</t>
        </is>
      </c>
      <c r="C6" s="23" t="inlineStr">
        <is>
          <t>Dairy Direct</t>
        </is>
      </c>
      <c r="D6" s="54" t="n">
        <v>12</v>
      </c>
      <c r="E6" s="40" t="n">
        <v>54</v>
      </c>
    </row>
    <row r="7">
      <c r="B7" s="50" t="inlineStr">
        <is>
          <t>Cups &amp; lids</t>
        </is>
      </c>
      <c r="C7" s="50" t="inlineStr">
        <is>
          <t>PackSupply</t>
        </is>
      </c>
      <c r="D7" s="51" t="n">
        <v>2000</v>
      </c>
      <c r="E7" s="53" t="n">
        <v>168</v>
      </c>
    </row>
    <row r="8">
      <c r="B8" s="23" t="inlineStr">
        <is>
          <t>Pastries (par)</t>
        </is>
      </c>
      <c r="C8" s="23" t="inlineStr">
        <is>
          <t>Local Bakery</t>
        </is>
      </c>
      <c r="D8" s="54" t="n">
        <v>120</v>
      </c>
      <c r="E8" s="40" t="n">
        <v>144</v>
      </c>
    </row>
    <row r="9">
      <c r="B9" s="50" t="inlineStr">
        <is>
          <t>Syrups (case)</t>
        </is>
      </c>
      <c r="C9" s="50" t="inlineStr">
        <is>
          <t>FlavorHouse</t>
        </is>
      </c>
      <c r="D9" s="51" t="n">
        <v>12</v>
      </c>
      <c r="E9" s="53" t="n">
        <v>96</v>
      </c>
    </row>
    <row r="10">
      <c r="B10" s="23" t="n"/>
      <c r="C10" s="23" t="n"/>
      <c r="D10" s="54" t="n"/>
      <c r="E10" s="40" t="n"/>
    </row>
    <row r="11">
      <c r="B11" s="50" t="n"/>
      <c r="C11" s="50" t="n"/>
      <c r="D11" s="51" t="n"/>
      <c r="E11" s="53" t="n"/>
    </row>
    <row r="12">
      <c r="B12" s="23" t="n"/>
      <c r="C12" s="23" t="n"/>
      <c r="D12" s="54" t="n"/>
      <c r="E12" s="40" t="n"/>
    </row>
    <row r="13">
      <c r="B13" s="50" t="n"/>
      <c r="C13" s="50" t="n"/>
      <c r="D13" s="51" t="n"/>
      <c r="E13" s="53" t="n"/>
    </row>
    <row r="14">
      <c r="B14" s="23" t="n"/>
      <c r="C14" s="23" t="n"/>
      <c r="D14" s="54" t="n"/>
      <c r="E14" s="40" t="n"/>
    </row>
    <row r="15">
      <c r="B15" s="50" t="n"/>
      <c r="C15" s="50" t="n"/>
      <c r="D15" s="51" t="n"/>
      <c r="E15" s="53" t="n"/>
    </row>
    <row r="16">
      <c r="B16" s="23" t="n"/>
      <c r="C16" s="23" t="n"/>
      <c r="D16" s="54" t="n"/>
      <c r="E16" s="40" t="n"/>
    </row>
    <row r="17">
      <c r="B17" s="50" t="n"/>
      <c r="C17" s="50" t="n"/>
      <c r="D17" s="51" t="n"/>
      <c r="E17" s="53" t="n"/>
    </row>
    <row r="18">
      <c r="B18" s="23" t="n"/>
      <c r="C18" s="23" t="n"/>
      <c r="D18" s="54" t="n"/>
      <c r="E18" s="40" t="n"/>
    </row>
    <row r="19">
      <c r="B19" s="50" t="n"/>
      <c r="C19" s="50" t="n"/>
      <c r="D19" s="51" t="n"/>
      <c r="E19" s="53" t="n"/>
    </row>
    <row r="20">
      <c r="B20" s="23" t="n"/>
      <c r="C20" s="23" t="n"/>
      <c r="D20" s="54" t="n"/>
      <c r="E20" s="40" t="n"/>
    </row>
    <row r="21">
      <c r="B21" s="50" t="n"/>
      <c r="C21" s="50" t="n"/>
      <c r="D21" s="51" t="n"/>
      <c r="E21" s="53" t="n"/>
    </row>
    <row r="22">
      <c r="B22" s="23" t="n"/>
      <c r="C22" s="23" t="n"/>
      <c r="D22" s="54" t="n"/>
      <c r="E22" s="40" t="n"/>
    </row>
    <row r="23">
      <c r="B23" s="50" t="n"/>
      <c r="C23" s="50" t="n"/>
      <c r="D23" s="51" t="n"/>
      <c r="E23" s="53" t="n"/>
    </row>
    <row r="24">
      <c r="B24" s="23" t="n"/>
      <c r="C24" s="23" t="n"/>
      <c r="D24" s="54" t="n"/>
      <c r="E24" s="40" t="n"/>
    </row>
    <row r="25">
      <c r="B25" s="50" t="n"/>
      <c r="C25" s="50" t="n"/>
      <c r="D25" s="51" t="n"/>
      <c r="E25" s="53" t="n"/>
    </row>
    <row r="26">
      <c r="B26" s="23" t="n"/>
      <c r="C26" s="23" t="n"/>
      <c r="D26" s="54" t="n"/>
      <c r="E26" s="40" t="n"/>
    </row>
    <row r="27">
      <c r="B27" s="50" t="n"/>
      <c r="C27" s="50" t="n"/>
      <c r="D27" s="51" t="n"/>
      <c r="E27" s="53" t="n"/>
    </row>
    <row r="28">
      <c r="B28" s="23" t="n"/>
      <c r="C28" s="23" t="n"/>
      <c r="D28" s="54" t="n"/>
      <c r="E28" s="40" t="n"/>
    </row>
    <row r="29">
      <c r="B29" s="9" t="inlineStr">
        <is>
          <t>ORDER TOTAL</t>
        </is>
      </c>
      <c r="C29" s="33" t="n"/>
      <c r="D29" s="33" t="n"/>
      <c r="E29" s="47">
        <f>SUM(OrderCost)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💵  CASH &amp; TIPS</t>
        </is>
      </c>
    </row>
    <row r="2" ht="22" customHeight="1">
      <c r="A2" s="2" t="inlineStr">
        <is>
          <t xml:space="preserve">  Reconcile each day — cash, card &amp; tips, so the drawer always balances.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Day</t>
        </is>
      </c>
      <c r="C4" s="9" t="inlineStr">
        <is>
          <t>Cash</t>
        </is>
      </c>
      <c r="D4" s="9" t="inlineStr">
        <is>
          <t>Card</t>
        </is>
      </c>
      <c r="E4" s="9" t="inlineStr">
        <is>
          <t>Tips</t>
        </is>
      </c>
      <c r="F4" s="9" t="inlineStr">
        <is>
          <t>Total</t>
        </is>
      </c>
    </row>
    <row r="5">
      <c r="B5" s="20" t="inlineStr">
        <is>
          <t>Monday</t>
        </is>
      </c>
      <c r="C5" s="43" t="n">
        <v>380</v>
      </c>
      <c r="D5" s="43" t="n">
        <v>2070</v>
      </c>
      <c r="E5" s="43" t="n">
        <v>210</v>
      </c>
      <c r="F5" s="58">
        <f>C5+D5+E5</f>
        <v/>
      </c>
    </row>
    <row r="6">
      <c r="B6" s="23" t="inlineStr">
        <is>
          <t>Tuesday</t>
        </is>
      </c>
      <c r="C6" s="44" t="n">
        <v>410</v>
      </c>
      <c r="D6" s="44" t="n">
        <v>2270</v>
      </c>
      <c r="E6" s="44" t="n">
        <v>230</v>
      </c>
      <c r="F6" s="59">
        <f>C6+D6+E6</f>
        <v/>
      </c>
    </row>
    <row r="7">
      <c r="B7" s="20" t="inlineStr">
        <is>
          <t>Wednesday</t>
        </is>
      </c>
      <c r="C7" s="43" t="n">
        <v>420</v>
      </c>
      <c r="D7" s="43" t="n">
        <v>2349</v>
      </c>
      <c r="E7" s="43" t="n">
        <v>245</v>
      </c>
      <c r="F7" s="58">
        <f>C7+D7+E7</f>
        <v/>
      </c>
    </row>
    <row r="8">
      <c r="B8" s="23" t="inlineStr">
        <is>
          <t>Thursday</t>
        </is>
      </c>
      <c r="C8" s="44" t="n">
        <v>440</v>
      </c>
      <c r="D8" s="44" t="n">
        <v>2460</v>
      </c>
      <c r="E8" s="44" t="n">
        <v>255</v>
      </c>
      <c r="F8" s="59">
        <f>C8+D8+E8</f>
        <v/>
      </c>
    </row>
    <row r="9">
      <c r="B9" s="20" t="inlineStr">
        <is>
          <t>Friday</t>
        </is>
      </c>
      <c r="C9" s="43" t="n">
        <v>520</v>
      </c>
      <c r="D9" s="43" t="n">
        <v>2830</v>
      </c>
      <c r="E9" s="43" t="n">
        <v>300</v>
      </c>
      <c r="F9" s="58">
        <f>C9+D9+E9</f>
        <v/>
      </c>
    </row>
    <row r="10">
      <c r="B10" s="23" t="inlineStr">
        <is>
          <t>Saturday</t>
        </is>
      </c>
      <c r="C10" s="44" t="n">
        <v>560</v>
      </c>
      <c r="D10" s="44" t="n">
        <v>3040</v>
      </c>
      <c r="E10" s="44" t="n">
        <v>330</v>
      </c>
      <c r="F10" s="59">
        <f>C10+D10+E10</f>
        <v/>
      </c>
    </row>
    <row r="11">
      <c r="B11" s="20" t="inlineStr">
        <is>
          <t>Sunday</t>
        </is>
      </c>
      <c r="C11" s="43" t="n">
        <v>320</v>
      </c>
      <c r="D11" s="43" t="n">
        <v>1780</v>
      </c>
      <c r="E11" s="43" t="n">
        <v>190</v>
      </c>
      <c r="F11" s="58">
        <f>C11+D11+E11</f>
        <v/>
      </c>
    </row>
    <row r="12">
      <c r="B12" s="9" t="inlineStr">
        <is>
          <t>WEEK TOTAL</t>
        </is>
      </c>
      <c r="C12" s="46">
        <f>SUM(C5:C11)</f>
        <v/>
      </c>
      <c r="D12" s="46">
        <f>SUM(D5:D11)</f>
        <v/>
      </c>
      <c r="E12" s="46">
        <f>SUM(E5:E11)</f>
        <v/>
      </c>
      <c r="F12" s="46">
        <f>SUM(F5:F11)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4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⭐  REGULARS</t>
        </is>
      </c>
    </row>
    <row r="2" ht="22" customHeight="1">
      <c r="A2" s="2" t="inlineStr">
        <is>
          <t xml:space="preserve">  Your best customers &amp; their usual — regulars are the backbone of a cafe.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Regular</t>
        </is>
      </c>
      <c r="C4" s="9" t="inlineStr">
        <is>
          <t>Usual Order</t>
        </is>
      </c>
      <c r="D4" s="9" t="inlineStr">
        <is>
          <t>Visits/wk</t>
        </is>
      </c>
      <c r="E4" s="9" t="inlineStr">
        <is>
          <t>Spend/wk</t>
        </is>
      </c>
    </row>
    <row r="5">
      <c r="B5" s="20" t="inlineStr">
        <is>
          <t>Morning Marcus</t>
        </is>
      </c>
      <c r="C5" s="20" t="inlineStr">
        <is>
          <t>Oat Latte</t>
        </is>
      </c>
      <c r="D5" s="36" t="n">
        <v>5</v>
      </c>
      <c r="E5" s="35" t="n">
        <v>26.25</v>
      </c>
    </row>
    <row r="6">
      <c r="B6" s="23" t="inlineStr">
        <is>
          <t>Study Sara</t>
        </is>
      </c>
      <c r="C6" s="23" t="inlineStr">
        <is>
          <t>Cold Brew + Toast</t>
        </is>
      </c>
      <c r="D6" s="39" t="n">
        <v>4</v>
      </c>
      <c r="E6" s="38" t="n">
        <v>58</v>
      </c>
    </row>
    <row r="7">
      <c r="B7" s="20" t="inlineStr">
        <is>
          <t>Quick Quinn</t>
        </is>
      </c>
      <c r="C7" s="20" t="inlineStr">
        <is>
          <t>Drip Coffee</t>
        </is>
      </c>
      <c r="D7" s="36" t="n">
        <v>6</v>
      </c>
      <c r="E7" s="35" t="n">
        <v>19.5</v>
      </c>
    </row>
    <row r="8">
      <c r="B8" s="23" t="inlineStr">
        <is>
          <t>Weekend Wes</t>
        </is>
      </c>
      <c r="C8" s="23" t="inlineStr">
        <is>
          <t>Mocha</t>
        </is>
      </c>
      <c r="D8" s="39" t="n">
        <v>2</v>
      </c>
      <c r="E8" s="38" t="n">
        <v>11.5</v>
      </c>
    </row>
    <row r="9">
      <c r="B9" s="20" t="inlineStr">
        <is>
          <t>Chai Chloe</t>
        </is>
      </c>
      <c r="C9" s="20" t="inlineStr">
        <is>
          <t>Chai Latte</t>
        </is>
      </c>
      <c r="D9" s="36" t="n">
        <v>5</v>
      </c>
      <c r="E9" s="35" t="n">
        <v>26.25</v>
      </c>
    </row>
    <row r="10">
      <c r="B10" s="9" t="inlineStr">
        <is>
          <t>REGULARS / WK</t>
        </is>
      </c>
      <c r="C10" s="33" t="n"/>
      <c r="D10" s="33" t="n"/>
      <c r="E10" s="46">
        <f>SUM(RegSpend)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cafe,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CAFE</t>
        </is>
      </c>
      <c r="E5" s="4" t="inlineStr">
        <is>
          <t>DROPDOWN LISTS</t>
        </is>
      </c>
    </row>
    <row r="6">
      <c r="B6" s="41" t="inlineStr">
        <is>
          <t>Cafe name</t>
        </is>
      </c>
      <c r="C6" s="60" t="inlineStr">
        <is>
          <t>Wildroot Coffee</t>
        </is>
      </c>
      <c r="E6" s="9" t="inlineStr">
        <is>
          <t>Unit</t>
        </is>
      </c>
      <c r="F6" s="9" t="inlineStr">
        <is>
          <t>Category</t>
        </is>
      </c>
      <c r="G6" s="9" t="inlineStr">
        <is>
          <t>Role</t>
        </is>
      </c>
      <c r="H6" s="9" t="inlineStr">
        <is>
          <t>Yes / No</t>
        </is>
      </c>
    </row>
    <row r="7">
      <c r="B7" s="41" t="inlineStr">
        <is>
          <t>Owner</t>
        </is>
      </c>
      <c r="C7" s="60" t="inlineStr">
        <is>
          <t>Priya</t>
        </is>
      </c>
      <c r="E7" s="20" t="inlineStr">
        <is>
          <t>g</t>
        </is>
      </c>
      <c r="F7" s="20" t="inlineStr">
        <is>
          <t>Espresso</t>
        </is>
      </c>
      <c r="G7" s="20" t="inlineStr">
        <is>
          <t>Lead Barista</t>
        </is>
      </c>
      <c r="H7" s="20" t="inlineStr">
        <is>
          <t>Yes</t>
        </is>
      </c>
    </row>
    <row r="8">
      <c r="B8" s="41" t="inlineStr">
        <is>
          <t>Target beverage-cost %</t>
        </is>
      </c>
      <c r="C8" s="61" t="n">
        <v>0.28</v>
      </c>
      <c r="E8" s="20" t="inlineStr">
        <is>
          <t>oz</t>
        </is>
      </c>
      <c r="F8" s="20" t="inlineStr">
        <is>
          <t>Brewed</t>
        </is>
      </c>
      <c r="G8" s="20" t="inlineStr">
        <is>
          <t>Barista</t>
        </is>
      </c>
      <c r="H8" s="20" t="inlineStr">
        <is>
          <t>No</t>
        </is>
      </c>
    </row>
    <row r="9">
      <c r="B9" s="41" t="inlineStr">
        <is>
          <t>Target labor %</t>
        </is>
      </c>
      <c r="C9" s="61" t="n">
        <v>0.3</v>
      </c>
      <c r="E9" s="20" t="inlineStr">
        <is>
          <t>each</t>
        </is>
      </c>
      <c r="F9" s="20" t="inlineStr">
        <is>
          <t>Cold</t>
        </is>
      </c>
      <c r="G9" s="20" t="inlineStr">
        <is>
          <t>Shift Sup</t>
        </is>
      </c>
    </row>
    <row r="10">
      <c r="B10" s="41" t="inlineStr">
        <is>
          <t>Avg-ticket goal</t>
        </is>
      </c>
      <c r="C10" s="43" t="n">
        <v>8</v>
      </c>
      <c r="E10" s="20" t="inlineStr">
        <is>
          <t>ml</t>
        </is>
      </c>
      <c r="F10" s="20" t="inlineStr">
        <is>
          <t>Tea</t>
        </is>
      </c>
      <c r="G10" s="20" t="inlineStr">
        <is>
          <t>Baker</t>
        </is>
      </c>
    </row>
    <row r="11">
      <c r="B11" s="41" t="inlineStr">
        <is>
          <t>Currency</t>
        </is>
      </c>
      <c r="C11" s="60" t="inlineStr">
        <is>
          <t>USD ($)</t>
        </is>
      </c>
      <c r="E11" s="20" t="inlineStr">
        <is>
          <t>shot</t>
        </is>
      </c>
      <c r="F11" s="20" t="inlineStr">
        <is>
          <t>Food</t>
        </is>
      </c>
      <c r="G11" s="20" t="inlineStr">
        <is>
          <t>Cashier</t>
        </is>
      </c>
    </row>
    <row r="12">
      <c r="E12" s="20" t="inlineStr">
        <is>
          <t>pump</t>
        </is>
      </c>
      <c r="F12" s="20" t="inlineStr">
        <is>
          <t>Pastry</t>
        </is>
      </c>
    </row>
    <row r="13">
      <c r="E13" s="20" t="inlineStr">
        <is>
          <t>lb</t>
        </is>
      </c>
      <c r="F13" s="20" t="inlineStr">
        <is>
          <t>Retail</t>
        </is>
      </c>
    </row>
    <row r="14">
      <c r="E14" s="20" t="inlineStr">
        <is>
          <t>gal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2026-07-22T02:36:29Z</dcterms:created>
  <dcterms:modified xsi:type="dcterms:W3CDTF">2026-07-22T02:36:29Z</dcterms:modified>
</cp:coreProperties>
</file>