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Goals &amp; Stats" sheetId="3" state="visible" r:id="rId3"/>
    <sheet name="Meal Plan" sheetId="4" state="visible" r:id="rId4"/>
    <sheet name="Recipe Bank" sheetId="5" state="visible" r:id="rId5"/>
    <sheet name="Grocery List" sheetId="6" state="visible" r:id="rId6"/>
    <sheet name="Macro Tracker" sheetId="7" state="visible" r:id="rId7"/>
    <sheet name="Workout Plan" sheetId="8" state="visible" r:id="rId8"/>
    <sheet name="Workout Log" sheetId="9" state="visible" r:id="rId9"/>
    <sheet name="Body Metrics" sheetId="10" state="visible" r:id="rId10"/>
    <sheet name="Habit Tracker" sheetId="11" state="visible" r:id="rId11"/>
    <sheet name="Settings" sheetId="12" state="visible" r:id="rId12"/>
  </sheets>
  <definedNames>
    <definedName name="Name">Settings!$C$6</definedName>
    <definedName name="StartWt">Settings!$C$7</definedName>
    <definedName name="CurrentWt">Settings!$C$8</definedName>
    <definedName name="GoalWt">Settings!$C$9</definedName>
    <definedName name="CalTarget">Settings!$C$10</definedName>
    <definedName name="ProteinTarget">Settings!$C$11</definedName>
    <definedName name="WaterTarget">Settings!$C$12</definedName>
    <definedName name="StepGoal">Settings!$C$13</definedName>
    <definedName name="WeeklyWorkoutGoal">Settings!$C$14</definedName>
    <definedName name="SlotList">Settings!$E$7:$E$10</definedName>
    <definedName name="CatList">Settings!$F$7:$F$10</definedName>
    <definedName name="AisleList">Settings!$G$7:$G$13</definedName>
    <definedName name="FocusList">Settings!$H$7:$H$15</definedName>
    <definedName name="YesNoList">Settings!$I$7:$I$8</definedName>
    <definedName name="RecipeName">'Recipe Bank'!$B$5:$B$34</definedName>
    <definedName name="RecipeCal">'Recipe Bank'!$D$5:$D$34</definedName>
    <definedName name="RecipeProtein">'Recipe Bank'!$E$5:$E$34</definedName>
    <definedName name="PlanCal">'Meal Plan'!$G$5:$G$11</definedName>
    <definedName name="GroceryHave">'Grocery List'!$D$5:$D$34</definedName>
    <definedName name="GroceryItem">'Grocery List'!$B$5:$B$34</definedName>
    <definedName name="MacroCal">'Macro Tracker'!$C$5:$C$49</definedName>
    <definedName name="MacroProtein">'Macro Tracker'!$D$5:$D$49</definedName>
    <definedName name="WorkoutDone">'Workout Plan'!$D$5:$D$11</definedName>
    <definedName name="WeightVal">'Body Metrics'!$C$5:$C$13</definedName>
    <definedName name="WeightWk">'Body Metrics'!$B$5:$B$13</definedName>
    <definedName name="HabitWater">'Habit Tracker'!$C$5:$C$49</definedName>
    <definedName name="HabitSleep">'Habit Tracker'!$D$5:$D$49</definedName>
    <definedName name="HabitSteps">'Habit Tracker'!$E$5:$E$49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mm/dd/yyyy"/>
    <numFmt numFmtId="167" formatCode="+0.0;[Red]-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  <font>
      <b val="1"/>
      <color rgb="001B4F48"/>
      <sz val="13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5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1" fillId="8" borderId="3" applyAlignment="1" pivotButton="0" quotePrefix="0" xfId="0">
      <alignment horizontal="center" vertical="center"/>
    </xf>
    <xf numFmtId="0" fontId="0" fillId="8" borderId="3" pivotButton="0" quotePrefix="0" xfId="0"/>
    <xf numFmtId="164" fontId="12" fillId="8" borderId="2" applyAlignment="1" pivotButton="0" quotePrefix="0" xfId="0">
      <alignment horizontal="center" vertical="center"/>
    </xf>
    <xf numFmtId="0" fontId="0" fillId="8" borderId="2" pivotButton="0" quotePrefix="0" xfId="0"/>
    <xf numFmtId="3" fontId="12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9" fontId="12" fillId="8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9" fontId="10" fillId="6" borderId="2" applyAlignment="1" pivotButton="0" quotePrefix="0" xfId="6">
      <alignment horizontal="center" vertical="center" wrapText="1"/>
    </xf>
    <xf numFmtId="0" fontId="10" fillId="0" borderId="2" applyAlignment="1" pivotButton="0" quotePrefix="0" xfId="7">
      <alignment horizontal="left" vertical="center" wrapText="1" indent="1"/>
    </xf>
    <xf numFmtId="0" fontId="10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" fontId="10" fillId="3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3" fontId="7" fillId="9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7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8">
      <alignment horizontal="center" vertical="center"/>
    </xf>
    <xf numFmtId="167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7" fontId="7" fillId="6" borderId="2" applyAlignment="1" pivotButton="0" quotePrefix="0" xfId="10">
      <alignment horizontal="left" vertical="center" indent="1"/>
    </xf>
    <xf numFmtId="164" fontId="6" fillId="8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1">
    <dxf>
      <fill>
        <patternFill patternType="solid">
          <fgColor rgb="00E3F8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 Trend</a:t>
            </a:r>
          </a:p>
        </rich>
      </tx>
    </title>
    <plotArea>
      <lineChart>
        <grouping val="standard"/>
        <ser>
          <idx val="0"/>
          <order val="0"/>
          <tx>
            <strRef>
              <f>'Body Metrics'!C4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 Metrics'!$B$5:$B$13</f>
            </numRef>
          </cat>
          <val>
            <numRef>
              <f>'Body Metrics'!$C$5:$C$13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 Trend</a:t>
            </a:r>
          </a:p>
        </rich>
      </tx>
    </title>
    <plotArea>
      <lineChart>
        <grouping val="standard"/>
        <ser>
          <idx val="0"/>
          <order val="0"/>
          <tx>
            <strRef>
              <f>'Body Metrics'!C4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'Body Metrics'!$B$5:$B$13</f>
            </numRef>
          </cat>
          <val>
            <numRef>
              <f>'Body Metrics'!$C$5:$C$13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💪  FITNESS &amp; MEAL-PREP COMMAND CENTER™</t>
        </is>
      </c>
    </row>
    <row r="2" ht="24" customHeight="1">
      <c r="A2" s="2" t="inlineStr">
        <is>
          <t xml:space="preserve">  Plan the food, log the lifts, track the body &amp; build the habit — all in one place.</t>
        </is>
      </c>
    </row>
    <row r="3" ht="6" customHeight="1">
      <c r="A3" s="3" t="n"/>
      <c r="B3" s="3" t="n"/>
      <c r="C3" s="3" t="n"/>
    </row>
    <row r="5">
      <c r="B5" s="4" t="inlineStr">
        <is>
          <t>YOUR WHOLE HEALTH ROUTINE, IN ONE PLACE</t>
        </is>
      </c>
    </row>
    <row r="6" ht="22" customHeight="1">
      <c r="B6" s="5" t="inlineStr">
        <is>
          <t>Set your stats &amp; targets, plan a week of meals from a reusable recipe bank, auto-build a grocery list, log your macros, follow a weekly workout split, record every lift, and track your weight, water, sleep &amp; steps — all in ONE premium Google Sheets &amp; Excel system. Everything rolls up into a live Fitness Score so you can see, at a glance, whether you're on track for your goal. Simple enough for a beginner, detailed enough for a nerd.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weight, calorie &amp; protein targets, and weekly goals.</t>
        </is>
      </c>
    </row>
    <row r="13" ht="22" customHeight="1">
      <c r="B13" s="8" t="inlineStr">
        <is>
          <t>2.  Fill the Recipe Bank, then drag recipes into the Weekly Meal Plan.</t>
        </is>
      </c>
    </row>
    <row r="14" ht="22" customHeight="1">
      <c r="B14" s="8" t="inlineStr">
        <is>
          <t>3.  Build your Grocery List from the plan — check off what you already have.</t>
        </is>
      </c>
    </row>
    <row r="15" ht="22" customHeight="1">
      <c r="B15" s="8" t="inlineStr">
        <is>
          <t>4.  Log your macros daily; the tracker averages calories &amp; protein vs target.</t>
        </is>
      </c>
    </row>
    <row r="16" ht="22" customHeight="1">
      <c r="B16" s="8" t="inlineStr">
        <is>
          <t>5.  Follow the Workout Plan &amp; log each lift; update Body Metrics weekly.</t>
        </is>
      </c>
    </row>
    <row r="17" ht="22" customHeight="1">
      <c r="B17" s="8" t="inlineStr">
        <is>
          <t>6.  Check the Dashboard: weight to goal, macros, workouts &amp; a Fitness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person is included so you can see how it all connects — just type over it with your own. Your weight, macros, workouts &amp; habits roll up into a live Fitness Score. Twelve matching printable pages (meal planner, grocery list, workout log, macro tracker, progress chart &amp; more) are included to print and keep. This is a general wellness tool, not medical, nutrition or training advice — talk to a doctor or qualified professional before starting any new diet or program.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Consistency beats intensity — show up, log it, and let the score climb.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💪  FITNESS &amp; MEAL-PREP COMMAND CENTER™</t>
        </is>
      </c>
    </row>
    <row r="2" ht="24" customHeight="1">
      <c r="A2" s="2" t="inlineStr">
        <is>
          <t xml:space="preserve">  Weight, macros, workouts &amp; habits — your whole health routine, automatically tracked.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CURRENT WEIGHT</t>
        </is>
      </c>
      <c r="C5" s="13" t="n"/>
      <c r="D5" s="12" t="inlineStr">
        <is>
          <t>GOAL WEIGHT</t>
        </is>
      </c>
      <c r="E5" s="13" t="n"/>
      <c r="F5" s="12" t="inlineStr">
        <is>
          <t>LBS TO GO</t>
        </is>
      </c>
      <c r="G5" s="13" t="n"/>
      <c r="H5" s="12" t="inlineStr">
        <is>
          <t>LOST SO FAR</t>
        </is>
      </c>
      <c r="I5" s="13" t="n"/>
      <c r="J5" s="12" t="inlineStr">
        <is>
          <t>CALORIE TARGET</t>
        </is>
      </c>
      <c r="K5" s="13" t="n"/>
      <c r="L5" s="12" t="inlineStr">
        <is>
          <t>AVG CALORIES</t>
        </is>
      </c>
      <c r="M5" s="13" t="n"/>
    </row>
    <row r="6" ht="40" customHeight="1">
      <c r="B6" s="14">
        <f>CurrentWt</f>
        <v/>
      </c>
      <c r="C6" s="15" t="n"/>
      <c r="D6" s="14">
        <f>GoalWt</f>
        <v/>
      </c>
      <c r="E6" s="15" t="n"/>
      <c r="F6" s="14">
        <f>CurrentWt-GoalWt</f>
        <v/>
      </c>
      <c r="G6" s="15" t="n"/>
      <c r="H6" s="14">
        <f>StartWt-CurrentWt</f>
        <v/>
      </c>
      <c r="I6" s="15" t="n"/>
      <c r="J6" s="16">
        <f>CalTarget</f>
        <v/>
      </c>
      <c r="K6" s="15" t="n"/>
      <c r="L6" s="16">
        <f>IFERROR(ROUND(AVERAGE(MacroCal),0),0)</f>
        <v/>
      </c>
      <c r="M6" s="15" t="n"/>
    </row>
    <row r="8" ht="18" customHeight="1">
      <c r="B8" s="12" t="inlineStr">
        <is>
          <t>PROTEIN TARGET</t>
        </is>
      </c>
      <c r="C8" s="13" t="n"/>
      <c r="D8" s="12" t="inlineStr">
        <is>
          <t>AVG PROTEIN</t>
        </is>
      </c>
      <c r="E8" s="13" t="n"/>
      <c r="F8" s="12" t="inlineStr">
        <is>
          <t>WORKOUTS / WK</t>
        </is>
      </c>
      <c r="G8" s="13" t="n"/>
      <c r="H8" s="12" t="inlineStr">
        <is>
          <t>STEPS AVG</t>
        </is>
      </c>
      <c r="I8" s="13" t="n"/>
      <c r="J8" s="12" t="inlineStr">
        <is>
          <t>WATER AVG</t>
        </is>
      </c>
      <c r="K8" s="13" t="n"/>
      <c r="L8" s="12" t="inlineStr">
        <is>
          <t>FITNESS SCORE</t>
        </is>
      </c>
      <c r="M8" s="13" t="n"/>
    </row>
    <row r="9" ht="40" customHeight="1">
      <c r="B9" s="16">
        <f>ProteinTarget</f>
        <v/>
      </c>
      <c r="C9" s="15" t="n"/>
      <c r="D9" s="16">
        <f>IFERROR(ROUND(AVERAGE(MacroProtein),0),0)</f>
        <v/>
      </c>
      <c r="E9" s="15" t="n"/>
      <c r="F9" s="17">
        <f>COUNTIF(WorkoutDone,"Yes")&amp;" / "&amp;WeeklyWorkoutGoal</f>
        <v/>
      </c>
      <c r="G9" s="15" t="n"/>
      <c r="H9" s="16">
        <f>IFERROR(ROUND(AVERAGE(HabitSteps),0),0)</f>
        <v/>
      </c>
      <c r="I9" s="15" t="n"/>
      <c r="J9" s="14">
        <f>IFERROR(ROUND(AVERAGE(HabitWater),1),0)</f>
        <v/>
      </c>
      <c r="K9" s="15" t="n"/>
      <c r="L9" s="18">
        <f>IFERROR(AVERAGE(HealthRange),0)</f>
        <v/>
      </c>
      <c r="M9" s="15" t="n"/>
    </row>
    <row r="11" ht="26" customHeight="1">
      <c r="B11" s="4" t="inlineStr">
        <is>
          <t>FITNESS SCORE</t>
        </is>
      </c>
      <c r="H11" s="4" t="inlineStr">
        <is>
          <t>WEIGHT TREND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Weight to goal</t>
        </is>
      </c>
      <c r="C13" s="20">
        <f>IFERROR((StartWt-CurrentWt)/(StartWt-GoalWt),0)</f>
        <v/>
      </c>
      <c r="D13" s="21">
        <f>IF(C13&gt;=0.85,"Strong",IF(C13&gt;=0.6,"On track","Focus"))</f>
        <v/>
      </c>
    </row>
    <row r="14">
      <c r="B14" s="22" t="inlineStr">
        <is>
          <t>Protein hit</t>
        </is>
      </c>
      <c r="C14" s="23">
        <f>IFERROR(MIN(AVERAGE(MacroProtein)/ProteinTarget,1),0)</f>
        <v/>
      </c>
      <c r="D14" s="24">
        <f>IF(C14&gt;=0.85,"Strong",IF(C14&gt;=0.6,"On track","Focus"))</f>
        <v/>
      </c>
    </row>
    <row r="15">
      <c r="B15" s="19" t="inlineStr">
        <is>
          <t>Calories on target</t>
        </is>
      </c>
      <c r="C15" s="20">
        <f>IFERROR(1-ABS(AVERAGE(MacroCal)-CalTarget)/CalTarget,0)</f>
        <v/>
      </c>
      <c r="D15" s="21">
        <f>IF(C15&gt;=0.85,"Strong",IF(C15&gt;=0.6,"On track","Focus"))</f>
        <v/>
      </c>
    </row>
    <row r="16">
      <c r="B16" s="22" t="inlineStr">
        <is>
          <t>Workouts done</t>
        </is>
      </c>
      <c r="C16" s="23">
        <f>IFERROR(MIN(COUNTIF(WorkoutDone,"Yes")/WeeklyWorkoutGoal,1),0)</f>
        <v/>
      </c>
      <c r="D16" s="24">
        <f>IF(C16&gt;=0.85,"Strong",IF(C16&gt;=0.6,"On track","Focus"))</f>
        <v/>
      </c>
    </row>
    <row r="17">
      <c r="B17" s="19" t="inlineStr">
        <is>
          <t>Steps</t>
        </is>
      </c>
      <c r="C17" s="20">
        <f>IFERROR(MIN(AVERAGE(HabitSteps)/StepGoal,1),0)</f>
        <v/>
      </c>
      <c r="D17" s="21">
        <f>IF(C17&gt;=0.85,"Strong",IF(C17&gt;=0.6,"On track","Focus"))</f>
        <v/>
      </c>
    </row>
    <row r="18">
      <c r="B18" s="22" t="inlineStr">
        <is>
          <t>Water</t>
        </is>
      </c>
      <c r="C18" s="23">
        <f>IFERROR(MIN(AVERAGE(HabitWater)/WaterTarget,1),0)</f>
        <v/>
      </c>
      <c r="D18" s="24">
        <f>IF(C18&gt;=0.85,"Strong",IF(C18&gt;=0.6,"On track","Focus"))</f>
        <v/>
      </c>
    </row>
    <row r="21" ht="26" customHeight="1">
      <c r="B21" s="2" t="inlineStr">
        <is>
          <t>Fitness &amp; Meal-Prep Command Center™ — plan the food, log the lifts, track the body.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🎯  GOALS &amp; STATS</t>
        </is>
      </c>
    </row>
    <row r="2" ht="22" customHeight="1">
      <c r="A2" s="2" t="inlineStr">
        <is>
          <t xml:space="preserve">  Your targets in one place — the numbers every other tab measures against.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>
      <c r="B5" s="4" t="inlineStr">
        <is>
          <t>BODY</t>
        </is>
      </c>
      <c r="E5" s="4" t="inlineStr">
        <is>
          <t>NUTRITION &amp; ACTIVITY</t>
        </is>
      </c>
    </row>
    <row r="6">
      <c r="B6" s="19" t="inlineStr">
        <is>
          <t>Start weight (lb)</t>
        </is>
      </c>
      <c r="C6" s="25">
        <f>StartWt</f>
        <v/>
      </c>
      <c r="E6" s="19" t="inlineStr">
        <is>
          <t>Calorie target</t>
        </is>
      </c>
      <c r="F6" s="26">
        <f>CalTarget</f>
        <v/>
      </c>
    </row>
    <row r="7">
      <c r="B7" s="19" t="inlineStr">
        <is>
          <t>Current weight (lb)</t>
        </is>
      </c>
      <c r="C7" s="25">
        <f>CurrentWt</f>
        <v/>
      </c>
      <c r="E7" s="19" t="inlineStr">
        <is>
          <t>Avg calories (14d)</t>
        </is>
      </c>
      <c r="F7" s="26">
        <f>IFERROR(AVERAGE(MacroCal),0)</f>
        <v/>
      </c>
    </row>
    <row r="8">
      <c r="B8" s="19" t="inlineStr">
        <is>
          <t>Goal weight (lb)</t>
        </is>
      </c>
      <c r="C8" s="25">
        <f>GoalWt</f>
        <v/>
      </c>
      <c r="E8" s="19" t="inlineStr">
        <is>
          <t>Protein target (g)</t>
        </is>
      </c>
      <c r="F8" s="26">
        <f>ProteinTarget</f>
        <v/>
      </c>
    </row>
    <row r="9">
      <c r="B9" s="19" t="inlineStr">
        <is>
          <t>Lost so far (lb)</t>
        </is>
      </c>
      <c r="C9" s="25">
        <f>StartWt-CurrentWt</f>
        <v/>
      </c>
      <c r="E9" s="19" t="inlineStr">
        <is>
          <t>Avg protein (g)</t>
        </is>
      </c>
      <c r="F9" s="26">
        <f>IFERROR(AVERAGE(MacroProtein),0)</f>
        <v/>
      </c>
    </row>
    <row r="10">
      <c r="B10" s="19" t="inlineStr">
        <is>
          <t>To go (lb)</t>
        </is>
      </c>
      <c r="C10" s="25">
        <f>CurrentWt-GoalWt</f>
        <v/>
      </c>
      <c r="E10" s="19" t="inlineStr">
        <is>
          <t>Weekly workout goal</t>
        </is>
      </c>
      <c r="F10" s="27">
        <f>WeeklyWorkoutGoal</f>
        <v/>
      </c>
    </row>
    <row r="11">
      <c r="B11" s="19" t="inlineStr">
        <is>
          <t>% to goal</t>
        </is>
      </c>
      <c r="C11" s="28">
        <f>IFERROR((StartWt-CurrentWt)/(StartWt-GoalWt),0)</f>
        <v/>
      </c>
      <c r="E11" s="19" t="inlineStr">
        <is>
          <t>Daily step goal</t>
        </is>
      </c>
      <c r="F11" s="26">
        <f>StepGoal</f>
        <v/>
      </c>
    </row>
    <row r="13">
      <c r="B13" s="7" t="inlineStr">
        <is>
          <t>Set your targets in Settings — everything here follows automatically.</t>
        </is>
      </c>
    </row>
  </sheetData>
  <mergeCells count="4">
    <mergeCell ref="A2:F2"/>
    <mergeCell ref="E5:F5"/>
    <mergeCell ref="B5:C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26" customWidth="1" min="4" max="4"/>
    <col width="26" customWidth="1" min="5" max="5"/>
    <col width="22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🍽  WEEKLY MEAL PLAN</t>
        </is>
      </c>
    </row>
    <row r="2" ht="22" customHeight="1">
      <c r="A2" s="2" t="inlineStr">
        <is>
          <t xml:space="preserve">  A full week of meals — pull from your recipe bank and keep each day near target.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Day</t>
        </is>
      </c>
      <c r="C4" s="9" t="inlineStr">
        <is>
          <t>Breakfast</t>
        </is>
      </c>
      <c r="D4" s="9" t="inlineStr">
        <is>
          <t>Lunch</t>
        </is>
      </c>
      <c r="E4" s="9" t="inlineStr">
        <is>
          <t>Dinner</t>
        </is>
      </c>
      <c r="F4" s="9" t="inlineStr">
        <is>
          <t>Snack</t>
        </is>
      </c>
      <c r="G4" s="9" t="inlineStr">
        <is>
          <t>Calories</t>
        </is>
      </c>
    </row>
    <row r="5">
      <c r="B5" s="29" t="inlineStr">
        <is>
          <t>Monday</t>
        </is>
      </c>
      <c r="C5" s="19" t="inlineStr">
        <is>
          <t>Overnight Oats &amp; Berries</t>
        </is>
      </c>
      <c r="D5" s="19" t="inlineStr">
        <is>
          <t>Chicken &amp; Rice Bowl</t>
        </is>
      </c>
      <c r="E5" s="19" t="inlineStr">
        <is>
          <t>Salmon &amp; Roasted Veg</t>
        </is>
      </c>
      <c r="F5" s="19" t="inlineStr">
        <is>
          <t>Protein Smoothie</t>
        </is>
      </c>
      <c r="G5" s="26" t="n">
        <v>1720</v>
      </c>
    </row>
    <row r="6">
      <c r="B6" s="30" t="inlineStr">
        <is>
          <t>Tuesday</t>
        </is>
      </c>
      <c r="C6" s="22" t="inlineStr">
        <is>
          <t>Greek Yogurt Protein Bowl</t>
        </is>
      </c>
      <c r="D6" s="22" t="inlineStr">
        <is>
          <t>Turkey Hummus Wrap</t>
        </is>
      </c>
      <c r="E6" s="22" t="inlineStr">
        <is>
          <t>Lean Beef Stir-Fry</t>
        </is>
      </c>
      <c r="F6" s="22" t="inlineStr">
        <is>
          <t>Cottage Cheese &amp; Fruit</t>
        </is>
      </c>
      <c r="G6" s="31" t="n">
        <v>1570</v>
      </c>
    </row>
    <row r="7">
      <c r="B7" s="29" t="inlineStr">
        <is>
          <t>Wednesday</t>
        </is>
      </c>
      <c r="C7" s="19" t="inlineStr">
        <is>
          <t>Veggie Egg Scramble</t>
        </is>
      </c>
      <c r="D7" s="19" t="inlineStr">
        <is>
          <t>Tuna Quinoa Salad</t>
        </is>
      </c>
      <c r="E7" s="19" t="inlineStr">
        <is>
          <t>Chicken Fajita Bowl</t>
        </is>
      </c>
      <c r="F7" s="19" t="inlineStr">
        <is>
          <t>Apple &amp; Peanut Butter</t>
        </is>
      </c>
      <c r="G7" s="26" t="n">
        <v>1570</v>
      </c>
    </row>
    <row r="8">
      <c r="B8" s="30" t="inlineStr">
        <is>
          <t>Thursday</t>
        </is>
      </c>
      <c r="C8" s="22" t="inlineStr">
        <is>
          <t>Overnight Oats &amp; Berries</t>
        </is>
      </c>
      <c r="D8" s="22" t="inlineStr">
        <is>
          <t>Chicken &amp; Rice Bowl</t>
        </is>
      </c>
      <c r="E8" s="22" t="inlineStr">
        <is>
          <t>Salmon &amp; Roasted Veg</t>
        </is>
      </c>
      <c r="F8" s="22" t="inlineStr">
        <is>
          <t>Protein Smoothie</t>
        </is>
      </c>
      <c r="G8" s="31" t="n">
        <v>1720</v>
      </c>
    </row>
    <row r="9">
      <c r="B9" s="29" t="inlineStr">
        <is>
          <t>Friday</t>
        </is>
      </c>
      <c r="C9" s="19" t="inlineStr">
        <is>
          <t>Greek Yogurt Protein Bowl</t>
        </is>
      </c>
      <c r="D9" s="19" t="inlineStr">
        <is>
          <t>Turkey Hummus Wrap</t>
        </is>
      </c>
      <c r="E9" s="19" t="inlineStr">
        <is>
          <t>Lean Beef Stir-Fry</t>
        </is>
      </c>
      <c r="F9" s="19" t="inlineStr">
        <is>
          <t>Cottage Cheese &amp; Fruit</t>
        </is>
      </c>
      <c r="G9" s="26" t="n">
        <v>1570</v>
      </c>
    </row>
    <row r="10">
      <c r="B10" s="30" t="inlineStr">
        <is>
          <t>Saturday</t>
        </is>
      </c>
      <c r="C10" s="22" t="inlineStr">
        <is>
          <t>Veggie Egg Scramble</t>
        </is>
      </c>
      <c r="D10" s="22" t="inlineStr">
        <is>
          <t>Tuna Quinoa Salad</t>
        </is>
      </c>
      <c r="E10" s="22" t="inlineStr">
        <is>
          <t>Chicken Fajita Bowl</t>
        </is>
      </c>
      <c r="F10" s="22" t="inlineStr">
        <is>
          <t>Protein Smoothie</t>
        </is>
      </c>
      <c r="G10" s="31" t="n">
        <v>1720</v>
      </c>
    </row>
    <row r="11">
      <c r="B11" s="29" t="inlineStr">
        <is>
          <t>Sunday</t>
        </is>
      </c>
      <c r="C11" s="19" t="inlineStr">
        <is>
          <t>Overnight Oats &amp; Berries</t>
        </is>
      </c>
      <c r="D11" s="19" t="inlineStr">
        <is>
          <t>Turkey Hummus Wrap</t>
        </is>
      </c>
      <c r="E11" s="19" t="inlineStr">
        <is>
          <t>Chicken Fajita Bowl</t>
        </is>
      </c>
      <c r="F11" s="19" t="inlineStr">
        <is>
          <t>Cottage Cheese &amp; Fruit</t>
        </is>
      </c>
      <c r="G11" s="26" t="n">
        <v>1580</v>
      </c>
    </row>
    <row r="12">
      <c r="B12" s="9" t="inlineStr">
        <is>
          <t>WEEK AVG</t>
        </is>
      </c>
      <c r="C12" s="32" t="n"/>
      <c r="D12" s="32" t="n"/>
      <c r="E12" s="32" t="n"/>
      <c r="F12" s="32" t="n"/>
      <c r="G12" s="33">
        <f>ROUND(AVERAGE(G5:G11),0)</f>
        <v/>
      </c>
    </row>
  </sheetData>
  <mergeCells count="2">
    <mergeCell ref="A2:G2"/>
    <mergeCell ref="A1:G1"/>
  </mergeCells>
  <conditionalFormatting sqref="G5:G11">
    <cfRule type="dataBar" priority="1">
      <dataBar showValue="1">
        <cfvo type="num" val="0"/>
        <cfvo type="num" val="2200"/>
        <color rgb="001B4F4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 ht="46" customHeight="1">
      <c r="A1" s="1" t="inlineStr">
        <is>
          <t xml:space="preserve">  🍳  RECIPE BANK</t>
        </is>
      </c>
    </row>
    <row r="2" ht="22" customHeight="1">
      <c r="A2" s="2" t="inlineStr">
        <is>
          <t xml:space="preserve">  Your go-to meals with calories &amp; protein — build the plan by pulling from here.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Recipe</t>
        </is>
      </c>
      <c r="C4" s="9" t="inlineStr">
        <is>
          <t>Servings</t>
        </is>
      </c>
      <c r="D4" s="9" t="inlineStr">
        <is>
          <t>Cal / serving</t>
        </is>
      </c>
      <c r="E4" s="9" t="inlineStr">
        <is>
          <t>Protein (g)</t>
        </is>
      </c>
      <c r="F4" s="9" t="inlineStr">
        <is>
          <t>Category</t>
        </is>
      </c>
    </row>
    <row r="5">
      <c r="B5" s="34" t="inlineStr">
        <is>
          <t>Overnight Oats &amp; Berries</t>
        </is>
      </c>
      <c r="C5" s="35" t="n">
        <v>1</v>
      </c>
      <c r="D5" s="36" t="n">
        <v>380</v>
      </c>
      <c r="E5" s="36" t="n">
        <v>24</v>
      </c>
      <c r="F5" s="35" t="inlineStr">
        <is>
          <t>Breakfast</t>
        </is>
      </c>
    </row>
    <row r="6">
      <c r="B6" s="22" t="inlineStr">
        <is>
          <t>Greek Yogurt Protein Bowl</t>
        </is>
      </c>
      <c r="C6" s="24" t="n">
        <v>1</v>
      </c>
      <c r="D6" s="31" t="n">
        <v>320</v>
      </c>
      <c r="E6" s="31" t="n">
        <v>28</v>
      </c>
      <c r="F6" s="24" t="inlineStr">
        <is>
          <t>Breakfast</t>
        </is>
      </c>
    </row>
    <row r="7">
      <c r="B7" s="34" t="inlineStr">
        <is>
          <t>Veggie Egg Scramble</t>
        </is>
      </c>
      <c r="C7" s="35" t="n">
        <v>1</v>
      </c>
      <c r="D7" s="36" t="n">
        <v>340</v>
      </c>
      <c r="E7" s="36" t="n">
        <v>26</v>
      </c>
      <c r="F7" s="35" t="inlineStr">
        <is>
          <t>Breakfast</t>
        </is>
      </c>
    </row>
    <row r="8">
      <c r="B8" s="22" t="inlineStr">
        <is>
          <t>Chicken &amp; Rice Bowl</t>
        </is>
      </c>
      <c r="C8" s="24" t="n">
        <v>1</v>
      </c>
      <c r="D8" s="31" t="n">
        <v>520</v>
      </c>
      <c r="E8" s="31" t="n">
        <v>45</v>
      </c>
      <c r="F8" s="24" t="inlineStr">
        <is>
          <t>Lunch</t>
        </is>
      </c>
    </row>
    <row r="9">
      <c r="B9" s="34" t="inlineStr">
        <is>
          <t>Turkey Hummus Wrap</t>
        </is>
      </c>
      <c r="C9" s="35" t="n">
        <v>1</v>
      </c>
      <c r="D9" s="36" t="n">
        <v>430</v>
      </c>
      <c r="E9" s="36" t="n">
        <v>35</v>
      </c>
      <c r="F9" s="35" t="inlineStr">
        <is>
          <t>Lunch</t>
        </is>
      </c>
    </row>
    <row r="10">
      <c r="B10" s="22" t="inlineStr">
        <is>
          <t>Tuna Quinoa Salad</t>
        </is>
      </c>
      <c r="C10" s="24" t="n">
        <v>1</v>
      </c>
      <c r="D10" s="31" t="n">
        <v>410</v>
      </c>
      <c r="E10" s="31" t="n">
        <v>38</v>
      </c>
      <c r="F10" s="24" t="inlineStr">
        <is>
          <t>Lunch</t>
        </is>
      </c>
    </row>
    <row r="11">
      <c r="B11" s="34" t="inlineStr">
        <is>
          <t>Salmon &amp; Roasted Veg</t>
        </is>
      </c>
      <c r="C11" s="35" t="n">
        <v>1</v>
      </c>
      <c r="D11" s="36" t="n">
        <v>540</v>
      </c>
      <c r="E11" s="36" t="n">
        <v>42</v>
      </c>
      <c r="F11" s="35" t="inlineStr">
        <is>
          <t>Dinner</t>
        </is>
      </c>
    </row>
    <row r="12">
      <c r="B12" s="22" t="inlineStr">
        <is>
          <t>Lean Beef Stir-Fry</t>
        </is>
      </c>
      <c r="C12" s="24" t="n">
        <v>1</v>
      </c>
      <c r="D12" s="31" t="n">
        <v>600</v>
      </c>
      <c r="E12" s="31" t="n">
        <v>44</v>
      </c>
      <c r="F12" s="24" t="inlineStr">
        <is>
          <t>Dinner</t>
        </is>
      </c>
    </row>
    <row r="13">
      <c r="B13" s="34" t="inlineStr">
        <is>
          <t>Chicken Fajita Bowl</t>
        </is>
      </c>
      <c r="C13" s="35" t="n">
        <v>1</v>
      </c>
      <c r="D13" s="36" t="n">
        <v>560</v>
      </c>
      <c r="E13" s="36" t="n">
        <v>46</v>
      </c>
      <c r="F13" s="35" t="inlineStr">
        <is>
          <t>Dinner</t>
        </is>
      </c>
    </row>
    <row r="14">
      <c r="B14" s="22" t="inlineStr">
        <is>
          <t>Protein Smoothie</t>
        </is>
      </c>
      <c r="C14" s="24" t="n">
        <v>1</v>
      </c>
      <c r="D14" s="31" t="n">
        <v>280</v>
      </c>
      <c r="E14" s="31" t="n">
        <v>30</v>
      </c>
      <c r="F14" s="24" t="inlineStr">
        <is>
          <t>Snack</t>
        </is>
      </c>
    </row>
    <row r="15">
      <c r="B15" s="34" t="inlineStr">
        <is>
          <t>Cottage Cheese &amp; Fruit</t>
        </is>
      </c>
      <c r="C15" s="35" t="n">
        <v>1</v>
      </c>
      <c r="D15" s="36" t="n">
        <v>220</v>
      </c>
      <c r="E15" s="36" t="n">
        <v>24</v>
      </c>
      <c r="F15" s="35" t="inlineStr">
        <is>
          <t>Snack</t>
        </is>
      </c>
    </row>
    <row r="16">
      <c r="B16" s="22" t="inlineStr">
        <is>
          <t>Apple &amp; Peanut Butter</t>
        </is>
      </c>
      <c r="C16" s="24" t="n">
        <v>1</v>
      </c>
      <c r="D16" s="31" t="n">
        <v>260</v>
      </c>
      <c r="E16" s="31" t="n">
        <v>8</v>
      </c>
      <c r="F16" s="24" t="inlineStr">
        <is>
          <t>Snack</t>
        </is>
      </c>
    </row>
    <row r="17">
      <c r="B17" s="34" t="n"/>
      <c r="C17" s="35" t="n"/>
      <c r="D17" s="36" t="n"/>
      <c r="E17" s="36" t="n"/>
      <c r="F17" s="35" t="n"/>
    </row>
    <row r="18">
      <c r="B18" s="22" t="n"/>
      <c r="C18" s="24" t="n"/>
      <c r="D18" s="31" t="n"/>
      <c r="E18" s="31" t="n"/>
      <c r="F18" s="24" t="n"/>
    </row>
    <row r="19">
      <c r="B19" s="34" t="n"/>
      <c r="C19" s="35" t="n"/>
      <c r="D19" s="36" t="n"/>
      <c r="E19" s="36" t="n"/>
      <c r="F19" s="35" t="n"/>
    </row>
    <row r="20">
      <c r="B20" s="22" t="n"/>
      <c r="C20" s="24" t="n"/>
      <c r="D20" s="31" t="n"/>
      <c r="E20" s="31" t="n"/>
      <c r="F20" s="24" t="n"/>
    </row>
    <row r="21">
      <c r="B21" s="34" t="n"/>
      <c r="C21" s="35" t="n"/>
      <c r="D21" s="36" t="n"/>
      <c r="E21" s="36" t="n"/>
      <c r="F21" s="35" t="n"/>
    </row>
    <row r="22">
      <c r="B22" s="22" t="n"/>
      <c r="C22" s="24" t="n"/>
      <c r="D22" s="31" t="n"/>
      <c r="E22" s="31" t="n"/>
      <c r="F22" s="24" t="n"/>
    </row>
    <row r="23">
      <c r="B23" s="34" t="n"/>
      <c r="C23" s="35" t="n"/>
      <c r="D23" s="36" t="n"/>
      <c r="E23" s="36" t="n"/>
      <c r="F23" s="35" t="n"/>
    </row>
    <row r="24">
      <c r="B24" s="22" t="n"/>
      <c r="C24" s="24" t="n"/>
      <c r="D24" s="31" t="n"/>
      <c r="E24" s="31" t="n"/>
      <c r="F24" s="24" t="n"/>
    </row>
    <row r="25">
      <c r="B25" s="34" t="n"/>
      <c r="C25" s="35" t="n"/>
      <c r="D25" s="36" t="n"/>
      <c r="E25" s="36" t="n"/>
      <c r="F25" s="35" t="n"/>
    </row>
    <row r="26">
      <c r="B26" s="22" t="n"/>
      <c r="C26" s="24" t="n"/>
      <c r="D26" s="31" t="n"/>
      <c r="E26" s="31" t="n"/>
      <c r="F26" s="24" t="n"/>
    </row>
    <row r="27">
      <c r="B27" s="34" t="n"/>
      <c r="C27" s="35" t="n"/>
      <c r="D27" s="36" t="n"/>
      <c r="E27" s="36" t="n"/>
      <c r="F27" s="35" t="n"/>
    </row>
    <row r="28">
      <c r="B28" s="22" t="n"/>
      <c r="C28" s="24" t="n"/>
      <c r="D28" s="31" t="n"/>
      <c r="E28" s="31" t="n"/>
      <c r="F28" s="24" t="n"/>
    </row>
    <row r="29">
      <c r="B29" s="34" t="n"/>
      <c r="C29" s="35" t="n"/>
      <c r="D29" s="36" t="n"/>
      <c r="E29" s="36" t="n"/>
      <c r="F29" s="35" t="n"/>
    </row>
    <row r="30">
      <c r="B30" s="22" t="n"/>
      <c r="C30" s="24" t="n"/>
      <c r="D30" s="31" t="n"/>
      <c r="E30" s="31" t="n"/>
      <c r="F30" s="24" t="n"/>
    </row>
    <row r="31">
      <c r="B31" s="34" t="n"/>
      <c r="C31" s="35" t="n"/>
      <c r="D31" s="36" t="n"/>
      <c r="E31" s="36" t="n"/>
      <c r="F31" s="35" t="n"/>
    </row>
    <row r="32">
      <c r="B32" s="22" t="n"/>
      <c r="C32" s="24" t="n"/>
      <c r="D32" s="31" t="n"/>
      <c r="E32" s="31" t="n"/>
      <c r="F32" s="24" t="n"/>
    </row>
    <row r="33">
      <c r="B33" s="34" t="n"/>
      <c r="C33" s="35" t="n"/>
      <c r="D33" s="36" t="n"/>
      <c r="E33" s="36" t="n"/>
      <c r="F33" s="35" t="n"/>
    </row>
    <row r="34">
      <c r="B34" s="22" t="n"/>
      <c r="C34" s="24" t="n"/>
      <c r="D34" s="31" t="n"/>
      <c r="E34" s="31" t="n"/>
      <c r="F34" s="24" t="n"/>
    </row>
  </sheetData>
  <mergeCells count="2">
    <mergeCell ref="A2:F2"/>
    <mergeCell ref="A1:F1"/>
  </mergeCells>
  <dataValidations count="1">
    <dataValidation sqref="F5:F34" showDropDown="0" showInputMessage="0" showErrorMessage="0" allowBlank="1" type="list">
      <formula1>=CatList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2" customWidth="1" min="4" max="4"/>
  </cols>
  <sheetData>
    <row r="1" ht="46" customHeight="1">
      <c r="A1" s="1" t="inlineStr">
        <is>
          <t xml:space="preserve">  🛒  GROCERY LIST</t>
        </is>
      </c>
    </row>
    <row r="2" ht="22" customHeight="1">
      <c r="A2" s="2" t="inlineStr">
        <is>
          <t xml:space="preserve">  Everything the plan needs, by aisle — check off what you already have at home.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Aisle</t>
        </is>
      </c>
      <c r="D4" s="9" t="inlineStr">
        <is>
          <t>Have?</t>
        </is>
      </c>
    </row>
    <row r="5">
      <c r="B5" s="34" t="inlineStr">
        <is>
          <t>Chicken breast</t>
        </is>
      </c>
      <c r="C5" s="35" t="inlineStr">
        <is>
          <t>Meat</t>
        </is>
      </c>
      <c r="D5" s="35" t="inlineStr">
        <is>
          <t>No</t>
        </is>
      </c>
    </row>
    <row r="6">
      <c r="B6" s="22" t="inlineStr">
        <is>
          <t>Salmon fillets</t>
        </is>
      </c>
      <c r="C6" s="24" t="inlineStr">
        <is>
          <t>Meat</t>
        </is>
      </c>
      <c r="D6" s="24" t="inlineStr">
        <is>
          <t>No</t>
        </is>
      </c>
    </row>
    <row r="7">
      <c r="B7" s="34" t="inlineStr">
        <is>
          <t>Lean ground beef</t>
        </is>
      </c>
      <c r="C7" s="35" t="inlineStr">
        <is>
          <t>Meat</t>
        </is>
      </c>
      <c r="D7" s="35" t="inlineStr">
        <is>
          <t>No</t>
        </is>
      </c>
    </row>
    <row r="8">
      <c r="B8" s="22" t="inlineStr">
        <is>
          <t>Greek yogurt</t>
        </is>
      </c>
      <c r="C8" s="24" t="inlineStr">
        <is>
          <t>Dairy</t>
        </is>
      </c>
      <c r="D8" s="24" t="inlineStr">
        <is>
          <t>Yes</t>
        </is>
      </c>
    </row>
    <row r="9">
      <c r="B9" s="34" t="inlineStr">
        <is>
          <t>Eggs</t>
        </is>
      </c>
      <c r="C9" s="35" t="inlineStr">
        <is>
          <t>Dairy</t>
        </is>
      </c>
      <c r="D9" s="35" t="inlineStr">
        <is>
          <t>No</t>
        </is>
      </c>
    </row>
    <row r="10">
      <c r="B10" s="22" t="inlineStr">
        <is>
          <t>Cottage cheese</t>
        </is>
      </c>
      <c r="C10" s="24" t="inlineStr">
        <is>
          <t>Dairy</t>
        </is>
      </c>
      <c r="D10" s="24" t="inlineStr">
        <is>
          <t>No</t>
        </is>
      </c>
    </row>
    <row r="11">
      <c r="B11" s="34" t="inlineStr">
        <is>
          <t>Rolled oats</t>
        </is>
      </c>
      <c r="C11" s="35" t="inlineStr">
        <is>
          <t>Pantry</t>
        </is>
      </c>
      <c r="D11" s="35" t="inlineStr">
        <is>
          <t>Yes</t>
        </is>
      </c>
    </row>
    <row r="12">
      <c r="B12" s="22" t="inlineStr">
        <is>
          <t>Brown rice</t>
        </is>
      </c>
      <c r="C12" s="24" t="inlineStr">
        <is>
          <t>Pantry</t>
        </is>
      </c>
      <c r="D12" s="24" t="inlineStr">
        <is>
          <t>No</t>
        </is>
      </c>
    </row>
    <row r="13">
      <c r="B13" s="34" t="inlineStr">
        <is>
          <t>Quinoa</t>
        </is>
      </c>
      <c r="C13" s="35" t="inlineStr">
        <is>
          <t>Pantry</t>
        </is>
      </c>
      <c r="D13" s="35" t="inlineStr">
        <is>
          <t>No</t>
        </is>
      </c>
    </row>
    <row r="14">
      <c r="B14" s="22" t="inlineStr">
        <is>
          <t>Protein powder</t>
        </is>
      </c>
      <c r="C14" s="24" t="inlineStr">
        <is>
          <t>Pantry</t>
        </is>
      </c>
      <c r="D14" s="24" t="inlineStr">
        <is>
          <t>Yes</t>
        </is>
      </c>
    </row>
    <row r="15">
      <c r="B15" s="34" t="inlineStr">
        <is>
          <t>Olive oil</t>
        </is>
      </c>
      <c r="C15" s="35" t="inlineStr">
        <is>
          <t>Pantry</t>
        </is>
      </c>
      <c r="D15" s="35" t="inlineStr">
        <is>
          <t>Yes</t>
        </is>
      </c>
    </row>
    <row r="16">
      <c r="B16" s="22" t="inlineStr">
        <is>
          <t>Broccoli</t>
        </is>
      </c>
      <c r="C16" s="24" t="inlineStr">
        <is>
          <t>Produce</t>
        </is>
      </c>
      <c r="D16" s="24" t="inlineStr">
        <is>
          <t>No</t>
        </is>
      </c>
    </row>
    <row r="17">
      <c r="B17" s="34" t="inlineStr">
        <is>
          <t>Spinach</t>
        </is>
      </c>
      <c r="C17" s="35" t="inlineStr">
        <is>
          <t>Produce</t>
        </is>
      </c>
      <c r="D17" s="35" t="inlineStr">
        <is>
          <t>No</t>
        </is>
      </c>
    </row>
    <row r="18">
      <c r="B18" s="22" t="inlineStr">
        <is>
          <t>Mixed berries</t>
        </is>
      </c>
      <c r="C18" s="24" t="inlineStr">
        <is>
          <t>Produce</t>
        </is>
      </c>
      <c r="D18" s="24" t="inlineStr">
        <is>
          <t>No</t>
        </is>
      </c>
    </row>
    <row r="19">
      <c r="B19" s="34" t="inlineStr">
        <is>
          <t>Sweet potato</t>
        </is>
      </c>
      <c r="C19" s="35" t="inlineStr">
        <is>
          <t>Produce</t>
        </is>
      </c>
      <c r="D19" s="35" t="inlineStr">
        <is>
          <t>No</t>
        </is>
      </c>
    </row>
    <row r="20">
      <c r="B20" s="22" t="inlineStr">
        <is>
          <t>Apples</t>
        </is>
      </c>
      <c r="C20" s="24" t="inlineStr">
        <is>
          <t>Produce</t>
        </is>
      </c>
      <c r="D20" s="24" t="inlineStr">
        <is>
          <t>No</t>
        </is>
      </c>
    </row>
    <row r="21">
      <c r="B21" s="34" t="n"/>
      <c r="C21" s="35" t="n"/>
      <c r="D21" s="35" t="n"/>
    </row>
    <row r="22">
      <c r="B22" s="22" t="n"/>
      <c r="C22" s="24" t="n"/>
      <c r="D22" s="24" t="n"/>
    </row>
    <row r="23">
      <c r="B23" s="34" t="n"/>
      <c r="C23" s="35" t="n"/>
      <c r="D23" s="35" t="n"/>
    </row>
    <row r="24">
      <c r="B24" s="22" t="n"/>
      <c r="C24" s="24" t="n"/>
      <c r="D24" s="24" t="n"/>
    </row>
    <row r="25">
      <c r="B25" s="34" t="n"/>
      <c r="C25" s="35" t="n"/>
      <c r="D25" s="35" t="n"/>
    </row>
    <row r="26">
      <c r="B26" s="22" t="n"/>
      <c r="C26" s="24" t="n"/>
      <c r="D26" s="24" t="n"/>
    </row>
    <row r="27">
      <c r="B27" s="34" t="n"/>
      <c r="C27" s="35" t="n"/>
      <c r="D27" s="35" t="n"/>
    </row>
    <row r="28">
      <c r="B28" s="22" t="n"/>
      <c r="C28" s="24" t="n"/>
      <c r="D28" s="24" t="n"/>
    </row>
    <row r="29">
      <c r="B29" s="34" t="n"/>
      <c r="C29" s="35" t="n"/>
      <c r="D29" s="35" t="n"/>
    </row>
    <row r="30">
      <c r="B30" s="22" t="n"/>
      <c r="C30" s="24" t="n"/>
      <c r="D30" s="24" t="n"/>
    </row>
    <row r="31">
      <c r="B31" s="34" t="n"/>
      <c r="C31" s="35" t="n"/>
      <c r="D31" s="35" t="n"/>
    </row>
    <row r="32">
      <c r="B32" s="22" t="n"/>
      <c r="C32" s="24" t="n"/>
      <c r="D32" s="24" t="n"/>
    </row>
    <row r="33">
      <c r="B33" s="34" t="n"/>
      <c r="C33" s="35" t="n"/>
      <c r="D33" s="35" t="n"/>
    </row>
    <row r="34">
      <c r="B34" s="22" t="n"/>
      <c r="C34" s="24" t="n"/>
      <c r="D34" s="24" t="n"/>
    </row>
    <row r="35">
      <c r="B35" s="9" t="inlineStr">
        <is>
          <t>STILL TO BUY</t>
        </is>
      </c>
      <c r="C35" s="32" t="n"/>
      <c r="D35" s="37">
        <f>COUNTIF(GroceryHave,"No")</f>
        <v/>
      </c>
    </row>
  </sheetData>
  <mergeCells count="2">
    <mergeCell ref="A1:D1"/>
    <mergeCell ref="A2:D2"/>
  </mergeCells>
  <conditionalFormatting sqref="D5:D34">
    <cfRule type="cellIs" priority="1" operator="equal" dxfId="0">
      <formula>"Yes"</formula>
    </cfRule>
  </conditionalFormatting>
  <dataValidations count="2">
    <dataValidation sqref="C5:C34" showDropDown="0" showInputMessage="0" showErrorMessage="0" allowBlank="1" type="list">
      <formula1>=AisleList</formula1>
    </dataValidation>
    <dataValidation sqref="D5:D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46" customHeight="1">
      <c r="A1" s="1" t="inlineStr">
        <is>
          <t xml:space="preserve">  🥗  MACRO TRACKER</t>
        </is>
      </c>
    </row>
    <row r="2" ht="22" customHeight="1">
      <c r="A2" s="2" t="inlineStr">
        <is>
          <t xml:space="preserve">  Log what you eat — the tracker averages calories &amp; protein against your targets.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Date</t>
        </is>
      </c>
      <c r="C4" s="9" t="inlineStr">
        <is>
          <t>Calories</t>
        </is>
      </c>
      <c r="D4" s="9" t="inlineStr">
        <is>
          <t>Protein (g)</t>
        </is>
      </c>
      <c r="E4" s="9" t="inlineStr">
        <is>
          <t>Carbs (g)</t>
        </is>
      </c>
      <c r="F4" s="9" t="inlineStr">
        <is>
          <t>Fat (g)</t>
        </is>
      </c>
    </row>
    <row r="5">
      <c r="B5" s="38" t="n">
        <v>46224</v>
      </c>
      <c r="C5" s="36" t="n">
        <v>2030</v>
      </c>
      <c r="D5" s="36" t="n">
        <v>153</v>
      </c>
      <c r="E5" s="36" t="n">
        <v>195</v>
      </c>
      <c r="F5" s="36" t="n">
        <v>59</v>
      </c>
    </row>
    <row r="6">
      <c r="B6" s="39" t="n">
        <v>46223</v>
      </c>
      <c r="C6" s="31" t="n">
        <v>2090</v>
      </c>
      <c r="D6" s="31" t="n">
        <v>147</v>
      </c>
      <c r="E6" s="31" t="n">
        <v>208</v>
      </c>
      <c r="F6" s="31" t="n">
        <v>63</v>
      </c>
    </row>
    <row r="7">
      <c r="B7" s="38" t="n">
        <v>46222</v>
      </c>
      <c r="C7" s="36" t="n">
        <v>1970</v>
      </c>
      <c r="D7" s="36" t="n">
        <v>156</v>
      </c>
      <c r="E7" s="36" t="n">
        <v>182</v>
      </c>
      <c r="F7" s="36" t="n">
        <v>56</v>
      </c>
    </row>
    <row r="8">
      <c r="B8" s="39" t="n">
        <v>46221</v>
      </c>
      <c r="C8" s="31" t="n">
        <v>2100</v>
      </c>
      <c r="D8" s="31" t="n">
        <v>144</v>
      </c>
      <c r="E8" s="31" t="n">
        <v>214</v>
      </c>
      <c r="F8" s="31" t="n">
        <v>65</v>
      </c>
    </row>
    <row r="9">
      <c r="B9" s="38" t="n">
        <v>46220</v>
      </c>
      <c r="C9" s="36" t="n">
        <v>2040</v>
      </c>
      <c r="D9" s="36" t="n">
        <v>151</v>
      </c>
      <c r="E9" s="36" t="n">
        <v>198</v>
      </c>
      <c r="F9" s="36" t="n">
        <v>60</v>
      </c>
    </row>
    <row r="10">
      <c r="B10" s="39" t="n">
        <v>46219</v>
      </c>
      <c r="C10" s="31" t="n">
        <v>2060</v>
      </c>
      <c r="D10" s="31" t="n">
        <v>149</v>
      </c>
      <c r="E10" s="31" t="n">
        <v>205</v>
      </c>
      <c r="F10" s="31" t="n">
        <v>62</v>
      </c>
    </row>
    <row r="11">
      <c r="B11" s="38" t="n">
        <v>46218</v>
      </c>
      <c r="C11" s="36" t="n">
        <v>1990</v>
      </c>
      <c r="D11" s="36" t="n">
        <v>158</v>
      </c>
      <c r="E11" s="36" t="n">
        <v>180</v>
      </c>
      <c r="F11" s="36" t="n">
        <v>57</v>
      </c>
    </row>
    <row r="12">
      <c r="B12" s="39" t="n">
        <v>46217</v>
      </c>
      <c r="C12" s="31" t="n">
        <v>2200</v>
      </c>
      <c r="D12" s="31" t="n">
        <v>138</v>
      </c>
      <c r="E12" s="31" t="n">
        <v>230</v>
      </c>
      <c r="F12" s="31" t="n">
        <v>70</v>
      </c>
    </row>
    <row r="13">
      <c r="B13" s="38" t="n">
        <v>46216</v>
      </c>
      <c r="C13" s="36" t="n">
        <v>2050</v>
      </c>
      <c r="D13" s="36" t="n">
        <v>150</v>
      </c>
      <c r="E13" s="36" t="n">
        <v>200</v>
      </c>
      <c r="F13" s="36" t="n">
        <v>61</v>
      </c>
    </row>
    <row r="14">
      <c r="B14" s="39" t="n">
        <v>46215</v>
      </c>
      <c r="C14" s="31" t="n">
        <v>2120</v>
      </c>
      <c r="D14" s="31" t="n">
        <v>146</v>
      </c>
      <c r="E14" s="31" t="n">
        <v>215</v>
      </c>
      <c r="F14" s="31" t="n">
        <v>64</v>
      </c>
    </row>
    <row r="15">
      <c r="B15" s="38" t="n">
        <v>46214</v>
      </c>
      <c r="C15" s="36" t="n">
        <v>1980</v>
      </c>
      <c r="D15" s="36" t="n">
        <v>155</v>
      </c>
      <c r="E15" s="36" t="n">
        <v>185</v>
      </c>
      <c r="F15" s="36" t="n">
        <v>58</v>
      </c>
    </row>
    <row r="16">
      <c r="B16" s="39" t="n">
        <v>46213</v>
      </c>
      <c r="C16" s="31" t="n">
        <v>2150</v>
      </c>
      <c r="D16" s="31" t="n">
        <v>140</v>
      </c>
      <c r="E16" s="31" t="n">
        <v>225</v>
      </c>
      <c r="F16" s="31" t="n">
        <v>66</v>
      </c>
    </row>
    <row r="17">
      <c r="B17" s="38" t="n">
        <v>46212</v>
      </c>
      <c r="C17" s="36" t="n">
        <v>2010</v>
      </c>
      <c r="D17" s="36" t="n">
        <v>152</v>
      </c>
      <c r="E17" s="36" t="n">
        <v>190</v>
      </c>
      <c r="F17" s="36" t="n">
        <v>60</v>
      </c>
    </row>
    <row r="18">
      <c r="B18" s="39" t="n">
        <v>46211</v>
      </c>
      <c r="C18" s="31" t="n">
        <v>2080</v>
      </c>
      <c r="D18" s="31" t="n">
        <v>148</v>
      </c>
      <c r="E18" s="31" t="n">
        <v>210</v>
      </c>
      <c r="F18" s="31" t="n">
        <v>62</v>
      </c>
    </row>
    <row r="19">
      <c r="B19" s="38" t="n"/>
      <c r="C19" s="36" t="n"/>
      <c r="D19" s="36" t="n"/>
      <c r="E19" s="36" t="n"/>
      <c r="F19" s="36" t="n"/>
    </row>
    <row r="20">
      <c r="B20" s="39" t="n"/>
      <c r="C20" s="31" t="n"/>
      <c r="D20" s="31" t="n"/>
      <c r="E20" s="31" t="n"/>
      <c r="F20" s="31" t="n"/>
    </row>
    <row r="21">
      <c r="B21" s="38" t="n"/>
      <c r="C21" s="36" t="n"/>
      <c r="D21" s="36" t="n"/>
      <c r="E21" s="36" t="n"/>
      <c r="F21" s="36" t="n"/>
    </row>
    <row r="22">
      <c r="B22" s="39" t="n"/>
      <c r="C22" s="31" t="n"/>
      <c r="D22" s="31" t="n"/>
      <c r="E22" s="31" t="n"/>
      <c r="F22" s="31" t="n"/>
    </row>
    <row r="23">
      <c r="B23" s="38" t="n"/>
      <c r="C23" s="36" t="n"/>
      <c r="D23" s="36" t="n"/>
      <c r="E23" s="36" t="n"/>
      <c r="F23" s="36" t="n"/>
    </row>
    <row r="24">
      <c r="B24" s="39" t="n"/>
      <c r="C24" s="31" t="n"/>
      <c r="D24" s="31" t="n"/>
      <c r="E24" s="31" t="n"/>
      <c r="F24" s="31" t="n"/>
    </row>
    <row r="25">
      <c r="B25" s="38" t="n"/>
      <c r="C25" s="36" t="n"/>
      <c r="D25" s="36" t="n"/>
      <c r="E25" s="36" t="n"/>
      <c r="F25" s="36" t="n"/>
    </row>
    <row r="26">
      <c r="B26" s="39" t="n"/>
      <c r="C26" s="31" t="n"/>
      <c r="D26" s="31" t="n"/>
      <c r="E26" s="31" t="n"/>
      <c r="F26" s="31" t="n"/>
    </row>
    <row r="27">
      <c r="B27" s="38" t="n"/>
      <c r="C27" s="36" t="n"/>
      <c r="D27" s="36" t="n"/>
      <c r="E27" s="36" t="n"/>
      <c r="F27" s="36" t="n"/>
    </row>
    <row r="28">
      <c r="B28" s="39" t="n"/>
      <c r="C28" s="31" t="n"/>
      <c r="D28" s="31" t="n"/>
      <c r="E28" s="31" t="n"/>
      <c r="F28" s="31" t="n"/>
    </row>
    <row r="29">
      <c r="B29" s="38" t="n"/>
      <c r="C29" s="36" t="n"/>
      <c r="D29" s="36" t="n"/>
      <c r="E29" s="36" t="n"/>
      <c r="F29" s="36" t="n"/>
    </row>
    <row r="30">
      <c r="B30" s="39" t="n"/>
      <c r="C30" s="31" t="n"/>
      <c r="D30" s="31" t="n"/>
      <c r="E30" s="31" t="n"/>
      <c r="F30" s="31" t="n"/>
    </row>
    <row r="31">
      <c r="B31" s="38" t="n"/>
      <c r="C31" s="36" t="n"/>
      <c r="D31" s="36" t="n"/>
      <c r="E31" s="36" t="n"/>
      <c r="F31" s="36" t="n"/>
    </row>
    <row r="32">
      <c r="B32" s="39" t="n"/>
      <c r="C32" s="31" t="n"/>
      <c r="D32" s="31" t="n"/>
      <c r="E32" s="31" t="n"/>
      <c r="F32" s="31" t="n"/>
    </row>
    <row r="33">
      <c r="B33" s="38" t="n"/>
      <c r="C33" s="36" t="n"/>
      <c r="D33" s="36" t="n"/>
      <c r="E33" s="36" t="n"/>
      <c r="F33" s="36" t="n"/>
    </row>
    <row r="34">
      <c r="B34" s="39" t="n"/>
      <c r="C34" s="31" t="n"/>
      <c r="D34" s="31" t="n"/>
      <c r="E34" s="31" t="n"/>
      <c r="F34" s="31" t="n"/>
    </row>
    <row r="35">
      <c r="B35" s="38" t="n"/>
      <c r="C35" s="36" t="n"/>
      <c r="D35" s="36" t="n"/>
      <c r="E35" s="36" t="n"/>
      <c r="F35" s="36" t="n"/>
    </row>
    <row r="36">
      <c r="B36" s="39" t="n"/>
      <c r="C36" s="31" t="n"/>
      <c r="D36" s="31" t="n"/>
      <c r="E36" s="31" t="n"/>
      <c r="F36" s="31" t="n"/>
    </row>
    <row r="37">
      <c r="B37" s="38" t="n"/>
      <c r="C37" s="36" t="n"/>
      <c r="D37" s="36" t="n"/>
      <c r="E37" s="36" t="n"/>
      <c r="F37" s="36" t="n"/>
    </row>
    <row r="38">
      <c r="B38" s="39" t="n"/>
      <c r="C38" s="31" t="n"/>
      <c r="D38" s="31" t="n"/>
      <c r="E38" s="31" t="n"/>
      <c r="F38" s="31" t="n"/>
    </row>
    <row r="39">
      <c r="B39" s="38" t="n"/>
      <c r="C39" s="36" t="n"/>
      <c r="D39" s="36" t="n"/>
      <c r="E39" s="36" t="n"/>
      <c r="F39" s="36" t="n"/>
    </row>
    <row r="40">
      <c r="B40" s="39" t="n"/>
      <c r="C40" s="31" t="n"/>
      <c r="D40" s="31" t="n"/>
      <c r="E40" s="31" t="n"/>
      <c r="F40" s="31" t="n"/>
    </row>
    <row r="41">
      <c r="B41" s="38" t="n"/>
      <c r="C41" s="36" t="n"/>
      <c r="D41" s="36" t="n"/>
      <c r="E41" s="36" t="n"/>
      <c r="F41" s="36" t="n"/>
    </row>
    <row r="42">
      <c r="B42" s="39" t="n"/>
      <c r="C42" s="31" t="n"/>
      <c r="D42" s="31" t="n"/>
      <c r="E42" s="31" t="n"/>
      <c r="F42" s="31" t="n"/>
    </row>
    <row r="43">
      <c r="B43" s="38" t="n"/>
      <c r="C43" s="36" t="n"/>
      <c r="D43" s="36" t="n"/>
      <c r="E43" s="36" t="n"/>
      <c r="F43" s="36" t="n"/>
    </row>
    <row r="44">
      <c r="B44" s="39" t="n"/>
      <c r="C44" s="31" t="n"/>
      <c r="D44" s="31" t="n"/>
      <c r="E44" s="31" t="n"/>
      <c r="F44" s="31" t="n"/>
    </row>
    <row r="45">
      <c r="B45" s="38" t="n"/>
      <c r="C45" s="36" t="n"/>
      <c r="D45" s="36" t="n"/>
      <c r="E45" s="36" t="n"/>
      <c r="F45" s="36" t="n"/>
    </row>
    <row r="46">
      <c r="B46" s="39" t="n"/>
      <c r="C46" s="31" t="n"/>
      <c r="D46" s="31" t="n"/>
      <c r="E46" s="31" t="n"/>
      <c r="F46" s="31" t="n"/>
    </row>
    <row r="47">
      <c r="B47" s="38" t="n"/>
      <c r="C47" s="36" t="n"/>
      <c r="D47" s="36" t="n"/>
      <c r="E47" s="36" t="n"/>
      <c r="F47" s="36" t="n"/>
    </row>
    <row r="48">
      <c r="B48" s="39" t="n"/>
      <c r="C48" s="31" t="n"/>
      <c r="D48" s="31" t="n"/>
      <c r="E48" s="31" t="n"/>
      <c r="F48" s="31" t="n"/>
    </row>
    <row r="49">
      <c r="B49" s="38" t="n"/>
      <c r="C49" s="36" t="n"/>
      <c r="D49" s="36" t="n"/>
      <c r="E49" s="36" t="n"/>
      <c r="F49" s="36" t="n"/>
    </row>
    <row r="50">
      <c r="B50" s="9" t="inlineStr">
        <is>
          <t>AVERAGE</t>
        </is>
      </c>
      <c r="C50" s="33">
        <f>ROUND(AVERAGE(C5:C49),0)</f>
        <v/>
      </c>
      <c r="D50" s="33">
        <f>ROUND(AVERAGE(D5:D49),0)</f>
        <v/>
      </c>
      <c r="E50" s="33">
        <f>ROUND(AVERAGE(E5:E49),0)</f>
        <v/>
      </c>
      <c r="F50" s="33">
        <f>ROUND(AVERAGE(F5:F49),0)</f>
        <v/>
      </c>
    </row>
  </sheetData>
  <mergeCells count="2">
    <mergeCell ref="A2:F2"/>
    <mergeCell ref="A1:F1"/>
  </mergeCells>
  <conditionalFormatting sqref="C5:C49">
    <cfRule type="colorScale" priority="1">
      <colorScale>
        <cfvo type="num" val="1600"/>
        <cfvo type="num" val="2100"/>
        <cfvo type="num" val="2600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2" customWidth="1" min="4" max="4"/>
    <col width="2" customWidth="1" min="5" max="5"/>
  </cols>
  <sheetData>
    <row r="1" ht="46" customHeight="1">
      <c r="A1" s="1" t="inlineStr">
        <is>
          <t xml:space="preserve">  🗓  WORKOUT PLAN</t>
        </is>
      </c>
    </row>
    <row r="2" ht="22" customHeight="1">
      <c r="A2" s="2" t="inlineStr">
        <is>
          <t xml:space="preserve">  Your weekly split — check off each session as you finish it.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Day</t>
        </is>
      </c>
      <c r="C4" s="9" t="inlineStr">
        <is>
          <t>Focus</t>
        </is>
      </c>
      <c r="D4" s="9" t="inlineStr">
        <is>
          <t>Done?</t>
        </is>
      </c>
    </row>
    <row r="5">
      <c r="B5" s="29" t="inlineStr">
        <is>
          <t>Monday</t>
        </is>
      </c>
      <c r="C5" s="19" t="inlineStr">
        <is>
          <t>Upper Push</t>
        </is>
      </c>
      <c r="D5" s="40" t="inlineStr">
        <is>
          <t>Yes</t>
        </is>
      </c>
    </row>
    <row r="6">
      <c r="B6" s="30" t="inlineStr">
        <is>
          <t>Tuesday</t>
        </is>
      </c>
      <c r="C6" s="22" t="inlineStr">
        <is>
          <t>Lower</t>
        </is>
      </c>
      <c r="D6" s="41" t="inlineStr">
        <is>
          <t>Yes</t>
        </is>
      </c>
    </row>
    <row r="7">
      <c r="B7" s="29" t="inlineStr">
        <is>
          <t>Wednesday</t>
        </is>
      </c>
      <c r="C7" s="19" t="inlineStr">
        <is>
          <t>Rest</t>
        </is>
      </c>
      <c r="D7" s="40" t="inlineStr">
        <is>
          <t>No</t>
        </is>
      </c>
    </row>
    <row r="8">
      <c r="B8" s="30" t="inlineStr">
        <is>
          <t>Thursday</t>
        </is>
      </c>
      <c r="C8" s="22" t="inlineStr">
        <is>
          <t>Upper Pull</t>
        </is>
      </c>
      <c r="D8" s="41" t="inlineStr">
        <is>
          <t>Yes</t>
        </is>
      </c>
    </row>
    <row r="9">
      <c r="B9" s="29" t="inlineStr">
        <is>
          <t>Friday</t>
        </is>
      </c>
      <c r="C9" s="19" t="inlineStr">
        <is>
          <t>Lower + Core</t>
        </is>
      </c>
      <c r="D9" s="40" t="inlineStr">
        <is>
          <t>Yes</t>
        </is>
      </c>
    </row>
    <row r="10">
      <c r="B10" s="30" t="inlineStr">
        <is>
          <t>Saturday</t>
        </is>
      </c>
      <c r="C10" s="22" t="inlineStr">
        <is>
          <t>Cardio</t>
        </is>
      </c>
      <c r="D10" s="41" t="inlineStr">
        <is>
          <t>No</t>
        </is>
      </c>
    </row>
    <row r="11">
      <c r="B11" s="29" t="inlineStr">
        <is>
          <t>Sunday</t>
        </is>
      </c>
      <c r="C11" s="19" t="inlineStr">
        <is>
          <t>Rest</t>
        </is>
      </c>
      <c r="D11" s="40" t="inlineStr">
        <is>
          <t>No</t>
        </is>
      </c>
    </row>
    <row r="12">
      <c r="B12" s="9" t="inlineStr">
        <is>
          <t>DONE THIS WEEK</t>
        </is>
      </c>
      <c r="C12" s="32" t="n"/>
      <c r="D12" s="37">
        <f>COUNTIF(WorkoutDone,"Yes")</f>
        <v/>
      </c>
    </row>
  </sheetData>
  <mergeCells count="2">
    <mergeCell ref="A1:D1"/>
    <mergeCell ref="A2:D2"/>
  </mergeCells>
  <conditionalFormatting sqref="D5:D11">
    <cfRule type="cellIs" priority="1" operator="equal" dxfId="0">
      <formula>"Yes"</formula>
    </cfRule>
  </conditionalFormatting>
  <dataValidations count="7">
    <dataValidation sqref="D5" showDropDown="0" showInputMessage="0" showErrorMessage="0" allowBlank="1" type="list">
      <formula1>=YesNoList</formula1>
    </dataValidation>
    <dataValidation sqref="D6" showDropDown="0" showInputMessage="0" showErrorMessage="0" allowBlank="1" type="list">
      <formula1>=YesNoList</formula1>
    </dataValidation>
    <dataValidation sqref="D7" showDropDown="0" showInputMessage="0" showErrorMessage="0" allowBlank="1" type="list">
      <formula1>=YesNoList</formula1>
    </dataValidation>
    <dataValidation sqref="D8" showDropDown="0" showInputMessage="0" showErrorMessage="0" allowBlank="1" type="list">
      <formula1>=YesNoList</formula1>
    </dataValidation>
    <dataValidation sqref="D9" showDropDown="0" showInputMessage="0" showErrorMessage="0" allowBlank="1" type="list">
      <formula1>=YesNoList</formula1>
    </dataValidation>
    <dataValidation sqref="D10" showDropDown="0" showInputMessage="0" showErrorMessage="0" allowBlank="1" type="list">
      <formula1>=YesNoList</formula1>
    </dataValidation>
    <dataValidation sqref="D11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10" customWidth="1" min="4" max="4"/>
    <col width="10" customWidth="1" min="5" max="5"/>
    <col width="12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🏋  WORKOUT LOG</t>
        </is>
      </c>
    </row>
    <row r="2" ht="22" customHeight="1">
      <c r="A2" s="2" t="inlineStr">
        <is>
          <t xml:space="preserve">  Every lift, logged — sets × reps × weight = volume, the number that tracks progress.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Date</t>
        </is>
      </c>
      <c r="C4" s="9" t="inlineStr">
        <is>
          <t>Exercise</t>
        </is>
      </c>
      <c r="D4" s="9" t="inlineStr">
        <is>
          <t>Sets</t>
        </is>
      </c>
      <c r="E4" s="9" t="inlineStr">
        <is>
          <t>Reps</t>
        </is>
      </c>
      <c r="F4" s="9" t="inlineStr">
        <is>
          <t>Weight</t>
        </is>
      </c>
      <c r="G4" s="9" t="inlineStr">
        <is>
          <t>Volume</t>
        </is>
      </c>
    </row>
    <row r="5">
      <c r="B5" s="42" t="n">
        <v>46223</v>
      </c>
      <c r="C5" s="19" t="inlineStr">
        <is>
          <t>Deadlift</t>
        </is>
      </c>
      <c r="D5" s="40" t="n">
        <v>3</v>
      </c>
      <c r="E5" s="40" t="n">
        <v>5</v>
      </c>
      <c r="F5" s="43" t="n">
        <v>225</v>
      </c>
      <c r="G5" s="26">
        <f>D5*E5*F5</f>
        <v/>
      </c>
    </row>
    <row r="6">
      <c r="B6" s="39" t="n">
        <v>46223</v>
      </c>
      <c r="C6" s="22" t="inlineStr">
        <is>
          <t>Walking Lunge</t>
        </is>
      </c>
      <c r="D6" s="41" t="n">
        <v>3</v>
      </c>
      <c r="E6" s="41" t="n">
        <v>12</v>
      </c>
      <c r="F6" s="44" t="n">
        <v>40</v>
      </c>
      <c r="G6" s="31">
        <f>D6*E6*F6</f>
        <v/>
      </c>
    </row>
    <row r="7">
      <c r="B7" s="42" t="n">
        <v>46223</v>
      </c>
      <c r="C7" s="19" t="inlineStr">
        <is>
          <t>Plank (sec)</t>
        </is>
      </c>
      <c r="D7" s="40" t="n">
        <v>3</v>
      </c>
      <c r="E7" s="40" t="n">
        <v>45</v>
      </c>
      <c r="F7" s="43" t="n">
        <v>0</v>
      </c>
      <c r="G7" s="26">
        <f>D7*E7*F7</f>
        <v/>
      </c>
    </row>
    <row r="8">
      <c r="B8" s="39" t="n">
        <v>46222</v>
      </c>
      <c r="C8" s="22" t="inlineStr">
        <is>
          <t>Pull-Up</t>
        </is>
      </c>
      <c r="D8" s="41" t="n">
        <v>4</v>
      </c>
      <c r="E8" s="41" t="n">
        <v>8</v>
      </c>
      <c r="F8" s="44" t="n">
        <v>25</v>
      </c>
      <c r="G8" s="31">
        <f>D8*E8*F8</f>
        <v/>
      </c>
    </row>
    <row r="9">
      <c r="B9" s="42" t="n">
        <v>46222</v>
      </c>
      <c r="C9" s="19" t="inlineStr">
        <is>
          <t>Barbell Row</t>
        </is>
      </c>
      <c r="D9" s="40" t="n">
        <v>4</v>
      </c>
      <c r="E9" s="40" t="n">
        <v>10</v>
      </c>
      <c r="F9" s="43" t="n">
        <v>115</v>
      </c>
      <c r="G9" s="26">
        <f>D9*E9*F9</f>
        <v/>
      </c>
    </row>
    <row r="10">
      <c r="B10" s="39" t="n">
        <v>46222</v>
      </c>
      <c r="C10" s="22" t="inlineStr">
        <is>
          <t>Face Pull</t>
        </is>
      </c>
      <c r="D10" s="41" t="n">
        <v>3</v>
      </c>
      <c r="E10" s="41" t="n">
        <v>15</v>
      </c>
      <c r="F10" s="44" t="n">
        <v>40</v>
      </c>
      <c r="G10" s="31">
        <f>D10*E10*F10</f>
        <v/>
      </c>
    </row>
    <row r="11">
      <c r="B11" s="42" t="n">
        <v>46220</v>
      </c>
      <c r="C11" s="19" t="inlineStr">
        <is>
          <t>Back Squat</t>
        </is>
      </c>
      <c r="D11" s="40" t="n">
        <v>4</v>
      </c>
      <c r="E11" s="40" t="n">
        <v>6</v>
      </c>
      <c r="F11" s="43" t="n">
        <v>185</v>
      </c>
      <c r="G11" s="26">
        <f>D11*E11*F11</f>
        <v/>
      </c>
    </row>
    <row r="12">
      <c r="B12" s="39" t="n">
        <v>46220</v>
      </c>
      <c r="C12" s="22" t="inlineStr">
        <is>
          <t>Romanian Deadlift</t>
        </is>
      </c>
      <c r="D12" s="41" t="n">
        <v>3</v>
      </c>
      <c r="E12" s="41" t="n">
        <v>8</v>
      </c>
      <c r="F12" s="44" t="n">
        <v>155</v>
      </c>
      <c r="G12" s="31">
        <f>D12*E12*F12</f>
        <v/>
      </c>
    </row>
    <row r="13">
      <c r="B13" s="42" t="n">
        <v>46220</v>
      </c>
      <c r="C13" s="19" t="inlineStr">
        <is>
          <t>Leg Press</t>
        </is>
      </c>
      <c r="D13" s="40" t="n">
        <v>3</v>
      </c>
      <c r="E13" s="40" t="n">
        <v>12</v>
      </c>
      <c r="F13" s="43" t="n">
        <v>270</v>
      </c>
      <c r="G13" s="26">
        <f>D13*E13*F13</f>
        <v/>
      </c>
    </row>
    <row r="14">
      <c r="B14" s="39" t="n">
        <v>46219</v>
      </c>
      <c r="C14" s="22" t="inlineStr">
        <is>
          <t>Bench Press</t>
        </is>
      </c>
      <c r="D14" s="41" t="n">
        <v>4</v>
      </c>
      <c r="E14" s="41" t="n">
        <v>8</v>
      </c>
      <c r="F14" s="44" t="n">
        <v>135</v>
      </c>
      <c r="G14" s="31">
        <f>D14*E14*F14</f>
        <v/>
      </c>
    </row>
    <row r="15">
      <c r="B15" s="42" t="n">
        <v>46219</v>
      </c>
      <c r="C15" s="19" t="inlineStr">
        <is>
          <t>Incline DB Press</t>
        </is>
      </c>
      <c r="D15" s="40" t="n">
        <v>3</v>
      </c>
      <c r="E15" s="40" t="n">
        <v>10</v>
      </c>
      <c r="F15" s="43" t="n">
        <v>50</v>
      </c>
      <c r="G15" s="26">
        <f>D15*E15*F15</f>
        <v/>
      </c>
    </row>
    <row r="16">
      <c r="B16" s="39" t="n">
        <v>46219</v>
      </c>
      <c r="C16" s="22" t="inlineStr">
        <is>
          <t>Overhead Press</t>
        </is>
      </c>
      <c r="D16" s="41" t="n">
        <v>3</v>
      </c>
      <c r="E16" s="41" t="n">
        <v>8</v>
      </c>
      <c r="F16" s="44" t="n">
        <v>75</v>
      </c>
      <c r="G16" s="31">
        <f>D16*E16*F16</f>
        <v/>
      </c>
    </row>
    <row r="17">
      <c r="B17" s="35" t="n"/>
      <c r="C17" s="35" t="n"/>
      <c r="D17" s="35" t="n"/>
      <c r="E17" s="35" t="n"/>
      <c r="F17" s="35" t="n"/>
      <c r="G17" s="36">
        <f>IF(AND(D17&lt;&gt;"",E17&lt;&gt;"",F17&lt;&gt;""),D17*E17*F17,"")</f>
        <v/>
      </c>
    </row>
    <row r="18">
      <c r="B18" s="24" t="n"/>
      <c r="C18" s="24" t="n"/>
      <c r="D18" s="24" t="n"/>
      <c r="E18" s="24" t="n"/>
      <c r="F18" s="24" t="n"/>
      <c r="G18" s="31">
        <f>IF(AND(D18&lt;&gt;"",E18&lt;&gt;"",F18&lt;&gt;""),D18*E18*F18,"")</f>
        <v/>
      </c>
    </row>
    <row r="19">
      <c r="B19" s="35" t="n"/>
      <c r="C19" s="35" t="n"/>
      <c r="D19" s="35" t="n"/>
      <c r="E19" s="35" t="n"/>
      <c r="F19" s="35" t="n"/>
      <c r="G19" s="36">
        <f>IF(AND(D19&lt;&gt;"",E19&lt;&gt;"",F19&lt;&gt;""),D19*E19*F19,"")</f>
        <v/>
      </c>
    </row>
    <row r="20">
      <c r="B20" s="24" t="n"/>
      <c r="C20" s="24" t="n"/>
      <c r="D20" s="24" t="n"/>
      <c r="E20" s="24" t="n"/>
      <c r="F20" s="24" t="n"/>
      <c r="G20" s="31">
        <f>IF(AND(D20&lt;&gt;"",E20&lt;&gt;"",F20&lt;&gt;""),D20*E20*F20,"")</f>
        <v/>
      </c>
    </row>
    <row r="21">
      <c r="B21" s="35" t="n"/>
      <c r="C21" s="35" t="n"/>
      <c r="D21" s="35" t="n"/>
      <c r="E21" s="35" t="n"/>
      <c r="F21" s="35" t="n"/>
      <c r="G21" s="36">
        <f>IF(AND(D21&lt;&gt;"",E21&lt;&gt;"",F21&lt;&gt;""),D21*E21*F21,"")</f>
        <v/>
      </c>
    </row>
    <row r="22">
      <c r="B22" s="24" t="n"/>
      <c r="C22" s="24" t="n"/>
      <c r="D22" s="24" t="n"/>
      <c r="E22" s="24" t="n"/>
      <c r="F22" s="24" t="n"/>
      <c r="G22" s="31">
        <f>IF(AND(D22&lt;&gt;"",E22&lt;&gt;"",F22&lt;&gt;""),D22*E22*F22,"")</f>
        <v/>
      </c>
    </row>
    <row r="23">
      <c r="B23" s="35" t="n"/>
      <c r="C23" s="35" t="n"/>
      <c r="D23" s="35" t="n"/>
      <c r="E23" s="35" t="n"/>
      <c r="F23" s="35" t="n"/>
      <c r="G23" s="36">
        <f>IF(AND(D23&lt;&gt;"",E23&lt;&gt;"",F23&lt;&gt;""),D23*E23*F23,"")</f>
        <v/>
      </c>
    </row>
    <row r="24">
      <c r="B24" s="24" t="n"/>
      <c r="C24" s="24" t="n"/>
      <c r="D24" s="24" t="n"/>
      <c r="E24" s="24" t="n"/>
      <c r="F24" s="24" t="n"/>
      <c r="G24" s="31">
        <f>IF(AND(D24&lt;&gt;"",E24&lt;&gt;"",F24&lt;&gt;""),D24*E24*F24,"")</f>
        <v/>
      </c>
    </row>
    <row r="25">
      <c r="B25" s="35" t="n"/>
      <c r="C25" s="35" t="n"/>
      <c r="D25" s="35" t="n"/>
      <c r="E25" s="35" t="n"/>
      <c r="F25" s="35" t="n"/>
      <c r="G25" s="36">
        <f>IF(AND(D25&lt;&gt;"",E25&lt;&gt;"",F25&lt;&gt;""),D25*E25*F25,"")</f>
        <v/>
      </c>
    </row>
    <row r="26">
      <c r="B26" s="24" t="n"/>
      <c r="C26" s="24" t="n"/>
      <c r="D26" s="24" t="n"/>
      <c r="E26" s="24" t="n"/>
      <c r="F26" s="24" t="n"/>
      <c r="G26" s="31">
        <f>IF(AND(D26&lt;&gt;"",E26&lt;&gt;"",F26&lt;&gt;""),D26*E26*F26,"")</f>
        <v/>
      </c>
    </row>
    <row r="27">
      <c r="B27" s="35" t="n"/>
      <c r="C27" s="35" t="n"/>
      <c r="D27" s="35" t="n"/>
      <c r="E27" s="35" t="n"/>
      <c r="F27" s="35" t="n"/>
      <c r="G27" s="36">
        <f>IF(AND(D27&lt;&gt;"",E27&lt;&gt;"",F27&lt;&gt;""),D27*E27*F27,"")</f>
        <v/>
      </c>
    </row>
    <row r="28">
      <c r="B28" s="24" t="n"/>
      <c r="C28" s="24" t="n"/>
      <c r="D28" s="24" t="n"/>
      <c r="E28" s="24" t="n"/>
      <c r="F28" s="24" t="n"/>
      <c r="G28" s="31">
        <f>IF(AND(D28&lt;&gt;"",E28&lt;&gt;"",F28&lt;&gt;""),D28*E28*F28,"")</f>
        <v/>
      </c>
    </row>
    <row r="29">
      <c r="B29" s="35" t="n"/>
      <c r="C29" s="35" t="n"/>
      <c r="D29" s="35" t="n"/>
      <c r="E29" s="35" t="n"/>
      <c r="F29" s="35" t="n"/>
      <c r="G29" s="36">
        <f>IF(AND(D29&lt;&gt;"",E29&lt;&gt;"",F29&lt;&gt;""),D29*E29*F29,"")</f>
        <v/>
      </c>
    </row>
    <row r="30">
      <c r="B30" s="24" t="n"/>
      <c r="C30" s="24" t="n"/>
      <c r="D30" s="24" t="n"/>
      <c r="E30" s="24" t="n"/>
      <c r="F30" s="24" t="n"/>
      <c r="G30" s="31">
        <f>IF(AND(D30&lt;&gt;"",E30&lt;&gt;"",F30&lt;&gt;""),D30*E30*F30,"")</f>
        <v/>
      </c>
    </row>
    <row r="31">
      <c r="B31" s="35" t="n"/>
      <c r="C31" s="35" t="n"/>
      <c r="D31" s="35" t="n"/>
      <c r="E31" s="35" t="n"/>
      <c r="F31" s="35" t="n"/>
      <c r="G31" s="36">
        <f>IF(AND(D31&lt;&gt;"",E31&lt;&gt;"",F31&lt;&gt;""),D31*E31*F31,"")</f>
        <v/>
      </c>
    </row>
    <row r="32">
      <c r="B32" s="24" t="n"/>
      <c r="C32" s="24" t="n"/>
      <c r="D32" s="24" t="n"/>
      <c r="E32" s="24" t="n"/>
      <c r="F32" s="24" t="n"/>
      <c r="G32" s="31">
        <f>IF(AND(D32&lt;&gt;"",E32&lt;&gt;"",F32&lt;&gt;""),D32*E32*F32,"")</f>
        <v/>
      </c>
    </row>
    <row r="33">
      <c r="B33" s="35" t="n"/>
      <c r="C33" s="35" t="n"/>
      <c r="D33" s="35" t="n"/>
      <c r="E33" s="35" t="n"/>
      <c r="F33" s="35" t="n"/>
      <c r="G33" s="36">
        <f>IF(AND(D33&lt;&gt;"",E33&lt;&gt;"",F33&lt;&gt;""),D33*E33*F33,"")</f>
        <v/>
      </c>
    </row>
    <row r="34">
      <c r="B34" s="24" t="n"/>
      <c r="C34" s="24" t="n"/>
      <c r="D34" s="24" t="n"/>
      <c r="E34" s="24" t="n"/>
      <c r="F34" s="24" t="n"/>
      <c r="G34" s="31">
        <f>IF(AND(D34&lt;&gt;"",E34&lt;&gt;"",F34&lt;&gt;""),D34*E34*F34,"")</f>
        <v/>
      </c>
    </row>
    <row r="35">
      <c r="B35" s="35" t="n"/>
      <c r="C35" s="35" t="n"/>
      <c r="D35" s="35" t="n"/>
      <c r="E35" s="35" t="n"/>
      <c r="F35" s="35" t="n"/>
      <c r="G35" s="36">
        <f>IF(AND(D35&lt;&gt;"",E35&lt;&gt;"",F35&lt;&gt;""),D35*E35*F35,"")</f>
        <v/>
      </c>
    </row>
    <row r="36">
      <c r="B36" s="24" t="n"/>
      <c r="C36" s="24" t="n"/>
      <c r="D36" s="24" t="n"/>
      <c r="E36" s="24" t="n"/>
      <c r="F36" s="24" t="n"/>
      <c r="G36" s="31">
        <f>IF(AND(D36&lt;&gt;"",E36&lt;&gt;"",F36&lt;&gt;""),D36*E36*F36,"")</f>
        <v/>
      </c>
    </row>
    <row r="37">
      <c r="B37" s="9" t="inlineStr">
        <is>
          <t>TOTAL VOLUME</t>
        </is>
      </c>
      <c r="C37" s="32" t="n"/>
      <c r="D37" s="32" t="n"/>
      <c r="E37" s="32" t="n"/>
      <c r="F37" s="32" t="n"/>
      <c r="G37" s="33">
        <f>SUM(G5:G36)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📉  BODY METRICS</t>
        </is>
      </c>
    </row>
    <row r="2" ht="22" customHeight="1">
      <c r="A2" s="2" t="inlineStr">
        <is>
          <t xml:space="preserve">  Weigh in weekly — the trend line, not any single day, tells the real story.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Week</t>
        </is>
      </c>
      <c r="C4" s="9" t="inlineStr">
        <is>
          <t>Weight (lb)</t>
        </is>
      </c>
      <c r="D4" s="9" t="inlineStr">
        <is>
          <t>Change</t>
        </is>
      </c>
    </row>
    <row r="5">
      <c r="B5" s="19" t="inlineStr">
        <is>
          <t>Wk 1</t>
        </is>
      </c>
      <c r="C5" s="45" t="n">
        <v>185</v>
      </c>
      <c r="D5" s="46" t="n">
        <v>0</v>
      </c>
    </row>
    <row r="6">
      <c r="B6" s="22" t="inlineStr">
        <is>
          <t>Wk 2</t>
        </is>
      </c>
      <c r="C6" s="47" t="n">
        <v>183.4</v>
      </c>
      <c r="D6" s="48">
        <f>C6-C5</f>
        <v/>
      </c>
    </row>
    <row r="7">
      <c r="B7" s="19" t="inlineStr">
        <is>
          <t>Wk 3</t>
        </is>
      </c>
      <c r="C7" s="45" t="n">
        <v>182.1</v>
      </c>
      <c r="D7" s="46">
        <f>C7-C6</f>
        <v/>
      </c>
    </row>
    <row r="8">
      <c r="B8" s="22" t="inlineStr">
        <is>
          <t>Wk 4</t>
        </is>
      </c>
      <c r="C8" s="47" t="n">
        <v>180.6</v>
      </c>
      <c r="D8" s="48">
        <f>C8-C7</f>
        <v/>
      </c>
    </row>
    <row r="9">
      <c r="B9" s="19" t="inlineStr">
        <is>
          <t>Wk 5</t>
        </is>
      </c>
      <c r="C9" s="45" t="n">
        <v>179.5</v>
      </c>
      <c r="D9" s="46">
        <f>C9-C8</f>
        <v/>
      </c>
    </row>
    <row r="10">
      <c r="B10" s="22" t="inlineStr">
        <is>
          <t>Wk 6</t>
        </is>
      </c>
      <c r="C10" s="47" t="n">
        <v>178.2</v>
      </c>
      <c r="D10" s="48">
        <f>C10-C9</f>
        <v/>
      </c>
    </row>
    <row r="11">
      <c r="B11" s="19" t="inlineStr">
        <is>
          <t>Wk 7</t>
        </is>
      </c>
      <c r="C11" s="45" t="n">
        <v>177.3</v>
      </c>
      <c r="D11" s="46">
        <f>C11-C10</f>
        <v/>
      </c>
    </row>
    <row r="12">
      <c r="B12" s="22" t="inlineStr">
        <is>
          <t>Wk 8</t>
        </is>
      </c>
      <c r="C12" s="47" t="n">
        <v>176.6</v>
      </c>
      <c r="D12" s="48">
        <f>C12-C11</f>
        <v/>
      </c>
    </row>
    <row r="13">
      <c r="B13" s="19" t="inlineStr">
        <is>
          <t>Wk 9</t>
        </is>
      </c>
      <c r="C13" s="45" t="n">
        <v>176</v>
      </c>
      <c r="D13" s="46">
        <f>C13-C12</f>
        <v/>
      </c>
    </row>
    <row r="15">
      <c r="B15" s="49" t="inlineStr">
        <is>
          <t>Total change</t>
        </is>
      </c>
      <c r="C15" s="50">
        <f>C13-C5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46" customHeight="1">
      <c r="A1" s="1" t="inlineStr">
        <is>
          <t xml:space="preserve">  ✅  HABIT TRACKER</t>
        </is>
      </c>
    </row>
    <row r="2" ht="22" customHeight="1">
      <c r="A2" s="2" t="inlineStr">
        <is>
          <t xml:space="preserve">  Water, sleep &amp; steps, every day — the small habits that make the big results stick.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Water (cups)</t>
        </is>
      </c>
      <c r="D4" s="9" t="inlineStr">
        <is>
          <t>Sleep (hrs)</t>
        </is>
      </c>
      <c r="E4" s="9" t="inlineStr">
        <is>
          <t>Steps</t>
        </is>
      </c>
    </row>
    <row r="5">
      <c r="B5" s="38" t="n">
        <v>46224</v>
      </c>
      <c r="C5" s="35" t="n">
        <v>8</v>
      </c>
      <c r="D5" s="51" t="n">
        <v>7.5</v>
      </c>
      <c r="E5" s="36" t="n">
        <v>9700</v>
      </c>
    </row>
    <row r="6">
      <c r="B6" s="39" t="n">
        <v>46223</v>
      </c>
      <c r="C6" s="24" t="n">
        <v>7</v>
      </c>
      <c r="D6" s="52" t="n">
        <v>7</v>
      </c>
      <c r="E6" s="31" t="n">
        <v>9400</v>
      </c>
    </row>
    <row r="7">
      <c r="B7" s="38" t="n">
        <v>46222</v>
      </c>
      <c r="C7" s="35" t="n">
        <v>6</v>
      </c>
      <c r="D7" s="51" t="n">
        <v>6.5</v>
      </c>
      <c r="E7" s="36" t="n">
        <v>8300</v>
      </c>
    </row>
    <row r="8">
      <c r="B8" s="39" t="n">
        <v>46221</v>
      </c>
      <c r="C8" s="24" t="n">
        <v>8</v>
      </c>
      <c r="D8" s="52" t="n">
        <v>8</v>
      </c>
      <c r="E8" s="31" t="n">
        <v>10800</v>
      </c>
    </row>
    <row r="9">
      <c r="B9" s="38" t="n">
        <v>46220</v>
      </c>
      <c r="C9" s="35" t="n">
        <v>7</v>
      </c>
      <c r="D9" s="51" t="n">
        <v>7.5</v>
      </c>
      <c r="E9" s="36" t="n">
        <v>9100</v>
      </c>
    </row>
    <row r="10">
      <c r="B10" s="39" t="n">
        <v>46219</v>
      </c>
      <c r="C10" s="24" t="n">
        <v>7</v>
      </c>
      <c r="D10" s="52" t="n">
        <v>7</v>
      </c>
      <c r="E10" s="31" t="n">
        <v>9600</v>
      </c>
    </row>
    <row r="11">
      <c r="B11" s="38" t="n">
        <v>46218</v>
      </c>
      <c r="C11" s="35" t="n">
        <v>8</v>
      </c>
      <c r="D11" s="51" t="n">
        <v>7.5</v>
      </c>
      <c r="E11" s="36" t="n">
        <v>10500</v>
      </c>
    </row>
    <row r="12">
      <c r="B12" s="39" t="n">
        <v>46217</v>
      </c>
      <c r="C12" s="24" t="n">
        <v>6</v>
      </c>
      <c r="D12" s="52" t="n">
        <v>6.5</v>
      </c>
      <c r="E12" s="31" t="n">
        <v>7800</v>
      </c>
    </row>
    <row r="13">
      <c r="B13" s="38" t="n">
        <v>46216</v>
      </c>
      <c r="C13" s="35" t="n">
        <v>7</v>
      </c>
      <c r="D13" s="51" t="n">
        <v>7</v>
      </c>
      <c r="E13" s="36" t="n">
        <v>9200</v>
      </c>
    </row>
    <row r="14">
      <c r="B14" s="39" t="n">
        <v>46215</v>
      </c>
      <c r="C14" s="24" t="n">
        <v>8</v>
      </c>
      <c r="D14" s="52" t="n">
        <v>8</v>
      </c>
      <c r="E14" s="31" t="n">
        <v>11000</v>
      </c>
    </row>
    <row r="15">
      <c r="B15" s="38" t="n">
        <v>46214</v>
      </c>
      <c r="C15" s="35" t="n">
        <v>7</v>
      </c>
      <c r="D15" s="51" t="n">
        <v>7.5</v>
      </c>
      <c r="E15" s="36" t="n">
        <v>9800</v>
      </c>
    </row>
    <row r="16">
      <c r="B16" s="39" t="n">
        <v>46213</v>
      </c>
      <c r="C16" s="24" t="n">
        <v>6</v>
      </c>
      <c r="D16" s="52" t="n">
        <v>6.5</v>
      </c>
      <c r="E16" s="31" t="n">
        <v>8100</v>
      </c>
    </row>
    <row r="17">
      <c r="B17" s="38" t="n">
        <v>46212</v>
      </c>
      <c r="C17" s="35" t="n">
        <v>8</v>
      </c>
      <c r="D17" s="51" t="n">
        <v>7</v>
      </c>
      <c r="E17" s="36" t="n">
        <v>10200</v>
      </c>
    </row>
    <row r="18">
      <c r="B18" s="39" t="n">
        <v>46211</v>
      </c>
      <c r="C18" s="24" t="n">
        <v>7</v>
      </c>
      <c r="D18" s="52" t="n">
        <v>7.5</v>
      </c>
      <c r="E18" s="31" t="n">
        <v>9400</v>
      </c>
    </row>
    <row r="19">
      <c r="B19" s="38" t="n"/>
      <c r="C19" s="35" t="n"/>
      <c r="D19" s="51" t="n"/>
      <c r="E19" s="36" t="n"/>
    </row>
    <row r="20">
      <c r="B20" s="39" t="n"/>
      <c r="C20" s="24" t="n"/>
      <c r="D20" s="52" t="n"/>
      <c r="E20" s="31" t="n"/>
    </row>
    <row r="21">
      <c r="B21" s="38" t="n"/>
      <c r="C21" s="35" t="n"/>
      <c r="D21" s="51" t="n"/>
      <c r="E21" s="36" t="n"/>
    </row>
    <row r="22">
      <c r="B22" s="39" t="n"/>
      <c r="C22" s="24" t="n"/>
      <c r="D22" s="52" t="n"/>
      <c r="E22" s="31" t="n"/>
    </row>
    <row r="23">
      <c r="B23" s="38" t="n"/>
      <c r="C23" s="35" t="n"/>
      <c r="D23" s="51" t="n"/>
      <c r="E23" s="36" t="n"/>
    </row>
    <row r="24">
      <c r="B24" s="39" t="n"/>
      <c r="C24" s="24" t="n"/>
      <c r="D24" s="52" t="n"/>
      <c r="E24" s="31" t="n"/>
    </row>
    <row r="25">
      <c r="B25" s="38" t="n"/>
      <c r="C25" s="35" t="n"/>
      <c r="D25" s="51" t="n"/>
      <c r="E25" s="36" t="n"/>
    </row>
    <row r="26">
      <c r="B26" s="39" t="n"/>
      <c r="C26" s="24" t="n"/>
      <c r="D26" s="52" t="n"/>
      <c r="E26" s="31" t="n"/>
    </row>
    <row r="27">
      <c r="B27" s="38" t="n"/>
      <c r="C27" s="35" t="n"/>
      <c r="D27" s="51" t="n"/>
      <c r="E27" s="36" t="n"/>
    </row>
    <row r="28">
      <c r="B28" s="39" t="n"/>
      <c r="C28" s="24" t="n"/>
      <c r="D28" s="52" t="n"/>
      <c r="E28" s="31" t="n"/>
    </row>
    <row r="29">
      <c r="B29" s="38" t="n"/>
      <c r="C29" s="35" t="n"/>
      <c r="D29" s="51" t="n"/>
      <c r="E29" s="36" t="n"/>
    </row>
    <row r="30">
      <c r="B30" s="39" t="n"/>
      <c r="C30" s="24" t="n"/>
      <c r="D30" s="52" t="n"/>
      <c r="E30" s="31" t="n"/>
    </row>
    <row r="31">
      <c r="B31" s="38" t="n"/>
      <c r="C31" s="35" t="n"/>
      <c r="D31" s="51" t="n"/>
      <c r="E31" s="36" t="n"/>
    </row>
    <row r="32">
      <c r="B32" s="39" t="n"/>
      <c r="C32" s="24" t="n"/>
      <c r="D32" s="52" t="n"/>
      <c r="E32" s="31" t="n"/>
    </row>
    <row r="33">
      <c r="B33" s="38" t="n"/>
      <c r="C33" s="35" t="n"/>
      <c r="D33" s="51" t="n"/>
      <c r="E33" s="36" t="n"/>
    </row>
    <row r="34">
      <c r="B34" s="39" t="n"/>
      <c r="C34" s="24" t="n"/>
      <c r="D34" s="52" t="n"/>
      <c r="E34" s="31" t="n"/>
    </row>
    <row r="35">
      <c r="B35" s="38" t="n"/>
      <c r="C35" s="35" t="n"/>
      <c r="D35" s="51" t="n"/>
      <c r="E35" s="36" t="n"/>
    </row>
    <row r="36">
      <c r="B36" s="39" t="n"/>
      <c r="C36" s="24" t="n"/>
      <c r="D36" s="52" t="n"/>
      <c r="E36" s="31" t="n"/>
    </row>
    <row r="37">
      <c r="B37" s="38" t="n"/>
      <c r="C37" s="35" t="n"/>
      <c r="D37" s="51" t="n"/>
      <c r="E37" s="36" t="n"/>
    </row>
    <row r="38">
      <c r="B38" s="39" t="n"/>
      <c r="C38" s="24" t="n"/>
      <c r="D38" s="52" t="n"/>
      <c r="E38" s="31" t="n"/>
    </row>
    <row r="39">
      <c r="B39" s="38" t="n"/>
      <c r="C39" s="35" t="n"/>
      <c r="D39" s="51" t="n"/>
      <c r="E39" s="36" t="n"/>
    </row>
    <row r="40">
      <c r="B40" s="39" t="n"/>
      <c r="C40" s="24" t="n"/>
      <c r="D40" s="52" t="n"/>
      <c r="E40" s="31" t="n"/>
    </row>
    <row r="41">
      <c r="B41" s="38" t="n"/>
      <c r="C41" s="35" t="n"/>
      <c r="D41" s="51" t="n"/>
      <c r="E41" s="36" t="n"/>
    </row>
    <row r="42">
      <c r="B42" s="39" t="n"/>
      <c r="C42" s="24" t="n"/>
      <c r="D42" s="52" t="n"/>
      <c r="E42" s="31" t="n"/>
    </row>
    <row r="43">
      <c r="B43" s="38" t="n"/>
      <c r="C43" s="35" t="n"/>
      <c r="D43" s="51" t="n"/>
      <c r="E43" s="36" t="n"/>
    </row>
    <row r="44">
      <c r="B44" s="39" t="n"/>
      <c r="C44" s="24" t="n"/>
      <c r="D44" s="52" t="n"/>
      <c r="E44" s="31" t="n"/>
    </row>
    <row r="45">
      <c r="B45" s="38" t="n"/>
      <c r="C45" s="35" t="n"/>
      <c r="D45" s="51" t="n"/>
      <c r="E45" s="36" t="n"/>
    </row>
    <row r="46">
      <c r="B46" s="39" t="n"/>
      <c r="C46" s="24" t="n"/>
      <c r="D46" s="52" t="n"/>
      <c r="E46" s="31" t="n"/>
    </row>
    <row r="47">
      <c r="B47" s="38" t="n"/>
      <c r="C47" s="35" t="n"/>
      <c r="D47" s="51" t="n"/>
      <c r="E47" s="36" t="n"/>
    </row>
    <row r="48">
      <c r="B48" s="39" t="n"/>
      <c r="C48" s="24" t="n"/>
      <c r="D48" s="52" t="n"/>
      <c r="E48" s="31" t="n"/>
    </row>
    <row r="49">
      <c r="B49" s="38" t="n"/>
      <c r="C49" s="35" t="n"/>
      <c r="D49" s="51" t="n"/>
      <c r="E49" s="36" t="n"/>
    </row>
    <row r="50">
      <c r="B50" s="9" t="inlineStr">
        <is>
          <t>AVERAGE</t>
        </is>
      </c>
      <c r="C50" s="53">
        <f>ROUND(AVERAGE(C5:C49),1)</f>
        <v/>
      </c>
      <c r="D50" s="53">
        <f>ROUND(AVERAGE(D5:D49),1)</f>
        <v/>
      </c>
      <c r="E50" s="33">
        <f>ROUND(AVERAGE(E5:E49),0)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stats,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 &amp; YOUR TARGETS</t>
        </is>
      </c>
      <c r="E5" s="4" t="inlineStr">
        <is>
          <t>DROPDOWN LISTS</t>
        </is>
      </c>
    </row>
    <row r="6">
      <c r="B6" s="49" t="inlineStr">
        <is>
          <t>Name</t>
        </is>
      </c>
      <c r="C6" s="40" t="inlineStr">
        <is>
          <t>Jordan</t>
        </is>
      </c>
      <c r="E6" s="9" t="inlineStr">
        <is>
          <t>Meal Slot</t>
        </is>
      </c>
      <c r="F6" s="9" t="inlineStr">
        <is>
          <t>Category</t>
        </is>
      </c>
      <c r="G6" s="9" t="inlineStr">
        <is>
          <t>Aisle</t>
        </is>
      </c>
      <c r="H6" s="9" t="inlineStr">
        <is>
          <t>Focus</t>
        </is>
      </c>
      <c r="I6" s="9" t="inlineStr">
        <is>
          <t>Yes / No</t>
        </is>
      </c>
    </row>
    <row r="7">
      <c r="B7" s="49" t="inlineStr">
        <is>
          <t>Start Weight (lb)</t>
        </is>
      </c>
      <c r="C7" s="45" t="n">
        <v>185</v>
      </c>
      <c r="E7" s="19" t="inlineStr">
        <is>
          <t>Breakfast</t>
        </is>
      </c>
      <c r="F7" s="19" t="inlineStr">
        <is>
          <t>Breakfast</t>
        </is>
      </c>
      <c r="G7" s="19" t="inlineStr">
        <is>
          <t>Produce</t>
        </is>
      </c>
      <c r="H7" s="19" t="inlineStr">
        <is>
          <t>Push</t>
        </is>
      </c>
      <c r="I7" s="19" t="inlineStr">
        <is>
          <t>Yes</t>
        </is>
      </c>
    </row>
    <row r="8">
      <c r="B8" s="49" t="inlineStr">
        <is>
          <t>Current Weight (lb)</t>
        </is>
      </c>
      <c r="C8" s="45" t="n">
        <v>176</v>
      </c>
      <c r="E8" s="19" t="inlineStr">
        <is>
          <t>Lunch</t>
        </is>
      </c>
      <c r="F8" s="19" t="inlineStr">
        <is>
          <t>Lunch</t>
        </is>
      </c>
      <c r="G8" s="19" t="inlineStr">
        <is>
          <t>Meat</t>
        </is>
      </c>
      <c r="H8" s="19" t="inlineStr">
        <is>
          <t>Pull</t>
        </is>
      </c>
      <c r="I8" s="19" t="inlineStr">
        <is>
          <t>No</t>
        </is>
      </c>
    </row>
    <row r="9">
      <c r="B9" s="49" t="inlineStr">
        <is>
          <t>Goal Weight (lb)</t>
        </is>
      </c>
      <c r="C9" s="45" t="n">
        <v>165</v>
      </c>
      <c r="E9" s="19" t="inlineStr">
        <is>
          <t>Dinner</t>
        </is>
      </c>
      <c r="F9" s="19" t="inlineStr">
        <is>
          <t>Dinner</t>
        </is>
      </c>
      <c r="G9" s="19" t="inlineStr">
        <is>
          <t>Dairy</t>
        </is>
      </c>
      <c r="H9" s="19" t="inlineStr">
        <is>
          <t>Legs</t>
        </is>
      </c>
    </row>
    <row r="10">
      <c r="B10" s="49" t="inlineStr">
        <is>
          <t>Daily Calorie Target</t>
        </is>
      </c>
      <c r="C10" s="43" t="n">
        <v>2100</v>
      </c>
      <c r="E10" s="19" t="inlineStr">
        <is>
          <t>Snack</t>
        </is>
      </c>
      <c r="F10" s="19" t="inlineStr">
        <is>
          <t>Snack</t>
        </is>
      </c>
      <c r="G10" s="19" t="inlineStr">
        <is>
          <t>Pantry</t>
        </is>
      </c>
      <c r="H10" s="19" t="inlineStr">
        <is>
          <t>Upper</t>
        </is>
      </c>
    </row>
    <row r="11">
      <c r="B11" s="49" t="inlineStr">
        <is>
          <t>Daily Protein Target (g)</t>
        </is>
      </c>
      <c r="C11" s="43" t="n">
        <v>150</v>
      </c>
      <c r="G11" s="19" t="inlineStr">
        <is>
          <t>Frozen</t>
        </is>
      </c>
      <c r="H11" s="19" t="inlineStr">
        <is>
          <t>Lower</t>
        </is>
      </c>
    </row>
    <row r="12">
      <c r="B12" s="49" t="inlineStr">
        <is>
          <t>Water Target (cups)</t>
        </is>
      </c>
      <c r="C12" s="54" t="n">
        <v>8</v>
      </c>
      <c r="G12" s="19" t="inlineStr">
        <is>
          <t>Bakery</t>
        </is>
      </c>
      <c r="H12" s="19" t="inlineStr">
        <is>
          <t>Full Body</t>
        </is>
      </c>
    </row>
    <row r="13">
      <c r="B13" s="49" t="inlineStr">
        <is>
          <t>Daily Step Goal</t>
        </is>
      </c>
      <c r="C13" s="43" t="n">
        <v>10000</v>
      </c>
      <c r="G13" s="19" t="inlineStr">
        <is>
          <t>Other</t>
        </is>
      </c>
      <c r="H13" s="19" t="inlineStr">
        <is>
          <t>Cardio</t>
        </is>
      </c>
    </row>
    <row r="14">
      <c r="B14" s="49" t="inlineStr">
        <is>
          <t>Weekly Workout Goal</t>
        </is>
      </c>
      <c r="C14" s="54" t="n">
        <v>5</v>
      </c>
      <c r="H14" s="19" t="inlineStr">
        <is>
          <t>Core</t>
        </is>
      </c>
    </row>
    <row r="15">
      <c r="H15" s="19" t="inlineStr">
        <is>
          <t>Rest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2026-07-21T19:40:15Z</dcterms:created>
  <dcterms:modified xsi:type="dcterms:W3CDTF">2026-07-21T19:40:15Z</dcterms:modified>
</cp:coreProperties>
</file>