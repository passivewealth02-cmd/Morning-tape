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Affordability" sheetId="3" state="visible" r:id="rId3"/>
    <sheet name="Down Payment" sheetId="4" state="visible" r:id="rId4"/>
    <sheet name="Closing Costs" sheetId="5" state="visible" r:id="rId5"/>
    <sheet name="Home Comparison" sheetId="6" state="visible" r:id="rId6"/>
    <sheet name="Lender Compare" sheetId="7" state="visible" r:id="rId7"/>
    <sheet name="Amortization" sheetId="8" state="visible" r:id="rId8"/>
    <sheet name="Life After Buying" sheetId="9" state="visible" r:id="rId9"/>
    <sheet name="Credit Prep" sheetId="10" state="visible" r:id="rId10"/>
    <sheet name="House Hunting" sheetId="11" state="visible" r:id="rId11"/>
    <sheet name="Moving Checklist" sheetId="12" state="visible" r:id="rId12"/>
    <sheet name="Monthly Summary" sheetId="13" state="visible" r:id="rId13"/>
    <sheet name="Settings" sheetId="14" state="visible" r:id="rId14"/>
  </sheets>
  <definedNames>
    <definedName name="Owner">Settings!$C$6</definedName>
    <definedName name="PlanName">Settings!$C$7</definedName>
    <definedName name="AnnualIncome">Settings!$C$8</definedName>
    <definedName name="OtherDebts">Settings!$C$9</definedName>
    <definedName name="TaxRate">Settings!$C$10</definedName>
    <definedName name="InsuranceAnnual">Settings!$C$11</definedName>
    <definedName name="PMIRate">Settings!$C$12</definedName>
    <definedName name="ClosingPct">Settings!$C$13</definedName>
    <definedName name="FrontGoal">Settings!$C$14</definedName>
    <definedName name="BackGoal">Settings!$C$15</definedName>
    <definedName name="DownGoal">Settings!$C$16</definedName>
    <definedName name="CreditGoal">Settings!$C$17</definedName>
    <definedName name="CreditScore">Settings!$C$18</definedName>
    <definedName name="EFAfter">Settings!$C$19</definedName>
    <definedName name="EFGoal">Settings!$C$20</definedName>
    <definedName name="LoanTypeList">Settings!$E$7:$E$10</definedName>
    <definedName name="HomeStatusList">Settings!$F$7:$F$10</definedName>
    <definedName name="PriorityList">Settings!$G$7:$G$9</definedName>
    <definedName name="YesNoList">Settings!$H$7:$H$8</definedName>
    <definedName name="ClosingAmt">'Closing Costs'!$C$5:$C$11</definedName>
    <definedName name="ClosingTotal">'Closing Costs'!$C$12</definedName>
    <definedName name="HomePrice">'Affordability'!$C$6</definedName>
    <definedName name="DownPct">'Affordability'!$C$7</definedName>
    <definedName name="Rate">'Affordability'!$C$8</definedName>
    <definedName name="TermYears">'Affordability'!$C$9</definedName>
    <definedName name="DownPayment">'Affordability'!$C$10</definedName>
    <definedName name="LoanAmount">'Affordability'!$C$11</definedName>
    <definedName name="PrincipalInterest">'Affordability'!$C$14</definedName>
    <definedName name="PropertyTax">'Affordability'!$C$15</definedName>
    <definedName name="Insurance">'Affordability'!$C$16</definedName>
    <definedName name="PMI">'Affordability'!$C$17</definedName>
    <definedName name="HOA">'Affordability'!$C$18</definedName>
    <definedName name="PITI">'Affordability'!$C$19</definedName>
    <definedName name="GrossMonthly">'Affordability'!$C$22</definedName>
    <definedName name="FrontDTI">'Affordability'!$C$23</definedName>
    <definedName name="BackDTI">'Affordability'!$C$24</definedName>
    <definedName name="TotalInterest">'Affordability'!$C$27</definedName>
    <definedName name="Saved">'Down Payment'!$C$5</definedName>
    <definedName name="CashToClose">'Down Payment'!$C$8</definedName>
    <definedName name="SaveProgress">'Down Payment'!$C$10</definedName>
    <definedName name="Deposits">'Down Payment'!$C$13:$C$18</definedName>
    <definedName name="HomeScore">'Home Comparison'!$H$5:$H$9</definedName>
    <definedName name="HomePriceRange">'Home Comparison'!$C$5:$C$9</definedName>
    <definedName name="HomesSeen">'Home Comparison'!$C$11</definedName>
    <definedName name="LenderRate">'Lender Compare'!$C$5:$C$8</definedName>
    <definedName name="AfterAmt">'Life After Buying'!$C$5:$C$12</definedName>
    <definedName name="CreditDone">'Credit Prep'!$C$9:$C$14</definedName>
    <definedName name="SavedTrend">'Monthly Summary'!$C$7:$C$12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0.00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color rgb="00333333"/>
      <sz val="11"/>
    </font>
    <font>
      <b val="1"/>
      <color rgb="00C94C4C"/>
      <sz val="12"/>
    </font>
    <font>
      <b val="1"/>
      <color rgb="001B4F48"/>
      <sz val="12"/>
    </font>
    <font>
      <b val="1"/>
      <color rgb="001B4F48"/>
      <sz val="14"/>
    </font>
    <font>
      <b val="1"/>
      <color rgb="001B4F48"/>
      <sz val="13"/>
    </font>
    <font>
      <b val="1"/>
      <color rgb="001B4F48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4ECDE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2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6" fillId="0" borderId="1" applyAlignment="1">
      <alignment horizontal="left" vertical="top" wrapText="1" indent="1"/>
    </xf>
  </cellStyleXfs>
  <cellXfs count="60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1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1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9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5" fillId="9" borderId="3" applyAlignment="1" pivotButton="0" quotePrefix="0" xfId="0">
      <alignment horizontal="center" vertical="center"/>
    </xf>
    <xf numFmtId="0" fontId="0" fillId="9" borderId="3" pivotButton="0" quotePrefix="0" xfId="0"/>
    <xf numFmtId="164" fontId="16" fillId="9" borderId="2" applyAlignment="1" pivotButton="0" quotePrefix="0" xfId="0">
      <alignment horizontal="center" vertical="center"/>
    </xf>
    <xf numFmtId="0" fontId="0" fillId="9" borderId="2" pivotButton="0" quotePrefix="0" xfId="0"/>
    <xf numFmtId="165" fontId="16" fillId="9" borderId="2" applyAlignment="1" pivotButton="0" quotePrefix="0" xfId="0">
      <alignment horizontal="center" vertical="center"/>
    </xf>
    <xf numFmtId="9" fontId="16" fillId="9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9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164" fontId="7" fillId="3" borderId="2" applyAlignment="1" pivotButton="0" quotePrefix="0" xfId="8">
      <alignment horizontal="center" vertical="center"/>
    </xf>
    <xf numFmtId="9" fontId="7" fillId="3" borderId="2" applyAlignment="1" pivotButton="0" quotePrefix="0" xfId="8">
      <alignment horizontal="center" vertical="center"/>
    </xf>
    <xf numFmtId="10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  <xf numFmtId="164" fontId="7" fillId="0" borderId="2" applyAlignment="1" pivotButton="0" quotePrefix="0" xfId="10">
      <alignment horizontal="left" vertical="center" indent="1"/>
    </xf>
    <xf numFmtId="164" fontId="11" fillId="6" borderId="2" applyAlignment="1" pivotButton="0" quotePrefix="0" xfId="6">
      <alignment horizontal="center" vertical="center" wrapText="1"/>
    </xf>
    <xf numFmtId="164" fontId="12" fillId="6" borderId="2" applyAlignment="1" pivotButton="0" quotePrefix="0" xfId="6">
      <alignment horizontal="center" vertical="center" wrapText="1"/>
    </xf>
    <xf numFmtId="165" fontId="11" fillId="6" borderId="2" applyAlignment="1" pivotButton="0" quotePrefix="0" xfId="6">
      <alignment horizontal="center" vertical="center" wrapText="1"/>
    </xf>
    <xf numFmtId="0" fontId="7" fillId="0" borderId="2" applyAlignment="1" pivotButton="0" quotePrefix="0" xfId="10">
      <alignment horizontal="left" vertical="center" indent="1"/>
    </xf>
    <xf numFmtId="164" fontId="7" fillId="7" borderId="2" applyAlignment="1" pivotButton="0" quotePrefix="0" xfId="10">
      <alignment horizontal="left" vertical="center" indent="1"/>
    </xf>
    <xf numFmtId="164" fontId="13" fillId="6" borderId="2" applyAlignment="1" pivotButton="0" quotePrefix="0" xfId="6">
      <alignment horizontal="center" vertical="center" wrapText="1"/>
    </xf>
    <xf numFmtId="164" fontId="10" fillId="7" borderId="2" applyAlignment="1" pivotButton="0" quotePrefix="0" xfId="6">
      <alignment horizontal="center" vertical="center" wrapText="1"/>
    </xf>
    <xf numFmtId="9" fontId="7" fillId="6" borderId="2" applyAlignment="1" pivotButton="0" quotePrefix="0" xfId="10">
      <alignment horizontal="left" vertical="center" indent="1"/>
    </xf>
    <xf numFmtId="164" fontId="6" fillId="0" borderId="2" applyAlignment="1" pivotButton="0" quotePrefix="0" xfId="6">
      <alignment horizontal="center" vertical="center" wrapText="1"/>
    </xf>
    <xf numFmtId="164" fontId="7" fillId="8" borderId="2" applyAlignment="1" pivotButton="0" quotePrefix="0" xfId="8">
      <alignment horizontal="center" vertical="center"/>
    </xf>
    <xf numFmtId="164" fontId="6" fillId="8" borderId="2" applyAlignment="1" pivotButton="0" quotePrefix="0" xfId="6">
      <alignment horizontal="center" vertical="center" wrapText="1"/>
    </xf>
    <xf numFmtId="3" fontId="7" fillId="0" borderId="2" applyAlignment="1" pivotButton="0" quotePrefix="0" xfId="10">
      <alignment horizontal="left" vertical="center" indent="1"/>
    </xf>
    <xf numFmtId="164" fontId="10" fillId="3" borderId="2" applyAlignment="1" pivotButton="0" quotePrefix="0" xfId="6">
      <alignment horizontal="center" vertical="center" wrapText="1"/>
    </xf>
    <xf numFmtId="165" fontId="7" fillId="6" borderId="2" applyAlignment="1" pivotButton="0" quotePrefix="0" xfId="10">
      <alignment horizontal="left" vertical="center" indent="1"/>
    </xf>
    <xf numFmtId="0" fontId="7" fillId="3" borderId="2" applyAlignment="1" pivotButton="0" quotePrefix="0" xfId="8">
      <alignment horizontal="center" vertical="center"/>
    </xf>
    <xf numFmtId="3" fontId="7" fillId="3" borderId="2" applyAlignment="1" pivotButton="0" quotePrefix="0" xfId="8">
      <alignment horizontal="center" vertical="center"/>
    </xf>
    <xf numFmtId="0" fontId="7" fillId="8" borderId="2" applyAlignment="1" pivotButton="0" quotePrefix="0" xfId="8">
      <alignment horizontal="center" vertical="center"/>
    </xf>
    <xf numFmtId="3" fontId="7" fillId="8" borderId="2" applyAlignment="1" pivotButton="0" quotePrefix="0" xfId="8">
      <alignment horizontal="center" vertical="center"/>
    </xf>
    <xf numFmtId="3" fontId="7" fillId="6" borderId="2" applyAlignment="1" pivotButton="0" quotePrefix="0" xfId="10">
      <alignment horizontal="left" vertical="center" indent="1"/>
    </xf>
    <xf numFmtId="166" fontId="7" fillId="3" borderId="2" applyAlignment="1" pivotButton="0" quotePrefix="0" xfId="8">
      <alignment horizontal="center" vertical="center"/>
    </xf>
    <xf numFmtId="2" fontId="7" fillId="3" borderId="2" applyAlignment="1" pivotButton="0" quotePrefix="0" xfId="8">
      <alignment horizontal="center" vertical="center"/>
    </xf>
    <xf numFmtId="166" fontId="7" fillId="8" borderId="2" applyAlignment="1" pivotButton="0" quotePrefix="0" xfId="8">
      <alignment horizontal="center" vertical="center"/>
    </xf>
    <xf numFmtId="2" fontId="7" fillId="8" borderId="2" applyAlignment="1" pivotButton="0" quotePrefix="0" xfId="8">
      <alignment horizontal="center" vertical="center"/>
    </xf>
    <xf numFmtId="166" fontId="7" fillId="6" borderId="2" applyAlignment="1" pivotButton="0" quotePrefix="0" xfId="10">
      <alignment horizontal="left" vertical="center" indent="1"/>
    </xf>
    <xf numFmtId="164" fontId="14" fillId="3" borderId="2" applyAlignment="1" pivotButton="0" quotePrefix="0" xfId="6">
      <alignment horizontal="center" vertical="center" wrapText="1"/>
    </xf>
    <xf numFmtId="164" fontId="7" fillId="6" borderId="2" applyAlignment="1" pivotButton="0" quotePrefix="0" xfId="10">
      <alignment horizontal="left" vertical="center" indent="1"/>
    </xf>
    <xf numFmtId="0" fontId="14" fillId="6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0" fontId="6" fillId="9" borderId="2" applyAlignment="1" pivotButton="0" quotePrefix="0" xfId="6">
      <alignment horizontal="center" vertical="center" wrapText="1"/>
    </xf>
    <xf numFmtId="165" fontId="7" fillId="3" borderId="2" applyAlignment="1" pivotButton="0" quotePrefix="0" xfId="8">
      <alignment horizontal="center" vertical="center"/>
    </xf>
  </cellXfs>
  <cellStyles count="12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body" xfId="1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Saved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Summary'!$B$7:$B$12</f>
            </numRef>
          </cat>
          <val>
            <numRef>
              <f>'Monthly Summary'!$C$7:$C$12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Saved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Summary'!$B$7:$B$12</f>
            </numRef>
          </cat>
          <val>
            <numRef>
              <f>'Monthly Summary'!$C$7:$C$12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432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🔑  FIRST-TIME HOME BUYER &amp; MORTGAGE COMMAND CENTER™</t>
        </is>
      </c>
    </row>
    <row r="2" ht="24" customHeight="1">
      <c r="A2" s="2" t="inlineStr">
        <is>
          <t xml:space="preserve">  Know what you can truly afford — before an agent tells you.</t>
        </is>
      </c>
    </row>
    <row r="3" ht="6" customHeight="1">
      <c r="A3" s="3" t="n"/>
      <c r="B3" s="3" t="n"/>
      <c r="C3" s="3" t="n"/>
    </row>
    <row r="5">
      <c r="B5" s="4" t="inlineStr">
        <is>
          <t>YOUR WHOLE HOME PURCHASE, IN ONE PLACE</t>
        </is>
      </c>
    </row>
    <row r="6" ht="22" customHeight="1">
      <c r="B6" s="5" t="inlineStr">
        <is>
          <t>A lender will tell you the biggest loan you can get. That is not the same as what you can comfortably afford. This shows the difference: an affordability engine turns a home price, your down payment and a rate into your true all-in monthly payment — principal, interest, taxes, insurance and PMI — then checks it against the debt-to-income ratios lenders actually use. Save your down payment, compare homes and lenders, and plan the life you'll live after closing — all in ONE premium Google Sheets &amp; Excel system.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enter your income, debts and goals.</t>
        </is>
      </c>
    </row>
    <row r="13" ht="22" customHeight="1">
      <c r="B13" s="8" t="inlineStr">
        <is>
          <t>2.  Run the Affordability tab — see your true monthly PITI.</t>
        </is>
      </c>
    </row>
    <row r="14" ht="22" customHeight="1">
      <c r="B14" s="8" t="inlineStr">
        <is>
          <t>3.  Check your DTI: is this payment actually comfortable?</t>
        </is>
      </c>
    </row>
    <row r="15" ht="22" customHeight="1">
      <c r="B15" s="8" t="inlineStr">
        <is>
          <t>4.  Track your Down Payment savings and Closing Costs.</t>
        </is>
      </c>
    </row>
    <row r="16" ht="22" customHeight="1">
      <c r="B16" s="8" t="inlineStr">
        <is>
          <t>5.  Score homes and compare lenders side by side.</t>
        </is>
      </c>
    </row>
    <row r="17" ht="22" customHeight="1">
      <c r="B17" s="8" t="inlineStr">
        <is>
          <t>6.  Check the Dashboard: payment, cash to close &amp; a Buyer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a fictional buyer (Keystone &amp; Co., Avery) is included so you can see how it all connects — just type over it with your own numbers. Your all-in monthly payment and your debt-to-income ratio are the two numbers that decide whether a house is a home or a trap, and they roll into a live Buyer Score. Note the sample buyer puts 8% down, so PMI applies — the score is honest about that. Twelve matching printable pages (affordability worksheet, home comparison, closing-cost checklist &amp; more) are included. This is a planning &amp; organizing tool, not financial, lending, legal or real-estate advice — confirm every figure with your own lender and advisors.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Buy the payment, not the price. The monthly number is the one you live with.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🔑  FIRST-TIME HOME BUYER &amp; MORTGAGE COMMAND CENTER™</t>
        </is>
      </c>
    </row>
    <row r="2" ht="24" customHeight="1">
      <c r="A2" s="2" t="inlineStr">
        <is>
          <t xml:space="preserve">  Payment, DTI, cash to close &amp; a Buyer Score — your whole purchase, at a glance.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HOME PRICE</t>
        </is>
      </c>
      <c r="C5" s="13" t="n"/>
      <c r="D5" s="12" t="inlineStr">
        <is>
          <t>DOWN PAYMENT</t>
        </is>
      </c>
      <c r="E5" s="13" t="n"/>
      <c r="F5" s="12" t="inlineStr">
        <is>
          <t>LOAN AMOUNT</t>
        </is>
      </c>
      <c r="G5" s="13" t="n"/>
      <c r="H5" s="12" t="inlineStr">
        <is>
          <t>PRINCIPAL &amp; INT</t>
        </is>
      </c>
      <c r="I5" s="13" t="n"/>
      <c r="J5" s="12" t="inlineStr">
        <is>
          <t>MONTHLY PAYMENT</t>
        </is>
      </c>
      <c r="K5" s="13" t="n"/>
      <c r="L5" s="12" t="inlineStr">
        <is>
          <t>FRONT-END DTI</t>
        </is>
      </c>
      <c r="M5" s="13" t="n"/>
    </row>
    <row r="6" ht="40" customHeight="1">
      <c r="B6" s="14">
        <f>HomePrice</f>
        <v/>
      </c>
      <c r="C6" s="15" t="n"/>
      <c r="D6" s="14">
        <f>DownPayment</f>
        <v/>
      </c>
      <c r="E6" s="15" t="n"/>
      <c r="F6" s="14">
        <f>LoanAmount</f>
        <v/>
      </c>
      <c r="G6" s="15" t="n"/>
      <c r="H6" s="14">
        <f>PrincipalInterest</f>
        <v/>
      </c>
      <c r="I6" s="15" t="n"/>
      <c r="J6" s="14">
        <f>PITI</f>
        <v/>
      </c>
      <c r="K6" s="15" t="n"/>
      <c r="L6" s="16">
        <f>FrontDTI</f>
        <v/>
      </c>
      <c r="M6" s="15" t="n"/>
    </row>
    <row r="8" ht="18" customHeight="1">
      <c r="B8" s="12" t="inlineStr">
        <is>
          <t>BACK-END DTI</t>
        </is>
      </c>
      <c r="C8" s="13" t="n"/>
      <c r="D8" s="12" t="inlineStr">
        <is>
          <t>CLOSING COSTS</t>
        </is>
      </c>
      <c r="E8" s="13" t="n"/>
      <c r="F8" s="12" t="inlineStr">
        <is>
          <t>CASH TO CLOSE</t>
        </is>
      </c>
      <c r="G8" s="13" t="n"/>
      <c r="H8" s="12" t="inlineStr">
        <is>
          <t>SAVED</t>
        </is>
      </c>
      <c r="I8" s="13" t="n"/>
      <c r="J8" s="12" t="inlineStr">
        <is>
          <t>TOTAL INTEREST</t>
        </is>
      </c>
      <c r="K8" s="13" t="n"/>
      <c r="L8" s="12" t="inlineStr">
        <is>
          <t>BUYER SCORE</t>
        </is>
      </c>
      <c r="M8" s="13" t="n"/>
    </row>
    <row r="9" ht="40" customHeight="1">
      <c r="B9" s="16">
        <f>BackDTI</f>
        <v/>
      </c>
      <c r="C9" s="15" t="n"/>
      <c r="D9" s="14">
        <f>ClosingTotal</f>
        <v/>
      </c>
      <c r="E9" s="15" t="n"/>
      <c r="F9" s="14">
        <f>CashToClose</f>
        <v/>
      </c>
      <c r="G9" s="15" t="n"/>
      <c r="H9" s="14">
        <f>Saved</f>
        <v/>
      </c>
      <c r="I9" s="15" t="n"/>
      <c r="J9" s="14">
        <f>TotalInterest</f>
        <v/>
      </c>
      <c r="K9" s="15" t="n"/>
      <c r="L9" s="17">
        <f>IFERROR(AVERAGE(HealthRange),0)</f>
        <v/>
      </c>
      <c r="M9" s="15" t="n"/>
    </row>
    <row r="11" ht="26" customHeight="1">
      <c r="B11" s="4" t="inlineStr">
        <is>
          <t>BUYER HEALTH</t>
        </is>
      </c>
      <c r="H11" s="4" t="inlineStr">
        <is>
          <t>SAVED BY MONTH</t>
        </is>
      </c>
    </row>
    <row r="12" ht="30" customHeight="1">
      <c r="B12" s="9" t="inlineStr">
        <is>
          <t>Check</t>
        </is>
      </c>
      <c r="C12" s="9" t="inlineStr">
        <is>
          <t>Score</t>
        </is>
      </c>
      <c r="D12" s="9" t="inlineStr">
        <is>
          <t>Status</t>
        </is>
      </c>
    </row>
    <row r="13">
      <c r="B13" s="18" t="inlineStr">
        <is>
          <t>Cash to close saved</t>
        </is>
      </c>
      <c r="C13" s="19">
        <f>IFERROR(MIN(Saved/CashToClose,1),0)</f>
        <v/>
      </c>
      <c r="D13" s="20">
        <f>IF(C13&gt;=0.85,"Strong",IF(C13&gt;=0.6,"OK","Watch"))</f>
        <v/>
      </c>
    </row>
    <row r="14">
      <c r="B14" s="21" t="inlineStr">
        <is>
          <t>Payment affordable</t>
        </is>
      </c>
      <c r="C14" s="22">
        <f>IFERROR(MIN(FrontGoal/FrontDTI,1),0)</f>
        <v/>
      </c>
      <c r="D14" s="23">
        <f>IF(C14&gt;=0.85,"Strong",IF(C14&gt;=0.6,"OK","Watch"))</f>
        <v/>
      </c>
    </row>
    <row r="15">
      <c r="B15" s="18" t="inlineStr">
        <is>
          <t>Total debt healthy</t>
        </is>
      </c>
      <c r="C15" s="19">
        <f>IFERROR(MIN(BackGoal/BackDTI,1),0)</f>
        <v/>
      </c>
      <c r="D15" s="20">
        <f>IF(C15&gt;=0.85,"Strong",IF(C15&gt;=0.6,"OK","Watch"))</f>
        <v/>
      </c>
    </row>
    <row r="16">
      <c r="B16" s="21" t="inlineStr">
        <is>
          <t>Credit ready</t>
        </is>
      </c>
      <c r="C16" s="22">
        <f>IFERROR(MIN(CreditScore/CreditGoal,1),0)</f>
        <v/>
      </c>
      <c r="D16" s="23">
        <f>IF(C16&gt;=0.85,"Strong",IF(C16&gt;=0.6,"OK","Watch"))</f>
        <v/>
      </c>
    </row>
    <row r="17">
      <c r="B17" s="18" t="inlineStr">
        <is>
          <t>Emergency fund after close</t>
        </is>
      </c>
      <c r="C17" s="19">
        <f>IFERROR(MIN(EFAfter/EFGoal,1),0)</f>
        <v/>
      </c>
      <c r="D17" s="20">
        <f>IF(C17&gt;=0.85,"Strong",IF(C17&gt;=0.6,"OK","Watch"))</f>
        <v/>
      </c>
    </row>
    <row r="18">
      <c r="B18" s="21" t="inlineStr">
        <is>
          <t>20% down (no PMI)</t>
        </is>
      </c>
      <c r="C18" s="22">
        <f>IFERROR(MIN(DownPct/DownGoal,1),0)</f>
        <v/>
      </c>
      <c r="D18" s="23">
        <f>IF(C18&gt;=0.85,"Strong",IF(C18&gt;=0.6,"OK","Watch"))</f>
        <v/>
      </c>
    </row>
    <row r="21" ht="26" customHeight="1">
      <c r="B21" s="2" t="inlineStr">
        <is>
          <t>First-Time Home Buyer &amp; Mortgage Command Center™ — buy the payment, not the price.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8" customWidth="1" min="3" max="3"/>
    <col width="2" customWidth="1" min="4" max="4"/>
  </cols>
  <sheetData>
    <row r="1" ht="46" customHeight="1">
      <c r="A1" s="1" t="inlineStr">
        <is>
          <t xml:space="preserve">  🧮  AFFORDABILITY</t>
        </is>
      </c>
    </row>
    <row r="2" ht="22" customHeight="1">
      <c r="A2" s="2" t="inlineStr">
        <is>
          <t xml:space="preserve">  Price + down payment + rate → your true all-in monthly payment, and the DTI lenders actually check.</t>
        </is>
      </c>
    </row>
    <row r="3" ht="6" customHeight="1">
      <c r="A3" s="3" t="n"/>
      <c r="B3" s="3" t="n"/>
      <c r="C3" s="3" t="n"/>
    </row>
    <row r="5">
      <c r="B5" s="4" t="inlineStr">
        <is>
          <t>THE PURCHASE</t>
        </is>
      </c>
    </row>
    <row r="6">
      <c r="B6" s="24" t="inlineStr">
        <is>
          <t>Home price</t>
        </is>
      </c>
      <c r="C6" s="25" t="n">
        <v>290000</v>
      </c>
    </row>
    <row r="7">
      <c r="B7" s="24" t="inlineStr">
        <is>
          <t>Down payment %</t>
        </is>
      </c>
      <c r="C7" s="26" t="n">
        <v>0.08</v>
      </c>
    </row>
    <row r="8">
      <c r="B8" s="24" t="inlineStr">
        <is>
          <t>Interest rate</t>
        </is>
      </c>
      <c r="C8" s="27" t="n">
        <v>0.065</v>
      </c>
    </row>
    <row r="9">
      <c r="B9" s="24" t="inlineStr">
        <is>
          <t>Term (years)</t>
        </is>
      </c>
      <c r="C9" s="28" t="n">
        <v>30</v>
      </c>
    </row>
    <row r="10">
      <c r="B10" s="24" t="inlineStr">
        <is>
          <t>Down payment $</t>
        </is>
      </c>
      <c r="C10" s="29">
        <f>HomePrice*DownPct</f>
        <v/>
      </c>
    </row>
    <row r="11">
      <c r="B11" s="9">
        <f> LOAN AMOUNT</f>
        <v/>
      </c>
      <c r="C11" s="30">
        <f>HomePrice-HomePrice*DownPct</f>
        <v/>
      </c>
    </row>
    <row r="13">
      <c r="B13" s="4" t="inlineStr">
        <is>
          <t>THE MONTHLY PAYMENT (PITI)</t>
        </is>
      </c>
    </row>
    <row r="14">
      <c r="B14" s="24" t="inlineStr">
        <is>
          <t>Principal &amp; interest</t>
        </is>
      </c>
      <c r="C14" s="29">
        <f>-PMT(Rate/12,TermYears*12,LoanAmount)</f>
        <v/>
      </c>
    </row>
    <row r="15">
      <c r="B15" s="24" t="inlineStr">
        <is>
          <t>+ Property tax</t>
        </is>
      </c>
      <c r="C15" s="29">
        <f>HomePrice*TaxRate/12</f>
        <v/>
      </c>
    </row>
    <row r="16">
      <c r="B16" s="24" t="inlineStr">
        <is>
          <t>+ Home insurance</t>
        </is>
      </c>
      <c r="C16" s="29">
        <f>InsuranceAnnual/12</f>
        <v/>
      </c>
    </row>
    <row r="17">
      <c r="B17" s="24" t="inlineStr">
        <is>
          <t>+ PMI (if under 20% down)</t>
        </is>
      </c>
      <c r="C17" s="29">
        <f>IF(DownPct&lt;0.2,LoanAmount*PMIRate/12,0)</f>
        <v/>
      </c>
    </row>
    <row r="18">
      <c r="B18" s="24" t="inlineStr">
        <is>
          <t>+ HOA dues</t>
        </is>
      </c>
      <c r="C18" s="25" t="n">
        <v>0</v>
      </c>
    </row>
    <row r="19">
      <c r="B19" s="9">
        <f> YOUR MONTHLY PAYMENT</f>
        <v/>
      </c>
      <c r="C19" s="31">
        <f>PrincipalInterest+PropertyTax+Insurance+PMI+HOA</f>
        <v/>
      </c>
    </row>
    <row r="21">
      <c r="B21" s="4" t="inlineStr">
        <is>
          <t>CAN YOU AFFORD IT?</t>
        </is>
      </c>
    </row>
    <row r="22">
      <c r="B22" s="24" t="inlineStr">
        <is>
          <t>Gross monthly income</t>
        </is>
      </c>
      <c r="C22" s="29">
        <f>AnnualIncome/12</f>
        <v/>
      </c>
    </row>
    <row r="23">
      <c r="B23" s="9">
        <f> FRONT-END DTI (housing only)</f>
        <v/>
      </c>
      <c r="C23" s="32">
        <f>IFERROR(PITI/GrossMonthly,0)</f>
        <v/>
      </c>
    </row>
    <row r="24">
      <c r="B24" s="9">
        <f> BACK-END DTI (all debts)</f>
        <v/>
      </c>
      <c r="C24" s="32">
        <f>IFERROR((PITI+OtherDebts)/GrossMonthly,0)</f>
        <v/>
      </c>
    </row>
    <row r="25">
      <c r="B25" s="24" t="inlineStr">
        <is>
          <t>Verdict</t>
        </is>
      </c>
      <c r="C25" s="33">
        <f>IF(AND(FrontDTI&lt;=FrontGoal,BackDTI&lt;=BackGoal),"COMFORTABLE","STRETCHED")</f>
        <v/>
      </c>
    </row>
    <row r="27">
      <c r="B27" s="24" t="inlineStr">
        <is>
          <t>Total interest paid over the life of the loan</t>
        </is>
      </c>
      <c r="C27" s="34">
        <f>PrincipalInterest*TermYears*12-LoanAmount</f>
        <v/>
      </c>
    </row>
    <row r="29">
      <c r="B29" s="4" t="inlineStr">
        <is>
          <t>Lenders approve you for more than you should spend. Trust the DTI, not the approval.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18" customWidth="1" min="4" max="4"/>
    <col width="2" customWidth="1" min="5" max="5"/>
  </cols>
  <sheetData>
    <row r="1" ht="46" customHeight="1">
      <c r="A1" s="1" t="inlineStr">
        <is>
          <t xml:space="preserve">  🏦  DOWN PAYMENT</t>
        </is>
      </c>
    </row>
    <row r="2" ht="22" customHeight="1">
      <c r="A2" s="2" t="inlineStr">
        <is>
          <t xml:space="preserve">  What you've saved against what you need — the number that decides when you can actually buy.</t>
        </is>
      </c>
    </row>
    <row r="3" ht="6" customHeight="1">
      <c r="A3" s="3" t="n"/>
      <c r="B3" s="3" t="n"/>
      <c r="C3" s="3" t="n"/>
      <c r="D3" s="3" t="n"/>
    </row>
    <row r="5">
      <c r="B5" s="24" t="inlineStr">
        <is>
          <t>Saved so far</t>
        </is>
      </c>
      <c r="C5" s="25" t="n">
        <v>32000</v>
      </c>
    </row>
    <row r="6">
      <c r="B6" s="24" t="inlineStr">
        <is>
          <t>Down payment needed</t>
        </is>
      </c>
      <c r="C6" s="29">
        <f>DownPayment</f>
        <v/>
      </c>
    </row>
    <row r="7">
      <c r="B7" s="24" t="inlineStr">
        <is>
          <t>+ Closing costs</t>
        </is>
      </c>
      <c r="C7" s="29">
        <f>ClosingTotal</f>
        <v/>
      </c>
    </row>
    <row r="8">
      <c r="B8" s="9">
        <f> CASH TO CLOSE</f>
        <v/>
      </c>
      <c r="C8" s="35">
        <f>DownPayment+ClosingTotal</f>
        <v/>
      </c>
    </row>
    <row r="9">
      <c r="B9" s="9">
        <f> STILL TO SAVE</f>
        <v/>
      </c>
      <c r="C9" s="36">
        <f>MAX(CashToClose-Saved,0)</f>
        <v/>
      </c>
    </row>
    <row r="10">
      <c r="B10" s="24" t="inlineStr">
        <is>
          <t>Progress to cash to close</t>
        </is>
      </c>
      <c r="C10" s="37">
        <f>IFERROR(MIN(Saved/CashToClose,1),0)</f>
        <v/>
      </c>
    </row>
    <row r="12" ht="30" customHeight="1">
      <c r="B12" s="9" t="inlineStr">
        <is>
          <t>Month</t>
        </is>
      </c>
      <c r="C12" s="9" t="inlineStr">
        <is>
          <t>Deposit</t>
        </is>
      </c>
      <c r="D12" s="9" t="inlineStr">
        <is>
          <t>Running Total</t>
        </is>
      </c>
    </row>
    <row r="13">
      <c r="B13" s="18" t="inlineStr">
        <is>
          <t>Feb</t>
        </is>
      </c>
      <c r="C13" s="25" t="n">
        <v>1200</v>
      </c>
      <c r="D13" s="38">
        <f>Saved-SUM(C13:C18)+C13</f>
        <v/>
      </c>
    </row>
    <row r="14">
      <c r="B14" s="21" t="inlineStr">
        <is>
          <t>Mar</t>
        </is>
      </c>
      <c r="C14" s="39" t="n">
        <v>1200</v>
      </c>
      <c r="D14" s="40">
        <f>D13+C14</f>
        <v/>
      </c>
    </row>
    <row r="15">
      <c r="B15" s="18" t="inlineStr">
        <is>
          <t>Apr</t>
        </is>
      </c>
      <c r="C15" s="25" t="n">
        <v>1400</v>
      </c>
      <c r="D15" s="38">
        <f>D14+C15</f>
        <v/>
      </c>
    </row>
    <row r="16">
      <c r="B16" s="21" t="inlineStr">
        <is>
          <t>May</t>
        </is>
      </c>
      <c r="C16" s="39" t="n">
        <v>1400</v>
      </c>
      <c r="D16" s="40">
        <f>D15+C16</f>
        <v/>
      </c>
    </row>
    <row r="17">
      <c r="B17" s="18" t="inlineStr">
        <is>
          <t>Jun</t>
        </is>
      </c>
      <c r="C17" s="25" t="n">
        <v>1600</v>
      </c>
      <c r="D17" s="38">
        <f>D16+C17</f>
        <v/>
      </c>
    </row>
    <row r="18">
      <c r="B18" s="21" t="inlineStr">
        <is>
          <t>Jul</t>
        </is>
      </c>
      <c r="C18" s="39" t="n">
        <v>1600</v>
      </c>
      <c r="D18" s="40">
        <f>D17+C18</f>
        <v/>
      </c>
    </row>
    <row r="20">
      <c r="B20" s="24" t="inlineStr">
        <is>
          <t>Avg monthly deposit</t>
        </is>
      </c>
      <c r="C20" s="29">
        <f>IFERROR(AVERAGE(Deposits),0)</f>
        <v/>
      </c>
    </row>
    <row r="21">
      <c r="B21" s="24" t="inlineStr">
        <is>
          <t>Months to fully funded</t>
        </is>
      </c>
      <c r="C21" s="41">
        <f>IFERROR(MAX(CEILING((CashToClose-Saved)/AVERAGE(Deposits),1),0),0)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2" customWidth="1" min="4" max="4"/>
  </cols>
  <sheetData>
    <row r="1" ht="46" customHeight="1">
      <c r="A1" s="1" t="inlineStr">
        <is>
          <t xml:space="preserve">  📄  CLOSING COSTS</t>
        </is>
      </c>
    </row>
    <row r="2" ht="22" customHeight="1">
      <c r="A2" s="2" t="inlineStr">
        <is>
          <t xml:space="preserve">  The thousands nobody warns first-time buyers about — itemized, so there are no surprises at the table.</t>
        </is>
      </c>
    </row>
    <row r="3" ht="6" customHeight="1">
      <c r="A3" s="3" t="n"/>
      <c r="B3" s="3" t="n"/>
      <c r="C3" s="3" t="n"/>
    </row>
    <row r="4" ht="30" customHeight="1">
      <c r="B4" s="9" t="inlineStr">
        <is>
          <t>Item</t>
        </is>
      </c>
      <c r="C4" s="9" t="inlineStr">
        <is>
          <t>Amount</t>
        </is>
      </c>
    </row>
    <row r="5">
      <c r="B5" s="18" t="inlineStr">
        <is>
          <t>Loan origination</t>
        </is>
      </c>
      <c r="C5" s="25" t="n">
        <v>2670</v>
      </c>
    </row>
    <row r="6">
      <c r="B6" s="21" t="inlineStr">
        <is>
          <t>Appraisal</t>
        </is>
      </c>
      <c r="C6" s="39" t="n">
        <v>650</v>
      </c>
    </row>
    <row r="7">
      <c r="B7" s="18" t="inlineStr">
        <is>
          <t>Home inspection</t>
        </is>
      </c>
      <c r="C7" s="25" t="n">
        <v>500</v>
      </c>
    </row>
    <row r="8">
      <c r="B8" s="21" t="inlineStr">
        <is>
          <t>Title &amp; escrow</t>
        </is>
      </c>
      <c r="C8" s="39" t="n">
        <v>1900</v>
      </c>
    </row>
    <row r="9">
      <c r="B9" s="18" t="inlineStr">
        <is>
          <t>Recording &amp; transfer</t>
        </is>
      </c>
      <c r="C9" s="25" t="n">
        <v>780</v>
      </c>
    </row>
    <row r="10">
      <c r="B10" s="21" t="inlineStr">
        <is>
          <t>Prepaid taxes &amp; insurance</t>
        </is>
      </c>
      <c r="C10" s="39" t="n">
        <v>1500</v>
      </c>
    </row>
    <row r="11">
      <c r="B11" s="18" t="inlineStr">
        <is>
          <t>Survey &amp; misc</t>
        </is>
      </c>
      <c r="C11" s="25" t="n">
        <v>700</v>
      </c>
    </row>
    <row r="12">
      <c r="B12" s="9" t="inlineStr">
        <is>
          <t>TOTAL CLOSING COSTS</t>
        </is>
      </c>
      <c r="C12" s="42">
        <f>SUM(ClosingAmt)</f>
        <v/>
      </c>
    </row>
    <row r="14">
      <c r="B14" s="24" t="inlineStr">
        <is>
          <t>As % of home price</t>
        </is>
      </c>
      <c r="C14" s="43">
        <f>IFERROR(ClosingTotal/HomePrice,0)</f>
        <v/>
      </c>
    </row>
    <row r="16">
      <c r="B16" s="4" t="inlineStr">
        <is>
          <t>Ask every lender for a Loan Estimate — closing costs are negotiable.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2" customWidth="1" min="9" max="9"/>
  </cols>
  <sheetData>
    <row r="1" ht="46" customHeight="1">
      <c r="A1" s="1" t="inlineStr">
        <is>
          <t xml:space="preserve">  🏡  HOME COMPARISON</t>
        </is>
      </c>
    </row>
    <row r="2" ht="22" customHeight="1">
      <c r="A2" s="2" t="inlineStr">
        <is>
          <t xml:space="preserve">  Score every house side by side — price, size, cost per square foot and your own rating.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B4" s="9" t="inlineStr">
        <is>
          <t>Address</t>
        </is>
      </c>
      <c r="C4" s="9" t="inlineStr">
        <is>
          <t>Price</t>
        </is>
      </c>
      <c r="D4" s="9" t="inlineStr">
        <is>
          <t>Beds</t>
        </is>
      </c>
      <c r="E4" s="9" t="inlineStr">
        <is>
          <t>Baths</t>
        </is>
      </c>
      <c r="F4" s="9" t="inlineStr">
        <is>
          <t>Sq Ft</t>
        </is>
      </c>
      <c r="G4" s="9" t="inlineStr">
        <is>
          <t>$ / Sq Ft</t>
        </is>
      </c>
      <c r="H4" s="9" t="inlineStr">
        <is>
          <t>Score</t>
        </is>
      </c>
    </row>
    <row r="5">
      <c r="B5" s="18" t="inlineStr">
        <is>
          <t>12 Birch Lane</t>
        </is>
      </c>
      <c r="C5" s="25" t="n">
        <v>289000</v>
      </c>
      <c r="D5" s="44" t="n">
        <v>3</v>
      </c>
      <c r="E5" s="44" t="n">
        <v>2</v>
      </c>
      <c r="F5" s="45" t="n">
        <v>1580</v>
      </c>
      <c r="G5" s="38">
        <f>IFERROR(C5/F5,0)</f>
        <v/>
      </c>
      <c r="H5" s="45" t="n">
        <v>92</v>
      </c>
    </row>
    <row r="6">
      <c r="B6" s="21" t="inlineStr">
        <is>
          <t>48 Cedar Ct</t>
        </is>
      </c>
      <c r="C6" s="39" t="n">
        <v>305000</v>
      </c>
      <c r="D6" s="46" t="n">
        <v>3</v>
      </c>
      <c r="E6" s="46" t="n">
        <v>2</v>
      </c>
      <c r="F6" s="47" t="n">
        <v>1720</v>
      </c>
      <c r="G6" s="40">
        <f>IFERROR(C6/F6,0)</f>
        <v/>
      </c>
      <c r="H6" s="47" t="n">
        <v>86</v>
      </c>
    </row>
    <row r="7">
      <c r="B7" s="18" t="inlineStr">
        <is>
          <t>7 Maple Row</t>
        </is>
      </c>
      <c r="C7" s="25" t="n">
        <v>275000</v>
      </c>
      <c r="D7" s="44" t="n">
        <v>3</v>
      </c>
      <c r="E7" s="44" t="n">
        <v>1.5</v>
      </c>
      <c r="F7" s="45" t="n">
        <v>1440</v>
      </c>
      <c r="G7" s="38">
        <f>IFERROR(C7/F7,0)</f>
        <v/>
      </c>
      <c r="H7" s="45" t="n">
        <v>78</v>
      </c>
    </row>
    <row r="8">
      <c r="B8" s="21" t="inlineStr">
        <is>
          <t>91 Oak Ridge</t>
        </is>
      </c>
      <c r="C8" s="39" t="n">
        <v>320000</v>
      </c>
      <c r="D8" s="46" t="n">
        <v>4</v>
      </c>
      <c r="E8" s="46" t="n">
        <v>2.5</v>
      </c>
      <c r="F8" s="47" t="n">
        <v>1980</v>
      </c>
      <c r="G8" s="40">
        <f>IFERROR(C8/F8,0)</f>
        <v/>
      </c>
      <c r="H8" s="47" t="n">
        <v>74</v>
      </c>
    </row>
    <row r="9">
      <c r="B9" s="18" t="inlineStr">
        <is>
          <t>30 Alder St</t>
        </is>
      </c>
      <c r="C9" s="25" t="n">
        <v>268000</v>
      </c>
      <c r="D9" s="44" t="n">
        <v>2</v>
      </c>
      <c r="E9" s="44" t="n">
        <v>2</v>
      </c>
      <c r="F9" s="45" t="n">
        <v>1290</v>
      </c>
      <c r="G9" s="38">
        <f>IFERROR(C9/F9,0)</f>
        <v/>
      </c>
      <c r="H9" s="45" t="n">
        <v>69</v>
      </c>
    </row>
    <row r="11">
      <c r="B11" s="24" t="inlineStr">
        <is>
          <t>Homes toured</t>
        </is>
      </c>
      <c r="C11" s="41">
        <f>COUNTA(HomeScore)</f>
        <v/>
      </c>
    </row>
    <row r="12">
      <c r="B12" s="24" t="inlineStr">
        <is>
          <t>Best score</t>
        </is>
      </c>
      <c r="C12" s="48">
        <f>IFERROR(MAX(HomeScore),0)</f>
        <v/>
      </c>
    </row>
  </sheetData>
  <mergeCells count="2">
    <mergeCell ref="A2:H2"/>
    <mergeCell ref="A1:H1"/>
  </mergeCells>
  <conditionalFormatting sqref="H5:H9">
    <cfRule type="colorScale" priority="1">
      <colorScale>
        <cfvo type="num" val="60"/>
        <cfvo type="num" val="80"/>
        <cfvo type="num" val="95"/>
        <color rgb="FFFBE6E6"/>
        <color rgb="FFFFF3CD"/>
        <color rgb="FF75E6C1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2" customWidth="1" min="4" max="4"/>
    <col width="16" customWidth="1" min="5" max="5"/>
    <col width="16" customWidth="1" min="6" max="6"/>
    <col width="2" customWidth="1" min="7" max="7"/>
  </cols>
  <sheetData>
    <row r="1" ht="46" customHeight="1">
      <c r="A1" s="1" t="inlineStr">
        <is>
          <t xml:space="preserve">  🏛  LENDER COMPARE</t>
        </is>
      </c>
    </row>
    <row r="2" ht="22" customHeight="1">
      <c r="A2" s="2" t="inlineStr">
        <is>
          <t xml:space="preserve">  The same loan from four lenders — a quarter point is thousands of dollars. Shop it.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Lender</t>
        </is>
      </c>
      <c r="C4" s="9" t="inlineStr">
        <is>
          <t>Rate</t>
        </is>
      </c>
      <c r="D4" s="9" t="inlineStr">
        <is>
          <t>Points</t>
        </is>
      </c>
      <c r="E4" s="9" t="inlineStr">
        <is>
          <t>Closing Costs</t>
        </is>
      </c>
      <c r="F4" s="9" t="inlineStr">
        <is>
          <t>Monthly P&amp;I</t>
        </is>
      </c>
    </row>
    <row r="5">
      <c r="B5" s="18" t="inlineStr">
        <is>
          <t>Northbank</t>
        </is>
      </c>
      <c r="C5" s="49" t="n">
        <v>0.065</v>
      </c>
      <c r="D5" s="50" t="n">
        <v>0</v>
      </c>
      <c r="E5" s="25" t="n">
        <v>8700</v>
      </c>
      <c r="F5" s="38">
        <f>-PMT(C5/12,TermYears*12,LoanAmount)</f>
        <v/>
      </c>
    </row>
    <row r="6">
      <c r="B6" s="21" t="inlineStr">
        <is>
          <t>Cedar Credit Union</t>
        </is>
      </c>
      <c r="C6" s="51" t="n">
        <v>0.0625</v>
      </c>
      <c r="D6" s="52" t="n">
        <v>0.5</v>
      </c>
      <c r="E6" s="39" t="n">
        <v>9400</v>
      </c>
      <c r="F6" s="40">
        <f>-PMT(C6/12,TermYears*12,LoanAmount)</f>
        <v/>
      </c>
    </row>
    <row r="7">
      <c r="B7" s="18" t="inlineStr">
        <is>
          <t>Summit Mortgage</t>
        </is>
      </c>
      <c r="C7" s="49" t="n">
        <v>0.0675</v>
      </c>
      <c r="D7" s="50" t="n">
        <v>0</v>
      </c>
      <c r="E7" s="25" t="n">
        <v>8100</v>
      </c>
      <c r="F7" s="38">
        <f>-PMT(C7/12,TermYears*12,LoanAmount)</f>
        <v/>
      </c>
    </row>
    <row r="8">
      <c r="B8" s="21" t="inlineStr">
        <is>
          <t>Online Lender</t>
        </is>
      </c>
      <c r="C8" s="51" t="n">
        <v>0.064</v>
      </c>
      <c r="D8" s="52" t="n">
        <v>0.25</v>
      </c>
      <c r="E8" s="39" t="n">
        <v>8900</v>
      </c>
      <c r="F8" s="40">
        <f>-PMT(C8/12,TermYears*12,LoanAmount)</f>
        <v/>
      </c>
    </row>
    <row r="10">
      <c r="B10" s="24" t="inlineStr">
        <is>
          <t>Best rate offered</t>
        </is>
      </c>
      <c r="C10" s="53">
        <f>IFERROR(MIN(LenderRate),0)</f>
        <v/>
      </c>
    </row>
    <row r="11">
      <c r="B11" s="24" t="inlineStr">
        <is>
          <t>Lenders compared</t>
        </is>
      </c>
      <c r="C11" s="41">
        <f>COUNTA(LenderRate)</f>
        <v/>
      </c>
    </row>
  </sheetData>
  <mergeCells count="2">
    <mergeCell ref="A2:F2"/>
    <mergeCell ref="A1:F1"/>
  </mergeCells>
  <conditionalFormatting sqref="C5:C8">
    <cfRule type="dataBar" priority="1">
      <dataBar>
        <cfvo type="min"/>
        <cfvo type="max"/>
        <color rgb="00C9A86A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20" customWidth="1" min="3" max="3"/>
    <col width="20" customWidth="1" min="4" max="4"/>
    <col width="2" customWidth="1" min="5" max="5"/>
  </cols>
  <sheetData>
    <row r="1" ht="46" customHeight="1">
      <c r="A1" s="1" t="inlineStr">
        <is>
          <t xml:space="preserve">  📉  AMORTIZATION</t>
        </is>
      </c>
    </row>
    <row r="2" ht="22" customHeight="1">
      <c r="A2" s="2" t="inlineStr">
        <is>
          <t xml:space="preserve">  Where your loan balance lands at each milestone — and how much of it is still interest.</t>
        </is>
      </c>
    </row>
    <row r="3" ht="6" customHeight="1">
      <c r="A3" s="3" t="n"/>
      <c r="B3" s="3" t="n"/>
      <c r="C3" s="3" t="n"/>
      <c r="D3" s="3" t="n"/>
    </row>
    <row r="5">
      <c r="B5" s="24" t="inlineStr">
        <is>
          <t>Total interest over the loan</t>
        </is>
      </c>
      <c r="D5" s="34">
        <f>TotalInterest</f>
        <v/>
      </c>
    </row>
    <row r="7" ht="30" customHeight="1">
      <c r="B7" s="9" t="inlineStr">
        <is>
          <t>Year</t>
        </is>
      </c>
      <c r="C7" s="9" t="inlineStr">
        <is>
          <t>Balance</t>
        </is>
      </c>
      <c r="D7" s="9" t="inlineStr">
        <is>
          <t>Equity Built</t>
        </is>
      </c>
    </row>
    <row r="8">
      <c r="B8" s="20" t="n">
        <v>1</v>
      </c>
      <c r="C8" s="25" t="n">
        <v>263700</v>
      </c>
      <c r="D8" s="38">
        <f>LoanAmount-C8</f>
        <v/>
      </c>
    </row>
    <row r="9">
      <c r="B9" s="23" t="n">
        <v>5</v>
      </c>
      <c r="C9" s="39" t="n">
        <v>249800</v>
      </c>
      <c r="D9" s="40">
        <f>LoanAmount-C9</f>
        <v/>
      </c>
    </row>
    <row r="10">
      <c r="B10" s="20" t="n">
        <v>10</v>
      </c>
      <c r="C10" s="25" t="n">
        <v>227400</v>
      </c>
      <c r="D10" s="38">
        <f>LoanAmount-C10</f>
        <v/>
      </c>
    </row>
    <row r="11">
      <c r="B11" s="23" t="n">
        <v>15</v>
      </c>
      <c r="C11" s="39" t="n">
        <v>197100</v>
      </c>
      <c r="D11" s="40">
        <f>LoanAmount-C11</f>
        <v/>
      </c>
    </row>
    <row r="12">
      <c r="B12" s="20" t="n">
        <v>20</v>
      </c>
      <c r="C12" s="25" t="n">
        <v>156100</v>
      </c>
      <c r="D12" s="38">
        <f>LoanAmount-C12</f>
        <v/>
      </c>
    </row>
    <row r="13">
      <c r="B13" s="23" t="n">
        <v>25</v>
      </c>
      <c r="C13" s="39" t="n">
        <v>100600</v>
      </c>
      <c r="D13" s="40">
        <f>LoanAmount-C13</f>
        <v/>
      </c>
    </row>
    <row r="14">
      <c r="B14" s="20" t="n">
        <v>30</v>
      </c>
      <c r="C14" s="25" t="n">
        <v>0</v>
      </c>
      <c r="D14" s="38">
        <f>LoanAmount-C14</f>
        <v/>
      </c>
    </row>
    <row r="16">
      <c r="B16" s="4" t="inlineStr">
        <is>
          <t>Every extra $100 a month knocks years off this table.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2" customWidth="1" min="4" max="4"/>
  </cols>
  <sheetData>
    <row r="1" ht="46" customHeight="1">
      <c r="A1" s="1" t="inlineStr">
        <is>
          <t xml:space="preserve">  🏠  LIFE AFTER BUYING</t>
        </is>
      </c>
    </row>
    <row r="2" ht="22" customHeight="1">
      <c r="A2" s="2" t="inlineStr">
        <is>
          <t xml:space="preserve">  The budget you'll actually live on once the keys are yours — including the costs renters never see.</t>
        </is>
      </c>
    </row>
    <row r="3" ht="6" customHeight="1">
      <c r="A3" s="3" t="n"/>
      <c r="B3" s="3" t="n"/>
      <c r="C3" s="3" t="n"/>
    </row>
    <row r="4" ht="30" customHeight="1">
      <c r="B4" s="9" t="inlineStr">
        <is>
          <t>Line</t>
        </is>
      </c>
      <c r="C4" s="9" t="inlineStr">
        <is>
          <t>Monthly</t>
        </is>
      </c>
    </row>
    <row r="5">
      <c r="B5" s="18" t="inlineStr">
        <is>
          <t>Mortgage (PITI)</t>
        </is>
      </c>
      <c r="C5" s="25" t="n">
        <v>2213</v>
      </c>
    </row>
    <row r="6">
      <c r="B6" s="21" t="inlineStr">
        <is>
          <t>Utilities</t>
        </is>
      </c>
      <c r="C6" s="39" t="n">
        <v>260</v>
      </c>
    </row>
    <row r="7">
      <c r="B7" s="18" t="inlineStr">
        <is>
          <t>Maintenance fund</t>
        </is>
      </c>
      <c r="C7" s="25" t="n">
        <v>240</v>
      </c>
    </row>
    <row r="8">
      <c r="B8" s="21" t="inlineStr">
        <is>
          <t>Groceries</t>
        </is>
      </c>
      <c r="C8" s="39" t="n">
        <v>600</v>
      </c>
    </row>
    <row r="9">
      <c r="B9" s="18" t="inlineStr">
        <is>
          <t>Transportation</t>
        </is>
      </c>
      <c r="C9" s="25" t="n">
        <v>420</v>
      </c>
    </row>
    <row r="10">
      <c r="B10" s="21" t="inlineStr">
        <is>
          <t>Other debts</t>
        </is>
      </c>
      <c r="C10" s="39" t="n">
        <v>450</v>
      </c>
    </row>
    <row r="11">
      <c r="B11" s="18" t="inlineStr">
        <is>
          <t>Savings &amp; investing</t>
        </is>
      </c>
      <c r="C11" s="25" t="n">
        <v>700</v>
      </c>
    </row>
    <row r="12">
      <c r="B12" s="21" t="inlineStr">
        <is>
          <t>Everything else</t>
        </is>
      </c>
      <c r="C12" s="39" t="n">
        <v>800</v>
      </c>
    </row>
    <row r="13">
      <c r="B13" s="9" t="inlineStr">
        <is>
          <t>TOTAL MONTHLY</t>
        </is>
      </c>
      <c r="C13" s="54">
        <f>SUM(AfterAmt)</f>
        <v/>
      </c>
    </row>
    <row r="14">
      <c r="B14" s="24" t="inlineStr">
        <is>
          <t>Left over each month</t>
        </is>
      </c>
      <c r="C14" s="55">
        <f>GrossMonthly-SUM(AfterAmt)</f>
        <v/>
      </c>
    </row>
    <row r="16">
      <c r="B16" s="4" t="inlineStr">
        <is>
          <t>Budget 1% of the home price a year for maintenance — it always comes.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📊  CREDIT PREP</t>
        </is>
      </c>
    </row>
    <row r="2" ht="22" customHeight="1">
      <c r="A2" s="2" t="inlineStr">
        <is>
          <t xml:space="preserve">  The moves that raise your score before you apply — every 20 points can cut your rate.</t>
        </is>
      </c>
    </row>
    <row r="3" ht="6" customHeight="1">
      <c r="A3" s="3" t="n"/>
      <c r="B3" s="3" t="n"/>
      <c r="C3" s="3" t="n"/>
    </row>
    <row r="5">
      <c r="B5" s="24" t="inlineStr">
        <is>
          <t>Your credit score</t>
        </is>
      </c>
      <c r="C5" s="48">
        <f>CreditScore</f>
        <v/>
      </c>
    </row>
    <row r="6">
      <c r="B6" s="24" t="inlineStr">
        <is>
          <t>Score goal</t>
        </is>
      </c>
      <c r="C6" s="41">
        <f>CreditGoal</f>
        <v/>
      </c>
    </row>
    <row r="8" ht="30" customHeight="1">
      <c r="B8" s="9" t="inlineStr">
        <is>
          <t>Action</t>
        </is>
      </c>
      <c r="C8" s="9" t="inlineStr">
        <is>
          <t>Done?</t>
        </is>
      </c>
    </row>
    <row r="9">
      <c r="B9" s="18" t="inlineStr">
        <is>
          <t>Pull all 3 reports</t>
        </is>
      </c>
      <c r="C9" s="20" t="inlineStr">
        <is>
          <t>Yes</t>
        </is>
      </c>
    </row>
    <row r="10">
      <c r="B10" s="21" t="inlineStr">
        <is>
          <t>Dispute any errors</t>
        </is>
      </c>
      <c r="C10" s="23" t="inlineStr">
        <is>
          <t>Yes</t>
        </is>
      </c>
    </row>
    <row r="11">
      <c r="B11" s="18" t="inlineStr">
        <is>
          <t>Pay cards under 30%</t>
        </is>
      </c>
      <c r="C11" s="20" t="inlineStr">
        <is>
          <t>Yes</t>
        </is>
      </c>
    </row>
    <row r="12">
      <c r="B12" s="21" t="inlineStr">
        <is>
          <t>No new credit lines</t>
        </is>
      </c>
      <c r="C12" s="23" t="inlineStr">
        <is>
          <t>Yes</t>
        </is>
      </c>
    </row>
    <row r="13">
      <c r="B13" s="18" t="inlineStr">
        <is>
          <t>Keep old cards open</t>
        </is>
      </c>
      <c r="C13" s="20" t="inlineStr">
        <is>
          <t>Yes</t>
        </is>
      </c>
    </row>
    <row r="14">
      <c r="B14" s="21" t="inlineStr">
        <is>
          <t>Verify 2 yrs income docs</t>
        </is>
      </c>
      <c r="C14" s="23" t="inlineStr">
        <is>
          <t>No</t>
        </is>
      </c>
    </row>
    <row r="15">
      <c r="B15" s="9" t="inlineStr">
        <is>
          <t>DONE</t>
        </is>
      </c>
      <c r="C15" s="56">
        <f>COUNTIF(CreditDone,"Yes")&amp;" / "&amp;COUNTA(CreditDone)</f>
        <v/>
      </c>
    </row>
  </sheetData>
  <mergeCells count="2">
    <mergeCell ref="A1:C1"/>
    <mergeCell ref="A2:C2"/>
  </mergeCells>
  <dataValidations count="1">
    <dataValidation sqref="C9:C1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16" customWidth="1" min="4" max="4"/>
    <col width="30" customWidth="1" min="5" max="5"/>
    <col width="2" customWidth="1" min="6" max="6"/>
  </cols>
  <sheetData>
    <row r="1" ht="46" customHeight="1">
      <c r="A1" s="1" t="inlineStr">
        <is>
          <t xml:space="preserve">  🔍  HOUSE HUNTING LOG</t>
        </is>
      </c>
    </row>
    <row r="2" ht="22" customHeight="1">
      <c r="A2" s="2" t="inlineStr">
        <is>
          <t xml:space="preserve">  Every showing, in order — what you saw, what you thought, and where it went.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Date</t>
        </is>
      </c>
      <c r="C4" s="9" t="inlineStr">
        <is>
          <t>Address</t>
        </is>
      </c>
      <c r="D4" s="9" t="inlineStr">
        <is>
          <t>Status</t>
        </is>
      </c>
      <c r="E4" s="9" t="inlineStr">
        <is>
          <t>Notes</t>
        </is>
      </c>
    </row>
    <row r="5">
      <c r="B5" s="57" t="inlineStr">
        <is>
          <t>Jun 8</t>
        </is>
      </c>
      <c r="C5" s="57" t="inlineStr">
        <is>
          <t>12 Birch Lane</t>
        </is>
      </c>
      <c r="D5" s="58" t="inlineStr">
        <is>
          <t>Offer made</t>
        </is>
      </c>
      <c r="E5" s="57" t="inlineStr">
        <is>
          <t>Best layout, great light</t>
        </is>
      </c>
    </row>
    <row r="6">
      <c r="B6" s="21" t="inlineStr">
        <is>
          <t>Jun 8</t>
        </is>
      </c>
      <c r="C6" s="21" t="inlineStr">
        <is>
          <t>48 Cedar Ct</t>
        </is>
      </c>
      <c r="D6" s="23" t="inlineStr">
        <is>
          <t>Toured</t>
        </is>
      </c>
      <c r="E6" s="21" t="inlineStr">
        <is>
          <t>Bigger but busy road</t>
        </is>
      </c>
    </row>
    <row r="7">
      <c r="B7" s="57" t="inlineStr">
        <is>
          <t>Jun 15</t>
        </is>
      </c>
      <c r="C7" s="57" t="inlineStr">
        <is>
          <t>7 Maple Row</t>
        </is>
      </c>
      <c r="D7" s="58" t="inlineStr">
        <is>
          <t>Toured</t>
        </is>
      </c>
      <c r="E7" s="57" t="inlineStr">
        <is>
          <t>Needs a new roof</t>
        </is>
      </c>
    </row>
    <row r="8">
      <c r="B8" s="21" t="inlineStr">
        <is>
          <t>Jun 22</t>
        </is>
      </c>
      <c r="C8" s="21" t="inlineStr">
        <is>
          <t>91 Oak Ridge</t>
        </is>
      </c>
      <c r="D8" s="23" t="inlineStr">
        <is>
          <t>Passed</t>
        </is>
      </c>
      <c r="E8" s="21" t="inlineStr">
        <is>
          <t>Over budget</t>
        </is>
      </c>
    </row>
    <row r="9">
      <c r="B9" s="57" t="inlineStr">
        <is>
          <t>Jun 29</t>
        </is>
      </c>
      <c r="C9" s="57" t="inlineStr">
        <is>
          <t>30 Alder St</t>
        </is>
      </c>
      <c r="D9" s="58" t="inlineStr">
        <is>
          <t>Interested</t>
        </is>
      </c>
      <c r="E9" s="57" t="inlineStr">
        <is>
          <t>Small, but cheapest</t>
        </is>
      </c>
    </row>
    <row r="10">
      <c r="B10" s="21" t="n"/>
      <c r="C10" s="21" t="n"/>
      <c r="D10" s="23" t="n"/>
      <c r="E10" s="21" t="n"/>
    </row>
    <row r="11">
      <c r="B11" s="57" t="n"/>
      <c r="C11" s="57" t="n"/>
      <c r="D11" s="58" t="n"/>
      <c r="E11" s="57" t="n"/>
    </row>
    <row r="12">
      <c r="B12" s="21" t="n"/>
      <c r="C12" s="21" t="n"/>
      <c r="D12" s="23" t="n"/>
      <c r="E12" s="21" t="n"/>
    </row>
    <row r="13">
      <c r="B13" s="57" t="n"/>
      <c r="C13" s="57" t="n"/>
      <c r="D13" s="58" t="n"/>
      <c r="E13" s="57" t="n"/>
    </row>
    <row r="14">
      <c r="B14" s="21" t="n"/>
      <c r="C14" s="21" t="n"/>
      <c r="D14" s="23" t="n"/>
      <c r="E14" s="21" t="n"/>
    </row>
    <row r="15">
      <c r="B15" s="57" t="n"/>
      <c r="C15" s="57" t="n"/>
      <c r="D15" s="58" t="n"/>
      <c r="E15" s="57" t="n"/>
    </row>
    <row r="16">
      <c r="B16" s="21" t="n"/>
      <c r="C16" s="21" t="n"/>
      <c r="D16" s="23" t="n"/>
      <c r="E16" s="21" t="n"/>
    </row>
    <row r="17">
      <c r="B17" s="57" t="n"/>
      <c r="C17" s="57" t="n"/>
      <c r="D17" s="58" t="n"/>
      <c r="E17" s="57" t="n"/>
    </row>
    <row r="18">
      <c r="B18" s="21" t="n"/>
      <c r="C18" s="21" t="n"/>
      <c r="D18" s="23" t="n"/>
      <c r="E18" s="21" t="n"/>
    </row>
    <row r="19">
      <c r="B19" s="57" t="n"/>
      <c r="C19" s="57" t="n"/>
      <c r="D19" s="58" t="n"/>
      <c r="E19" s="57" t="n"/>
    </row>
    <row r="20">
      <c r="B20" s="21" t="n"/>
      <c r="C20" s="21" t="n"/>
      <c r="D20" s="23" t="n"/>
      <c r="E20" s="21" t="n"/>
    </row>
    <row r="21">
      <c r="B21" s="57" t="n"/>
      <c r="C21" s="57" t="n"/>
      <c r="D21" s="58" t="n"/>
      <c r="E21" s="57" t="n"/>
    </row>
    <row r="22">
      <c r="B22" s="21" t="n"/>
      <c r="C22" s="21" t="n"/>
      <c r="D22" s="23" t="n"/>
      <c r="E22" s="21" t="n"/>
    </row>
    <row r="23">
      <c r="B23" s="57" t="n"/>
      <c r="C23" s="57" t="n"/>
      <c r="D23" s="58" t="n"/>
      <c r="E23" s="57" t="n"/>
    </row>
    <row r="24">
      <c r="B24" s="21" t="n"/>
      <c r="C24" s="21" t="n"/>
      <c r="D24" s="23" t="n"/>
      <c r="E24" s="21" t="n"/>
    </row>
    <row r="25">
      <c r="B25" s="57" t="n"/>
      <c r="C25" s="57" t="n"/>
      <c r="D25" s="58" t="n"/>
      <c r="E25" s="57" t="n"/>
    </row>
    <row r="26">
      <c r="B26" s="21" t="n"/>
      <c r="C26" s="21" t="n"/>
      <c r="D26" s="23" t="n"/>
      <c r="E26" s="21" t="n"/>
    </row>
    <row r="27">
      <c r="B27" s="57" t="n"/>
      <c r="C27" s="57" t="n"/>
      <c r="D27" s="58" t="n"/>
      <c r="E27" s="57" t="n"/>
    </row>
    <row r="28">
      <c r="B28" s="21" t="n"/>
      <c r="C28" s="21" t="n"/>
      <c r="D28" s="23" t="n"/>
      <c r="E28" s="21" t="n"/>
    </row>
    <row r="29">
      <c r="B29" s="57" t="n"/>
      <c r="C29" s="57" t="n"/>
      <c r="D29" s="58" t="n"/>
      <c r="E29" s="57" t="n"/>
    </row>
    <row r="30">
      <c r="B30" s="21" t="n"/>
      <c r="C30" s="21" t="n"/>
      <c r="D30" s="23" t="n"/>
      <c r="E30" s="21" t="n"/>
    </row>
    <row r="31">
      <c r="B31" s="57" t="n"/>
      <c r="C31" s="57" t="n"/>
      <c r="D31" s="58" t="n"/>
      <c r="E31" s="57" t="n"/>
    </row>
    <row r="32">
      <c r="B32" s="21" t="n"/>
      <c r="C32" s="21" t="n"/>
      <c r="D32" s="23" t="n"/>
      <c r="E32" s="21" t="n"/>
    </row>
  </sheetData>
  <mergeCells count="2">
    <mergeCell ref="A2:E2"/>
    <mergeCell ref="A1:E1"/>
  </mergeCells>
  <dataValidations count="1">
    <dataValidation sqref="D5:D32" showDropDown="0" showInputMessage="0" showErrorMessage="0" allowBlank="1" type="list">
      <formula1>=HomeStatusList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📦  MOVING CHECKLIST</t>
        </is>
      </c>
    </row>
    <row r="2" ht="22" customHeight="1">
      <c r="A2" s="2" t="inlineStr">
        <is>
          <t xml:space="preserve">  Everything to do between the offer and the first night in your new home.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Task</t>
        </is>
      </c>
      <c r="C4" s="9" t="inlineStr">
        <is>
          <t>When</t>
        </is>
      </c>
      <c r="D4" s="9" t="inlineStr">
        <is>
          <t>Done?</t>
        </is>
      </c>
    </row>
    <row r="5">
      <c r="B5" s="57" t="inlineStr">
        <is>
          <t>Lock your rate</t>
        </is>
      </c>
      <c r="C5" s="58" t="inlineStr">
        <is>
          <t>6 wks</t>
        </is>
      </c>
      <c r="D5" s="58" t="inlineStr">
        <is>
          <t>No</t>
        </is>
      </c>
    </row>
    <row r="6">
      <c r="B6" s="21" t="inlineStr">
        <is>
          <t>Schedule inspection</t>
        </is>
      </c>
      <c r="C6" s="23" t="inlineStr">
        <is>
          <t>5 wks</t>
        </is>
      </c>
      <c r="D6" s="23" t="inlineStr">
        <is>
          <t>No</t>
        </is>
      </c>
    </row>
    <row r="7">
      <c r="B7" s="57" t="inlineStr">
        <is>
          <t>Book movers</t>
        </is>
      </c>
      <c r="C7" s="58" t="inlineStr">
        <is>
          <t>4 wks</t>
        </is>
      </c>
      <c r="D7" s="58" t="inlineStr">
        <is>
          <t>No</t>
        </is>
      </c>
    </row>
    <row r="8">
      <c r="B8" s="21" t="inlineStr">
        <is>
          <t>Transfer utilities</t>
        </is>
      </c>
      <c r="C8" s="23" t="inlineStr">
        <is>
          <t>2 wks</t>
        </is>
      </c>
      <c r="D8" s="23" t="inlineStr">
        <is>
          <t>No</t>
        </is>
      </c>
    </row>
    <row r="9">
      <c r="B9" s="57" t="inlineStr">
        <is>
          <t>Change address (USPS)</t>
        </is>
      </c>
      <c r="C9" s="58" t="inlineStr">
        <is>
          <t>2 wks</t>
        </is>
      </c>
      <c r="D9" s="58" t="inlineStr">
        <is>
          <t>No</t>
        </is>
      </c>
    </row>
    <row r="10">
      <c r="B10" s="21" t="inlineStr">
        <is>
          <t>Final walkthrough</t>
        </is>
      </c>
      <c r="C10" s="23" t="inlineStr">
        <is>
          <t>1 day</t>
        </is>
      </c>
      <c r="D10" s="23" t="inlineStr">
        <is>
          <t>No</t>
        </is>
      </c>
    </row>
    <row r="11">
      <c r="B11" s="57" t="n"/>
      <c r="C11" s="58" t="n"/>
      <c r="D11" s="58" t="n"/>
    </row>
    <row r="12">
      <c r="B12" s="21" t="n"/>
      <c r="C12" s="23" t="n"/>
      <c r="D12" s="23" t="n"/>
    </row>
    <row r="13">
      <c r="B13" s="57" t="n"/>
      <c r="C13" s="58" t="n"/>
      <c r="D13" s="58" t="n"/>
    </row>
    <row r="14">
      <c r="B14" s="21" t="n"/>
      <c r="C14" s="23" t="n"/>
      <c r="D14" s="23" t="n"/>
    </row>
    <row r="15">
      <c r="B15" s="57" t="n"/>
      <c r="C15" s="58" t="n"/>
      <c r="D15" s="58" t="n"/>
    </row>
    <row r="16">
      <c r="B16" s="21" t="n"/>
      <c r="C16" s="23" t="n"/>
      <c r="D16" s="23" t="n"/>
    </row>
    <row r="17">
      <c r="B17" s="57" t="n"/>
      <c r="C17" s="58" t="n"/>
      <c r="D17" s="58" t="n"/>
    </row>
    <row r="18">
      <c r="B18" s="21" t="n"/>
      <c r="C18" s="23" t="n"/>
      <c r="D18" s="23" t="n"/>
    </row>
    <row r="19">
      <c r="B19" s="57" t="n"/>
      <c r="C19" s="58" t="n"/>
      <c r="D19" s="58" t="n"/>
    </row>
    <row r="20">
      <c r="B20" s="21" t="n"/>
      <c r="C20" s="23" t="n"/>
      <c r="D20" s="23" t="n"/>
    </row>
    <row r="21">
      <c r="B21" s="57" t="n"/>
      <c r="C21" s="58" t="n"/>
      <c r="D21" s="58" t="n"/>
    </row>
    <row r="22">
      <c r="B22" s="21" t="n"/>
      <c r="C22" s="23" t="n"/>
      <c r="D22" s="23" t="n"/>
    </row>
    <row r="23">
      <c r="B23" s="57" t="n"/>
      <c r="C23" s="58" t="n"/>
      <c r="D23" s="58" t="n"/>
    </row>
    <row r="24">
      <c r="B24" s="21" t="n"/>
      <c r="C24" s="23" t="n"/>
      <c r="D24" s="23" t="n"/>
    </row>
    <row r="25">
      <c r="B25" s="57" t="n"/>
      <c r="C25" s="58" t="n"/>
      <c r="D25" s="58" t="n"/>
    </row>
    <row r="26">
      <c r="B26" s="21" t="n"/>
      <c r="C26" s="23" t="n"/>
      <c r="D26" s="23" t="n"/>
    </row>
    <row r="27">
      <c r="B27" s="57" t="n"/>
      <c r="C27" s="58" t="n"/>
      <c r="D27" s="58" t="n"/>
    </row>
    <row r="28">
      <c r="B28" s="21" t="n"/>
      <c r="C28" s="23" t="n"/>
      <c r="D28" s="23" t="n"/>
    </row>
    <row r="29">
      <c r="B29" s="57" t="n"/>
      <c r="C29" s="58" t="n"/>
      <c r="D29" s="58" t="n"/>
    </row>
    <row r="30">
      <c r="B30" s="21" t="n"/>
      <c r="C30" s="23" t="n"/>
      <c r="D30" s="23" t="n"/>
    </row>
  </sheetData>
  <mergeCells count="2">
    <mergeCell ref="A1:D1"/>
    <mergeCell ref="A2:D2"/>
  </mergeCells>
  <dataValidations count="1">
    <dataValidation sqref="D5:D30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2" customWidth="1" min="4" max="4"/>
  </cols>
  <sheetData>
    <row r="1" ht="46" customHeight="1">
      <c r="A1" s="1" t="inlineStr">
        <is>
          <t xml:space="preserve">  📈  MONTHLY SUMMARY</t>
        </is>
      </c>
    </row>
    <row r="2" ht="22" customHeight="1">
      <c r="A2" s="2" t="inlineStr">
        <is>
          <t xml:space="preserve">  Your savings climbing toward cash-to-close — the line that ends with keys in your hand.</t>
        </is>
      </c>
    </row>
    <row r="3" ht="6" customHeight="1">
      <c r="A3" s="3" t="n"/>
      <c r="B3" s="3" t="n"/>
      <c r="C3" s="3" t="n"/>
    </row>
    <row r="5">
      <c r="B5" s="4" t="inlineStr">
        <is>
          <t>THE TREND</t>
        </is>
      </c>
    </row>
    <row r="6" ht="30" customHeight="1">
      <c r="B6" s="9" t="inlineStr">
        <is>
          <t>Month</t>
        </is>
      </c>
      <c r="C6" s="9" t="inlineStr">
        <is>
          <t>Total Saved</t>
        </is>
      </c>
    </row>
    <row r="7">
      <c r="B7" s="18" t="inlineStr">
        <is>
          <t>Feb</t>
        </is>
      </c>
      <c r="C7" s="25" t="n">
        <v>24000</v>
      </c>
    </row>
    <row r="8">
      <c r="B8" s="21" t="inlineStr">
        <is>
          <t>Mar</t>
        </is>
      </c>
      <c r="C8" s="39" t="n">
        <v>25200</v>
      </c>
    </row>
    <row r="9">
      <c r="B9" s="18" t="inlineStr">
        <is>
          <t>Apr</t>
        </is>
      </c>
      <c r="C9" s="25" t="n">
        <v>26600</v>
      </c>
    </row>
    <row r="10">
      <c r="B10" s="21" t="inlineStr">
        <is>
          <t>May</t>
        </is>
      </c>
      <c r="C10" s="39" t="n">
        <v>28000</v>
      </c>
    </row>
    <row r="11">
      <c r="B11" s="18" t="inlineStr">
        <is>
          <t>Jun</t>
        </is>
      </c>
      <c r="C11" s="25" t="n">
        <v>30000</v>
      </c>
    </row>
    <row r="12">
      <c r="B12" s="21" t="inlineStr">
        <is>
          <t>Jul</t>
        </is>
      </c>
      <c r="C12" s="39" t="n">
        <v>32000</v>
      </c>
    </row>
  </sheetData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20" customWidth="1" min="3" max="3"/>
    <col width="3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assumptions &amp; goals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7" t="inlineStr">
        <is>
          <t>YOUR NUMBERS &amp; GOALS</t>
        </is>
      </c>
      <c r="E5" s="4" t="inlineStr">
        <is>
          <t>DROPDOWN LISTS</t>
        </is>
      </c>
    </row>
    <row r="6">
      <c r="B6" s="24" t="inlineStr">
        <is>
          <t>Your name</t>
        </is>
      </c>
      <c r="C6" s="44" t="inlineStr">
        <is>
          <t>Avery</t>
        </is>
      </c>
      <c r="E6" s="9" t="inlineStr">
        <is>
          <t>Loan type</t>
        </is>
      </c>
      <c r="F6" s="9" t="inlineStr">
        <is>
          <t>Home status</t>
        </is>
      </c>
      <c r="G6" s="9" t="inlineStr">
        <is>
          <t>Priority</t>
        </is>
      </c>
      <c r="H6" s="9" t="inlineStr">
        <is>
          <t>Yes / No</t>
        </is>
      </c>
    </row>
    <row r="7">
      <c r="B7" s="24" t="inlineStr">
        <is>
          <t>Plan name</t>
        </is>
      </c>
      <c r="C7" s="44" t="inlineStr">
        <is>
          <t>Keystone &amp; Co.</t>
        </is>
      </c>
      <c r="E7" s="18" t="inlineStr">
        <is>
          <t>Conventional</t>
        </is>
      </c>
      <c r="F7" s="18" t="inlineStr">
        <is>
          <t>Interested</t>
        </is>
      </c>
      <c r="G7" s="18" t="inlineStr">
        <is>
          <t>Must have</t>
        </is>
      </c>
      <c r="H7" s="18" t="inlineStr">
        <is>
          <t>Yes</t>
        </is>
      </c>
    </row>
    <row r="8">
      <c r="B8" s="24" t="inlineStr">
        <is>
          <t>Annual household income</t>
        </is>
      </c>
      <c r="C8" s="25" t="n">
        <v>95000</v>
      </c>
      <c r="E8" s="18" t="inlineStr">
        <is>
          <t>FHA</t>
        </is>
      </c>
      <c r="F8" s="18" t="inlineStr">
        <is>
          <t>Toured</t>
        </is>
      </c>
      <c r="G8" s="18" t="inlineStr">
        <is>
          <t>Nice to have</t>
        </is>
      </c>
      <c r="H8" s="18" t="inlineStr">
        <is>
          <t>No</t>
        </is>
      </c>
    </row>
    <row r="9">
      <c r="B9" s="24" t="inlineStr">
        <is>
          <t>Other monthly debts</t>
        </is>
      </c>
      <c r="C9" s="25" t="n">
        <v>450</v>
      </c>
      <c r="E9" s="18" t="inlineStr">
        <is>
          <t>VA</t>
        </is>
      </c>
      <c r="F9" s="18" t="inlineStr">
        <is>
          <t>Offer made</t>
        </is>
      </c>
      <c r="G9" s="18" t="inlineStr">
        <is>
          <t>Deal breaker</t>
        </is>
      </c>
    </row>
    <row r="10">
      <c r="B10" s="24" t="inlineStr">
        <is>
          <t>Property tax rate (of price)</t>
        </is>
      </c>
      <c r="C10" s="27" t="n">
        <v>0.011</v>
      </c>
      <c r="E10" s="18" t="inlineStr">
        <is>
          <t>USDA</t>
        </is>
      </c>
      <c r="F10" s="18" t="inlineStr">
        <is>
          <t>Passed</t>
        </is>
      </c>
    </row>
    <row r="11">
      <c r="B11" s="24" t="inlineStr">
        <is>
          <t>Home insurance (annual)</t>
        </is>
      </c>
      <c r="C11" s="25" t="n">
        <v>1800</v>
      </c>
    </row>
    <row r="12">
      <c r="B12" s="24" t="inlineStr">
        <is>
          <t>PMI rate (of loan)</t>
        </is>
      </c>
      <c r="C12" s="27" t="n">
        <v>0.005</v>
      </c>
    </row>
    <row r="13">
      <c r="B13" s="24" t="inlineStr">
        <is>
          <t>Closing costs (% of price)</t>
        </is>
      </c>
      <c r="C13" s="59" t="n">
        <v>0.03</v>
      </c>
    </row>
    <row r="14">
      <c r="B14" s="24" t="inlineStr">
        <is>
          <t>Front-end DTI goal (max)</t>
        </is>
      </c>
      <c r="C14" s="26" t="n">
        <v>0.28</v>
      </c>
    </row>
    <row r="15">
      <c r="B15" s="24" t="inlineStr">
        <is>
          <t>Back-end DTI goal (max)</t>
        </is>
      </c>
      <c r="C15" s="26" t="n">
        <v>0.36</v>
      </c>
    </row>
    <row r="16">
      <c r="B16" s="24" t="inlineStr">
        <is>
          <t>Down-payment goal %</t>
        </is>
      </c>
      <c r="C16" s="26" t="n">
        <v>0.2</v>
      </c>
    </row>
    <row r="17">
      <c r="B17" s="24" t="inlineStr">
        <is>
          <t>Credit-score goal</t>
        </is>
      </c>
      <c r="C17" s="28" t="n">
        <v>740</v>
      </c>
    </row>
    <row r="18">
      <c r="B18" s="24" t="inlineStr">
        <is>
          <t>Your credit score</t>
        </is>
      </c>
      <c r="C18" s="28" t="n">
        <v>760</v>
      </c>
    </row>
    <row r="19">
      <c r="B19" s="24" t="inlineStr">
        <is>
          <t>Emergency fund after close</t>
        </is>
      </c>
      <c r="C19" s="25" t="n">
        <v>12000</v>
      </c>
    </row>
    <row r="20">
      <c r="B20" s="24" t="inlineStr">
        <is>
          <t>Emergency fund goal</t>
        </is>
      </c>
      <c r="C20" s="25" t="n">
        <v>12000</v>
      </c>
    </row>
  </sheetData>
  <mergeCells count="4">
    <mergeCell ref="A1:J1"/>
    <mergeCell ref="B5:C5"/>
    <mergeCell ref="E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2026-07-26T04:43:17Z</dcterms:created>
  <dcterms:modified xsi:type="dcterms:W3CDTF">2026-07-26T04:43:17Z</dcterms:modified>
</cp:coreProperties>
</file>