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our Cost" sheetId="3" state="visible" r:id="rId3"/>
    <sheet name="Drink Menu" sheetId="4" state="visible" r:id="rId4"/>
    <sheet name="Keg &amp; Draft" sheetId="5" state="visible" r:id="rId5"/>
    <sheet name="Inventory Variance" sheetId="6" state="visible" r:id="rId6"/>
    <sheet name="Liquor Inventory" sheetId="7" state="visible" r:id="rId7"/>
    <sheet name="Happy Hour" sheetId="8" state="visible" r:id="rId8"/>
    <sheet name="Weekly Sales" sheetId="9" state="visible" r:id="rId9"/>
    <sheet name="Waste &amp; Spill" sheetId="10" state="visible" r:id="rId10"/>
    <sheet name="Ordering" sheetId="11" state="visible" r:id="rId11"/>
    <sheet name="Cash &amp; Tips" sheetId="12" state="visible" r:id="rId12"/>
    <sheet name="Events &amp; Tabs" sheetId="13" state="visible" r:id="rId13"/>
    <sheet name="Settings" sheetId="14" state="visible" r:id="rId14"/>
  </sheets>
  <definedNames>
    <definedName name="Bar">Settings!$C$6</definedName>
    <definedName name="Owner">Settings!$C$7</definedName>
    <definedName name="TargetPour">Settings!$C$8</definedName>
    <definedName name="MarginGoal">Settings!$C$9</definedName>
    <definedName name="VarLimit">Settings!$C$10</definedName>
    <definedName name="Currency">Settings!$C$11</definedName>
    <definedName name="UnitList">Settings!$E$7:$E$14</definedName>
    <definedName name="CatList">Settings!$F$7:$F$13</definedName>
    <definedName name="YesNoList">Settings!$G$7:$G$8</definedName>
    <definedName name="OldFashionedCost">'Pour Cost'!$F$12</definedName>
    <definedName name="DrinkItem">'Drink Menu'!$B$5:$B$12</definedName>
    <definedName name="DrinkCost">'Drink Menu'!$D$5:$D$12</definedName>
    <definedName name="DrinkPrice">'Drink Menu'!$E$5:$E$12</definedName>
    <definedName name="DrinkUnits">'Drink Menu'!$F$5:$F$12</definedName>
    <definedName name="DrinkMargin">'Drink Menu'!$H$5:$H$12</definedName>
    <definedName name="DrinkRev">'Drink Menu'!$I$5:$I$12</definedName>
    <definedName name="WeeklySales">'Drink Menu'!$E$14</definedName>
    <definedName name="PourCostPct">'Drink Menu'!$E$15</definedName>
    <definedName name="KegProfit">'Keg &amp; Draft'!$G$5:$G$8</definedName>
    <definedName name="AvgKegProfit">'Keg &amp; Draft'!$G$10</definedName>
    <definedName name="VariancePct">'Inventory Variance'!$E$8</definedName>
    <definedName name="HHMargin">'Happy Hour'!$F$5:$F$8</definedName>
    <definedName name="HHAvgMargin">'Happy Hour'!$F$10</definedName>
    <definedName name="WeekSalesTotal">'Weekly Sales'!$C$12</definedName>
    <definedName name="WasteCost">'Waste &amp; Spill'!$D$5:$D$28</definedName>
    <definedName name="WasteTotal">'Waste &amp; Spill'!$D$29</definedName>
    <definedName name="OrderCost">'Ordering'!$E$5:$E$28</definedName>
    <definedName name="EventStatus">'Events &amp; Tabs'!$F$5:$F$9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##"/>
    <numFmt numFmtId="166" formatCode="&quot;$&quot;#,##0.000"/>
    <numFmt numFmtId="167" formatCode="&quot;$&quot;#,##0.00"/>
    <numFmt numFmtId="168" formatCode="0.0%"/>
    <numFmt numFmtId="169" formatCode="yyyy-mm-dd"/>
    <numFmt numFmtId="170" formatCode="mm/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9" borderId="3" applyAlignment="1" pivotButton="0" quotePrefix="0" xfId="0">
      <alignment horizontal="center" vertical="center"/>
    </xf>
    <xf numFmtId="0" fontId="0" fillId="9" borderId="3" pivotButton="0" quotePrefix="0" xfId="0"/>
    <xf numFmtId="3" fontId="13" fillId="9" borderId="2" applyAlignment="1" pivotButton="0" quotePrefix="0" xfId="0">
      <alignment horizontal="center" vertical="center"/>
    </xf>
    <xf numFmtId="0" fontId="0" fillId="9" borderId="2" pivotButton="0" quotePrefix="0" xfId="0"/>
    <xf numFmtId="167" fontId="13" fillId="9" borderId="2" applyAlignment="1" pivotButton="0" quotePrefix="0" xfId="0">
      <alignment horizontal="center" vertical="center"/>
    </xf>
    <xf numFmtId="9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165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166" fontId="7" fillId="8" borderId="2" applyAlignment="1" pivotButton="0" quotePrefix="0" xfId="8">
      <alignment horizontal="center" vertical="center"/>
    </xf>
    <xf numFmtId="167" fontId="6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7" fontId="10" fillId="6" borderId="2" applyAlignment="1" pivotButton="0" quotePrefix="0" xfId="6">
      <alignment horizontal="center" vertical="center" wrapText="1"/>
    </xf>
    <xf numFmtId="167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7" fontId="7" fillId="8" borderId="2" applyAlignment="1" pivotButton="0" quotePrefix="0" xfId="8">
      <alignment horizontal="center" vertical="center"/>
    </xf>
    <xf numFmtId="3" fontId="7" fillId="8" borderId="2" applyAlignment="1" pivotButton="0" quotePrefix="0" xfId="8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64" fontId="10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10" fillId="8" borderId="2" applyAlignment="1" pivotButton="0" quotePrefix="0" xfId="6">
      <alignment horizontal="center" vertical="center" wrapText="1"/>
    </xf>
    <xf numFmtId="168" fontId="6" fillId="0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68" fontId="11" fillId="3" borderId="2" applyAlignment="1" pivotButton="0" quotePrefix="0" xfId="6">
      <alignment horizontal="center" vertical="center" wrapText="1"/>
    </xf>
    <xf numFmtId="3" fontId="10" fillId="0" borderId="2" applyAlignment="1" pivotButton="0" quotePrefix="0" xfId="6">
      <alignment horizontal="center" vertical="center" wrapText="1"/>
    </xf>
    <xf numFmtId="3" fontId="10" fillId="8" borderId="2" applyAlignment="1" pivotButton="0" quotePrefix="0" xfId="6">
      <alignment horizontal="center" vertical="center" wrapText="1"/>
    </xf>
    <xf numFmtId="9" fontId="10" fillId="0" borderId="2" applyAlignment="1" pivotButton="0" quotePrefix="0" xfId="6">
      <alignment horizontal="center" vertical="center" wrapText="1"/>
    </xf>
    <xf numFmtId="9" fontId="10" fillId="8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7" fontId="6" fillId="9" borderId="2" applyAlignment="1" pivotButton="0" quotePrefix="0" xfId="6">
      <alignment horizontal="center" vertical="center" wrapText="1"/>
    </xf>
    <xf numFmtId="167" fontId="11" fillId="3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7" fontId="10" fillId="3" borderId="2" applyAlignment="1" pivotButton="0" quotePrefix="0" xfId="6">
      <alignment horizontal="center" vertical="center" wrapText="1"/>
    </xf>
    <xf numFmtId="170" fontId="7" fillId="3" borderId="2" applyAlignment="1" pivotButton="0" quotePrefix="0" xfId="8">
      <alignment horizontal="center" vertical="center"/>
    </xf>
    <xf numFmtId="170" fontId="7" fillId="8" borderId="2" applyAlignment="1" pivotButton="0" quotePrefix="0" xfId="8">
      <alignment horizontal="center" vertical="center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4">
    <dxf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E5D3B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'Weekly Sales'!$B$5:$B$11</f>
            </numRef>
          </cat>
          <val>
            <numRef>
              <f>'Weekly Sales'!$C$5:$C$11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'Weekly Sales'!$B$5:$B$11</f>
            </numRef>
          </cat>
          <val>
            <numRef>
              <f>'Weekly Sales'!$C$5:$C$11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🍺  BAR &amp; PUB COMMAND CENTER™</t>
        </is>
      </c>
    </row>
    <row r="2" ht="24" customHeight="1">
      <c r="A2" s="2" t="inlineStr">
        <is>
          <t xml:space="preserve">  Cost every pour, kill your shrinkage &amp; pour more profit.</t>
        </is>
      </c>
    </row>
    <row r="3" ht="6" customHeight="1">
      <c r="A3" s="3" t="n"/>
      <c r="B3" s="3" t="n"/>
      <c r="C3" s="3" t="n"/>
    </row>
    <row r="5">
      <c r="B5" s="4" t="inlineStr">
        <is>
          <t>YOUR WHOLE BAR, IN ONE PLACE</t>
        </is>
      </c>
    </row>
    <row r="6" ht="22" customHeight="1">
      <c r="B6" s="5" t="inlineStr">
        <is>
          <t>Cost every drink to the pour — liquor, mixers &amp; garnish — and see each drink's pour-cost % and margin. Track keg yield and profit per keg, catch shrinkage with an inventory-variance check (theoretical vs actual usage), price happy hour so it still makes money, and run liquor inventory, waste, sales, ordering, cash, tips and events — all in ONE premium Google Sheets &amp; Excel system built for bars &amp; pubs.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bar name &amp; target pour-cost %.</t>
        </is>
      </c>
    </row>
    <row r="13" ht="22" customHeight="1">
      <c r="B13" s="8" t="inlineStr">
        <is>
          <t>2.  Cost a drink to the pour; the Drink Menu shows pour-cost % &amp; margin.</t>
        </is>
      </c>
    </row>
    <row r="14" ht="22" customHeight="1">
      <c r="B14" s="8" t="inlineStr">
        <is>
          <t>3.  Enter your Kegs — yield &amp; profit per keg calculate automatically.</t>
        </is>
      </c>
    </row>
    <row r="15" ht="22" customHeight="1">
      <c r="B15" s="8" t="inlineStr">
        <is>
          <t>4.  Run the Inventory Variance check — theoretical vs actual usage.</t>
        </is>
      </c>
    </row>
    <row r="16" ht="22" customHeight="1">
      <c r="B16" s="8" t="inlineStr">
        <is>
          <t>5.  Set Happy Hour prices that still profit; log Waste, Sales &amp; Cash.</t>
        </is>
      </c>
    </row>
    <row r="17" ht="22" customHeight="1">
      <c r="B17" s="8" t="inlineStr">
        <is>
          <t>6.  Check the Dashboard: sales, pour cost, variance &amp; a Bar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pub (The Oak &amp; Iron) is included so you can see how it all connects — just type over it with your own drinks and numbers. Pour cost and inventory variance (shrinkage) are the two numbers that decide whether a bar makes money, and they roll into a live Bar Score. Twelve matching printable pages (pour-cost card, keg log, variance sheet, waste log &amp; more) are included for behind the bar. This is a business tool, not financial or legal advice — confirm figures with your books.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Pour cost &amp; shrinkage make or break a bar — measure both, every week.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🍺  BAR &amp; PUB COMMAND CENTER™</t>
        </is>
      </c>
    </row>
    <row r="2" ht="24" customHeight="1">
      <c r="A2" s="2" t="inlineStr">
        <is>
          <t xml:space="preserve">  Pour cost, keg profit, inventory variance &amp; a Bar Score — your whole bar,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DRINKS</t>
        </is>
      </c>
      <c r="C5" s="13" t="n"/>
      <c r="D5" s="12" t="inlineStr">
        <is>
          <t>AVG POUR COST</t>
        </is>
      </c>
      <c r="E5" s="13" t="n"/>
      <c r="F5" s="12" t="inlineStr">
        <is>
          <t>AVG PRICE</t>
        </is>
      </c>
      <c r="G5" s="13" t="n"/>
      <c r="H5" s="12" t="inlineStr">
        <is>
          <t>AVG MARGIN</t>
        </is>
      </c>
      <c r="I5" s="13" t="n"/>
      <c r="J5" s="12" t="inlineStr">
        <is>
          <t>POUR COST</t>
        </is>
      </c>
      <c r="K5" s="13" t="n"/>
      <c r="L5" s="12" t="inlineStr">
        <is>
          <t>TOP SELLER</t>
        </is>
      </c>
      <c r="M5" s="13" t="n"/>
    </row>
    <row r="6" ht="40" customHeight="1">
      <c r="B6" s="14">
        <f>COUNTA(DrinkItem)</f>
        <v/>
      </c>
      <c r="C6" s="15" t="n"/>
      <c r="D6" s="16">
        <f>AVERAGE(DrinkCost)</f>
        <v/>
      </c>
      <c r="E6" s="15" t="n"/>
      <c r="F6" s="16">
        <f>AVERAGE(DrinkPrice)</f>
        <v/>
      </c>
      <c r="G6" s="15" t="n"/>
      <c r="H6" s="16">
        <f>AVERAGE(DrinkMargin)</f>
        <v/>
      </c>
      <c r="I6" s="15" t="n"/>
      <c r="J6" s="17">
        <f>PourCostPct</f>
        <v/>
      </c>
      <c r="K6" s="15" t="n"/>
      <c r="L6" s="18">
        <f>INDEX(DrinkItem,MATCH(MAX(DrinkRev),DrinkRev,0))</f>
        <v/>
      </c>
      <c r="M6" s="15" t="n"/>
    </row>
    <row r="8" ht="18" customHeight="1">
      <c r="B8" s="12" t="inlineStr">
        <is>
          <t>WEEKLY SALES</t>
        </is>
      </c>
      <c r="C8" s="13" t="n"/>
      <c r="D8" s="12" t="inlineStr">
        <is>
          <t>WEEKLY UNITS</t>
        </is>
      </c>
      <c r="E8" s="13" t="n"/>
      <c r="F8" s="12" t="inlineStr">
        <is>
          <t>AVG PROFIT/KEG</t>
        </is>
      </c>
      <c r="G8" s="13" t="n"/>
      <c r="H8" s="12" t="inlineStr">
        <is>
          <t>INV VARIANCE</t>
        </is>
      </c>
      <c r="I8" s="13" t="n"/>
      <c r="J8" s="12" t="inlineStr">
        <is>
          <t>HAPPY HR MARGIN</t>
        </is>
      </c>
      <c r="K8" s="13" t="n"/>
      <c r="L8" s="12" t="inlineStr">
        <is>
          <t>BAR SCORE</t>
        </is>
      </c>
      <c r="M8" s="13" t="n"/>
    </row>
    <row r="9" ht="40" customHeight="1">
      <c r="B9" s="19">
        <f>WeeklySales</f>
        <v/>
      </c>
      <c r="C9" s="15" t="n"/>
      <c r="D9" s="14">
        <f>SUM(DrinkUnits)</f>
        <v/>
      </c>
      <c r="E9" s="15" t="n"/>
      <c r="F9" s="19">
        <f>AvgKegProfit</f>
        <v/>
      </c>
      <c r="G9" s="15" t="n"/>
      <c r="H9" s="17">
        <f>VariancePct</f>
        <v/>
      </c>
      <c r="I9" s="15" t="n"/>
      <c r="J9" s="17">
        <f>HHAvgMargin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BAR HEALTH</t>
        </is>
      </c>
      <c r="H11" s="4" t="inlineStr">
        <is>
          <t>SALES BY DAY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Pour cost on target</t>
        </is>
      </c>
      <c r="C13" s="21">
        <f>IFERROR(MIN(TargetPour/PourCostPct,1),0)</f>
        <v/>
      </c>
      <c r="D13" s="22">
        <f>IF(C13&gt;=0.85,"Strong",IF(C13&gt;=0.6,"OK","Watch"))</f>
        <v/>
      </c>
    </row>
    <row r="14">
      <c r="B14" s="23" t="inlineStr">
        <is>
          <t>Margin per drink</t>
        </is>
      </c>
      <c r="C14" s="24">
        <f>IFERROR(MIN(AVERAGE(DrinkMargin)/MarginGoal,1),0)</f>
        <v/>
      </c>
      <c r="D14" s="25">
        <f>IF(C14&gt;=0.85,"Strong",IF(C14&gt;=0.6,"OK","Watch"))</f>
        <v/>
      </c>
    </row>
    <row r="15">
      <c r="B15" s="20" t="inlineStr">
        <is>
          <t>Menu fully costed</t>
        </is>
      </c>
      <c r="C15" s="21">
        <f>IFERROR(COUNTIF(DrinkCost,"&gt;0")/COUNTA(DrinkItem),0)</f>
        <v/>
      </c>
      <c r="D15" s="22">
        <f>IF(C15&gt;=0.85,"Strong",IF(C15&gt;=0.6,"OK","Watch"))</f>
        <v/>
      </c>
    </row>
    <row r="16">
      <c r="B16" s="23" t="inlineStr">
        <is>
          <t>Inventory variance low</t>
        </is>
      </c>
      <c r="C16" s="24">
        <f>IFERROR(1-MIN(VariancePct/VarLimit,1),0)</f>
        <v/>
      </c>
      <c r="D16" s="25">
        <f>IF(C16&gt;=0.85,"Strong",IF(C16&gt;=0.6,"OK","Watch"))</f>
        <v/>
      </c>
    </row>
    <row r="17">
      <c r="B17" s="20" t="inlineStr">
        <is>
          <t>Happy-hour margin</t>
        </is>
      </c>
      <c r="C17" s="21">
        <f>IFERROR(MIN(HHAvgMargin/0.5,1),0)</f>
        <v/>
      </c>
      <c r="D17" s="22">
        <f>IF(C17&gt;=0.85,"Strong",IF(C17&gt;=0.6,"OK","Watch"))</f>
        <v/>
      </c>
    </row>
    <row r="18">
      <c r="B18" s="23" t="inlineStr">
        <is>
          <t>Gross margin</t>
        </is>
      </c>
      <c r="C18" s="24">
        <f>IFERROR(MIN((1-PourCostPct)/0.75,1),0)</f>
        <v/>
      </c>
      <c r="D18" s="25">
        <f>IF(C18&gt;=0.85,"Strong",IF(C18&gt;=0.6,"OK","Watch"))</f>
        <v/>
      </c>
    </row>
    <row r="21" ht="26" customHeight="1">
      <c r="B21" s="2" t="inlineStr">
        <is>
          <t>Bar &amp; Pub Command Center™ — cost every pour, kill your shrinkage, pour more profit.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0" customWidth="1" min="3" max="3"/>
    <col width="10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🥃  POUR COST</t>
        </is>
      </c>
    </row>
    <row r="2" ht="22" customHeight="1">
      <c r="A2" s="2" t="inlineStr">
        <is>
          <t xml:space="preserve">  Cost a drink to the pour — spirit, mixer &amp; garnish. The engine behind your menu.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4" t="inlineStr">
        <is>
          <t>DRINK</t>
        </is>
      </c>
      <c r="D5" s="26" t="inlineStr">
        <is>
          <t>Old Fashioned</t>
        </is>
      </c>
    </row>
    <row r="6" ht="30" customHeight="1">
      <c r="B6" s="9" t="inlineStr">
        <is>
          <t>Component</t>
        </is>
      </c>
      <c r="C6" s="9" t="inlineStr">
        <is>
          <t>Qty</t>
        </is>
      </c>
      <c r="D6" s="9" t="inlineStr">
        <is>
          <t>Unit</t>
        </is>
      </c>
      <c r="E6" s="9" t="inlineStr">
        <is>
          <t>Cost/Unit</t>
        </is>
      </c>
      <c r="F6" s="9" t="inlineStr">
        <is>
          <t>Ext. Cost</t>
        </is>
      </c>
    </row>
    <row r="7">
      <c r="B7" s="20" t="inlineStr">
        <is>
          <t>Bourbon</t>
        </is>
      </c>
      <c r="C7" s="27" t="n">
        <v>2</v>
      </c>
      <c r="D7" s="22" t="inlineStr">
        <is>
          <t>oz</t>
        </is>
      </c>
      <c r="E7" s="28" t="n">
        <v>0.9</v>
      </c>
      <c r="F7" s="29">
        <f>C7*E7</f>
        <v/>
      </c>
    </row>
    <row r="8">
      <c r="B8" s="23" t="inlineStr">
        <is>
          <t>Simple syrup</t>
        </is>
      </c>
      <c r="C8" s="30" t="n">
        <v>0.25</v>
      </c>
      <c r="D8" s="25" t="inlineStr">
        <is>
          <t>oz</t>
        </is>
      </c>
      <c r="E8" s="31" t="n">
        <v>0.1</v>
      </c>
      <c r="F8" s="32">
        <f>C8*E8</f>
        <v/>
      </c>
    </row>
    <row r="9">
      <c r="B9" s="20" t="inlineStr">
        <is>
          <t>Bitters</t>
        </is>
      </c>
      <c r="C9" s="27" t="n">
        <v>3</v>
      </c>
      <c r="D9" s="22" t="inlineStr">
        <is>
          <t>dash</t>
        </is>
      </c>
      <c r="E9" s="28" t="n">
        <v>0.03</v>
      </c>
      <c r="F9" s="29">
        <f>C9*E9</f>
        <v/>
      </c>
    </row>
    <row r="10">
      <c r="B10" s="23" t="inlineStr">
        <is>
          <t>Orange garnish</t>
        </is>
      </c>
      <c r="C10" s="30" t="n">
        <v>1</v>
      </c>
      <c r="D10" s="25" t="inlineStr">
        <is>
          <t>each</t>
        </is>
      </c>
      <c r="E10" s="31" t="n">
        <v>0.18</v>
      </c>
      <c r="F10" s="32">
        <f>C10*E10</f>
        <v/>
      </c>
    </row>
    <row r="11">
      <c r="B11" s="20" t="inlineStr">
        <is>
          <t>Ice / napkin</t>
        </is>
      </c>
      <c r="C11" s="27" t="n">
        <v>1</v>
      </c>
      <c r="D11" s="22" t="inlineStr">
        <is>
          <t>each</t>
        </is>
      </c>
      <c r="E11" s="28" t="n">
        <v>0.105</v>
      </c>
      <c r="F11" s="29">
        <f>C11*E11</f>
        <v/>
      </c>
    </row>
    <row r="12">
      <c r="B12" s="9" t="inlineStr">
        <is>
          <t>POUR COST</t>
        </is>
      </c>
      <c r="C12" s="33" t="n"/>
      <c r="D12" s="33" t="n"/>
      <c r="E12" s="33" t="n"/>
      <c r="F12" s="34">
        <f>SUM(F7:F11)</f>
        <v/>
      </c>
    </row>
    <row r="14">
      <c r="B14" s="7" t="inlineStr">
        <is>
          <t>Copy this build for every drink — swap the spirit, add mixers &amp; garnish.</t>
        </is>
      </c>
    </row>
  </sheetData>
  <mergeCells count="3">
    <mergeCell ref="A2:F2"/>
    <mergeCell ref="B5:C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🍸  DRINK MENU</t>
        </is>
      </c>
    </row>
    <row r="2" ht="22" customHeight="1">
      <c r="A2" s="2" t="inlineStr">
        <is>
          <t xml:space="preserve">  Every drink's pour cost, price, pour-cost % &amp; margin — price for a healthy pour.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B4" s="9" t="inlineStr">
        <is>
          <t>Drink</t>
        </is>
      </c>
      <c r="C4" s="9" t="inlineStr">
        <is>
          <t>Category</t>
        </is>
      </c>
      <c r="D4" s="9" t="inlineStr">
        <is>
          <t>Pour Cost</t>
        </is>
      </c>
      <c r="E4" s="9" t="inlineStr">
        <is>
          <t>Price</t>
        </is>
      </c>
      <c r="F4" s="9" t="inlineStr">
        <is>
          <t>Units/wk</t>
        </is>
      </c>
      <c r="G4" s="9" t="inlineStr">
        <is>
          <t>Pour %</t>
        </is>
      </c>
      <c r="H4" s="9" t="inlineStr">
        <is>
          <t>Margin $</t>
        </is>
      </c>
      <c r="I4" s="9" t="inlineStr">
        <is>
          <t>Wk Rev</t>
        </is>
      </c>
    </row>
    <row r="5">
      <c r="B5" s="20" t="inlineStr">
        <is>
          <t>Draft Beer (pint)</t>
        </is>
      </c>
      <c r="C5" s="22" t="inlineStr">
        <is>
          <t>Draft</t>
        </is>
      </c>
      <c r="D5" s="35" t="n">
        <v>0.95</v>
      </c>
      <c r="E5" s="35" t="n">
        <v>7</v>
      </c>
      <c r="F5" s="36" t="n">
        <v>420</v>
      </c>
      <c r="G5" s="21">
        <f>IFERROR(D5/E5,0)</f>
        <v/>
      </c>
      <c r="H5" s="29">
        <f>E5-D5</f>
        <v/>
      </c>
      <c r="I5" s="37">
        <f>E5*F5</f>
        <v/>
      </c>
    </row>
    <row r="6">
      <c r="B6" s="23" t="inlineStr">
        <is>
          <t>Well Cocktail</t>
        </is>
      </c>
      <c r="C6" s="25" t="inlineStr">
        <is>
          <t>Cocktail</t>
        </is>
      </c>
      <c r="D6" s="38" t="n">
        <v>1.4</v>
      </c>
      <c r="E6" s="38" t="n">
        <v>9</v>
      </c>
      <c r="F6" s="39" t="n">
        <v>260</v>
      </c>
      <c r="G6" s="24">
        <f>IFERROR(D6/E6,0)</f>
        <v/>
      </c>
      <c r="H6" s="32">
        <f>E6-D6</f>
        <v/>
      </c>
      <c r="I6" s="37">
        <f>E6*F6</f>
        <v/>
      </c>
    </row>
    <row r="7">
      <c r="B7" s="20" t="inlineStr">
        <is>
          <t>Premium Cocktail</t>
        </is>
      </c>
      <c r="C7" s="22" t="inlineStr">
        <is>
          <t>Cocktail</t>
        </is>
      </c>
      <c r="D7" s="35" t="n">
        <v>2.8</v>
      </c>
      <c r="E7" s="35" t="n">
        <v>14</v>
      </c>
      <c r="F7" s="36" t="n">
        <v>180</v>
      </c>
      <c r="G7" s="21">
        <f>IFERROR(D7/E7,0)</f>
        <v/>
      </c>
      <c r="H7" s="29">
        <f>E7-D7</f>
        <v/>
      </c>
      <c r="I7" s="37">
        <f>E7*F7</f>
        <v/>
      </c>
    </row>
    <row r="8">
      <c r="B8" s="23" t="inlineStr">
        <is>
          <t>House Wine (glass)</t>
        </is>
      </c>
      <c r="C8" s="25" t="inlineStr">
        <is>
          <t>Wine</t>
        </is>
      </c>
      <c r="D8" s="38" t="n">
        <v>1.6</v>
      </c>
      <c r="E8" s="38" t="n">
        <v>10</v>
      </c>
      <c r="F8" s="39" t="n">
        <v>150</v>
      </c>
      <c r="G8" s="24">
        <f>IFERROR(D8/E8,0)</f>
        <v/>
      </c>
      <c r="H8" s="32">
        <f>E8-D8</f>
        <v/>
      </c>
      <c r="I8" s="37">
        <f>E8*F8</f>
        <v/>
      </c>
    </row>
    <row r="9">
      <c r="B9" s="20" t="inlineStr">
        <is>
          <t>Craft Draft</t>
        </is>
      </c>
      <c r="C9" s="22" t="inlineStr">
        <is>
          <t>Draft</t>
        </is>
      </c>
      <c r="D9" s="35" t="n">
        <v>1.3</v>
      </c>
      <c r="E9" s="35" t="n">
        <v>8</v>
      </c>
      <c r="F9" s="36" t="n">
        <v>300</v>
      </c>
      <c r="G9" s="21">
        <f>IFERROR(D9/E9,0)</f>
        <v/>
      </c>
      <c r="H9" s="29">
        <f>E9-D9</f>
        <v/>
      </c>
      <c r="I9" s="37">
        <f>E9*F9</f>
        <v/>
      </c>
    </row>
    <row r="10">
      <c r="B10" s="23" t="inlineStr">
        <is>
          <t>Well Shot</t>
        </is>
      </c>
      <c r="C10" s="25" t="inlineStr">
        <is>
          <t>Shot</t>
        </is>
      </c>
      <c r="D10" s="38" t="n">
        <v>0.7</v>
      </c>
      <c r="E10" s="38" t="n">
        <v>5</v>
      </c>
      <c r="F10" s="39" t="n">
        <v>200</v>
      </c>
      <c r="G10" s="24">
        <f>IFERROR(D10/E10,0)</f>
        <v/>
      </c>
      <c r="H10" s="32">
        <f>E10-D10</f>
        <v/>
      </c>
      <c r="I10" s="37">
        <f>E10*F10</f>
        <v/>
      </c>
    </row>
    <row r="11">
      <c r="B11" s="20" t="inlineStr">
        <is>
          <t>Old Fashioned</t>
        </is>
      </c>
      <c r="C11" s="22" t="inlineStr">
        <is>
          <t>Cocktail</t>
        </is>
      </c>
      <c r="D11" s="35">
        <f>OldFashionedCost</f>
        <v/>
      </c>
      <c r="E11" s="35" t="n">
        <v>13</v>
      </c>
      <c r="F11" s="36" t="n">
        <v>140</v>
      </c>
      <c r="G11" s="21">
        <f>IFERROR(D11/E11,0)</f>
        <v/>
      </c>
      <c r="H11" s="29">
        <f>E11-D11</f>
        <v/>
      </c>
      <c r="I11" s="37">
        <f>E11*F11</f>
        <v/>
      </c>
    </row>
    <row r="12">
      <c r="B12" s="23" t="inlineStr">
        <is>
          <t>Margarita</t>
        </is>
      </c>
      <c r="C12" s="25" t="inlineStr">
        <is>
          <t>Cocktail</t>
        </is>
      </c>
      <c r="D12" s="38" t="n">
        <v>1.9</v>
      </c>
      <c r="E12" s="38" t="n">
        <v>11</v>
      </c>
      <c r="F12" s="39" t="n">
        <v>220</v>
      </c>
      <c r="G12" s="24">
        <f>IFERROR(D12/E12,0)</f>
        <v/>
      </c>
      <c r="H12" s="32">
        <f>E12-D12</f>
        <v/>
      </c>
      <c r="I12" s="37">
        <f>E12*F12</f>
        <v/>
      </c>
    </row>
    <row r="14">
      <c r="B14" s="40" t="inlineStr">
        <is>
          <t>Weekly drink sales</t>
        </is>
      </c>
      <c r="E14" s="41">
        <f>SUM(DrinkRev)</f>
        <v/>
      </c>
    </row>
    <row r="15">
      <c r="B15" s="40" t="inlineStr">
        <is>
          <t>Overall pour-cost %</t>
        </is>
      </c>
      <c r="E15" s="42">
        <f>IFERROR(SUMPRODUCT(DrinkCost,DrinkUnits)/SUMPRODUCT(DrinkPrice,DrinkUnits),0)</f>
        <v/>
      </c>
    </row>
  </sheetData>
  <mergeCells count="2">
    <mergeCell ref="A2:H2"/>
    <mergeCell ref="A1:H1"/>
  </mergeCells>
  <conditionalFormatting sqref="G5:G12">
    <cfRule type="colorScale" priority="1">
      <colorScale>
        <cfvo type="num" val="0.1"/>
        <cfvo type="num" val="0.22"/>
        <cfvo type="num" val="0.35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🛢  KEG &amp; DRAFT</t>
        </is>
      </c>
    </row>
    <row r="2" ht="22" customHeight="1">
      <c r="A2" s="2" t="inlineStr">
        <is>
          <t xml:space="preserve">  Keg cost ÷ pints = cost per pint. Price it right and one keg is hundreds in profit.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Keg</t>
        </is>
      </c>
      <c r="C4" s="9" t="inlineStr">
        <is>
          <t>Keg Cost</t>
        </is>
      </c>
      <c r="D4" s="9" t="inlineStr">
        <is>
          <t>Pints</t>
        </is>
      </c>
      <c r="E4" s="9" t="inlineStr">
        <is>
          <t>Cost/Pint</t>
        </is>
      </c>
      <c r="F4" s="9" t="inlineStr">
        <is>
          <t>Price/Pint</t>
        </is>
      </c>
      <c r="G4" s="9" t="inlineStr">
        <is>
          <t>Profit/Keg</t>
        </is>
      </c>
    </row>
    <row r="5">
      <c r="B5" s="20" t="inlineStr">
        <is>
          <t>House Lager (1/2 bbl)</t>
        </is>
      </c>
      <c r="C5" s="43" t="n">
        <v>160</v>
      </c>
      <c r="D5" s="36" t="n">
        <v>124</v>
      </c>
      <c r="E5" s="29">
        <f>IFERROR(C5/D5,0)</f>
        <v/>
      </c>
      <c r="F5" s="35" t="n">
        <v>7</v>
      </c>
      <c r="G5" s="44">
        <f>(F5-E5)*D5</f>
        <v/>
      </c>
    </row>
    <row r="6">
      <c r="B6" s="23" t="inlineStr">
        <is>
          <t>Craft IPA (1/2 bbl)</t>
        </is>
      </c>
      <c r="C6" s="45" t="n">
        <v>220</v>
      </c>
      <c r="D6" s="39" t="n">
        <v>124</v>
      </c>
      <c r="E6" s="32">
        <f>IFERROR(C6/D6,0)</f>
        <v/>
      </c>
      <c r="F6" s="38" t="n">
        <v>8</v>
      </c>
      <c r="G6" s="46">
        <f>(F6-E6)*D6</f>
        <v/>
      </c>
    </row>
    <row r="7">
      <c r="B7" s="20" t="inlineStr">
        <is>
          <t>Seasonal (1/6 bbl)</t>
        </is>
      </c>
      <c r="C7" s="43" t="n">
        <v>95</v>
      </c>
      <c r="D7" s="36" t="n">
        <v>41</v>
      </c>
      <c r="E7" s="29">
        <f>IFERROR(C7/D7,0)</f>
        <v/>
      </c>
      <c r="F7" s="35" t="n">
        <v>8</v>
      </c>
      <c r="G7" s="44">
        <f>(F7-E7)*D7</f>
        <v/>
      </c>
    </row>
    <row r="8">
      <c r="B8" s="23" t="inlineStr">
        <is>
          <t>Cider (1/2 bbl)</t>
        </is>
      </c>
      <c r="C8" s="45" t="n">
        <v>180</v>
      </c>
      <c r="D8" s="39" t="n">
        <v>124</v>
      </c>
      <c r="E8" s="32">
        <f>IFERROR(C8/D8,0)</f>
        <v/>
      </c>
      <c r="F8" s="38" t="n">
        <v>8</v>
      </c>
      <c r="G8" s="46">
        <f>(F8-E8)*D8</f>
        <v/>
      </c>
    </row>
    <row r="10">
      <c r="B10" s="40" t="inlineStr">
        <is>
          <t>Avg profit / keg</t>
        </is>
      </c>
      <c r="G10" s="41">
        <f>AVERAGE(KegProfit)</f>
        <v/>
      </c>
    </row>
  </sheetData>
  <mergeCells count="2">
    <mergeCell ref="A2:G2"/>
    <mergeCell ref="A1:G1"/>
  </mergeCells>
  <conditionalFormatting sqref="G5:G8">
    <cfRule type="dataBar" priority="1">
      <dataBar showValue="1">
        <cfvo type="num" val="0"/>
        <cfvo type="max"/>
        <color rgb="001B4F48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🔍  INVENTORY VARIANCE</t>
        </is>
      </c>
    </row>
    <row r="2" ht="22" customHeight="1">
      <c r="A2" s="2" t="inlineStr">
        <is>
          <t xml:space="preserve">  Theoretical usage vs actual — the gap is shrinkage: over-pours, comps &amp; walk-outs.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Category</t>
        </is>
      </c>
      <c r="C4" s="9" t="inlineStr">
        <is>
          <t>Theoretical</t>
        </is>
      </c>
      <c r="D4" s="9" t="inlineStr">
        <is>
          <t>Actual</t>
        </is>
      </c>
      <c r="E4" s="9" t="inlineStr">
        <is>
          <t>Variance %</t>
        </is>
      </c>
    </row>
    <row r="5">
      <c r="B5" s="20" t="inlineStr">
        <is>
          <t>Beer / draft</t>
        </is>
      </c>
      <c r="C5" s="43" t="n">
        <v>2400</v>
      </c>
      <c r="D5" s="43" t="n">
        <v>2520</v>
      </c>
      <c r="E5" s="47">
        <f>IFERROR((D5-C5)/C5,0)</f>
        <v/>
      </c>
    </row>
    <row r="6">
      <c r="B6" s="23" t="inlineStr">
        <is>
          <t>Liquor / spirits</t>
        </is>
      </c>
      <c r="C6" s="45" t="n">
        <v>1800</v>
      </c>
      <c r="D6" s="45" t="n">
        <v>1940</v>
      </c>
      <c r="E6" s="48">
        <f>IFERROR((D6-C6)/C6,0)</f>
        <v/>
      </c>
    </row>
    <row r="7">
      <c r="B7" s="20" t="inlineStr">
        <is>
          <t>Wine</t>
        </is>
      </c>
      <c r="C7" s="43" t="n">
        <v>900</v>
      </c>
      <c r="D7" s="43" t="n">
        <v>950</v>
      </c>
      <c r="E7" s="47">
        <f>IFERROR((D7-C7)/C7,0)</f>
        <v/>
      </c>
    </row>
    <row r="8">
      <c r="B8" s="9" t="inlineStr">
        <is>
          <t>TOTAL</t>
        </is>
      </c>
      <c r="C8" s="49">
        <f>SUM(C5:C7)</f>
        <v/>
      </c>
      <c r="D8" s="49">
        <f>SUM(D5:D7)</f>
        <v/>
      </c>
      <c r="E8" s="50">
        <f>IFERROR((D8-C8)/C8,0)</f>
        <v/>
      </c>
    </row>
    <row r="10">
      <c r="B10" s="7" t="inlineStr">
        <is>
          <t>Every point of variance over 2-3% is profit walking out the door.</t>
        </is>
      </c>
    </row>
  </sheetData>
  <mergeCells count="2">
    <mergeCell ref="A2:E2"/>
    <mergeCell ref="A1:E1"/>
  </mergeCells>
  <conditionalFormatting sqref="E5:E7">
    <cfRule type="cellIs" priority="1" operator="greaterThan" dxfId="0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LIQUOR INVENTORY &amp; PAR</t>
        </is>
      </c>
    </row>
    <row r="2" ht="22" customHeight="1">
      <c r="A2" s="2" t="inlineStr">
        <is>
          <t xml:space="preserve">  Par vs on hand — order before you run dry on a Friday night.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Par</t>
        </is>
      </c>
      <c r="D4" s="9" t="inlineStr">
        <is>
          <t>On Hand</t>
        </is>
      </c>
      <c r="E4" s="9" t="inlineStr">
        <is>
          <t>Unit</t>
        </is>
      </c>
      <c r="F4" s="9" t="inlineStr">
        <is>
          <t>To Order</t>
        </is>
      </c>
    </row>
    <row r="5">
      <c r="B5" s="20" t="inlineStr">
        <is>
          <t>Well vodka</t>
        </is>
      </c>
      <c r="C5" s="36" t="n">
        <v>12</v>
      </c>
      <c r="D5" s="36" t="n">
        <v>5</v>
      </c>
      <c r="E5" s="22" t="inlineStr">
        <is>
          <t>bottle</t>
        </is>
      </c>
      <c r="F5" s="51">
        <f>MAX(C5-D5,0)</f>
        <v/>
      </c>
    </row>
    <row r="6">
      <c r="B6" s="23" t="inlineStr">
        <is>
          <t>Bourbon</t>
        </is>
      </c>
      <c r="C6" s="39" t="n">
        <v>10</v>
      </c>
      <c r="D6" s="39" t="n">
        <v>4</v>
      </c>
      <c r="E6" s="25" t="inlineStr">
        <is>
          <t>bottle</t>
        </is>
      </c>
      <c r="F6" s="52">
        <f>MAX(C6-D6,0)</f>
        <v/>
      </c>
    </row>
    <row r="7">
      <c r="B7" s="20" t="inlineStr">
        <is>
          <t>Tequila</t>
        </is>
      </c>
      <c r="C7" s="36" t="n">
        <v>8</v>
      </c>
      <c r="D7" s="36" t="n">
        <v>3</v>
      </c>
      <c r="E7" s="22" t="inlineStr">
        <is>
          <t>bottle</t>
        </is>
      </c>
      <c r="F7" s="51">
        <f>MAX(C7-D7,0)</f>
        <v/>
      </c>
    </row>
    <row r="8">
      <c r="B8" s="23" t="inlineStr">
        <is>
          <t>House lager keg</t>
        </is>
      </c>
      <c r="C8" s="39" t="n">
        <v>4</v>
      </c>
      <c r="D8" s="39" t="n">
        <v>2</v>
      </c>
      <c r="E8" s="25" t="inlineStr">
        <is>
          <t>keg</t>
        </is>
      </c>
      <c r="F8" s="52">
        <f>MAX(C8-D8,0)</f>
        <v/>
      </c>
    </row>
    <row r="9">
      <c r="B9" s="20" t="inlineStr">
        <is>
          <t>Craft IPA keg</t>
        </is>
      </c>
      <c r="C9" s="36" t="n">
        <v>3</v>
      </c>
      <c r="D9" s="36" t="n">
        <v>1</v>
      </c>
      <c r="E9" s="22" t="inlineStr">
        <is>
          <t>keg</t>
        </is>
      </c>
      <c r="F9" s="51">
        <f>MAX(C9-D9,0)</f>
        <v/>
      </c>
    </row>
    <row r="10">
      <c r="B10" s="23" t="inlineStr">
        <is>
          <t>House red wine</t>
        </is>
      </c>
      <c r="C10" s="39" t="n">
        <v>24</v>
      </c>
      <c r="D10" s="39" t="n">
        <v>10</v>
      </c>
      <c r="E10" s="25" t="inlineStr">
        <is>
          <t>bottle</t>
        </is>
      </c>
      <c r="F10" s="52">
        <f>MAX(C10-D10,0)</f>
        <v/>
      </c>
    </row>
    <row r="11">
      <c r="B11" s="20" t="inlineStr">
        <is>
          <t>Triple sec</t>
        </is>
      </c>
      <c r="C11" s="36" t="n">
        <v>6</v>
      </c>
      <c r="D11" s="36" t="n">
        <v>3</v>
      </c>
      <c r="E11" s="22" t="inlineStr">
        <is>
          <t>bottle</t>
        </is>
      </c>
      <c r="F11" s="51">
        <f>MAX(C11-D11,0)</f>
        <v/>
      </c>
    </row>
    <row r="12">
      <c r="B12" s="23" t="inlineStr">
        <is>
          <t>Garnishes</t>
        </is>
      </c>
      <c r="C12" s="39" t="n">
        <v>20</v>
      </c>
      <c r="D12" s="39" t="n">
        <v>8</v>
      </c>
      <c r="E12" s="25" t="inlineStr">
        <is>
          <t>each</t>
        </is>
      </c>
      <c r="F12" s="52">
        <f>MAX(C12-D12,0)</f>
        <v/>
      </c>
    </row>
  </sheetData>
  <mergeCells count="2">
    <mergeCell ref="A2:F2"/>
    <mergeCell ref="A1:F1"/>
  </mergeCells>
  <conditionalFormatting sqref="D5:D12">
    <cfRule type="cellIs" priority="1" operator="lessThan" dxfId="0">
      <formula>C5*0.5</formula>
    </cfRule>
  </conditionalFormatting>
  <dataValidations count="5"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🕔  HAPPY HOUR</t>
        </is>
      </c>
    </row>
    <row r="2" ht="22" customHeight="1">
      <c r="A2" s="2" t="inlineStr">
        <is>
          <t xml:space="preserve">  Discount that still profits — check the margin before you cut the price.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Drink</t>
        </is>
      </c>
      <c r="C4" s="9" t="inlineStr">
        <is>
          <t>Regular</t>
        </is>
      </c>
      <c r="D4" s="9" t="inlineStr">
        <is>
          <t>HH Price</t>
        </is>
      </c>
      <c r="E4" s="9" t="inlineStr">
        <is>
          <t>Pour Cost</t>
        </is>
      </c>
      <c r="F4" s="9" t="inlineStr">
        <is>
          <t>HH Margin</t>
        </is>
      </c>
    </row>
    <row r="5">
      <c r="B5" s="20" t="inlineStr">
        <is>
          <t>Draft Beer</t>
        </is>
      </c>
      <c r="C5" s="35" t="n">
        <v>7</v>
      </c>
      <c r="D5" s="35" t="n">
        <v>5</v>
      </c>
      <c r="E5" s="35" t="n">
        <v>0.95</v>
      </c>
      <c r="F5" s="53">
        <f>IFERROR((D5-E5)/D5,0)</f>
        <v/>
      </c>
    </row>
    <row r="6">
      <c r="B6" s="23" t="inlineStr">
        <is>
          <t>Well Cocktail</t>
        </is>
      </c>
      <c r="C6" s="38" t="n">
        <v>9</v>
      </c>
      <c r="D6" s="38" t="n">
        <v>6</v>
      </c>
      <c r="E6" s="38" t="n">
        <v>1.4</v>
      </c>
      <c r="F6" s="54">
        <f>IFERROR((D6-E6)/D6,0)</f>
        <v/>
      </c>
    </row>
    <row r="7">
      <c r="B7" s="20" t="inlineStr">
        <is>
          <t>House Wine</t>
        </is>
      </c>
      <c r="C7" s="35" t="n">
        <v>10</v>
      </c>
      <c r="D7" s="35" t="n">
        <v>7</v>
      </c>
      <c r="E7" s="35" t="n">
        <v>1.6</v>
      </c>
      <c r="F7" s="53">
        <f>IFERROR((D7-E7)/D7,0)</f>
        <v/>
      </c>
    </row>
    <row r="8">
      <c r="B8" s="23" t="inlineStr">
        <is>
          <t>Well Shot</t>
        </is>
      </c>
      <c r="C8" s="38" t="n">
        <v>5</v>
      </c>
      <c r="D8" s="38" t="n">
        <v>3.5</v>
      </c>
      <c r="E8" s="38" t="n">
        <v>0.7</v>
      </c>
      <c r="F8" s="54">
        <f>IFERROR((D8-E8)/D8,0)</f>
        <v/>
      </c>
    </row>
    <row r="10">
      <c r="B10" s="40" t="inlineStr">
        <is>
          <t>Avg happy-hour margin</t>
        </is>
      </c>
      <c r="F10" s="42">
        <f>AVERAGE(HHMargin)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WEEKLY SALES</t>
        </is>
      </c>
    </row>
    <row r="2" ht="22" customHeight="1">
      <c r="A2" s="2" t="inlineStr">
        <is>
          <t xml:space="preserve">  Sales &amp; covers by day — see the weekend carry the week.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Sales</t>
        </is>
      </c>
      <c r="D4" s="9" t="inlineStr">
        <is>
          <t>Covers</t>
        </is>
      </c>
      <c r="E4" s="9" t="inlineStr">
        <is>
          <t>Avg Check</t>
        </is>
      </c>
    </row>
    <row r="5">
      <c r="B5" s="20" t="inlineStr">
        <is>
          <t>Monday</t>
        </is>
      </c>
      <c r="C5" s="43" t="n">
        <v>1450</v>
      </c>
      <c r="D5" s="36" t="n">
        <v>95</v>
      </c>
      <c r="E5" s="29">
        <f>IFERROR(C5/D5,0)</f>
        <v/>
      </c>
    </row>
    <row r="6">
      <c r="B6" s="23" t="inlineStr">
        <is>
          <t>Tuesday</t>
        </is>
      </c>
      <c r="C6" s="45" t="n">
        <v>1680</v>
      </c>
      <c r="D6" s="39" t="n">
        <v>110</v>
      </c>
      <c r="E6" s="32">
        <f>IFERROR(C6/D6,0)</f>
        <v/>
      </c>
    </row>
    <row r="7">
      <c r="B7" s="20" t="inlineStr">
        <is>
          <t>Wednesday</t>
        </is>
      </c>
      <c r="C7" s="43" t="n">
        <v>2100</v>
      </c>
      <c r="D7" s="36" t="n">
        <v>140</v>
      </c>
      <c r="E7" s="29">
        <f>IFERROR(C7/D7,0)</f>
        <v/>
      </c>
    </row>
    <row r="8">
      <c r="B8" s="23" t="inlineStr">
        <is>
          <t>Thursday</t>
        </is>
      </c>
      <c r="C8" s="45" t="n">
        <v>2680</v>
      </c>
      <c r="D8" s="39" t="n">
        <v>178</v>
      </c>
      <c r="E8" s="32">
        <f>IFERROR(C8/D8,0)</f>
        <v/>
      </c>
    </row>
    <row r="9">
      <c r="B9" s="20" t="inlineStr">
        <is>
          <t>Friday</t>
        </is>
      </c>
      <c r="C9" s="43" t="n">
        <v>3850</v>
      </c>
      <c r="D9" s="36" t="n">
        <v>255</v>
      </c>
      <c r="E9" s="29">
        <f>IFERROR(C9/D9,0)</f>
        <v/>
      </c>
    </row>
    <row r="10">
      <c r="B10" s="23" t="inlineStr">
        <is>
          <t>Saturday</t>
        </is>
      </c>
      <c r="C10" s="45" t="n">
        <v>4180</v>
      </c>
      <c r="D10" s="39" t="n">
        <v>278</v>
      </c>
      <c r="E10" s="32">
        <f>IFERROR(C10/D10,0)</f>
        <v/>
      </c>
    </row>
    <row r="11">
      <c r="B11" s="20" t="inlineStr">
        <is>
          <t>Sunday</t>
        </is>
      </c>
      <c r="C11" s="43" t="n">
        <v>1000</v>
      </c>
      <c r="D11" s="36" t="n">
        <v>68</v>
      </c>
      <c r="E11" s="29">
        <f>IFERROR(C11/D11,0)</f>
        <v/>
      </c>
    </row>
    <row r="12">
      <c r="B12" s="9" t="inlineStr">
        <is>
          <t>WEEK TOTAL</t>
        </is>
      </c>
      <c r="C12" s="49">
        <f>SUM(C5:C11)</f>
        <v/>
      </c>
      <c r="D12" s="55">
        <f>SUM(D5:D11)</f>
        <v/>
      </c>
      <c r="E12" s="33" t="n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&amp; SPILL LOG</t>
        </is>
      </c>
    </row>
    <row r="2" ht="22" customHeight="1">
      <c r="A2" s="2" t="inlineStr">
        <is>
          <t xml:space="preserve">  Over-pours, comps &amp; breakage — the quiet leaks that show up as variance.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56" t="inlineStr">
        <is>
          <t>Over-pours</t>
        </is>
      </c>
      <c r="C5" s="56" t="inlineStr">
        <is>
          <t>Free-pour drift</t>
        </is>
      </c>
      <c r="D5" s="57" t="n">
        <v>145</v>
      </c>
    </row>
    <row r="6">
      <c r="B6" s="23" t="inlineStr">
        <is>
          <t>Spilled / comped</t>
        </is>
      </c>
      <c r="C6" s="23" t="inlineStr">
        <is>
          <t>Service</t>
        </is>
      </c>
      <c r="D6" s="32" t="n">
        <v>90</v>
      </c>
    </row>
    <row r="7">
      <c r="B7" s="56" t="inlineStr">
        <is>
          <t>Broken bottles</t>
        </is>
      </c>
      <c r="C7" s="56" t="inlineStr">
        <is>
          <t>Handling</t>
        </is>
      </c>
      <c r="D7" s="57" t="n">
        <v>62</v>
      </c>
    </row>
    <row r="8">
      <c r="B8" s="23" t="inlineStr">
        <is>
          <t>Flat draft (line)</t>
        </is>
      </c>
      <c r="C8" s="23" t="inlineStr">
        <is>
          <t>Cleaning loss</t>
        </is>
      </c>
      <c r="D8" s="32" t="n">
        <v>48</v>
      </c>
    </row>
    <row r="9">
      <c r="B9" s="56" t="n"/>
      <c r="C9" s="56" t="n"/>
      <c r="D9" s="57" t="n"/>
    </row>
    <row r="10">
      <c r="B10" s="23" t="n"/>
      <c r="C10" s="23" t="n"/>
      <c r="D10" s="32" t="n"/>
    </row>
    <row r="11">
      <c r="B11" s="56" t="n"/>
      <c r="C11" s="56" t="n"/>
      <c r="D11" s="57" t="n"/>
    </row>
    <row r="12">
      <c r="B12" s="23" t="n"/>
      <c r="C12" s="23" t="n"/>
      <c r="D12" s="32" t="n"/>
    </row>
    <row r="13">
      <c r="B13" s="56" t="n"/>
      <c r="C13" s="56" t="n"/>
      <c r="D13" s="57" t="n"/>
    </row>
    <row r="14">
      <c r="B14" s="23" t="n"/>
      <c r="C14" s="23" t="n"/>
      <c r="D14" s="32" t="n"/>
    </row>
    <row r="15">
      <c r="B15" s="56" t="n"/>
      <c r="C15" s="56" t="n"/>
      <c r="D15" s="57" t="n"/>
    </row>
    <row r="16">
      <c r="B16" s="23" t="n"/>
      <c r="C16" s="23" t="n"/>
      <c r="D16" s="32" t="n"/>
    </row>
    <row r="17">
      <c r="B17" s="56" t="n"/>
      <c r="C17" s="56" t="n"/>
      <c r="D17" s="57" t="n"/>
    </row>
    <row r="18">
      <c r="B18" s="23" t="n"/>
      <c r="C18" s="23" t="n"/>
      <c r="D18" s="32" t="n"/>
    </row>
    <row r="19">
      <c r="B19" s="56" t="n"/>
      <c r="C19" s="56" t="n"/>
      <c r="D19" s="57" t="n"/>
    </row>
    <row r="20">
      <c r="B20" s="23" t="n"/>
      <c r="C20" s="23" t="n"/>
      <c r="D20" s="32" t="n"/>
    </row>
    <row r="21">
      <c r="B21" s="56" t="n"/>
      <c r="C21" s="56" t="n"/>
      <c r="D21" s="57" t="n"/>
    </row>
    <row r="22">
      <c r="B22" s="23" t="n"/>
      <c r="C22" s="23" t="n"/>
      <c r="D22" s="32" t="n"/>
    </row>
    <row r="23">
      <c r="B23" s="56" t="n"/>
      <c r="C23" s="56" t="n"/>
      <c r="D23" s="57" t="n"/>
    </row>
    <row r="24">
      <c r="B24" s="23" t="n"/>
      <c r="C24" s="23" t="n"/>
      <c r="D24" s="32" t="n"/>
    </row>
    <row r="25">
      <c r="B25" s="56" t="n"/>
      <c r="C25" s="56" t="n"/>
      <c r="D25" s="57" t="n"/>
    </row>
    <row r="26">
      <c r="B26" s="23" t="n"/>
      <c r="C26" s="23" t="n"/>
      <c r="D26" s="32" t="n"/>
    </row>
    <row r="27">
      <c r="B27" s="56" t="n"/>
      <c r="C27" s="56" t="n"/>
      <c r="D27" s="57" t="n"/>
    </row>
    <row r="28">
      <c r="B28" s="23" t="n"/>
      <c r="C28" s="23" t="n"/>
      <c r="D28" s="32" t="n"/>
    </row>
    <row r="29">
      <c r="B29" s="9" t="inlineStr">
        <is>
          <t>WEEKLY WASTE</t>
        </is>
      </c>
      <c r="C29" s="33" t="n"/>
      <c r="D29" s="58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🚚  ORDERING &amp; SUPPLIERS</t>
        </is>
      </c>
    </row>
    <row r="2" ht="22" customHeight="1">
      <c r="A2" s="2" t="inlineStr">
        <is>
          <t xml:space="preserve">  Your standing order — par quantities &amp; cost, by distributor.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Item</t>
        </is>
      </c>
      <c r="C4" s="9" t="inlineStr">
        <is>
          <t>Supplier</t>
        </is>
      </c>
      <c r="D4" s="9" t="inlineStr">
        <is>
          <t>Par Order</t>
        </is>
      </c>
      <c r="E4" s="9" t="inlineStr">
        <is>
          <t>Cost</t>
        </is>
      </c>
    </row>
    <row r="5">
      <c r="B5" s="56" t="inlineStr">
        <is>
          <t>House lager (kegs)</t>
        </is>
      </c>
      <c r="C5" s="56" t="inlineStr">
        <is>
          <t>Distributor A</t>
        </is>
      </c>
      <c r="D5" s="59" t="n">
        <v>4</v>
      </c>
      <c r="E5" s="57" t="n">
        <v>640</v>
      </c>
    </row>
    <row r="6">
      <c r="B6" s="23" t="inlineStr">
        <is>
          <t>Well spirits (case)</t>
        </is>
      </c>
      <c r="C6" s="23" t="inlineStr">
        <is>
          <t>Distributor B</t>
        </is>
      </c>
      <c r="D6" s="60" t="n">
        <v>1</v>
      </c>
      <c r="E6" s="32" t="n">
        <v>210</v>
      </c>
    </row>
    <row r="7">
      <c r="B7" s="56" t="inlineStr">
        <is>
          <t>House wine (case)</t>
        </is>
      </c>
      <c r="C7" s="56" t="inlineStr">
        <is>
          <t>Wine Co.</t>
        </is>
      </c>
      <c r="D7" s="59" t="n">
        <v>2</v>
      </c>
      <c r="E7" s="57" t="n">
        <v>168</v>
      </c>
    </row>
    <row r="8">
      <c r="B8" s="23" t="inlineStr">
        <is>
          <t>Bitters &amp; mixers</t>
        </is>
      </c>
      <c r="C8" s="23" t="inlineStr">
        <is>
          <t>BarSupply</t>
        </is>
      </c>
      <c r="D8" s="60" t="n">
        <v>1</v>
      </c>
      <c r="E8" s="32" t="n">
        <v>96</v>
      </c>
    </row>
    <row r="9">
      <c r="B9" s="56" t="inlineStr">
        <is>
          <t>Garnishes &amp; ice</t>
        </is>
      </c>
      <c r="C9" s="56" t="inlineStr">
        <is>
          <t>Local</t>
        </is>
      </c>
      <c r="D9" s="59" t="n">
        <v>1</v>
      </c>
      <c r="E9" s="57" t="n">
        <v>84</v>
      </c>
    </row>
    <row r="10">
      <c r="B10" s="23" t="n"/>
      <c r="C10" s="23" t="n"/>
      <c r="D10" s="60" t="n"/>
      <c r="E10" s="32" t="n"/>
    </row>
    <row r="11">
      <c r="B11" s="56" t="n"/>
      <c r="C11" s="56" t="n"/>
      <c r="D11" s="59" t="n"/>
      <c r="E11" s="57" t="n"/>
    </row>
    <row r="12">
      <c r="B12" s="23" t="n"/>
      <c r="C12" s="23" t="n"/>
      <c r="D12" s="60" t="n"/>
      <c r="E12" s="32" t="n"/>
    </row>
    <row r="13">
      <c r="B13" s="56" t="n"/>
      <c r="C13" s="56" t="n"/>
      <c r="D13" s="59" t="n"/>
      <c r="E13" s="57" t="n"/>
    </row>
    <row r="14">
      <c r="B14" s="23" t="n"/>
      <c r="C14" s="23" t="n"/>
      <c r="D14" s="60" t="n"/>
      <c r="E14" s="32" t="n"/>
    </row>
    <row r="15">
      <c r="B15" s="56" t="n"/>
      <c r="C15" s="56" t="n"/>
      <c r="D15" s="59" t="n"/>
      <c r="E15" s="57" t="n"/>
    </row>
    <row r="16">
      <c r="B16" s="23" t="n"/>
      <c r="C16" s="23" t="n"/>
      <c r="D16" s="60" t="n"/>
      <c r="E16" s="32" t="n"/>
    </row>
    <row r="17">
      <c r="B17" s="56" t="n"/>
      <c r="C17" s="56" t="n"/>
      <c r="D17" s="59" t="n"/>
      <c r="E17" s="57" t="n"/>
    </row>
    <row r="18">
      <c r="B18" s="23" t="n"/>
      <c r="C18" s="23" t="n"/>
      <c r="D18" s="60" t="n"/>
      <c r="E18" s="32" t="n"/>
    </row>
    <row r="19">
      <c r="B19" s="56" t="n"/>
      <c r="C19" s="56" t="n"/>
      <c r="D19" s="59" t="n"/>
      <c r="E19" s="57" t="n"/>
    </row>
    <row r="20">
      <c r="B20" s="23" t="n"/>
      <c r="C20" s="23" t="n"/>
      <c r="D20" s="60" t="n"/>
      <c r="E20" s="32" t="n"/>
    </row>
    <row r="21">
      <c r="B21" s="56" t="n"/>
      <c r="C21" s="56" t="n"/>
      <c r="D21" s="59" t="n"/>
      <c r="E21" s="57" t="n"/>
    </row>
    <row r="22">
      <c r="B22" s="23" t="n"/>
      <c r="C22" s="23" t="n"/>
      <c r="D22" s="60" t="n"/>
      <c r="E22" s="32" t="n"/>
    </row>
    <row r="23">
      <c r="B23" s="56" t="n"/>
      <c r="C23" s="56" t="n"/>
      <c r="D23" s="59" t="n"/>
      <c r="E23" s="57" t="n"/>
    </row>
    <row r="24">
      <c r="B24" s="23" t="n"/>
      <c r="C24" s="23" t="n"/>
      <c r="D24" s="60" t="n"/>
      <c r="E24" s="32" t="n"/>
    </row>
    <row r="25">
      <c r="B25" s="56" t="n"/>
      <c r="C25" s="56" t="n"/>
      <c r="D25" s="59" t="n"/>
      <c r="E25" s="57" t="n"/>
    </row>
    <row r="26">
      <c r="B26" s="23" t="n"/>
      <c r="C26" s="23" t="n"/>
      <c r="D26" s="60" t="n"/>
      <c r="E26" s="32" t="n"/>
    </row>
    <row r="27">
      <c r="B27" s="56" t="n"/>
      <c r="C27" s="56" t="n"/>
      <c r="D27" s="59" t="n"/>
      <c r="E27" s="57" t="n"/>
    </row>
    <row r="28">
      <c r="B28" s="23" t="n"/>
      <c r="C28" s="23" t="n"/>
      <c r="D28" s="60" t="n"/>
      <c r="E28" s="32" t="n"/>
    </row>
    <row r="29">
      <c r="B29" s="9" t="inlineStr">
        <is>
          <t>ORDER TOTAL</t>
        </is>
      </c>
      <c r="C29" s="33" t="n"/>
      <c r="D29" s="33" t="n"/>
      <c r="E29" s="61">
        <f>SUM(OrderCost)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💵  CASH &amp; TIPS</t>
        </is>
      </c>
    </row>
    <row r="2" ht="22" customHeight="1">
      <c r="A2" s="2" t="inlineStr">
        <is>
          <t xml:space="preserve">  Reconcile each night — cash, card &amp; tips, so the drawer always balances.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Day</t>
        </is>
      </c>
      <c r="C4" s="9" t="inlineStr">
        <is>
          <t>Cash</t>
        </is>
      </c>
      <c r="D4" s="9" t="inlineStr">
        <is>
          <t>Card</t>
        </is>
      </c>
      <c r="E4" s="9" t="inlineStr">
        <is>
          <t>Tips</t>
        </is>
      </c>
      <c r="F4" s="9" t="inlineStr">
        <is>
          <t>Total</t>
        </is>
      </c>
    </row>
    <row r="5">
      <c r="B5" s="20" t="inlineStr">
        <is>
          <t>Monday</t>
        </is>
      </c>
      <c r="C5" s="43" t="n">
        <v>320</v>
      </c>
      <c r="D5" s="43" t="n">
        <v>1130</v>
      </c>
      <c r="E5" s="43" t="n">
        <v>210</v>
      </c>
      <c r="F5" s="44">
        <f>C5+D5+E5</f>
        <v/>
      </c>
    </row>
    <row r="6">
      <c r="B6" s="23" t="inlineStr">
        <is>
          <t>Tuesday</t>
        </is>
      </c>
      <c r="C6" s="45" t="n">
        <v>360</v>
      </c>
      <c r="D6" s="45" t="n">
        <v>1320</v>
      </c>
      <c r="E6" s="45" t="n">
        <v>245</v>
      </c>
      <c r="F6" s="46">
        <f>C6+D6+E6</f>
        <v/>
      </c>
    </row>
    <row r="7">
      <c r="B7" s="20" t="inlineStr">
        <is>
          <t>Wednesday</t>
        </is>
      </c>
      <c r="C7" s="43" t="n">
        <v>440</v>
      </c>
      <c r="D7" s="43" t="n">
        <v>1660</v>
      </c>
      <c r="E7" s="43" t="n">
        <v>310</v>
      </c>
      <c r="F7" s="44">
        <f>C7+D7+E7</f>
        <v/>
      </c>
    </row>
    <row r="8">
      <c r="B8" s="23" t="inlineStr">
        <is>
          <t>Thursday</t>
        </is>
      </c>
      <c r="C8" s="45" t="n">
        <v>560</v>
      </c>
      <c r="D8" s="45" t="n">
        <v>2120</v>
      </c>
      <c r="E8" s="45" t="n">
        <v>400</v>
      </c>
      <c r="F8" s="46">
        <f>C8+D8+E8</f>
        <v/>
      </c>
    </row>
    <row r="9">
      <c r="B9" s="20" t="inlineStr">
        <is>
          <t>Friday</t>
        </is>
      </c>
      <c r="C9" s="43" t="n">
        <v>820</v>
      </c>
      <c r="D9" s="43" t="n">
        <v>3030</v>
      </c>
      <c r="E9" s="43" t="n">
        <v>580</v>
      </c>
      <c r="F9" s="44">
        <f>C9+D9+E9</f>
        <v/>
      </c>
    </row>
    <row r="10">
      <c r="B10" s="23" t="inlineStr">
        <is>
          <t>Saturday</t>
        </is>
      </c>
      <c r="C10" s="45" t="n">
        <v>900</v>
      </c>
      <c r="D10" s="45" t="n">
        <v>3280</v>
      </c>
      <c r="E10" s="45" t="n">
        <v>630</v>
      </c>
      <c r="F10" s="46">
        <f>C10+D10+E10</f>
        <v/>
      </c>
    </row>
    <row r="11">
      <c r="B11" s="20" t="inlineStr">
        <is>
          <t>Sunday</t>
        </is>
      </c>
      <c r="C11" s="43" t="n">
        <v>220</v>
      </c>
      <c r="D11" s="43" t="n">
        <v>780</v>
      </c>
      <c r="E11" s="43" t="n">
        <v>150</v>
      </c>
      <c r="F11" s="44">
        <f>C11+D11+E11</f>
        <v/>
      </c>
    </row>
    <row r="12">
      <c r="B12" s="9" t="inlineStr">
        <is>
          <t>WEEK TOTAL</t>
        </is>
      </c>
      <c r="C12" s="49">
        <f>SUM(C5:C11)</f>
        <v/>
      </c>
      <c r="D12" s="49">
        <f>SUM(D5:D11)</f>
        <v/>
      </c>
      <c r="E12" s="49">
        <f>SUM(E5:E11)</f>
        <v/>
      </c>
      <c r="F12" s="49">
        <f>SUM(F5:F11)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🎤  EVENTS &amp; TABS</t>
        </is>
      </c>
    </row>
    <row r="2" ht="22" customHeight="1">
      <c r="A2" s="2" t="inlineStr">
        <is>
          <t xml:space="preserve">  Trivia, private parties &amp; big tabs — the bookings that pack slow nights.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Event</t>
        </is>
      </c>
      <c r="C4" s="9" t="inlineStr">
        <is>
          <t>Date</t>
        </is>
      </c>
      <c r="D4" s="9" t="inlineStr">
        <is>
          <t>Deposit</t>
        </is>
      </c>
      <c r="E4" s="9" t="inlineStr">
        <is>
          <t>Min Spend</t>
        </is>
      </c>
      <c r="F4" s="9" t="inlineStr">
        <is>
          <t>Status</t>
        </is>
      </c>
    </row>
    <row r="5">
      <c r="B5" s="20" t="inlineStr">
        <is>
          <t>Trivia Night (weekly)</t>
        </is>
      </c>
      <c r="C5" s="62" t="n">
        <v>46228</v>
      </c>
      <c r="D5" s="43" t="n">
        <v>0</v>
      </c>
      <c r="E5" s="43" t="n">
        <v>0</v>
      </c>
      <c r="F5" s="22" t="inlineStr">
        <is>
          <t>Recurring</t>
        </is>
      </c>
    </row>
    <row r="6">
      <c r="B6" s="23" t="inlineStr">
        <is>
          <t>Birthday — party of 20</t>
        </is>
      </c>
      <c r="C6" s="63" t="n">
        <v>46231</v>
      </c>
      <c r="D6" s="45" t="n">
        <v>100</v>
      </c>
      <c r="E6" s="45" t="n">
        <v>500</v>
      </c>
      <c r="F6" s="25" t="inlineStr">
        <is>
          <t>Confirmed</t>
        </is>
      </c>
    </row>
    <row r="7">
      <c r="B7" s="20" t="inlineStr">
        <is>
          <t>Corporate happy hour</t>
        </is>
      </c>
      <c r="C7" s="62" t="n">
        <v>46236</v>
      </c>
      <c r="D7" s="43" t="n">
        <v>200</v>
      </c>
      <c r="E7" s="43" t="n">
        <v>1200</v>
      </c>
      <c r="F7" s="22" t="inlineStr">
        <is>
          <t>Confirmed</t>
        </is>
      </c>
    </row>
    <row r="8">
      <c r="B8" s="23" t="inlineStr">
        <is>
          <t>Live band Saturday</t>
        </is>
      </c>
      <c r="C8" s="63" t="n">
        <v>46229</v>
      </c>
      <c r="D8" s="45" t="n">
        <v>300</v>
      </c>
      <c r="E8" s="45" t="n">
        <v>0</v>
      </c>
      <c r="F8" s="25" t="inlineStr">
        <is>
          <t>Confirmed</t>
        </is>
      </c>
    </row>
    <row r="9">
      <c r="B9" s="20" t="inlineStr">
        <is>
          <t>Private buyout</t>
        </is>
      </c>
      <c r="C9" s="62" t="n">
        <v>46243</v>
      </c>
      <c r="D9" s="43" t="n">
        <v>500</v>
      </c>
      <c r="E9" s="43" t="n">
        <v>3000</v>
      </c>
      <c r="F9" s="22" t="inlineStr">
        <is>
          <t>Deposit</t>
        </is>
      </c>
    </row>
  </sheetData>
  <mergeCells count="2">
    <mergeCell ref="A2:F2"/>
    <mergeCell ref="A1:F1"/>
  </mergeCells>
  <conditionalFormatting sqref="F5:F9">
    <cfRule type="cellIs" priority="1" operator="equal" dxfId="1">
      <formula>"Confirmed"</formula>
    </cfRule>
    <cfRule type="cellIs" priority="2" operator="equal" dxfId="2">
      <formula>"Deposit"</formula>
    </cfRule>
    <cfRule type="cellIs" priority="3" operator="equal" dxfId="3">
      <formula>"Recurring"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bar,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BAR</t>
        </is>
      </c>
      <c r="E5" s="4" t="inlineStr">
        <is>
          <t>DROPDOWN LISTS</t>
        </is>
      </c>
    </row>
    <row r="6">
      <c r="B6" s="40" t="inlineStr">
        <is>
          <t>Bar name</t>
        </is>
      </c>
      <c r="C6" s="64" t="inlineStr">
        <is>
          <t>The Oak &amp; Iron</t>
        </is>
      </c>
      <c r="E6" s="9" t="inlineStr">
        <is>
          <t>Unit</t>
        </is>
      </c>
      <c r="F6" s="9" t="inlineStr">
        <is>
          <t>Category</t>
        </is>
      </c>
      <c r="G6" s="9" t="inlineStr">
        <is>
          <t>Yes / No</t>
        </is>
      </c>
    </row>
    <row r="7">
      <c r="B7" s="40" t="inlineStr">
        <is>
          <t>Owner</t>
        </is>
      </c>
      <c r="C7" s="64" t="inlineStr">
        <is>
          <t>Reed</t>
        </is>
      </c>
      <c r="E7" s="20" t="inlineStr">
        <is>
          <t>oz</t>
        </is>
      </c>
      <c r="F7" s="20" t="inlineStr">
        <is>
          <t>Beer</t>
        </is>
      </c>
      <c r="G7" s="20" t="inlineStr">
        <is>
          <t>Yes</t>
        </is>
      </c>
    </row>
    <row r="8">
      <c r="B8" s="40" t="inlineStr">
        <is>
          <t>Target pour-cost %</t>
        </is>
      </c>
      <c r="C8" s="65" t="n">
        <v>0.22</v>
      </c>
      <c r="E8" s="20" t="inlineStr">
        <is>
          <t>ml</t>
        </is>
      </c>
      <c r="F8" s="20" t="inlineStr">
        <is>
          <t>Draft</t>
        </is>
      </c>
      <c r="G8" s="20" t="inlineStr">
        <is>
          <t>No</t>
        </is>
      </c>
    </row>
    <row r="9">
      <c r="B9" s="40" t="inlineStr">
        <is>
          <t>Margin goal ($/drink)</t>
        </is>
      </c>
      <c r="C9" s="43" t="n">
        <v>6</v>
      </c>
      <c r="E9" s="20" t="inlineStr">
        <is>
          <t>dash</t>
        </is>
      </c>
      <c r="F9" s="20" t="inlineStr">
        <is>
          <t>Wine</t>
        </is>
      </c>
    </row>
    <row r="10">
      <c r="B10" s="40" t="inlineStr">
        <is>
          <t>Variance limit %</t>
        </is>
      </c>
      <c r="C10" s="65" t="n">
        <v>0.1</v>
      </c>
      <c r="E10" s="20" t="inlineStr">
        <is>
          <t>each</t>
        </is>
      </c>
      <c r="F10" s="20" t="inlineStr">
        <is>
          <t>Cocktail</t>
        </is>
      </c>
    </row>
    <row r="11">
      <c r="B11" s="40" t="inlineStr">
        <is>
          <t>Currency</t>
        </is>
      </c>
      <c r="C11" s="64" t="inlineStr">
        <is>
          <t>USD ($)</t>
        </is>
      </c>
      <c r="E11" s="20" t="inlineStr">
        <is>
          <t>pint</t>
        </is>
      </c>
      <c r="F11" s="20" t="inlineStr">
        <is>
          <t>Spirit</t>
        </is>
      </c>
    </row>
    <row r="12">
      <c r="E12" s="20" t="inlineStr">
        <is>
          <t>bottle</t>
        </is>
      </c>
      <c r="F12" s="20" t="inlineStr">
        <is>
          <t>Shot</t>
        </is>
      </c>
    </row>
    <row r="13">
      <c r="E13" s="20" t="inlineStr">
        <is>
          <t>case</t>
        </is>
      </c>
      <c r="F13" s="20" t="inlineStr">
        <is>
          <t>N/A</t>
        </is>
      </c>
    </row>
    <row r="14">
      <c r="E14" s="20" t="inlineStr">
        <is>
          <t>keg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2026-07-22T07:28:19Z</dcterms:created>
  <dcterms:modified xsi:type="dcterms:W3CDTF">2026-07-22T07:28:19Z</dcterms:modified>
</cp:coreProperties>
</file>