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Estate Snapshot" sheetId="3" state="visible" r:id="rId3"/>
    <sheet name="Assets &amp; Accounts" sheetId="4" state="visible" r:id="rId4"/>
    <sheet name="Debts &amp; Bills" sheetId="5" state="visible" r:id="rId5"/>
    <sheet name="Beneficiaries" sheetId="6" state="visible" r:id="rId6"/>
    <sheet name="Legal Documents" sheetId="7" state="visible" r:id="rId7"/>
    <sheet name="Insurance" sheetId="8" state="visible" r:id="rId8"/>
    <sheet name="Digital Life" sheetId="9" state="visible" r:id="rId9"/>
    <sheet name="Key Contacts" sheetId="10" state="visible" r:id="rId10"/>
    <sheet name="Medical &amp; Care" sheetId="11" state="visible" r:id="rId11"/>
    <sheet name="Final Wishes" sheetId="12" state="visible" r:id="rId12"/>
    <sheet name="Household" sheetId="13" state="visible" r:id="rId13"/>
    <sheet name="Settings" sheetId="14" state="visible" r:id="rId14"/>
  </sheets>
  <definedNames>
    <definedName name="Keeper">Settings!$C$6</definedName>
    <definedName name="Household">Settings!$C$7</definedName>
    <definedName name="MonthlyNeed">Settings!$C$8</definedName>
    <definedName name="ProbatePct">Settings!$C$9</definedName>
    <definedName name="RunwayGoal">Settings!$C$10</definedName>
    <definedName name="CoverGoal">Settings!$C$11</definedName>
    <definedName name="ContactGoal">Settings!$C$12</definedName>
    <definedName name="DocGoal">Settings!$C$13</definedName>
    <definedName name="TransferList">Settings!$E$7:$E$13</definedName>
    <definedName name="AssetCatList">Settings!$F$7:$F$13</definedName>
    <definedName name="DocStatusList">Settings!$G$7:$G$10</definedName>
    <definedName name="DigitalActionList">Settings!$H$7:$H$11</definedName>
    <definedName name="YesNoList">Settings!$I$7:$I$8</definedName>
    <definedName name="AssetName">'Assets &amp; Accounts'!$B$5:$B$16</definedName>
    <definedName name="AssetValue">'Assets &amp; Accounts'!$D$5:$D$16</definedName>
    <definedName name="AssetProbate">'Assets &amp; Accounts'!$F$5:$F$16</definedName>
    <definedName name="TotalAssets">'Assets &amp; Accounts'!$D$17</definedName>
    <definedName name="ProbateExposed">'Assets &amp; Accounts'!$F$17</definedName>
    <definedName name="AssetCount">'Assets &amp; Accounts'!$D$18</definedName>
    <definedName name="DebtBalance">'Debts &amp; Bills'!$D$5:$D$8</definedName>
    <definedName name="DebtMonthly">'Debts &amp; Bills'!$E$5:$E$8</definedName>
    <definedName name="TotalDebts">'Debts &amp; Bills'!$D$9</definedName>
    <definedName name="DebtMonthlyTotal">'Debts &amp; Bills'!$E$9</definedName>
    <definedName name="NetEstate">'Estate Snapshot'!$C$8</definedName>
    <definedName name="ProbateShare">'Estate Snapshot'!$C$12</definedName>
    <definedName name="ProbateCost">'Estate Snapshot'!$C$14</definedName>
    <definedName name="ReachableCol">'Estate Snapshot'!$C$18:$C$20</definedName>
    <definedName name="CashReachable">'Estate Snapshot'!$C$21</definedName>
    <definedName name="Runway">'Estate Snapshot'!$C$23</definedName>
    <definedName name="LifeInsurance">'Estate Snapshot'!$C$26</definedName>
    <definedName name="DebtCover">'Estate Snapshot'!$C$28</definedName>
    <definedName name="BeneAccount">'Beneficiaries'!$B$5:$B$11</definedName>
    <definedName name="BenePrimary">'Beneficiaries'!$C$5:$C$11</definedName>
    <definedName name="BeneAction">'Beneficiaries'!$F$5:$F$11</definedName>
    <definedName name="BeneEligible">'Beneficiaries'!$E$13</definedName>
    <definedName name="BeneNamed">'Beneficiaries'!$E$14</definedName>
    <definedName name="DocName">'Legal Documents'!$B$5:$B$14</definedName>
    <definedName name="DocStatusCol">'Legal Documents'!$C$5:$C$14</definedName>
    <definedName name="DocsSigned">'Legal Documents'!$C$16</definedName>
    <definedName name="DocReadiness">'Legal Documents'!$C$18</definedName>
    <definedName name="InsCoverage">'Insurance'!$E$5:$E$44</definedName>
    <definedName name="DigitalService">'Digital Life'!$B$6:$B$14</definedName>
    <definedName name="DigitalCount">'Digital Life'!$D$16</definedName>
    <definedName name="ContactName">'Key Contacts'!$B$5:$B$44</definedName>
    <definedName name="ContactCount">'Key Contacts'!$D$46</definedName>
    <definedName name="HealthRange">'Dashboard'!$C$13:$C$18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"/>
    <numFmt numFmtId="166" formatCode="0.0%"/>
    <numFmt numFmtId="167" formatCode="0.0&quot; months&quot;"/>
    <numFmt numFmtId="168" formatCode="0.00&quot;×&quot;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color rgb="00333333"/>
      <sz val="11"/>
    </font>
    <font>
      <b val="1"/>
      <color rgb="001B4F48"/>
      <sz val="13"/>
    </font>
    <font>
      <b val="1"/>
      <color rgb="00C94C4C"/>
      <sz val="12"/>
    </font>
    <font>
      <b val="1"/>
      <color rgb="001B4F48"/>
      <sz val="12"/>
    </font>
    <font>
      <b val="1"/>
      <color rgb="001B4F48"/>
      <sz val="16"/>
    </font>
    <font>
      <b val="1"/>
      <color rgb="001B4F48"/>
      <sz val="14"/>
    </font>
    <font>
      <b val="1"/>
      <color rgb="00937356"/>
      <sz val="9"/>
    </font>
    <font>
      <b val="1"/>
      <color rgb="001B4F48"/>
      <sz val="18"/>
    </font>
  </fonts>
  <fills count="11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C9A86A"/>
      </patternFill>
    </fill>
    <fill>
      <patternFill patternType="solid">
        <fgColor rgb="00E3F8EF"/>
      </patternFill>
    </fill>
    <fill>
      <patternFill patternType="solid">
        <fgColor rgb="00FBF0E2"/>
      </patternFill>
    </fill>
    <fill>
      <patternFill patternType="solid">
        <fgColor rgb="00F4ECDE"/>
      </patternFill>
    </fill>
    <fill>
      <patternFill patternType="solid">
        <fgColor rgb="00FBE6E6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2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6" fillId="0" borderId="1" applyAlignment="1">
      <alignment horizontal="left" vertical="top" wrapText="1" indent="1"/>
    </xf>
  </cellStyleXfs>
  <cellXfs count="58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5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6" borderId="2" applyAlignment="1" pivotButton="0" quotePrefix="0" xfId="11">
      <alignment horizontal="left" vertical="top" wrapText="1" indent="1"/>
    </xf>
    <xf numFmtId="0" fontId="0" fillId="6" borderId="0" pivotButton="0" quotePrefix="0" xfId="0"/>
    <xf numFmtId="0" fontId="3" fillId="0" borderId="1" applyAlignment="1" pivotButton="0" quotePrefix="0" xfId="3">
      <alignment horizontal="left" vertical="center"/>
    </xf>
    <xf numFmtId="0" fontId="6" fillId="0" borderId="1" applyAlignment="1" pivotButton="0" quotePrefix="0" xfId="11">
      <alignment horizontal="left" vertical="top" wrapText="1" indent="1"/>
    </xf>
    <xf numFmtId="0" fontId="5" fillId="2" borderId="2" applyAlignment="1" pivotButton="0" quotePrefix="0" xfId="5">
      <alignment horizontal="center" vertical="center" wrapText="1"/>
    </xf>
    <xf numFmtId="0" fontId="9" fillId="7" borderId="2" applyAlignment="1" pivotButton="0" quotePrefix="0" xfId="0">
      <alignment horizontal="left" vertical="top" wrapText="1" indent="1"/>
    </xf>
    <xf numFmtId="0" fontId="0" fillId="7" borderId="0" pivotButton="0" quotePrefix="0" xfId="0"/>
    <xf numFmtId="0" fontId="15" fillId="10" borderId="3" applyAlignment="1" pivotButton="0" quotePrefix="0" xfId="0">
      <alignment horizontal="center" vertical="center"/>
    </xf>
    <xf numFmtId="0" fontId="0" fillId="10" borderId="3" pivotButton="0" quotePrefix="0" xfId="0"/>
    <xf numFmtId="164" fontId="16" fillId="10" borderId="2" applyAlignment="1" pivotButton="0" quotePrefix="0" xfId="0">
      <alignment horizontal="center" vertical="center"/>
    </xf>
    <xf numFmtId="0" fontId="0" fillId="10" borderId="2" pivotButton="0" quotePrefix="0" xfId="0"/>
    <xf numFmtId="166" fontId="16" fillId="10" borderId="2" applyAlignment="1" pivotButton="0" quotePrefix="0" xfId="0">
      <alignment horizontal="center" vertical="center"/>
    </xf>
    <xf numFmtId="165" fontId="16" fillId="10" borderId="2" applyAlignment="1" pivotButton="0" quotePrefix="0" xfId="0">
      <alignment horizontal="center" vertical="center"/>
    </xf>
    <xf numFmtId="3" fontId="16" fillId="10" borderId="2" applyAlignment="1" pivotButton="0" quotePrefix="0" xfId="0">
      <alignment horizontal="center" vertical="center"/>
    </xf>
    <xf numFmtId="9" fontId="16" fillId="10" borderId="2" applyAlignment="1" pivotButton="0" quotePrefix="0" xfId="0">
      <alignment horizontal="center" vertical="center"/>
    </xf>
    <xf numFmtId="0" fontId="6" fillId="0" borderId="2" applyAlignment="1" pivotButton="0" quotePrefix="0" xfId="7">
      <alignment horizontal="left" vertical="center" wrapText="1" indent="1"/>
    </xf>
    <xf numFmtId="9" fontId="6" fillId="0" borderId="2" applyAlignment="1" pivotButton="0" quotePrefix="0" xfId="6">
      <alignment horizontal="center" vertical="center" wrapText="1"/>
    </xf>
    <xf numFmtId="0" fontId="6" fillId="0" borderId="2" applyAlignment="1" pivotButton="0" quotePrefix="0" xfId="6">
      <alignment horizontal="center" vertical="center" wrapText="1"/>
    </xf>
    <xf numFmtId="0" fontId="6" fillId="8" borderId="2" applyAlignment="1" pivotButton="0" quotePrefix="0" xfId="7">
      <alignment horizontal="left" vertical="center" wrapText="1" indent="1"/>
    </xf>
    <xf numFmtId="9" fontId="6" fillId="8" borderId="2" applyAlignment="1" pivotButton="0" quotePrefix="0" xfId="6">
      <alignment horizontal="center" vertical="center" wrapText="1"/>
    </xf>
    <xf numFmtId="0" fontId="6" fillId="8" borderId="2" applyAlignment="1" pivotButton="0" quotePrefix="0" xfId="6">
      <alignment horizontal="center" vertical="center" wrapText="1"/>
    </xf>
    <xf numFmtId="0" fontId="8" fillId="4" borderId="2" applyAlignment="1" pivotButton="0" quotePrefix="0" xfId="9">
      <alignment horizontal="left" vertical="center" indent="1"/>
    </xf>
    <xf numFmtId="164" fontId="7" fillId="0" borderId="2" applyAlignment="1" pivotButton="0" quotePrefix="0" xfId="10">
      <alignment horizontal="left" vertical="center" indent="1"/>
    </xf>
    <xf numFmtId="164" fontId="7" fillId="7" borderId="2" applyAlignment="1" pivotButton="0" quotePrefix="0" xfId="10">
      <alignment horizontal="left" vertical="center" indent="1"/>
    </xf>
    <xf numFmtId="164" fontId="13" fillId="6" borderId="2" applyAlignment="1" pivotButton="0" quotePrefix="0" xfId="6">
      <alignment horizontal="center" vertical="center" wrapText="1"/>
    </xf>
    <xf numFmtId="164" fontId="7" fillId="9" borderId="2" applyAlignment="1" pivotButton="0" quotePrefix="0" xfId="10">
      <alignment horizontal="left" vertical="center" indent="1"/>
    </xf>
    <xf numFmtId="166" fontId="13" fillId="9" borderId="2" applyAlignment="1" pivotButton="0" quotePrefix="0" xfId="6">
      <alignment horizontal="center" vertical="center" wrapText="1"/>
    </xf>
    <xf numFmtId="9" fontId="7" fillId="0" borderId="2" applyAlignment="1" pivotButton="0" quotePrefix="0" xfId="10">
      <alignment horizontal="left" vertical="center" indent="1"/>
    </xf>
    <xf numFmtId="164" fontId="14" fillId="7" borderId="2" applyAlignment="1" pivotButton="0" quotePrefix="0" xfId="6">
      <alignment horizontal="center" vertical="center" wrapText="1"/>
    </xf>
    <xf numFmtId="164" fontId="7" fillId="3" borderId="2" applyAlignment="1" pivotButton="0" quotePrefix="0" xfId="8">
      <alignment horizontal="center" vertical="center"/>
    </xf>
    <xf numFmtId="164" fontId="14" fillId="3" borderId="2" applyAlignment="1" pivotButton="0" quotePrefix="0" xfId="6">
      <alignment horizontal="center" vertical="center" wrapText="1"/>
    </xf>
    <xf numFmtId="167" fontId="13" fillId="6" borderId="2" applyAlignment="1" pivotButton="0" quotePrefix="0" xfId="6">
      <alignment horizontal="center" vertical="center" wrapText="1"/>
    </xf>
    <xf numFmtId="168" fontId="14" fillId="6" borderId="2" applyAlignment="1" pivotButton="0" quotePrefix="0" xfId="6">
      <alignment horizontal="center" vertical="center" wrapText="1"/>
    </xf>
    <xf numFmtId="0" fontId="7" fillId="3" borderId="2" applyAlignment="1" pivotButton="0" quotePrefix="0" xfId="8">
      <alignment horizontal="center" vertical="center"/>
    </xf>
    <xf numFmtId="164" fontId="7" fillId="8" borderId="2" applyAlignment="1" pivotButton="0" quotePrefix="0" xfId="8">
      <alignment horizontal="center" vertical="center"/>
    </xf>
    <xf numFmtId="0" fontId="7" fillId="8" borderId="2" applyAlignment="1" pivotButton="0" quotePrefix="0" xfId="8">
      <alignment horizontal="center" vertical="center"/>
    </xf>
    <xf numFmtId="0" fontId="6" fillId="3" borderId="2" applyAlignment="1" pivotButton="0" quotePrefix="0" xfId="6">
      <alignment horizontal="center" vertical="center" wrapText="1"/>
    </xf>
    <xf numFmtId="164" fontId="10" fillId="3" borderId="2" applyAlignment="1" pivotButton="0" quotePrefix="0" xfId="6">
      <alignment horizontal="center" vertical="center" wrapText="1"/>
    </xf>
    <xf numFmtId="164" fontId="11" fillId="9" borderId="2" applyAlignment="1" pivotButton="0" quotePrefix="0" xfId="6">
      <alignment horizontal="center" vertical="center" wrapText="1"/>
    </xf>
    <xf numFmtId="1" fontId="7" fillId="0" borderId="2" applyAlignment="1" pivotButton="0" quotePrefix="0" xfId="10">
      <alignment horizontal="left" vertical="center" indent="1"/>
    </xf>
    <xf numFmtId="164" fontId="12" fillId="6" borderId="2" applyAlignment="1" pivotButton="0" quotePrefix="0" xfId="6">
      <alignment horizontal="center" vertical="center" wrapText="1"/>
    </xf>
    <xf numFmtId="1" fontId="7" fillId="6" borderId="2" applyAlignment="1" pivotButton="0" quotePrefix="0" xfId="10">
      <alignment horizontal="left" vertical="center" indent="1"/>
    </xf>
    <xf numFmtId="1" fontId="14" fillId="6" borderId="2" applyAlignment="1" pivotButton="0" quotePrefix="0" xfId="6">
      <alignment horizontal="center" vertical="center" wrapText="1"/>
    </xf>
    <xf numFmtId="1" fontId="7" fillId="9" borderId="2" applyAlignment="1" pivotButton="0" quotePrefix="0" xfId="10">
      <alignment horizontal="left" vertical="center" indent="1"/>
    </xf>
    <xf numFmtId="9" fontId="14" fillId="7" borderId="2" applyAlignment="1" pivotButton="0" quotePrefix="0" xfId="6">
      <alignment horizontal="center" vertical="center" wrapText="1"/>
    </xf>
    <xf numFmtId="0" fontId="6" fillId="10" borderId="2" applyAlignment="1" pivotButton="0" quotePrefix="0" xfId="7">
      <alignment horizontal="left" vertical="center" wrapText="1" indent="1"/>
    </xf>
    <xf numFmtId="0" fontId="6" fillId="10" borderId="2" applyAlignment="1" pivotButton="0" quotePrefix="0" xfId="6">
      <alignment horizontal="center" vertical="center" wrapText="1"/>
    </xf>
    <xf numFmtId="164" fontId="6" fillId="10" borderId="2" applyAlignment="1" pivotButton="0" quotePrefix="0" xfId="6">
      <alignment horizontal="center" vertical="center" wrapText="1"/>
    </xf>
    <xf numFmtId="164" fontId="6" fillId="8" borderId="2" applyAlignment="1" pivotButton="0" quotePrefix="0" xfId="6">
      <alignment horizontal="center" vertical="center" wrapText="1"/>
    </xf>
    <xf numFmtId="164" fontId="7" fillId="6" borderId="2" applyAlignment="1" pivotButton="0" quotePrefix="0" xfId="10">
      <alignment horizontal="left" vertical="center" indent="1"/>
    </xf>
    <xf numFmtId="9" fontId="7" fillId="3" borderId="2" applyAlignment="1" pivotButton="0" quotePrefix="0" xfId="8">
      <alignment horizontal="center" vertical="center"/>
    </xf>
    <xf numFmtId="1" fontId="7" fillId="3" borderId="2" applyAlignment="1" pivotButton="0" quotePrefix="0" xfId="8">
      <alignment horizontal="center" vertical="center"/>
    </xf>
    <xf numFmtId="165" fontId="7" fillId="3" borderId="2" applyAlignment="1" pivotButton="0" quotePrefix="0" xfId="8">
      <alignment horizontal="center" vertical="center"/>
    </xf>
  </cellXfs>
  <cellStyles count="12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body" xfId="11" hidden="0"/>
  </cellStyles>
  <dxfs count="2">
    <dxf>
      <font>
        <b val="1"/>
        <color rgb="00C94C4C"/>
      </font>
      <fill>
        <patternFill patternType="solid">
          <fgColor rgb="00FBE6E6"/>
        </patternFill>
      </fill>
    </dxf>
    <dxf>
      <font>
        <b val="1"/>
        <color rgb="001B4F48"/>
      </font>
      <fill>
        <patternFill patternType="solid">
          <fgColor rgb="00E3F8E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Assets by Value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numRef>
              <f>'Assets &amp; Accounts'!$B$5:$B$16</f>
            </numRef>
          </cat>
          <val>
            <numRef>
              <f>'Assets &amp; Accounts'!$D$5:$D$16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12</row>
      <rowOff>0</rowOff>
    </from>
    <ext cx="3096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4" customWidth="1" min="2" max="2"/>
    <col width="3" customWidth="1" min="3" max="3"/>
  </cols>
  <sheetData>
    <row r="1" ht="58" customHeight="1">
      <c r="A1" s="1" t="inlineStr">
        <is>
          <t xml:space="preserve">  🏮  ESTATE &amp; EMERGENCY ORGANIZER COMMAND CENTER™</t>
        </is>
      </c>
    </row>
    <row r="2" ht="24" customHeight="1">
      <c r="A2" s="2" t="inlineStr">
        <is>
          <t xml:space="preserve">  Everything they'd need to find — so nobody has to guess.</t>
        </is>
      </c>
    </row>
    <row r="3" ht="6" customHeight="1">
      <c r="A3" s="3" t="n"/>
      <c r="B3" s="3" t="n"/>
      <c r="C3" s="3" t="n"/>
    </row>
    <row r="5">
      <c r="B5" s="4" t="inlineStr">
        <is>
          <t>WHY THIS EXISTS</t>
        </is>
      </c>
    </row>
    <row r="6" ht="22" customHeight="1">
      <c r="B6" s="5" t="inlineStr">
        <is>
          <t>When something happens, the people who love you are handed a filing cabinet and a lot of guessing. Which bank. Which policy. Where the deed is. Whether there was a will. This is the answer to all of it, in one place. It also does something no binder does: it adds up what you own, subtracts what you owe, and shows you how much of your estate would go through probate because it has no beneficiary named on it — plus how much cash a survivor could actually reach in the first few weeks, before anything is released. Fill it in once, keep it current, and tell one person where it is.</t>
        </is>
      </c>
    </row>
    <row r="7" ht="22" customHeight="1">
      <c r="B7" s="6" t="n"/>
    </row>
    <row r="8" ht="22" customHeight="1">
      <c r="B8" s="6" t="n"/>
    </row>
    <row r="9" ht="22" customHeight="1">
      <c r="B9" s="6" t="n"/>
    </row>
    <row r="11">
      <c r="B11" s="7" t="inlineStr">
        <is>
          <t>START HERE — 6 QUICK STEPS</t>
        </is>
      </c>
    </row>
    <row r="12" ht="22" customHeight="1">
      <c r="B12" s="8" t="inlineStr">
        <is>
          <t>1.  Assets &amp; Accounts — list what you own and how each one transfers.</t>
        </is>
      </c>
    </row>
    <row r="13" ht="22" customHeight="1">
      <c r="B13" s="8" t="inlineStr">
        <is>
          <t>2.  Debts &amp; Bills — what you owe and who to call.</t>
        </is>
      </c>
    </row>
    <row r="14" ht="22" customHeight="1">
      <c r="B14" s="8" t="inlineStr">
        <is>
          <t>3.  Read the Estate Snapshot: net estate, and what's exposed to probate.</t>
        </is>
      </c>
    </row>
    <row r="15" ht="22" customHeight="1">
      <c r="B15" s="8" t="inlineStr">
        <is>
          <t>4.  Beneficiaries &amp; Legal Documents — fix the gaps it shows you.</t>
        </is>
      </c>
    </row>
    <row r="16" ht="22" customHeight="1">
      <c r="B16" s="8" t="inlineStr">
        <is>
          <t>5.  Contacts, medical, digital life, final wishes, the house.</t>
        </is>
      </c>
    </row>
    <row r="17" ht="22" customHeight="1">
      <c r="B17" s="8" t="inlineStr">
        <is>
          <t>6.  Print the pack, put it somewhere safe, and TELL SOMEONE.</t>
        </is>
      </c>
    </row>
    <row r="20" ht="26" customHeight="1">
      <c r="B20" s="9" t="inlineStr">
        <is>
          <t xml:space="preserve">  PLEASE READ</t>
        </is>
      </c>
    </row>
    <row r="21" ht="22" customHeight="1">
      <c r="B21" s="10" t="inlineStr">
        <is>
          <t>This is an ORGANIZING tool, not legal, tax or financial advice, and it is not a will. Nothing you write here transfers anything to anyone — only properly executed documents and beneficiary designations do that. Probate rules, costs and timelines vary enormously by state and country; the estimate here is a rough percentage you set yourself. Please have real documents prepared by a qualified attorney. NEVER TYPE ACTUAL PASSWORDS INTO THIS FILE — the Digital Life tab records where each login lives, not what it is. Sample data for a fictional household is included so you can see how it connects; type over it with your own.</t>
        </is>
      </c>
    </row>
    <row r="22" ht="22" customHeight="1">
      <c r="B22" s="11" t="n"/>
    </row>
    <row r="23" ht="22" customHeight="1">
      <c r="B23" s="11" t="n"/>
    </row>
    <row r="24" ht="22" customHeight="1">
      <c r="B24" s="11" t="n"/>
    </row>
    <row r="26">
      <c r="B26" s="4" t="inlineStr">
        <is>
          <t>A finished file nobody knows about helps nobody. Tell one person where it is.</t>
        </is>
      </c>
    </row>
  </sheetData>
  <mergeCells count="14">
    <mergeCell ref="B17"/>
    <mergeCell ref="B12"/>
    <mergeCell ref="B13"/>
    <mergeCell ref="A1:C1"/>
    <mergeCell ref="B26"/>
    <mergeCell ref="B15"/>
    <mergeCell ref="B11"/>
    <mergeCell ref="B6:B9"/>
    <mergeCell ref="B16"/>
    <mergeCell ref="B20"/>
    <mergeCell ref="B21:B24"/>
    <mergeCell ref="B5"/>
    <mergeCell ref="B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🏮  ESTATE &amp; EMERGENCY ORGANIZER COMMAND CENTER™</t>
        </is>
      </c>
    </row>
    <row r="2" ht="24" customHeight="1">
      <c r="A2" s="2" t="inlineStr">
        <is>
          <t xml:space="preserve">  Net estate, what's exposed to probate &amp; a Readiness Score — at a glance.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2" t="inlineStr">
        <is>
          <t>TOTAL ASSETS</t>
        </is>
      </c>
      <c r="C5" s="13" t="n"/>
      <c r="D5" s="12" t="inlineStr">
        <is>
          <t>TOTAL DEBTS</t>
        </is>
      </c>
      <c r="E5" s="13" t="n"/>
      <c r="F5" s="12" t="inlineStr">
        <is>
          <t>NET ESTATE</t>
        </is>
      </c>
      <c r="G5" s="13" t="n"/>
      <c r="H5" s="12" t="inlineStr">
        <is>
          <t>EXPOSED TO PROBATE</t>
        </is>
      </c>
      <c r="I5" s="13" t="n"/>
      <c r="J5" s="12" t="inlineStr">
        <is>
          <t>PROBATE SHARE</t>
        </is>
      </c>
      <c r="K5" s="13" t="n"/>
      <c r="L5" s="12" t="inlineStr">
        <is>
          <t>ROUGH PROBATE COST</t>
        </is>
      </c>
      <c r="M5" s="13" t="n"/>
    </row>
    <row r="6" ht="40" customHeight="1">
      <c r="B6" s="14">
        <f>TotalAssets</f>
        <v/>
      </c>
      <c r="C6" s="15" t="n"/>
      <c r="D6" s="14">
        <f>TotalDebts</f>
        <v/>
      </c>
      <c r="E6" s="15" t="n"/>
      <c r="F6" s="14">
        <f>NetEstate</f>
        <v/>
      </c>
      <c r="G6" s="15" t="n"/>
      <c r="H6" s="14">
        <f>ProbateExposed</f>
        <v/>
      </c>
      <c r="I6" s="15" t="n"/>
      <c r="J6" s="16">
        <f>ProbateShare</f>
        <v/>
      </c>
      <c r="K6" s="15" t="n"/>
      <c r="L6" s="14">
        <f>ProbateCost</f>
        <v/>
      </c>
      <c r="M6" s="15" t="n"/>
    </row>
    <row r="8" ht="18" customHeight="1">
      <c r="B8" s="12" t="inlineStr">
        <is>
          <t>CASH THEY CAN REACH</t>
        </is>
      </c>
      <c r="C8" s="13" t="n"/>
      <c r="D8" s="12" t="inlineStr">
        <is>
          <t>MONTHS OF RUNWAY</t>
        </is>
      </c>
      <c r="E8" s="13" t="n"/>
      <c r="F8" s="12" t="inlineStr">
        <is>
          <t>LIFE INSURANCE</t>
        </is>
      </c>
      <c r="G8" s="13" t="n"/>
      <c r="H8" s="12" t="inlineStr">
        <is>
          <t>DOCUMENTS SIGNED</t>
        </is>
      </c>
      <c r="I8" s="13" t="n"/>
      <c r="J8" s="12" t="inlineStr">
        <is>
          <t>ACCOUNTS DOCUMENTED</t>
        </is>
      </c>
      <c r="K8" s="13" t="n"/>
      <c r="L8" s="12" t="inlineStr">
        <is>
          <t>READINESS SCORE</t>
        </is>
      </c>
      <c r="M8" s="13" t="n"/>
    </row>
    <row r="9" ht="40" customHeight="1">
      <c r="B9" s="14">
        <f>CashReachable</f>
        <v/>
      </c>
      <c r="C9" s="15" t="n"/>
      <c r="D9" s="17">
        <f>Runway</f>
        <v/>
      </c>
      <c r="E9" s="15" t="n"/>
      <c r="F9" s="14">
        <f>LifeInsurance</f>
        <v/>
      </c>
      <c r="G9" s="15" t="n"/>
      <c r="H9" s="18">
        <f>DocsSigned</f>
        <v/>
      </c>
      <c r="I9" s="15" t="n"/>
      <c r="J9" s="18">
        <f>AssetCount+DigitalCount</f>
        <v/>
      </c>
      <c r="K9" s="15" t="n"/>
      <c r="L9" s="19">
        <f>IFERROR(AVERAGE(HealthRange),0)</f>
        <v/>
      </c>
      <c r="M9" s="15" t="n"/>
    </row>
    <row r="11" ht="26" customHeight="1">
      <c r="B11" s="4" t="inlineStr">
        <is>
          <t>READINESS</t>
        </is>
      </c>
      <c r="H11" s="4" t="inlineStr">
        <is>
          <t>WHERE THE ESTATE SITS</t>
        </is>
      </c>
    </row>
    <row r="12" ht="30" customHeight="1">
      <c r="B12" s="9" t="inlineStr">
        <is>
          <t>Check</t>
        </is>
      </c>
      <c r="C12" s="9" t="inlineStr">
        <is>
          <t>Score</t>
        </is>
      </c>
      <c r="D12" s="9" t="inlineStr">
        <is>
          <t>Status</t>
        </is>
      </c>
    </row>
    <row r="13">
      <c r="B13" s="20" t="inlineStr">
        <is>
          <t>Survivors could keep going</t>
        </is>
      </c>
      <c r="C13" s="21">
        <f>IFERROR(MIN(Runway/RunwayGoal,1),0)</f>
        <v/>
      </c>
      <c r="D13" s="22">
        <f>IF(C13&gt;=0.85,"Strong",IF(C13&gt;=0.6,"OK","Watch"))</f>
        <v/>
      </c>
    </row>
    <row r="14">
      <c r="B14" s="23" t="inlineStr">
        <is>
          <t>Beneficiaries named</t>
        </is>
      </c>
      <c r="C14" s="24">
        <f>IFERROR(MIN(BeneNamed/BeneEligible,1),0)</f>
        <v/>
      </c>
      <c r="D14" s="25">
        <f>IF(C14&gt;=0.85,"Strong",IF(C14&gt;=0.6,"OK","Watch"))</f>
        <v/>
      </c>
    </row>
    <row r="15">
      <c r="B15" s="20" t="inlineStr">
        <is>
          <t>Insurance covers the debts</t>
        </is>
      </c>
      <c r="C15" s="21">
        <f>IFERROR(MIN(DebtCover/CoverGoal,1),0)</f>
        <v/>
      </c>
      <c r="D15" s="22">
        <f>IF(C15&gt;=0.85,"Strong",IF(C15&gt;=0.6,"OK","Watch"))</f>
        <v/>
      </c>
    </row>
    <row r="16">
      <c r="B16" s="23" t="inlineStr">
        <is>
          <t>Key contacts listed</t>
        </is>
      </c>
      <c r="C16" s="24">
        <f>IFERROR(MIN(ContactCount/ContactGoal,1),0)</f>
        <v/>
      </c>
      <c r="D16" s="25">
        <f>IF(C16&gt;=0.85,"Strong",IF(C16&gt;=0.6,"OK","Watch"))</f>
        <v/>
      </c>
    </row>
    <row r="17">
      <c r="B17" s="20" t="inlineStr">
        <is>
          <t>Digital life documented</t>
        </is>
      </c>
      <c r="C17" s="21">
        <f>IFERROR(MIN(DigitalCount/9,1),0)</f>
        <v/>
      </c>
      <c r="D17" s="22">
        <f>IF(C17&gt;=0.85,"Strong",IF(C17&gt;=0.6,"OK","Watch"))</f>
        <v/>
      </c>
    </row>
    <row r="18">
      <c r="B18" s="23" t="inlineStr">
        <is>
          <t>Core documents signed</t>
        </is>
      </c>
      <c r="C18" s="24">
        <f>IFERROR(MIN(DocsSigned/DocGoal,1),0)</f>
        <v/>
      </c>
      <c r="D18" s="25">
        <f>IF(C18&gt;=0.85,"Strong",IF(C18&gt;=0.6,"OK","Watch"))</f>
        <v/>
      </c>
    </row>
    <row r="21" ht="26" customHeight="1">
      <c r="B21" s="2" t="inlineStr">
        <is>
          <t>Estate &amp; Emergency Organizer Command Center™ — an organizing tool, not legal advice.</t>
        </is>
      </c>
    </row>
  </sheetData>
  <mergeCells count="29">
    <mergeCell ref="J5:K5"/>
    <mergeCell ref="F6:G6"/>
    <mergeCell ref="H11:M11"/>
    <mergeCell ref="H9:I9"/>
    <mergeCell ref="A1:N1"/>
    <mergeCell ref="J9:K9"/>
    <mergeCell ref="D6:E6"/>
    <mergeCell ref="H6:I6"/>
    <mergeCell ref="J6:K6"/>
    <mergeCell ref="B21:M21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6:C6"/>
    <mergeCell ref="L6:M6"/>
    <mergeCell ref="B5:C5"/>
    <mergeCell ref="D5:E5"/>
    <mergeCell ref="H5:I5"/>
    <mergeCell ref="H8:I8"/>
    <mergeCell ref="J8:K8"/>
    <mergeCell ref="B11:G11"/>
  </mergeCells>
  <conditionalFormatting sqref="C13:C18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8" customWidth="1" min="2" max="2"/>
    <col width="20" customWidth="1" min="3" max="3"/>
    <col width="2" customWidth="1" min="4" max="4"/>
  </cols>
  <sheetData>
    <row r="1" ht="46" customHeight="1">
      <c r="A1" s="1" t="inlineStr">
        <is>
          <t xml:space="preserve">  🧮  ESTATE SNAPSHOT — THE ENGINE</t>
        </is>
      </c>
    </row>
    <row r="2" ht="22" customHeight="1">
      <c r="A2" s="2" t="inlineStr">
        <is>
          <t xml:space="preserve">  What you own, what you owe — and how much of it would have to go through probate.</t>
        </is>
      </c>
    </row>
    <row r="3" ht="6" customHeight="1">
      <c r="A3" s="3" t="n"/>
      <c r="B3" s="3" t="n"/>
      <c r="C3" s="3" t="n"/>
    </row>
    <row r="5">
      <c r="B5" s="4" t="inlineStr">
        <is>
          <t>THE ESTATE</t>
        </is>
      </c>
    </row>
    <row r="6">
      <c r="B6" s="26" t="inlineStr">
        <is>
          <t>Total assets</t>
        </is>
      </c>
      <c r="C6" s="27">
        <f>TotalAssets</f>
        <v/>
      </c>
    </row>
    <row r="7">
      <c r="B7" s="26" t="inlineStr">
        <is>
          <t>− Total debts</t>
        </is>
      </c>
      <c r="C7" s="28">
        <f>TotalDebts</f>
        <v/>
      </c>
    </row>
    <row r="8">
      <c r="B8" s="9">
        <f> NET ESTATE</f>
        <v/>
      </c>
      <c r="C8" s="29">
        <f>TotalAssets-TotalDebts</f>
        <v/>
      </c>
    </row>
    <row r="10">
      <c r="B10" s="4" t="inlineStr">
        <is>
          <t>⚠ WHAT WOULD GO THROUGH PROBATE</t>
        </is>
      </c>
    </row>
    <row r="11">
      <c r="B11" s="26" t="inlineStr">
        <is>
          <t>Assets with no beneficiary, no joint owner, no trust</t>
        </is>
      </c>
      <c r="C11" s="30">
        <f>ProbateExposed</f>
        <v/>
      </c>
    </row>
    <row r="12">
      <c r="B12" s="9">
        <f> SHARE OF YOUR ESTATE EXPOSED</f>
        <v/>
      </c>
      <c r="C12" s="31">
        <f>IFERROR(ProbateExposed/TotalAssets,0)</f>
        <v/>
      </c>
    </row>
    <row r="13">
      <c r="B13" s="26" t="inlineStr">
        <is>
          <t>× your probate cost estimate</t>
        </is>
      </c>
      <c r="C13" s="32">
        <f>ProbatePct</f>
        <v/>
      </c>
    </row>
    <row r="14">
      <c r="B14" s="9">
        <f> ROUGH COST OF PROBATE</f>
        <v/>
      </c>
      <c r="C14" s="33">
        <f>ProbateExposed*ProbatePct</f>
        <v/>
      </c>
    </row>
    <row r="15">
      <c r="B15" s="26" t="inlineStr">
        <is>
          <t>…and it typically takes months, not weeks, before anything is released.</t>
        </is>
      </c>
    </row>
    <row r="17">
      <c r="B17" s="4" t="inlineStr">
        <is>
          <t>WHAT A SURVIVOR COULD ACTUALLY REACH</t>
        </is>
      </c>
    </row>
    <row r="18">
      <c r="B18" s="26" t="inlineStr">
        <is>
          <t>Checking — joint</t>
        </is>
      </c>
      <c r="C18" s="34" t="n">
        <v>8400</v>
      </c>
    </row>
    <row r="19">
      <c r="B19" s="26" t="inlineStr">
        <is>
          <t>Savings — joint</t>
        </is>
      </c>
      <c r="C19" s="34" t="n">
        <v>22000</v>
      </c>
    </row>
    <row r="20">
      <c r="B20" s="26" t="inlineStr">
        <is>
          <t>Emergency fund — POD</t>
        </is>
      </c>
      <c r="C20" s="34" t="n">
        <v>15000</v>
      </c>
    </row>
    <row r="21">
      <c r="B21" s="9">
        <f> CASH REACHABLE IN DAYS, NOT MONTHS</f>
        <v/>
      </c>
      <c r="C21" s="35">
        <f>SUM(ReachableCol)</f>
        <v/>
      </c>
    </row>
    <row r="22">
      <c r="B22" s="26" t="inlineStr">
        <is>
          <t>÷ monthly household running cost</t>
        </is>
      </c>
      <c r="C22" s="27">
        <f>MonthlyNeed</f>
        <v/>
      </c>
    </row>
    <row r="23">
      <c r="B23" s="9">
        <f> MONTHS THEY COULD KEEP GOING</f>
        <v/>
      </c>
      <c r="C23" s="36">
        <f>IFERROR(CashReachable/MonthlyNeed,0)</f>
        <v/>
      </c>
    </row>
    <row r="25">
      <c r="B25" s="4" t="inlineStr">
        <is>
          <t>DOES THE INSURANCE COVER WHAT'S OWED?</t>
        </is>
      </c>
    </row>
    <row r="26">
      <c r="B26" s="26" t="inlineStr">
        <is>
          <t>Life insurance in force</t>
        </is>
      </c>
      <c r="C26" s="34" t="n">
        <v>500000</v>
      </c>
    </row>
    <row r="27">
      <c r="B27" s="26" t="inlineStr">
        <is>
          <t>÷ total debts</t>
        </is>
      </c>
      <c r="C27" s="27">
        <f>TotalDebts</f>
        <v/>
      </c>
    </row>
    <row r="28">
      <c r="B28" s="9">
        <f> IT COVERS THE DEBTS THIS MANY TIMES</f>
        <v/>
      </c>
      <c r="C28" s="37">
        <f>IFERROR(LifeInsurance/TotalDebts,0)</f>
        <v/>
      </c>
    </row>
    <row r="30">
      <c r="B30" s="4" t="inlineStr">
        <is>
          <t>A beneficiary form takes ten minutes and skips probate entirely. That is the whole lesson.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16" customWidth="1" min="4" max="4"/>
    <col width="30" customWidth="1" min="5" max="5"/>
    <col width="12" customWidth="1" min="6" max="6"/>
    <col width="46" customWidth="1" min="7" max="7"/>
    <col width="2" customWidth="1" min="8" max="8"/>
  </cols>
  <sheetData>
    <row r="1" ht="46" customHeight="1">
      <c r="A1" s="1" t="inlineStr">
        <is>
          <t xml:space="preserve">  💰  ASSETS &amp; ACCOUNTS</t>
        </is>
      </c>
    </row>
    <row r="2" ht="22" customHeight="1">
      <c r="A2" s="2" t="inlineStr">
        <is>
          <t xml:space="preserve">  Everything you own, what it's worth, how it transfers — and where to find it.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B4" s="9" t="inlineStr">
        <is>
          <t>Asset</t>
        </is>
      </c>
      <c r="C4" s="9" t="inlineStr">
        <is>
          <t>Category</t>
        </is>
      </c>
      <c r="D4" s="9" t="inlineStr">
        <is>
          <t>Value</t>
        </is>
      </c>
      <c r="E4" s="9" t="inlineStr">
        <is>
          <t>How it transfers</t>
        </is>
      </c>
      <c r="F4" s="9" t="inlineStr">
        <is>
          <t>Probate?</t>
        </is>
      </c>
      <c r="G4" s="9" t="inlineStr">
        <is>
          <t>Where to find it</t>
        </is>
      </c>
    </row>
    <row r="5">
      <c r="B5" s="20" t="inlineStr">
        <is>
          <t>Checking — joint</t>
        </is>
      </c>
      <c r="C5" s="22" t="inlineStr">
        <is>
          <t>Cash</t>
        </is>
      </c>
      <c r="D5" s="34" t="n">
        <v>8400</v>
      </c>
      <c r="E5" s="20" t="inlineStr">
        <is>
          <t>Joint with right of survivorship</t>
        </is>
      </c>
      <c r="F5" s="38" t="inlineStr">
        <is>
          <t>No</t>
        </is>
      </c>
      <c r="G5" s="20" t="inlineStr">
        <is>
          <t>First Cedar Bank — app &amp; statements in file drawer</t>
        </is>
      </c>
    </row>
    <row r="6">
      <c r="B6" s="23" t="inlineStr">
        <is>
          <t>Savings — joint</t>
        </is>
      </c>
      <c r="C6" s="25" t="inlineStr">
        <is>
          <t>Cash</t>
        </is>
      </c>
      <c r="D6" s="39" t="n">
        <v>22000</v>
      </c>
      <c r="E6" s="23" t="inlineStr">
        <is>
          <t>Joint with right of survivorship</t>
        </is>
      </c>
      <c r="F6" s="40" t="inlineStr">
        <is>
          <t>No</t>
        </is>
      </c>
      <c r="G6" s="23" t="inlineStr">
        <is>
          <t>First Cedar Bank — same login</t>
        </is>
      </c>
    </row>
    <row r="7">
      <c r="B7" s="20" t="inlineStr">
        <is>
          <t>Emergency fund — individual</t>
        </is>
      </c>
      <c r="C7" s="22" t="inlineStr">
        <is>
          <t>Cash</t>
        </is>
      </c>
      <c r="D7" s="34" t="n">
        <v>15000</v>
      </c>
      <c r="E7" s="20" t="inlineStr">
        <is>
          <t>Payable on death (POD)</t>
        </is>
      </c>
      <c r="F7" s="38" t="inlineStr">
        <is>
          <t>No</t>
        </is>
      </c>
      <c r="G7" s="20" t="inlineStr">
        <is>
          <t>Harbor Credit Union — POD form on file</t>
        </is>
      </c>
    </row>
    <row r="8">
      <c r="B8" s="23" t="inlineStr">
        <is>
          <t>401(k)</t>
        </is>
      </c>
      <c r="C8" s="25" t="inlineStr">
        <is>
          <t>Retirement</t>
        </is>
      </c>
      <c r="D8" s="39" t="n">
        <v>312000</v>
      </c>
      <c r="E8" s="23" t="inlineStr">
        <is>
          <t>Beneficiary named</t>
        </is>
      </c>
      <c r="F8" s="40" t="inlineStr">
        <is>
          <t>No</t>
        </is>
      </c>
      <c r="G8" s="23" t="inlineStr">
        <is>
          <t>Fidelity — employer plan, see HR contact</t>
        </is>
      </c>
    </row>
    <row r="9">
      <c r="B9" s="20" t="inlineStr">
        <is>
          <t>Roth IRA</t>
        </is>
      </c>
      <c r="C9" s="22" t="inlineStr">
        <is>
          <t>Retirement</t>
        </is>
      </c>
      <c r="D9" s="34" t="n">
        <v>96000</v>
      </c>
      <c r="E9" s="20" t="inlineStr">
        <is>
          <t>Beneficiary named</t>
        </is>
      </c>
      <c r="F9" s="38" t="inlineStr">
        <is>
          <t>No</t>
        </is>
      </c>
      <c r="G9" s="20" t="inlineStr">
        <is>
          <t>Vanguard — online only</t>
        </is>
      </c>
    </row>
    <row r="10">
      <c r="B10" s="23" t="inlineStr">
        <is>
          <t>Brokerage — individual</t>
        </is>
      </c>
      <c r="C10" s="25" t="inlineStr">
        <is>
          <t>Investment</t>
        </is>
      </c>
      <c r="D10" s="39" t="n">
        <v>84000</v>
      </c>
      <c r="E10" s="23" t="inlineStr">
        <is>
          <t>NO beneficiary named</t>
        </is>
      </c>
      <c r="F10" s="40" t="inlineStr">
        <is>
          <t>Yes</t>
        </is>
      </c>
      <c r="G10" s="23" t="inlineStr">
        <is>
          <t>Schwab — NEEDS A TOD FORM</t>
        </is>
      </c>
    </row>
    <row r="11">
      <c r="B11" s="20" t="inlineStr">
        <is>
          <t>Home</t>
        </is>
      </c>
      <c r="C11" s="22" t="inlineStr">
        <is>
          <t>Property</t>
        </is>
      </c>
      <c r="D11" s="34" t="n">
        <v>410000</v>
      </c>
      <c r="E11" s="20" t="inlineStr">
        <is>
          <t>Sole title</t>
        </is>
      </c>
      <c r="F11" s="38" t="inlineStr">
        <is>
          <t>Yes</t>
        </is>
      </c>
      <c r="G11" s="20" t="inlineStr">
        <is>
          <t>Deed in fire safe — sole name, needs review</t>
        </is>
      </c>
    </row>
    <row r="12">
      <c r="B12" s="23" t="inlineStr">
        <is>
          <t>Vehicle — sedan</t>
        </is>
      </c>
      <c r="C12" s="25" t="inlineStr">
        <is>
          <t>Vehicle</t>
        </is>
      </c>
      <c r="D12" s="39" t="n">
        <v>18000</v>
      </c>
      <c r="E12" s="23" t="inlineStr">
        <is>
          <t>Sole title</t>
        </is>
      </c>
      <c r="F12" s="40" t="inlineStr">
        <is>
          <t>Yes</t>
        </is>
      </c>
      <c r="G12" s="23" t="inlineStr">
        <is>
          <t>Title in fire safe</t>
        </is>
      </c>
    </row>
    <row r="13">
      <c r="B13" s="20" t="inlineStr">
        <is>
          <t>Vehicle — truck</t>
        </is>
      </c>
      <c r="C13" s="22" t="inlineStr">
        <is>
          <t>Vehicle</t>
        </is>
      </c>
      <c r="D13" s="34" t="n">
        <v>9500</v>
      </c>
      <c r="E13" s="20" t="inlineStr">
        <is>
          <t>Sole title</t>
        </is>
      </c>
      <c r="F13" s="38" t="inlineStr">
        <is>
          <t>Yes</t>
        </is>
      </c>
      <c r="G13" s="20" t="inlineStr">
        <is>
          <t>Title in fire safe</t>
        </is>
      </c>
    </row>
    <row r="14">
      <c r="B14" s="23" t="inlineStr">
        <is>
          <t>Life insurance — term</t>
        </is>
      </c>
      <c r="C14" s="25" t="inlineStr">
        <is>
          <t>Insurance</t>
        </is>
      </c>
      <c r="D14" s="39" t="n">
        <v>500000</v>
      </c>
      <c r="E14" s="23" t="inlineStr">
        <is>
          <t>Beneficiary named</t>
        </is>
      </c>
      <c r="F14" s="40" t="inlineStr">
        <is>
          <t>No</t>
        </is>
      </c>
      <c r="G14" s="23" t="inlineStr">
        <is>
          <t>Northfield Mutual — policy in fire safe</t>
        </is>
      </c>
    </row>
    <row r="15">
      <c r="B15" s="20" t="inlineStr">
        <is>
          <t>HSA</t>
        </is>
      </c>
      <c r="C15" s="22" t="inlineStr">
        <is>
          <t>Retirement</t>
        </is>
      </c>
      <c r="D15" s="34" t="n">
        <v>11000</v>
      </c>
      <c r="E15" s="20" t="inlineStr">
        <is>
          <t>Beneficiary named</t>
        </is>
      </c>
      <c r="F15" s="38" t="inlineStr">
        <is>
          <t>No</t>
        </is>
      </c>
      <c r="G15" s="20" t="inlineStr">
        <is>
          <t>HealthEquity — online</t>
        </is>
      </c>
    </row>
    <row r="16">
      <c r="B16" s="23" t="inlineStr">
        <is>
          <t>Personal property &amp; collectibles</t>
        </is>
      </c>
      <c r="C16" s="25" t="inlineStr">
        <is>
          <t>Personal</t>
        </is>
      </c>
      <c r="D16" s="39" t="n">
        <v>14000</v>
      </c>
      <c r="E16" s="23" t="inlineStr">
        <is>
          <t>Sole title</t>
        </is>
      </c>
      <c r="F16" s="40" t="inlineStr">
        <is>
          <t>Yes</t>
        </is>
      </c>
      <c r="G16" s="23" t="inlineStr">
        <is>
          <t>Inventory list &amp; photos in this file</t>
        </is>
      </c>
    </row>
    <row r="17">
      <c r="B17" s="9" t="inlineStr">
        <is>
          <t>TOTAL ASSETS</t>
        </is>
      </c>
      <c r="C17" s="41" t="n"/>
      <c r="D17" s="42">
        <f>SUM(AssetValue)</f>
        <v/>
      </c>
      <c r="E17" s="26" t="inlineStr">
        <is>
          <t>of which exposed to probate</t>
        </is>
      </c>
      <c r="F17" s="43">
        <f>SUMIF(AssetProbate,"Yes",AssetValue)</f>
        <v/>
      </c>
    </row>
    <row r="18">
      <c r="B18" s="26" t="inlineStr">
        <is>
          <t>Accounts documented</t>
        </is>
      </c>
      <c r="D18" s="44">
        <f>COUNTA(AssetName)</f>
        <v/>
      </c>
    </row>
    <row r="20">
      <c r="B20" s="4" t="inlineStr">
        <is>
          <t>Anything marked Yes has no named beneficiary and no joint owner. That is the list to fix.</t>
        </is>
      </c>
    </row>
  </sheetData>
  <mergeCells count="2">
    <mergeCell ref="A2:G2"/>
    <mergeCell ref="A1:G1"/>
  </mergeCells>
  <conditionalFormatting sqref="F5:F16">
    <cfRule type="cellIs" priority="1" operator="equal" dxfId="0">
      <formula>"Yes"</formula>
    </cfRule>
  </conditionalFormatting>
  <dataValidations count="3">
    <dataValidation sqref="C5:C16" showDropDown="0" showInputMessage="0" showErrorMessage="0" allowBlank="1" type="list">
      <formula1>=AssetCatList</formula1>
    </dataValidation>
    <dataValidation sqref="E5:E16" showDropDown="0" showInputMessage="0" showErrorMessage="0" allowBlank="1" type="list">
      <formula1>=TransferList</formula1>
    </dataValidation>
    <dataValidation sqref="F5:F16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8" customWidth="1" min="3" max="3"/>
    <col width="16" customWidth="1" min="4" max="4"/>
    <col width="16" customWidth="1" min="5" max="5"/>
    <col width="40" customWidth="1" min="6" max="6"/>
    <col width="2" customWidth="1" min="7" max="7"/>
  </cols>
  <sheetData>
    <row r="1" ht="46" customHeight="1">
      <c r="A1" s="1" t="inlineStr">
        <is>
          <t xml:space="preserve">  📄  DEBTS &amp; BILLS</t>
        </is>
      </c>
    </row>
    <row r="2" ht="22" customHeight="1">
      <c r="A2" s="2" t="inlineStr">
        <is>
          <t xml:space="preserve">  What is owed, to whom, and the number someone would need to call.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Debt</t>
        </is>
      </c>
      <c r="C4" s="9" t="inlineStr">
        <is>
          <t>Held by</t>
        </is>
      </c>
      <c r="D4" s="9" t="inlineStr">
        <is>
          <t>Balance</t>
        </is>
      </c>
      <c r="E4" s="9" t="inlineStr">
        <is>
          <t>Monthly</t>
        </is>
      </c>
      <c r="F4" s="9" t="inlineStr">
        <is>
          <t>Who to call</t>
        </is>
      </c>
    </row>
    <row r="5">
      <c r="B5" s="20" t="inlineStr">
        <is>
          <t>Mortgage</t>
        </is>
      </c>
      <c r="C5" s="20" t="inlineStr">
        <is>
          <t>First Cedar Bank</t>
        </is>
      </c>
      <c r="D5" s="34" t="n">
        <v>218000</v>
      </c>
      <c r="E5" s="34" t="n">
        <v>1640</v>
      </c>
      <c r="F5" s="20" t="inlineStr">
        <is>
          <t>800-555-0142 — loan #4471</t>
        </is>
      </c>
    </row>
    <row r="6">
      <c r="B6" s="23" t="inlineStr">
        <is>
          <t>Auto loan</t>
        </is>
      </c>
      <c r="C6" s="23" t="inlineStr">
        <is>
          <t>Harbor Credit Union</t>
        </is>
      </c>
      <c r="D6" s="39" t="n">
        <v>12400</v>
      </c>
      <c r="E6" s="39" t="n">
        <v>385</v>
      </c>
      <c r="F6" s="23" t="inlineStr">
        <is>
          <t>800-555-0198 — loan #2210</t>
        </is>
      </c>
    </row>
    <row r="7">
      <c r="B7" s="20" t="inlineStr">
        <is>
          <t>Credit cards</t>
        </is>
      </c>
      <c r="C7" s="20" t="inlineStr">
        <is>
          <t>Two cards — see list</t>
        </is>
      </c>
      <c r="D7" s="34" t="n">
        <v>4600</v>
      </c>
      <c r="E7" s="34" t="n">
        <v>210</v>
      </c>
      <c r="F7" s="20" t="inlineStr">
        <is>
          <t>Numbers on the back of each card</t>
        </is>
      </c>
    </row>
    <row r="8">
      <c r="B8" s="23" t="inlineStr">
        <is>
          <t>Student loan</t>
        </is>
      </c>
      <c r="C8" s="23" t="inlineStr">
        <is>
          <t>Federal servicer</t>
        </is>
      </c>
      <c r="D8" s="39" t="n">
        <v>9200</v>
      </c>
      <c r="E8" s="39" t="n">
        <v>165</v>
      </c>
      <c r="F8" s="23" t="inlineStr">
        <is>
          <t>Discharged on death — send certificate</t>
        </is>
      </c>
    </row>
    <row r="9">
      <c r="B9" s="9" t="inlineStr">
        <is>
          <t>TOTAL DEBTS</t>
        </is>
      </c>
      <c r="C9" s="41" t="n"/>
      <c r="D9" s="42">
        <f>SUM(DebtBalance)</f>
        <v/>
      </c>
      <c r="E9" s="45">
        <f>SUM(DebtMonthly)</f>
        <v/>
      </c>
    </row>
    <row r="11">
      <c r="B11" s="4" t="inlineStr">
        <is>
          <t>Some debts die with you and some do not. Write down which is which while you can.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6" customWidth="1" min="3" max="3"/>
    <col width="26" customWidth="1" min="4" max="4"/>
    <col width="17" customWidth="1" min="5" max="5"/>
    <col width="16" customWidth="1" min="6" max="6"/>
    <col width="2" customWidth="1" min="7" max="7"/>
  </cols>
  <sheetData>
    <row r="1" ht="46" customHeight="1">
      <c r="A1" s="1" t="inlineStr">
        <is>
          <t xml:space="preserve">  👥  BENEFICIARIES</t>
        </is>
      </c>
    </row>
    <row r="2" ht="22" customHeight="1">
      <c r="A2" s="2" t="inlineStr">
        <is>
          <t xml:space="preserve">  The forms that override your will — check them, because they win.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Account</t>
        </is>
      </c>
      <c r="C4" s="9" t="inlineStr">
        <is>
          <t>Primary</t>
        </is>
      </c>
      <c r="D4" s="9" t="inlineStr">
        <is>
          <t>Contingent</t>
        </is>
      </c>
      <c r="E4" s="9" t="inlineStr">
        <is>
          <t>Last reviewed</t>
        </is>
      </c>
      <c r="F4" s="9" t="inlineStr">
        <is>
          <t>Needs action</t>
        </is>
      </c>
    </row>
    <row r="5">
      <c r="B5" s="20" t="inlineStr">
        <is>
          <t>401(k)</t>
        </is>
      </c>
      <c r="C5" s="38" t="inlineStr">
        <is>
          <t>Spouse — 100%</t>
        </is>
      </c>
      <c r="D5" s="38" t="inlineStr">
        <is>
          <t>Children equally</t>
        </is>
      </c>
      <c r="E5" s="38" t="inlineStr">
        <is>
          <t>03/2026</t>
        </is>
      </c>
      <c r="F5" s="38" t="inlineStr">
        <is>
          <t>No</t>
        </is>
      </c>
    </row>
    <row r="6">
      <c r="B6" s="23" t="inlineStr">
        <is>
          <t>Roth IRA</t>
        </is>
      </c>
      <c r="C6" s="40" t="inlineStr">
        <is>
          <t>Spouse — 100%</t>
        </is>
      </c>
      <c r="D6" s="40" t="inlineStr">
        <is>
          <t>Children equally</t>
        </is>
      </c>
      <c r="E6" s="40" t="inlineStr">
        <is>
          <t>03/2026</t>
        </is>
      </c>
      <c r="F6" s="40" t="inlineStr">
        <is>
          <t>No</t>
        </is>
      </c>
    </row>
    <row r="7">
      <c r="B7" s="20" t="inlineStr">
        <is>
          <t>HSA</t>
        </is>
      </c>
      <c r="C7" s="38" t="inlineStr">
        <is>
          <t>Spouse — 100%</t>
        </is>
      </c>
      <c r="D7" s="38" t="inlineStr">
        <is>
          <t>Estate</t>
        </is>
      </c>
      <c r="E7" s="38" t="inlineStr">
        <is>
          <t>03/2026</t>
        </is>
      </c>
      <c r="F7" s="38" t="inlineStr">
        <is>
          <t>No</t>
        </is>
      </c>
    </row>
    <row r="8">
      <c r="B8" s="23" t="inlineStr">
        <is>
          <t>Life insurance — term</t>
        </is>
      </c>
      <c r="C8" s="40" t="inlineStr">
        <is>
          <t>Spouse — 100%</t>
        </is>
      </c>
      <c r="D8" s="40" t="inlineStr">
        <is>
          <t>Children equally</t>
        </is>
      </c>
      <c r="E8" s="40" t="inlineStr">
        <is>
          <t>03/2026</t>
        </is>
      </c>
      <c r="F8" s="40" t="inlineStr">
        <is>
          <t>No</t>
        </is>
      </c>
    </row>
    <row r="9">
      <c r="B9" s="20" t="inlineStr">
        <is>
          <t>Emergency fund (POD)</t>
        </is>
      </c>
      <c r="C9" s="38" t="inlineStr">
        <is>
          <t>Spouse</t>
        </is>
      </c>
      <c r="D9" s="38" t="inlineStr">
        <is>
          <t>—</t>
        </is>
      </c>
      <c r="E9" s="38" t="inlineStr">
        <is>
          <t>01/2026</t>
        </is>
      </c>
      <c r="F9" s="38" t="inlineStr">
        <is>
          <t>No</t>
        </is>
      </c>
    </row>
    <row r="10">
      <c r="B10" s="23" t="inlineStr">
        <is>
          <t>Checking — joint</t>
        </is>
      </c>
      <c r="C10" s="40" t="inlineStr">
        <is>
          <t>Joint owner</t>
        </is>
      </c>
      <c r="D10" s="40" t="inlineStr">
        <is>
          <t>—</t>
        </is>
      </c>
      <c r="E10" s="40" t="inlineStr">
        <is>
          <t>01/2026</t>
        </is>
      </c>
      <c r="F10" s="40" t="inlineStr">
        <is>
          <t>No</t>
        </is>
      </c>
    </row>
    <row r="11">
      <c r="B11" s="20" t="inlineStr">
        <is>
          <t>Savings — joint</t>
        </is>
      </c>
      <c r="C11" s="38" t="inlineStr">
        <is>
          <t>Joint owner</t>
        </is>
      </c>
      <c r="D11" s="38" t="inlineStr">
        <is>
          <t>—</t>
        </is>
      </c>
      <c r="E11" s="38" t="inlineStr">
        <is>
          <t>01/2026</t>
        </is>
      </c>
      <c r="F11" s="38" t="inlineStr">
        <is>
          <t>No</t>
        </is>
      </c>
    </row>
    <row r="13">
      <c r="B13" s="26" t="inlineStr">
        <is>
          <t>Accounts that can carry a beneficiary</t>
        </is>
      </c>
      <c r="E13" s="44">
        <f>COUNTA(BeneAccount)</f>
        <v/>
      </c>
    </row>
    <row r="14">
      <c r="B14" s="26" t="inlineStr">
        <is>
          <t>…with someone actually named</t>
        </is>
      </c>
      <c r="E14" s="46">
        <f>COUNTA(BenePrimary)</f>
        <v/>
      </c>
    </row>
    <row r="16">
      <c r="B16" s="4" t="inlineStr">
        <is>
          <t>A beneficiary designation beats your will. If they disagree, the form wins.</t>
        </is>
      </c>
    </row>
  </sheetData>
  <mergeCells count="2">
    <mergeCell ref="A2:F2"/>
    <mergeCell ref="A1:F1"/>
  </mergeCells>
  <conditionalFormatting sqref="F5:F11">
    <cfRule type="cellIs" priority="1" operator="equal" dxfId="0">
      <formula>"Yes"</formula>
    </cfRule>
  </conditionalFormatting>
  <dataValidations count="1">
    <dataValidation sqref="F5:F11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36" customWidth="1" min="2" max="2"/>
    <col width="18" customWidth="1" min="3" max="3"/>
    <col width="44" customWidth="1" min="4" max="4"/>
    <col width="28" customWidth="1" min="5" max="5"/>
    <col width="2" customWidth="1" min="6" max="6"/>
  </cols>
  <sheetData>
    <row r="1" ht="46" customHeight="1">
      <c r="A1" s="1" t="inlineStr">
        <is>
          <t xml:space="preserve">  📜  LEGAL DOCUMENTS</t>
        </is>
      </c>
    </row>
    <row r="2" ht="22" customHeight="1">
      <c r="A2" s="2" t="inlineStr">
        <is>
          <t xml:space="preserve">  The ten documents that decide everything — and honestly, which ones you have.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Document</t>
        </is>
      </c>
      <c r="C4" s="9" t="inlineStr">
        <is>
          <t>Status</t>
        </is>
      </c>
      <c r="D4" s="9" t="inlineStr">
        <is>
          <t>Where it is kept</t>
        </is>
      </c>
      <c r="E4" s="9" t="inlineStr">
        <is>
          <t>Prepared by / date</t>
        </is>
      </c>
    </row>
    <row r="5">
      <c r="B5" s="20" t="inlineStr">
        <is>
          <t>Will</t>
        </is>
      </c>
      <c r="C5" s="38" t="inlineStr">
        <is>
          <t>Signed</t>
        </is>
      </c>
      <c r="D5" s="20" t="inlineStr">
        <is>
          <t>Fire safe — original; copy with attorney</t>
        </is>
      </c>
      <c r="E5" s="20" t="inlineStr">
        <is>
          <t>Reyes Law, 06/2023</t>
        </is>
      </c>
    </row>
    <row r="6">
      <c r="B6" s="23" t="inlineStr">
        <is>
          <t>Living trust</t>
        </is>
      </c>
      <c r="C6" s="40" t="inlineStr">
        <is>
          <t>Not started</t>
        </is>
      </c>
      <c r="D6" s="23" t="inlineStr">
        <is>
          <t>—</t>
        </is>
      </c>
      <c r="E6" s="23" t="inlineStr">
        <is>
          <t>—</t>
        </is>
      </c>
    </row>
    <row r="7">
      <c r="B7" s="20" t="inlineStr">
        <is>
          <t>Financial power of attorney</t>
        </is>
      </c>
      <c r="C7" s="38" t="inlineStr">
        <is>
          <t>Not started</t>
        </is>
      </c>
      <c r="D7" s="20" t="inlineStr">
        <is>
          <t>—</t>
        </is>
      </c>
      <c r="E7" s="20" t="inlineStr">
        <is>
          <t>—</t>
        </is>
      </c>
    </row>
    <row r="8">
      <c r="B8" s="23" t="inlineStr">
        <is>
          <t>Healthcare power of attorney</t>
        </is>
      </c>
      <c r="C8" s="40" t="inlineStr">
        <is>
          <t>Signed</t>
        </is>
      </c>
      <c r="D8" s="23" t="inlineStr">
        <is>
          <t>Fire safe + copy with doctor</t>
        </is>
      </c>
      <c r="E8" s="23" t="inlineStr">
        <is>
          <t>Reyes Law, 06/2023</t>
        </is>
      </c>
    </row>
    <row r="9">
      <c r="B9" s="20" t="inlineStr">
        <is>
          <t>Living will / advance directive</t>
        </is>
      </c>
      <c r="C9" s="38" t="inlineStr">
        <is>
          <t>Not started</t>
        </is>
      </c>
      <c r="D9" s="20" t="inlineStr">
        <is>
          <t>—</t>
        </is>
      </c>
      <c r="E9" s="20" t="inlineStr">
        <is>
          <t>—</t>
        </is>
      </c>
    </row>
    <row r="10">
      <c r="B10" s="23" t="inlineStr">
        <is>
          <t>HIPAA release</t>
        </is>
      </c>
      <c r="C10" s="40" t="inlineStr">
        <is>
          <t>Not started</t>
        </is>
      </c>
      <c r="D10" s="23" t="inlineStr">
        <is>
          <t>—</t>
        </is>
      </c>
      <c r="E10" s="23" t="inlineStr">
        <is>
          <t>—</t>
        </is>
      </c>
    </row>
    <row r="11">
      <c r="B11" s="20" t="inlineStr">
        <is>
          <t>Beneficiary designations reviewed</t>
        </is>
      </c>
      <c r="C11" s="38" t="inlineStr">
        <is>
          <t>Signed</t>
        </is>
      </c>
      <c r="D11" s="20" t="inlineStr">
        <is>
          <t>Confirmations in this file</t>
        </is>
      </c>
      <c r="E11" s="20" t="inlineStr">
        <is>
          <t>Self, 03/2026</t>
        </is>
      </c>
    </row>
    <row r="12">
      <c r="B12" s="23" t="inlineStr">
        <is>
          <t>Letter of instruction</t>
        </is>
      </c>
      <c r="C12" s="40" t="inlineStr">
        <is>
          <t>Not started</t>
        </is>
      </c>
      <c r="D12" s="23" t="inlineStr">
        <is>
          <t>—</t>
        </is>
      </c>
      <c r="E12" s="23" t="inlineStr">
        <is>
          <t>—</t>
        </is>
      </c>
    </row>
    <row r="13">
      <c r="B13" s="20" t="inlineStr">
        <is>
          <t>Digital asset authorization</t>
        </is>
      </c>
      <c r="C13" s="38" t="inlineStr">
        <is>
          <t>Not started</t>
        </is>
      </c>
      <c r="D13" s="20" t="inlineStr">
        <is>
          <t>—</t>
        </is>
      </c>
      <c r="E13" s="20" t="inlineStr">
        <is>
          <t>—</t>
        </is>
      </c>
    </row>
    <row r="14">
      <c r="B14" s="23" t="inlineStr">
        <is>
          <t>Funeral &amp; burial wishes</t>
        </is>
      </c>
      <c r="C14" s="40" t="inlineStr">
        <is>
          <t>Signed</t>
        </is>
      </c>
      <c r="D14" s="23" t="inlineStr">
        <is>
          <t>Final Wishes tab + copy with spouse</t>
        </is>
      </c>
      <c r="E14" s="23" t="inlineStr">
        <is>
          <t>Self, 03/2026</t>
        </is>
      </c>
    </row>
    <row r="16">
      <c r="B16" s="9" t="inlineStr">
        <is>
          <t>SIGNED</t>
        </is>
      </c>
      <c r="C16" s="47">
        <f>COUNTIF(DocStatusCol,"Signed")</f>
        <v/>
      </c>
      <c r="D16" s="26" t="inlineStr">
        <is>
          <t>…out of the ten that matter</t>
        </is>
      </c>
    </row>
    <row r="17">
      <c r="B17" s="26" t="inlineStr">
        <is>
          <t>Not started</t>
        </is>
      </c>
      <c r="C17" s="48">
        <f>COUNTIF(DocStatusCol,"Not started")</f>
        <v/>
      </c>
    </row>
    <row r="18">
      <c r="B18" s="9">
        <f> HOW READY THE PAPERWORK IS</f>
        <v/>
      </c>
      <c r="C18" s="49">
        <f>IFERROR(DocsSigned/DocGoal,0)</f>
        <v/>
      </c>
    </row>
    <row r="20">
      <c r="B20" s="4" t="inlineStr">
        <is>
          <t>Most people have a will and nothing else. The other nine are the ones that get used first.</t>
        </is>
      </c>
    </row>
  </sheetData>
  <mergeCells count="2">
    <mergeCell ref="A2:E2"/>
    <mergeCell ref="A1:E1"/>
  </mergeCells>
  <conditionalFormatting sqref="C5:C14">
    <cfRule type="cellIs" priority="1" operator="equal" dxfId="1">
      <formula>"Signed"</formula>
    </cfRule>
    <cfRule type="cellIs" priority="2" operator="equal" dxfId="0">
      <formula>"Not started"</formula>
    </cfRule>
  </conditionalFormatting>
  <dataValidations count="1">
    <dataValidation sqref="C5:C14" showDropDown="0" showInputMessage="0" showErrorMessage="0" allowBlank="1" type="list">
      <formula1>=DocStatusList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26" customWidth="1" min="3" max="3"/>
    <col width="14" customWidth="1" min="4" max="4"/>
    <col width="16" customWidth="1" min="5" max="5"/>
    <col width="18" customWidth="1" min="6" max="6"/>
    <col width="18" customWidth="1" min="7" max="7"/>
    <col width="2" customWidth="1" min="8" max="8"/>
  </cols>
  <sheetData>
    <row r="1" ht="46" customHeight="1">
      <c r="A1" s="1" t="inlineStr">
        <is>
          <t xml:space="preserve">  🛡  INSURANCE POLICIES</t>
        </is>
      </c>
    </row>
    <row r="2" ht="22" customHeight="1">
      <c r="A2" s="2" t="inlineStr">
        <is>
          <t xml:space="preserve">  Every policy, the number on it, and who to call to claim it.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B4" s="9" t="inlineStr">
        <is>
          <t>Policy</t>
        </is>
      </c>
      <c r="C4" s="9" t="inlineStr">
        <is>
          <t>Company</t>
        </is>
      </c>
      <c r="D4" s="9" t="inlineStr">
        <is>
          <t>Type</t>
        </is>
      </c>
      <c r="E4" s="9" t="inlineStr">
        <is>
          <t>Coverage</t>
        </is>
      </c>
      <c r="F4" s="9" t="inlineStr">
        <is>
          <t>Policy #</t>
        </is>
      </c>
      <c r="G4" s="9" t="inlineStr">
        <is>
          <t>Contact</t>
        </is>
      </c>
    </row>
    <row r="5">
      <c r="B5" s="50" t="inlineStr">
        <is>
          <t>Term life — 20 yr</t>
        </is>
      </c>
      <c r="C5" s="50" t="inlineStr">
        <is>
          <t>Northfield Mutual</t>
        </is>
      </c>
      <c r="D5" s="51" t="inlineStr">
        <is>
          <t>Life</t>
        </is>
      </c>
      <c r="E5" s="52" t="n">
        <v>500000</v>
      </c>
      <c r="F5" s="51" t="inlineStr">
        <is>
          <t>NM-4471902</t>
        </is>
      </c>
      <c r="G5" s="51" t="inlineStr">
        <is>
          <t>800-555-0110</t>
        </is>
      </c>
    </row>
    <row r="6">
      <c r="B6" s="23" t="inlineStr">
        <is>
          <t>Homeowners</t>
        </is>
      </c>
      <c r="C6" s="23" t="inlineStr">
        <is>
          <t>Cedar Ridge Insurance</t>
        </is>
      </c>
      <c r="D6" s="25" t="inlineStr">
        <is>
          <t>Property</t>
        </is>
      </c>
      <c r="E6" s="53" t="n">
        <v>410000</v>
      </c>
      <c r="F6" s="25" t="inlineStr">
        <is>
          <t>CR-88120</t>
        </is>
      </c>
      <c r="G6" s="25" t="inlineStr">
        <is>
          <t>800-555-0166</t>
        </is>
      </c>
    </row>
    <row r="7">
      <c r="B7" s="50" t="inlineStr">
        <is>
          <t>Auto — both vehicles</t>
        </is>
      </c>
      <c r="C7" s="50" t="inlineStr">
        <is>
          <t>Cedar Ridge Insurance</t>
        </is>
      </c>
      <c r="D7" s="51" t="inlineStr">
        <is>
          <t>Auto</t>
        </is>
      </c>
      <c r="E7" s="52" t="n">
        <v>300000</v>
      </c>
      <c r="F7" s="51" t="inlineStr">
        <is>
          <t>CR-88121</t>
        </is>
      </c>
      <c r="G7" s="51" t="inlineStr">
        <is>
          <t>800-555-0166</t>
        </is>
      </c>
    </row>
    <row r="8">
      <c r="B8" s="23" t="inlineStr">
        <is>
          <t>Umbrella liability</t>
        </is>
      </c>
      <c r="C8" s="23" t="inlineStr">
        <is>
          <t>Cedar Ridge Insurance</t>
        </is>
      </c>
      <c r="D8" s="25" t="inlineStr">
        <is>
          <t>Liability</t>
        </is>
      </c>
      <c r="E8" s="53" t="n">
        <v>1000000</v>
      </c>
      <c r="F8" s="25" t="inlineStr">
        <is>
          <t>CR-88122</t>
        </is>
      </c>
      <c r="G8" s="25" t="inlineStr">
        <is>
          <t>800-555-0166</t>
        </is>
      </c>
    </row>
    <row r="9">
      <c r="B9" s="50" t="inlineStr">
        <is>
          <t>Health</t>
        </is>
      </c>
      <c r="C9" s="50" t="inlineStr">
        <is>
          <t>Meridian Health</t>
        </is>
      </c>
      <c r="D9" s="51" t="inlineStr">
        <is>
          <t>Health</t>
        </is>
      </c>
      <c r="E9" s="52" t="n">
        <v>0</v>
      </c>
      <c r="F9" s="51" t="inlineStr">
        <is>
          <t>MH-33417</t>
        </is>
      </c>
      <c r="G9" s="51" t="inlineStr">
        <is>
          <t>800-555-0177</t>
        </is>
      </c>
    </row>
    <row r="10">
      <c r="B10" s="23" t="inlineStr">
        <is>
          <t>Long-term disability</t>
        </is>
      </c>
      <c r="C10" s="23" t="inlineStr">
        <is>
          <t>Employer plan</t>
        </is>
      </c>
      <c r="D10" s="25" t="inlineStr">
        <is>
          <t>Disability</t>
        </is>
      </c>
      <c r="E10" s="53" t="n">
        <v>0</v>
      </c>
      <c r="F10" s="25" t="inlineStr">
        <is>
          <t>Through HR</t>
        </is>
      </c>
      <c r="G10" s="25" t="inlineStr">
        <is>
          <t>See HR contact</t>
        </is>
      </c>
    </row>
    <row r="11">
      <c r="B11" s="50" t="n"/>
      <c r="C11" s="50" t="n"/>
      <c r="D11" s="51" t="n"/>
      <c r="E11" s="52" t="n"/>
      <c r="F11" s="51" t="n"/>
      <c r="G11" s="51" t="n"/>
    </row>
    <row r="12">
      <c r="B12" s="23" t="n"/>
      <c r="C12" s="23" t="n"/>
      <c r="D12" s="25" t="n"/>
      <c r="E12" s="53" t="n"/>
      <c r="F12" s="25" t="n"/>
      <c r="G12" s="25" t="n"/>
    </row>
    <row r="13">
      <c r="B13" s="50" t="n"/>
      <c r="C13" s="50" t="n"/>
      <c r="D13" s="51" t="n"/>
      <c r="E13" s="52" t="n"/>
      <c r="F13" s="51" t="n"/>
      <c r="G13" s="51" t="n"/>
    </row>
    <row r="14">
      <c r="B14" s="23" t="n"/>
      <c r="C14" s="23" t="n"/>
      <c r="D14" s="25" t="n"/>
      <c r="E14" s="53" t="n"/>
      <c r="F14" s="25" t="n"/>
      <c r="G14" s="25" t="n"/>
    </row>
    <row r="15">
      <c r="B15" s="50" t="n"/>
      <c r="C15" s="50" t="n"/>
      <c r="D15" s="51" t="n"/>
      <c r="E15" s="52" t="n"/>
      <c r="F15" s="51" t="n"/>
      <c r="G15" s="51" t="n"/>
    </row>
    <row r="16">
      <c r="B16" s="23" t="n"/>
      <c r="C16" s="23" t="n"/>
      <c r="D16" s="25" t="n"/>
      <c r="E16" s="53" t="n"/>
      <c r="F16" s="25" t="n"/>
      <c r="G16" s="25" t="n"/>
    </row>
    <row r="17">
      <c r="B17" s="50" t="n"/>
      <c r="C17" s="50" t="n"/>
      <c r="D17" s="51" t="n"/>
      <c r="E17" s="52" t="n"/>
      <c r="F17" s="51" t="n"/>
      <c r="G17" s="51" t="n"/>
    </row>
    <row r="18">
      <c r="B18" s="23" t="n"/>
      <c r="C18" s="23" t="n"/>
      <c r="D18" s="25" t="n"/>
      <c r="E18" s="53" t="n"/>
      <c r="F18" s="25" t="n"/>
      <c r="G18" s="25" t="n"/>
    </row>
    <row r="19">
      <c r="B19" s="50" t="n"/>
      <c r="C19" s="50" t="n"/>
      <c r="D19" s="51" t="n"/>
      <c r="E19" s="52" t="n"/>
      <c r="F19" s="51" t="n"/>
      <c r="G19" s="51" t="n"/>
    </row>
    <row r="20">
      <c r="B20" s="23" t="n"/>
      <c r="C20" s="23" t="n"/>
      <c r="D20" s="25" t="n"/>
      <c r="E20" s="53" t="n"/>
      <c r="F20" s="25" t="n"/>
      <c r="G20" s="25" t="n"/>
    </row>
    <row r="21">
      <c r="B21" s="50" t="n"/>
      <c r="C21" s="50" t="n"/>
      <c r="D21" s="51" t="n"/>
      <c r="E21" s="52" t="n"/>
      <c r="F21" s="51" t="n"/>
      <c r="G21" s="51" t="n"/>
    </row>
    <row r="22">
      <c r="B22" s="23" t="n"/>
      <c r="C22" s="23" t="n"/>
      <c r="D22" s="25" t="n"/>
      <c r="E22" s="53" t="n"/>
      <c r="F22" s="25" t="n"/>
      <c r="G22" s="25" t="n"/>
    </row>
    <row r="23">
      <c r="B23" s="50" t="n"/>
      <c r="C23" s="50" t="n"/>
      <c r="D23" s="51" t="n"/>
      <c r="E23" s="52" t="n"/>
      <c r="F23" s="51" t="n"/>
      <c r="G23" s="51" t="n"/>
    </row>
    <row r="24">
      <c r="B24" s="23" t="n"/>
      <c r="C24" s="23" t="n"/>
      <c r="D24" s="25" t="n"/>
      <c r="E24" s="53" t="n"/>
      <c r="F24" s="25" t="n"/>
      <c r="G24" s="25" t="n"/>
    </row>
    <row r="25">
      <c r="B25" s="50" t="n"/>
      <c r="C25" s="50" t="n"/>
      <c r="D25" s="51" t="n"/>
      <c r="E25" s="52" t="n"/>
      <c r="F25" s="51" t="n"/>
      <c r="G25" s="51" t="n"/>
    </row>
    <row r="26">
      <c r="B26" s="23" t="n"/>
      <c r="C26" s="23" t="n"/>
      <c r="D26" s="25" t="n"/>
      <c r="E26" s="53" t="n"/>
      <c r="F26" s="25" t="n"/>
      <c r="G26" s="25" t="n"/>
    </row>
    <row r="27">
      <c r="B27" s="50" t="n"/>
      <c r="C27" s="50" t="n"/>
      <c r="D27" s="51" t="n"/>
      <c r="E27" s="52" t="n"/>
      <c r="F27" s="51" t="n"/>
      <c r="G27" s="51" t="n"/>
    </row>
    <row r="28">
      <c r="B28" s="23" t="n"/>
      <c r="C28" s="23" t="n"/>
      <c r="D28" s="25" t="n"/>
      <c r="E28" s="53" t="n"/>
      <c r="F28" s="25" t="n"/>
      <c r="G28" s="25" t="n"/>
    </row>
    <row r="29">
      <c r="B29" s="50" t="n"/>
      <c r="C29" s="50" t="n"/>
      <c r="D29" s="51" t="n"/>
      <c r="E29" s="52" t="n"/>
      <c r="F29" s="51" t="n"/>
      <c r="G29" s="51" t="n"/>
    </row>
    <row r="30">
      <c r="B30" s="23" t="n"/>
      <c r="C30" s="23" t="n"/>
      <c r="D30" s="25" t="n"/>
      <c r="E30" s="53" t="n"/>
      <c r="F30" s="25" t="n"/>
      <c r="G30" s="25" t="n"/>
    </row>
    <row r="31">
      <c r="B31" s="50" t="n"/>
      <c r="C31" s="50" t="n"/>
      <c r="D31" s="51" t="n"/>
      <c r="E31" s="52" t="n"/>
      <c r="F31" s="51" t="n"/>
      <c r="G31" s="51" t="n"/>
    </row>
    <row r="32">
      <c r="B32" s="23" t="n"/>
      <c r="C32" s="23" t="n"/>
      <c r="D32" s="25" t="n"/>
      <c r="E32" s="53" t="n"/>
      <c r="F32" s="25" t="n"/>
      <c r="G32" s="25" t="n"/>
    </row>
    <row r="33">
      <c r="B33" s="50" t="n"/>
      <c r="C33" s="50" t="n"/>
      <c r="D33" s="51" t="n"/>
      <c r="E33" s="52" t="n"/>
      <c r="F33" s="51" t="n"/>
      <c r="G33" s="51" t="n"/>
    </row>
    <row r="34">
      <c r="B34" s="23" t="n"/>
      <c r="C34" s="23" t="n"/>
      <c r="D34" s="25" t="n"/>
      <c r="E34" s="53" t="n"/>
      <c r="F34" s="25" t="n"/>
      <c r="G34" s="25" t="n"/>
    </row>
    <row r="35">
      <c r="B35" s="50" t="n"/>
      <c r="C35" s="50" t="n"/>
      <c r="D35" s="51" t="n"/>
      <c r="E35" s="52" t="n"/>
      <c r="F35" s="51" t="n"/>
      <c r="G35" s="51" t="n"/>
    </row>
    <row r="36">
      <c r="B36" s="23" t="n"/>
      <c r="C36" s="23" t="n"/>
      <c r="D36" s="25" t="n"/>
      <c r="E36" s="53" t="n"/>
      <c r="F36" s="25" t="n"/>
      <c r="G36" s="25" t="n"/>
    </row>
    <row r="37">
      <c r="B37" s="50" t="n"/>
      <c r="C37" s="50" t="n"/>
      <c r="D37" s="51" t="n"/>
      <c r="E37" s="52" t="n"/>
      <c r="F37" s="51" t="n"/>
      <c r="G37" s="51" t="n"/>
    </row>
    <row r="38">
      <c r="B38" s="23" t="n"/>
      <c r="C38" s="23" t="n"/>
      <c r="D38" s="25" t="n"/>
      <c r="E38" s="53" t="n"/>
      <c r="F38" s="25" t="n"/>
      <c r="G38" s="25" t="n"/>
    </row>
    <row r="39">
      <c r="B39" s="50" t="n"/>
      <c r="C39" s="50" t="n"/>
      <c r="D39" s="51" t="n"/>
      <c r="E39" s="52" t="n"/>
      <c r="F39" s="51" t="n"/>
      <c r="G39" s="51" t="n"/>
    </row>
    <row r="40">
      <c r="B40" s="23" t="n"/>
      <c r="C40" s="23" t="n"/>
      <c r="D40" s="25" t="n"/>
      <c r="E40" s="53" t="n"/>
      <c r="F40" s="25" t="n"/>
      <c r="G40" s="25" t="n"/>
    </row>
    <row r="41">
      <c r="B41" s="50" t="n"/>
      <c r="C41" s="50" t="n"/>
      <c r="D41" s="51" t="n"/>
      <c r="E41" s="52" t="n"/>
      <c r="F41" s="51" t="n"/>
      <c r="G41" s="51" t="n"/>
    </row>
    <row r="42">
      <c r="B42" s="23" t="n"/>
      <c r="C42" s="23" t="n"/>
      <c r="D42" s="25" t="n"/>
      <c r="E42" s="53" t="n"/>
      <c r="F42" s="25" t="n"/>
      <c r="G42" s="25" t="n"/>
    </row>
    <row r="43">
      <c r="B43" s="50" t="n"/>
      <c r="C43" s="50" t="n"/>
      <c r="D43" s="51" t="n"/>
      <c r="E43" s="52" t="n"/>
      <c r="F43" s="51" t="n"/>
      <c r="G43" s="51" t="n"/>
    </row>
    <row r="44">
      <c r="B44" s="23" t="n"/>
      <c r="C44" s="23" t="n"/>
      <c r="D44" s="25" t="n"/>
      <c r="E44" s="53" t="n"/>
      <c r="F44" s="25" t="n"/>
      <c r="G44" s="25" t="n"/>
    </row>
    <row r="46">
      <c r="B46" s="26" t="inlineStr">
        <is>
          <t>Total coverage listed</t>
        </is>
      </c>
      <c r="E46" s="54">
        <f>SUM(InsCoverage)</f>
        <v/>
      </c>
    </row>
    <row r="48">
      <c r="B48" s="4" t="inlineStr">
        <is>
          <t>Nobody claims a policy they don't know exists. This page is why it gets claimed.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38" customWidth="1" min="3" max="3"/>
    <col width="44" customWidth="1" min="4" max="4"/>
    <col width="20" customWidth="1" min="5" max="5"/>
    <col width="2" customWidth="1" min="6" max="6"/>
  </cols>
  <sheetData>
    <row r="1" ht="46" customHeight="1">
      <c r="A1" s="1" t="inlineStr">
        <is>
          <t xml:space="preserve">  💻  DIGITAL LIFE</t>
        </is>
      </c>
    </row>
    <row r="2" ht="22" customHeight="1">
      <c r="A2" s="2" t="inlineStr">
        <is>
          <t xml:space="preserve">  Where each login LIVES — never the password itself — and what to do with the account.</t>
        </is>
      </c>
    </row>
    <row r="3" ht="6" customHeight="1">
      <c r="A3" s="3" t="n"/>
      <c r="B3" s="3" t="n"/>
      <c r="C3" s="3" t="n"/>
      <c r="D3" s="3" t="n"/>
      <c r="E3" s="3" t="n"/>
    </row>
    <row r="4">
      <c r="B4" s="4" t="inlineStr">
        <is>
          <t>⚠  Do not type real passwords here. Record where they live: a password manager, a sealed envelope, a safe.</t>
        </is>
      </c>
    </row>
    <row r="5" ht="30" customHeight="1">
      <c r="B5" s="9" t="inlineStr">
        <is>
          <t>Service</t>
        </is>
      </c>
      <c r="C5" s="9" t="inlineStr">
        <is>
          <t>What it is</t>
        </is>
      </c>
      <c r="D5" s="9" t="inlineStr">
        <is>
          <t>Where the login lives</t>
        </is>
      </c>
      <c r="E5" s="9" t="inlineStr">
        <is>
          <t>What to do</t>
        </is>
      </c>
    </row>
    <row r="6">
      <c r="B6" s="20" t="inlineStr">
        <is>
          <t>Password manager</t>
        </is>
      </c>
      <c r="C6" s="20" t="inlineStr">
        <is>
          <t>The key to everything else</t>
        </is>
      </c>
      <c r="D6" s="38" t="inlineStr">
        <is>
          <t>Master password in sealed envelope, fire safe</t>
        </is>
      </c>
      <c r="E6" s="38" t="inlineStr">
        <is>
          <t>Transfer</t>
        </is>
      </c>
    </row>
    <row r="7">
      <c r="B7" s="23" t="inlineStr">
        <is>
          <t>Primary email</t>
        </is>
      </c>
      <c r="C7" s="23" t="inlineStr">
        <is>
          <t>Recovery for every other account</t>
        </is>
      </c>
      <c r="D7" s="40" t="inlineStr">
        <is>
          <t>Password manager</t>
        </is>
      </c>
      <c r="E7" s="40" t="inlineStr">
        <is>
          <t>Download &amp; keep</t>
        </is>
      </c>
    </row>
    <row r="8">
      <c r="B8" s="20" t="inlineStr">
        <is>
          <t>Phone &amp; carrier</t>
        </is>
      </c>
      <c r="C8" s="20" t="inlineStr">
        <is>
          <t>Two-factor codes live here</t>
        </is>
      </c>
      <c r="D8" s="38" t="inlineStr">
        <is>
          <t>PIN in sealed envelope</t>
        </is>
      </c>
      <c r="E8" s="38" t="inlineStr">
        <is>
          <t>Transfer</t>
        </is>
      </c>
    </row>
    <row r="9">
      <c r="B9" s="23" t="inlineStr">
        <is>
          <t>Banking apps</t>
        </is>
      </c>
      <c r="C9" s="23" t="inlineStr">
        <is>
          <t>Checking, savings, credit union</t>
        </is>
      </c>
      <c r="D9" s="40" t="inlineStr">
        <is>
          <t>Password manager</t>
        </is>
      </c>
      <c r="E9" s="40" t="inlineStr">
        <is>
          <t>Transfer</t>
        </is>
      </c>
    </row>
    <row r="10">
      <c r="B10" s="20" t="inlineStr">
        <is>
          <t>Investment logins</t>
        </is>
      </c>
      <c r="C10" s="20" t="inlineStr">
        <is>
          <t>Fidelity, Vanguard, Schwab</t>
        </is>
      </c>
      <c r="D10" s="38" t="inlineStr">
        <is>
          <t>Password manager</t>
        </is>
      </c>
      <c r="E10" s="38" t="inlineStr">
        <is>
          <t>Transfer</t>
        </is>
      </c>
    </row>
    <row r="11">
      <c r="B11" s="23" t="inlineStr">
        <is>
          <t>Cloud photo storage</t>
        </is>
      </c>
      <c r="C11" s="23" t="inlineStr">
        <is>
          <t>Family photos — please keep these</t>
        </is>
      </c>
      <c r="D11" s="40" t="inlineStr">
        <is>
          <t>Password manager</t>
        </is>
      </c>
      <c r="E11" s="40" t="inlineStr">
        <is>
          <t>Download &amp; keep</t>
        </is>
      </c>
    </row>
    <row r="12">
      <c r="B12" s="20" t="inlineStr">
        <is>
          <t>Social accounts</t>
        </is>
      </c>
      <c r="C12" s="20" t="inlineStr">
        <is>
          <t>Facebook, Instagram</t>
        </is>
      </c>
      <c r="D12" s="38" t="inlineStr">
        <is>
          <t>Password manager</t>
        </is>
      </c>
      <c r="E12" s="38" t="inlineStr">
        <is>
          <t>Memorialize</t>
        </is>
      </c>
    </row>
    <row r="13">
      <c r="B13" s="23" t="inlineStr">
        <is>
          <t>Subscriptions</t>
        </is>
      </c>
      <c r="C13" s="23" t="inlineStr">
        <is>
          <t>Streaming, software, delivery</t>
        </is>
      </c>
      <c r="D13" s="40" t="inlineStr">
        <is>
          <t>Password manager</t>
        </is>
      </c>
      <c r="E13" s="40" t="inlineStr">
        <is>
          <t>Cancel billing</t>
        </is>
      </c>
    </row>
    <row r="14">
      <c r="B14" s="20" t="inlineStr">
        <is>
          <t>Domain &amp; website</t>
        </is>
      </c>
      <c r="C14" s="20" t="inlineStr">
        <is>
          <t>Renews yearly, do not let it lapse</t>
        </is>
      </c>
      <c r="D14" s="38" t="inlineStr">
        <is>
          <t>Password manager</t>
        </is>
      </c>
      <c r="E14" s="38" t="inlineStr">
        <is>
          <t>Transfer</t>
        </is>
      </c>
    </row>
    <row r="16">
      <c r="B16" s="26" t="inlineStr">
        <is>
          <t>Accounts documented</t>
        </is>
      </c>
      <c r="D16" s="44">
        <f>COUNTA(DigitalService)</f>
        <v/>
      </c>
    </row>
    <row r="18">
      <c r="B18" s="4" t="inlineStr">
        <is>
          <t>The password manager and the phone are the two keys. Everything else unlocks from those.</t>
        </is>
      </c>
    </row>
  </sheetData>
  <mergeCells count="2">
    <mergeCell ref="A2:E2"/>
    <mergeCell ref="A1:E1"/>
  </mergeCells>
  <dataValidations count="1">
    <dataValidation sqref="E6:E14" showDropDown="0" showInputMessage="0" showErrorMessage="0" allowBlank="1" type="list">
      <formula1>=DigitalActionList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34" customWidth="1" min="2" max="2"/>
    <col width="26" customWidth="1" min="3" max="3"/>
    <col width="18" customWidth="1" min="4" max="4"/>
    <col width="32" customWidth="1" min="5" max="5"/>
    <col width="2" customWidth="1" min="6" max="6"/>
  </cols>
  <sheetData>
    <row r="1" ht="46" customHeight="1">
      <c r="A1" s="1" t="inlineStr">
        <is>
          <t xml:space="preserve">  📞  KEY CONTACTS</t>
        </is>
      </c>
    </row>
    <row r="2" ht="22" customHeight="1">
      <c r="A2" s="2" t="inlineStr">
        <is>
          <t xml:space="preserve">  The people someone would need to reach, in the order they'd need them.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Name</t>
        </is>
      </c>
      <c r="C4" s="9" t="inlineStr">
        <is>
          <t>Role</t>
        </is>
      </c>
      <c r="D4" s="9" t="inlineStr">
        <is>
          <t>Phone</t>
        </is>
      </c>
      <c r="E4" s="9" t="inlineStr">
        <is>
          <t>Email</t>
        </is>
      </c>
    </row>
    <row r="5">
      <c r="B5" s="50" t="inlineStr">
        <is>
          <t>Reyes Law — Ana Reyes</t>
        </is>
      </c>
      <c r="C5" s="50" t="inlineStr">
        <is>
          <t>Attorney</t>
        </is>
      </c>
      <c r="D5" s="51" t="inlineStr">
        <is>
          <t>555-0121</t>
        </is>
      </c>
      <c r="E5" s="50" t="inlineStr">
        <is>
          <t>ana@reyeslaw.example</t>
        </is>
      </c>
    </row>
    <row r="6">
      <c r="B6" s="23" t="inlineStr">
        <is>
          <t>Bell &amp; Co — Tom Bell</t>
        </is>
      </c>
      <c r="C6" s="23" t="inlineStr">
        <is>
          <t>Accountant / CPA</t>
        </is>
      </c>
      <c r="D6" s="25" t="inlineStr">
        <is>
          <t>555-0132</t>
        </is>
      </c>
      <c r="E6" s="23" t="inlineStr">
        <is>
          <t>tom@bellco.example</t>
        </is>
      </c>
    </row>
    <row r="7">
      <c r="B7" s="50" t="inlineStr">
        <is>
          <t>Harper Wealth — Jo Harper</t>
        </is>
      </c>
      <c r="C7" s="50" t="inlineStr">
        <is>
          <t>Financial advisor</t>
        </is>
      </c>
      <c r="D7" s="51" t="inlineStr">
        <is>
          <t>555-0143</t>
        </is>
      </c>
      <c r="E7" s="50" t="inlineStr">
        <is>
          <t>jo@harperwealth.example</t>
        </is>
      </c>
    </row>
    <row r="8">
      <c r="B8" s="23" t="inlineStr">
        <is>
          <t>Dr. Nadia Osei</t>
        </is>
      </c>
      <c r="C8" s="23" t="inlineStr">
        <is>
          <t>Primary physician</t>
        </is>
      </c>
      <c r="D8" s="25" t="inlineStr">
        <is>
          <t>555-0154</t>
        </is>
      </c>
      <c r="E8" s="23" t="inlineStr">
        <is>
          <t>—</t>
        </is>
      </c>
    </row>
    <row r="9">
      <c r="B9" s="50" t="inlineStr">
        <is>
          <t>Northfield Mutual</t>
        </is>
      </c>
      <c r="C9" s="50" t="inlineStr">
        <is>
          <t>Life insurance</t>
        </is>
      </c>
      <c r="D9" s="51" t="inlineStr">
        <is>
          <t>800-555-0110</t>
        </is>
      </c>
      <c r="E9" s="50" t="inlineStr">
        <is>
          <t>—</t>
        </is>
      </c>
    </row>
    <row r="10">
      <c r="B10" s="23" t="inlineStr">
        <is>
          <t>Cedar Ridge Insurance</t>
        </is>
      </c>
      <c r="C10" s="23" t="inlineStr">
        <is>
          <t>Home &amp; auto</t>
        </is>
      </c>
      <c r="D10" s="25" t="inlineStr">
        <is>
          <t>800-555-0166</t>
        </is>
      </c>
      <c r="E10" s="23" t="inlineStr">
        <is>
          <t>—</t>
        </is>
      </c>
    </row>
    <row r="11">
      <c r="B11" s="50" t="inlineStr">
        <is>
          <t>First Cedar Bank</t>
        </is>
      </c>
      <c r="C11" s="50" t="inlineStr">
        <is>
          <t>Mortgage &amp; banking</t>
        </is>
      </c>
      <c r="D11" s="51" t="inlineStr">
        <is>
          <t>800-555-0142</t>
        </is>
      </c>
      <c r="E11" s="50" t="inlineStr">
        <is>
          <t>—</t>
        </is>
      </c>
    </row>
    <row r="12">
      <c r="B12" s="23" t="inlineStr">
        <is>
          <t>Employer HR — Dana Cole</t>
        </is>
      </c>
      <c r="C12" s="23" t="inlineStr">
        <is>
          <t>Benefits &amp; 401(k)</t>
        </is>
      </c>
      <c r="D12" s="25" t="inlineStr">
        <is>
          <t>555-0165</t>
        </is>
      </c>
      <c r="E12" s="23" t="inlineStr">
        <is>
          <t>hr@employer.example</t>
        </is>
      </c>
    </row>
    <row r="13">
      <c r="B13" s="50" t="inlineStr">
        <is>
          <t>Sam — brother</t>
        </is>
      </c>
      <c r="C13" s="50" t="inlineStr">
        <is>
          <t>Executor named in will</t>
        </is>
      </c>
      <c r="D13" s="51" t="inlineStr">
        <is>
          <t>555-0176</t>
        </is>
      </c>
      <c r="E13" s="50" t="inlineStr">
        <is>
          <t>sam@family.example</t>
        </is>
      </c>
    </row>
    <row r="14">
      <c r="B14" s="23" t="inlineStr">
        <is>
          <t>Ellie — daughter</t>
        </is>
      </c>
      <c r="C14" s="23" t="inlineStr">
        <is>
          <t>Family</t>
        </is>
      </c>
      <c r="D14" s="25" t="inlineStr">
        <is>
          <t>555-0187</t>
        </is>
      </c>
      <c r="E14" s="23" t="inlineStr">
        <is>
          <t>ellie@family.example</t>
        </is>
      </c>
    </row>
    <row r="15">
      <c r="B15" s="50" t="inlineStr">
        <is>
          <t>Marcus — son</t>
        </is>
      </c>
      <c r="C15" s="50" t="inlineStr">
        <is>
          <t>Family</t>
        </is>
      </c>
      <c r="D15" s="51" t="inlineStr">
        <is>
          <t>555-0198</t>
        </is>
      </c>
      <c r="E15" s="50" t="inlineStr">
        <is>
          <t>marcus@family.example</t>
        </is>
      </c>
    </row>
    <row r="16">
      <c r="B16" s="23" t="inlineStr">
        <is>
          <t>Willow Veterinary</t>
        </is>
      </c>
      <c r="C16" s="23" t="inlineStr">
        <is>
          <t>Pets — Biscuit &amp; Fig</t>
        </is>
      </c>
      <c r="D16" s="25" t="inlineStr">
        <is>
          <t>555-0209</t>
        </is>
      </c>
      <c r="E16" s="23" t="inlineStr">
        <is>
          <t>—</t>
        </is>
      </c>
    </row>
    <row r="17">
      <c r="B17" s="50" t="n"/>
      <c r="C17" s="50" t="n"/>
      <c r="D17" s="51" t="n"/>
      <c r="E17" s="50" t="n"/>
    </row>
    <row r="18">
      <c r="B18" s="23" t="n"/>
      <c r="C18" s="23" t="n"/>
      <c r="D18" s="25" t="n"/>
      <c r="E18" s="23" t="n"/>
    </row>
    <row r="19">
      <c r="B19" s="50" t="n"/>
      <c r="C19" s="50" t="n"/>
      <c r="D19" s="51" t="n"/>
      <c r="E19" s="50" t="n"/>
    </row>
    <row r="20">
      <c r="B20" s="23" t="n"/>
      <c r="C20" s="23" t="n"/>
      <c r="D20" s="25" t="n"/>
      <c r="E20" s="23" t="n"/>
    </row>
    <row r="21">
      <c r="B21" s="50" t="n"/>
      <c r="C21" s="50" t="n"/>
      <c r="D21" s="51" t="n"/>
      <c r="E21" s="50" t="n"/>
    </row>
    <row r="22">
      <c r="B22" s="23" t="n"/>
      <c r="C22" s="23" t="n"/>
      <c r="D22" s="25" t="n"/>
      <c r="E22" s="23" t="n"/>
    </row>
    <row r="23">
      <c r="B23" s="50" t="n"/>
      <c r="C23" s="50" t="n"/>
      <c r="D23" s="51" t="n"/>
      <c r="E23" s="50" t="n"/>
    </row>
    <row r="24">
      <c r="B24" s="23" t="n"/>
      <c r="C24" s="23" t="n"/>
      <c r="D24" s="25" t="n"/>
      <c r="E24" s="23" t="n"/>
    </row>
    <row r="25">
      <c r="B25" s="50" t="n"/>
      <c r="C25" s="50" t="n"/>
      <c r="D25" s="51" t="n"/>
      <c r="E25" s="50" t="n"/>
    </row>
    <row r="26">
      <c r="B26" s="23" t="n"/>
      <c r="C26" s="23" t="n"/>
      <c r="D26" s="25" t="n"/>
      <c r="E26" s="23" t="n"/>
    </row>
    <row r="27">
      <c r="B27" s="50" t="n"/>
      <c r="C27" s="50" t="n"/>
      <c r="D27" s="51" t="n"/>
      <c r="E27" s="50" t="n"/>
    </row>
    <row r="28">
      <c r="B28" s="23" t="n"/>
      <c r="C28" s="23" t="n"/>
      <c r="D28" s="25" t="n"/>
      <c r="E28" s="23" t="n"/>
    </row>
    <row r="29">
      <c r="B29" s="50" t="n"/>
      <c r="C29" s="50" t="n"/>
      <c r="D29" s="51" t="n"/>
      <c r="E29" s="50" t="n"/>
    </row>
    <row r="30">
      <c r="B30" s="23" t="n"/>
      <c r="C30" s="23" t="n"/>
      <c r="D30" s="25" t="n"/>
      <c r="E30" s="23" t="n"/>
    </row>
    <row r="31">
      <c r="B31" s="50" t="n"/>
      <c r="C31" s="50" t="n"/>
      <c r="D31" s="51" t="n"/>
      <c r="E31" s="50" t="n"/>
    </row>
    <row r="32">
      <c r="B32" s="23" t="n"/>
      <c r="C32" s="23" t="n"/>
      <c r="D32" s="25" t="n"/>
      <c r="E32" s="23" t="n"/>
    </row>
    <row r="33">
      <c r="B33" s="50" t="n"/>
      <c r="C33" s="50" t="n"/>
      <c r="D33" s="51" t="n"/>
      <c r="E33" s="50" t="n"/>
    </row>
    <row r="34">
      <c r="B34" s="23" t="n"/>
      <c r="C34" s="23" t="n"/>
      <c r="D34" s="25" t="n"/>
      <c r="E34" s="23" t="n"/>
    </row>
    <row r="35">
      <c r="B35" s="50" t="n"/>
      <c r="C35" s="50" t="n"/>
      <c r="D35" s="51" t="n"/>
      <c r="E35" s="50" t="n"/>
    </row>
    <row r="36">
      <c r="B36" s="23" t="n"/>
      <c r="C36" s="23" t="n"/>
      <c r="D36" s="25" t="n"/>
      <c r="E36" s="23" t="n"/>
    </row>
    <row r="37">
      <c r="B37" s="50" t="n"/>
      <c r="C37" s="50" t="n"/>
      <c r="D37" s="51" t="n"/>
      <c r="E37" s="50" t="n"/>
    </row>
    <row r="38">
      <c r="B38" s="23" t="n"/>
      <c r="C38" s="23" t="n"/>
      <c r="D38" s="25" t="n"/>
      <c r="E38" s="23" t="n"/>
    </row>
    <row r="39">
      <c r="B39" s="50" t="n"/>
      <c r="C39" s="50" t="n"/>
      <c r="D39" s="51" t="n"/>
      <c r="E39" s="50" t="n"/>
    </row>
    <row r="40">
      <c r="B40" s="23" t="n"/>
      <c r="C40" s="23" t="n"/>
      <c r="D40" s="25" t="n"/>
      <c r="E40" s="23" t="n"/>
    </row>
    <row r="41">
      <c r="B41" s="50" t="n"/>
      <c r="C41" s="50" t="n"/>
      <c r="D41" s="51" t="n"/>
      <c r="E41" s="50" t="n"/>
    </row>
    <row r="42">
      <c r="B42" s="23" t="n"/>
      <c r="C42" s="23" t="n"/>
      <c r="D42" s="25" t="n"/>
      <c r="E42" s="23" t="n"/>
    </row>
    <row r="43">
      <c r="B43" s="50" t="n"/>
      <c r="C43" s="50" t="n"/>
      <c r="D43" s="51" t="n"/>
      <c r="E43" s="50" t="n"/>
    </row>
    <row r="44">
      <c r="B44" s="23" t="n"/>
      <c r="C44" s="23" t="n"/>
      <c r="D44" s="25" t="n"/>
      <c r="E44" s="23" t="n"/>
    </row>
    <row r="46">
      <c r="B46" s="26" t="inlineStr">
        <is>
          <t>Contacts listed</t>
        </is>
      </c>
      <c r="D46" s="46">
        <f>COUNTA(ContactName)</f>
        <v/>
      </c>
    </row>
    <row r="48">
      <c r="B48" s="4" t="inlineStr">
        <is>
          <t>Start with the executor and the attorney. Everything else follows from those two calls.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34" customWidth="1" min="2" max="2"/>
    <col width="72" customWidth="1" min="3" max="3"/>
    <col width="2" customWidth="1" min="4" max="4"/>
  </cols>
  <sheetData>
    <row r="1" ht="46" customHeight="1">
      <c r="A1" s="1" t="inlineStr">
        <is>
          <t xml:space="preserve">  ⚕  MEDICAL &amp; CARE</t>
        </is>
      </c>
    </row>
    <row r="2" ht="22" customHeight="1">
      <c r="A2" s="2" t="inlineStr">
        <is>
          <t xml:space="preserve">  What a paramedic, a nurse or a family member would need to know in five minutes.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Item</t>
        </is>
      </c>
      <c r="C4" s="9" t="inlineStr">
        <is>
          <t>Detail</t>
        </is>
      </c>
    </row>
    <row r="5">
      <c r="B5" s="20" t="inlineStr">
        <is>
          <t>Blood type</t>
        </is>
      </c>
      <c r="C5" s="38" t="inlineStr">
        <is>
          <t>O positive</t>
        </is>
      </c>
    </row>
    <row r="6">
      <c r="B6" s="23" t="inlineStr">
        <is>
          <t>Allergies</t>
        </is>
      </c>
      <c r="C6" s="40" t="inlineStr">
        <is>
          <t>Penicillin — severe; shellfish — mild</t>
        </is>
      </c>
    </row>
    <row r="7">
      <c r="B7" s="20" t="inlineStr">
        <is>
          <t>Ongoing conditions</t>
        </is>
      </c>
      <c r="C7" s="38" t="inlineStr">
        <is>
          <t>Type 2 diabetes, managed; high blood pressure</t>
        </is>
      </c>
    </row>
    <row r="8">
      <c r="B8" s="23" t="inlineStr">
        <is>
          <t>Current medications</t>
        </is>
      </c>
      <c r="C8" s="40" t="inlineStr">
        <is>
          <t>Metformin 500mg 2x daily; lisinopril 10mg daily</t>
        </is>
      </c>
    </row>
    <row r="9">
      <c r="B9" s="20" t="inlineStr">
        <is>
          <t>Pharmacy</t>
        </is>
      </c>
      <c r="C9" s="38" t="inlineStr">
        <is>
          <t>Cedar Pharmacy, 555-0210</t>
        </is>
      </c>
    </row>
    <row r="10">
      <c r="B10" s="23" t="inlineStr">
        <is>
          <t>Primary physician</t>
        </is>
      </c>
      <c r="C10" s="40" t="inlineStr">
        <is>
          <t>Dr. Nadia Osei, 555-0154</t>
        </is>
      </c>
    </row>
    <row r="11">
      <c r="B11" s="20" t="inlineStr">
        <is>
          <t>Specialists</t>
        </is>
      </c>
      <c r="C11" s="38" t="inlineStr">
        <is>
          <t>Dr. Amrit Kaur — endocrinology, 555-0211</t>
        </is>
      </c>
    </row>
    <row r="12">
      <c r="B12" s="23" t="inlineStr">
        <is>
          <t>Health insurance</t>
        </is>
      </c>
      <c r="C12" s="40" t="inlineStr">
        <is>
          <t>Meridian Health, member MH-33417</t>
        </is>
      </c>
    </row>
    <row r="13">
      <c r="B13" s="20" t="inlineStr">
        <is>
          <t>Resuscitation wishes</t>
        </is>
      </c>
      <c r="C13" s="38" t="inlineStr">
        <is>
          <t>See signed healthcare power of attorney — fire safe</t>
        </is>
      </c>
    </row>
    <row r="14">
      <c r="B14" s="23" t="inlineStr">
        <is>
          <t>Organ donation</t>
        </is>
      </c>
      <c r="C14" s="40" t="inlineStr">
        <is>
          <t>Yes — registered on driver's licence</t>
        </is>
      </c>
    </row>
    <row r="15">
      <c r="B15" s="20" t="inlineStr">
        <is>
          <t>Preferred hospital</t>
        </is>
      </c>
      <c r="C15" s="38" t="inlineStr">
        <is>
          <t>Cedar Regional</t>
        </is>
      </c>
    </row>
    <row r="16">
      <c r="B16" s="23" t="inlineStr">
        <is>
          <t>Who decides if I can't</t>
        </is>
      </c>
      <c r="C16" s="40" t="inlineStr">
        <is>
          <t>Spouse, then Sam (brother) — named in healthcare POA</t>
        </is>
      </c>
    </row>
    <row r="18">
      <c r="B18" s="4" t="inlineStr">
        <is>
          <t>Print this one and put a copy on the fridge. That is genuinely where they look.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34" customWidth="1" min="2" max="2"/>
    <col width="72" customWidth="1" min="3" max="3"/>
    <col width="2" customWidth="1" min="4" max="4"/>
  </cols>
  <sheetData>
    <row r="1" ht="46" customHeight="1">
      <c r="A1" s="1" t="inlineStr">
        <is>
          <t xml:space="preserve">  🕯  FINAL WISHES</t>
        </is>
      </c>
    </row>
    <row r="2" ht="22" customHeight="1">
      <c r="A2" s="2" t="inlineStr">
        <is>
          <t xml:space="preserve">  Written down, in your words, so nobody has to argue about what you would have wanted.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Item</t>
        </is>
      </c>
      <c r="C4" s="9" t="inlineStr">
        <is>
          <t>What I want</t>
        </is>
      </c>
    </row>
    <row r="5">
      <c r="B5" s="20" t="inlineStr">
        <is>
          <t>Burial or cremation</t>
        </is>
      </c>
      <c r="C5" s="38" t="inlineStr">
        <is>
          <t>Cremation</t>
        </is>
      </c>
    </row>
    <row r="6">
      <c r="B6" s="23" t="inlineStr">
        <is>
          <t>Service</t>
        </is>
      </c>
      <c r="C6" s="40" t="inlineStr">
        <is>
          <t>Small graveside gathering, no formal funeral</t>
        </is>
      </c>
    </row>
    <row r="7">
      <c r="B7" s="20" t="inlineStr">
        <is>
          <t>Where</t>
        </is>
      </c>
      <c r="C7" s="38" t="inlineStr">
        <is>
          <t>Willow Grove Cemetery — family plot, deed in fire safe</t>
        </is>
      </c>
    </row>
    <row r="8">
      <c r="B8" s="23" t="inlineStr">
        <is>
          <t>Readings or music</t>
        </is>
      </c>
      <c r="C8" s="40" t="inlineStr">
        <is>
          <t>Nothing sad. Play the Nina Simone record.</t>
        </is>
      </c>
    </row>
    <row r="9">
      <c r="B9" s="20" t="inlineStr">
        <is>
          <t>Who should speak</t>
        </is>
      </c>
      <c r="C9" s="38" t="inlineStr">
        <is>
          <t>Whoever wants to. Keep it short and funny.</t>
        </is>
      </c>
    </row>
    <row r="10">
      <c r="B10" s="23" t="inlineStr">
        <is>
          <t>Flowers or donations</t>
        </is>
      </c>
      <c r="C10" s="40" t="inlineStr">
        <is>
          <t>Donations to the county library, please</t>
        </is>
      </c>
    </row>
    <row r="11">
      <c r="B11" s="20" t="inlineStr">
        <is>
          <t>Obituary</t>
        </is>
      </c>
      <c r="C11" s="38" t="inlineStr">
        <is>
          <t>Draft is in this file — please use it, I already wrote it</t>
        </is>
      </c>
    </row>
    <row r="12">
      <c r="B12" s="23" t="inlineStr">
        <is>
          <t>Who to notify first</t>
        </is>
      </c>
      <c r="C12" s="40" t="inlineStr">
        <is>
          <t>See Key Contacts — start with Sam</t>
        </is>
      </c>
    </row>
    <row r="13">
      <c r="B13" s="20" t="inlineStr">
        <is>
          <t>Pre-paid arrangements</t>
        </is>
      </c>
      <c r="C13" s="38" t="inlineStr">
        <is>
          <t>None — estimate $4,200, use the emergency fund</t>
        </is>
      </c>
    </row>
    <row r="14">
      <c r="B14" s="23" t="inlineStr">
        <is>
          <t>What I'd like said</t>
        </is>
      </c>
      <c r="C14" s="40" t="inlineStr">
        <is>
          <t>That I was easy to reach and hard to rattle.</t>
        </is>
      </c>
    </row>
    <row r="16">
      <c r="B16" s="4" t="inlineStr">
        <is>
          <t>Every line here is a decision someone else won't have to make on the worst week of their life.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30" customWidth="1" min="2" max="2"/>
    <col width="76" customWidth="1" min="3" max="3"/>
    <col width="2" customWidth="1" min="4" max="4"/>
  </cols>
  <sheetData>
    <row r="1" ht="46" customHeight="1">
      <c r="A1" s="1" t="inlineStr">
        <is>
          <t xml:space="preserve">  🏠  HOUSEHOLD INSTRUCTIONS</t>
        </is>
      </c>
    </row>
    <row r="2" ht="22" customHeight="1">
      <c r="A2" s="2" t="inlineStr">
        <is>
          <t xml:space="preserve">  Where the shut-off is, who mows the lawn, and what happens to the dog.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Item</t>
        </is>
      </c>
      <c r="C4" s="9" t="inlineStr">
        <is>
          <t>Instruction</t>
        </is>
      </c>
    </row>
    <row r="5">
      <c r="B5" s="20" t="inlineStr">
        <is>
          <t>Water shut-off</t>
        </is>
      </c>
      <c r="C5" s="38" t="inlineStr">
        <is>
          <t>Basement, north wall, behind the shelf</t>
        </is>
      </c>
    </row>
    <row r="6">
      <c r="B6" s="23" t="inlineStr">
        <is>
          <t>Electrical panel</t>
        </is>
      </c>
      <c r="C6" s="40" t="inlineStr">
        <is>
          <t>Garage, left of the door — labelled</t>
        </is>
      </c>
    </row>
    <row r="7">
      <c r="B7" s="20" t="inlineStr">
        <is>
          <t>Furnace &amp; filter</t>
        </is>
      </c>
      <c r="C7" s="38" t="inlineStr">
        <is>
          <t>Basement — filter is 16x25x1, change every 3 months</t>
        </is>
      </c>
    </row>
    <row r="8">
      <c r="B8" s="23" t="inlineStr">
        <is>
          <t>Spare keys</t>
        </is>
      </c>
      <c r="C8" s="40" t="inlineStr">
        <is>
          <t>Fire safe, and Sam has a set</t>
        </is>
      </c>
    </row>
    <row r="9">
      <c r="B9" s="20" t="inlineStr">
        <is>
          <t>Fire safe combination</t>
        </is>
      </c>
      <c r="C9" s="38" t="inlineStr">
        <is>
          <t>Sealed envelope with the attorney</t>
        </is>
      </c>
    </row>
    <row r="10">
      <c r="B10" s="23" t="inlineStr">
        <is>
          <t>Pets</t>
        </is>
      </c>
      <c r="C10" s="40" t="inlineStr">
        <is>
          <t>Biscuit (dog) &amp; Fig (cat) — to Ellie. Vet: Willow Veterinary</t>
        </is>
      </c>
    </row>
    <row r="11">
      <c r="B11" s="20" t="inlineStr">
        <is>
          <t>Lawn &amp; snow</t>
        </is>
      </c>
      <c r="C11" s="38" t="inlineStr">
        <is>
          <t>Cedar Grounds, 555-0220, billed quarterly</t>
        </is>
      </c>
    </row>
    <row r="12">
      <c r="B12" s="23" t="inlineStr">
        <is>
          <t>Utilities</t>
        </is>
      </c>
      <c r="C12" s="40" t="inlineStr">
        <is>
          <t>See Debts &amp; Bills — all on autopay from joint checking</t>
        </is>
      </c>
    </row>
    <row r="13">
      <c r="B13" s="20" t="inlineStr">
        <is>
          <t>Mail</t>
        </is>
      </c>
      <c r="C13" s="38" t="inlineStr">
        <is>
          <t>Stop or forward at usps.com — needs a death certificate</t>
        </is>
      </c>
    </row>
    <row r="14">
      <c r="B14" s="23" t="inlineStr">
        <is>
          <t>Safe deposit box</t>
        </is>
      </c>
      <c r="C14" s="40" t="inlineStr">
        <is>
          <t>First Cedar Bank, box 214 — key in fire safe</t>
        </is>
      </c>
    </row>
    <row r="16">
      <c r="B16" s="4" t="inlineStr">
        <is>
          <t>The small practical things are what actually overwhelm people. Write them down.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20" customWidth="1" min="3" max="3"/>
    <col width="3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household numbers &amp; goals once — every tab follows.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5">
      <c r="B5" s="7" t="inlineStr">
        <is>
          <t>YOUR HOUSEHOLD &amp; GOALS</t>
        </is>
      </c>
      <c r="E5" s="4" t="inlineStr">
        <is>
          <t>DROPDOWN LISTS</t>
        </is>
      </c>
    </row>
    <row r="6">
      <c r="B6" s="26" t="inlineStr">
        <is>
          <t>Prepared by</t>
        </is>
      </c>
      <c r="C6" s="38" t="inlineStr">
        <is>
          <t>Margot</t>
        </is>
      </c>
      <c r="E6" s="9" t="inlineStr">
        <is>
          <t>How it transfers</t>
        </is>
      </c>
      <c r="F6" s="9" t="inlineStr">
        <is>
          <t>Asset category</t>
        </is>
      </c>
      <c r="G6" s="9" t="inlineStr">
        <is>
          <t>Document status</t>
        </is>
      </c>
      <c r="H6" s="9" t="inlineStr">
        <is>
          <t>Digital action</t>
        </is>
      </c>
      <c r="I6" s="9" t="inlineStr">
        <is>
          <t>Yes / No</t>
        </is>
      </c>
    </row>
    <row r="7">
      <c r="B7" s="26" t="inlineStr">
        <is>
          <t>Household</t>
        </is>
      </c>
      <c r="C7" s="38" t="inlineStr">
        <is>
          <t>Lantern &amp; Oak</t>
        </is>
      </c>
      <c r="E7" s="20" t="inlineStr">
        <is>
          <t>Joint with right of survivorship</t>
        </is>
      </c>
      <c r="F7" s="20" t="inlineStr">
        <is>
          <t>Cash</t>
        </is>
      </c>
      <c r="G7" s="20" t="inlineStr">
        <is>
          <t>Signed</t>
        </is>
      </c>
      <c r="H7" s="20" t="inlineStr">
        <is>
          <t>Close</t>
        </is>
      </c>
      <c r="I7" s="20" t="inlineStr">
        <is>
          <t>Yes</t>
        </is>
      </c>
    </row>
    <row r="8">
      <c r="B8" s="26" t="inlineStr">
        <is>
          <t>Monthly household running cost</t>
        </is>
      </c>
      <c r="C8" s="34" t="n">
        <v>6200</v>
      </c>
      <c r="E8" s="20" t="inlineStr">
        <is>
          <t>Payable on death (POD)</t>
        </is>
      </c>
      <c r="F8" s="20" t="inlineStr">
        <is>
          <t>Retirement</t>
        </is>
      </c>
      <c r="G8" s="20" t="inlineStr">
        <is>
          <t>Drafted</t>
        </is>
      </c>
      <c r="H8" s="20" t="inlineStr">
        <is>
          <t>Memorialize</t>
        </is>
      </c>
      <c r="I8" s="20" t="inlineStr">
        <is>
          <t>No</t>
        </is>
      </c>
    </row>
    <row r="9">
      <c r="B9" s="26" t="inlineStr">
        <is>
          <t>Probate cost estimate (% of estate)</t>
        </is>
      </c>
      <c r="C9" s="55" t="n">
        <v>0.05</v>
      </c>
      <c r="E9" s="20" t="inlineStr">
        <is>
          <t>Transfer on death (TOD)</t>
        </is>
      </c>
      <c r="F9" s="20" t="inlineStr">
        <is>
          <t>Investment</t>
        </is>
      </c>
      <c r="G9" s="20" t="inlineStr">
        <is>
          <t>Not started</t>
        </is>
      </c>
      <c r="H9" s="20" t="inlineStr">
        <is>
          <t>Transfer</t>
        </is>
      </c>
    </row>
    <row r="10">
      <c r="B10" s="26" t="inlineStr">
        <is>
          <t>Survivor runway goal (months)</t>
        </is>
      </c>
      <c r="C10" s="56" t="n">
        <v>6</v>
      </c>
      <c r="E10" s="20" t="inlineStr">
        <is>
          <t>Beneficiary named</t>
        </is>
      </c>
      <c r="F10" s="20" t="inlineStr">
        <is>
          <t>Property</t>
        </is>
      </c>
      <c r="G10" s="20" t="inlineStr">
        <is>
          <t>Needs review</t>
        </is>
      </c>
      <c r="H10" s="20" t="inlineStr">
        <is>
          <t>Download &amp; keep</t>
        </is>
      </c>
    </row>
    <row r="11">
      <c r="B11" s="26" t="inlineStr">
        <is>
          <t>Insurance-covers-debt goal (×)</t>
        </is>
      </c>
      <c r="C11" s="57" t="n">
        <v>1.5</v>
      </c>
      <c r="E11" s="20" t="inlineStr">
        <is>
          <t>Held in trust</t>
        </is>
      </c>
      <c r="F11" s="20" t="inlineStr">
        <is>
          <t>Vehicle</t>
        </is>
      </c>
      <c r="H11" s="20" t="inlineStr">
        <is>
          <t>Cancel billing</t>
        </is>
      </c>
    </row>
    <row r="12">
      <c r="B12" s="26" t="inlineStr">
        <is>
          <t>Key contacts goal</t>
        </is>
      </c>
      <c r="C12" s="56" t="n">
        <v>10</v>
      </c>
      <c r="E12" s="20" t="inlineStr">
        <is>
          <t>Sole title</t>
        </is>
      </c>
      <c r="F12" s="20" t="inlineStr">
        <is>
          <t>Insurance</t>
        </is>
      </c>
    </row>
    <row r="13">
      <c r="B13" s="26" t="inlineStr">
        <is>
          <t>Core documents to complete</t>
        </is>
      </c>
      <c r="C13" s="56" t="n">
        <v>10</v>
      </c>
      <c r="E13" s="20" t="inlineStr">
        <is>
          <t>NO beneficiary named</t>
        </is>
      </c>
      <c r="F13" s="20" t="inlineStr">
        <is>
          <t>Personal</t>
        </is>
      </c>
    </row>
  </sheetData>
  <mergeCells count="4">
    <mergeCell ref="A1:I1"/>
    <mergeCell ref="E5:I5"/>
    <mergeCell ref="B5:C5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2026-07-27T00:44:13Z</dcterms:created>
  <dcterms:modified xsi:type="dcterms:W3CDTF">2026-07-27T00:44:13Z</dcterms:modified>
</cp:coreProperties>
</file>