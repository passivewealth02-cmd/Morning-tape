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Property Profile" sheetId="3" state="visible" r:id="rId3"/>
    <sheet name="Calendar" sheetId="4" state="visible" r:id="rId4"/>
    <sheet name="Reservations" sheetId="5" state="visible" r:id="rId5"/>
    <sheet name="Financial" sheetId="6" state="visible" r:id="rId6"/>
    <sheet name="Pricing" sheetId="7" state="visible" r:id="rId7"/>
    <sheet name="Guests" sheetId="8" state="visible" r:id="rId8"/>
    <sheet name="Cleaning" sheetId="9" state="visible" r:id="rId9"/>
    <sheet name="Maintenance" sheetId="10" state="visible" r:id="rId10"/>
    <sheet name="Inventory" sheetId="11" state="visible" r:id="rId11"/>
    <sheet name="Reviews" sheetId="12" state="visible" r:id="rId12"/>
    <sheet name="Messages" sheetId="13" state="visible" r:id="rId13"/>
    <sheet name="Suppliers" sheetId="14" state="visible" r:id="rId14"/>
    <sheet name="Taxes" sheetId="15" state="visible" r:id="rId15"/>
    <sheet name="Multi-Property" sheetId="16" state="visible" r:id="rId16"/>
    <sheet name="Goals" sheetId="17" state="visible" r:id="rId17"/>
    <sheet name="Improvements" sheetId="18" state="visible" r:id="rId18"/>
    <sheet name="Analytics" sheetId="19" state="visible" r:id="rId19"/>
    <sheet name="Settings" sheetId="20" state="visible" r:id="rId20"/>
  </sheets>
  <definedNames>
    <definedName name="BizName">Settings!$C$6</definedName>
    <definedName name="PrimaryProp">Settings!$C$7</definedName>
    <definedName name="NumProps">Settings!$C$8</definedName>
    <definedName name="HomeCurr">Settings!$C$9</definedName>
    <definedName name="OccTarget">Settings!$C$10</definedName>
    <definedName name="MarginTarget">Settings!$C$11</definedName>
    <definedName name="RateTarget">Settings!$C$12</definedName>
    <definedName name="ReportMonth">Settings!$C$13</definedName>
    <definedName name="PropertyList">Settings!$E$7:$E$9</definedName>
    <definedName name="PropTypeList">Settings!$F$7:$F$14</definedName>
    <definedName name="PlatformList">Settings!$G$7:$G$11</definedName>
    <definedName name="ExpenseCatList">Settings!$H$7:$H$19</definedName>
    <definedName name="MaintCatList">Settings!$I$7:$I$14</definedName>
    <definedName name="SupplierCatList">Settings!$J$7:$J$14</definedName>
    <definedName name="GoalCatList">Settings!$K$7:$K$12</definedName>
    <definedName name="CurrencyList">Settings!$L$7:$L$11</definedName>
    <definedName name="BookStatusList">Settings!$E$19:$E$23</definedName>
    <definedName name="CleanStatusList">Settings!$F$19:$F$22</definedName>
    <definedName name="PayStatusList">Settings!$G$19:$G$22</definedName>
    <definedName name="YesNoList">Settings!$H$19:$H$20</definedName>
    <definedName name="CalGuest">'Calendar'!$A$5:$A$44</definedName>
    <definedName name="CalPlatform">'Calendar'!$B$5:$B$44</definedName>
    <definedName name="CalCheckIn">'Calendar'!$C$5:$C$44</definedName>
    <definedName name="CalCheckOut">'Calendar'!$D$5:$D$44</definedName>
    <definedName name="CalNights">'Calendar'!$E$5:$E$44</definedName>
    <definedName name="CalStatus">'Calendar'!$F$5:$F$44</definedName>
    <definedName name="CalProperty">'Calendar'!$G$5:$G$44</definedName>
    <definedName name="SrcLabel">'Calendar'!$K$5:$K$7</definedName>
    <definedName name="SrcCount">'Calendar'!$L$5:$L$7</definedName>
    <definedName name="ResProperty">'Reservations'!$C$5:$C$44</definedName>
    <definedName name="ResNet">'Reservations'!$J$5:$J$44</definedName>
    <definedName name="FinRevenue">'Financial'!$C$9</definedName>
    <definedName name="FinNightly">'Financial'!$C$6</definedName>
    <definedName name="FinExpenses">'Financial'!$F$19</definedName>
    <definedName name="FinNetProfit">'Financial'!$I$8</definedName>
    <definedName name="FinMargin">'Financial'!$I$9</definedName>
    <definedName name="ExpItem">'Financial'!$E$6:$E$18</definedName>
    <definedName name="ExpAmt">'Financial'!$F$6:$F$18</definedName>
    <definedName name="TrendMonth">'Financial'!$K$7:$K$12</definedName>
    <definedName name="TrendRev">'Financial'!$L$7:$L$12</definedName>
    <definedName name="GuestName">'Guests'!$A$5:$A$44</definedName>
    <definedName name="GuestRepeat">'Guests'!$E$5:$E$44</definedName>
    <definedName name="CleanStatus">'Cleaning'!$D$5:$D$44</definedName>
    <definedName name="MaintTask">'Maintenance'!$A$5:$A$44</definedName>
    <definedName name="MaintStatus">'Maintenance'!$G$5:$G$44</definedName>
    <definedName name="MaintCost">'Maintenance'!$E$5:$E$44</definedName>
    <definedName name="InvCategory">'Inventory'!$A$5:$A$44</definedName>
    <definedName name="InvItem">'Inventory'!$B$5:$B$44</definedName>
    <definedName name="InvQty">'Inventory'!$C$5:$C$44</definedName>
    <definedName name="InvReorder">'Inventory'!$D$5:$D$44</definedName>
    <definedName name="RevOverall">'Reviews'!$B$5:$B$34</definedName>
    <definedName name="RevResponded">'Reviews'!$I$5:$I$34</definedName>
    <definedName name="RevAvgRow">'Reviews'!$B$35:$G$35</definedName>
    <definedName name="SupName">'Suppliers'!$A$5:$A$34</definedName>
    <definedName name="PropName">'Multi-Property'!$B$5:$B$7</definedName>
    <definedName name="PropOcc">'Multi-Property'!$B$5:$B$7</definedName>
    <definedName name="PropRevenue">'Multi-Property'!$C$5:$C$7</definedName>
    <definedName name="GoalProgress">'Goals'!$E$5:$E$10</definedName>
    <definedName name="HealthRange">'Analytics'!$C$7:$C$12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yyyy-mm-dd"/>
    <numFmt numFmtId="166" formatCode="mmmm yyyy"/>
    <numFmt numFmtId="167" formatCode="mm/dd/yyyy"/>
    <numFmt numFmtId="168" formatCode="&quot;$&quot;#,##0;[Red]-&quot;$&quot;#,##0"/>
    <numFmt numFmtId="169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color rgb="00333333"/>
      <sz val="10"/>
    </font>
    <font>
      <color rgb="00333333"/>
      <sz val="11"/>
    </font>
    <font>
      <b val="1"/>
      <color rgb="001B4F48"/>
    </font>
    <font>
      <color rgb="00937356"/>
      <sz val="12"/>
    </font>
    <font>
      <b val="1"/>
      <color rgb="001B4F48"/>
      <sz val="46"/>
    </font>
    <font>
      <b val="1"/>
      <color rgb="00937356"/>
      <sz val="9"/>
    </font>
    <font>
      <b val="1"/>
      <color rgb="001B4F48"/>
      <sz val="18"/>
    </font>
  </fonts>
  <fills count="11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  <fill>
      <patternFill patternType="solid">
        <fgColor rgb="00E3F8EF"/>
      </patternFill>
    </fill>
    <fill>
      <patternFill patternType="solid">
        <fgColor rgb="00FBF8F2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  <xf numFmtId="0" fontId="10" fillId="0" borderId="2" applyAlignment="1">
      <alignment horizontal="left" vertical="top" wrapText="1" indent="1"/>
    </xf>
  </cellStyleXfs>
  <cellXfs count="65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1" fillId="6" borderId="2" applyAlignment="1" pivotButton="0" quotePrefix="0" xfId="0">
      <alignment horizontal="left" vertical="top" wrapText="1" indent="1"/>
    </xf>
    <xf numFmtId="0" fontId="0" fillId="6" borderId="0" pivotButton="0" quotePrefix="0" xfId="0"/>
    <xf numFmtId="0" fontId="15" fillId="7" borderId="4" applyAlignment="1" pivotButton="0" quotePrefix="0" xfId="0">
      <alignment horizontal="center" vertical="center"/>
    </xf>
    <xf numFmtId="0" fontId="0" fillId="7" borderId="4" pivotButton="0" quotePrefix="0" xfId="0"/>
    <xf numFmtId="164" fontId="16" fillId="7" borderId="2" applyAlignment="1" pivotButton="0" quotePrefix="0" xfId="0">
      <alignment horizontal="center" vertical="center"/>
    </xf>
    <xf numFmtId="0" fontId="0" fillId="7" borderId="2" pivotButton="0" quotePrefix="0" xfId="0"/>
    <xf numFmtId="9" fontId="16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169" fontId="16" fillId="7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6" fillId="7" borderId="2" applyAlignment="1" pivotButton="0" quotePrefix="0" xfId="7">
      <alignment horizontal="left" vertical="center" wrapText="1" indent="1"/>
    </xf>
    <xf numFmtId="0" fontId="6" fillId="7" borderId="2" applyAlignment="1" pivotButton="0" quotePrefix="0" xfId="6">
      <alignment horizontal="center" vertical="center" wrapText="1"/>
    </xf>
    <xf numFmtId="167" fontId="6" fillId="7" borderId="2" applyAlignment="1" pivotButton="0" quotePrefix="0" xfId="6">
      <alignment horizontal="center" vertical="center" wrapText="1"/>
    </xf>
    <xf numFmtId="1" fontId="6" fillId="7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" fontId="6" fillId="8" borderId="2" applyAlignment="1" pivotButton="0" quotePrefix="0" xfId="6">
      <alignment horizontal="center" vertical="center" wrapText="1"/>
    </xf>
    <xf numFmtId="164" fontId="6" fillId="7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4" fontId="12" fillId="3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4" fontId="7" fillId="0" borderId="2" applyAlignment="1" pivotButton="0" quotePrefix="0" xfId="10">
      <alignment horizontal="left" vertical="center" indent="1"/>
    </xf>
    <xf numFmtId="164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164" fontId="7" fillId="9" borderId="2" applyAlignment="1" pivotButton="0" quotePrefix="0" xfId="10">
      <alignment horizontal="left" vertical="center" indent="1"/>
    </xf>
    <xf numFmtId="9" fontId="7" fillId="9" borderId="2" applyAlignment="1" pivotButton="0" quotePrefix="0" xfId="10">
      <alignment horizontal="left" vertical="center" indent="1"/>
    </xf>
    <xf numFmtId="1" fontId="6" fillId="0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  <xf numFmtId="168" fontId="7" fillId="0" borderId="2" applyAlignment="1" pivotButton="0" quotePrefix="0" xfId="10">
      <alignment horizontal="left" vertical="center" indent="1"/>
    </xf>
    <xf numFmtId="9" fontId="7" fillId="0" borderId="2" applyAlignment="1" pivotButton="0" quotePrefix="0" xfId="10">
      <alignment horizontal="left" vertical="center" indent="1"/>
    </xf>
    <xf numFmtId="169" fontId="6" fillId="7" borderId="2" applyAlignment="1" pivotButton="0" quotePrefix="0" xfId="6">
      <alignment horizontal="center" vertical="center" wrapText="1"/>
    </xf>
    <xf numFmtId="169" fontId="6" fillId="8" borderId="2" applyAlignment="1" pivotButton="0" quotePrefix="0" xfId="6">
      <alignment horizontal="center" vertical="center" wrapText="1"/>
    </xf>
    <xf numFmtId="9" fontId="6" fillId="7" borderId="2" applyAlignment="1" pivotButton="0" quotePrefix="0" xfId="6">
      <alignment horizontal="center" vertical="center" wrapText="1"/>
    </xf>
    <xf numFmtId="9" fontId="6" fillId="8" borderId="2" applyAlignment="1" pivotButton="0" quotePrefix="0" xfId="6">
      <alignment horizontal="center" vertical="center" wrapText="1"/>
    </xf>
    <xf numFmtId="169" fontId="12" fillId="3" borderId="2" applyAlignment="1" pivotButton="0" quotePrefix="0" xfId="6">
      <alignment horizontal="center" vertical="center" wrapText="1"/>
    </xf>
    <xf numFmtId="0" fontId="10" fillId="0" borderId="2" applyAlignment="1" pivotButton="0" quotePrefix="0" xfId="13">
      <alignment horizontal="left" vertical="top" wrapText="1" indent="1"/>
    </xf>
    <xf numFmtId="0" fontId="8" fillId="8" borderId="2" applyAlignment="1" pivotButton="0" quotePrefix="0" xfId="9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167" fontId="7" fillId="0" borderId="2" applyAlignment="1" pivotButton="0" quotePrefix="0" xfId="10">
      <alignment horizontal="left" vertical="center" indent="1"/>
    </xf>
    <xf numFmtId="169" fontId="6" fillId="0" borderId="2" applyAlignment="1" pivotButton="0" quotePrefix="0" xfId="6">
      <alignment horizontal="center" vertical="center" wrapText="1"/>
    </xf>
    <xf numFmtId="9" fontId="12" fillId="3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167" fontId="6" fillId="0" borderId="2" applyAlignment="1" pivotButton="0" quotePrefix="0" xfId="6">
      <alignment horizontal="center" vertical="center" wrapText="1"/>
    </xf>
    <xf numFmtId="0" fontId="7" fillId="8" borderId="2" applyAlignment="1" pivotButton="0" quotePrefix="0" xfId="8">
      <alignment horizontal="center" vertical="center"/>
    </xf>
    <xf numFmtId="0" fontId="13" fillId="0" borderId="2" applyAlignment="1" pivotButton="0" quotePrefix="0" xfId="0">
      <alignment horizontal="center"/>
    </xf>
    <xf numFmtId="0" fontId="9" fillId="4" borderId="3" applyAlignment="1" pivotButton="0" quotePrefix="0" xfId="11">
      <alignment horizontal="center" vertical="center" wrapText="1"/>
    </xf>
    <xf numFmtId="9" fontId="14" fillId="10" borderId="4" applyAlignment="1" pivotButton="0" quotePrefix="0" xfId="0">
      <alignment horizontal="center" vertical="center"/>
    </xf>
    <xf numFmtId="0" fontId="0" fillId="10" borderId="4" pivotButton="0" quotePrefix="0" xfId="0"/>
    <xf numFmtId="0" fontId="0" fillId="10" borderId="2" pivotButton="0" quotePrefix="0" xfId="0"/>
    <xf numFmtId="0" fontId="2" fillId="10" borderId="1" applyAlignment="1" pivotButton="0" quotePrefix="0" xfId="2">
      <alignment horizontal="left" vertical="center" indent="2"/>
    </xf>
    <xf numFmtId="166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  <cellStyle name="msg" xfId="13" hidden="0"/>
  </cellStyles>
  <dxfs count="4">
    <dxf>
      <fill>
        <patternFill patternType="solid">
          <fgColor rgb="00FBF0E2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E6E6"/>
        </patternFill>
      </fill>
    </dxf>
    <dxf>
      <font>
        <b val="1"/>
        <color rgb="00C94C4C"/>
      </font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Property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'Multi-Property'!C4</f>
            </strRef>
          </tx>
          <spPr>
            <a:ln>
              <a:prstDash val="solid"/>
            </a:ln>
          </spPr>
          <cat>
            <numRef>
              <f>'Multi-Property'!$B$5:$B$7</f>
            </numRef>
          </cat>
          <val>
            <numRef>
              <f>'Multi-Property'!$C$5:$C$7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6-Month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'Financial'!L6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'Financial'!$K$7:$K$12</f>
            </numRef>
          </cat>
          <val>
            <numRef>
              <f>'Financial'!$L$7:$L$12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'Financial'!$E$6:$E$18</f>
            </numRef>
          </cat>
          <val>
            <numRef>
              <f>'Financial'!$F$6:$F$18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Booking Sources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'Calendar'!$K$5:$K$7</f>
            </numRef>
          </cat>
          <val>
            <numRef>
              <f>'Calendar'!$L$5:$L$7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Health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2" customWidth="1" min="2" max="2"/>
    <col width="3" customWidth="1" min="3" max="3"/>
  </cols>
  <sheetData>
    <row r="1" ht="58" customHeight="1">
      <c r="A1" s="1" t="inlineStr">
        <is>
          <t xml:space="preserve">  🏡  AIRBNB HOST COMMAND CENTER™</t>
        </is>
      </c>
    </row>
    <row r="2" ht="24" customHeight="1">
      <c r="A2" s="2" t="inlineStr">
        <is>
          <t xml:space="preserve">  The ultimate Airbnb business management system — run your rental like a business.</t>
        </is>
      </c>
    </row>
    <row r="3" ht="6" customHeight="1">
      <c r="A3" s="3" t="n"/>
      <c r="B3" s="3" t="n"/>
      <c r="C3" s="3" t="n"/>
    </row>
    <row r="5">
      <c r="B5" s="4" t="inlineStr">
        <is>
          <t>WELCOME, HOST — THIS IS YOUR OPERATING SYSTEM</t>
        </is>
      </c>
    </row>
    <row r="6" ht="22" customHeight="1">
      <c r="B6" s="5" t="inlineStr">
        <is>
          <t>Most Airbnb spreadsheets track only bookings or income. Airbnb Host Command Center™ replaces your tangle of disconnected files with ONE professional system that manages reservations, finances, pricing, guest communication, cleaning, maintenance, supplies, reviews, taxes and business performance — all from a single elegant dashboard. Run your short-term rental like the real business it is: save time, improve organization, and grow your profit.</t>
        </is>
      </c>
    </row>
    <row r="7" ht="22" customHeight="1"/>
    <row r="8" ht="22" customHeight="1"/>
    <row r="9" ht="22" customHeight="1"/>
    <row r="11">
      <c r="B11" s="6" t="inlineStr">
        <is>
          <t>START HERE</t>
        </is>
      </c>
    </row>
    <row r="12" ht="22" customHeight="1">
      <c r="B12" s="5" t="inlineStr">
        <is>
          <t>1.  Open Settings and add your business name, properties, currency &amp; targets.</t>
        </is>
      </c>
    </row>
    <row r="13" ht="22" customHeight="1">
      <c r="B13" s="5" t="inlineStr">
        <is>
          <t>2.  Fill in Property Profile for each listing (Wi-Fi, codes, contacts).</t>
        </is>
      </c>
    </row>
    <row r="14" ht="22" customHeight="1">
      <c r="B14" s="5" t="inlineStr">
        <is>
          <t>3.  Add bookings to the Master Booking Calendar — occupancy calculates itself.</t>
        </is>
      </c>
    </row>
    <row r="15" ht="22" customHeight="1">
      <c r="B15" s="5" t="inlineStr">
        <is>
          <t>4.  Log income &amp; expenses in the Financial Command Center for live profit.</t>
        </is>
      </c>
    </row>
    <row r="16" ht="22" customHeight="1">
      <c r="B16" s="5" t="inlineStr">
        <is>
          <t>5.  Use Cleaning, Maintenance &amp; Inventory to keep every turnover flawless.</t>
        </is>
      </c>
    </row>
    <row r="17" ht="22" customHeight="1">
      <c r="B17" s="5" t="inlineStr">
        <is>
          <t>6.  Watch the Executive Host Dashboard track revenue, occupancy &amp; health.</t>
        </is>
      </c>
    </row>
    <row r="20" ht="26" customHeight="1">
      <c r="B20" s="7" t="inlineStr">
        <is>
          <t xml:space="preserve">  GOOD TO KNOW</t>
        </is>
      </c>
    </row>
    <row r="21" ht="22" customHeight="1">
      <c r="B21" s="8" t="inlineStr">
        <is>
          <t>Realistic sample data (a 3-property portfolio) is included so you can see how everything connects — just type over it with your own. Revenue, occupancy, profit margin, cleaning schedules, reorder alerts and the Business Health Score all update automatically. Every sheet is print-friendly and works in Excel and Google Sheets, on desktop and mobile.</t>
        </is>
      </c>
    </row>
    <row r="22" ht="22" customHeight="1">
      <c r="B22" s="9" t="n"/>
    </row>
    <row r="23" ht="22" customHeight="1">
      <c r="B23" s="9" t="n"/>
    </row>
    <row r="25">
      <c r="B25" s="4" t="inlineStr">
        <is>
          <t>One organized system, more five-star stays — welcome to professional hosting.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🏡  AIRBNB HOST COMMAND CENTER™</t>
        </is>
      </c>
    </row>
    <row r="2" ht="24" customHeight="1">
      <c r="A2" s="2" t="inlineStr">
        <is>
          <t xml:space="preserve">  Revenue, occupancy, bookings, cleaning &amp; business health — your whole rental,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0" t="inlineStr">
        <is>
          <t>MONTHLY REVENUE</t>
        </is>
      </c>
      <c r="C5" s="11" t="n"/>
      <c r="D5" s="10" t="inlineStr">
        <is>
          <t>NET PROFIT</t>
        </is>
      </c>
      <c r="E5" s="11" t="n"/>
      <c r="F5" s="10" t="inlineStr">
        <is>
          <t>OCCUPANCY RATE</t>
        </is>
      </c>
      <c r="G5" s="11" t="n"/>
      <c r="H5" s="10" t="inlineStr">
        <is>
          <t>AVG NIGHTLY RATE</t>
        </is>
      </c>
      <c r="I5" s="11" t="n"/>
      <c r="J5" s="10" t="inlineStr">
        <is>
          <t>UPCOMING CHECK-INS</t>
        </is>
      </c>
      <c r="K5" s="11" t="n"/>
      <c r="L5" s="10" t="inlineStr">
        <is>
          <t>UPCOMING CHECK-OUTS</t>
        </is>
      </c>
      <c r="M5" s="11" t="n"/>
    </row>
    <row r="6" ht="40" customHeight="1">
      <c r="B6" s="12">
        <f>FinRevenue</f>
        <v/>
      </c>
      <c r="C6" s="13" t="n"/>
      <c r="D6" s="12">
        <f>FinNetProfit</f>
        <v/>
      </c>
      <c r="E6" s="13" t="n"/>
      <c r="F6" s="14">
        <f>IFERROR(SUM(CalNights)/(COUNTA(PropName)*30),0)</f>
        <v/>
      </c>
      <c r="G6" s="13" t="n"/>
      <c r="H6" s="12">
        <f>IFERROR(FinNightly/SUM(CalNights),0)</f>
        <v/>
      </c>
      <c r="I6" s="13" t="n"/>
      <c r="J6" s="15">
        <f>COUNTIFS(CalCheckIn,"&gt;="&amp;TODAY(),CalCheckIn,"&lt;="&amp;TODAY()+7)</f>
        <v/>
      </c>
      <c r="K6" s="13" t="n"/>
      <c r="L6" s="15">
        <f>COUNTIFS(CalCheckOut,"&gt;="&amp;TODAY(),CalCheckOut,"&lt;="&amp;TODAY()+7)</f>
        <v/>
      </c>
      <c r="M6" s="13" t="n"/>
    </row>
    <row r="8" ht="18" customHeight="1">
      <c r="B8" s="10" t="inlineStr">
        <is>
          <t>AVG LENGTH OF STAY</t>
        </is>
      </c>
      <c r="C8" s="11" t="n"/>
      <c r="D8" s="10" t="inlineStr">
        <is>
          <t>GUEST RATING</t>
        </is>
      </c>
      <c r="E8" s="11" t="n"/>
      <c r="F8" s="10" t="inlineStr">
        <is>
          <t>CLEANING PENDING</t>
        </is>
      </c>
      <c r="G8" s="11" t="n"/>
      <c r="H8" s="10" t="inlineStr">
        <is>
          <t>MAINTENANCE DUE</t>
        </is>
      </c>
      <c r="I8" s="11" t="n"/>
      <c r="J8" s="10" t="inlineStr">
        <is>
          <t>LOW-STOCK ITEMS</t>
        </is>
      </c>
      <c r="K8" s="11" t="n"/>
      <c r="L8" s="10" t="inlineStr">
        <is>
          <t>BUSINESS HEALTH</t>
        </is>
      </c>
      <c r="M8" s="11" t="n"/>
    </row>
    <row r="9" ht="40" customHeight="1">
      <c r="B9" s="16">
        <f>IFERROR(SUM(CalNights)/COUNT(CalNights),0)</f>
        <v/>
      </c>
      <c r="C9" s="13" t="n"/>
      <c r="D9" s="16">
        <f>IFERROR(AVERAGE(RevOverall),0)</f>
        <v/>
      </c>
      <c r="E9" s="13" t="n"/>
      <c r="F9" s="15">
        <f>COUNTIF(CleanStatus,"Scheduled")</f>
        <v/>
      </c>
      <c r="G9" s="13" t="n"/>
      <c r="H9" s="15">
        <f>COUNTIF(MaintStatus,"Open")+COUNTIF(MaintStatus,"In Progress")</f>
        <v/>
      </c>
      <c r="I9" s="13" t="n"/>
      <c r="J9" s="15">
        <f>SUMPRODUCT((InvQty&lt;=InvReorder)*(InvItem&lt;&gt;""))</f>
        <v/>
      </c>
      <c r="K9" s="13" t="n"/>
      <c r="L9" s="14">
        <f>IFERROR(AVERAGE(HealthRange),0)</f>
        <v/>
      </c>
      <c r="M9" s="13" t="n"/>
    </row>
    <row r="11" ht="26" customHeight="1">
      <c r="B11" s="4" t="inlineStr">
        <is>
          <t>PERFORMANCE</t>
        </is>
      </c>
    </row>
    <row r="29" ht="26" customHeight="1">
      <c r="B29" s="4" t="inlineStr">
        <is>
          <t>BREAKDOWN</t>
        </is>
      </c>
    </row>
    <row r="47" ht="26" customHeight="1">
      <c r="B47" s="2" t="inlineStr">
        <is>
          <t>Airbnb Host Command Center™ — run your rental like a business.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8" customWidth="1" min="3" max="3"/>
    <col width="6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🏠  PROPERTY PROFILE</t>
        </is>
      </c>
    </row>
    <row r="2" ht="22" customHeight="1">
      <c r="A2" s="2" t="inlineStr">
        <is>
          <t xml:space="preserve">  Every detail of your flagship listing — the facts guests and cleaners need,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LISTING</t>
        </is>
      </c>
    </row>
    <row r="6" ht="24" customHeight="1">
      <c r="B6" s="17" t="inlineStr">
        <is>
          <t>Property Name</t>
        </is>
      </c>
      <c r="C6" s="18" t="inlineStr">
        <is>
          <t>The Pine Cabin</t>
        </is>
      </c>
      <c r="E6" s="17" t="inlineStr">
        <is>
          <t>Property Type</t>
        </is>
      </c>
      <c r="F6" s="18" t="inlineStr">
        <is>
          <t>Cabin</t>
        </is>
      </c>
    </row>
    <row r="7" ht="24" customHeight="1">
      <c r="B7" s="17" t="inlineStr">
        <is>
          <t>Address</t>
        </is>
      </c>
      <c r="C7" s="18" t="inlineStr">
        <is>
          <t>412 Ridgeline Rd, Aspen CO</t>
        </is>
      </c>
      <c r="E7" s="17" t="inlineStr">
        <is>
          <t>Bedrooms</t>
        </is>
      </c>
      <c r="F7" s="18" t="n">
        <v>3</v>
      </c>
    </row>
    <row r="8" ht="24" customHeight="1">
      <c r="B8" s="17" t="inlineStr">
        <is>
          <t>Bathrooms</t>
        </is>
      </c>
      <c r="C8" s="18" t="n">
        <v>2</v>
      </c>
      <c r="E8" s="17" t="inlineStr">
        <is>
          <t>Maximum Guests</t>
        </is>
      </c>
      <c r="F8" s="18" t="n">
        <v>8</v>
      </c>
    </row>
    <row r="9" ht="24" customHeight="1">
      <c r="B9" s="17" t="inlineStr">
        <is>
          <t>Check-In Time</t>
        </is>
      </c>
      <c r="C9" s="18" t="inlineStr">
        <is>
          <t>4:00 PM</t>
        </is>
      </c>
      <c r="E9" s="17" t="inlineStr">
        <is>
          <t>Check-Out Time</t>
        </is>
      </c>
      <c r="F9" s="18" t="inlineStr">
        <is>
          <t>11:00 AM</t>
        </is>
      </c>
    </row>
    <row r="11" ht="22" customHeight="1">
      <c r="B11" s="4" t="inlineStr">
        <is>
          <t>ACCESS &amp; SERVICES</t>
        </is>
      </c>
    </row>
    <row r="12" ht="24" customHeight="1">
      <c r="B12" s="17" t="inlineStr">
        <is>
          <t>Wi-Fi Network</t>
        </is>
      </c>
      <c r="C12" s="18" t="inlineStr">
        <is>
          <t>PineCabin_5G</t>
        </is>
      </c>
      <c r="E12" s="17" t="inlineStr">
        <is>
          <t>Wi-Fi Password</t>
        </is>
      </c>
      <c r="F12" s="18" t="inlineStr">
        <is>
          <t>cozy-nights-2024</t>
        </is>
      </c>
    </row>
    <row r="13" ht="24" customHeight="1">
      <c r="B13" s="17" t="inlineStr">
        <is>
          <t>Smart Lock Code Ref</t>
        </is>
      </c>
      <c r="C13" s="18" t="inlineStr">
        <is>
          <t>See Message Templates</t>
        </is>
      </c>
      <c r="E13" s="17" t="inlineStr">
        <is>
          <t>Parking</t>
        </is>
      </c>
      <c r="F13" s="18" t="inlineStr">
        <is>
          <t>2 spots, driveway</t>
        </is>
      </c>
    </row>
    <row r="14" ht="24" customHeight="1">
      <c r="B14" s="17" t="inlineStr">
        <is>
          <t>Trash Day</t>
        </is>
      </c>
      <c r="C14" s="18" t="inlineStr">
        <is>
          <t>Tuesday AM</t>
        </is>
      </c>
      <c r="E14" s="17" t="inlineStr">
        <is>
          <t>Cleaner</t>
        </is>
      </c>
      <c r="F14" s="18" t="inlineStr">
        <is>
          <t>Sparkle Co. — Maria</t>
        </is>
      </c>
    </row>
    <row r="15" ht="24" customHeight="1">
      <c r="B15" s="17" t="inlineStr">
        <is>
          <t>Handyman</t>
        </is>
      </c>
      <c r="C15" s="18" t="inlineStr">
        <is>
          <t>Dave's Repairs</t>
        </is>
      </c>
      <c r="E15" s="17" t="inlineStr">
        <is>
          <t>Insurance</t>
        </is>
      </c>
      <c r="F15" s="18" t="inlineStr">
        <is>
          <t>Proper #STR-88120</t>
        </is>
      </c>
    </row>
    <row r="16" ht="22" customHeight="1">
      <c r="B16" s="4" t="inlineStr">
        <is>
          <t>EMERGENCY CONTACTS</t>
        </is>
      </c>
    </row>
    <row r="17" ht="24" customHeight="1">
      <c r="B17" s="17" t="inlineStr">
        <is>
          <t>Property Manager</t>
        </is>
      </c>
      <c r="C17" s="18" t="inlineStr">
        <is>
          <t>You — (555) 210-4521</t>
        </is>
      </c>
      <c r="E17" s="17" t="inlineStr">
        <is>
          <t>Emergency Maintenance</t>
        </is>
      </c>
      <c r="F17" s="18" t="inlineStr">
        <is>
          <t>Dave — (555) 887-1200</t>
        </is>
      </c>
    </row>
    <row r="18" ht="24" customHeight="1">
      <c r="B18" s="17" t="inlineStr">
        <is>
          <t>Nearest Hospital</t>
        </is>
      </c>
      <c r="C18" s="18" t="inlineStr">
        <is>
          <t>Aspen Valley — (555) 544-1000</t>
        </is>
      </c>
      <c r="E18" s="17" t="inlineStr">
        <is>
          <t>Local Police (non-emerg.)</t>
        </is>
      </c>
      <c r="F18" s="18" t="inlineStr">
        <is>
          <t>(555) 920-3311</t>
        </is>
      </c>
    </row>
  </sheetData>
  <mergeCells count="5">
    <mergeCell ref="A1:G1"/>
    <mergeCell ref="B16:F16"/>
    <mergeCell ref="B11:F11"/>
    <mergeCell ref="B5:F5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9" customWidth="1" min="5" max="5"/>
    <col width="14" customWidth="1" min="6" max="6"/>
    <col width="20" customWidth="1" min="7" max="7"/>
    <col width="13" customWidth="1" min="8" max="8"/>
    <col width="12" customWidth="1" min="9" max="9"/>
    <col width="3" customWidth="1" min="10" max="10"/>
    <col width="14" customWidth="1" min="11" max="11"/>
    <col width="12" customWidth="1" min="12" max="12"/>
  </cols>
  <sheetData>
    <row r="1" ht="46" customHeight="1">
      <c r="A1" s="1" t="inlineStr">
        <is>
          <t xml:space="preserve">  📅  MASTER BOOKING CALENDAR</t>
        </is>
      </c>
    </row>
    <row r="2" ht="22" customHeight="1">
      <c r="A2" s="2" t="inlineStr">
        <is>
          <t xml:space="preserve">  Every stay across every property — occupancy, check-ins &amp; check-outs calculate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Guest</t>
        </is>
      </c>
      <c r="B4" s="7" t="inlineStr">
        <is>
          <t>Platform</t>
        </is>
      </c>
      <c r="C4" s="7" t="inlineStr">
        <is>
          <t>Check-In</t>
        </is>
      </c>
      <c r="D4" s="7" t="inlineStr">
        <is>
          <t>Check-Out</t>
        </is>
      </c>
      <c r="E4" s="7" t="inlineStr">
        <is>
          <t>Nights</t>
        </is>
      </c>
      <c r="F4" s="7" t="inlineStr">
        <is>
          <t>Status</t>
        </is>
      </c>
      <c r="G4" s="7" t="inlineStr">
        <is>
          <t>Property</t>
        </is>
      </c>
      <c r="H4" s="7" t="inlineStr">
        <is>
          <t>Cleaning</t>
        </is>
      </c>
      <c r="I4" s="7" t="inlineStr">
        <is>
          <t>Payment</t>
        </is>
      </c>
      <c r="K4" s="7" t="inlineStr">
        <is>
          <t>Source</t>
        </is>
      </c>
      <c r="L4" s="7" t="inlineStr">
        <is>
          <t>Bookings</t>
        </is>
      </c>
    </row>
    <row r="5">
      <c r="A5" s="19" t="inlineStr">
        <is>
          <t>Sarah Mitchell</t>
        </is>
      </c>
      <c r="B5" s="20" t="inlineStr">
        <is>
          <t>Airbnb</t>
        </is>
      </c>
      <c r="C5" s="21" t="n">
        <v>46183</v>
      </c>
      <c r="D5" s="21" t="n">
        <v>46188</v>
      </c>
      <c r="E5" s="22" t="n">
        <v>5</v>
      </c>
      <c r="F5" s="20" t="inlineStr">
        <is>
          <t>Completed</t>
        </is>
      </c>
      <c r="G5" s="19" t="inlineStr">
        <is>
          <t>The Pine Cabin</t>
        </is>
      </c>
      <c r="H5" s="20" t="inlineStr">
        <is>
          <t>Done</t>
        </is>
      </c>
      <c r="I5" s="20" t="inlineStr">
        <is>
          <t>Paid</t>
        </is>
      </c>
      <c r="K5" s="23" t="inlineStr">
        <is>
          <t>Airbnb</t>
        </is>
      </c>
      <c r="L5" s="24">
        <f>COUNTIF(CalPlatform,"Airbnb")</f>
        <v/>
      </c>
    </row>
    <row r="6">
      <c r="A6" s="25" t="inlineStr">
        <is>
          <t>James Carter</t>
        </is>
      </c>
      <c r="B6" s="26" t="inlineStr">
        <is>
          <t>Airbnb</t>
        </is>
      </c>
      <c r="C6" s="27" t="n">
        <v>46187</v>
      </c>
      <c r="D6" s="27" t="n">
        <v>46190</v>
      </c>
      <c r="E6" s="28" t="n">
        <v>3</v>
      </c>
      <c r="F6" s="26" t="inlineStr">
        <is>
          <t>Completed</t>
        </is>
      </c>
      <c r="G6" s="25" t="inlineStr">
        <is>
          <t>Downtown Loft</t>
        </is>
      </c>
      <c r="H6" s="26" t="inlineStr">
        <is>
          <t>Done</t>
        </is>
      </c>
      <c r="I6" s="26" t="inlineStr">
        <is>
          <t>Paid</t>
        </is>
      </c>
      <c r="K6" s="23" t="inlineStr">
        <is>
          <t>VRBO</t>
        </is>
      </c>
      <c r="L6" s="24">
        <f>COUNTIF(CalPlatform,"VRBO")</f>
        <v/>
      </c>
    </row>
    <row r="7">
      <c r="A7" s="19" t="inlineStr">
        <is>
          <t>The Nguyen Family</t>
        </is>
      </c>
      <c r="B7" s="20" t="inlineStr">
        <is>
          <t>VRBO</t>
        </is>
      </c>
      <c r="C7" s="21" t="n">
        <v>46191</v>
      </c>
      <c r="D7" s="21" t="n">
        <v>46197</v>
      </c>
      <c r="E7" s="22" t="n">
        <v>6</v>
      </c>
      <c r="F7" s="20" t="inlineStr">
        <is>
          <t>Completed</t>
        </is>
      </c>
      <c r="G7" s="19" t="inlineStr">
        <is>
          <t>Beachside Bungalow</t>
        </is>
      </c>
      <c r="H7" s="20" t="inlineStr">
        <is>
          <t>Done</t>
        </is>
      </c>
      <c r="I7" s="20" t="inlineStr">
        <is>
          <t>Paid</t>
        </is>
      </c>
      <c r="K7" s="23" t="inlineStr">
        <is>
          <t>Direct</t>
        </is>
      </c>
      <c r="L7" s="24">
        <f>COUNTIF(CalPlatform,"Direct")</f>
        <v/>
      </c>
    </row>
    <row r="8">
      <c r="A8" s="25" t="inlineStr">
        <is>
          <t>Emily Rodriguez</t>
        </is>
      </c>
      <c r="B8" s="26" t="inlineStr">
        <is>
          <t>Airbnb</t>
        </is>
      </c>
      <c r="C8" s="27" t="n">
        <v>46196</v>
      </c>
      <c r="D8" s="27" t="n">
        <v>46200</v>
      </c>
      <c r="E8" s="28" t="n">
        <v>4</v>
      </c>
      <c r="F8" s="26" t="inlineStr">
        <is>
          <t>Completed</t>
        </is>
      </c>
      <c r="G8" s="25" t="inlineStr">
        <is>
          <t>The Pine Cabin</t>
        </is>
      </c>
      <c r="H8" s="26" t="inlineStr">
        <is>
          <t>Done</t>
        </is>
      </c>
      <c r="I8" s="26" t="inlineStr">
        <is>
          <t>Paid</t>
        </is>
      </c>
    </row>
    <row r="9">
      <c r="A9" s="19" t="inlineStr">
        <is>
          <t>Michael Brooks</t>
        </is>
      </c>
      <c r="B9" s="20" t="inlineStr">
        <is>
          <t>Direct</t>
        </is>
      </c>
      <c r="C9" s="21" t="n">
        <v>46199</v>
      </c>
      <c r="D9" s="21" t="n">
        <v>46201</v>
      </c>
      <c r="E9" s="22" t="n">
        <v>2</v>
      </c>
      <c r="F9" s="20" t="inlineStr">
        <is>
          <t>Completed</t>
        </is>
      </c>
      <c r="G9" s="19" t="inlineStr">
        <is>
          <t>Downtown Loft</t>
        </is>
      </c>
      <c r="H9" s="20" t="inlineStr">
        <is>
          <t>Done</t>
        </is>
      </c>
      <c r="I9" s="20" t="inlineStr">
        <is>
          <t>Paid</t>
        </is>
      </c>
    </row>
    <row r="10">
      <c r="A10" s="25" t="inlineStr">
        <is>
          <t>Olivia Bennett</t>
        </is>
      </c>
      <c r="B10" s="26" t="inlineStr">
        <is>
          <t>Airbnb</t>
        </is>
      </c>
      <c r="C10" s="27" t="n">
        <v>46201</v>
      </c>
      <c r="D10" s="27" t="n">
        <v>46204</v>
      </c>
      <c r="E10" s="28" t="n">
        <v>3</v>
      </c>
      <c r="F10" s="26" t="inlineStr">
        <is>
          <t>Completed</t>
        </is>
      </c>
      <c r="G10" s="25" t="inlineStr">
        <is>
          <t>Beachside Bungalow</t>
        </is>
      </c>
      <c r="H10" s="26" t="inlineStr">
        <is>
          <t>Done</t>
        </is>
      </c>
      <c r="I10" s="26" t="inlineStr">
        <is>
          <t>Paid</t>
        </is>
      </c>
    </row>
    <row r="11">
      <c r="A11" s="19" t="inlineStr">
        <is>
          <t>David Kim</t>
        </is>
      </c>
      <c r="B11" s="20" t="inlineStr">
        <is>
          <t>Airbnb</t>
        </is>
      </c>
      <c r="C11" s="21" t="n">
        <v>46203</v>
      </c>
      <c r="D11" s="21" t="n">
        <v>46207</v>
      </c>
      <c r="E11" s="22" t="n">
        <v>4</v>
      </c>
      <c r="F11" s="20" t="inlineStr">
        <is>
          <t>In Progress</t>
        </is>
      </c>
      <c r="G11" s="19" t="inlineStr">
        <is>
          <t>The Pine Cabin</t>
        </is>
      </c>
      <c r="H11" s="20" t="inlineStr">
        <is>
          <t>In Progress</t>
        </is>
      </c>
      <c r="I11" s="20" t="inlineStr">
        <is>
          <t>Paid</t>
        </is>
      </c>
    </row>
    <row r="12">
      <c r="A12" s="25" t="inlineStr">
        <is>
          <t>Priya Patel</t>
        </is>
      </c>
      <c r="B12" s="26" t="inlineStr">
        <is>
          <t>VRBO</t>
        </is>
      </c>
      <c r="C12" s="27" t="n">
        <v>46204</v>
      </c>
      <c r="D12" s="27" t="n">
        <v>46209</v>
      </c>
      <c r="E12" s="28" t="n">
        <v>5</v>
      </c>
      <c r="F12" s="26" t="inlineStr">
        <is>
          <t>In Progress</t>
        </is>
      </c>
      <c r="G12" s="25" t="inlineStr">
        <is>
          <t>Beachside Bungalow</t>
        </is>
      </c>
      <c r="H12" s="26" t="inlineStr">
        <is>
          <t>Scheduled</t>
        </is>
      </c>
      <c r="I12" s="26" t="inlineStr">
        <is>
          <t>Paid</t>
        </is>
      </c>
    </row>
    <row r="13">
      <c r="A13" s="19" t="inlineStr">
        <is>
          <t>Tom &amp; Lisa Hayes</t>
        </is>
      </c>
      <c r="B13" s="20" t="inlineStr">
        <is>
          <t>Airbnb</t>
        </is>
      </c>
      <c r="C13" s="21" t="n">
        <v>46207</v>
      </c>
      <c r="D13" s="21" t="n">
        <v>46210</v>
      </c>
      <c r="E13" s="22" t="n">
        <v>3</v>
      </c>
      <c r="F13" s="20" t="inlineStr">
        <is>
          <t>Confirmed</t>
        </is>
      </c>
      <c r="G13" s="19" t="inlineStr">
        <is>
          <t>Downtown Loft</t>
        </is>
      </c>
      <c r="H13" s="20" t="inlineStr">
        <is>
          <t>Scheduled</t>
        </is>
      </c>
      <c r="I13" s="20" t="inlineStr">
        <is>
          <t>Paid</t>
        </is>
      </c>
    </row>
    <row r="14">
      <c r="A14" s="25" t="inlineStr">
        <is>
          <t>Grace Liu</t>
        </is>
      </c>
      <c r="B14" s="26" t="inlineStr">
        <is>
          <t>Airbnb</t>
        </is>
      </c>
      <c r="C14" s="27" t="n">
        <v>46209</v>
      </c>
      <c r="D14" s="27" t="n">
        <v>46215</v>
      </c>
      <c r="E14" s="28" t="n">
        <v>6</v>
      </c>
      <c r="F14" s="26" t="inlineStr">
        <is>
          <t>Confirmed</t>
        </is>
      </c>
      <c r="G14" s="25" t="inlineStr">
        <is>
          <t>The Pine Cabin</t>
        </is>
      </c>
      <c r="H14" s="26" t="inlineStr">
        <is>
          <t>Scheduled</t>
        </is>
      </c>
      <c r="I14" s="26" t="inlineStr">
        <is>
          <t>Paid</t>
        </is>
      </c>
    </row>
    <row r="15">
      <c r="A15" s="19" t="inlineStr">
        <is>
          <t>Robert Fox</t>
        </is>
      </c>
      <c r="B15" s="20" t="inlineStr">
        <is>
          <t>Direct</t>
        </is>
      </c>
      <c r="C15" s="21" t="n">
        <v>46211</v>
      </c>
      <c r="D15" s="21" t="n">
        <v>46213</v>
      </c>
      <c r="E15" s="22" t="n">
        <v>2</v>
      </c>
      <c r="F15" s="20" t="inlineStr">
        <is>
          <t>Confirmed</t>
        </is>
      </c>
      <c r="G15" s="19" t="inlineStr">
        <is>
          <t>Beachside Bungalow</t>
        </is>
      </c>
      <c r="H15" s="20" t="inlineStr">
        <is>
          <t>Scheduled</t>
        </is>
      </c>
      <c r="I15" s="20" t="inlineStr">
        <is>
          <t>Deposit</t>
        </is>
      </c>
    </row>
    <row r="16">
      <c r="A16" s="25" t="inlineStr">
        <is>
          <t>Hannah Scott</t>
        </is>
      </c>
      <c r="B16" s="26" t="inlineStr">
        <is>
          <t>Airbnb</t>
        </is>
      </c>
      <c r="C16" s="27" t="n">
        <v>46215</v>
      </c>
      <c r="D16" s="27" t="n">
        <v>46219</v>
      </c>
      <c r="E16" s="28" t="n">
        <v>4</v>
      </c>
      <c r="F16" s="26" t="inlineStr">
        <is>
          <t>Confirmed</t>
        </is>
      </c>
      <c r="G16" s="25" t="inlineStr">
        <is>
          <t>Downtown Loft</t>
        </is>
      </c>
      <c r="H16" s="26" t="inlineStr">
        <is>
          <t>Scheduled</t>
        </is>
      </c>
      <c r="I16" s="26" t="inlineStr">
        <is>
          <t>Paid</t>
        </is>
      </c>
    </row>
    <row r="17">
      <c r="A17" s="19" t="inlineStr">
        <is>
          <t>Marcus Webb</t>
        </is>
      </c>
      <c r="B17" s="20" t="inlineStr">
        <is>
          <t>VRBO</t>
        </is>
      </c>
      <c r="C17" s="21" t="n">
        <v>46219</v>
      </c>
      <c r="D17" s="21" t="n">
        <v>46224</v>
      </c>
      <c r="E17" s="22" t="n">
        <v>5</v>
      </c>
      <c r="F17" s="20" t="inlineStr">
        <is>
          <t>Confirmed</t>
        </is>
      </c>
      <c r="G17" s="19" t="inlineStr">
        <is>
          <t>The Pine Cabin</t>
        </is>
      </c>
      <c r="H17" s="20" t="inlineStr">
        <is>
          <t>Scheduled</t>
        </is>
      </c>
      <c r="I17" s="20" t="inlineStr">
        <is>
          <t>Paid</t>
        </is>
      </c>
    </row>
    <row r="18">
      <c r="A18" s="25" t="inlineStr">
        <is>
          <t>Ana Duarte</t>
        </is>
      </c>
      <c r="B18" s="26" t="inlineStr">
        <is>
          <t>Airbnb</t>
        </is>
      </c>
      <c r="C18" s="27" t="n">
        <v>46225</v>
      </c>
      <c r="D18" s="27" t="n">
        <v>46228</v>
      </c>
      <c r="E18" s="28" t="n">
        <v>3</v>
      </c>
      <c r="F18" s="26" t="inlineStr">
        <is>
          <t>Confirmed</t>
        </is>
      </c>
      <c r="G18" s="25" t="inlineStr">
        <is>
          <t>Beachside Bungalow</t>
        </is>
      </c>
      <c r="H18" s="26" t="inlineStr">
        <is>
          <t>Scheduled</t>
        </is>
      </c>
      <c r="I18" s="26" t="inlineStr">
        <is>
          <t>Deposit</t>
        </is>
      </c>
    </row>
    <row r="19">
      <c r="A19" s="19" t="inlineStr">
        <is>
          <t>Chris Allen</t>
        </is>
      </c>
      <c r="B19" s="20" t="inlineStr">
        <is>
          <t>Airbnb</t>
        </is>
      </c>
      <c r="C19" s="21" t="n">
        <v>46229</v>
      </c>
      <c r="D19" s="21" t="n">
        <v>46233</v>
      </c>
      <c r="E19" s="22" t="n">
        <v>4</v>
      </c>
      <c r="F19" s="20" t="inlineStr">
        <is>
          <t>Confirmed</t>
        </is>
      </c>
      <c r="G19" s="19" t="inlineStr">
        <is>
          <t>Downtown Loft</t>
        </is>
      </c>
      <c r="H19" s="20" t="inlineStr">
        <is>
          <t>Scheduled</t>
        </is>
      </c>
      <c r="I19" s="20" t="inlineStr">
        <is>
          <t>Pending</t>
        </is>
      </c>
    </row>
    <row r="20">
      <c r="A20" s="25" t="n"/>
      <c r="B20" s="26" t="n"/>
      <c r="C20" s="27" t="n"/>
      <c r="D20" s="27" t="n"/>
      <c r="E20" s="28" t="n"/>
      <c r="F20" s="26" t="n"/>
      <c r="G20" s="25" t="n"/>
      <c r="H20" s="26" t="n"/>
      <c r="I20" s="26" t="n"/>
    </row>
    <row r="21">
      <c r="A21" s="19" t="n"/>
      <c r="B21" s="20" t="n"/>
      <c r="C21" s="21" t="n"/>
      <c r="D21" s="21" t="n"/>
      <c r="E21" s="22" t="n"/>
      <c r="F21" s="20" t="n"/>
      <c r="G21" s="19" t="n"/>
      <c r="H21" s="20" t="n"/>
      <c r="I21" s="20" t="n"/>
    </row>
    <row r="22">
      <c r="A22" s="25" t="n"/>
      <c r="B22" s="26" t="n"/>
      <c r="C22" s="27" t="n"/>
      <c r="D22" s="27" t="n"/>
      <c r="E22" s="28" t="n"/>
      <c r="F22" s="26" t="n"/>
      <c r="G22" s="25" t="n"/>
      <c r="H22" s="26" t="n"/>
      <c r="I22" s="26" t="n"/>
    </row>
    <row r="23">
      <c r="A23" s="19" t="n"/>
      <c r="B23" s="20" t="n"/>
      <c r="C23" s="21" t="n"/>
      <c r="D23" s="21" t="n"/>
      <c r="E23" s="22" t="n"/>
      <c r="F23" s="20" t="n"/>
      <c r="G23" s="19" t="n"/>
      <c r="H23" s="20" t="n"/>
      <c r="I23" s="20" t="n"/>
    </row>
    <row r="24">
      <c r="A24" s="25" t="n"/>
      <c r="B24" s="26" t="n"/>
      <c r="C24" s="27" t="n"/>
      <c r="D24" s="27" t="n"/>
      <c r="E24" s="28" t="n"/>
      <c r="F24" s="26" t="n"/>
      <c r="G24" s="25" t="n"/>
      <c r="H24" s="26" t="n"/>
      <c r="I24" s="26" t="n"/>
    </row>
    <row r="25">
      <c r="A25" s="19" t="n"/>
      <c r="B25" s="20" t="n"/>
      <c r="C25" s="21" t="n"/>
      <c r="D25" s="21" t="n"/>
      <c r="E25" s="22" t="n"/>
      <c r="F25" s="20" t="n"/>
      <c r="G25" s="19" t="n"/>
      <c r="H25" s="20" t="n"/>
      <c r="I25" s="20" t="n"/>
    </row>
    <row r="26">
      <c r="A26" s="25" t="n"/>
      <c r="B26" s="26" t="n"/>
      <c r="C26" s="27" t="n"/>
      <c r="D26" s="27" t="n"/>
      <c r="E26" s="28" t="n"/>
      <c r="F26" s="26" t="n"/>
      <c r="G26" s="25" t="n"/>
      <c r="H26" s="26" t="n"/>
      <c r="I26" s="26" t="n"/>
    </row>
    <row r="27">
      <c r="A27" s="19" t="n"/>
      <c r="B27" s="20" t="n"/>
      <c r="C27" s="21" t="n"/>
      <c r="D27" s="21" t="n"/>
      <c r="E27" s="22" t="n"/>
      <c r="F27" s="20" t="n"/>
      <c r="G27" s="19" t="n"/>
      <c r="H27" s="20" t="n"/>
      <c r="I27" s="20" t="n"/>
    </row>
    <row r="28">
      <c r="A28" s="25" t="n"/>
      <c r="B28" s="26" t="n"/>
      <c r="C28" s="27" t="n"/>
      <c r="D28" s="27" t="n"/>
      <c r="E28" s="28" t="n"/>
      <c r="F28" s="26" t="n"/>
      <c r="G28" s="25" t="n"/>
      <c r="H28" s="26" t="n"/>
      <c r="I28" s="26" t="n"/>
    </row>
    <row r="29">
      <c r="A29" s="19" t="n"/>
      <c r="B29" s="20" t="n"/>
      <c r="C29" s="21" t="n"/>
      <c r="D29" s="21" t="n"/>
      <c r="E29" s="22" t="n"/>
      <c r="F29" s="20" t="n"/>
      <c r="G29" s="19" t="n"/>
      <c r="H29" s="20" t="n"/>
      <c r="I29" s="20" t="n"/>
    </row>
    <row r="30">
      <c r="A30" s="25" t="n"/>
      <c r="B30" s="26" t="n"/>
      <c r="C30" s="27" t="n"/>
      <c r="D30" s="27" t="n"/>
      <c r="E30" s="28" t="n"/>
      <c r="F30" s="26" t="n"/>
      <c r="G30" s="25" t="n"/>
      <c r="H30" s="26" t="n"/>
      <c r="I30" s="26" t="n"/>
    </row>
    <row r="31">
      <c r="A31" s="19" t="n"/>
      <c r="B31" s="20" t="n"/>
      <c r="C31" s="21" t="n"/>
      <c r="D31" s="21" t="n"/>
      <c r="E31" s="22" t="n"/>
      <c r="F31" s="20" t="n"/>
      <c r="G31" s="19" t="n"/>
      <c r="H31" s="20" t="n"/>
      <c r="I31" s="20" t="n"/>
    </row>
    <row r="32">
      <c r="A32" s="25" t="n"/>
      <c r="B32" s="26" t="n"/>
      <c r="C32" s="27" t="n"/>
      <c r="D32" s="27" t="n"/>
      <c r="E32" s="28" t="n"/>
      <c r="F32" s="26" t="n"/>
      <c r="G32" s="25" t="n"/>
      <c r="H32" s="26" t="n"/>
      <c r="I32" s="26" t="n"/>
    </row>
    <row r="33">
      <c r="A33" s="19" t="n"/>
      <c r="B33" s="20" t="n"/>
      <c r="C33" s="21" t="n"/>
      <c r="D33" s="21" t="n"/>
      <c r="E33" s="22" t="n"/>
      <c r="F33" s="20" t="n"/>
      <c r="G33" s="19" t="n"/>
      <c r="H33" s="20" t="n"/>
      <c r="I33" s="20" t="n"/>
    </row>
    <row r="34">
      <c r="A34" s="25" t="n"/>
      <c r="B34" s="26" t="n"/>
      <c r="C34" s="27" t="n"/>
      <c r="D34" s="27" t="n"/>
      <c r="E34" s="28" t="n"/>
      <c r="F34" s="26" t="n"/>
      <c r="G34" s="25" t="n"/>
      <c r="H34" s="26" t="n"/>
      <c r="I34" s="26" t="n"/>
    </row>
    <row r="35">
      <c r="A35" s="19" t="n"/>
      <c r="B35" s="20" t="n"/>
      <c r="C35" s="21" t="n"/>
      <c r="D35" s="21" t="n"/>
      <c r="E35" s="22" t="n"/>
      <c r="F35" s="20" t="n"/>
      <c r="G35" s="19" t="n"/>
      <c r="H35" s="20" t="n"/>
      <c r="I35" s="20" t="n"/>
    </row>
    <row r="36">
      <c r="A36" s="25" t="n"/>
      <c r="B36" s="26" t="n"/>
      <c r="C36" s="27" t="n"/>
      <c r="D36" s="27" t="n"/>
      <c r="E36" s="28" t="n"/>
      <c r="F36" s="26" t="n"/>
      <c r="G36" s="25" t="n"/>
      <c r="H36" s="26" t="n"/>
      <c r="I36" s="26" t="n"/>
    </row>
    <row r="37">
      <c r="A37" s="19" t="n"/>
      <c r="B37" s="20" t="n"/>
      <c r="C37" s="21" t="n"/>
      <c r="D37" s="21" t="n"/>
      <c r="E37" s="22" t="n"/>
      <c r="F37" s="20" t="n"/>
      <c r="G37" s="19" t="n"/>
      <c r="H37" s="20" t="n"/>
      <c r="I37" s="20" t="n"/>
    </row>
    <row r="38">
      <c r="A38" s="25" t="n"/>
      <c r="B38" s="26" t="n"/>
      <c r="C38" s="27" t="n"/>
      <c r="D38" s="27" t="n"/>
      <c r="E38" s="28" t="n"/>
      <c r="F38" s="26" t="n"/>
      <c r="G38" s="25" t="n"/>
      <c r="H38" s="26" t="n"/>
      <c r="I38" s="26" t="n"/>
    </row>
    <row r="39">
      <c r="A39" s="19" t="n"/>
      <c r="B39" s="20" t="n"/>
      <c r="C39" s="21" t="n"/>
      <c r="D39" s="21" t="n"/>
      <c r="E39" s="22" t="n"/>
      <c r="F39" s="20" t="n"/>
      <c r="G39" s="19" t="n"/>
      <c r="H39" s="20" t="n"/>
      <c r="I39" s="20" t="n"/>
    </row>
    <row r="40">
      <c r="A40" s="25" t="n"/>
      <c r="B40" s="26" t="n"/>
      <c r="C40" s="27" t="n"/>
      <c r="D40" s="27" t="n"/>
      <c r="E40" s="28" t="n"/>
      <c r="F40" s="26" t="n"/>
      <c r="G40" s="25" t="n"/>
      <c r="H40" s="26" t="n"/>
      <c r="I40" s="26" t="n"/>
    </row>
    <row r="41">
      <c r="A41" s="19" t="n"/>
      <c r="B41" s="20" t="n"/>
      <c r="C41" s="21" t="n"/>
      <c r="D41" s="21" t="n"/>
      <c r="E41" s="22" t="n"/>
      <c r="F41" s="20" t="n"/>
      <c r="G41" s="19" t="n"/>
      <c r="H41" s="20" t="n"/>
      <c r="I41" s="20" t="n"/>
    </row>
    <row r="42">
      <c r="A42" s="25" t="n"/>
      <c r="B42" s="26" t="n"/>
      <c r="C42" s="27" t="n"/>
      <c r="D42" s="27" t="n"/>
      <c r="E42" s="28" t="n"/>
      <c r="F42" s="26" t="n"/>
      <c r="G42" s="25" t="n"/>
      <c r="H42" s="26" t="n"/>
      <c r="I42" s="26" t="n"/>
    </row>
    <row r="43">
      <c r="A43" s="19" t="n"/>
      <c r="B43" s="20" t="n"/>
      <c r="C43" s="21" t="n"/>
      <c r="D43" s="21" t="n"/>
      <c r="E43" s="22" t="n"/>
      <c r="F43" s="20" t="n"/>
      <c r="G43" s="19" t="n"/>
      <c r="H43" s="20" t="n"/>
      <c r="I43" s="20" t="n"/>
    </row>
    <row r="44">
      <c r="A44" s="25" t="n"/>
      <c r="B44" s="26" t="n"/>
      <c r="C44" s="27" t="n"/>
      <c r="D44" s="27" t="n"/>
      <c r="E44" s="28" t="n"/>
      <c r="F44" s="26" t="n"/>
      <c r="G44" s="25" t="n"/>
      <c r="H44" s="26" t="n"/>
      <c r="I44" s="26" t="n"/>
    </row>
  </sheetData>
  <mergeCells count="2">
    <mergeCell ref="A1:I1"/>
    <mergeCell ref="A2:I2"/>
  </mergeCells>
  <conditionalFormatting sqref="E5:E44">
    <cfRule type="colorScale" priority="1">
      <colorScale>
        <cfvo type="num" val="0"/>
        <cfvo type="num" val="7"/>
        <color rgb="FFFFFFFF"/>
        <color rgb="FF75E6C1"/>
      </colorScale>
    </cfRule>
  </conditionalFormatting>
  <dataValidations count="5">
    <dataValidation sqref="B5:B44" showDropDown="0" showInputMessage="0" showErrorMessage="0" allowBlank="1" type="list">
      <formula1>=PlatformList</formula1>
    </dataValidation>
    <dataValidation sqref="F5:F44" showDropDown="0" showInputMessage="0" showErrorMessage="0" allowBlank="1" type="list">
      <formula1>=BookStatusList</formula1>
    </dataValidation>
    <dataValidation sqref="G5:G44" showDropDown="0" showInputMessage="0" showErrorMessage="0" allowBlank="1" type="list">
      <formula1>=PropertyList</formula1>
    </dataValidation>
    <dataValidation sqref="H5:H44" showDropDown="0" showInputMessage="0" showErrorMessage="0" allowBlank="1" type="list">
      <formula1>=CleanStatusList</formula1>
    </dataValidation>
    <dataValidation sqref="I5:I44" showDropDown="0" showInputMessage="0" showErrorMessage="0" allowBlank="1" type="list">
      <formula1>=PayStatusList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K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8" customWidth="1" min="4" max="4"/>
    <col width="12" customWidth="1" min="5" max="5"/>
    <col width="12" customWidth="1" min="6" max="6"/>
    <col width="10" customWidth="1" min="7" max="7"/>
    <col width="11" customWidth="1" min="8" max="8"/>
    <col width="12" customWidth="1" min="9" max="9"/>
    <col width="13" customWidth="1" min="10" max="10"/>
    <col width="22" customWidth="1" min="11" max="11"/>
  </cols>
  <sheetData>
    <row r="1" ht="46" customHeight="1">
      <c r="A1" s="1" t="inlineStr">
        <is>
          <t xml:space="preserve">  🧾  RESERVATION MANAGER</t>
        </is>
      </c>
    </row>
    <row r="2" ht="22" customHeight="1">
      <c r="A2" s="2" t="inlineStr">
        <is>
          <t xml:space="preserve">  Per-booking money, decoded — gross, fees, taxes &amp; net revenue for every stay.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0" customHeight="1">
      <c r="A4" s="7" t="inlineStr">
        <is>
          <t>Res ID</t>
        </is>
      </c>
      <c r="B4" s="7" t="inlineStr">
        <is>
          <t>Guest</t>
        </is>
      </c>
      <c r="C4" s="7" t="inlineStr">
        <is>
          <t>Property</t>
        </is>
      </c>
      <c r="D4" s="7" t="inlineStr">
        <is>
          <t>Nights</t>
        </is>
      </c>
      <c r="E4" s="7" t="inlineStr">
        <is>
          <t>Gross</t>
        </is>
      </c>
      <c r="F4" s="7" t="inlineStr">
        <is>
          <t>Clean Fee</t>
        </is>
      </c>
      <c r="G4" s="7" t="inlineStr">
        <is>
          <t>Taxes</t>
        </is>
      </c>
      <c r="H4" s="7" t="inlineStr">
        <is>
          <t>Discount</t>
        </is>
      </c>
      <c r="I4" s="7" t="inlineStr">
        <is>
          <t>Platform Fee</t>
        </is>
      </c>
      <c r="J4" s="7" t="inlineStr">
        <is>
          <t>Net Revenue</t>
        </is>
      </c>
      <c r="K4" s="7" t="inlineStr">
        <is>
          <t>Special Requests</t>
        </is>
      </c>
    </row>
    <row r="5">
      <c r="A5" s="20" t="inlineStr">
        <is>
          <t>RES-1041</t>
        </is>
      </c>
      <c r="B5" s="19" t="inlineStr">
        <is>
          <t>Sarah Mitchell</t>
        </is>
      </c>
      <c r="C5" s="19" t="inlineStr">
        <is>
          <t>The Pine Cabin</t>
        </is>
      </c>
      <c r="D5" s="22" t="n">
        <v>5</v>
      </c>
      <c r="E5" s="29" t="n">
        <v>1150</v>
      </c>
      <c r="F5" s="29" t="n">
        <v>120</v>
      </c>
      <c r="G5" s="29" t="n">
        <v>92</v>
      </c>
      <c r="H5" s="29" t="n">
        <v>0</v>
      </c>
      <c r="I5" s="29" t="n">
        <v>35</v>
      </c>
      <c r="J5" s="29">
        <f>E5+F5-G5-H5-I5</f>
        <v/>
      </c>
      <c r="K5" s="19" t="inlineStr">
        <is>
          <t>Early check-in</t>
        </is>
      </c>
    </row>
    <row r="6">
      <c r="A6" s="26" t="inlineStr">
        <is>
          <t>RES-1042</t>
        </is>
      </c>
      <c r="B6" s="25" t="inlineStr">
        <is>
          <t>James Carter</t>
        </is>
      </c>
      <c r="C6" s="25" t="inlineStr">
        <is>
          <t>Downtown Loft</t>
        </is>
      </c>
      <c r="D6" s="28" t="n">
        <v>3</v>
      </c>
      <c r="E6" s="30" t="n">
        <v>480</v>
      </c>
      <c r="F6" s="30" t="n">
        <v>75</v>
      </c>
      <c r="G6" s="30" t="n">
        <v>38</v>
      </c>
      <c r="H6" s="30" t="n">
        <v>0</v>
      </c>
      <c r="I6" s="30" t="n">
        <v>15</v>
      </c>
      <c r="J6" s="30">
        <f>E6+F6-G6-H6-I6</f>
        <v/>
      </c>
      <c r="K6" s="25" t="inlineStr">
        <is>
          <t>—</t>
        </is>
      </c>
    </row>
    <row r="7">
      <c r="A7" s="20" t="inlineStr">
        <is>
          <t>RES-1043</t>
        </is>
      </c>
      <c r="B7" s="19" t="inlineStr">
        <is>
          <t>The Nguyen Family</t>
        </is>
      </c>
      <c r="C7" s="19" t="inlineStr">
        <is>
          <t>Beachside Bungalow</t>
        </is>
      </c>
      <c r="D7" s="22" t="n">
        <v>6</v>
      </c>
      <c r="E7" s="29" t="n">
        <v>1260</v>
      </c>
      <c r="F7" s="29" t="n">
        <v>150</v>
      </c>
      <c r="G7" s="29" t="n">
        <v>101</v>
      </c>
      <c r="H7" s="29" t="n">
        <v>60</v>
      </c>
      <c r="I7" s="29" t="n">
        <v>38</v>
      </c>
      <c r="J7" s="29">
        <f>E7+F7-G7-H7-I7</f>
        <v/>
      </c>
      <c r="K7" s="19" t="inlineStr">
        <is>
          <t>Crib + high chair</t>
        </is>
      </c>
    </row>
    <row r="8">
      <c r="A8" s="26" t="inlineStr">
        <is>
          <t>RES-1044</t>
        </is>
      </c>
      <c r="B8" s="25" t="inlineStr">
        <is>
          <t>Emily Rodriguez</t>
        </is>
      </c>
      <c r="C8" s="25" t="inlineStr">
        <is>
          <t>The Pine Cabin</t>
        </is>
      </c>
      <c r="D8" s="28" t="n">
        <v>4</v>
      </c>
      <c r="E8" s="30" t="n">
        <v>940</v>
      </c>
      <c r="F8" s="30" t="n">
        <v>120</v>
      </c>
      <c r="G8" s="30" t="n">
        <v>75</v>
      </c>
      <c r="H8" s="30" t="n">
        <v>0</v>
      </c>
      <c r="I8" s="30" t="n">
        <v>29</v>
      </c>
      <c r="J8" s="30">
        <f>E8+F8-G8-H8-I8</f>
        <v/>
      </c>
      <c r="K8" s="25" t="inlineStr">
        <is>
          <t>Late checkout</t>
        </is>
      </c>
    </row>
    <row r="9">
      <c r="A9" s="20" t="inlineStr">
        <is>
          <t>RES-1045</t>
        </is>
      </c>
      <c r="B9" s="19" t="inlineStr">
        <is>
          <t>Michael Brooks</t>
        </is>
      </c>
      <c r="C9" s="19" t="inlineStr">
        <is>
          <t>Downtown Loft</t>
        </is>
      </c>
      <c r="D9" s="22" t="n">
        <v>2</v>
      </c>
      <c r="E9" s="29" t="n">
        <v>320</v>
      </c>
      <c r="F9" s="29" t="n">
        <v>75</v>
      </c>
      <c r="G9" s="29" t="n">
        <v>26</v>
      </c>
      <c r="H9" s="29" t="n">
        <v>0</v>
      </c>
      <c r="I9" s="29" t="n">
        <v>0</v>
      </c>
      <c r="J9" s="29">
        <f>E9+F9-G9-H9-I9</f>
        <v/>
      </c>
      <c r="K9" s="19" t="inlineStr">
        <is>
          <t>—</t>
        </is>
      </c>
    </row>
    <row r="10">
      <c r="A10" s="26" t="inlineStr">
        <is>
          <t>RES-1046</t>
        </is>
      </c>
      <c r="B10" s="25" t="inlineStr">
        <is>
          <t>Olivia Bennett</t>
        </is>
      </c>
      <c r="C10" s="25" t="inlineStr">
        <is>
          <t>Beachside Bungalow</t>
        </is>
      </c>
      <c r="D10" s="28" t="n">
        <v>3</v>
      </c>
      <c r="E10" s="30" t="n">
        <v>660</v>
      </c>
      <c r="F10" s="30" t="n">
        <v>150</v>
      </c>
      <c r="G10" s="30" t="n">
        <v>53</v>
      </c>
      <c r="H10" s="30" t="n">
        <v>0</v>
      </c>
      <c r="I10" s="30" t="n">
        <v>20</v>
      </c>
      <c r="J10" s="30">
        <f>E10+F10-G10-H10-I10</f>
        <v/>
      </c>
      <c r="K10" s="25" t="inlineStr">
        <is>
          <t>Ground floor</t>
        </is>
      </c>
    </row>
    <row r="11">
      <c r="A11" s="20" t="inlineStr">
        <is>
          <t>RES-1047</t>
        </is>
      </c>
      <c r="B11" s="19" t="inlineStr">
        <is>
          <t>David Kim</t>
        </is>
      </c>
      <c r="C11" s="19" t="inlineStr">
        <is>
          <t>The Pine Cabin</t>
        </is>
      </c>
      <c r="D11" s="22" t="n">
        <v>4</v>
      </c>
      <c r="E11" s="29" t="n">
        <v>940</v>
      </c>
      <c r="F11" s="29" t="n">
        <v>120</v>
      </c>
      <c r="G11" s="29" t="n">
        <v>75</v>
      </c>
      <c r="H11" s="29" t="n">
        <v>40</v>
      </c>
      <c r="I11" s="29" t="n">
        <v>29</v>
      </c>
      <c r="J11" s="29">
        <f>E11+F11-G11-H11-I11</f>
        <v/>
      </c>
      <c r="K11" s="19" t="inlineStr">
        <is>
          <t>Pet (dog)</t>
        </is>
      </c>
    </row>
    <row r="12">
      <c r="A12" s="26" t="inlineStr">
        <is>
          <t>RES-1048</t>
        </is>
      </c>
      <c r="B12" s="25" t="inlineStr">
        <is>
          <t>Priya Patel</t>
        </is>
      </c>
      <c r="C12" s="25" t="inlineStr">
        <is>
          <t>Beachside Bungalow</t>
        </is>
      </c>
      <c r="D12" s="28" t="n">
        <v>5</v>
      </c>
      <c r="E12" s="30" t="n">
        <v>1150</v>
      </c>
      <c r="F12" s="30" t="n">
        <v>150</v>
      </c>
      <c r="G12" s="30" t="n">
        <v>92</v>
      </c>
      <c r="H12" s="30" t="n">
        <v>0</v>
      </c>
      <c r="I12" s="30" t="n">
        <v>35</v>
      </c>
      <c r="J12" s="30">
        <f>E12+F12-G12-H12-I12</f>
        <v/>
      </c>
      <c r="K12" s="25" t="inlineStr">
        <is>
          <t>Extra towels</t>
        </is>
      </c>
    </row>
    <row r="13">
      <c r="A13" s="20" t="inlineStr">
        <is>
          <t>RES-1049</t>
        </is>
      </c>
      <c r="B13" s="19" t="inlineStr">
        <is>
          <t>Tom &amp; Lisa Hayes</t>
        </is>
      </c>
      <c r="C13" s="19" t="inlineStr">
        <is>
          <t>Downtown Loft</t>
        </is>
      </c>
      <c r="D13" s="22" t="n">
        <v>3</v>
      </c>
      <c r="E13" s="29" t="n">
        <v>480</v>
      </c>
      <c r="F13" s="29" t="n">
        <v>75</v>
      </c>
      <c r="G13" s="29" t="n">
        <v>38</v>
      </c>
      <c r="H13" s="29" t="n">
        <v>0</v>
      </c>
      <c r="I13" s="29" t="n">
        <v>15</v>
      </c>
      <c r="J13" s="29">
        <f>E13+F13-G13-H13-I13</f>
        <v/>
      </c>
      <c r="K13" s="19" t="inlineStr">
        <is>
          <t>—</t>
        </is>
      </c>
    </row>
    <row r="14">
      <c r="A14" s="26" t="inlineStr">
        <is>
          <t>RES-1050</t>
        </is>
      </c>
      <c r="B14" s="25" t="inlineStr">
        <is>
          <t>Grace Liu</t>
        </is>
      </c>
      <c r="C14" s="25" t="inlineStr">
        <is>
          <t>The Pine Cabin</t>
        </is>
      </c>
      <c r="D14" s="28" t="n">
        <v>6</v>
      </c>
      <c r="E14" s="30" t="n">
        <v>1440</v>
      </c>
      <c r="F14" s="30" t="n">
        <v>120</v>
      </c>
      <c r="G14" s="30" t="n">
        <v>115</v>
      </c>
      <c r="H14" s="30" t="n">
        <v>0</v>
      </c>
      <c r="I14" s="30" t="n">
        <v>44</v>
      </c>
      <c r="J14" s="30">
        <f>E14+F14-G14-H14-I14</f>
        <v/>
      </c>
      <c r="K14" s="25" t="inlineStr">
        <is>
          <t>Anniversary setup</t>
        </is>
      </c>
    </row>
    <row r="15">
      <c r="A15" s="20" t="inlineStr">
        <is>
          <t>RES-1051</t>
        </is>
      </c>
      <c r="B15" s="19" t="inlineStr">
        <is>
          <t>Robert Fox</t>
        </is>
      </c>
      <c r="C15" s="19" t="inlineStr">
        <is>
          <t>Beachside Bungalow</t>
        </is>
      </c>
      <c r="D15" s="22" t="n">
        <v>2</v>
      </c>
      <c r="E15" s="29" t="n">
        <v>460</v>
      </c>
      <c r="F15" s="29" t="n">
        <v>150</v>
      </c>
      <c r="G15" s="29" t="n">
        <v>37</v>
      </c>
      <c r="H15" s="29" t="n">
        <v>0</v>
      </c>
      <c r="I15" s="29" t="n">
        <v>0</v>
      </c>
      <c r="J15" s="29">
        <f>E15+F15-G15-H15-I15</f>
        <v/>
      </c>
      <c r="K15" s="19" t="inlineStr">
        <is>
          <t>—</t>
        </is>
      </c>
    </row>
    <row r="16">
      <c r="A16" s="26" t="inlineStr">
        <is>
          <t>RES-1052</t>
        </is>
      </c>
      <c r="B16" s="25" t="inlineStr">
        <is>
          <t>Hannah Scott</t>
        </is>
      </c>
      <c r="C16" s="25" t="inlineStr">
        <is>
          <t>Downtown Loft</t>
        </is>
      </c>
      <c r="D16" s="28" t="n">
        <v>4</v>
      </c>
      <c r="E16" s="30" t="n">
        <v>640</v>
      </c>
      <c r="F16" s="30" t="n">
        <v>75</v>
      </c>
      <c r="G16" s="30" t="n">
        <v>51</v>
      </c>
      <c r="H16" s="30" t="n">
        <v>30</v>
      </c>
      <c r="I16" s="30" t="n">
        <v>20</v>
      </c>
      <c r="J16" s="30">
        <f>E16+F16-G16-H16-I16</f>
        <v/>
      </c>
      <c r="K16" s="25" t="inlineStr">
        <is>
          <t>Airport pickup info</t>
        </is>
      </c>
    </row>
    <row r="17">
      <c r="A17" s="20" t="n"/>
      <c r="B17" s="19" t="n"/>
      <c r="C17" s="19" t="n"/>
      <c r="D17" s="22" t="n"/>
      <c r="E17" s="29" t="n"/>
      <c r="F17" s="29" t="n"/>
      <c r="G17" s="29" t="n"/>
      <c r="H17" s="29" t="n"/>
      <c r="I17" s="29" t="n"/>
      <c r="J17" s="29" t="n"/>
      <c r="K17" s="19" t="n"/>
    </row>
    <row r="18">
      <c r="A18" s="26" t="n"/>
      <c r="B18" s="25" t="n"/>
      <c r="C18" s="25" t="n"/>
      <c r="D18" s="28" t="n"/>
      <c r="E18" s="30" t="n"/>
      <c r="F18" s="30" t="n"/>
      <c r="G18" s="30" t="n"/>
      <c r="H18" s="30" t="n"/>
      <c r="I18" s="30" t="n"/>
      <c r="J18" s="30" t="n"/>
      <c r="K18" s="25" t="n"/>
    </row>
    <row r="19">
      <c r="A19" s="20" t="n"/>
      <c r="B19" s="19" t="n"/>
      <c r="C19" s="19" t="n"/>
      <c r="D19" s="22" t="n"/>
      <c r="E19" s="29" t="n"/>
      <c r="F19" s="29" t="n"/>
      <c r="G19" s="29" t="n"/>
      <c r="H19" s="29" t="n"/>
      <c r="I19" s="29" t="n"/>
      <c r="J19" s="29" t="n"/>
      <c r="K19" s="19" t="n"/>
    </row>
    <row r="20">
      <c r="A20" s="26" t="n"/>
      <c r="B20" s="25" t="n"/>
      <c r="C20" s="25" t="n"/>
      <c r="D20" s="28" t="n"/>
      <c r="E20" s="30" t="n"/>
      <c r="F20" s="30" t="n"/>
      <c r="G20" s="30" t="n"/>
      <c r="H20" s="30" t="n"/>
      <c r="I20" s="30" t="n"/>
      <c r="J20" s="30" t="n"/>
      <c r="K20" s="25" t="n"/>
    </row>
    <row r="21">
      <c r="A21" s="20" t="n"/>
      <c r="B21" s="19" t="n"/>
      <c r="C21" s="19" t="n"/>
      <c r="D21" s="22" t="n"/>
      <c r="E21" s="29" t="n"/>
      <c r="F21" s="29" t="n"/>
      <c r="G21" s="29" t="n"/>
      <c r="H21" s="29" t="n"/>
      <c r="I21" s="29" t="n"/>
      <c r="J21" s="29" t="n"/>
      <c r="K21" s="19" t="n"/>
    </row>
    <row r="22">
      <c r="A22" s="26" t="n"/>
      <c r="B22" s="25" t="n"/>
      <c r="C22" s="25" t="n"/>
      <c r="D22" s="28" t="n"/>
      <c r="E22" s="30" t="n"/>
      <c r="F22" s="30" t="n"/>
      <c r="G22" s="30" t="n"/>
      <c r="H22" s="30" t="n"/>
      <c r="I22" s="30" t="n"/>
      <c r="J22" s="30" t="n"/>
      <c r="K22" s="25" t="n"/>
    </row>
    <row r="23">
      <c r="A23" s="20" t="n"/>
      <c r="B23" s="19" t="n"/>
      <c r="C23" s="19" t="n"/>
      <c r="D23" s="22" t="n"/>
      <c r="E23" s="29" t="n"/>
      <c r="F23" s="29" t="n"/>
      <c r="G23" s="29" t="n"/>
      <c r="H23" s="29" t="n"/>
      <c r="I23" s="29" t="n"/>
      <c r="J23" s="29" t="n"/>
      <c r="K23" s="19" t="n"/>
    </row>
    <row r="24">
      <c r="A24" s="26" t="n"/>
      <c r="B24" s="25" t="n"/>
      <c r="C24" s="25" t="n"/>
      <c r="D24" s="28" t="n"/>
      <c r="E24" s="30" t="n"/>
      <c r="F24" s="30" t="n"/>
      <c r="G24" s="30" t="n"/>
      <c r="H24" s="30" t="n"/>
      <c r="I24" s="30" t="n"/>
      <c r="J24" s="30" t="n"/>
      <c r="K24" s="25" t="n"/>
    </row>
    <row r="25">
      <c r="A25" s="20" t="n"/>
      <c r="B25" s="19" t="n"/>
      <c r="C25" s="19" t="n"/>
      <c r="D25" s="22" t="n"/>
      <c r="E25" s="29" t="n"/>
      <c r="F25" s="29" t="n"/>
      <c r="G25" s="29" t="n"/>
      <c r="H25" s="29" t="n"/>
      <c r="I25" s="29" t="n"/>
      <c r="J25" s="29" t="n"/>
      <c r="K25" s="19" t="n"/>
    </row>
    <row r="26">
      <c r="A26" s="26" t="n"/>
      <c r="B26" s="25" t="n"/>
      <c r="C26" s="25" t="n"/>
      <c r="D26" s="28" t="n"/>
      <c r="E26" s="30" t="n"/>
      <c r="F26" s="30" t="n"/>
      <c r="G26" s="30" t="n"/>
      <c r="H26" s="30" t="n"/>
      <c r="I26" s="30" t="n"/>
      <c r="J26" s="30" t="n"/>
      <c r="K26" s="25" t="n"/>
    </row>
    <row r="27">
      <c r="A27" s="20" t="n"/>
      <c r="B27" s="19" t="n"/>
      <c r="C27" s="19" t="n"/>
      <c r="D27" s="22" t="n"/>
      <c r="E27" s="29" t="n"/>
      <c r="F27" s="29" t="n"/>
      <c r="G27" s="29" t="n"/>
      <c r="H27" s="29" t="n"/>
      <c r="I27" s="29" t="n"/>
      <c r="J27" s="29" t="n"/>
      <c r="K27" s="19" t="n"/>
    </row>
    <row r="28">
      <c r="A28" s="26" t="n"/>
      <c r="B28" s="25" t="n"/>
      <c r="C28" s="25" t="n"/>
      <c r="D28" s="28" t="n"/>
      <c r="E28" s="30" t="n"/>
      <c r="F28" s="30" t="n"/>
      <c r="G28" s="30" t="n"/>
      <c r="H28" s="30" t="n"/>
      <c r="I28" s="30" t="n"/>
      <c r="J28" s="30" t="n"/>
      <c r="K28" s="25" t="n"/>
    </row>
    <row r="29">
      <c r="A29" s="20" t="n"/>
      <c r="B29" s="19" t="n"/>
      <c r="C29" s="19" t="n"/>
      <c r="D29" s="22" t="n"/>
      <c r="E29" s="29" t="n"/>
      <c r="F29" s="29" t="n"/>
      <c r="G29" s="29" t="n"/>
      <c r="H29" s="29" t="n"/>
      <c r="I29" s="29" t="n"/>
      <c r="J29" s="29" t="n"/>
      <c r="K29" s="19" t="n"/>
    </row>
    <row r="30">
      <c r="A30" s="26" t="n"/>
      <c r="B30" s="25" t="n"/>
      <c r="C30" s="25" t="n"/>
      <c r="D30" s="28" t="n"/>
      <c r="E30" s="30" t="n"/>
      <c r="F30" s="30" t="n"/>
      <c r="G30" s="30" t="n"/>
      <c r="H30" s="30" t="n"/>
      <c r="I30" s="30" t="n"/>
      <c r="J30" s="30" t="n"/>
      <c r="K30" s="25" t="n"/>
    </row>
    <row r="31">
      <c r="A31" s="20" t="n"/>
      <c r="B31" s="19" t="n"/>
      <c r="C31" s="19" t="n"/>
      <c r="D31" s="22" t="n"/>
      <c r="E31" s="29" t="n"/>
      <c r="F31" s="29" t="n"/>
      <c r="G31" s="29" t="n"/>
      <c r="H31" s="29" t="n"/>
      <c r="I31" s="29" t="n"/>
      <c r="J31" s="29" t="n"/>
      <c r="K31" s="19" t="n"/>
    </row>
    <row r="32">
      <c r="A32" s="26" t="n"/>
      <c r="B32" s="25" t="n"/>
      <c r="C32" s="25" t="n"/>
      <c r="D32" s="28" t="n"/>
      <c r="E32" s="30" t="n"/>
      <c r="F32" s="30" t="n"/>
      <c r="G32" s="30" t="n"/>
      <c r="H32" s="30" t="n"/>
      <c r="I32" s="30" t="n"/>
      <c r="J32" s="30" t="n"/>
      <c r="K32" s="25" t="n"/>
    </row>
    <row r="33">
      <c r="A33" s="20" t="n"/>
      <c r="B33" s="19" t="n"/>
      <c r="C33" s="19" t="n"/>
      <c r="D33" s="22" t="n"/>
      <c r="E33" s="29" t="n"/>
      <c r="F33" s="29" t="n"/>
      <c r="G33" s="29" t="n"/>
      <c r="H33" s="29" t="n"/>
      <c r="I33" s="29" t="n"/>
      <c r="J33" s="29" t="n"/>
      <c r="K33" s="19" t="n"/>
    </row>
    <row r="34">
      <c r="A34" s="26" t="n"/>
      <c r="B34" s="25" t="n"/>
      <c r="C34" s="25" t="n"/>
      <c r="D34" s="28" t="n"/>
      <c r="E34" s="30" t="n"/>
      <c r="F34" s="30" t="n"/>
      <c r="G34" s="30" t="n"/>
      <c r="H34" s="30" t="n"/>
      <c r="I34" s="30" t="n"/>
      <c r="J34" s="30" t="n"/>
      <c r="K34" s="25" t="n"/>
    </row>
    <row r="35">
      <c r="A35" s="20" t="n"/>
      <c r="B35" s="19" t="n"/>
      <c r="C35" s="19" t="n"/>
      <c r="D35" s="22" t="n"/>
      <c r="E35" s="29" t="n"/>
      <c r="F35" s="29" t="n"/>
      <c r="G35" s="29" t="n"/>
      <c r="H35" s="29" t="n"/>
      <c r="I35" s="29" t="n"/>
      <c r="J35" s="29" t="n"/>
      <c r="K35" s="19" t="n"/>
    </row>
    <row r="36">
      <c r="A36" s="26" t="n"/>
      <c r="B36" s="25" t="n"/>
      <c r="C36" s="25" t="n"/>
      <c r="D36" s="28" t="n"/>
      <c r="E36" s="30" t="n"/>
      <c r="F36" s="30" t="n"/>
      <c r="G36" s="30" t="n"/>
      <c r="H36" s="30" t="n"/>
      <c r="I36" s="30" t="n"/>
      <c r="J36" s="30" t="n"/>
      <c r="K36" s="25" t="n"/>
    </row>
    <row r="37">
      <c r="A37" s="20" t="n"/>
      <c r="B37" s="19" t="n"/>
      <c r="C37" s="19" t="n"/>
      <c r="D37" s="22" t="n"/>
      <c r="E37" s="29" t="n"/>
      <c r="F37" s="29" t="n"/>
      <c r="G37" s="29" t="n"/>
      <c r="H37" s="29" t="n"/>
      <c r="I37" s="29" t="n"/>
      <c r="J37" s="29" t="n"/>
      <c r="K37" s="19" t="n"/>
    </row>
    <row r="38">
      <c r="A38" s="26" t="n"/>
      <c r="B38" s="25" t="n"/>
      <c r="C38" s="25" t="n"/>
      <c r="D38" s="28" t="n"/>
      <c r="E38" s="30" t="n"/>
      <c r="F38" s="30" t="n"/>
      <c r="G38" s="30" t="n"/>
      <c r="H38" s="30" t="n"/>
      <c r="I38" s="30" t="n"/>
      <c r="J38" s="30" t="n"/>
      <c r="K38" s="25" t="n"/>
    </row>
    <row r="39">
      <c r="A39" s="20" t="n"/>
      <c r="B39" s="19" t="n"/>
      <c r="C39" s="19" t="n"/>
      <c r="D39" s="22" t="n"/>
      <c r="E39" s="29" t="n"/>
      <c r="F39" s="29" t="n"/>
      <c r="G39" s="29" t="n"/>
      <c r="H39" s="29" t="n"/>
      <c r="I39" s="29" t="n"/>
      <c r="J39" s="29" t="n"/>
      <c r="K39" s="19" t="n"/>
    </row>
    <row r="40">
      <c r="A40" s="26" t="n"/>
      <c r="B40" s="25" t="n"/>
      <c r="C40" s="25" t="n"/>
      <c r="D40" s="28" t="n"/>
      <c r="E40" s="30" t="n"/>
      <c r="F40" s="30" t="n"/>
      <c r="G40" s="30" t="n"/>
      <c r="H40" s="30" t="n"/>
      <c r="I40" s="30" t="n"/>
      <c r="J40" s="30" t="n"/>
      <c r="K40" s="25" t="n"/>
    </row>
    <row r="41">
      <c r="A41" s="20" t="n"/>
      <c r="B41" s="19" t="n"/>
      <c r="C41" s="19" t="n"/>
      <c r="D41" s="22" t="n"/>
      <c r="E41" s="29" t="n"/>
      <c r="F41" s="29" t="n"/>
      <c r="G41" s="29" t="n"/>
      <c r="H41" s="29" t="n"/>
      <c r="I41" s="29" t="n"/>
      <c r="J41" s="29" t="n"/>
      <c r="K41" s="19" t="n"/>
    </row>
    <row r="42">
      <c r="A42" s="26" t="n"/>
      <c r="B42" s="25" t="n"/>
      <c r="C42" s="25" t="n"/>
      <c r="D42" s="28" t="n"/>
      <c r="E42" s="30" t="n"/>
      <c r="F42" s="30" t="n"/>
      <c r="G42" s="30" t="n"/>
      <c r="H42" s="30" t="n"/>
      <c r="I42" s="30" t="n"/>
      <c r="J42" s="30" t="n"/>
      <c r="K42" s="25" t="n"/>
    </row>
    <row r="43">
      <c r="A43" s="20" t="n"/>
      <c r="B43" s="19" t="n"/>
      <c r="C43" s="19" t="n"/>
      <c r="D43" s="22" t="n"/>
      <c r="E43" s="29" t="n"/>
      <c r="F43" s="29" t="n"/>
      <c r="G43" s="29" t="n"/>
      <c r="H43" s="29" t="n"/>
      <c r="I43" s="29" t="n"/>
      <c r="J43" s="29" t="n"/>
      <c r="K43" s="19" t="n"/>
    </row>
    <row r="44">
      <c r="A44" s="26" t="n"/>
      <c r="B44" s="25" t="n"/>
      <c r="C44" s="25" t="n"/>
      <c r="D44" s="28" t="n"/>
      <c r="E44" s="30" t="n"/>
      <c r="F44" s="30" t="n"/>
      <c r="G44" s="30" t="n"/>
      <c r="H44" s="30" t="n"/>
      <c r="I44" s="30" t="n"/>
      <c r="J44" s="30" t="n"/>
      <c r="K44" s="25" t="n"/>
    </row>
    <row r="45">
      <c r="A45" s="7" t="inlineStr">
        <is>
          <t>TOTAL</t>
        </is>
      </c>
      <c r="E45" s="31">
        <f>SUM(E5:E44)</f>
        <v/>
      </c>
      <c r="F45" s="31">
        <f>SUM(F5:F44)</f>
        <v/>
      </c>
      <c r="G45" s="31">
        <f>SUM(G5:G44)</f>
        <v/>
      </c>
      <c r="H45" s="31">
        <f>SUM(H5:H44)</f>
        <v/>
      </c>
      <c r="I45" s="31">
        <f>SUM(I5:I44)</f>
        <v/>
      </c>
      <c r="J45" s="31">
        <f>SUM(J5:J44)</f>
        <v/>
      </c>
    </row>
  </sheetData>
  <mergeCells count="2">
    <mergeCell ref="A2:K2"/>
    <mergeCell ref="A1:K1"/>
  </mergeCells>
  <conditionalFormatting sqref="J5:J44">
    <cfRule type="dataBar" priority="1">
      <dataBar showValue="1">
        <cfvo type="num" val="0"/>
        <cfvo type="num" val="1500"/>
        <color rgb="001B4F48"/>
      </dataBar>
    </cfRule>
  </conditionalFormatting>
  <dataValidations count="1">
    <dataValidation sqref="C5:C44" showDropDown="0" showInputMessage="0" showErrorMessage="0" allowBlank="1" type="list">
      <formula1>=PropertyList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M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3" customWidth="1" min="4" max="4"/>
    <col width="22" customWidth="1" min="5" max="5"/>
    <col width="14" customWidth="1" min="6" max="6"/>
    <col width="3" customWidth="1" min="7" max="7"/>
    <col width="20" customWidth="1" min="8" max="8"/>
    <col width="14" customWidth="1" min="9" max="9"/>
    <col width="3" customWidth="1" min="10" max="10"/>
    <col width="12" customWidth="1" min="11" max="11"/>
    <col width="12" customWidth="1" min="12" max="12"/>
    <col width="11" customWidth="1" min="13" max="13"/>
  </cols>
  <sheetData>
    <row r="1" ht="46" customHeight="1">
      <c r="A1" s="1" t="inlineStr">
        <is>
          <t xml:space="preserve">  💰  FINANCIAL COMMAND CENTER</t>
        </is>
      </c>
    </row>
    <row r="2" ht="22" customHeight="1">
      <c r="A2" s="2" t="inlineStr">
        <is>
          <t xml:space="preserve">  This month's P&amp;L — revenue, expenses, net profit &amp; margin, computed live.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5">
      <c r="B5" s="6" t="inlineStr">
        <is>
          <t>MONTHLY INCOME</t>
        </is>
      </c>
      <c r="E5" s="4" t="inlineStr">
        <is>
          <t>MONTHLY EXPENSES</t>
        </is>
      </c>
      <c r="H5" s="4" t="inlineStr">
        <is>
          <t>THE BOTTOM LINE</t>
        </is>
      </c>
      <c r="K5" s="6" t="inlineStr">
        <is>
          <t>6-MONTH TREND</t>
        </is>
      </c>
    </row>
    <row r="6">
      <c r="B6" s="23" t="inlineStr">
        <is>
          <t>Nightly Revenue</t>
        </is>
      </c>
      <c r="C6" s="32" t="n">
        <v>10030</v>
      </c>
      <c r="E6" s="23" t="inlineStr">
        <is>
          <t>Mortgage</t>
        </is>
      </c>
      <c r="F6" s="32" t="n">
        <v>3200</v>
      </c>
      <c r="H6" s="17" t="inlineStr">
        <is>
          <t>Revenue</t>
        </is>
      </c>
      <c r="I6" s="33">
        <f>C9</f>
        <v/>
      </c>
      <c r="K6" s="7" t="inlineStr">
        <is>
          <t>Month</t>
        </is>
      </c>
      <c r="L6" s="7" t="inlineStr">
        <is>
          <t>Revenue</t>
        </is>
      </c>
      <c r="M6" s="7" t="inlineStr">
        <is>
          <t>Occ %</t>
        </is>
      </c>
    </row>
    <row r="7">
      <c r="B7" s="23" t="inlineStr">
        <is>
          <t>Cleaning Fees</t>
        </is>
      </c>
      <c r="C7" s="32" t="n">
        <v>1200</v>
      </c>
      <c r="E7" s="23" t="inlineStr">
        <is>
          <t>Utilities</t>
        </is>
      </c>
      <c r="F7" s="32" t="n">
        <v>420</v>
      </c>
      <c r="H7" s="17" t="inlineStr">
        <is>
          <t>Expenses</t>
        </is>
      </c>
      <c r="I7" s="33">
        <f>F19</f>
        <v/>
      </c>
      <c r="K7" s="23" t="inlineStr">
        <is>
          <t>Feb</t>
        </is>
      </c>
      <c r="L7" s="34" t="n">
        <v>8200</v>
      </c>
      <c r="M7" s="35" t="n">
        <v>0.58</v>
      </c>
    </row>
    <row r="8">
      <c r="B8" s="23" t="inlineStr">
        <is>
          <t>Extra Services</t>
        </is>
      </c>
      <c r="C8" s="32" t="n">
        <v>370</v>
      </c>
      <c r="E8" s="23" t="inlineStr">
        <is>
          <t>Internet</t>
        </is>
      </c>
      <c r="F8" s="32" t="n">
        <v>95</v>
      </c>
      <c r="H8" s="17" t="inlineStr">
        <is>
          <t>Net Profit</t>
        </is>
      </c>
      <c r="I8" s="36">
        <f>I6-I7</f>
        <v/>
      </c>
      <c r="K8" s="23" t="inlineStr">
        <is>
          <t>Mar</t>
        </is>
      </c>
      <c r="L8" s="34" t="n">
        <v>9400</v>
      </c>
      <c r="M8" s="35" t="n">
        <v>0.64</v>
      </c>
    </row>
    <row r="9">
      <c r="B9" s="7" t="inlineStr">
        <is>
          <t>TOTAL REVENUE</t>
        </is>
      </c>
      <c r="C9" s="31">
        <f>SUM(C6:C8)</f>
        <v/>
      </c>
      <c r="E9" s="23" t="inlineStr">
        <is>
          <t>Insurance</t>
        </is>
      </c>
      <c r="F9" s="32" t="n">
        <v>180</v>
      </c>
      <c r="H9" s="17" t="inlineStr">
        <is>
          <t>Profit Margin</t>
        </is>
      </c>
      <c r="I9" s="37">
        <f>IFERROR(I8/I6,0)</f>
        <v/>
      </c>
      <c r="K9" s="23" t="inlineStr">
        <is>
          <t>Apr</t>
        </is>
      </c>
      <c r="L9" s="34" t="n">
        <v>10100</v>
      </c>
      <c r="M9" s="35" t="n">
        <v>0.68</v>
      </c>
    </row>
    <row r="10">
      <c r="B10" s="17" t="inlineStr">
        <is>
          <t>Security Deposits (held)</t>
        </is>
      </c>
      <c r="C10" s="33" t="n">
        <v>500</v>
      </c>
      <c r="E10" s="23" t="inlineStr">
        <is>
          <t>Cleaning</t>
        </is>
      </c>
      <c r="F10" s="32" t="n">
        <v>960</v>
      </c>
      <c r="H10" s="17" t="inlineStr">
        <is>
          <t>Cash Flow</t>
        </is>
      </c>
      <c r="I10" s="33">
        <f>I8</f>
        <v/>
      </c>
      <c r="K10" s="23" t="inlineStr">
        <is>
          <t>May</t>
        </is>
      </c>
      <c r="L10" s="34" t="n">
        <v>11200</v>
      </c>
      <c r="M10" s="35" t="n">
        <v>0.72</v>
      </c>
    </row>
    <row r="11">
      <c r="E11" s="23" t="inlineStr">
        <is>
          <t>Supplies</t>
        </is>
      </c>
      <c r="F11" s="32" t="n">
        <v>340</v>
      </c>
      <c r="H11" s="17" t="inlineStr">
        <is>
          <t>Revenue / Property</t>
        </is>
      </c>
      <c r="I11" s="33">
        <f>IFERROR(I6/NumProps,0)</f>
        <v/>
      </c>
      <c r="K11" s="23" t="inlineStr">
        <is>
          <t>Jun</t>
        </is>
      </c>
      <c r="L11" s="34" t="n">
        <v>10800</v>
      </c>
      <c r="M11" s="35" t="n">
        <v>0.7</v>
      </c>
    </row>
    <row r="12">
      <c r="E12" s="23" t="inlineStr">
        <is>
          <t>Repairs</t>
        </is>
      </c>
      <c r="F12" s="32" t="n">
        <v>250</v>
      </c>
      <c r="K12" s="23" t="inlineStr">
        <is>
          <t>Jul</t>
        </is>
      </c>
      <c r="L12" s="34" t="n">
        <v>11600</v>
      </c>
      <c r="M12" s="35" t="n">
        <v>0.66</v>
      </c>
    </row>
    <row r="13">
      <c r="E13" s="23" t="inlineStr">
        <is>
          <t>Property Taxes</t>
        </is>
      </c>
      <c r="F13" s="32" t="n">
        <v>520</v>
      </c>
    </row>
    <row r="14">
      <c r="E14" s="23" t="inlineStr">
        <is>
          <t>HOA Fees</t>
        </is>
      </c>
      <c r="F14" s="32" t="n">
        <v>150</v>
      </c>
    </row>
    <row r="15">
      <c r="E15" s="23" t="inlineStr">
        <is>
          <t>Software</t>
        </is>
      </c>
      <c r="F15" s="32" t="n">
        <v>85</v>
      </c>
    </row>
    <row r="16">
      <c r="E16" s="23" t="inlineStr">
        <is>
          <t>Marketing</t>
        </is>
      </c>
      <c r="F16" s="32" t="n">
        <v>120</v>
      </c>
    </row>
    <row r="17">
      <c r="E17" s="23" t="inlineStr">
        <is>
          <t>Platform Fees</t>
        </is>
      </c>
      <c r="F17" s="32" t="n">
        <v>348</v>
      </c>
    </row>
    <row r="18">
      <c r="E18" s="23" t="inlineStr">
        <is>
          <t>Miscellaneous</t>
        </is>
      </c>
      <c r="F18" s="32" t="n">
        <v>82</v>
      </c>
    </row>
    <row r="19">
      <c r="E19" s="7" t="inlineStr">
        <is>
          <t>TOTAL EXPENSES</t>
        </is>
      </c>
      <c r="F19" s="31">
        <f>SUM(F6:F18)</f>
        <v/>
      </c>
    </row>
  </sheetData>
  <mergeCells count="6">
    <mergeCell ref="A1:M1"/>
    <mergeCell ref="B5:C5"/>
    <mergeCell ref="K5:M5"/>
    <mergeCell ref="E5:F5"/>
    <mergeCell ref="H5:I5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3" customWidth="1" min="6" max="6"/>
    <col width="22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🏷  PRICING STRATEGY</t>
        </is>
      </c>
    </row>
    <row r="2" ht="22" customHeight="1">
      <c r="A2" s="2" t="inlineStr">
        <is>
          <t xml:space="preserve">  Set rates by property &amp; season — then model what a price change does to your month.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Property</t>
        </is>
      </c>
      <c r="B4" s="7" t="inlineStr">
        <is>
          <t>Base / Night</t>
        </is>
      </c>
      <c r="C4" s="7" t="inlineStr">
        <is>
          <t>Weekend</t>
        </is>
      </c>
      <c r="D4" s="7" t="inlineStr">
        <is>
          <t>Holiday</t>
        </is>
      </c>
      <c r="E4" s="7" t="inlineStr">
        <is>
          <t>Min Stay</t>
        </is>
      </c>
      <c r="G4" s="4" t="inlineStr">
        <is>
          <t>SCENARIO MODELER</t>
        </is>
      </c>
    </row>
    <row r="5">
      <c r="A5" s="23" t="inlineStr">
        <is>
          <t>The Pine Cabin</t>
        </is>
      </c>
      <c r="B5" s="32" t="n">
        <v>235</v>
      </c>
      <c r="C5" s="32" t="n">
        <v>285</v>
      </c>
      <c r="D5" s="32" t="n">
        <v>340</v>
      </c>
      <c r="E5" s="38" t="n">
        <v>2</v>
      </c>
      <c r="G5" s="17" t="inlineStr">
        <is>
          <t>Avg nightly rate</t>
        </is>
      </c>
      <c r="H5" s="32" t="n">
        <v>175</v>
      </c>
    </row>
    <row r="6">
      <c r="A6" s="25" t="inlineStr">
        <is>
          <t>Beachside Bungalow</t>
        </is>
      </c>
      <c r="B6" s="39" t="n">
        <v>195</v>
      </c>
      <c r="C6" s="39" t="n">
        <v>240</v>
      </c>
      <c r="D6" s="39" t="n">
        <v>300</v>
      </c>
      <c r="E6" s="28" t="n">
        <v>3</v>
      </c>
      <c r="G6" s="17" t="inlineStr">
        <is>
          <t>Occupancy assumption</t>
        </is>
      </c>
      <c r="H6" s="40" t="n">
        <v>0.7</v>
      </c>
    </row>
    <row r="7">
      <c r="A7" s="23" t="inlineStr">
        <is>
          <t>Downtown Loft</t>
        </is>
      </c>
      <c r="B7" s="32" t="n">
        <v>145</v>
      </c>
      <c r="C7" s="32" t="n">
        <v>175</v>
      </c>
      <c r="D7" s="32" t="n">
        <v>210</v>
      </c>
      <c r="E7" s="38" t="n">
        <v>2</v>
      </c>
      <c r="G7" s="17" t="inlineStr">
        <is>
          <t>Nights available / mo</t>
        </is>
      </c>
      <c r="H7" s="41" t="n">
        <v>90</v>
      </c>
    </row>
    <row r="8">
      <c r="G8" s="17" t="inlineStr">
        <is>
          <t>Projected revenue</t>
        </is>
      </c>
      <c r="H8" s="36">
        <f>H5*H6*H7</f>
        <v/>
      </c>
    </row>
    <row r="9">
      <c r="G9" s="17" t="inlineStr">
        <is>
          <t>vs current revenue</t>
        </is>
      </c>
      <c r="H9" s="42">
        <f>H8-FinRevenue</f>
        <v/>
      </c>
    </row>
    <row r="10">
      <c r="B10" s="6" t="inlineStr">
        <is>
          <t>SEASONAL GUIDANCE</t>
        </is>
      </c>
      <c r="G10" s="17" t="inlineStr">
        <is>
          <t>% change</t>
        </is>
      </c>
      <c r="H10" s="43">
        <f>IFERROR(H8/FinRevenue-1,0)</f>
        <v/>
      </c>
    </row>
    <row r="11" ht="22" customHeight="1">
      <c r="B11" s="5" t="inlineStr">
        <is>
          <t>•  Raise weekend &amp; holiday rates 20–45% above base — demand supports it.</t>
        </is>
      </c>
    </row>
    <row r="12" ht="22" customHeight="1">
      <c r="B12" s="5" t="inlineStr">
        <is>
          <t>•  Set a 2–3 night minimum to cut costly one-night turnovers.</t>
        </is>
      </c>
    </row>
    <row r="13" ht="22" customHeight="1">
      <c r="B13" s="5" t="inlineStr">
        <is>
          <t>•  Model occupancy vs rate here before changing prices in your listing.</t>
        </is>
      </c>
    </row>
    <row r="14" ht="22" customHeight="1">
      <c r="B14" s="5" t="inlineStr">
        <is>
          <t>•  Small rate lifts in peak season compound into big monthly gains.</t>
        </is>
      </c>
    </row>
  </sheetData>
  <mergeCells count="8">
    <mergeCell ref="G4:H4"/>
    <mergeCell ref="A2:I2"/>
    <mergeCell ref="B12:E12"/>
    <mergeCell ref="B13:E13"/>
    <mergeCell ref="A1:I1"/>
    <mergeCell ref="B11:E11"/>
    <mergeCell ref="B10:E10"/>
    <mergeCell ref="B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5" customWidth="1" min="3" max="3"/>
    <col width="8" customWidth="1" min="4" max="4"/>
    <col width="10" customWidth="1" min="5" max="5"/>
    <col width="12" customWidth="1" min="6" max="6"/>
    <col width="26" customWidth="1" min="7" max="7"/>
    <col width="12" customWidth="1" min="8" max="8"/>
  </cols>
  <sheetData>
    <row r="1" ht="46" customHeight="1">
      <c r="A1" s="1" t="inlineStr">
        <is>
          <t xml:space="preserve">  🤝  GUEST CRM</t>
        </is>
      </c>
    </row>
    <row r="2" ht="22" customHeight="1">
      <c r="A2" s="2" t="inlineStr">
        <is>
          <t xml:space="preserve">  Know your guests — history, preferences &amp; repeat status turn one stay into many.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Guest</t>
        </is>
      </c>
      <c r="B4" s="7" t="inlineStr">
        <is>
          <t>Email</t>
        </is>
      </c>
      <c r="C4" s="7" t="inlineStr">
        <is>
          <t>Phone</t>
        </is>
      </c>
      <c r="D4" s="7" t="inlineStr">
        <is>
          <t>Stays</t>
        </is>
      </c>
      <c r="E4" s="7" t="inlineStr">
        <is>
          <t>Repeat?</t>
        </is>
      </c>
      <c r="F4" s="7" t="inlineStr">
        <is>
          <t>Country</t>
        </is>
      </c>
      <c r="G4" s="7" t="inlineStr">
        <is>
          <t>Preferences</t>
        </is>
      </c>
      <c r="H4" s="7" t="inlineStr">
        <is>
          <t>Rating Given</t>
        </is>
      </c>
    </row>
    <row r="5">
      <c r="A5" s="19" t="inlineStr">
        <is>
          <t>Sarah Mitchell</t>
        </is>
      </c>
      <c r="B5" s="19" t="inlineStr">
        <is>
          <t>sarah.m@email.com</t>
        </is>
      </c>
      <c r="C5" s="20" t="inlineStr">
        <is>
          <t>(555) 201-8841</t>
        </is>
      </c>
      <c r="D5" s="22" t="n">
        <v>3</v>
      </c>
      <c r="E5" s="20" t="inlineStr">
        <is>
          <t>Yes</t>
        </is>
      </c>
      <c r="F5" s="20" t="inlineStr">
        <is>
          <t>USA</t>
        </is>
      </c>
      <c r="G5" s="19" t="inlineStr">
        <is>
          <t>Quiet, early check-in</t>
        </is>
      </c>
      <c r="H5" s="44" t="n">
        <v>5</v>
      </c>
    </row>
    <row r="6">
      <c r="A6" s="25" t="inlineStr">
        <is>
          <t>James Carter</t>
        </is>
      </c>
      <c r="B6" s="25" t="inlineStr">
        <is>
          <t>jcarter@email.com</t>
        </is>
      </c>
      <c r="C6" s="26" t="inlineStr">
        <is>
          <t>(555) 442-1190</t>
        </is>
      </c>
      <c r="D6" s="28" t="n">
        <v>1</v>
      </c>
      <c r="E6" s="26" t="inlineStr">
        <is>
          <t>No</t>
        </is>
      </c>
      <c r="F6" s="26" t="inlineStr">
        <is>
          <t>USA</t>
        </is>
      </c>
      <c r="G6" s="25" t="inlineStr">
        <is>
          <t>Business traveler</t>
        </is>
      </c>
      <c r="H6" s="45" t="n">
        <v>5</v>
      </c>
    </row>
    <row r="7">
      <c r="A7" s="19" t="inlineStr">
        <is>
          <t>The Nguyen Family</t>
        </is>
      </c>
      <c r="B7" s="19" t="inlineStr">
        <is>
          <t>nguyen.fam@email.com</t>
        </is>
      </c>
      <c r="C7" s="20" t="inlineStr">
        <is>
          <t>(555) 771-3320</t>
        </is>
      </c>
      <c r="D7" s="22" t="n">
        <v>2</v>
      </c>
      <c r="E7" s="20" t="inlineStr">
        <is>
          <t>Yes</t>
        </is>
      </c>
      <c r="F7" s="20" t="inlineStr">
        <is>
          <t>USA</t>
        </is>
      </c>
      <c r="G7" s="19" t="inlineStr">
        <is>
          <t>Kids, needs crib</t>
        </is>
      </c>
      <c r="H7" s="44" t="n">
        <v>5</v>
      </c>
    </row>
    <row r="8">
      <c r="A8" s="25" t="inlineStr">
        <is>
          <t>Emily Rodriguez</t>
        </is>
      </c>
      <c r="B8" s="25" t="inlineStr">
        <is>
          <t>emily.r@email.com</t>
        </is>
      </c>
      <c r="C8" s="26" t="inlineStr">
        <is>
          <t>(555) 660-2245</t>
        </is>
      </c>
      <c r="D8" s="28" t="n">
        <v>1</v>
      </c>
      <c r="E8" s="26" t="inlineStr">
        <is>
          <t>No</t>
        </is>
      </c>
      <c r="F8" s="26" t="inlineStr">
        <is>
          <t>USA</t>
        </is>
      </c>
      <c r="G8" s="25" t="inlineStr">
        <is>
          <t>Dog-friendly stay</t>
        </is>
      </c>
      <c r="H8" s="45" t="n">
        <v>4</v>
      </c>
    </row>
    <row r="9">
      <c r="A9" s="19" t="inlineStr">
        <is>
          <t>Michael Brooks</t>
        </is>
      </c>
      <c r="B9" s="19" t="inlineStr">
        <is>
          <t>mbrooks@email.com</t>
        </is>
      </c>
      <c r="C9" s="20" t="inlineStr">
        <is>
          <t>(555) 118-9007</t>
        </is>
      </c>
      <c r="D9" s="22" t="n">
        <v>4</v>
      </c>
      <c r="E9" s="20" t="inlineStr">
        <is>
          <t>Yes</t>
        </is>
      </c>
      <c r="F9" s="20" t="inlineStr">
        <is>
          <t>USA</t>
        </is>
      </c>
      <c r="G9" s="19" t="inlineStr">
        <is>
          <t>VIP repeat guest</t>
        </is>
      </c>
      <c r="H9" s="44" t="n">
        <v>5</v>
      </c>
    </row>
    <row r="10">
      <c r="A10" s="25" t="inlineStr">
        <is>
          <t>Olivia Bennett</t>
        </is>
      </c>
      <c r="B10" s="25" t="inlineStr">
        <is>
          <t>obennett@email.com</t>
        </is>
      </c>
      <c r="C10" s="26" t="inlineStr">
        <is>
          <t>(555) 233-6612</t>
        </is>
      </c>
      <c r="D10" s="28" t="n">
        <v>1</v>
      </c>
      <c r="E10" s="26" t="inlineStr">
        <is>
          <t>No</t>
        </is>
      </c>
      <c r="F10" s="26" t="inlineStr">
        <is>
          <t>UK</t>
        </is>
      </c>
      <c r="G10" s="25" t="inlineStr">
        <is>
          <t>Ground floor only</t>
        </is>
      </c>
      <c r="H10" s="45" t="n">
        <v>5</v>
      </c>
    </row>
    <row r="11">
      <c r="A11" s="19" t="inlineStr">
        <is>
          <t>David Kim</t>
        </is>
      </c>
      <c r="B11" s="19" t="inlineStr">
        <is>
          <t>dkim@email.com</t>
        </is>
      </c>
      <c r="C11" s="20" t="inlineStr">
        <is>
          <t>(555) 909-4471</t>
        </is>
      </c>
      <c r="D11" s="22" t="n">
        <v>2</v>
      </c>
      <c r="E11" s="20" t="inlineStr">
        <is>
          <t>Yes</t>
        </is>
      </c>
      <c r="F11" s="20" t="inlineStr">
        <is>
          <t>USA</t>
        </is>
      </c>
      <c r="G11" s="19" t="inlineStr">
        <is>
          <t>Late checkout usual</t>
        </is>
      </c>
      <c r="H11" s="44" t="n">
        <v>5</v>
      </c>
    </row>
    <row r="12">
      <c r="A12" s="25" t="inlineStr">
        <is>
          <t>Priya Patel</t>
        </is>
      </c>
      <c r="B12" s="25" t="inlineStr">
        <is>
          <t>priya.p@email.com</t>
        </is>
      </c>
      <c r="C12" s="26" t="inlineStr">
        <is>
          <t>(555) 556-3388</t>
        </is>
      </c>
      <c r="D12" s="28" t="n">
        <v>1</v>
      </c>
      <c r="E12" s="26" t="inlineStr">
        <is>
          <t>No</t>
        </is>
      </c>
      <c r="F12" s="26" t="inlineStr">
        <is>
          <t>Canada</t>
        </is>
      </c>
      <c r="G12" s="25" t="inlineStr">
        <is>
          <t>Extra towels</t>
        </is>
      </c>
      <c r="H12" s="45" t="n">
        <v>4</v>
      </c>
    </row>
    <row r="13">
      <c r="A13" s="19" t="inlineStr">
        <is>
          <t>Grace Liu</t>
        </is>
      </c>
      <c r="B13" s="19" t="inlineStr">
        <is>
          <t>grace.liu@email.com</t>
        </is>
      </c>
      <c r="C13" s="20" t="inlineStr">
        <is>
          <t>(555) 640-1120</t>
        </is>
      </c>
      <c r="D13" s="22" t="n">
        <v>2</v>
      </c>
      <c r="E13" s="20" t="inlineStr">
        <is>
          <t>Yes</t>
        </is>
      </c>
      <c r="F13" s="20" t="inlineStr">
        <is>
          <t>USA</t>
        </is>
      </c>
      <c r="G13" s="19" t="inlineStr">
        <is>
          <t>Anniversary trips</t>
        </is>
      </c>
      <c r="H13" s="44" t="n">
        <v>5</v>
      </c>
    </row>
    <row r="14">
      <c r="A14" s="25" t="inlineStr">
        <is>
          <t>Hannah Scott</t>
        </is>
      </c>
      <c r="B14" s="25" t="inlineStr">
        <is>
          <t>hscott@email.com</t>
        </is>
      </c>
      <c r="C14" s="26" t="inlineStr">
        <is>
          <t>(555) 812-7754</t>
        </is>
      </c>
      <c r="D14" s="28" t="n">
        <v>1</v>
      </c>
      <c r="E14" s="26" t="inlineStr">
        <is>
          <t>No</t>
        </is>
      </c>
      <c r="F14" s="26" t="inlineStr">
        <is>
          <t>Australia</t>
        </is>
      </c>
      <c r="G14" s="25" t="inlineStr">
        <is>
          <t>First-time guest</t>
        </is>
      </c>
      <c r="H14" s="45" t="n">
        <v>5</v>
      </c>
    </row>
    <row r="15">
      <c r="A15" s="19" t="n"/>
      <c r="B15" s="19" t="n"/>
      <c r="C15" s="20" t="n"/>
      <c r="D15" s="22" t="n"/>
      <c r="E15" s="20" t="n"/>
      <c r="F15" s="20" t="n"/>
      <c r="G15" s="19" t="n"/>
      <c r="H15" s="44" t="n"/>
    </row>
    <row r="16">
      <c r="A16" s="25" t="n"/>
      <c r="B16" s="25" t="n"/>
      <c r="C16" s="26" t="n"/>
      <c r="D16" s="28" t="n"/>
      <c r="E16" s="26" t="n"/>
      <c r="F16" s="26" t="n"/>
      <c r="G16" s="25" t="n"/>
      <c r="H16" s="45" t="n"/>
    </row>
    <row r="17">
      <c r="A17" s="19" t="n"/>
      <c r="B17" s="19" t="n"/>
      <c r="C17" s="20" t="n"/>
      <c r="D17" s="22" t="n"/>
      <c r="E17" s="20" t="n"/>
      <c r="F17" s="20" t="n"/>
      <c r="G17" s="19" t="n"/>
      <c r="H17" s="44" t="n"/>
    </row>
    <row r="18">
      <c r="A18" s="25" t="n"/>
      <c r="B18" s="25" t="n"/>
      <c r="C18" s="26" t="n"/>
      <c r="D18" s="28" t="n"/>
      <c r="E18" s="26" t="n"/>
      <c r="F18" s="26" t="n"/>
      <c r="G18" s="25" t="n"/>
      <c r="H18" s="45" t="n"/>
    </row>
    <row r="19">
      <c r="A19" s="19" t="n"/>
      <c r="B19" s="19" t="n"/>
      <c r="C19" s="20" t="n"/>
      <c r="D19" s="22" t="n"/>
      <c r="E19" s="20" t="n"/>
      <c r="F19" s="20" t="n"/>
      <c r="G19" s="19" t="n"/>
      <c r="H19" s="44" t="n"/>
    </row>
    <row r="20">
      <c r="A20" s="25" t="n"/>
      <c r="B20" s="25" t="n"/>
      <c r="C20" s="26" t="n"/>
      <c r="D20" s="28" t="n"/>
      <c r="E20" s="26" t="n"/>
      <c r="F20" s="26" t="n"/>
      <c r="G20" s="25" t="n"/>
      <c r="H20" s="45" t="n"/>
    </row>
    <row r="21">
      <c r="A21" s="19" t="n"/>
      <c r="B21" s="19" t="n"/>
      <c r="C21" s="20" t="n"/>
      <c r="D21" s="22" t="n"/>
      <c r="E21" s="20" t="n"/>
      <c r="F21" s="20" t="n"/>
      <c r="G21" s="19" t="n"/>
      <c r="H21" s="44" t="n"/>
    </row>
    <row r="22">
      <c r="A22" s="25" t="n"/>
      <c r="B22" s="25" t="n"/>
      <c r="C22" s="26" t="n"/>
      <c r="D22" s="28" t="n"/>
      <c r="E22" s="26" t="n"/>
      <c r="F22" s="26" t="n"/>
      <c r="G22" s="25" t="n"/>
      <c r="H22" s="45" t="n"/>
    </row>
    <row r="23">
      <c r="A23" s="19" t="n"/>
      <c r="B23" s="19" t="n"/>
      <c r="C23" s="20" t="n"/>
      <c r="D23" s="22" t="n"/>
      <c r="E23" s="20" t="n"/>
      <c r="F23" s="20" t="n"/>
      <c r="G23" s="19" t="n"/>
      <c r="H23" s="44" t="n"/>
    </row>
    <row r="24">
      <c r="A24" s="25" t="n"/>
      <c r="B24" s="25" t="n"/>
      <c r="C24" s="26" t="n"/>
      <c r="D24" s="28" t="n"/>
      <c r="E24" s="26" t="n"/>
      <c r="F24" s="26" t="n"/>
      <c r="G24" s="25" t="n"/>
      <c r="H24" s="45" t="n"/>
    </row>
    <row r="25">
      <c r="A25" s="19" t="n"/>
      <c r="B25" s="19" t="n"/>
      <c r="C25" s="20" t="n"/>
      <c r="D25" s="22" t="n"/>
      <c r="E25" s="20" t="n"/>
      <c r="F25" s="20" t="n"/>
      <c r="G25" s="19" t="n"/>
      <c r="H25" s="44" t="n"/>
    </row>
    <row r="26">
      <c r="A26" s="25" t="n"/>
      <c r="B26" s="25" t="n"/>
      <c r="C26" s="26" t="n"/>
      <c r="D26" s="28" t="n"/>
      <c r="E26" s="26" t="n"/>
      <c r="F26" s="26" t="n"/>
      <c r="G26" s="25" t="n"/>
      <c r="H26" s="45" t="n"/>
    </row>
    <row r="27">
      <c r="A27" s="19" t="n"/>
      <c r="B27" s="19" t="n"/>
      <c r="C27" s="20" t="n"/>
      <c r="D27" s="22" t="n"/>
      <c r="E27" s="20" t="n"/>
      <c r="F27" s="20" t="n"/>
      <c r="G27" s="19" t="n"/>
      <c r="H27" s="44" t="n"/>
    </row>
    <row r="28">
      <c r="A28" s="25" t="n"/>
      <c r="B28" s="25" t="n"/>
      <c r="C28" s="26" t="n"/>
      <c r="D28" s="28" t="n"/>
      <c r="E28" s="26" t="n"/>
      <c r="F28" s="26" t="n"/>
      <c r="G28" s="25" t="n"/>
      <c r="H28" s="45" t="n"/>
    </row>
    <row r="29">
      <c r="A29" s="19" t="n"/>
      <c r="B29" s="19" t="n"/>
      <c r="C29" s="20" t="n"/>
      <c r="D29" s="22" t="n"/>
      <c r="E29" s="20" t="n"/>
      <c r="F29" s="20" t="n"/>
      <c r="G29" s="19" t="n"/>
      <c r="H29" s="44" t="n"/>
    </row>
    <row r="30">
      <c r="A30" s="25" t="n"/>
      <c r="B30" s="25" t="n"/>
      <c r="C30" s="26" t="n"/>
      <c r="D30" s="28" t="n"/>
      <c r="E30" s="26" t="n"/>
      <c r="F30" s="26" t="n"/>
      <c r="G30" s="25" t="n"/>
      <c r="H30" s="45" t="n"/>
    </row>
    <row r="31">
      <c r="A31" s="19" t="n"/>
      <c r="B31" s="19" t="n"/>
      <c r="C31" s="20" t="n"/>
      <c r="D31" s="22" t="n"/>
      <c r="E31" s="20" t="n"/>
      <c r="F31" s="20" t="n"/>
      <c r="G31" s="19" t="n"/>
      <c r="H31" s="44" t="n"/>
    </row>
    <row r="32">
      <c r="A32" s="25" t="n"/>
      <c r="B32" s="25" t="n"/>
      <c r="C32" s="26" t="n"/>
      <c r="D32" s="28" t="n"/>
      <c r="E32" s="26" t="n"/>
      <c r="F32" s="26" t="n"/>
      <c r="G32" s="25" t="n"/>
      <c r="H32" s="45" t="n"/>
    </row>
    <row r="33">
      <c r="A33" s="19" t="n"/>
      <c r="B33" s="19" t="n"/>
      <c r="C33" s="20" t="n"/>
      <c r="D33" s="22" t="n"/>
      <c r="E33" s="20" t="n"/>
      <c r="F33" s="20" t="n"/>
      <c r="G33" s="19" t="n"/>
      <c r="H33" s="44" t="n"/>
    </row>
    <row r="34">
      <c r="A34" s="25" t="n"/>
      <c r="B34" s="25" t="n"/>
      <c r="C34" s="26" t="n"/>
      <c r="D34" s="28" t="n"/>
      <c r="E34" s="26" t="n"/>
      <c r="F34" s="26" t="n"/>
      <c r="G34" s="25" t="n"/>
      <c r="H34" s="45" t="n"/>
    </row>
    <row r="35">
      <c r="A35" s="19" t="n"/>
      <c r="B35" s="19" t="n"/>
      <c r="C35" s="20" t="n"/>
      <c r="D35" s="22" t="n"/>
      <c r="E35" s="20" t="n"/>
      <c r="F35" s="20" t="n"/>
      <c r="G35" s="19" t="n"/>
      <c r="H35" s="44" t="n"/>
    </row>
    <row r="36">
      <c r="A36" s="25" t="n"/>
      <c r="B36" s="25" t="n"/>
      <c r="C36" s="26" t="n"/>
      <c r="D36" s="28" t="n"/>
      <c r="E36" s="26" t="n"/>
      <c r="F36" s="26" t="n"/>
      <c r="G36" s="25" t="n"/>
      <c r="H36" s="45" t="n"/>
    </row>
    <row r="37">
      <c r="A37" s="19" t="n"/>
      <c r="B37" s="19" t="n"/>
      <c r="C37" s="20" t="n"/>
      <c r="D37" s="22" t="n"/>
      <c r="E37" s="20" t="n"/>
      <c r="F37" s="20" t="n"/>
      <c r="G37" s="19" t="n"/>
      <c r="H37" s="44" t="n"/>
    </row>
    <row r="38">
      <c r="A38" s="25" t="n"/>
      <c r="B38" s="25" t="n"/>
      <c r="C38" s="26" t="n"/>
      <c r="D38" s="28" t="n"/>
      <c r="E38" s="26" t="n"/>
      <c r="F38" s="26" t="n"/>
      <c r="G38" s="25" t="n"/>
      <c r="H38" s="45" t="n"/>
    </row>
    <row r="39">
      <c r="A39" s="19" t="n"/>
      <c r="B39" s="19" t="n"/>
      <c r="C39" s="20" t="n"/>
      <c r="D39" s="22" t="n"/>
      <c r="E39" s="20" t="n"/>
      <c r="F39" s="20" t="n"/>
      <c r="G39" s="19" t="n"/>
      <c r="H39" s="44" t="n"/>
    </row>
    <row r="40">
      <c r="A40" s="25" t="n"/>
      <c r="B40" s="25" t="n"/>
      <c r="C40" s="26" t="n"/>
      <c r="D40" s="28" t="n"/>
      <c r="E40" s="26" t="n"/>
      <c r="F40" s="26" t="n"/>
      <c r="G40" s="25" t="n"/>
      <c r="H40" s="45" t="n"/>
    </row>
    <row r="41">
      <c r="A41" s="19" t="n"/>
      <c r="B41" s="19" t="n"/>
      <c r="C41" s="20" t="n"/>
      <c r="D41" s="22" t="n"/>
      <c r="E41" s="20" t="n"/>
      <c r="F41" s="20" t="n"/>
      <c r="G41" s="19" t="n"/>
      <c r="H41" s="44" t="n"/>
    </row>
    <row r="42">
      <c r="A42" s="25" t="n"/>
      <c r="B42" s="25" t="n"/>
      <c r="C42" s="26" t="n"/>
      <c r="D42" s="28" t="n"/>
      <c r="E42" s="26" t="n"/>
      <c r="F42" s="26" t="n"/>
      <c r="G42" s="25" t="n"/>
      <c r="H42" s="45" t="n"/>
    </row>
    <row r="43">
      <c r="A43" s="19" t="n"/>
      <c r="B43" s="19" t="n"/>
      <c r="C43" s="20" t="n"/>
      <c r="D43" s="22" t="n"/>
      <c r="E43" s="20" t="n"/>
      <c r="F43" s="20" t="n"/>
      <c r="G43" s="19" t="n"/>
      <c r="H43" s="44" t="n"/>
    </row>
    <row r="44">
      <c r="A44" s="25" t="n"/>
      <c r="B44" s="25" t="n"/>
      <c r="C44" s="26" t="n"/>
      <c r="D44" s="28" t="n"/>
      <c r="E44" s="26" t="n"/>
      <c r="F44" s="26" t="n"/>
      <c r="G44" s="25" t="n"/>
      <c r="H44" s="45" t="n"/>
    </row>
  </sheetData>
  <mergeCells count="2">
    <mergeCell ref="A2:H2"/>
    <mergeCell ref="A1:H1"/>
  </mergeCells>
  <dataValidations count="1">
    <dataValidation sqref="E5:E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14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46" customHeight="1">
      <c r="A1" s="1" t="inlineStr">
        <is>
          <t xml:space="preserve">  🧽  CLEANING COMMAND CENTER</t>
        </is>
      </c>
    </row>
    <row r="2" ht="22" customHeight="1">
      <c r="A2" s="2" t="inlineStr">
        <is>
          <t xml:space="preserve">  Never miss a turnover — every clean tracked, with checklist, linens &amp; restock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Date</t>
        </is>
      </c>
      <c r="B4" s="7" t="inlineStr">
        <is>
          <t>Cleaner</t>
        </is>
      </c>
      <c r="C4" s="7" t="inlineStr">
        <is>
          <t>Property</t>
        </is>
      </c>
      <c r="D4" s="7" t="inlineStr">
        <is>
          <t>Status</t>
        </is>
      </c>
      <c r="E4" s="7" t="inlineStr">
        <is>
          <t>Checklist %</t>
        </is>
      </c>
      <c r="F4" s="7" t="inlineStr">
        <is>
          <t>Linens</t>
        </is>
      </c>
      <c r="G4" s="7" t="inlineStr">
        <is>
          <t>Restocked</t>
        </is>
      </c>
      <c r="H4" s="7" t="inlineStr">
        <is>
          <t>Notes</t>
        </is>
      </c>
    </row>
    <row r="5">
      <c r="A5" s="21" t="n">
        <v>46188</v>
      </c>
      <c r="B5" s="19" t="inlineStr">
        <is>
          <t>Sparkle Co. — Maria</t>
        </is>
      </c>
      <c r="C5" s="19" t="inlineStr">
        <is>
          <t>The Pine Cabin</t>
        </is>
      </c>
      <c r="D5" s="20" t="inlineStr">
        <is>
          <t>Done</t>
        </is>
      </c>
      <c r="E5" s="46" t="n">
        <v>1</v>
      </c>
      <c r="F5" s="20" t="inlineStr">
        <is>
          <t>Yes</t>
        </is>
      </c>
      <c r="G5" s="20" t="inlineStr">
        <is>
          <t>Yes</t>
        </is>
      </c>
      <c r="H5" s="19" t="inlineStr">
        <is>
          <t>Deep clean</t>
        </is>
      </c>
    </row>
    <row r="6">
      <c r="A6" s="27" t="n">
        <v>46190</v>
      </c>
      <c r="B6" s="25" t="inlineStr">
        <is>
          <t>Sparkle Co. — Maria</t>
        </is>
      </c>
      <c r="C6" s="25" t="inlineStr">
        <is>
          <t>Downtown Loft</t>
        </is>
      </c>
      <c r="D6" s="26" t="inlineStr">
        <is>
          <t>Done</t>
        </is>
      </c>
      <c r="E6" s="47" t="n">
        <v>1</v>
      </c>
      <c r="F6" s="26" t="inlineStr">
        <is>
          <t>Yes</t>
        </is>
      </c>
      <c r="G6" s="26" t="inlineStr">
        <is>
          <t>Yes</t>
        </is>
      </c>
      <c r="H6" s="25" t="inlineStr">
        <is>
          <t>—</t>
        </is>
      </c>
    </row>
    <row r="7">
      <c r="A7" s="21" t="n">
        <v>46197</v>
      </c>
      <c r="B7" s="19" t="inlineStr">
        <is>
          <t>FreshTurn — Ana</t>
        </is>
      </c>
      <c r="C7" s="19" t="inlineStr">
        <is>
          <t>Beachside Bungalow</t>
        </is>
      </c>
      <c r="D7" s="20" t="inlineStr">
        <is>
          <t>Done</t>
        </is>
      </c>
      <c r="E7" s="46" t="n">
        <v>1</v>
      </c>
      <c r="F7" s="20" t="inlineStr">
        <is>
          <t>Yes</t>
        </is>
      </c>
      <c r="G7" s="20" t="inlineStr">
        <is>
          <t>Yes</t>
        </is>
      </c>
      <c r="H7" s="19" t="inlineStr">
        <is>
          <t>Sand everywhere</t>
        </is>
      </c>
    </row>
    <row r="8">
      <c r="A8" s="27" t="n">
        <v>46200</v>
      </c>
      <c r="B8" s="25" t="inlineStr">
        <is>
          <t>Sparkle Co. — Maria</t>
        </is>
      </c>
      <c r="C8" s="25" t="inlineStr">
        <is>
          <t>The Pine Cabin</t>
        </is>
      </c>
      <c r="D8" s="26" t="inlineStr">
        <is>
          <t>Done</t>
        </is>
      </c>
      <c r="E8" s="47" t="n">
        <v>1</v>
      </c>
      <c r="F8" s="26" t="inlineStr">
        <is>
          <t>Yes</t>
        </is>
      </c>
      <c r="G8" s="26" t="inlineStr">
        <is>
          <t>Yes</t>
        </is>
      </c>
      <c r="H8" s="25" t="inlineStr">
        <is>
          <t>—</t>
        </is>
      </c>
    </row>
    <row r="9">
      <c r="A9" s="21" t="n">
        <v>46201</v>
      </c>
      <c r="B9" s="19" t="inlineStr">
        <is>
          <t>FreshTurn — Ana</t>
        </is>
      </c>
      <c r="C9" s="19" t="inlineStr">
        <is>
          <t>Downtown Loft</t>
        </is>
      </c>
      <c r="D9" s="20" t="inlineStr">
        <is>
          <t>Done</t>
        </is>
      </c>
      <c r="E9" s="46" t="n">
        <v>1</v>
      </c>
      <c r="F9" s="20" t="inlineStr">
        <is>
          <t>Yes</t>
        </is>
      </c>
      <c r="G9" s="20" t="inlineStr">
        <is>
          <t>Yes</t>
        </is>
      </c>
      <c r="H9" s="19" t="inlineStr">
        <is>
          <t>—</t>
        </is>
      </c>
    </row>
    <row r="10">
      <c r="A10" s="27" t="n">
        <v>46207</v>
      </c>
      <c r="B10" s="25" t="inlineStr">
        <is>
          <t>FreshTurn — Ana</t>
        </is>
      </c>
      <c r="C10" s="25" t="inlineStr">
        <is>
          <t>The Pine Cabin</t>
        </is>
      </c>
      <c r="D10" s="26" t="inlineStr">
        <is>
          <t>In Progress</t>
        </is>
      </c>
      <c r="E10" s="47" t="n">
        <v>0.5</v>
      </c>
      <c r="F10" s="26" t="inlineStr">
        <is>
          <t>No</t>
        </is>
      </c>
      <c r="G10" s="26" t="inlineStr">
        <is>
          <t>No</t>
        </is>
      </c>
      <c r="H10" s="25" t="inlineStr">
        <is>
          <t>Turnover for Hayes</t>
        </is>
      </c>
    </row>
    <row r="11">
      <c r="A11" s="21" t="n">
        <v>46209</v>
      </c>
      <c r="B11" s="19" t="inlineStr">
        <is>
          <t>Sparkle Co. — Maria</t>
        </is>
      </c>
      <c r="C11" s="19" t="inlineStr">
        <is>
          <t>Beachside Bungalow</t>
        </is>
      </c>
      <c r="D11" s="20" t="inlineStr">
        <is>
          <t>Scheduled</t>
        </is>
      </c>
      <c r="E11" s="46" t="n">
        <v>0</v>
      </c>
      <c r="F11" s="20" t="inlineStr">
        <is>
          <t>No</t>
        </is>
      </c>
      <c r="G11" s="20" t="inlineStr">
        <is>
          <t>No</t>
        </is>
      </c>
      <c r="H11" s="19" t="inlineStr">
        <is>
          <t>Same-day turn</t>
        </is>
      </c>
    </row>
    <row r="12">
      <c r="A12" s="27" t="n">
        <v>46210</v>
      </c>
      <c r="B12" s="25" t="inlineStr">
        <is>
          <t>FreshTurn — Ana</t>
        </is>
      </c>
      <c r="C12" s="25" t="inlineStr">
        <is>
          <t>Downtown Loft</t>
        </is>
      </c>
      <c r="D12" s="26" t="inlineStr">
        <is>
          <t>Scheduled</t>
        </is>
      </c>
      <c r="E12" s="47" t="n">
        <v>0</v>
      </c>
      <c r="F12" s="26" t="inlineStr">
        <is>
          <t>No</t>
        </is>
      </c>
      <c r="G12" s="26" t="inlineStr">
        <is>
          <t>No</t>
        </is>
      </c>
      <c r="H12" s="25" t="inlineStr">
        <is>
          <t>—</t>
        </is>
      </c>
    </row>
    <row r="13">
      <c r="A13" s="21" t="n">
        <v>46211</v>
      </c>
      <c r="B13" s="19" t="inlineStr">
        <is>
          <t>Sparkle Co. — Maria</t>
        </is>
      </c>
      <c r="C13" s="19" t="inlineStr">
        <is>
          <t>The Pine Cabin</t>
        </is>
      </c>
      <c r="D13" s="20" t="inlineStr">
        <is>
          <t>Scheduled</t>
        </is>
      </c>
      <c r="E13" s="46" t="n">
        <v>0</v>
      </c>
      <c r="F13" s="20" t="inlineStr">
        <is>
          <t>No</t>
        </is>
      </c>
      <c r="G13" s="20" t="inlineStr">
        <is>
          <t>No</t>
        </is>
      </c>
      <c r="H13" s="19" t="inlineStr">
        <is>
          <t>Restock coffee</t>
        </is>
      </c>
    </row>
    <row r="14">
      <c r="A14" s="27" t="n">
        <v>46214</v>
      </c>
      <c r="B14" s="25" t="inlineStr">
        <is>
          <t>FreshTurn — Ana</t>
        </is>
      </c>
      <c r="C14" s="25" t="inlineStr">
        <is>
          <t>Beachside Bungalow</t>
        </is>
      </c>
      <c r="D14" s="26" t="inlineStr">
        <is>
          <t>Scheduled</t>
        </is>
      </c>
      <c r="E14" s="47" t="n">
        <v>0</v>
      </c>
      <c r="F14" s="26" t="inlineStr">
        <is>
          <t>No</t>
        </is>
      </c>
      <c r="G14" s="26" t="inlineStr">
        <is>
          <t>No</t>
        </is>
      </c>
      <c r="H14" s="25" t="inlineStr">
        <is>
          <t>—</t>
        </is>
      </c>
    </row>
    <row r="15">
      <c r="A15" s="21" t="n"/>
      <c r="B15" s="19" t="n"/>
      <c r="C15" s="19" t="n"/>
      <c r="D15" s="20" t="n"/>
      <c r="E15" s="46" t="n"/>
      <c r="F15" s="20" t="n"/>
      <c r="G15" s="20" t="n"/>
      <c r="H15" s="19" t="n"/>
    </row>
    <row r="16">
      <c r="A16" s="27" t="n"/>
      <c r="B16" s="25" t="n"/>
      <c r="C16" s="25" t="n"/>
      <c r="D16" s="26" t="n"/>
      <c r="E16" s="47" t="n"/>
      <c r="F16" s="26" t="n"/>
      <c r="G16" s="26" t="n"/>
      <c r="H16" s="25" t="n"/>
    </row>
    <row r="17">
      <c r="A17" s="21" t="n"/>
      <c r="B17" s="19" t="n"/>
      <c r="C17" s="19" t="n"/>
      <c r="D17" s="20" t="n"/>
      <c r="E17" s="46" t="n"/>
      <c r="F17" s="20" t="n"/>
      <c r="G17" s="20" t="n"/>
      <c r="H17" s="19" t="n"/>
    </row>
    <row r="18">
      <c r="A18" s="27" t="n"/>
      <c r="B18" s="25" t="n"/>
      <c r="C18" s="25" t="n"/>
      <c r="D18" s="26" t="n"/>
      <c r="E18" s="47" t="n"/>
      <c r="F18" s="26" t="n"/>
      <c r="G18" s="26" t="n"/>
      <c r="H18" s="25" t="n"/>
    </row>
    <row r="19">
      <c r="A19" s="21" t="n"/>
      <c r="B19" s="19" t="n"/>
      <c r="C19" s="19" t="n"/>
      <c r="D19" s="20" t="n"/>
      <c r="E19" s="46" t="n"/>
      <c r="F19" s="20" t="n"/>
      <c r="G19" s="20" t="n"/>
      <c r="H19" s="19" t="n"/>
    </row>
    <row r="20">
      <c r="A20" s="27" t="n"/>
      <c r="B20" s="25" t="n"/>
      <c r="C20" s="25" t="n"/>
      <c r="D20" s="26" t="n"/>
      <c r="E20" s="47" t="n"/>
      <c r="F20" s="26" t="n"/>
      <c r="G20" s="26" t="n"/>
      <c r="H20" s="25" t="n"/>
    </row>
    <row r="21">
      <c r="A21" s="21" t="n"/>
      <c r="B21" s="19" t="n"/>
      <c r="C21" s="19" t="n"/>
      <c r="D21" s="20" t="n"/>
      <c r="E21" s="46" t="n"/>
      <c r="F21" s="20" t="n"/>
      <c r="G21" s="20" t="n"/>
      <c r="H21" s="19" t="n"/>
    </row>
    <row r="22">
      <c r="A22" s="27" t="n"/>
      <c r="B22" s="25" t="n"/>
      <c r="C22" s="25" t="n"/>
      <c r="D22" s="26" t="n"/>
      <c r="E22" s="47" t="n"/>
      <c r="F22" s="26" t="n"/>
      <c r="G22" s="26" t="n"/>
      <c r="H22" s="25" t="n"/>
    </row>
    <row r="23">
      <c r="A23" s="21" t="n"/>
      <c r="B23" s="19" t="n"/>
      <c r="C23" s="19" t="n"/>
      <c r="D23" s="20" t="n"/>
      <c r="E23" s="46" t="n"/>
      <c r="F23" s="20" t="n"/>
      <c r="G23" s="20" t="n"/>
      <c r="H23" s="19" t="n"/>
    </row>
    <row r="24">
      <c r="A24" s="27" t="n"/>
      <c r="B24" s="25" t="n"/>
      <c r="C24" s="25" t="n"/>
      <c r="D24" s="26" t="n"/>
      <c r="E24" s="47" t="n"/>
      <c r="F24" s="26" t="n"/>
      <c r="G24" s="26" t="n"/>
      <c r="H24" s="25" t="n"/>
    </row>
    <row r="25">
      <c r="A25" s="21" t="n"/>
      <c r="B25" s="19" t="n"/>
      <c r="C25" s="19" t="n"/>
      <c r="D25" s="20" t="n"/>
      <c r="E25" s="46" t="n"/>
      <c r="F25" s="20" t="n"/>
      <c r="G25" s="20" t="n"/>
      <c r="H25" s="19" t="n"/>
    </row>
    <row r="26">
      <c r="A26" s="27" t="n"/>
      <c r="B26" s="25" t="n"/>
      <c r="C26" s="25" t="n"/>
      <c r="D26" s="26" t="n"/>
      <c r="E26" s="47" t="n"/>
      <c r="F26" s="26" t="n"/>
      <c r="G26" s="26" t="n"/>
      <c r="H26" s="25" t="n"/>
    </row>
    <row r="27">
      <c r="A27" s="21" t="n"/>
      <c r="B27" s="19" t="n"/>
      <c r="C27" s="19" t="n"/>
      <c r="D27" s="20" t="n"/>
      <c r="E27" s="46" t="n"/>
      <c r="F27" s="20" t="n"/>
      <c r="G27" s="20" t="n"/>
      <c r="H27" s="19" t="n"/>
    </row>
    <row r="28">
      <c r="A28" s="27" t="n"/>
      <c r="B28" s="25" t="n"/>
      <c r="C28" s="25" t="n"/>
      <c r="D28" s="26" t="n"/>
      <c r="E28" s="47" t="n"/>
      <c r="F28" s="26" t="n"/>
      <c r="G28" s="26" t="n"/>
      <c r="H28" s="25" t="n"/>
    </row>
    <row r="29">
      <c r="A29" s="21" t="n"/>
      <c r="B29" s="19" t="n"/>
      <c r="C29" s="19" t="n"/>
      <c r="D29" s="20" t="n"/>
      <c r="E29" s="46" t="n"/>
      <c r="F29" s="20" t="n"/>
      <c r="G29" s="20" t="n"/>
      <c r="H29" s="19" t="n"/>
    </row>
    <row r="30">
      <c r="A30" s="27" t="n"/>
      <c r="B30" s="25" t="n"/>
      <c r="C30" s="25" t="n"/>
      <c r="D30" s="26" t="n"/>
      <c r="E30" s="47" t="n"/>
      <c r="F30" s="26" t="n"/>
      <c r="G30" s="26" t="n"/>
      <c r="H30" s="25" t="n"/>
    </row>
    <row r="31">
      <c r="A31" s="21" t="n"/>
      <c r="B31" s="19" t="n"/>
      <c r="C31" s="19" t="n"/>
      <c r="D31" s="20" t="n"/>
      <c r="E31" s="46" t="n"/>
      <c r="F31" s="20" t="n"/>
      <c r="G31" s="20" t="n"/>
      <c r="H31" s="19" t="n"/>
    </row>
    <row r="32">
      <c r="A32" s="27" t="n"/>
      <c r="B32" s="25" t="n"/>
      <c r="C32" s="25" t="n"/>
      <c r="D32" s="26" t="n"/>
      <c r="E32" s="47" t="n"/>
      <c r="F32" s="26" t="n"/>
      <c r="G32" s="26" t="n"/>
      <c r="H32" s="25" t="n"/>
    </row>
    <row r="33">
      <c r="A33" s="21" t="n"/>
      <c r="B33" s="19" t="n"/>
      <c r="C33" s="19" t="n"/>
      <c r="D33" s="20" t="n"/>
      <c r="E33" s="46" t="n"/>
      <c r="F33" s="20" t="n"/>
      <c r="G33" s="20" t="n"/>
      <c r="H33" s="19" t="n"/>
    </row>
    <row r="34">
      <c r="A34" s="27" t="n"/>
      <c r="B34" s="25" t="n"/>
      <c r="C34" s="25" t="n"/>
      <c r="D34" s="26" t="n"/>
      <c r="E34" s="47" t="n"/>
      <c r="F34" s="26" t="n"/>
      <c r="G34" s="26" t="n"/>
      <c r="H34" s="25" t="n"/>
    </row>
    <row r="35">
      <c r="A35" s="21" t="n"/>
      <c r="B35" s="19" t="n"/>
      <c r="C35" s="19" t="n"/>
      <c r="D35" s="20" t="n"/>
      <c r="E35" s="46" t="n"/>
      <c r="F35" s="20" t="n"/>
      <c r="G35" s="20" t="n"/>
      <c r="H35" s="19" t="n"/>
    </row>
    <row r="36">
      <c r="A36" s="27" t="n"/>
      <c r="B36" s="25" t="n"/>
      <c r="C36" s="25" t="n"/>
      <c r="D36" s="26" t="n"/>
      <c r="E36" s="47" t="n"/>
      <c r="F36" s="26" t="n"/>
      <c r="G36" s="26" t="n"/>
      <c r="H36" s="25" t="n"/>
    </row>
    <row r="37">
      <c r="A37" s="21" t="n"/>
      <c r="B37" s="19" t="n"/>
      <c r="C37" s="19" t="n"/>
      <c r="D37" s="20" t="n"/>
      <c r="E37" s="46" t="n"/>
      <c r="F37" s="20" t="n"/>
      <c r="G37" s="20" t="n"/>
      <c r="H37" s="19" t="n"/>
    </row>
    <row r="38">
      <c r="A38" s="27" t="n"/>
      <c r="B38" s="25" t="n"/>
      <c r="C38" s="25" t="n"/>
      <c r="D38" s="26" t="n"/>
      <c r="E38" s="47" t="n"/>
      <c r="F38" s="26" t="n"/>
      <c r="G38" s="26" t="n"/>
      <c r="H38" s="25" t="n"/>
    </row>
    <row r="39">
      <c r="A39" s="21" t="n"/>
      <c r="B39" s="19" t="n"/>
      <c r="C39" s="19" t="n"/>
      <c r="D39" s="20" t="n"/>
      <c r="E39" s="46" t="n"/>
      <c r="F39" s="20" t="n"/>
      <c r="G39" s="20" t="n"/>
      <c r="H39" s="19" t="n"/>
    </row>
    <row r="40">
      <c r="A40" s="27" t="n"/>
      <c r="B40" s="25" t="n"/>
      <c r="C40" s="25" t="n"/>
      <c r="D40" s="26" t="n"/>
      <c r="E40" s="47" t="n"/>
      <c r="F40" s="26" t="n"/>
      <c r="G40" s="26" t="n"/>
      <c r="H40" s="25" t="n"/>
    </row>
    <row r="41">
      <c r="A41" s="21" t="n"/>
      <c r="B41" s="19" t="n"/>
      <c r="C41" s="19" t="n"/>
      <c r="D41" s="20" t="n"/>
      <c r="E41" s="46" t="n"/>
      <c r="F41" s="20" t="n"/>
      <c r="G41" s="20" t="n"/>
      <c r="H41" s="19" t="n"/>
    </row>
    <row r="42">
      <c r="A42" s="27" t="n"/>
      <c r="B42" s="25" t="n"/>
      <c r="C42" s="25" t="n"/>
      <c r="D42" s="26" t="n"/>
      <c r="E42" s="47" t="n"/>
      <c r="F42" s="26" t="n"/>
      <c r="G42" s="26" t="n"/>
      <c r="H42" s="25" t="n"/>
    </row>
    <row r="43">
      <c r="A43" s="21" t="n"/>
      <c r="B43" s="19" t="n"/>
      <c r="C43" s="19" t="n"/>
      <c r="D43" s="20" t="n"/>
      <c r="E43" s="46" t="n"/>
      <c r="F43" s="20" t="n"/>
      <c r="G43" s="20" t="n"/>
      <c r="H43" s="19" t="n"/>
    </row>
    <row r="44">
      <c r="A44" s="27" t="n"/>
      <c r="B44" s="25" t="n"/>
      <c r="C44" s="25" t="n"/>
      <c r="D44" s="26" t="n"/>
      <c r="E44" s="47" t="n"/>
      <c r="F44" s="26" t="n"/>
      <c r="G44" s="26" t="n"/>
      <c r="H44" s="25" t="n"/>
    </row>
  </sheetData>
  <mergeCells count="2">
    <mergeCell ref="A2:H2"/>
    <mergeCell ref="A1:H1"/>
  </mergeCells>
  <conditionalFormatting sqref="D5:D44">
    <cfRule type="cellIs" priority="1" operator="equal" dxfId="0">
      <formula>"Scheduled"</formula>
    </cfRule>
    <cfRule type="cellIs" priority="2" operator="equal" dxfId="1">
      <formula>"Done"</formula>
    </cfRule>
  </conditionalFormatting>
  <dataValidations count="4">
    <dataValidation sqref="C5:C44" showDropDown="0" showInputMessage="0" showErrorMessage="0" allowBlank="1" type="list">
      <formula1>=PropertyList</formula1>
    </dataValidation>
    <dataValidation sqref="D5:D44" showDropDown="0" showInputMessage="0" showErrorMessage="0" allowBlank="1" type="list">
      <formula1>=CleanStatusList</formula1>
    </dataValidation>
    <dataValidation sqref="F5:F44" showDropDown="0" showInputMessage="0" showErrorMessage="0" allowBlank="1" type="list">
      <formula1>=YesNoList</formula1>
    </dataValidation>
    <dataValidation sqref="G5:G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0" customWidth="1" min="3" max="3"/>
    <col width="18" customWidth="1" min="4" max="4"/>
    <col width="10" customWidth="1" min="5" max="5"/>
    <col width="13" customWidth="1" min="6" max="6"/>
    <col width="14" customWidth="1" min="7" max="7"/>
    <col width="11" customWidth="1" min="8" max="8"/>
    <col width="22" customWidth="1" min="9" max="9"/>
  </cols>
  <sheetData>
    <row r="1" ht="46" customHeight="1">
      <c r="A1" s="1" t="inlineStr">
        <is>
          <t xml:space="preserve">  🔧  MAINTENANCE MANAGER</t>
        </is>
      </c>
    </row>
    <row r="2" ht="22" customHeight="1">
      <c r="A2" s="2" t="inlineStr">
        <is>
          <t xml:space="preserve">  Fix small things before they cost you five-star reviews — priority, cost &amp; due date tracked.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Task</t>
        </is>
      </c>
      <c r="B4" s="7" t="inlineStr">
        <is>
          <t>Priority</t>
        </is>
      </c>
      <c r="C4" s="7" t="inlineStr">
        <is>
          <t>Property</t>
        </is>
      </c>
      <c r="D4" s="7" t="inlineStr">
        <is>
          <t>Assigned To</t>
        </is>
      </c>
      <c r="E4" s="7" t="inlineStr">
        <is>
          <t>Cost</t>
        </is>
      </c>
      <c r="F4" s="7" t="inlineStr">
        <is>
          <t>Due Date</t>
        </is>
      </c>
      <c r="G4" s="7" t="inlineStr">
        <is>
          <t>Status</t>
        </is>
      </c>
      <c r="H4" s="7" t="inlineStr">
        <is>
          <t>Warranty</t>
        </is>
      </c>
      <c r="I4" s="7" t="inlineStr">
        <is>
          <t>Notes</t>
        </is>
      </c>
    </row>
    <row r="5">
      <c r="A5" s="19" t="inlineStr">
        <is>
          <t>Fix leaky kitchen faucet</t>
        </is>
      </c>
      <c r="B5" s="20" t="inlineStr">
        <is>
          <t>High</t>
        </is>
      </c>
      <c r="C5" s="19" t="inlineStr">
        <is>
          <t>The Pine Cabin</t>
        </is>
      </c>
      <c r="D5" s="19" t="inlineStr">
        <is>
          <t>Dave's Repairs</t>
        </is>
      </c>
      <c r="E5" s="29" t="n">
        <v>85</v>
      </c>
      <c r="F5" s="21" t="n">
        <v>46208</v>
      </c>
      <c r="G5" s="20" t="inlineStr">
        <is>
          <t>Open</t>
        </is>
      </c>
      <c r="H5" s="20" t="inlineStr">
        <is>
          <t>No</t>
        </is>
      </c>
      <c r="I5" s="19" t="inlineStr">
        <is>
          <t>Guest reported drip</t>
        </is>
      </c>
    </row>
    <row r="6">
      <c r="A6" s="25" t="inlineStr">
        <is>
          <t>Service HVAC / filters</t>
        </is>
      </c>
      <c r="B6" s="26" t="inlineStr">
        <is>
          <t>Medium</t>
        </is>
      </c>
      <c r="C6" s="25" t="inlineStr">
        <is>
          <t>Beachside Bungalow</t>
        </is>
      </c>
      <c r="D6" s="25" t="inlineStr">
        <is>
          <t>CoolAir Inc.</t>
        </is>
      </c>
      <c r="E6" s="30" t="n">
        <v>140</v>
      </c>
      <c r="F6" s="27" t="n">
        <v>46211</v>
      </c>
      <c r="G6" s="26" t="inlineStr">
        <is>
          <t>In Progress</t>
        </is>
      </c>
      <c r="H6" s="26" t="inlineStr">
        <is>
          <t>Yes</t>
        </is>
      </c>
      <c r="I6" s="25" t="inlineStr">
        <is>
          <t>Annual service</t>
        </is>
      </c>
    </row>
    <row r="7">
      <c r="A7" s="19" t="inlineStr">
        <is>
          <t>Replace smoke detector battery</t>
        </is>
      </c>
      <c r="B7" s="20" t="inlineStr">
        <is>
          <t>High</t>
        </is>
      </c>
      <c r="C7" s="19" t="inlineStr">
        <is>
          <t>Downtown Loft</t>
        </is>
      </c>
      <c r="D7" s="19" t="inlineStr">
        <is>
          <t>Self</t>
        </is>
      </c>
      <c r="E7" s="29" t="n">
        <v>12</v>
      </c>
      <c r="F7" s="21" t="n">
        <v>46206</v>
      </c>
      <c r="G7" s="20" t="inlineStr">
        <is>
          <t>Open</t>
        </is>
      </c>
      <c r="H7" s="20" t="inlineStr">
        <is>
          <t>No</t>
        </is>
      </c>
      <c r="I7" s="19" t="inlineStr">
        <is>
          <t>Safety check</t>
        </is>
      </c>
    </row>
    <row r="8">
      <c r="A8" s="25" t="inlineStr">
        <is>
          <t>Repaint deck railing</t>
        </is>
      </c>
      <c r="B8" s="26" t="inlineStr">
        <is>
          <t>Low</t>
        </is>
      </c>
      <c r="C8" s="25" t="inlineStr">
        <is>
          <t>The Pine Cabin</t>
        </is>
      </c>
      <c r="D8" s="25" t="inlineStr">
        <is>
          <t>Dave's Repairs</t>
        </is>
      </c>
      <c r="E8" s="30" t="n">
        <v>220</v>
      </c>
      <c r="F8" s="27" t="n">
        <v>46225</v>
      </c>
      <c r="G8" s="26" t="inlineStr">
        <is>
          <t>Open</t>
        </is>
      </c>
      <c r="H8" s="26" t="inlineStr">
        <is>
          <t>No</t>
        </is>
      </c>
      <c r="I8" s="25" t="inlineStr">
        <is>
          <t>Cosmetic</t>
        </is>
      </c>
    </row>
    <row r="9">
      <c r="A9" s="19" t="inlineStr">
        <is>
          <t>Unclog shower drain</t>
        </is>
      </c>
      <c r="B9" s="20" t="inlineStr">
        <is>
          <t>Medium</t>
        </is>
      </c>
      <c r="C9" s="19" t="inlineStr">
        <is>
          <t>Beachside Bungalow</t>
        </is>
      </c>
      <c r="D9" s="19" t="inlineStr">
        <is>
          <t>QuickPlumb</t>
        </is>
      </c>
      <c r="E9" s="29" t="n">
        <v>95</v>
      </c>
      <c r="F9" s="21" t="n">
        <v>46201</v>
      </c>
      <c r="G9" s="20" t="inlineStr">
        <is>
          <t>Done</t>
        </is>
      </c>
      <c r="H9" s="20" t="inlineStr">
        <is>
          <t>No</t>
        </is>
      </c>
      <c r="I9" s="19" t="inlineStr">
        <is>
          <t>Resolved</t>
        </is>
      </c>
    </row>
    <row r="10">
      <c r="A10" s="25" t="inlineStr">
        <is>
          <t>Replace microwave</t>
        </is>
      </c>
      <c r="B10" s="26" t="inlineStr">
        <is>
          <t>Medium</t>
        </is>
      </c>
      <c r="C10" s="25" t="inlineStr">
        <is>
          <t>Downtown Loft</t>
        </is>
      </c>
      <c r="D10" s="25" t="inlineStr">
        <is>
          <t>Self</t>
        </is>
      </c>
      <c r="E10" s="30" t="n">
        <v>130</v>
      </c>
      <c r="F10" s="27" t="n">
        <v>46196</v>
      </c>
      <c r="G10" s="26" t="inlineStr">
        <is>
          <t>Done</t>
        </is>
      </c>
      <c r="H10" s="26" t="inlineStr">
        <is>
          <t>Yes</t>
        </is>
      </c>
      <c r="I10" s="25" t="inlineStr">
        <is>
          <t>New unit installed</t>
        </is>
      </c>
    </row>
    <row r="11">
      <c r="A11" s="19" t="inlineStr">
        <is>
          <t>Reseal bathroom grout</t>
        </is>
      </c>
      <c r="B11" s="20" t="inlineStr">
        <is>
          <t>Low</t>
        </is>
      </c>
      <c r="C11" s="19" t="inlineStr">
        <is>
          <t>The Pine Cabin</t>
        </is>
      </c>
      <c r="D11" s="19" t="inlineStr">
        <is>
          <t>Dave's Repairs</t>
        </is>
      </c>
      <c r="E11" s="29" t="n">
        <v>60</v>
      </c>
      <c r="F11" s="21" t="n">
        <v>46191</v>
      </c>
      <c r="G11" s="20" t="inlineStr">
        <is>
          <t>Done</t>
        </is>
      </c>
      <c r="H11" s="20" t="inlineStr">
        <is>
          <t>No</t>
        </is>
      </c>
      <c r="I11" s="19" t="inlineStr">
        <is>
          <t>Done last turn</t>
        </is>
      </c>
    </row>
    <row r="12">
      <c r="A12" s="25" t="n"/>
      <c r="B12" s="26" t="n"/>
      <c r="C12" s="25" t="n"/>
      <c r="D12" s="25" t="n"/>
      <c r="E12" s="30" t="n"/>
      <c r="F12" s="27" t="n"/>
      <c r="G12" s="26" t="n"/>
      <c r="H12" s="26" t="n"/>
      <c r="I12" s="25" t="n"/>
    </row>
    <row r="13">
      <c r="A13" s="19" t="n"/>
      <c r="B13" s="20" t="n"/>
      <c r="C13" s="19" t="n"/>
      <c r="D13" s="19" t="n"/>
      <c r="E13" s="29" t="n"/>
      <c r="F13" s="21" t="n"/>
      <c r="G13" s="20" t="n"/>
      <c r="H13" s="20" t="n"/>
      <c r="I13" s="19" t="n"/>
    </row>
    <row r="14">
      <c r="A14" s="25" t="n"/>
      <c r="B14" s="26" t="n"/>
      <c r="C14" s="25" t="n"/>
      <c r="D14" s="25" t="n"/>
      <c r="E14" s="30" t="n"/>
      <c r="F14" s="27" t="n"/>
      <c r="G14" s="26" t="n"/>
      <c r="H14" s="26" t="n"/>
      <c r="I14" s="25" t="n"/>
    </row>
    <row r="15">
      <c r="A15" s="19" t="n"/>
      <c r="B15" s="20" t="n"/>
      <c r="C15" s="19" t="n"/>
      <c r="D15" s="19" t="n"/>
      <c r="E15" s="29" t="n"/>
      <c r="F15" s="21" t="n"/>
      <c r="G15" s="20" t="n"/>
      <c r="H15" s="20" t="n"/>
      <c r="I15" s="19" t="n"/>
    </row>
    <row r="16">
      <c r="A16" s="25" t="n"/>
      <c r="B16" s="26" t="n"/>
      <c r="C16" s="25" t="n"/>
      <c r="D16" s="25" t="n"/>
      <c r="E16" s="30" t="n"/>
      <c r="F16" s="27" t="n"/>
      <c r="G16" s="26" t="n"/>
      <c r="H16" s="26" t="n"/>
      <c r="I16" s="25" t="n"/>
    </row>
    <row r="17">
      <c r="A17" s="19" t="n"/>
      <c r="B17" s="20" t="n"/>
      <c r="C17" s="19" t="n"/>
      <c r="D17" s="19" t="n"/>
      <c r="E17" s="29" t="n"/>
      <c r="F17" s="21" t="n"/>
      <c r="G17" s="20" t="n"/>
      <c r="H17" s="20" t="n"/>
      <c r="I17" s="19" t="n"/>
    </row>
    <row r="18">
      <c r="A18" s="25" t="n"/>
      <c r="B18" s="26" t="n"/>
      <c r="C18" s="25" t="n"/>
      <c r="D18" s="25" t="n"/>
      <c r="E18" s="30" t="n"/>
      <c r="F18" s="27" t="n"/>
      <c r="G18" s="26" t="n"/>
      <c r="H18" s="26" t="n"/>
      <c r="I18" s="25" t="n"/>
    </row>
    <row r="19">
      <c r="A19" s="19" t="n"/>
      <c r="B19" s="20" t="n"/>
      <c r="C19" s="19" t="n"/>
      <c r="D19" s="19" t="n"/>
      <c r="E19" s="29" t="n"/>
      <c r="F19" s="21" t="n"/>
      <c r="G19" s="20" t="n"/>
      <c r="H19" s="20" t="n"/>
      <c r="I19" s="19" t="n"/>
    </row>
    <row r="20">
      <c r="A20" s="25" t="n"/>
      <c r="B20" s="26" t="n"/>
      <c r="C20" s="25" t="n"/>
      <c r="D20" s="25" t="n"/>
      <c r="E20" s="30" t="n"/>
      <c r="F20" s="27" t="n"/>
      <c r="G20" s="26" t="n"/>
      <c r="H20" s="26" t="n"/>
      <c r="I20" s="25" t="n"/>
    </row>
    <row r="21">
      <c r="A21" s="19" t="n"/>
      <c r="B21" s="20" t="n"/>
      <c r="C21" s="19" t="n"/>
      <c r="D21" s="19" t="n"/>
      <c r="E21" s="29" t="n"/>
      <c r="F21" s="21" t="n"/>
      <c r="G21" s="20" t="n"/>
      <c r="H21" s="20" t="n"/>
      <c r="I21" s="19" t="n"/>
    </row>
    <row r="22">
      <c r="A22" s="25" t="n"/>
      <c r="B22" s="26" t="n"/>
      <c r="C22" s="25" t="n"/>
      <c r="D22" s="25" t="n"/>
      <c r="E22" s="30" t="n"/>
      <c r="F22" s="27" t="n"/>
      <c r="G22" s="26" t="n"/>
      <c r="H22" s="26" t="n"/>
      <c r="I22" s="25" t="n"/>
    </row>
    <row r="23">
      <c r="A23" s="19" t="n"/>
      <c r="B23" s="20" t="n"/>
      <c r="C23" s="19" t="n"/>
      <c r="D23" s="19" t="n"/>
      <c r="E23" s="29" t="n"/>
      <c r="F23" s="21" t="n"/>
      <c r="G23" s="20" t="n"/>
      <c r="H23" s="20" t="n"/>
      <c r="I23" s="19" t="n"/>
    </row>
    <row r="24">
      <c r="A24" s="25" t="n"/>
      <c r="B24" s="26" t="n"/>
      <c r="C24" s="25" t="n"/>
      <c r="D24" s="25" t="n"/>
      <c r="E24" s="30" t="n"/>
      <c r="F24" s="27" t="n"/>
      <c r="G24" s="26" t="n"/>
      <c r="H24" s="26" t="n"/>
      <c r="I24" s="25" t="n"/>
    </row>
    <row r="25">
      <c r="A25" s="19" t="n"/>
      <c r="B25" s="20" t="n"/>
      <c r="C25" s="19" t="n"/>
      <c r="D25" s="19" t="n"/>
      <c r="E25" s="29" t="n"/>
      <c r="F25" s="21" t="n"/>
      <c r="G25" s="20" t="n"/>
      <c r="H25" s="20" t="n"/>
      <c r="I25" s="19" t="n"/>
    </row>
    <row r="26">
      <c r="A26" s="25" t="n"/>
      <c r="B26" s="26" t="n"/>
      <c r="C26" s="25" t="n"/>
      <c r="D26" s="25" t="n"/>
      <c r="E26" s="30" t="n"/>
      <c r="F26" s="27" t="n"/>
      <c r="G26" s="26" t="n"/>
      <c r="H26" s="26" t="n"/>
      <c r="I26" s="25" t="n"/>
    </row>
    <row r="27">
      <c r="A27" s="19" t="n"/>
      <c r="B27" s="20" t="n"/>
      <c r="C27" s="19" t="n"/>
      <c r="D27" s="19" t="n"/>
      <c r="E27" s="29" t="n"/>
      <c r="F27" s="21" t="n"/>
      <c r="G27" s="20" t="n"/>
      <c r="H27" s="20" t="n"/>
      <c r="I27" s="19" t="n"/>
    </row>
    <row r="28">
      <c r="A28" s="25" t="n"/>
      <c r="B28" s="26" t="n"/>
      <c r="C28" s="25" t="n"/>
      <c r="D28" s="25" t="n"/>
      <c r="E28" s="30" t="n"/>
      <c r="F28" s="27" t="n"/>
      <c r="G28" s="26" t="n"/>
      <c r="H28" s="26" t="n"/>
      <c r="I28" s="25" t="n"/>
    </row>
    <row r="29">
      <c r="A29" s="19" t="n"/>
      <c r="B29" s="20" t="n"/>
      <c r="C29" s="19" t="n"/>
      <c r="D29" s="19" t="n"/>
      <c r="E29" s="29" t="n"/>
      <c r="F29" s="21" t="n"/>
      <c r="G29" s="20" t="n"/>
      <c r="H29" s="20" t="n"/>
      <c r="I29" s="19" t="n"/>
    </row>
    <row r="30">
      <c r="A30" s="25" t="n"/>
      <c r="B30" s="26" t="n"/>
      <c r="C30" s="25" t="n"/>
      <c r="D30" s="25" t="n"/>
      <c r="E30" s="30" t="n"/>
      <c r="F30" s="27" t="n"/>
      <c r="G30" s="26" t="n"/>
      <c r="H30" s="26" t="n"/>
      <c r="I30" s="25" t="n"/>
    </row>
    <row r="31">
      <c r="A31" s="19" t="n"/>
      <c r="B31" s="20" t="n"/>
      <c r="C31" s="19" t="n"/>
      <c r="D31" s="19" t="n"/>
      <c r="E31" s="29" t="n"/>
      <c r="F31" s="21" t="n"/>
      <c r="G31" s="20" t="n"/>
      <c r="H31" s="20" t="n"/>
      <c r="I31" s="19" t="n"/>
    </row>
    <row r="32">
      <c r="A32" s="25" t="n"/>
      <c r="B32" s="26" t="n"/>
      <c r="C32" s="25" t="n"/>
      <c r="D32" s="25" t="n"/>
      <c r="E32" s="30" t="n"/>
      <c r="F32" s="27" t="n"/>
      <c r="G32" s="26" t="n"/>
      <c r="H32" s="26" t="n"/>
      <c r="I32" s="25" t="n"/>
    </row>
    <row r="33">
      <c r="A33" s="19" t="n"/>
      <c r="B33" s="20" t="n"/>
      <c r="C33" s="19" t="n"/>
      <c r="D33" s="19" t="n"/>
      <c r="E33" s="29" t="n"/>
      <c r="F33" s="21" t="n"/>
      <c r="G33" s="20" t="n"/>
      <c r="H33" s="20" t="n"/>
      <c r="I33" s="19" t="n"/>
    </row>
    <row r="34">
      <c r="A34" s="25" t="n"/>
      <c r="B34" s="26" t="n"/>
      <c r="C34" s="25" t="n"/>
      <c r="D34" s="25" t="n"/>
      <c r="E34" s="30" t="n"/>
      <c r="F34" s="27" t="n"/>
      <c r="G34" s="26" t="n"/>
      <c r="H34" s="26" t="n"/>
      <c r="I34" s="25" t="n"/>
    </row>
    <row r="35">
      <c r="A35" s="19" t="n"/>
      <c r="B35" s="20" t="n"/>
      <c r="C35" s="19" t="n"/>
      <c r="D35" s="19" t="n"/>
      <c r="E35" s="29" t="n"/>
      <c r="F35" s="21" t="n"/>
      <c r="G35" s="20" t="n"/>
      <c r="H35" s="20" t="n"/>
      <c r="I35" s="19" t="n"/>
    </row>
    <row r="36">
      <c r="A36" s="25" t="n"/>
      <c r="B36" s="26" t="n"/>
      <c r="C36" s="25" t="n"/>
      <c r="D36" s="25" t="n"/>
      <c r="E36" s="30" t="n"/>
      <c r="F36" s="27" t="n"/>
      <c r="G36" s="26" t="n"/>
      <c r="H36" s="26" t="n"/>
      <c r="I36" s="25" t="n"/>
    </row>
    <row r="37">
      <c r="A37" s="19" t="n"/>
      <c r="B37" s="20" t="n"/>
      <c r="C37" s="19" t="n"/>
      <c r="D37" s="19" t="n"/>
      <c r="E37" s="29" t="n"/>
      <c r="F37" s="21" t="n"/>
      <c r="G37" s="20" t="n"/>
      <c r="H37" s="20" t="n"/>
      <c r="I37" s="19" t="n"/>
    </row>
    <row r="38">
      <c r="A38" s="25" t="n"/>
      <c r="B38" s="26" t="n"/>
      <c r="C38" s="25" t="n"/>
      <c r="D38" s="25" t="n"/>
      <c r="E38" s="30" t="n"/>
      <c r="F38" s="27" t="n"/>
      <c r="G38" s="26" t="n"/>
      <c r="H38" s="26" t="n"/>
      <c r="I38" s="25" t="n"/>
    </row>
    <row r="39">
      <c r="A39" s="19" t="n"/>
      <c r="B39" s="20" t="n"/>
      <c r="C39" s="19" t="n"/>
      <c r="D39" s="19" t="n"/>
      <c r="E39" s="29" t="n"/>
      <c r="F39" s="21" t="n"/>
      <c r="G39" s="20" t="n"/>
      <c r="H39" s="20" t="n"/>
      <c r="I39" s="19" t="n"/>
    </row>
    <row r="40">
      <c r="A40" s="25" t="n"/>
      <c r="B40" s="26" t="n"/>
      <c r="C40" s="25" t="n"/>
      <c r="D40" s="25" t="n"/>
      <c r="E40" s="30" t="n"/>
      <c r="F40" s="27" t="n"/>
      <c r="G40" s="26" t="n"/>
      <c r="H40" s="26" t="n"/>
      <c r="I40" s="25" t="n"/>
    </row>
    <row r="41">
      <c r="A41" s="19" t="n"/>
      <c r="B41" s="20" t="n"/>
      <c r="C41" s="19" t="n"/>
      <c r="D41" s="19" t="n"/>
      <c r="E41" s="29" t="n"/>
      <c r="F41" s="21" t="n"/>
      <c r="G41" s="20" t="n"/>
      <c r="H41" s="20" t="n"/>
      <c r="I41" s="19" t="n"/>
    </row>
    <row r="42">
      <c r="A42" s="25" t="n"/>
      <c r="B42" s="26" t="n"/>
      <c r="C42" s="25" t="n"/>
      <c r="D42" s="25" t="n"/>
      <c r="E42" s="30" t="n"/>
      <c r="F42" s="27" t="n"/>
      <c r="G42" s="26" t="n"/>
      <c r="H42" s="26" t="n"/>
      <c r="I42" s="25" t="n"/>
    </row>
    <row r="43">
      <c r="A43" s="19" t="n"/>
      <c r="B43" s="20" t="n"/>
      <c r="C43" s="19" t="n"/>
      <c r="D43" s="19" t="n"/>
      <c r="E43" s="29" t="n"/>
      <c r="F43" s="21" t="n"/>
      <c r="G43" s="20" t="n"/>
      <c r="H43" s="20" t="n"/>
      <c r="I43" s="19" t="n"/>
    </row>
    <row r="44">
      <c r="A44" s="25" t="n"/>
      <c r="B44" s="26" t="n"/>
      <c r="C44" s="25" t="n"/>
      <c r="D44" s="25" t="n"/>
      <c r="E44" s="30" t="n"/>
      <c r="F44" s="27" t="n"/>
      <c r="G44" s="26" t="n"/>
      <c r="H44" s="26" t="n"/>
      <c r="I44" s="25" t="n"/>
    </row>
  </sheetData>
  <mergeCells count="2">
    <mergeCell ref="A1:I1"/>
    <mergeCell ref="A2:I2"/>
  </mergeCells>
  <conditionalFormatting sqref="B5:B44">
    <cfRule type="cellIs" priority="1" operator="equal" dxfId="2">
      <formula>"High"</formula>
    </cfRule>
  </conditionalFormatting>
  <conditionalFormatting sqref="G5:G44">
    <cfRule type="cellIs" priority="2" operator="equal" dxfId="0">
      <formula>"Open"</formula>
    </cfRule>
  </conditionalFormatting>
  <dataValidations count="2">
    <dataValidation sqref="C5:C44" showDropDown="0" showInputMessage="0" showErrorMessage="0" allowBlank="1" type="list">
      <formula1>=PropertyList</formula1>
    </dataValidation>
    <dataValidation sqref="H5:H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9" customWidth="1" min="3" max="3"/>
    <col width="11" customWidth="1" min="4" max="4"/>
    <col width="18" customWidth="1" min="5" max="5"/>
    <col width="10" customWidth="1" min="6" max="6"/>
    <col width="14" customWidth="1" min="7" max="7"/>
  </cols>
  <sheetData>
    <row r="1" ht="46" customHeight="1">
      <c r="A1" s="1" t="inlineStr">
        <is>
          <t xml:space="preserve">  📦  INVENTORY MANAGER</t>
        </is>
      </c>
    </row>
    <row r="2" ht="22" customHeight="1">
      <c r="A2" s="2" t="inlineStr">
        <is>
          <t xml:space="preserve">  Never run out mid-stay — quantities, reorder levels &amp; automatic low-stock alerts.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Category</t>
        </is>
      </c>
      <c r="B4" s="7" t="inlineStr">
        <is>
          <t>Item</t>
        </is>
      </c>
      <c r="C4" s="7" t="inlineStr">
        <is>
          <t>Qty</t>
        </is>
      </c>
      <c r="D4" s="7" t="inlineStr">
        <is>
          <t>Reorder At</t>
        </is>
      </c>
      <c r="E4" s="7" t="inlineStr">
        <is>
          <t>Supplier</t>
        </is>
      </c>
      <c r="F4" s="7" t="inlineStr">
        <is>
          <t>Cost</t>
        </is>
      </c>
      <c r="G4" s="7" t="inlineStr">
        <is>
          <t>Status</t>
        </is>
      </c>
    </row>
    <row r="5">
      <c r="A5" s="19" t="inlineStr">
        <is>
          <t>Kitchen</t>
        </is>
      </c>
      <c r="B5" s="19" t="inlineStr">
        <is>
          <t>Coffee pods</t>
        </is>
      </c>
      <c r="C5" s="22" t="n">
        <v>18</v>
      </c>
      <c r="D5" s="22" t="n">
        <v>24</v>
      </c>
      <c r="E5" s="19" t="inlineStr">
        <is>
          <t>Costco</t>
        </is>
      </c>
      <c r="F5" s="29" t="n">
        <v>32</v>
      </c>
      <c r="G5" s="20">
        <f>IF(C5="","",IF(C5&lt;=D5,"REORDER","OK"))</f>
        <v/>
      </c>
    </row>
    <row r="6">
      <c r="A6" s="25" t="inlineStr">
        <is>
          <t>Kitchen</t>
        </is>
      </c>
      <c r="B6" s="25" t="inlineStr">
        <is>
          <t>Dish soap</t>
        </is>
      </c>
      <c r="C6" s="28" t="n">
        <v>6</v>
      </c>
      <c r="D6" s="28" t="n">
        <v>4</v>
      </c>
      <c r="E6" s="25" t="inlineStr">
        <is>
          <t>Costco</t>
        </is>
      </c>
      <c r="F6" s="30" t="n">
        <v>8</v>
      </c>
      <c r="G6" s="26">
        <f>IF(C6="","",IF(C6&lt;=D6,"REORDER","OK"))</f>
        <v/>
      </c>
    </row>
    <row r="7">
      <c r="A7" s="19" t="inlineStr">
        <is>
          <t>Kitchen</t>
        </is>
      </c>
      <c r="B7" s="19" t="inlineStr">
        <is>
          <t>Paper towels</t>
        </is>
      </c>
      <c r="C7" s="22" t="n">
        <v>9</v>
      </c>
      <c r="D7" s="22" t="n">
        <v>12</v>
      </c>
      <c r="E7" s="19" t="inlineStr">
        <is>
          <t>Costco</t>
        </is>
      </c>
      <c r="F7" s="29" t="n">
        <v>22</v>
      </c>
      <c r="G7" s="20">
        <f>IF(C7="","",IF(C7&lt;=D7,"REORDER","OK"))</f>
        <v/>
      </c>
    </row>
    <row r="8">
      <c r="A8" s="25" t="inlineStr">
        <is>
          <t>Coffee &amp; Tea</t>
        </is>
      </c>
      <c r="B8" s="25" t="inlineStr">
        <is>
          <t>Assorted tea</t>
        </is>
      </c>
      <c r="C8" s="28" t="n">
        <v>30</v>
      </c>
      <c r="D8" s="28" t="n">
        <v>20</v>
      </c>
      <c r="E8" s="25" t="inlineStr">
        <is>
          <t>Amazon</t>
        </is>
      </c>
      <c r="F8" s="30" t="n">
        <v>14</v>
      </c>
      <c r="G8" s="26">
        <f>IF(C8="","",IF(C8&lt;=D8,"REORDER","OK"))</f>
        <v/>
      </c>
    </row>
    <row r="9">
      <c r="A9" s="19" t="inlineStr">
        <is>
          <t>Bathroom</t>
        </is>
      </c>
      <c r="B9" s="19" t="inlineStr">
        <is>
          <t>Toilet paper</t>
        </is>
      </c>
      <c r="C9" s="22" t="n">
        <v>30</v>
      </c>
      <c r="D9" s="22" t="n">
        <v>24</v>
      </c>
      <c r="E9" s="19" t="inlineStr">
        <is>
          <t>Costco</t>
        </is>
      </c>
      <c r="F9" s="29" t="n">
        <v>26</v>
      </c>
      <c r="G9" s="20">
        <f>IF(C9="","",IF(C9&lt;=D9,"REORDER","OK"))</f>
        <v/>
      </c>
    </row>
    <row r="10">
      <c r="A10" s="25" t="inlineStr">
        <is>
          <t>Bathroom</t>
        </is>
      </c>
      <c r="B10" s="25" t="inlineStr">
        <is>
          <t>Hand soap</t>
        </is>
      </c>
      <c r="C10" s="28" t="n">
        <v>8</v>
      </c>
      <c r="D10" s="28" t="n">
        <v>6</v>
      </c>
      <c r="E10" s="25" t="inlineStr">
        <is>
          <t>Amazon</t>
        </is>
      </c>
      <c r="F10" s="30" t="n">
        <v>12</v>
      </c>
      <c r="G10" s="26">
        <f>IF(C10="","",IF(C10&lt;=D10,"REORDER","OK"))</f>
        <v/>
      </c>
    </row>
    <row r="11">
      <c r="A11" s="19" t="inlineStr">
        <is>
          <t>Toiletries</t>
        </is>
      </c>
      <c r="B11" s="19" t="inlineStr">
        <is>
          <t>Shampoo (bulk)</t>
        </is>
      </c>
      <c r="C11" s="22" t="n">
        <v>3</v>
      </c>
      <c r="D11" s="22" t="n">
        <v>5</v>
      </c>
      <c r="E11" s="19" t="inlineStr">
        <is>
          <t>Amazon</t>
        </is>
      </c>
      <c r="F11" s="29" t="n">
        <v>28</v>
      </c>
      <c r="G11" s="20">
        <f>IF(C11="","",IF(C11&lt;=D11,"REORDER","OK"))</f>
        <v/>
      </c>
    </row>
    <row r="12">
      <c r="A12" s="25" t="inlineStr">
        <is>
          <t>Toiletries</t>
        </is>
      </c>
      <c r="B12" s="25" t="inlineStr">
        <is>
          <t>Conditioner (bulk)</t>
        </is>
      </c>
      <c r="C12" s="28" t="n">
        <v>7</v>
      </c>
      <c r="D12" s="28" t="n">
        <v>5</v>
      </c>
      <c r="E12" s="25" t="inlineStr">
        <is>
          <t>Amazon</t>
        </is>
      </c>
      <c r="F12" s="30" t="n">
        <v>28</v>
      </c>
      <c r="G12" s="26">
        <f>IF(C12="","",IF(C12&lt;=D12,"REORDER","OK"))</f>
        <v/>
      </c>
    </row>
    <row r="13">
      <c r="A13" s="19" t="inlineStr">
        <is>
          <t>Cleaning Products</t>
        </is>
      </c>
      <c r="B13" s="19" t="inlineStr">
        <is>
          <t>All-purpose spray</t>
        </is>
      </c>
      <c r="C13" s="22" t="n">
        <v>8</v>
      </c>
      <c r="D13" s="22" t="n">
        <v>6</v>
      </c>
      <c r="E13" s="19" t="inlineStr">
        <is>
          <t>Costco</t>
        </is>
      </c>
      <c r="F13" s="29" t="n">
        <v>18</v>
      </c>
      <c r="G13" s="20">
        <f>IF(C13="","",IF(C13&lt;=D13,"REORDER","OK"))</f>
        <v/>
      </c>
    </row>
    <row r="14">
      <c r="A14" s="25" t="inlineStr">
        <is>
          <t>Cleaning Products</t>
        </is>
      </c>
      <c r="B14" s="25" t="inlineStr">
        <is>
          <t>Laundry detergent</t>
        </is>
      </c>
      <c r="C14" s="28" t="n">
        <v>2</v>
      </c>
      <c r="D14" s="28" t="n">
        <v>4</v>
      </c>
      <c r="E14" s="25" t="inlineStr">
        <is>
          <t>Costco</t>
        </is>
      </c>
      <c r="F14" s="30" t="n">
        <v>24</v>
      </c>
      <c r="G14" s="26">
        <f>IF(C14="","",IF(C14&lt;=D14,"REORDER","OK"))</f>
        <v/>
      </c>
    </row>
    <row r="15">
      <c r="A15" s="19" t="inlineStr">
        <is>
          <t>Linens</t>
        </is>
      </c>
      <c r="B15" s="19" t="inlineStr">
        <is>
          <t>Queen sheet sets</t>
        </is>
      </c>
      <c r="C15" s="22" t="n">
        <v>8</v>
      </c>
      <c r="D15" s="22" t="n">
        <v>6</v>
      </c>
      <c r="E15" s="19" t="inlineStr">
        <is>
          <t>Bed Supply Co.</t>
        </is>
      </c>
      <c r="F15" s="29" t="n">
        <v>45</v>
      </c>
      <c r="G15" s="20">
        <f>IF(C15="","",IF(C15&lt;=D15,"REORDER","OK"))</f>
        <v/>
      </c>
    </row>
    <row r="16">
      <c r="A16" s="25" t="inlineStr">
        <is>
          <t>Linens</t>
        </is>
      </c>
      <c r="B16" s="25" t="inlineStr">
        <is>
          <t>Pillowcases</t>
        </is>
      </c>
      <c r="C16" s="28" t="n">
        <v>16</v>
      </c>
      <c r="D16" s="28" t="n">
        <v>12</v>
      </c>
      <c r="E16" s="25" t="inlineStr">
        <is>
          <t>Bed Supply Co.</t>
        </is>
      </c>
      <c r="F16" s="30" t="n">
        <v>9</v>
      </c>
      <c r="G16" s="26">
        <f>IF(C16="","",IF(C16&lt;=D16,"REORDER","OK"))</f>
        <v/>
      </c>
    </row>
    <row r="17">
      <c r="A17" s="19" t="inlineStr">
        <is>
          <t>Towels</t>
        </is>
      </c>
      <c r="B17" s="19" t="inlineStr">
        <is>
          <t>Bath towels</t>
        </is>
      </c>
      <c r="C17" s="22" t="n">
        <v>14</v>
      </c>
      <c r="D17" s="22" t="n">
        <v>12</v>
      </c>
      <c r="E17" s="19" t="inlineStr">
        <is>
          <t>Bed Supply Co.</t>
        </is>
      </c>
      <c r="F17" s="29" t="n">
        <v>12</v>
      </c>
      <c r="G17" s="20">
        <f>IF(C17="","",IF(C17&lt;=D17,"REORDER","OK"))</f>
        <v/>
      </c>
    </row>
    <row r="18">
      <c r="A18" s="25" t="inlineStr">
        <is>
          <t>Towels</t>
        </is>
      </c>
      <c r="B18" s="25" t="inlineStr">
        <is>
          <t>Beach towels</t>
        </is>
      </c>
      <c r="C18" s="28" t="n">
        <v>10</v>
      </c>
      <c r="D18" s="28" t="n">
        <v>8</v>
      </c>
      <c r="E18" s="25" t="inlineStr">
        <is>
          <t>Amazon</t>
        </is>
      </c>
      <c r="F18" s="30" t="n">
        <v>15</v>
      </c>
      <c r="G18" s="26">
        <f>IF(C18="","",IF(C18&lt;=D18,"REORDER","OK"))</f>
        <v/>
      </c>
    </row>
    <row r="19">
      <c r="A19" s="19" t="inlineStr">
        <is>
          <t>Emergency Supplies</t>
        </is>
      </c>
      <c r="B19" s="19" t="inlineStr">
        <is>
          <t>First-aid kits</t>
        </is>
      </c>
      <c r="C19" s="22" t="n">
        <v>4</v>
      </c>
      <c r="D19" s="22" t="n">
        <v>3</v>
      </c>
      <c r="E19" s="19" t="inlineStr">
        <is>
          <t>Amazon</t>
        </is>
      </c>
      <c r="F19" s="29" t="n">
        <v>20</v>
      </c>
      <c r="G19" s="20">
        <f>IF(C19="","",IF(C19&lt;=D19,"REORDER","OK"))</f>
        <v/>
      </c>
    </row>
    <row r="20">
      <c r="A20" s="25" t="inlineStr">
        <is>
          <t>Emergency Supplies</t>
        </is>
      </c>
      <c r="B20" s="25" t="inlineStr">
        <is>
          <t>Batteries (AA)</t>
        </is>
      </c>
      <c r="C20" s="28" t="n">
        <v>20</v>
      </c>
      <c r="D20" s="28" t="n">
        <v>16</v>
      </c>
      <c r="E20" s="25" t="inlineStr">
        <is>
          <t>Costco</t>
        </is>
      </c>
      <c r="F20" s="30" t="n">
        <v>14</v>
      </c>
      <c r="G20" s="26">
        <f>IF(C20="","",IF(C20&lt;=D20,"REORDER","OK"))</f>
        <v/>
      </c>
    </row>
    <row r="21">
      <c r="A21" s="19" t="inlineStr">
        <is>
          <t>Appliances</t>
        </is>
      </c>
      <c r="B21" s="19" t="inlineStr">
        <is>
          <t>Spare coffee maker</t>
        </is>
      </c>
      <c r="C21" s="22" t="n">
        <v>2</v>
      </c>
      <c r="D21" s="22" t="n">
        <v>1</v>
      </c>
      <c r="E21" s="19" t="inlineStr">
        <is>
          <t>Amazon</t>
        </is>
      </c>
      <c r="F21" s="29" t="n">
        <v>60</v>
      </c>
      <c r="G21" s="20">
        <f>IF(C21="","",IF(C21&lt;=D21,"REORDER","OK"))</f>
        <v/>
      </c>
    </row>
    <row r="22">
      <c r="A22" s="25" t="inlineStr">
        <is>
          <t>Furniture</t>
        </is>
      </c>
      <c r="B22" s="25" t="inlineStr">
        <is>
          <t>Patio chair cushions</t>
        </is>
      </c>
      <c r="C22" s="28" t="n">
        <v>8</v>
      </c>
      <c r="D22" s="28" t="n">
        <v>6</v>
      </c>
      <c r="E22" s="25" t="inlineStr">
        <is>
          <t>Wayfair</t>
        </is>
      </c>
      <c r="F22" s="30" t="n">
        <v>22</v>
      </c>
      <c r="G22" s="26">
        <f>IF(C22="","",IF(C22&lt;=D22,"REORDER","OK"))</f>
        <v/>
      </c>
    </row>
    <row r="23">
      <c r="A23" s="19" t="n"/>
      <c r="B23" s="19" t="n"/>
      <c r="C23" s="22" t="n"/>
      <c r="D23" s="22" t="n"/>
      <c r="E23" s="19" t="n"/>
      <c r="F23" s="29" t="n"/>
      <c r="G23" s="20" t="n"/>
    </row>
    <row r="24">
      <c r="A24" s="25" t="n"/>
      <c r="B24" s="25" t="n"/>
      <c r="C24" s="28" t="n"/>
      <c r="D24" s="28" t="n"/>
      <c r="E24" s="25" t="n"/>
      <c r="F24" s="30" t="n"/>
      <c r="G24" s="26" t="n"/>
    </row>
    <row r="25">
      <c r="A25" s="19" t="n"/>
      <c r="B25" s="19" t="n"/>
      <c r="C25" s="22" t="n"/>
      <c r="D25" s="22" t="n"/>
      <c r="E25" s="19" t="n"/>
      <c r="F25" s="29" t="n"/>
      <c r="G25" s="20" t="n"/>
    </row>
    <row r="26">
      <c r="A26" s="25" t="n"/>
      <c r="B26" s="25" t="n"/>
      <c r="C26" s="28" t="n"/>
      <c r="D26" s="28" t="n"/>
      <c r="E26" s="25" t="n"/>
      <c r="F26" s="30" t="n"/>
      <c r="G26" s="26" t="n"/>
    </row>
    <row r="27">
      <c r="A27" s="19" t="n"/>
      <c r="B27" s="19" t="n"/>
      <c r="C27" s="22" t="n"/>
      <c r="D27" s="22" t="n"/>
      <c r="E27" s="19" t="n"/>
      <c r="F27" s="29" t="n"/>
      <c r="G27" s="20" t="n"/>
    </row>
    <row r="28">
      <c r="A28" s="25" t="n"/>
      <c r="B28" s="25" t="n"/>
      <c r="C28" s="28" t="n"/>
      <c r="D28" s="28" t="n"/>
      <c r="E28" s="25" t="n"/>
      <c r="F28" s="30" t="n"/>
      <c r="G28" s="26" t="n"/>
    </row>
    <row r="29">
      <c r="A29" s="19" t="n"/>
      <c r="B29" s="19" t="n"/>
      <c r="C29" s="22" t="n"/>
      <c r="D29" s="22" t="n"/>
      <c r="E29" s="19" t="n"/>
      <c r="F29" s="29" t="n"/>
      <c r="G29" s="20" t="n"/>
    </row>
    <row r="30">
      <c r="A30" s="25" t="n"/>
      <c r="B30" s="25" t="n"/>
      <c r="C30" s="28" t="n"/>
      <c r="D30" s="28" t="n"/>
      <c r="E30" s="25" t="n"/>
      <c r="F30" s="30" t="n"/>
      <c r="G30" s="26" t="n"/>
    </row>
    <row r="31">
      <c r="A31" s="19" t="n"/>
      <c r="B31" s="19" t="n"/>
      <c r="C31" s="22" t="n"/>
      <c r="D31" s="22" t="n"/>
      <c r="E31" s="19" t="n"/>
      <c r="F31" s="29" t="n"/>
      <c r="G31" s="20" t="n"/>
    </row>
    <row r="32">
      <c r="A32" s="25" t="n"/>
      <c r="B32" s="25" t="n"/>
      <c r="C32" s="28" t="n"/>
      <c r="D32" s="28" t="n"/>
      <c r="E32" s="25" t="n"/>
      <c r="F32" s="30" t="n"/>
      <c r="G32" s="26" t="n"/>
    </row>
    <row r="33">
      <c r="A33" s="19" t="n"/>
      <c r="B33" s="19" t="n"/>
      <c r="C33" s="22" t="n"/>
      <c r="D33" s="22" t="n"/>
      <c r="E33" s="19" t="n"/>
      <c r="F33" s="29" t="n"/>
      <c r="G33" s="20" t="n"/>
    </row>
    <row r="34">
      <c r="A34" s="25" t="n"/>
      <c r="B34" s="25" t="n"/>
      <c r="C34" s="28" t="n"/>
      <c r="D34" s="28" t="n"/>
      <c r="E34" s="25" t="n"/>
      <c r="F34" s="30" t="n"/>
      <c r="G34" s="26" t="n"/>
    </row>
    <row r="35">
      <c r="A35" s="19" t="n"/>
      <c r="B35" s="19" t="n"/>
      <c r="C35" s="22" t="n"/>
      <c r="D35" s="22" t="n"/>
      <c r="E35" s="19" t="n"/>
      <c r="F35" s="29" t="n"/>
      <c r="G35" s="20" t="n"/>
    </row>
    <row r="36">
      <c r="A36" s="25" t="n"/>
      <c r="B36" s="25" t="n"/>
      <c r="C36" s="28" t="n"/>
      <c r="D36" s="28" t="n"/>
      <c r="E36" s="25" t="n"/>
      <c r="F36" s="30" t="n"/>
      <c r="G36" s="26" t="n"/>
    </row>
    <row r="37">
      <c r="A37" s="19" t="n"/>
      <c r="B37" s="19" t="n"/>
      <c r="C37" s="22" t="n"/>
      <c r="D37" s="22" t="n"/>
      <c r="E37" s="19" t="n"/>
      <c r="F37" s="29" t="n"/>
      <c r="G37" s="20" t="n"/>
    </row>
    <row r="38">
      <c r="A38" s="25" t="n"/>
      <c r="B38" s="25" t="n"/>
      <c r="C38" s="28" t="n"/>
      <c r="D38" s="28" t="n"/>
      <c r="E38" s="25" t="n"/>
      <c r="F38" s="30" t="n"/>
      <c r="G38" s="26" t="n"/>
    </row>
    <row r="39">
      <c r="A39" s="19" t="n"/>
      <c r="B39" s="19" t="n"/>
      <c r="C39" s="22" t="n"/>
      <c r="D39" s="22" t="n"/>
      <c r="E39" s="19" t="n"/>
      <c r="F39" s="29" t="n"/>
      <c r="G39" s="20" t="n"/>
    </row>
    <row r="40">
      <c r="A40" s="25" t="n"/>
      <c r="B40" s="25" t="n"/>
      <c r="C40" s="28" t="n"/>
      <c r="D40" s="28" t="n"/>
      <c r="E40" s="25" t="n"/>
      <c r="F40" s="30" t="n"/>
      <c r="G40" s="26" t="n"/>
    </row>
    <row r="41">
      <c r="A41" s="19" t="n"/>
      <c r="B41" s="19" t="n"/>
      <c r="C41" s="22" t="n"/>
      <c r="D41" s="22" t="n"/>
      <c r="E41" s="19" t="n"/>
      <c r="F41" s="29" t="n"/>
      <c r="G41" s="20" t="n"/>
    </row>
    <row r="42">
      <c r="A42" s="25" t="n"/>
      <c r="B42" s="25" t="n"/>
      <c r="C42" s="28" t="n"/>
      <c r="D42" s="28" t="n"/>
      <c r="E42" s="25" t="n"/>
      <c r="F42" s="30" t="n"/>
      <c r="G42" s="26" t="n"/>
    </row>
    <row r="43">
      <c r="A43" s="19" t="n"/>
      <c r="B43" s="19" t="n"/>
      <c r="C43" s="22" t="n"/>
      <c r="D43" s="22" t="n"/>
      <c r="E43" s="19" t="n"/>
      <c r="F43" s="29" t="n"/>
      <c r="G43" s="20" t="n"/>
    </row>
    <row r="44">
      <c r="A44" s="25" t="n"/>
      <c r="B44" s="25" t="n"/>
      <c r="C44" s="28" t="n"/>
      <c r="D44" s="28" t="n"/>
      <c r="E44" s="25" t="n"/>
      <c r="F44" s="30" t="n"/>
      <c r="G44" s="26" t="n"/>
    </row>
  </sheetData>
  <mergeCells count="2">
    <mergeCell ref="A2:G2"/>
    <mergeCell ref="A1:G1"/>
  </mergeCells>
  <conditionalFormatting sqref="G5:G44">
    <cfRule type="cellIs" priority="1" operator="equal" dxfId="3">
      <formula>"REORDER"</formula>
    </cfRule>
    <cfRule type="cellIs" priority="2" operator="equal" dxfId="1">
      <formula>"OK"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1" customWidth="1" min="3" max="3"/>
    <col width="13" customWidth="1" min="4" max="4"/>
    <col width="10" customWidth="1" min="5" max="5"/>
    <col width="11" customWidth="1" min="6" max="6"/>
    <col width="9" customWidth="1" min="7" max="7"/>
    <col width="30" customWidth="1" min="8" max="8"/>
    <col width="12" customWidth="1" min="9" max="9"/>
  </cols>
  <sheetData>
    <row r="1" ht="46" customHeight="1">
      <c r="A1" s="1" t="inlineStr">
        <is>
          <t xml:space="preserve">  ⭐  REVIEW TRACKER</t>
        </is>
      </c>
    </row>
    <row r="2" ht="22" customHeight="1">
      <c r="A2" s="2" t="inlineStr">
        <is>
          <t xml:space="preserve">  Protect your rating — every review scored by category, with response tracking.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Guest</t>
        </is>
      </c>
      <c r="B4" s="7" t="inlineStr">
        <is>
          <t>Overall</t>
        </is>
      </c>
      <c r="C4" s="7" t="inlineStr">
        <is>
          <t>Cleanliness</t>
        </is>
      </c>
      <c r="D4" s="7" t="inlineStr">
        <is>
          <t>Communication</t>
        </is>
      </c>
      <c r="E4" s="7" t="inlineStr">
        <is>
          <t>Check-In</t>
        </is>
      </c>
      <c r="F4" s="7" t="inlineStr">
        <is>
          <t>Accuracy</t>
        </is>
      </c>
      <c r="G4" s="7" t="inlineStr">
        <is>
          <t>Value</t>
        </is>
      </c>
      <c r="H4" s="7" t="inlineStr">
        <is>
          <t>Comment</t>
        </is>
      </c>
      <c r="I4" s="7" t="inlineStr">
        <is>
          <t>Responded</t>
        </is>
      </c>
    </row>
    <row r="5">
      <c r="A5" s="19" t="inlineStr">
        <is>
          <t>Sarah Mitchell</t>
        </is>
      </c>
      <c r="B5" s="44" t="n">
        <v>5</v>
      </c>
      <c r="C5" s="44" t="n">
        <v>5</v>
      </c>
      <c r="D5" s="44" t="n">
        <v>5</v>
      </c>
      <c r="E5" s="44" t="n">
        <v>5</v>
      </c>
      <c r="F5" s="44" t="n">
        <v>5</v>
      </c>
      <c r="G5" s="44" t="n">
        <v>5</v>
      </c>
      <c r="H5" s="19" t="inlineStr">
        <is>
          <t>Immaculate cabin, will return!</t>
        </is>
      </c>
      <c r="I5" s="20" t="inlineStr">
        <is>
          <t>Yes</t>
        </is>
      </c>
    </row>
    <row r="6">
      <c r="A6" s="25" t="inlineStr">
        <is>
          <t>James Carter</t>
        </is>
      </c>
      <c r="B6" s="45" t="n">
        <v>5</v>
      </c>
      <c r="C6" s="45" t="n">
        <v>5</v>
      </c>
      <c r="D6" s="45" t="n">
        <v>5</v>
      </c>
      <c r="E6" s="45" t="n">
        <v>5</v>
      </c>
      <c r="F6" s="45" t="n">
        <v>5</v>
      </c>
      <c r="G6" s="45" t="n">
        <v>4</v>
      </c>
      <c r="H6" s="25" t="inlineStr">
        <is>
          <t>Perfect for a work trip.</t>
        </is>
      </c>
      <c r="I6" s="26" t="inlineStr">
        <is>
          <t>Yes</t>
        </is>
      </c>
    </row>
    <row r="7">
      <c r="A7" s="19" t="inlineStr">
        <is>
          <t>The Nguyen Family</t>
        </is>
      </c>
      <c r="B7" s="44" t="n">
        <v>5</v>
      </c>
      <c r="C7" s="44" t="n">
        <v>5</v>
      </c>
      <c r="D7" s="44" t="n">
        <v>5</v>
      </c>
      <c r="E7" s="44" t="n">
        <v>5</v>
      </c>
      <c r="F7" s="44" t="n">
        <v>5</v>
      </c>
      <c r="G7" s="44" t="n">
        <v>5</v>
      </c>
      <c r="H7" s="19" t="inlineStr">
        <is>
          <t>Kids loved the beach house.</t>
        </is>
      </c>
      <c r="I7" s="20" t="inlineStr">
        <is>
          <t>Yes</t>
        </is>
      </c>
    </row>
    <row r="8">
      <c r="A8" s="25" t="inlineStr">
        <is>
          <t>Emily Rodriguez</t>
        </is>
      </c>
      <c r="B8" s="45" t="n">
        <v>4</v>
      </c>
      <c r="C8" s="45" t="n">
        <v>4</v>
      </c>
      <c r="D8" s="45" t="n">
        <v>5</v>
      </c>
      <c r="E8" s="45" t="n">
        <v>4</v>
      </c>
      <c r="F8" s="45" t="n">
        <v>4</v>
      </c>
      <c r="G8" s="45" t="n">
        <v>4</v>
      </c>
      <c r="H8" s="25" t="inlineStr">
        <is>
          <t>Great, minor faucet drip.</t>
        </is>
      </c>
      <c r="I8" s="26" t="inlineStr">
        <is>
          <t>Yes</t>
        </is>
      </c>
    </row>
    <row r="9">
      <c r="A9" s="19" t="inlineStr">
        <is>
          <t>Michael Brooks</t>
        </is>
      </c>
      <c r="B9" s="44" t="n">
        <v>5</v>
      </c>
      <c r="C9" s="44" t="n">
        <v>5</v>
      </c>
      <c r="D9" s="44" t="n">
        <v>5</v>
      </c>
      <c r="E9" s="44" t="n">
        <v>5</v>
      </c>
      <c r="F9" s="44" t="n">
        <v>5</v>
      </c>
      <c r="G9" s="44" t="n">
        <v>5</v>
      </c>
      <c r="H9" s="19" t="inlineStr">
        <is>
          <t>My go-to loft downtown.</t>
        </is>
      </c>
      <c r="I9" s="20" t="inlineStr">
        <is>
          <t>Yes</t>
        </is>
      </c>
    </row>
    <row r="10">
      <c r="A10" s="25" t="inlineStr">
        <is>
          <t>Olivia Bennett</t>
        </is>
      </c>
      <c r="B10" s="45" t="n">
        <v>5</v>
      </c>
      <c r="C10" s="45" t="n">
        <v>5</v>
      </c>
      <c r="D10" s="45" t="n">
        <v>5</v>
      </c>
      <c r="E10" s="45" t="n">
        <v>5</v>
      </c>
      <c r="F10" s="45" t="n">
        <v>5</v>
      </c>
      <c r="G10" s="45" t="n">
        <v>5</v>
      </c>
      <c r="H10" s="25" t="inlineStr">
        <is>
          <t>Spotless and stylish.</t>
        </is>
      </c>
      <c r="I10" s="26" t="inlineStr">
        <is>
          <t>Yes</t>
        </is>
      </c>
    </row>
    <row r="11">
      <c r="A11" s="19" t="inlineStr">
        <is>
          <t>David Kim</t>
        </is>
      </c>
      <c r="B11" s="44" t="n">
        <v>5</v>
      </c>
      <c r="C11" s="44" t="n">
        <v>5</v>
      </c>
      <c r="D11" s="44" t="n">
        <v>5</v>
      </c>
      <c r="E11" s="44" t="n">
        <v>4</v>
      </c>
      <c r="F11" s="44" t="n">
        <v>5</v>
      </c>
      <c r="G11" s="44" t="n">
        <v>5</v>
      </c>
      <c r="H11" s="19" t="inlineStr">
        <is>
          <t>Smooth check-in, cozy.</t>
        </is>
      </c>
      <c r="I11" s="20" t="inlineStr">
        <is>
          <t>Yes</t>
        </is>
      </c>
    </row>
    <row r="12">
      <c r="A12" s="25" t="inlineStr">
        <is>
          <t>Priya Patel</t>
        </is>
      </c>
      <c r="B12" s="45" t="n">
        <v>4</v>
      </c>
      <c r="C12" s="45" t="n">
        <v>4</v>
      </c>
      <c r="D12" s="45" t="n">
        <v>5</v>
      </c>
      <c r="E12" s="45" t="n">
        <v>5</v>
      </c>
      <c r="F12" s="45" t="n">
        <v>4</v>
      </c>
      <c r="G12" s="45" t="n">
        <v>4</v>
      </c>
      <c r="H12" s="25" t="inlineStr">
        <is>
          <t>Lovely, towels ran low.</t>
        </is>
      </c>
      <c r="I12" s="26" t="inlineStr">
        <is>
          <t>Yes</t>
        </is>
      </c>
    </row>
    <row r="13">
      <c r="A13" s="19" t="inlineStr">
        <is>
          <t>Grace Liu</t>
        </is>
      </c>
      <c r="B13" s="44" t="n">
        <v>5</v>
      </c>
      <c r="C13" s="44" t="n">
        <v>5</v>
      </c>
      <c r="D13" s="44" t="n">
        <v>5</v>
      </c>
      <c r="E13" s="44" t="n">
        <v>5</v>
      </c>
      <c r="F13" s="44" t="n">
        <v>5</v>
      </c>
      <c r="G13" s="44" t="n">
        <v>5</v>
      </c>
      <c r="H13" s="19" t="inlineStr">
        <is>
          <t>Romantic anniversary stay.</t>
        </is>
      </c>
      <c r="I13" s="20" t="inlineStr">
        <is>
          <t>Yes</t>
        </is>
      </c>
    </row>
    <row r="14">
      <c r="A14" s="25" t="inlineStr">
        <is>
          <t>Hannah Scott</t>
        </is>
      </c>
      <c r="B14" s="45" t="n">
        <v>5</v>
      </c>
      <c r="C14" s="45" t="n">
        <v>5</v>
      </c>
      <c r="D14" s="45" t="n">
        <v>5</v>
      </c>
      <c r="E14" s="45" t="n">
        <v>5</v>
      </c>
      <c r="F14" s="45" t="n">
        <v>5</v>
      </c>
      <c r="G14" s="45" t="n">
        <v>5</v>
      </c>
      <c r="H14" s="25" t="inlineStr">
        <is>
          <t>Exceeded expectations!</t>
        </is>
      </c>
      <c r="I14" s="26" t="inlineStr">
        <is>
          <t>No</t>
        </is>
      </c>
    </row>
    <row r="15">
      <c r="A15" s="19" t="n"/>
      <c r="B15" s="44" t="n"/>
      <c r="C15" s="44" t="n"/>
      <c r="D15" s="44" t="n"/>
      <c r="E15" s="44" t="n"/>
      <c r="F15" s="44" t="n"/>
      <c r="G15" s="44" t="n"/>
      <c r="H15" s="19" t="n"/>
      <c r="I15" s="20" t="n"/>
    </row>
    <row r="16">
      <c r="A16" s="25" t="n"/>
      <c r="B16" s="45" t="n"/>
      <c r="C16" s="45" t="n"/>
      <c r="D16" s="45" t="n"/>
      <c r="E16" s="45" t="n"/>
      <c r="F16" s="45" t="n"/>
      <c r="G16" s="45" t="n"/>
      <c r="H16" s="25" t="n"/>
      <c r="I16" s="26" t="n"/>
    </row>
    <row r="17">
      <c r="A17" s="19" t="n"/>
      <c r="B17" s="44" t="n"/>
      <c r="C17" s="44" t="n"/>
      <c r="D17" s="44" t="n"/>
      <c r="E17" s="44" t="n"/>
      <c r="F17" s="44" t="n"/>
      <c r="G17" s="44" t="n"/>
      <c r="H17" s="19" t="n"/>
      <c r="I17" s="20" t="n"/>
    </row>
    <row r="18">
      <c r="A18" s="25" t="n"/>
      <c r="B18" s="45" t="n"/>
      <c r="C18" s="45" t="n"/>
      <c r="D18" s="45" t="n"/>
      <c r="E18" s="45" t="n"/>
      <c r="F18" s="45" t="n"/>
      <c r="G18" s="45" t="n"/>
      <c r="H18" s="25" t="n"/>
      <c r="I18" s="26" t="n"/>
    </row>
    <row r="19">
      <c r="A19" s="19" t="n"/>
      <c r="B19" s="44" t="n"/>
      <c r="C19" s="44" t="n"/>
      <c r="D19" s="44" t="n"/>
      <c r="E19" s="44" t="n"/>
      <c r="F19" s="44" t="n"/>
      <c r="G19" s="44" t="n"/>
      <c r="H19" s="19" t="n"/>
      <c r="I19" s="20" t="n"/>
    </row>
    <row r="20">
      <c r="A20" s="25" t="n"/>
      <c r="B20" s="45" t="n"/>
      <c r="C20" s="45" t="n"/>
      <c r="D20" s="45" t="n"/>
      <c r="E20" s="45" t="n"/>
      <c r="F20" s="45" t="n"/>
      <c r="G20" s="45" t="n"/>
      <c r="H20" s="25" t="n"/>
      <c r="I20" s="26" t="n"/>
    </row>
    <row r="21">
      <c r="A21" s="19" t="n"/>
      <c r="B21" s="44" t="n"/>
      <c r="C21" s="44" t="n"/>
      <c r="D21" s="44" t="n"/>
      <c r="E21" s="44" t="n"/>
      <c r="F21" s="44" t="n"/>
      <c r="G21" s="44" t="n"/>
      <c r="H21" s="19" t="n"/>
      <c r="I21" s="20" t="n"/>
    </row>
    <row r="22">
      <c r="A22" s="25" t="n"/>
      <c r="B22" s="45" t="n"/>
      <c r="C22" s="45" t="n"/>
      <c r="D22" s="45" t="n"/>
      <c r="E22" s="45" t="n"/>
      <c r="F22" s="45" t="n"/>
      <c r="G22" s="45" t="n"/>
      <c r="H22" s="25" t="n"/>
      <c r="I22" s="26" t="n"/>
    </row>
    <row r="23">
      <c r="A23" s="19" t="n"/>
      <c r="B23" s="44" t="n"/>
      <c r="C23" s="44" t="n"/>
      <c r="D23" s="44" t="n"/>
      <c r="E23" s="44" t="n"/>
      <c r="F23" s="44" t="n"/>
      <c r="G23" s="44" t="n"/>
      <c r="H23" s="19" t="n"/>
      <c r="I23" s="20" t="n"/>
    </row>
    <row r="24">
      <c r="A24" s="25" t="n"/>
      <c r="B24" s="45" t="n"/>
      <c r="C24" s="45" t="n"/>
      <c r="D24" s="45" t="n"/>
      <c r="E24" s="45" t="n"/>
      <c r="F24" s="45" t="n"/>
      <c r="G24" s="45" t="n"/>
      <c r="H24" s="25" t="n"/>
      <c r="I24" s="26" t="n"/>
    </row>
    <row r="25">
      <c r="A25" s="19" t="n"/>
      <c r="B25" s="44" t="n"/>
      <c r="C25" s="44" t="n"/>
      <c r="D25" s="44" t="n"/>
      <c r="E25" s="44" t="n"/>
      <c r="F25" s="44" t="n"/>
      <c r="G25" s="44" t="n"/>
      <c r="H25" s="19" t="n"/>
      <c r="I25" s="20" t="n"/>
    </row>
    <row r="26">
      <c r="A26" s="25" t="n"/>
      <c r="B26" s="45" t="n"/>
      <c r="C26" s="45" t="n"/>
      <c r="D26" s="45" t="n"/>
      <c r="E26" s="45" t="n"/>
      <c r="F26" s="45" t="n"/>
      <c r="G26" s="45" t="n"/>
      <c r="H26" s="25" t="n"/>
      <c r="I26" s="26" t="n"/>
    </row>
    <row r="27">
      <c r="A27" s="19" t="n"/>
      <c r="B27" s="44" t="n"/>
      <c r="C27" s="44" t="n"/>
      <c r="D27" s="44" t="n"/>
      <c r="E27" s="44" t="n"/>
      <c r="F27" s="44" t="n"/>
      <c r="G27" s="44" t="n"/>
      <c r="H27" s="19" t="n"/>
      <c r="I27" s="20" t="n"/>
    </row>
    <row r="28">
      <c r="A28" s="25" t="n"/>
      <c r="B28" s="45" t="n"/>
      <c r="C28" s="45" t="n"/>
      <c r="D28" s="45" t="n"/>
      <c r="E28" s="45" t="n"/>
      <c r="F28" s="45" t="n"/>
      <c r="G28" s="45" t="n"/>
      <c r="H28" s="25" t="n"/>
      <c r="I28" s="26" t="n"/>
    </row>
    <row r="29">
      <c r="A29" s="19" t="n"/>
      <c r="B29" s="44" t="n"/>
      <c r="C29" s="44" t="n"/>
      <c r="D29" s="44" t="n"/>
      <c r="E29" s="44" t="n"/>
      <c r="F29" s="44" t="n"/>
      <c r="G29" s="44" t="n"/>
      <c r="H29" s="19" t="n"/>
      <c r="I29" s="20" t="n"/>
    </row>
    <row r="30">
      <c r="A30" s="25" t="n"/>
      <c r="B30" s="45" t="n"/>
      <c r="C30" s="45" t="n"/>
      <c r="D30" s="45" t="n"/>
      <c r="E30" s="45" t="n"/>
      <c r="F30" s="45" t="n"/>
      <c r="G30" s="45" t="n"/>
      <c r="H30" s="25" t="n"/>
      <c r="I30" s="26" t="n"/>
    </row>
    <row r="31">
      <c r="A31" s="19" t="n"/>
      <c r="B31" s="44" t="n"/>
      <c r="C31" s="44" t="n"/>
      <c r="D31" s="44" t="n"/>
      <c r="E31" s="44" t="n"/>
      <c r="F31" s="44" t="n"/>
      <c r="G31" s="44" t="n"/>
      <c r="H31" s="19" t="n"/>
      <c r="I31" s="20" t="n"/>
    </row>
    <row r="32">
      <c r="A32" s="25" t="n"/>
      <c r="B32" s="45" t="n"/>
      <c r="C32" s="45" t="n"/>
      <c r="D32" s="45" t="n"/>
      <c r="E32" s="45" t="n"/>
      <c r="F32" s="45" t="n"/>
      <c r="G32" s="45" t="n"/>
      <c r="H32" s="25" t="n"/>
      <c r="I32" s="26" t="n"/>
    </row>
    <row r="33">
      <c r="A33" s="19" t="n"/>
      <c r="B33" s="44" t="n"/>
      <c r="C33" s="44" t="n"/>
      <c r="D33" s="44" t="n"/>
      <c r="E33" s="44" t="n"/>
      <c r="F33" s="44" t="n"/>
      <c r="G33" s="44" t="n"/>
      <c r="H33" s="19" t="n"/>
      <c r="I33" s="20" t="n"/>
    </row>
    <row r="34">
      <c r="A34" s="25" t="n"/>
      <c r="B34" s="45" t="n"/>
      <c r="C34" s="45" t="n"/>
      <c r="D34" s="45" t="n"/>
      <c r="E34" s="45" t="n"/>
      <c r="F34" s="45" t="n"/>
      <c r="G34" s="45" t="n"/>
      <c r="H34" s="25" t="n"/>
      <c r="I34" s="26" t="n"/>
    </row>
    <row r="35">
      <c r="A35" s="7" t="inlineStr">
        <is>
          <t>AVERAGE</t>
        </is>
      </c>
      <c r="B35" s="48">
        <f>IFERROR(AVERAGE(B5:B34),0)</f>
        <v/>
      </c>
      <c r="C35" s="48">
        <f>IFERROR(AVERAGE(C5:C34),0)</f>
        <v/>
      </c>
      <c r="D35" s="48">
        <f>IFERROR(AVERAGE(D5:D34),0)</f>
        <v/>
      </c>
      <c r="E35" s="48">
        <f>IFERROR(AVERAGE(E5:E34),0)</f>
        <v/>
      </c>
      <c r="F35" s="48">
        <f>IFERROR(AVERAGE(F5:F34),0)</f>
        <v/>
      </c>
      <c r="G35" s="48">
        <f>IFERROR(AVERAGE(G5:G34),0)</f>
        <v/>
      </c>
    </row>
  </sheetData>
  <mergeCells count="2">
    <mergeCell ref="A1:I1"/>
    <mergeCell ref="A2:I2"/>
  </mergeCells>
  <conditionalFormatting sqref="B5:B34">
    <cfRule type="colorScale" priority="1">
      <colorScale>
        <cfvo type="num" val="3"/>
        <cfvo type="num" val="5"/>
        <color rgb="FFFBF0E2"/>
        <color rgb="FF75E6C1"/>
      </colorScale>
    </cfRule>
  </conditionalFormatting>
  <dataValidations count="1">
    <dataValidation sqref="I5:I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76" customWidth="1" min="3" max="3"/>
    <col width="2" customWidth="1" min="4" max="4"/>
  </cols>
  <sheetData>
    <row r="1" ht="46" customHeight="1">
      <c r="A1" s="1" t="inlineStr">
        <is>
          <t xml:space="preserve">  💬  MESSAGE TEMPLATE LIBRARY</t>
        </is>
      </c>
    </row>
    <row r="2" ht="22" customHeight="1">
      <c r="A2" s="2" t="inlineStr">
        <is>
          <t xml:space="preserve">  Reply in seconds, not minutes — polished, reusable templates for every touchpoint.</t>
        </is>
      </c>
    </row>
    <row r="3" ht="6" customHeight="1">
      <c r="A3" s="3" t="n"/>
      <c r="B3" s="3" t="n"/>
      <c r="C3" s="3" t="n"/>
      <c r="D3" s="3" t="n"/>
    </row>
    <row r="4" ht="28" customHeight="1">
      <c r="B4" s="7" t="inlineStr">
        <is>
          <t>Template</t>
        </is>
      </c>
      <c r="C4" s="7" t="inlineStr">
        <is>
          <t>Message (edit the {tokens})</t>
        </is>
      </c>
    </row>
    <row r="5" ht="54" customHeight="1">
      <c r="B5" s="17" t="inlineStr">
        <is>
          <t>Booking Confirmation</t>
        </is>
      </c>
      <c r="C5" s="49" t="inlineStr">
        <is>
          <t>Hi {Guest}! Your booking at {Property} is confirmed for {CheckIn}–{CheckOut}. We're so glad to host you. I'll send check-in details 24 hours before arrival. — {Host}</t>
        </is>
      </c>
    </row>
    <row r="6" ht="54" customHeight="1">
      <c r="B6" s="50" t="inlineStr">
        <is>
          <t>Welcome Message</t>
        </is>
      </c>
      <c r="C6" s="49" t="inlineStr">
        <is>
          <t>Welcome, {Guest}! Everything you need is in the house guide. Wi-Fi: {WiFi}. Reach me anytime at {Phone}. Enjoy your stay at {Property}!</t>
        </is>
      </c>
    </row>
    <row r="7" ht="54" customHeight="1">
      <c r="B7" s="17" t="inlineStr">
        <is>
          <t>Check-In Instructions</t>
        </is>
      </c>
      <c r="C7" s="49" t="inlineStr">
        <is>
          <t>Check-in is 4:00 PM. Door code: {Code} (active from 4 PM). Parking: driveway, 2 spots. The house guide on the counter has everything — text me if anything's unclear.</t>
        </is>
      </c>
    </row>
    <row r="8" ht="54" customHeight="1">
      <c r="B8" s="50" t="inlineStr">
        <is>
          <t>Mid-Stay Check-In</t>
        </is>
      </c>
      <c r="C8" s="49" t="inlineStr">
        <is>
          <t>Hi {Guest}, just checking in — is everything comfortable so far? Happy to help with local recommendations or anything you need.</t>
        </is>
      </c>
    </row>
    <row r="9" ht="54" customHeight="1">
      <c r="B9" s="17" t="inlineStr">
        <is>
          <t>Checkout Instructions</t>
        </is>
      </c>
      <c r="C9" s="49" t="inlineStr">
        <is>
          <t>Checkout is 11:00 AM. Before you go: start the dishwasher, bag the trash, and leave keys on the counter. No need to strip beds. Safe travels, and thank you!</t>
        </is>
      </c>
    </row>
    <row r="10" ht="54" customHeight="1">
      <c r="B10" s="50" t="inlineStr">
        <is>
          <t>Thank You Message</t>
        </is>
      </c>
      <c r="C10" s="49" t="inlineStr">
        <is>
          <t>Thank you for staying at {Property}, {Guest}! It was a pleasure hosting you. You're welcome back anytime — returning guests get a little something extra. 😊</t>
        </is>
      </c>
    </row>
    <row r="11" ht="54" customHeight="1">
      <c r="B11" s="17" t="inlineStr">
        <is>
          <t>Review Request</t>
        </is>
      </c>
      <c r="C11" s="49" t="inlineStr">
        <is>
          <t>Hi {Guest}, we hope you loved your stay! If you have a moment, a review means the world to a small host like us. I've already left you a glowing one!</t>
        </is>
      </c>
    </row>
    <row r="12" ht="54" customHeight="1">
      <c r="B12" s="50" t="inlineStr">
        <is>
          <t>Maintenance Notification</t>
        </is>
      </c>
      <c r="C12" s="49" t="inlineStr">
        <is>
          <t>Hi {Guest}, thanks for flagging the {Issue}. I've scheduled {Vendor} to fix it on {Date}. Apologies for the inconvenience — please let me know if it affects your stay.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6" customWidth="1" min="4" max="4"/>
    <col width="20" customWidth="1" min="5" max="5"/>
    <col width="26" customWidth="1" min="6" max="6"/>
    <col width="10" customWidth="1" min="7" max="7"/>
  </cols>
  <sheetData>
    <row r="1" ht="46" customHeight="1">
      <c r="A1" s="1" t="inlineStr">
        <is>
          <t xml:space="preserve">  📇  SUPPLIER DIRECTORY</t>
        </is>
      </c>
    </row>
    <row r="2" ht="22" customHeight="1">
      <c r="A2" s="2" t="inlineStr">
        <is>
          <t xml:space="preserve">  Your trusted team on speed-dial — cleaners, trades &amp; emergency contacts, all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Name</t>
        </is>
      </c>
      <c r="B4" s="7" t="inlineStr">
        <is>
          <t>Type</t>
        </is>
      </c>
      <c r="C4" s="7" t="inlineStr">
        <is>
          <t>Phone</t>
        </is>
      </c>
      <c r="D4" s="7" t="inlineStr">
        <is>
          <t>Email</t>
        </is>
      </c>
      <c r="E4" s="7" t="inlineStr">
        <is>
          <t>Serves</t>
        </is>
      </c>
      <c r="F4" s="7" t="inlineStr">
        <is>
          <t>Notes</t>
        </is>
      </c>
      <c r="G4" s="7" t="inlineStr">
        <is>
          <t>Rating</t>
        </is>
      </c>
    </row>
    <row r="5">
      <c r="A5" s="19" t="inlineStr">
        <is>
          <t>Sparkle Co. — Maria</t>
        </is>
      </c>
      <c r="B5" s="20" t="inlineStr">
        <is>
          <t>Cleaner</t>
        </is>
      </c>
      <c r="C5" s="20" t="inlineStr">
        <is>
          <t>(555) 771-2200</t>
        </is>
      </c>
      <c r="D5" s="19" t="inlineStr">
        <is>
          <t>maria@sparkleco.com</t>
        </is>
      </c>
      <c r="E5" s="19" t="inlineStr">
        <is>
          <t>The Pine Cabin, Loft</t>
        </is>
      </c>
      <c r="F5" s="19" t="inlineStr">
        <is>
          <t>Reliable, same-day turns</t>
        </is>
      </c>
      <c r="G5" s="44" t="n">
        <v>5</v>
      </c>
    </row>
    <row r="6">
      <c r="A6" s="25" t="inlineStr">
        <is>
          <t>FreshTurn — Ana</t>
        </is>
      </c>
      <c r="B6" s="26" t="inlineStr">
        <is>
          <t>Cleaner</t>
        </is>
      </c>
      <c r="C6" s="26" t="inlineStr">
        <is>
          <t>(555) 660-1188</t>
        </is>
      </c>
      <c r="D6" s="25" t="inlineStr">
        <is>
          <t>ana@freshturn.com</t>
        </is>
      </c>
      <c r="E6" s="25" t="inlineStr">
        <is>
          <t>Beachside, Loft</t>
        </is>
      </c>
      <c r="F6" s="25" t="inlineStr">
        <is>
          <t>Great with beach sand</t>
        </is>
      </c>
      <c r="G6" s="45" t="n">
        <v>5</v>
      </c>
    </row>
    <row r="7">
      <c r="A7" s="19" t="inlineStr">
        <is>
          <t>Dave's Repairs</t>
        </is>
      </c>
      <c r="B7" s="20" t="inlineStr">
        <is>
          <t>Handyman</t>
        </is>
      </c>
      <c r="C7" s="20" t="inlineStr">
        <is>
          <t>(555) 887-1200</t>
        </is>
      </c>
      <c r="D7" s="19" t="inlineStr">
        <is>
          <t>dave@repairs.com</t>
        </is>
      </c>
      <c r="E7" s="19" t="inlineStr">
        <is>
          <t>All</t>
        </is>
      </c>
      <c r="F7" s="19" t="inlineStr">
        <is>
          <t>Fast, fair pricing</t>
        </is>
      </c>
      <c r="G7" s="44" t="n">
        <v>5</v>
      </c>
    </row>
    <row r="8">
      <c r="A8" s="25" t="inlineStr">
        <is>
          <t>CoolAir Inc.</t>
        </is>
      </c>
      <c r="B8" s="26" t="inlineStr">
        <is>
          <t>HVAC</t>
        </is>
      </c>
      <c r="C8" s="26" t="inlineStr">
        <is>
          <t>(555) 340-9910</t>
        </is>
      </c>
      <c r="D8" s="25" t="inlineStr">
        <is>
          <t>service@coolair.com</t>
        </is>
      </c>
      <c r="E8" s="25" t="inlineStr">
        <is>
          <t>All</t>
        </is>
      </c>
      <c r="F8" s="25" t="inlineStr">
        <is>
          <t>Annual HVAC contract</t>
        </is>
      </c>
      <c r="G8" s="45" t="n">
        <v>4</v>
      </c>
    </row>
    <row r="9">
      <c r="A9" s="19" t="inlineStr">
        <is>
          <t>QuickPlumb</t>
        </is>
      </c>
      <c r="B9" s="20" t="inlineStr">
        <is>
          <t>Plumber</t>
        </is>
      </c>
      <c r="C9" s="20" t="inlineStr">
        <is>
          <t>(555) 220-4471</t>
        </is>
      </c>
      <c r="D9" s="19" t="inlineStr">
        <is>
          <t>help@quickplumb.com</t>
        </is>
      </c>
      <c r="E9" s="19" t="inlineStr">
        <is>
          <t>All</t>
        </is>
      </c>
      <c r="F9" s="19" t="inlineStr">
        <is>
          <t>24/7 emergencies</t>
        </is>
      </c>
      <c r="G9" s="44" t="n">
        <v>4</v>
      </c>
    </row>
    <row r="10">
      <c r="A10" s="25" t="inlineStr">
        <is>
          <t>BrightSpark Electric</t>
        </is>
      </c>
      <c r="B10" s="26" t="inlineStr">
        <is>
          <t>Electrician</t>
        </is>
      </c>
      <c r="C10" s="26" t="inlineStr">
        <is>
          <t>(555) 118-3390</t>
        </is>
      </c>
      <c r="D10" s="25" t="inlineStr">
        <is>
          <t>info@brightspark.com</t>
        </is>
      </c>
      <c r="E10" s="25" t="inlineStr">
        <is>
          <t>All</t>
        </is>
      </c>
      <c r="F10" s="25" t="inlineStr">
        <is>
          <t>Licensed &amp; insured</t>
        </is>
      </c>
      <c r="G10" s="45" t="n">
        <v>5</v>
      </c>
    </row>
    <row r="11">
      <c r="A11" s="19" t="inlineStr">
        <is>
          <t>GreenScape</t>
        </is>
      </c>
      <c r="B11" s="20" t="inlineStr">
        <is>
          <t>Landscaper</t>
        </is>
      </c>
      <c r="C11" s="20" t="inlineStr">
        <is>
          <t>(555) 909-7712</t>
        </is>
      </c>
      <c r="D11" s="19" t="inlineStr">
        <is>
          <t>hello@greenscape.com</t>
        </is>
      </c>
      <c r="E11" s="19" t="inlineStr">
        <is>
          <t>Cabin, Beachside</t>
        </is>
      </c>
      <c r="F11" s="19" t="inlineStr">
        <is>
          <t>Bi-weekly service</t>
        </is>
      </c>
      <c r="G11" s="44" t="n">
        <v>4</v>
      </c>
    </row>
    <row r="12">
      <c r="A12" s="25" t="inlineStr">
        <is>
          <t>CleanLinen Svc</t>
        </is>
      </c>
      <c r="B12" s="26" t="inlineStr">
        <is>
          <t>Laundry</t>
        </is>
      </c>
      <c r="C12" s="26" t="inlineStr">
        <is>
          <t>(555) 556-0043</t>
        </is>
      </c>
      <c r="D12" s="25" t="inlineStr">
        <is>
          <t>orders@cleanlinen.com</t>
        </is>
      </c>
      <c r="E12" s="25" t="inlineStr">
        <is>
          <t>All</t>
        </is>
      </c>
      <c r="F12" s="25" t="inlineStr">
        <is>
          <t>Linen pickup Mondays</t>
        </is>
      </c>
      <c r="G12" s="45" t="n">
        <v>5</v>
      </c>
    </row>
    <row r="13">
      <c r="A13" s="19" t="n"/>
      <c r="B13" s="20" t="n"/>
      <c r="C13" s="20" t="n"/>
      <c r="D13" s="19" t="n"/>
      <c r="E13" s="19" t="n"/>
      <c r="F13" s="19" t="n"/>
      <c r="G13" s="44" t="n"/>
    </row>
    <row r="14">
      <c r="A14" s="25" t="n"/>
      <c r="B14" s="26" t="n"/>
      <c r="C14" s="26" t="n"/>
      <c r="D14" s="25" t="n"/>
      <c r="E14" s="25" t="n"/>
      <c r="F14" s="25" t="n"/>
      <c r="G14" s="45" t="n"/>
    </row>
    <row r="15">
      <c r="A15" s="19" t="n"/>
      <c r="B15" s="20" t="n"/>
      <c r="C15" s="20" t="n"/>
      <c r="D15" s="19" t="n"/>
      <c r="E15" s="19" t="n"/>
      <c r="F15" s="19" t="n"/>
      <c r="G15" s="44" t="n"/>
    </row>
    <row r="16">
      <c r="A16" s="25" t="n"/>
      <c r="B16" s="26" t="n"/>
      <c r="C16" s="26" t="n"/>
      <c r="D16" s="25" t="n"/>
      <c r="E16" s="25" t="n"/>
      <c r="F16" s="25" t="n"/>
      <c r="G16" s="45" t="n"/>
    </row>
    <row r="17">
      <c r="A17" s="19" t="n"/>
      <c r="B17" s="20" t="n"/>
      <c r="C17" s="20" t="n"/>
      <c r="D17" s="19" t="n"/>
      <c r="E17" s="19" t="n"/>
      <c r="F17" s="19" t="n"/>
      <c r="G17" s="44" t="n"/>
    </row>
    <row r="18">
      <c r="A18" s="25" t="n"/>
      <c r="B18" s="26" t="n"/>
      <c r="C18" s="26" t="n"/>
      <c r="D18" s="25" t="n"/>
      <c r="E18" s="25" t="n"/>
      <c r="F18" s="25" t="n"/>
      <c r="G18" s="45" t="n"/>
    </row>
    <row r="19">
      <c r="A19" s="19" t="n"/>
      <c r="B19" s="20" t="n"/>
      <c r="C19" s="20" t="n"/>
      <c r="D19" s="19" t="n"/>
      <c r="E19" s="19" t="n"/>
      <c r="F19" s="19" t="n"/>
      <c r="G19" s="44" t="n"/>
    </row>
    <row r="20">
      <c r="A20" s="25" t="n"/>
      <c r="B20" s="26" t="n"/>
      <c r="C20" s="26" t="n"/>
      <c r="D20" s="25" t="n"/>
      <c r="E20" s="25" t="n"/>
      <c r="F20" s="25" t="n"/>
      <c r="G20" s="45" t="n"/>
    </row>
    <row r="21">
      <c r="A21" s="19" t="n"/>
      <c r="B21" s="20" t="n"/>
      <c r="C21" s="20" t="n"/>
      <c r="D21" s="19" t="n"/>
      <c r="E21" s="19" t="n"/>
      <c r="F21" s="19" t="n"/>
      <c r="G21" s="44" t="n"/>
    </row>
    <row r="22">
      <c r="A22" s="25" t="n"/>
      <c r="B22" s="26" t="n"/>
      <c r="C22" s="26" t="n"/>
      <c r="D22" s="25" t="n"/>
      <c r="E22" s="25" t="n"/>
      <c r="F22" s="25" t="n"/>
      <c r="G22" s="45" t="n"/>
    </row>
    <row r="23">
      <c r="A23" s="19" t="n"/>
      <c r="B23" s="20" t="n"/>
      <c r="C23" s="20" t="n"/>
      <c r="D23" s="19" t="n"/>
      <c r="E23" s="19" t="n"/>
      <c r="F23" s="19" t="n"/>
      <c r="G23" s="44" t="n"/>
    </row>
    <row r="24">
      <c r="A24" s="25" t="n"/>
      <c r="B24" s="26" t="n"/>
      <c r="C24" s="26" t="n"/>
      <c r="D24" s="25" t="n"/>
      <c r="E24" s="25" t="n"/>
      <c r="F24" s="25" t="n"/>
      <c r="G24" s="45" t="n"/>
    </row>
    <row r="25">
      <c r="A25" s="19" t="n"/>
      <c r="B25" s="20" t="n"/>
      <c r="C25" s="20" t="n"/>
      <c r="D25" s="19" t="n"/>
      <c r="E25" s="19" t="n"/>
      <c r="F25" s="19" t="n"/>
      <c r="G25" s="44" t="n"/>
    </row>
    <row r="26">
      <c r="A26" s="25" t="n"/>
      <c r="B26" s="26" t="n"/>
      <c r="C26" s="26" t="n"/>
      <c r="D26" s="25" t="n"/>
      <c r="E26" s="25" t="n"/>
      <c r="F26" s="25" t="n"/>
      <c r="G26" s="45" t="n"/>
    </row>
    <row r="27">
      <c r="A27" s="19" t="n"/>
      <c r="B27" s="20" t="n"/>
      <c r="C27" s="20" t="n"/>
      <c r="D27" s="19" t="n"/>
      <c r="E27" s="19" t="n"/>
      <c r="F27" s="19" t="n"/>
      <c r="G27" s="44" t="n"/>
    </row>
    <row r="28">
      <c r="A28" s="25" t="n"/>
      <c r="B28" s="26" t="n"/>
      <c r="C28" s="26" t="n"/>
      <c r="D28" s="25" t="n"/>
      <c r="E28" s="25" t="n"/>
      <c r="F28" s="25" t="n"/>
      <c r="G28" s="45" t="n"/>
    </row>
    <row r="29">
      <c r="A29" s="19" t="n"/>
      <c r="B29" s="20" t="n"/>
      <c r="C29" s="20" t="n"/>
      <c r="D29" s="19" t="n"/>
      <c r="E29" s="19" t="n"/>
      <c r="F29" s="19" t="n"/>
      <c r="G29" s="44" t="n"/>
    </row>
    <row r="30">
      <c r="A30" s="25" t="n"/>
      <c r="B30" s="26" t="n"/>
      <c r="C30" s="26" t="n"/>
      <c r="D30" s="25" t="n"/>
      <c r="E30" s="25" t="n"/>
      <c r="F30" s="25" t="n"/>
      <c r="G30" s="45" t="n"/>
    </row>
    <row r="31">
      <c r="A31" s="19" t="n"/>
      <c r="B31" s="20" t="n"/>
      <c r="C31" s="20" t="n"/>
      <c r="D31" s="19" t="n"/>
      <c r="E31" s="19" t="n"/>
      <c r="F31" s="19" t="n"/>
      <c r="G31" s="44" t="n"/>
    </row>
    <row r="32">
      <c r="A32" s="25" t="n"/>
      <c r="B32" s="26" t="n"/>
      <c r="C32" s="26" t="n"/>
      <c r="D32" s="25" t="n"/>
      <c r="E32" s="25" t="n"/>
      <c r="F32" s="25" t="n"/>
      <c r="G32" s="45" t="n"/>
    </row>
    <row r="33">
      <c r="A33" s="19" t="n"/>
      <c r="B33" s="20" t="n"/>
      <c r="C33" s="20" t="n"/>
      <c r="D33" s="19" t="n"/>
      <c r="E33" s="19" t="n"/>
      <c r="F33" s="19" t="n"/>
      <c r="G33" s="44" t="n"/>
    </row>
    <row r="34">
      <c r="A34" s="25" t="n"/>
      <c r="B34" s="26" t="n"/>
      <c r="C34" s="26" t="n"/>
      <c r="D34" s="25" t="n"/>
      <c r="E34" s="25" t="n"/>
      <c r="F34" s="25" t="n"/>
      <c r="G34" s="45" t="n"/>
    </row>
  </sheetData>
  <mergeCells count="2">
    <mergeCell ref="A2:G2"/>
    <mergeCell ref="A1:G1"/>
  </mergeCells>
  <dataValidations count="1">
    <dataValidation sqref="B5:B34" showDropDown="0" showInputMessage="0" showErrorMessage="0" allowBlank="1" type="list">
      <formula1>=SupplierCatList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5E6C1"/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8" customWidth="1" min="5" max="5"/>
    <col width="3" customWidth="1" min="6" max="6"/>
    <col width="22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🧾  TAX &amp; EXPENSE PREPARATION</t>
        </is>
      </c>
    </row>
    <row r="2" ht="22" customHeight="1">
      <c r="A2" s="2" t="inlineStr">
        <is>
          <t xml:space="preserve">  Deduction-ready all year — categorized expenses, quarterly estimates &amp; annual totals.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Deductible Category</t>
        </is>
      </c>
      <c r="B4" s="7" t="inlineStr">
        <is>
          <t>This Month</t>
        </is>
      </c>
      <c r="C4" s="7" t="inlineStr">
        <is>
          <t>YTD</t>
        </is>
      </c>
      <c r="D4" s="7" t="inlineStr">
        <is>
          <t>Receipt Ref</t>
        </is>
      </c>
      <c r="G4" s="4" t="inlineStr">
        <is>
          <t>QUARTERLY ESTIMATE</t>
        </is>
      </c>
    </row>
    <row r="5">
      <c r="A5" s="23" t="inlineStr">
        <is>
          <t>Mortgage Interest</t>
        </is>
      </c>
      <c r="B5" s="34" t="n">
        <v>1180</v>
      </c>
      <c r="C5" s="34" t="n">
        <v>8260</v>
      </c>
      <c r="D5" s="23" t="inlineStr">
        <is>
          <t>Bank stmt</t>
        </is>
      </c>
      <c r="G5" s="17" t="inlineStr">
        <is>
          <t>Est. taxable income (YTD)</t>
        </is>
      </c>
      <c r="H5" s="33">
        <f>FinRevenue*6-C17</f>
        <v/>
      </c>
    </row>
    <row r="6">
      <c r="A6" s="25" t="inlineStr">
        <is>
          <t>Property Taxes</t>
        </is>
      </c>
      <c r="B6" s="30" t="n">
        <v>520</v>
      </c>
      <c r="C6" s="30" t="n">
        <v>3640</v>
      </c>
      <c r="D6" s="25" t="inlineStr">
        <is>
          <t>County bill</t>
        </is>
      </c>
      <c r="G6" s="17" t="inlineStr">
        <is>
          <t>Est. tax rate</t>
        </is>
      </c>
      <c r="H6" s="43" t="n">
        <v>0.22</v>
      </c>
    </row>
    <row r="7">
      <c r="A7" s="23" t="inlineStr">
        <is>
          <t>Insurance</t>
        </is>
      </c>
      <c r="B7" s="34" t="n">
        <v>180</v>
      </c>
      <c r="C7" s="34" t="n">
        <v>1260</v>
      </c>
      <c r="D7" s="23" t="inlineStr">
        <is>
          <t>Policy STR-88120</t>
        </is>
      </c>
      <c r="G7" s="17" t="inlineStr">
        <is>
          <t>Est. quarterly set-aside</t>
        </is>
      </c>
      <c r="H7" s="51">
        <f>MAX(H5*H6/4,0)</f>
        <v/>
      </c>
    </row>
    <row r="8">
      <c r="A8" s="25" t="inlineStr">
        <is>
          <t>Utilities</t>
        </is>
      </c>
      <c r="B8" s="30" t="n">
        <v>420</v>
      </c>
      <c r="C8" s="30" t="n">
        <v>2940</v>
      </c>
      <c r="D8" s="25" t="inlineStr">
        <is>
          <t>Folder /util</t>
        </is>
      </c>
      <c r="G8" s="17" t="inlineStr">
        <is>
          <t>Next payment due</t>
        </is>
      </c>
      <c r="H8" s="52" t="n">
        <v>46280</v>
      </c>
    </row>
    <row r="9">
      <c r="A9" s="23" t="inlineStr">
        <is>
          <t>Internet</t>
        </is>
      </c>
      <c r="B9" s="34" t="n">
        <v>95</v>
      </c>
      <c r="C9" s="34" t="n">
        <v>665</v>
      </c>
      <c r="D9" s="23" t="inlineStr">
        <is>
          <t>ISP invoices</t>
        </is>
      </c>
    </row>
    <row r="10">
      <c r="A10" s="25" t="inlineStr">
        <is>
          <t>Cleaning &amp; Turnover</t>
        </is>
      </c>
      <c r="B10" s="30" t="n">
        <v>960</v>
      </c>
      <c r="C10" s="30" t="n">
        <v>6720</v>
      </c>
      <c r="D10" s="25" t="inlineStr">
        <is>
          <t>Vendor invoices</t>
        </is>
      </c>
      <c r="G10" s="2" t="inlineStr">
        <is>
          <t>Not tax advice — confirm categories with your CPA.</t>
        </is>
      </c>
    </row>
    <row r="11">
      <c r="A11" s="23" t="inlineStr">
        <is>
          <t>Supplies &amp; Consumables</t>
        </is>
      </c>
      <c r="B11" s="34" t="n">
        <v>340</v>
      </c>
      <c r="C11" s="34" t="n">
        <v>2380</v>
      </c>
      <c r="D11" s="23" t="inlineStr">
        <is>
          <t>Receipts /supp</t>
        </is>
      </c>
    </row>
    <row r="12">
      <c r="A12" s="25" t="inlineStr">
        <is>
          <t>Repairs &amp; Maintenance</t>
        </is>
      </c>
      <c r="B12" s="30" t="n">
        <v>250</v>
      </c>
      <c r="C12" s="30" t="n">
        <v>1750</v>
      </c>
      <c r="D12" s="25" t="inlineStr">
        <is>
          <t>Vendor invoices</t>
        </is>
      </c>
    </row>
    <row r="13">
      <c r="A13" s="23" t="inlineStr">
        <is>
          <t>Software &amp; Subscriptions</t>
        </is>
      </c>
      <c r="B13" s="34" t="n">
        <v>85</v>
      </c>
      <c r="C13" s="34" t="n">
        <v>595</v>
      </c>
      <c r="D13" s="23" t="inlineStr">
        <is>
          <t>Card stmt</t>
        </is>
      </c>
    </row>
    <row r="14">
      <c r="A14" s="25" t="inlineStr">
        <is>
          <t>Marketing &amp; Photography</t>
        </is>
      </c>
      <c r="B14" s="30" t="n">
        <v>120</v>
      </c>
      <c r="C14" s="30" t="n">
        <v>840</v>
      </c>
      <c r="D14" s="25" t="inlineStr">
        <is>
          <t>Card stmt</t>
        </is>
      </c>
    </row>
    <row r="15">
      <c r="A15" s="23" t="inlineStr">
        <is>
          <t>Platform / Host Fees</t>
        </is>
      </c>
      <c r="B15" s="34" t="n">
        <v>348</v>
      </c>
      <c r="C15" s="34" t="n">
        <v>2436</v>
      </c>
      <c r="D15" s="23" t="inlineStr">
        <is>
          <t>Payout reports</t>
        </is>
      </c>
    </row>
    <row r="16">
      <c r="A16" s="25" t="inlineStr">
        <is>
          <t>Depreciation (est.)</t>
        </is>
      </c>
      <c r="B16" s="30" t="n">
        <v>900</v>
      </c>
      <c r="C16" s="30" t="n">
        <v>6300</v>
      </c>
      <c r="D16" s="25" t="inlineStr">
        <is>
          <t>CPA schedule</t>
        </is>
      </c>
    </row>
    <row r="17">
      <c r="A17" s="7" t="inlineStr">
        <is>
          <t>TOTAL DEDUCTIONS</t>
        </is>
      </c>
      <c r="B17" s="31">
        <f>SUM(B5:B16)</f>
        <v/>
      </c>
      <c r="C17" s="31">
        <f>SUM(C5:C16)</f>
        <v/>
      </c>
    </row>
  </sheetData>
  <mergeCells count="4">
    <mergeCell ref="A1:I1"/>
    <mergeCell ref="G4:H4"/>
    <mergeCell ref="G10:H10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5D3BA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🏘  MULTI-PROPERTY DASHBOARD</t>
        </is>
      </c>
    </row>
    <row r="2" ht="22" customHeight="1">
      <c r="A2" s="2" t="inlineStr">
        <is>
          <t xml:space="preserve">  Compare every listing side by side — occupancy, revenue, profit &amp; rating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Property</t>
        </is>
      </c>
      <c r="B4" s="7" t="inlineStr">
        <is>
          <t>Occupancy</t>
        </is>
      </c>
      <c r="C4" s="7" t="inlineStr">
        <is>
          <t>Revenue</t>
        </is>
      </c>
      <c r="D4" s="7" t="inlineStr">
        <is>
          <t>Expenses</t>
        </is>
      </c>
      <c r="E4" s="7" t="inlineStr">
        <is>
          <t>Net Profit</t>
        </is>
      </c>
      <c r="F4" s="7" t="inlineStr">
        <is>
          <t>Rating</t>
        </is>
      </c>
      <c r="G4" s="7" t="inlineStr">
        <is>
          <t>Status</t>
        </is>
      </c>
    </row>
    <row r="5">
      <c r="A5" s="23" t="inlineStr">
        <is>
          <t>The Pine Cabin</t>
        </is>
      </c>
      <c r="B5" s="35" t="n">
        <v>0.8</v>
      </c>
      <c r="C5" s="34" t="n">
        <v>5200</v>
      </c>
      <c r="D5" s="34" t="n">
        <v>2900</v>
      </c>
      <c r="E5" s="34" t="n">
        <v>2300</v>
      </c>
      <c r="F5" s="53" t="n">
        <v>4.8</v>
      </c>
      <c r="G5" s="24">
        <f>IF(B5&gt;=0.7,"Strong",IF(B5&gt;=0.5,"Steady","Boost"))</f>
        <v/>
      </c>
    </row>
    <row r="6">
      <c r="A6" s="25" t="inlineStr">
        <is>
          <t>Beachside Bungalow</t>
        </is>
      </c>
      <c r="B6" s="47" t="n">
        <v>0.63</v>
      </c>
      <c r="C6" s="30" t="n">
        <v>3900</v>
      </c>
      <c r="D6" s="30" t="n">
        <v>2300</v>
      </c>
      <c r="E6" s="30" t="n">
        <v>1600</v>
      </c>
      <c r="F6" s="45" t="n">
        <v>4.9</v>
      </c>
      <c r="G6" s="26">
        <f>IF(B6&gt;=0.7,"Strong",IF(B6&gt;=0.5,"Steady","Boost"))</f>
        <v/>
      </c>
    </row>
    <row r="7">
      <c r="A7" s="23" t="inlineStr">
        <is>
          <t>Downtown Loft</t>
        </is>
      </c>
      <c r="B7" s="35" t="n">
        <v>0.53</v>
      </c>
      <c r="C7" s="34" t="n">
        <v>2500</v>
      </c>
      <c r="D7" s="34" t="n">
        <v>1550</v>
      </c>
      <c r="E7" s="34" t="n">
        <v>950</v>
      </c>
      <c r="F7" s="53" t="n">
        <v>4.9</v>
      </c>
      <c r="G7" s="24">
        <f>IF(B7&gt;=0.7,"Strong",IF(B7&gt;=0.5,"Steady","Boost"))</f>
        <v/>
      </c>
    </row>
    <row r="8">
      <c r="A8" s="7" t="inlineStr">
        <is>
          <t>PORTFOLIO</t>
        </is>
      </c>
      <c r="B8" s="54">
        <f>AVERAGE(B5:B7)</f>
        <v/>
      </c>
      <c r="C8" s="31">
        <f>SUM(C5:C7)</f>
        <v/>
      </c>
      <c r="D8" s="31">
        <f>SUM(D5:D7)</f>
        <v/>
      </c>
      <c r="E8" s="31">
        <f>SUM(E5:E7)</f>
        <v/>
      </c>
      <c r="F8" s="48">
        <f>AVERAGE(F5:F7)</f>
        <v/>
      </c>
    </row>
  </sheetData>
  <mergeCells count="2">
    <mergeCell ref="A1:I1"/>
    <mergeCell ref="A2:I2"/>
  </mergeCells>
  <conditionalFormatting sqref="B5:B7">
    <cfRule type="dataBar" priority="1">
      <dataBar showValue="1">
        <cfvo type="num" val="0"/>
        <cfvo type="num" val="1"/>
        <color rgb="0075E6C1"/>
      </dataBar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4F48"/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2" customWidth="1" min="8" max="8"/>
  </cols>
  <sheetData>
    <row r="1" ht="46" customHeight="1">
      <c r="A1" s="1" t="inlineStr">
        <is>
          <t xml:space="preserve">  🎯  GOAL PLANNER</t>
        </is>
      </c>
    </row>
    <row r="2" ht="22" customHeight="1">
      <c r="A2" s="2" t="inlineStr">
        <is>
          <t xml:space="preserve">  Turn hosting into a business plan — targets, progress bars &amp; milestone tracking.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Goal</t>
        </is>
      </c>
      <c r="B4" s="7" t="inlineStr">
        <is>
          <t>Category</t>
        </is>
      </c>
      <c r="C4" s="7" t="inlineStr">
        <is>
          <t>Target</t>
        </is>
      </c>
      <c r="D4" s="7" t="inlineStr">
        <is>
          <t>Current</t>
        </is>
      </c>
      <c r="E4" s="7" t="inlineStr">
        <is>
          <t>Progress</t>
        </is>
      </c>
      <c r="F4" s="7" t="inlineStr">
        <is>
          <t>Deadline</t>
        </is>
      </c>
    </row>
    <row r="5">
      <c r="A5" s="23" t="inlineStr">
        <is>
          <t>Monthly revenue</t>
        </is>
      </c>
      <c r="B5" s="24" t="inlineStr">
        <is>
          <t>Revenue</t>
        </is>
      </c>
      <c r="C5" s="55" t="n">
        <v>14000</v>
      </c>
      <c r="D5" s="55" t="n">
        <v>11600</v>
      </c>
      <c r="E5" s="35">
        <f>IFERROR(MIN(D5/C5,1),0)</f>
        <v/>
      </c>
      <c r="F5" s="56" t="n">
        <v>46325</v>
      </c>
    </row>
    <row r="6">
      <c r="A6" s="25" t="inlineStr">
        <is>
          <t>Portfolio occupancy</t>
        </is>
      </c>
      <c r="B6" s="26" t="inlineStr">
        <is>
          <t>Occupancy</t>
        </is>
      </c>
      <c r="C6" s="57" t="n">
        <v>80</v>
      </c>
      <c r="D6" s="57" t="n">
        <v>66</v>
      </c>
      <c r="E6" s="47">
        <f>IFERROR(MIN(D6/C6,1),0)</f>
        <v/>
      </c>
      <c r="F6" s="27" t="n">
        <v>46295</v>
      </c>
    </row>
    <row r="7">
      <c r="A7" s="23" t="inlineStr">
        <is>
          <t>Average review score</t>
        </is>
      </c>
      <c r="B7" s="24" t="inlineStr">
        <is>
          <t>Reviews</t>
        </is>
      </c>
      <c r="C7" s="55" t="n">
        <v>50</v>
      </c>
      <c r="D7" s="55" t="n">
        <v>48</v>
      </c>
      <c r="E7" s="35">
        <f>IFERROR(MIN(D7/C7,1),0)</f>
        <v/>
      </c>
      <c r="F7" s="56" t="n">
        <v>46265</v>
      </c>
    </row>
    <row r="8">
      <c r="A8" s="25" t="inlineStr">
        <is>
          <t>Net profit margin</t>
        </is>
      </c>
      <c r="B8" s="26" t="inlineStr">
        <is>
          <t>Profit</t>
        </is>
      </c>
      <c r="C8" s="57" t="n">
        <v>50</v>
      </c>
      <c r="D8" s="57" t="n">
        <v>42</v>
      </c>
      <c r="E8" s="47">
        <f>IFERROR(MIN(D8/C8,1),0)</f>
        <v/>
      </c>
      <c r="F8" s="27" t="n">
        <v>46355</v>
      </c>
    </row>
    <row r="9">
      <c r="A9" s="23" t="inlineStr">
        <is>
          <t>Add 4th property</t>
        </is>
      </c>
      <c r="B9" s="24" t="inlineStr">
        <is>
          <t>Expansion</t>
        </is>
      </c>
      <c r="C9" s="55" t="n">
        <v>100</v>
      </c>
      <c r="D9" s="55" t="n">
        <v>45</v>
      </c>
      <c r="E9" s="35">
        <f>IFERROR(MIN(D9/C9,1),0)</f>
        <v/>
      </c>
      <c r="F9" s="56" t="n">
        <v>46505</v>
      </c>
    </row>
    <row r="10">
      <c r="A10" s="25" t="inlineStr">
        <is>
          <t>Automate messaging</t>
        </is>
      </c>
      <c r="B10" s="26" t="inlineStr">
        <is>
          <t>Operations</t>
        </is>
      </c>
      <c r="C10" s="57" t="n">
        <v>100</v>
      </c>
      <c r="D10" s="57" t="n">
        <v>80</v>
      </c>
      <c r="E10" s="47">
        <f>IFERROR(MIN(D10/C10,1),0)</f>
        <v/>
      </c>
      <c r="F10" s="27" t="n">
        <v>46250</v>
      </c>
    </row>
    <row r="13" ht="22" customHeight="1">
      <c r="B13" s="4" t="inlineStr">
        <is>
          <t>MONTHLY MILESTONES</t>
        </is>
      </c>
    </row>
    <row r="14">
      <c r="B14" s="58" t="inlineStr">
        <is>
          <t>☐</t>
        </is>
      </c>
      <c r="C14" s="23" t="inlineStr">
        <is>
          <t>Hit 70% portfolio occupancy</t>
        </is>
      </c>
    </row>
    <row r="15">
      <c r="B15" s="58" t="inlineStr">
        <is>
          <t>☐</t>
        </is>
      </c>
      <c r="C15" s="23" t="inlineStr">
        <is>
          <t>Reach $12k monthly revenue</t>
        </is>
      </c>
    </row>
    <row r="16">
      <c r="B16" s="58" t="inlineStr">
        <is>
          <t>☐</t>
        </is>
      </c>
      <c r="C16" s="23" t="inlineStr">
        <is>
          <t>Maintain 4.8+ average rating</t>
        </is>
      </c>
    </row>
    <row r="17">
      <c r="B17" s="58" t="inlineStr">
        <is>
          <t>☐</t>
        </is>
      </c>
      <c r="C17" s="23" t="inlineStr">
        <is>
          <t>Zero same-day cancellations</t>
        </is>
      </c>
    </row>
    <row r="18">
      <c r="B18" s="58" t="inlineStr">
        <is>
          <t>☐</t>
        </is>
      </c>
      <c r="C18" s="23" t="inlineStr">
        <is>
          <t>Photograph refreshed listings</t>
        </is>
      </c>
    </row>
  </sheetData>
  <mergeCells count="8">
    <mergeCell ref="C18:F18"/>
    <mergeCell ref="C17:F17"/>
    <mergeCell ref="A2:H2"/>
    <mergeCell ref="C16:F16"/>
    <mergeCell ref="C15:F15"/>
    <mergeCell ref="A1:H1"/>
    <mergeCell ref="B13:F13"/>
    <mergeCell ref="C14:F14"/>
  </mergeCells>
  <conditionalFormatting sqref="E5:E10">
    <cfRule type="dataBar" priority="1">
      <dataBar showValue="1">
        <cfvo type="num" val="0"/>
        <cfvo type="num" val="1"/>
        <color rgb="001B4F48"/>
      </dataBar>
    </cfRule>
  </conditionalFormatting>
  <dataValidations count="1">
    <dataValidation sqref="B5:B10" showDropDown="0" showInputMessage="0" showErrorMessage="0" allowBlank="1" type="list">
      <formula1>=GoalCatList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37356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14" customWidth="1" min="4" max="4"/>
    <col width="3" customWidth="1" min="5" max="5"/>
    <col width="22" customWidth="1" min="6" max="6"/>
    <col width="20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📸  PHOTO &amp; IMPROVEMENT PLANNER</t>
        </is>
      </c>
    </row>
    <row r="2" ht="22" customHeight="1">
      <c r="A2" s="2" t="inlineStr">
        <is>
          <t xml:space="preserve">  Better photos book more nights — plan upgrades room by room with budget &amp; priority.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2" customHeight="1">
      <c r="B5" s="7" t="inlineStr">
        <is>
          <t xml:space="preserve">  Living Room</t>
        </is>
      </c>
      <c r="F5" s="7" t="inlineStr">
        <is>
          <t xml:space="preserve">  Primary Bedroom</t>
        </is>
      </c>
    </row>
    <row r="6" ht="22" customHeight="1">
      <c r="B6" s="59" t="inlineStr">
        <is>
          <t>📷
Paste photo here
(Insert ▸ Picture)</t>
        </is>
      </c>
      <c r="F6" s="59" t="inlineStr">
        <is>
          <t>📷
Paste photo here
(Insert ▸ Picture)</t>
        </is>
      </c>
    </row>
    <row r="7" ht="22" customHeight="1"/>
    <row r="8" ht="22" customHeight="1"/>
    <row r="9" ht="22" customHeight="1"/>
    <row r="10">
      <c r="B10" s="17" t="inlineStr">
        <is>
          <t>Improvement</t>
        </is>
      </c>
      <c r="C10" s="18" t="inlineStr">
        <is>
          <t>New sofa + throw pillows</t>
        </is>
      </c>
      <c r="F10" s="17" t="inlineStr">
        <is>
          <t>Improvement</t>
        </is>
      </c>
      <c r="G10" s="18" t="inlineStr">
        <is>
          <t>Upgrade to king bed</t>
        </is>
      </c>
    </row>
    <row r="11">
      <c r="B11" s="17" t="inlineStr">
        <is>
          <t>Est. Budget</t>
        </is>
      </c>
      <c r="C11" s="33" t="n">
        <v>1200</v>
      </c>
      <c r="D11" s="18" t="inlineStr">
        <is>
          <t>High</t>
        </is>
      </c>
      <c r="F11" s="17" t="inlineStr">
        <is>
          <t>Est. Budget</t>
        </is>
      </c>
      <c r="G11" s="33" t="n">
        <v>1600</v>
      </c>
      <c r="H11" s="18" t="inlineStr">
        <is>
          <t>High</t>
        </is>
      </c>
    </row>
    <row r="12">
      <c r="B12" s="17" t="inlineStr">
        <is>
          <t>Status</t>
        </is>
      </c>
      <c r="C12" s="18" t="inlineStr">
        <is>
          <t>Planned</t>
        </is>
      </c>
      <c r="F12" s="17" t="inlineStr">
        <is>
          <t>Status</t>
        </is>
      </c>
      <c r="G12" s="18" t="inlineStr">
        <is>
          <t>Planned</t>
        </is>
      </c>
    </row>
    <row r="14" ht="22" customHeight="1">
      <c r="B14" s="7" t="inlineStr">
        <is>
          <t xml:space="preserve">  Kitchen</t>
        </is>
      </c>
      <c r="F14" s="7" t="inlineStr">
        <is>
          <t xml:space="preserve">  Bathroom</t>
        </is>
      </c>
    </row>
    <row r="15" ht="22" customHeight="1">
      <c r="B15" s="59" t="inlineStr">
        <is>
          <t>📷
Paste photo here
(Insert ▸ Picture)</t>
        </is>
      </c>
      <c r="F15" s="59" t="inlineStr">
        <is>
          <t>📷
Paste photo here
(Insert ▸ Picture)</t>
        </is>
      </c>
    </row>
    <row r="16" ht="22" customHeight="1"/>
    <row r="17" ht="22" customHeight="1"/>
    <row r="18" ht="22" customHeight="1"/>
    <row r="19">
      <c r="B19" s="17" t="inlineStr">
        <is>
          <t>Improvement</t>
        </is>
      </c>
      <c r="C19" s="18" t="inlineStr">
        <is>
          <t>Modern faucet &amp; backsplash</t>
        </is>
      </c>
      <c r="F19" s="17" t="inlineStr">
        <is>
          <t>Improvement</t>
        </is>
      </c>
      <c r="G19" s="18" t="inlineStr">
        <is>
          <t>Rainfall showerhead</t>
        </is>
      </c>
    </row>
    <row r="20">
      <c r="B20" s="17" t="inlineStr">
        <is>
          <t>Est. Budget</t>
        </is>
      </c>
      <c r="C20" s="33" t="n">
        <v>650</v>
      </c>
      <c r="D20" s="18" t="inlineStr">
        <is>
          <t>Medium</t>
        </is>
      </c>
      <c r="F20" s="17" t="inlineStr">
        <is>
          <t>Est. Budget</t>
        </is>
      </c>
      <c r="G20" s="33" t="n">
        <v>320</v>
      </c>
      <c r="H20" s="18" t="inlineStr">
        <is>
          <t>Medium</t>
        </is>
      </c>
    </row>
    <row r="21">
      <c r="B21" s="17" t="inlineStr">
        <is>
          <t>Status</t>
        </is>
      </c>
      <c r="C21" s="18" t="inlineStr">
        <is>
          <t>Planned</t>
        </is>
      </c>
      <c r="F21" s="17" t="inlineStr">
        <is>
          <t>Status</t>
        </is>
      </c>
      <c r="G21" s="18" t="inlineStr">
        <is>
          <t>Planned</t>
        </is>
      </c>
    </row>
    <row r="23" ht="22" customHeight="1">
      <c r="B23" s="7" t="inlineStr">
        <is>
          <t xml:space="preserve">  Outdoor Space</t>
        </is>
      </c>
      <c r="F23" s="7" t="inlineStr">
        <is>
          <t xml:space="preserve">  Seasonal Decor</t>
        </is>
      </c>
    </row>
    <row r="24" ht="22" customHeight="1">
      <c r="B24" s="59" t="inlineStr">
        <is>
          <t>📷
Paste photo here
(Insert ▸ Picture)</t>
        </is>
      </c>
      <c r="F24" s="59" t="inlineStr">
        <is>
          <t>📷
Paste photo here
(Insert ▸ Picture)</t>
        </is>
      </c>
    </row>
    <row r="25" ht="22" customHeight="1"/>
    <row r="26" ht="22" customHeight="1"/>
    <row r="27" ht="22" customHeight="1"/>
    <row r="28">
      <c r="B28" s="17" t="inlineStr">
        <is>
          <t>Improvement</t>
        </is>
      </c>
      <c r="C28" s="18" t="inlineStr">
        <is>
          <t>String lights + fire pit</t>
        </is>
      </c>
      <c r="F28" s="17" t="inlineStr">
        <is>
          <t>Improvement</t>
        </is>
      </c>
      <c r="G28" s="18" t="inlineStr">
        <is>
          <t>Fall wreath &amp; throws</t>
        </is>
      </c>
    </row>
    <row r="29">
      <c r="B29" s="17" t="inlineStr">
        <is>
          <t>Est. Budget</t>
        </is>
      </c>
      <c r="C29" s="33" t="n">
        <v>480</v>
      </c>
      <c r="D29" s="18" t="inlineStr">
        <is>
          <t>Low</t>
        </is>
      </c>
      <c r="F29" s="17" t="inlineStr">
        <is>
          <t>Est. Budget</t>
        </is>
      </c>
      <c r="G29" s="33" t="n">
        <v>140</v>
      </c>
      <c r="H29" s="18" t="inlineStr">
        <is>
          <t>Low</t>
        </is>
      </c>
    </row>
    <row r="30">
      <c r="B30" s="17" t="inlineStr">
        <is>
          <t>Status</t>
        </is>
      </c>
      <c r="C30" s="18" t="inlineStr">
        <is>
          <t>Planned</t>
        </is>
      </c>
      <c r="F30" s="17" t="inlineStr">
        <is>
          <t>Status</t>
        </is>
      </c>
      <c r="G30" s="18" t="inlineStr">
        <is>
          <t>Planned</t>
        </is>
      </c>
    </row>
  </sheetData>
  <mergeCells count="26">
    <mergeCell ref="B15:D18"/>
    <mergeCell ref="G21:H21"/>
    <mergeCell ref="B6:D9"/>
    <mergeCell ref="G12:H12"/>
    <mergeCell ref="B14:D14"/>
    <mergeCell ref="F5:H5"/>
    <mergeCell ref="B24:D27"/>
    <mergeCell ref="C30:D30"/>
    <mergeCell ref="B23:D23"/>
    <mergeCell ref="F23:H23"/>
    <mergeCell ref="A2:I2"/>
    <mergeCell ref="C10:D10"/>
    <mergeCell ref="G10:H10"/>
    <mergeCell ref="G19:H19"/>
    <mergeCell ref="G28:H28"/>
    <mergeCell ref="F6:H9"/>
    <mergeCell ref="C12:D12"/>
    <mergeCell ref="F15:H18"/>
    <mergeCell ref="B5:D5"/>
    <mergeCell ref="C21:D21"/>
    <mergeCell ref="F14:H14"/>
    <mergeCell ref="F24:H27"/>
    <mergeCell ref="G30:H30"/>
    <mergeCell ref="C19:D19"/>
    <mergeCell ref="A1:I1"/>
    <mergeCell ref="C28:D2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5E6C1"/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8" customWidth="1" min="4" max="4"/>
    <col width="3" customWidth="1" min="5" max="5"/>
    <col width="16" customWidth="1" min="6" max="6"/>
    <col width="12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📈  ANALYTICS DASHBOARD</t>
        </is>
      </c>
    </row>
    <row r="2" ht="22" customHeight="1">
      <c r="A2" s="2" t="inlineStr">
        <is>
          <t xml:space="preserve">  Your business by the numbers — health across every area, and a single Business Health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B5" s="6" t="inlineStr">
        <is>
          <t>BUSINESS HEALTH DIMENSIONS</t>
        </is>
      </c>
      <c r="F5" s="4" t="inlineStr">
        <is>
          <t>BUSINESS HEALTH SCORE</t>
        </is>
      </c>
    </row>
    <row r="6" ht="30" customHeight="1">
      <c r="B6" s="7" t="inlineStr">
        <is>
          <t>Dimension</t>
        </is>
      </c>
      <c r="C6" s="7" t="inlineStr">
        <is>
          <t>Score</t>
        </is>
      </c>
      <c r="D6" s="7" t="inlineStr">
        <is>
          <t>Status</t>
        </is>
      </c>
      <c r="F6" s="60">
        <f>IFERROR(AVERAGE(C7:C12),0)</f>
        <v/>
      </c>
      <c r="G6" s="61" t="n"/>
      <c r="H6" s="61" t="n"/>
    </row>
    <row r="7">
      <c r="B7" s="23" t="inlineStr">
        <is>
          <t>Occupancy vs target</t>
        </is>
      </c>
      <c r="C7" s="35">
        <f>IFERROR(MIN((SUM(CalNights)/(COUNTA(PropName)*30))/OccTarget,1),0)</f>
        <v/>
      </c>
      <c r="D7" s="24">
        <f>IF(C7&gt;=0.75,"Healthy",IF(C7&gt;=0.5,"Watch","Act Now"))</f>
        <v/>
      </c>
      <c r="F7" s="62" t="n"/>
      <c r="G7" s="62" t="n"/>
      <c r="H7" s="62" t="n"/>
    </row>
    <row r="8">
      <c r="B8" s="25" t="inlineStr">
        <is>
          <t>Profit margin vs target</t>
        </is>
      </c>
      <c r="C8" s="47">
        <f>IFERROR(MIN(FinMargin/MarginTarget,1),0)</f>
        <v/>
      </c>
      <c r="D8" s="26">
        <f>IF(C8&gt;=0.75,"Healthy",IF(C8&gt;=0.5,"Watch","Act Now"))</f>
        <v/>
      </c>
      <c r="F8" s="62" t="n"/>
      <c r="G8" s="62" t="n"/>
      <c r="H8" s="62" t="n"/>
    </row>
    <row r="9">
      <c r="B9" s="23" t="inlineStr">
        <is>
          <t>Guest satisfaction</t>
        </is>
      </c>
      <c r="C9" s="35">
        <f>IFERROR(AVERAGE(RevOverall)/5,0)</f>
        <v/>
      </c>
      <c r="D9" s="24">
        <f>IF(C9&gt;=0.75,"Healthy",IF(C9&gt;=0.5,"Watch","Act Now"))</f>
        <v/>
      </c>
      <c r="F9" s="62" t="n"/>
      <c r="G9" s="62" t="n"/>
      <c r="H9" s="62" t="n"/>
    </row>
    <row r="10">
      <c r="B10" s="25" t="inlineStr">
        <is>
          <t>Maintenance handled</t>
        </is>
      </c>
      <c r="C10" s="47">
        <f>IFERROR(1-(COUNTIF(MaintStatus,"Open")+COUNTIF(MaintStatus,"In Progress"))/MAX(COUNTA(MaintTask),1),0)</f>
        <v/>
      </c>
      <c r="D10" s="26">
        <f>IF(C10&gt;=0.75,"Healthy",IF(C10&gt;=0.5,"Watch","Act Now"))</f>
        <v/>
      </c>
      <c r="F10" s="63" t="inlineStr">
        <is>
          <t>Occupancy · margin · guests · maintenance · inventory · goals.</t>
        </is>
      </c>
    </row>
    <row r="11">
      <c r="B11" s="23" t="inlineStr">
        <is>
          <t>Inventory stocked</t>
        </is>
      </c>
      <c r="C11" s="35">
        <f>IFERROR(1-SUMPRODUCT((InvQty&lt;=InvReorder)*(InvItem&lt;&gt;""))/MAX(COUNTA(InvItem),1),0)</f>
        <v/>
      </c>
      <c r="D11" s="24">
        <f>IF(C11&gt;=0.75,"Healthy",IF(C11&gt;=0.5,"Watch","Act Now"))</f>
        <v/>
      </c>
    </row>
    <row r="12">
      <c r="B12" s="25" t="inlineStr">
        <is>
          <t>Goal progress</t>
        </is>
      </c>
      <c r="C12" s="47">
        <f>IFERROR(AVERAGE(GoalProgress),0)</f>
        <v/>
      </c>
      <c r="D12" s="26">
        <f>IF(C12&gt;=0.75,"Healthy",IF(C12&gt;=0.5,"Watch","Act Now"))</f>
        <v/>
      </c>
    </row>
  </sheetData>
  <mergeCells count="6">
    <mergeCell ref="F10:H10"/>
    <mergeCell ref="B5:D5"/>
    <mergeCell ref="F5:H5"/>
    <mergeCell ref="A2:H2"/>
    <mergeCell ref="A1:H1"/>
    <mergeCell ref="F6:H9"/>
  </mergeCells>
  <conditionalFormatting sqref="C7:C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E5D3BA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3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business details once — every dashboard follows. Edit the lists to fit any portfolio.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6" t="inlineStr">
        <is>
          <t>BUSINESS INPUTS</t>
        </is>
      </c>
      <c r="E5" s="4" t="inlineStr">
        <is>
          <t>DROPDOWN LISTS</t>
        </is>
      </c>
    </row>
    <row r="6">
      <c r="B6" s="17" t="inlineStr">
        <is>
          <t>Business Name</t>
        </is>
      </c>
      <c r="C6" s="55" t="inlineStr">
        <is>
          <t>Summit Stays Co.</t>
        </is>
      </c>
      <c r="E6" s="7" t="inlineStr">
        <is>
          <t>Property</t>
        </is>
      </c>
      <c r="F6" s="7" t="inlineStr">
        <is>
          <t>Property Type</t>
        </is>
      </c>
      <c r="G6" s="7" t="inlineStr">
        <is>
          <t>Platform</t>
        </is>
      </c>
      <c r="H6" s="7" t="inlineStr">
        <is>
          <t>Expense Category</t>
        </is>
      </c>
      <c r="I6" s="7" t="inlineStr">
        <is>
          <t>Maintenance</t>
        </is>
      </c>
      <c r="J6" s="7" t="inlineStr">
        <is>
          <t>Supplier</t>
        </is>
      </c>
      <c r="K6" s="7" t="inlineStr">
        <is>
          <t>Goal Category</t>
        </is>
      </c>
      <c r="L6" s="7" t="inlineStr">
        <is>
          <t>Currency</t>
        </is>
      </c>
    </row>
    <row r="7">
      <c r="B7" s="17" t="inlineStr">
        <is>
          <t>Primary Property</t>
        </is>
      </c>
      <c r="C7" s="55" t="inlineStr">
        <is>
          <t>The Pine Cabin</t>
        </is>
      </c>
      <c r="E7" s="23" t="inlineStr">
        <is>
          <t>The Pine Cabin</t>
        </is>
      </c>
      <c r="F7" s="23" t="inlineStr">
        <is>
          <t>Cabin</t>
        </is>
      </c>
      <c r="G7" s="23" t="inlineStr">
        <is>
          <t>Airbnb</t>
        </is>
      </c>
      <c r="H7" s="23" t="inlineStr">
        <is>
          <t>Mortgage</t>
        </is>
      </c>
      <c r="I7" s="23" t="inlineStr">
        <is>
          <t>Plumbing</t>
        </is>
      </c>
      <c r="J7" s="23" t="inlineStr">
        <is>
          <t>Cleaner</t>
        </is>
      </c>
      <c r="K7" s="23" t="inlineStr">
        <is>
          <t>Revenue</t>
        </is>
      </c>
      <c r="L7" s="23" t="inlineStr">
        <is>
          <t>USD</t>
        </is>
      </c>
    </row>
    <row r="8">
      <c r="B8" s="17" t="inlineStr">
        <is>
          <t># of Properties</t>
        </is>
      </c>
      <c r="C8" s="41" t="n">
        <v>3</v>
      </c>
      <c r="E8" s="23" t="inlineStr">
        <is>
          <t>Beachside Bungalow</t>
        </is>
      </c>
      <c r="F8" s="23" t="inlineStr">
        <is>
          <t>Beach House</t>
        </is>
      </c>
      <c r="G8" s="23" t="inlineStr">
        <is>
          <t>VRBO</t>
        </is>
      </c>
      <c r="H8" s="23" t="inlineStr">
        <is>
          <t>Utilities</t>
        </is>
      </c>
      <c r="I8" s="23" t="inlineStr">
        <is>
          <t>Electrical</t>
        </is>
      </c>
      <c r="J8" s="23" t="inlineStr">
        <is>
          <t>Handyman</t>
        </is>
      </c>
      <c r="K8" s="23" t="inlineStr">
        <is>
          <t>Occupancy</t>
        </is>
      </c>
      <c r="L8" s="23" t="inlineStr">
        <is>
          <t>EUR</t>
        </is>
      </c>
    </row>
    <row r="9">
      <c r="B9" s="17" t="inlineStr">
        <is>
          <t>Currency</t>
        </is>
      </c>
      <c r="C9" s="55" t="inlineStr">
        <is>
          <t>USD</t>
        </is>
      </c>
      <c r="E9" s="23" t="inlineStr">
        <is>
          <t>Downtown Loft</t>
        </is>
      </c>
      <c r="F9" s="23" t="inlineStr">
        <is>
          <t>Loft</t>
        </is>
      </c>
      <c r="G9" s="23" t="inlineStr">
        <is>
          <t>Booking.com</t>
        </is>
      </c>
      <c r="H9" s="23" t="inlineStr">
        <is>
          <t>Internet</t>
        </is>
      </c>
      <c r="I9" s="23" t="inlineStr">
        <is>
          <t>HVAC</t>
        </is>
      </c>
      <c r="J9" s="23" t="inlineStr">
        <is>
          <t>Electrician</t>
        </is>
      </c>
      <c r="K9" s="23" t="inlineStr">
        <is>
          <t>Reviews</t>
        </is>
      </c>
      <c r="L9" s="23" t="inlineStr">
        <is>
          <t>GBP</t>
        </is>
      </c>
    </row>
    <row r="10">
      <c r="B10" s="17" t="inlineStr">
        <is>
          <t>Occupancy Target</t>
        </is>
      </c>
      <c r="C10" s="40" t="n">
        <v>0.75</v>
      </c>
      <c r="F10" s="23" t="inlineStr">
        <is>
          <t>Apartment</t>
        </is>
      </c>
      <c r="G10" s="23" t="inlineStr">
        <is>
          <t>Direct</t>
        </is>
      </c>
      <c r="H10" s="23" t="inlineStr">
        <is>
          <t>Insurance</t>
        </is>
      </c>
      <c r="I10" s="23" t="inlineStr">
        <is>
          <t>Appliance</t>
        </is>
      </c>
      <c r="J10" s="23" t="inlineStr">
        <is>
          <t>Plumber</t>
        </is>
      </c>
      <c r="K10" s="23" t="inlineStr">
        <is>
          <t>Profit</t>
        </is>
      </c>
      <c r="L10" s="23" t="inlineStr">
        <is>
          <t>CAD</t>
        </is>
      </c>
    </row>
    <row r="11">
      <c r="B11" s="17" t="inlineStr">
        <is>
          <t>Margin Target</t>
        </is>
      </c>
      <c r="C11" s="40" t="n">
        <v>0.4</v>
      </c>
      <c r="F11" s="23" t="inlineStr">
        <is>
          <t>Tiny Home</t>
        </is>
      </c>
      <c r="G11" s="23" t="inlineStr">
        <is>
          <t>Expedia</t>
        </is>
      </c>
      <c r="H11" s="23" t="inlineStr">
        <is>
          <t>Cleaning</t>
        </is>
      </c>
      <c r="I11" s="23" t="inlineStr">
        <is>
          <t>Structural</t>
        </is>
      </c>
      <c r="J11" s="23" t="inlineStr">
        <is>
          <t>Landscaper</t>
        </is>
      </c>
      <c r="K11" s="23" t="inlineStr">
        <is>
          <t>Expansion</t>
        </is>
      </c>
      <c r="L11" s="23" t="inlineStr">
        <is>
          <t>AUD</t>
        </is>
      </c>
    </row>
    <row r="12">
      <c r="B12" s="17" t="inlineStr">
        <is>
          <t>Nightly Rate Target</t>
        </is>
      </c>
      <c r="C12" s="32" t="n">
        <v>175</v>
      </c>
      <c r="F12" s="23" t="inlineStr">
        <is>
          <t>Villa</t>
        </is>
      </c>
      <c r="H12" s="23" t="inlineStr">
        <is>
          <t>Supplies</t>
        </is>
      </c>
      <c r="I12" s="23" t="inlineStr">
        <is>
          <t>Landscaping</t>
        </is>
      </c>
      <c r="J12" s="23" t="inlineStr">
        <is>
          <t>Laundry</t>
        </is>
      </c>
      <c r="K12" s="23" t="inlineStr">
        <is>
          <t>Operations</t>
        </is>
      </c>
    </row>
    <row r="13">
      <c r="B13" s="17" t="inlineStr">
        <is>
          <t>Reporting Month</t>
        </is>
      </c>
      <c r="C13" s="64" t="n">
        <v>46204</v>
      </c>
      <c r="F13" s="23" t="inlineStr">
        <is>
          <t>Cottage</t>
        </is>
      </c>
      <c r="H13" s="23" t="inlineStr">
        <is>
          <t>Repairs</t>
        </is>
      </c>
      <c r="I13" s="23" t="inlineStr">
        <is>
          <t>Safety</t>
        </is>
      </c>
      <c r="J13" s="23" t="inlineStr">
        <is>
          <t>Contractor</t>
        </is>
      </c>
    </row>
    <row r="14">
      <c r="F14" s="23" t="inlineStr">
        <is>
          <t>Condo</t>
        </is>
      </c>
      <c r="H14" s="23" t="inlineStr">
        <is>
          <t>Property Taxes</t>
        </is>
      </c>
      <c r="I14" s="23" t="inlineStr">
        <is>
          <t>Cosmetic</t>
        </is>
      </c>
      <c r="J14" s="23" t="inlineStr">
        <is>
          <t>Other</t>
        </is>
      </c>
    </row>
    <row r="15">
      <c r="H15" s="23" t="inlineStr">
        <is>
          <t>HOA Fees</t>
        </is>
      </c>
    </row>
    <row r="16">
      <c r="H16" s="23" t="inlineStr">
        <is>
          <t>Software</t>
        </is>
      </c>
    </row>
    <row r="17">
      <c r="H17" s="23" t="inlineStr">
        <is>
          <t>Marketing</t>
        </is>
      </c>
    </row>
    <row r="18">
      <c r="E18" s="7" t="inlineStr">
        <is>
          <t>Booking Status</t>
        </is>
      </c>
      <c r="F18" s="7" t="inlineStr">
        <is>
          <t>Cleaning Status</t>
        </is>
      </c>
      <c r="G18" s="7" t="inlineStr">
        <is>
          <t>Payment Status</t>
        </is>
      </c>
      <c r="H18" s="7" t="inlineStr">
        <is>
          <t>Yes / No</t>
        </is>
      </c>
    </row>
    <row r="19">
      <c r="E19" s="23" t="inlineStr">
        <is>
          <t>Confirmed</t>
        </is>
      </c>
      <c r="F19" s="23" t="inlineStr">
        <is>
          <t>Scheduled</t>
        </is>
      </c>
      <c r="G19" s="23" t="inlineStr">
        <is>
          <t>Paid</t>
        </is>
      </c>
      <c r="H19" s="23" t="inlineStr">
        <is>
          <t>Yes</t>
        </is>
      </c>
    </row>
    <row r="20">
      <c r="E20" s="23" t="inlineStr">
        <is>
          <t>In Progress</t>
        </is>
      </c>
      <c r="F20" s="23" t="inlineStr">
        <is>
          <t>In Progress</t>
        </is>
      </c>
      <c r="G20" s="23" t="inlineStr">
        <is>
          <t>Deposit</t>
        </is>
      </c>
      <c r="H20" s="23" t="inlineStr">
        <is>
          <t>No</t>
        </is>
      </c>
    </row>
    <row r="21">
      <c r="E21" s="23" t="inlineStr">
        <is>
          <t>Completed</t>
        </is>
      </c>
      <c r="F21" s="23" t="inlineStr">
        <is>
          <t>Done</t>
        </is>
      </c>
      <c r="G21" s="23" t="inlineStr">
        <is>
          <t>Pending</t>
        </is>
      </c>
    </row>
    <row r="22">
      <c r="E22" s="23" t="inlineStr">
        <is>
          <t>Cancelled</t>
        </is>
      </c>
      <c r="F22" s="23" t="inlineStr">
        <is>
          <t>Skipped</t>
        </is>
      </c>
      <c r="G22" s="23" t="inlineStr">
        <is>
          <t>Refunded</t>
        </is>
      </c>
    </row>
    <row r="23">
      <c r="E23" s="23" t="inlineStr">
        <is>
          <t>Inquiry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2026-07-02T05:36:56Z</dcterms:created>
  <dcterms:modified xsi:type="dcterms:W3CDTF">2026-07-02T05:36:56Z</dcterms:modified>
</cp:coreProperties>
</file>