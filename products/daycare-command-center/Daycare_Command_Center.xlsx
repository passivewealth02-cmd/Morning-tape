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Rate &amp; Enrollment" sheetId="3" state="visible" r:id="rId3"/>
    <sheet name="Children &amp; Families" sheetId="4" state="visible" r:id="rId4"/>
    <sheet name="Tuition &amp; Payments" sheetId="5" state="visible" r:id="rId5"/>
    <sheet name="Attendance" sheetId="6" state="visible" r:id="rId6"/>
    <sheet name="Costs &amp; Expenses" sheetId="7" state="visible" r:id="rId7"/>
    <sheet name="Food Program" sheetId="8" state="visible" r:id="rId8"/>
    <sheet name="Ratios &amp; Schedule" sheetId="9" state="visible" r:id="rId9"/>
    <sheet name="Compliance &amp; Files" sheetId="10" state="visible" r:id="rId10"/>
    <sheet name="Supplies" sheetId="11" state="visible" r:id="rId11"/>
    <sheet name="Tax Set-Aside" sheetId="12" state="visible" r:id="rId12"/>
    <sheet name="Monthly Summary" sheetId="13" state="visible" r:id="rId13"/>
    <sheet name="Settings" sheetId="14" state="visible" r:id="rId14"/>
  </sheets>
  <definedNames>
    <definedName name="Program">Settings!$C$6</definedName>
    <definedName name="Provider">Settings!$C$7</definedName>
    <definedName name="Capacity">Settings!$C$8</definedName>
    <definedName name="WeeklyRate">Settings!$C$9</definedName>
    <definedName name="WeeksMonth">Settings!$C$10</definedName>
    <definedName name="OpenHours">Settings!$C$11</definedName>
    <definedName name="Caregivers">Settings!$C$12</definedName>
    <definedName name="TaxRate">Settings!$C$13</definedName>
    <definedName name="OccupancyGoal">Settings!$C$14</definedName>
    <definedName name="MarginGoal">Settings!$C$15</definedName>
    <definedName name="CoverGoal">Settings!$C$16</definedName>
    <definedName name="HourlyGoal">Settings!$C$17</definedName>
    <definedName name="RatioMax">Settings!$C$18</definedName>
    <definedName name="TaxReserveGoal">Settings!$C$19</definedName>
    <definedName name="ScheduleList">Settings!$E$7:$E$11</definedName>
    <definedName name="PayStatusList">Settings!$F$7:$F$11</definedName>
    <definedName name="AgeGroupList">Settings!$G$7:$G$10</definedName>
    <definedName name="ExpCatList">Settings!$H$7:$H$14</definedName>
    <definedName name="YesNoList">Settings!$I$7:$I$8</definedName>
    <definedName name="FixedLines">'Costs &amp; Expenses'!$D$5:$D$12</definedName>
    <definedName name="FixedTotal">'Costs &amp; Expenses'!$D$13</definedName>
    <definedName name="FoodPerChild">'Costs &amp; Expenses'!$D$16</definedName>
    <definedName name="SuppliesPerChild">'Costs &amp; Expenses'!$D$17</definedName>
    <definedName name="CostPerChild">'Costs &amp; Expenses'!$D$18</definedName>
    <definedName name="VariableCosts">'Costs &amp; Expenses'!$D$19</definedName>
    <definedName name="TotalCosts">'Costs &amp; Expenses'!$D$21</definedName>
    <definedName name="TuitionPerChild">'Rate &amp; Enrollment'!$C$8</definedName>
    <definedName name="NetPerChild">'Rate &amp; Enrollment'!$C$10</definedName>
    <definedName name="BreakEven">'Rate &amp; Enrollment'!$C$15</definedName>
    <definedName name="Enrolled">'Rate &amp; Enrollment'!$C$16</definedName>
    <definedName name="CoverRatio">'Rate &amp; Enrollment'!$C$17</definedName>
    <definedName name="Occupancy">'Rate &amp; Enrollment'!$C$18</definedName>
    <definedName name="Waitlist">'Rate &amp; Enrollment'!$C$19</definedName>
    <definedName name="ChildName">'Children &amp; Families'!$B$5:$B$15</definedName>
    <definedName name="ChildRate">'Children &amp; Families'!$E$5:$E$15</definedName>
    <definedName name="ChildMonthly">'Children &amp; Families'!$H$5:$H$15</definedName>
    <definedName name="TuitionBilled">'Children &amp; Families'!$H$16</definedName>
    <definedName name="PayDue">'Tuition &amp; Payments'!$C$5:$C$15</definedName>
    <definedName name="PayPaid">'Tuition &amp; Payments'!$D$5:$D$15</definedName>
    <definedName name="PayStatusCol">'Tuition &amp; Payments'!$E$5:$E$15</definedName>
    <definedName name="PayBalance">'Tuition &amp; Payments'!$F$5:$F$15</definedName>
    <definedName name="TuitionDue">'Tuition &amp; Payments'!$C$16</definedName>
    <definedName name="TuitionCollected">'Tuition &amp; Payments'!$D$16</definedName>
    <definedName name="Outstanding">'Tuition &amp; Payments'!$F$16</definedName>
    <definedName name="AttPresent">'Attendance'!$C$5:$C$15</definedName>
    <definedName name="AttAbsent">'Attendance'!$D$5:$D$15</definedName>
    <definedName name="AttLate">'Attendance'!$E$5:$E$15</definedName>
    <definedName name="ChildDays">'Attendance'!$C$16</definedName>
    <definedName name="LatePickups">'Attendance'!$E$16</definedName>
    <definedName name="MealCount">'Food Program'!$C$5:$C$7</definedName>
    <definedName name="MealReimb">'Food Program'!$E$5:$E$7</definedName>
    <definedName name="CACFP">'Food Program'!$E$8</definedName>
    <definedName name="FoodSpend">'Food Program'!$E$11</definedName>
    <definedName name="FoodCoverage">'Food Program'!$E$13</definedName>
    <definedName name="RatioChildren">'Ratios &amp; Schedule'!$C$5:$C$8</definedName>
    <definedName name="RatioNeeded">'Ratios &amp; Schedule'!$F$5:$F$8</definedName>
    <definedName name="CaregiversNeeded">'Ratios &amp; Schedule'!$F$9</definedName>
    <definedName name="ChildrenPerCaregiver">'Ratios &amp; Schedule'!$F$12</definedName>
    <definedName name="FileStatus">'Compliance &amp; Files'!$G$5:$G$15</definedName>
    <definedName name="FilesComplete">'Compliance &amp; Files'!$G$17</definedName>
    <definedName name="SupValue">'Supplies'!$F$5:$F$44</definedName>
    <definedName name="SupFlag">'Supplies'!$G$5:$G$44</definedName>
    <definedName name="TaxIncome">'Tax Set-Aside'!$C$5:$C$8</definedName>
    <definedName name="TaxSaved">'Tax Set-Aside'!$D$5:$D$8</definedName>
    <definedName name="TaxDue">'Tax Set-Aside'!$E$5:$E$8</definedName>
    <definedName name="TaxReserve">'Tax Set-Aside'!$D$9</definedName>
    <definedName name="LateFees">'Monthly Summary'!$C$7</definedName>
    <definedName name="Revenue">'Monthly Summary'!$C$9</definedName>
    <definedName name="YourPay">'Monthly Summary'!$C$12</definedName>
    <definedName name="Margin">'Monthly Summary'!$C$13</definedName>
    <definedName name="PayPerHour">'Monthly Summary'!$C$14</definedName>
    <definedName name="PayPerHourNet">'Monthly Summary'!$C$15</definedName>
    <definedName name="RunRate">'Monthly Summary'!$C$16</definedName>
    <definedName name="RevTrend">'Monthly Summary'!$C$20:$C$25</definedName>
    <definedName name="HealthRange">'Dashboard'!$C$13:$C$18</definedName>
  </definedNames>
  <calcPr calcId="124519" fullCalcOnLoad="1"/>
</workbook>
</file>

<file path=xl/styles.xml><?xml version="1.0" encoding="utf-8"?>
<styleSheet xmlns="http://schemas.openxmlformats.org/spreadsheetml/2006/main">
  <numFmts count="5">
    <numFmt numFmtId="164" formatCode="&quot;$&quot;#,##0.00"/>
    <numFmt numFmtId="165" formatCode="0.0"/>
    <numFmt numFmtId="166" formatCode="&quot;$&quot;#,##0"/>
    <numFmt numFmtId="167" formatCode="0.00&quot;×&quot;"/>
    <numFmt numFmtId="168" formatCode="0.0%"/>
  </numFmts>
  <fonts count="21">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3"/>
    </font>
    <font>
      <b val="1"/>
      <color rgb="001B4F48"/>
      <sz val="12"/>
    </font>
    <font>
      <b val="1"/>
      <color rgb="001B4F48"/>
      <sz val="14"/>
    </font>
    <font>
      <b val="1"/>
      <color rgb="001B4F48"/>
      <sz val="16"/>
    </font>
    <font>
      <b val="1"/>
      <color rgb="001B4F48"/>
    </font>
    <font>
      <b val="1"/>
      <color rgb="00C94C4C"/>
      <sz val="12"/>
    </font>
    <font>
      <b val="1"/>
      <color rgb="00937356"/>
      <sz val="12"/>
    </font>
    <font>
      <b val="1"/>
      <color rgb="001B4F48"/>
      <sz val="17"/>
    </font>
    <font>
      <b val="1"/>
      <color rgb="001B4F48"/>
      <sz val="15"/>
    </font>
    <font>
      <b val="1"/>
      <color rgb="00937356"/>
      <sz val="9"/>
    </font>
    <font>
      <b val="1"/>
      <color rgb="001B4F48"/>
      <sz val="18"/>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BE6E6"/>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86">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9" fillId="10" borderId="3" applyAlignment="1" pivotButton="0" quotePrefix="0" xfId="0">
      <alignment horizontal="center" vertical="center"/>
    </xf>
    <xf numFmtId="0" fontId="0" fillId="10" borderId="3" pivotButton="0" quotePrefix="0" xfId="0"/>
    <xf numFmtId="164" fontId="20" fillId="10" borderId="2" applyAlignment="1" pivotButton="0" quotePrefix="0" xfId="0">
      <alignment horizontal="center" vertical="center"/>
    </xf>
    <xf numFmtId="0" fontId="0" fillId="10" borderId="2" pivotButton="0" quotePrefix="0" xfId="0"/>
    <xf numFmtId="166" fontId="20" fillId="10" borderId="2" applyAlignment="1" pivotButton="0" quotePrefix="0" xfId="0">
      <alignment horizontal="center" vertical="center"/>
    </xf>
    <xf numFmtId="3" fontId="20" fillId="10" borderId="2" applyAlignment="1" pivotButton="0" quotePrefix="0" xfId="0">
      <alignment horizontal="center" vertical="center"/>
    </xf>
    <xf numFmtId="168" fontId="20" fillId="10" borderId="2" applyAlignment="1" pivotButton="0" quotePrefix="0" xfId="0">
      <alignment horizontal="center" vertical="center"/>
    </xf>
    <xf numFmtId="9" fontId="20"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4" fontId="7" fillId="0" borderId="2" applyAlignment="1" pivotButton="0" quotePrefix="0" xfId="10">
      <alignment horizontal="left" vertical="center" indent="1"/>
    </xf>
    <xf numFmtId="2" fontId="7" fillId="0" borderId="2" applyAlignment="1" pivotButton="0" quotePrefix="0" xfId="10">
      <alignment horizontal="left" vertical="center" indent="1"/>
    </xf>
    <xf numFmtId="164" fontId="10" fillId="3" borderId="2" applyAlignment="1" pivotButton="0" quotePrefix="0" xfId="6">
      <alignment horizontal="center" vertical="center" wrapText="1"/>
    </xf>
    <xf numFmtId="164" fontId="7" fillId="7" borderId="2" applyAlignment="1" pivotButton="0" quotePrefix="0" xfId="10">
      <alignment horizontal="left" vertical="center" indent="1"/>
    </xf>
    <xf numFmtId="164" fontId="13" fillId="6" borderId="2" applyAlignment="1" pivotButton="0" quotePrefix="0" xfId="6">
      <alignment horizontal="center" vertical="center" wrapText="1"/>
    </xf>
    <xf numFmtId="166" fontId="7" fillId="0" borderId="2" applyAlignment="1" pivotButton="0" quotePrefix="0" xfId="10">
      <alignment horizontal="left" vertical="center" indent="1"/>
    </xf>
    <xf numFmtId="1" fontId="13" fillId="3" borderId="2" applyAlignment="1" pivotButton="0" quotePrefix="0" xfId="6">
      <alignment horizontal="center" vertical="center" wrapText="1"/>
    </xf>
    <xf numFmtId="1" fontId="7" fillId="3" borderId="2" applyAlignment="1" pivotButton="0" quotePrefix="0" xfId="8">
      <alignment horizontal="center" vertical="center"/>
    </xf>
    <xf numFmtId="167" fontId="10" fillId="6" borderId="2" applyAlignment="1" pivotButton="0" quotePrefix="0" xfId="6">
      <alignment horizontal="center" vertical="center" wrapText="1"/>
    </xf>
    <xf numFmtId="168" fontId="10" fillId="6" borderId="2" applyAlignment="1" pivotButton="0" quotePrefix="0" xfId="6">
      <alignment horizontal="center" vertical="center" wrapText="1"/>
    </xf>
    <xf numFmtId="1" fontId="7" fillId="0" borderId="2" applyAlignment="1" pivotButton="0" quotePrefix="0" xfId="10">
      <alignment horizontal="left" vertical="center" indent="1"/>
    </xf>
    <xf numFmtId="166" fontId="7" fillId="9" borderId="2" applyAlignment="1" pivotButton="0" quotePrefix="0" xfId="10">
      <alignment horizontal="left" vertical="center" indent="1"/>
    </xf>
    <xf numFmtId="164" fontId="7" fillId="3" borderId="2" applyAlignment="1" pivotButton="0" quotePrefix="0" xfId="8">
      <alignment horizontal="center" vertical="center"/>
    </xf>
    <xf numFmtId="164" fontId="6" fillId="0" borderId="2" applyAlignment="1" pivotButton="0" quotePrefix="0" xfId="6">
      <alignment horizontal="center" vertical="center" wrapText="1"/>
    </xf>
    <xf numFmtId="164" fontId="7" fillId="8" borderId="2" applyAlignment="1" pivotButton="0" quotePrefix="0" xfId="8">
      <alignment horizontal="center" vertical="center"/>
    </xf>
    <xf numFmtId="164" fontId="6" fillId="8" borderId="2" applyAlignment="1" pivotButton="0" quotePrefix="0" xfId="6">
      <alignment horizontal="center" vertical="center" wrapText="1"/>
    </xf>
    <xf numFmtId="0" fontId="6" fillId="3" borderId="2" applyAlignment="1" pivotButton="0" quotePrefix="0" xfId="6">
      <alignment horizontal="center" vertical="center" wrapText="1"/>
    </xf>
    <xf numFmtId="1" fontId="14" fillId="3" borderId="2" applyAlignment="1" pivotButton="0" quotePrefix="0" xfId="6">
      <alignment horizontal="center" vertical="center" wrapText="1"/>
    </xf>
    <xf numFmtId="166" fontId="11" fillId="6" borderId="2" applyAlignment="1" pivotButton="0" quotePrefix="0" xfId="6">
      <alignment horizontal="center" vertical="center" wrapText="1"/>
    </xf>
    <xf numFmtId="166" fontId="14" fillId="3" borderId="2" applyAlignment="1" pivotButton="0" quotePrefix="0" xfId="6">
      <alignment horizontal="center" vertical="center" wrapText="1"/>
    </xf>
    <xf numFmtId="166" fontId="15" fillId="9" borderId="2" applyAlignment="1" pivotButton="0" quotePrefix="0" xfId="6">
      <alignment horizontal="center" vertical="center" wrapText="1"/>
    </xf>
    <xf numFmtId="168" fontId="7" fillId="6" borderId="2" applyAlignment="1" pivotButton="0" quotePrefix="0" xfId="10">
      <alignment horizontal="left" vertical="center" indent="1"/>
    </xf>
    <xf numFmtId="1" fontId="7" fillId="8" borderId="2" applyAlignment="1" pivotButton="0" quotePrefix="0" xfId="8">
      <alignment horizontal="center" vertical="center"/>
    </xf>
    <xf numFmtId="3" fontId="14" fillId="3" borderId="2" applyAlignment="1" pivotButton="0" quotePrefix="0" xfId="6">
      <alignment horizontal="center" vertical="center" wrapText="1"/>
    </xf>
    <xf numFmtId="3" fontId="16" fillId="7" borderId="2" applyAlignment="1" pivotButton="0" quotePrefix="0" xfId="6">
      <alignment horizontal="center" vertical="center" wrapText="1"/>
    </xf>
    <xf numFmtId="166" fontId="7" fillId="6" borderId="2" applyAlignment="1" pivotButton="0" quotePrefix="0" xfId="10">
      <alignment horizontal="left" vertical="center" indent="1"/>
    </xf>
    <xf numFmtId="166" fontId="7" fillId="3" borderId="2" applyAlignment="1" pivotButton="0" quotePrefix="0" xfId="8">
      <alignment horizontal="center" vertical="center"/>
    </xf>
    <xf numFmtId="166" fontId="6" fillId="0" borderId="2" applyAlignment="1" pivotButton="0" quotePrefix="0" xfId="6">
      <alignment horizontal="center" vertical="center" wrapText="1"/>
    </xf>
    <xf numFmtId="166" fontId="7" fillId="8" borderId="2" applyAlignment="1" pivotButton="0" quotePrefix="0" xfId="8">
      <alignment horizontal="center" vertical="center"/>
    </xf>
    <xf numFmtId="166" fontId="6" fillId="8" borderId="2" applyAlignment="1" pivotButton="0" quotePrefix="0" xfId="6">
      <alignment horizontal="center" vertical="center" wrapText="1"/>
    </xf>
    <xf numFmtId="166" fontId="10" fillId="3" borderId="2" applyAlignment="1" pivotButton="0" quotePrefix="0" xfId="6">
      <alignment horizontal="center" vertical="center" wrapText="1"/>
    </xf>
    <xf numFmtId="164" fontId="11" fillId="6" borderId="2" applyAlignment="1" pivotButton="0" quotePrefix="0" xfId="6">
      <alignment horizontal="center" vertical="center" wrapText="1"/>
    </xf>
    <xf numFmtId="166" fontId="12" fillId="3" borderId="2" applyAlignment="1" pivotButton="0" quotePrefix="0" xfId="6">
      <alignment horizontal="center" vertical="center" wrapText="1"/>
    </xf>
    <xf numFmtId="3" fontId="7" fillId="3" borderId="2" applyAlignment="1" pivotButton="0" quotePrefix="0" xfId="8">
      <alignment horizontal="center" vertical="center"/>
    </xf>
    <xf numFmtId="3" fontId="7" fillId="8" borderId="2" applyAlignment="1" pivotButton="0" quotePrefix="0" xfId="8">
      <alignment horizontal="center" vertical="center"/>
    </xf>
    <xf numFmtId="164" fontId="12" fillId="6" borderId="2" applyAlignment="1" pivotButton="0" quotePrefix="0" xfId="6">
      <alignment horizontal="center" vertical="center" wrapText="1"/>
    </xf>
    <xf numFmtId="9" fontId="12" fillId="6" borderId="2" applyAlignment="1" pivotButton="0" quotePrefix="0" xfId="6">
      <alignment horizontal="center" vertical="center" wrapText="1"/>
    </xf>
    <xf numFmtId="1" fontId="6" fillId="0" borderId="2" applyAlignment="1" pivotButton="0" quotePrefix="0" xfId="6">
      <alignment horizontal="center" vertical="center" wrapText="1"/>
    </xf>
    <xf numFmtId="1" fontId="6" fillId="8" borderId="2" applyAlignment="1" pivotButton="0" quotePrefix="0" xfId="6">
      <alignment horizontal="center" vertical="center" wrapText="1"/>
    </xf>
    <xf numFmtId="1" fontId="11" fillId="6" borderId="2" applyAlignment="1" pivotButton="0" quotePrefix="0" xfId="6">
      <alignment horizontal="center" vertical="center" wrapText="1"/>
    </xf>
    <xf numFmtId="165" fontId="12" fillId="6" borderId="2" applyAlignment="1" pivotButton="0" quotePrefix="0" xfId="6">
      <alignment horizontal="center" vertical="center" wrapText="1"/>
    </xf>
    <xf numFmtId="0" fontId="11" fillId="6" borderId="2" applyAlignment="1" pivotButton="0" quotePrefix="0" xfId="6">
      <alignment horizontal="center" vertical="center" wrapText="1"/>
    </xf>
    <xf numFmtId="0" fontId="7" fillId="3" borderId="2" applyAlignment="1" pivotButton="0" quotePrefix="0" xfId="8">
      <alignment horizontal="center" vertical="center"/>
    </xf>
    <xf numFmtId="0" fontId="7" fillId="8" borderId="2" applyAlignment="1" pivotButton="0" quotePrefix="0" xfId="8">
      <alignment horizontal="center" vertical="center"/>
    </xf>
    <xf numFmtId="1" fontId="7" fillId="6" borderId="2" applyAlignment="1" pivotButton="0" quotePrefix="0" xfId="10">
      <alignment horizontal="left" vertical="center" indent="1"/>
    </xf>
    <xf numFmtId="1" fontId="7" fillId="9" borderId="2" applyAlignment="1" pivotButton="0" quotePrefix="0" xfId="10">
      <alignment horizontal="left" vertical="center" indent="1"/>
    </xf>
    <xf numFmtId="0" fontId="6" fillId="10" borderId="2" applyAlignment="1" pivotButton="0" quotePrefix="0" xfId="7">
      <alignment horizontal="left" vertical="center" wrapText="1" indent="1"/>
    </xf>
    <xf numFmtId="3" fontId="6" fillId="10" borderId="2" applyAlignment="1" pivotButton="0" quotePrefix="0" xfId="6">
      <alignment horizontal="center" vertical="center" wrapText="1"/>
    </xf>
    <xf numFmtId="164" fontId="6" fillId="10" borderId="2" applyAlignment="1" pivotButton="0" quotePrefix="0" xfId="6">
      <alignment horizontal="center" vertical="center" wrapText="1"/>
    </xf>
    <xf numFmtId="0" fontId="6" fillId="10" borderId="2" applyAlignment="1" pivotButton="0" quotePrefix="0" xfId="6">
      <alignment horizontal="center" vertical="center" wrapText="1"/>
    </xf>
    <xf numFmtId="3" fontId="6" fillId="8" borderId="2" applyAlignment="1" pivotButton="0" quotePrefix="0" xfId="6">
      <alignment horizontal="center" vertical="center" wrapText="1"/>
    </xf>
    <xf numFmtId="166" fontId="7" fillId="7" borderId="2" applyAlignment="1" pivotButton="0" quotePrefix="0" xfId="10">
      <alignment horizontal="left" vertical="center" indent="1"/>
    </xf>
    <xf numFmtId="9" fontId="7" fillId="7" borderId="2" applyAlignment="1" pivotButton="0" quotePrefix="0" xfId="10">
      <alignment horizontal="left" vertical="center" indent="1"/>
    </xf>
    <xf numFmtId="166" fontId="17" fillId="6" borderId="2" applyAlignment="1" pivotButton="0" quotePrefix="0" xfId="6">
      <alignment horizontal="center" vertical="center" wrapText="1"/>
    </xf>
    <xf numFmtId="164" fontId="18" fillId="6" borderId="2" applyAlignment="1" pivotButton="0" quotePrefix="0" xfId="6">
      <alignment horizontal="center" vertical="center" wrapText="1"/>
    </xf>
    <xf numFmtId="164" fontId="10" fillId="7" borderId="2" applyAlignment="1" pivotButton="0" quotePrefix="0" xfId="6">
      <alignment horizontal="center" vertical="center" wrapText="1"/>
    </xf>
    <xf numFmtId="2" fontId="7" fillId="3" borderId="2" applyAlignment="1" pivotButton="0" quotePrefix="0" xfId="8">
      <alignment horizontal="center" vertical="center"/>
    </xf>
    <xf numFmtId="9" fontId="7" fillId="3" borderId="2" applyAlignment="1" pivotButton="0" quotePrefix="0" xfId="8">
      <alignment horizontal="center" vertical="center"/>
    </xf>
    <xf numFmtId="165"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2">
    <dxf>
      <font>
        <b val="1"/>
        <color rgb="00C94C4C"/>
      </font>
      <fill>
        <patternFill patternType="solid">
          <fgColor rgb="00FBE6E6"/>
        </patternFill>
      </fill>
    </dxf>
    <dxf>
      <font>
        <b val="1"/>
        <color rgb="00937356"/>
      </font>
      <fill>
        <patternFill patternType="solid">
          <fgColor rgb="00FBF0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Summary'!$B$20:$B$25</f>
            </numRef>
          </cat>
          <val>
            <numRef>
              <f>'Monthly Summary'!$C$20:$C$25</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Summary'!$B$20:$B$25</f>
            </numRef>
          </cat>
          <val>
            <numRef>
              <f>'Monthly Summary'!$C$20:$C$25</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DAYCARE &amp; CHILDCARE PROVIDER COMMAND CENTER™</t>
        </is>
      </c>
    </row>
    <row r="2" ht="24" customHeight="1">
      <c r="A2" s="2" t="inlineStr">
        <is>
          <t xml:space="preserve">  You're not babysitting. You're running a business.</t>
        </is>
      </c>
    </row>
    <row r="3" ht="6" customHeight="1">
      <c r="A3" s="3" t="n"/>
      <c r="B3" s="3" t="n"/>
      <c r="C3" s="3" t="n"/>
    </row>
    <row r="5">
      <c r="B5" s="4" t="inlineStr">
        <is>
          <t>YOUR WHOLE PROGRAM, IN ONE PLACE</t>
        </is>
      </c>
    </row>
    <row r="6" ht="22" customHeight="1">
      <c r="B6" s="5" t="inlineStr">
        <is>
          <t>Home childcare providers are some of the hardest-working business owners there are, and almost none of them know their real numbers. What does one child actually net you after food and supplies? How many children does it take just to cover the house, the insurance and your assistant? What are you earning per hour you're actually open — and what's left after tax? This workbook answers all of it, then runs enrollment, tuition and who's behind, attendance, the food program, ratios, compliance files and a tax set-aside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capacity, your weekly rate and your goals.</t>
        </is>
      </c>
    </row>
    <row r="13" ht="22" customHeight="1">
      <c r="B13" s="8" t="inlineStr">
        <is>
          <t>2.  Costs &amp; Expenses: list what the program costs every month.</t>
        </is>
      </c>
    </row>
    <row r="14" ht="22" customHeight="1">
      <c r="B14" s="8" t="inlineStr">
        <is>
          <t>3.  Rate &amp; Enrollment: read your net per child and break-even.</t>
        </is>
      </c>
    </row>
    <row r="15" ht="22" customHeight="1">
      <c r="B15" s="8" t="inlineStr">
        <is>
          <t>4.  Add your children, their schedules and their rates.</t>
        </is>
      </c>
    </row>
    <row r="16" ht="22" customHeight="1">
      <c r="B16" s="8" t="inlineStr">
        <is>
          <t>5.  Track tuition, attendance, the food program and files.</t>
        </is>
      </c>
    </row>
    <row r="17" ht="22" customHeight="1">
      <c r="B17" s="8" t="inlineStr">
        <is>
          <t>6.  Check the Dashboard: your pay, per hour, and a Care Score.</t>
        </is>
      </c>
    </row>
    <row r="20" ht="26" customHeight="1">
      <c r="B20" s="9" t="inlineStr">
        <is>
          <t xml:space="preserve">  GOOD TO KNOW</t>
        </is>
      </c>
    </row>
    <row r="21" ht="22" customHeight="1">
      <c r="B21" s="10" t="inlineStr">
        <is>
          <t>Sample data for a fictional program (Little Acorns Home Childcare, provider Dana) is included so you can see how it all connects — just type over it with your own children and rates. Two things this workbook insists on: your PAY is what's left after every cost, not the tuition that came in; and a quarter of it is not yours — it belongs to the tax you haven't paid yet. Ratios, group sizes, licensing rules and CACFP reimbursement tiers vary by state, so enter your own in Settings. Twelve matching printable pages (enrollment form, daily sheet, attendance, meal count &amp; more) are included. This is a business &amp; organizing tool, not financial, tax, legal or licensing advice.</t>
        </is>
      </c>
    </row>
    <row r="22" ht="22" customHeight="1">
      <c r="B22" s="11" t="n"/>
    </row>
    <row r="23" ht="22" customHeight="1">
      <c r="B23" s="11" t="n"/>
    </row>
    <row r="25">
      <c r="B25" s="4" t="inlineStr">
        <is>
          <t>The tuition that came in is not your pay. What's left after everything is your pay.</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DAYCARE &amp; CHILDCARE PROVIDER COMMAND CENTER™</t>
        </is>
      </c>
    </row>
    <row r="2" ht="24" customHeight="1">
      <c r="A2" s="2" t="inlineStr">
        <is>
          <t xml:space="preserve">  What you actually earn, per child and per hour — plus a Care Score, at a glance.</t>
        </is>
      </c>
    </row>
    <row r="3" ht="6" customHeight="1">
      <c r="A3" s="3" t="n"/>
      <c r="B3" s="3" t="n"/>
      <c r="C3" s="3" t="n"/>
      <c r="D3" s="3" t="n"/>
      <c r="E3" s="3" t="n"/>
      <c r="F3" s="3" t="n"/>
      <c r="G3" s="3" t="n"/>
      <c r="H3" s="3" t="n"/>
      <c r="I3" s="3" t="n"/>
      <c r="J3" s="3" t="n"/>
      <c r="K3" s="3" t="n"/>
      <c r="L3" s="3" t="n"/>
      <c r="M3" s="3" t="n"/>
      <c r="N3" s="3" t="n"/>
    </row>
    <row r="5" ht="18" customHeight="1">
      <c r="B5" s="12" t="inlineStr">
        <is>
          <t>WEEKLY RATE</t>
        </is>
      </c>
      <c r="C5" s="13" t="n"/>
      <c r="D5" s="12" t="inlineStr">
        <is>
          <t>TUITION / CHILD</t>
        </is>
      </c>
      <c r="E5" s="13" t="n"/>
      <c r="F5" s="12" t="inlineStr">
        <is>
          <t>COST / CHILD</t>
        </is>
      </c>
      <c r="G5" s="13" t="n"/>
      <c r="H5" s="12" t="inlineStr">
        <is>
          <t>NET PER CHILD</t>
        </is>
      </c>
      <c r="I5" s="13" t="n"/>
      <c r="J5" s="12" t="inlineStr">
        <is>
          <t>ENROLLED</t>
        </is>
      </c>
      <c r="K5" s="13" t="n"/>
      <c r="L5" s="12" t="inlineStr">
        <is>
          <t>OCCUPANCY</t>
        </is>
      </c>
      <c r="M5" s="13" t="n"/>
    </row>
    <row r="6" ht="40" customHeight="1">
      <c r="B6" s="14">
        <f>WeeklyRate</f>
        <v/>
      </c>
      <c r="C6" s="15" t="n"/>
      <c r="D6" s="16">
        <f>TuitionPerChild</f>
        <v/>
      </c>
      <c r="E6" s="15" t="n"/>
      <c r="F6" s="14">
        <f>CostPerChild</f>
        <v/>
      </c>
      <c r="G6" s="15" t="n"/>
      <c r="H6" s="16">
        <f>NetPerChild</f>
        <v/>
      </c>
      <c r="I6" s="15" t="n"/>
      <c r="J6" s="17">
        <f>Enrolled</f>
        <v/>
      </c>
      <c r="K6" s="15" t="n"/>
      <c r="L6" s="18">
        <f>Occupancy</f>
        <v/>
      </c>
      <c r="M6" s="15" t="n"/>
    </row>
    <row r="8" ht="18" customHeight="1">
      <c r="B8" s="12" t="inlineStr">
        <is>
          <t>MONTHLY REVENUE</t>
        </is>
      </c>
      <c r="C8" s="13" t="n"/>
      <c r="D8" s="12" t="inlineStr">
        <is>
          <t>MONTHLY COSTS</t>
        </is>
      </c>
      <c r="E8" s="13" t="n"/>
      <c r="F8" s="12" t="inlineStr">
        <is>
          <t>YOUR PAY</t>
        </is>
      </c>
      <c r="G8" s="13" t="n"/>
      <c r="H8" s="12" t="inlineStr">
        <is>
          <t>BREAK-EVEN CHILDREN</t>
        </is>
      </c>
      <c r="I8" s="13" t="n"/>
      <c r="J8" s="12" t="inlineStr">
        <is>
          <t>YOUR $ / HOUR</t>
        </is>
      </c>
      <c r="K8" s="13" t="n"/>
      <c r="L8" s="12" t="inlineStr">
        <is>
          <t>CARE SCORE</t>
        </is>
      </c>
      <c r="M8" s="13" t="n"/>
    </row>
    <row r="9" ht="40" customHeight="1">
      <c r="B9" s="16">
        <f>Revenue</f>
        <v/>
      </c>
      <c r="C9" s="15" t="n"/>
      <c r="D9" s="16">
        <f>TotalCosts</f>
        <v/>
      </c>
      <c r="E9" s="15" t="n"/>
      <c r="F9" s="16">
        <f>YourPay</f>
        <v/>
      </c>
      <c r="G9" s="15" t="n"/>
      <c r="H9" s="17">
        <f>BreakEven</f>
        <v/>
      </c>
      <c r="I9" s="15" t="n"/>
      <c r="J9" s="14">
        <f>PayPerHour</f>
        <v/>
      </c>
      <c r="K9" s="15" t="n"/>
      <c r="L9" s="19">
        <f>IFERROR(AVERAGE(HealthRange),0)</f>
        <v/>
      </c>
      <c r="M9" s="15" t="n"/>
    </row>
    <row r="11" ht="26" customHeight="1">
      <c r="B11" s="4" t="inlineStr">
        <is>
          <t>PROGRAM HEALTH</t>
        </is>
      </c>
      <c r="H11" s="4" t="inlineStr">
        <is>
          <t>REVENUE BY MONTH</t>
        </is>
      </c>
    </row>
    <row r="12" ht="30" customHeight="1">
      <c r="B12" s="9" t="inlineStr">
        <is>
          <t>Check</t>
        </is>
      </c>
      <c r="C12" s="9" t="inlineStr">
        <is>
          <t>Score</t>
        </is>
      </c>
      <c r="D12" s="9" t="inlineStr">
        <is>
          <t>Status</t>
        </is>
      </c>
    </row>
    <row r="13">
      <c r="B13" s="20" t="inlineStr">
        <is>
          <t>Spots filled</t>
        </is>
      </c>
      <c r="C13" s="21">
        <f>IFERROR(MIN(Occupancy/OccupancyGoal,1),0)</f>
        <v/>
      </c>
      <c r="D13" s="22">
        <f>IF(C13&gt;=0.85,"Strong",IF(C13&gt;=0.6,"OK","Watch"))</f>
        <v/>
      </c>
    </row>
    <row r="14">
      <c r="B14" s="23" t="inlineStr">
        <is>
          <t>Margin healthy</t>
        </is>
      </c>
      <c r="C14" s="24">
        <f>IFERROR(MIN(Margin/MarginGoal,1),0)</f>
        <v/>
      </c>
      <c r="D14" s="25">
        <f>IF(C14&gt;=0.85,"Strong",IF(C14&gt;=0.6,"OK","Watch"))</f>
        <v/>
      </c>
    </row>
    <row r="15">
      <c r="B15" s="20" t="inlineStr">
        <is>
          <t>House more than covered</t>
        </is>
      </c>
      <c r="C15" s="21">
        <f>IFERROR(MIN(CoverRatio/CoverGoal,1),0)</f>
        <v/>
      </c>
      <c r="D15" s="22">
        <f>IF(C15&gt;=0.85,"Strong",IF(C15&gt;=0.6,"OK","Watch"))</f>
        <v/>
      </c>
    </row>
    <row r="16">
      <c r="B16" s="23" t="inlineStr">
        <is>
          <t>Ratios comfortable</t>
        </is>
      </c>
      <c r="C16" s="24">
        <f>IF(ChildrenPerCaregiver&lt;=RatioMax,1,IFERROR(RatioMax/ChildrenPerCaregiver,0))</f>
        <v/>
      </c>
      <c r="D16" s="25">
        <f>IF(C16&gt;=0.85,"Strong",IF(C16&gt;=0.6,"OK","Watch"))</f>
        <v/>
      </c>
    </row>
    <row r="17">
      <c r="B17" s="20" t="inlineStr">
        <is>
          <t>Your hourly on target</t>
        </is>
      </c>
      <c r="C17" s="21">
        <f>IFERROR(MIN(PayPerHour/HourlyGoal,1),0)</f>
        <v/>
      </c>
      <c r="D17" s="22">
        <f>IF(C17&gt;=0.85,"Strong",IF(C17&gt;=0.6,"OK","Watch"))</f>
        <v/>
      </c>
    </row>
    <row r="18">
      <c r="B18" s="23" t="inlineStr">
        <is>
          <t>Tax reserve funded</t>
        </is>
      </c>
      <c r="C18" s="24">
        <f>IFERROR(MIN(TaxReserve/TaxReserveGoal,1),0)</f>
        <v/>
      </c>
      <c r="D18" s="25">
        <f>IF(C18&gt;=0.85,"Strong",IF(C18&gt;=0.6,"OK","Watch"))</f>
        <v/>
      </c>
    </row>
    <row r="21" ht="26" customHeight="1">
      <c r="B21" s="2" t="inlineStr">
        <is>
          <t>Daycare &amp; Childcare Provider Command Center™ — you're not babysitting.</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2" customWidth="1" min="1" max="1"/>
    <col width="46" customWidth="1" min="2" max="2"/>
    <col width="18" customWidth="1" min="3" max="3"/>
    <col width="2" customWidth="1" min="4" max="4"/>
  </cols>
  <sheetData>
    <row r="1" ht="46" customHeight="1">
      <c r="A1" s="1" t="inlineStr">
        <is>
          <t xml:space="preserve">  🧮  RATE &amp; ENROLLMENT — THE ENGINE</t>
        </is>
      </c>
    </row>
    <row r="2" ht="22" customHeight="1">
      <c r="A2" s="2" t="inlineStr">
        <is>
          <t xml:space="preserve">  What one child actually nets you — and how many it takes just to cover the house.</t>
        </is>
      </c>
    </row>
    <row r="3" ht="6" customHeight="1">
      <c r="A3" s="3" t="n"/>
      <c r="B3" s="3" t="n"/>
      <c r="C3" s="3" t="n"/>
    </row>
    <row r="5">
      <c r="B5" s="4" t="inlineStr">
        <is>
          <t>ONE CHILD</t>
        </is>
      </c>
    </row>
    <row r="6">
      <c r="B6" s="26" t="inlineStr">
        <is>
          <t>Full-time weekly rate</t>
        </is>
      </c>
      <c r="C6" s="27">
        <f>WeeklyRate</f>
        <v/>
      </c>
    </row>
    <row r="7">
      <c r="B7" s="26" t="inlineStr">
        <is>
          <t>× weeks per month</t>
        </is>
      </c>
      <c r="C7" s="28">
        <f>WeeksMonth</f>
        <v/>
      </c>
    </row>
    <row r="8">
      <c r="B8" s="9">
        <f> TUITION PER CHILD / MONTH</f>
        <v/>
      </c>
      <c r="C8" s="29">
        <f>WeeklyRate*WeeksMonth</f>
        <v/>
      </c>
    </row>
    <row r="9">
      <c r="B9" s="26" t="inlineStr">
        <is>
          <t>− Food, supplies &amp; activities for that child</t>
        </is>
      </c>
      <c r="C9" s="30">
        <f>CostPerChild</f>
        <v/>
      </c>
    </row>
    <row r="10">
      <c r="B10" s="9">
        <f> NET PER CHILD / MONTH</f>
        <v/>
      </c>
      <c r="C10" s="31">
        <f>TuitionPerChild-CostPerChild</f>
        <v/>
      </c>
    </row>
    <row r="12">
      <c r="B12" s="4" t="inlineStr">
        <is>
          <t>HOW MANY CHILDREN JUST TO COVER THE HOUSE</t>
        </is>
      </c>
    </row>
    <row r="13">
      <c r="B13" s="26" t="inlineStr">
        <is>
          <t>Fixed costs / month</t>
        </is>
      </c>
      <c r="C13" s="32">
        <f>FixedTotal</f>
        <v/>
      </c>
    </row>
    <row r="14">
      <c r="B14" s="26" t="inlineStr">
        <is>
          <t>÷ net per child</t>
        </is>
      </c>
      <c r="C14" s="27">
        <f>NetPerChild</f>
        <v/>
      </c>
    </row>
    <row r="15">
      <c r="B15" s="9">
        <f> BREAK-EVEN CHILDREN</f>
        <v/>
      </c>
      <c r="C15" s="33">
        <f>IFERROR(ROUNDUP(FixedTotal/NetPerChild,0),0)</f>
        <v/>
      </c>
    </row>
    <row r="16">
      <c r="B16" s="26" t="inlineStr">
        <is>
          <t>You have this many enrolled</t>
        </is>
      </c>
      <c r="C16" s="34" t="n">
        <v>11</v>
      </c>
    </row>
    <row r="17">
      <c r="B17" s="9">
        <f> YOU COVER THE HOUSE THIS MANY TIMES OVER</f>
        <v/>
      </c>
      <c r="C17" s="35">
        <f>IFERROR(Enrolled/BreakEven,0)</f>
        <v/>
      </c>
    </row>
    <row r="18">
      <c r="B18" s="9">
        <f> OCCUPANCY (enrolled ÷ licensed capacity)</f>
        <v/>
      </c>
      <c r="C18" s="36">
        <f>IFERROR(Enrolled/Capacity,0)</f>
        <v/>
      </c>
    </row>
    <row r="19">
      <c r="B19" s="26" t="inlineStr">
        <is>
          <t>Children on the waitlist</t>
        </is>
      </c>
      <c r="C19" s="34" t="n">
        <v>3</v>
      </c>
    </row>
    <row r="21">
      <c r="B21" s="4" t="inlineStr">
        <is>
          <t>WHAT ONE EMPTY SPOT COSTS YOU</t>
        </is>
      </c>
    </row>
    <row r="22">
      <c r="B22" s="26" t="inlineStr">
        <is>
          <t>Open spots right now</t>
        </is>
      </c>
      <c r="C22" s="37">
        <f>Capacity-Enrolled</f>
        <v/>
      </c>
    </row>
    <row r="23">
      <c r="B23" s="26" t="inlineStr">
        <is>
          <t>× net per child = lost every month</t>
        </is>
      </c>
      <c r="C23" s="38">
        <f>(Capacity-Enrolled)*NetPerChild</f>
        <v/>
      </c>
    </row>
    <row r="24">
      <c r="B24" s="26" t="inlineStr">
        <is>
          <t>…which is this much a year</t>
        </is>
      </c>
      <c r="C24" s="38">
        <f>(Capacity-Enrolled)*NetPerChild*12</f>
        <v/>
      </c>
    </row>
    <row r="26">
      <c r="B26" s="4" t="inlineStr">
        <is>
          <t>An empty spot is not a light day. It is the most expensive thing in the program.</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15" customWidth="1" min="3" max="3"/>
    <col width="21" customWidth="1" min="4" max="4"/>
    <col width="15" customWidth="1" min="5" max="5"/>
    <col width="16" customWidth="1" min="6" max="6"/>
    <col width="12" customWidth="1" min="7" max="7"/>
    <col width="16" customWidth="1" min="8" max="8"/>
    <col width="2" customWidth="1" min="9" max="9"/>
  </cols>
  <sheetData>
    <row r="1" ht="46" customHeight="1">
      <c r="A1" s="1" t="inlineStr">
        <is>
          <t xml:space="preserve">  🧸  CHILDREN &amp; FAMILIES</t>
        </is>
      </c>
    </row>
    <row r="2" ht="22" customHeight="1">
      <c r="A2" s="2" t="inlineStr">
        <is>
          <t xml:space="preserve">  Everyone in the program — their schedule, their rate and what they're worth a month.</t>
        </is>
      </c>
    </row>
    <row r="3" ht="6" customHeight="1">
      <c r="A3" s="3" t="n"/>
      <c r="B3" s="3" t="n"/>
      <c r="C3" s="3" t="n"/>
      <c r="D3" s="3" t="n"/>
      <c r="E3" s="3" t="n"/>
      <c r="F3" s="3" t="n"/>
      <c r="G3" s="3" t="n"/>
      <c r="H3" s="3" t="n"/>
    </row>
    <row r="4" ht="30" customHeight="1">
      <c r="B4" s="9" t="inlineStr">
        <is>
          <t>Child</t>
        </is>
      </c>
      <c r="C4" s="9" t="inlineStr">
        <is>
          <t>Age group</t>
        </is>
      </c>
      <c r="D4" s="9" t="inlineStr">
        <is>
          <t>Schedule</t>
        </is>
      </c>
      <c r="E4" s="9" t="inlineStr">
        <is>
          <t>Weekly rate</t>
        </is>
      </c>
      <c r="F4" s="9" t="inlineStr">
        <is>
          <t>Family</t>
        </is>
      </c>
      <c r="G4" s="9" t="inlineStr">
        <is>
          <t>Start</t>
        </is>
      </c>
      <c r="H4" s="9" t="inlineStr">
        <is>
          <t>Monthly</t>
        </is>
      </c>
    </row>
    <row r="5">
      <c r="B5" s="20" t="inlineStr">
        <is>
          <t>Mia R.</t>
        </is>
      </c>
      <c r="C5" s="22" t="inlineStr">
        <is>
          <t>Preschool</t>
        </is>
      </c>
      <c r="D5" s="22" t="inlineStr">
        <is>
          <t>Full time</t>
        </is>
      </c>
      <c r="E5" s="39" t="n">
        <v>245</v>
      </c>
      <c r="F5" s="22" t="inlineStr">
        <is>
          <t>Reyes</t>
        </is>
      </c>
      <c r="G5" s="22" t="inlineStr">
        <is>
          <t>01/08</t>
        </is>
      </c>
      <c r="H5" s="40">
        <f>E5*WeeksMonth</f>
        <v/>
      </c>
    </row>
    <row r="6">
      <c r="B6" s="23" t="inlineStr">
        <is>
          <t>Noah R.</t>
        </is>
      </c>
      <c r="C6" s="25" t="inlineStr">
        <is>
          <t>Toddler</t>
        </is>
      </c>
      <c r="D6" s="25" t="inlineStr">
        <is>
          <t>Full time</t>
        </is>
      </c>
      <c r="E6" s="41" t="n">
        <v>245</v>
      </c>
      <c r="F6" s="25" t="inlineStr">
        <is>
          <t>Reyes</t>
        </is>
      </c>
      <c r="G6" s="25" t="inlineStr">
        <is>
          <t>01/08</t>
        </is>
      </c>
      <c r="H6" s="42">
        <f>E6*WeeksMonth</f>
        <v/>
      </c>
    </row>
    <row r="7">
      <c r="B7" s="20" t="inlineStr">
        <is>
          <t>Ava T.</t>
        </is>
      </c>
      <c r="C7" s="22" t="inlineStr">
        <is>
          <t>Preschool</t>
        </is>
      </c>
      <c r="D7" s="22" t="inlineStr">
        <is>
          <t>Full time</t>
        </is>
      </c>
      <c r="E7" s="39" t="n">
        <v>245</v>
      </c>
      <c r="F7" s="22" t="inlineStr">
        <is>
          <t>Tran</t>
        </is>
      </c>
      <c r="G7" s="22" t="inlineStr">
        <is>
          <t>02/12</t>
        </is>
      </c>
      <c r="H7" s="40">
        <f>E7*WeeksMonth</f>
        <v/>
      </c>
    </row>
    <row r="8">
      <c r="B8" s="23" t="inlineStr">
        <is>
          <t>Liam B.</t>
        </is>
      </c>
      <c r="C8" s="25" t="inlineStr">
        <is>
          <t>Toddler</t>
        </is>
      </c>
      <c r="D8" s="25" t="inlineStr">
        <is>
          <t>Full time</t>
        </is>
      </c>
      <c r="E8" s="41" t="n">
        <v>245</v>
      </c>
      <c r="F8" s="25" t="inlineStr">
        <is>
          <t>Brooks</t>
        </is>
      </c>
      <c r="G8" s="25" t="inlineStr">
        <is>
          <t>03/04</t>
        </is>
      </c>
      <c r="H8" s="42">
        <f>E8*WeeksMonth</f>
        <v/>
      </c>
    </row>
    <row r="9">
      <c r="B9" s="20" t="inlineStr">
        <is>
          <t>Zoe K.</t>
        </is>
      </c>
      <c r="C9" s="22" t="inlineStr">
        <is>
          <t>Infant</t>
        </is>
      </c>
      <c r="D9" s="22" t="inlineStr">
        <is>
          <t>Full time</t>
        </is>
      </c>
      <c r="E9" s="39" t="n">
        <v>285</v>
      </c>
      <c r="F9" s="22" t="inlineStr">
        <is>
          <t>Kaur</t>
        </is>
      </c>
      <c r="G9" s="22" t="inlineStr">
        <is>
          <t>03/18</t>
        </is>
      </c>
      <c r="H9" s="40">
        <f>E9*WeeksMonth</f>
        <v/>
      </c>
    </row>
    <row r="10">
      <c r="B10" s="23" t="inlineStr">
        <is>
          <t>Eli M.</t>
        </is>
      </c>
      <c r="C10" s="25" t="inlineStr">
        <is>
          <t>Preschool</t>
        </is>
      </c>
      <c r="D10" s="25" t="inlineStr">
        <is>
          <t>Full time</t>
        </is>
      </c>
      <c r="E10" s="41" t="n">
        <v>245</v>
      </c>
      <c r="F10" s="25" t="inlineStr">
        <is>
          <t>Moreno</t>
        </is>
      </c>
      <c r="G10" s="25" t="inlineStr">
        <is>
          <t>04/01</t>
        </is>
      </c>
      <c r="H10" s="42">
        <f>E10*WeeksMonth</f>
        <v/>
      </c>
    </row>
    <row r="11">
      <c r="B11" s="20" t="inlineStr">
        <is>
          <t>Ruby C.</t>
        </is>
      </c>
      <c r="C11" s="22" t="inlineStr">
        <is>
          <t>Toddler</t>
        </is>
      </c>
      <c r="D11" s="22" t="inlineStr">
        <is>
          <t>Full time</t>
        </is>
      </c>
      <c r="E11" s="39" t="n">
        <v>245</v>
      </c>
      <c r="F11" s="22" t="inlineStr">
        <is>
          <t>Chen</t>
        </is>
      </c>
      <c r="G11" s="22" t="inlineStr">
        <is>
          <t>04/22</t>
        </is>
      </c>
      <c r="H11" s="40">
        <f>E11*WeeksMonth</f>
        <v/>
      </c>
    </row>
    <row r="12">
      <c r="B12" s="23" t="inlineStr">
        <is>
          <t>Isaac D.</t>
        </is>
      </c>
      <c r="C12" s="25" t="inlineStr">
        <is>
          <t>School age</t>
        </is>
      </c>
      <c r="D12" s="25" t="inlineStr">
        <is>
          <t>Before/after school</t>
        </is>
      </c>
      <c r="E12" s="41" t="n">
        <v>145</v>
      </c>
      <c r="F12" s="25" t="inlineStr">
        <is>
          <t>Davis</t>
        </is>
      </c>
      <c r="G12" s="25" t="inlineStr">
        <is>
          <t>05/06</t>
        </is>
      </c>
      <c r="H12" s="42">
        <f>E12*WeeksMonth</f>
        <v/>
      </c>
    </row>
    <row r="13">
      <c r="B13" s="20" t="inlineStr">
        <is>
          <t>Layla P.</t>
        </is>
      </c>
      <c r="C13" s="22" t="inlineStr">
        <is>
          <t>Preschool</t>
        </is>
      </c>
      <c r="D13" s="22" t="inlineStr">
        <is>
          <t>Full time</t>
        </is>
      </c>
      <c r="E13" s="39" t="n">
        <v>245</v>
      </c>
      <c r="F13" s="22" t="inlineStr">
        <is>
          <t>Patel</t>
        </is>
      </c>
      <c r="G13" s="22" t="inlineStr">
        <is>
          <t>05/20</t>
        </is>
      </c>
      <c r="H13" s="40">
        <f>E13*WeeksMonth</f>
        <v/>
      </c>
    </row>
    <row r="14">
      <c r="B14" s="23" t="inlineStr">
        <is>
          <t>Owen H.</t>
        </is>
      </c>
      <c r="C14" s="25" t="inlineStr">
        <is>
          <t>Toddler</t>
        </is>
      </c>
      <c r="D14" s="25" t="inlineStr">
        <is>
          <t>Full time</t>
        </is>
      </c>
      <c r="E14" s="41" t="n">
        <v>245</v>
      </c>
      <c r="F14" s="25" t="inlineStr">
        <is>
          <t>Hayes</t>
        </is>
      </c>
      <c r="G14" s="25" t="inlineStr">
        <is>
          <t>06/10</t>
        </is>
      </c>
      <c r="H14" s="42">
        <f>E14*WeeksMonth</f>
        <v/>
      </c>
    </row>
    <row r="15">
      <c r="B15" s="20" t="inlineStr">
        <is>
          <t>Nora W.</t>
        </is>
      </c>
      <c r="C15" s="22" t="inlineStr">
        <is>
          <t>Preschool</t>
        </is>
      </c>
      <c r="D15" s="22" t="inlineStr">
        <is>
          <t>Part time</t>
        </is>
      </c>
      <c r="E15" s="39" t="n">
        <v>165</v>
      </c>
      <c r="F15" s="22" t="inlineStr">
        <is>
          <t>Walsh</t>
        </is>
      </c>
      <c r="G15" s="22" t="inlineStr">
        <is>
          <t>06/24</t>
        </is>
      </c>
      <c r="H15" s="40">
        <f>E15*WeeksMonth</f>
        <v/>
      </c>
    </row>
    <row r="16">
      <c r="B16" s="9" t="inlineStr">
        <is>
          <t>ENROLLED</t>
        </is>
      </c>
      <c r="C16" s="43" t="n"/>
      <c r="D16" s="43" t="n"/>
      <c r="E16" s="44">
        <f>COUNTA(ChildName)</f>
        <v/>
      </c>
      <c r="F16" s="43" t="n"/>
      <c r="G16" s="43" t="n"/>
      <c r="H16" s="45">
        <f>SUM(ChildMonthly)</f>
        <v/>
      </c>
    </row>
    <row r="18">
      <c r="B18" s="4" t="inlineStr">
        <is>
          <t>Rates vary by age and schedule — infants cost more to staff, so they cost more to enrol.</t>
        </is>
      </c>
    </row>
  </sheetData>
  <mergeCells count="2">
    <mergeCell ref="A2:H2"/>
    <mergeCell ref="A1:H1"/>
  </mergeCells>
  <dataValidations count="2">
    <dataValidation sqref="C5:C15" showDropDown="0" showInputMessage="0" showErrorMessage="0" allowBlank="1" type="list">
      <formula1>=AgeGroupList</formula1>
    </dataValidation>
    <dataValidation sqref="D5:D15" showDropDown="0" showInputMessage="0" showErrorMessage="0" allowBlank="1" type="list">
      <formula1>=ScheduleList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7" customWidth="1" min="3" max="3"/>
    <col width="17" customWidth="1" min="4" max="4"/>
    <col width="20" customWidth="1" min="5" max="5"/>
    <col width="17" customWidth="1" min="6" max="6"/>
    <col width="2" customWidth="1" min="7" max="7"/>
  </cols>
  <sheetData>
    <row r="1" ht="46" customHeight="1">
      <c r="A1" s="1" t="inlineStr">
        <is>
          <t xml:space="preserve">  💳  TUITION &amp; PAYMENTS</t>
        </is>
      </c>
    </row>
    <row r="2" ht="22" customHeight="1">
      <c r="A2" s="2" t="inlineStr">
        <is>
          <t xml:space="preserve">  Who has paid, who is behind, and exactly how much is sitting out there.</t>
        </is>
      </c>
    </row>
    <row r="3" ht="6" customHeight="1">
      <c r="A3" s="3" t="n"/>
      <c r="B3" s="3" t="n"/>
      <c r="C3" s="3" t="n"/>
      <c r="D3" s="3" t="n"/>
      <c r="E3" s="3" t="n"/>
      <c r="F3" s="3" t="n"/>
    </row>
    <row r="4" ht="30" customHeight="1">
      <c r="B4" s="9" t="inlineStr">
        <is>
          <t>Child</t>
        </is>
      </c>
      <c r="C4" s="9" t="inlineStr">
        <is>
          <t>Due</t>
        </is>
      </c>
      <c r="D4" s="9" t="inlineStr">
        <is>
          <t>Paid</t>
        </is>
      </c>
      <c r="E4" s="9" t="inlineStr">
        <is>
          <t>Status</t>
        </is>
      </c>
      <c r="F4" s="9" t="inlineStr">
        <is>
          <t>Balance</t>
        </is>
      </c>
    </row>
    <row r="5">
      <c r="B5" s="20" t="inlineStr">
        <is>
          <t>Mia R.</t>
        </is>
      </c>
      <c r="C5" s="39" t="n">
        <v>1060.85</v>
      </c>
      <c r="D5" s="39" t="n">
        <v>1060.85</v>
      </c>
      <c r="E5" s="22" t="inlineStr">
        <is>
          <t>Paid</t>
        </is>
      </c>
      <c r="F5" s="40">
        <f>C5-D5</f>
        <v/>
      </c>
    </row>
    <row r="6">
      <c r="B6" s="23" t="inlineStr">
        <is>
          <t>Noah R.</t>
        </is>
      </c>
      <c r="C6" s="41" t="n">
        <v>1060.85</v>
      </c>
      <c r="D6" s="41" t="n">
        <v>1060.85</v>
      </c>
      <c r="E6" s="25" t="inlineStr">
        <is>
          <t>Paid</t>
        </is>
      </c>
      <c r="F6" s="42">
        <f>C6-D6</f>
        <v/>
      </c>
    </row>
    <row r="7">
      <c r="B7" s="20" t="inlineStr">
        <is>
          <t>Ava T.</t>
        </is>
      </c>
      <c r="C7" s="39" t="n">
        <v>1060.85</v>
      </c>
      <c r="D7" s="39" t="n">
        <v>1060.85</v>
      </c>
      <c r="E7" s="22" t="inlineStr">
        <is>
          <t>Paid</t>
        </is>
      </c>
      <c r="F7" s="40">
        <f>C7-D7</f>
        <v/>
      </c>
    </row>
    <row r="8">
      <c r="B8" s="23" t="inlineStr">
        <is>
          <t>Liam B.</t>
        </is>
      </c>
      <c r="C8" s="41" t="n">
        <v>1060.85</v>
      </c>
      <c r="D8" s="41" t="n">
        <v>1060.85</v>
      </c>
      <c r="E8" s="25" t="inlineStr">
        <is>
          <t>Paid</t>
        </is>
      </c>
      <c r="F8" s="42">
        <f>C8-D8</f>
        <v/>
      </c>
    </row>
    <row r="9">
      <c r="B9" s="20" t="inlineStr">
        <is>
          <t>Zoe K.</t>
        </is>
      </c>
      <c r="C9" s="39" t="n">
        <v>1234.05</v>
      </c>
      <c r="D9" s="39" t="n">
        <v>1234.05</v>
      </c>
      <c r="E9" s="22" t="inlineStr">
        <is>
          <t>Paid</t>
        </is>
      </c>
      <c r="F9" s="40">
        <f>C9-D9</f>
        <v/>
      </c>
    </row>
    <row r="10">
      <c r="B10" s="23" t="inlineStr">
        <is>
          <t>Eli M.</t>
        </is>
      </c>
      <c r="C10" s="41" t="n">
        <v>1060.85</v>
      </c>
      <c r="D10" s="41" t="n">
        <v>1060.85</v>
      </c>
      <c r="E10" s="25" t="inlineStr">
        <is>
          <t>Paid</t>
        </is>
      </c>
      <c r="F10" s="42">
        <f>C10-D10</f>
        <v/>
      </c>
    </row>
    <row r="11">
      <c r="B11" s="20" t="inlineStr">
        <is>
          <t>Ruby C.</t>
        </is>
      </c>
      <c r="C11" s="39" t="n">
        <v>1060.85</v>
      </c>
      <c r="D11" s="39" t="n">
        <v>700</v>
      </c>
      <c r="E11" s="22" t="inlineStr">
        <is>
          <t>Partial</t>
        </is>
      </c>
      <c r="F11" s="40">
        <f>C11-D11</f>
        <v/>
      </c>
    </row>
    <row r="12">
      <c r="B12" s="23" t="inlineStr">
        <is>
          <t>Isaac D.</t>
        </is>
      </c>
      <c r="C12" s="41" t="n">
        <v>627.85</v>
      </c>
      <c r="D12" s="41" t="n">
        <v>627.85</v>
      </c>
      <c r="E12" s="25" t="inlineStr">
        <is>
          <t>Paid</t>
        </is>
      </c>
      <c r="F12" s="42">
        <f>C12-D12</f>
        <v/>
      </c>
    </row>
    <row r="13">
      <c r="B13" s="20" t="inlineStr">
        <is>
          <t>Layla P.</t>
        </is>
      </c>
      <c r="C13" s="39" t="n">
        <v>1060.85</v>
      </c>
      <c r="D13" s="39" t="n">
        <v>1060.85</v>
      </c>
      <c r="E13" s="22" t="inlineStr">
        <is>
          <t>Paid</t>
        </is>
      </c>
      <c r="F13" s="40">
        <f>C13-D13</f>
        <v/>
      </c>
    </row>
    <row r="14">
      <c r="B14" s="23" t="inlineStr">
        <is>
          <t>Owen H.</t>
        </is>
      </c>
      <c r="C14" s="41" t="n">
        <v>1060.85</v>
      </c>
      <c r="D14" s="41" t="n">
        <v>0</v>
      </c>
      <c r="E14" s="25" t="inlineStr">
        <is>
          <t>Late</t>
        </is>
      </c>
      <c r="F14" s="42">
        <f>C14-D14</f>
        <v/>
      </c>
    </row>
    <row r="15">
      <c r="B15" s="20" t="inlineStr">
        <is>
          <t>Nora W.</t>
        </is>
      </c>
      <c r="C15" s="39" t="n">
        <v>714.45</v>
      </c>
      <c r="D15" s="39" t="n">
        <v>714.45</v>
      </c>
      <c r="E15" s="22" t="inlineStr">
        <is>
          <t>Subsidy pending</t>
        </is>
      </c>
      <c r="F15" s="40">
        <f>C15-D15</f>
        <v/>
      </c>
    </row>
    <row r="16">
      <c r="B16" s="9" t="inlineStr">
        <is>
          <t>ALL FAMILIES</t>
        </is>
      </c>
      <c r="C16" s="46">
        <f>SUM(PayDue)</f>
        <v/>
      </c>
      <c r="D16" s="45">
        <f>SUM(PayPaid)</f>
        <v/>
      </c>
      <c r="E16" s="43" t="n"/>
      <c r="F16" s="47">
        <f>SUM(PayBalance)</f>
        <v/>
      </c>
    </row>
    <row r="18">
      <c r="B18" s="26" t="inlineStr">
        <is>
          <t>Collection rate</t>
        </is>
      </c>
      <c r="D18" s="48">
        <f>IFERROR(TuitionCollected/TuitionDue,0)</f>
        <v/>
      </c>
    </row>
    <row r="19">
      <c r="B19" s="26" t="inlineStr">
        <is>
          <t>Families behind</t>
        </is>
      </c>
      <c r="D19" s="37">
        <f>COUNTIF(PayStatusCol,"Late")+COUNTIF(PayStatusCol,"Partial")</f>
        <v/>
      </c>
    </row>
    <row r="21">
      <c r="B21" s="4" t="inlineStr">
        <is>
          <t>Late fees are in your contract for a reason. Charging them is not unkind — it is the business.</t>
        </is>
      </c>
    </row>
  </sheetData>
  <mergeCells count="2">
    <mergeCell ref="A2:F2"/>
    <mergeCell ref="A1:F1"/>
  </mergeCells>
  <conditionalFormatting sqref="F5:F15">
    <cfRule type="cellIs" priority="1" operator="greaterThan" dxfId="0">
      <formula>0</formula>
    </cfRule>
  </conditionalFormatting>
  <dataValidations count="1">
    <dataValidation sqref="E5:E15" showDropDown="0" showInputMessage="0" showErrorMessage="0" allowBlank="1" type="list">
      <formula1>=PayStatusList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6" customWidth="1" min="3" max="3"/>
    <col width="16" customWidth="1" min="4" max="4"/>
    <col width="17" customWidth="1" min="5" max="5"/>
    <col width="16" customWidth="1" min="6" max="6"/>
    <col width="2" customWidth="1" min="7" max="7"/>
  </cols>
  <sheetData>
    <row r="1" ht="46" customHeight="1">
      <c r="A1" s="1" t="inlineStr">
        <is>
          <t xml:space="preserve">  📅  ATTENDANCE</t>
        </is>
      </c>
    </row>
    <row r="2" ht="22" customHeight="1">
      <c r="A2" s="2" t="inlineStr">
        <is>
          <t xml:space="preserve">  Days present, days absent and late pickups — the record that protects you.</t>
        </is>
      </c>
    </row>
    <row r="3" ht="6" customHeight="1">
      <c r="A3" s="3" t="n"/>
      <c r="B3" s="3" t="n"/>
      <c r="C3" s="3" t="n"/>
      <c r="D3" s="3" t="n"/>
      <c r="E3" s="3" t="n"/>
      <c r="F3" s="3" t="n"/>
    </row>
    <row r="4" ht="30" customHeight="1">
      <c r="B4" s="9" t="inlineStr">
        <is>
          <t>Child</t>
        </is>
      </c>
      <c r="C4" s="9" t="inlineStr">
        <is>
          <t>Days present</t>
        </is>
      </c>
      <c r="D4" s="9" t="inlineStr">
        <is>
          <t>Days absent</t>
        </is>
      </c>
      <c r="E4" s="9" t="inlineStr">
        <is>
          <t>Late pickups</t>
        </is>
      </c>
      <c r="F4" s="9" t="inlineStr">
        <is>
          <t>Attendance %</t>
        </is>
      </c>
    </row>
    <row r="5">
      <c r="B5" s="20" t="inlineStr">
        <is>
          <t>Mia R.</t>
        </is>
      </c>
      <c r="C5" s="34" t="n">
        <v>21</v>
      </c>
      <c r="D5" s="34" t="n">
        <v>0</v>
      </c>
      <c r="E5" s="34" t="n">
        <v>0</v>
      </c>
      <c r="F5" s="21">
        <f>IFERROR(C5/(C5+D5),0)</f>
        <v/>
      </c>
    </row>
    <row r="6">
      <c r="B6" s="23" t="inlineStr">
        <is>
          <t>Noah R.</t>
        </is>
      </c>
      <c r="C6" s="49" t="n">
        <v>20</v>
      </c>
      <c r="D6" s="49" t="n">
        <v>1</v>
      </c>
      <c r="E6" s="49" t="n">
        <v>1</v>
      </c>
      <c r="F6" s="24">
        <f>IFERROR(C6/(C6+D6),0)</f>
        <v/>
      </c>
    </row>
    <row r="7">
      <c r="B7" s="20" t="inlineStr">
        <is>
          <t>Ava T.</t>
        </is>
      </c>
      <c r="C7" s="34" t="n">
        <v>21</v>
      </c>
      <c r="D7" s="34" t="n">
        <v>0</v>
      </c>
      <c r="E7" s="34" t="n">
        <v>0</v>
      </c>
      <c r="F7" s="21">
        <f>IFERROR(C7/(C7+D7),0)</f>
        <v/>
      </c>
    </row>
    <row r="8">
      <c r="B8" s="23" t="inlineStr">
        <is>
          <t>Liam B.</t>
        </is>
      </c>
      <c r="C8" s="49" t="n">
        <v>19</v>
      </c>
      <c r="D8" s="49" t="n">
        <v>2</v>
      </c>
      <c r="E8" s="49" t="n">
        <v>0</v>
      </c>
      <c r="F8" s="24">
        <f>IFERROR(C8/(C8+D8),0)</f>
        <v/>
      </c>
    </row>
    <row r="9">
      <c r="B9" s="20" t="inlineStr">
        <is>
          <t>Zoe K.</t>
        </is>
      </c>
      <c r="C9" s="34" t="n">
        <v>21</v>
      </c>
      <c r="D9" s="34" t="n">
        <v>0</v>
      </c>
      <c r="E9" s="34" t="n">
        <v>2</v>
      </c>
      <c r="F9" s="21">
        <f>IFERROR(C9/(C9+D9),0)</f>
        <v/>
      </c>
    </row>
    <row r="10">
      <c r="B10" s="23" t="inlineStr">
        <is>
          <t>Eli M.</t>
        </is>
      </c>
      <c r="C10" s="49" t="n">
        <v>20</v>
      </c>
      <c r="D10" s="49" t="n">
        <v>1</v>
      </c>
      <c r="E10" s="49" t="n">
        <v>0</v>
      </c>
      <c r="F10" s="24">
        <f>IFERROR(C10/(C10+D10),0)</f>
        <v/>
      </c>
    </row>
    <row r="11">
      <c r="B11" s="20" t="inlineStr">
        <is>
          <t>Ruby C.</t>
        </is>
      </c>
      <c r="C11" s="34" t="n">
        <v>21</v>
      </c>
      <c r="D11" s="34" t="n">
        <v>0</v>
      </c>
      <c r="E11" s="34" t="n">
        <v>1</v>
      </c>
      <c r="F11" s="21">
        <f>IFERROR(C11/(C11+D11),0)</f>
        <v/>
      </c>
    </row>
    <row r="12">
      <c r="B12" s="23" t="inlineStr">
        <is>
          <t>Isaac D.</t>
        </is>
      </c>
      <c r="C12" s="49" t="n">
        <v>21</v>
      </c>
      <c r="D12" s="49" t="n">
        <v>0</v>
      </c>
      <c r="E12" s="49" t="n">
        <v>0</v>
      </c>
      <c r="F12" s="24">
        <f>IFERROR(C12/(C12+D12),0)</f>
        <v/>
      </c>
    </row>
    <row r="13">
      <c r="B13" s="20" t="inlineStr">
        <is>
          <t>Layla P.</t>
        </is>
      </c>
      <c r="C13" s="34" t="n">
        <v>18</v>
      </c>
      <c r="D13" s="34" t="n">
        <v>3</v>
      </c>
      <c r="E13" s="34" t="n">
        <v>0</v>
      </c>
      <c r="F13" s="21">
        <f>IFERROR(C13/(C13+D13),0)</f>
        <v/>
      </c>
    </row>
    <row r="14">
      <c r="B14" s="23" t="inlineStr">
        <is>
          <t>Owen H.</t>
        </is>
      </c>
      <c r="C14" s="49" t="n">
        <v>21</v>
      </c>
      <c r="D14" s="49" t="n">
        <v>0</v>
      </c>
      <c r="E14" s="49" t="n">
        <v>3</v>
      </c>
      <c r="F14" s="24">
        <f>IFERROR(C14/(C14+D14),0)</f>
        <v/>
      </c>
    </row>
    <row r="15">
      <c r="B15" s="20" t="inlineStr">
        <is>
          <t>Nora W.</t>
        </is>
      </c>
      <c r="C15" s="34" t="n">
        <v>12</v>
      </c>
      <c r="D15" s="34" t="n">
        <v>0</v>
      </c>
      <c r="E15" s="34" t="n">
        <v>0</v>
      </c>
      <c r="F15" s="21">
        <f>IFERROR(C15/(C15+D15),0)</f>
        <v/>
      </c>
    </row>
    <row r="16">
      <c r="B16" s="9" t="inlineStr">
        <is>
          <t>ALL CHILDREN</t>
        </is>
      </c>
      <c r="C16" s="50">
        <f>SUM(AttPresent)</f>
        <v/>
      </c>
      <c r="D16" s="50">
        <f>SUM(AttAbsent)</f>
        <v/>
      </c>
      <c r="E16" s="51">
        <f>SUM(AttLate)</f>
        <v/>
      </c>
    </row>
    <row r="18">
      <c r="B18" s="26" t="inlineStr">
        <is>
          <t>Late pickup fees earned (at $1/min, 15 min average)</t>
        </is>
      </c>
      <c r="E18" s="52">
        <f>LatePickups*15</f>
        <v/>
      </c>
    </row>
    <row r="20">
      <c r="B20" s="4" t="inlineStr">
        <is>
          <t>Child-days feed your food program claim. Every missed day is a missed reimbursement.</t>
        </is>
      </c>
    </row>
  </sheetData>
  <mergeCells count="2">
    <mergeCell ref="A2:F2"/>
    <mergeCell ref="A1:F1"/>
  </mergeCells>
  <conditionalFormatting sqref="E5:E15">
    <cfRule type="cellIs" priority="1" operator="greaterThanOrEqual" dxfId="1">
      <formula>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2" customWidth="1" min="1" max="1"/>
    <col width="42" customWidth="1" min="2" max="2"/>
    <col width="20" customWidth="1" min="3" max="3"/>
    <col width="16" customWidth="1" min="4" max="4"/>
    <col width="16" customWidth="1" min="5" max="5"/>
    <col width="2" customWidth="1" min="6" max="6"/>
  </cols>
  <sheetData>
    <row r="1" ht="46" customHeight="1">
      <c r="A1" s="1" t="inlineStr">
        <is>
          <t xml:space="preserve">  💸  COSTS &amp; EXPENSES</t>
        </is>
      </c>
    </row>
    <row r="2" ht="22" customHeight="1">
      <c r="A2" s="2" t="inlineStr">
        <is>
          <t xml:space="preserve">  What the program costs every month before a single child walks in.</t>
        </is>
      </c>
    </row>
    <row r="3" ht="6" customHeight="1">
      <c r="A3" s="3" t="n"/>
      <c r="B3" s="3" t="n"/>
      <c r="C3" s="3" t="n"/>
      <c r="D3" s="3" t="n"/>
      <c r="E3" s="3" t="n"/>
    </row>
    <row r="4" ht="30" customHeight="1">
      <c r="B4" s="9" t="inlineStr">
        <is>
          <t>Line</t>
        </is>
      </c>
      <c r="C4" s="9" t="inlineStr">
        <is>
          <t>Category</t>
        </is>
      </c>
      <c r="D4" s="9" t="inlineStr">
        <is>
          <t>Monthly</t>
        </is>
      </c>
      <c r="E4" s="9" t="inlineStr">
        <is>
          <t>Yearly</t>
        </is>
      </c>
    </row>
    <row r="5">
      <c r="B5" s="20" t="inlineStr">
        <is>
          <t>Assistant wages</t>
        </is>
      </c>
      <c r="C5" s="22" t="inlineStr">
        <is>
          <t>Payroll</t>
        </is>
      </c>
      <c r="D5" s="53" t="n">
        <v>2400</v>
      </c>
      <c r="E5" s="54">
        <f>D5*12</f>
        <v/>
      </c>
    </row>
    <row r="6">
      <c r="B6" s="23" t="inlineStr">
        <is>
          <t>Payroll taxes on assistant</t>
        </is>
      </c>
      <c r="C6" s="25" t="inlineStr">
        <is>
          <t>Payroll</t>
        </is>
      </c>
      <c r="D6" s="55" t="n">
        <v>220</v>
      </c>
      <c r="E6" s="56">
        <f>D6*12</f>
        <v/>
      </c>
    </row>
    <row r="7">
      <c r="B7" s="20" t="inlineStr">
        <is>
          <t>Insurance &amp; licensing</t>
        </is>
      </c>
      <c r="C7" s="22" t="inlineStr">
        <is>
          <t>Insurance</t>
        </is>
      </c>
      <c r="D7" s="53" t="n">
        <v>185</v>
      </c>
      <c r="E7" s="54">
        <f>D7*12</f>
        <v/>
      </c>
    </row>
    <row r="8">
      <c r="B8" s="23" t="inlineStr">
        <is>
          <t>Home business use &amp; utilities share</t>
        </is>
      </c>
      <c r="C8" s="25" t="inlineStr">
        <is>
          <t>Home &amp; utilities</t>
        </is>
      </c>
      <c r="D8" s="55" t="n">
        <v>640</v>
      </c>
      <c r="E8" s="56">
        <f>D8*12</f>
        <v/>
      </c>
    </row>
    <row r="9">
      <c r="B9" s="20" t="inlineStr">
        <is>
          <t>Curriculum, toys &amp; billing software</t>
        </is>
      </c>
      <c r="C9" s="22" t="inlineStr">
        <is>
          <t>Supplies</t>
        </is>
      </c>
      <c r="D9" s="53" t="n">
        <v>95</v>
      </c>
      <c r="E9" s="54">
        <f>D9*12</f>
        <v/>
      </c>
    </row>
    <row r="10">
      <c r="B10" s="23" t="inlineStr">
        <is>
          <t>Cleaning, safety &amp; first aid</t>
        </is>
      </c>
      <c r="C10" s="25" t="inlineStr">
        <is>
          <t>Supplies</t>
        </is>
      </c>
      <c r="D10" s="55" t="n">
        <v>140</v>
      </c>
      <c r="E10" s="56">
        <f>D10*12</f>
        <v/>
      </c>
    </row>
    <row r="11">
      <c r="B11" s="20" t="inlineStr">
        <is>
          <t>Vehicle &amp; field trips</t>
        </is>
      </c>
      <c r="C11" s="22" t="inlineStr">
        <is>
          <t>Vehicle</t>
        </is>
      </c>
      <c r="D11" s="53" t="n">
        <v>85</v>
      </c>
      <c r="E11" s="54">
        <f>D11*12</f>
        <v/>
      </c>
    </row>
    <row r="12">
      <c r="B12" s="23" t="inlineStr">
        <is>
          <t>Training, CPR &amp; renewals</t>
        </is>
      </c>
      <c r="C12" s="25" t="inlineStr">
        <is>
          <t>Training</t>
        </is>
      </c>
      <c r="D12" s="55" t="n">
        <v>60</v>
      </c>
      <c r="E12" s="56">
        <f>D12*12</f>
        <v/>
      </c>
    </row>
    <row r="13">
      <c r="B13" s="9">
        <f> FIXED COSTS / MONTH</f>
        <v/>
      </c>
      <c r="C13" s="43" t="n"/>
      <c r="D13" s="57">
        <f>SUM(FixedLines)</f>
        <v/>
      </c>
      <c r="E13" s="45">
        <f>FixedTotal*12</f>
        <v/>
      </c>
    </row>
    <row r="15">
      <c r="B15" s="4" t="inlineStr">
        <is>
          <t>COSTS THAT FOLLOW EACH CHILD</t>
        </is>
      </c>
    </row>
    <row r="16">
      <c r="B16" s="26" t="inlineStr">
        <is>
          <t>Food per child / month</t>
        </is>
      </c>
      <c r="D16" s="39" t="n">
        <v>135</v>
      </c>
    </row>
    <row r="17">
      <c r="B17" s="26" t="inlineStr">
        <is>
          <t>Supplies &amp; activities per child / month</t>
        </is>
      </c>
      <c r="D17" s="39" t="n">
        <v>22</v>
      </c>
    </row>
    <row r="18">
      <c r="B18" s="9">
        <f> COST PER CHILD / MONTH</f>
        <v/>
      </c>
      <c r="D18" s="29">
        <f>FoodPerChild+SuppliesPerChild</f>
        <v/>
      </c>
    </row>
    <row r="19">
      <c r="B19" s="9" t="inlineStr">
        <is>
          <t>× children enrolled = VARIABLE COSTS</t>
        </is>
      </c>
      <c r="D19" s="58">
        <f>CostPerChild*Enrolled</f>
        <v/>
      </c>
    </row>
    <row r="21">
      <c r="B21" s="9">
        <f> TOTAL COSTS THIS MONTH</f>
        <v/>
      </c>
      <c r="D21" s="59">
        <f>FixedTotal+VariableCosts</f>
        <v/>
      </c>
    </row>
    <row r="23">
      <c r="B23" s="4" t="inlineStr">
        <is>
          <t>Every line above runs whether you're at eleven children or six.</t>
        </is>
      </c>
    </row>
  </sheetData>
  <mergeCells count="2">
    <mergeCell ref="A2:E2"/>
    <mergeCell ref="A1:E1"/>
  </mergeCells>
  <dataValidations count="1">
    <dataValidation sqref="C5:C12" showDropDown="0" showInputMessage="0" showErrorMessage="0" allowBlank="1" type="list">
      <formula1>=ExpCatList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2" customWidth="1" min="1" max="1"/>
    <col width="28" customWidth="1" min="2" max="2"/>
    <col width="18" customWidth="1" min="3" max="3"/>
    <col width="18" customWidth="1" min="4" max="4"/>
    <col width="20" customWidth="1" min="5" max="5"/>
    <col width="2" customWidth="1" min="6" max="6"/>
  </cols>
  <sheetData>
    <row r="1" ht="46" customHeight="1">
      <c r="A1" s="1" t="inlineStr">
        <is>
          <t xml:space="preserve">  🍎  FOOD PROGRAM (CACFP)</t>
        </is>
      </c>
    </row>
    <row r="2" ht="22" customHeight="1">
      <c r="A2" s="2" t="inlineStr">
        <is>
          <t xml:space="preserve">  Claim every meal — the food program pays back most of what you spend feeding them.</t>
        </is>
      </c>
    </row>
    <row r="3" ht="6" customHeight="1">
      <c r="A3" s="3" t="n"/>
      <c r="B3" s="3" t="n"/>
      <c r="C3" s="3" t="n"/>
      <c r="D3" s="3" t="n"/>
      <c r="E3" s="3" t="n"/>
    </row>
    <row r="4" ht="30" customHeight="1">
      <c r="B4" s="9" t="inlineStr">
        <is>
          <t>Meal</t>
        </is>
      </c>
      <c r="C4" s="9" t="inlineStr">
        <is>
          <t>Meals claimed</t>
        </is>
      </c>
      <c r="D4" s="9" t="inlineStr">
        <is>
          <t>Rate</t>
        </is>
      </c>
      <c r="E4" s="9" t="inlineStr">
        <is>
          <t>Reimbursement</t>
        </is>
      </c>
    </row>
    <row r="5">
      <c r="B5" s="20" t="inlineStr">
        <is>
          <t>Breakfast</t>
        </is>
      </c>
      <c r="C5" s="60" t="n">
        <v>210</v>
      </c>
      <c r="D5" s="39" t="n">
        <v>1.66</v>
      </c>
      <c r="E5" s="40">
        <f>C5*D5</f>
        <v/>
      </c>
    </row>
    <row r="6">
      <c r="B6" s="23" t="inlineStr">
        <is>
          <t>Lunch</t>
        </is>
      </c>
      <c r="C6" s="61" t="n">
        <v>231</v>
      </c>
      <c r="D6" s="41" t="n">
        <v>3.13</v>
      </c>
      <c r="E6" s="42">
        <f>C6*D6</f>
        <v/>
      </c>
    </row>
    <row r="7">
      <c r="B7" s="20" t="inlineStr">
        <is>
          <t>Afternoon snack</t>
        </is>
      </c>
      <c r="C7" s="60" t="n">
        <v>231</v>
      </c>
      <c r="D7" s="39" t="n">
        <v>0.97</v>
      </c>
      <c r="E7" s="40">
        <f>C7*D7</f>
        <v/>
      </c>
    </row>
    <row r="8">
      <c r="B8" s="9">
        <f> REIMBURSEMENT THIS MONTH</f>
        <v/>
      </c>
      <c r="C8" s="50">
        <f>SUM(MealCount)</f>
        <v/>
      </c>
      <c r="D8" s="43" t="n"/>
      <c r="E8" s="62">
        <f>SUM(MealReimb)</f>
        <v/>
      </c>
    </row>
    <row r="10">
      <c r="B10" s="4" t="inlineStr">
        <is>
          <t>DOES IT COVER YOUR FOOD?</t>
        </is>
      </c>
    </row>
    <row r="11">
      <c r="B11" s="26" t="inlineStr">
        <is>
          <t>You spent on food this month</t>
        </is>
      </c>
      <c r="E11" s="27">
        <f>FoodPerChild*Enrolled</f>
        <v/>
      </c>
    </row>
    <row r="12">
      <c r="B12" s="26" t="inlineStr">
        <is>
          <t>The program paid you back</t>
        </is>
      </c>
      <c r="E12" s="27">
        <f>CACFP</f>
        <v/>
      </c>
    </row>
    <row r="13">
      <c r="B13" s="9">
        <f> IT COVERS THIS MUCH OF YOUR FOOD BILL</f>
        <v/>
      </c>
      <c r="E13" s="63">
        <f>IFERROR(CACFP/FoodSpend,0)</f>
        <v/>
      </c>
    </row>
    <row r="14">
      <c r="B14" s="26" t="inlineStr">
        <is>
          <t>Out of pocket on food</t>
        </is>
      </c>
      <c r="E14" s="30">
        <f>MAX(FoodSpend-CACFP,0)</f>
        <v/>
      </c>
    </row>
    <row r="16">
      <c r="B16" s="4" t="inlineStr">
        <is>
          <t>Every unclaimed snack is money you already spent and simply didn't ask for back.</t>
        </is>
      </c>
    </row>
    <row r="17">
      <c r="B17" s="26" t="inlineStr">
        <is>
          <t>Reimbursement tiers &amp; rates vary by state and by year — enter your own above.</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 customWidth="1" min="1" max="1"/>
    <col width="20" customWidth="1" min="2" max="2"/>
    <col width="15" customWidth="1" min="3" max="3"/>
    <col width="18" customWidth="1" min="4" max="4"/>
    <col width="18" customWidth="1" min="5" max="5"/>
    <col width="20" customWidth="1" min="6" max="6"/>
    <col width="2" customWidth="1" min="7" max="7"/>
  </cols>
  <sheetData>
    <row r="1" ht="46" customHeight="1">
      <c r="A1" s="1" t="inlineStr">
        <is>
          <t xml:space="preserve">  ⚖  RATIOS &amp; SCHEDULE</t>
        </is>
      </c>
    </row>
    <row r="2" ht="22" customHeight="1">
      <c r="A2" s="2" t="inlineStr">
        <is>
          <t xml:space="preserve">  Children per caregiver, by age group — the rule that closes programs when it slips.</t>
        </is>
      </c>
    </row>
    <row r="3" ht="6" customHeight="1">
      <c r="A3" s="3" t="n"/>
      <c r="B3" s="3" t="n"/>
      <c r="C3" s="3" t="n"/>
      <c r="D3" s="3" t="n"/>
      <c r="E3" s="3" t="n"/>
      <c r="F3" s="3" t="n"/>
    </row>
    <row r="4" ht="30" customHeight="1">
      <c r="B4" s="9" t="inlineStr">
        <is>
          <t>Age group</t>
        </is>
      </c>
      <c r="C4" s="9" t="inlineStr">
        <is>
          <t>Children</t>
        </is>
      </c>
      <c r="D4" s="9" t="inlineStr">
        <is>
          <t>State ratio</t>
        </is>
      </c>
      <c r="E4" s="9" t="inlineStr">
        <is>
          <t>Max group</t>
        </is>
      </c>
      <c r="F4" s="9" t="inlineStr">
        <is>
          <t>Caregivers needed</t>
        </is>
      </c>
    </row>
    <row r="5">
      <c r="B5" s="20" t="inlineStr">
        <is>
          <t>Infant</t>
        </is>
      </c>
      <c r="C5" s="34" t="n">
        <v>1</v>
      </c>
      <c r="D5" s="34" t="n">
        <v>4</v>
      </c>
      <c r="E5" s="34" t="n">
        <v>8</v>
      </c>
      <c r="F5" s="64">
        <f>IFERROR(ROUNDUP(C5/D5,0),0)</f>
        <v/>
      </c>
    </row>
    <row r="6">
      <c r="B6" s="23" t="inlineStr">
        <is>
          <t>Toddler</t>
        </is>
      </c>
      <c r="C6" s="49" t="n">
        <v>4</v>
      </c>
      <c r="D6" s="49" t="n">
        <v>6</v>
      </c>
      <c r="E6" s="49" t="n">
        <v>12</v>
      </c>
      <c r="F6" s="65">
        <f>IFERROR(ROUNDUP(C6/D6,0),0)</f>
        <v/>
      </c>
    </row>
    <row r="7">
      <c r="B7" s="20" t="inlineStr">
        <is>
          <t>Preschool</t>
        </is>
      </c>
      <c r="C7" s="34" t="n">
        <v>5</v>
      </c>
      <c r="D7" s="34" t="n">
        <v>10</v>
      </c>
      <c r="E7" s="34" t="n">
        <v>20</v>
      </c>
      <c r="F7" s="64">
        <f>IFERROR(ROUNDUP(C7/D7,0),0)</f>
        <v/>
      </c>
    </row>
    <row r="8">
      <c r="B8" s="23" t="inlineStr">
        <is>
          <t>School age</t>
        </is>
      </c>
      <c r="C8" s="49" t="n">
        <v>1</v>
      </c>
      <c r="D8" s="49" t="n">
        <v>15</v>
      </c>
      <c r="E8" s="49" t="n">
        <v>30</v>
      </c>
      <c r="F8" s="65">
        <f>IFERROR(ROUNDUP(C8/D8,0),0)</f>
        <v/>
      </c>
    </row>
    <row r="9">
      <c r="B9" s="9" t="inlineStr">
        <is>
          <t>ALL GROUPS</t>
        </is>
      </c>
      <c r="C9" s="44">
        <f>SUM(RatioChildren)</f>
        <v/>
      </c>
      <c r="D9" s="43" t="n"/>
      <c r="E9" s="43" t="n"/>
      <c r="F9" s="66">
        <f>SUM(RatioNeeded)</f>
        <v/>
      </c>
    </row>
    <row r="11">
      <c r="B11" s="26" t="inlineStr">
        <is>
          <t>Caregivers you have (including you)</t>
        </is>
      </c>
      <c r="F11" s="37">
        <f>Caregivers</f>
        <v/>
      </c>
    </row>
    <row r="12">
      <c r="B12" s="9">
        <f> CHILDREN PER CAREGIVER</f>
        <v/>
      </c>
      <c r="F12" s="67">
        <f>IFERROR(Enrolled/Caregivers,0)</f>
        <v/>
      </c>
    </row>
    <row r="13">
      <c r="B13" s="9">
        <f> ARE YOU COVERED?</f>
        <v/>
      </c>
      <c r="F13" s="68">
        <f>IF(Caregivers&gt;=CaregiversNeeded,"COVERED","SHORT STAFFED")</f>
        <v/>
      </c>
    </row>
    <row r="15">
      <c r="B15" s="4" t="inlineStr">
        <is>
          <t>Ratios and group sizes are set by your state. Enter yours above — never guess this one.</t>
        </is>
      </c>
    </row>
  </sheetData>
  <mergeCells count="2">
    <mergeCell ref="A2:F2"/>
    <mergeCell ref="A1:F1"/>
  </mergeCells>
  <conditionalFormatting sqref="F13">
    <cfRule type="cellIs" priority="1" operator="equal" dxfId="0">
      <formula>"SHORT STAFFED"</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8" customWidth="1" min="3" max="3"/>
    <col width="18" customWidth="1" min="4" max="4"/>
    <col width="18" customWidth="1" min="5" max="5"/>
    <col width="16" customWidth="1" min="6" max="6"/>
    <col width="16" customWidth="1" min="7" max="7"/>
    <col width="2" customWidth="1" min="8" max="8"/>
  </cols>
  <sheetData>
    <row r="1" ht="46" customHeight="1">
      <c r="A1" s="1" t="inlineStr">
        <is>
          <t xml:space="preserve">  📋  COMPLIANCE &amp; FILES</t>
        </is>
      </c>
    </row>
    <row r="2" ht="22" customHeight="1">
      <c r="A2" s="2" t="inlineStr">
        <is>
          <t xml:space="preserve">  The paperwork an inspector asks for — complete, or not, at a glance.</t>
        </is>
      </c>
    </row>
    <row r="3" ht="6" customHeight="1">
      <c r="A3" s="3" t="n"/>
      <c r="B3" s="3" t="n"/>
      <c r="C3" s="3" t="n"/>
      <c r="D3" s="3" t="n"/>
      <c r="E3" s="3" t="n"/>
      <c r="F3" s="3" t="n"/>
      <c r="G3" s="3" t="n"/>
    </row>
    <row r="4" ht="30" customHeight="1">
      <c r="B4" s="9" t="inlineStr">
        <is>
          <t>Child</t>
        </is>
      </c>
      <c r="C4" s="9" t="inlineStr">
        <is>
          <t>Immunizations</t>
        </is>
      </c>
      <c r="D4" s="9" t="inlineStr">
        <is>
          <t>Emergency form</t>
        </is>
      </c>
      <c r="E4" s="9" t="inlineStr">
        <is>
          <t>Signed contract</t>
        </is>
      </c>
      <c r="F4" s="9" t="inlineStr">
        <is>
          <t>Allergy plan</t>
        </is>
      </c>
      <c r="G4" s="9" t="inlineStr">
        <is>
          <t>File complete</t>
        </is>
      </c>
    </row>
    <row r="5">
      <c r="B5" s="20" t="inlineStr">
        <is>
          <t>Mia R.</t>
        </is>
      </c>
      <c r="C5" s="69" t="inlineStr">
        <is>
          <t>Yes</t>
        </is>
      </c>
      <c r="D5" s="69" t="inlineStr">
        <is>
          <t>Yes</t>
        </is>
      </c>
      <c r="E5" s="69" t="inlineStr">
        <is>
          <t>Yes</t>
        </is>
      </c>
      <c r="F5" s="69" t="inlineStr">
        <is>
          <t>Yes</t>
        </is>
      </c>
      <c r="G5" s="22">
        <f>IF(COUNTIF(C5:F5,"Yes")=4,"COMPLETE","MISSING")</f>
        <v/>
      </c>
    </row>
    <row r="6">
      <c r="B6" s="23" t="inlineStr">
        <is>
          <t>Noah R.</t>
        </is>
      </c>
      <c r="C6" s="70" t="inlineStr">
        <is>
          <t>Yes</t>
        </is>
      </c>
      <c r="D6" s="70" t="inlineStr">
        <is>
          <t>Yes</t>
        </is>
      </c>
      <c r="E6" s="70" t="inlineStr">
        <is>
          <t>Yes</t>
        </is>
      </c>
      <c r="F6" s="70" t="inlineStr">
        <is>
          <t>Yes</t>
        </is>
      </c>
      <c r="G6" s="25">
        <f>IF(COUNTIF(C6:F6,"Yes")=4,"COMPLETE","MISSING")</f>
        <v/>
      </c>
    </row>
    <row r="7">
      <c r="B7" s="20" t="inlineStr">
        <is>
          <t>Ava T.</t>
        </is>
      </c>
      <c r="C7" s="69" t="inlineStr">
        <is>
          <t>Yes</t>
        </is>
      </c>
      <c r="D7" s="69" t="inlineStr">
        <is>
          <t>Yes</t>
        </is>
      </c>
      <c r="E7" s="69" t="inlineStr">
        <is>
          <t>Yes</t>
        </is>
      </c>
      <c r="F7" s="69" t="inlineStr">
        <is>
          <t>No</t>
        </is>
      </c>
      <c r="G7" s="22">
        <f>IF(COUNTIF(C7:F7,"Yes")=4,"COMPLETE","MISSING")</f>
        <v/>
      </c>
    </row>
    <row r="8">
      <c r="B8" s="23" t="inlineStr">
        <is>
          <t>Liam B.</t>
        </is>
      </c>
      <c r="C8" s="70" t="inlineStr">
        <is>
          <t>Yes</t>
        </is>
      </c>
      <c r="D8" s="70" t="inlineStr">
        <is>
          <t>Yes</t>
        </is>
      </c>
      <c r="E8" s="70" t="inlineStr">
        <is>
          <t>Yes</t>
        </is>
      </c>
      <c r="F8" s="70" t="inlineStr">
        <is>
          <t>Yes</t>
        </is>
      </c>
      <c r="G8" s="25">
        <f>IF(COUNTIF(C8:F8,"Yes")=4,"COMPLETE","MISSING")</f>
        <v/>
      </c>
    </row>
    <row r="9">
      <c r="B9" s="20" t="inlineStr">
        <is>
          <t>Zoe K.</t>
        </is>
      </c>
      <c r="C9" s="69" t="inlineStr">
        <is>
          <t>Yes</t>
        </is>
      </c>
      <c r="D9" s="69" t="inlineStr">
        <is>
          <t>Yes</t>
        </is>
      </c>
      <c r="E9" s="69" t="inlineStr">
        <is>
          <t>Yes</t>
        </is>
      </c>
      <c r="F9" s="69" t="inlineStr">
        <is>
          <t>Yes</t>
        </is>
      </c>
      <c r="G9" s="22">
        <f>IF(COUNTIF(C9:F9,"Yes")=4,"COMPLETE","MISSING")</f>
        <v/>
      </c>
    </row>
    <row r="10">
      <c r="B10" s="23" t="inlineStr">
        <is>
          <t>Eli M.</t>
        </is>
      </c>
      <c r="C10" s="70" t="inlineStr">
        <is>
          <t>No</t>
        </is>
      </c>
      <c r="D10" s="70" t="inlineStr">
        <is>
          <t>Yes</t>
        </is>
      </c>
      <c r="E10" s="70" t="inlineStr">
        <is>
          <t>Yes</t>
        </is>
      </c>
      <c r="F10" s="70" t="inlineStr">
        <is>
          <t>Yes</t>
        </is>
      </c>
      <c r="G10" s="25">
        <f>IF(COUNTIF(C10:F10,"Yes")=4,"COMPLETE","MISSING")</f>
        <v/>
      </c>
    </row>
    <row r="11">
      <c r="B11" s="20" t="inlineStr">
        <is>
          <t>Ruby C.</t>
        </is>
      </c>
      <c r="C11" s="69" t="inlineStr">
        <is>
          <t>Yes</t>
        </is>
      </c>
      <c r="D11" s="69" t="inlineStr">
        <is>
          <t>Yes</t>
        </is>
      </c>
      <c r="E11" s="69" t="inlineStr">
        <is>
          <t>No</t>
        </is>
      </c>
      <c r="F11" s="69" t="inlineStr">
        <is>
          <t>Yes</t>
        </is>
      </c>
      <c r="G11" s="22">
        <f>IF(COUNTIF(C11:F11,"Yes")=4,"COMPLETE","MISSING")</f>
        <v/>
      </c>
    </row>
    <row r="12">
      <c r="B12" s="23" t="inlineStr">
        <is>
          <t>Isaac D.</t>
        </is>
      </c>
      <c r="C12" s="70" t="inlineStr">
        <is>
          <t>Yes</t>
        </is>
      </c>
      <c r="D12" s="70" t="inlineStr">
        <is>
          <t>Yes</t>
        </is>
      </c>
      <c r="E12" s="70" t="inlineStr">
        <is>
          <t>Yes</t>
        </is>
      </c>
      <c r="F12" s="70" t="inlineStr">
        <is>
          <t>Yes</t>
        </is>
      </c>
      <c r="G12" s="25">
        <f>IF(COUNTIF(C12:F12,"Yes")=4,"COMPLETE","MISSING")</f>
        <v/>
      </c>
    </row>
    <row r="13">
      <c r="B13" s="20" t="inlineStr">
        <is>
          <t>Layla P.</t>
        </is>
      </c>
      <c r="C13" s="69" t="inlineStr">
        <is>
          <t>Yes</t>
        </is>
      </c>
      <c r="D13" s="69" t="inlineStr">
        <is>
          <t>No</t>
        </is>
      </c>
      <c r="E13" s="69" t="inlineStr">
        <is>
          <t>Yes</t>
        </is>
      </c>
      <c r="F13" s="69" t="inlineStr">
        <is>
          <t>Yes</t>
        </is>
      </c>
      <c r="G13" s="22">
        <f>IF(COUNTIF(C13:F13,"Yes")=4,"COMPLETE","MISSING")</f>
        <v/>
      </c>
    </row>
    <row r="14">
      <c r="B14" s="23" t="inlineStr">
        <is>
          <t>Owen H.</t>
        </is>
      </c>
      <c r="C14" s="70" t="inlineStr">
        <is>
          <t>Yes</t>
        </is>
      </c>
      <c r="D14" s="70" t="inlineStr">
        <is>
          <t>Yes</t>
        </is>
      </c>
      <c r="E14" s="70" t="inlineStr">
        <is>
          <t>Yes</t>
        </is>
      </c>
      <c r="F14" s="70" t="inlineStr">
        <is>
          <t>No</t>
        </is>
      </c>
      <c r="G14" s="25">
        <f>IF(COUNTIF(C14:F14,"Yes")=4,"COMPLETE","MISSING")</f>
        <v/>
      </c>
    </row>
    <row r="15">
      <c r="B15" s="20" t="inlineStr">
        <is>
          <t>Nora W.</t>
        </is>
      </c>
      <c r="C15" s="69" t="inlineStr">
        <is>
          <t>Yes</t>
        </is>
      </c>
      <c r="D15" s="69" t="inlineStr">
        <is>
          <t>Yes</t>
        </is>
      </c>
      <c r="E15" s="69" t="inlineStr">
        <is>
          <t>Yes</t>
        </is>
      </c>
      <c r="F15" s="69" t="inlineStr">
        <is>
          <t>Yes</t>
        </is>
      </c>
      <c r="G15" s="22">
        <f>IF(COUNTIF(C15:F15,"Yes")=4,"COMPLETE","MISSING")</f>
        <v/>
      </c>
    </row>
    <row r="17">
      <c r="B17" s="26" t="inlineStr">
        <is>
          <t>Files complete</t>
        </is>
      </c>
      <c r="G17" s="71">
        <f>COUNTIF(FileStatus,"COMPLETE")</f>
        <v/>
      </c>
    </row>
    <row r="18">
      <c r="B18" s="26" t="inlineStr">
        <is>
          <t>Files missing something</t>
        </is>
      </c>
      <c r="G18" s="72">
        <f>COUNTIF(FileStatus,"MISSING")</f>
        <v/>
      </c>
    </row>
    <row r="20">
      <c r="B20" s="4" t="inlineStr">
        <is>
          <t>An inspector will not wait while you find it. Clear the red rows this week.</t>
        </is>
      </c>
    </row>
  </sheetData>
  <mergeCells count="2">
    <mergeCell ref="A2:G2"/>
    <mergeCell ref="A1:G1"/>
  </mergeCells>
  <conditionalFormatting sqref="G5:G15">
    <cfRule type="cellIs" priority="1" operator="equal" dxfId="0">
      <formula>"MISSING"</formula>
    </cfRule>
  </conditionalFormatting>
  <dataValidations count="4">
    <dataValidation sqref="C5:C15" showDropDown="0" showInputMessage="0" showErrorMessage="0" allowBlank="1" type="list">
      <formula1>=YesNoList</formula1>
    </dataValidation>
    <dataValidation sqref="D5:D15" showDropDown="0" showInputMessage="0" showErrorMessage="0" allowBlank="1" type="list">
      <formula1>=YesNoList</formula1>
    </dataValidation>
    <dataValidation sqref="E5:E15" showDropDown="0" showInputMessage="0" showErrorMessage="0" allowBlank="1" type="list">
      <formula1>=YesNoList</formula1>
    </dataValidation>
    <dataValidation sqref="F5:F15" showDropDown="0" showInputMessage="0" showErrorMessage="0" allowBlank="1" type="list">
      <formula1>=YesNoList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2" customWidth="1" min="1" max="1"/>
    <col width="32" customWidth="1" min="2" max="2"/>
    <col width="14" customWidth="1" min="3" max="3"/>
    <col width="14" customWidth="1" min="4" max="4"/>
    <col width="14" customWidth="1" min="5" max="5"/>
    <col width="14" customWidth="1" min="6" max="6"/>
    <col width="15" customWidth="1" min="7" max="7"/>
    <col width="2" customWidth="1" min="8" max="8"/>
  </cols>
  <sheetData>
    <row r="1" ht="46" customHeight="1">
      <c r="A1" s="1" t="inlineStr">
        <is>
          <t xml:space="preserve">  📦  SUPPLIES &amp; INVENTORY</t>
        </is>
      </c>
    </row>
    <row r="2" ht="22" customHeight="1">
      <c r="A2" s="2" t="inlineStr">
        <is>
          <t xml:space="preserve">  What's on the shelf — so you never run out mid-week.</t>
        </is>
      </c>
    </row>
    <row r="3" ht="6" customHeight="1">
      <c r="A3" s="3" t="n"/>
      <c r="B3" s="3" t="n"/>
      <c r="C3" s="3" t="n"/>
      <c r="D3" s="3" t="n"/>
      <c r="E3" s="3" t="n"/>
      <c r="F3" s="3" t="n"/>
      <c r="G3" s="3" t="n"/>
    </row>
    <row r="4" ht="30" customHeight="1">
      <c r="B4" s="9" t="inlineStr">
        <is>
          <t>Item</t>
        </is>
      </c>
      <c r="C4" s="9" t="inlineStr">
        <is>
          <t>On hand</t>
        </is>
      </c>
      <c r="D4" s="9" t="inlineStr">
        <is>
          <t>Reorder at</t>
        </is>
      </c>
      <c r="E4" s="9" t="inlineStr">
        <is>
          <t>Unit cost</t>
        </is>
      </c>
      <c r="F4" s="9" t="inlineStr">
        <is>
          <t>Value</t>
        </is>
      </c>
      <c r="G4" s="9" t="inlineStr">
        <is>
          <t>Reorder?</t>
        </is>
      </c>
    </row>
    <row r="5">
      <c r="B5" s="73" t="inlineStr">
        <is>
          <t>Diapers &amp; wipes (case)</t>
        </is>
      </c>
      <c r="C5" s="74" t="n">
        <v>3</v>
      </c>
      <c r="D5" s="74" t="n">
        <v>2</v>
      </c>
      <c r="E5" s="75" t="n">
        <v>42</v>
      </c>
      <c r="F5" s="75">
        <f>C5*E5</f>
        <v/>
      </c>
      <c r="G5" s="76">
        <f>IF(C5&lt;=D5,"REORDER","OK")</f>
        <v/>
      </c>
    </row>
    <row r="6">
      <c r="B6" s="23" t="inlineStr">
        <is>
          <t>Art &amp; craft supplies</t>
        </is>
      </c>
      <c r="C6" s="77" t="n">
        <v>5</v>
      </c>
      <c r="D6" s="77" t="n">
        <v>3</v>
      </c>
      <c r="E6" s="42" t="n">
        <v>28</v>
      </c>
      <c r="F6" s="42">
        <f>C6*E6</f>
        <v/>
      </c>
      <c r="G6" s="25">
        <f>IF(C6&lt;=D6,"REORDER","OK")</f>
        <v/>
      </c>
    </row>
    <row r="7">
      <c r="B7" s="73" t="inlineStr">
        <is>
          <t>Disinfectant &amp; cleaning</t>
        </is>
      </c>
      <c r="C7" s="74" t="n">
        <v>4</v>
      </c>
      <c r="D7" s="74" t="n">
        <v>3</v>
      </c>
      <c r="E7" s="75" t="n">
        <v>19</v>
      </c>
      <c r="F7" s="75">
        <f>C7*E7</f>
        <v/>
      </c>
      <c r="G7" s="76">
        <f>IF(C7&lt;=D7,"REORDER","OK")</f>
        <v/>
      </c>
    </row>
    <row r="8">
      <c r="B8" s="23" t="inlineStr">
        <is>
          <t>Paper goods &amp; cups</t>
        </is>
      </c>
      <c r="C8" s="77" t="n">
        <v>6</v>
      </c>
      <c r="D8" s="77" t="n">
        <v>4</v>
      </c>
      <c r="E8" s="42" t="n">
        <v>24</v>
      </c>
      <c r="F8" s="42">
        <f>C8*E8</f>
        <v/>
      </c>
      <c r="G8" s="25">
        <f>IF(C8&lt;=D8,"REORDER","OK")</f>
        <v/>
      </c>
    </row>
    <row r="9">
      <c r="B9" s="73" t="inlineStr">
        <is>
          <t>First aid restock</t>
        </is>
      </c>
      <c r="C9" s="74" t="n">
        <v>2</v>
      </c>
      <c r="D9" s="74" t="n">
        <v>2</v>
      </c>
      <c r="E9" s="75" t="n">
        <v>35</v>
      </c>
      <c r="F9" s="75">
        <f>C9*E9</f>
        <v/>
      </c>
      <c r="G9" s="76">
        <f>IF(C9&lt;=D9,"REORDER","OK")</f>
        <v/>
      </c>
    </row>
    <row r="10">
      <c r="B10" s="23" t="inlineStr">
        <is>
          <t>Nap mats &amp; bedding</t>
        </is>
      </c>
      <c r="C10" s="77" t="n">
        <v>12</v>
      </c>
      <c r="D10" s="77" t="n">
        <v>10</v>
      </c>
      <c r="E10" s="42" t="n">
        <v>18</v>
      </c>
      <c r="F10" s="42">
        <f>C10*E10</f>
        <v/>
      </c>
      <c r="G10" s="25">
        <f>IF(C10&lt;=D10,"REORDER","OK")</f>
        <v/>
      </c>
    </row>
    <row r="11">
      <c r="B11" s="73" t="inlineStr">
        <is>
          <t>Curriculum printables &amp; books</t>
        </is>
      </c>
      <c r="C11" s="74" t="n">
        <v>8</v>
      </c>
      <c r="D11" s="74" t="n">
        <v>5</v>
      </c>
      <c r="E11" s="75" t="n">
        <v>15</v>
      </c>
      <c r="F11" s="75">
        <f>C11*E11</f>
        <v/>
      </c>
      <c r="G11" s="76">
        <f>IF(C11&lt;=D11,"REORDER","OK")</f>
        <v/>
      </c>
    </row>
    <row r="12">
      <c r="B12" s="23" t="n"/>
      <c r="C12" s="77" t="n"/>
      <c r="D12" s="77" t="n"/>
      <c r="E12" s="42" t="n"/>
      <c r="F12" s="42" t="n"/>
      <c r="G12" s="25" t="n"/>
    </row>
    <row r="13">
      <c r="B13" s="73" t="n"/>
      <c r="C13" s="74" t="n"/>
      <c r="D13" s="74" t="n"/>
      <c r="E13" s="75" t="n"/>
      <c r="F13" s="75" t="n"/>
      <c r="G13" s="76" t="n"/>
    </row>
    <row r="14">
      <c r="B14" s="23" t="n"/>
      <c r="C14" s="77" t="n"/>
      <c r="D14" s="77" t="n"/>
      <c r="E14" s="42" t="n"/>
      <c r="F14" s="42" t="n"/>
      <c r="G14" s="25" t="n"/>
    </row>
    <row r="15">
      <c r="B15" s="73" t="n"/>
      <c r="C15" s="74" t="n"/>
      <c r="D15" s="74" t="n"/>
      <c r="E15" s="75" t="n"/>
      <c r="F15" s="75" t="n"/>
      <c r="G15" s="76" t="n"/>
    </row>
    <row r="16">
      <c r="B16" s="23" t="n"/>
      <c r="C16" s="77" t="n"/>
      <c r="D16" s="77" t="n"/>
      <c r="E16" s="42" t="n"/>
      <c r="F16" s="42" t="n"/>
      <c r="G16" s="25" t="n"/>
    </row>
    <row r="17">
      <c r="B17" s="73" t="n"/>
      <c r="C17" s="74" t="n"/>
      <c r="D17" s="74" t="n"/>
      <c r="E17" s="75" t="n"/>
      <c r="F17" s="75" t="n"/>
      <c r="G17" s="76" t="n"/>
    </row>
    <row r="18">
      <c r="B18" s="23" t="n"/>
      <c r="C18" s="77" t="n"/>
      <c r="D18" s="77" t="n"/>
      <c r="E18" s="42" t="n"/>
      <c r="F18" s="42" t="n"/>
      <c r="G18" s="25" t="n"/>
    </row>
    <row r="19">
      <c r="B19" s="73" t="n"/>
      <c r="C19" s="74" t="n"/>
      <c r="D19" s="74" t="n"/>
      <c r="E19" s="75" t="n"/>
      <c r="F19" s="75" t="n"/>
      <c r="G19" s="76" t="n"/>
    </row>
    <row r="20">
      <c r="B20" s="23" t="n"/>
      <c r="C20" s="77" t="n"/>
      <c r="D20" s="77" t="n"/>
      <c r="E20" s="42" t="n"/>
      <c r="F20" s="42" t="n"/>
      <c r="G20" s="25" t="n"/>
    </row>
    <row r="21">
      <c r="B21" s="73" t="n"/>
      <c r="C21" s="74" t="n"/>
      <c r="D21" s="74" t="n"/>
      <c r="E21" s="75" t="n"/>
      <c r="F21" s="75" t="n"/>
      <c r="G21" s="76" t="n"/>
    </row>
    <row r="22">
      <c r="B22" s="23" t="n"/>
      <c r="C22" s="77" t="n"/>
      <c r="D22" s="77" t="n"/>
      <c r="E22" s="42" t="n"/>
      <c r="F22" s="42" t="n"/>
      <c r="G22" s="25" t="n"/>
    </row>
    <row r="23">
      <c r="B23" s="73" t="n"/>
      <c r="C23" s="74" t="n"/>
      <c r="D23" s="74" t="n"/>
      <c r="E23" s="75" t="n"/>
      <c r="F23" s="75" t="n"/>
      <c r="G23" s="76" t="n"/>
    </row>
    <row r="24">
      <c r="B24" s="23" t="n"/>
      <c r="C24" s="77" t="n"/>
      <c r="D24" s="77" t="n"/>
      <c r="E24" s="42" t="n"/>
      <c r="F24" s="42" t="n"/>
      <c r="G24" s="25" t="n"/>
    </row>
    <row r="25">
      <c r="B25" s="73" t="n"/>
      <c r="C25" s="74" t="n"/>
      <c r="D25" s="74" t="n"/>
      <c r="E25" s="75" t="n"/>
      <c r="F25" s="75" t="n"/>
      <c r="G25" s="76" t="n"/>
    </row>
    <row r="26">
      <c r="B26" s="23" t="n"/>
      <c r="C26" s="77" t="n"/>
      <c r="D26" s="77" t="n"/>
      <c r="E26" s="42" t="n"/>
      <c r="F26" s="42" t="n"/>
      <c r="G26" s="25" t="n"/>
    </row>
    <row r="27">
      <c r="B27" s="73" t="n"/>
      <c r="C27" s="74" t="n"/>
      <c r="D27" s="74" t="n"/>
      <c r="E27" s="75" t="n"/>
      <c r="F27" s="75" t="n"/>
      <c r="G27" s="76" t="n"/>
    </row>
    <row r="28">
      <c r="B28" s="23" t="n"/>
      <c r="C28" s="77" t="n"/>
      <c r="D28" s="77" t="n"/>
      <c r="E28" s="42" t="n"/>
      <c r="F28" s="42" t="n"/>
      <c r="G28" s="25" t="n"/>
    </row>
    <row r="29">
      <c r="B29" s="73" t="n"/>
      <c r="C29" s="74" t="n"/>
      <c r="D29" s="74" t="n"/>
      <c r="E29" s="75" t="n"/>
      <c r="F29" s="75" t="n"/>
      <c r="G29" s="76" t="n"/>
    </row>
    <row r="30">
      <c r="B30" s="23" t="n"/>
      <c r="C30" s="77" t="n"/>
      <c r="D30" s="77" t="n"/>
      <c r="E30" s="42" t="n"/>
      <c r="F30" s="42" t="n"/>
      <c r="G30" s="25" t="n"/>
    </row>
    <row r="31">
      <c r="B31" s="73" t="n"/>
      <c r="C31" s="74" t="n"/>
      <c r="D31" s="74" t="n"/>
      <c r="E31" s="75" t="n"/>
      <c r="F31" s="75" t="n"/>
      <c r="G31" s="76" t="n"/>
    </row>
    <row r="32">
      <c r="B32" s="23" t="n"/>
      <c r="C32" s="77" t="n"/>
      <c r="D32" s="77" t="n"/>
      <c r="E32" s="42" t="n"/>
      <c r="F32" s="42" t="n"/>
      <c r="G32" s="25" t="n"/>
    </row>
    <row r="33">
      <c r="B33" s="73" t="n"/>
      <c r="C33" s="74" t="n"/>
      <c r="D33" s="74" t="n"/>
      <c r="E33" s="75" t="n"/>
      <c r="F33" s="75" t="n"/>
      <c r="G33" s="76" t="n"/>
    </row>
    <row r="34">
      <c r="B34" s="23" t="n"/>
      <c r="C34" s="77" t="n"/>
      <c r="D34" s="77" t="n"/>
      <c r="E34" s="42" t="n"/>
      <c r="F34" s="42" t="n"/>
      <c r="G34" s="25" t="n"/>
    </row>
    <row r="35">
      <c r="B35" s="73" t="n"/>
      <c r="C35" s="74" t="n"/>
      <c r="D35" s="74" t="n"/>
      <c r="E35" s="75" t="n"/>
      <c r="F35" s="75" t="n"/>
      <c r="G35" s="76" t="n"/>
    </row>
    <row r="36">
      <c r="B36" s="23" t="n"/>
      <c r="C36" s="77" t="n"/>
      <c r="D36" s="77" t="n"/>
      <c r="E36" s="42" t="n"/>
      <c r="F36" s="42" t="n"/>
      <c r="G36" s="25" t="n"/>
    </row>
    <row r="37">
      <c r="B37" s="73" t="n"/>
      <c r="C37" s="74" t="n"/>
      <c r="D37" s="74" t="n"/>
      <c r="E37" s="75" t="n"/>
      <c r="F37" s="75" t="n"/>
      <c r="G37" s="76" t="n"/>
    </row>
    <row r="38">
      <c r="B38" s="23" t="n"/>
      <c r="C38" s="77" t="n"/>
      <c r="D38" s="77" t="n"/>
      <c r="E38" s="42" t="n"/>
      <c r="F38" s="42" t="n"/>
      <c r="G38" s="25" t="n"/>
    </row>
    <row r="39">
      <c r="B39" s="73" t="n"/>
      <c r="C39" s="74" t="n"/>
      <c r="D39" s="74" t="n"/>
      <c r="E39" s="75" t="n"/>
      <c r="F39" s="75" t="n"/>
      <c r="G39" s="76" t="n"/>
    </row>
    <row r="40">
      <c r="B40" s="23" t="n"/>
      <c r="C40" s="77" t="n"/>
      <c r="D40" s="77" t="n"/>
      <c r="E40" s="42" t="n"/>
      <c r="F40" s="42" t="n"/>
      <c r="G40" s="25" t="n"/>
    </row>
    <row r="41">
      <c r="B41" s="73" t="n"/>
      <c r="C41" s="74" t="n"/>
      <c r="D41" s="74" t="n"/>
      <c r="E41" s="75" t="n"/>
      <c r="F41" s="75" t="n"/>
      <c r="G41" s="76" t="n"/>
    </row>
    <row r="42">
      <c r="B42" s="23" t="n"/>
      <c r="C42" s="77" t="n"/>
      <c r="D42" s="77" t="n"/>
      <c r="E42" s="42" t="n"/>
      <c r="F42" s="42" t="n"/>
      <c r="G42" s="25" t="n"/>
    </row>
    <row r="43">
      <c r="B43" s="73" t="n"/>
      <c r="C43" s="74" t="n"/>
      <c r="D43" s="74" t="n"/>
      <c r="E43" s="75" t="n"/>
      <c r="F43" s="75" t="n"/>
      <c r="G43" s="76" t="n"/>
    </row>
    <row r="44">
      <c r="B44" s="23" t="n"/>
      <c r="C44" s="77" t="n"/>
      <c r="D44" s="77" t="n"/>
      <c r="E44" s="42" t="n"/>
      <c r="F44" s="42" t="n"/>
      <c r="G44" s="25" t="n"/>
    </row>
    <row r="46">
      <c r="B46" s="26" t="inlineStr">
        <is>
          <t>Value on the shelf</t>
        </is>
      </c>
      <c r="F46" s="52">
        <f>SUM(SupValue)</f>
        <v/>
      </c>
    </row>
    <row r="47">
      <c r="B47" s="26" t="inlineStr">
        <is>
          <t>Items to reorder</t>
        </is>
      </c>
      <c r="F47" s="37">
        <f>COUNTIF(SupFlag,"REORDER")</f>
        <v/>
      </c>
    </row>
  </sheetData>
  <mergeCells count="2">
    <mergeCell ref="A2:G2"/>
    <mergeCell ref="A1:G1"/>
  </mergeCells>
  <conditionalFormatting sqref="G5:G44">
    <cfRule type="cellIs" priority="1" operator="equal" dxfId="0">
      <formula>"REORDER"</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 customWidth="1" min="1" max="1"/>
    <col width="24" customWidth="1" min="2" max="2"/>
    <col width="18" customWidth="1" min="3" max="3"/>
    <col width="18" customWidth="1" min="4" max="4"/>
    <col width="18" customWidth="1" min="5" max="5"/>
    <col width="18" customWidth="1" min="6" max="6"/>
    <col width="2" customWidth="1" min="7" max="7"/>
  </cols>
  <sheetData>
    <row r="1" ht="46" customHeight="1">
      <c r="A1" s="1" t="inlineStr">
        <is>
          <t xml:space="preserve">  🏦  TAX SET-ASIDE</t>
        </is>
      </c>
    </row>
    <row r="2" ht="22" customHeight="1">
      <c r="A2" s="2" t="inlineStr">
        <is>
          <t xml:space="preserve">  A quarter of what you earned is not yours. Move it before you spend it.</t>
        </is>
      </c>
    </row>
    <row r="3" ht="6" customHeight="1">
      <c r="A3" s="3" t="n"/>
      <c r="B3" s="3" t="n"/>
      <c r="C3" s="3" t="n"/>
      <c r="D3" s="3" t="n"/>
      <c r="E3" s="3" t="n"/>
      <c r="F3" s="3" t="n"/>
    </row>
    <row r="4" ht="30" customHeight="1">
      <c r="B4" s="9" t="inlineStr">
        <is>
          <t>Quarter</t>
        </is>
      </c>
      <c r="C4" s="9" t="inlineStr">
        <is>
          <t>Income</t>
        </is>
      </c>
      <c r="D4" s="9" t="inlineStr">
        <is>
          <t>Set aside</t>
        </is>
      </c>
      <c r="E4" s="9" t="inlineStr">
        <is>
          <t>Estimated due</t>
        </is>
      </c>
      <c r="F4" s="9" t="inlineStr">
        <is>
          <t>Short by</t>
        </is>
      </c>
    </row>
    <row r="5">
      <c r="B5" s="20" t="inlineStr">
        <is>
          <t>Q1</t>
        </is>
      </c>
      <c r="C5" s="53" t="n">
        <v>21400</v>
      </c>
      <c r="D5" s="53" t="n">
        <v>1700</v>
      </c>
      <c r="E5" s="53" t="n">
        <v>3900</v>
      </c>
      <c r="F5" s="54">
        <f>MAX(E5-D5,0)</f>
        <v/>
      </c>
    </row>
    <row r="6">
      <c r="B6" s="23" t="inlineStr">
        <is>
          <t>Q2</t>
        </is>
      </c>
      <c r="C6" s="55" t="n">
        <v>22800</v>
      </c>
      <c r="D6" s="55" t="n">
        <v>2100</v>
      </c>
      <c r="E6" s="55" t="n">
        <v>4000</v>
      </c>
      <c r="F6" s="56">
        <f>MAX(E6-D6,0)</f>
        <v/>
      </c>
    </row>
    <row r="7">
      <c r="B7" s="20" t="inlineStr">
        <is>
          <t>Q3</t>
        </is>
      </c>
      <c r="C7" s="53" t="n">
        <v>23600</v>
      </c>
      <c r="D7" s="53" t="n">
        <v>2600</v>
      </c>
      <c r="E7" s="53" t="n">
        <v>4050</v>
      </c>
      <c r="F7" s="54">
        <f>MAX(E7-D7,0)</f>
        <v/>
      </c>
    </row>
    <row r="8">
      <c r="B8" s="23" t="inlineStr">
        <is>
          <t>Q4</t>
        </is>
      </c>
      <c r="C8" s="55" t="n">
        <v>24200</v>
      </c>
      <c r="D8" s="55" t="n">
        <v>0</v>
      </c>
      <c r="E8" s="55" t="n">
        <v>4050</v>
      </c>
      <c r="F8" s="56">
        <f>MAX(E8-D8,0)</f>
        <v/>
      </c>
    </row>
    <row r="9">
      <c r="B9" s="9" t="inlineStr">
        <is>
          <t>THE YEAR</t>
        </is>
      </c>
      <c r="C9" s="46">
        <f>SUM(TaxIncome)</f>
        <v/>
      </c>
      <c r="D9" s="45">
        <f>SUM(TaxSaved)</f>
        <v/>
      </c>
      <c r="E9" s="46">
        <f>SUM(TaxDue)</f>
        <v/>
      </c>
      <c r="F9" s="47">
        <f>MAX(E9-D9,0)</f>
        <v/>
      </c>
    </row>
    <row r="11">
      <c r="B11" s="26" t="inlineStr">
        <is>
          <t>You should set aside this month</t>
        </is>
      </c>
      <c r="D11" s="78">
        <f>YourPay*TaxRate</f>
        <v/>
      </c>
    </row>
    <row r="12">
      <c r="B12" s="26" t="inlineStr">
        <is>
          <t>Reserve funded against goal</t>
        </is>
      </c>
      <c r="D12" s="79">
        <f>IFERROR(TaxReserve/TaxReserveGoal,0)</f>
        <v/>
      </c>
    </row>
    <row r="14">
      <c r="B14" s="4" t="inlineStr">
        <is>
          <t>Self-employment tax is the bill that ends home daycares. Move the money the day it lands.</t>
        </is>
      </c>
    </row>
  </sheetData>
  <mergeCells count="2">
    <mergeCell ref="A2:F2"/>
    <mergeCell ref="A1:F1"/>
  </mergeCells>
  <conditionalFormatting sqref="F5:F8">
    <cfRule type="cellIs" priority="1" operator="greaterThan" dxfId="0">
      <formula>0</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2" customWidth="1" min="1" max="1"/>
    <col width="38" customWidth="1" min="2" max="2"/>
    <col width="18" customWidth="1" min="3" max="3"/>
    <col width="2" customWidth="1" min="4" max="4"/>
  </cols>
  <sheetData>
    <row r="1" ht="46" customHeight="1">
      <c r="A1" s="1" t="inlineStr">
        <is>
          <t xml:space="preserve">  📈  MONTHLY SUMMARY</t>
        </is>
      </c>
    </row>
    <row r="2" ht="22" customHeight="1">
      <c r="A2" s="2" t="inlineStr">
        <is>
          <t xml:space="preserve">  Revenue in, costs out, and what is actually yours at the end of it.</t>
        </is>
      </c>
    </row>
    <row r="3" ht="6" customHeight="1">
      <c r="A3" s="3" t="n"/>
      <c r="B3" s="3" t="n"/>
      <c r="C3" s="3" t="n"/>
    </row>
    <row r="5">
      <c r="B5" s="4" t="inlineStr">
        <is>
          <t>THIS MONTH</t>
        </is>
      </c>
    </row>
    <row r="6">
      <c r="B6" s="26" t="inlineStr">
        <is>
          <t>Tuition billed</t>
        </is>
      </c>
      <c r="C6" s="32">
        <f>TuitionBilled</f>
        <v/>
      </c>
    </row>
    <row r="7">
      <c r="B7" s="26" t="inlineStr">
        <is>
          <t>+ Late &amp; activity fees</t>
        </is>
      </c>
      <c r="C7" s="53" t="n">
        <v>180</v>
      </c>
    </row>
    <row r="8">
      <c r="B8" s="26" t="inlineStr">
        <is>
          <t>+ Food program (CACFP)</t>
        </is>
      </c>
      <c r="C8" s="32">
        <f>CACFP</f>
        <v/>
      </c>
    </row>
    <row r="9">
      <c r="B9" s="9">
        <f> TOTAL REVENUE</f>
        <v/>
      </c>
      <c r="C9" s="57">
        <f>TuitionBilled+LateFees+CACFP</f>
        <v/>
      </c>
    </row>
    <row r="10">
      <c r="B10" s="26" t="inlineStr">
        <is>
          <t>− Total costs (fixed + per child)</t>
        </is>
      </c>
      <c r="C10" s="32">
        <f>TotalCosts</f>
        <v/>
      </c>
    </row>
    <row r="12">
      <c r="B12" s="9">
        <f> YOUR PAY (BEFORE TAX)</f>
        <v/>
      </c>
      <c r="C12" s="80">
        <f>Revenue-TotalCosts</f>
        <v/>
      </c>
    </row>
    <row r="13">
      <c r="B13" s="9">
        <f> MARGIN</f>
        <v/>
      </c>
      <c r="C13" s="36">
        <f>IFERROR(YourPay/Revenue,0)</f>
        <v/>
      </c>
    </row>
    <row r="14">
      <c r="B14" s="9">
        <f> YOUR PAY PER HOUR OPEN</f>
        <v/>
      </c>
      <c r="C14" s="81">
        <f>IFERROR(YourPay/(OpenHours*WeeksMonth),0)</f>
        <v/>
      </c>
    </row>
    <row r="15">
      <c r="B15" s="9" t="inlineStr">
        <is>
          <t>− tax set-aside = WHAT YOU REALLY KEEP PER HOUR</t>
        </is>
      </c>
      <c r="C15" s="82">
        <f>PayPerHour*(1-TaxRate)</f>
        <v/>
      </c>
    </row>
    <row r="16">
      <c r="B16" s="9">
        <f> RUN-RATE YEAR</f>
        <v/>
      </c>
      <c r="C16" s="57">
        <f>YourPay*12</f>
        <v/>
      </c>
    </row>
    <row r="18">
      <c r="B18" s="4" t="inlineStr">
        <is>
          <t>THE TREND</t>
        </is>
      </c>
    </row>
    <row r="19" ht="30" customHeight="1">
      <c r="B19" s="9" t="inlineStr">
        <is>
          <t>Month</t>
        </is>
      </c>
      <c r="C19" s="9" t="inlineStr">
        <is>
          <t>Revenue</t>
        </is>
      </c>
    </row>
    <row r="20">
      <c r="B20" s="20" t="inlineStr">
        <is>
          <t>Feb</t>
        </is>
      </c>
      <c r="C20" s="53" t="n">
        <v>10940</v>
      </c>
    </row>
    <row r="21">
      <c r="B21" s="23" t="inlineStr">
        <is>
          <t>Mar</t>
        </is>
      </c>
      <c r="C21" s="55" t="n">
        <v>11480</v>
      </c>
    </row>
    <row r="22">
      <c r="B22" s="20" t="inlineStr">
        <is>
          <t>Apr</t>
        </is>
      </c>
      <c r="C22" s="53" t="n">
        <v>12060</v>
      </c>
    </row>
    <row r="23">
      <c r="B23" s="23" t="inlineStr">
        <is>
          <t>May</t>
        </is>
      </c>
      <c r="C23" s="55" t="n">
        <v>12510</v>
      </c>
    </row>
    <row r="24">
      <c r="B24" s="20" t="inlineStr">
        <is>
          <t>Jun</t>
        </is>
      </c>
      <c r="C24" s="53" t="n">
        <v>12880</v>
      </c>
    </row>
    <row r="25">
      <c r="B25" s="23" t="inlineStr">
        <is>
          <t>Jul</t>
        </is>
      </c>
      <c r="C25" s="55" t="n">
        <v>13145</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2" customWidth="1" min="1" max="1"/>
    <col width="38" customWidth="1" min="2" max="2"/>
    <col width="20" customWidth="1" min="3" max="3"/>
    <col width="3" customWidth="1" min="4" max="4"/>
    <col width="20" customWidth="1" min="5" max="5"/>
    <col width="20" customWidth="1" min="6" max="6"/>
    <col width="20" customWidth="1" min="7" max="7"/>
    <col width="20" customWidth="1" min="8" max="8"/>
    <col width="20" customWidth="1" min="9" max="9"/>
    <col width="20" customWidth="1" min="10" max="10"/>
  </cols>
  <sheetData>
    <row r="1" ht="46" customHeight="1">
      <c r="A1" s="1" t="inlineStr">
        <is>
          <t xml:space="preserve">  ⚙  SETTINGS</t>
        </is>
      </c>
    </row>
    <row r="2" ht="22" customHeight="1">
      <c r="A2" s="2" t="inlineStr">
        <is>
          <t xml:space="preserve">  Set your rates &amp; goals once — every tab follows.</t>
        </is>
      </c>
    </row>
    <row r="3" ht="6" customHeight="1">
      <c r="A3" s="3" t="n"/>
      <c r="B3" s="3" t="n"/>
      <c r="C3" s="3" t="n"/>
      <c r="D3" s="3" t="n"/>
      <c r="E3" s="3" t="n"/>
      <c r="F3" s="3" t="n"/>
      <c r="G3" s="3" t="n"/>
      <c r="H3" s="3" t="n"/>
      <c r="I3" s="3" t="n"/>
      <c r="J3" s="3" t="n"/>
    </row>
    <row r="5">
      <c r="B5" s="7" t="inlineStr">
        <is>
          <t>YOUR RATES &amp; GOALS</t>
        </is>
      </c>
      <c r="E5" s="4" t="inlineStr">
        <is>
          <t>DROPDOWN LISTS</t>
        </is>
      </c>
    </row>
    <row r="6">
      <c r="B6" s="26" t="inlineStr">
        <is>
          <t>Program</t>
        </is>
      </c>
      <c r="C6" s="69" t="inlineStr">
        <is>
          <t>Little Acorns Home Childcare</t>
        </is>
      </c>
      <c r="E6" s="9" t="inlineStr">
        <is>
          <t>Schedule</t>
        </is>
      </c>
      <c r="F6" s="9" t="inlineStr">
        <is>
          <t>Payment status</t>
        </is>
      </c>
      <c r="G6" s="9" t="inlineStr">
        <is>
          <t>Age group</t>
        </is>
      </c>
      <c r="H6" s="9" t="inlineStr">
        <is>
          <t>Expense category</t>
        </is>
      </c>
      <c r="I6" s="9" t="inlineStr">
        <is>
          <t>Yes / No</t>
        </is>
      </c>
    </row>
    <row r="7">
      <c r="B7" s="26" t="inlineStr">
        <is>
          <t>Provider</t>
        </is>
      </c>
      <c r="C7" s="69" t="inlineStr">
        <is>
          <t>Dana</t>
        </is>
      </c>
      <c r="E7" s="20" t="inlineStr">
        <is>
          <t>Full time</t>
        </is>
      </c>
      <c r="F7" s="20" t="inlineStr">
        <is>
          <t>Paid</t>
        </is>
      </c>
      <c r="G7" s="20" t="inlineStr">
        <is>
          <t>Infant</t>
        </is>
      </c>
      <c r="H7" s="20" t="inlineStr">
        <is>
          <t>Payroll</t>
        </is>
      </c>
      <c r="I7" s="20" t="inlineStr">
        <is>
          <t>Yes</t>
        </is>
      </c>
    </row>
    <row r="8">
      <c r="B8" s="26" t="inlineStr">
        <is>
          <t>Licensed capacity</t>
        </is>
      </c>
      <c r="C8" s="34" t="n">
        <v>12</v>
      </c>
      <c r="E8" s="20" t="inlineStr">
        <is>
          <t>Part time</t>
        </is>
      </c>
      <c r="F8" s="20" t="inlineStr">
        <is>
          <t>Due</t>
        </is>
      </c>
      <c r="G8" s="20" t="inlineStr">
        <is>
          <t>Toddler</t>
        </is>
      </c>
      <c r="H8" s="20" t="inlineStr">
        <is>
          <t>Insurance</t>
        </is>
      </c>
      <c r="I8" s="20" t="inlineStr">
        <is>
          <t>No</t>
        </is>
      </c>
    </row>
    <row r="9">
      <c r="B9" s="26" t="inlineStr">
        <is>
          <t>Full-time weekly rate</t>
        </is>
      </c>
      <c r="C9" s="39" t="n">
        <v>245</v>
      </c>
      <c r="E9" s="20" t="inlineStr">
        <is>
          <t>Before/after school</t>
        </is>
      </c>
      <c r="F9" s="20" t="inlineStr">
        <is>
          <t>Late</t>
        </is>
      </c>
      <c r="G9" s="20" t="inlineStr">
        <is>
          <t>Preschool</t>
        </is>
      </c>
      <c r="H9" s="20" t="inlineStr">
        <is>
          <t>Home &amp; utilities</t>
        </is>
      </c>
    </row>
    <row r="10">
      <c r="B10" s="26" t="inlineStr">
        <is>
          <t>Weeks per month</t>
        </is>
      </c>
      <c r="C10" s="83" t="n">
        <v>4.33</v>
      </c>
      <c r="E10" s="20" t="inlineStr">
        <is>
          <t>Drop-in</t>
        </is>
      </c>
      <c r="F10" s="20" t="inlineStr">
        <is>
          <t>Partial</t>
        </is>
      </c>
      <c r="G10" s="20" t="inlineStr">
        <is>
          <t>School age</t>
        </is>
      </c>
      <c r="H10" s="20" t="inlineStr">
        <is>
          <t>Food</t>
        </is>
      </c>
    </row>
    <row r="11">
      <c r="B11" s="26" t="inlineStr">
        <is>
          <t>Hours open per week</t>
        </is>
      </c>
      <c r="C11" s="34" t="n">
        <v>50</v>
      </c>
      <c r="E11" s="20" t="inlineStr">
        <is>
          <t>Summer only</t>
        </is>
      </c>
      <c r="F11" s="20" t="inlineStr">
        <is>
          <t>Subsidy pending</t>
        </is>
      </c>
      <c r="H11" s="20" t="inlineStr">
        <is>
          <t>Supplies</t>
        </is>
      </c>
    </row>
    <row r="12">
      <c r="B12" s="26" t="inlineStr">
        <is>
          <t>Caregivers on staff (incl. you)</t>
        </is>
      </c>
      <c r="C12" s="34" t="n">
        <v>2</v>
      </c>
      <c r="H12" s="20" t="inlineStr">
        <is>
          <t>Training</t>
        </is>
      </c>
    </row>
    <row r="13">
      <c r="B13" s="26" t="inlineStr">
        <is>
          <t>Tax set-aside rate</t>
        </is>
      </c>
      <c r="C13" s="84" t="n">
        <v>0.25</v>
      </c>
      <c r="H13" s="20" t="inlineStr">
        <is>
          <t>Vehicle</t>
        </is>
      </c>
    </row>
    <row r="14">
      <c r="B14" s="26" t="inlineStr">
        <is>
          <t>Occupancy goal</t>
        </is>
      </c>
      <c r="C14" s="84" t="n">
        <v>0.9</v>
      </c>
      <c r="H14" s="20" t="inlineStr">
        <is>
          <t>Other</t>
        </is>
      </c>
    </row>
    <row r="15">
      <c r="B15" s="26" t="inlineStr">
        <is>
          <t>Margin goal</t>
        </is>
      </c>
      <c r="C15" s="84" t="n">
        <v>0.25</v>
      </c>
    </row>
    <row r="16">
      <c r="B16" s="26" t="inlineStr">
        <is>
          <t>Break-even cover goal (×)</t>
        </is>
      </c>
      <c r="C16" s="85" t="n">
        <v>1.6</v>
      </c>
    </row>
    <row r="17">
      <c r="B17" s="26" t="inlineStr">
        <is>
          <t>Your hourly goal</t>
        </is>
      </c>
      <c r="C17" s="53" t="n">
        <v>18</v>
      </c>
    </row>
    <row r="18">
      <c r="B18" s="26" t="inlineStr">
        <is>
          <t>Max children per caregiver</t>
        </is>
      </c>
      <c r="C18" s="34" t="n">
        <v>6</v>
      </c>
    </row>
    <row r="19">
      <c r="B19" s="26" t="inlineStr">
        <is>
          <t>Tax reserve goal (year)</t>
        </is>
      </c>
      <c r="C19" s="53" t="n">
        <v>16000</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2026-07-27T00:32:17Z</dcterms:created>
  <dcterms:modified xsi:type="dcterms:W3CDTF">2026-07-27T00:32:17Z</dcterms:modified>
</cp:coreProperties>
</file>