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6.xml" ContentType="application/vnd.openxmlformats-officedocument.drawing+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lcome" sheetId="1" state="visible" r:id="rId1"/>
    <sheet name="Dashboard" sheetId="2" state="visible" r:id="rId2"/>
    <sheet name="Profile" sheetId="3" state="visible" r:id="rId3"/>
    <sheet name="Daily Log" sheetId="4" state="visible" r:id="rId4"/>
    <sheet name="Feeding" sheetId="5" state="visible" r:id="rId5"/>
    <sheet name="Sleep" sheetId="6" state="visible" r:id="rId6"/>
    <sheet name="Diapers" sheetId="7" state="visible" r:id="rId7"/>
    <sheet name="Growth" sheetId="8" state="visible" r:id="rId8"/>
    <sheet name="Milestones" sheetId="9" state="visible" r:id="rId9"/>
    <sheet name="Medical" sheetId="10" state="visible" r:id="rId10"/>
    <sheet name="Appointments" sheetId="11" state="visible" r:id="rId11"/>
    <sheet name="Budget" sheetId="12" state="visible" r:id="rId12"/>
    <sheet name="Shopping" sheetId="13" state="visible" r:id="rId13"/>
    <sheet name="Inventory" sheetId="14" state="visible" r:id="rId14"/>
    <sheet name="Childcare" sheetId="15" state="visible" r:id="rId15"/>
    <sheet name="Routine" sheetId="16" state="visible" r:id="rId16"/>
    <sheet name="Development" sheetId="17" state="visible" r:id="rId17"/>
    <sheet name="Memories" sheetId="18" state="visible" r:id="rId18"/>
    <sheet name="Travel" sheetId="19" state="visible" r:id="rId19"/>
    <sheet name="Family Goals" sheetId="20" state="visible" r:id="rId20"/>
    <sheet name="Analytics" sheetId="21" state="visible" r:id="rId21"/>
    <sheet name="Settings" sheetId="22" state="visible" r:id="rId22"/>
  </sheets>
  <definedNames>
    <definedName name="BabyName">Settings!$C$6</definedName>
    <definedName name="BirthDate">Settings!$C$7</definedName>
    <definedName name="MonthlyBudget">Settings!$C$8</definedName>
    <definedName name="FeedGoal">Settings!$C$9</definedName>
    <definedName name="SleepGoal">Settings!$C$10</definedName>
    <definedName name="FeedTypeList">Settings!$E$7:$E$12</definedName>
    <definedName name="SleepCatList">Settings!$F$7:$F$8</definedName>
    <definedName name="ApptTypeList">Settings!$G$7:$G$12</definedName>
    <definedName name="ExpenseCatList">Settings!$H$7:$H$18</definedName>
    <definedName name="MilestoneCatList">Settings!$I$7:$I$14</definedName>
    <definedName name="SizeList">Settings!$J$7:$J$13</definedName>
    <definedName name="SupplyCatList">Settings!$K$7:$K$14</definedName>
    <definedName name="MiscList">Settings!$L$7:$L$18</definedName>
    <definedName name="DiaperTypeList">Settings!$L$12:$L$15</definedName>
    <definedName name="StatusList">Settings!$L$7:$L$10</definedName>
    <definedName name="YesNoList">Settings!$L$17:$L$18</definedName>
    <definedName name="RoutineTypeList">Settings!$G$7:$G$11</definedName>
    <definedName name="FeedDate">'Feeding'!$A$5:$A$64</definedName>
    <definedName name="FeedType">'Feeding'!$C$5:$C$64</definedName>
    <definedName name="FeedDayLabels">'Feeding'!H6:H12</definedName>
    <definedName name="FeedDayVals">'Feeding'!I6:I12</definedName>
    <definedName name="SleepDate">'Sleep'!$A$5:$A$54</definedName>
    <definedName name="SleepHrs">'Sleep'!$E$5:$E$54</definedName>
    <definedName name="SleepDayLabels">'Sleep'!I6:I12</definedName>
    <definedName name="SleepDayVals">'Sleep'!J6:J12</definedName>
    <definedName name="DiaperDate">'Diapers'!$A$5:$A$64</definedName>
    <definedName name="DiaperType">'Diapers'!$C$5:$C$64</definedName>
    <definedName name="DiaperDayLabels">'Diapers'!F6:F12</definedName>
    <definedName name="DiaperDayVals">'Diapers'!G6:G12</definedName>
    <definedName name="DiaperTypeLabels">Diapers!$I$6:$I$8</definedName>
    <definedName name="DiaperTypeVals">Diapers!$J$6:$J$8</definedName>
    <definedName name="GrowthDate">'Growth'!$A$5:$A$28</definedName>
    <definedName name="GrowthWeight">'Growth'!$B$5:$B$28</definedName>
    <definedName name="MileCat">'Milestones'!$A$5:$A$34</definedName>
    <definedName name="MileName">'Milestones'!$B$5:$B$34</definedName>
    <definedName name="MileDate">'Milestones'!$C$5:$C$34</definedName>
    <definedName name="MileCatLabels">Milestones!$G$6:$G$13</definedName>
    <definedName name="MileCatVals">Milestones!$H$6:$H$13</definedName>
    <definedName name="MedType">'Medical'!$B$5:$B$44</definedName>
    <definedName name="MedStatus">'Medical'!$E$5:$E$44</definedName>
    <definedName name="ApptDate">'Appointments'!$C$5:$C$44</definedName>
    <definedName name="BudgetCat">'Budget'!$A$5:$A$16</definedName>
    <definedName name="BudgetActual">'Budget'!$C$5:$C$16</definedName>
    <definedName name="BudgetTotalPlanned">Budget!$B$17</definedName>
    <definedName name="BudgetTotalActual">Budget!$C$17</definedName>
    <definedName name="RoutineDone">'Routine'!$J$5:$J$26</definedName>
    <definedName name="GoalName">'Family Goals'!$A$5:$A$34</definedName>
    <definedName name="GoalProgress">'Family Goals'!$D$5:$D$34</definedName>
  </definedNames>
  <calcPr calcId="124519" fullCalcOnLoad="1"/>
</workbook>
</file>

<file path=xl/styles.xml><?xml version="1.0" encoding="utf-8"?>
<styleSheet xmlns="http://schemas.openxmlformats.org/spreadsheetml/2006/main">
  <numFmts count="7">
    <numFmt numFmtId="164" formatCode="yyyy-mm-dd"/>
    <numFmt numFmtId="165" formatCode="mm/dd/yyyy"/>
    <numFmt numFmtId="166" formatCode="&quot;$&quot;#,##0"/>
    <numFmt numFmtId="167" formatCode="mm/dd"/>
    <numFmt numFmtId="168" formatCode="0.0"/>
    <numFmt numFmtId="169" formatCode="0;[Red]-0"/>
    <numFmt numFmtId="170" formatCode="&quot;$&quot;#,##0;[Red]-&quot;$&quot;#,##0"/>
  </numFmts>
  <fonts count="16">
    <font>
      <name val="Calibri"/>
      <family val="2"/>
      <color theme="1"/>
      <sz val="11"/>
      <scheme val="minor"/>
    </font>
    <font>
      <name val="Calibri"/>
      <b val="1"/>
      <color rgb="00FFFFFF"/>
      <sz val="24"/>
    </font>
    <font>
      <name val="Calibri"/>
      <i val="1"/>
      <color rgb="00E5D3BA"/>
      <sz val="11"/>
    </font>
    <font>
      <name val="Calibri"/>
      <b val="1"/>
      <color rgb="001B4F48"/>
      <sz val="12"/>
    </font>
    <font>
      <name val="Calibri"/>
      <b val="1"/>
      <color rgb="00937356"/>
      <sz val="12"/>
    </font>
    <font>
      <name val="Calibri"/>
      <b val="1"/>
      <color rgb="00FFFFFF"/>
      <sz val="11"/>
    </font>
    <font>
      <name val="Calibri"/>
      <color rgb="00333333"/>
      <sz val="11"/>
    </font>
    <font>
      <name val="Calibri"/>
      <b val="1"/>
      <color rgb="001B4F48"/>
      <sz val="11"/>
    </font>
    <font>
      <name val="Calibri"/>
      <b val="1"/>
      <color rgb="00937356"/>
      <sz val="10"/>
    </font>
    <font>
      <name val="Calibri"/>
      <b val="1"/>
      <i val="1"/>
      <color rgb="00937356"/>
      <sz val="11"/>
    </font>
    <font>
      <color rgb="00333333"/>
      <sz val="11"/>
    </font>
    <font>
      <color rgb="00937356"/>
      <sz val="12"/>
    </font>
    <font>
      <b val="1"/>
      <color rgb="001B4F48"/>
    </font>
    <font>
      <b val="1"/>
      <color rgb="001B4F48"/>
      <sz val="46"/>
    </font>
    <font>
      <b val="1"/>
      <color rgb="00937356"/>
      <sz val="9"/>
    </font>
    <font>
      <b val="1"/>
      <color rgb="001B4F48"/>
      <sz val="18"/>
    </font>
  </fonts>
  <fills count="10">
    <fill>
      <patternFill/>
    </fill>
    <fill>
      <patternFill patternType="gray125"/>
    </fill>
    <fill>
      <patternFill patternType="solid">
        <fgColor rgb="001B4F48"/>
      </patternFill>
    </fill>
    <fill>
      <patternFill patternType="solid">
        <fgColor rgb="00E5D3BA"/>
      </patternFill>
    </fill>
    <fill>
      <patternFill patternType="solid">
        <fgColor rgb="00FAF7F1"/>
      </patternFill>
    </fill>
    <fill>
      <patternFill patternType="solid">
        <fgColor rgb="00C9A86A"/>
      </patternFill>
    </fill>
    <fill>
      <patternFill patternType="solid">
        <fgColor rgb="00FBF0E2"/>
      </patternFill>
    </fill>
    <fill>
      <patternFill patternType="solid">
        <fgColor rgb="00FFFFFF"/>
      </patternFill>
    </fill>
    <fill>
      <patternFill patternType="solid">
        <fgColor rgb="00F4ECDE"/>
      </patternFill>
    </fill>
    <fill>
      <patternFill patternType="solid">
        <fgColor rgb="00FBF8F2"/>
      </patternFill>
    </fill>
  </fills>
  <borders count="5">
    <border>
      <left/>
      <right/>
      <top/>
      <bottom/>
      <diagonal/>
    </border>
    <border/>
    <border>
      <left style="thin">
        <color rgb="00D6D2C8"/>
      </left>
      <right style="thin">
        <color rgb="00D6D2C8"/>
      </right>
      <top style="thin">
        <color rgb="00D6D2C8"/>
      </top>
      <bottom style="thin">
        <color rgb="00D6D2C8"/>
      </bottom>
    </border>
    <border>
      <left style="medium">
        <color rgb="00C9A86A"/>
      </left>
      <right style="medium">
        <color rgb="00C9A86A"/>
      </right>
      <top style="medium">
        <color rgb="00C9A86A"/>
      </top>
      <bottom style="medium">
        <color rgb="00C9A86A"/>
      </bottom>
    </border>
    <border>
      <left style="thin">
        <color rgb="00D6D2C8"/>
      </left>
      <right style="thin">
        <color rgb="00D6D2C8"/>
      </right>
      <top style="medium">
        <color rgb="00C9A86A"/>
      </top>
      <bottom style="thin">
        <color rgb="00D6D2C8"/>
      </bottom>
    </border>
  </borders>
  <cellStyleXfs count="13">
    <xf numFmtId="0" fontId="0" fillId="0" borderId="0"/>
    <xf numFmtId="0" fontId="1" fillId="2" borderId="1" applyAlignment="1">
      <alignment horizontal="left" vertical="center" indent="2"/>
    </xf>
    <xf numFmtId="0" fontId="2" fillId="2" borderId="1" applyAlignment="1">
      <alignment horizontal="left" vertical="center" indent="2"/>
    </xf>
    <xf numFmtId="0" fontId="3" fillId="0" borderId="1" applyAlignment="1">
      <alignment horizontal="left" vertical="center"/>
    </xf>
    <xf numFmtId="0" fontId="4" fillId="0" borderId="1" applyAlignment="1">
      <alignment horizontal="left" vertical="center"/>
    </xf>
    <xf numFmtId="0" fontId="5" fillId="2" borderId="2" applyAlignment="1">
      <alignment horizontal="center" vertical="center" wrapText="1"/>
    </xf>
    <xf numFmtId="0" fontId="6" fillId="0" borderId="2" applyAlignment="1">
      <alignment horizontal="center" vertical="center" wrapText="1"/>
    </xf>
    <xf numFmtId="0" fontId="6" fillId="0" borderId="2" applyAlignment="1">
      <alignment horizontal="left" vertical="center" wrapText="1" indent="1"/>
    </xf>
    <xf numFmtId="0" fontId="7" fillId="3" borderId="2" applyAlignment="1">
      <alignment horizontal="center" vertical="center"/>
    </xf>
    <xf numFmtId="0" fontId="8" fillId="4" borderId="2" applyAlignment="1">
      <alignment horizontal="left" vertical="center" indent="1"/>
    </xf>
    <xf numFmtId="0" fontId="7" fillId="0" borderId="2" applyAlignment="1">
      <alignment horizontal="left" vertical="center" indent="1"/>
    </xf>
    <xf numFmtId="0" fontId="9" fillId="4" borderId="3" applyAlignment="1">
      <alignment horizontal="center" vertical="center" wrapText="1"/>
    </xf>
    <xf numFmtId="0" fontId="6" fillId="0" borderId="1" applyAlignment="1">
      <alignment horizontal="left" vertical="top" wrapText="1" indent="1"/>
    </xf>
  </cellStyleXfs>
  <cellXfs count="60">
    <xf numFmtId="0" fontId="0" fillId="0" borderId="0" pivotButton="0" quotePrefix="0" xfId="0"/>
    <xf numFmtId="0" fontId="1" fillId="2" borderId="1" applyAlignment="1" pivotButton="0" quotePrefix="0" xfId="1">
      <alignment horizontal="left" vertical="center" indent="2"/>
    </xf>
    <xf numFmtId="0" fontId="2" fillId="2" borderId="1" applyAlignment="1" pivotButton="0" quotePrefix="0" xfId="2">
      <alignment horizontal="left" vertical="center" indent="2"/>
    </xf>
    <xf numFmtId="0" fontId="0" fillId="5" borderId="0" pivotButton="0" quotePrefix="0" xfId="0"/>
    <xf numFmtId="0" fontId="4" fillId="0" borderId="1" applyAlignment="1" pivotButton="0" quotePrefix="0" xfId="4">
      <alignment horizontal="left" vertical="center"/>
    </xf>
    <xf numFmtId="0" fontId="6" fillId="0" borderId="1" applyAlignment="1" pivotButton="0" quotePrefix="0" xfId="12">
      <alignment horizontal="left" vertical="top" wrapText="1" indent="1"/>
    </xf>
    <xf numFmtId="0" fontId="3" fillId="0" borderId="1" applyAlignment="1" pivotButton="0" quotePrefix="0" xfId="3">
      <alignment horizontal="left" vertical="center"/>
    </xf>
    <xf numFmtId="0" fontId="5" fillId="2" borderId="2" applyAlignment="1" pivotButton="0" quotePrefix="0" xfId="5">
      <alignment horizontal="center" vertical="center" wrapText="1"/>
    </xf>
    <xf numFmtId="0" fontId="10" fillId="6" borderId="2" applyAlignment="1" pivotButton="0" quotePrefix="0" xfId="0">
      <alignment horizontal="left" vertical="top" wrapText="1" indent="1"/>
    </xf>
    <xf numFmtId="0" fontId="0" fillId="6" borderId="0" pivotButton="0" quotePrefix="0" xfId="0"/>
    <xf numFmtId="0" fontId="14" fillId="7" borderId="4" applyAlignment="1" pivotButton="0" quotePrefix="0" xfId="0">
      <alignment horizontal="center" vertical="center"/>
    </xf>
    <xf numFmtId="0" fontId="0" fillId="7" borderId="4" pivotButton="0" quotePrefix="0" xfId="0"/>
    <xf numFmtId="1" fontId="15" fillId="7" borderId="2" applyAlignment="1" pivotButton="0" quotePrefix="0" xfId="0">
      <alignment horizontal="center" vertical="center"/>
    </xf>
    <xf numFmtId="0" fontId="0" fillId="7" borderId="2" pivotButton="0" quotePrefix="0" xfId="0"/>
    <xf numFmtId="0" fontId="15" fillId="7" borderId="2" applyAlignment="1" pivotButton="0" quotePrefix="0" xfId="0">
      <alignment horizontal="center" vertical="center"/>
    </xf>
    <xf numFmtId="168" fontId="15" fillId="7" borderId="2" applyAlignment="1" pivotButton="0" quotePrefix="0" xfId="0">
      <alignment horizontal="center" vertical="center"/>
    </xf>
    <xf numFmtId="166" fontId="15" fillId="7" borderId="2" applyAlignment="1" pivotButton="0" quotePrefix="0" xfId="0">
      <alignment horizontal="center" vertical="center"/>
    </xf>
    <xf numFmtId="9" fontId="15" fillId="7" borderId="2" applyAlignment="1" pivotButton="0" quotePrefix="0" xfId="0">
      <alignment horizontal="center" vertical="center"/>
    </xf>
    <xf numFmtId="0" fontId="8" fillId="4" borderId="2" applyAlignment="1" pivotButton="0" quotePrefix="0" xfId="9">
      <alignment horizontal="left" vertical="center" indent="1"/>
    </xf>
    <xf numFmtId="0" fontId="7" fillId="0" borderId="2" applyAlignment="1" pivotButton="0" quotePrefix="0" xfId="10">
      <alignment horizontal="left" vertical="center" indent="1"/>
    </xf>
    <xf numFmtId="1" fontId="7" fillId="0" borderId="2" applyAlignment="1" pivotButton="0" quotePrefix="0" xfId="10">
      <alignment horizontal="left" vertical="center" indent="1"/>
    </xf>
    <xf numFmtId="0" fontId="11" fillId="0" borderId="2" applyAlignment="1" pivotButton="0" quotePrefix="0" xfId="0">
      <alignment horizontal="center"/>
    </xf>
    <xf numFmtId="0" fontId="6" fillId="0" borderId="2" applyAlignment="1" pivotButton="0" quotePrefix="0" xfId="7">
      <alignment horizontal="left" vertical="center" wrapText="1" indent="1"/>
    </xf>
    <xf numFmtId="168" fontId="7" fillId="0" borderId="2" applyAlignment="1" pivotButton="0" quotePrefix="0" xfId="10">
      <alignment horizontal="left" vertical="center" indent="1"/>
    </xf>
    <xf numFmtId="0" fontId="11" fillId="8" borderId="2" applyAlignment="1" pivotButton="0" quotePrefix="0" xfId="0">
      <alignment horizontal="center"/>
    </xf>
    <xf numFmtId="0" fontId="6" fillId="8" borderId="2" applyAlignment="1" pivotButton="0" quotePrefix="0" xfId="7">
      <alignment horizontal="left" vertical="center" wrapText="1" indent="1"/>
    </xf>
    <xf numFmtId="0" fontId="6" fillId="9" borderId="2" applyAlignment="1" pivotButton="0" quotePrefix="0" xfId="12">
      <alignment horizontal="left" vertical="top" wrapText="1" indent="1"/>
    </xf>
    <xf numFmtId="0" fontId="0" fillId="9" borderId="2" pivotButton="0" quotePrefix="0" xfId="0"/>
    <xf numFmtId="165" fontId="6" fillId="7" borderId="2" applyAlignment="1" pivotButton="0" quotePrefix="0" xfId="6">
      <alignment horizontal="center" vertical="center" wrapText="1"/>
    </xf>
    <xf numFmtId="0" fontId="6" fillId="7" borderId="2" applyAlignment="1" pivotButton="0" quotePrefix="0" xfId="6">
      <alignment horizontal="center" vertical="center" wrapText="1"/>
    </xf>
    <xf numFmtId="0" fontId="6" fillId="7" borderId="2" applyAlignment="1" pivotButton="0" quotePrefix="0" xfId="7">
      <alignment horizontal="left" vertical="center" wrapText="1" indent="1"/>
    </xf>
    <xf numFmtId="165" fontId="6" fillId="8" borderId="2" applyAlignment="1" pivotButton="0" quotePrefix="0" xfId="6">
      <alignment horizontal="center" vertical="center" wrapText="1"/>
    </xf>
    <xf numFmtId="0" fontId="6" fillId="8" borderId="2" applyAlignment="1" pivotButton="0" quotePrefix="0" xfId="6">
      <alignment horizontal="center" vertical="center" wrapText="1"/>
    </xf>
    <xf numFmtId="167" fontId="6" fillId="0" borderId="2" applyAlignment="1" pivotButton="0" quotePrefix="0" xfId="6">
      <alignment horizontal="center" vertical="center" wrapText="1"/>
    </xf>
    <xf numFmtId="0" fontId="6" fillId="0" borderId="2" applyAlignment="1" pivotButton="0" quotePrefix="0" xfId="6">
      <alignment horizontal="center" vertical="center" wrapText="1"/>
    </xf>
    <xf numFmtId="168" fontId="6" fillId="7" borderId="2" applyAlignment="1" pivotButton="0" quotePrefix="0" xfId="6">
      <alignment horizontal="center" vertical="center" wrapText="1"/>
    </xf>
    <xf numFmtId="1" fontId="6" fillId="7" borderId="2" applyAlignment="1" pivotButton="0" quotePrefix="0" xfId="6">
      <alignment horizontal="center" vertical="center" wrapText="1"/>
    </xf>
    <xf numFmtId="168" fontId="6" fillId="8" borderId="2" applyAlignment="1" pivotButton="0" quotePrefix="0" xfId="6">
      <alignment horizontal="center" vertical="center" wrapText="1"/>
    </xf>
    <xf numFmtId="1" fontId="6" fillId="8" borderId="2" applyAlignment="1" pivotButton="0" quotePrefix="0" xfId="6">
      <alignment horizontal="center" vertical="center" wrapText="1"/>
    </xf>
    <xf numFmtId="169" fontId="6" fillId="7" borderId="2" applyAlignment="1" pivotButton="0" quotePrefix="0" xfId="6">
      <alignment horizontal="center" vertical="center" wrapText="1"/>
    </xf>
    <xf numFmtId="169" fontId="6" fillId="8" borderId="2" applyAlignment="1" pivotButton="0" quotePrefix="0" xfId="6">
      <alignment horizontal="center" vertical="center" wrapText="1"/>
    </xf>
    <xf numFmtId="166" fontId="7" fillId="3" borderId="2" applyAlignment="1" pivotButton="0" quotePrefix="0" xfId="8">
      <alignment horizontal="center" vertical="center"/>
    </xf>
    <xf numFmtId="170" fontId="6" fillId="0" borderId="2" applyAlignment="1" pivotButton="0" quotePrefix="0" xfId="6">
      <alignment horizontal="center" vertical="center" wrapText="1"/>
    </xf>
    <xf numFmtId="9" fontId="6" fillId="0" borderId="2" applyAlignment="1" pivotButton="0" quotePrefix="0" xfId="6">
      <alignment horizontal="center" vertical="center" wrapText="1"/>
    </xf>
    <xf numFmtId="166" fontId="7" fillId="0" borderId="2" applyAlignment="1" pivotButton="0" quotePrefix="0" xfId="10">
      <alignment horizontal="left" vertical="center" indent="1"/>
    </xf>
    <xf numFmtId="166" fontId="7" fillId="8" borderId="2" applyAlignment="1" pivotButton="0" quotePrefix="0" xfId="8">
      <alignment horizontal="center" vertical="center"/>
    </xf>
    <xf numFmtId="170" fontId="6" fillId="8" borderId="2" applyAlignment="1" pivotButton="0" quotePrefix="0" xfId="6">
      <alignment horizontal="center" vertical="center" wrapText="1"/>
    </xf>
    <xf numFmtId="9" fontId="6" fillId="8" borderId="2" applyAlignment="1" pivotButton="0" quotePrefix="0" xfId="6">
      <alignment horizontal="center" vertical="center" wrapText="1"/>
    </xf>
    <xf numFmtId="166" fontId="12" fillId="3" borderId="2" applyAlignment="1" pivotButton="0" quotePrefix="0" xfId="6">
      <alignment horizontal="center" vertical="center" wrapText="1"/>
    </xf>
    <xf numFmtId="9" fontId="12" fillId="3" borderId="2" applyAlignment="1" pivotButton="0" quotePrefix="0" xfId="6">
      <alignment horizontal="center" vertical="center" wrapText="1"/>
    </xf>
    <xf numFmtId="166" fontId="6" fillId="7" borderId="2" applyAlignment="1" pivotButton="0" quotePrefix="0" xfId="6">
      <alignment horizontal="center" vertical="center" wrapText="1"/>
    </xf>
    <xf numFmtId="166" fontId="6" fillId="8" borderId="2" applyAlignment="1" pivotButton="0" quotePrefix="0" xfId="6">
      <alignment horizontal="center" vertical="center" wrapText="1"/>
    </xf>
    <xf numFmtId="0" fontId="7" fillId="3" borderId="2" applyAlignment="1" pivotButton="0" quotePrefix="0" xfId="8">
      <alignment horizontal="center" vertical="center"/>
    </xf>
    <xf numFmtId="0" fontId="9" fillId="4" borderId="3" applyAlignment="1" pivotButton="0" quotePrefix="0" xfId="11">
      <alignment horizontal="center" vertical="center" wrapText="1"/>
    </xf>
    <xf numFmtId="9" fontId="6" fillId="7" borderId="2" applyAlignment="1" pivotButton="0" quotePrefix="0" xfId="6">
      <alignment horizontal="center" vertical="center" wrapText="1"/>
    </xf>
    <xf numFmtId="9" fontId="13" fillId="9" borderId="4" applyAlignment="1" pivotButton="0" quotePrefix="0" xfId="0">
      <alignment horizontal="center" vertical="center"/>
    </xf>
    <xf numFmtId="0" fontId="0" fillId="9" borderId="4" pivotButton="0" quotePrefix="0" xfId="0"/>
    <xf numFmtId="0" fontId="2" fillId="9" borderId="1" applyAlignment="1" pivotButton="0" quotePrefix="0" xfId="2">
      <alignment horizontal="left" vertical="center" indent="2"/>
    </xf>
    <xf numFmtId="165" fontId="7" fillId="3" borderId="2" applyAlignment="1" pivotButton="0" quotePrefix="0" xfId="8">
      <alignment horizontal="center" vertical="center"/>
    </xf>
    <xf numFmtId="1" fontId="7" fillId="3" borderId="2" applyAlignment="1" pivotButton="0" quotePrefix="0" xfId="8">
      <alignment horizontal="center" vertical="center"/>
    </xf>
  </cellXfs>
  <cellStyles count="13">
    <cellStyle name="Normal" xfId="0" builtinId="0" hidden="0"/>
    <cellStyle name="title" xfId="1" hidden="0"/>
    <cellStyle name="subtitle" xfId="2" hidden="0"/>
    <cellStyle name="section" xfId="3" hidden="0"/>
    <cellStyle name="section_gold" xfId="4" hidden="0"/>
    <cellStyle name="th" xfId="5" hidden="0"/>
    <cellStyle name="td" xfId="6" hidden="0"/>
    <cellStyle name="td_left" xfId="7" hidden="0"/>
    <cellStyle name="input" xfId="8" hidden="0"/>
    <cellStyle name="field_label" xfId="9" hidden="0"/>
    <cellStyle name="field_value" xfId="10" hidden="0"/>
    <cellStyle name="imgbox" xfId="11" hidden="0"/>
    <cellStyle name="body" xfId="12" hidden="0"/>
  </cellStyles>
  <dxfs count="3">
    <dxf>
      <fill>
        <patternFill patternType="solid">
          <fgColor rgb="00E3F8EF"/>
        </patternFill>
      </fill>
    </dxf>
    <dxf>
      <fill>
        <patternFill patternType="solid">
          <fgColor rgb="00FBF0E2"/>
        </patternFill>
      </fill>
    </dxf>
    <dxf>
      <fill>
        <patternFill patternType="solid">
          <fgColor rgb="00FB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title>
      <tx>
        <rich>
          <a:bodyPr/>
          <a:p>
            <a:pPr>
              <a:defRPr/>
            </a:pPr>
            <a:r>
              <a:t>Feedings per Day</a:t>
            </a:r>
          </a:p>
        </rich>
      </tx>
    </title>
    <plotArea>
      <lineChart>
        <grouping val="standard"/>
        <ser>
          <idx val="0"/>
          <order val="0"/>
          <tx>
            <strRef>
              <f>'Feeding'!I5</f>
            </strRef>
          </tx>
          <spPr>
            <a:ln>
              <a:prstDash val="solid"/>
            </a:ln>
          </spPr>
          <marker>
            <symbol val="none"/>
            <spPr>
              <a:ln>
                <a:prstDash val="solid"/>
              </a:ln>
            </spPr>
          </marker>
          <cat>
            <numRef>
              <f>'Feeding'!$H$6:$H$12</f>
            </numRef>
          </cat>
          <val>
            <numRef>
              <f>'Feeding'!$I$6:$I$12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Sleep Hours per Day</a:t>
            </a:r>
          </a:p>
        </rich>
      </tx>
    </title>
    <plotArea>
      <lineChart>
        <grouping val="standard"/>
        <ser>
          <idx val="0"/>
          <order val="0"/>
          <tx>
            <strRef>
              <f>'Sleep'!J5</f>
            </strRef>
          </tx>
          <spPr>
            <a:ln>
              <a:prstDash val="solid"/>
            </a:ln>
          </spPr>
          <marker>
            <symbol val="none"/>
            <spPr>
              <a:ln>
                <a:prstDash val="solid"/>
              </a:ln>
            </spPr>
          </marker>
          <cat>
            <numRef>
              <f>'Sleep'!$I$6:$I$12</f>
            </numRef>
          </cat>
          <val>
            <numRef>
              <f>'Sleep'!$J$6:$J$12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Weight Over Time</a:t>
            </a:r>
          </a:p>
        </rich>
      </tx>
    </title>
    <plotArea>
      <lineChart>
        <grouping val="standard"/>
        <ser>
          <idx val="0"/>
          <order val="0"/>
          <tx>
            <strRef>
              <f>'Growth'!B4</f>
            </strRef>
          </tx>
          <spPr>
            <a:ln>
              <a:prstDash val="solid"/>
            </a:ln>
          </spPr>
          <marker>
            <symbol val="none"/>
            <spPr>
              <a:ln>
                <a:prstDash val="solid"/>
              </a:ln>
            </spPr>
          </marker>
          <cat>
            <numRef>
              <f>'Growth'!$A$5:$A$9</f>
            </numRef>
          </cat>
          <val>
            <numRef>
              <f>'Growth'!$B$5:$B$9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Baby Spending</a:t>
            </a:r>
          </a:p>
        </rich>
      </tx>
    </title>
    <plotArea>
      <doughnutChart>
        <varyColors val="1"/>
        <ser>
          <idx val="0"/>
          <order val="0"/>
          <tx>
            <strRef>
              <f>'Budget'!C4</f>
            </strRef>
          </tx>
          <spPr>
            <a:ln>
              <a:prstDash val="solid"/>
            </a:ln>
          </spPr>
          <cat>
            <numRef>
              <f>'Budget'!$A$5:$A$16</f>
            </numRef>
          </cat>
          <val>
            <numRef>
              <f>'Budget'!$C$5:$C$16</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Feedings per Day</a:t>
            </a:r>
          </a:p>
        </rich>
      </tx>
    </title>
    <plotArea>
      <lineChart>
        <grouping val="standard"/>
        <ser>
          <idx val="0"/>
          <order val="0"/>
          <tx>
            <strRef>
              <f>'Feeding'!I5</f>
            </strRef>
          </tx>
          <spPr>
            <a:ln>
              <a:prstDash val="solid"/>
            </a:ln>
          </spPr>
          <marker>
            <symbol val="none"/>
            <spPr>
              <a:ln>
                <a:prstDash val="solid"/>
              </a:ln>
            </spPr>
          </marker>
          <cat>
            <numRef>
              <f>'Feeding'!$H$6:$H$12</f>
            </numRef>
          </cat>
          <val>
            <numRef>
              <f>'Feeding'!$I$6:$I$12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Sleep Hours per Day</a:t>
            </a:r>
          </a:p>
        </rich>
      </tx>
    </title>
    <plotArea>
      <lineChart>
        <grouping val="standard"/>
        <ser>
          <idx val="0"/>
          <order val="0"/>
          <tx>
            <strRef>
              <f>'Sleep'!J5</f>
            </strRef>
          </tx>
          <spPr>
            <a:ln>
              <a:prstDash val="solid"/>
            </a:ln>
          </spPr>
          <marker>
            <symbol val="none"/>
            <spPr>
              <a:ln>
                <a:prstDash val="solid"/>
              </a:ln>
            </spPr>
          </marker>
          <cat>
            <numRef>
              <f>'Sleep'!$I$6:$I$12</f>
            </numRef>
          </cat>
          <val>
            <numRef>
              <f>'Sleep'!$J$6:$J$12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Weight Over Time (lb)</a:t>
            </a:r>
          </a:p>
        </rich>
      </tx>
    </title>
    <plotArea>
      <lineChart>
        <grouping val="standard"/>
        <ser>
          <idx val="0"/>
          <order val="0"/>
          <tx>
            <strRef>
              <f>'Growth'!B4</f>
            </strRef>
          </tx>
          <spPr>
            <a:ln>
              <a:prstDash val="solid"/>
            </a:ln>
          </spPr>
          <marker>
            <symbol val="none"/>
            <spPr>
              <a:ln>
                <a:prstDash val="solid"/>
              </a:ln>
            </spPr>
          </marker>
          <cat>
            <numRef>
              <f>'Growth'!$A$5:$A$9</f>
            </numRef>
          </cat>
          <val>
            <numRef>
              <f>'Growth'!$B$5:$B$9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Baby Spending</a:t>
            </a:r>
          </a:p>
        </rich>
      </tx>
    </title>
    <plotArea>
      <doughnutChart>
        <varyColors val="1"/>
        <ser>
          <idx val="0"/>
          <order val="0"/>
          <tx>
            <strRef>
              <f>'Budget'!C4</f>
            </strRef>
          </tx>
          <spPr>
            <a:ln>
              <a:prstDash val="solid"/>
            </a:ln>
          </spPr>
          <cat>
            <numRef>
              <f>'Budget'!$A$5:$A$16</f>
            </numRef>
          </cat>
          <val>
            <numRef>
              <f>'Budget'!$C$5:$C$16</f>
            </numRef>
          </val>
        </ser>
        <dLbls>
          <showLegendKey val="0"/>
          <showVal val="0"/>
          <showCatName val="0"/>
          <showSerName val="0"/>
          <showPercent val="0"/>
          <showBubbleSize val="0"/>
        </dLbls>
        <firstSliceAng val="0"/>
        <holeSize val="10"/>
      </doughnutChart>
    </plotArea>
    <legend>
      <legendPos val="r"/>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Organization by Area</a:t>
            </a:r>
          </a:p>
        </rich>
      </tx>
    </title>
    <plotArea>
      <barChart>
        <barDir val="bar"/>
        <grouping val="clustered"/>
        <ser>
          <idx val="0"/>
          <order val="0"/>
          <tx>
            <strRef>
              <f>'Analytics'!C6</f>
            </strRef>
          </tx>
          <spPr>
            <a:ln>
              <a:prstDash val="solid"/>
            </a:ln>
          </spPr>
          <cat>
            <numRef>
              <f>'Analytics'!$B$7:$B$12</f>
            </numRef>
          </cat>
          <val>
            <numRef>
              <f>'Analytics'!$C$7:$C$12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Sleep Hours (7 days)</a:t>
            </a:r>
          </a:p>
        </rich>
      </tx>
    </title>
    <plotArea>
      <lineChart>
        <grouping val="standard"/>
        <ser>
          <idx val="0"/>
          <order val="0"/>
          <tx>
            <strRef>
              <f>'Sleep'!J5</f>
            </strRef>
          </tx>
          <spPr>
            <a:ln>
              <a:prstDash val="solid"/>
            </a:ln>
          </spPr>
          <marker>
            <symbol val="none"/>
            <spPr>
              <a:ln>
                <a:prstDash val="solid"/>
              </a:ln>
            </spPr>
          </marker>
          <cat>
            <numRef>
              <f>'Sleep'!$I$6:$I$12</f>
            </numRef>
          </cat>
          <val>
            <numRef>
              <f>'Sleep'!$J$6:$J$12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_rels/drawing5.xml.rels><Relationships xmlns="http://schemas.openxmlformats.org/package/2006/relationships"><Relationship Type="http://schemas.openxmlformats.org/officeDocument/2006/relationships/chart" Target="/xl/charts/chart8.xml" Id="rId1" /></Relationships>
</file>

<file path=xl/drawings/_rels/drawing6.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11</row>
      <rowOff>0</rowOff>
    </from>
    <ext cx="4140000" cy="2951999"/>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11</row>
      <rowOff>0</rowOff>
    </from>
    <ext cx="4140000" cy="2951999"/>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29</row>
      <rowOff>0</rowOff>
    </from>
    <ext cx="4140000" cy="2951999"/>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29</row>
      <rowOff>0</rowOff>
    </from>
    <ext cx="4140000" cy="2951999"/>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13</row>
      <rowOff>0</rowOff>
    </from>
    <ext cx="432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13</row>
      <rowOff>0</rowOff>
    </from>
    <ext cx="4320000" cy="27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468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8</row>
      <rowOff>0</rowOff>
    </from>
    <ext cx="432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16</row>
      <rowOff>0</rowOff>
    </from>
    <ext cx="4680000" cy="324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12</row>
      <rowOff>0</rowOff>
    </from>
    <ext cx="468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8.xml.rels><Relationships xmlns="http://schemas.openxmlformats.org/package/2006/relationships"><Relationship Type="http://schemas.openxmlformats.org/officeDocument/2006/relationships/drawing" Target="/xl/drawings/drawing4.xml" Id="rId1" /></Relationships>
</file>

<file path=xl/worksheets/_rels/sheet12.xml.rels><Relationships xmlns="http://schemas.openxmlformats.org/package/2006/relationships"><Relationship Type="http://schemas.openxmlformats.org/officeDocument/2006/relationships/drawing" Target="/xl/drawings/drawing5.xml" Id="rId1" /></Relationships>
</file>

<file path=xl/worksheets/_rels/sheet21.xml.rels><Relationships xmlns="http://schemas.openxmlformats.org/package/2006/relationships"><Relationship Type="http://schemas.openxmlformats.org/officeDocument/2006/relationships/drawing" Target="/xl/drawings/drawing6.xml" Id="rId1" /></Relationships>
</file>

<file path=xl/worksheets/sheet1.xml><?xml version="1.0" encoding="utf-8"?>
<worksheet xmlns="http://schemas.openxmlformats.org/spreadsheetml/2006/main">
  <sheetPr>
    <tabColor rgb="001B4F48"/>
    <outlinePr summaryBelow="1" summaryRight="1"/>
    <pageSetUpPr/>
  </sheetPr>
  <dimension ref="A1:C24"/>
  <sheetViews>
    <sheetView showGridLines="0" workbookViewId="0">
      <selection activeCell="A1" sqref="A1"/>
    </sheetView>
  </sheetViews>
  <sheetFormatPr baseColWidth="8" defaultRowHeight="15"/>
  <cols>
    <col width="3" customWidth="1" min="1" max="1"/>
    <col width="76" customWidth="1" min="2" max="2"/>
    <col width="3" customWidth="1" min="3" max="3"/>
  </cols>
  <sheetData>
    <row r="1" ht="58" customHeight="1">
      <c r="A1" s="1" t="inlineStr">
        <is>
          <t xml:space="preserve">  👶  BABY COMMAND CENTER™</t>
        </is>
      </c>
    </row>
    <row r="2" ht="24" customHeight="1">
      <c r="A2" s="2" t="inlineStr">
        <is>
          <t xml:space="preserve">  The ultimate baby care &amp; family organization system — your whole day in one place.</t>
        </is>
      </c>
    </row>
    <row r="3" ht="6" customHeight="1">
      <c r="A3" s="3" t="n"/>
      <c r="B3" s="3" t="n"/>
      <c r="C3" s="3" t="n"/>
    </row>
    <row r="5">
      <c r="B5" s="4" t="inlineStr">
        <is>
          <t>WELCOME, PARENTS &amp; CAREGIVERS</t>
        </is>
      </c>
    </row>
    <row r="6" ht="22" customHeight="1">
      <c r="B6" s="5" t="inlineStr">
        <is>
          <t>The newborn season is the busiest — and most precious — time. Baby Command Center™ brings feeding, sleep, diapers, growth, health, budget, routines and memories into one warm, organized dashboard, so everyone caring for your little one is on the same page and you can spend less time tracking and more time snuggling.</t>
        </is>
      </c>
    </row>
    <row r="7" ht="22" customHeight="1"/>
    <row r="8" ht="22" customHeight="1"/>
    <row r="10">
      <c r="B10" s="6" t="inlineStr">
        <is>
          <t>START HERE</t>
        </is>
      </c>
    </row>
    <row r="11" ht="22" customHeight="1">
      <c r="B11" s="5" t="inlineStr">
        <is>
          <t>1.  Open Settings and add baby's name, birth date &amp; monthly budget.</t>
        </is>
      </c>
    </row>
    <row r="12" ht="22" customHeight="1">
      <c r="B12" s="5" t="inlineStr">
        <is>
          <t>2.  Fill the Baby Profile (pediatrician, allergies, emergency contacts).</t>
        </is>
      </c>
    </row>
    <row r="13" ht="22" customHeight="1">
      <c r="B13" s="5" t="inlineStr">
        <is>
          <t>3.  Log feedings, sleep &amp; diapers on their tabs — daily totals update themselves.</t>
        </is>
      </c>
    </row>
    <row r="14" ht="22" customHeight="1">
      <c r="B14" s="5" t="inlineStr">
        <is>
          <t>4.  Track growth, milestones, appointments &amp; the baby budget.</t>
        </is>
      </c>
    </row>
    <row r="15" ht="22" customHeight="1">
      <c r="B15" s="5" t="inlineStr">
        <is>
          <t>5.  Watch the Executive Baby Dashboard bring it all together automatically.</t>
        </is>
      </c>
    </row>
    <row r="18" ht="26" customHeight="1">
      <c r="B18" s="7" t="inlineStr">
        <is>
          <t xml:space="preserve">  IMPORTANT — PLEASE READ</t>
        </is>
      </c>
    </row>
    <row r="19" ht="22" customHeight="1">
      <c r="B19" s="8" t="inlineStr">
        <is>
          <t>This workbook is designed as an organization and record-keeping tool for parents and caregivers. It is NOT a medical device and should not replace guidance from qualified healthcare professionals. Always follow your pediatrician's advice for feeding, sleep, growth and health decisions. In an emergency, contact your doctor or local emergency services right away.</t>
        </is>
      </c>
    </row>
    <row r="20" ht="22" customHeight="1">
      <c r="B20" s="9" t="n"/>
    </row>
    <row r="21" ht="22" customHeight="1">
      <c r="B21" s="9" t="n"/>
    </row>
    <row r="22" ht="22" customHeight="1">
      <c r="B22" s="9" t="n"/>
    </row>
    <row r="24">
      <c r="B24" s="4" t="inlineStr">
        <is>
          <t>One organized home for your little one — you've got this.</t>
        </is>
      </c>
    </row>
  </sheetData>
  <mergeCells count="13">
    <mergeCell ref="B12"/>
    <mergeCell ref="B13"/>
    <mergeCell ref="A1:C1"/>
    <mergeCell ref="B18"/>
    <mergeCell ref="A2:C2"/>
    <mergeCell ref="B15"/>
    <mergeCell ref="B11"/>
    <mergeCell ref="B24"/>
    <mergeCell ref="B10"/>
    <mergeCell ref="B19:B22"/>
    <mergeCell ref="B5"/>
    <mergeCell ref="B14"/>
    <mergeCell ref="B6:B8"/>
  </mergeCells>
  <pageMargins left="0.75" right="0.75" top="1" bottom="1" header="0.5" footer="0.5"/>
</worksheet>
</file>

<file path=xl/worksheets/sheet2.xml><?xml version="1.0" encoding="utf-8"?>
<worksheet xmlns="http://schemas.openxmlformats.org/spreadsheetml/2006/main">
  <sheetPr>
    <tabColor rgb="001B4F48"/>
    <outlinePr summaryBelow="1" summaryRight="1"/>
    <pageSetUpPr/>
  </sheetPr>
  <dimension ref="A1:N47"/>
  <sheetViews>
    <sheetView showGridLines="0" workbookViewId="0">
      <selection activeCell="A1" sqref="A1"/>
    </sheetView>
  </sheetViews>
  <sheetFormatPr baseColWidth="8" defaultRowHeight="15"/>
  <cols>
    <col width="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2" customWidth="1" min="14" max="14"/>
  </cols>
  <sheetData>
    <row r="1" ht="56" customHeight="1">
      <c r="A1" s="1" t="inlineStr">
        <is>
          <t xml:space="preserve">  👶  BABY COMMAND CENTER™</t>
        </is>
      </c>
    </row>
    <row r="2" ht="24" customHeight="1">
      <c r="A2" s="2" t="inlineStr">
        <is>
          <t xml:space="preserve">  Feeding, sleep, diapers, growth, health &amp; memories — your whole day, gently organized.</t>
        </is>
      </c>
    </row>
    <row r="3" ht="6" customHeight="1">
      <c r="A3" s="3" t="n"/>
      <c r="B3" s="3" t="n"/>
      <c r="C3" s="3" t="n"/>
      <c r="D3" s="3" t="n"/>
      <c r="E3" s="3" t="n"/>
      <c r="F3" s="3" t="n"/>
      <c r="G3" s="3" t="n"/>
      <c r="H3" s="3" t="n"/>
      <c r="I3" s="3" t="n"/>
      <c r="J3" s="3" t="n"/>
      <c r="K3" s="3" t="n"/>
      <c r="L3" s="3" t="n"/>
      <c r="M3" s="3" t="n"/>
      <c r="N3" s="3" t="n"/>
    </row>
    <row r="5" ht="18" customHeight="1">
      <c r="B5" s="10" t="inlineStr">
        <is>
          <t>AGE (DAYS)</t>
        </is>
      </c>
      <c r="C5" s="11" t="n"/>
      <c r="D5" s="10" t="inlineStr">
        <is>
          <t>FEEDINGS TODAY</t>
        </is>
      </c>
      <c r="E5" s="11" t="n"/>
      <c r="F5" s="10" t="inlineStr">
        <is>
          <t>SLEEP TODAY (H)</t>
        </is>
      </c>
      <c r="G5" s="11" t="n"/>
      <c r="H5" s="10" t="inlineStr">
        <is>
          <t>DIAPERS TODAY</t>
        </is>
      </c>
      <c r="I5" s="11" t="n"/>
      <c r="J5" s="10" t="inlineStr">
        <is>
          <t>NEXT APPT (DAYS)</t>
        </is>
      </c>
      <c r="K5" s="11" t="n"/>
      <c r="L5" s="10" t="inlineStr">
        <is>
          <t>GROWTH ENTRIES</t>
        </is>
      </c>
      <c r="M5" s="11" t="n"/>
    </row>
    <row r="6" ht="40" customHeight="1">
      <c r="B6" s="12">
        <f>TODAY()-BirthDate</f>
        <v/>
      </c>
      <c r="C6" s="13" t="n"/>
      <c r="D6" s="14">
        <f>COUNTIF(FeedDate,TODAY())</f>
        <v/>
      </c>
      <c r="E6" s="13" t="n"/>
      <c r="F6" s="15">
        <f>SUMIF(SleepDate,TODAY(),SleepHrs)</f>
        <v/>
      </c>
      <c r="G6" s="13" t="n"/>
      <c r="H6" s="14">
        <f>COUNTIF(DiaperDate,TODAY())</f>
        <v/>
      </c>
      <c r="I6" s="13" t="n"/>
      <c r="J6" s="12">
        <f>IF(COUNTIF(ApptDate,"&gt;="&amp;TODAY())=0,0,MINIFS(ApptDate,ApptDate,"&gt;="&amp;TODAY())-TODAY())</f>
        <v/>
      </c>
      <c r="K6" s="13" t="n"/>
      <c r="L6" s="14">
        <f>COUNTA(GrowthDate)</f>
        <v/>
      </c>
      <c r="M6" s="13" t="n"/>
    </row>
    <row r="8" ht="18" customHeight="1">
      <c r="B8" s="10" t="inlineStr">
        <is>
          <t>MONTHLY BUDGET</t>
        </is>
      </c>
      <c r="C8" s="11" t="n"/>
      <c r="D8" s="10" t="inlineStr">
        <is>
          <t>MILESTONES</t>
        </is>
      </c>
      <c r="E8" s="11" t="n"/>
      <c r="F8" s="10" t="inlineStr">
        <is>
          <t>VACCINES DONE</t>
        </is>
      </c>
      <c r="G8" s="11" t="n"/>
      <c r="H8" s="10" t="inlineStr">
        <is>
          <t>BUDGET LEFT</t>
        </is>
      </c>
      <c r="I8" s="11" t="n"/>
      <c r="J8" s="10" t="inlineStr">
        <is>
          <t>GOALS PROGRESS</t>
        </is>
      </c>
      <c r="K8" s="11" t="n"/>
      <c r="L8" s="10" t="inlineStr">
        <is>
          <t>ROUTINE DONE</t>
        </is>
      </c>
      <c r="M8" s="11" t="n"/>
    </row>
    <row r="9" ht="40" customHeight="1">
      <c r="B9" s="16">
        <f>MonthlyBudget</f>
        <v/>
      </c>
      <c r="C9" s="13" t="n"/>
      <c r="D9" s="17">
        <f>IFERROR(COUNTIF(MileDate,"&lt;&gt;"&amp;"")/MAX(COUNTA(MileName),1),0)</f>
        <v/>
      </c>
      <c r="E9" s="13" t="n"/>
      <c r="F9" s="17">
        <f>IFERROR(COUNTIFS(MedType,"Vaccination",MedStatus,"Done")/MAX(COUNTIF(MedType,"Vaccination"),1),0)</f>
        <v/>
      </c>
      <c r="G9" s="13" t="n"/>
      <c r="H9" s="16">
        <f>BudgetTotalPlanned-BudgetTotalActual</f>
        <v/>
      </c>
      <c r="I9" s="13" t="n"/>
      <c r="J9" s="17">
        <f>IFERROR(AVERAGE(GoalProgress),0)</f>
        <v/>
      </c>
      <c r="K9" s="13" t="n"/>
      <c r="L9" s="17">
        <f>IFERROR(COUNTIF(RoutineDone,"Yes")/MAX(COUNTA(RoutineDone),1),0)</f>
        <v/>
      </c>
      <c r="M9" s="13" t="n"/>
    </row>
    <row r="11" ht="26" customHeight="1">
      <c r="B11" s="4" t="inlineStr">
        <is>
          <t>DAILY RHYTHMS</t>
        </is>
      </c>
    </row>
    <row r="29" ht="26" customHeight="1">
      <c r="B29" s="4" t="inlineStr">
        <is>
          <t>GROWTH · BUDGET · MILESTONES</t>
        </is>
      </c>
    </row>
    <row r="47" ht="26" customHeight="1">
      <c r="B47" s="2" t="inlineStr">
        <is>
          <t>Organization &amp; record-keeping tool only — not a medical device or a substitute for professional healthcare. See the Welcome tab.</t>
        </is>
      </c>
    </row>
  </sheetData>
  <mergeCells count="29">
    <mergeCell ref="B11:M11"/>
    <mergeCell ref="J5:K5"/>
    <mergeCell ref="F6:G6"/>
    <mergeCell ref="H9:I9"/>
    <mergeCell ref="B29:M29"/>
    <mergeCell ref="A1:N1"/>
    <mergeCell ref="J9:K9"/>
    <mergeCell ref="D6:E6"/>
    <mergeCell ref="H6:I6"/>
    <mergeCell ref="J6:K6"/>
    <mergeCell ref="F5:G5"/>
    <mergeCell ref="L5:M5"/>
    <mergeCell ref="L8:M8"/>
    <mergeCell ref="B8:C8"/>
    <mergeCell ref="F8:G8"/>
    <mergeCell ref="A2:N2"/>
    <mergeCell ref="B9:C9"/>
    <mergeCell ref="D9:E9"/>
    <mergeCell ref="F9:G9"/>
    <mergeCell ref="L9:M9"/>
    <mergeCell ref="D8:E8"/>
    <mergeCell ref="B47:M47"/>
    <mergeCell ref="B6:C6"/>
    <mergeCell ref="L6:M6"/>
    <mergeCell ref="B5:C5"/>
    <mergeCell ref="D5:E5"/>
    <mergeCell ref="H5:I5"/>
    <mergeCell ref="H8:I8"/>
    <mergeCell ref="J8:K8"/>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75E6C1"/>
    <outlinePr summaryBelow="1" summaryRight="1"/>
    <pageSetUpPr/>
  </sheetPr>
  <dimension ref="A1:G18"/>
  <sheetViews>
    <sheetView showGridLines="0" workbookViewId="0">
      <selection activeCell="A1" sqref="A1"/>
    </sheetView>
  </sheetViews>
  <sheetFormatPr baseColWidth="8" defaultRowHeight="15"/>
  <cols>
    <col width="2" customWidth="1" min="1" max="1"/>
    <col width="24" customWidth="1" min="2" max="2"/>
    <col width="26" customWidth="1" min="3" max="3"/>
    <col width="6" customWidth="1" min="4" max="4"/>
    <col width="24" customWidth="1" min="5" max="5"/>
    <col width="26" customWidth="1" min="6" max="6"/>
    <col width="2" customWidth="1" min="7" max="7"/>
  </cols>
  <sheetData>
    <row r="1" ht="46" customHeight="1">
      <c r="A1" s="1" t="inlineStr">
        <is>
          <t xml:space="preserve">  👶  BABY PROFILE</t>
        </is>
      </c>
    </row>
    <row r="2" ht="22" customHeight="1">
      <c r="A2" s="2" t="inlineStr">
        <is>
          <t xml:space="preserve">  Everything about your little one in one secure place.</t>
        </is>
      </c>
    </row>
    <row r="3" ht="6" customHeight="1">
      <c r="A3" s="3" t="n"/>
      <c r="B3" s="3" t="n"/>
      <c r="C3" s="3" t="n"/>
      <c r="D3" s="3" t="n"/>
      <c r="E3" s="3" t="n"/>
      <c r="F3" s="3" t="n"/>
      <c r="G3" s="3" t="n"/>
    </row>
    <row r="5" ht="22" customHeight="1">
      <c r="B5" s="4" t="inlineStr">
        <is>
          <t>BIRTH DETAILS</t>
        </is>
      </c>
    </row>
    <row r="6" ht="24" customHeight="1">
      <c r="B6" s="18" t="inlineStr">
        <is>
          <t>Baby Name</t>
        </is>
      </c>
      <c r="C6" s="19">
        <f>BabyName</f>
        <v/>
      </c>
      <c r="E6" s="18" t="inlineStr">
        <is>
          <t>Birth Date</t>
        </is>
      </c>
      <c r="F6" s="19">
        <f>BirthDate</f>
        <v/>
      </c>
    </row>
    <row r="7" ht="24" customHeight="1">
      <c r="B7" s="18" t="inlineStr">
        <is>
          <t>Birth Time</t>
        </is>
      </c>
      <c r="C7" s="19" t="inlineStr">
        <is>
          <t>3:42 AM</t>
        </is>
      </c>
      <c r="E7" s="18" t="inlineStr">
        <is>
          <t>Birth Weight</t>
        </is>
      </c>
      <c r="F7" s="19" t="inlineStr">
        <is>
          <t>7 lb 6 oz</t>
        </is>
      </c>
    </row>
    <row r="8" ht="24" customHeight="1">
      <c r="B8" s="18" t="inlineStr">
        <is>
          <t>Birth Length</t>
        </is>
      </c>
      <c r="C8" s="19" t="inlineStr">
        <is>
          <t>20 in</t>
        </is>
      </c>
      <c r="E8" s="18" t="inlineStr">
        <is>
          <t>Blood Type</t>
        </is>
      </c>
      <c r="F8" s="19" t="inlineStr">
        <is>
          <t>O+</t>
        </is>
      </c>
    </row>
    <row r="10" ht="22" customHeight="1">
      <c r="B10" s="4" t="inlineStr">
        <is>
          <t>CARE TEAM</t>
        </is>
      </c>
    </row>
    <row r="11" ht="24" customHeight="1">
      <c r="B11" s="18" t="inlineStr">
        <is>
          <t>Pediatrician</t>
        </is>
      </c>
      <c r="C11" s="19" t="inlineStr">
        <is>
          <t>Dr. Ellis</t>
        </is>
      </c>
      <c r="E11" s="18" t="inlineStr">
        <is>
          <t>Clinic Phone</t>
        </is>
      </c>
      <c r="F11" s="19" t="inlineStr">
        <is>
          <t>(555) 210-7788</t>
        </is>
      </c>
    </row>
    <row r="12" ht="24" customHeight="1">
      <c r="B12" s="18" t="inlineStr">
        <is>
          <t>Dentist</t>
        </is>
      </c>
      <c r="C12" s="19" t="inlineStr">
        <is>
          <t>—</t>
        </is>
      </c>
      <c r="E12" s="18" t="inlineStr">
        <is>
          <t>Lactation Consultant</t>
        </is>
      </c>
      <c r="F12" s="19" t="inlineStr">
        <is>
          <t>Maria R.</t>
        </is>
      </c>
    </row>
    <row r="13" ht="24" customHeight="1">
      <c r="B13" s="18" t="inlineStr">
        <is>
          <t>Insurance Provider</t>
        </is>
      </c>
      <c r="C13" s="19" t="inlineStr">
        <is>
          <t>____________</t>
        </is>
      </c>
      <c r="E13" s="18" t="inlineStr">
        <is>
          <t>Policy / Member #</t>
        </is>
      </c>
      <c r="F13" s="19" t="inlineStr">
        <is>
          <t>____________</t>
        </is>
      </c>
    </row>
    <row r="15" ht="22" customHeight="1">
      <c r="B15" s="4" t="inlineStr">
        <is>
          <t>HEALTH &amp; EMERGENCY</t>
        </is>
      </c>
    </row>
    <row r="16" ht="24" customHeight="1">
      <c r="B16" s="18" t="inlineStr">
        <is>
          <t>Allergies</t>
        </is>
      </c>
      <c r="C16" s="19" t="inlineStr">
        <is>
          <t>None known</t>
        </is>
      </c>
      <c r="E16" s="18" t="inlineStr">
        <is>
          <t>Medical Notes</t>
        </is>
      </c>
      <c r="F16" s="19" t="inlineStr">
        <is>
          <t>Mild reflux — see pediatrician</t>
        </is>
      </c>
    </row>
    <row r="17" ht="24" customHeight="1">
      <c r="B17" s="18" t="inlineStr">
        <is>
          <t>Emergency Contact 1</t>
        </is>
      </c>
      <c r="C17" s="19" t="inlineStr">
        <is>
          <t>Mom — (555) 210-4521</t>
        </is>
      </c>
      <c r="E17" s="18" t="inlineStr">
        <is>
          <t>Emergency Contact 2</t>
        </is>
      </c>
      <c r="F17" s="19" t="inlineStr">
        <is>
          <t>Grandma — (555) 661-2048</t>
        </is>
      </c>
    </row>
    <row r="18" ht="24" customHeight="1">
      <c r="B18" s="18" t="inlineStr">
        <is>
          <t>Blood Type</t>
        </is>
      </c>
      <c r="C18" s="19" t="inlineStr">
        <is>
          <t>O+</t>
        </is>
      </c>
      <c r="E18" s="18" t="inlineStr">
        <is>
          <t>Preferred Hospital</t>
        </is>
      </c>
      <c r="F18" s="19" t="inlineStr">
        <is>
          <t>City Children's</t>
        </is>
      </c>
    </row>
  </sheetData>
  <mergeCells count="5">
    <mergeCell ref="A1:G1"/>
    <mergeCell ref="B15:F15"/>
    <mergeCell ref="B10:F10"/>
    <mergeCell ref="B5:F5"/>
    <mergeCell ref="A2:G2"/>
  </mergeCells>
  <pageMargins left="0.75" right="0.75" top="1" bottom="1" header="0.5" footer="0.5"/>
</worksheet>
</file>

<file path=xl/worksheets/sheet4.xml><?xml version="1.0" encoding="utf-8"?>
<worksheet xmlns="http://schemas.openxmlformats.org/spreadsheetml/2006/main">
  <sheetPr>
    <tabColor rgb="00E5D3BA"/>
    <outlinePr summaryBelow="1" summaryRight="1"/>
    <pageSetUpPr/>
  </sheetPr>
  <dimension ref="A1:G19"/>
  <sheetViews>
    <sheetView showGridLines="0" workbookViewId="0">
      <selection activeCell="A1" sqref="A1"/>
    </sheetView>
  </sheetViews>
  <sheetFormatPr baseColWidth="8" defaultRowHeight="15"/>
  <cols>
    <col width="2" customWidth="1" min="1" max="1"/>
    <col width="28" customWidth="1" min="2" max="2"/>
    <col width="18" customWidth="1" min="3" max="3"/>
    <col width="6" customWidth="1" min="4" max="4"/>
    <col width="28" customWidth="1" min="5" max="5"/>
    <col width="18" customWidth="1" min="6" max="6"/>
    <col width="2" customWidth="1" min="7" max="7"/>
  </cols>
  <sheetData>
    <row r="1" ht="46" customHeight="1">
      <c r="A1" s="1" t="inlineStr">
        <is>
          <t xml:space="preserve">  📋  DAILY BABY LOG</t>
        </is>
      </c>
    </row>
    <row r="2" ht="22" customHeight="1">
      <c r="A2" s="2" t="inlineStr">
        <is>
          <t xml:space="preserve">  Today at a glance — pulled together from all your tracking tabs.</t>
        </is>
      </c>
    </row>
    <row r="3" ht="6" customHeight="1">
      <c r="A3" s="3" t="n"/>
      <c r="B3" s="3" t="n"/>
      <c r="C3" s="3" t="n"/>
      <c r="D3" s="3" t="n"/>
      <c r="E3" s="3" t="n"/>
      <c r="F3" s="3" t="n"/>
      <c r="G3" s="3" t="n"/>
    </row>
    <row r="5">
      <c r="B5" s="4" t="inlineStr">
        <is>
          <t>TODAY'S SUMMARY</t>
        </is>
      </c>
      <c r="E5" s="4" t="inlineStr">
        <is>
          <t>TODAY'S CARE CHECKLIST</t>
        </is>
      </c>
    </row>
    <row r="6">
      <c r="B6" s="18" t="inlineStr">
        <is>
          <t>Feedings today</t>
        </is>
      </c>
      <c r="C6" s="20">
        <f>COUNTIF(FeedDate,TODAY())</f>
        <v/>
      </c>
      <c r="E6" s="21" t="inlineStr">
        <is>
          <t>☐</t>
        </is>
      </c>
      <c r="F6" s="22" t="inlineStr">
        <is>
          <t>Morning cuddle &amp; feed</t>
        </is>
      </c>
    </row>
    <row r="7">
      <c r="B7" s="18" t="inlineStr">
        <is>
          <t>Sleep today (hrs)</t>
        </is>
      </c>
      <c r="C7" s="23">
        <f>SUMIF(SleepDate,TODAY(),SleepHrs)</f>
        <v/>
      </c>
      <c r="E7" s="24" t="inlineStr">
        <is>
          <t>☐</t>
        </is>
      </c>
      <c r="F7" s="25" t="inlineStr">
        <is>
          <t>Tummy time (3x)</t>
        </is>
      </c>
    </row>
    <row r="8">
      <c r="B8" s="18" t="inlineStr">
        <is>
          <t>Diaper changes today</t>
        </is>
      </c>
      <c r="C8" s="20">
        <f>COUNTIF(DiaperDate,TODAY())</f>
        <v/>
      </c>
      <c r="E8" s="21" t="inlineStr">
        <is>
          <t>☐</t>
        </is>
      </c>
      <c r="F8" s="22" t="inlineStr">
        <is>
          <t>Bath</t>
        </is>
      </c>
    </row>
    <row r="9">
      <c r="B9" s="18" t="inlineStr">
        <is>
          <t>Wet today</t>
        </is>
      </c>
      <c r="C9" s="20">
        <f>COUNTIFS(DiaperDate,TODAY(),DiaperType,"Wet")</f>
        <v/>
      </c>
      <c r="E9" s="24" t="inlineStr">
        <is>
          <t>☐</t>
        </is>
      </c>
      <c r="F9" s="25" t="inlineStr">
        <is>
          <t>Vitamin D drops</t>
        </is>
      </c>
    </row>
    <row r="10">
      <c r="B10" s="18" t="inlineStr">
        <is>
          <t>Dirty today</t>
        </is>
      </c>
      <c r="C10" s="20">
        <f>COUNTIFS(DiaperDate,TODAY(),DiaperType,"Dirty")</f>
        <v/>
      </c>
      <c r="E10" s="21" t="inlineStr">
        <is>
          <t>☐</t>
        </is>
      </c>
      <c r="F10" s="22" t="inlineStr">
        <is>
          <t>Read a book</t>
        </is>
      </c>
    </row>
    <row r="11">
      <c r="B11" s="18" t="inlineStr">
        <is>
          <t>Baby's age (days)</t>
        </is>
      </c>
      <c r="C11" s="20">
        <f>TODAY()-BirthDate</f>
        <v/>
      </c>
      <c r="E11" s="24" t="inlineStr">
        <is>
          <t>☐</t>
        </is>
      </c>
      <c r="F11" s="25" t="inlineStr">
        <is>
          <t>Outdoor walk</t>
        </is>
      </c>
    </row>
    <row r="12">
      <c r="E12" s="21" t="inlineStr">
        <is>
          <t>☐</t>
        </is>
      </c>
      <c r="F12" s="22" t="inlineStr">
        <is>
          <t>Bedtime routine</t>
        </is>
      </c>
    </row>
    <row r="13">
      <c r="E13" s="24" t="inlineStr">
        <is>
          <t>☐</t>
        </is>
      </c>
      <c r="F13" s="25" t="inlineStr">
        <is>
          <t>Restock diaper bag</t>
        </is>
      </c>
    </row>
    <row r="15">
      <c r="B15" s="6" t="inlineStr">
        <is>
          <t>DAILY HIGHLIGHT &amp; NOTES</t>
        </is>
      </c>
    </row>
    <row r="16">
      <c r="B16" s="26" t="inlineStr">
        <is>
          <t>The little moment you don't want to forget from today...</t>
        </is>
      </c>
      <c r="C16" s="27" t="n"/>
      <c r="D16" s="27" t="n"/>
      <c r="E16" s="27" t="n"/>
      <c r="F16" s="27" t="n"/>
    </row>
    <row r="17">
      <c r="B17" s="27" t="n"/>
      <c r="C17" s="27" t="n"/>
      <c r="D17" s="27" t="n"/>
      <c r="E17" s="27" t="n"/>
      <c r="F17" s="27" t="n"/>
    </row>
    <row r="18">
      <c r="B18" s="27" t="n"/>
      <c r="C18" s="27" t="n"/>
      <c r="D18" s="27" t="n"/>
      <c r="E18" s="27" t="n"/>
      <c r="F18" s="27" t="n"/>
    </row>
    <row r="19">
      <c r="B19" s="27" t="n"/>
      <c r="C19" s="27" t="n"/>
      <c r="D19" s="27" t="n"/>
      <c r="E19" s="27" t="n"/>
      <c r="F19" s="27" t="n"/>
    </row>
  </sheetData>
  <mergeCells count="6">
    <mergeCell ref="A1:G1"/>
    <mergeCell ref="B15:F15"/>
    <mergeCell ref="B5:C5"/>
    <mergeCell ref="B16:F19"/>
    <mergeCell ref="E5:F5"/>
    <mergeCell ref="A2:G2"/>
  </mergeCells>
  <pageMargins left="0.75" right="0.75" top="1" bottom="1" header="0.5" footer="0.5"/>
</worksheet>
</file>

<file path=xl/worksheets/sheet5.xml><?xml version="1.0" encoding="utf-8"?>
<worksheet xmlns="http://schemas.openxmlformats.org/spreadsheetml/2006/main">
  <sheetPr>
    <tabColor rgb="001B4F48"/>
    <outlinePr summaryBelow="1" summaryRight="1"/>
    <pageSetUpPr/>
  </sheetPr>
  <dimension ref="A1:I64"/>
  <sheetViews>
    <sheetView showGridLines="0" workbookViewId="0">
      <pane ySplit="4" topLeftCell="A5" activePane="bottomLeft" state="frozen"/>
      <selection pane="bottomLeft" activeCell="A1" sqref="A1"/>
    </sheetView>
  </sheetViews>
  <sheetFormatPr baseColWidth="8" defaultRowHeight="15"/>
  <cols>
    <col width="13" customWidth="1" min="1" max="1"/>
    <col width="11" customWidth="1" min="2" max="2"/>
    <col width="16" customWidth="1" min="3" max="3"/>
    <col width="11" customWidth="1" min="4" max="4"/>
    <col width="11" customWidth="1" min="5" max="5"/>
    <col width="22" customWidth="1" min="6" max="6"/>
    <col width="3" customWidth="1" min="7" max="7"/>
    <col width="12" customWidth="1" min="8" max="8"/>
    <col width="12" customWidth="1" min="9" max="9"/>
  </cols>
  <sheetData>
    <row r="1" ht="46" customHeight="1">
      <c r="A1" s="1" t="inlineStr">
        <is>
          <t xml:space="preserve">  🍼  FEEDING COMMAND CENTER</t>
        </is>
      </c>
    </row>
    <row r="2" ht="22" customHeight="1">
      <c r="A2" s="2" t="inlineStr">
        <is>
          <t xml:space="preserve">  Every feeding logged — daily counts &amp; trends update automatically.</t>
        </is>
      </c>
    </row>
    <row r="3" ht="6" customHeight="1">
      <c r="A3" s="3" t="n"/>
      <c r="B3" s="3" t="n"/>
      <c r="C3" s="3" t="n"/>
      <c r="D3" s="3" t="n"/>
      <c r="E3" s="3" t="n"/>
      <c r="F3" s="3" t="n"/>
      <c r="G3" s="3" t="n"/>
      <c r="H3" s="3" t="n"/>
      <c r="I3" s="3" t="n"/>
    </row>
    <row r="4" ht="30" customHeight="1">
      <c r="A4" s="7" t="inlineStr">
        <is>
          <t>Date</t>
        </is>
      </c>
      <c r="B4" s="7" t="inlineStr">
        <is>
          <t>Time</t>
        </is>
      </c>
      <c r="C4" s="7" t="inlineStr">
        <is>
          <t>Type</t>
        </is>
      </c>
      <c r="D4" s="7" t="inlineStr">
        <is>
          <t>Amount</t>
        </is>
      </c>
      <c r="E4" s="7" t="inlineStr">
        <is>
          <t>Duration</t>
        </is>
      </c>
      <c r="F4" s="7" t="inlineStr">
        <is>
          <t>Notes</t>
        </is>
      </c>
      <c r="H4" s="4" t="inlineStr">
        <is>
          <t>LAST 7 DAYS</t>
        </is>
      </c>
    </row>
    <row r="5">
      <c r="A5" s="28" t="n">
        <v>46204</v>
      </c>
      <c r="B5" s="29" t="inlineStr">
        <is>
          <t>6:00 AM</t>
        </is>
      </c>
      <c r="C5" s="30" t="inlineStr">
        <is>
          <t>Breast (L)</t>
        </is>
      </c>
      <c r="D5" s="29" t="inlineStr">
        <is>
          <t>15 min</t>
        </is>
      </c>
      <c r="E5" s="29" t="inlineStr">
        <is>
          <t>15 min</t>
        </is>
      </c>
      <c r="F5" s="30" t="inlineStr"/>
      <c r="H5" s="7" t="inlineStr">
        <is>
          <t>Date</t>
        </is>
      </c>
      <c r="I5" s="7" t="inlineStr">
        <is>
          <t>Feedings</t>
        </is>
      </c>
    </row>
    <row r="6">
      <c r="A6" s="31" t="n">
        <v>46204</v>
      </c>
      <c r="B6" s="32" t="inlineStr">
        <is>
          <t>9:00 AM</t>
        </is>
      </c>
      <c r="C6" s="25" t="inlineStr">
        <is>
          <t>Breast (R)</t>
        </is>
      </c>
      <c r="D6" s="32" t="inlineStr">
        <is>
          <t>15 min</t>
        </is>
      </c>
      <c r="E6" s="32" t="inlineStr">
        <is>
          <t>15 min</t>
        </is>
      </c>
      <c r="F6" s="25" t="inlineStr"/>
      <c r="H6" s="33" t="n">
        <v>46198</v>
      </c>
      <c r="I6" s="34">
        <f>COUNTIF(FeedDate,H6)</f>
        <v/>
      </c>
    </row>
    <row r="7">
      <c r="A7" s="28" t="n">
        <v>46204</v>
      </c>
      <c r="B7" s="29" t="inlineStr">
        <is>
          <t>12:00 PM</t>
        </is>
      </c>
      <c r="C7" s="30" t="inlineStr">
        <is>
          <t>Bottle - BM</t>
        </is>
      </c>
      <c r="D7" s="29" t="inlineStr">
        <is>
          <t>4 oz</t>
        </is>
      </c>
      <c r="E7" s="29" t="inlineStr">
        <is>
          <t>15 min</t>
        </is>
      </c>
      <c r="F7" s="30" t="inlineStr"/>
      <c r="H7" s="33" t="n">
        <v>46199</v>
      </c>
      <c r="I7" s="34">
        <f>COUNTIF(FeedDate,H7)</f>
        <v/>
      </c>
    </row>
    <row r="8">
      <c r="A8" s="31" t="n">
        <v>46204</v>
      </c>
      <c r="B8" s="32" t="inlineStr">
        <is>
          <t>3:00 PM</t>
        </is>
      </c>
      <c r="C8" s="25" t="inlineStr">
        <is>
          <t>Bottle - Formula</t>
        </is>
      </c>
      <c r="D8" s="32" t="inlineStr">
        <is>
          <t>4 oz</t>
        </is>
      </c>
      <c r="E8" s="32" t="inlineStr">
        <is>
          <t>15 min</t>
        </is>
      </c>
      <c r="F8" s="25" t="inlineStr"/>
      <c r="H8" s="33" t="n">
        <v>46200</v>
      </c>
      <c r="I8" s="34">
        <f>COUNTIF(FeedDate,H8)</f>
        <v/>
      </c>
    </row>
    <row r="9">
      <c r="A9" s="28" t="n">
        <v>46204</v>
      </c>
      <c r="B9" s="29" t="inlineStr">
        <is>
          <t>6:00 PM</t>
        </is>
      </c>
      <c r="C9" s="30" t="inlineStr">
        <is>
          <t>Breast (L)</t>
        </is>
      </c>
      <c r="D9" s="29" t="inlineStr">
        <is>
          <t>15 min</t>
        </is>
      </c>
      <c r="E9" s="29" t="inlineStr">
        <is>
          <t>15 min</t>
        </is>
      </c>
      <c r="F9" s="30" t="inlineStr"/>
      <c r="H9" s="33" t="n">
        <v>46201</v>
      </c>
      <c r="I9" s="34">
        <f>COUNTIF(FeedDate,H9)</f>
        <v/>
      </c>
    </row>
    <row r="10">
      <c r="A10" s="31" t="n">
        <v>46204</v>
      </c>
      <c r="B10" s="32" t="inlineStr">
        <is>
          <t>8:30 PM</t>
        </is>
      </c>
      <c r="C10" s="25" t="inlineStr">
        <is>
          <t>Breast (R)</t>
        </is>
      </c>
      <c r="D10" s="32" t="inlineStr">
        <is>
          <t>15 min</t>
        </is>
      </c>
      <c r="E10" s="32" t="inlineStr">
        <is>
          <t>15 min</t>
        </is>
      </c>
      <c r="F10" s="25" t="inlineStr"/>
      <c r="H10" s="33" t="n">
        <v>46202</v>
      </c>
      <c r="I10" s="34">
        <f>COUNTIF(FeedDate,H10)</f>
        <v/>
      </c>
    </row>
    <row r="11">
      <c r="A11" s="28" t="n">
        <v>46204</v>
      </c>
      <c r="B11" s="29" t="inlineStr">
        <is>
          <t>11:00 PM</t>
        </is>
      </c>
      <c r="C11" s="30" t="inlineStr">
        <is>
          <t>Bottle - BM</t>
        </is>
      </c>
      <c r="D11" s="29" t="inlineStr">
        <is>
          <t>4 oz</t>
        </is>
      </c>
      <c r="E11" s="29" t="inlineStr">
        <is>
          <t>15 min</t>
        </is>
      </c>
      <c r="F11" s="30" t="inlineStr"/>
      <c r="H11" s="33" t="n">
        <v>46203</v>
      </c>
      <c r="I11" s="34">
        <f>COUNTIF(FeedDate,H11)</f>
        <v/>
      </c>
    </row>
    <row r="12">
      <c r="A12" s="31" t="n">
        <v>46203</v>
      </c>
      <c r="B12" s="32" t="inlineStr">
        <is>
          <t>6:00 AM</t>
        </is>
      </c>
      <c r="C12" s="25" t="inlineStr">
        <is>
          <t>Breast (L)</t>
        </is>
      </c>
      <c r="D12" s="32" t="inlineStr">
        <is>
          <t>15 min</t>
        </is>
      </c>
      <c r="E12" s="32" t="inlineStr">
        <is>
          <t>15 min</t>
        </is>
      </c>
      <c r="F12" s="25" t="inlineStr"/>
      <c r="H12" s="33" t="n">
        <v>46204</v>
      </c>
      <c r="I12" s="34">
        <f>COUNTIF(FeedDate,H12)</f>
        <v/>
      </c>
    </row>
    <row r="13">
      <c r="A13" s="28" t="n">
        <v>46203</v>
      </c>
      <c r="B13" s="29" t="inlineStr">
        <is>
          <t>9:00 AM</t>
        </is>
      </c>
      <c r="C13" s="30" t="inlineStr">
        <is>
          <t>Breast (R)</t>
        </is>
      </c>
      <c r="D13" s="29" t="inlineStr">
        <is>
          <t>15 min</t>
        </is>
      </c>
      <c r="E13" s="29" t="inlineStr">
        <is>
          <t>15 min</t>
        </is>
      </c>
      <c r="F13" s="30" t="inlineStr"/>
    </row>
    <row r="14">
      <c r="A14" s="31" t="n">
        <v>46203</v>
      </c>
      <c r="B14" s="32" t="inlineStr">
        <is>
          <t>12:00 PM</t>
        </is>
      </c>
      <c r="C14" s="25" t="inlineStr">
        <is>
          <t>Bottle - BM</t>
        </is>
      </c>
      <c r="D14" s="32" t="inlineStr">
        <is>
          <t>4 oz</t>
        </is>
      </c>
      <c r="E14" s="32" t="inlineStr">
        <is>
          <t>15 min</t>
        </is>
      </c>
      <c r="F14" s="25" t="inlineStr"/>
    </row>
    <row r="15">
      <c r="A15" s="28" t="n">
        <v>46203</v>
      </c>
      <c r="B15" s="29" t="inlineStr">
        <is>
          <t>3:00 PM</t>
        </is>
      </c>
      <c r="C15" s="30" t="inlineStr">
        <is>
          <t>Bottle - Formula</t>
        </is>
      </c>
      <c r="D15" s="29" t="inlineStr">
        <is>
          <t>4 oz</t>
        </is>
      </c>
      <c r="E15" s="29" t="inlineStr">
        <is>
          <t>15 min</t>
        </is>
      </c>
      <c r="F15" s="30" t="inlineStr"/>
    </row>
    <row r="16">
      <c r="A16" s="31" t="n">
        <v>46203</v>
      </c>
      <c r="B16" s="32" t="inlineStr">
        <is>
          <t>6:00 PM</t>
        </is>
      </c>
      <c r="C16" s="25" t="inlineStr">
        <is>
          <t>Breast (L)</t>
        </is>
      </c>
      <c r="D16" s="32" t="inlineStr">
        <is>
          <t>15 min</t>
        </is>
      </c>
      <c r="E16" s="32" t="inlineStr">
        <is>
          <t>15 min</t>
        </is>
      </c>
      <c r="F16" s="25" t="inlineStr"/>
    </row>
    <row r="17">
      <c r="A17" s="28" t="n">
        <v>46203</v>
      </c>
      <c r="B17" s="29" t="inlineStr">
        <is>
          <t>8:30 PM</t>
        </is>
      </c>
      <c r="C17" s="30" t="inlineStr">
        <is>
          <t>Breast (R)</t>
        </is>
      </c>
      <c r="D17" s="29" t="inlineStr">
        <is>
          <t>15 min</t>
        </is>
      </c>
      <c r="E17" s="29" t="inlineStr">
        <is>
          <t>15 min</t>
        </is>
      </c>
      <c r="F17" s="30" t="inlineStr"/>
    </row>
    <row r="18">
      <c r="A18" s="31" t="n">
        <v>46203</v>
      </c>
      <c r="B18" s="32" t="inlineStr">
        <is>
          <t>11:00 PM</t>
        </is>
      </c>
      <c r="C18" s="25" t="inlineStr">
        <is>
          <t>Bottle - BM</t>
        </is>
      </c>
      <c r="D18" s="32" t="inlineStr">
        <is>
          <t>4 oz</t>
        </is>
      </c>
      <c r="E18" s="32" t="inlineStr">
        <is>
          <t>15 min</t>
        </is>
      </c>
      <c r="F18" s="25" t="inlineStr"/>
    </row>
    <row r="19">
      <c r="A19" s="28" t="n">
        <v>46203</v>
      </c>
      <c r="B19" s="29" t="inlineStr">
        <is>
          <t>2:00 AM</t>
        </is>
      </c>
      <c r="C19" s="30" t="inlineStr">
        <is>
          <t>Bottle - Formula</t>
        </is>
      </c>
      <c r="D19" s="29" t="inlineStr">
        <is>
          <t>4 oz</t>
        </is>
      </c>
      <c r="E19" s="29" t="inlineStr">
        <is>
          <t>15 min</t>
        </is>
      </c>
      <c r="F19" s="30" t="inlineStr"/>
    </row>
    <row r="20">
      <c r="A20" s="31" t="n">
        <v>46202</v>
      </c>
      <c r="B20" s="32" t="inlineStr">
        <is>
          <t>6:00 AM</t>
        </is>
      </c>
      <c r="C20" s="25" t="inlineStr">
        <is>
          <t>Breast (L)</t>
        </is>
      </c>
      <c r="D20" s="32" t="inlineStr">
        <is>
          <t>15 min</t>
        </is>
      </c>
      <c r="E20" s="32" t="inlineStr">
        <is>
          <t>15 min</t>
        </is>
      </c>
      <c r="F20" s="25" t="inlineStr"/>
    </row>
    <row r="21">
      <c r="A21" s="28" t="n">
        <v>46202</v>
      </c>
      <c r="B21" s="29" t="inlineStr">
        <is>
          <t>9:00 AM</t>
        </is>
      </c>
      <c r="C21" s="30" t="inlineStr">
        <is>
          <t>Breast (R)</t>
        </is>
      </c>
      <c r="D21" s="29" t="inlineStr">
        <is>
          <t>15 min</t>
        </is>
      </c>
      <c r="E21" s="29" t="inlineStr">
        <is>
          <t>15 min</t>
        </is>
      </c>
      <c r="F21" s="30" t="inlineStr"/>
    </row>
    <row r="22">
      <c r="A22" s="31" t="n">
        <v>46202</v>
      </c>
      <c r="B22" s="32" t="inlineStr">
        <is>
          <t>12:00 PM</t>
        </is>
      </c>
      <c r="C22" s="25" t="inlineStr">
        <is>
          <t>Bottle - BM</t>
        </is>
      </c>
      <c r="D22" s="32" t="inlineStr">
        <is>
          <t>4 oz</t>
        </is>
      </c>
      <c r="E22" s="32" t="inlineStr">
        <is>
          <t>15 min</t>
        </is>
      </c>
      <c r="F22" s="25" t="inlineStr"/>
    </row>
    <row r="23">
      <c r="A23" s="28" t="n">
        <v>46202</v>
      </c>
      <c r="B23" s="29" t="inlineStr">
        <is>
          <t>3:00 PM</t>
        </is>
      </c>
      <c r="C23" s="30" t="inlineStr">
        <is>
          <t>Bottle - Formula</t>
        </is>
      </c>
      <c r="D23" s="29" t="inlineStr">
        <is>
          <t>4 oz</t>
        </is>
      </c>
      <c r="E23" s="29" t="inlineStr">
        <is>
          <t>15 min</t>
        </is>
      </c>
      <c r="F23" s="30" t="inlineStr"/>
    </row>
    <row r="24">
      <c r="A24" s="31" t="n">
        <v>46202</v>
      </c>
      <c r="B24" s="32" t="inlineStr">
        <is>
          <t>6:00 PM</t>
        </is>
      </c>
      <c r="C24" s="25" t="inlineStr">
        <is>
          <t>Breast (L)</t>
        </is>
      </c>
      <c r="D24" s="32" t="inlineStr">
        <is>
          <t>15 min</t>
        </is>
      </c>
      <c r="E24" s="32" t="inlineStr">
        <is>
          <t>15 min</t>
        </is>
      </c>
      <c r="F24" s="25" t="inlineStr"/>
    </row>
    <row r="25">
      <c r="A25" s="28" t="n">
        <v>46202</v>
      </c>
      <c r="B25" s="29" t="inlineStr">
        <is>
          <t>8:30 PM</t>
        </is>
      </c>
      <c r="C25" s="30" t="inlineStr">
        <is>
          <t>Breast (R)</t>
        </is>
      </c>
      <c r="D25" s="29" t="inlineStr">
        <is>
          <t>15 min</t>
        </is>
      </c>
      <c r="E25" s="29" t="inlineStr">
        <is>
          <t>15 min</t>
        </is>
      </c>
      <c r="F25" s="30" t="inlineStr"/>
    </row>
    <row r="26">
      <c r="A26" s="31" t="n">
        <v>46202</v>
      </c>
      <c r="B26" s="32" t="inlineStr">
        <is>
          <t>11:00 PM</t>
        </is>
      </c>
      <c r="C26" s="25" t="inlineStr">
        <is>
          <t>Bottle - BM</t>
        </is>
      </c>
      <c r="D26" s="32" t="inlineStr">
        <is>
          <t>4 oz</t>
        </is>
      </c>
      <c r="E26" s="32" t="inlineStr">
        <is>
          <t>15 min</t>
        </is>
      </c>
      <c r="F26" s="25" t="inlineStr"/>
    </row>
    <row r="27">
      <c r="A27" s="28" t="n">
        <v>46201</v>
      </c>
      <c r="B27" s="29" t="inlineStr">
        <is>
          <t>6:00 AM</t>
        </is>
      </c>
      <c r="C27" s="30" t="inlineStr">
        <is>
          <t>Breast (L)</t>
        </is>
      </c>
      <c r="D27" s="29" t="inlineStr">
        <is>
          <t>15 min</t>
        </is>
      </c>
      <c r="E27" s="29" t="inlineStr">
        <is>
          <t>15 min</t>
        </is>
      </c>
      <c r="F27" s="30" t="inlineStr"/>
    </row>
    <row r="28">
      <c r="A28" s="31" t="n">
        <v>46201</v>
      </c>
      <c r="B28" s="32" t="inlineStr">
        <is>
          <t>9:00 AM</t>
        </is>
      </c>
      <c r="C28" s="25" t="inlineStr">
        <is>
          <t>Breast (R)</t>
        </is>
      </c>
      <c r="D28" s="32" t="inlineStr">
        <is>
          <t>15 min</t>
        </is>
      </c>
      <c r="E28" s="32" t="inlineStr">
        <is>
          <t>15 min</t>
        </is>
      </c>
      <c r="F28" s="25" t="inlineStr"/>
    </row>
    <row r="29">
      <c r="A29" s="28" t="n">
        <v>46201</v>
      </c>
      <c r="B29" s="29" t="inlineStr">
        <is>
          <t>12:00 PM</t>
        </is>
      </c>
      <c r="C29" s="30" t="inlineStr">
        <is>
          <t>Bottle - BM</t>
        </is>
      </c>
      <c r="D29" s="29" t="inlineStr">
        <is>
          <t>4 oz</t>
        </is>
      </c>
      <c r="E29" s="29" t="inlineStr">
        <is>
          <t>15 min</t>
        </is>
      </c>
      <c r="F29" s="30" t="inlineStr"/>
    </row>
    <row r="30">
      <c r="A30" s="31" t="n">
        <v>46201</v>
      </c>
      <c r="B30" s="32" t="inlineStr">
        <is>
          <t>3:00 PM</t>
        </is>
      </c>
      <c r="C30" s="25" t="inlineStr">
        <is>
          <t>Bottle - Formula</t>
        </is>
      </c>
      <c r="D30" s="32" t="inlineStr">
        <is>
          <t>4 oz</t>
        </is>
      </c>
      <c r="E30" s="32" t="inlineStr">
        <is>
          <t>15 min</t>
        </is>
      </c>
      <c r="F30" s="25" t="inlineStr"/>
    </row>
    <row r="31">
      <c r="A31" s="28" t="n">
        <v>46201</v>
      </c>
      <c r="B31" s="29" t="inlineStr">
        <is>
          <t>6:00 PM</t>
        </is>
      </c>
      <c r="C31" s="30" t="inlineStr">
        <is>
          <t>Breast (L)</t>
        </is>
      </c>
      <c r="D31" s="29" t="inlineStr">
        <is>
          <t>15 min</t>
        </is>
      </c>
      <c r="E31" s="29" t="inlineStr">
        <is>
          <t>15 min</t>
        </is>
      </c>
      <c r="F31" s="30" t="inlineStr"/>
    </row>
    <row r="32">
      <c r="A32" s="31" t="n">
        <v>46201</v>
      </c>
      <c r="B32" s="32" t="inlineStr">
        <is>
          <t>8:30 PM</t>
        </is>
      </c>
      <c r="C32" s="25" t="inlineStr">
        <is>
          <t>Breast (R)</t>
        </is>
      </c>
      <c r="D32" s="32" t="inlineStr">
        <is>
          <t>15 min</t>
        </is>
      </c>
      <c r="E32" s="32" t="inlineStr">
        <is>
          <t>15 min</t>
        </is>
      </c>
      <c r="F32" s="25" t="inlineStr"/>
    </row>
    <row r="33">
      <c r="A33" s="28" t="n">
        <v>46200</v>
      </c>
      <c r="B33" s="29" t="inlineStr">
        <is>
          <t>6:00 AM</t>
        </is>
      </c>
      <c r="C33" s="30" t="inlineStr">
        <is>
          <t>Breast (L)</t>
        </is>
      </c>
      <c r="D33" s="29" t="inlineStr">
        <is>
          <t>15 min</t>
        </is>
      </c>
      <c r="E33" s="29" t="inlineStr">
        <is>
          <t>15 min</t>
        </is>
      </c>
      <c r="F33" s="30" t="inlineStr"/>
    </row>
    <row r="34">
      <c r="A34" s="31" t="n">
        <v>46200</v>
      </c>
      <c r="B34" s="32" t="inlineStr">
        <is>
          <t>9:00 AM</t>
        </is>
      </c>
      <c r="C34" s="25" t="inlineStr">
        <is>
          <t>Breast (R)</t>
        </is>
      </c>
      <c r="D34" s="32" t="inlineStr">
        <is>
          <t>15 min</t>
        </is>
      </c>
      <c r="E34" s="32" t="inlineStr">
        <is>
          <t>15 min</t>
        </is>
      </c>
      <c r="F34" s="25" t="inlineStr"/>
    </row>
    <row r="35">
      <c r="A35" s="28" t="n">
        <v>46200</v>
      </c>
      <c r="B35" s="29" t="inlineStr">
        <is>
          <t>12:00 PM</t>
        </is>
      </c>
      <c r="C35" s="30" t="inlineStr">
        <is>
          <t>Bottle - BM</t>
        </is>
      </c>
      <c r="D35" s="29" t="inlineStr">
        <is>
          <t>4 oz</t>
        </is>
      </c>
      <c r="E35" s="29" t="inlineStr">
        <is>
          <t>15 min</t>
        </is>
      </c>
      <c r="F35" s="30" t="inlineStr"/>
    </row>
    <row r="36">
      <c r="A36" s="31" t="n">
        <v>46200</v>
      </c>
      <c r="B36" s="32" t="inlineStr">
        <is>
          <t>3:00 PM</t>
        </is>
      </c>
      <c r="C36" s="25" t="inlineStr">
        <is>
          <t>Bottle - Formula</t>
        </is>
      </c>
      <c r="D36" s="32" t="inlineStr">
        <is>
          <t>4 oz</t>
        </is>
      </c>
      <c r="E36" s="32" t="inlineStr">
        <is>
          <t>15 min</t>
        </is>
      </c>
      <c r="F36" s="25" t="inlineStr"/>
    </row>
    <row r="37">
      <c r="A37" s="28" t="n">
        <v>46200</v>
      </c>
      <c r="B37" s="29" t="inlineStr">
        <is>
          <t>6:00 PM</t>
        </is>
      </c>
      <c r="C37" s="30" t="inlineStr">
        <is>
          <t>Breast (L)</t>
        </is>
      </c>
      <c r="D37" s="29" t="inlineStr">
        <is>
          <t>15 min</t>
        </is>
      </c>
      <c r="E37" s="29" t="inlineStr">
        <is>
          <t>15 min</t>
        </is>
      </c>
      <c r="F37" s="30" t="inlineStr"/>
    </row>
    <row r="38">
      <c r="A38" s="31" t="n">
        <v>46200</v>
      </c>
      <c r="B38" s="32" t="inlineStr">
        <is>
          <t>8:30 PM</t>
        </is>
      </c>
      <c r="C38" s="25" t="inlineStr">
        <is>
          <t>Breast (R)</t>
        </is>
      </c>
      <c r="D38" s="32" t="inlineStr">
        <is>
          <t>15 min</t>
        </is>
      </c>
      <c r="E38" s="32" t="inlineStr">
        <is>
          <t>15 min</t>
        </is>
      </c>
      <c r="F38" s="25" t="inlineStr"/>
    </row>
    <row r="39">
      <c r="A39" s="28" t="n">
        <v>46200</v>
      </c>
      <c r="B39" s="29" t="inlineStr">
        <is>
          <t>11:00 PM</t>
        </is>
      </c>
      <c r="C39" s="30" t="inlineStr">
        <is>
          <t>Bottle - BM</t>
        </is>
      </c>
      <c r="D39" s="29" t="inlineStr">
        <is>
          <t>4 oz</t>
        </is>
      </c>
      <c r="E39" s="29" t="inlineStr">
        <is>
          <t>15 min</t>
        </is>
      </c>
      <c r="F39" s="30" t="inlineStr"/>
    </row>
    <row r="40">
      <c r="A40" s="31" t="n">
        <v>46200</v>
      </c>
      <c r="B40" s="32" t="inlineStr">
        <is>
          <t>2:00 AM</t>
        </is>
      </c>
      <c r="C40" s="25" t="inlineStr">
        <is>
          <t>Bottle - Formula</t>
        </is>
      </c>
      <c r="D40" s="32" t="inlineStr">
        <is>
          <t>4 oz</t>
        </is>
      </c>
      <c r="E40" s="32" t="inlineStr">
        <is>
          <t>15 min</t>
        </is>
      </c>
      <c r="F40" s="25" t="inlineStr"/>
    </row>
    <row r="41">
      <c r="A41" s="28" t="n">
        <v>46199</v>
      </c>
      <c r="B41" s="29" t="inlineStr">
        <is>
          <t>6:00 AM</t>
        </is>
      </c>
      <c r="C41" s="30" t="inlineStr">
        <is>
          <t>Breast (L)</t>
        </is>
      </c>
      <c r="D41" s="29" t="inlineStr">
        <is>
          <t>15 min</t>
        </is>
      </c>
      <c r="E41" s="29" t="inlineStr">
        <is>
          <t>15 min</t>
        </is>
      </c>
      <c r="F41" s="30" t="inlineStr"/>
    </row>
    <row r="42">
      <c r="A42" s="31" t="n">
        <v>46199</v>
      </c>
      <c r="B42" s="32" t="inlineStr">
        <is>
          <t>9:00 AM</t>
        </is>
      </c>
      <c r="C42" s="25" t="inlineStr">
        <is>
          <t>Breast (R)</t>
        </is>
      </c>
      <c r="D42" s="32" t="inlineStr">
        <is>
          <t>15 min</t>
        </is>
      </c>
      <c r="E42" s="32" t="inlineStr">
        <is>
          <t>15 min</t>
        </is>
      </c>
      <c r="F42" s="25" t="inlineStr"/>
    </row>
    <row r="43">
      <c r="A43" s="28" t="n">
        <v>46199</v>
      </c>
      <c r="B43" s="29" t="inlineStr">
        <is>
          <t>12:00 PM</t>
        </is>
      </c>
      <c r="C43" s="30" t="inlineStr">
        <is>
          <t>Bottle - BM</t>
        </is>
      </c>
      <c r="D43" s="29" t="inlineStr">
        <is>
          <t>4 oz</t>
        </is>
      </c>
      <c r="E43" s="29" t="inlineStr">
        <is>
          <t>15 min</t>
        </is>
      </c>
      <c r="F43" s="30" t="inlineStr"/>
    </row>
    <row r="44">
      <c r="A44" s="31" t="n">
        <v>46199</v>
      </c>
      <c r="B44" s="32" t="inlineStr">
        <is>
          <t>3:00 PM</t>
        </is>
      </c>
      <c r="C44" s="25" t="inlineStr">
        <is>
          <t>Bottle - Formula</t>
        </is>
      </c>
      <c r="D44" s="32" t="inlineStr">
        <is>
          <t>4 oz</t>
        </is>
      </c>
      <c r="E44" s="32" t="inlineStr">
        <is>
          <t>15 min</t>
        </is>
      </c>
      <c r="F44" s="25" t="inlineStr"/>
    </row>
    <row r="45">
      <c r="A45" s="28" t="n">
        <v>46199</v>
      </c>
      <c r="B45" s="29" t="inlineStr">
        <is>
          <t>6:00 PM</t>
        </is>
      </c>
      <c r="C45" s="30" t="inlineStr">
        <is>
          <t>Breast (L)</t>
        </is>
      </c>
      <c r="D45" s="29" t="inlineStr">
        <is>
          <t>15 min</t>
        </is>
      </c>
      <c r="E45" s="29" t="inlineStr">
        <is>
          <t>15 min</t>
        </is>
      </c>
      <c r="F45" s="30" t="inlineStr"/>
    </row>
    <row r="46">
      <c r="A46" s="31" t="n">
        <v>46199</v>
      </c>
      <c r="B46" s="32" t="inlineStr">
        <is>
          <t>8:30 PM</t>
        </is>
      </c>
      <c r="C46" s="25" t="inlineStr">
        <is>
          <t>Breast (R)</t>
        </is>
      </c>
      <c r="D46" s="32" t="inlineStr">
        <is>
          <t>15 min</t>
        </is>
      </c>
      <c r="E46" s="32" t="inlineStr">
        <is>
          <t>15 min</t>
        </is>
      </c>
      <c r="F46" s="25" t="inlineStr"/>
    </row>
    <row r="47">
      <c r="A47" s="28" t="n">
        <v>46199</v>
      </c>
      <c r="B47" s="29" t="inlineStr">
        <is>
          <t>11:00 PM</t>
        </is>
      </c>
      <c r="C47" s="30" t="inlineStr">
        <is>
          <t>Bottle - BM</t>
        </is>
      </c>
      <c r="D47" s="29" t="inlineStr">
        <is>
          <t>4 oz</t>
        </is>
      </c>
      <c r="E47" s="29" t="inlineStr">
        <is>
          <t>15 min</t>
        </is>
      </c>
      <c r="F47" s="30" t="inlineStr"/>
    </row>
    <row r="48">
      <c r="A48" s="31" t="n">
        <v>46198</v>
      </c>
      <c r="B48" s="32" t="inlineStr">
        <is>
          <t>6:00 AM</t>
        </is>
      </c>
      <c r="C48" s="25" t="inlineStr">
        <is>
          <t>Breast (L)</t>
        </is>
      </c>
      <c r="D48" s="32" t="inlineStr">
        <is>
          <t>15 min</t>
        </is>
      </c>
      <c r="E48" s="32" t="inlineStr">
        <is>
          <t>15 min</t>
        </is>
      </c>
      <c r="F48" s="25" t="inlineStr"/>
    </row>
    <row r="49">
      <c r="A49" s="28" t="n">
        <v>46198</v>
      </c>
      <c r="B49" s="29" t="inlineStr">
        <is>
          <t>9:00 AM</t>
        </is>
      </c>
      <c r="C49" s="30" t="inlineStr">
        <is>
          <t>Breast (R)</t>
        </is>
      </c>
      <c r="D49" s="29" t="inlineStr">
        <is>
          <t>15 min</t>
        </is>
      </c>
      <c r="E49" s="29" t="inlineStr">
        <is>
          <t>15 min</t>
        </is>
      </c>
      <c r="F49" s="30" t="inlineStr"/>
    </row>
    <row r="50">
      <c r="A50" s="31" t="n">
        <v>46198</v>
      </c>
      <c r="B50" s="32" t="inlineStr">
        <is>
          <t>12:00 PM</t>
        </is>
      </c>
      <c r="C50" s="25" t="inlineStr">
        <is>
          <t>Bottle - BM</t>
        </is>
      </c>
      <c r="D50" s="32" t="inlineStr">
        <is>
          <t>4 oz</t>
        </is>
      </c>
      <c r="E50" s="32" t="inlineStr">
        <is>
          <t>15 min</t>
        </is>
      </c>
      <c r="F50" s="25" t="inlineStr"/>
    </row>
    <row r="51">
      <c r="A51" s="28" t="n">
        <v>46198</v>
      </c>
      <c r="B51" s="29" t="inlineStr">
        <is>
          <t>3:00 PM</t>
        </is>
      </c>
      <c r="C51" s="30" t="inlineStr">
        <is>
          <t>Bottle - Formula</t>
        </is>
      </c>
      <c r="D51" s="29" t="inlineStr">
        <is>
          <t>4 oz</t>
        </is>
      </c>
      <c r="E51" s="29" t="inlineStr">
        <is>
          <t>15 min</t>
        </is>
      </c>
      <c r="F51" s="30" t="inlineStr"/>
    </row>
    <row r="52">
      <c r="A52" s="31" t="n">
        <v>46198</v>
      </c>
      <c r="B52" s="32" t="inlineStr">
        <is>
          <t>6:00 PM</t>
        </is>
      </c>
      <c r="C52" s="25" t="inlineStr">
        <is>
          <t>Breast (L)</t>
        </is>
      </c>
      <c r="D52" s="32" t="inlineStr">
        <is>
          <t>15 min</t>
        </is>
      </c>
      <c r="E52" s="32" t="inlineStr">
        <is>
          <t>15 min</t>
        </is>
      </c>
      <c r="F52" s="25" t="inlineStr"/>
    </row>
    <row r="53">
      <c r="A53" s="28" t="n">
        <v>46198</v>
      </c>
      <c r="B53" s="29" t="inlineStr">
        <is>
          <t>8:30 PM</t>
        </is>
      </c>
      <c r="C53" s="30" t="inlineStr">
        <is>
          <t>Breast (R)</t>
        </is>
      </c>
      <c r="D53" s="29" t="inlineStr">
        <is>
          <t>15 min</t>
        </is>
      </c>
      <c r="E53" s="29" t="inlineStr">
        <is>
          <t>15 min</t>
        </is>
      </c>
      <c r="F53" s="30" t="inlineStr"/>
    </row>
    <row r="54">
      <c r="A54" s="31" t="n">
        <v>46198</v>
      </c>
      <c r="B54" s="32" t="inlineStr">
        <is>
          <t>11:00 PM</t>
        </is>
      </c>
      <c r="C54" s="25" t="inlineStr">
        <is>
          <t>Bottle - BM</t>
        </is>
      </c>
      <c r="D54" s="32" t="inlineStr">
        <is>
          <t>4 oz</t>
        </is>
      </c>
      <c r="E54" s="32" t="inlineStr">
        <is>
          <t>15 min</t>
        </is>
      </c>
      <c r="F54" s="25" t="inlineStr"/>
    </row>
    <row r="55">
      <c r="A55" s="28" t="n">
        <v>46198</v>
      </c>
      <c r="B55" s="29" t="inlineStr">
        <is>
          <t>2:00 AM</t>
        </is>
      </c>
      <c r="C55" s="30" t="inlineStr">
        <is>
          <t>Bottle - Formula</t>
        </is>
      </c>
      <c r="D55" s="29" t="inlineStr">
        <is>
          <t>4 oz</t>
        </is>
      </c>
      <c r="E55" s="29" t="inlineStr">
        <is>
          <t>15 min</t>
        </is>
      </c>
      <c r="F55" s="30" t="inlineStr"/>
    </row>
    <row r="56">
      <c r="A56" s="31" t="n"/>
      <c r="B56" s="32" t="n"/>
      <c r="C56" s="25" t="n"/>
      <c r="D56" s="32" t="n"/>
      <c r="E56" s="32" t="n"/>
      <c r="F56" s="25" t="n"/>
    </row>
    <row r="57">
      <c r="A57" s="28" t="n"/>
      <c r="B57" s="29" t="n"/>
      <c r="C57" s="30" t="n"/>
      <c r="D57" s="29" t="n"/>
      <c r="E57" s="29" t="n"/>
      <c r="F57" s="30" t="n"/>
    </row>
    <row r="58">
      <c r="A58" s="31" t="n"/>
      <c r="B58" s="32" t="n"/>
      <c r="C58" s="25" t="n"/>
      <c r="D58" s="32" t="n"/>
      <c r="E58" s="32" t="n"/>
      <c r="F58" s="25" t="n"/>
    </row>
    <row r="59">
      <c r="A59" s="28" t="n"/>
      <c r="B59" s="29" t="n"/>
      <c r="C59" s="30" t="n"/>
      <c r="D59" s="29" t="n"/>
      <c r="E59" s="29" t="n"/>
      <c r="F59" s="30" t="n"/>
    </row>
    <row r="60">
      <c r="A60" s="31" t="n"/>
      <c r="B60" s="32" t="n"/>
      <c r="C60" s="25" t="n"/>
      <c r="D60" s="32" t="n"/>
      <c r="E60" s="32" t="n"/>
      <c r="F60" s="25" t="n"/>
    </row>
    <row r="61">
      <c r="A61" s="28" t="n"/>
      <c r="B61" s="29" t="n"/>
      <c r="C61" s="30" t="n"/>
      <c r="D61" s="29" t="n"/>
      <c r="E61" s="29" t="n"/>
      <c r="F61" s="30" t="n"/>
    </row>
    <row r="62">
      <c r="A62" s="31" t="n"/>
      <c r="B62" s="32" t="n"/>
      <c r="C62" s="25" t="n"/>
      <c r="D62" s="32" t="n"/>
      <c r="E62" s="32" t="n"/>
      <c r="F62" s="25" t="n"/>
    </row>
    <row r="63">
      <c r="A63" s="28" t="n"/>
      <c r="B63" s="29" t="n"/>
      <c r="C63" s="30" t="n"/>
      <c r="D63" s="29" t="n"/>
      <c r="E63" s="29" t="n"/>
      <c r="F63" s="30" t="n"/>
    </row>
    <row r="64">
      <c r="A64" s="31" t="n"/>
      <c r="B64" s="32" t="n"/>
      <c r="C64" s="25" t="n"/>
      <c r="D64" s="32" t="n"/>
      <c r="E64" s="32" t="n"/>
      <c r="F64" s="25" t="n"/>
    </row>
  </sheetData>
  <mergeCells count="2">
    <mergeCell ref="A1:I1"/>
    <mergeCell ref="A2:I2"/>
  </mergeCells>
  <dataValidations count="1">
    <dataValidation sqref="C5:C64" showDropDown="0" showInputMessage="0" showErrorMessage="0" allowBlank="1" type="list">
      <formula1>=FeedTypeList</formula1>
    </dataValidation>
  </dataValidation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937356"/>
    <outlinePr summaryBelow="1" summaryRight="1"/>
    <pageSetUpPr/>
  </sheetPr>
  <dimension ref="A1:J54"/>
  <sheetViews>
    <sheetView showGridLines="0" workbookViewId="0">
      <pane ySplit="4" topLeftCell="A5" activePane="bottomLeft" state="frozen"/>
      <selection pane="bottomLeft" activeCell="A1" sqref="A1"/>
    </sheetView>
  </sheetViews>
  <sheetFormatPr baseColWidth="8" defaultRowHeight="15"/>
  <cols>
    <col width="13" customWidth="1" min="1" max="1"/>
    <col width="11" customWidth="1" min="2" max="2"/>
    <col width="11" customWidth="1" min="3" max="3"/>
    <col width="13" customWidth="1" min="4" max="4"/>
    <col width="10" customWidth="1" min="5" max="5"/>
    <col width="11" customWidth="1" min="6" max="6"/>
    <col width="20" customWidth="1" min="7" max="7"/>
    <col width="3" customWidth="1" min="8" max="8"/>
    <col width="12" customWidth="1" min="9" max="9"/>
    <col width="12" customWidth="1" min="10" max="10"/>
  </cols>
  <sheetData>
    <row r="1" ht="46" customHeight="1">
      <c r="A1" s="1" t="inlineStr">
        <is>
          <t xml:space="preserve">  😴  SLEEP TRACKER</t>
        </is>
      </c>
    </row>
    <row r="2" ht="22" customHeight="1">
      <c r="A2" s="2" t="inlineStr">
        <is>
          <t xml:space="preserve">  Naps &amp; overnight sleep — total daily hours &amp; weekly average, automatic.</t>
        </is>
      </c>
    </row>
    <row r="3" ht="6" customHeight="1">
      <c r="A3" s="3" t="n"/>
      <c r="B3" s="3" t="n"/>
      <c r="C3" s="3" t="n"/>
      <c r="D3" s="3" t="n"/>
      <c r="E3" s="3" t="n"/>
      <c r="F3" s="3" t="n"/>
      <c r="G3" s="3" t="n"/>
      <c r="H3" s="3" t="n"/>
      <c r="I3" s="3" t="n"/>
      <c r="J3" s="3" t="n"/>
    </row>
    <row r="4" ht="30" customHeight="1">
      <c r="A4" s="7" t="inlineStr">
        <is>
          <t>Date</t>
        </is>
      </c>
      <c r="B4" s="7" t="inlineStr">
        <is>
          <t>Start</t>
        </is>
      </c>
      <c r="C4" s="7" t="inlineStr">
        <is>
          <t>End</t>
        </is>
      </c>
      <c r="D4" s="7" t="inlineStr">
        <is>
          <t>Category</t>
        </is>
      </c>
      <c r="E4" s="7" t="inlineStr">
        <is>
          <t>Hours</t>
        </is>
      </c>
      <c r="F4" s="7" t="inlineStr">
        <is>
          <t>Wake-Ups</t>
        </is>
      </c>
      <c r="G4" s="7" t="inlineStr">
        <is>
          <t>Notes</t>
        </is>
      </c>
      <c r="I4" s="4" t="inlineStr">
        <is>
          <t>LAST 7 DAYS</t>
        </is>
      </c>
    </row>
    <row r="5">
      <c r="A5" s="28" t="n">
        <v>46204</v>
      </c>
      <c r="B5" s="29" t="inlineStr">
        <is>
          <t>—</t>
        </is>
      </c>
      <c r="C5" s="29" t="inlineStr">
        <is>
          <t>—</t>
        </is>
      </c>
      <c r="D5" s="29" t="inlineStr">
        <is>
          <t>Nap</t>
        </is>
      </c>
      <c r="E5" s="35" t="n">
        <v>1.5</v>
      </c>
      <c r="F5" s="36" t="n">
        <v>0</v>
      </c>
      <c r="G5" s="30" t="inlineStr"/>
      <c r="I5" s="7" t="inlineStr">
        <is>
          <t>Date</t>
        </is>
      </c>
      <c r="J5" s="7" t="inlineStr">
        <is>
          <t>Hours</t>
        </is>
      </c>
    </row>
    <row r="6">
      <c r="A6" s="31" t="n">
        <v>46204</v>
      </c>
      <c r="B6" s="32" t="inlineStr">
        <is>
          <t>—</t>
        </is>
      </c>
      <c r="C6" s="32" t="inlineStr">
        <is>
          <t>—</t>
        </is>
      </c>
      <c r="D6" s="32" t="inlineStr">
        <is>
          <t>Nap</t>
        </is>
      </c>
      <c r="E6" s="37" t="n">
        <v>1</v>
      </c>
      <c r="F6" s="38" t="n">
        <v>0</v>
      </c>
      <c r="G6" s="25" t="inlineStr"/>
      <c r="I6" s="33" t="n">
        <v>46198</v>
      </c>
      <c r="J6" s="34">
        <f>SUMIF(SleepDate,I6,SleepHrs)</f>
        <v/>
      </c>
    </row>
    <row r="7">
      <c r="A7" s="28" t="n">
        <v>46204</v>
      </c>
      <c r="B7" s="29" t="inlineStr">
        <is>
          <t>—</t>
        </is>
      </c>
      <c r="C7" s="29" t="inlineStr">
        <is>
          <t>—</t>
        </is>
      </c>
      <c r="D7" s="29" t="inlineStr">
        <is>
          <t>Nap</t>
        </is>
      </c>
      <c r="E7" s="35" t="n">
        <v>1</v>
      </c>
      <c r="F7" s="36" t="n">
        <v>0</v>
      </c>
      <c r="G7" s="30" t="inlineStr"/>
      <c r="I7" s="33" t="n">
        <v>46199</v>
      </c>
      <c r="J7" s="34">
        <f>SUMIF(SleepDate,I7,SleepHrs)</f>
        <v/>
      </c>
    </row>
    <row r="8">
      <c r="A8" s="31" t="n">
        <v>46204</v>
      </c>
      <c r="B8" s="32" t="inlineStr">
        <is>
          <t>—</t>
        </is>
      </c>
      <c r="C8" s="32" t="inlineStr">
        <is>
          <t>—</t>
        </is>
      </c>
      <c r="D8" s="32" t="inlineStr">
        <is>
          <t>Overnight</t>
        </is>
      </c>
      <c r="E8" s="37" t="n">
        <v>10.5</v>
      </c>
      <c r="F8" s="38" t="n">
        <v>1</v>
      </c>
      <c r="G8" s="25" t="inlineStr"/>
      <c r="I8" s="33" t="n">
        <v>46200</v>
      </c>
      <c r="J8" s="34">
        <f>SUMIF(SleepDate,I8,SleepHrs)</f>
        <v/>
      </c>
    </row>
    <row r="9">
      <c r="A9" s="28" t="n">
        <v>46203</v>
      </c>
      <c r="B9" s="29" t="inlineStr">
        <is>
          <t>—</t>
        </is>
      </c>
      <c r="C9" s="29" t="inlineStr">
        <is>
          <t>—</t>
        </is>
      </c>
      <c r="D9" s="29" t="inlineStr">
        <is>
          <t>Nap</t>
        </is>
      </c>
      <c r="E9" s="35" t="n">
        <v>1.5</v>
      </c>
      <c r="F9" s="36" t="n">
        <v>0</v>
      </c>
      <c r="G9" s="30" t="inlineStr"/>
      <c r="I9" s="33" t="n">
        <v>46201</v>
      </c>
      <c r="J9" s="34">
        <f>SUMIF(SleepDate,I9,SleepHrs)</f>
        <v/>
      </c>
    </row>
    <row r="10">
      <c r="A10" s="31" t="n">
        <v>46203</v>
      </c>
      <c r="B10" s="32" t="inlineStr">
        <is>
          <t>—</t>
        </is>
      </c>
      <c r="C10" s="32" t="inlineStr">
        <is>
          <t>—</t>
        </is>
      </c>
      <c r="D10" s="32" t="inlineStr">
        <is>
          <t>Nap</t>
        </is>
      </c>
      <c r="E10" s="37" t="n">
        <v>1.5</v>
      </c>
      <c r="F10" s="38" t="n">
        <v>0</v>
      </c>
      <c r="G10" s="25" t="inlineStr"/>
      <c r="I10" s="33" t="n">
        <v>46202</v>
      </c>
      <c r="J10" s="34">
        <f>SUMIF(SleepDate,I10,SleepHrs)</f>
        <v/>
      </c>
    </row>
    <row r="11">
      <c r="A11" s="28" t="n">
        <v>46203</v>
      </c>
      <c r="B11" s="29" t="inlineStr">
        <is>
          <t>—</t>
        </is>
      </c>
      <c r="C11" s="29" t="inlineStr">
        <is>
          <t>—</t>
        </is>
      </c>
      <c r="D11" s="29" t="inlineStr">
        <is>
          <t>Overnight</t>
        </is>
      </c>
      <c r="E11" s="35" t="n">
        <v>10</v>
      </c>
      <c r="F11" s="36" t="n">
        <v>1</v>
      </c>
      <c r="G11" s="30" t="inlineStr"/>
      <c r="I11" s="33" t="n">
        <v>46203</v>
      </c>
      <c r="J11" s="34">
        <f>SUMIF(SleepDate,I11,SleepHrs)</f>
        <v/>
      </c>
    </row>
    <row r="12">
      <c r="A12" s="31" t="n">
        <v>46202</v>
      </c>
      <c r="B12" s="32" t="inlineStr">
        <is>
          <t>—</t>
        </is>
      </c>
      <c r="C12" s="32" t="inlineStr">
        <is>
          <t>—</t>
        </is>
      </c>
      <c r="D12" s="32" t="inlineStr">
        <is>
          <t>Nap</t>
        </is>
      </c>
      <c r="E12" s="37" t="n">
        <v>2</v>
      </c>
      <c r="F12" s="38" t="n">
        <v>0</v>
      </c>
      <c r="G12" s="25" t="inlineStr"/>
      <c r="I12" s="33" t="n">
        <v>46204</v>
      </c>
      <c r="J12" s="34">
        <f>SUMIF(SleepDate,I12,SleepHrs)</f>
        <v/>
      </c>
    </row>
    <row r="13">
      <c r="A13" s="28" t="n">
        <v>46202</v>
      </c>
      <c r="B13" s="29" t="inlineStr">
        <is>
          <t>—</t>
        </is>
      </c>
      <c r="C13" s="29" t="inlineStr">
        <is>
          <t>—</t>
        </is>
      </c>
      <c r="D13" s="29" t="inlineStr">
        <is>
          <t>Nap</t>
        </is>
      </c>
      <c r="E13" s="35" t="n">
        <v>1</v>
      </c>
      <c r="F13" s="36" t="n">
        <v>0</v>
      </c>
      <c r="G13" s="30" t="inlineStr"/>
    </row>
    <row r="14">
      <c r="A14" s="31" t="n">
        <v>46202</v>
      </c>
      <c r="B14" s="32" t="inlineStr">
        <is>
          <t>—</t>
        </is>
      </c>
      <c r="C14" s="32" t="inlineStr">
        <is>
          <t>—</t>
        </is>
      </c>
      <c r="D14" s="32" t="inlineStr">
        <is>
          <t>Overnight</t>
        </is>
      </c>
      <c r="E14" s="37" t="n">
        <v>11</v>
      </c>
      <c r="F14" s="38" t="n">
        <v>1</v>
      </c>
      <c r="G14" s="25" t="inlineStr"/>
    </row>
    <row r="15">
      <c r="A15" s="28" t="n">
        <v>46201</v>
      </c>
      <c r="B15" s="29" t="inlineStr">
        <is>
          <t>—</t>
        </is>
      </c>
      <c r="C15" s="29" t="inlineStr">
        <is>
          <t>—</t>
        </is>
      </c>
      <c r="D15" s="29" t="inlineStr">
        <is>
          <t>Nap</t>
        </is>
      </c>
      <c r="E15" s="35" t="n">
        <v>1.5</v>
      </c>
      <c r="F15" s="36" t="n">
        <v>0</v>
      </c>
      <c r="G15" s="30" t="inlineStr"/>
    </row>
    <row r="16">
      <c r="A16" s="31" t="n">
        <v>46201</v>
      </c>
      <c r="B16" s="32" t="inlineStr">
        <is>
          <t>—</t>
        </is>
      </c>
      <c r="C16" s="32" t="inlineStr">
        <is>
          <t>—</t>
        </is>
      </c>
      <c r="D16" s="32" t="inlineStr">
        <is>
          <t>Nap</t>
        </is>
      </c>
      <c r="E16" s="37" t="n">
        <v>1.5</v>
      </c>
      <c r="F16" s="38" t="n">
        <v>0</v>
      </c>
      <c r="G16" s="25" t="inlineStr"/>
    </row>
    <row r="17">
      <c r="A17" s="28" t="n">
        <v>46201</v>
      </c>
      <c r="B17" s="29" t="inlineStr">
        <is>
          <t>—</t>
        </is>
      </c>
      <c r="C17" s="29" t="inlineStr">
        <is>
          <t>—</t>
        </is>
      </c>
      <c r="D17" s="29" t="inlineStr">
        <is>
          <t>Overnight</t>
        </is>
      </c>
      <c r="E17" s="35" t="n">
        <v>10</v>
      </c>
      <c r="F17" s="36" t="n">
        <v>1</v>
      </c>
      <c r="G17" s="30" t="inlineStr"/>
    </row>
    <row r="18">
      <c r="A18" s="31" t="n">
        <v>46200</v>
      </c>
      <c r="B18" s="32" t="inlineStr">
        <is>
          <t>—</t>
        </is>
      </c>
      <c r="C18" s="32" t="inlineStr">
        <is>
          <t>—</t>
        </is>
      </c>
      <c r="D18" s="32" t="inlineStr">
        <is>
          <t>Nap</t>
        </is>
      </c>
      <c r="E18" s="37" t="n">
        <v>1</v>
      </c>
      <c r="F18" s="38" t="n">
        <v>0</v>
      </c>
      <c r="G18" s="25" t="inlineStr"/>
    </row>
    <row r="19">
      <c r="A19" s="28" t="n">
        <v>46200</v>
      </c>
      <c r="B19" s="29" t="inlineStr">
        <is>
          <t>—</t>
        </is>
      </c>
      <c r="C19" s="29" t="inlineStr">
        <is>
          <t>—</t>
        </is>
      </c>
      <c r="D19" s="29" t="inlineStr">
        <is>
          <t>Nap</t>
        </is>
      </c>
      <c r="E19" s="35" t="n">
        <v>1.5</v>
      </c>
      <c r="F19" s="36" t="n">
        <v>0</v>
      </c>
      <c r="G19" s="30" t="inlineStr"/>
    </row>
    <row r="20">
      <c r="A20" s="31" t="n">
        <v>46200</v>
      </c>
      <c r="B20" s="32" t="inlineStr">
        <is>
          <t>—</t>
        </is>
      </c>
      <c r="C20" s="32" t="inlineStr">
        <is>
          <t>—</t>
        </is>
      </c>
      <c r="D20" s="32" t="inlineStr">
        <is>
          <t>Nap</t>
        </is>
      </c>
      <c r="E20" s="37" t="n">
        <v>1</v>
      </c>
      <c r="F20" s="38" t="n">
        <v>0</v>
      </c>
      <c r="G20" s="25" t="inlineStr"/>
    </row>
    <row r="21">
      <c r="A21" s="28" t="n">
        <v>46200</v>
      </c>
      <c r="B21" s="29" t="inlineStr">
        <is>
          <t>—</t>
        </is>
      </c>
      <c r="C21" s="29" t="inlineStr">
        <is>
          <t>—</t>
        </is>
      </c>
      <c r="D21" s="29" t="inlineStr">
        <is>
          <t>Overnight</t>
        </is>
      </c>
      <c r="E21" s="35" t="n">
        <v>10.5</v>
      </c>
      <c r="F21" s="36" t="n">
        <v>1</v>
      </c>
      <c r="G21" s="30" t="inlineStr"/>
    </row>
    <row r="22">
      <c r="A22" s="31" t="n">
        <v>46199</v>
      </c>
      <c r="B22" s="32" t="inlineStr">
        <is>
          <t>—</t>
        </is>
      </c>
      <c r="C22" s="32" t="inlineStr">
        <is>
          <t>—</t>
        </is>
      </c>
      <c r="D22" s="32" t="inlineStr">
        <is>
          <t>Nap</t>
        </is>
      </c>
      <c r="E22" s="37" t="n">
        <v>2</v>
      </c>
      <c r="F22" s="38" t="n">
        <v>0</v>
      </c>
      <c r="G22" s="25" t="inlineStr"/>
    </row>
    <row r="23">
      <c r="A23" s="28" t="n">
        <v>46199</v>
      </c>
      <c r="B23" s="29" t="inlineStr">
        <is>
          <t>—</t>
        </is>
      </c>
      <c r="C23" s="29" t="inlineStr">
        <is>
          <t>—</t>
        </is>
      </c>
      <c r="D23" s="29" t="inlineStr">
        <is>
          <t>Nap</t>
        </is>
      </c>
      <c r="E23" s="35" t="n">
        <v>1</v>
      </c>
      <c r="F23" s="36" t="n">
        <v>0</v>
      </c>
      <c r="G23" s="30" t="inlineStr"/>
    </row>
    <row r="24">
      <c r="A24" s="31" t="n">
        <v>46199</v>
      </c>
      <c r="B24" s="32" t="inlineStr">
        <is>
          <t>—</t>
        </is>
      </c>
      <c r="C24" s="32" t="inlineStr">
        <is>
          <t>—</t>
        </is>
      </c>
      <c r="D24" s="32" t="inlineStr">
        <is>
          <t>Overnight</t>
        </is>
      </c>
      <c r="E24" s="37" t="n">
        <v>11</v>
      </c>
      <c r="F24" s="38" t="n">
        <v>1</v>
      </c>
      <c r="G24" s="25" t="inlineStr"/>
    </row>
    <row r="25">
      <c r="A25" s="28" t="n">
        <v>46198</v>
      </c>
      <c r="B25" s="29" t="inlineStr">
        <is>
          <t>—</t>
        </is>
      </c>
      <c r="C25" s="29" t="inlineStr">
        <is>
          <t>—</t>
        </is>
      </c>
      <c r="D25" s="29" t="inlineStr">
        <is>
          <t>Nap</t>
        </is>
      </c>
      <c r="E25" s="35" t="n">
        <v>1.5</v>
      </c>
      <c r="F25" s="36" t="n">
        <v>0</v>
      </c>
      <c r="G25" s="30" t="inlineStr"/>
    </row>
    <row r="26">
      <c r="A26" s="31" t="n">
        <v>46198</v>
      </c>
      <c r="B26" s="32" t="inlineStr">
        <is>
          <t>—</t>
        </is>
      </c>
      <c r="C26" s="32" t="inlineStr">
        <is>
          <t>—</t>
        </is>
      </c>
      <c r="D26" s="32" t="inlineStr">
        <is>
          <t>Nap</t>
        </is>
      </c>
      <c r="E26" s="37" t="n">
        <v>1.5</v>
      </c>
      <c r="F26" s="38" t="n">
        <v>0</v>
      </c>
      <c r="G26" s="25" t="inlineStr"/>
    </row>
    <row r="27">
      <c r="A27" s="28" t="n">
        <v>46198</v>
      </c>
      <c r="B27" s="29" t="inlineStr">
        <is>
          <t>—</t>
        </is>
      </c>
      <c r="C27" s="29" t="inlineStr">
        <is>
          <t>—</t>
        </is>
      </c>
      <c r="D27" s="29" t="inlineStr">
        <is>
          <t>Overnight</t>
        </is>
      </c>
      <c r="E27" s="35" t="n">
        <v>10.5</v>
      </c>
      <c r="F27" s="36" t="n">
        <v>1</v>
      </c>
      <c r="G27" s="30" t="inlineStr"/>
    </row>
    <row r="28">
      <c r="A28" s="31" t="n"/>
      <c r="B28" s="32" t="n"/>
      <c r="C28" s="32" t="n"/>
      <c r="D28" s="32" t="n"/>
      <c r="E28" s="37" t="n"/>
      <c r="F28" s="38" t="n"/>
      <c r="G28" s="25" t="n"/>
    </row>
    <row r="29">
      <c r="A29" s="28" t="n"/>
      <c r="B29" s="29" t="n"/>
      <c r="C29" s="29" t="n"/>
      <c r="D29" s="29" t="n"/>
      <c r="E29" s="35" t="n"/>
      <c r="F29" s="36" t="n"/>
      <c r="G29" s="30" t="n"/>
    </row>
    <row r="30">
      <c r="A30" s="31" t="n"/>
      <c r="B30" s="32" t="n"/>
      <c r="C30" s="32" t="n"/>
      <c r="D30" s="32" t="n"/>
      <c r="E30" s="37" t="n"/>
      <c r="F30" s="38" t="n"/>
      <c r="G30" s="25" t="n"/>
    </row>
    <row r="31">
      <c r="A31" s="28" t="n"/>
      <c r="B31" s="29" t="n"/>
      <c r="C31" s="29" t="n"/>
      <c r="D31" s="29" t="n"/>
      <c r="E31" s="35" t="n"/>
      <c r="F31" s="36" t="n"/>
      <c r="G31" s="30" t="n"/>
    </row>
    <row r="32">
      <c r="A32" s="31" t="n"/>
      <c r="B32" s="32" t="n"/>
      <c r="C32" s="32" t="n"/>
      <c r="D32" s="32" t="n"/>
      <c r="E32" s="37" t="n"/>
      <c r="F32" s="38" t="n"/>
      <c r="G32" s="25" t="n"/>
    </row>
    <row r="33">
      <c r="A33" s="28" t="n"/>
      <c r="B33" s="29" t="n"/>
      <c r="C33" s="29" t="n"/>
      <c r="D33" s="29" t="n"/>
      <c r="E33" s="35" t="n"/>
      <c r="F33" s="36" t="n"/>
      <c r="G33" s="30" t="n"/>
    </row>
    <row r="34">
      <c r="A34" s="31" t="n"/>
      <c r="B34" s="32" t="n"/>
      <c r="C34" s="32" t="n"/>
      <c r="D34" s="32" t="n"/>
      <c r="E34" s="37" t="n"/>
      <c r="F34" s="38" t="n"/>
      <c r="G34" s="25" t="n"/>
    </row>
    <row r="35">
      <c r="A35" s="28" t="n"/>
      <c r="B35" s="29" t="n"/>
      <c r="C35" s="29" t="n"/>
      <c r="D35" s="29" t="n"/>
      <c r="E35" s="35" t="n"/>
      <c r="F35" s="36" t="n"/>
      <c r="G35" s="30" t="n"/>
    </row>
    <row r="36">
      <c r="A36" s="31" t="n"/>
      <c r="B36" s="32" t="n"/>
      <c r="C36" s="32" t="n"/>
      <c r="D36" s="32" t="n"/>
      <c r="E36" s="37" t="n"/>
      <c r="F36" s="38" t="n"/>
      <c r="G36" s="25" t="n"/>
    </row>
    <row r="37">
      <c r="A37" s="28" t="n"/>
      <c r="B37" s="29" t="n"/>
      <c r="C37" s="29" t="n"/>
      <c r="D37" s="29" t="n"/>
      <c r="E37" s="35" t="n"/>
      <c r="F37" s="36" t="n"/>
      <c r="G37" s="30" t="n"/>
    </row>
    <row r="38">
      <c r="A38" s="31" t="n"/>
      <c r="B38" s="32" t="n"/>
      <c r="C38" s="32" t="n"/>
      <c r="D38" s="32" t="n"/>
      <c r="E38" s="37" t="n"/>
      <c r="F38" s="38" t="n"/>
      <c r="G38" s="25" t="n"/>
    </row>
    <row r="39">
      <c r="A39" s="28" t="n"/>
      <c r="B39" s="29" t="n"/>
      <c r="C39" s="29" t="n"/>
      <c r="D39" s="29" t="n"/>
      <c r="E39" s="35" t="n"/>
      <c r="F39" s="36" t="n"/>
      <c r="G39" s="30" t="n"/>
    </row>
    <row r="40">
      <c r="A40" s="31" t="n"/>
      <c r="B40" s="32" t="n"/>
      <c r="C40" s="32" t="n"/>
      <c r="D40" s="32" t="n"/>
      <c r="E40" s="37" t="n"/>
      <c r="F40" s="38" t="n"/>
      <c r="G40" s="25" t="n"/>
    </row>
    <row r="41">
      <c r="A41" s="28" t="n"/>
      <c r="B41" s="29" t="n"/>
      <c r="C41" s="29" t="n"/>
      <c r="D41" s="29" t="n"/>
      <c r="E41" s="35" t="n"/>
      <c r="F41" s="36" t="n"/>
      <c r="G41" s="30" t="n"/>
    </row>
    <row r="42">
      <c r="A42" s="31" t="n"/>
      <c r="B42" s="32" t="n"/>
      <c r="C42" s="32" t="n"/>
      <c r="D42" s="32" t="n"/>
      <c r="E42" s="37" t="n"/>
      <c r="F42" s="38" t="n"/>
      <c r="G42" s="25" t="n"/>
    </row>
    <row r="43">
      <c r="A43" s="28" t="n"/>
      <c r="B43" s="29" t="n"/>
      <c r="C43" s="29" t="n"/>
      <c r="D43" s="29" t="n"/>
      <c r="E43" s="35" t="n"/>
      <c r="F43" s="36" t="n"/>
      <c r="G43" s="30" t="n"/>
    </row>
    <row r="44">
      <c r="A44" s="31" t="n"/>
      <c r="B44" s="32" t="n"/>
      <c r="C44" s="32" t="n"/>
      <c r="D44" s="32" t="n"/>
      <c r="E44" s="37" t="n"/>
      <c r="F44" s="38" t="n"/>
      <c r="G44" s="25" t="n"/>
    </row>
    <row r="45">
      <c r="A45" s="28" t="n"/>
      <c r="B45" s="29" t="n"/>
      <c r="C45" s="29" t="n"/>
      <c r="D45" s="29" t="n"/>
      <c r="E45" s="35" t="n"/>
      <c r="F45" s="36" t="n"/>
      <c r="G45" s="30" t="n"/>
    </row>
    <row r="46">
      <c r="A46" s="31" t="n"/>
      <c r="B46" s="32" t="n"/>
      <c r="C46" s="32" t="n"/>
      <c r="D46" s="32" t="n"/>
      <c r="E46" s="37" t="n"/>
      <c r="F46" s="38" t="n"/>
      <c r="G46" s="25" t="n"/>
    </row>
    <row r="47">
      <c r="A47" s="28" t="n"/>
      <c r="B47" s="29" t="n"/>
      <c r="C47" s="29" t="n"/>
      <c r="D47" s="29" t="n"/>
      <c r="E47" s="35" t="n"/>
      <c r="F47" s="36" t="n"/>
      <c r="G47" s="30" t="n"/>
    </row>
    <row r="48">
      <c r="A48" s="31" t="n"/>
      <c r="B48" s="32" t="n"/>
      <c r="C48" s="32" t="n"/>
      <c r="D48" s="32" t="n"/>
      <c r="E48" s="37" t="n"/>
      <c r="F48" s="38" t="n"/>
      <c r="G48" s="25" t="n"/>
    </row>
    <row r="49">
      <c r="A49" s="28" t="n"/>
      <c r="B49" s="29" t="n"/>
      <c r="C49" s="29" t="n"/>
      <c r="D49" s="29" t="n"/>
      <c r="E49" s="35" t="n"/>
      <c r="F49" s="36" t="n"/>
      <c r="G49" s="30" t="n"/>
    </row>
    <row r="50">
      <c r="A50" s="31" t="n"/>
      <c r="B50" s="32" t="n"/>
      <c r="C50" s="32" t="n"/>
      <c r="D50" s="32" t="n"/>
      <c r="E50" s="37" t="n"/>
      <c r="F50" s="38" t="n"/>
      <c r="G50" s="25" t="n"/>
    </row>
    <row r="51">
      <c r="A51" s="28" t="n"/>
      <c r="B51" s="29" t="n"/>
      <c r="C51" s="29" t="n"/>
      <c r="D51" s="29" t="n"/>
      <c r="E51" s="35" t="n"/>
      <c r="F51" s="36" t="n"/>
      <c r="G51" s="30" t="n"/>
    </row>
    <row r="52">
      <c r="A52" s="31" t="n"/>
      <c r="B52" s="32" t="n"/>
      <c r="C52" s="32" t="n"/>
      <c r="D52" s="32" t="n"/>
      <c r="E52" s="37" t="n"/>
      <c r="F52" s="38" t="n"/>
      <c r="G52" s="25" t="n"/>
    </row>
    <row r="53">
      <c r="A53" s="28" t="n"/>
      <c r="B53" s="29" t="n"/>
      <c r="C53" s="29" t="n"/>
      <c r="D53" s="29" t="n"/>
      <c r="E53" s="35" t="n"/>
      <c r="F53" s="36" t="n"/>
      <c r="G53" s="30" t="n"/>
    </row>
    <row r="54">
      <c r="A54" s="31" t="n"/>
      <c r="B54" s="32" t="n"/>
      <c r="C54" s="32" t="n"/>
      <c r="D54" s="32" t="n"/>
      <c r="E54" s="37" t="n"/>
      <c r="F54" s="38" t="n"/>
      <c r="G54" s="25" t="n"/>
    </row>
  </sheetData>
  <mergeCells count="2">
    <mergeCell ref="A1:J1"/>
    <mergeCell ref="A2:J2"/>
  </mergeCells>
  <dataValidations count="1">
    <dataValidation sqref="D5:D54" showDropDown="0" showInputMessage="0" showErrorMessage="0" allowBlank="1" type="list">
      <formula1>=SleepCatList</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75E6C1"/>
    <outlinePr summaryBelow="1" summaryRight="1"/>
    <pageSetUpPr/>
  </sheetPr>
  <dimension ref="A1:J64"/>
  <sheetViews>
    <sheetView showGridLines="0" workbookViewId="0">
      <pane ySplit="4" topLeftCell="A5" activePane="bottomLeft" state="frozen"/>
      <selection pane="bottomLeft" activeCell="A1" sqref="A1"/>
    </sheetView>
  </sheetViews>
  <sheetFormatPr baseColWidth="8" defaultRowHeight="15"/>
  <cols>
    <col width="13" customWidth="1" min="1" max="1"/>
    <col width="11" customWidth="1" min="2" max="2"/>
    <col width="12" customWidth="1" min="3" max="3"/>
    <col width="22" customWidth="1" min="4" max="4"/>
    <col width="3" customWidth="1" min="5" max="5"/>
    <col width="12" customWidth="1" min="6" max="6"/>
    <col width="10" customWidth="1" min="7" max="7"/>
    <col width="3" customWidth="1" min="8" max="8"/>
    <col width="12" customWidth="1" min="9" max="9"/>
    <col width="10" customWidth="1" min="10" max="10"/>
  </cols>
  <sheetData>
    <row r="1" ht="46" customHeight="1">
      <c r="A1" s="1" t="inlineStr">
        <is>
          <t xml:space="preserve">  🧷  DIAPER TRACKER</t>
        </is>
      </c>
    </row>
    <row r="2" ht="22" customHeight="1">
      <c r="A2" s="2" t="inlineStr">
        <is>
          <t xml:space="preserve">  Wet, dirty &amp; mixed — daily totals and type breakdown, automatic.</t>
        </is>
      </c>
    </row>
    <row r="3" ht="6" customHeight="1">
      <c r="A3" s="3" t="n"/>
      <c r="B3" s="3" t="n"/>
      <c r="C3" s="3" t="n"/>
      <c r="D3" s="3" t="n"/>
      <c r="E3" s="3" t="n"/>
      <c r="F3" s="3" t="n"/>
      <c r="G3" s="3" t="n"/>
      <c r="H3" s="3" t="n"/>
      <c r="I3" s="3" t="n"/>
      <c r="J3" s="3" t="n"/>
    </row>
    <row r="4" ht="30" customHeight="1">
      <c r="A4" s="7" t="inlineStr">
        <is>
          <t>Date</t>
        </is>
      </c>
      <c r="B4" s="7" t="inlineStr">
        <is>
          <t>Time</t>
        </is>
      </c>
      <c r="C4" s="7" t="inlineStr">
        <is>
          <t>Type</t>
        </is>
      </c>
      <c r="D4" s="7" t="inlineStr">
        <is>
          <t>Notes</t>
        </is>
      </c>
      <c r="F4" s="4" t="inlineStr">
        <is>
          <t>LAST 7 DAYS</t>
        </is>
      </c>
      <c r="I4" s="4" t="inlineStr">
        <is>
          <t>BY TYPE</t>
        </is>
      </c>
    </row>
    <row r="5">
      <c r="A5" s="28" t="n">
        <v>46204</v>
      </c>
      <c r="B5" s="29" t="inlineStr">
        <is>
          <t>6:15 AM</t>
        </is>
      </c>
      <c r="C5" s="29" t="inlineStr">
        <is>
          <t>Wet</t>
        </is>
      </c>
      <c r="D5" s="30" t="inlineStr"/>
      <c r="F5" s="7" t="inlineStr">
        <is>
          <t>Date</t>
        </is>
      </c>
      <c r="G5" s="7" t="inlineStr">
        <is>
          <t>Changes</t>
        </is>
      </c>
      <c r="I5" s="7" t="inlineStr">
        <is>
          <t>Type</t>
        </is>
      </c>
      <c r="J5" s="7" t="inlineStr">
        <is>
          <t>Count</t>
        </is>
      </c>
    </row>
    <row r="6">
      <c r="A6" s="31" t="n">
        <v>46204</v>
      </c>
      <c r="B6" s="32" t="inlineStr">
        <is>
          <t>9:15 AM</t>
        </is>
      </c>
      <c r="C6" s="32" t="inlineStr">
        <is>
          <t>Dirty</t>
        </is>
      </c>
      <c r="D6" s="25" t="inlineStr"/>
      <c r="F6" s="33" t="n">
        <v>46198</v>
      </c>
      <c r="G6" s="34">
        <f>COUNTIF(DiaperDate,F6)</f>
        <v/>
      </c>
      <c r="I6" s="22" t="inlineStr">
        <is>
          <t>Wet</t>
        </is>
      </c>
      <c r="J6" s="34">
        <f>COUNTIF(DiaperType,I6)</f>
        <v/>
      </c>
    </row>
    <row r="7">
      <c r="A7" s="28" t="n">
        <v>46204</v>
      </c>
      <c r="B7" s="29" t="inlineStr">
        <is>
          <t>12:15 PM</t>
        </is>
      </c>
      <c r="C7" s="29" t="inlineStr">
        <is>
          <t>Mixed</t>
        </is>
      </c>
      <c r="D7" s="30" t="inlineStr"/>
      <c r="F7" s="33" t="n">
        <v>46199</v>
      </c>
      <c r="G7" s="34">
        <f>COUNTIF(DiaperDate,F7)</f>
        <v/>
      </c>
      <c r="I7" s="22" t="inlineStr">
        <is>
          <t>Dirty</t>
        </is>
      </c>
      <c r="J7" s="34">
        <f>COUNTIF(DiaperType,I7)</f>
        <v/>
      </c>
    </row>
    <row r="8">
      <c r="A8" s="31" t="n">
        <v>46204</v>
      </c>
      <c r="B8" s="32" t="inlineStr">
        <is>
          <t>3:15 PM</t>
        </is>
      </c>
      <c r="C8" s="32" t="inlineStr">
        <is>
          <t>Wet</t>
        </is>
      </c>
      <c r="D8" s="25" t="inlineStr"/>
      <c r="F8" s="33" t="n">
        <v>46200</v>
      </c>
      <c r="G8" s="34">
        <f>COUNTIF(DiaperDate,F8)</f>
        <v/>
      </c>
      <c r="I8" s="22" t="inlineStr">
        <is>
          <t>Mixed</t>
        </is>
      </c>
      <c r="J8" s="34">
        <f>COUNTIF(DiaperType,I8)</f>
        <v/>
      </c>
    </row>
    <row r="9">
      <c r="A9" s="28" t="n">
        <v>46204</v>
      </c>
      <c r="B9" s="29" t="inlineStr">
        <is>
          <t>6:15 PM</t>
        </is>
      </c>
      <c r="C9" s="29" t="inlineStr">
        <is>
          <t>Dirty</t>
        </is>
      </c>
      <c r="D9" s="30" t="inlineStr"/>
      <c r="F9" s="33" t="n">
        <v>46201</v>
      </c>
      <c r="G9" s="34">
        <f>COUNTIF(DiaperDate,F9)</f>
        <v/>
      </c>
    </row>
    <row r="10">
      <c r="A10" s="31" t="n">
        <v>46204</v>
      </c>
      <c r="B10" s="32" t="inlineStr">
        <is>
          <t>9:00 PM</t>
        </is>
      </c>
      <c r="C10" s="32" t="inlineStr">
        <is>
          <t>Mixed</t>
        </is>
      </c>
      <c r="D10" s="25" t="inlineStr"/>
      <c r="F10" s="33" t="n">
        <v>46202</v>
      </c>
      <c r="G10" s="34">
        <f>COUNTIF(DiaperDate,F10)</f>
        <v/>
      </c>
    </row>
    <row r="11">
      <c r="A11" s="28" t="n">
        <v>46203</v>
      </c>
      <c r="B11" s="29" t="inlineStr">
        <is>
          <t>6:15 AM</t>
        </is>
      </c>
      <c r="C11" s="29" t="inlineStr">
        <is>
          <t>Wet</t>
        </is>
      </c>
      <c r="D11" s="30" t="inlineStr"/>
      <c r="F11" s="33" t="n">
        <v>46203</v>
      </c>
      <c r="G11" s="34">
        <f>COUNTIF(DiaperDate,F11)</f>
        <v/>
      </c>
    </row>
    <row r="12">
      <c r="A12" s="31" t="n">
        <v>46203</v>
      </c>
      <c r="B12" s="32" t="inlineStr">
        <is>
          <t>9:15 AM</t>
        </is>
      </c>
      <c r="C12" s="32" t="inlineStr">
        <is>
          <t>Dirty</t>
        </is>
      </c>
      <c r="D12" s="25" t="inlineStr"/>
      <c r="F12" s="33" t="n">
        <v>46204</v>
      </c>
      <c r="G12" s="34">
        <f>COUNTIF(DiaperDate,F12)</f>
        <v/>
      </c>
    </row>
    <row r="13">
      <c r="A13" s="28" t="n">
        <v>46203</v>
      </c>
      <c r="B13" s="29" t="inlineStr">
        <is>
          <t>12:15 PM</t>
        </is>
      </c>
      <c r="C13" s="29" t="inlineStr">
        <is>
          <t>Mixed</t>
        </is>
      </c>
      <c r="D13" s="30" t="inlineStr"/>
    </row>
    <row r="14">
      <c r="A14" s="31" t="n">
        <v>46203</v>
      </c>
      <c r="B14" s="32" t="inlineStr">
        <is>
          <t>3:15 PM</t>
        </is>
      </c>
      <c r="C14" s="32" t="inlineStr">
        <is>
          <t>Wet</t>
        </is>
      </c>
      <c r="D14" s="25" t="inlineStr"/>
    </row>
    <row r="15">
      <c r="A15" s="28" t="n">
        <v>46203</v>
      </c>
      <c r="B15" s="29" t="inlineStr">
        <is>
          <t>6:15 PM</t>
        </is>
      </c>
      <c r="C15" s="29" t="inlineStr">
        <is>
          <t>Dirty</t>
        </is>
      </c>
      <c r="D15" s="30" t="inlineStr"/>
    </row>
    <row r="16">
      <c r="A16" s="31" t="n">
        <v>46203</v>
      </c>
      <c r="B16" s="32" t="inlineStr">
        <is>
          <t>9:00 PM</t>
        </is>
      </c>
      <c r="C16" s="32" t="inlineStr">
        <is>
          <t>Mixed</t>
        </is>
      </c>
      <c r="D16" s="25" t="inlineStr"/>
    </row>
    <row r="17">
      <c r="A17" s="28" t="n">
        <v>46203</v>
      </c>
      <c r="B17" s="29" t="inlineStr">
        <is>
          <t>12:00 AM</t>
        </is>
      </c>
      <c r="C17" s="29" t="inlineStr">
        <is>
          <t>Wet</t>
        </is>
      </c>
      <c r="D17" s="30" t="inlineStr"/>
    </row>
    <row r="18">
      <c r="A18" s="31" t="n">
        <v>46202</v>
      </c>
      <c r="B18" s="32" t="inlineStr">
        <is>
          <t>6:15 AM</t>
        </is>
      </c>
      <c r="C18" s="32" t="inlineStr">
        <is>
          <t>Wet</t>
        </is>
      </c>
      <c r="D18" s="25" t="inlineStr"/>
    </row>
    <row r="19">
      <c r="A19" s="28" t="n">
        <v>46202</v>
      </c>
      <c r="B19" s="29" t="inlineStr">
        <is>
          <t>9:15 AM</t>
        </is>
      </c>
      <c r="C19" s="29" t="inlineStr">
        <is>
          <t>Dirty</t>
        </is>
      </c>
      <c r="D19" s="30" t="inlineStr"/>
    </row>
    <row r="20">
      <c r="A20" s="31" t="n">
        <v>46202</v>
      </c>
      <c r="B20" s="32" t="inlineStr">
        <is>
          <t>12:15 PM</t>
        </is>
      </c>
      <c r="C20" s="32" t="inlineStr">
        <is>
          <t>Mixed</t>
        </is>
      </c>
      <c r="D20" s="25" t="inlineStr"/>
    </row>
    <row r="21">
      <c r="A21" s="28" t="n">
        <v>46202</v>
      </c>
      <c r="B21" s="29" t="inlineStr">
        <is>
          <t>3:15 PM</t>
        </is>
      </c>
      <c r="C21" s="29" t="inlineStr">
        <is>
          <t>Wet</t>
        </is>
      </c>
      <c r="D21" s="30" t="inlineStr"/>
    </row>
    <row r="22">
      <c r="A22" s="31" t="n">
        <v>46202</v>
      </c>
      <c r="B22" s="32" t="inlineStr">
        <is>
          <t>6:15 PM</t>
        </is>
      </c>
      <c r="C22" s="32" t="inlineStr">
        <is>
          <t>Dirty</t>
        </is>
      </c>
      <c r="D22" s="25" t="inlineStr"/>
    </row>
    <row r="23">
      <c r="A23" s="28" t="n">
        <v>46202</v>
      </c>
      <c r="B23" s="29" t="inlineStr">
        <is>
          <t>9:00 PM</t>
        </is>
      </c>
      <c r="C23" s="29" t="inlineStr">
        <is>
          <t>Mixed</t>
        </is>
      </c>
      <c r="D23" s="30" t="inlineStr"/>
    </row>
    <row r="24">
      <c r="A24" s="31" t="n">
        <v>46201</v>
      </c>
      <c r="B24" s="32" t="inlineStr">
        <is>
          <t>6:15 AM</t>
        </is>
      </c>
      <c r="C24" s="32" t="inlineStr">
        <is>
          <t>Wet</t>
        </is>
      </c>
      <c r="D24" s="25" t="inlineStr"/>
    </row>
    <row r="25">
      <c r="A25" s="28" t="n">
        <v>46201</v>
      </c>
      <c r="B25" s="29" t="inlineStr">
        <is>
          <t>9:15 AM</t>
        </is>
      </c>
      <c r="C25" s="29" t="inlineStr">
        <is>
          <t>Dirty</t>
        </is>
      </c>
      <c r="D25" s="30" t="inlineStr"/>
    </row>
    <row r="26">
      <c r="A26" s="31" t="n">
        <v>46201</v>
      </c>
      <c r="B26" s="32" t="inlineStr">
        <is>
          <t>12:15 PM</t>
        </is>
      </c>
      <c r="C26" s="32" t="inlineStr">
        <is>
          <t>Mixed</t>
        </is>
      </c>
      <c r="D26" s="25" t="inlineStr"/>
    </row>
    <row r="27">
      <c r="A27" s="28" t="n">
        <v>46201</v>
      </c>
      <c r="B27" s="29" t="inlineStr">
        <is>
          <t>3:15 PM</t>
        </is>
      </c>
      <c r="C27" s="29" t="inlineStr">
        <is>
          <t>Wet</t>
        </is>
      </c>
      <c r="D27" s="30" t="inlineStr"/>
    </row>
    <row r="28">
      <c r="A28" s="31" t="n">
        <v>46201</v>
      </c>
      <c r="B28" s="32" t="inlineStr">
        <is>
          <t>6:15 PM</t>
        </is>
      </c>
      <c r="C28" s="32" t="inlineStr">
        <is>
          <t>Dirty</t>
        </is>
      </c>
      <c r="D28" s="25" t="inlineStr"/>
    </row>
    <row r="29">
      <c r="A29" s="28" t="n">
        <v>46201</v>
      </c>
      <c r="B29" s="29" t="inlineStr">
        <is>
          <t>9:00 PM</t>
        </is>
      </c>
      <c r="C29" s="29" t="inlineStr">
        <is>
          <t>Mixed</t>
        </is>
      </c>
      <c r="D29" s="30" t="inlineStr"/>
    </row>
    <row r="30">
      <c r="A30" s="31" t="n">
        <v>46201</v>
      </c>
      <c r="B30" s="32" t="inlineStr">
        <is>
          <t>12:00 AM</t>
        </is>
      </c>
      <c r="C30" s="32" t="inlineStr">
        <is>
          <t>Wet</t>
        </is>
      </c>
      <c r="D30" s="25" t="inlineStr"/>
    </row>
    <row r="31">
      <c r="A31" s="28" t="n">
        <v>46201</v>
      </c>
      <c r="B31" s="29" t="inlineStr">
        <is>
          <t>3:00 AM</t>
        </is>
      </c>
      <c r="C31" s="29" t="inlineStr">
        <is>
          <t>Dirty</t>
        </is>
      </c>
      <c r="D31" s="30" t="inlineStr"/>
    </row>
    <row r="32">
      <c r="A32" s="31" t="n">
        <v>46200</v>
      </c>
      <c r="B32" s="32" t="inlineStr">
        <is>
          <t>6:15 AM</t>
        </is>
      </c>
      <c r="C32" s="32" t="inlineStr">
        <is>
          <t>Wet</t>
        </is>
      </c>
      <c r="D32" s="25" t="inlineStr"/>
    </row>
    <row r="33">
      <c r="A33" s="28" t="n">
        <v>46200</v>
      </c>
      <c r="B33" s="29" t="inlineStr">
        <is>
          <t>9:15 AM</t>
        </is>
      </c>
      <c r="C33" s="29" t="inlineStr">
        <is>
          <t>Dirty</t>
        </is>
      </c>
      <c r="D33" s="30" t="inlineStr"/>
    </row>
    <row r="34">
      <c r="A34" s="31" t="n">
        <v>46200</v>
      </c>
      <c r="B34" s="32" t="inlineStr">
        <is>
          <t>12:15 PM</t>
        </is>
      </c>
      <c r="C34" s="32" t="inlineStr">
        <is>
          <t>Mixed</t>
        </is>
      </c>
      <c r="D34" s="25" t="inlineStr"/>
    </row>
    <row r="35">
      <c r="A35" s="28" t="n">
        <v>46200</v>
      </c>
      <c r="B35" s="29" t="inlineStr">
        <is>
          <t>3:15 PM</t>
        </is>
      </c>
      <c r="C35" s="29" t="inlineStr">
        <is>
          <t>Wet</t>
        </is>
      </c>
      <c r="D35" s="30" t="inlineStr"/>
    </row>
    <row r="36">
      <c r="A36" s="31" t="n">
        <v>46200</v>
      </c>
      <c r="B36" s="32" t="inlineStr">
        <is>
          <t>6:15 PM</t>
        </is>
      </c>
      <c r="C36" s="32" t="inlineStr">
        <is>
          <t>Dirty</t>
        </is>
      </c>
      <c r="D36" s="25" t="inlineStr"/>
    </row>
    <row r="37">
      <c r="A37" s="28" t="n">
        <v>46200</v>
      </c>
      <c r="B37" s="29" t="inlineStr">
        <is>
          <t>9:00 PM</t>
        </is>
      </c>
      <c r="C37" s="29" t="inlineStr">
        <is>
          <t>Mixed</t>
        </is>
      </c>
      <c r="D37" s="30" t="inlineStr"/>
    </row>
    <row r="38">
      <c r="A38" s="31" t="n">
        <v>46200</v>
      </c>
      <c r="B38" s="32" t="inlineStr">
        <is>
          <t>12:00 AM</t>
        </is>
      </c>
      <c r="C38" s="32" t="inlineStr">
        <is>
          <t>Wet</t>
        </is>
      </c>
      <c r="D38" s="25" t="inlineStr"/>
    </row>
    <row r="39">
      <c r="A39" s="28" t="n">
        <v>46199</v>
      </c>
      <c r="B39" s="29" t="inlineStr">
        <is>
          <t>6:15 AM</t>
        </is>
      </c>
      <c r="C39" s="29" t="inlineStr">
        <is>
          <t>Wet</t>
        </is>
      </c>
      <c r="D39" s="30" t="inlineStr"/>
    </row>
    <row r="40">
      <c r="A40" s="31" t="n">
        <v>46199</v>
      </c>
      <c r="B40" s="32" t="inlineStr">
        <is>
          <t>9:15 AM</t>
        </is>
      </c>
      <c r="C40" s="32" t="inlineStr">
        <is>
          <t>Dirty</t>
        </is>
      </c>
      <c r="D40" s="25" t="inlineStr"/>
    </row>
    <row r="41">
      <c r="A41" s="28" t="n">
        <v>46199</v>
      </c>
      <c r="B41" s="29" t="inlineStr">
        <is>
          <t>12:15 PM</t>
        </is>
      </c>
      <c r="C41" s="29" t="inlineStr">
        <is>
          <t>Mixed</t>
        </is>
      </c>
      <c r="D41" s="30" t="inlineStr"/>
    </row>
    <row r="42">
      <c r="A42" s="31" t="n">
        <v>46199</v>
      </c>
      <c r="B42" s="32" t="inlineStr">
        <is>
          <t>3:15 PM</t>
        </is>
      </c>
      <c r="C42" s="32" t="inlineStr">
        <is>
          <t>Wet</t>
        </is>
      </c>
      <c r="D42" s="25" t="inlineStr"/>
    </row>
    <row r="43">
      <c r="A43" s="28" t="n">
        <v>46199</v>
      </c>
      <c r="B43" s="29" t="inlineStr">
        <is>
          <t>6:15 PM</t>
        </is>
      </c>
      <c r="C43" s="29" t="inlineStr">
        <is>
          <t>Dirty</t>
        </is>
      </c>
      <c r="D43" s="30" t="inlineStr"/>
    </row>
    <row r="44">
      <c r="A44" s="31" t="n">
        <v>46199</v>
      </c>
      <c r="B44" s="32" t="inlineStr">
        <is>
          <t>9:00 PM</t>
        </is>
      </c>
      <c r="C44" s="32" t="inlineStr">
        <is>
          <t>Mixed</t>
        </is>
      </c>
      <c r="D44" s="25" t="inlineStr"/>
    </row>
    <row r="45">
      <c r="A45" s="28" t="n">
        <v>46198</v>
      </c>
      <c r="B45" s="29" t="inlineStr">
        <is>
          <t>6:15 AM</t>
        </is>
      </c>
      <c r="C45" s="29" t="inlineStr">
        <is>
          <t>Wet</t>
        </is>
      </c>
      <c r="D45" s="30" t="inlineStr"/>
    </row>
    <row r="46">
      <c r="A46" s="31" t="n">
        <v>46198</v>
      </c>
      <c r="B46" s="32" t="inlineStr">
        <is>
          <t>9:15 AM</t>
        </is>
      </c>
      <c r="C46" s="32" t="inlineStr">
        <is>
          <t>Dirty</t>
        </is>
      </c>
      <c r="D46" s="25" t="inlineStr"/>
    </row>
    <row r="47">
      <c r="A47" s="28" t="n">
        <v>46198</v>
      </c>
      <c r="B47" s="29" t="inlineStr">
        <is>
          <t>12:15 PM</t>
        </is>
      </c>
      <c r="C47" s="29" t="inlineStr">
        <is>
          <t>Mixed</t>
        </is>
      </c>
      <c r="D47" s="30" t="inlineStr"/>
    </row>
    <row r="48">
      <c r="A48" s="31" t="n">
        <v>46198</v>
      </c>
      <c r="B48" s="32" t="inlineStr">
        <is>
          <t>3:15 PM</t>
        </is>
      </c>
      <c r="C48" s="32" t="inlineStr">
        <is>
          <t>Wet</t>
        </is>
      </c>
      <c r="D48" s="25" t="inlineStr"/>
    </row>
    <row r="49">
      <c r="A49" s="28" t="n">
        <v>46198</v>
      </c>
      <c r="B49" s="29" t="inlineStr">
        <is>
          <t>6:15 PM</t>
        </is>
      </c>
      <c r="C49" s="29" t="inlineStr">
        <is>
          <t>Dirty</t>
        </is>
      </c>
      <c r="D49" s="30" t="inlineStr"/>
    </row>
    <row r="50">
      <c r="A50" s="31" t="n">
        <v>46198</v>
      </c>
      <c r="B50" s="32" t="inlineStr">
        <is>
          <t>9:00 PM</t>
        </is>
      </c>
      <c r="C50" s="32" t="inlineStr">
        <is>
          <t>Mixed</t>
        </is>
      </c>
      <c r="D50" s="25" t="inlineStr"/>
    </row>
    <row r="51">
      <c r="A51" s="28" t="n">
        <v>46198</v>
      </c>
      <c r="B51" s="29" t="inlineStr">
        <is>
          <t>12:00 AM</t>
        </is>
      </c>
      <c r="C51" s="29" t="inlineStr">
        <is>
          <t>Wet</t>
        </is>
      </c>
      <c r="D51" s="30" t="inlineStr"/>
    </row>
    <row r="52">
      <c r="A52" s="31" t="n"/>
      <c r="B52" s="32" t="n"/>
      <c r="C52" s="32" t="n"/>
      <c r="D52" s="25" t="n"/>
    </row>
    <row r="53">
      <c r="A53" s="28" t="n"/>
      <c r="B53" s="29" t="n"/>
      <c r="C53" s="29" t="n"/>
      <c r="D53" s="30" t="n"/>
    </row>
    <row r="54">
      <c r="A54" s="31" t="n"/>
      <c r="B54" s="32" t="n"/>
      <c r="C54" s="32" t="n"/>
      <c r="D54" s="25" t="n"/>
    </row>
    <row r="55">
      <c r="A55" s="28" t="n"/>
      <c r="B55" s="29" t="n"/>
      <c r="C55" s="29" t="n"/>
      <c r="D55" s="30" t="n"/>
    </row>
    <row r="56">
      <c r="A56" s="31" t="n"/>
      <c r="B56" s="32" t="n"/>
      <c r="C56" s="32" t="n"/>
      <c r="D56" s="25" t="n"/>
    </row>
    <row r="57">
      <c r="A57" s="28" t="n"/>
      <c r="B57" s="29" t="n"/>
      <c r="C57" s="29" t="n"/>
      <c r="D57" s="30" t="n"/>
    </row>
    <row r="58">
      <c r="A58" s="31" t="n"/>
      <c r="B58" s="32" t="n"/>
      <c r="C58" s="32" t="n"/>
      <c r="D58" s="25" t="n"/>
    </row>
    <row r="59">
      <c r="A59" s="28" t="n"/>
      <c r="B59" s="29" t="n"/>
      <c r="C59" s="29" t="n"/>
      <c r="D59" s="30" t="n"/>
    </row>
    <row r="60">
      <c r="A60" s="31" t="n"/>
      <c r="B60" s="32" t="n"/>
      <c r="C60" s="32" t="n"/>
      <c r="D60" s="25" t="n"/>
    </row>
    <row r="61">
      <c r="A61" s="28" t="n"/>
      <c r="B61" s="29" t="n"/>
      <c r="C61" s="29" t="n"/>
      <c r="D61" s="30" t="n"/>
    </row>
    <row r="62">
      <c r="A62" s="31" t="n"/>
      <c r="B62" s="32" t="n"/>
      <c r="C62" s="32" t="n"/>
      <c r="D62" s="25" t="n"/>
    </row>
    <row r="63">
      <c r="A63" s="28" t="n"/>
      <c r="B63" s="29" t="n"/>
      <c r="C63" s="29" t="n"/>
      <c r="D63" s="30" t="n"/>
    </row>
    <row r="64">
      <c r="A64" s="31" t="n"/>
      <c r="B64" s="32" t="n"/>
      <c r="C64" s="32" t="n"/>
      <c r="D64" s="25" t="n"/>
    </row>
  </sheetData>
  <mergeCells count="2">
    <mergeCell ref="A1:J1"/>
    <mergeCell ref="A2:J2"/>
  </mergeCells>
  <dataValidations count="1">
    <dataValidation sqref="C5:C64" showDropDown="0" showInputMessage="0" showErrorMessage="0" allowBlank="1" type="list">
      <formula1>=DiaperTypeList</formula1>
    </dataValidation>
  </dataValidations>
  <pageMargins left="0.75" right="0.75" top="1" bottom="1" header="0.5" footer="0.5"/>
</worksheet>
</file>

<file path=xl/worksheets/sheet8.xml><?xml version="1.0" encoding="utf-8"?>
<worksheet xmlns="http://schemas.openxmlformats.org/spreadsheetml/2006/main">
  <sheetPr>
    <tabColor rgb="00E5D3BA"/>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12" customWidth="1" min="3" max="3"/>
    <col width="14" customWidth="1" min="4" max="4"/>
    <col width="26" customWidth="1" min="5" max="5"/>
    <col width="3" customWidth="1" min="6" max="6"/>
  </cols>
  <sheetData>
    <row r="1" ht="46" customHeight="1">
      <c r="A1" s="1" t="inlineStr">
        <is>
          <t xml:space="preserve">  📏  GROWTH TRACKER</t>
        </is>
      </c>
    </row>
    <row r="2" ht="22" customHeight="1">
      <c r="A2" s="2" t="inlineStr">
        <is>
          <t xml:space="preserve">  Weight, length &amp; head circumference over time — with a growth chart.</t>
        </is>
      </c>
    </row>
    <row r="3" ht="6" customHeight="1">
      <c r="A3" s="3" t="n"/>
      <c r="B3" s="3" t="n"/>
      <c r="C3" s="3" t="n"/>
      <c r="D3" s="3" t="n"/>
      <c r="E3" s="3" t="n"/>
    </row>
    <row r="4" ht="30" customHeight="1">
      <c r="A4" s="7" t="inlineStr">
        <is>
          <t>Date</t>
        </is>
      </c>
      <c r="B4" s="7" t="inlineStr">
        <is>
          <t>Weight (lb)</t>
        </is>
      </c>
      <c r="C4" s="7" t="inlineStr">
        <is>
          <t>Length (in)</t>
        </is>
      </c>
      <c r="D4" s="7" t="inlineStr">
        <is>
          <t>Head (in)</t>
        </is>
      </c>
      <c r="E4" s="7" t="inlineStr">
        <is>
          <t>Visit Notes</t>
        </is>
      </c>
    </row>
    <row r="5">
      <c r="A5" s="28" t="n">
        <v>46079</v>
      </c>
      <c r="B5" s="35" t="n">
        <v>7.4</v>
      </c>
      <c r="C5" s="35" t="n">
        <v>20</v>
      </c>
      <c r="D5" s="35" t="n">
        <v>13.5</v>
      </c>
      <c r="E5" s="30" t="inlineStr">
        <is>
          <t>Birth</t>
        </is>
      </c>
    </row>
    <row r="6">
      <c r="A6" s="31" t="n">
        <v>46086</v>
      </c>
      <c r="B6" s="37" t="n">
        <v>7.1</v>
      </c>
      <c r="C6" s="37" t="n">
        <v>20</v>
      </c>
      <c r="D6" s="37" t="n">
        <v>13.6</v>
      </c>
      <c r="E6" s="25" t="inlineStr">
        <is>
          <t>Back to birth weight</t>
        </is>
      </c>
    </row>
    <row r="7">
      <c r="A7" s="28" t="n">
        <v>46109</v>
      </c>
      <c r="B7" s="35" t="n">
        <v>9.199999999999999</v>
      </c>
      <c r="C7" s="35" t="n">
        <v>21.5</v>
      </c>
      <c r="D7" s="35" t="n">
        <v>14.3</v>
      </c>
      <c r="E7" s="30" t="inlineStr">
        <is>
          <t>2-week check — 55th %ile</t>
        </is>
      </c>
    </row>
    <row r="8">
      <c r="A8" s="31" t="n">
        <v>46139</v>
      </c>
      <c r="B8" s="37" t="n">
        <v>11.6</v>
      </c>
      <c r="C8" s="37" t="n">
        <v>22.8</v>
      </c>
      <c r="D8" s="37" t="n">
        <v>15.1</v>
      </c>
      <c r="E8" s="25" t="inlineStr">
        <is>
          <t>2-month check — 60th %ile</t>
        </is>
      </c>
    </row>
    <row r="9">
      <c r="A9" s="28" t="n">
        <v>46194</v>
      </c>
      <c r="B9" s="35" t="n">
        <v>14.2</v>
      </c>
      <c r="C9" s="35" t="n">
        <v>24.4</v>
      </c>
      <c r="D9" s="35" t="n">
        <v>15.9</v>
      </c>
      <c r="E9" s="30" t="inlineStr">
        <is>
          <t>4-month check soon — 62nd %ile</t>
        </is>
      </c>
    </row>
    <row r="10">
      <c r="A10" s="31" t="n"/>
      <c r="B10" s="37" t="n"/>
      <c r="C10" s="37" t="n"/>
      <c r="D10" s="37" t="n"/>
      <c r="E10" s="25" t="n"/>
    </row>
    <row r="11">
      <c r="A11" s="28" t="n"/>
      <c r="B11" s="35" t="n"/>
      <c r="C11" s="35" t="n"/>
      <c r="D11" s="35" t="n"/>
      <c r="E11" s="30" t="n"/>
    </row>
    <row r="12">
      <c r="A12" s="31" t="n"/>
      <c r="B12" s="37" t="n"/>
      <c r="C12" s="37" t="n"/>
      <c r="D12" s="37" t="n"/>
      <c r="E12" s="25" t="n"/>
    </row>
    <row r="13">
      <c r="A13" s="28" t="n"/>
      <c r="B13" s="35" t="n"/>
      <c r="C13" s="35" t="n"/>
      <c r="D13" s="35" t="n"/>
      <c r="E13" s="30" t="n"/>
    </row>
    <row r="14">
      <c r="A14" s="31" t="n"/>
      <c r="B14" s="37" t="n"/>
      <c r="C14" s="37" t="n"/>
      <c r="D14" s="37" t="n"/>
      <c r="E14" s="25" t="n"/>
    </row>
    <row r="15">
      <c r="A15" s="28" t="n"/>
      <c r="B15" s="35" t="n"/>
      <c r="C15" s="35" t="n"/>
      <c r="D15" s="35" t="n"/>
      <c r="E15" s="30" t="n"/>
    </row>
    <row r="16">
      <c r="A16" s="31" t="n"/>
      <c r="B16" s="37" t="n"/>
      <c r="C16" s="37" t="n"/>
      <c r="D16" s="37" t="n"/>
      <c r="E16" s="25" t="n"/>
    </row>
    <row r="17">
      <c r="A17" s="28" t="n"/>
      <c r="B17" s="35" t="n"/>
      <c r="C17" s="35" t="n"/>
      <c r="D17" s="35" t="n"/>
      <c r="E17" s="30" t="n"/>
    </row>
    <row r="18">
      <c r="A18" s="31" t="n"/>
      <c r="B18" s="37" t="n"/>
      <c r="C18" s="37" t="n"/>
      <c r="D18" s="37" t="n"/>
      <c r="E18" s="25" t="n"/>
    </row>
    <row r="19">
      <c r="A19" s="28" t="n"/>
      <c r="B19" s="35" t="n"/>
      <c r="C19" s="35" t="n"/>
      <c r="D19" s="35" t="n"/>
      <c r="E19" s="30" t="n"/>
    </row>
    <row r="20">
      <c r="A20" s="31" t="n"/>
      <c r="B20" s="37" t="n"/>
      <c r="C20" s="37" t="n"/>
      <c r="D20" s="37" t="n"/>
      <c r="E20" s="25" t="n"/>
    </row>
    <row r="21">
      <c r="A21" s="28" t="n"/>
      <c r="B21" s="35" t="n"/>
      <c r="C21" s="35" t="n"/>
      <c r="D21" s="35" t="n"/>
      <c r="E21" s="30" t="n"/>
    </row>
    <row r="22">
      <c r="A22" s="31" t="n"/>
      <c r="B22" s="37" t="n"/>
      <c r="C22" s="37" t="n"/>
      <c r="D22" s="37" t="n"/>
      <c r="E22" s="25" t="n"/>
    </row>
    <row r="23">
      <c r="A23" s="28" t="n"/>
      <c r="B23" s="35" t="n"/>
      <c r="C23" s="35" t="n"/>
      <c r="D23" s="35" t="n"/>
      <c r="E23" s="30" t="n"/>
    </row>
    <row r="24">
      <c r="A24" s="31" t="n"/>
      <c r="B24" s="37" t="n"/>
      <c r="C24" s="37" t="n"/>
      <c r="D24" s="37" t="n"/>
      <c r="E24" s="25" t="n"/>
    </row>
    <row r="25">
      <c r="A25" s="28" t="n"/>
      <c r="B25" s="35" t="n"/>
      <c r="C25" s="35" t="n"/>
      <c r="D25" s="35" t="n"/>
      <c r="E25" s="30" t="n"/>
    </row>
    <row r="26">
      <c r="A26" s="31" t="n"/>
      <c r="B26" s="37" t="n"/>
      <c r="C26" s="37" t="n"/>
      <c r="D26" s="37" t="n"/>
      <c r="E26" s="25" t="n"/>
    </row>
    <row r="27">
      <c r="A27" s="28" t="n"/>
      <c r="B27" s="35" t="n"/>
      <c r="C27" s="35" t="n"/>
      <c r="D27" s="35" t="n"/>
      <c r="E27" s="30" t="n"/>
    </row>
    <row r="28">
      <c r="A28" s="31" t="n"/>
      <c r="B28" s="37" t="n"/>
      <c r="C28" s="37" t="n"/>
      <c r="D28" s="37" t="n"/>
      <c r="E28" s="25" t="n"/>
    </row>
  </sheetData>
  <mergeCells count="2">
    <mergeCell ref="A2:E2"/>
    <mergeCell ref="A1:E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1B4F48"/>
    <outlinePr summaryBelow="1" summaryRight="1"/>
    <pageSetUpPr/>
  </sheetPr>
  <dimension ref="A1:H34"/>
  <sheetViews>
    <sheetView showGridLines="0" workbookViewId="0">
      <pane ySplit="4" topLeftCell="A5" activePane="bottomLeft" state="frozen"/>
      <selection pane="bottomLeft" activeCell="A1" sqref="A1"/>
    </sheetView>
  </sheetViews>
  <sheetFormatPr baseColWidth="8" defaultRowHeight="15"/>
  <cols>
    <col width="14" customWidth="1" min="1" max="1"/>
    <col width="26" customWidth="1" min="2" max="2"/>
    <col width="14" customWidth="1" min="3" max="3"/>
    <col width="22" customWidth="1" min="4" max="4"/>
    <col width="12" customWidth="1" min="5" max="5"/>
    <col width="3" customWidth="1" min="6" max="6"/>
    <col width="16" customWidth="1" min="7" max="7"/>
    <col width="10" customWidth="1" min="8" max="8"/>
  </cols>
  <sheetData>
    <row r="1" ht="46" customHeight="1">
      <c r="A1" s="1" t="inlineStr">
        <is>
          <t xml:space="preserve">  ⭐  MILESTONE TRACKER</t>
        </is>
      </c>
    </row>
    <row r="2" ht="22" customHeight="1">
      <c r="A2" s="2" t="inlineStr">
        <is>
          <t xml:space="preserve">  Every first, captured — progress by category rolls up automatically.</t>
        </is>
      </c>
    </row>
    <row r="3" ht="6" customHeight="1">
      <c r="A3" s="3" t="n"/>
      <c r="B3" s="3" t="n"/>
      <c r="C3" s="3" t="n"/>
      <c r="D3" s="3" t="n"/>
      <c r="E3" s="3" t="n"/>
      <c r="F3" s="3" t="n"/>
      <c r="G3" s="3" t="n"/>
      <c r="H3" s="3" t="n"/>
    </row>
    <row r="4" ht="30" customHeight="1">
      <c r="A4" s="7" t="inlineStr">
        <is>
          <t>Category</t>
        </is>
      </c>
      <c r="B4" s="7" t="inlineStr">
        <is>
          <t>Milestone</t>
        </is>
      </c>
      <c r="C4" s="7" t="inlineStr">
        <is>
          <t>Date Achieved</t>
        </is>
      </c>
      <c r="D4" s="7" t="inlineStr">
        <is>
          <t>Notes</t>
        </is>
      </c>
      <c r="E4" s="7" t="inlineStr">
        <is>
          <t>Photo?</t>
        </is>
      </c>
      <c r="G4" s="4" t="inlineStr">
        <is>
          <t>BY CATEGORY</t>
        </is>
      </c>
    </row>
    <row r="5">
      <c r="A5" s="29" t="inlineStr">
        <is>
          <t>Social</t>
        </is>
      </c>
      <c r="B5" s="30" t="inlineStr">
        <is>
          <t>First real smile</t>
        </is>
      </c>
      <c r="C5" s="28" t="n">
        <v>46114</v>
      </c>
      <c r="D5" s="30" t="inlineStr">
        <is>
          <t>Melted our hearts</t>
        </is>
      </c>
      <c r="E5" s="29" t="inlineStr">
        <is>
          <t>Yes</t>
        </is>
      </c>
      <c r="G5" s="7" t="inlineStr">
        <is>
          <t>Category</t>
        </is>
      </c>
      <c r="H5" s="7" t="inlineStr">
        <is>
          <t>Done</t>
        </is>
      </c>
    </row>
    <row r="6">
      <c r="A6" s="32" t="inlineStr">
        <is>
          <t>Motor</t>
        </is>
      </c>
      <c r="B6" s="25" t="inlineStr">
        <is>
          <t>Holds head up</t>
        </is>
      </c>
      <c r="C6" s="31" t="n">
        <v>46119</v>
      </c>
      <c r="D6" s="25" t="inlineStr"/>
      <c r="E6" s="32" t="inlineStr">
        <is>
          <t>No</t>
        </is>
      </c>
      <c r="G6" s="22" t="inlineStr">
        <is>
          <t>Motor</t>
        </is>
      </c>
      <c r="H6" s="34">
        <f>COUNTIFS(MileCat,G6,MileDate,"&lt;&gt;"&amp;"")</f>
        <v/>
      </c>
    </row>
    <row r="7">
      <c r="A7" s="29" t="inlineStr">
        <is>
          <t>Feeding</t>
        </is>
      </c>
      <c r="B7" s="30" t="inlineStr">
        <is>
          <t>Latches well</t>
        </is>
      </c>
      <c r="C7" s="28" t="n">
        <v>46089</v>
      </c>
      <c r="D7" s="30" t="inlineStr"/>
      <c r="E7" s="29" t="inlineStr">
        <is>
          <t>No</t>
        </is>
      </c>
      <c r="G7" s="22" t="inlineStr">
        <is>
          <t>Language</t>
        </is>
      </c>
      <c r="H7" s="34">
        <f>COUNTIFS(MileCat,G7,MileDate,"&lt;&gt;"&amp;"")</f>
        <v/>
      </c>
    </row>
    <row r="8">
      <c r="A8" s="32" t="inlineStr">
        <is>
          <t>Social</t>
        </is>
      </c>
      <c r="B8" s="25" t="inlineStr">
        <is>
          <t>Laughs out loud</t>
        </is>
      </c>
      <c r="C8" s="31" t="n">
        <v>46144</v>
      </c>
      <c r="D8" s="25" t="inlineStr"/>
      <c r="E8" s="32" t="inlineStr">
        <is>
          <t>Yes</t>
        </is>
      </c>
      <c r="G8" s="22" t="inlineStr">
        <is>
          <t>Social</t>
        </is>
      </c>
      <c r="H8" s="34">
        <f>COUNTIFS(MileCat,G8,MileDate,"&lt;&gt;"&amp;"")</f>
        <v/>
      </c>
    </row>
    <row r="9">
      <c r="A9" s="29" t="inlineStr">
        <is>
          <t>Motor</t>
        </is>
      </c>
      <c r="B9" s="30" t="inlineStr">
        <is>
          <t>Rolls tummy to back</t>
        </is>
      </c>
      <c r="C9" s="28" t="n">
        <v>46169</v>
      </c>
      <c r="D9" s="30" t="inlineStr"/>
      <c r="E9" s="29" t="inlineStr">
        <is>
          <t>Yes</t>
        </is>
      </c>
      <c r="G9" s="22" t="inlineStr">
        <is>
          <t>Cognitive</t>
        </is>
      </c>
      <c r="H9" s="34">
        <f>COUNTIFS(MileCat,G9,MileDate,"&lt;&gt;"&amp;"")</f>
        <v/>
      </c>
    </row>
    <row r="10">
      <c r="A10" s="32" t="inlineStr">
        <is>
          <t>Cognitive</t>
        </is>
      </c>
      <c r="B10" s="25" t="inlineStr">
        <is>
          <t>Tracks objects</t>
        </is>
      </c>
      <c r="C10" s="31" t="n">
        <v>46134</v>
      </c>
      <c r="D10" s="25" t="inlineStr"/>
      <c r="E10" s="32" t="inlineStr">
        <is>
          <t>No</t>
        </is>
      </c>
      <c r="G10" s="22" t="inlineStr">
        <is>
          <t>Feeding</t>
        </is>
      </c>
      <c r="H10" s="34">
        <f>COUNTIFS(MileCat,G10,MileDate,"&lt;&gt;"&amp;"")</f>
        <v/>
      </c>
    </row>
    <row r="11">
      <c r="A11" s="29" t="inlineStr">
        <is>
          <t>Language</t>
        </is>
      </c>
      <c r="B11" s="30" t="inlineStr">
        <is>
          <t>Coos &amp; babbles</t>
        </is>
      </c>
      <c r="C11" s="28" t="n">
        <v>46149</v>
      </c>
      <c r="D11" s="30" t="inlineStr"/>
      <c r="E11" s="29" t="inlineStr">
        <is>
          <t>No</t>
        </is>
      </c>
      <c r="G11" s="22" t="inlineStr">
        <is>
          <t>Sleep</t>
        </is>
      </c>
      <c r="H11" s="34">
        <f>COUNTIFS(MileCat,G11,MileDate,"&lt;&gt;"&amp;"")</f>
        <v/>
      </c>
    </row>
    <row r="12">
      <c r="A12" s="32" t="inlineStr">
        <is>
          <t>Motor</t>
        </is>
      </c>
      <c r="B12" s="25" t="inlineStr">
        <is>
          <t>Grabs toys</t>
        </is>
      </c>
      <c r="C12" s="31" t="n">
        <v>46184</v>
      </c>
      <c r="D12" s="25" t="inlineStr"/>
      <c r="E12" s="32" t="inlineStr">
        <is>
          <t>Yes</t>
        </is>
      </c>
      <c r="G12" s="22" t="inlineStr">
        <is>
          <t>Teeth</t>
        </is>
      </c>
      <c r="H12" s="34">
        <f>COUNTIFS(MileCat,G12,MileDate,"&lt;&gt;"&amp;"")</f>
        <v/>
      </c>
    </row>
    <row r="13">
      <c r="A13" s="29" t="inlineStr">
        <is>
          <t>Sleep</t>
        </is>
      </c>
      <c r="B13" s="30" t="inlineStr">
        <is>
          <t>6-hr stretch</t>
        </is>
      </c>
      <c r="C13" s="28" t="n">
        <v>46164</v>
      </c>
      <c r="D13" s="30" t="inlineStr">
        <is>
          <t>Hallelujah</t>
        </is>
      </c>
      <c r="E13" s="29" t="inlineStr">
        <is>
          <t>No</t>
        </is>
      </c>
      <c r="G13" s="22" t="inlineStr">
        <is>
          <t>Walking</t>
        </is>
      </c>
      <c r="H13" s="34">
        <f>COUNTIFS(MileCat,G13,MileDate,"&lt;&gt;"&amp;"")</f>
        <v/>
      </c>
    </row>
    <row r="14">
      <c r="A14" s="32" t="inlineStr">
        <is>
          <t>Motor</t>
        </is>
      </c>
      <c r="B14" s="25" t="inlineStr">
        <is>
          <t>Sits with support</t>
        </is>
      </c>
      <c r="C14" s="31" t="inlineStr"/>
      <c r="D14" s="25" t="inlineStr">
        <is>
          <t>Working on it</t>
        </is>
      </c>
      <c r="E14" s="32" t="inlineStr">
        <is>
          <t>No</t>
        </is>
      </c>
    </row>
    <row r="15">
      <c r="A15" s="29" t="inlineStr">
        <is>
          <t>Motor</t>
        </is>
      </c>
      <c r="B15" s="30" t="inlineStr">
        <is>
          <t>Sits unassisted</t>
        </is>
      </c>
      <c r="C15" s="28" t="inlineStr"/>
      <c r="D15" s="30" t="inlineStr"/>
      <c r="E15" s="29" t="inlineStr">
        <is>
          <t>No</t>
        </is>
      </c>
    </row>
    <row r="16">
      <c r="A16" s="32" t="inlineStr">
        <is>
          <t>Teeth</t>
        </is>
      </c>
      <c r="B16" s="25" t="inlineStr">
        <is>
          <t>First tooth</t>
        </is>
      </c>
      <c r="C16" s="31" t="inlineStr"/>
      <c r="D16" s="25" t="inlineStr"/>
      <c r="E16" s="32" t="inlineStr">
        <is>
          <t>No</t>
        </is>
      </c>
    </row>
    <row r="17">
      <c r="A17" s="29" t="inlineStr">
        <is>
          <t>Language</t>
        </is>
      </c>
      <c r="B17" s="30" t="inlineStr">
        <is>
          <t>First word</t>
        </is>
      </c>
      <c r="C17" s="28" t="inlineStr"/>
      <c r="D17" s="30" t="inlineStr"/>
      <c r="E17" s="29" t="inlineStr">
        <is>
          <t>No</t>
        </is>
      </c>
    </row>
    <row r="18">
      <c r="A18" s="32" t="inlineStr">
        <is>
          <t>Walking</t>
        </is>
      </c>
      <c r="B18" s="25" t="inlineStr">
        <is>
          <t>Pulls to stand</t>
        </is>
      </c>
      <c r="C18" s="31" t="inlineStr"/>
      <c r="D18" s="25" t="inlineStr"/>
      <c r="E18" s="32" t="inlineStr">
        <is>
          <t>No</t>
        </is>
      </c>
    </row>
    <row r="19">
      <c r="A19" s="29" t="n"/>
      <c r="B19" s="30" t="n"/>
      <c r="C19" s="28" t="n"/>
      <c r="D19" s="30" t="n"/>
      <c r="E19" s="29" t="n"/>
    </row>
    <row r="20">
      <c r="A20" s="32" t="n"/>
      <c r="B20" s="25" t="n"/>
      <c r="C20" s="31" t="n"/>
      <c r="D20" s="25" t="n"/>
      <c r="E20" s="32" t="n"/>
    </row>
    <row r="21">
      <c r="A21" s="29" t="n"/>
      <c r="B21" s="30" t="n"/>
      <c r="C21" s="28" t="n"/>
      <c r="D21" s="30" t="n"/>
      <c r="E21" s="29" t="n"/>
    </row>
    <row r="22">
      <c r="A22" s="32" t="n"/>
      <c r="B22" s="25" t="n"/>
      <c r="C22" s="31" t="n"/>
      <c r="D22" s="25" t="n"/>
      <c r="E22" s="32" t="n"/>
    </row>
    <row r="23">
      <c r="A23" s="29" t="n"/>
      <c r="B23" s="30" t="n"/>
      <c r="C23" s="28" t="n"/>
      <c r="D23" s="30" t="n"/>
      <c r="E23" s="29" t="n"/>
    </row>
    <row r="24">
      <c r="A24" s="32" t="n"/>
      <c r="B24" s="25" t="n"/>
      <c r="C24" s="31" t="n"/>
      <c r="D24" s="25" t="n"/>
      <c r="E24" s="32" t="n"/>
    </row>
    <row r="25">
      <c r="A25" s="29" t="n"/>
      <c r="B25" s="30" t="n"/>
      <c r="C25" s="28" t="n"/>
      <c r="D25" s="30" t="n"/>
      <c r="E25" s="29" t="n"/>
    </row>
    <row r="26">
      <c r="A26" s="32" t="n"/>
      <c r="B26" s="25" t="n"/>
      <c r="C26" s="31" t="n"/>
      <c r="D26" s="25" t="n"/>
      <c r="E26" s="32" t="n"/>
    </row>
    <row r="27">
      <c r="A27" s="29" t="n"/>
      <c r="B27" s="30" t="n"/>
      <c r="C27" s="28" t="n"/>
      <c r="D27" s="30" t="n"/>
      <c r="E27" s="29" t="n"/>
    </row>
    <row r="28">
      <c r="A28" s="32" t="n"/>
      <c r="B28" s="25" t="n"/>
      <c r="C28" s="31" t="n"/>
      <c r="D28" s="25" t="n"/>
      <c r="E28" s="32" t="n"/>
    </row>
    <row r="29">
      <c r="A29" s="29" t="n"/>
      <c r="B29" s="30" t="n"/>
      <c r="C29" s="28" t="n"/>
      <c r="D29" s="30" t="n"/>
      <c r="E29" s="29" t="n"/>
    </row>
    <row r="30">
      <c r="A30" s="32" t="n"/>
      <c r="B30" s="25" t="n"/>
      <c r="C30" s="31" t="n"/>
      <c r="D30" s="25" t="n"/>
      <c r="E30" s="32" t="n"/>
    </row>
    <row r="31">
      <c r="A31" s="29" t="n"/>
      <c r="B31" s="30" t="n"/>
      <c r="C31" s="28" t="n"/>
      <c r="D31" s="30" t="n"/>
      <c r="E31" s="29" t="n"/>
    </row>
    <row r="32">
      <c r="A32" s="32" t="n"/>
      <c r="B32" s="25" t="n"/>
      <c r="C32" s="31" t="n"/>
      <c r="D32" s="25" t="n"/>
      <c r="E32" s="32" t="n"/>
    </row>
    <row r="33">
      <c r="A33" s="29" t="n"/>
      <c r="B33" s="30" t="n"/>
      <c r="C33" s="28" t="n"/>
      <c r="D33" s="30" t="n"/>
      <c r="E33" s="29" t="n"/>
    </row>
    <row r="34">
      <c r="A34" s="32" t="n"/>
      <c r="B34" s="25" t="n"/>
      <c r="C34" s="31" t="n"/>
      <c r="D34" s="25" t="n"/>
      <c r="E34" s="32" t="n"/>
    </row>
  </sheetData>
  <mergeCells count="2">
    <mergeCell ref="A2:H2"/>
    <mergeCell ref="A1:H1"/>
  </mergeCells>
  <conditionalFormatting sqref="A5:E34">
    <cfRule type="expression" priority="1" dxfId="0">
      <formula>$C5&lt;&gt;""</formula>
    </cfRule>
  </conditionalFormatting>
  <dataValidations count="2">
    <dataValidation sqref="A5:A34" showDropDown="0" showInputMessage="0" showErrorMessage="0" allowBlank="1" type="list">
      <formula1>=MilestoneCatList</formula1>
    </dataValidation>
    <dataValidation sqref="E5:E34" showDropDown="0" showInputMessage="0" showErrorMessage="0" allowBlank="1" type="list">
      <formula1>=YesNoList</formula1>
    </dataValidation>
  </dataValidations>
  <pageMargins left="0.75" right="0.75" top="1" bottom="1" header="0.5" footer="0.5"/>
</worksheet>
</file>

<file path=xl/worksheets/sheet10.xml><?xml version="1.0" encoding="utf-8"?>
<worksheet xmlns="http://schemas.openxmlformats.org/spreadsheetml/2006/main">
  <sheetPr>
    <tabColor rgb="00937356"/>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13" customWidth="1" min="1" max="1"/>
    <col width="14" customWidth="1" min="2" max="2"/>
    <col width="22" customWidth="1" min="3" max="3"/>
    <col width="14" customWidth="1" min="4" max="4"/>
    <col width="12" customWidth="1" min="5" max="5"/>
    <col width="12" customWidth="1" min="6" max="6"/>
    <col width="20" customWidth="1" min="7" max="7"/>
  </cols>
  <sheetData>
    <row r="1" ht="46" customHeight="1">
      <c r="A1" s="1" t="inlineStr">
        <is>
          <t xml:space="preserve">  🏥  MEDICAL CENTER</t>
        </is>
      </c>
    </row>
    <row r="2" ht="22" customHeight="1">
      <c r="A2" s="2" t="inlineStr">
        <is>
          <t xml:space="preserve">  Visits, vaccinations &amp; health history — organized and always at hand.</t>
        </is>
      </c>
    </row>
    <row r="3" ht="6" customHeight="1">
      <c r="A3" s="3" t="n"/>
      <c r="B3" s="3" t="n"/>
      <c r="C3" s="3" t="n"/>
      <c r="D3" s="3" t="n"/>
      <c r="E3" s="3" t="n"/>
      <c r="F3" s="3" t="n"/>
      <c r="G3" s="3" t="n"/>
    </row>
    <row r="4" ht="30" customHeight="1">
      <c r="A4" s="7" t="inlineStr">
        <is>
          <t>Date</t>
        </is>
      </c>
      <c r="B4" s="7" t="inlineStr">
        <is>
          <t>Type</t>
        </is>
      </c>
      <c r="C4" s="7" t="inlineStr">
        <is>
          <t>Reason / Vaccine</t>
        </is>
      </c>
      <c r="D4" s="7" t="inlineStr">
        <is>
          <t>Provider</t>
        </is>
      </c>
      <c r="E4" s="7" t="inlineStr">
        <is>
          <t>Status</t>
        </is>
      </c>
      <c r="F4" s="7" t="inlineStr">
        <is>
          <t>Follow-Up</t>
        </is>
      </c>
      <c r="G4" s="7" t="inlineStr">
        <is>
          <t>Notes</t>
        </is>
      </c>
    </row>
    <row r="5">
      <c r="A5" s="28" t="n">
        <v>46079</v>
      </c>
      <c r="B5" s="29" t="inlineStr">
        <is>
          <t>Pediatrician</t>
        </is>
      </c>
      <c r="C5" s="30" t="inlineStr">
        <is>
          <t>Newborn check</t>
        </is>
      </c>
      <c r="D5" s="29" t="inlineStr">
        <is>
          <t>Dr. Ellis</t>
        </is>
      </c>
      <c r="E5" s="29" t="inlineStr">
        <is>
          <t>Done</t>
        </is>
      </c>
      <c r="F5" s="28" t="inlineStr">
        <is>
          <t>—</t>
        </is>
      </c>
      <c r="G5" s="30" t="inlineStr">
        <is>
          <t>Healthy</t>
        </is>
      </c>
    </row>
    <row r="6">
      <c r="A6" s="31" t="n">
        <v>46089</v>
      </c>
      <c r="B6" s="32" t="inlineStr">
        <is>
          <t>Vaccination</t>
        </is>
      </c>
      <c r="C6" s="25" t="inlineStr">
        <is>
          <t>Hep B (1st)</t>
        </is>
      </c>
      <c r="D6" s="32" t="inlineStr">
        <is>
          <t>Dr. Ellis</t>
        </is>
      </c>
      <c r="E6" s="32" t="inlineStr">
        <is>
          <t>Done</t>
        </is>
      </c>
      <c r="F6" s="31" t="inlineStr">
        <is>
          <t>—</t>
        </is>
      </c>
      <c r="G6" s="25" t="inlineStr"/>
    </row>
    <row r="7">
      <c r="A7" s="28" t="n">
        <v>46109</v>
      </c>
      <c r="B7" s="29" t="inlineStr">
        <is>
          <t>Pediatrician</t>
        </is>
      </c>
      <c r="C7" s="30" t="inlineStr">
        <is>
          <t>2-week check</t>
        </is>
      </c>
      <c r="D7" s="29" t="inlineStr">
        <is>
          <t>Dr. Ellis</t>
        </is>
      </c>
      <c r="E7" s="29" t="inlineStr">
        <is>
          <t>Done</t>
        </is>
      </c>
      <c r="F7" s="28" t="inlineStr">
        <is>
          <t>—</t>
        </is>
      </c>
      <c r="G7" s="30" t="inlineStr">
        <is>
          <t>55th %ile</t>
        </is>
      </c>
    </row>
    <row r="8">
      <c r="A8" s="31" t="n">
        <v>46139</v>
      </c>
      <c r="B8" s="32" t="inlineStr">
        <is>
          <t>Pediatrician</t>
        </is>
      </c>
      <c r="C8" s="25" t="inlineStr">
        <is>
          <t>2-month check</t>
        </is>
      </c>
      <c r="D8" s="32" t="inlineStr">
        <is>
          <t>Dr. Ellis</t>
        </is>
      </c>
      <c r="E8" s="32" t="inlineStr">
        <is>
          <t>Done</t>
        </is>
      </c>
      <c r="F8" s="31" t="inlineStr">
        <is>
          <t>—</t>
        </is>
      </c>
      <c r="G8" s="25" t="inlineStr"/>
    </row>
    <row r="9">
      <c r="A9" s="28" t="n">
        <v>46139</v>
      </c>
      <c r="B9" s="29" t="inlineStr">
        <is>
          <t>Vaccination</t>
        </is>
      </c>
      <c r="C9" s="30" t="inlineStr">
        <is>
          <t>DTaP / IPV / Hib (2mo)</t>
        </is>
      </c>
      <c r="D9" s="29" t="inlineStr">
        <is>
          <t>Dr. Ellis</t>
        </is>
      </c>
      <c r="E9" s="29" t="inlineStr">
        <is>
          <t>Done</t>
        </is>
      </c>
      <c r="F9" s="28" t="inlineStr">
        <is>
          <t>—</t>
        </is>
      </c>
      <c r="G9" s="30" t="inlineStr">
        <is>
          <t>Slight fever</t>
        </is>
      </c>
    </row>
    <row r="10">
      <c r="A10" s="31" t="n">
        <v>46139</v>
      </c>
      <c r="B10" s="32" t="inlineStr">
        <is>
          <t>Vaccination</t>
        </is>
      </c>
      <c r="C10" s="25" t="inlineStr">
        <is>
          <t>PCV13 / Rotavirus (2mo)</t>
        </is>
      </c>
      <c r="D10" s="32" t="inlineStr">
        <is>
          <t>Dr. Ellis</t>
        </is>
      </c>
      <c r="E10" s="32" t="inlineStr">
        <is>
          <t>Done</t>
        </is>
      </c>
      <c r="F10" s="31" t="inlineStr">
        <is>
          <t>—</t>
        </is>
      </c>
      <c r="G10" s="25" t="inlineStr"/>
    </row>
    <row r="11">
      <c r="A11" s="28" t="n">
        <v>46213</v>
      </c>
      <c r="B11" s="29" t="inlineStr">
        <is>
          <t>Pediatrician</t>
        </is>
      </c>
      <c r="C11" s="30" t="inlineStr">
        <is>
          <t>4-month check</t>
        </is>
      </c>
      <c r="D11" s="29" t="inlineStr">
        <is>
          <t>Dr. Ellis</t>
        </is>
      </c>
      <c r="E11" s="29" t="inlineStr">
        <is>
          <t>Upcoming</t>
        </is>
      </c>
      <c r="F11" s="28" t="inlineStr">
        <is>
          <t>Yes</t>
        </is>
      </c>
      <c r="G11" s="30" t="inlineStr">
        <is>
          <t>Bring questions</t>
        </is>
      </c>
    </row>
    <row r="12">
      <c r="A12" s="31" t="n">
        <v>46213</v>
      </c>
      <c r="B12" s="32" t="inlineStr">
        <is>
          <t>Vaccination</t>
        </is>
      </c>
      <c r="C12" s="25" t="inlineStr">
        <is>
          <t>4-month vaccines</t>
        </is>
      </c>
      <c r="D12" s="32" t="inlineStr">
        <is>
          <t>Dr. Ellis</t>
        </is>
      </c>
      <c r="E12" s="32" t="inlineStr">
        <is>
          <t>Due</t>
        </is>
      </c>
      <c r="F12" s="31" t="inlineStr">
        <is>
          <t>Yes</t>
        </is>
      </c>
      <c r="G12" s="25" t="inlineStr"/>
    </row>
    <row r="13">
      <c r="A13" s="28" t="n"/>
      <c r="B13" s="29" t="n"/>
      <c r="C13" s="30" t="n"/>
      <c r="D13" s="29" t="n"/>
      <c r="E13" s="29" t="n"/>
      <c r="F13" s="28" t="n"/>
      <c r="G13" s="30" t="n"/>
    </row>
    <row r="14">
      <c r="A14" s="31" t="n"/>
      <c r="B14" s="32" t="n"/>
      <c r="C14" s="25" t="n"/>
      <c r="D14" s="32" t="n"/>
      <c r="E14" s="32" t="n"/>
      <c r="F14" s="31" t="n"/>
      <c r="G14" s="25" t="n"/>
    </row>
    <row r="15">
      <c r="A15" s="28" t="n"/>
      <c r="B15" s="29" t="n"/>
      <c r="C15" s="30" t="n"/>
      <c r="D15" s="29" t="n"/>
      <c r="E15" s="29" t="n"/>
      <c r="F15" s="28" t="n"/>
      <c r="G15" s="30" t="n"/>
    </row>
    <row r="16">
      <c r="A16" s="31" t="n"/>
      <c r="B16" s="32" t="n"/>
      <c r="C16" s="25" t="n"/>
      <c r="D16" s="32" t="n"/>
      <c r="E16" s="32" t="n"/>
      <c r="F16" s="31" t="n"/>
      <c r="G16" s="25" t="n"/>
    </row>
    <row r="17">
      <c r="A17" s="28" t="n"/>
      <c r="B17" s="29" t="n"/>
      <c r="C17" s="30" t="n"/>
      <c r="D17" s="29" t="n"/>
      <c r="E17" s="29" t="n"/>
      <c r="F17" s="28" t="n"/>
      <c r="G17" s="30" t="n"/>
    </row>
    <row r="18">
      <c r="A18" s="31" t="n"/>
      <c r="B18" s="32" t="n"/>
      <c r="C18" s="25" t="n"/>
      <c r="D18" s="32" t="n"/>
      <c r="E18" s="32" t="n"/>
      <c r="F18" s="31" t="n"/>
      <c r="G18" s="25" t="n"/>
    </row>
    <row r="19">
      <c r="A19" s="28" t="n"/>
      <c r="B19" s="29" t="n"/>
      <c r="C19" s="30" t="n"/>
      <c r="D19" s="29" t="n"/>
      <c r="E19" s="29" t="n"/>
      <c r="F19" s="28" t="n"/>
      <c r="G19" s="30" t="n"/>
    </row>
    <row r="20">
      <c r="A20" s="31" t="n"/>
      <c r="B20" s="32" t="n"/>
      <c r="C20" s="25" t="n"/>
      <c r="D20" s="32" t="n"/>
      <c r="E20" s="32" t="n"/>
      <c r="F20" s="31" t="n"/>
      <c r="G20" s="25" t="n"/>
    </row>
    <row r="21">
      <c r="A21" s="28" t="n"/>
      <c r="B21" s="29" t="n"/>
      <c r="C21" s="30" t="n"/>
      <c r="D21" s="29" t="n"/>
      <c r="E21" s="29" t="n"/>
      <c r="F21" s="28" t="n"/>
      <c r="G21" s="30" t="n"/>
    </row>
    <row r="22">
      <c r="A22" s="31" t="n"/>
      <c r="B22" s="32" t="n"/>
      <c r="C22" s="25" t="n"/>
      <c r="D22" s="32" t="n"/>
      <c r="E22" s="32" t="n"/>
      <c r="F22" s="31" t="n"/>
      <c r="G22" s="25" t="n"/>
    </row>
    <row r="23">
      <c r="A23" s="28" t="n"/>
      <c r="B23" s="29" t="n"/>
      <c r="C23" s="30" t="n"/>
      <c r="D23" s="29" t="n"/>
      <c r="E23" s="29" t="n"/>
      <c r="F23" s="28" t="n"/>
      <c r="G23" s="30" t="n"/>
    </row>
    <row r="24">
      <c r="A24" s="31" t="n"/>
      <c r="B24" s="32" t="n"/>
      <c r="C24" s="25" t="n"/>
      <c r="D24" s="32" t="n"/>
      <c r="E24" s="32" t="n"/>
      <c r="F24" s="31" t="n"/>
      <c r="G24" s="25" t="n"/>
    </row>
    <row r="25">
      <c r="A25" s="28" t="n"/>
      <c r="B25" s="29" t="n"/>
      <c r="C25" s="30" t="n"/>
      <c r="D25" s="29" t="n"/>
      <c r="E25" s="29" t="n"/>
      <c r="F25" s="28" t="n"/>
      <c r="G25" s="30" t="n"/>
    </row>
    <row r="26">
      <c r="A26" s="31" t="n"/>
      <c r="B26" s="32" t="n"/>
      <c r="C26" s="25" t="n"/>
      <c r="D26" s="32" t="n"/>
      <c r="E26" s="32" t="n"/>
      <c r="F26" s="31" t="n"/>
      <c r="G26" s="25" t="n"/>
    </row>
    <row r="27">
      <c r="A27" s="28" t="n"/>
      <c r="B27" s="29" t="n"/>
      <c r="C27" s="30" t="n"/>
      <c r="D27" s="29" t="n"/>
      <c r="E27" s="29" t="n"/>
      <c r="F27" s="28" t="n"/>
      <c r="G27" s="30" t="n"/>
    </row>
    <row r="28">
      <c r="A28" s="31" t="n"/>
      <c r="B28" s="32" t="n"/>
      <c r="C28" s="25" t="n"/>
      <c r="D28" s="32" t="n"/>
      <c r="E28" s="32" t="n"/>
      <c r="F28" s="31" t="n"/>
      <c r="G28" s="25" t="n"/>
    </row>
    <row r="29">
      <c r="A29" s="28" t="n"/>
      <c r="B29" s="29" t="n"/>
      <c r="C29" s="30" t="n"/>
      <c r="D29" s="29" t="n"/>
      <c r="E29" s="29" t="n"/>
      <c r="F29" s="28" t="n"/>
      <c r="G29" s="30" t="n"/>
    </row>
    <row r="30">
      <c r="A30" s="31" t="n"/>
      <c r="B30" s="32" t="n"/>
      <c r="C30" s="25" t="n"/>
      <c r="D30" s="32" t="n"/>
      <c r="E30" s="32" t="n"/>
      <c r="F30" s="31" t="n"/>
      <c r="G30" s="25" t="n"/>
    </row>
    <row r="31">
      <c r="A31" s="28" t="n"/>
      <c r="B31" s="29" t="n"/>
      <c r="C31" s="30" t="n"/>
      <c r="D31" s="29" t="n"/>
      <c r="E31" s="29" t="n"/>
      <c r="F31" s="28" t="n"/>
      <c r="G31" s="30" t="n"/>
    </row>
    <row r="32">
      <c r="A32" s="31" t="n"/>
      <c r="B32" s="32" t="n"/>
      <c r="C32" s="25" t="n"/>
      <c r="D32" s="32" t="n"/>
      <c r="E32" s="32" t="n"/>
      <c r="F32" s="31" t="n"/>
      <c r="G32" s="25" t="n"/>
    </row>
    <row r="33">
      <c r="A33" s="28" t="n"/>
      <c r="B33" s="29" t="n"/>
      <c r="C33" s="30" t="n"/>
      <c r="D33" s="29" t="n"/>
      <c r="E33" s="29" t="n"/>
      <c r="F33" s="28" t="n"/>
      <c r="G33" s="30" t="n"/>
    </row>
    <row r="34">
      <c r="A34" s="31" t="n"/>
      <c r="B34" s="32" t="n"/>
      <c r="C34" s="25" t="n"/>
      <c r="D34" s="32" t="n"/>
      <c r="E34" s="32" t="n"/>
      <c r="F34" s="31" t="n"/>
      <c r="G34" s="25" t="n"/>
    </row>
    <row r="35">
      <c r="A35" s="28" t="n"/>
      <c r="B35" s="29" t="n"/>
      <c r="C35" s="30" t="n"/>
      <c r="D35" s="29" t="n"/>
      <c r="E35" s="29" t="n"/>
      <c r="F35" s="28" t="n"/>
      <c r="G35" s="30" t="n"/>
    </row>
    <row r="36">
      <c r="A36" s="31" t="n"/>
      <c r="B36" s="32" t="n"/>
      <c r="C36" s="25" t="n"/>
      <c r="D36" s="32" t="n"/>
      <c r="E36" s="32" t="n"/>
      <c r="F36" s="31" t="n"/>
      <c r="G36" s="25" t="n"/>
    </row>
    <row r="37">
      <c r="A37" s="28" t="n"/>
      <c r="B37" s="29" t="n"/>
      <c r="C37" s="30" t="n"/>
      <c r="D37" s="29" t="n"/>
      <c r="E37" s="29" t="n"/>
      <c r="F37" s="28" t="n"/>
      <c r="G37" s="30" t="n"/>
    </row>
    <row r="38">
      <c r="A38" s="31" t="n"/>
      <c r="B38" s="32" t="n"/>
      <c r="C38" s="25" t="n"/>
      <c r="D38" s="32" t="n"/>
      <c r="E38" s="32" t="n"/>
      <c r="F38" s="31" t="n"/>
      <c r="G38" s="25" t="n"/>
    </row>
    <row r="39">
      <c r="A39" s="28" t="n"/>
      <c r="B39" s="29" t="n"/>
      <c r="C39" s="30" t="n"/>
      <c r="D39" s="29" t="n"/>
      <c r="E39" s="29" t="n"/>
      <c r="F39" s="28" t="n"/>
      <c r="G39" s="30" t="n"/>
    </row>
    <row r="40">
      <c r="A40" s="31" t="n"/>
      <c r="B40" s="32" t="n"/>
      <c r="C40" s="25" t="n"/>
      <c r="D40" s="32" t="n"/>
      <c r="E40" s="32" t="n"/>
      <c r="F40" s="31" t="n"/>
      <c r="G40" s="25" t="n"/>
    </row>
    <row r="41">
      <c r="A41" s="28" t="n"/>
      <c r="B41" s="29" t="n"/>
      <c r="C41" s="30" t="n"/>
      <c r="D41" s="29" t="n"/>
      <c r="E41" s="29" t="n"/>
      <c r="F41" s="28" t="n"/>
      <c r="G41" s="30" t="n"/>
    </row>
    <row r="42">
      <c r="A42" s="31" t="n"/>
      <c r="B42" s="32" t="n"/>
      <c r="C42" s="25" t="n"/>
      <c r="D42" s="32" t="n"/>
      <c r="E42" s="32" t="n"/>
      <c r="F42" s="31" t="n"/>
      <c r="G42" s="25" t="n"/>
    </row>
    <row r="43">
      <c r="A43" s="28" t="n"/>
      <c r="B43" s="29" t="n"/>
      <c r="C43" s="30" t="n"/>
      <c r="D43" s="29" t="n"/>
      <c r="E43" s="29" t="n"/>
      <c r="F43" s="28" t="n"/>
      <c r="G43" s="30" t="n"/>
    </row>
    <row r="44">
      <c r="A44" s="31" t="n"/>
      <c r="B44" s="32" t="n"/>
      <c r="C44" s="25" t="n"/>
      <c r="D44" s="32" t="n"/>
      <c r="E44" s="32" t="n"/>
      <c r="F44" s="31" t="n"/>
      <c r="G44" s="25" t="n"/>
    </row>
  </sheetData>
  <mergeCells count="2">
    <mergeCell ref="A2:G2"/>
    <mergeCell ref="A1:G1"/>
  </mergeCells>
  <conditionalFormatting sqref="E5:E44">
    <cfRule type="cellIs" priority="1" operator="equal" dxfId="0">
      <formula>"Done"</formula>
    </cfRule>
    <cfRule type="cellIs" priority="2" operator="equal" dxfId="1">
      <formula>"Due"</formula>
    </cfRule>
  </conditionalFormatting>
  <dataValidations count="2">
    <dataValidation sqref="B5:B44" showDropDown="0" showInputMessage="0" showErrorMessage="0" allowBlank="1" type="list">
      <formula1>=ApptTypeList</formula1>
    </dataValidation>
    <dataValidation sqref="E5:E44" showDropDown="0" showInputMessage="0" showErrorMessage="0" allowBlank="1" type="list">
      <formula1>=StatusList</formula1>
    </dataValidation>
  </dataValidations>
  <pageMargins left="0.75" right="0.75" top="1" bottom="1" header="0.5" footer="0.5"/>
</worksheet>
</file>

<file path=xl/worksheets/sheet11.xml><?xml version="1.0" encoding="utf-8"?>
<worksheet xmlns="http://schemas.openxmlformats.org/spreadsheetml/2006/main">
  <sheetPr>
    <tabColor rgb="0075E6C1"/>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24" customWidth="1" min="1" max="1"/>
    <col width="14" customWidth="1" min="2" max="2"/>
    <col width="13" customWidth="1" min="3" max="3"/>
    <col width="11" customWidth="1" min="4" max="4"/>
    <col width="22" customWidth="1" min="5" max="5"/>
    <col width="20" customWidth="1" min="6" max="6"/>
    <col width="8" customWidth="1" min="7" max="7"/>
  </cols>
  <sheetData>
    <row r="1" ht="46" customHeight="1">
      <c r="A1" s="1" t="inlineStr">
        <is>
          <t xml:space="preserve">  📅  APPOINTMENT CALENDAR</t>
        </is>
      </c>
    </row>
    <row r="2" ht="22" customHeight="1">
      <c r="A2" s="2" t="inlineStr">
        <is>
          <t xml:space="preserve">  Every appointment with automatic countdowns — never miss a check-up.</t>
        </is>
      </c>
    </row>
    <row r="3" ht="6" customHeight="1">
      <c r="A3" s="3" t="n"/>
      <c r="B3" s="3" t="n"/>
      <c r="C3" s="3" t="n"/>
      <c r="D3" s="3" t="n"/>
      <c r="E3" s="3" t="n"/>
      <c r="F3" s="3" t="n"/>
    </row>
    <row r="4" ht="30" customHeight="1">
      <c r="A4" s="7" t="inlineStr">
        <is>
          <t>Appointment</t>
        </is>
      </c>
      <c r="B4" s="7" t="inlineStr">
        <is>
          <t>Type</t>
        </is>
      </c>
      <c r="C4" s="7" t="inlineStr">
        <is>
          <t>Date</t>
        </is>
      </c>
      <c r="D4" s="7" t="inlineStr">
        <is>
          <t>Time</t>
        </is>
      </c>
      <c r="E4" s="7" t="inlineStr">
        <is>
          <t>Provider / Location</t>
        </is>
      </c>
      <c r="F4" s="7" t="inlineStr">
        <is>
          <t>Notes</t>
        </is>
      </c>
      <c r="G4" s="7" t="inlineStr">
        <is>
          <t>In</t>
        </is>
      </c>
    </row>
    <row r="5">
      <c r="A5" s="30" t="inlineStr">
        <is>
          <t>4-month well check</t>
        </is>
      </c>
      <c r="B5" s="29" t="inlineStr">
        <is>
          <t>Pediatrician</t>
        </is>
      </c>
      <c r="C5" s="28" t="n">
        <v>46213</v>
      </c>
      <c r="D5" s="29" t="inlineStr">
        <is>
          <t>10:00 AM</t>
        </is>
      </c>
      <c r="E5" s="30" t="inlineStr">
        <is>
          <t>Dr. Ellis — City Peds</t>
        </is>
      </c>
      <c r="F5" s="30" t="inlineStr">
        <is>
          <t>Growth + vaccines</t>
        </is>
      </c>
      <c r="G5" s="39">
        <f>IF(C5="","",C5-TODAY())</f>
        <v/>
      </c>
    </row>
    <row r="6">
      <c r="A6" s="25" t="inlineStr">
        <is>
          <t>Lactation follow-up</t>
        </is>
      </c>
      <c r="B6" s="32" t="inlineStr">
        <is>
          <t>Specialist</t>
        </is>
      </c>
      <c r="C6" s="31" t="n">
        <v>46207</v>
      </c>
      <c r="D6" s="32" t="inlineStr">
        <is>
          <t>2:00 PM</t>
        </is>
      </c>
      <c r="E6" s="25" t="inlineStr">
        <is>
          <t>Maria R.</t>
        </is>
      </c>
      <c r="F6" s="25" t="inlineStr"/>
      <c r="G6" s="40">
        <f>IF(C6="","",C6-TODAY())</f>
        <v/>
      </c>
    </row>
    <row r="7">
      <c r="A7" s="30" t="inlineStr">
        <is>
          <t>Photo session (4mo)</t>
        </is>
      </c>
      <c r="B7" s="29" t="inlineStr">
        <is>
          <t>Parent</t>
        </is>
      </c>
      <c r="C7" s="28" t="n">
        <v>46218</v>
      </c>
      <c r="D7" s="29" t="inlineStr">
        <is>
          <t>11:00 AM</t>
        </is>
      </c>
      <c r="E7" s="30" t="inlineStr">
        <is>
          <t>Little Smiles Studio</t>
        </is>
      </c>
      <c r="F7" s="30" t="inlineStr"/>
      <c r="G7" s="39">
        <f>IF(C7="","",C7-TODAY())</f>
        <v/>
      </c>
    </row>
    <row r="8">
      <c r="A8" s="25" t="inlineStr">
        <is>
          <t>6-month well check</t>
        </is>
      </c>
      <c r="B8" s="32" t="inlineStr">
        <is>
          <t>Pediatrician</t>
        </is>
      </c>
      <c r="C8" s="31" t="n">
        <v>46274</v>
      </c>
      <c r="D8" s="32" t="inlineStr">
        <is>
          <t>10:00 AM</t>
        </is>
      </c>
      <c r="E8" s="25" t="inlineStr">
        <is>
          <t>Dr. Ellis</t>
        </is>
      </c>
      <c r="F8" s="25" t="inlineStr"/>
      <c r="G8" s="40">
        <f>IF(C8="","",C8-TODAY())</f>
        <v/>
      </c>
    </row>
    <row r="9">
      <c r="A9" s="30" t="inlineStr">
        <is>
          <t>Parent — pediatric CPR class</t>
        </is>
      </c>
      <c r="B9" s="29" t="inlineStr">
        <is>
          <t>Parent</t>
        </is>
      </c>
      <c r="C9" s="28" t="n">
        <v>46224</v>
      </c>
      <c r="D9" s="29" t="inlineStr">
        <is>
          <t>6:00 PM</t>
        </is>
      </c>
      <c r="E9" s="30" t="inlineStr">
        <is>
          <t>Community Center</t>
        </is>
      </c>
      <c r="F9" s="30" t="inlineStr"/>
      <c r="G9" s="39">
        <f>IF(C9="","",C9-TODAY())</f>
        <v/>
      </c>
    </row>
    <row r="10">
      <c r="A10" s="25" t="n"/>
      <c r="B10" s="32" t="n"/>
      <c r="C10" s="31" t="n"/>
      <c r="D10" s="32" t="n"/>
      <c r="E10" s="25" t="n"/>
      <c r="F10" s="25" t="n"/>
      <c r="G10" s="40">
        <f>IF(C10="","",C10-TODAY())</f>
        <v/>
      </c>
    </row>
    <row r="11">
      <c r="A11" s="30" t="n"/>
      <c r="B11" s="29" t="n"/>
      <c r="C11" s="28" t="n"/>
      <c r="D11" s="29" t="n"/>
      <c r="E11" s="30" t="n"/>
      <c r="F11" s="30" t="n"/>
      <c r="G11" s="39">
        <f>IF(C11="","",C11-TODAY())</f>
        <v/>
      </c>
    </row>
    <row r="12">
      <c r="A12" s="25" t="n"/>
      <c r="B12" s="32" t="n"/>
      <c r="C12" s="31" t="n"/>
      <c r="D12" s="32" t="n"/>
      <c r="E12" s="25" t="n"/>
      <c r="F12" s="25" t="n"/>
      <c r="G12" s="40">
        <f>IF(C12="","",C12-TODAY())</f>
        <v/>
      </c>
    </row>
    <row r="13">
      <c r="A13" s="30" t="n"/>
      <c r="B13" s="29" t="n"/>
      <c r="C13" s="28" t="n"/>
      <c r="D13" s="29" t="n"/>
      <c r="E13" s="30" t="n"/>
      <c r="F13" s="30" t="n"/>
      <c r="G13" s="39">
        <f>IF(C13="","",C13-TODAY())</f>
        <v/>
      </c>
    </row>
    <row r="14">
      <c r="A14" s="25" t="n"/>
      <c r="B14" s="32" t="n"/>
      <c r="C14" s="31" t="n"/>
      <c r="D14" s="32" t="n"/>
      <c r="E14" s="25" t="n"/>
      <c r="F14" s="25" t="n"/>
      <c r="G14" s="40">
        <f>IF(C14="","",C14-TODAY())</f>
        <v/>
      </c>
    </row>
    <row r="15">
      <c r="A15" s="30" t="n"/>
      <c r="B15" s="29" t="n"/>
      <c r="C15" s="28" t="n"/>
      <c r="D15" s="29" t="n"/>
      <c r="E15" s="30" t="n"/>
      <c r="F15" s="30" t="n"/>
      <c r="G15" s="39">
        <f>IF(C15="","",C15-TODAY())</f>
        <v/>
      </c>
    </row>
    <row r="16">
      <c r="A16" s="25" t="n"/>
      <c r="B16" s="32" t="n"/>
      <c r="C16" s="31" t="n"/>
      <c r="D16" s="32" t="n"/>
      <c r="E16" s="25" t="n"/>
      <c r="F16" s="25" t="n"/>
      <c r="G16" s="40">
        <f>IF(C16="","",C16-TODAY())</f>
        <v/>
      </c>
    </row>
    <row r="17">
      <c r="A17" s="30" t="n"/>
      <c r="B17" s="29" t="n"/>
      <c r="C17" s="28" t="n"/>
      <c r="D17" s="29" t="n"/>
      <c r="E17" s="30" t="n"/>
      <c r="F17" s="30" t="n"/>
      <c r="G17" s="39">
        <f>IF(C17="","",C17-TODAY())</f>
        <v/>
      </c>
    </row>
    <row r="18">
      <c r="A18" s="25" t="n"/>
      <c r="B18" s="32" t="n"/>
      <c r="C18" s="31" t="n"/>
      <c r="D18" s="32" t="n"/>
      <c r="E18" s="25" t="n"/>
      <c r="F18" s="25" t="n"/>
      <c r="G18" s="40">
        <f>IF(C18="","",C18-TODAY())</f>
        <v/>
      </c>
    </row>
    <row r="19">
      <c r="A19" s="30" t="n"/>
      <c r="B19" s="29" t="n"/>
      <c r="C19" s="28" t="n"/>
      <c r="D19" s="29" t="n"/>
      <c r="E19" s="30" t="n"/>
      <c r="F19" s="30" t="n"/>
      <c r="G19" s="39">
        <f>IF(C19="","",C19-TODAY())</f>
        <v/>
      </c>
    </row>
    <row r="20">
      <c r="A20" s="25" t="n"/>
      <c r="B20" s="32" t="n"/>
      <c r="C20" s="31" t="n"/>
      <c r="D20" s="32" t="n"/>
      <c r="E20" s="25" t="n"/>
      <c r="F20" s="25" t="n"/>
      <c r="G20" s="40">
        <f>IF(C20="","",C20-TODAY())</f>
        <v/>
      </c>
    </row>
    <row r="21">
      <c r="A21" s="30" t="n"/>
      <c r="B21" s="29" t="n"/>
      <c r="C21" s="28" t="n"/>
      <c r="D21" s="29" t="n"/>
      <c r="E21" s="30" t="n"/>
      <c r="F21" s="30" t="n"/>
      <c r="G21" s="39">
        <f>IF(C21="","",C21-TODAY())</f>
        <v/>
      </c>
    </row>
    <row r="22">
      <c r="A22" s="25" t="n"/>
      <c r="B22" s="32" t="n"/>
      <c r="C22" s="31" t="n"/>
      <c r="D22" s="32" t="n"/>
      <c r="E22" s="25" t="n"/>
      <c r="F22" s="25" t="n"/>
      <c r="G22" s="40">
        <f>IF(C22="","",C22-TODAY())</f>
        <v/>
      </c>
    </row>
    <row r="23">
      <c r="A23" s="30" t="n"/>
      <c r="B23" s="29" t="n"/>
      <c r="C23" s="28" t="n"/>
      <c r="D23" s="29" t="n"/>
      <c r="E23" s="30" t="n"/>
      <c r="F23" s="30" t="n"/>
      <c r="G23" s="39">
        <f>IF(C23="","",C23-TODAY())</f>
        <v/>
      </c>
    </row>
    <row r="24">
      <c r="A24" s="25" t="n"/>
      <c r="B24" s="32" t="n"/>
      <c r="C24" s="31" t="n"/>
      <c r="D24" s="32" t="n"/>
      <c r="E24" s="25" t="n"/>
      <c r="F24" s="25" t="n"/>
      <c r="G24" s="40">
        <f>IF(C24="","",C24-TODAY())</f>
        <v/>
      </c>
    </row>
    <row r="25">
      <c r="A25" s="30" t="n"/>
      <c r="B25" s="29" t="n"/>
      <c r="C25" s="28" t="n"/>
      <c r="D25" s="29" t="n"/>
      <c r="E25" s="30" t="n"/>
      <c r="F25" s="30" t="n"/>
      <c r="G25" s="39">
        <f>IF(C25="","",C25-TODAY())</f>
        <v/>
      </c>
    </row>
    <row r="26">
      <c r="A26" s="25" t="n"/>
      <c r="B26" s="32" t="n"/>
      <c r="C26" s="31" t="n"/>
      <c r="D26" s="32" t="n"/>
      <c r="E26" s="25" t="n"/>
      <c r="F26" s="25" t="n"/>
      <c r="G26" s="40">
        <f>IF(C26="","",C26-TODAY())</f>
        <v/>
      </c>
    </row>
    <row r="27">
      <c r="A27" s="30" t="n"/>
      <c r="B27" s="29" t="n"/>
      <c r="C27" s="28" t="n"/>
      <c r="D27" s="29" t="n"/>
      <c r="E27" s="30" t="n"/>
      <c r="F27" s="30" t="n"/>
      <c r="G27" s="39">
        <f>IF(C27="","",C27-TODAY())</f>
        <v/>
      </c>
    </row>
    <row r="28">
      <c r="A28" s="25" t="n"/>
      <c r="B28" s="32" t="n"/>
      <c r="C28" s="31" t="n"/>
      <c r="D28" s="32" t="n"/>
      <c r="E28" s="25" t="n"/>
      <c r="F28" s="25" t="n"/>
      <c r="G28" s="40">
        <f>IF(C28="","",C28-TODAY())</f>
        <v/>
      </c>
    </row>
    <row r="29">
      <c r="A29" s="30" t="n"/>
      <c r="B29" s="29" t="n"/>
      <c r="C29" s="28" t="n"/>
      <c r="D29" s="29" t="n"/>
      <c r="E29" s="30" t="n"/>
      <c r="F29" s="30" t="n"/>
      <c r="G29" s="39">
        <f>IF(C29="","",C29-TODAY())</f>
        <v/>
      </c>
    </row>
    <row r="30">
      <c r="A30" s="25" t="n"/>
      <c r="B30" s="32" t="n"/>
      <c r="C30" s="31" t="n"/>
      <c r="D30" s="32" t="n"/>
      <c r="E30" s="25" t="n"/>
      <c r="F30" s="25" t="n"/>
      <c r="G30" s="40">
        <f>IF(C30="","",C30-TODAY())</f>
        <v/>
      </c>
    </row>
    <row r="31">
      <c r="A31" s="30" t="n"/>
      <c r="B31" s="29" t="n"/>
      <c r="C31" s="28" t="n"/>
      <c r="D31" s="29" t="n"/>
      <c r="E31" s="30" t="n"/>
      <c r="F31" s="30" t="n"/>
      <c r="G31" s="39">
        <f>IF(C31="","",C31-TODAY())</f>
        <v/>
      </c>
    </row>
    <row r="32">
      <c r="A32" s="25" t="n"/>
      <c r="B32" s="32" t="n"/>
      <c r="C32" s="31" t="n"/>
      <c r="D32" s="32" t="n"/>
      <c r="E32" s="25" t="n"/>
      <c r="F32" s="25" t="n"/>
      <c r="G32" s="40">
        <f>IF(C32="","",C32-TODAY())</f>
        <v/>
      </c>
    </row>
    <row r="33">
      <c r="A33" s="30" t="n"/>
      <c r="B33" s="29" t="n"/>
      <c r="C33" s="28" t="n"/>
      <c r="D33" s="29" t="n"/>
      <c r="E33" s="30" t="n"/>
      <c r="F33" s="30" t="n"/>
      <c r="G33" s="39">
        <f>IF(C33="","",C33-TODAY())</f>
        <v/>
      </c>
    </row>
    <row r="34">
      <c r="A34" s="25" t="n"/>
      <c r="B34" s="32" t="n"/>
      <c r="C34" s="31" t="n"/>
      <c r="D34" s="32" t="n"/>
      <c r="E34" s="25" t="n"/>
      <c r="F34" s="25" t="n"/>
      <c r="G34" s="40">
        <f>IF(C34="","",C34-TODAY())</f>
        <v/>
      </c>
    </row>
    <row r="35">
      <c r="A35" s="30" t="n"/>
      <c r="B35" s="29" t="n"/>
      <c r="C35" s="28" t="n"/>
      <c r="D35" s="29" t="n"/>
      <c r="E35" s="30" t="n"/>
      <c r="F35" s="30" t="n"/>
      <c r="G35" s="39">
        <f>IF(C35="","",C35-TODAY())</f>
        <v/>
      </c>
    </row>
    <row r="36">
      <c r="A36" s="25" t="n"/>
      <c r="B36" s="32" t="n"/>
      <c r="C36" s="31" t="n"/>
      <c r="D36" s="32" t="n"/>
      <c r="E36" s="25" t="n"/>
      <c r="F36" s="25" t="n"/>
      <c r="G36" s="40">
        <f>IF(C36="","",C36-TODAY())</f>
        <v/>
      </c>
    </row>
    <row r="37">
      <c r="A37" s="30" t="n"/>
      <c r="B37" s="29" t="n"/>
      <c r="C37" s="28" t="n"/>
      <c r="D37" s="29" t="n"/>
      <c r="E37" s="30" t="n"/>
      <c r="F37" s="30" t="n"/>
      <c r="G37" s="39">
        <f>IF(C37="","",C37-TODAY())</f>
        <v/>
      </c>
    </row>
    <row r="38">
      <c r="A38" s="25" t="n"/>
      <c r="B38" s="32" t="n"/>
      <c r="C38" s="31" t="n"/>
      <c r="D38" s="32" t="n"/>
      <c r="E38" s="25" t="n"/>
      <c r="F38" s="25" t="n"/>
      <c r="G38" s="40">
        <f>IF(C38="","",C38-TODAY())</f>
        <v/>
      </c>
    </row>
    <row r="39">
      <c r="A39" s="30" t="n"/>
      <c r="B39" s="29" t="n"/>
      <c r="C39" s="28" t="n"/>
      <c r="D39" s="29" t="n"/>
      <c r="E39" s="30" t="n"/>
      <c r="F39" s="30" t="n"/>
      <c r="G39" s="39">
        <f>IF(C39="","",C39-TODAY())</f>
        <v/>
      </c>
    </row>
    <row r="40">
      <c r="A40" s="25" t="n"/>
      <c r="B40" s="32" t="n"/>
      <c r="C40" s="31" t="n"/>
      <c r="D40" s="32" t="n"/>
      <c r="E40" s="25" t="n"/>
      <c r="F40" s="25" t="n"/>
      <c r="G40" s="40">
        <f>IF(C40="","",C40-TODAY())</f>
        <v/>
      </c>
    </row>
    <row r="41">
      <c r="A41" s="30" t="n"/>
      <c r="B41" s="29" t="n"/>
      <c r="C41" s="28" t="n"/>
      <c r="D41" s="29" t="n"/>
      <c r="E41" s="30" t="n"/>
      <c r="F41" s="30" t="n"/>
      <c r="G41" s="39">
        <f>IF(C41="","",C41-TODAY())</f>
        <v/>
      </c>
    </row>
    <row r="42">
      <c r="A42" s="25" t="n"/>
      <c r="B42" s="32" t="n"/>
      <c r="C42" s="31" t="n"/>
      <c r="D42" s="32" t="n"/>
      <c r="E42" s="25" t="n"/>
      <c r="F42" s="25" t="n"/>
      <c r="G42" s="40">
        <f>IF(C42="","",C42-TODAY())</f>
        <v/>
      </c>
    </row>
    <row r="43">
      <c r="A43" s="30" t="n"/>
      <c r="B43" s="29" t="n"/>
      <c r="C43" s="28" t="n"/>
      <c r="D43" s="29" t="n"/>
      <c r="E43" s="30" t="n"/>
      <c r="F43" s="30" t="n"/>
      <c r="G43" s="39">
        <f>IF(C43="","",C43-TODAY())</f>
        <v/>
      </c>
    </row>
    <row r="44">
      <c r="A44" s="25" t="n"/>
      <c r="B44" s="32" t="n"/>
      <c r="C44" s="31" t="n"/>
      <c r="D44" s="32" t="n"/>
      <c r="E44" s="25" t="n"/>
      <c r="F44" s="25" t="n"/>
      <c r="G44" s="40">
        <f>IF(C44="","",C44-TODAY())</f>
        <v/>
      </c>
    </row>
  </sheetData>
  <mergeCells count="2">
    <mergeCell ref="A2:F2"/>
    <mergeCell ref="A1:F1"/>
  </mergeCells>
  <conditionalFormatting sqref="A5:G44">
    <cfRule type="expression" priority="1" dxfId="0">
      <formula>AND($C5&lt;&gt;"",$C5&gt;=TODAY(),$C5-TODAY()&lt;=7)</formula>
    </cfRule>
  </conditionalFormatting>
  <dataValidations count="1">
    <dataValidation sqref="B5:B44" showDropDown="0" showInputMessage="0" showErrorMessage="0" allowBlank="1" type="list">
      <formula1>=ApptTypeList</formula1>
    </dataValidation>
  </dataValidations>
  <pageMargins left="0.75" right="0.75" top="1" bottom="1" header="0.5" footer="0.5"/>
</worksheet>
</file>

<file path=xl/worksheets/sheet12.xml><?xml version="1.0" encoding="utf-8"?>
<worksheet xmlns="http://schemas.openxmlformats.org/spreadsheetml/2006/main">
  <sheetPr>
    <tabColor rgb="00E5D3BA"/>
    <outlinePr summaryBelow="1" summaryRight="1"/>
    <pageSetUpPr/>
  </sheetPr>
  <dimension ref="A1:H17"/>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14" customWidth="1" min="3" max="3"/>
    <col width="14" customWidth="1" min="4" max="4"/>
    <col width="12" customWidth="1" min="5" max="5"/>
    <col width="3" customWidth="1" min="6" max="6"/>
    <col width="20" customWidth="1" min="7" max="7"/>
    <col width="14" customWidth="1" min="8" max="8"/>
  </cols>
  <sheetData>
    <row r="1" ht="46" customHeight="1">
      <c r="A1" s="1" t="inlineStr">
        <is>
          <t xml:space="preserve">  💰  BABY BUDGET</t>
        </is>
      </c>
    </row>
    <row r="2" ht="22" customHeight="1">
      <c r="A2" s="2" t="inlineStr">
        <is>
          <t xml:space="preserve">  Every baby cost in one place — plan vs actual &amp; remaining, automatic.</t>
        </is>
      </c>
    </row>
    <row r="3" ht="6" customHeight="1">
      <c r="A3" s="3" t="n"/>
      <c r="B3" s="3" t="n"/>
      <c r="C3" s="3" t="n"/>
      <c r="D3" s="3" t="n"/>
      <c r="E3" s="3" t="n"/>
      <c r="F3" s="3" t="n"/>
      <c r="G3" s="3" t="n"/>
      <c r="H3" s="3" t="n"/>
    </row>
    <row r="4" ht="30" customHeight="1">
      <c r="A4" s="7" t="inlineStr">
        <is>
          <t>Category</t>
        </is>
      </c>
      <c r="B4" s="7" t="inlineStr">
        <is>
          <t>Planned</t>
        </is>
      </c>
      <c r="C4" s="7" t="inlineStr">
        <is>
          <t>Actual</t>
        </is>
      </c>
      <c r="D4" s="7" t="inlineStr">
        <is>
          <t>Remaining</t>
        </is>
      </c>
      <c r="E4" s="7" t="inlineStr">
        <is>
          <t>% Used</t>
        </is>
      </c>
      <c r="G4" s="4" t="inlineStr">
        <is>
          <t>THIS MONTH</t>
        </is>
      </c>
    </row>
    <row r="5">
      <c r="A5" s="22" t="inlineStr">
        <is>
          <t>Diapers</t>
        </is>
      </c>
      <c r="B5" s="41" t="n">
        <v>80</v>
      </c>
      <c r="C5" s="41" t="n">
        <v>88</v>
      </c>
      <c r="D5" s="42">
        <f>B5-C5</f>
        <v/>
      </c>
      <c r="E5" s="43">
        <f>IFERROR(C5/B5,0)</f>
        <v/>
      </c>
      <c r="G5" s="18" t="inlineStr">
        <is>
          <t>Planned</t>
        </is>
      </c>
      <c r="H5" s="44">
        <f>BudgetTotalPlanned</f>
        <v/>
      </c>
    </row>
    <row r="6">
      <c r="A6" s="25" t="inlineStr">
        <is>
          <t>Formula</t>
        </is>
      </c>
      <c r="B6" s="45" t="n">
        <v>140</v>
      </c>
      <c r="C6" s="45" t="n">
        <v>152</v>
      </c>
      <c r="D6" s="46">
        <f>B6-C6</f>
        <v/>
      </c>
      <c r="E6" s="47">
        <f>IFERROR(C6/B6,0)</f>
        <v/>
      </c>
      <c r="G6" s="18" t="inlineStr">
        <is>
          <t>Actual</t>
        </is>
      </c>
      <c r="H6" s="44">
        <f>BudgetTotalActual</f>
        <v/>
      </c>
    </row>
    <row r="7">
      <c r="A7" s="22" t="inlineStr">
        <is>
          <t>Food</t>
        </is>
      </c>
      <c r="B7" s="41" t="n">
        <v>40</v>
      </c>
      <c r="C7" s="41" t="n">
        <v>22</v>
      </c>
      <c r="D7" s="42">
        <f>B7-C7</f>
        <v/>
      </c>
      <c r="E7" s="43">
        <f>IFERROR(C7/B7,0)</f>
        <v/>
      </c>
      <c r="G7" s="18" t="inlineStr">
        <is>
          <t>Remaining</t>
        </is>
      </c>
      <c r="H7" s="44">
        <f>BudgetTotalPlanned-BudgetTotalActual</f>
        <v/>
      </c>
    </row>
    <row r="8">
      <c r="A8" s="25" t="inlineStr">
        <is>
          <t>Clothing</t>
        </is>
      </c>
      <c r="B8" s="45" t="n">
        <v>60</v>
      </c>
      <c r="C8" s="45" t="n">
        <v>74</v>
      </c>
      <c r="D8" s="46">
        <f>B8-C8</f>
        <v/>
      </c>
      <c r="E8" s="47">
        <f>IFERROR(C8/B8,0)</f>
        <v/>
      </c>
    </row>
    <row r="9">
      <c r="A9" s="22" t="inlineStr">
        <is>
          <t>Toys</t>
        </is>
      </c>
      <c r="B9" s="41" t="n">
        <v>30</v>
      </c>
      <c r="C9" s="41" t="n">
        <v>25</v>
      </c>
      <c r="D9" s="42">
        <f>B9-C9</f>
        <v/>
      </c>
      <c r="E9" s="43">
        <f>IFERROR(C9/B9,0)</f>
        <v/>
      </c>
    </row>
    <row r="10">
      <c r="A10" s="25" t="inlineStr">
        <is>
          <t>Nursery</t>
        </is>
      </c>
      <c r="B10" s="45" t="n">
        <v>40</v>
      </c>
      <c r="C10" s="45" t="n">
        <v>18</v>
      </c>
      <c r="D10" s="46">
        <f>B10-C10</f>
        <v/>
      </c>
      <c r="E10" s="47">
        <f>IFERROR(C10/B10,0)</f>
        <v/>
      </c>
    </row>
    <row r="11">
      <c r="A11" s="22" t="inlineStr">
        <is>
          <t>Furniture</t>
        </is>
      </c>
      <c r="B11" s="41" t="n">
        <v>30</v>
      </c>
      <c r="C11" s="41" t="n">
        <v>0</v>
      </c>
      <c r="D11" s="42">
        <f>B11-C11</f>
        <v/>
      </c>
      <c r="E11" s="43">
        <f>IFERROR(C11/B11,0)</f>
        <v/>
      </c>
    </row>
    <row r="12">
      <c r="A12" s="25" t="inlineStr">
        <is>
          <t>Childcare</t>
        </is>
      </c>
      <c r="B12" s="45" t="n">
        <v>0</v>
      </c>
      <c r="C12" s="45" t="n">
        <v>0</v>
      </c>
      <c r="D12" s="46">
        <f>B12-C12</f>
        <v/>
      </c>
      <c r="E12" s="47">
        <f>IFERROR(C12/B12,0)</f>
        <v/>
      </c>
    </row>
    <row r="13">
      <c r="A13" s="22" t="inlineStr">
        <is>
          <t>Healthcare</t>
        </is>
      </c>
      <c r="B13" s="41" t="n">
        <v>60</v>
      </c>
      <c r="C13" s="41" t="n">
        <v>45</v>
      </c>
      <c r="D13" s="42">
        <f>B13-C13</f>
        <v/>
      </c>
      <c r="E13" s="43">
        <f>IFERROR(C13/B13,0)</f>
        <v/>
      </c>
    </row>
    <row r="14">
      <c r="A14" s="25" t="inlineStr">
        <is>
          <t>Insurance</t>
        </is>
      </c>
      <c r="B14" s="45" t="n">
        <v>90</v>
      </c>
      <c r="C14" s="45" t="n">
        <v>90</v>
      </c>
      <c r="D14" s="46">
        <f>B14-C14</f>
        <v/>
      </c>
      <c r="E14" s="47">
        <f>IFERROR(C14/B14,0)</f>
        <v/>
      </c>
    </row>
    <row r="15">
      <c r="A15" s="22" t="inlineStr">
        <is>
          <t>Baby Gear</t>
        </is>
      </c>
      <c r="B15" s="41" t="n">
        <v>50</v>
      </c>
      <c r="C15" s="41" t="n">
        <v>66</v>
      </c>
      <c r="D15" s="42">
        <f>B15-C15</f>
        <v/>
      </c>
      <c r="E15" s="43">
        <f>IFERROR(C15/B15,0)</f>
        <v/>
      </c>
    </row>
    <row r="16">
      <c r="A16" s="25" t="inlineStr">
        <is>
          <t>Miscellaneous</t>
        </is>
      </c>
      <c r="B16" s="45" t="n">
        <v>30</v>
      </c>
      <c r="C16" s="45" t="n">
        <v>20</v>
      </c>
      <c r="D16" s="46">
        <f>B16-C16</f>
        <v/>
      </c>
      <c r="E16" s="47">
        <f>IFERROR(C16/B16,0)</f>
        <v/>
      </c>
    </row>
    <row r="17">
      <c r="A17" s="7" t="inlineStr">
        <is>
          <t>TOTAL</t>
        </is>
      </c>
      <c r="B17" s="48">
        <f>SUM(B5:B16)</f>
        <v/>
      </c>
      <c r="C17" s="48">
        <f>SUM(C5:C16)</f>
        <v/>
      </c>
      <c r="D17" s="48">
        <f>SUM(D5:D16)</f>
        <v/>
      </c>
      <c r="E17" s="49">
        <f>IFERROR(C17/B17,0)</f>
        <v/>
      </c>
    </row>
  </sheetData>
  <mergeCells count="2">
    <mergeCell ref="A2:H2"/>
    <mergeCell ref="A1:H1"/>
  </mergeCells>
  <conditionalFormatting sqref="E5:E16">
    <cfRule type="dataBar" priority="1">
      <dataBar showValue="1">
        <cfvo type="num" val="0"/>
        <cfvo type="num" val="1.2"/>
        <color rgb="001B4F48"/>
      </dataBar>
    </cfRule>
  </conditionalFormatting>
  <conditionalFormatting sqref="D5:D16">
    <cfRule type="cellIs" priority="2" operator="lessThan" dxfId="2">
      <formula>0</formula>
    </cfRule>
  </conditionalFormatting>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1B4F48"/>
    <outlinePr summaryBelow="1" summaryRight="1"/>
    <pageSetUpPr/>
  </sheetPr>
  <dimension ref="A1:G44"/>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8" customWidth="1" min="3" max="3"/>
    <col width="12" customWidth="1" min="4" max="4"/>
    <col width="12" customWidth="1" min="5" max="5"/>
    <col width="11" customWidth="1" min="6" max="6"/>
    <col width="20" customWidth="1" min="7" max="7"/>
  </cols>
  <sheetData>
    <row r="1" ht="46" customHeight="1">
      <c r="A1" s="1" t="inlineStr">
        <is>
          <t xml:space="preserve">  🛒  SHOPPING &amp; BABY SUPPLIES</t>
        </is>
      </c>
    </row>
    <row r="2" ht="22" customHeight="1">
      <c r="A2" s="2" t="inlineStr">
        <is>
          <t xml:space="preserve">  Never run out — flag reorders and track estimated vs actual cost.</t>
        </is>
      </c>
    </row>
    <row r="3" ht="6" customHeight="1">
      <c r="A3" s="3" t="n"/>
      <c r="B3" s="3" t="n"/>
      <c r="C3" s="3" t="n"/>
      <c r="D3" s="3" t="n"/>
      <c r="E3" s="3" t="n"/>
      <c r="F3" s="3" t="n"/>
      <c r="G3" s="3" t="n"/>
    </row>
    <row r="4" ht="30" customHeight="1">
      <c r="A4" s="7" t="inlineStr">
        <is>
          <t>Item</t>
        </is>
      </c>
      <c r="B4" s="7" t="inlineStr">
        <is>
          <t>Category</t>
        </is>
      </c>
      <c r="C4" s="7" t="inlineStr">
        <is>
          <t>Qty</t>
        </is>
      </c>
      <c r="D4" s="7" t="inlineStr">
        <is>
          <t>Est. Cost</t>
        </is>
      </c>
      <c r="E4" s="7" t="inlineStr">
        <is>
          <t>Purchased?</t>
        </is>
      </c>
      <c r="F4" s="7" t="inlineStr">
        <is>
          <t>Reorder?</t>
        </is>
      </c>
      <c r="G4" s="7" t="inlineStr">
        <is>
          <t>Notes</t>
        </is>
      </c>
    </row>
    <row r="5">
      <c r="A5" s="30" t="inlineStr">
        <is>
          <t>Diapers size 2 (box)</t>
        </is>
      </c>
      <c r="B5" s="29" t="inlineStr">
        <is>
          <t>Diapering</t>
        </is>
      </c>
      <c r="C5" s="36" t="n">
        <v>1</v>
      </c>
      <c r="D5" s="50" t="n">
        <v>40</v>
      </c>
      <c r="E5" s="29" t="inlineStr">
        <is>
          <t>Yes</t>
        </is>
      </c>
      <c r="F5" s="29" t="inlineStr">
        <is>
          <t>No</t>
        </is>
      </c>
      <c r="G5" s="30" t="inlineStr"/>
    </row>
    <row r="6">
      <c r="A6" s="25" t="inlineStr">
        <is>
          <t>Formula (tub)</t>
        </is>
      </c>
      <c r="B6" s="32" t="inlineStr">
        <is>
          <t>Feeding</t>
        </is>
      </c>
      <c r="C6" s="38" t="n">
        <v>2</v>
      </c>
      <c r="D6" s="51" t="n">
        <v>60</v>
      </c>
      <c r="E6" s="32" t="inlineStr">
        <is>
          <t>No</t>
        </is>
      </c>
      <c r="F6" s="32" t="inlineStr">
        <is>
          <t>Yes</t>
        </is>
      </c>
      <c r="G6" s="25" t="inlineStr">
        <is>
          <t>Running low</t>
        </is>
      </c>
    </row>
    <row r="7">
      <c r="A7" s="30" t="inlineStr">
        <is>
          <t>Wipes (bulk)</t>
        </is>
      </c>
      <c r="B7" s="29" t="inlineStr">
        <is>
          <t>Diapering</t>
        </is>
      </c>
      <c r="C7" s="36" t="n">
        <v>1</v>
      </c>
      <c r="D7" s="50" t="n">
        <v>22</v>
      </c>
      <c r="E7" s="29" t="inlineStr">
        <is>
          <t>No</t>
        </is>
      </c>
      <c r="F7" s="29" t="inlineStr">
        <is>
          <t>Yes</t>
        </is>
      </c>
      <c r="G7" s="30" t="inlineStr"/>
    </row>
    <row r="8">
      <c r="A8" s="25" t="inlineStr">
        <is>
          <t>0-3m onesies</t>
        </is>
      </c>
      <c r="B8" s="32" t="inlineStr">
        <is>
          <t>Clothing</t>
        </is>
      </c>
      <c r="C8" s="38" t="n">
        <v>5</v>
      </c>
      <c r="D8" s="51" t="n">
        <v>30</v>
      </c>
      <c r="E8" s="32" t="inlineStr">
        <is>
          <t>Yes</t>
        </is>
      </c>
      <c r="F8" s="32" t="inlineStr">
        <is>
          <t>No</t>
        </is>
      </c>
      <c r="G8" s="25" t="inlineStr">
        <is>
          <t>Growing fast</t>
        </is>
      </c>
    </row>
    <row r="9">
      <c r="A9" s="30" t="inlineStr">
        <is>
          <t>Baby wash</t>
        </is>
      </c>
      <c r="B9" s="29" t="inlineStr">
        <is>
          <t>Bath</t>
        </is>
      </c>
      <c r="C9" s="36" t="n">
        <v>1</v>
      </c>
      <c r="D9" s="50" t="n">
        <v>8</v>
      </c>
      <c r="E9" s="29" t="inlineStr">
        <is>
          <t>Yes</t>
        </is>
      </c>
      <c r="F9" s="29" t="inlineStr">
        <is>
          <t>No</t>
        </is>
      </c>
      <c r="G9" s="30" t="inlineStr"/>
    </row>
    <row r="10">
      <c r="A10" s="25" t="inlineStr">
        <is>
          <t>Bottles (pack)</t>
        </is>
      </c>
      <c r="B10" s="32" t="inlineStr">
        <is>
          <t>Feeding</t>
        </is>
      </c>
      <c r="C10" s="38" t="n">
        <v>1</v>
      </c>
      <c r="D10" s="51" t="n">
        <v>24</v>
      </c>
      <c r="E10" s="32" t="inlineStr">
        <is>
          <t>No</t>
        </is>
      </c>
      <c r="F10" s="32" t="inlineStr">
        <is>
          <t>No</t>
        </is>
      </c>
      <c r="G10" s="25" t="inlineStr"/>
    </row>
    <row r="11">
      <c r="A11" s="30" t="inlineStr">
        <is>
          <t>Vitamin D drops</t>
        </is>
      </c>
      <c r="B11" s="29" t="inlineStr">
        <is>
          <t>Health</t>
        </is>
      </c>
      <c r="C11" s="36" t="n">
        <v>1</v>
      </c>
      <c r="D11" s="50" t="n">
        <v>12</v>
      </c>
      <c r="E11" s="29" t="inlineStr">
        <is>
          <t>No</t>
        </is>
      </c>
      <c r="F11" s="29" t="inlineStr">
        <is>
          <t>Yes</t>
        </is>
      </c>
      <c r="G11" s="30" t="inlineStr">
        <is>
          <t>Almost out</t>
        </is>
      </c>
    </row>
    <row r="12">
      <c r="A12" s="25" t="inlineStr">
        <is>
          <t>Teether</t>
        </is>
      </c>
      <c r="B12" s="32" t="inlineStr">
        <is>
          <t>Toys</t>
        </is>
      </c>
      <c r="C12" s="38" t="n">
        <v>2</v>
      </c>
      <c r="D12" s="51" t="n">
        <v>10</v>
      </c>
      <c r="E12" s="32" t="inlineStr">
        <is>
          <t>No</t>
        </is>
      </c>
      <c r="F12" s="32" t="inlineStr">
        <is>
          <t>No</t>
        </is>
      </c>
      <c r="G12" s="25" t="inlineStr"/>
    </row>
    <row r="13">
      <c r="A13" s="30" t="n"/>
      <c r="B13" s="29" t="n"/>
      <c r="C13" s="36" t="n"/>
      <c r="D13" s="50" t="n"/>
      <c r="E13" s="29" t="n"/>
      <c r="F13" s="29" t="n"/>
      <c r="G13" s="30" t="n"/>
    </row>
    <row r="14">
      <c r="A14" s="25" t="n"/>
      <c r="B14" s="32" t="n"/>
      <c r="C14" s="38" t="n"/>
      <c r="D14" s="51" t="n"/>
      <c r="E14" s="32" t="n"/>
      <c r="F14" s="32" t="n"/>
      <c r="G14" s="25" t="n"/>
    </row>
    <row r="15">
      <c r="A15" s="30" t="n"/>
      <c r="B15" s="29" t="n"/>
      <c r="C15" s="36" t="n"/>
      <c r="D15" s="50" t="n"/>
      <c r="E15" s="29" t="n"/>
      <c r="F15" s="29" t="n"/>
      <c r="G15" s="30" t="n"/>
    </row>
    <row r="16">
      <c r="A16" s="25" t="n"/>
      <c r="B16" s="32" t="n"/>
      <c r="C16" s="38" t="n"/>
      <c r="D16" s="51" t="n"/>
      <c r="E16" s="32" t="n"/>
      <c r="F16" s="32" t="n"/>
      <c r="G16" s="25" t="n"/>
    </row>
    <row r="17">
      <c r="A17" s="30" t="n"/>
      <c r="B17" s="29" t="n"/>
      <c r="C17" s="36" t="n"/>
      <c r="D17" s="50" t="n"/>
      <c r="E17" s="29" t="n"/>
      <c r="F17" s="29" t="n"/>
      <c r="G17" s="30" t="n"/>
    </row>
    <row r="18">
      <c r="A18" s="25" t="n"/>
      <c r="B18" s="32" t="n"/>
      <c r="C18" s="38" t="n"/>
      <c r="D18" s="51" t="n"/>
      <c r="E18" s="32" t="n"/>
      <c r="F18" s="32" t="n"/>
      <c r="G18" s="25" t="n"/>
    </row>
    <row r="19">
      <c r="A19" s="30" t="n"/>
      <c r="B19" s="29" t="n"/>
      <c r="C19" s="36" t="n"/>
      <c r="D19" s="50" t="n"/>
      <c r="E19" s="29" t="n"/>
      <c r="F19" s="29" t="n"/>
      <c r="G19" s="30" t="n"/>
    </row>
    <row r="20">
      <c r="A20" s="25" t="n"/>
      <c r="B20" s="32" t="n"/>
      <c r="C20" s="38" t="n"/>
      <c r="D20" s="51" t="n"/>
      <c r="E20" s="32" t="n"/>
      <c r="F20" s="32" t="n"/>
      <c r="G20" s="25" t="n"/>
    </row>
    <row r="21">
      <c r="A21" s="30" t="n"/>
      <c r="B21" s="29" t="n"/>
      <c r="C21" s="36" t="n"/>
      <c r="D21" s="50" t="n"/>
      <c r="E21" s="29" t="n"/>
      <c r="F21" s="29" t="n"/>
      <c r="G21" s="30" t="n"/>
    </row>
    <row r="22">
      <c r="A22" s="25" t="n"/>
      <c r="B22" s="32" t="n"/>
      <c r="C22" s="38" t="n"/>
      <c r="D22" s="51" t="n"/>
      <c r="E22" s="32" t="n"/>
      <c r="F22" s="32" t="n"/>
      <c r="G22" s="25" t="n"/>
    </row>
    <row r="23">
      <c r="A23" s="30" t="n"/>
      <c r="B23" s="29" t="n"/>
      <c r="C23" s="36" t="n"/>
      <c r="D23" s="50" t="n"/>
      <c r="E23" s="29" t="n"/>
      <c r="F23" s="29" t="n"/>
      <c r="G23" s="30" t="n"/>
    </row>
    <row r="24">
      <c r="A24" s="25" t="n"/>
      <c r="B24" s="32" t="n"/>
      <c r="C24" s="38" t="n"/>
      <c r="D24" s="51" t="n"/>
      <c r="E24" s="32" t="n"/>
      <c r="F24" s="32" t="n"/>
      <c r="G24" s="25" t="n"/>
    </row>
    <row r="25">
      <c r="A25" s="30" t="n"/>
      <c r="B25" s="29" t="n"/>
      <c r="C25" s="36" t="n"/>
      <c r="D25" s="50" t="n"/>
      <c r="E25" s="29" t="n"/>
      <c r="F25" s="29" t="n"/>
      <c r="G25" s="30" t="n"/>
    </row>
    <row r="26">
      <c r="A26" s="25" t="n"/>
      <c r="B26" s="32" t="n"/>
      <c r="C26" s="38" t="n"/>
      <c r="D26" s="51" t="n"/>
      <c r="E26" s="32" t="n"/>
      <c r="F26" s="32" t="n"/>
      <c r="G26" s="25" t="n"/>
    </row>
    <row r="27">
      <c r="A27" s="30" t="n"/>
      <c r="B27" s="29" t="n"/>
      <c r="C27" s="36" t="n"/>
      <c r="D27" s="50" t="n"/>
      <c r="E27" s="29" t="n"/>
      <c r="F27" s="29" t="n"/>
      <c r="G27" s="30" t="n"/>
    </row>
    <row r="28">
      <c r="A28" s="25" t="n"/>
      <c r="B28" s="32" t="n"/>
      <c r="C28" s="38" t="n"/>
      <c r="D28" s="51" t="n"/>
      <c r="E28" s="32" t="n"/>
      <c r="F28" s="32" t="n"/>
      <c r="G28" s="25" t="n"/>
    </row>
    <row r="29">
      <c r="A29" s="30" t="n"/>
      <c r="B29" s="29" t="n"/>
      <c r="C29" s="36" t="n"/>
      <c r="D29" s="50" t="n"/>
      <c r="E29" s="29" t="n"/>
      <c r="F29" s="29" t="n"/>
      <c r="G29" s="30" t="n"/>
    </row>
    <row r="30">
      <c r="A30" s="25" t="n"/>
      <c r="B30" s="32" t="n"/>
      <c r="C30" s="38" t="n"/>
      <c r="D30" s="51" t="n"/>
      <c r="E30" s="32" t="n"/>
      <c r="F30" s="32" t="n"/>
      <c r="G30" s="25" t="n"/>
    </row>
    <row r="31">
      <c r="A31" s="30" t="n"/>
      <c r="B31" s="29" t="n"/>
      <c r="C31" s="36" t="n"/>
      <c r="D31" s="50" t="n"/>
      <c r="E31" s="29" t="n"/>
      <c r="F31" s="29" t="n"/>
      <c r="G31" s="30" t="n"/>
    </row>
    <row r="32">
      <c r="A32" s="25" t="n"/>
      <c r="B32" s="32" t="n"/>
      <c r="C32" s="38" t="n"/>
      <c r="D32" s="51" t="n"/>
      <c r="E32" s="32" t="n"/>
      <c r="F32" s="32" t="n"/>
      <c r="G32" s="25" t="n"/>
    </row>
    <row r="33">
      <c r="A33" s="30" t="n"/>
      <c r="B33" s="29" t="n"/>
      <c r="C33" s="36" t="n"/>
      <c r="D33" s="50" t="n"/>
      <c r="E33" s="29" t="n"/>
      <c r="F33" s="29" t="n"/>
      <c r="G33" s="30" t="n"/>
    </row>
    <row r="34">
      <c r="A34" s="25" t="n"/>
      <c r="B34" s="32" t="n"/>
      <c r="C34" s="38" t="n"/>
      <c r="D34" s="51" t="n"/>
      <c r="E34" s="32" t="n"/>
      <c r="F34" s="32" t="n"/>
      <c r="G34" s="25" t="n"/>
    </row>
    <row r="35">
      <c r="A35" s="30" t="n"/>
      <c r="B35" s="29" t="n"/>
      <c r="C35" s="36" t="n"/>
      <c r="D35" s="50" t="n"/>
      <c r="E35" s="29" t="n"/>
      <c r="F35" s="29" t="n"/>
      <c r="G35" s="30" t="n"/>
    </row>
    <row r="36">
      <c r="A36" s="25" t="n"/>
      <c r="B36" s="32" t="n"/>
      <c r="C36" s="38" t="n"/>
      <c r="D36" s="51" t="n"/>
      <c r="E36" s="32" t="n"/>
      <c r="F36" s="32" t="n"/>
      <c r="G36" s="25" t="n"/>
    </row>
    <row r="37">
      <c r="A37" s="30" t="n"/>
      <c r="B37" s="29" t="n"/>
      <c r="C37" s="36" t="n"/>
      <c r="D37" s="50" t="n"/>
      <c r="E37" s="29" t="n"/>
      <c r="F37" s="29" t="n"/>
      <c r="G37" s="30" t="n"/>
    </row>
    <row r="38">
      <c r="A38" s="25" t="n"/>
      <c r="B38" s="32" t="n"/>
      <c r="C38" s="38" t="n"/>
      <c r="D38" s="51" t="n"/>
      <c r="E38" s="32" t="n"/>
      <c r="F38" s="32" t="n"/>
      <c r="G38" s="25" t="n"/>
    </row>
    <row r="39">
      <c r="A39" s="30" t="n"/>
      <c r="B39" s="29" t="n"/>
      <c r="C39" s="36" t="n"/>
      <c r="D39" s="50" t="n"/>
      <c r="E39" s="29" t="n"/>
      <c r="F39" s="29" t="n"/>
      <c r="G39" s="30" t="n"/>
    </row>
    <row r="40">
      <c r="A40" s="25" t="n"/>
      <c r="B40" s="32" t="n"/>
      <c r="C40" s="38" t="n"/>
      <c r="D40" s="51" t="n"/>
      <c r="E40" s="32" t="n"/>
      <c r="F40" s="32" t="n"/>
      <c r="G40" s="25" t="n"/>
    </row>
    <row r="41">
      <c r="A41" s="30" t="n"/>
      <c r="B41" s="29" t="n"/>
      <c r="C41" s="36" t="n"/>
      <c r="D41" s="50" t="n"/>
      <c r="E41" s="29" t="n"/>
      <c r="F41" s="29" t="n"/>
      <c r="G41" s="30" t="n"/>
    </row>
    <row r="42">
      <c r="A42" s="25" t="n"/>
      <c r="B42" s="32" t="n"/>
      <c r="C42" s="38" t="n"/>
      <c r="D42" s="51" t="n"/>
      <c r="E42" s="32" t="n"/>
      <c r="F42" s="32" t="n"/>
      <c r="G42" s="25" t="n"/>
    </row>
    <row r="43">
      <c r="A43" s="30" t="n"/>
      <c r="B43" s="29" t="n"/>
      <c r="C43" s="36" t="n"/>
      <c r="D43" s="50" t="n"/>
      <c r="E43" s="29" t="n"/>
      <c r="F43" s="29" t="n"/>
      <c r="G43" s="30" t="n"/>
    </row>
    <row r="44">
      <c r="A44" s="25" t="n"/>
      <c r="B44" s="32" t="n"/>
      <c r="C44" s="38" t="n"/>
      <c r="D44" s="51" t="n"/>
      <c r="E44" s="32" t="n"/>
      <c r="F44" s="32" t="n"/>
      <c r="G44" s="25" t="n"/>
    </row>
  </sheetData>
  <mergeCells count="2">
    <mergeCell ref="A2:G2"/>
    <mergeCell ref="A1:G1"/>
  </mergeCells>
  <conditionalFormatting sqref="F5:F44">
    <cfRule type="cellIs" priority="1" operator="equal" dxfId="1">
      <formula>"Yes"</formula>
    </cfRule>
  </conditionalFormatting>
  <dataValidations count="3">
    <dataValidation sqref="B5:B44" showDropDown="0" showInputMessage="0" showErrorMessage="0" allowBlank="1" type="list">
      <formula1>=SupplyCatList</formula1>
    </dataValidation>
    <dataValidation sqref="E5:E44" showDropDown="0" showInputMessage="0" showErrorMessage="0" allowBlank="1" type="list">
      <formula1>=YesNoList</formula1>
    </dataValidation>
    <dataValidation sqref="F5:F44" showDropDown="0" showInputMessage="0" showErrorMessage="0" allowBlank="1" type="list">
      <formula1>=YesNoList</formula1>
    </dataValidation>
  </dataValidations>
  <pageMargins left="0.75" right="0.75" top="1" bottom="1" header="0.5" footer="0.5"/>
</worksheet>
</file>

<file path=xl/worksheets/sheet14.xml><?xml version="1.0" encoding="utf-8"?>
<worksheet xmlns="http://schemas.openxmlformats.org/spreadsheetml/2006/main">
  <sheetPr>
    <tabColor rgb="00937356"/>
    <outlinePr summaryBelow="1" summaryRight="1"/>
    <pageSetUpPr/>
  </sheetPr>
  <dimension ref="A1:F44"/>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12" customWidth="1" min="3" max="3"/>
    <col width="8" customWidth="1" min="4" max="4"/>
    <col width="12" customWidth="1" min="5" max="5"/>
    <col width="22" customWidth="1" min="6" max="6"/>
  </cols>
  <sheetData>
    <row r="1" ht="46" customHeight="1">
      <c r="A1" s="1" t="inlineStr">
        <is>
          <t xml:space="preserve">  🧸  BABY INVENTORY</t>
        </is>
      </c>
    </row>
    <row r="2" ht="22" customHeight="1">
      <c r="A2" s="2" t="inlineStr">
        <is>
          <t xml:space="preserve">  What you have and what size — clothing, gear, bottles, toys &amp; more.</t>
        </is>
      </c>
    </row>
    <row r="3" ht="6" customHeight="1">
      <c r="A3" s="3" t="n"/>
      <c r="B3" s="3" t="n"/>
      <c r="C3" s="3" t="n"/>
      <c r="D3" s="3" t="n"/>
      <c r="E3" s="3" t="n"/>
      <c r="F3" s="3" t="n"/>
    </row>
    <row r="4" ht="30" customHeight="1">
      <c r="A4" s="7" t="inlineStr">
        <is>
          <t>Item</t>
        </is>
      </c>
      <c r="B4" s="7" t="inlineStr">
        <is>
          <t>Category</t>
        </is>
      </c>
      <c r="C4" s="7" t="inlineStr">
        <is>
          <t>Size</t>
        </is>
      </c>
      <c r="D4" s="7" t="inlineStr">
        <is>
          <t>Qty</t>
        </is>
      </c>
      <c r="E4" s="7" t="inlineStr">
        <is>
          <t>Status</t>
        </is>
      </c>
      <c r="F4" s="7" t="inlineStr">
        <is>
          <t>Notes</t>
        </is>
      </c>
    </row>
    <row r="5">
      <c r="A5" s="30" t="inlineStr">
        <is>
          <t>Onesies</t>
        </is>
      </c>
      <c r="B5" s="29" t="inlineStr">
        <is>
          <t>Clothing</t>
        </is>
      </c>
      <c r="C5" s="29" t="inlineStr">
        <is>
          <t>3-6m</t>
        </is>
      </c>
      <c r="D5" s="36" t="n">
        <v>12</v>
      </c>
      <c r="E5" s="29" t="inlineStr">
        <is>
          <t>In Use</t>
        </is>
      </c>
      <c r="F5" s="30" t="inlineStr">
        <is>
          <t>Moving up soon</t>
        </is>
      </c>
    </row>
    <row r="6">
      <c r="A6" s="25" t="inlineStr">
        <is>
          <t>Sleepers</t>
        </is>
      </c>
      <c r="B6" s="32" t="inlineStr">
        <is>
          <t>Clothing</t>
        </is>
      </c>
      <c r="C6" s="32" t="inlineStr">
        <is>
          <t>3-6m</t>
        </is>
      </c>
      <c r="D6" s="38" t="n">
        <v>8</v>
      </c>
      <c r="E6" s="32" t="inlineStr">
        <is>
          <t>In Use</t>
        </is>
      </c>
      <c r="F6" s="25" t="inlineStr"/>
    </row>
    <row r="7">
      <c r="A7" s="30" t="inlineStr">
        <is>
          <t>Bottles</t>
        </is>
      </c>
      <c r="B7" s="29" t="inlineStr">
        <is>
          <t>Feeding</t>
        </is>
      </c>
      <c r="C7" s="29" t="inlineStr">
        <is>
          <t>8 oz</t>
        </is>
      </c>
      <c r="D7" s="36" t="n">
        <v>6</v>
      </c>
      <c r="E7" s="29" t="inlineStr">
        <is>
          <t>In Use</t>
        </is>
      </c>
      <c r="F7" s="30" t="inlineStr"/>
    </row>
    <row r="8">
      <c r="A8" s="25" t="inlineStr">
        <is>
          <t>Pacifiers</t>
        </is>
      </c>
      <c r="B8" s="32" t="inlineStr">
        <is>
          <t>Feeding</t>
        </is>
      </c>
      <c r="C8" s="32" t="inlineStr">
        <is>
          <t>0-6m</t>
        </is>
      </c>
      <c r="D8" s="38" t="n">
        <v>4</v>
      </c>
      <c r="E8" s="32" t="inlineStr">
        <is>
          <t>In Use</t>
        </is>
      </c>
      <c r="F8" s="25" t="inlineStr"/>
    </row>
    <row r="9">
      <c r="A9" s="30" t="inlineStr">
        <is>
          <t>Swaddle blankets</t>
        </is>
      </c>
      <c r="B9" s="29" t="inlineStr">
        <is>
          <t>Nursery</t>
        </is>
      </c>
      <c r="C9" s="29" t="inlineStr">
        <is>
          <t>—</t>
        </is>
      </c>
      <c r="D9" s="36" t="n">
        <v>5</v>
      </c>
      <c r="E9" s="29" t="inlineStr">
        <is>
          <t>In Use</t>
        </is>
      </c>
      <c r="F9" s="30" t="inlineStr"/>
    </row>
    <row r="10">
      <c r="A10" s="25" t="inlineStr">
        <is>
          <t>Car seat</t>
        </is>
      </c>
      <c r="B10" s="32" t="inlineStr">
        <is>
          <t>Gear</t>
        </is>
      </c>
      <c r="C10" s="32" t="inlineStr">
        <is>
          <t>Infant</t>
        </is>
      </c>
      <c r="D10" s="38" t="n">
        <v>1</v>
      </c>
      <c r="E10" s="32" t="inlineStr">
        <is>
          <t>In Use</t>
        </is>
      </c>
      <c r="F10" s="25" t="inlineStr">
        <is>
          <t>Expires 2032</t>
        </is>
      </c>
    </row>
    <row r="11">
      <c r="A11" s="30" t="inlineStr">
        <is>
          <t>Stroller</t>
        </is>
      </c>
      <c r="B11" s="29" t="inlineStr">
        <is>
          <t>Gear</t>
        </is>
      </c>
      <c r="C11" s="29" t="inlineStr">
        <is>
          <t>—</t>
        </is>
      </c>
      <c r="D11" s="36" t="n">
        <v>1</v>
      </c>
      <c r="E11" s="29" t="inlineStr">
        <is>
          <t>In Use</t>
        </is>
      </c>
      <c r="F11" s="30" t="inlineStr"/>
    </row>
    <row r="12">
      <c r="A12" s="25" t="inlineStr">
        <is>
          <t>Carrier</t>
        </is>
      </c>
      <c r="B12" s="32" t="inlineStr">
        <is>
          <t>Gear</t>
        </is>
      </c>
      <c r="C12" s="32" t="inlineStr">
        <is>
          <t>—</t>
        </is>
      </c>
      <c r="D12" s="38" t="n">
        <v>1</v>
      </c>
      <c r="E12" s="32" t="inlineStr">
        <is>
          <t>In Use</t>
        </is>
      </c>
      <c r="F12" s="25" t="inlineStr"/>
    </row>
    <row r="13">
      <c r="A13" s="30" t="inlineStr">
        <is>
          <t>Board books</t>
        </is>
      </c>
      <c r="B13" s="29" t="inlineStr">
        <is>
          <t>Toys</t>
        </is>
      </c>
      <c r="C13" s="29" t="inlineStr">
        <is>
          <t>—</t>
        </is>
      </c>
      <c r="D13" s="36" t="n">
        <v>10</v>
      </c>
      <c r="E13" s="29" t="inlineStr">
        <is>
          <t>In Use</t>
        </is>
      </c>
      <c r="F13" s="30" t="inlineStr"/>
    </row>
    <row r="14">
      <c r="A14" s="25" t="inlineStr">
        <is>
          <t>Winter coat</t>
        </is>
      </c>
      <c r="B14" s="32" t="inlineStr">
        <is>
          <t>Clothing</t>
        </is>
      </c>
      <c r="C14" s="32" t="inlineStr">
        <is>
          <t>6-9m</t>
        </is>
      </c>
      <c r="D14" s="38" t="n">
        <v>1</v>
      </c>
      <c r="E14" s="32" t="inlineStr">
        <is>
          <t>Stored</t>
        </is>
      </c>
      <c r="F14" s="25" t="inlineStr">
        <is>
          <t>For later</t>
        </is>
      </c>
    </row>
    <row r="15">
      <c r="A15" s="30" t="n"/>
      <c r="B15" s="29" t="n"/>
      <c r="C15" s="29" t="n"/>
      <c r="D15" s="36" t="n"/>
      <c r="E15" s="29" t="n"/>
      <c r="F15" s="30" t="n"/>
    </row>
    <row r="16">
      <c r="A16" s="25" t="n"/>
      <c r="B16" s="32" t="n"/>
      <c r="C16" s="32" t="n"/>
      <c r="D16" s="38" t="n"/>
      <c r="E16" s="32" t="n"/>
      <c r="F16" s="25" t="n"/>
    </row>
    <row r="17">
      <c r="A17" s="30" t="n"/>
      <c r="B17" s="29" t="n"/>
      <c r="C17" s="29" t="n"/>
      <c r="D17" s="36" t="n"/>
      <c r="E17" s="29" t="n"/>
      <c r="F17" s="30" t="n"/>
    </row>
    <row r="18">
      <c r="A18" s="25" t="n"/>
      <c r="B18" s="32" t="n"/>
      <c r="C18" s="32" t="n"/>
      <c r="D18" s="38" t="n"/>
      <c r="E18" s="32" t="n"/>
      <c r="F18" s="25" t="n"/>
    </row>
    <row r="19">
      <c r="A19" s="30" t="n"/>
      <c r="B19" s="29" t="n"/>
      <c r="C19" s="29" t="n"/>
      <c r="D19" s="36" t="n"/>
      <c r="E19" s="29" t="n"/>
      <c r="F19" s="30" t="n"/>
    </row>
    <row r="20">
      <c r="A20" s="25" t="n"/>
      <c r="B20" s="32" t="n"/>
      <c r="C20" s="32" t="n"/>
      <c r="D20" s="38" t="n"/>
      <c r="E20" s="32" t="n"/>
      <c r="F20" s="25" t="n"/>
    </row>
    <row r="21">
      <c r="A21" s="30" t="n"/>
      <c r="B21" s="29" t="n"/>
      <c r="C21" s="29" t="n"/>
      <c r="D21" s="36" t="n"/>
      <c r="E21" s="29" t="n"/>
      <c r="F21" s="30" t="n"/>
    </row>
    <row r="22">
      <c r="A22" s="25" t="n"/>
      <c r="B22" s="32" t="n"/>
      <c r="C22" s="32" t="n"/>
      <c r="D22" s="38" t="n"/>
      <c r="E22" s="32" t="n"/>
      <c r="F22" s="25" t="n"/>
    </row>
    <row r="23">
      <c r="A23" s="30" t="n"/>
      <c r="B23" s="29" t="n"/>
      <c r="C23" s="29" t="n"/>
      <c r="D23" s="36" t="n"/>
      <c r="E23" s="29" t="n"/>
      <c r="F23" s="30" t="n"/>
    </row>
    <row r="24">
      <c r="A24" s="25" t="n"/>
      <c r="B24" s="32" t="n"/>
      <c r="C24" s="32" t="n"/>
      <c r="D24" s="38" t="n"/>
      <c r="E24" s="32" t="n"/>
      <c r="F24" s="25" t="n"/>
    </row>
    <row r="25">
      <c r="A25" s="30" t="n"/>
      <c r="B25" s="29" t="n"/>
      <c r="C25" s="29" t="n"/>
      <c r="D25" s="36" t="n"/>
      <c r="E25" s="29" t="n"/>
      <c r="F25" s="30" t="n"/>
    </row>
    <row r="26">
      <c r="A26" s="25" t="n"/>
      <c r="B26" s="32" t="n"/>
      <c r="C26" s="32" t="n"/>
      <c r="D26" s="38" t="n"/>
      <c r="E26" s="32" t="n"/>
      <c r="F26" s="25" t="n"/>
    </row>
    <row r="27">
      <c r="A27" s="30" t="n"/>
      <c r="B27" s="29" t="n"/>
      <c r="C27" s="29" t="n"/>
      <c r="D27" s="36" t="n"/>
      <c r="E27" s="29" t="n"/>
      <c r="F27" s="30" t="n"/>
    </row>
    <row r="28">
      <c r="A28" s="25" t="n"/>
      <c r="B28" s="32" t="n"/>
      <c r="C28" s="32" t="n"/>
      <c r="D28" s="38" t="n"/>
      <c r="E28" s="32" t="n"/>
      <c r="F28" s="25" t="n"/>
    </row>
    <row r="29">
      <c r="A29" s="30" t="n"/>
      <c r="B29" s="29" t="n"/>
      <c r="C29" s="29" t="n"/>
      <c r="D29" s="36" t="n"/>
      <c r="E29" s="29" t="n"/>
      <c r="F29" s="30" t="n"/>
    </row>
    <row r="30">
      <c r="A30" s="25" t="n"/>
      <c r="B30" s="32" t="n"/>
      <c r="C30" s="32" t="n"/>
      <c r="D30" s="38" t="n"/>
      <c r="E30" s="32" t="n"/>
      <c r="F30" s="25" t="n"/>
    </row>
    <row r="31">
      <c r="A31" s="30" t="n"/>
      <c r="B31" s="29" t="n"/>
      <c r="C31" s="29" t="n"/>
      <c r="D31" s="36" t="n"/>
      <c r="E31" s="29" t="n"/>
      <c r="F31" s="30" t="n"/>
    </row>
    <row r="32">
      <c r="A32" s="25" t="n"/>
      <c r="B32" s="32" t="n"/>
      <c r="C32" s="32" t="n"/>
      <c r="D32" s="38" t="n"/>
      <c r="E32" s="32" t="n"/>
      <c r="F32" s="25" t="n"/>
    </row>
    <row r="33">
      <c r="A33" s="30" t="n"/>
      <c r="B33" s="29" t="n"/>
      <c r="C33" s="29" t="n"/>
      <c r="D33" s="36" t="n"/>
      <c r="E33" s="29" t="n"/>
      <c r="F33" s="30" t="n"/>
    </row>
    <row r="34">
      <c r="A34" s="25" t="n"/>
      <c r="B34" s="32" t="n"/>
      <c r="C34" s="32" t="n"/>
      <c r="D34" s="38" t="n"/>
      <c r="E34" s="32" t="n"/>
      <c r="F34" s="25" t="n"/>
    </row>
    <row r="35">
      <c r="A35" s="30" t="n"/>
      <c r="B35" s="29" t="n"/>
      <c r="C35" s="29" t="n"/>
      <c r="D35" s="36" t="n"/>
      <c r="E35" s="29" t="n"/>
      <c r="F35" s="30" t="n"/>
    </row>
    <row r="36">
      <c r="A36" s="25" t="n"/>
      <c r="B36" s="32" t="n"/>
      <c r="C36" s="32" t="n"/>
      <c r="D36" s="38" t="n"/>
      <c r="E36" s="32" t="n"/>
      <c r="F36" s="25" t="n"/>
    </row>
    <row r="37">
      <c r="A37" s="30" t="n"/>
      <c r="B37" s="29" t="n"/>
      <c r="C37" s="29" t="n"/>
      <c r="D37" s="36" t="n"/>
      <c r="E37" s="29" t="n"/>
      <c r="F37" s="30" t="n"/>
    </row>
    <row r="38">
      <c r="A38" s="25" t="n"/>
      <c r="B38" s="32" t="n"/>
      <c r="C38" s="32" t="n"/>
      <c r="D38" s="38" t="n"/>
      <c r="E38" s="32" t="n"/>
      <c r="F38" s="25" t="n"/>
    </row>
    <row r="39">
      <c r="A39" s="30" t="n"/>
      <c r="B39" s="29" t="n"/>
      <c r="C39" s="29" t="n"/>
      <c r="D39" s="36" t="n"/>
      <c r="E39" s="29" t="n"/>
      <c r="F39" s="30" t="n"/>
    </row>
    <row r="40">
      <c r="A40" s="25" t="n"/>
      <c r="B40" s="32" t="n"/>
      <c r="C40" s="32" t="n"/>
      <c r="D40" s="38" t="n"/>
      <c r="E40" s="32" t="n"/>
      <c r="F40" s="25" t="n"/>
    </row>
    <row r="41">
      <c r="A41" s="30" t="n"/>
      <c r="B41" s="29" t="n"/>
      <c r="C41" s="29" t="n"/>
      <c r="D41" s="36" t="n"/>
      <c r="E41" s="29" t="n"/>
      <c r="F41" s="30" t="n"/>
    </row>
    <row r="42">
      <c r="A42" s="25" t="n"/>
      <c r="B42" s="32" t="n"/>
      <c r="C42" s="32" t="n"/>
      <c r="D42" s="38" t="n"/>
      <c r="E42" s="32" t="n"/>
      <c r="F42" s="25" t="n"/>
    </row>
    <row r="43">
      <c r="A43" s="30" t="n"/>
      <c r="B43" s="29" t="n"/>
      <c r="C43" s="29" t="n"/>
      <c r="D43" s="36" t="n"/>
      <c r="E43" s="29" t="n"/>
      <c r="F43" s="30" t="n"/>
    </row>
    <row r="44">
      <c r="A44" s="25" t="n"/>
      <c r="B44" s="32" t="n"/>
      <c r="C44" s="32" t="n"/>
      <c r="D44" s="38" t="n"/>
      <c r="E44" s="32" t="n"/>
      <c r="F44" s="25" t="n"/>
    </row>
  </sheetData>
  <mergeCells count="2">
    <mergeCell ref="A2:F2"/>
    <mergeCell ref="A1:F1"/>
  </mergeCells>
  <dataValidations count="2">
    <dataValidation sqref="B5:B44" showDropDown="0" showInputMessage="0" showErrorMessage="0" allowBlank="1" type="list">
      <formula1>=SupplyCatList</formula1>
    </dataValidation>
    <dataValidation sqref="C5:C44" showDropDown="0" showInputMessage="0" showErrorMessage="0" allowBlank="1" type="list">
      <formula1>=SizeList</formula1>
    </dataValidation>
  </dataValidations>
  <pageMargins left="0.75" right="0.75" top="1" bottom="1" header="0.5" footer="0.5"/>
</worksheet>
</file>

<file path=xl/worksheets/sheet15.xml><?xml version="1.0" encoding="utf-8"?>
<worksheet xmlns="http://schemas.openxmlformats.org/spreadsheetml/2006/main">
  <sheetPr>
    <tabColor rgb="0075E6C1"/>
    <outlinePr summaryBelow="1" summaryRight="1"/>
    <pageSetUpPr/>
  </sheetPr>
  <dimension ref="A1:G34"/>
  <sheetViews>
    <sheetView showGridLines="0" workbookViewId="0">
      <pane ySplit="4" topLeftCell="A5" activePane="bottomLeft" state="frozen"/>
      <selection pane="bottomLeft" activeCell="A1" sqref="A1"/>
    </sheetView>
  </sheetViews>
  <sheetFormatPr baseColWidth="8" defaultRowHeight="15"/>
  <cols>
    <col width="20" customWidth="1" min="1" max="1"/>
    <col width="14" customWidth="1" min="2" max="2"/>
    <col width="18" customWidth="1" min="3" max="3"/>
    <col width="16" customWidth="1" min="4" max="4"/>
    <col width="10" customWidth="1" min="5" max="5"/>
    <col width="12" customWidth="1" min="6" max="6"/>
    <col width="20" customWidth="1" min="7" max="7"/>
  </cols>
  <sheetData>
    <row r="1" ht="46" customHeight="1">
      <c r="A1" s="1" t="inlineStr">
        <is>
          <t xml:space="preserve">  🧑‍🍼  CHILDCARE ORGANIZER</t>
        </is>
      </c>
    </row>
    <row r="2" ht="22" customHeight="1">
      <c r="A2" s="2" t="inlineStr">
        <is>
          <t xml:space="preserve">  Everyone who helps care for baby — schedules, contacts &amp; pickup authorization.</t>
        </is>
      </c>
    </row>
    <row r="3" ht="6" customHeight="1">
      <c r="A3" s="3" t="n"/>
      <c r="B3" s="3" t="n"/>
      <c r="C3" s="3" t="n"/>
      <c r="D3" s="3" t="n"/>
      <c r="E3" s="3" t="n"/>
      <c r="F3" s="3" t="n"/>
      <c r="G3" s="3" t="n"/>
    </row>
    <row r="4" ht="30" customHeight="1">
      <c r="A4" s="7" t="inlineStr">
        <is>
          <t>Caregiver</t>
        </is>
      </c>
      <c r="B4" s="7" t="inlineStr">
        <is>
          <t>Type</t>
        </is>
      </c>
      <c r="C4" s="7" t="inlineStr">
        <is>
          <t>Days / Hours</t>
        </is>
      </c>
      <c r="D4" s="7" t="inlineStr">
        <is>
          <t>Phone</t>
        </is>
      </c>
      <c r="E4" s="7" t="inlineStr">
        <is>
          <t>Rate</t>
        </is>
      </c>
      <c r="F4" s="7" t="inlineStr">
        <is>
          <t>Pickup Auth?</t>
        </is>
      </c>
      <c r="G4" s="7" t="inlineStr">
        <is>
          <t>Notes</t>
        </is>
      </c>
    </row>
    <row r="5">
      <c r="A5" s="30" t="inlineStr">
        <is>
          <t>Grandma Rose</t>
        </is>
      </c>
      <c r="B5" s="29" t="inlineStr">
        <is>
          <t>Family Care</t>
        </is>
      </c>
      <c r="C5" s="29" t="inlineStr">
        <is>
          <t>Tue, Thu</t>
        </is>
      </c>
      <c r="D5" s="29" t="inlineStr">
        <is>
          <t>(555) 661-2048</t>
        </is>
      </c>
      <c r="E5" s="50" t="n">
        <v>0</v>
      </c>
      <c r="F5" s="29" t="inlineStr">
        <is>
          <t>Yes</t>
        </is>
      </c>
      <c r="G5" s="30" t="inlineStr">
        <is>
          <t>Loves it</t>
        </is>
      </c>
    </row>
    <row r="6">
      <c r="A6" s="25" t="inlineStr">
        <is>
          <t>Sunshine Daycare</t>
        </is>
      </c>
      <c r="B6" s="32" t="inlineStr">
        <is>
          <t>Daycare</t>
        </is>
      </c>
      <c r="C6" s="32" t="inlineStr">
        <is>
          <t>Mon, Wed, Fri 8-4</t>
        </is>
      </c>
      <c r="D6" s="32" t="inlineStr">
        <is>
          <t>(555) 778-3300</t>
        </is>
      </c>
      <c r="E6" s="51" t="n">
        <v>55</v>
      </c>
      <c r="F6" s="32" t="inlineStr">
        <is>
          <t>Yes</t>
        </is>
      </c>
      <c r="G6" s="25" t="inlineStr">
        <is>
          <t>Starts next month</t>
        </is>
      </c>
    </row>
    <row r="7">
      <c r="A7" s="30" t="inlineStr">
        <is>
          <t>Emma (sitter)</t>
        </is>
      </c>
      <c r="B7" s="29" t="inlineStr">
        <is>
          <t>Babysitter</t>
        </is>
      </c>
      <c r="C7" s="29" t="inlineStr">
        <is>
          <t>As needed</t>
        </is>
      </c>
      <c r="D7" s="29" t="inlineStr">
        <is>
          <t>(555) 210-9090</t>
        </is>
      </c>
      <c r="E7" s="50" t="n">
        <v>18</v>
      </c>
      <c r="F7" s="29" t="inlineStr">
        <is>
          <t>Yes</t>
        </is>
      </c>
      <c r="G7" s="30" t="inlineStr">
        <is>
          <t>CPR certified</t>
        </is>
      </c>
    </row>
    <row r="8">
      <c r="A8" s="25" t="inlineStr">
        <is>
          <t>Dad</t>
        </is>
      </c>
      <c r="B8" s="32" t="inlineStr">
        <is>
          <t>Family Care</t>
        </is>
      </c>
      <c r="C8" s="32" t="inlineStr">
        <is>
          <t>Weekends</t>
        </is>
      </c>
      <c r="D8" s="32" t="inlineStr">
        <is>
          <t>—</t>
        </is>
      </c>
      <c r="E8" s="51" t="n">
        <v>0</v>
      </c>
      <c r="F8" s="32" t="inlineStr">
        <is>
          <t>Yes</t>
        </is>
      </c>
      <c r="G8" s="25" t="inlineStr"/>
    </row>
    <row r="9">
      <c r="A9" s="30" t="n"/>
      <c r="B9" s="29" t="n"/>
      <c r="C9" s="29" t="n"/>
      <c r="D9" s="29" t="n"/>
      <c r="E9" s="50" t="n"/>
      <c r="F9" s="29" t="n"/>
      <c r="G9" s="30" t="n"/>
    </row>
    <row r="10">
      <c r="A10" s="25" t="n"/>
      <c r="B10" s="32" t="n"/>
      <c r="C10" s="32" t="n"/>
      <c r="D10" s="32" t="n"/>
      <c r="E10" s="51" t="n"/>
      <c r="F10" s="32" t="n"/>
      <c r="G10" s="25" t="n"/>
    </row>
    <row r="11">
      <c r="A11" s="30" t="n"/>
      <c r="B11" s="29" t="n"/>
      <c r="C11" s="29" t="n"/>
      <c r="D11" s="29" t="n"/>
      <c r="E11" s="50" t="n"/>
      <c r="F11" s="29" t="n"/>
      <c r="G11" s="30" t="n"/>
    </row>
    <row r="12">
      <c r="A12" s="25" t="n"/>
      <c r="B12" s="32" t="n"/>
      <c r="C12" s="32" t="n"/>
      <c r="D12" s="32" t="n"/>
      <c r="E12" s="51" t="n"/>
      <c r="F12" s="32" t="n"/>
      <c r="G12" s="25" t="n"/>
    </row>
    <row r="13">
      <c r="A13" s="30" t="n"/>
      <c r="B13" s="29" t="n"/>
      <c r="C13" s="29" t="n"/>
      <c r="D13" s="29" t="n"/>
      <c r="E13" s="50" t="n"/>
      <c r="F13" s="29" t="n"/>
      <c r="G13" s="30" t="n"/>
    </row>
    <row r="14">
      <c r="A14" s="25" t="n"/>
      <c r="B14" s="32" t="n"/>
      <c r="C14" s="32" t="n"/>
      <c r="D14" s="32" t="n"/>
      <c r="E14" s="51" t="n"/>
      <c r="F14" s="32" t="n"/>
      <c r="G14" s="25" t="n"/>
    </row>
    <row r="15">
      <c r="A15" s="30" t="n"/>
      <c r="B15" s="29" t="n"/>
      <c r="C15" s="29" t="n"/>
      <c r="D15" s="29" t="n"/>
      <c r="E15" s="50" t="n"/>
      <c r="F15" s="29" t="n"/>
      <c r="G15" s="30" t="n"/>
    </row>
    <row r="16">
      <c r="A16" s="25" t="n"/>
      <c r="B16" s="32" t="n"/>
      <c r="C16" s="32" t="n"/>
      <c r="D16" s="32" t="n"/>
      <c r="E16" s="51" t="n"/>
      <c r="F16" s="32" t="n"/>
      <c r="G16" s="25" t="n"/>
    </row>
    <row r="17">
      <c r="A17" s="30" t="n"/>
      <c r="B17" s="29" t="n"/>
      <c r="C17" s="29" t="n"/>
      <c r="D17" s="29" t="n"/>
      <c r="E17" s="50" t="n"/>
      <c r="F17" s="29" t="n"/>
      <c r="G17" s="30" t="n"/>
    </row>
    <row r="18">
      <c r="A18" s="25" t="n"/>
      <c r="B18" s="32" t="n"/>
      <c r="C18" s="32" t="n"/>
      <c r="D18" s="32" t="n"/>
      <c r="E18" s="51" t="n"/>
      <c r="F18" s="32" t="n"/>
      <c r="G18" s="25" t="n"/>
    </row>
    <row r="19">
      <c r="A19" s="30" t="n"/>
      <c r="B19" s="29" t="n"/>
      <c r="C19" s="29" t="n"/>
      <c r="D19" s="29" t="n"/>
      <c r="E19" s="50" t="n"/>
      <c r="F19" s="29" t="n"/>
      <c r="G19" s="30" t="n"/>
    </row>
    <row r="20">
      <c r="A20" s="25" t="n"/>
      <c r="B20" s="32" t="n"/>
      <c r="C20" s="32" t="n"/>
      <c r="D20" s="32" t="n"/>
      <c r="E20" s="51" t="n"/>
      <c r="F20" s="32" t="n"/>
      <c r="G20" s="25" t="n"/>
    </row>
    <row r="21">
      <c r="A21" s="30" t="n"/>
      <c r="B21" s="29" t="n"/>
      <c r="C21" s="29" t="n"/>
      <c r="D21" s="29" t="n"/>
      <c r="E21" s="50" t="n"/>
      <c r="F21" s="29" t="n"/>
      <c r="G21" s="30" t="n"/>
    </row>
    <row r="22">
      <c r="A22" s="25" t="n"/>
      <c r="B22" s="32" t="n"/>
      <c r="C22" s="32" t="n"/>
      <c r="D22" s="32" t="n"/>
      <c r="E22" s="51" t="n"/>
      <c r="F22" s="32" t="n"/>
      <c r="G22" s="25" t="n"/>
    </row>
    <row r="23">
      <c r="A23" s="30" t="n"/>
      <c r="B23" s="29" t="n"/>
      <c r="C23" s="29" t="n"/>
      <c r="D23" s="29" t="n"/>
      <c r="E23" s="50" t="n"/>
      <c r="F23" s="29" t="n"/>
      <c r="G23" s="30" t="n"/>
    </row>
    <row r="24">
      <c r="A24" s="25" t="n"/>
      <c r="B24" s="32" t="n"/>
      <c r="C24" s="32" t="n"/>
      <c r="D24" s="32" t="n"/>
      <c r="E24" s="51" t="n"/>
      <c r="F24" s="32" t="n"/>
      <c r="G24" s="25" t="n"/>
    </row>
    <row r="25">
      <c r="A25" s="30" t="n"/>
      <c r="B25" s="29" t="n"/>
      <c r="C25" s="29" t="n"/>
      <c r="D25" s="29" t="n"/>
      <c r="E25" s="50" t="n"/>
      <c r="F25" s="29" t="n"/>
      <c r="G25" s="30" t="n"/>
    </row>
    <row r="26">
      <c r="A26" s="25" t="n"/>
      <c r="B26" s="32" t="n"/>
      <c r="C26" s="32" t="n"/>
      <c r="D26" s="32" t="n"/>
      <c r="E26" s="51" t="n"/>
      <c r="F26" s="32" t="n"/>
      <c r="G26" s="25" t="n"/>
    </row>
    <row r="27">
      <c r="A27" s="30" t="n"/>
      <c r="B27" s="29" t="n"/>
      <c r="C27" s="29" t="n"/>
      <c r="D27" s="29" t="n"/>
      <c r="E27" s="50" t="n"/>
      <c r="F27" s="29" t="n"/>
      <c r="G27" s="30" t="n"/>
    </row>
    <row r="28">
      <c r="A28" s="25" t="n"/>
      <c r="B28" s="32" t="n"/>
      <c r="C28" s="32" t="n"/>
      <c r="D28" s="32" t="n"/>
      <c r="E28" s="51" t="n"/>
      <c r="F28" s="32" t="n"/>
      <c r="G28" s="25" t="n"/>
    </row>
    <row r="29">
      <c r="A29" s="30" t="n"/>
      <c r="B29" s="29" t="n"/>
      <c r="C29" s="29" t="n"/>
      <c r="D29" s="29" t="n"/>
      <c r="E29" s="50" t="n"/>
      <c r="F29" s="29" t="n"/>
      <c r="G29" s="30" t="n"/>
    </row>
    <row r="30">
      <c r="A30" s="25" t="n"/>
      <c r="B30" s="32" t="n"/>
      <c r="C30" s="32" t="n"/>
      <c r="D30" s="32" t="n"/>
      <c r="E30" s="51" t="n"/>
      <c r="F30" s="32" t="n"/>
      <c r="G30" s="25" t="n"/>
    </row>
    <row r="31">
      <c r="A31" s="30" t="n"/>
      <c r="B31" s="29" t="n"/>
      <c r="C31" s="29" t="n"/>
      <c r="D31" s="29" t="n"/>
      <c r="E31" s="50" t="n"/>
      <c r="F31" s="29" t="n"/>
      <c r="G31" s="30" t="n"/>
    </row>
    <row r="32">
      <c r="A32" s="25" t="n"/>
      <c r="B32" s="32" t="n"/>
      <c r="C32" s="32" t="n"/>
      <c r="D32" s="32" t="n"/>
      <c r="E32" s="51" t="n"/>
      <c r="F32" s="32" t="n"/>
      <c r="G32" s="25" t="n"/>
    </row>
    <row r="33">
      <c r="A33" s="30" t="n"/>
      <c r="B33" s="29" t="n"/>
      <c r="C33" s="29" t="n"/>
      <c r="D33" s="29" t="n"/>
      <c r="E33" s="50" t="n"/>
      <c r="F33" s="29" t="n"/>
      <c r="G33" s="30" t="n"/>
    </row>
    <row r="34">
      <c r="A34" s="25" t="n"/>
      <c r="B34" s="32" t="n"/>
      <c r="C34" s="32" t="n"/>
      <c r="D34" s="32" t="n"/>
      <c r="E34" s="51" t="n"/>
      <c r="F34" s="32" t="n"/>
      <c r="G34" s="25" t="n"/>
    </row>
  </sheetData>
  <mergeCells count="2">
    <mergeCell ref="A2:G2"/>
    <mergeCell ref="A1:G1"/>
  </mergeCells>
  <dataValidations count="1">
    <dataValidation sqref="F5:F34" showDropDown="0" showInputMessage="0" showErrorMessage="0" allowBlank="1" type="list">
      <formula1>=YesNoList</formula1>
    </dataValidation>
  </dataValidations>
  <pageMargins left="0.75" right="0.75" top="1" bottom="1" header="0.5" footer="0.5"/>
</worksheet>
</file>

<file path=xl/worksheets/sheet16.xml><?xml version="1.0" encoding="utf-8"?>
<worksheet xmlns="http://schemas.openxmlformats.org/spreadsheetml/2006/main">
  <sheetPr>
    <tabColor rgb="00E5D3BA"/>
    <outlinePr summaryBelow="1" summaryRight="1"/>
    <pageSetUpPr/>
  </sheetPr>
  <dimension ref="A1:J26"/>
  <sheetViews>
    <sheetView showGridLines="0" workbookViewId="0">
      <selection activeCell="A1" sqref="A1"/>
    </sheetView>
  </sheetViews>
  <sheetFormatPr baseColWidth="8" defaultRowHeight="15"/>
  <cols>
    <col width="2" customWidth="1" min="1" max="1"/>
    <col width="4" customWidth="1" min="2" max="2"/>
    <col width="26" customWidth="1" min="3" max="3"/>
    <col width="16" customWidth="1" min="4" max="4"/>
    <col width="4" customWidth="1" min="5" max="5"/>
    <col width="4" customWidth="1" min="6" max="6"/>
    <col width="26" customWidth="1" min="7" max="7"/>
    <col width="16" customWidth="1" min="8" max="8"/>
    <col width="2" customWidth="1" min="9" max="9"/>
    <col width="2" customWidth="1" min="10" max="10"/>
  </cols>
  <sheetData>
    <row r="1" ht="46" customHeight="1">
      <c r="A1" s="1" t="inlineStr">
        <is>
          <t xml:space="preserve">  🕒  ROUTINE PLANNER</t>
        </is>
      </c>
    </row>
    <row r="2" ht="22" customHeight="1">
      <c r="A2" s="2" t="inlineStr">
        <is>
          <t xml:space="preserve">  Gentle, predictable rhythms — check off the day's routine as you go.</t>
        </is>
      </c>
    </row>
    <row r="3" ht="6" customHeight="1">
      <c r="A3" s="3" t="n"/>
      <c r="B3" s="3" t="n"/>
      <c r="C3" s="3" t="n"/>
      <c r="D3" s="3" t="n"/>
      <c r="E3" s="3" t="n"/>
      <c r="F3" s="3" t="n"/>
      <c r="G3" s="3" t="n"/>
      <c r="H3" s="3" t="n"/>
      <c r="I3" s="3" t="n"/>
    </row>
    <row r="5" ht="22" customHeight="1">
      <c r="B5" s="4" t="inlineStr">
        <is>
          <t>MORNING ROUTINE</t>
        </is>
      </c>
      <c r="F5" s="4" t="inlineStr">
        <is>
          <t>NAP ROUTINE</t>
        </is>
      </c>
      <c r="J5">
        <f>B6</f>
        <v/>
      </c>
    </row>
    <row r="6">
      <c r="B6" s="52" t="inlineStr">
        <is>
          <t>Yes</t>
        </is>
      </c>
      <c r="C6" s="22" t="inlineStr">
        <is>
          <t>Wake &amp; cuddle</t>
        </is>
      </c>
      <c r="F6" s="52" t="inlineStr">
        <is>
          <t>Yes</t>
        </is>
      </c>
      <c r="G6" s="22" t="inlineStr">
        <is>
          <t>Watch for sleepy cues</t>
        </is>
      </c>
      <c r="J6">
        <f>B7</f>
        <v/>
      </c>
    </row>
    <row r="7">
      <c r="B7" s="52" t="inlineStr">
        <is>
          <t>Yes</t>
        </is>
      </c>
      <c r="C7" s="25" t="inlineStr">
        <is>
          <t>Diaper change</t>
        </is>
      </c>
      <c r="F7" s="52" t="inlineStr">
        <is>
          <t>Yes</t>
        </is>
      </c>
      <c r="G7" s="25" t="inlineStr">
        <is>
          <t>Dim the room</t>
        </is>
      </c>
      <c r="J7">
        <f>B8</f>
        <v/>
      </c>
    </row>
    <row r="8">
      <c r="B8" s="52" t="inlineStr">
        <is>
          <t>Yes</t>
        </is>
      </c>
      <c r="C8" s="22" t="inlineStr">
        <is>
          <t>Morning feed</t>
        </is>
      </c>
      <c r="F8" s="52" t="inlineStr">
        <is>
          <t>Yes</t>
        </is>
      </c>
      <c r="G8" s="22" t="inlineStr">
        <is>
          <t>Swaddle / sleep sack</t>
        </is>
      </c>
      <c r="J8">
        <f>B9</f>
        <v/>
      </c>
    </row>
    <row r="9">
      <c r="B9" s="52" t="inlineStr">
        <is>
          <t>Yes</t>
        </is>
      </c>
      <c r="C9" s="25" t="inlineStr">
        <is>
          <t>Tummy time</t>
        </is>
      </c>
      <c r="F9" s="52" t="inlineStr">
        <is>
          <t>Yes</t>
        </is>
      </c>
      <c r="G9" s="25" t="inlineStr">
        <is>
          <t>White noise on</t>
        </is>
      </c>
      <c r="J9">
        <f>B10</f>
        <v/>
      </c>
    </row>
    <row r="10">
      <c r="B10" s="52" t="inlineStr">
        <is>
          <t>Yes</t>
        </is>
      </c>
      <c r="C10" s="22" t="inlineStr">
        <is>
          <t>Get dressed</t>
        </is>
      </c>
      <c r="F10" s="52" t="inlineStr">
        <is>
          <t>Yes</t>
        </is>
      </c>
      <c r="G10" s="22" t="inlineStr">
        <is>
          <t>Down drowsy but awake</t>
        </is>
      </c>
      <c r="J10">
        <f>B11</f>
        <v/>
      </c>
    </row>
    <row r="11">
      <c r="B11" s="52" t="inlineStr">
        <is>
          <t>Yes</t>
        </is>
      </c>
      <c r="C11" s="25" t="inlineStr">
        <is>
          <t>Play &amp; talk</t>
        </is>
      </c>
      <c r="J11">
        <f>F6</f>
        <v/>
      </c>
    </row>
    <row r="12">
      <c r="J12">
        <f>F7</f>
        <v/>
      </c>
    </row>
    <row r="13" ht="22" customHeight="1">
      <c r="B13" s="4" t="inlineStr">
        <is>
          <t>BEDTIME ROUTINE</t>
        </is>
      </c>
      <c r="F13" s="4" t="inlineStr">
        <is>
          <t>WEEKLY RHYTHM</t>
        </is>
      </c>
      <c r="J13">
        <f>F8</f>
        <v/>
      </c>
    </row>
    <row r="14">
      <c r="B14" s="52" t="inlineStr">
        <is>
          <t>Yes</t>
        </is>
      </c>
      <c r="C14" s="22" t="inlineStr">
        <is>
          <t>Warm bath</t>
        </is>
      </c>
      <c r="F14" s="52" t="inlineStr">
        <is>
          <t>No</t>
        </is>
      </c>
      <c r="G14" s="22" t="inlineStr">
        <is>
          <t>Laundry (Mon/Thu)</t>
        </is>
      </c>
      <c r="J14">
        <f>F9</f>
        <v/>
      </c>
    </row>
    <row r="15">
      <c r="B15" s="52" t="inlineStr">
        <is>
          <t>Yes</t>
        </is>
      </c>
      <c r="C15" s="25" t="inlineStr">
        <is>
          <t>Baby massage</t>
        </is>
      </c>
      <c r="F15" s="52" t="inlineStr">
        <is>
          <t>No</t>
        </is>
      </c>
      <c r="G15" s="25" t="inlineStr">
        <is>
          <t>Restock diaper bag</t>
        </is>
      </c>
      <c r="J15">
        <f>F10</f>
        <v/>
      </c>
    </row>
    <row r="16">
      <c r="B16" s="52" t="inlineStr">
        <is>
          <t>Yes</t>
        </is>
      </c>
      <c r="C16" s="22" t="inlineStr">
        <is>
          <t>Fresh diaper &amp; PJs</t>
        </is>
      </c>
      <c r="F16" s="52" t="inlineStr">
        <is>
          <t>No</t>
        </is>
      </c>
      <c r="G16" s="22" t="inlineStr">
        <is>
          <t>Bath nights (M/W/F)</t>
        </is>
      </c>
      <c r="J16">
        <f>B14</f>
        <v/>
      </c>
    </row>
    <row r="17">
      <c r="B17" s="52" t="inlineStr">
        <is>
          <t>Yes</t>
        </is>
      </c>
      <c r="C17" s="25" t="inlineStr">
        <is>
          <t>Final feed</t>
        </is>
      </c>
      <c r="F17" s="52" t="inlineStr">
        <is>
          <t>No</t>
        </is>
      </c>
      <c r="G17" s="25" t="inlineStr">
        <is>
          <t>Grandma days (Tue/Thu)</t>
        </is>
      </c>
      <c r="J17">
        <f>B15</f>
        <v/>
      </c>
    </row>
    <row r="18">
      <c r="B18" s="52" t="inlineStr">
        <is>
          <t>No</t>
        </is>
      </c>
      <c r="C18" s="22" t="inlineStr">
        <is>
          <t>Book &amp; lullaby</t>
        </is>
      </c>
      <c r="F18" s="52" t="inlineStr">
        <is>
          <t>No</t>
        </is>
      </c>
      <c r="G18" s="22" t="inlineStr">
        <is>
          <t>Family walk (weekend)</t>
        </is>
      </c>
      <c r="J18">
        <f>B16</f>
        <v/>
      </c>
    </row>
    <row r="19">
      <c r="B19" s="52" t="inlineStr">
        <is>
          <t>No</t>
        </is>
      </c>
      <c r="C19" s="25" t="inlineStr">
        <is>
          <t>Into crib</t>
        </is>
      </c>
      <c r="J19">
        <f>B17</f>
        <v/>
      </c>
    </row>
    <row r="20">
      <c r="J20">
        <f>B18</f>
        <v/>
      </c>
    </row>
    <row r="21">
      <c r="J21">
        <f>B19</f>
        <v/>
      </c>
    </row>
    <row r="22">
      <c r="J22">
        <f>F14</f>
        <v/>
      </c>
    </row>
    <row r="23">
      <c r="J23">
        <f>F15</f>
        <v/>
      </c>
    </row>
    <row r="24">
      <c r="J24">
        <f>F16</f>
        <v/>
      </c>
    </row>
    <row r="25">
      <c r="J25">
        <f>F17</f>
        <v/>
      </c>
    </row>
    <row r="26">
      <c r="J26">
        <f>F18</f>
        <v/>
      </c>
    </row>
  </sheetData>
  <mergeCells count="28">
    <mergeCell ref="C8"/>
    <mergeCell ref="C17"/>
    <mergeCell ref="C7"/>
    <mergeCell ref="G16"/>
    <mergeCell ref="C19"/>
    <mergeCell ref="G9"/>
    <mergeCell ref="A2:I2"/>
    <mergeCell ref="C18"/>
    <mergeCell ref="F5:G5"/>
    <mergeCell ref="C15"/>
    <mergeCell ref="C6"/>
    <mergeCell ref="C14"/>
    <mergeCell ref="B13:C13"/>
    <mergeCell ref="G17"/>
    <mergeCell ref="G8"/>
    <mergeCell ref="G7"/>
    <mergeCell ref="C10"/>
    <mergeCell ref="C16"/>
    <mergeCell ref="F13:G13"/>
    <mergeCell ref="G10"/>
    <mergeCell ref="G6"/>
    <mergeCell ref="C9"/>
    <mergeCell ref="G18"/>
    <mergeCell ref="B5:C5"/>
    <mergeCell ref="A1:I1"/>
    <mergeCell ref="C11"/>
    <mergeCell ref="G15"/>
    <mergeCell ref="G14"/>
  </mergeCells>
  <dataValidations count="22">
    <dataValidation sqref="B6" showDropDown="0" showInputMessage="0" showErrorMessage="0" allowBlank="1" type="list">
      <formula1>=YesNoList</formula1>
    </dataValidation>
    <dataValidation sqref="B7" showDropDown="0" showInputMessage="0" showErrorMessage="0" allowBlank="1" type="list">
      <formula1>=YesNoList</formula1>
    </dataValidation>
    <dataValidation sqref="B8" showDropDown="0" showInputMessage="0" showErrorMessage="0" allowBlank="1" type="list">
      <formula1>=YesNoList</formula1>
    </dataValidation>
    <dataValidation sqref="B9" showDropDown="0" showInputMessage="0" showErrorMessage="0" allowBlank="1" type="list">
      <formula1>=YesNoList</formula1>
    </dataValidation>
    <dataValidation sqref="B10" showDropDown="0" showInputMessage="0" showErrorMessage="0" allowBlank="1" type="list">
      <formula1>=YesNoList</formula1>
    </dataValidation>
    <dataValidation sqref="B11" showDropDown="0" showInputMessage="0" showErrorMessage="0" allowBlank="1" type="list">
      <formula1>=YesNoList</formula1>
    </dataValidation>
    <dataValidation sqref="F6" showDropDown="0" showInputMessage="0" showErrorMessage="0" allowBlank="1" type="list">
      <formula1>=YesNoList</formula1>
    </dataValidation>
    <dataValidation sqref="F7" showDropDown="0" showInputMessage="0" showErrorMessage="0" allowBlank="1" type="list">
      <formula1>=YesNoList</formula1>
    </dataValidation>
    <dataValidation sqref="F8" showDropDown="0" showInputMessage="0" showErrorMessage="0" allowBlank="1" type="list">
      <formula1>=YesNoList</formula1>
    </dataValidation>
    <dataValidation sqref="F9" showDropDown="0" showInputMessage="0" showErrorMessage="0" allowBlank="1" type="list">
      <formula1>=YesNoList</formula1>
    </dataValidation>
    <dataValidation sqref="F10" showDropDown="0" showInputMessage="0" showErrorMessage="0" allowBlank="1" type="list">
      <formula1>=YesNoList</formula1>
    </dataValidation>
    <dataValidation sqref="B14" showDropDown="0" showInputMessage="0" showErrorMessage="0" allowBlank="1" type="list">
      <formula1>=YesNoList</formula1>
    </dataValidation>
    <dataValidation sqref="B15" showDropDown="0" showInputMessage="0" showErrorMessage="0" allowBlank="1" type="list">
      <formula1>=YesNoList</formula1>
    </dataValidation>
    <dataValidation sqref="B16" showDropDown="0" showInputMessage="0" showErrorMessage="0" allowBlank="1" type="list">
      <formula1>=YesNoList</formula1>
    </dataValidation>
    <dataValidation sqref="B17" showDropDown="0" showInputMessage="0" showErrorMessage="0" allowBlank="1" type="list">
      <formula1>=YesNoList</formula1>
    </dataValidation>
    <dataValidation sqref="B18" showDropDown="0" showInputMessage="0" showErrorMessage="0" allowBlank="1" type="list">
      <formula1>=YesNoList</formula1>
    </dataValidation>
    <dataValidation sqref="B19" showDropDown="0" showInputMessage="0" showErrorMessage="0" allowBlank="1" type="list">
      <formula1>=YesNoList</formula1>
    </dataValidation>
    <dataValidation sqref="F14" showDropDown="0" showInputMessage="0" showErrorMessage="0" allowBlank="1" type="list">
      <formula1>=YesNoList</formula1>
    </dataValidation>
    <dataValidation sqref="F15" showDropDown="0" showInputMessage="0" showErrorMessage="0" allowBlank="1" type="list">
      <formula1>=YesNoList</formula1>
    </dataValidation>
    <dataValidation sqref="F16" showDropDown="0" showInputMessage="0" showErrorMessage="0" allowBlank="1" type="list">
      <formula1>=YesNoList</formula1>
    </dataValidation>
    <dataValidation sqref="F17" showDropDown="0" showInputMessage="0" showErrorMessage="0" allowBlank="1" type="list">
      <formula1>=YesNoList</formula1>
    </dataValidation>
    <dataValidation sqref="F18" showDropDown="0" showInputMessage="0" showErrorMessage="0" allowBlank="1" type="list">
      <formula1>=YesNoList</formula1>
    </dataValidation>
  </dataValidations>
  <pageMargins left="0.75" right="0.75" top="1" bottom="1" header="0.5" footer="0.5"/>
</worksheet>
</file>

<file path=xl/worksheets/sheet17.xml><?xml version="1.0" encoding="utf-8"?>
<worksheet xmlns="http://schemas.openxmlformats.org/spreadsheetml/2006/main">
  <sheetPr>
    <tabColor rgb="001B4F48"/>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3" customWidth="1" min="3" max="3"/>
    <col width="13" customWidth="1" min="4" max="4"/>
    <col width="20" customWidth="1" min="5" max="5"/>
    <col width="18" customWidth="1" min="6" max="6"/>
  </cols>
  <sheetData>
    <row r="1" ht="46" customHeight="1">
      <c r="A1" s="1" t="inlineStr">
        <is>
          <t xml:space="preserve">  🎨  DEVELOPMENT ACTIVITIES</t>
        </is>
      </c>
    </row>
    <row r="2" ht="22" customHeight="1">
      <c r="A2" s="2" t="inlineStr">
        <is>
          <t xml:space="preserve">  Play with a purpose — track the activities that help baby grow.</t>
        </is>
      </c>
    </row>
    <row r="3" ht="6" customHeight="1">
      <c r="A3" s="3" t="n"/>
      <c r="B3" s="3" t="n"/>
      <c r="C3" s="3" t="n"/>
      <c r="D3" s="3" t="n"/>
      <c r="E3" s="3" t="n"/>
      <c r="F3" s="3" t="n"/>
    </row>
    <row r="4" ht="30" customHeight="1">
      <c r="A4" s="7" t="inlineStr">
        <is>
          <t>Activity</t>
        </is>
      </c>
      <c r="B4" s="7" t="inlineStr">
        <is>
          <t>Type</t>
        </is>
      </c>
      <c r="C4" s="7" t="inlineStr">
        <is>
          <t>Frequency</t>
        </is>
      </c>
      <c r="D4" s="7" t="inlineStr">
        <is>
          <t>Last Done</t>
        </is>
      </c>
      <c r="E4" s="7" t="inlineStr">
        <is>
          <t>Baby's Response</t>
        </is>
      </c>
      <c r="F4" s="7" t="inlineStr">
        <is>
          <t>Notes</t>
        </is>
      </c>
    </row>
    <row r="5">
      <c r="A5" s="30" t="inlineStr">
        <is>
          <t>Tummy time</t>
        </is>
      </c>
      <c r="B5" s="29" t="inlineStr">
        <is>
          <t>Gross Motor</t>
        </is>
      </c>
      <c r="C5" s="29" t="inlineStr">
        <is>
          <t>3x daily</t>
        </is>
      </c>
      <c r="D5" s="28" t="n">
        <v>46204</v>
      </c>
      <c r="E5" s="30" t="inlineStr">
        <is>
          <t>Getting stronger</t>
        </is>
      </c>
      <c r="F5" s="30" t="inlineStr"/>
    </row>
    <row r="6">
      <c r="A6" s="25" t="inlineStr">
        <is>
          <t>Reading board books</t>
        </is>
      </c>
      <c r="B6" s="32" t="inlineStr">
        <is>
          <t>Language</t>
        </is>
      </c>
      <c r="C6" s="32" t="inlineStr">
        <is>
          <t>Daily</t>
        </is>
      </c>
      <c r="D6" s="31" t="n">
        <v>46204</v>
      </c>
      <c r="E6" s="25" t="inlineStr">
        <is>
          <t>Loves the colors</t>
        </is>
      </c>
      <c r="F6" s="25" t="inlineStr"/>
    </row>
    <row r="7">
      <c r="A7" s="30" t="inlineStr">
        <is>
          <t>Music &amp; singing</t>
        </is>
      </c>
      <c r="B7" s="29" t="inlineStr">
        <is>
          <t>Cognitive</t>
        </is>
      </c>
      <c r="C7" s="29" t="inlineStr">
        <is>
          <t>Daily</t>
        </is>
      </c>
      <c r="D7" s="28" t="n">
        <v>46204</v>
      </c>
      <c r="E7" s="30" t="inlineStr">
        <is>
          <t>Kicks &amp; smiles</t>
        </is>
      </c>
      <c r="F7" s="30" t="inlineStr"/>
    </row>
    <row r="8">
      <c r="A8" s="25" t="inlineStr">
        <is>
          <t>Sensory play (textures)</t>
        </is>
      </c>
      <c r="B8" s="32" t="inlineStr">
        <is>
          <t>Sensory</t>
        </is>
      </c>
      <c r="C8" s="32" t="inlineStr">
        <is>
          <t>3x weekly</t>
        </is>
      </c>
      <c r="D8" s="31" t="n">
        <v>46203</v>
      </c>
      <c r="E8" s="25" t="inlineStr">
        <is>
          <t>Curious</t>
        </is>
      </c>
      <c r="F8" s="25" t="inlineStr"/>
    </row>
    <row r="9">
      <c r="A9" s="30" t="inlineStr">
        <is>
          <t>Outdoor walk</t>
        </is>
      </c>
      <c r="B9" s="29" t="inlineStr">
        <is>
          <t>Gross Motor</t>
        </is>
      </c>
      <c r="C9" s="29" t="inlineStr">
        <is>
          <t>Daily</t>
        </is>
      </c>
      <c r="D9" s="28" t="n">
        <v>46204</v>
      </c>
      <c r="E9" s="30" t="inlineStr">
        <is>
          <t>Naps after</t>
        </is>
      </c>
      <c r="F9" s="30" t="inlineStr"/>
    </row>
    <row r="10">
      <c r="A10" s="25" t="inlineStr">
        <is>
          <t>Grasping toys</t>
        </is>
      </c>
      <c r="B10" s="32" t="inlineStr">
        <is>
          <t>Fine Motor</t>
        </is>
      </c>
      <c r="C10" s="32" t="inlineStr">
        <is>
          <t>Daily</t>
        </is>
      </c>
      <c r="D10" s="31" t="n">
        <v>46204</v>
      </c>
      <c r="E10" s="25" t="inlineStr">
        <is>
          <t>Improving grip</t>
        </is>
      </c>
      <c r="F10" s="25" t="inlineStr"/>
    </row>
    <row r="11">
      <c r="A11" s="30" t="inlineStr">
        <is>
          <t>Mirror play</t>
        </is>
      </c>
      <c r="B11" s="29" t="inlineStr">
        <is>
          <t>Social</t>
        </is>
      </c>
      <c r="C11" s="29" t="inlineStr">
        <is>
          <t>Daily</t>
        </is>
      </c>
      <c r="D11" s="28" t="n">
        <v>46203</v>
      </c>
      <c r="E11" s="30" t="inlineStr">
        <is>
          <t>Laughs</t>
        </is>
      </c>
      <c r="F11" s="30" t="inlineStr"/>
    </row>
    <row r="12">
      <c r="A12" s="25" t="n"/>
      <c r="B12" s="32" t="n"/>
      <c r="C12" s="32" t="n"/>
      <c r="D12" s="31" t="n"/>
      <c r="E12" s="25" t="n"/>
      <c r="F12" s="25" t="n"/>
    </row>
    <row r="13">
      <c r="A13" s="30" t="n"/>
      <c r="B13" s="29" t="n"/>
      <c r="C13" s="29" t="n"/>
      <c r="D13" s="28" t="n"/>
      <c r="E13" s="30" t="n"/>
      <c r="F13" s="30" t="n"/>
    </row>
    <row r="14">
      <c r="A14" s="25" t="n"/>
      <c r="B14" s="32" t="n"/>
      <c r="C14" s="32" t="n"/>
      <c r="D14" s="31" t="n"/>
      <c r="E14" s="25" t="n"/>
      <c r="F14" s="25" t="n"/>
    </row>
    <row r="15">
      <c r="A15" s="30" t="n"/>
      <c r="B15" s="29" t="n"/>
      <c r="C15" s="29" t="n"/>
      <c r="D15" s="28" t="n"/>
      <c r="E15" s="30" t="n"/>
      <c r="F15" s="30" t="n"/>
    </row>
    <row r="16">
      <c r="A16" s="25" t="n"/>
      <c r="B16" s="32" t="n"/>
      <c r="C16" s="32" t="n"/>
      <c r="D16" s="31" t="n"/>
      <c r="E16" s="25" t="n"/>
      <c r="F16" s="25" t="n"/>
    </row>
    <row r="17">
      <c r="A17" s="30" t="n"/>
      <c r="B17" s="29" t="n"/>
      <c r="C17" s="29" t="n"/>
      <c r="D17" s="28" t="n"/>
      <c r="E17" s="30" t="n"/>
      <c r="F17" s="30" t="n"/>
    </row>
    <row r="18">
      <c r="A18" s="25" t="n"/>
      <c r="B18" s="32" t="n"/>
      <c r="C18" s="32" t="n"/>
      <c r="D18" s="31" t="n"/>
      <c r="E18" s="25" t="n"/>
      <c r="F18" s="25" t="n"/>
    </row>
    <row r="19">
      <c r="A19" s="30" t="n"/>
      <c r="B19" s="29" t="n"/>
      <c r="C19" s="29" t="n"/>
      <c r="D19" s="28" t="n"/>
      <c r="E19" s="30" t="n"/>
      <c r="F19" s="30" t="n"/>
    </row>
    <row r="20">
      <c r="A20" s="25" t="n"/>
      <c r="B20" s="32" t="n"/>
      <c r="C20" s="32" t="n"/>
      <c r="D20" s="31" t="n"/>
      <c r="E20" s="25" t="n"/>
      <c r="F20" s="25" t="n"/>
    </row>
    <row r="21">
      <c r="A21" s="30" t="n"/>
      <c r="B21" s="29" t="n"/>
      <c r="C21" s="29" t="n"/>
      <c r="D21" s="28" t="n"/>
      <c r="E21" s="30" t="n"/>
      <c r="F21" s="30" t="n"/>
    </row>
    <row r="22">
      <c r="A22" s="25" t="n"/>
      <c r="B22" s="32" t="n"/>
      <c r="C22" s="32" t="n"/>
      <c r="D22" s="31" t="n"/>
      <c r="E22" s="25" t="n"/>
      <c r="F22" s="25" t="n"/>
    </row>
    <row r="23">
      <c r="A23" s="30" t="n"/>
      <c r="B23" s="29" t="n"/>
      <c r="C23" s="29" t="n"/>
      <c r="D23" s="28" t="n"/>
      <c r="E23" s="30" t="n"/>
      <c r="F23" s="30" t="n"/>
    </row>
    <row r="24">
      <c r="A24" s="25" t="n"/>
      <c r="B24" s="32" t="n"/>
      <c r="C24" s="32" t="n"/>
      <c r="D24" s="31" t="n"/>
      <c r="E24" s="25" t="n"/>
      <c r="F24" s="25" t="n"/>
    </row>
    <row r="25">
      <c r="A25" s="30" t="n"/>
      <c r="B25" s="29" t="n"/>
      <c r="C25" s="29" t="n"/>
      <c r="D25" s="28" t="n"/>
      <c r="E25" s="30" t="n"/>
      <c r="F25" s="30" t="n"/>
    </row>
    <row r="26">
      <c r="A26" s="25" t="n"/>
      <c r="B26" s="32" t="n"/>
      <c r="C26" s="32" t="n"/>
      <c r="D26" s="31" t="n"/>
      <c r="E26" s="25" t="n"/>
      <c r="F26" s="25" t="n"/>
    </row>
    <row r="27">
      <c r="A27" s="30" t="n"/>
      <c r="B27" s="29" t="n"/>
      <c r="C27" s="29" t="n"/>
      <c r="D27" s="28" t="n"/>
      <c r="E27" s="30" t="n"/>
      <c r="F27" s="30" t="n"/>
    </row>
    <row r="28">
      <c r="A28" s="25" t="n"/>
      <c r="B28" s="32" t="n"/>
      <c r="C28" s="32" t="n"/>
      <c r="D28" s="31" t="n"/>
      <c r="E28" s="25" t="n"/>
      <c r="F28" s="25" t="n"/>
    </row>
    <row r="29">
      <c r="A29" s="30" t="n"/>
      <c r="B29" s="29" t="n"/>
      <c r="C29" s="29" t="n"/>
      <c r="D29" s="28" t="n"/>
      <c r="E29" s="30" t="n"/>
      <c r="F29" s="30" t="n"/>
    </row>
    <row r="30">
      <c r="A30" s="25" t="n"/>
      <c r="B30" s="32" t="n"/>
      <c r="C30" s="32" t="n"/>
      <c r="D30" s="31" t="n"/>
      <c r="E30" s="25" t="n"/>
      <c r="F30" s="25" t="n"/>
    </row>
    <row r="31">
      <c r="A31" s="30" t="n"/>
      <c r="B31" s="29" t="n"/>
      <c r="C31" s="29" t="n"/>
      <c r="D31" s="28" t="n"/>
      <c r="E31" s="30" t="n"/>
      <c r="F31" s="30" t="n"/>
    </row>
    <row r="32">
      <c r="A32" s="25" t="n"/>
      <c r="B32" s="32" t="n"/>
      <c r="C32" s="32" t="n"/>
      <c r="D32" s="31" t="n"/>
      <c r="E32" s="25" t="n"/>
      <c r="F32" s="25" t="n"/>
    </row>
    <row r="33">
      <c r="A33" s="30" t="n"/>
      <c r="B33" s="29" t="n"/>
      <c r="C33" s="29" t="n"/>
      <c r="D33" s="28" t="n"/>
      <c r="E33" s="30" t="n"/>
      <c r="F33" s="30" t="n"/>
    </row>
    <row r="34">
      <c r="A34" s="25" t="n"/>
      <c r="B34" s="32" t="n"/>
      <c r="C34" s="32" t="n"/>
      <c r="D34" s="31" t="n"/>
      <c r="E34" s="25" t="n"/>
      <c r="F34" s="25" t="n"/>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937356"/>
    <outlinePr summaryBelow="1" summaryRight="1"/>
    <pageSetUpPr/>
  </sheetPr>
  <dimension ref="A1:I39"/>
  <sheetViews>
    <sheetView showGridLines="0" workbookViewId="0">
      <selection activeCell="A1" sqref="A1"/>
    </sheetView>
  </sheetViews>
  <sheetFormatPr baseColWidth="8" defaultRowHeight="15"/>
  <cols>
    <col width="2" customWidth="1" min="1" max="1"/>
    <col width="20" customWidth="1" min="2" max="2"/>
    <col width="20" customWidth="1" min="3" max="3"/>
    <col width="14" customWidth="1" min="4" max="4"/>
    <col width="3" customWidth="1" min="5" max="5"/>
    <col width="20" customWidth="1" min="6" max="6"/>
    <col width="20" customWidth="1" min="7" max="7"/>
    <col width="14" customWidth="1" min="8" max="8"/>
    <col width="2" customWidth="1" min="9" max="9"/>
  </cols>
  <sheetData>
    <row r="1" ht="46" customHeight="1">
      <c r="A1" s="1" t="inlineStr">
        <is>
          <t xml:space="preserve">  📸  MEMORY BOOK</t>
        </is>
      </c>
    </row>
    <row r="2" ht="22" customHeight="1">
      <c r="A2" s="2" t="inlineStr">
        <is>
          <t xml:space="preserve">  Keep every precious first — paste photos with the date &amp; the story.</t>
        </is>
      </c>
    </row>
    <row r="3" ht="6" customHeight="1">
      <c r="A3" s="3" t="n"/>
      <c r="B3" s="3" t="n"/>
      <c r="C3" s="3" t="n"/>
      <c r="D3" s="3" t="n"/>
      <c r="E3" s="3" t="n"/>
      <c r="F3" s="3" t="n"/>
      <c r="G3" s="3" t="n"/>
      <c r="H3" s="3" t="n"/>
      <c r="I3" s="3" t="n"/>
    </row>
    <row r="5" ht="22" customHeight="1">
      <c r="B5" s="7" t="inlineStr">
        <is>
          <t xml:space="preserve">  Birth Day</t>
        </is>
      </c>
      <c r="F5" s="7" t="inlineStr">
        <is>
          <t xml:space="preserve">  First Smile</t>
        </is>
      </c>
    </row>
    <row r="6" ht="24" customHeight="1">
      <c r="B6" s="53" t="inlineStr">
        <is>
          <t>📷
Paste photo here
(Insert ▸ Picture)</t>
        </is>
      </c>
      <c r="F6" s="53" t="inlineStr">
        <is>
          <t>📷
Paste photo here
(Insert ▸ Picture)</t>
        </is>
      </c>
    </row>
    <row r="7" ht="24" customHeight="1"/>
    <row r="8" ht="24" customHeight="1"/>
    <row r="9" ht="24" customHeight="1"/>
    <row r="10" ht="24" customHeight="1"/>
    <row r="11">
      <c r="B11" s="18" t="inlineStr">
        <is>
          <t>Date</t>
        </is>
      </c>
      <c r="C11" s="19" t="inlineStr"/>
      <c r="F11" s="18" t="inlineStr">
        <is>
          <t>Date</t>
        </is>
      </c>
      <c r="G11" s="19" t="inlineStr"/>
    </row>
    <row r="12">
      <c r="B12" s="18" t="inlineStr">
        <is>
          <t>Caption</t>
        </is>
      </c>
      <c r="C12" s="19" t="inlineStr"/>
      <c r="F12" s="18" t="inlineStr">
        <is>
          <t>Caption</t>
        </is>
      </c>
      <c r="G12" s="19" t="inlineStr"/>
    </row>
    <row r="14" ht="22" customHeight="1">
      <c r="B14" s="7" t="inlineStr">
        <is>
          <t xml:space="preserve">  First Bath</t>
        </is>
      </c>
      <c r="F14" s="7" t="inlineStr">
        <is>
          <t xml:space="preserve">  First Tooth</t>
        </is>
      </c>
    </row>
    <row r="15" ht="24" customHeight="1">
      <c r="B15" s="53" t="inlineStr">
        <is>
          <t>📷
Paste photo here
(Insert ▸ Picture)</t>
        </is>
      </c>
      <c r="F15" s="53" t="inlineStr">
        <is>
          <t>📷
Paste photo here
(Insert ▸ Picture)</t>
        </is>
      </c>
    </row>
    <row r="16" ht="24" customHeight="1"/>
    <row r="17" ht="24" customHeight="1"/>
    <row r="18" ht="24" customHeight="1"/>
    <row r="19" ht="24" customHeight="1"/>
    <row r="20">
      <c r="B20" s="18" t="inlineStr">
        <is>
          <t>Date</t>
        </is>
      </c>
      <c r="C20" s="19" t="inlineStr"/>
      <c r="F20" s="18" t="inlineStr">
        <is>
          <t>Date</t>
        </is>
      </c>
      <c r="G20" s="19" t="inlineStr"/>
    </row>
    <row r="21">
      <c r="B21" s="18" t="inlineStr">
        <is>
          <t>Caption</t>
        </is>
      </c>
      <c r="C21" s="19" t="inlineStr"/>
      <c r="F21" s="18" t="inlineStr">
        <is>
          <t>Caption</t>
        </is>
      </c>
      <c r="G21" s="19" t="inlineStr"/>
    </row>
    <row r="23" ht="22" customHeight="1">
      <c r="B23" s="7" t="inlineStr">
        <is>
          <t xml:space="preserve">  First Steps</t>
        </is>
      </c>
      <c r="F23" s="7" t="inlineStr">
        <is>
          <t xml:space="preserve">  First Birthday</t>
        </is>
      </c>
    </row>
    <row r="24" ht="24" customHeight="1">
      <c r="B24" s="53" t="inlineStr">
        <is>
          <t>📷
Paste photo here
(Insert ▸ Picture)</t>
        </is>
      </c>
      <c r="F24" s="53" t="inlineStr">
        <is>
          <t>📷
Paste photo here
(Insert ▸ Picture)</t>
        </is>
      </c>
    </row>
    <row r="25" ht="24" customHeight="1"/>
    <row r="26" ht="24" customHeight="1"/>
    <row r="27" ht="24" customHeight="1"/>
    <row r="28" ht="24" customHeight="1"/>
    <row r="29">
      <c r="B29" s="18" t="inlineStr">
        <is>
          <t>Date</t>
        </is>
      </c>
      <c r="C29" s="19" t="inlineStr"/>
      <c r="F29" s="18" t="inlineStr">
        <is>
          <t>Date</t>
        </is>
      </c>
      <c r="G29" s="19" t="inlineStr"/>
    </row>
    <row r="30">
      <c r="B30" s="18" t="inlineStr">
        <is>
          <t>Caption</t>
        </is>
      </c>
      <c r="C30" s="19" t="inlineStr"/>
      <c r="F30" s="18" t="inlineStr">
        <is>
          <t>Caption</t>
        </is>
      </c>
      <c r="G30" s="19" t="inlineStr"/>
    </row>
    <row r="32" ht="22" customHeight="1">
      <c r="B32" s="7" t="inlineStr">
        <is>
          <t xml:space="preserve">  Family Photo</t>
        </is>
      </c>
      <c r="F32" s="7" t="inlineStr">
        <is>
          <t xml:space="preserve">  Holiday Memory</t>
        </is>
      </c>
    </row>
    <row r="33" ht="24" customHeight="1">
      <c r="B33" s="53" t="inlineStr">
        <is>
          <t>📷
Paste photo here
(Insert ▸ Picture)</t>
        </is>
      </c>
      <c r="F33" s="53" t="inlineStr">
        <is>
          <t>📷
Paste photo here
(Insert ▸ Picture)</t>
        </is>
      </c>
    </row>
    <row r="34" ht="24" customHeight="1"/>
    <row r="35" ht="24" customHeight="1"/>
    <row r="36" ht="24" customHeight="1"/>
    <row r="37" ht="24" customHeight="1"/>
    <row r="38">
      <c r="B38" s="18" t="inlineStr">
        <is>
          <t>Date</t>
        </is>
      </c>
      <c r="C38" s="19" t="inlineStr"/>
      <c r="F38" s="18" t="inlineStr">
        <is>
          <t>Date</t>
        </is>
      </c>
      <c r="G38" s="19" t="inlineStr"/>
    </row>
    <row r="39">
      <c r="B39" s="18" t="inlineStr">
        <is>
          <t>Caption</t>
        </is>
      </c>
      <c r="C39" s="19" t="inlineStr"/>
      <c r="F39" s="18" t="inlineStr">
        <is>
          <t>Caption</t>
        </is>
      </c>
      <c r="G39" s="19" t="inlineStr"/>
    </row>
  </sheetData>
  <mergeCells count="34">
    <mergeCell ref="F6:H10"/>
    <mergeCell ref="G21:H21"/>
    <mergeCell ref="G12:H12"/>
    <mergeCell ref="B14:D14"/>
    <mergeCell ref="F5:H5"/>
    <mergeCell ref="F15:H19"/>
    <mergeCell ref="C30:D30"/>
    <mergeCell ref="B23:D23"/>
    <mergeCell ref="G11:H11"/>
    <mergeCell ref="F32:H32"/>
    <mergeCell ref="F24:H28"/>
    <mergeCell ref="G39:H39"/>
    <mergeCell ref="F23:H23"/>
    <mergeCell ref="C20:D20"/>
    <mergeCell ref="A2:I2"/>
    <mergeCell ref="C29:D29"/>
    <mergeCell ref="F33:H37"/>
    <mergeCell ref="G38:H38"/>
    <mergeCell ref="C12:D12"/>
    <mergeCell ref="B15:D19"/>
    <mergeCell ref="B5:D5"/>
    <mergeCell ref="B6:D10"/>
    <mergeCell ref="C21:D21"/>
    <mergeCell ref="F14:H14"/>
    <mergeCell ref="G30:H30"/>
    <mergeCell ref="C11:D11"/>
    <mergeCell ref="B32:D32"/>
    <mergeCell ref="B24:D28"/>
    <mergeCell ref="B33:D37"/>
    <mergeCell ref="C39:D39"/>
    <mergeCell ref="G29:H29"/>
    <mergeCell ref="G20:H20"/>
    <mergeCell ref="C38:D38"/>
    <mergeCell ref="A1:I1"/>
  </mergeCells>
  <pageMargins left="0.75" right="0.75" top="1" bottom="1" header="0.5" footer="0.5"/>
</worksheet>
</file>

<file path=xl/worksheets/sheet19.xml><?xml version="1.0" encoding="utf-8"?>
<worksheet xmlns="http://schemas.openxmlformats.org/spreadsheetml/2006/main">
  <sheetPr>
    <tabColor rgb="0075E6C1"/>
    <outlinePr summaryBelow="1" summaryRight="1"/>
    <pageSetUpPr/>
  </sheetPr>
  <dimension ref="A1:J13"/>
  <sheetViews>
    <sheetView showGridLines="0" workbookViewId="0">
      <selection activeCell="A1" sqref="A1"/>
    </sheetView>
  </sheetViews>
  <sheetFormatPr baseColWidth="8" defaultRowHeight="15"/>
  <cols>
    <col width="2" customWidth="1" min="1" max="1"/>
    <col width="4" customWidth="1" min="2" max="2"/>
    <col width="28" customWidth="1" min="3" max="3"/>
    <col width="4" customWidth="1" min="4" max="4"/>
    <col width="4" customWidth="1" min="5" max="5"/>
    <col width="28" customWidth="1" min="6" max="6"/>
    <col width="4" customWidth="1" min="7" max="7"/>
    <col width="4" customWidth="1" min="8" max="8"/>
    <col width="28" customWidth="1" min="9" max="9"/>
    <col width="2" customWidth="1" min="10" max="10"/>
  </cols>
  <sheetData>
    <row r="1" ht="46" customHeight="1">
      <c r="A1" s="1" t="inlineStr">
        <is>
          <t xml:space="preserve">  🧳  TRAVEL WITH BABY</t>
        </is>
      </c>
    </row>
    <row r="2" ht="22" customHeight="1">
      <c r="A2" s="2" t="inlineStr">
        <is>
          <t xml:space="preserve">  Ready-made packing lists so a trip with baby stays (mostly) calm.</t>
        </is>
      </c>
    </row>
    <row r="3" ht="6" customHeight="1">
      <c r="A3" s="3" t="n"/>
      <c r="B3" s="3" t="n"/>
      <c r="C3" s="3" t="n"/>
      <c r="D3" s="3" t="n"/>
      <c r="E3" s="3" t="n"/>
      <c r="F3" s="3" t="n"/>
      <c r="G3" s="3" t="n"/>
      <c r="H3" s="3" t="n"/>
      <c r="I3" s="3" t="n"/>
      <c r="J3" s="3" t="n"/>
    </row>
    <row r="5" ht="22" customHeight="1">
      <c r="B5" s="4" t="inlineStr">
        <is>
          <t>DIAPER BAG</t>
        </is>
      </c>
      <c r="E5" s="4" t="inlineStr">
        <is>
          <t>FEEDING KIT</t>
        </is>
      </c>
      <c r="H5" s="4" t="inlineStr">
        <is>
          <t>COMFORT &amp; HEALTH</t>
        </is>
      </c>
    </row>
    <row r="6">
      <c r="B6" s="21" t="inlineStr">
        <is>
          <t>☐</t>
        </is>
      </c>
      <c r="C6" s="22" t="inlineStr">
        <is>
          <t>Diapers (1 / hr + extra)</t>
        </is>
      </c>
      <c r="E6" s="21" t="inlineStr">
        <is>
          <t>☐</t>
        </is>
      </c>
      <c r="F6" s="22" t="inlineStr">
        <is>
          <t>Bottles + formula/BM</t>
        </is>
      </c>
      <c r="H6" s="21" t="inlineStr">
        <is>
          <t>☐</t>
        </is>
      </c>
      <c r="I6" s="22" t="inlineStr">
        <is>
          <t>Favorite blanket</t>
        </is>
      </c>
    </row>
    <row r="7">
      <c r="B7" s="24" t="inlineStr">
        <is>
          <t>☐</t>
        </is>
      </c>
      <c r="C7" s="25" t="inlineStr">
        <is>
          <t>Wipes</t>
        </is>
      </c>
      <c r="E7" s="24" t="inlineStr">
        <is>
          <t>☐</t>
        </is>
      </c>
      <c r="F7" s="25" t="inlineStr">
        <is>
          <t>Cooler + ice pack</t>
        </is>
      </c>
      <c r="H7" s="24" t="inlineStr">
        <is>
          <t>☐</t>
        </is>
      </c>
      <c r="I7" s="25" t="inlineStr">
        <is>
          <t>2 favorite toys</t>
        </is>
      </c>
    </row>
    <row r="8">
      <c r="B8" s="21" t="inlineStr">
        <is>
          <t>☐</t>
        </is>
      </c>
      <c r="C8" s="22" t="inlineStr">
        <is>
          <t>Changing pad</t>
        </is>
      </c>
      <c r="E8" s="21" t="inlineStr">
        <is>
          <t>☐</t>
        </is>
      </c>
      <c r="F8" s="22" t="inlineStr">
        <is>
          <t>Bibs</t>
        </is>
      </c>
      <c r="H8" s="21" t="inlineStr">
        <is>
          <t>☐</t>
        </is>
      </c>
      <c r="I8" s="22" t="inlineStr">
        <is>
          <t>Sleep sack</t>
        </is>
      </c>
    </row>
    <row r="9">
      <c r="B9" s="24" t="inlineStr">
        <is>
          <t>☐</t>
        </is>
      </c>
      <c r="C9" s="25" t="inlineStr">
        <is>
          <t>Diaper cream</t>
        </is>
      </c>
      <c r="E9" s="24" t="inlineStr">
        <is>
          <t>☐</t>
        </is>
      </c>
      <c r="F9" s="25" t="inlineStr">
        <is>
          <t>Nursing cover</t>
        </is>
      </c>
      <c r="H9" s="24" t="inlineStr">
        <is>
          <t>☐</t>
        </is>
      </c>
      <c r="I9" s="25" t="inlineStr">
        <is>
          <t>White-noise app</t>
        </is>
      </c>
    </row>
    <row r="10">
      <c r="B10" s="21" t="inlineStr">
        <is>
          <t>☐</t>
        </is>
      </c>
      <c r="C10" s="22" t="inlineStr">
        <is>
          <t>Bags for dirties</t>
        </is>
      </c>
      <c r="E10" s="21" t="inlineStr">
        <is>
          <t>☐</t>
        </is>
      </c>
      <c r="F10" s="22" t="inlineStr">
        <is>
          <t>Snacks (if solids)</t>
        </is>
      </c>
      <c r="H10" s="21" t="inlineStr">
        <is>
          <t>☐</t>
        </is>
      </c>
      <c r="I10" s="22" t="inlineStr">
        <is>
          <t>Infant meds (per doctor)</t>
        </is>
      </c>
    </row>
    <row r="11">
      <c r="B11" s="24" t="inlineStr">
        <is>
          <t>☐</t>
        </is>
      </c>
      <c r="C11" s="25" t="inlineStr">
        <is>
          <t>Change of clothes x2</t>
        </is>
      </c>
      <c r="E11" s="24" t="inlineStr">
        <is>
          <t>☐</t>
        </is>
      </c>
      <c r="F11" s="25" t="inlineStr">
        <is>
          <t>Extra water</t>
        </is>
      </c>
      <c r="H11" s="24" t="inlineStr">
        <is>
          <t>☐</t>
        </is>
      </c>
      <c r="I11" s="25" t="inlineStr">
        <is>
          <t>Thermometer</t>
        </is>
      </c>
    </row>
    <row r="12">
      <c r="B12" s="21" t="inlineStr">
        <is>
          <t>☐</t>
        </is>
      </c>
      <c r="C12" s="22" t="inlineStr">
        <is>
          <t>Burp cloths</t>
        </is>
      </c>
      <c r="E12" s="21" t="inlineStr">
        <is>
          <t>☐</t>
        </is>
      </c>
      <c r="F12" s="22" t="inlineStr">
        <is>
          <t>Cleaning brush</t>
        </is>
      </c>
      <c r="H12" s="21" t="inlineStr">
        <is>
          <t>☐</t>
        </is>
      </c>
      <c r="I12" s="22" t="inlineStr">
        <is>
          <t>First-aid basics</t>
        </is>
      </c>
    </row>
    <row r="13">
      <c r="B13" s="24" t="inlineStr">
        <is>
          <t>☐</t>
        </is>
      </c>
      <c r="C13" s="25" t="inlineStr">
        <is>
          <t>Pacifiers</t>
        </is>
      </c>
      <c r="E13" s="24" t="inlineStr">
        <is>
          <t>☐</t>
        </is>
      </c>
      <c r="F13" s="25" t="inlineStr">
        <is>
          <t>Hand sanitizer</t>
        </is>
      </c>
      <c r="H13" s="24" t="inlineStr">
        <is>
          <t>☐</t>
        </is>
      </c>
      <c r="I13" s="25" t="inlineStr">
        <is>
          <t>Sunhat &amp; sunscreen (6m+)</t>
        </is>
      </c>
    </row>
  </sheetData>
  <mergeCells count="5">
    <mergeCell ref="A1:J1"/>
    <mergeCell ref="B5:C5"/>
    <mergeCell ref="E5:F5"/>
    <mergeCell ref="H5:I5"/>
    <mergeCell ref="A2:J2"/>
  </mergeCells>
  <pageMargins left="0.75" right="0.75" top="1" bottom="1" header="0.5" footer="0.5"/>
</worksheet>
</file>

<file path=xl/worksheets/sheet20.xml><?xml version="1.0" encoding="utf-8"?>
<worksheet xmlns="http://schemas.openxmlformats.org/spreadsheetml/2006/main">
  <sheetPr>
    <tabColor rgb="00E5D3BA"/>
    <outlinePr summaryBelow="1" summaryRight="1"/>
    <pageSetUpPr/>
  </sheetPr>
  <dimension ref="A1:F34"/>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14" customWidth="1" min="3" max="3"/>
    <col width="12" customWidth="1" min="4" max="4"/>
    <col width="14" customWidth="1" min="5" max="5"/>
    <col width="22" customWidth="1" min="6" max="6"/>
  </cols>
  <sheetData>
    <row r="1" ht="46" customHeight="1">
      <c r="A1" s="1" t="inlineStr">
        <is>
          <t xml:space="preserve">  🎯  FAMILY GOALS</t>
        </is>
      </c>
    </row>
    <row r="2" ht="22" customHeight="1">
      <c r="A2" s="2" t="inlineStr">
        <is>
          <t xml:space="preserve">  Where your family is headed this year — progress bars keep it in view.</t>
        </is>
      </c>
    </row>
    <row r="3" ht="6" customHeight="1">
      <c r="A3" s="3" t="n"/>
      <c r="B3" s="3" t="n"/>
      <c r="C3" s="3" t="n"/>
      <c r="D3" s="3" t="n"/>
      <c r="E3" s="3" t="n"/>
      <c r="F3" s="3" t="n"/>
    </row>
    <row r="4" ht="30" customHeight="1">
      <c r="A4" s="7" t="inlineStr">
        <is>
          <t>Goal</t>
        </is>
      </c>
      <c r="B4" s="7" t="inlineStr">
        <is>
          <t>Category</t>
        </is>
      </c>
      <c r="C4" s="7" t="inlineStr">
        <is>
          <t>Target Date</t>
        </is>
      </c>
      <c r="D4" s="7" t="inlineStr">
        <is>
          <t>Progress</t>
        </is>
      </c>
      <c r="E4" s="7" t="inlineStr">
        <is>
          <t>Status</t>
        </is>
      </c>
      <c r="F4" s="7" t="inlineStr">
        <is>
          <t>Notes</t>
        </is>
      </c>
    </row>
    <row r="5">
      <c r="A5" s="30" t="inlineStr">
        <is>
          <t>Build 3-month emergency fund</t>
        </is>
      </c>
      <c r="B5" s="29" t="inlineStr">
        <is>
          <t>Savings</t>
        </is>
      </c>
      <c r="C5" s="28" t="n">
        <v>46354</v>
      </c>
      <c r="D5" s="54" t="n">
        <v>0.5</v>
      </c>
      <c r="E5" s="29" t="inlineStr">
        <is>
          <t>On Track</t>
        </is>
      </c>
      <c r="F5" s="30" t="inlineStr"/>
    </row>
    <row r="6">
      <c r="A6" s="25" t="inlineStr">
        <is>
          <t>Start 529 college fund</t>
        </is>
      </c>
      <c r="B6" s="32" t="inlineStr">
        <is>
          <t>Savings</t>
        </is>
      </c>
      <c r="C6" s="31" t="n">
        <v>46264</v>
      </c>
      <c r="D6" s="47" t="n">
        <v>0.3</v>
      </c>
      <c r="E6" s="32" t="inlineStr">
        <is>
          <t>On Track</t>
        </is>
      </c>
      <c r="F6" s="25" t="inlineStr"/>
    </row>
    <row r="7">
      <c r="A7" s="30" t="inlineStr">
        <is>
          <t>Consistent bedtime routine</t>
        </is>
      </c>
      <c r="B7" s="29" t="inlineStr">
        <is>
          <t>Routine</t>
        </is>
      </c>
      <c r="C7" s="28" t="n">
        <v>46234</v>
      </c>
      <c r="D7" s="54" t="n">
        <v>0.7</v>
      </c>
      <c r="E7" s="29" t="inlineStr">
        <is>
          <t>On Track</t>
        </is>
      </c>
      <c r="F7" s="30" t="inlineStr"/>
    </row>
    <row r="8">
      <c r="A8" s="25" t="inlineStr">
        <is>
          <t>Read 100 board books</t>
        </is>
      </c>
      <c r="B8" s="32" t="inlineStr">
        <is>
          <t>Reading</t>
        </is>
      </c>
      <c r="C8" s="31" t="n">
        <v>46324</v>
      </c>
      <c r="D8" s="47" t="n">
        <v>0.4</v>
      </c>
      <c r="E8" s="32" t="inlineStr">
        <is>
          <t>On Track</t>
        </is>
      </c>
      <c r="F8" s="25" t="inlineStr">
        <is>
          <t>Currently 41</t>
        </is>
      </c>
    </row>
    <row r="9">
      <c r="A9" s="30" t="inlineStr">
        <is>
          <t>Family walk 5x / week</t>
        </is>
      </c>
      <c r="B9" s="29" t="inlineStr">
        <is>
          <t>Health</t>
        </is>
      </c>
      <c r="C9" s="28" t="n">
        <v>46234</v>
      </c>
      <c r="D9" s="54" t="n">
        <v>0.6</v>
      </c>
      <c r="E9" s="29" t="inlineStr">
        <is>
          <t>On Track</t>
        </is>
      </c>
      <c r="F9" s="30" t="inlineStr"/>
    </row>
    <row r="10">
      <c r="A10" s="25" t="inlineStr">
        <is>
          <t>Baby-proof the house</t>
        </is>
      </c>
      <c r="B10" s="32" t="inlineStr">
        <is>
          <t>Health</t>
        </is>
      </c>
      <c r="C10" s="31" t="n">
        <v>46249</v>
      </c>
      <c r="D10" s="47" t="n">
        <v>0.35</v>
      </c>
      <c r="E10" s="32" t="inlineStr">
        <is>
          <t>On Track</t>
        </is>
      </c>
      <c r="F10" s="25" t="inlineStr">
        <is>
          <t>Before crawling</t>
        </is>
      </c>
    </row>
    <row r="11">
      <c r="A11" s="30" t="inlineStr">
        <is>
          <t>Weekly date night</t>
        </is>
      </c>
      <c r="B11" s="29" t="inlineStr">
        <is>
          <t>Family</t>
        </is>
      </c>
      <c r="C11" s="28" t="n">
        <v>46234</v>
      </c>
      <c r="D11" s="54" t="n">
        <v>0.5</v>
      </c>
      <c r="E11" s="29" t="inlineStr">
        <is>
          <t>On Track</t>
        </is>
      </c>
      <c r="F11" s="30" t="inlineStr"/>
    </row>
    <row r="12">
      <c r="A12" s="25" t="n"/>
      <c r="B12" s="32" t="n"/>
      <c r="C12" s="31" t="n"/>
      <c r="D12" s="47" t="n"/>
      <c r="E12" s="32" t="n"/>
      <c r="F12" s="25" t="n"/>
    </row>
    <row r="13">
      <c r="A13" s="30" t="n"/>
      <c r="B13" s="29" t="n"/>
      <c r="C13" s="28" t="n"/>
      <c r="D13" s="54" t="n"/>
      <c r="E13" s="29" t="n"/>
      <c r="F13" s="30" t="n"/>
    </row>
    <row r="14">
      <c r="A14" s="25" t="n"/>
      <c r="B14" s="32" t="n"/>
      <c r="C14" s="31" t="n"/>
      <c r="D14" s="47" t="n"/>
      <c r="E14" s="32" t="n"/>
      <c r="F14" s="25" t="n"/>
    </row>
    <row r="15">
      <c r="A15" s="30" t="n"/>
      <c r="B15" s="29" t="n"/>
      <c r="C15" s="28" t="n"/>
      <c r="D15" s="54" t="n"/>
      <c r="E15" s="29" t="n"/>
      <c r="F15" s="30" t="n"/>
    </row>
    <row r="16">
      <c r="A16" s="25" t="n"/>
      <c r="B16" s="32" t="n"/>
      <c r="C16" s="31" t="n"/>
      <c r="D16" s="47" t="n"/>
      <c r="E16" s="32" t="n"/>
      <c r="F16" s="25" t="n"/>
    </row>
    <row r="17">
      <c r="A17" s="30" t="n"/>
      <c r="B17" s="29" t="n"/>
      <c r="C17" s="28" t="n"/>
      <c r="D17" s="54" t="n"/>
      <c r="E17" s="29" t="n"/>
      <c r="F17" s="30" t="n"/>
    </row>
    <row r="18">
      <c r="A18" s="25" t="n"/>
      <c r="B18" s="32" t="n"/>
      <c r="C18" s="31" t="n"/>
      <c r="D18" s="47" t="n"/>
      <c r="E18" s="32" t="n"/>
      <c r="F18" s="25" t="n"/>
    </row>
    <row r="19">
      <c r="A19" s="30" t="n"/>
      <c r="B19" s="29" t="n"/>
      <c r="C19" s="28" t="n"/>
      <c r="D19" s="54" t="n"/>
      <c r="E19" s="29" t="n"/>
      <c r="F19" s="30" t="n"/>
    </row>
    <row r="20">
      <c r="A20" s="25" t="n"/>
      <c r="B20" s="32" t="n"/>
      <c r="C20" s="31" t="n"/>
      <c r="D20" s="47" t="n"/>
      <c r="E20" s="32" t="n"/>
      <c r="F20" s="25" t="n"/>
    </row>
    <row r="21">
      <c r="A21" s="30" t="n"/>
      <c r="B21" s="29" t="n"/>
      <c r="C21" s="28" t="n"/>
      <c r="D21" s="54" t="n"/>
      <c r="E21" s="29" t="n"/>
      <c r="F21" s="30" t="n"/>
    </row>
    <row r="22">
      <c r="A22" s="25" t="n"/>
      <c r="B22" s="32" t="n"/>
      <c r="C22" s="31" t="n"/>
      <c r="D22" s="47" t="n"/>
      <c r="E22" s="32" t="n"/>
      <c r="F22" s="25" t="n"/>
    </row>
    <row r="23">
      <c r="A23" s="30" t="n"/>
      <c r="B23" s="29" t="n"/>
      <c r="C23" s="28" t="n"/>
      <c r="D23" s="54" t="n"/>
      <c r="E23" s="29" t="n"/>
      <c r="F23" s="30" t="n"/>
    </row>
    <row r="24">
      <c r="A24" s="25" t="n"/>
      <c r="B24" s="32" t="n"/>
      <c r="C24" s="31" t="n"/>
      <c r="D24" s="47" t="n"/>
      <c r="E24" s="32" t="n"/>
      <c r="F24" s="25" t="n"/>
    </row>
    <row r="25">
      <c r="A25" s="30" t="n"/>
      <c r="B25" s="29" t="n"/>
      <c r="C25" s="28" t="n"/>
      <c r="D25" s="54" t="n"/>
      <c r="E25" s="29" t="n"/>
      <c r="F25" s="30" t="n"/>
    </row>
    <row r="26">
      <c r="A26" s="25" t="n"/>
      <c r="B26" s="32" t="n"/>
      <c r="C26" s="31" t="n"/>
      <c r="D26" s="47" t="n"/>
      <c r="E26" s="32" t="n"/>
      <c r="F26" s="25" t="n"/>
    </row>
    <row r="27">
      <c r="A27" s="30" t="n"/>
      <c r="B27" s="29" t="n"/>
      <c r="C27" s="28" t="n"/>
      <c r="D27" s="54" t="n"/>
      <c r="E27" s="29" t="n"/>
      <c r="F27" s="30" t="n"/>
    </row>
    <row r="28">
      <c r="A28" s="25" t="n"/>
      <c r="B28" s="32" t="n"/>
      <c r="C28" s="31" t="n"/>
      <c r="D28" s="47" t="n"/>
      <c r="E28" s="32" t="n"/>
      <c r="F28" s="25" t="n"/>
    </row>
    <row r="29">
      <c r="A29" s="30" t="n"/>
      <c r="B29" s="29" t="n"/>
      <c r="C29" s="28" t="n"/>
      <c r="D29" s="54" t="n"/>
      <c r="E29" s="29" t="n"/>
      <c r="F29" s="30" t="n"/>
    </row>
    <row r="30">
      <c r="A30" s="25" t="n"/>
      <c r="B30" s="32" t="n"/>
      <c r="C30" s="31" t="n"/>
      <c r="D30" s="47" t="n"/>
      <c r="E30" s="32" t="n"/>
      <c r="F30" s="25" t="n"/>
    </row>
    <row r="31">
      <c r="A31" s="30" t="n"/>
      <c r="B31" s="29" t="n"/>
      <c r="C31" s="28" t="n"/>
      <c r="D31" s="54" t="n"/>
      <c r="E31" s="29" t="n"/>
      <c r="F31" s="30" t="n"/>
    </row>
    <row r="32">
      <c r="A32" s="25" t="n"/>
      <c r="B32" s="32" t="n"/>
      <c r="C32" s="31" t="n"/>
      <c r="D32" s="47" t="n"/>
      <c r="E32" s="32" t="n"/>
      <c r="F32" s="25" t="n"/>
    </row>
    <row r="33">
      <c r="A33" s="30" t="n"/>
      <c r="B33" s="29" t="n"/>
      <c r="C33" s="28" t="n"/>
      <c r="D33" s="54" t="n"/>
      <c r="E33" s="29" t="n"/>
      <c r="F33" s="30" t="n"/>
    </row>
    <row r="34">
      <c r="A34" s="25" t="n"/>
      <c r="B34" s="32" t="n"/>
      <c r="C34" s="31" t="n"/>
      <c r="D34" s="47" t="n"/>
      <c r="E34" s="32" t="n"/>
      <c r="F34" s="25" t="n"/>
    </row>
  </sheetData>
  <mergeCells count="2">
    <mergeCell ref="A2:F2"/>
    <mergeCell ref="A1:F1"/>
  </mergeCells>
  <conditionalFormatting sqref="D5:D34">
    <cfRule type="dataBar" priority="1">
      <dataBar showValue="1">
        <cfvo type="num" val="0"/>
        <cfvo type="num" val="1"/>
        <color rgb="0075E6C1"/>
      </dataBar>
    </cfRule>
  </conditionalFormatting>
  <pageMargins left="0.75" right="0.75" top="1" bottom="1" header="0.5" footer="0.5"/>
</worksheet>
</file>

<file path=xl/worksheets/sheet21.xml><?xml version="1.0" encoding="utf-8"?>
<worksheet xmlns="http://schemas.openxmlformats.org/spreadsheetml/2006/main">
  <sheetPr>
    <tabColor rgb="001B4F48"/>
    <outlinePr summaryBelow="1" summaryRight="1"/>
    <pageSetUpPr/>
  </sheetPr>
  <dimension ref="A1:L12"/>
  <sheetViews>
    <sheetView showGridLines="0" workbookViewId="0">
      <selection activeCell="A1" sqref="A1"/>
    </sheetView>
  </sheetViews>
  <sheetFormatPr baseColWidth="8" defaultRowHeight="15"/>
  <cols>
    <col width="2" customWidth="1" min="1" max="1"/>
    <col width="30" customWidth="1" min="2" max="2"/>
    <col width="16" customWidth="1" min="3" max="3"/>
    <col width="18" customWidth="1" min="4" max="4"/>
    <col width="3" customWidth="1" min="5" max="5"/>
    <col width="16" customWidth="1" min="6" max="6"/>
    <col width="12" customWidth="1" min="7" max="7"/>
    <col width="12" customWidth="1" min="8" max="8"/>
    <col width="12" customWidth="1" min="9" max="9"/>
    <col width="12" customWidth="1" min="10" max="10"/>
    <col width="12" customWidth="1" min="11" max="11"/>
    <col width="2" customWidth="1" min="12" max="12"/>
  </cols>
  <sheetData>
    <row r="1" ht="46" customHeight="1">
      <c r="A1" s="1" t="inlineStr">
        <is>
          <t xml:space="preserve">  📈  ANALYTICS DASHBOARD</t>
        </is>
      </c>
    </row>
    <row r="2" ht="22" customHeight="1">
      <c r="A2" s="2" t="inlineStr">
        <is>
          <t xml:space="preserve">  Baby &amp; family by the numbers — trends, budget health &amp; an organization score.</t>
        </is>
      </c>
    </row>
    <row r="3" ht="6" customHeight="1">
      <c r="A3" s="3" t="n"/>
      <c r="B3" s="3" t="n"/>
      <c r="C3" s="3" t="n"/>
      <c r="D3" s="3" t="n"/>
      <c r="E3" s="3" t="n"/>
      <c r="F3" s="3" t="n"/>
      <c r="G3" s="3" t="n"/>
      <c r="H3" s="3" t="n"/>
      <c r="I3" s="3" t="n"/>
      <c r="J3" s="3" t="n"/>
      <c r="K3" s="3" t="n"/>
      <c r="L3" s="3" t="n"/>
    </row>
    <row r="5">
      <c r="B5" s="6" t="inlineStr">
        <is>
          <t>FAMILY ORGANIZATION SCORES</t>
        </is>
      </c>
      <c r="F5" s="4" t="inlineStr">
        <is>
          <t>FAMILY ORGANIZATION SCORE</t>
        </is>
      </c>
    </row>
    <row r="6" ht="30" customHeight="1">
      <c r="B6" s="7" t="inlineStr">
        <is>
          <t>Dimension</t>
        </is>
      </c>
      <c r="C6" s="7" t="inlineStr">
        <is>
          <t>Score</t>
        </is>
      </c>
      <c r="D6" s="7" t="inlineStr">
        <is>
          <t>Status</t>
        </is>
      </c>
      <c r="F6" s="55">
        <f>IFERROR(AVERAGE(C7:C12),0)</f>
        <v/>
      </c>
      <c r="G6" s="56" t="n"/>
      <c r="H6" s="56" t="n"/>
    </row>
    <row r="7">
      <c r="B7" s="22" t="inlineStr">
        <is>
          <t>Feeding on goal</t>
        </is>
      </c>
      <c r="C7" s="43">
        <f>IFERROR(MIN(COUNTIF(FeedDate,TODAY())/FeedGoal,1),0)</f>
        <v/>
      </c>
      <c r="D7" s="34">
        <f>IF(C7&gt;=0.75,"Great",IF(C7&gt;=0.4,"On Track","Needs Love"))</f>
        <v/>
      </c>
      <c r="F7" s="27" t="n"/>
      <c r="G7" s="27" t="n"/>
      <c r="H7" s="27" t="n"/>
    </row>
    <row r="8">
      <c r="B8" s="25" t="inlineStr">
        <is>
          <t>Sleep on goal</t>
        </is>
      </c>
      <c r="C8" s="47">
        <f>IFERROR(MIN(SUMIF(SleepDate,TODAY(),SleepHrs)/SleepGoal,1),0)</f>
        <v/>
      </c>
      <c r="D8" s="32">
        <f>IF(C8&gt;=0.75,"Great",IF(C8&gt;=0.4,"On Track","Needs Love"))</f>
        <v/>
      </c>
      <c r="F8" s="27" t="n"/>
      <c r="G8" s="27" t="n"/>
      <c r="H8" s="27" t="n"/>
    </row>
    <row r="9">
      <c r="B9" s="22" t="inlineStr">
        <is>
          <t>Budget health</t>
        </is>
      </c>
      <c r="C9" s="43">
        <f>IFERROR(1-BudgetTotalActual/BudgetTotalPlanned,0)</f>
        <v/>
      </c>
      <c r="D9" s="34">
        <f>IF(C9&gt;=0.75,"Great",IF(C9&gt;=0.4,"On Track","Needs Love"))</f>
        <v/>
      </c>
      <c r="F9" s="27" t="n"/>
      <c r="G9" s="27" t="n"/>
      <c r="H9" s="27" t="n"/>
    </row>
    <row r="10">
      <c r="B10" s="25" t="inlineStr">
        <is>
          <t>Milestones logged</t>
        </is>
      </c>
      <c r="C10" s="47">
        <f>IFERROR(COUNTIF(MileDate,"&lt;&gt;"&amp;"")/MAX(COUNTA(MileName),1),0)</f>
        <v/>
      </c>
      <c r="D10" s="32">
        <f>IF(C10&gt;=0.75,"Great",IF(C10&gt;=0.4,"On Track","Needs Love"))</f>
        <v/>
      </c>
      <c r="F10" s="57" t="inlineStr">
        <is>
          <t>A gentle blend of care, budget, milestones &amp; goals.</t>
        </is>
      </c>
    </row>
    <row r="11">
      <c r="B11" s="22" t="inlineStr">
        <is>
          <t>Vaccinations done</t>
        </is>
      </c>
      <c r="C11" s="43">
        <f>IFERROR(COUNTIFS(MedType,"Vaccination",MedStatus,"Done")/MAX(COUNTIF(MedType,"Vaccination"),1),0)</f>
        <v/>
      </c>
      <c r="D11" s="34">
        <f>IF(C11&gt;=0.75,"Great",IF(C11&gt;=0.4,"On Track","Needs Love"))</f>
        <v/>
      </c>
    </row>
    <row r="12">
      <c r="B12" s="25" t="inlineStr">
        <is>
          <t>Goals progress</t>
        </is>
      </c>
      <c r="C12" s="47">
        <f>IFERROR(AVERAGE(GoalProgress),0)</f>
        <v/>
      </c>
      <c r="D12" s="32">
        <f>IF(C12&gt;=0.75,"Great",IF(C12&gt;=0.4,"On Track","Needs Love"))</f>
        <v/>
      </c>
    </row>
  </sheetData>
  <mergeCells count="6">
    <mergeCell ref="A2:L2"/>
    <mergeCell ref="F10:H10"/>
    <mergeCell ref="B5:D5"/>
    <mergeCell ref="F5:H5"/>
    <mergeCell ref="A1:L1"/>
    <mergeCell ref="F6:H9"/>
  </mergeCells>
  <conditionalFormatting sqref="C7:C12">
    <cfRule type="colorScale" priority="1">
      <colorScale>
        <cfvo type="num" val="0"/>
        <cfvo type="num" val="0.5"/>
        <cfvo type="num" val="1"/>
        <color rgb="FFFBF0E2"/>
        <color rgb="FFFFF3CD"/>
        <color rgb="FF75E6C1"/>
      </colorScale>
    </cfRule>
  </conditionalFormatting>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tabColor rgb="00E5D3BA"/>
    <outlinePr summaryBelow="1" summaryRight="1"/>
    <pageSetUpPr/>
  </sheetPr>
  <dimension ref="A1:L18"/>
  <sheetViews>
    <sheetView showGridLines="0" workbookViewId="0">
      <selection activeCell="A1" sqref="A1"/>
    </sheetView>
  </sheetViews>
  <sheetFormatPr baseColWidth="8" defaultRowHeight="15"/>
  <cols>
    <col width="2" customWidth="1" min="1" max="1"/>
    <col width="26" customWidth="1" min="2" max="2"/>
    <col width="18" customWidth="1" min="3" max="3"/>
    <col width="3"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46" customHeight="1">
      <c r="A1" s="1" t="inlineStr">
        <is>
          <t xml:space="preserve">  ⚙  SETTINGS</t>
        </is>
      </c>
    </row>
    <row r="2" ht="22" customHeight="1">
      <c r="A2" s="2" t="inlineStr">
        <is>
          <t xml:space="preserve">  Set baby's details once — every dashboard follows. Edit the lists to fit your family.</t>
        </is>
      </c>
    </row>
    <row r="3" ht="6" customHeight="1">
      <c r="A3" s="3" t="n"/>
      <c r="B3" s="3" t="n"/>
      <c r="C3" s="3" t="n"/>
      <c r="D3" s="3" t="n"/>
      <c r="E3" s="3" t="n"/>
      <c r="F3" s="3" t="n"/>
      <c r="G3" s="3" t="n"/>
      <c r="H3" s="3" t="n"/>
      <c r="I3" s="3" t="n"/>
      <c r="J3" s="3" t="n"/>
      <c r="K3" s="3" t="n"/>
      <c r="L3" s="3" t="n"/>
    </row>
    <row r="5">
      <c r="B5" s="6" t="inlineStr">
        <is>
          <t>BABY &amp; BUDGET</t>
        </is>
      </c>
      <c r="E5" s="4" t="inlineStr">
        <is>
          <t>DROPDOWN LISTS</t>
        </is>
      </c>
    </row>
    <row r="6">
      <c r="B6" s="18" t="inlineStr">
        <is>
          <t>Baby Name</t>
        </is>
      </c>
      <c r="C6" s="52" t="inlineStr">
        <is>
          <t>Baby Rose</t>
        </is>
      </c>
      <c r="E6" s="7" t="inlineStr">
        <is>
          <t>Feeding Type</t>
        </is>
      </c>
      <c r="F6" s="7" t="inlineStr">
        <is>
          <t>Sleep Category</t>
        </is>
      </c>
      <c r="G6" s="7" t="inlineStr">
        <is>
          <t>Appointment Type</t>
        </is>
      </c>
      <c r="H6" s="7" t="inlineStr">
        <is>
          <t>Expense Category</t>
        </is>
      </c>
      <c r="I6" s="7" t="inlineStr">
        <is>
          <t>Milestone Category</t>
        </is>
      </c>
      <c r="J6" s="7" t="inlineStr">
        <is>
          <t>Clothing Size</t>
        </is>
      </c>
      <c r="K6" s="7" t="inlineStr">
        <is>
          <t>Supply Category</t>
        </is>
      </c>
      <c r="L6" s="7" t="inlineStr">
        <is>
          <t>Status / Diaper</t>
        </is>
      </c>
    </row>
    <row r="7">
      <c r="B7" s="18" t="inlineStr">
        <is>
          <t>Birth Date</t>
        </is>
      </c>
      <c r="C7" s="58" t="n">
        <v>46079</v>
      </c>
      <c r="E7" s="22" t="inlineStr">
        <is>
          <t>Breast (L)</t>
        </is>
      </c>
      <c r="F7" s="22" t="inlineStr">
        <is>
          <t>Nap</t>
        </is>
      </c>
      <c r="G7" s="22" t="inlineStr">
        <is>
          <t>Pediatrician</t>
        </is>
      </c>
      <c r="H7" s="22" t="inlineStr">
        <is>
          <t>Diapers</t>
        </is>
      </c>
      <c r="I7" s="22" t="inlineStr">
        <is>
          <t>Motor</t>
        </is>
      </c>
      <c r="J7" s="22" t="inlineStr">
        <is>
          <t>Newborn</t>
        </is>
      </c>
      <c r="K7" s="22" t="inlineStr">
        <is>
          <t>Diapering</t>
        </is>
      </c>
      <c r="L7" s="22" t="inlineStr">
        <is>
          <t>Done</t>
        </is>
      </c>
    </row>
    <row r="8">
      <c r="B8" s="18" t="inlineStr">
        <is>
          <t>Monthly Baby Budget</t>
        </is>
      </c>
      <c r="C8" s="41" t="n">
        <v>650</v>
      </c>
      <c r="E8" s="22" t="inlineStr">
        <is>
          <t>Breast (R)</t>
        </is>
      </c>
      <c r="F8" s="22" t="inlineStr">
        <is>
          <t>Overnight</t>
        </is>
      </c>
      <c r="G8" s="22" t="inlineStr">
        <is>
          <t>Dentist</t>
        </is>
      </c>
      <c r="H8" s="22" t="inlineStr">
        <is>
          <t>Formula</t>
        </is>
      </c>
      <c r="I8" s="22" t="inlineStr">
        <is>
          <t>Language</t>
        </is>
      </c>
      <c r="J8" s="22" t="inlineStr">
        <is>
          <t>0-3m</t>
        </is>
      </c>
      <c r="K8" s="22" t="inlineStr">
        <is>
          <t>Feeding</t>
        </is>
      </c>
      <c r="L8" s="22" t="inlineStr">
        <is>
          <t>Due</t>
        </is>
      </c>
    </row>
    <row r="9">
      <c r="B9" s="18" t="inlineStr">
        <is>
          <t>Feedings / Day Goal</t>
        </is>
      </c>
      <c r="C9" s="59" t="n">
        <v>8</v>
      </c>
      <c r="E9" s="22" t="inlineStr">
        <is>
          <t>Bottle - BM</t>
        </is>
      </c>
      <c r="G9" s="22" t="inlineStr">
        <is>
          <t>Specialist</t>
        </is>
      </c>
      <c r="H9" s="22" t="inlineStr">
        <is>
          <t>Food</t>
        </is>
      </c>
      <c r="I9" s="22" t="inlineStr">
        <is>
          <t>Social</t>
        </is>
      </c>
      <c r="J9" s="22" t="inlineStr">
        <is>
          <t>3-6m</t>
        </is>
      </c>
      <c r="K9" s="22" t="inlineStr">
        <is>
          <t>Clothing</t>
        </is>
      </c>
      <c r="L9" s="22" t="inlineStr">
        <is>
          <t>Upcoming</t>
        </is>
      </c>
    </row>
    <row r="10">
      <c r="B10" s="18" t="inlineStr">
        <is>
          <t>Sleep / Day Goal (hrs)</t>
        </is>
      </c>
      <c r="C10" s="59" t="n">
        <v>15</v>
      </c>
      <c r="E10" s="22" t="inlineStr">
        <is>
          <t>Bottle - Formula</t>
        </is>
      </c>
      <c r="G10" s="22" t="inlineStr">
        <is>
          <t>Therapy</t>
        </is>
      </c>
      <c r="H10" s="22" t="inlineStr">
        <is>
          <t>Clothing</t>
        </is>
      </c>
      <c r="I10" s="22" t="inlineStr">
        <is>
          <t>Cognitive</t>
        </is>
      </c>
      <c r="J10" s="22" t="inlineStr">
        <is>
          <t>6-9m</t>
        </is>
      </c>
      <c r="K10" s="22" t="inlineStr">
        <is>
          <t>Bath</t>
        </is>
      </c>
      <c r="L10" s="22" t="inlineStr">
        <is>
          <t>Skipped</t>
        </is>
      </c>
    </row>
    <row r="11">
      <c r="E11" s="22" t="inlineStr">
        <is>
          <t>Pumping</t>
        </is>
      </c>
      <c r="G11" s="22" t="inlineStr">
        <is>
          <t>Vaccination</t>
        </is>
      </c>
      <c r="H11" s="22" t="inlineStr">
        <is>
          <t>Toys</t>
        </is>
      </c>
      <c r="I11" s="22" t="inlineStr">
        <is>
          <t>Feeding</t>
        </is>
      </c>
      <c r="J11" s="22" t="inlineStr">
        <is>
          <t>9-12m</t>
        </is>
      </c>
      <c r="K11" s="22" t="inlineStr">
        <is>
          <t>Health</t>
        </is>
      </c>
      <c r="L11" s="22" t="inlineStr">
        <is>
          <t>—</t>
        </is>
      </c>
    </row>
    <row r="12">
      <c r="E12" s="22" t="inlineStr">
        <is>
          <t>Solids</t>
        </is>
      </c>
      <c r="G12" s="22" t="inlineStr">
        <is>
          <t>Parent</t>
        </is>
      </c>
      <c r="H12" s="22" t="inlineStr">
        <is>
          <t>Nursery</t>
        </is>
      </c>
      <c r="I12" s="22" t="inlineStr">
        <is>
          <t>Sleep</t>
        </is>
      </c>
      <c r="J12" s="22" t="inlineStr">
        <is>
          <t>12-18m</t>
        </is>
      </c>
      <c r="K12" s="22" t="inlineStr">
        <is>
          <t>Nursery</t>
        </is>
      </c>
      <c r="L12" s="22" t="inlineStr">
        <is>
          <t>Wet</t>
        </is>
      </c>
    </row>
    <row r="13">
      <c r="H13" s="22" t="inlineStr">
        <is>
          <t>Furniture</t>
        </is>
      </c>
      <c r="I13" s="22" t="inlineStr">
        <is>
          <t>Teeth</t>
        </is>
      </c>
      <c r="J13" s="22" t="inlineStr">
        <is>
          <t>18-24m</t>
        </is>
      </c>
      <c r="K13" s="22" t="inlineStr">
        <is>
          <t>Toys</t>
        </is>
      </c>
      <c r="L13" s="22" t="inlineStr">
        <is>
          <t>Dirty</t>
        </is>
      </c>
    </row>
    <row r="14">
      <c r="H14" s="22" t="inlineStr">
        <is>
          <t>Childcare</t>
        </is>
      </c>
      <c r="I14" s="22" t="inlineStr">
        <is>
          <t>Walking</t>
        </is>
      </c>
      <c r="K14" s="22" t="inlineStr">
        <is>
          <t>Gear</t>
        </is>
      </c>
      <c r="L14" s="22" t="inlineStr">
        <is>
          <t>Mixed</t>
        </is>
      </c>
    </row>
    <row r="15">
      <c r="H15" s="22" t="inlineStr">
        <is>
          <t>Healthcare</t>
        </is>
      </c>
      <c r="L15" s="22" t="inlineStr">
        <is>
          <t>Dry</t>
        </is>
      </c>
    </row>
    <row r="16">
      <c r="H16" s="22" t="inlineStr">
        <is>
          <t>Insurance</t>
        </is>
      </c>
      <c r="L16" s="22" t="inlineStr">
        <is>
          <t>—</t>
        </is>
      </c>
    </row>
    <row r="17">
      <c r="H17" s="22" t="inlineStr">
        <is>
          <t>Baby Gear</t>
        </is>
      </c>
      <c r="L17" s="22" t="inlineStr">
        <is>
          <t>Yes</t>
        </is>
      </c>
    </row>
    <row r="18">
      <c r="H18" s="22" t="inlineStr">
        <is>
          <t>Miscellaneous</t>
        </is>
      </c>
      <c r="L18" s="22" t="inlineStr">
        <is>
          <t>No</t>
        </is>
      </c>
    </row>
  </sheetData>
  <mergeCells count="4">
    <mergeCell ref="E5:L5"/>
    <mergeCell ref="A2:L2"/>
    <mergeCell ref="B5:C5"/>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2026-07-01T21:39:35Z</dcterms:created>
  <dcterms:modified xsi:type="dcterms:W3CDTF">2026-07-01T21:39:35Z</dcterms:modified>
</cp:coreProperties>
</file>