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drawings/drawing2.xml" ContentType="application/vnd.openxmlformats-officedocument.drawing+xml"/>
  <Override PartName="/xl/worksheets/sheet1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Dashboard" sheetId="2" state="visible" r:id="rId2"/>
    <sheet name="Sinking Funds" sheetId="3" state="visible" r:id="rId3"/>
    <sheet name="100 Envelope" sheetId="4" state="visible" r:id="rId4"/>
    <sheet name="52-Week" sheetId="5" state="visible" r:id="rId5"/>
    <sheet name="Challenges" sheetId="6" state="visible" r:id="rId6"/>
    <sheet name="Goal Countdown" sheetId="7" state="visible" r:id="rId7"/>
    <sheet name="Cash Envelopes" sheetId="8" state="visible" r:id="rId8"/>
    <sheet name="Savings Accounts" sheetId="9" state="visible" r:id="rId9"/>
    <sheet name="Emergency Fund" sheetId="10" state="visible" r:id="rId10"/>
    <sheet name="Deposit Log" sheetId="11" state="visible" r:id="rId11"/>
    <sheet name="Savings Streak" sheetId="12" state="visible" r:id="rId12"/>
    <sheet name="Monthly Summary" sheetId="13" state="visible" r:id="rId13"/>
    <sheet name="Settings" sheetId="14" state="visible" r:id="rId14"/>
  </sheets>
  <definedNames>
    <definedName name="Owner">Settings!$C$6</definedName>
    <definedName name="PlanName">Settings!$C$7</definedName>
    <definedName name="MonthsIn">Settings!$C$8</definedName>
    <definedName name="MonthlySaveGoal">Settings!$C$9</definedName>
    <definedName name="ThisMonthSaved">Settings!$C$10</definedName>
    <definedName name="StreakDays">Settings!$C$11</definedName>
    <definedName name="StreakGoal">Settings!$C$12</definedName>
    <definedName name="ChallengeGoal">Settings!$C$13</definedName>
    <definedName name="FundsGoalCount">Settings!$C$14</definedName>
    <definedName name="EFGoal">Settings!$C$15</definedName>
    <definedName name="EFCurrent">Settings!$C$16</definedName>
    <definedName name="FundCatList">Settings!$E$7:$E$14</definedName>
    <definedName name="AcctTypeList">Settings!$F$7:$F$11</definedName>
    <definedName name="FreqList">Settings!$G$7:$G$9</definedName>
    <definedName name="YesNoList">Settings!$H$7:$H$8</definedName>
    <definedName name="FundName">'Sinking Funds'!$B$5:$B$12</definedName>
    <definedName name="FundTarget">'Sinking Funds'!$D$5:$D$12</definedName>
    <definedName name="FundSaved">'Sinking Funds'!$E$5:$E$12</definedName>
    <definedName name="FundsTarget">'Sinking Funds'!$D$13</definedName>
    <definedName name="FundsSaved">'Sinking Funds'!$E$13</definedName>
    <definedName name="MonthlyNeed">'Sinking Funds'!$G$13</definedName>
    <definedName name="ExpectedToDate">'Sinking Funds'!$D$15</definedName>
    <definedName name="OnPace">'Sinking Funds'!$D$16</definedName>
    <definedName name="FundCount">'Sinking Funds'!$D$17</definedName>
    <definedName name="EnvelopeTotal">'100 Envelope'!$C$5</definedName>
    <definedName name="EnvAmt">'100 Envelope'!$C$8:$C$17</definedName>
    <definedName name="EnvDone">'100 Envelope'!$D$8:$D$17</definedName>
    <definedName name="EnvelopeSaved">'100 Envelope'!$C$18</definedName>
    <definedName name="Week52Total">'52-Week'!$C$5</definedName>
    <definedName name="WkAmt">'52-Week'!$C$8:$C$19</definedName>
    <definedName name="WkDone">'52-Week'!$D$8:$D$19</definedName>
    <definedName name="Week52Saved">'52-Week'!$C$20</definedName>
    <definedName name="ChTarget">'Challenges'!$C$5:$C$9</definedName>
    <definedName name="ChSaved">'Challenges'!$D$5:$D$9</definedName>
    <definedName name="ChActive">'Challenges'!$F$5:$F$9</definedName>
    <definedName name="ActiveChallenges">'Challenges'!$F$10</definedName>
    <definedName name="AcctBal">'Savings Accounts'!$D$5:$D$28</definedName>
    <definedName name="TotalSaved">'Savings Accounts'!$D$29</definedName>
    <definedName name="EFFunded">'Emergency Fund'!$C$7</definedName>
    <definedName name="DepAmt">'Deposit Log'!$D$5:$D$38</definedName>
    <definedName name="StreakProgress">'Savings Streak'!$C$7</definedName>
    <definedName name="NoSpendDays">'Savings Streak'!$C$11:$C$16</definedName>
    <definedName name="GoalTarget">'Goal Countdown'!$C$5:$C$8</definedName>
    <definedName name="GoalSaved">'Goal Countdown'!$D$5:$D$8</definedName>
    <definedName name="CashLoaded">'Cash Envelopes'!$C$5:$C$12</definedName>
    <definedName name="CashSpent">'Cash Envelopes'!$D$5:$D$12</definedName>
    <definedName name="CashLeft">'Cash Envelopes'!$E$13</definedName>
    <definedName name="SaveTrend">'Monthly Summary'!$C$7:$C$12</definedName>
    <definedName name="HealthRange">'Dashboard'!$C$13:$C$18</definedName>
  </definedNames>
  <calcPr calcId="124519" fullCalcOnLoad="1"/>
</workbook>
</file>

<file path=xl/styles.xml><?xml version="1.0" encoding="utf-8"?>
<styleSheet xmlns="http://schemas.openxmlformats.org/spreadsheetml/2006/main">
  <numFmts count="2">
    <numFmt numFmtId="164" formatCode="&quot;$&quot;#,##0"/>
    <numFmt numFmtId="165" formatCode="0.0"/>
  </numFmts>
  <fonts count="16">
    <font>
      <name val="Calibri"/>
      <family val="2"/>
      <color theme="1"/>
      <sz val="11"/>
      <scheme val="minor"/>
    </font>
    <font>
      <name val="Calibri"/>
      <b val="1"/>
      <color rgb="00FFFFFF"/>
      <sz val="24"/>
    </font>
    <font>
      <name val="Calibri"/>
      <i val="1"/>
      <color rgb="00E5D3BA"/>
      <sz val="11"/>
    </font>
    <font>
      <name val="Calibri"/>
      <b val="1"/>
      <color rgb="001B4F48"/>
      <sz val="12"/>
    </font>
    <font>
      <name val="Calibri"/>
      <b val="1"/>
      <color rgb="00937356"/>
      <sz val="12"/>
    </font>
    <font>
      <name val="Calibri"/>
      <b val="1"/>
      <color rgb="00FFFFFF"/>
      <sz val="11"/>
    </font>
    <font>
      <name val="Calibri"/>
      <color rgb="00333333"/>
      <sz val="11"/>
    </font>
    <font>
      <name val="Calibri"/>
      <b val="1"/>
      <color rgb="001B4F48"/>
      <sz val="11"/>
    </font>
    <font>
      <name val="Calibri"/>
      <b val="1"/>
      <color rgb="00937356"/>
      <sz val="10"/>
    </font>
    <font>
      <color rgb="00333333"/>
      <sz val="11"/>
    </font>
    <font>
      <b val="1"/>
      <color rgb="001B4F48"/>
    </font>
    <font>
      <b val="1"/>
      <color rgb="001B4F48"/>
      <sz val="12"/>
    </font>
    <font>
      <b val="1"/>
      <color rgb="001B4F48"/>
      <sz val="13"/>
    </font>
    <font>
      <b val="1"/>
      <color rgb="00C94C4C"/>
    </font>
    <font>
      <b val="1"/>
      <color rgb="00937356"/>
      <sz val="9"/>
    </font>
    <font>
      <b val="1"/>
      <color rgb="001B4F48"/>
      <sz val="18"/>
    </font>
  </fonts>
  <fills count="10">
    <fill>
      <patternFill/>
    </fill>
    <fill>
      <patternFill patternType="gray125"/>
    </fill>
    <fill>
      <patternFill patternType="solid">
        <fgColor rgb="001B4F48"/>
      </patternFill>
    </fill>
    <fill>
      <patternFill patternType="solid">
        <fgColor rgb="00E5D3BA"/>
      </patternFill>
    </fill>
    <fill>
      <patternFill patternType="solid">
        <fgColor rgb="00FAF7F1"/>
      </patternFill>
    </fill>
    <fill>
      <patternFill patternType="solid">
        <fgColor rgb="00C9A86A"/>
      </patternFill>
    </fill>
    <fill>
      <patternFill patternType="solid">
        <fgColor rgb="00E3F8EF"/>
      </patternFill>
    </fill>
    <fill>
      <patternFill patternType="solid">
        <fgColor rgb="00FBF0E2"/>
      </patternFill>
    </fill>
    <fill>
      <patternFill patternType="solid">
        <fgColor rgb="00F4ECDE"/>
      </patternFill>
    </fill>
    <fill>
      <patternFill patternType="solid">
        <fgColor rgb="00FFFFFF"/>
      </patternFill>
    </fill>
  </fills>
  <borders count="4">
    <border>
      <left/>
      <right/>
      <top/>
      <bottom/>
      <diagonal/>
    </border>
    <border/>
    <border>
      <left style="thin">
        <color rgb="00D6D2C8"/>
      </left>
      <right style="thin">
        <color rgb="00D6D2C8"/>
      </right>
      <top style="thin">
        <color rgb="00D6D2C8"/>
      </top>
      <bottom style="thin">
        <color rgb="00D6D2C8"/>
      </bottom>
    </border>
    <border>
      <left style="thin">
        <color rgb="00D6D2C8"/>
      </left>
      <right style="thin">
        <color rgb="00D6D2C8"/>
      </right>
      <top style="medium">
        <color rgb="00C9A86A"/>
      </top>
      <bottom style="thin">
        <color rgb="00D6D2C8"/>
      </bottom>
    </border>
  </borders>
  <cellStyleXfs count="12">
    <xf numFmtId="0" fontId="0" fillId="0" borderId="0"/>
    <xf numFmtId="0" fontId="1" fillId="2" borderId="1" applyAlignment="1">
      <alignment horizontal="left" vertical="center" indent="2"/>
    </xf>
    <xf numFmtId="0" fontId="2" fillId="2" borderId="1" applyAlignment="1">
      <alignment horizontal="left" vertical="center" indent="2"/>
    </xf>
    <xf numFmtId="0" fontId="3" fillId="0" borderId="1" applyAlignment="1">
      <alignment horizontal="left" vertical="center"/>
    </xf>
    <xf numFmtId="0" fontId="4" fillId="0" borderId="1" applyAlignment="1">
      <alignment horizontal="left" vertical="center"/>
    </xf>
    <xf numFmtId="0" fontId="5" fillId="2" borderId="2" applyAlignment="1">
      <alignment horizontal="center" vertical="center" wrapText="1"/>
    </xf>
    <xf numFmtId="0" fontId="6" fillId="0" borderId="2" applyAlignment="1">
      <alignment horizontal="center" vertical="center" wrapText="1"/>
    </xf>
    <xf numFmtId="0" fontId="6" fillId="0" borderId="2" applyAlignment="1">
      <alignment horizontal="left" vertical="center" wrapText="1" indent="1"/>
    </xf>
    <xf numFmtId="0" fontId="7" fillId="3" borderId="2" applyAlignment="1">
      <alignment horizontal="center" vertical="center"/>
    </xf>
    <xf numFmtId="0" fontId="8" fillId="4" borderId="2" applyAlignment="1">
      <alignment horizontal="left" vertical="center" indent="1"/>
    </xf>
    <xf numFmtId="0" fontId="7" fillId="0" borderId="2" applyAlignment="1">
      <alignment horizontal="left" vertical="center" indent="1"/>
    </xf>
    <xf numFmtId="0" fontId="6" fillId="0" borderId="1" applyAlignment="1">
      <alignment horizontal="left" vertical="top" wrapText="1" indent="1"/>
    </xf>
  </cellStyleXfs>
  <cellXfs count="60">
    <xf numFmtId="0" fontId="0" fillId="0" borderId="0" pivotButton="0" quotePrefix="0" xfId="0"/>
    <xf numFmtId="0" fontId="1" fillId="2" borderId="1" applyAlignment="1" pivotButton="0" quotePrefix="0" xfId="1">
      <alignment horizontal="left" vertical="center" indent="2"/>
    </xf>
    <xf numFmtId="0" fontId="2" fillId="2" borderId="1" applyAlignment="1" pivotButton="0" quotePrefix="0" xfId="2">
      <alignment horizontal="left" vertical="center" indent="2"/>
    </xf>
    <xf numFmtId="0" fontId="0" fillId="5" borderId="0" pivotButton="0" quotePrefix="0" xfId="0"/>
    <xf numFmtId="0" fontId="4" fillId="0" borderId="1" applyAlignment="1" pivotButton="0" quotePrefix="0" xfId="4">
      <alignment horizontal="left" vertical="center"/>
    </xf>
    <xf numFmtId="0" fontId="6" fillId="6" borderId="2" applyAlignment="1" pivotButton="0" quotePrefix="0" xfId="11">
      <alignment horizontal="left" vertical="top" wrapText="1" indent="1"/>
    </xf>
    <xf numFmtId="0" fontId="0" fillId="6" borderId="0" pivotButton="0" quotePrefix="0" xfId="0"/>
    <xf numFmtId="0" fontId="3" fillId="0" borderId="1" applyAlignment="1" pivotButton="0" quotePrefix="0" xfId="3">
      <alignment horizontal="left" vertical="center"/>
    </xf>
    <xf numFmtId="0" fontId="6" fillId="0" borderId="1" applyAlignment="1" pivotButton="0" quotePrefix="0" xfId="11">
      <alignment horizontal="left" vertical="top" wrapText="1" indent="1"/>
    </xf>
    <xf numFmtId="0" fontId="5" fillId="2" borderId="2" applyAlignment="1" pivotButton="0" quotePrefix="0" xfId="5">
      <alignment horizontal="center" vertical="center" wrapText="1"/>
    </xf>
    <xf numFmtId="0" fontId="9" fillId="7" borderId="2" applyAlignment="1" pivotButton="0" quotePrefix="0" xfId="0">
      <alignment horizontal="left" vertical="top" wrapText="1" indent="1"/>
    </xf>
    <xf numFmtId="0" fontId="0" fillId="7" borderId="0" pivotButton="0" quotePrefix="0" xfId="0"/>
    <xf numFmtId="0" fontId="14" fillId="9" borderId="3" applyAlignment="1" pivotButton="0" quotePrefix="0" xfId="0">
      <alignment horizontal="center" vertical="center"/>
    </xf>
    <xf numFmtId="0" fontId="0" fillId="9" borderId="3" pivotButton="0" quotePrefix="0" xfId="0"/>
    <xf numFmtId="164" fontId="15" fillId="9" borderId="2" applyAlignment="1" pivotButton="0" quotePrefix="0" xfId="0">
      <alignment horizontal="center" vertical="center"/>
    </xf>
    <xf numFmtId="0" fontId="0" fillId="9" borderId="2" pivotButton="0" quotePrefix="0" xfId="0"/>
    <xf numFmtId="9" fontId="15" fillId="9" borderId="2" applyAlignment="1" pivotButton="0" quotePrefix="0" xfId="0">
      <alignment horizontal="center" vertical="center"/>
    </xf>
    <xf numFmtId="3" fontId="15" fillId="9" borderId="2" applyAlignment="1" pivotButton="0" quotePrefix="0" xfId="0">
      <alignment horizontal="center" vertical="center"/>
    </xf>
    <xf numFmtId="0" fontId="6" fillId="0" borderId="2" applyAlignment="1" pivotButton="0" quotePrefix="0" xfId="7">
      <alignment horizontal="left" vertical="center" wrapText="1" indent="1"/>
    </xf>
    <xf numFmtId="9" fontId="6" fillId="0" borderId="2" applyAlignment="1" pivotButton="0" quotePrefix="0" xfId="6">
      <alignment horizontal="center" vertical="center" wrapText="1"/>
    </xf>
    <xf numFmtId="0" fontId="6" fillId="0" borderId="2" applyAlignment="1" pivotButton="0" quotePrefix="0" xfId="6">
      <alignment horizontal="center" vertical="center" wrapText="1"/>
    </xf>
    <xf numFmtId="0" fontId="6" fillId="8" borderId="2" applyAlignment="1" pivotButton="0" quotePrefix="0" xfId="7">
      <alignment horizontal="left" vertical="center" wrapText="1" indent="1"/>
    </xf>
    <xf numFmtId="9" fontId="6" fillId="8" borderId="2" applyAlignment="1" pivotButton="0" quotePrefix="0" xfId="6">
      <alignment horizontal="center" vertical="center" wrapText="1"/>
    </xf>
    <xf numFmtId="0" fontId="6" fillId="8" borderId="2" applyAlignment="1" pivotButton="0" quotePrefix="0" xfId="6">
      <alignment horizontal="center" vertical="center" wrapText="1"/>
    </xf>
    <xf numFmtId="164" fontId="7" fillId="3" borderId="2" applyAlignment="1" pivotButton="0" quotePrefix="0" xfId="8">
      <alignment horizontal="center" vertical="center"/>
    </xf>
    <xf numFmtId="164" fontId="10" fillId="0" borderId="2" applyAlignment="1" pivotButton="0" quotePrefix="0" xfId="6">
      <alignment horizontal="center" vertical="center" wrapText="1"/>
    </xf>
    <xf numFmtId="164" fontId="7" fillId="8" borderId="2" applyAlignment="1" pivotButton="0" quotePrefix="0" xfId="8">
      <alignment horizontal="center" vertical="center"/>
    </xf>
    <xf numFmtId="164" fontId="10" fillId="8" borderId="2" applyAlignment="1" pivotButton="0" quotePrefix="0" xfId="6">
      <alignment horizontal="center" vertical="center" wrapText="1"/>
    </xf>
    <xf numFmtId="0" fontId="6" fillId="3" borderId="2" applyAlignment="1" pivotButton="0" quotePrefix="0" xfId="6">
      <alignment horizontal="center" vertical="center" wrapText="1"/>
    </xf>
    <xf numFmtId="164" fontId="11" fillId="3" borderId="2" applyAlignment="1" pivotButton="0" quotePrefix="0" xfId="6">
      <alignment horizontal="center" vertical="center" wrapText="1"/>
    </xf>
    <xf numFmtId="164" fontId="11" fillId="6" borderId="2" applyAlignment="1" pivotButton="0" quotePrefix="0" xfId="6">
      <alignment horizontal="center" vertical="center" wrapText="1"/>
    </xf>
    <xf numFmtId="9" fontId="10" fillId="6" borderId="2" applyAlignment="1" pivotButton="0" quotePrefix="0" xfId="6">
      <alignment horizontal="center" vertical="center" wrapText="1"/>
    </xf>
    <xf numFmtId="164" fontId="12" fillId="6" borderId="2" applyAlignment="1" pivotButton="0" quotePrefix="0" xfId="6">
      <alignment horizontal="center" vertical="center" wrapText="1"/>
    </xf>
    <xf numFmtId="0" fontId="8" fillId="4" borderId="2" applyAlignment="1" pivotButton="0" quotePrefix="0" xfId="9">
      <alignment horizontal="left" vertical="center" indent="1"/>
    </xf>
    <xf numFmtId="164" fontId="7" fillId="0" borderId="2" applyAlignment="1" pivotButton="0" quotePrefix="0" xfId="10">
      <alignment horizontal="left" vertical="center" indent="1"/>
    </xf>
    <xf numFmtId="9" fontId="11" fillId="6" borderId="2" applyAlignment="1" pivotButton="0" quotePrefix="0" xfId="6">
      <alignment horizontal="center" vertical="center" wrapText="1"/>
    </xf>
    <xf numFmtId="3" fontId="7" fillId="0" borderId="2" applyAlignment="1" pivotButton="0" quotePrefix="0" xfId="10">
      <alignment horizontal="left" vertical="center" indent="1"/>
    </xf>
    <xf numFmtId="164" fontId="7" fillId="6" borderId="2" applyAlignment="1" pivotButton="0" quotePrefix="0" xfId="10">
      <alignment horizontal="left" vertical="center" indent="1"/>
    </xf>
    <xf numFmtId="164" fontId="10" fillId="6" borderId="2" applyAlignment="1" pivotButton="0" quotePrefix="0" xfId="6">
      <alignment horizontal="center" vertical="center" wrapText="1"/>
    </xf>
    <xf numFmtId="0" fontId="10" fillId="3" borderId="2" applyAlignment="1" pivotButton="0" quotePrefix="0" xfId="6">
      <alignment horizontal="center" vertical="center" wrapText="1"/>
    </xf>
    <xf numFmtId="164" fontId="10" fillId="3" borderId="2" applyAlignment="1" pivotButton="0" quotePrefix="0" xfId="6">
      <alignment horizontal="center" vertical="center" wrapText="1"/>
    </xf>
    <xf numFmtId="3" fontId="10" fillId="6" borderId="2" applyAlignment="1" pivotButton="0" quotePrefix="0" xfId="6">
      <alignment horizontal="center" vertical="center" wrapText="1"/>
    </xf>
    <xf numFmtId="164" fontId="6" fillId="0" borderId="2" applyAlignment="1" pivotButton="0" quotePrefix="0" xfId="6">
      <alignment horizontal="center" vertical="center" wrapText="1"/>
    </xf>
    <xf numFmtId="164" fontId="6" fillId="8" borderId="2" applyAlignment="1" pivotButton="0" quotePrefix="0" xfId="6">
      <alignment horizontal="center" vertical="center" wrapText="1"/>
    </xf>
    <xf numFmtId="164" fontId="13" fillId="7" borderId="2" applyAlignment="1" pivotButton="0" quotePrefix="0" xfId="6">
      <alignment horizontal="center" vertical="center" wrapText="1"/>
    </xf>
    <xf numFmtId="164" fontId="13" fillId="3" borderId="2" applyAlignment="1" pivotButton="0" quotePrefix="0" xfId="6">
      <alignment horizontal="center" vertical="center" wrapText="1"/>
    </xf>
    <xf numFmtId="0" fontId="6" fillId="9" borderId="2" applyAlignment="1" pivotButton="0" quotePrefix="0" xfId="7">
      <alignment horizontal="left" vertical="center" wrapText="1" indent="1"/>
    </xf>
    <xf numFmtId="0" fontId="6" fillId="9" borderId="2" applyAlignment="1" pivotButton="0" quotePrefix="0" xfId="6">
      <alignment horizontal="center" vertical="center" wrapText="1"/>
    </xf>
    <xf numFmtId="164" fontId="6" fillId="9" borderId="2" applyAlignment="1" pivotButton="0" quotePrefix="0" xfId="6">
      <alignment horizontal="center" vertical="center" wrapText="1"/>
    </xf>
    <xf numFmtId="10" fontId="6" fillId="9" borderId="2" applyAlignment="1" pivotButton="0" quotePrefix="0" xfId="6">
      <alignment horizontal="center" vertical="center" wrapText="1"/>
    </xf>
    <xf numFmtId="10" fontId="6" fillId="8" borderId="2" applyAlignment="1" pivotButton="0" quotePrefix="0" xfId="6">
      <alignment horizontal="center" vertical="center" wrapText="1"/>
    </xf>
    <xf numFmtId="9" fontId="12" fillId="6" borderId="2" applyAlignment="1" pivotButton="0" quotePrefix="0" xfId="6">
      <alignment horizontal="center" vertical="center" wrapText="1"/>
    </xf>
    <xf numFmtId="3" fontId="7" fillId="6" borderId="2" applyAlignment="1" pivotButton="0" quotePrefix="0" xfId="10">
      <alignment horizontal="left" vertical="center" indent="1"/>
    </xf>
    <xf numFmtId="3" fontId="7" fillId="3" borderId="2" applyAlignment="1" pivotButton="0" quotePrefix="0" xfId="8">
      <alignment horizontal="center" vertical="center"/>
    </xf>
    <xf numFmtId="3" fontId="6" fillId="0" borderId="2" applyAlignment="1" pivotButton="0" quotePrefix="0" xfId="6">
      <alignment horizontal="center" vertical="center" wrapText="1"/>
    </xf>
    <xf numFmtId="3" fontId="7" fillId="8" borderId="2" applyAlignment="1" pivotButton="0" quotePrefix="0" xfId="8">
      <alignment horizontal="center" vertical="center"/>
    </xf>
    <xf numFmtId="3" fontId="6" fillId="8" borderId="2" applyAlignment="1" pivotButton="0" quotePrefix="0" xfId="6">
      <alignment horizontal="center" vertical="center" wrapText="1"/>
    </xf>
    <xf numFmtId="165" fontId="10" fillId="6" borderId="2" applyAlignment="1" pivotButton="0" quotePrefix="0" xfId="6">
      <alignment horizontal="center" vertical="center" wrapText="1"/>
    </xf>
    <xf numFmtId="0" fontId="7" fillId="3" borderId="2" applyAlignment="1" pivotButton="0" quotePrefix="0" xfId="8">
      <alignment horizontal="center" vertical="center"/>
    </xf>
    <xf numFmtId="1" fontId="7" fillId="3" borderId="2" applyAlignment="1" pivotButton="0" quotePrefix="0" xfId="8">
      <alignment horizontal="center" vertical="center"/>
    </xf>
  </cellXfs>
  <cellStyles count="12">
    <cellStyle name="Normal" xfId="0" builtinId="0" hidden="0"/>
    <cellStyle name="title" xfId="1" hidden="0"/>
    <cellStyle name="subtitle" xfId="2" hidden="0"/>
    <cellStyle name="section" xfId="3" hidden="0"/>
    <cellStyle name="section_gold" xfId="4" hidden="0"/>
    <cellStyle name="th" xfId="5" hidden="0"/>
    <cellStyle name="td" xfId="6" hidden="0"/>
    <cellStyle name="td_left" xfId="7" hidden="0"/>
    <cellStyle name="input" xfId="8" hidden="0"/>
    <cellStyle name="field_label" xfId="9" hidden="0"/>
    <cellStyle name="field_value" xfId="10" hidden="0"/>
    <cellStyle name="body" xfId="11" hidden="0"/>
  </cellStyles>
  <dxfs count="1">
    <dxf>
      <fill>
        <patternFill patternType="solid">
          <fgColor rgb="00FBE6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charts/chart1.xml><?xml version="1.0" encoding="utf-8"?>
<chartSpace xmlns:a="http://schemas.openxmlformats.org/drawingml/2006/main" xmlns="http://schemas.openxmlformats.org/drawingml/2006/chart">
  <chart>
    <title>
      <tx>
        <rich>
          <a:bodyPr/>
          <a:p>
            <a:pPr>
              <a:defRPr/>
            </a:pPr>
            <a:r>
              <a:t>Saved by Month</a:t>
            </a:r>
          </a:p>
        </rich>
      </tx>
    </title>
    <plotArea>
      <barChart>
        <barDir val="col"/>
        <grouping val="clustered"/>
        <ser>
          <idx val="0"/>
          <order val="0"/>
          <spPr>
            <a:ln>
              <a:prstDash val="solid"/>
            </a:ln>
          </spPr>
          <cat>
            <numRef>
              <f>'Monthly Summary'!$B$7:$B$12</f>
            </numRef>
          </cat>
          <val>
            <numRef>
              <f>'Monthly Summary'!$C$7:$C$12</f>
            </numRef>
          </val>
        </ser>
        <dLbls>
          <showLegendKey val="0"/>
          <showVal val="0"/>
          <showCatName val="0"/>
          <showSerName val="0"/>
          <showPercent val="0"/>
          <showBubbleSize val="0"/>
        </dLbls>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Saved by Month</a:t>
            </a:r>
          </a:p>
        </rich>
      </tx>
    </title>
    <plotArea>
      <barChart>
        <barDir val="col"/>
        <grouping val="clustered"/>
        <ser>
          <idx val="0"/>
          <order val="0"/>
          <spPr>
            <a:ln>
              <a:prstDash val="solid"/>
            </a:ln>
          </spPr>
          <cat>
            <numRef>
              <f>'Monthly Summary'!$B$7:$B$12</f>
            </numRef>
          </cat>
          <val>
            <numRef>
              <f>'Monthly Summary'!$C$7:$C$12</f>
            </numRef>
          </val>
        </ser>
        <dLbls>
          <showLegendKey val="0"/>
          <showVal val="0"/>
          <showCatName val="0"/>
          <showSerName val="0"/>
          <showPercent val="0"/>
          <showBubbleSize val="0"/>
        </dLbls>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12</row>
      <rowOff>0</rowOff>
    </from>
    <ext cx="3096000" cy="2664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4</row>
      <rowOff>0</rowOff>
    </from>
    <ext cx="4320000" cy="2664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13.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A1:C25"/>
  <sheetViews>
    <sheetView showGridLines="0" workbookViewId="0">
      <selection activeCell="A1" sqref="A1"/>
    </sheetView>
  </sheetViews>
  <sheetFormatPr baseColWidth="8" defaultRowHeight="15"/>
  <cols>
    <col width="3" customWidth="1" min="1" max="1"/>
    <col width="84" customWidth="1" min="2" max="2"/>
    <col width="3" customWidth="1" min="3" max="3"/>
  </cols>
  <sheetData>
    <row r="1" ht="58" customHeight="1">
      <c r="A1" s="1" t="inlineStr">
        <is>
          <t xml:space="preserve">  🫙  SAVINGS CHALLENGE &amp; SINKING FUNDS COMMAND CENTER™</t>
        </is>
      </c>
    </row>
    <row r="2" ht="24" customHeight="1">
      <c r="A2" s="2" t="inlineStr">
        <is>
          <t xml:space="preserve">  Give every saved dollar a name — and never be blindsided by a bill again.</t>
        </is>
      </c>
    </row>
    <row r="3" ht="6" customHeight="1">
      <c r="A3" s="3" t="n"/>
      <c r="B3" s="3" t="n"/>
      <c r="C3" s="3" t="n"/>
    </row>
    <row r="5">
      <c r="B5" s="4" t="inlineStr">
        <is>
          <t>YOUR WHOLE SAVINGS LIFE, IN ONE PLACE</t>
        </is>
      </c>
    </row>
    <row r="6" ht="22" customHeight="1">
      <c r="B6" s="5" t="inlineStr">
        <is>
          <t>Most people don't have a spending problem — they have a timing problem. Christmas, car tyres and the insurance renewal are not emergencies; they're appointments you forgot to save for. This fixes that: a sinking-funds engine divides each yearly target by the months you have left and tells you exactly what to set aside every month. Then run the challenges that make saving genuinely fun — 100 envelopes, 52 weeks, no-spend months — track your streak and watch every fund fill up, all in ONE premium Google Sheets &amp; Excel system.</t>
        </is>
      </c>
    </row>
    <row r="7" ht="22" customHeight="1">
      <c r="B7" s="6" t="n"/>
    </row>
    <row r="8" ht="22" customHeight="1">
      <c r="B8" s="6" t="n"/>
    </row>
    <row r="9" ht="22" customHeight="1">
      <c r="B9" s="6" t="n"/>
    </row>
    <row r="11">
      <c r="B11" s="7" t="inlineStr">
        <is>
          <t>START HERE — 6 QUICK STEPS</t>
        </is>
      </c>
    </row>
    <row r="12" ht="22" customHeight="1">
      <c r="B12" s="8" t="inlineStr">
        <is>
          <t>1.  Open Settings — set your monthly goal and streak target.</t>
        </is>
      </c>
    </row>
    <row r="13" ht="22" customHeight="1">
      <c r="B13" s="8" t="inlineStr">
        <is>
          <t>2.  List your Sinking Funds — every bill that isn't monthly.</t>
        </is>
      </c>
    </row>
    <row r="14" ht="22" customHeight="1">
      <c r="B14" s="8" t="inlineStr">
        <is>
          <t>3.  Read the monthly set-aside each fund needs. That's your number.</t>
        </is>
      </c>
    </row>
    <row r="15" ht="22" customHeight="1">
      <c r="B15" s="8" t="inlineStr">
        <is>
          <t>4.  Pick a challenge: 100 Envelope, 52-Week or your own.</t>
        </is>
      </c>
    </row>
    <row r="16" ht="22" customHeight="1">
      <c r="B16" s="8" t="inlineStr">
        <is>
          <t>5.  Log every deposit and keep your streak alive.</t>
        </is>
      </c>
    </row>
    <row r="17" ht="22" customHeight="1">
      <c r="B17" s="8" t="inlineStr">
        <is>
          <t>6.  Check the Dashboard: saved, on-pace &amp; a Savings Score.</t>
        </is>
      </c>
    </row>
    <row r="20" ht="26" customHeight="1">
      <c r="B20" s="9" t="inlineStr">
        <is>
          <t xml:space="preserve">  GOOD TO KNOW</t>
        </is>
      </c>
    </row>
    <row r="21" ht="22" customHeight="1">
      <c r="B21" s="10" t="inlineStr">
        <is>
          <t>Sample data for a fictional saver (Copper &amp; Clover, June) is included so you can see how it all connects — just type over it with your own funds and goals. The monthly set-aside your sinking funds need, and whether you're on pace, are the two numbers that decide whether a big bill is a crisis or a non-event, and they roll into a live Savings Score. The 100-Envelope Challenge totals $5,050 and the 52-Week Challenge totals $1,378 — both are built in and tracked. Twelve matching printable pages (sinking-fund worksheet, envelope grid, 52-week tracker, savings thermometer &amp; more) are included. This is a budgeting &amp; organizing tool, not financial advice.</t>
        </is>
      </c>
    </row>
    <row r="22" ht="22" customHeight="1">
      <c r="B22" s="11" t="n"/>
    </row>
    <row r="23" ht="22" customHeight="1">
      <c r="B23" s="11" t="n"/>
    </row>
    <row r="25">
      <c r="B25" s="4" t="inlineStr">
        <is>
          <t>A bill you saved for is just a purchase. A bill you didn't is an emergency.</t>
        </is>
      </c>
    </row>
  </sheetData>
  <mergeCells count="14">
    <mergeCell ref="B17"/>
    <mergeCell ref="B12"/>
    <mergeCell ref="B13"/>
    <mergeCell ref="A1:C1"/>
    <mergeCell ref="B15"/>
    <mergeCell ref="B11"/>
    <mergeCell ref="B21:B23"/>
    <mergeCell ref="B6:B9"/>
    <mergeCell ref="B16"/>
    <mergeCell ref="B20"/>
    <mergeCell ref="B25"/>
    <mergeCell ref="B5"/>
    <mergeCell ref="B14"/>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1"/>
  <sheetViews>
    <sheetView showGridLines="0" workbookViewId="0">
      <selection activeCell="A1" sqref="A1"/>
    </sheetView>
  </sheetViews>
  <sheetFormatPr baseColWidth="8" defaultRowHeight="15"/>
  <cols>
    <col width="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2" customWidth="1" min="14" max="14"/>
  </cols>
  <sheetData>
    <row r="1" ht="56" customHeight="1">
      <c r="A1" s="1" t="inlineStr">
        <is>
          <t xml:space="preserve">  🫙  SAVINGS CHALLENGE &amp; SINKING FUNDS COMMAND CENTER™</t>
        </is>
      </c>
    </row>
    <row r="2" ht="24" customHeight="1">
      <c r="A2" s="2" t="inlineStr">
        <is>
          <t xml:space="preserve">  Funds, challenges, streak &amp; a Savings Score — every saved dollar, named.</t>
        </is>
      </c>
    </row>
    <row r="3" ht="6" customHeight="1">
      <c r="A3" s="3" t="n"/>
      <c r="B3" s="3" t="n"/>
      <c r="C3" s="3" t="n"/>
      <c r="D3" s="3" t="n"/>
      <c r="E3" s="3" t="n"/>
      <c r="F3" s="3" t="n"/>
      <c r="G3" s="3" t="n"/>
      <c r="H3" s="3" t="n"/>
      <c r="I3" s="3" t="n"/>
      <c r="J3" s="3" t="n"/>
      <c r="K3" s="3" t="n"/>
      <c r="L3" s="3" t="n"/>
      <c r="M3" s="3" t="n"/>
      <c r="N3" s="3" t="n"/>
    </row>
    <row r="5" ht="18" customHeight="1">
      <c r="B5" s="12" t="inlineStr">
        <is>
          <t>FUNDS TARGET</t>
        </is>
      </c>
      <c r="C5" s="13" t="n"/>
      <c r="D5" s="12" t="inlineStr">
        <is>
          <t>FUNDS SAVED</t>
        </is>
      </c>
      <c r="E5" s="13" t="n"/>
      <c r="F5" s="12" t="inlineStr">
        <is>
          <t>MONTHLY SET-ASIDE</t>
        </is>
      </c>
      <c r="G5" s="13" t="n"/>
      <c r="H5" s="12" t="inlineStr">
        <is>
          <t>ON PACE</t>
        </is>
      </c>
      <c r="I5" s="13" t="n"/>
      <c r="J5" s="12" t="inlineStr">
        <is>
          <t>EMERGENCY FUND</t>
        </is>
      </c>
      <c r="K5" s="13" t="n"/>
      <c r="L5" s="12" t="inlineStr">
        <is>
          <t>TOTAL SAVED</t>
        </is>
      </c>
      <c r="M5" s="13" t="n"/>
    </row>
    <row r="6" ht="40" customHeight="1">
      <c r="B6" s="14">
        <f>FundsTarget</f>
        <v/>
      </c>
      <c r="C6" s="15" t="n"/>
      <c r="D6" s="14">
        <f>FundsSaved</f>
        <v/>
      </c>
      <c r="E6" s="15" t="n"/>
      <c r="F6" s="14">
        <f>MonthlyNeed</f>
        <v/>
      </c>
      <c r="G6" s="15" t="n"/>
      <c r="H6" s="16">
        <f>OnPace</f>
        <v/>
      </c>
      <c r="I6" s="15" t="n"/>
      <c r="J6" s="14">
        <f>EFCurrent</f>
        <v/>
      </c>
      <c r="K6" s="15" t="n"/>
      <c r="L6" s="14">
        <f>TotalSaved</f>
        <v/>
      </c>
      <c r="M6" s="15" t="n"/>
    </row>
    <row r="8" ht="18" customHeight="1">
      <c r="B8" s="12" t="inlineStr">
        <is>
          <t>100 ENVELOPE</t>
        </is>
      </c>
      <c r="C8" s="13" t="n"/>
      <c r="D8" s="12" t="inlineStr">
        <is>
          <t>52-WEEK</t>
        </is>
      </c>
      <c r="E8" s="13" t="n"/>
      <c r="F8" s="12" t="inlineStr">
        <is>
          <t>ACTIVE CHALLENGES</t>
        </is>
      </c>
      <c r="G8" s="13" t="n"/>
      <c r="H8" s="12" t="inlineStr">
        <is>
          <t>SAVED THIS MONTH</t>
        </is>
      </c>
      <c r="I8" s="13" t="n"/>
      <c r="J8" s="12" t="inlineStr">
        <is>
          <t>SAVINGS STREAK</t>
        </is>
      </c>
      <c r="K8" s="13" t="n"/>
      <c r="L8" s="12" t="inlineStr">
        <is>
          <t>SAVINGS SCORE</t>
        </is>
      </c>
      <c r="M8" s="13" t="n"/>
    </row>
    <row r="9" ht="40" customHeight="1">
      <c r="B9" s="14">
        <f>EnvelopeTotal</f>
        <v/>
      </c>
      <c r="C9" s="15" t="n"/>
      <c r="D9" s="14">
        <f>Week52Total</f>
        <v/>
      </c>
      <c r="E9" s="15" t="n"/>
      <c r="F9" s="17">
        <f>ActiveChallenges</f>
        <v/>
      </c>
      <c r="G9" s="15" t="n"/>
      <c r="H9" s="14">
        <f>ThisMonthSaved</f>
        <v/>
      </c>
      <c r="I9" s="15" t="n"/>
      <c r="J9" s="17">
        <f>StreakDays</f>
        <v/>
      </c>
      <c r="K9" s="15" t="n"/>
      <c r="L9" s="16">
        <f>IFERROR(AVERAGE(HealthRange),0)</f>
        <v/>
      </c>
      <c r="M9" s="15" t="n"/>
    </row>
    <row r="11" ht="26" customHeight="1">
      <c r="B11" s="4" t="inlineStr">
        <is>
          <t>SAVINGS HEALTH</t>
        </is>
      </c>
      <c r="H11" s="4" t="inlineStr">
        <is>
          <t>SAVED BY MONTH</t>
        </is>
      </c>
    </row>
    <row r="12" ht="30" customHeight="1">
      <c r="B12" s="9" t="inlineStr">
        <is>
          <t>Check</t>
        </is>
      </c>
      <c r="C12" s="9" t="inlineStr">
        <is>
          <t>Score</t>
        </is>
      </c>
      <c r="D12" s="9" t="inlineStr">
        <is>
          <t>Status</t>
        </is>
      </c>
    </row>
    <row r="13">
      <c r="B13" s="18" t="inlineStr">
        <is>
          <t>Sinking funds on pace</t>
        </is>
      </c>
      <c r="C13" s="19">
        <f>IFERROR(MIN(FundsSaved/ExpectedToDate,1),0)</f>
        <v/>
      </c>
      <c r="D13" s="20">
        <f>IF(C13&gt;=0.85,"Strong",IF(C13&gt;=0.6,"OK","Watch"))</f>
        <v/>
      </c>
    </row>
    <row r="14">
      <c r="B14" s="21" t="inlineStr">
        <is>
          <t>Emergency fund funded</t>
        </is>
      </c>
      <c r="C14" s="22">
        <f>IFERROR(MIN(EFCurrent/EFGoal,1),0)</f>
        <v/>
      </c>
      <c r="D14" s="23">
        <f>IF(C14&gt;=0.85,"Strong",IF(C14&gt;=0.6,"OK","Watch"))</f>
        <v/>
      </c>
    </row>
    <row r="15">
      <c r="B15" s="18" t="inlineStr">
        <is>
          <t>Challenges running</t>
        </is>
      </c>
      <c r="C15" s="19">
        <f>IFERROR(MIN(ActiveChallenges/ChallengeGoal,1),0)</f>
        <v/>
      </c>
      <c r="D15" s="20">
        <f>IF(C15&gt;=0.85,"Strong",IF(C15&gt;=0.6,"OK","Watch"))</f>
        <v/>
      </c>
    </row>
    <row r="16">
      <c r="B16" s="21" t="inlineStr">
        <is>
          <t>Hitting monthly goal</t>
        </is>
      </c>
      <c r="C16" s="22">
        <f>IFERROR(MIN(ThisMonthSaved/MonthlySaveGoal,1),0)</f>
        <v/>
      </c>
      <c r="D16" s="23">
        <f>IF(C16&gt;=0.85,"Strong",IF(C16&gt;=0.6,"OK","Watch"))</f>
        <v/>
      </c>
    </row>
    <row r="17">
      <c r="B17" s="18" t="inlineStr">
        <is>
          <t>Every bill has a fund</t>
        </is>
      </c>
      <c r="C17" s="19">
        <f>IFERROR(MIN(FundCount/FundsGoalCount,1),0)</f>
        <v/>
      </c>
      <c r="D17" s="20">
        <f>IF(C17&gt;=0.85,"Strong",IF(C17&gt;=0.6,"OK","Watch"))</f>
        <v/>
      </c>
    </row>
    <row r="18">
      <c r="B18" s="21" t="inlineStr">
        <is>
          <t>Savings streak</t>
        </is>
      </c>
      <c r="C18" s="22">
        <f>IFERROR(MIN(StreakDays/StreakGoal,1),0)</f>
        <v/>
      </c>
      <c r="D18" s="23">
        <f>IF(C18&gt;=0.85,"Strong",IF(C18&gt;=0.6,"OK","Watch"))</f>
        <v/>
      </c>
    </row>
    <row r="21" ht="26" customHeight="1">
      <c r="B21" s="2" t="inlineStr">
        <is>
          <t>Savings Challenge &amp; Sinking Funds Command Center™ — give every saved dollar a name.</t>
        </is>
      </c>
    </row>
  </sheetData>
  <mergeCells count="29">
    <mergeCell ref="J5:K5"/>
    <mergeCell ref="F6:G6"/>
    <mergeCell ref="H11:M11"/>
    <mergeCell ref="H9:I9"/>
    <mergeCell ref="A1:N1"/>
    <mergeCell ref="J9:K9"/>
    <mergeCell ref="D6:E6"/>
    <mergeCell ref="H6:I6"/>
    <mergeCell ref="J6:K6"/>
    <mergeCell ref="B21:M21"/>
    <mergeCell ref="F5:G5"/>
    <mergeCell ref="L5:M5"/>
    <mergeCell ref="L8:M8"/>
    <mergeCell ref="B8:C8"/>
    <mergeCell ref="F8:G8"/>
    <mergeCell ref="A2:N2"/>
    <mergeCell ref="B9:C9"/>
    <mergeCell ref="D9:E9"/>
    <mergeCell ref="F9:G9"/>
    <mergeCell ref="L9:M9"/>
    <mergeCell ref="D8:E8"/>
    <mergeCell ref="B6:C6"/>
    <mergeCell ref="L6:M6"/>
    <mergeCell ref="B5:C5"/>
    <mergeCell ref="D5:E5"/>
    <mergeCell ref="H5:I5"/>
    <mergeCell ref="H8:I8"/>
    <mergeCell ref="J8:K8"/>
    <mergeCell ref="B11:G11"/>
  </mergeCells>
  <conditionalFormatting sqref="C13:C18">
    <cfRule type="colorScale" priority="1">
      <colorScale>
        <cfvo type="num" val="0"/>
        <cfvo type="num" val="0.5"/>
        <cfvo type="num" val="1"/>
        <color rgb="FFFBF0E2"/>
        <color rgb="FFFFF3CD"/>
        <color rgb="FF75E6C1"/>
      </colorScale>
    </cfRule>
  </conditionalFormatting>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G17"/>
  <sheetViews>
    <sheetView showGridLines="0" workbookViewId="0">
      <pane ySplit="4" topLeftCell="A5" activePane="bottomLeft" state="frozen"/>
      <selection pane="bottomLeft" activeCell="A1" sqref="A1"/>
    </sheetView>
  </sheetViews>
  <sheetFormatPr baseColWidth="8" defaultRowHeight="15"/>
  <cols>
    <col width="2" customWidth="1" min="1" max="1"/>
    <col width="26" customWidth="1" min="2" max="2"/>
    <col width="16" customWidth="1" min="3" max="3"/>
    <col width="14" customWidth="1" min="4" max="4"/>
    <col width="14" customWidth="1" min="5" max="5"/>
    <col width="14" customWidth="1" min="6" max="6"/>
    <col width="16" customWidth="1" min="7" max="7"/>
    <col width="2" customWidth="1" min="8" max="8"/>
  </cols>
  <sheetData>
    <row r="1" ht="46" customHeight="1">
      <c r="A1" s="1" t="inlineStr">
        <is>
          <t xml:space="preserve">  🫙  SINKING FUNDS</t>
        </is>
      </c>
    </row>
    <row r="2" ht="22" customHeight="1">
      <c r="A2" s="2" t="inlineStr">
        <is>
          <t xml:space="preserve">  Every non-monthly bill, divided by the months you have — this is the engine of a calm budget.</t>
        </is>
      </c>
    </row>
    <row r="3" ht="6" customHeight="1">
      <c r="A3" s="3" t="n"/>
      <c r="B3" s="3" t="n"/>
      <c r="C3" s="3" t="n"/>
      <c r="D3" s="3" t="n"/>
      <c r="E3" s="3" t="n"/>
      <c r="F3" s="3" t="n"/>
      <c r="G3" s="3" t="n"/>
    </row>
    <row r="4" ht="30" customHeight="1">
      <c r="B4" s="9" t="inlineStr">
        <is>
          <t>Fund</t>
        </is>
      </c>
      <c r="C4" s="9" t="inlineStr">
        <is>
          <t>Category</t>
        </is>
      </c>
      <c r="D4" s="9" t="inlineStr">
        <is>
          <t>Target</t>
        </is>
      </c>
      <c r="E4" s="9" t="inlineStr">
        <is>
          <t>Saved</t>
        </is>
      </c>
      <c r="F4" s="9" t="inlineStr">
        <is>
          <t>% Full</t>
        </is>
      </c>
      <c r="G4" s="9" t="inlineStr">
        <is>
          <t>Monthly Set-Aside</t>
        </is>
      </c>
    </row>
    <row r="5">
      <c r="B5" s="18" t="inlineStr">
        <is>
          <t>Christmas &amp; holidays</t>
        </is>
      </c>
      <c r="C5" s="20" t="inlineStr">
        <is>
          <t>Holiday</t>
        </is>
      </c>
      <c r="D5" s="24" t="n">
        <v>1200</v>
      </c>
      <c r="E5" s="24" t="n">
        <v>800</v>
      </c>
      <c r="F5" s="19">
        <f>IFERROR(E5/D5,0)</f>
        <v/>
      </c>
      <c r="G5" s="25">
        <f>IFERROR(D5/12,0)</f>
        <v/>
      </c>
    </row>
    <row r="6">
      <c r="B6" s="21" t="inlineStr">
        <is>
          <t>Car maintenance</t>
        </is>
      </c>
      <c r="C6" s="23" t="inlineStr">
        <is>
          <t>Car</t>
        </is>
      </c>
      <c r="D6" s="26" t="n">
        <v>900</v>
      </c>
      <c r="E6" s="26" t="n">
        <v>600</v>
      </c>
      <c r="F6" s="22">
        <f>IFERROR(E6/D6,0)</f>
        <v/>
      </c>
      <c r="G6" s="27">
        <f>IFERROR(D6/12,0)</f>
        <v/>
      </c>
    </row>
    <row r="7">
      <c r="B7" s="18" t="inlineStr">
        <is>
          <t>Vacation</t>
        </is>
      </c>
      <c r="C7" s="20" t="inlineStr">
        <is>
          <t>Travel</t>
        </is>
      </c>
      <c r="D7" s="24" t="n">
        <v>2400</v>
      </c>
      <c r="E7" s="24" t="n">
        <v>1600</v>
      </c>
      <c r="F7" s="19">
        <f>IFERROR(E7/D7,0)</f>
        <v/>
      </c>
      <c r="G7" s="25">
        <f>IFERROR(D7/12,0)</f>
        <v/>
      </c>
    </row>
    <row r="8">
      <c r="B8" s="21" t="inlineStr">
        <is>
          <t>Home repairs</t>
        </is>
      </c>
      <c r="C8" s="23" t="inlineStr">
        <is>
          <t>Home</t>
        </is>
      </c>
      <c r="D8" s="26" t="n">
        <v>1500</v>
      </c>
      <c r="E8" s="26" t="n">
        <v>1000</v>
      </c>
      <c r="F8" s="22">
        <f>IFERROR(E8/D8,0)</f>
        <v/>
      </c>
      <c r="G8" s="27">
        <f>IFERROR(D8/12,0)</f>
        <v/>
      </c>
    </row>
    <row r="9">
      <c r="B9" s="18" t="inlineStr">
        <is>
          <t>Insurance premiums</t>
        </is>
      </c>
      <c r="C9" s="20" t="inlineStr">
        <is>
          <t>Annual bill</t>
        </is>
      </c>
      <c r="D9" s="24" t="n">
        <v>1200</v>
      </c>
      <c r="E9" s="24" t="n">
        <v>800</v>
      </c>
      <c r="F9" s="19">
        <f>IFERROR(E9/D9,0)</f>
        <v/>
      </c>
      <c r="G9" s="25">
        <f>IFERROR(D9/12,0)</f>
        <v/>
      </c>
    </row>
    <row r="10">
      <c r="B10" s="21" t="inlineStr">
        <is>
          <t>Gifts &amp; birthdays</t>
        </is>
      </c>
      <c r="C10" s="23" t="inlineStr">
        <is>
          <t>Gifts</t>
        </is>
      </c>
      <c r="D10" s="26" t="n">
        <v>600</v>
      </c>
      <c r="E10" s="26" t="n">
        <v>400</v>
      </c>
      <c r="F10" s="22">
        <f>IFERROR(E10/D10,0)</f>
        <v/>
      </c>
      <c r="G10" s="27">
        <f>IFERROR(D10/12,0)</f>
        <v/>
      </c>
    </row>
    <row r="11">
      <c r="B11" s="18" t="inlineStr">
        <is>
          <t>Medical &amp; dental</t>
        </is>
      </c>
      <c r="C11" s="20" t="inlineStr">
        <is>
          <t>Health</t>
        </is>
      </c>
      <c r="D11" s="24" t="n">
        <v>800</v>
      </c>
      <c r="E11" s="24" t="n">
        <v>533</v>
      </c>
      <c r="F11" s="19">
        <f>IFERROR(E11/D11,0)</f>
        <v/>
      </c>
      <c r="G11" s="25">
        <f>IFERROR(D11/12,0)</f>
        <v/>
      </c>
    </row>
    <row r="12">
      <c r="B12" s="21" t="inlineStr">
        <is>
          <t>Pet care</t>
        </is>
      </c>
      <c r="C12" s="23" t="inlineStr">
        <is>
          <t>Other</t>
        </is>
      </c>
      <c r="D12" s="26" t="n">
        <v>400</v>
      </c>
      <c r="E12" s="26" t="n">
        <v>267</v>
      </c>
      <c r="F12" s="22">
        <f>IFERROR(E12/D12,0)</f>
        <v/>
      </c>
      <c r="G12" s="27">
        <f>IFERROR(D12/12,0)</f>
        <v/>
      </c>
    </row>
    <row r="13">
      <c r="B13" s="9" t="inlineStr">
        <is>
          <t>ALL FUNDS</t>
        </is>
      </c>
      <c r="C13" s="28" t="n"/>
      <c r="D13" s="29">
        <f>SUM(FundTarget)</f>
        <v/>
      </c>
      <c r="E13" s="30">
        <f>SUM(FundSaved)</f>
        <v/>
      </c>
      <c r="F13" s="31">
        <f>IFERROR(E13/D13,0)</f>
        <v/>
      </c>
      <c r="G13" s="32">
        <f>D13/12</f>
        <v/>
      </c>
    </row>
    <row r="15">
      <c r="B15" s="33" t="inlineStr">
        <is>
          <t>Where you should be by now (months in ÷ 12)</t>
        </is>
      </c>
      <c r="D15" s="34">
        <f>FundsTarget*MonthsIn/12</f>
        <v/>
      </c>
    </row>
    <row r="16">
      <c r="B16" s="9">
        <f> ON PACE?</f>
        <v/>
      </c>
      <c r="D16" s="35">
        <f>IFERROR(MIN(FundsSaved/ExpectedToDate,1),0)</f>
        <v/>
      </c>
    </row>
    <row r="17">
      <c r="B17" s="33" t="inlineStr">
        <is>
          <t>Funds set up</t>
        </is>
      </c>
      <c r="D17" s="36">
        <f>COUNTA(FundName)</f>
        <v/>
      </c>
    </row>
  </sheetData>
  <mergeCells count="2">
    <mergeCell ref="A2:G2"/>
    <mergeCell ref="A1:G1"/>
  </mergeCells>
  <conditionalFormatting sqref="F5:F12">
    <cfRule type="dataBar" priority="1">
      <dataBar>
        <cfvo type="num" val="0"/>
        <cfvo type="num" val="1"/>
        <color rgb="0075E6C1"/>
      </dataBar>
    </cfRule>
  </conditionalFormatting>
  <dataValidations count="1">
    <dataValidation sqref="C5:C12" showDropDown="0" showInputMessage="0" showErrorMessage="0" allowBlank="1" type="list">
      <formula1>=FundCatList</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0"/>
  <sheetViews>
    <sheetView showGridLines="0" workbookViewId="0">
      <pane ySplit="7" topLeftCell="A8" activePane="bottomLeft" state="frozen"/>
      <selection pane="bottomLeft" activeCell="A1" sqref="A1"/>
    </sheetView>
  </sheetViews>
  <sheetFormatPr baseColWidth="8" defaultRowHeight="15"/>
  <cols>
    <col width="2" customWidth="1" min="1" max="1"/>
    <col width="16" customWidth="1" min="2" max="2"/>
    <col width="16" customWidth="1" min="3" max="3"/>
    <col width="14" customWidth="1" min="4" max="4"/>
    <col width="2" customWidth="1" min="5" max="5"/>
  </cols>
  <sheetData>
    <row r="1" ht="46" customHeight="1">
      <c r="A1" s="1" t="inlineStr">
        <is>
          <t xml:space="preserve">  ✉  100 ENVELOPE CHALLENGE</t>
        </is>
      </c>
    </row>
    <row r="2" ht="22" customHeight="1">
      <c r="A2" s="2" t="inlineStr">
        <is>
          <t xml:space="preserve">  Number 100 envelopes 1–100, pull one at random each day, and stuff it. Finish and you've saved $5,050.</t>
        </is>
      </c>
    </row>
    <row r="3" ht="6" customHeight="1">
      <c r="A3" s="3" t="n"/>
      <c r="B3" s="3" t="n"/>
      <c r="C3" s="3" t="n"/>
      <c r="D3" s="3" t="n"/>
    </row>
    <row r="5">
      <c r="B5" s="33" t="inlineStr">
        <is>
          <t>Challenge total (1+2+…+100)</t>
        </is>
      </c>
      <c r="C5" s="37" t="n">
        <v>5050</v>
      </c>
    </row>
    <row r="7" ht="30" customHeight="1">
      <c r="B7" s="9" t="inlineStr">
        <is>
          <t>Envelope #</t>
        </is>
      </c>
      <c r="C7" s="9" t="inlineStr">
        <is>
          <t>Amount</t>
        </is>
      </c>
      <c r="D7" s="9" t="inlineStr">
        <is>
          <t>Stuffed?</t>
        </is>
      </c>
    </row>
    <row r="8">
      <c r="B8" s="20" t="n">
        <v>7</v>
      </c>
      <c r="C8" s="24" t="n">
        <v>7</v>
      </c>
      <c r="D8" s="20" t="inlineStr">
        <is>
          <t>Yes</t>
        </is>
      </c>
    </row>
    <row r="9">
      <c r="B9" s="23" t="n">
        <v>23</v>
      </c>
      <c r="C9" s="26" t="n">
        <v>23</v>
      </c>
      <c r="D9" s="23" t="inlineStr">
        <is>
          <t>Yes</t>
        </is>
      </c>
    </row>
    <row r="10">
      <c r="B10" s="20" t="n">
        <v>41</v>
      </c>
      <c r="C10" s="24" t="n">
        <v>41</v>
      </c>
      <c r="D10" s="20" t="inlineStr">
        <is>
          <t>Yes</t>
        </is>
      </c>
    </row>
    <row r="11">
      <c r="B11" s="23" t="n">
        <v>58</v>
      </c>
      <c r="C11" s="26" t="n">
        <v>58</v>
      </c>
      <c r="D11" s="23" t="inlineStr">
        <is>
          <t>Yes</t>
        </is>
      </c>
    </row>
    <row r="12">
      <c r="B12" s="20" t="n">
        <v>66</v>
      </c>
      <c r="C12" s="24" t="n">
        <v>66</v>
      </c>
      <c r="D12" s="20" t="inlineStr">
        <is>
          <t>Yes</t>
        </is>
      </c>
    </row>
    <row r="13">
      <c r="B13" s="23" t="n">
        <v>79</v>
      </c>
      <c r="C13" s="26" t="n">
        <v>79</v>
      </c>
      <c r="D13" s="23" t="inlineStr">
        <is>
          <t>Yes</t>
        </is>
      </c>
    </row>
    <row r="14">
      <c r="B14" s="20" t="n">
        <v>84</v>
      </c>
      <c r="C14" s="24" t="n">
        <v>84</v>
      </c>
      <c r="D14" s="20" t="inlineStr">
        <is>
          <t>No</t>
        </is>
      </c>
    </row>
    <row r="15">
      <c r="B15" s="23" t="n">
        <v>92</v>
      </c>
      <c r="C15" s="26" t="n">
        <v>92</v>
      </c>
      <c r="D15" s="23" t="inlineStr">
        <is>
          <t>No</t>
        </is>
      </c>
    </row>
    <row r="16">
      <c r="B16" s="20" t="n">
        <v>97</v>
      </c>
      <c r="C16" s="24" t="n">
        <v>97</v>
      </c>
      <c r="D16" s="20" t="inlineStr">
        <is>
          <t>No</t>
        </is>
      </c>
    </row>
    <row r="17">
      <c r="B17" s="23" t="n">
        <v>100</v>
      </c>
      <c r="C17" s="26" t="n">
        <v>100</v>
      </c>
      <c r="D17" s="23" t="inlineStr">
        <is>
          <t>No</t>
        </is>
      </c>
    </row>
    <row r="18">
      <c r="B18" s="9" t="inlineStr">
        <is>
          <t>STUFFED SO FAR</t>
        </is>
      </c>
      <c r="C18" s="38">
        <f>SUMIF(EnvDone,"Yes",EnvAmt)</f>
        <v/>
      </c>
      <c r="D18" s="39">
        <f>COUNTIF(EnvDone,"Yes")&amp;" done"</f>
        <v/>
      </c>
    </row>
    <row r="20">
      <c r="B20" s="4" t="inlineStr">
        <is>
          <t>Add rows 1–100 and pull one at random each day — the randomness is the fun.</t>
        </is>
      </c>
    </row>
  </sheetData>
  <mergeCells count="2">
    <mergeCell ref="A1:D1"/>
    <mergeCell ref="A2:D2"/>
  </mergeCells>
  <dataValidations count="1">
    <dataValidation sqref="D8:D17" showDropDown="0" showInputMessage="0" showErrorMessage="0" allowBlank="1" type="list">
      <formula1>=YesNoList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2"/>
  <sheetViews>
    <sheetView showGridLines="0" workbookViewId="0">
      <pane ySplit="7" topLeftCell="A8" activePane="bottomLeft" state="frozen"/>
      <selection pane="bottomLeft" activeCell="A1" sqref="A1"/>
    </sheetView>
  </sheetViews>
  <sheetFormatPr baseColWidth="8" defaultRowHeight="15"/>
  <cols>
    <col width="2" customWidth="1" min="1" max="1"/>
    <col width="14" customWidth="1" min="2" max="2"/>
    <col width="16" customWidth="1" min="3" max="3"/>
    <col width="14" customWidth="1" min="4" max="4"/>
    <col width="2" customWidth="1" min="5" max="5"/>
  </cols>
  <sheetData>
    <row r="1" ht="46" customHeight="1">
      <c r="A1" s="1" t="inlineStr">
        <is>
          <t xml:space="preserve">  📅  52-WEEK CHALLENGE</t>
        </is>
      </c>
    </row>
    <row r="2" ht="22" customHeight="1">
      <c r="A2" s="2" t="inlineStr">
        <is>
          <t xml:space="preserve">  Save $1 in week 1, $2 in week 2, all the way to $52. Finish the year up $1,378.</t>
        </is>
      </c>
    </row>
    <row r="3" ht="6" customHeight="1">
      <c r="A3" s="3" t="n"/>
      <c r="B3" s="3" t="n"/>
      <c r="C3" s="3" t="n"/>
      <c r="D3" s="3" t="n"/>
    </row>
    <row r="5">
      <c r="B5" s="33" t="inlineStr">
        <is>
          <t>Challenge total (1+2+…+52)</t>
        </is>
      </c>
      <c r="C5" s="37" t="n">
        <v>1378</v>
      </c>
    </row>
    <row r="7" ht="30" customHeight="1">
      <c r="B7" s="9" t="inlineStr">
        <is>
          <t>Week</t>
        </is>
      </c>
      <c r="C7" s="9" t="inlineStr">
        <is>
          <t>Amount</t>
        </is>
      </c>
      <c r="D7" s="9" t="inlineStr">
        <is>
          <t>Saved?</t>
        </is>
      </c>
    </row>
    <row r="8">
      <c r="B8" s="20" t="n">
        <v>1</v>
      </c>
      <c r="C8" s="24" t="n">
        <v>1</v>
      </c>
      <c r="D8" s="20" t="inlineStr">
        <is>
          <t>Yes</t>
        </is>
      </c>
    </row>
    <row r="9">
      <c r="B9" s="23" t="n">
        <v>2</v>
      </c>
      <c r="C9" s="26" t="n">
        <v>2</v>
      </c>
      <c r="D9" s="23" t="inlineStr">
        <is>
          <t>Yes</t>
        </is>
      </c>
    </row>
    <row r="10">
      <c r="B10" s="20" t="n">
        <v>3</v>
      </c>
      <c r="C10" s="24" t="n">
        <v>3</v>
      </c>
      <c r="D10" s="20" t="inlineStr">
        <is>
          <t>Yes</t>
        </is>
      </c>
    </row>
    <row r="11">
      <c r="B11" s="23" t="n">
        <v>4</v>
      </c>
      <c r="C11" s="26" t="n">
        <v>4</v>
      </c>
      <c r="D11" s="23" t="inlineStr">
        <is>
          <t>Yes</t>
        </is>
      </c>
    </row>
    <row r="12">
      <c r="B12" s="20" t="n">
        <v>5</v>
      </c>
      <c r="C12" s="24" t="n">
        <v>5</v>
      </c>
      <c r="D12" s="20" t="inlineStr">
        <is>
          <t>Yes</t>
        </is>
      </c>
    </row>
    <row r="13">
      <c r="B13" s="23" t="n">
        <v>6</v>
      </c>
      <c r="C13" s="26" t="n">
        <v>6</v>
      </c>
      <c r="D13" s="23" t="inlineStr">
        <is>
          <t>Yes</t>
        </is>
      </c>
    </row>
    <row r="14">
      <c r="B14" s="20" t="n">
        <v>7</v>
      </c>
      <c r="C14" s="24" t="n">
        <v>7</v>
      </c>
      <c r="D14" s="20" t="inlineStr">
        <is>
          <t>Yes</t>
        </is>
      </c>
    </row>
    <row r="15">
      <c r="B15" s="23" t="n">
        <v>8</v>
      </c>
      <c r="C15" s="26" t="n">
        <v>8</v>
      </c>
      <c r="D15" s="23" t="inlineStr">
        <is>
          <t>Yes</t>
        </is>
      </c>
    </row>
    <row r="16">
      <c r="B16" s="20" t="n">
        <v>9</v>
      </c>
      <c r="C16" s="24" t="n">
        <v>9</v>
      </c>
      <c r="D16" s="20" t="inlineStr">
        <is>
          <t>No</t>
        </is>
      </c>
    </row>
    <row r="17">
      <c r="B17" s="23" t="n">
        <v>10</v>
      </c>
      <c r="C17" s="26" t="n">
        <v>10</v>
      </c>
      <c r="D17" s="23" t="inlineStr">
        <is>
          <t>No</t>
        </is>
      </c>
    </row>
    <row r="18">
      <c r="B18" s="20" t="n">
        <v>11</v>
      </c>
      <c r="C18" s="24" t="n">
        <v>11</v>
      </c>
      <c r="D18" s="20" t="inlineStr">
        <is>
          <t>No</t>
        </is>
      </c>
    </row>
    <row r="19">
      <c r="B19" s="23" t="n">
        <v>12</v>
      </c>
      <c r="C19" s="26" t="n">
        <v>12</v>
      </c>
      <c r="D19" s="23" t="inlineStr">
        <is>
          <t>No</t>
        </is>
      </c>
    </row>
    <row r="20">
      <c r="B20" s="9" t="inlineStr">
        <is>
          <t>SAVED SO FAR</t>
        </is>
      </c>
      <c r="C20" s="38">
        <f>SUMIF(WkDone,"Yes",WkAmt)</f>
        <v/>
      </c>
      <c r="D20" s="39">
        <f>COUNTIF(WkDone,"Yes")&amp;" wks"</f>
        <v/>
      </c>
    </row>
    <row r="22">
      <c r="B22" s="4" t="inlineStr">
        <is>
          <t>Flip it — start at $52 in January while motivation is high, end on $1.</t>
        </is>
      </c>
    </row>
  </sheetData>
  <mergeCells count="2">
    <mergeCell ref="A1:D1"/>
    <mergeCell ref="A2:D2"/>
  </mergeCells>
  <dataValidations count="1">
    <dataValidation sqref="D8:D19" showDropDown="0" showInputMessage="0" showErrorMessage="0" allowBlank="1" type="list">
      <formula1>=YesNoList</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0"/>
  <sheetViews>
    <sheetView showGridLines="0" workbookViewId="0">
      <pane ySplit="4" topLeftCell="A5" activePane="bottomLeft" state="frozen"/>
      <selection pane="bottomLeft" activeCell="A1" sqref="A1"/>
    </sheetView>
  </sheetViews>
  <sheetFormatPr baseColWidth="8" defaultRowHeight="15"/>
  <cols>
    <col width="2" customWidth="1" min="1" max="1"/>
    <col width="28" customWidth="1" min="2" max="2"/>
    <col width="16" customWidth="1" min="3" max="3"/>
    <col width="16" customWidth="1" min="4" max="4"/>
    <col width="14" customWidth="1" min="5" max="5"/>
    <col width="14" customWidth="1" min="6" max="6"/>
    <col width="2" customWidth="1" min="7" max="7"/>
  </cols>
  <sheetData>
    <row r="1" ht="46" customHeight="1">
      <c r="A1" s="1" t="inlineStr">
        <is>
          <t xml:space="preserve">  🏆  CHALLENGES</t>
        </is>
      </c>
    </row>
    <row r="2" ht="22" customHeight="1">
      <c r="A2" s="2" t="inlineStr">
        <is>
          <t xml:space="preserve">  Every challenge you're running — target, progress and whether it's live right now.</t>
        </is>
      </c>
    </row>
    <row r="3" ht="6" customHeight="1">
      <c r="A3" s="3" t="n"/>
      <c r="B3" s="3" t="n"/>
      <c r="C3" s="3" t="n"/>
      <c r="D3" s="3" t="n"/>
      <c r="E3" s="3" t="n"/>
      <c r="F3" s="3" t="n"/>
    </row>
    <row r="4" ht="30" customHeight="1">
      <c r="B4" s="9" t="inlineStr">
        <is>
          <t>Challenge</t>
        </is>
      </c>
      <c r="C4" s="9" t="inlineStr">
        <is>
          <t>Target</t>
        </is>
      </c>
      <c r="D4" s="9" t="inlineStr">
        <is>
          <t>Saved</t>
        </is>
      </c>
      <c r="E4" s="9" t="inlineStr">
        <is>
          <t>% Done</t>
        </is>
      </c>
      <c r="F4" s="9" t="inlineStr">
        <is>
          <t>Active?</t>
        </is>
      </c>
    </row>
    <row r="5">
      <c r="B5" s="18" t="inlineStr">
        <is>
          <t>100 Envelope Challenge</t>
        </is>
      </c>
      <c r="C5" s="24" t="n">
        <v>5050</v>
      </c>
      <c r="D5" s="24" t="n">
        <v>274</v>
      </c>
      <c r="E5" s="19">
        <f>IFERROR(D5/C5,0)</f>
        <v/>
      </c>
      <c r="F5" s="20" t="inlineStr">
        <is>
          <t>Yes</t>
        </is>
      </c>
    </row>
    <row r="6">
      <c r="B6" s="21" t="inlineStr">
        <is>
          <t>52-Week Challenge</t>
        </is>
      </c>
      <c r="C6" s="26" t="n">
        <v>1378</v>
      </c>
      <c r="D6" s="26" t="n">
        <v>36</v>
      </c>
      <c r="E6" s="22">
        <f>IFERROR(D6/C6,0)</f>
        <v/>
      </c>
      <c r="F6" s="23" t="inlineStr">
        <is>
          <t>Yes</t>
        </is>
      </c>
    </row>
    <row r="7">
      <c r="B7" s="18" t="inlineStr">
        <is>
          <t>No-Spend Month</t>
        </is>
      </c>
      <c r="C7" s="24" t="n">
        <v>300</v>
      </c>
      <c r="D7" s="24" t="n">
        <v>300</v>
      </c>
      <c r="E7" s="19">
        <f>IFERROR(D7/C7,0)</f>
        <v/>
      </c>
      <c r="F7" s="20" t="inlineStr">
        <is>
          <t>Yes</t>
        </is>
      </c>
    </row>
    <row r="8">
      <c r="B8" s="21" t="inlineStr">
        <is>
          <t>$5 Bill Challenge</t>
        </is>
      </c>
      <c r="C8" s="26" t="n">
        <v>500</v>
      </c>
      <c r="D8" s="26" t="n">
        <v>145</v>
      </c>
      <c r="E8" s="22">
        <f>IFERROR(D8/C8,0)</f>
        <v/>
      </c>
      <c r="F8" s="23" t="inlineStr">
        <is>
          <t>No</t>
        </is>
      </c>
    </row>
    <row r="9">
      <c r="B9" s="18" t="inlineStr">
        <is>
          <t>Round-Up Challenge</t>
        </is>
      </c>
      <c r="C9" s="24" t="n">
        <v>400</v>
      </c>
      <c r="D9" s="24" t="n">
        <v>210</v>
      </c>
      <c r="E9" s="19">
        <f>IFERROR(D9/C9,0)</f>
        <v/>
      </c>
      <c r="F9" s="20" t="inlineStr">
        <is>
          <t>No</t>
        </is>
      </c>
    </row>
    <row r="10">
      <c r="B10" s="9" t="inlineStr">
        <is>
          <t>ACTIVE CHALLENGES</t>
        </is>
      </c>
      <c r="C10" s="40">
        <f>SUM(ChTarget)</f>
        <v/>
      </c>
      <c r="D10" s="38">
        <f>SUM(ChSaved)</f>
        <v/>
      </c>
      <c r="E10" s="28" t="n"/>
      <c r="F10" s="41">
        <f>COUNTIF(ChActive,"Yes")</f>
        <v/>
      </c>
    </row>
  </sheetData>
  <mergeCells count="2">
    <mergeCell ref="A2:F2"/>
    <mergeCell ref="A1:F1"/>
  </mergeCells>
  <conditionalFormatting sqref="E5:E9">
    <cfRule type="dataBar" priority="1">
      <dataBar>
        <cfvo type="num" val="0"/>
        <cfvo type="num" val="1"/>
        <color rgb="00C9A86A"/>
      </dataBar>
    </cfRule>
  </conditionalFormatting>
  <dataValidations count="1">
    <dataValidation sqref="F5:F9" showDropDown="0" showInputMessage="0" showErrorMessage="0" allowBlank="1" type="list">
      <formula1>=YesNoList</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9"/>
  <sheetViews>
    <sheetView showGridLines="0" workbookViewId="0">
      <pane ySplit="4" topLeftCell="A5" activePane="bottomLeft" state="frozen"/>
      <selection pane="bottomLeft" activeCell="A1" sqref="A1"/>
    </sheetView>
  </sheetViews>
  <sheetFormatPr baseColWidth="8" defaultRowHeight="15"/>
  <cols>
    <col width="2" customWidth="1" min="1" max="1"/>
    <col width="24" customWidth="1" min="2" max="2"/>
    <col width="14" customWidth="1" min="3" max="3"/>
    <col width="14" customWidth="1" min="4" max="4"/>
    <col width="14" customWidth="1" min="5" max="5"/>
    <col width="14" customWidth="1" min="6" max="6"/>
    <col width="2" customWidth="1" min="7" max="7"/>
  </cols>
  <sheetData>
    <row r="1" ht="46" customHeight="1">
      <c r="A1" s="1" t="inlineStr">
        <is>
          <t xml:space="preserve">  🎯  GOAL COUNTDOWN</t>
        </is>
      </c>
    </row>
    <row r="2" ht="22" customHeight="1">
      <c r="A2" s="2" t="inlineStr">
        <is>
          <t xml:space="preserve">  The things you're saving toward — how far along, how much is left, and by when.</t>
        </is>
      </c>
    </row>
    <row r="3" ht="6" customHeight="1">
      <c r="A3" s="3" t="n"/>
      <c r="B3" s="3" t="n"/>
      <c r="C3" s="3" t="n"/>
      <c r="D3" s="3" t="n"/>
      <c r="E3" s="3" t="n"/>
      <c r="F3" s="3" t="n"/>
    </row>
    <row r="4" ht="30" customHeight="1">
      <c r="B4" s="9" t="inlineStr">
        <is>
          <t>Goal</t>
        </is>
      </c>
      <c r="C4" s="9" t="inlineStr">
        <is>
          <t>Target</t>
        </is>
      </c>
      <c r="D4" s="9" t="inlineStr">
        <is>
          <t>Saved</t>
        </is>
      </c>
      <c r="E4" s="9" t="inlineStr">
        <is>
          <t>To Go</t>
        </is>
      </c>
      <c r="F4" s="9" t="inlineStr">
        <is>
          <t>Deadline</t>
        </is>
      </c>
    </row>
    <row r="5">
      <c r="B5" s="18" t="inlineStr">
        <is>
          <t>Christmas 2026</t>
        </is>
      </c>
      <c r="C5" s="24" t="n">
        <v>1200</v>
      </c>
      <c r="D5" s="24" t="n">
        <v>800</v>
      </c>
      <c r="E5" s="42">
        <f>MAX(C5-D5,0)</f>
        <v/>
      </c>
      <c r="F5" s="20" t="inlineStr">
        <is>
          <t>Dec 1</t>
        </is>
      </c>
    </row>
    <row r="6">
      <c r="B6" s="21" t="inlineStr">
        <is>
          <t>Summer trip</t>
        </is>
      </c>
      <c r="C6" s="26" t="n">
        <v>2400</v>
      </c>
      <c r="D6" s="26" t="n">
        <v>1600</v>
      </c>
      <c r="E6" s="43">
        <f>MAX(C6-D6,0)</f>
        <v/>
      </c>
      <c r="F6" s="23" t="inlineStr">
        <is>
          <t>Jun 1</t>
        </is>
      </c>
    </row>
    <row r="7">
      <c r="B7" s="18" t="inlineStr">
        <is>
          <t>New laptop</t>
        </is>
      </c>
      <c r="C7" s="24" t="n">
        <v>1400</v>
      </c>
      <c r="D7" s="24" t="n">
        <v>350</v>
      </c>
      <c r="E7" s="42">
        <f>MAX(C7-D7,0)</f>
        <v/>
      </c>
      <c r="F7" s="20" t="inlineStr">
        <is>
          <t>Oct 1</t>
        </is>
      </c>
    </row>
    <row r="8">
      <c r="B8" s="21" t="inlineStr">
        <is>
          <t>Car tires</t>
        </is>
      </c>
      <c r="C8" s="26" t="n">
        <v>900</v>
      </c>
      <c r="D8" s="26" t="n">
        <v>600</v>
      </c>
      <c r="E8" s="43">
        <f>MAX(C8-D8,0)</f>
        <v/>
      </c>
      <c r="F8" s="23" t="inlineStr">
        <is>
          <t>Nov 1</t>
        </is>
      </c>
    </row>
    <row r="9">
      <c r="B9" s="9" t="inlineStr">
        <is>
          <t>ALL GOALS</t>
        </is>
      </c>
      <c r="C9" s="40">
        <f>SUM(GoalTarget)</f>
        <v/>
      </c>
      <c r="D9" s="38">
        <f>SUM(GoalSaved)</f>
        <v/>
      </c>
      <c r="E9" s="44">
        <f>C9-D9</f>
        <v/>
      </c>
      <c r="F9" s="28" t="n"/>
    </row>
  </sheetData>
  <mergeCells count="2">
    <mergeCell ref="A2:F2"/>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5"/>
  <sheetViews>
    <sheetView showGridLines="0" workbookViewId="0">
      <pane ySplit="4" topLeftCell="A5" activePane="bottomLeft" state="frozen"/>
      <selection pane="bottomLeft" activeCell="A1" sqref="A1"/>
    </sheetView>
  </sheetViews>
  <sheetFormatPr baseColWidth="8" defaultRowHeight="15"/>
  <cols>
    <col width="2" customWidth="1" min="1" max="1"/>
    <col width="24" customWidth="1" min="2" max="2"/>
    <col width="14" customWidth="1" min="3" max="3"/>
    <col width="14" customWidth="1" min="4" max="4"/>
    <col width="14" customWidth="1" min="5" max="5"/>
    <col width="14" customWidth="1" min="6" max="6"/>
    <col width="2" customWidth="1" min="7" max="7"/>
  </cols>
  <sheetData>
    <row r="1" ht="46" customHeight="1">
      <c r="A1" s="1" t="inlineStr">
        <is>
          <t xml:space="preserve">  💌  CASH ENVELOPES</t>
        </is>
      </c>
    </row>
    <row r="2" ht="22" customHeight="1">
      <c r="A2" s="2" t="inlineStr">
        <is>
          <t xml:space="preserve">  Cash stuffing, tracked — what you loaded, what you spent and what's still in the wallet.</t>
        </is>
      </c>
    </row>
    <row r="3" ht="6" customHeight="1">
      <c r="A3" s="3" t="n"/>
      <c r="B3" s="3" t="n"/>
      <c r="C3" s="3" t="n"/>
      <c r="D3" s="3" t="n"/>
      <c r="E3" s="3" t="n"/>
      <c r="F3" s="3" t="n"/>
    </row>
    <row r="4" ht="30" customHeight="1">
      <c r="B4" s="9" t="inlineStr">
        <is>
          <t>Envelope</t>
        </is>
      </c>
      <c r="C4" s="9" t="inlineStr">
        <is>
          <t>Loaded</t>
        </is>
      </c>
      <c r="D4" s="9" t="inlineStr">
        <is>
          <t>Spent</t>
        </is>
      </c>
      <c r="E4" s="9" t="inlineStr">
        <is>
          <t>Left</t>
        </is>
      </c>
      <c r="F4" s="9" t="inlineStr">
        <is>
          <t>% Left</t>
        </is>
      </c>
    </row>
    <row r="5">
      <c r="B5" s="18" t="inlineStr">
        <is>
          <t>Groceries</t>
        </is>
      </c>
      <c r="C5" s="24" t="n">
        <v>600</v>
      </c>
      <c r="D5" s="24" t="n">
        <v>480</v>
      </c>
      <c r="E5" s="42">
        <f>C5-D5</f>
        <v/>
      </c>
      <c r="F5" s="19">
        <f>IFERROR((C5-D5)/C5,0)</f>
        <v/>
      </c>
    </row>
    <row r="6">
      <c r="B6" s="21" t="inlineStr">
        <is>
          <t>Eating out</t>
        </is>
      </c>
      <c r="C6" s="26" t="n">
        <v>200</v>
      </c>
      <c r="D6" s="26" t="n">
        <v>165</v>
      </c>
      <c r="E6" s="43">
        <f>C6-D6</f>
        <v/>
      </c>
      <c r="F6" s="22">
        <f>IFERROR((C6-D6)/C6,0)</f>
        <v/>
      </c>
    </row>
    <row r="7">
      <c r="B7" s="18" t="inlineStr">
        <is>
          <t>Fuel</t>
        </is>
      </c>
      <c r="C7" s="24" t="n">
        <v>180</v>
      </c>
      <c r="D7" s="24" t="n">
        <v>140</v>
      </c>
      <c r="E7" s="42">
        <f>C7-D7</f>
        <v/>
      </c>
      <c r="F7" s="19">
        <f>IFERROR((C7-D7)/C7,0)</f>
        <v/>
      </c>
    </row>
    <row r="8">
      <c r="B8" s="21" t="inlineStr">
        <is>
          <t>Fun money</t>
        </is>
      </c>
      <c r="C8" s="26" t="n">
        <v>150</v>
      </c>
      <c r="D8" s="26" t="n">
        <v>95</v>
      </c>
      <c r="E8" s="43">
        <f>C8-D8</f>
        <v/>
      </c>
      <c r="F8" s="22">
        <f>IFERROR((C8-D8)/C8,0)</f>
        <v/>
      </c>
    </row>
    <row r="9">
      <c r="B9" s="18" t="inlineStr">
        <is>
          <t>Household</t>
        </is>
      </c>
      <c r="C9" s="24" t="n">
        <v>120</v>
      </c>
      <c r="D9" s="24" t="n">
        <v>70</v>
      </c>
      <c r="E9" s="42">
        <f>C9-D9</f>
        <v/>
      </c>
      <c r="F9" s="19">
        <f>IFERROR((C9-D9)/C9,0)</f>
        <v/>
      </c>
    </row>
    <row r="10">
      <c r="B10" s="21" t="inlineStr">
        <is>
          <t>Beauty &amp; hair</t>
        </is>
      </c>
      <c r="C10" s="26" t="n">
        <v>100</v>
      </c>
      <c r="D10" s="26" t="n">
        <v>60</v>
      </c>
      <c r="E10" s="43">
        <f>C10-D10</f>
        <v/>
      </c>
      <c r="F10" s="22">
        <f>IFERROR((C10-D10)/C10,0)</f>
        <v/>
      </c>
    </row>
    <row r="11">
      <c r="B11" s="18" t="inlineStr">
        <is>
          <t>Pet supplies</t>
        </is>
      </c>
      <c r="C11" s="24" t="n">
        <v>80</v>
      </c>
      <c r="D11" s="24" t="n">
        <v>45</v>
      </c>
      <c r="E11" s="42">
        <f>C11-D11</f>
        <v/>
      </c>
      <c r="F11" s="19">
        <f>IFERROR((C11-D11)/C11,0)</f>
        <v/>
      </c>
    </row>
    <row r="12">
      <c r="B12" s="21" t="inlineStr">
        <is>
          <t>Misc</t>
        </is>
      </c>
      <c r="C12" s="26" t="n">
        <v>100</v>
      </c>
      <c r="D12" s="26" t="n">
        <v>40</v>
      </c>
      <c r="E12" s="43">
        <f>C12-D12</f>
        <v/>
      </c>
      <c r="F12" s="22">
        <f>IFERROR((C12-D12)/C12,0)</f>
        <v/>
      </c>
    </row>
    <row r="13">
      <c r="B13" s="9" t="inlineStr">
        <is>
          <t>ALL ENVELOPES</t>
        </is>
      </c>
      <c r="C13" s="40">
        <f>SUM(CashLoaded)</f>
        <v/>
      </c>
      <c r="D13" s="45">
        <f>SUM(CashSpent)</f>
        <v/>
      </c>
      <c r="E13" s="30">
        <f>C13-D13</f>
        <v/>
      </c>
      <c r="F13" s="31">
        <f>IFERROR(E13/C13,0)</f>
        <v/>
      </c>
    </row>
    <row r="15">
      <c r="B15" s="4" t="inlineStr">
        <is>
          <t>When an envelope is empty, that category is done for the month. That's the whole method.</t>
        </is>
      </c>
    </row>
  </sheetData>
  <mergeCells count="2">
    <mergeCell ref="A2:F2"/>
    <mergeCell ref="A1:F1"/>
  </mergeCells>
  <conditionalFormatting sqref="F5:F12">
    <cfRule type="cellIs" priority="1" operator="lessThan" dxfId="0">
      <formula>0.15</formula>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9"/>
  <sheetViews>
    <sheetView showGridLines="0" workbookViewId="0">
      <pane ySplit="4" topLeftCell="A5" activePane="bottomLeft" state="frozen"/>
      <selection pane="bottomLeft" activeCell="A1" sqref="A1"/>
    </sheetView>
  </sheetViews>
  <sheetFormatPr baseColWidth="8" defaultRowHeight="15"/>
  <cols>
    <col width="2" customWidth="1" min="1" max="1"/>
    <col width="24" customWidth="1" min="2" max="2"/>
    <col width="22" customWidth="1" min="3" max="3"/>
    <col width="16" customWidth="1" min="4" max="4"/>
    <col width="12" customWidth="1" min="5" max="5"/>
    <col width="2" customWidth="1" min="6" max="6"/>
  </cols>
  <sheetData>
    <row r="1" ht="46" customHeight="1">
      <c r="A1" s="1" t="inlineStr">
        <is>
          <t xml:space="preserve">  🏦  SAVINGS ACCOUNTS</t>
        </is>
      </c>
    </row>
    <row r="2" ht="22" customHeight="1">
      <c r="A2" s="2" t="inlineStr">
        <is>
          <t xml:space="preserve">  Where the money actually lives — balance and interest rate, so nothing sits idle in checking.</t>
        </is>
      </c>
    </row>
    <row r="3" ht="6" customHeight="1">
      <c r="A3" s="3" t="n"/>
      <c r="B3" s="3" t="n"/>
      <c r="C3" s="3" t="n"/>
      <c r="D3" s="3" t="n"/>
      <c r="E3" s="3" t="n"/>
    </row>
    <row r="4" ht="30" customHeight="1">
      <c r="B4" s="9" t="inlineStr">
        <is>
          <t>Account</t>
        </is>
      </c>
      <c r="C4" s="9" t="inlineStr">
        <is>
          <t>Type</t>
        </is>
      </c>
      <c r="D4" s="9" t="inlineStr">
        <is>
          <t>Balance</t>
        </is>
      </c>
      <c r="E4" s="9" t="inlineStr">
        <is>
          <t>APY</t>
        </is>
      </c>
    </row>
    <row r="5">
      <c r="B5" s="46" t="inlineStr">
        <is>
          <t>Ally HYSA</t>
        </is>
      </c>
      <c r="C5" s="47" t="inlineStr">
        <is>
          <t>High-yield savings</t>
        </is>
      </c>
      <c r="D5" s="48" t="n">
        <v>6000</v>
      </c>
      <c r="E5" s="49" t="n">
        <v>0.042</v>
      </c>
    </row>
    <row r="6">
      <c r="B6" s="21" t="inlineStr">
        <is>
          <t>Sinking funds acct</t>
        </is>
      </c>
      <c r="C6" s="23" t="inlineStr">
        <is>
          <t>High-yield savings</t>
        </is>
      </c>
      <c r="D6" s="43" t="n">
        <v>6000</v>
      </c>
      <c r="E6" s="50" t="n">
        <v>0.042</v>
      </c>
    </row>
    <row r="7">
      <c r="B7" s="46" t="inlineStr">
        <is>
          <t>Cash envelopes</t>
        </is>
      </c>
      <c r="C7" s="47" t="inlineStr">
        <is>
          <t>Cash envelope</t>
        </is>
      </c>
      <c r="D7" s="48" t="n">
        <v>274</v>
      </c>
      <c r="E7" s="49" t="n">
        <v>0</v>
      </c>
    </row>
    <row r="8">
      <c r="B8" s="21" t="inlineStr">
        <is>
          <t>Vacation CD</t>
        </is>
      </c>
      <c r="C8" s="23" t="inlineStr">
        <is>
          <t>CD</t>
        </is>
      </c>
      <c r="D8" s="43" t="n">
        <v>0</v>
      </c>
      <c r="E8" s="50" t="n">
        <v>0.045</v>
      </c>
    </row>
    <row r="9">
      <c r="B9" s="46" t="n"/>
      <c r="C9" s="47" t="n"/>
      <c r="D9" s="48" t="n"/>
      <c r="E9" s="49" t="n"/>
    </row>
    <row r="10">
      <c r="B10" s="21" t="n"/>
      <c r="C10" s="23" t="n"/>
      <c r="D10" s="43" t="n"/>
      <c r="E10" s="50" t="n"/>
    </row>
    <row r="11">
      <c r="B11" s="46" t="n"/>
      <c r="C11" s="47" t="n"/>
      <c r="D11" s="48" t="n"/>
      <c r="E11" s="49" t="n"/>
    </row>
    <row r="12">
      <c r="B12" s="21" t="n"/>
      <c r="C12" s="23" t="n"/>
      <c r="D12" s="43" t="n"/>
      <c r="E12" s="50" t="n"/>
    </row>
    <row r="13">
      <c r="B13" s="46" t="n"/>
      <c r="C13" s="47" t="n"/>
      <c r="D13" s="48" t="n"/>
      <c r="E13" s="49" t="n"/>
    </row>
    <row r="14">
      <c r="B14" s="21" t="n"/>
      <c r="C14" s="23" t="n"/>
      <c r="D14" s="43" t="n"/>
      <c r="E14" s="50" t="n"/>
    </row>
    <row r="15">
      <c r="B15" s="46" t="n"/>
      <c r="C15" s="47" t="n"/>
      <c r="D15" s="48" t="n"/>
      <c r="E15" s="49" t="n"/>
    </row>
    <row r="16">
      <c r="B16" s="21" t="n"/>
      <c r="C16" s="23" t="n"/>
      <c r="D16" s="43" t="n"/>
      <c r="E16" s="50" t="n"/>
    </row>
    <row r="17">
      <c r="B17" s="46" t="n"/>
      <c r="C17" s="47" t="n"/>
      <c r="D17" s="48" t="n"/>
      <c r="E17" s="49" t="n"/>
    </row>
    <row r="18">
      <c r="B18" s="21" t="n"/>
      <c r="C18" s="23" t="n"/>
      <c r="D18" s="43" t="n"/>
      <c r="E18" s="50" t="n"/>
    </row>
    <row r="19">
      <c r="B19" s="46" t="n"/>
      <c r="C19" s="47" t="n"/>
      <c r="D19" s="48" t="n"/>
      <c r="E19" s="49" t="n"/>
    </row>
    <row r="20">
      <c r="B20" s="21" t="n"/>
      <c r="C20" s="23" t="n"/>
      <c r="D20" s="43" t="n"/>
      <c r="E20" s="50" t="n"/>
    </row>
    <row r="21">
      <c r="B21" s="46" t="n"/>
      <c r="C21" s="47" t="n"/>
      <c r="D21" s="48" t="n"/>
      <c r="E21" s="49" t="n"/>
    </row>
    <row r="22">
      <c r="B22" s="21" t="n"/>
      <c r="C22" s="23" t="n"/>
      <c r="D22" s="43" t="n"/>
      <c r="E22" s="50" t="n"/>
    </row>
    <row r="23">
      <c r="B23" s="46" t="n"/>
      <c r="C23" s="47" t="n"/>
      <c r="D23" s="48" t="n"/>
      <c r="E23" s="49" t="n"/>
    </row>
    <row r="24">
      <c r="B24" s="21" t="n"/>
      <c r="C24" s="23" t="n"/>
      <c r="D24" s="43" t="n"/>
      <c r="E24" s="50" t="n"/>
    </row>
    <row r="25">
      <c r="B25" s="46" t="n"/>
      <c r="C25" s="47" t="n"/>
      <c r="D25" s="48" t="n"/>
      <c r="E25" s="49" t="n"/>
    </row>
    <row r="26">
      <c r="B26" s="21" t="n"/>
      <c r="C26" s="23" t="n"/>
      <c r="D26" s="43" t="n"/>
      <c r="E26" s="50" t="n"/>
    </row>
    <row r="27">
      <c r="B27" s="46" t="n"/>
      <c r="C27" s="47" t="n"/>
      <c r="D27" s="48" t="n"/>
      <c r="E27" s="49" t="n"/>
    </row>
    <row r="28">
      <c r="B28" s="21" t="n"/>
      <c r="C28" s="23" t="n"/>
      <c r="D28" s="43" t="n"/>
      <c r="E28" s="50" t="n"/>
    </row>
    <row r="29">
      <c r="B29" s="9" t="inlineStr">
        <is>
          <t>TOTAL SAVED</t>
        </is>
      </c>
      <c r="C29" s="28" t="n"/>
      <c r="D29" s="30">
        <f>SUM(AcctBal)</f>
        <v/>
      </c>
      <c r="E29" s="28" t="n"/>
    </row>
  </sheetData>
  <mergeCells count="2">
    <mergeCell ref="A2:E2"/>
    <mergeCell ref="A1:E1"/>
  </mergeCells>
  <dataValidations count="1">
    <dataValidation sqref="C5:C28" showDropDown="0" showInputMessage="0" showErrorMessage="0" allowBlank="1" type="list">
      <formula1>=AcctTypeList</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18"/>
  <sheetViews>
    <sheetView showGridLines="0" workbookViewId="0">
      <selection activeCell="A1" sqref="A1"/>
    </sheetView>
  </sheetViews>
  <sheetFormatPr baseColWidth="8" defaultRowHeight="15"/>
  <cols>
    <col width="2" customWidth="1" min="1" max="1"/>
    <col width="34" customWidth="1" min="2" max="2"/>
    <col width="18" customWidth="1" min="3" max="3"/>
    <col width="2" customWidth="1" min="4" max="4"/>
  </cols>
  <sheetData>
    <row r="1" ht="46" customHeight="1">
      <c r="A1" s="1" t="inlineStr">
        <is>
          <t xml:space="preserve">  🛟  EMERGENCY FUND</t>
        </is>
      </c>
    </row>
    <row r="2" ht="22" customHeight="1">
      <c r="A2" s="2" t="inlineStr">
        <is>
          <t xml:space="preserve">  The fund that is not a sinking fund — the one that catches you when life goes sideways.</t>
        </is>
      </c>
    </row>
    <row r="3" ht="6" customHeight="1">
      <c r="A3" s="3" t="n"/>
      <c r="B3" s="3" t="n"/>
      <c r="C3" s="3" t="n"/>
    </row>
    <row r="5">
      <c r="B5" s="33" t="inlineStr">
        <is>
          <t>Emergency fund now</t>
        </is>
      </c>
      <c r="C5" s="37">
        <f>EFCurrent</f>
        <v/>
      </c>
    </row>
    <row r="6">
      <c r="B6" s="33" t="inlineStr">
        <is>
          <t>Emergency fund goal</t>
        </is>
      </c>
      <c r="C6" s="34">
        <f>EFGoal</f>
        <v/>
      </c>
    </row>
    <row r="7">
      <c r="B7" s="9">
        <f> FUNDED</f>
        <v/>
      </c>
      <c r="C7" s="51">
        <f>IFERROR(MIN(EFCurrent/EFGoal,1),0)</f>
        <v/>
      </c>
    </row>
    <row r="8">
      <c r="B8" s="33" t="inlineStr">
        <is>
          <t>Still to save</t>
        </is>
      </c>
      <c r="C8" s="34">
        <f>MAX(EFGoal-EFCurrent,0)</f>
        <v/>
      </c>
    </row>
    <row r="10">
      <c r="B10" s="4" t="inlineStr">
        <is>
          <t>WHAT COUNTS AS AN EMERGENCY</t>
        </is>
      </c>
    </row>
    <row r="11" ht="20" customHeight="1">
      <c r="B11" s="8" t="inlineStr">
        <is>
          <t>•  A true emergency is urgent, necessary and unexpected.</t>
        </is>
      </c>
    </row>
    <row r="12" ht="20" customHeight="1">
      <c r="B12" s="8" t="inlineStr">
        <is>
          <t>•  Christmas is none of those — that's a sinking fund.</t>
        </is>
      </c>
    </row>
    <row r="13" ht="20" customHeight="1">
      <c r="B13" s="8" t="inlineStr">
        <is>
          <t>•  New tyres after a blowout: emergency. Scheduled tyres: sinking fund.</t>
        </is>
      </c>
    </row>
    <row r="14" ht="20" customHeight="1">
      <c r="B14" s="8" t="inlineStr">
        <is>
          <t>•  Aim for 3–6 months of essential expenses over time.</t>
        </is>
      </c>
    </row>
    <row r="15" ht="20" customHeight="1">
      <c r="B15" s="8" t="inlineStr">
        <is>
          <t>•  Keep it in a separate high-yield account so it's boring to touch.</t>
        </is>
      </c>
    </row>
    <row r="18">
      <c r="B18" s="4" t="inlineStr">
        <is>
          <t>Sinking funds stop emergencies from happening. This one handles the rest.</t>
        </is>
      </c>
    </row>
  </sheetData>
  <mergeCells count="2">
    <mergeCell ref="A1:C1"/>
    <mergeCell ref="A2:C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39"/>
  <sheetViews>
    <sheetView showGridLines="0" workbookViewId="0">
      <pane ySplit="4" topLeftCell="A5" activePane="bottomLeft" state="frozen"/>
      <selection pane="bottomLeft" activeCell="A1" sqref="A1"/>
    </sheetView>
  </sheetViews>
  <sheetFormatPr baseColWidth="8" defaultRowHeight="15"/>
  <cols>
    <col width="2" customWidth="1" min="1" max="1"/>
    <col width="14" customWidth="1" min="2" max="2"/>
    <col width="26" customWidth="1" min="3" max="3"/>
    <col width="16" customWidth="1" min="4" max="4"/>
    <col width="2" customWidth="1" min="5" max="5"/>
  </cols>
  <sheetData>
    <row r="1" ht="46" customHeight="1">
      <c r="A1" s="1" t="inlineStr">
        <is>
          <t xml:space="preserve">  💵  DEPOSIT LOG</t>
        </is>
      </c>
    </row>
    <row r="2" ht="22" customHeight="1">
      <c r="A2" s="2" t="inlineStr">
        <is>
          <t xml:space="preserve">  Every deposit, dated — proof that the habit is real, and the number your streak is built on.</t>
        </is>
      </c>
    </row>
    <row r="3" ht="6" customHeight="1">
      <c r="A3" s="3" t="n"/>
      <c r="B3" s="3" t="n"/>
      <c r="C3" s="3" t="n"/>
      <c r="D3" s="3" t="n"/>
    </row>
    <row r="4" ht="30" customHeight="1">
      <c r="B4" s="9" t="inlineStr">
        <is>
          <t>Date</t>
        </is>
      </c>
      <c r="C4" s="9" t="inlineStr">
        <is>
          <t>Into</t>
        </is>
      </c>
      <c r="D4" s="9" t="inlineStr">
        <is>
          <t>Amount</t>
        </is>
      </c>
    </row>
    <row r="5">
      <c r="B5" s="46" t="inlineStr">
        <is>
          <t>Jul 1</t>
        </is>
      </c>
      <c r="C5" s="46" t="inlineStr">
        <is>
          <t>Sinking funds</t>
        </is>
      </c>
      <c r="D5" s="48" t="n">
        <v>250</v>
      </c>
    </row>
    <row r="6">
      <c r="B6" s="21" t="inlineStr">
        <is>
          <t>Jul 5</t>
        </is>
      </c>
      <c r="C6" s="21" t="inlineStr">
        <is>
          <t>100 Envelope</t>
        </is>
      </c>
      <c r="D6" s="43" t="n">
        <v>66</v>
      </c>
    </row>
    <row r="7">
      <c r="B7" s="46" t="inlineStr">
        <is>
          <t>Jul 8</t>
        </is>
      </c>
      <c r="C7" s="46" t="inlineStr">
        <is>
          <t>Emergency fund</t>
        </is>
      </c>
      <c r="D7" s="48" t="n">
        <v>100</v>
      </c>
    </row>
    <row r="8">
      <c r="B8" s="21" t="inlineStr">
        <is>
          <t>Jul 12</t>
        </is>
      </c>
      <c r="C8" s="21" t="inlineStr">
        <is>
          <t>52-Week</t>
        </is>
      </c>
      <c r="D8" s="43" t="n">
        <v>8</v>
      </c>
    </row>
    <row r="9">
      <c r="B9" s="46" t="inlineStr">
        <is>
          <t>Jul 15</t>
        </is>
      </c>
      <c r="C9" s="46" t="inlineStr">
        <is>
          <t>Sinking funds</t>
        </is>
      </c>
      <c r="D9" s="48" t="n">
        <v>250</v>
      </c>
    </row>
    <row r="10">
      <c r="B10" s="21" t="inlineStr">
        <is>
          <t>Jul 22</t>
        </is>
      </c>
      <c r="C10" s="21" t="inlineStr">
        <is>
          <t>100 Envelope</t>
        </is>
      </c>
      <c r="D10" s="43" t="n">
        <v>79</v>
      </c>
    </row>
    <row r="11">
      <c r="B11" s="46" t="n"/>
      <c r="C11" s="46" t="n"/>
      <c r="D11" s="48" t="n"/>
    </row>
    <row r="12">
      <c r="B12" s="21" t="n"/>
      <c r="C12" s="21" t="n"/>
      <c r="D12" s="43" t="n"/>
    </row>
    <row r="13">
      <c r="B13" s="46" t="n"/>
      <c r="C13" s="46" t="n"/>
      <c r="D13" s="48" t="n"/>
    </row>
    <row r="14">
      <c r="B14" s="21" t="n"/>
      <c r="C14" s="21" t="n"/>
      <c r="D14" s="43" t="n"/>
    </row>
    <row r="15">
      <c r="B15" s="46" t="n"/>
      <c r="C15" s="46" t="n"/>
      <c r="D15" s="48" t="n"/>
    </row>
    <row r="16">
      <c r="B16" s="21" t="n"/>
      <c r="C16" s="21" t="n"/>
      <c r="D16" s="43" t="n"/>
    </row>
    <row r="17">
      <c r="B17" s="46" t="n"/>
      <c r="C17" s="46" t="n"/>
      <c r="D17" s="48" t="n"/>
    </row>
    <row r="18">
      <c r="B18" s="21" t="n"/>
      <c r="C18" s="21" t="n"/>
      <c r="D18" s="43" t="n"/>
    </row>
    <row r="19">
      <c r="B19" s="46" t="n"/>
      <c r="C19" s="46" t="n"/>
      <c r="D19" s="48" t="n"/>
    </row>
    <row r="20">
      <c r="B20" s="21" t="n"/>
      <c r="C20" s="21" t="n"/>
      <c r="D20" s="43" t="n"/>
    </row>
    <row r="21">
      <c r="B21" s="46" t="n"/>
      <c r="C21" s="46" t="n"/>
      <c r="D21" s="48" t="n"/>
    </row>
    <row r="22">
      <c r="B22" s="21" t="n"/>
      <c r="C22" s="21" t="n"/>
      <c r="D22" s="43" t="n"/>
    </row>
    <row r="23">
      <c r="B23" s="46" t="n"/>
      <c r="C23" s="46" t="n"/>
      <c r="D23" s="48" t="n"/>
    </row>
    <row r="24">
      <c r="B24" s="21" t="n"/>
      <c r="C24" s="21" t="n"/>
      <c r="D24" s="43" t="n"/>
    </row>
    <row r="25">
      <c r="B25" s="46" t="n"/>
      <c r="C25" s="46" t="n"/>
      <c r="D25" s="48" t="n"/>
    </row>
    <row r="26">
      <c r="B26" s="21" t="n"/>
      <c r="C26" s="21" t="n"/>
      <c r="D26" s="43" t="n"/>
    </row>
    <row r="27">
      <c r="B27" s="46" t="n"/>
      <c r="C27" s="46" t="n"/>
      <c r="D27" s="48" t="n"/>
    </row>
    <row r="28">
      <c r="B28" s="21" t="n"/>
      <c r="C28" s="21" t="n"/>
      <c r="D28" s="43" t="n"/>
    </row>
    <row r="29">
      <c r="B29" s="46" t="n"/>
      <c r="C29" s="46" t="n"/>
      <c r="D29" s="48" t="n"/>
    </row>
    <row r="30">
      <c r="B30" s="21" t="n"/>
      <c r="C30" s="21" t="n"/>
      <c r="D30" s="43" t="n"/>
    </row>
    <row r="31">
      <c r="B31" s="46" t="n"/>
      <c r="C31" s="46" t="n"/>
      <c r="D31" s="48" t="n"/>
    </row>
    <row r="32">
      <c r="B32" s="21" t="n"/>
      <c r="C32" s="21" t="n"/>
      <c r="D32" s="43" t="n"/>
    </row>
    <row r="33">
      <c r="B33" s="46" t="n"/>
      <c r="C33" s="46" t="n"/>
      <c r="D33" s="48" t="n"/>
    </row>
    <row r="34">
      <c r="B34" s="21" t="n"/>
      <c r="C34" s="21" t="n"/>
      <c r="D34" s="43" t="n"/>
    </row>
    <row r="35">
      <c r="B35" s="46" t="n"/>
      <c r="C35" s="46" t="n"/>
      <c r="D35" s="48" t="n"/>
    </row>
    <row r="36">
      <c r="B36" s="21" t="n"/>
      <c r="C36" s="21" t="n"/>
      <c r="D36" s="43" t="n"/>
    </row>
    <row r="37">
      <c r="B37" s="46" t="n"/>
      <c r="C37" s="46" t="n"/>
      <c r="D37" s="48" t="n"/>
    </row>
    <row r="38">
      <c r="B38" s="21" t="n"/>
      <c r="C38" s="21" t="n"/>
      <c r="D38" s="43" t="n"/>
    </row>
    <row r="39">
      <c r="B39" s="9" t="inlineStr">
        <is>
          <t>DEPOSITED</t>
        </is>
      </c>
      <c r="C39" s="28" t="n"/>
      <c r="D39" s="38">
        <f>SUM(DepAmt)</f>
        <v/>
      </c>
    </row>
  </sheetData>
  <mergeCells count="2">
    <mergeCell ref="A1:D1"/>
    <mergeCell ref="A2:D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7"/>
  <sheetViews>
    <sheetView showGridLines="0" workbookViewId="0">
      <pane ySplit="10" topLeftCell="A11" activePane="bottomLeft" state="frozen"/>
      <selection pane="bottomLeft" activeCell="A1" sqref="A1"/>
    </sheetView>
  </sheetViews>
  <sheetFormatPr baseColWidth="8" defaultRowHeight="15"/>
  <cols>
    <col width="2" customWidth="1" min="1" max="1"/>
    <col width="32" customWidth="1" min="2" max="2"/>
    <col width="18" customWidth="1" min="3" max="3"/>
    <col width="2" customWidth="1" min="4" max="4"/>
  </cols>
  <sheetData>
    <row r="1" ht="46" customHeight="1">
      <c r="A1" s="1" t="inlineStr">
        <is>
          <t xml:space="preserve">  🔥  SAVINGS STREAK</t>
        </is>
      </c>
    </row>
    <row r="2" ht="22" customHeight="1">
      <c r="A2" s="2" t="inlineStr">
        <is>
          <t xml:space="preserve">  Consecutive days you moved money — however small. Streaks build habits faster than budgets do.</t>
        </is>
      </c>
    </row>
    <row r="3" ht="6" customHeight="1">
      <c r="A3" s="3" t="n"/>
      <c r="B3" s="3" t="n"/>
      <c r="C3" s="3" t="n"/>
    </row>
    <row r="5">
      <c r="B5" s="33" t="inlineStr">
        <is>
          <t>Current streak (days)</t>
        </is>
      </c>
      <c r="C5" s="52">
        <f>StreakDays</f>
        <v/>
      </c>
    </row>
    <row r="6">
      <c r="B6" s="33" t="inlineStr">
        <is>
          <t>Streak goal (days)</t>
        </is>
      </c>
      <c r="C6" s="36">
        <f>StreakGoal</f>
        <v/>
      </c>
    </row>
    <row r="7">
      <c r="B7" s="9">
        <f> STREAK PROGRESS</f>
        <v/>
      </c>
      <c r="C7" s="51">
        <f>IFERROR(MIN(StreakDays/StreakGoal,1),0)</f>
        <v/>
      </c>
    </row>
    <row r="9">
      <c r="B9" s="4" t="inlineStr">
        <is>
          <t>NO-SPEND DAYS BY MONTH</t>
        </is>
      </c>
    </row>
    <row r="10" ht="30" customHeight="1">
      <c r="B10" s="9" t="inlineStr">
        <is>
          <t>Month</t>
        </is>
      </c>
      <c r="C10" s="9" t="inlineStr">
        <is>
          <t>No-Spend Days</t>
        </is>
      </c>
      <c r="D10" s="9" t="inlineStr">
        <is>
          <t>Target</t>
        </is>
      </c>
    </row>
    <row r="11">
      <c r="B11" s="18" t="inlineStr">
        <is>
          <t>Feb</t>
        </is>
      </c>
      <c r="C11" s="53" t="n">
        <v>12</v>
      </c>
      <c r="D11" s="54" t="n">
        <v>12</v>
      </c>
    </row>
    <row r="12">
      <c r="B12" s="21" t="inlineStr">
        <is>
          <t>Mar</t>
        </is>
      </c>
      <c r="C12" s="55" t="n">
        <v>14</v>
      </c>
      <c r="D12" s="56" t="n">
        <v>12</v>
      </c>
    </row>
    <row r="13">
      <c r="B13" s="18" t="inlineStr">
        <is>
          <t>Apr</t>
        </is>
      </c>
      <c r="C13" s="53" t="n">
        <v>15</v>
      </c>
      <c r="D13" s="54" t="n">
        <v>12</v>
      </c>
    </row>
    <row r="14">
      <c r="B14" s="21" t="inlineStr">
        <is>
          <t>May</t>
        </is>
      </c>
      <c r="C14" s="55" t="n">
        <v>13</v>
      </c>
      <c r="D14" s="56" t="n">
        <v>12</v>
      </c>
    </row>
    <row r="15">
      <c r="B15" s="18" t="inlineStr">
        <is>
          <t>Jun</t>
        </is>
      </c>
      <c r="C15" s="53" t="n">
        <v>16</v>
      </c>
      <c r="D15" s="54" t="n">
        <v>12</v>
      </c>
    </row>
    <row r="16">
      <c r="B16" s="21" t="inlineStr">
        <is>
          <t>Jul</t>
        </is>
      </c>
      <c r="C16" s="55" t="n">
        <v>18</v>
      </c>
      <c r="D16" s="56" t="n">
        <v>12</v>
      </c>
    </row>
    <row r="17">
      <c r="B17" s="9" t="inlineStr">
        <is>
          <t>AVG NO-SPEND DAYS</t>
        </is>
      </c>
      <c r="C17" s="57">
        <f>IFERROR(AVERAGE(NoSpendDays),0)</f>
        <v/>
      </c>
      <c r="D17" s="28" t="n"/>
    </row>
  </sheetData>
  <mergeCells count="2">
    <mergeCell ref="A1:C1"/>
    <mergeCell ref="A2:C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2"/>
  <sheetViews>
    <sheetView showGridLines="0" workbookViewId="0">
      <selection activeCell="A1" sqref="A1"/>
    </sheetView>
  </sheetViews>
  <sheetFormatPr baseColWidth="8" defaultRowHeight="15"/>
  <cols>
    <col width="2" customWidth="1" min="1" max="1"/>
    <col width="30" customWidth="1" min="2" max="2"/>
    <col width="18" customWidth="1" min="3" max="3"/>
    <col width="2" customWidth="1" min="4" max="4"/>
  </cols>
  <sheetData>
    <row r="1" ht="46" customHeight="1">
      <c r="A1" s="1" t="inlineStr">
        <is>
          <t xml:space="preserve">  📈  MONTHLY SUMMARY</t>
        </is>
      </c>
    </row>
    <row r="2" ht="22" customHeight="1">
      <c r="A2" s="2" t="inlineStr">
        <is>
          <t xml:space="preserve">  What you saved each month — the line that should keep climbing.</t>
        </is>
      </c>
    </row>
    <row r="3" ht="6" customHeight="1">
      <c r="A3" s="3" t="n"/>
      <c r="B3" s="3" t="n"/>
      <c r="C3" s="3" t="n"/>
    </row>
    <row r="5">
      <c r="B5" s="4" t="inlineStr">
        <is>
          <t>THE TREND</t>
        </is>
      </c>
    </row>
    <row r="6" ht="30" customHeight="1">
      <c r="B6" s="9" t="inlineStr">
        <is>
          <t>Month</t>
        </is>
      </c>
      <c r="C6" s="9" t="inlineStr">
        <is>
          <t>Saved</t>
        </is>
      </c>
    </row>
    <row r="7">
      <c r="B7" s="18" t="inlineStr">
        <is>
          <t>Feb</t>
        </is>
      </c>
      <c r="C7" s="24" t="n">
        <v>420</v>
      </c>
    </row>
    <row r="8">
      <c r="B8" s="21" t="inlineStr">
        <is>
          <t>Mar</t>
        </is>
      </c>
      <c r="C8" s="26" t="n">
        <v>450</v>
      </c>
    </row>
    <row r="9">
      <c r="B9" s="18" t="inlineStr">
        <is>
          <t>Apr</t>
        </is>
      </c>
      <c r="C9" s="24" t="n">
        <v>480</v>
      </c>
    </row>
    <row r="10">
      <c r="B10" s="21" t="inlineStr">
        <is>
          <t>May</t>
        </is>
      </c>
      <c r="C10" s="26" t="n">
        <v>500</v>
      </c>
    </row>
    <row r="11">
      <c r="B11" s="18" t="inlineStr">
        <is>
          <t>Jun</t>
        </is>
      </c>
      <c r="C11" s="24" t="n">
        <v>510</v>
      </c>
    </row>
    <row r="12">
      <c r="B12" s="21" t="inlineStr">
        <is>
          <t>Jul</t>
        </is>
      </c>
      <c r="C12" s="26" t="n">
        <v>520</v>
      </c>
    </row>
  </sheetData>
  <mergeCells count="2">
    <mergeCell ref="A1:C1"/>
    <mergeCell ref="A2:C2"/>
  </mergeCells>
  <pageMargins left="0.75" right="0.75" top="1" bottom="1" header="0.5" footer="0.5"/>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J16"/>
  <sheetViews>
    <sheetView showGridLines="0" workbookViewId="0">
      <selection activeCell="A1" sqref="A1"/>
    </sheetView>
  </sheetViews>
  <sheetFormatPr baseColWidth="8" defaultRowHeight="15"/>
  <cols>
    <col width="2" customWidth="1" min="1" max="1"/>
    <col width="32" customWidth="1" min="2" max="2"/>
    <col width="20" customWidth="1" min="3" max="3"/>
    <col width="3" customWidth="1" min="4" max="4"/>
    <col width="20" customWidth="1" min="5" max="5"/>
    <col width="20" customWidth="1" min="6" max="6"/>
    <col width="20" customWidth="1" min="7" max="7"/>
    <col width="20" customWidth="1" min="8" max="8"/>
    <col width="20" customWidth="1" min="9" max="9"/>
    <col width="20" customWidth="1" min="10" max="10"/>
  </cols>
  <sheetData>
    <row r="1" ht="46" customHeight="1">
      <c r="A1" s="1" t="inlineStr">
        <is>
          <t xml:space="preserve">  ⚙  SETTINGS</t>
        </is>
      </c>
    </row>
    <row r="2" ht="22" customHeight="1">
      <c r="A2" s="2" t="inlineStr">
        <is>
          <t xml:space="preserve">  Set your goals &amp; lists once — every tab follows.</t>
        </is>
      </c>
    </row>
    <row r="3" ht="6" customHeight="1">
      <c r="A3" s="3" t="n"/>
      <c r="B3" s="3" t="n"/>
      <c r="C3" s="3" t="n"/>
      <c r="D3" s="3" t="n"/>
      <c r="E3" s="3" t="n"/>
      <c r="F3" s="3" t="n"/>
      <c r="G3" s="3" t="n"/>
      <c r="H3" s="3" t="n"/>
      <c r="I3" s="3" t="n"/>
      <c r="J3" s="3" t="n"/>
    </row>
    <row r="5">
      <c r="B5" s="7" t="inlineStr">
        <is>
          <t>YOUR GOALS</t>
        </is>
      </c>
      <c r="E5" s="4" t="inlineStr">
        <is>
          <t>DROPDOWN LISTS</t>
        </is>
      </c>
    </row>
    <row r="6">
      <c r="B6" s="33" t="inlineStr">
        <is>
          <t>Your name</t>
        </is>
      </c>
      <c r="C6" s="58" t="inlineStr">
        <is>
          <t>June</t>
        </is>
      </c>
      <c r="E6" s="9" t="inlineStr">
        <is>
          <t>Fund category</t>
        </is>
      </c>
      <c r="F6" s="9" t="inlineStr">
        <is>
          <t>Account type</t>
        </is>
      </c>
      <c r="G6" s="9" t="inlineStr">
        <is>
          <t>Frequency</t>
        </is>
      </c>
      <c r="H6" s="9" t="inlineStr">
        <is>
          <t>Yes / No</t>
        </is>
      </c>
    </row>
    <row r="7">
      <c r="B7" s="33" t="inlineStr">
        <is>
          <t>Plan name</t>
        </is>
      </c>
      <c r="C7" s="58" t="inlineStr">
        <is>
          <t>Copper &amp; Clover</t>
        </is>
      </c>
      <c r="E7" s="18" t="inlineStr">
        <is>
          <t>Annual bill</t>
        </is>
      </c>
      <c r="F7" s="18" t="inlineStr">
        <is>
          <t>High-yield savings</t>
        </is>
      </c>
      <c r="G7" s="18" t="inlineStr">
        <is>
          <t>Weekly</t>
        </is>
      </c>
      <c r="H7" s="18" t="inlineStr">
        <is>
          <t>Yes</t>
        </is>
      </c>
    </row>
    <row r="8">
      <c r="B8" s="33" t="inlineStr">
        <is>
          <t>Months into the year</t>
        </is>
      </c>
      <c r="C8" s="59" t="n">
        <v>8</v>
      </c>
      <c r="E8" s="18" t="inlineStr">
        <is>
          <t>Holiday</t>
        </is>
      </c>
      <c r="F8" s="18" t="inlineStr">
        <is>
          <t>Checking</t>
        </is>
      </c>
      <c r="G8" s="18" t="inlineStr">
        <is>
          <t>Biweekly</t>
        </is>
      </c>
      <c r="H8" s="18" t="inlineStr">
        <is>
          <t>No</t>
        </is>
      </c>
    </row>
    <row r="9">
      <c r="B9" s="33" t="inlineStr">
        <is>
          <t>Monthly savings goal</t>
        </is>
      </c>
      <c r="C9" s="24" t="n">
        <v>500</v>
      </c>
      <c r="E9" s="18" t="inlineStr">
        <is>
          <t>Travel</t>
        </is>
      </c>
      <c r="F9" s="18" t="inlineStr">
        <is>
          <t>Cash envelope</t>
        </is>
      </c>
      <c r="G9" s="18" t="inlineStr">
        <is>
          <t>Monthly</t>
        </is>
      </c>
    </row>
    <row r="10">
      <c r="B10" s="33" t="inlineStr">
        <is>
          <t>Saved this month</t>
        </is>
      </c>
      <c r="C10" s="24" t="n">
        <v>520</v>
      </c>
      <c r="E10" s="18" t="inlineStr">
        <is>
          <t>Home</t>
        </is>
      </c>
      <c r="F10" s="18" t="inlineStr">
        <is>
          <t>CD</t>
        </is>
      </c>
    </row>
    <row r="11">
      <c r="B11" s="33" t="inlineStr">
        <is>
          <t>Savings streak (days)</t>
        </is>
      </c>
      <c r="C11" s="59" t="n">
        <v>24</v>
      </c>
      <c r="E11" s="18" t="inlineStr">
        <is>
          <t>Car</t>
        </is>
      </c>
      <c r="F11" s="18" t="inlineStr">
        <is>
          <t>Other</t>
        </is>
      </c>
    </row>
    <row r="12">
      <c r="B12" s="33" t="inlineStr">
        <is>
          <t>Streak goal (days)</t>
        </is>
      </c>
      <c r="C12" s="59" t="n">
        <v>60</v>
      </c>
      <c r="E12" s="18" t="inlineStr">
        <is>
          <t>Health</t>
        </is>
      </c>
    </row>
    <row r="13">
      <c r="B13" s="33" t="inlineStr">
        <is>
          <t>Active-challenges goal</t>
        </is>
      </c>
      <c r="C13" s="59" t="n">
        <v>3</v>
      </c>
      <c r="E13" s="18" t="inlineStr">
        <is>
          <t>Gifts</t>
        </is>
      </c>
    </row>
    <row r="14">
      <c r="B14" s="33" t="inlineStr">
        <is>
          <t>Sinking-funds count goal</t>
        </is>
      </c>
      <c r="C14" s="59" t="n">
        <v>8</v>
      </c>
      <c r="E14" s="18" t="inlineStr">
        <is>
          <t>Other</t>
        </is>
      </c>
    </row>
    <row r="15">
      <c r="B15" s="33" t="inlineStr">
        <is>
          <t>Emergency fund goal</t>
        </is>
      </c>
      <c r="C15" s="24" t="n">
        <v>6000</v>
      </c>
    </row>
    <row r="16">
      <c r="B16" s="33" t="inlineStr">
        <is>
          <t>Emergency fund now</t>
        </is>
      </c>
      <c r="C16" s="24" t="n">
        <v>6000</v>
      </c>
    </row>
  </sheetData>
  <mergeCells count="4">
    <mergeCell ref="A1:J1"/>
    <mergeCell ref="B5:C5"/>
    <mergeCell ref="E5:J5"/>
    <mergeCell ref="A2:J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2026-07-26T04:56:01Z</dcterms:created>
  <dcterms:modified xsi:type="dcterms:W3CDTF">2026-07-26T04:56:01Z</dcterms:modified>
</cp:coreProperties>
</file>