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tudent Profiles" sheetId="3" state="visible" r:id="rId3"/>
    <sheet name="Year Planner" sheetId="4" state="visible" r:id="rId4"/>
    <sheet name="Curriculum" sheetId="5" state="visible" r:id="rId5"/>
    <sheet name="Subject Plan" sheetId="6" state="visible" r:id="rId6"/>
    <sheet name="Lesson Planner" sheetId="7" state="visible" r:id="rId7"/>
    <sheet name="Attendance" sheetId="8" state="visible" r:id="rId8"/>
    <sheet name="Assignments" sheetId="9" state="visible" r:id="rId9"/>
    <sheet name="Reading Log" sheetId="10" state="visible" r:id="rId10"/>
    <sheet name="Field Trips" sheetId="11" state="visible" r:id="rId11"/>
    <sheet name="Co-op" sheetId="12" state="visible" r:id="rId12"/>
    <sheet name="Portfolio" sheetId="13" state="visible" r:id="rId13"/>
    <sheet name="Budget" sheetId="14" state="visible" r:id="rId14"/>
    <sheet name="Goals" sheetId="15" state="visible" r:id="rId15"/>
    <sheet name="Report Card" sheetId="16" state="visible" r:id="rId16"/>
    <sheet name="Records" sheetId="17" state="visible" r:id="rId17"/>
    <sheet name="Book List" sheetId="18" state="visible" r:id="rId18"/>
    <sheet name="Settings" sheetId="19" state="visible" r:id="rId19"/>
  </sheets>
  <definedNames>
    <definedName name="FamilyName">Settings!$C$6</definedName>
    <definedName name="SchoolYear">Settings!$C$7</definedName>
    <definedName name="HomeState">Settings!$C$8</definedName>
    <definedName name="Students">Settings!$C$9</definedName>
    <definedName name="Subjects">Settings!$C$10</definedName>
    <definedName name="DaysRequired">Settings!$C$11</definedName>
    <definedName name="HoursGoal">Settings!$C$12</definedName>
    <definedName name="CurriculumBudget">Settings!$C$13</definedName>
    <definedName name="BooksRead">Settings!$C$14</definedName>
    <definedName name="GradeList">Settings!$E$7:$E$20</definedName>
    <definedName name="SubjectList">Settings!$F$7:$F$18</definedName>
    <definedName name="StatusList">Settings!$G$7:$G$9</definedName>
    <definedName name="AcquiredList">Settings!$H$7:$H$9</definedName>
    <definedName name="GradedList">Settings!$I$7:$I$9</definedName>
    <definedName name="ApproachList">Settings!$J$7:$J$13</definedName>
    <definedName name="YesNoList">Settings!$K$7:$K$8</definedName>
    <definedName name="CurricCost">'Curriculum'!$D$5:$D$44</definedName>
    <definedName name="CurricStatus">'Curriculum'!$E$5:$E$44</definedName>
    <definedName name="CurricSpent">'Curriculum'!$D$45</definedName>
    <definedName name="LessonUnit">'Lesson Planner'!$C$5:$C$64</definedName>
    <definedName name="LessonStatus">'Lesson Planner'!$D$5:$D$64</definedName>
    <definedName name="AttDays">'Attendance'!$B$5:$B$44</definedName>
    <definedName name="AttHours">'Attendance'!$C$5:$C$44</definedName>
    <definedName name="DaysDone">'Attendance'!$B$45</definedName>
    <definedName name="HoursLogged">'Attendance'!$C$45</definedName>
    <definedName name="AssignName">'Assignments'!$D$5:$D$64</definedName>
    <definedName name="AssignGraded">'Assignments'!$F$5:$F$64</definedName>
    <definedName name="TripName">'Field Trips'!$B$5:$B$34</definedName>
    <definedName name="BudgetPlanTotal">'Budget'!$C$14</definedName>
    <definedName name="BudgetSpent">'Budget'!$D$14</definedName>
    <definedName name="GoalProgress">'Goals'!$D$5:$D$10</definedName>
    <definedName name="RecName">'Records'!$A$5:$A$28</definedName>
    <definedName name="RecDone">'Records'!$B$5:$B$28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mm/dd/yyyy"/>
    <numFmt numFmtId="167" formatCode="0.0"/>
    <numFmt numFmtId="168" formatCode="&quot;$&quot;#,##0;[Red]-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5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3" fillId="8" borderId="2" applyAlignment="1" pivotButton="0" quotePrefix="0" xfId="0">
      <alignment horizontal="center" vertical="center"/>
    </xf>
    <xf numFmtId="0" fontId="0" fillId="8" borderId="2" pivotButton="0" quotePrefix="0" xfId="0"/>
    <xf numFmtId="9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7">
      <alignment horizontal="left" vertical="center" wrapText="1" inden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11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164" fontId="7" fillId="3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8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168" fontId="6" fillId="9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'Budget'!D4</f>
            </strRef>
          </tx>
          <spPr>
            <a:ln>
              <a:prstDash val="solid"/>
            </a:ln>
          </spPr>
          <cat>
            <numRef>
              <f>'Budget'!$B$5:$B$13</f>
            </numRef>
          </cat>
          <val>
            <numRef>
              <f>'Budget'!$D$5:$D$13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24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📚  HOMESCHOOL COMMAND CENTER™</t>
        </is>
      </c>
    </row>
    <row r="2" ht="24" customHeight="1">
      <c r="A2" s="2" t="inlineStr">
        <is>
          <t xml:space="preserve">  Plan the year, log the days, keep the records — one calm system.</t>
        </is>
      </c>
    </row>
    <row r="3" ht="6" customHeight="1">
      <c r="A3" s="3" t="n"/>
      <c r="B3" s="3" t="n"/>
      <c r="C3" s="3" t="n"/>
    </row>
    <row r="5">
      <c r="B5" s="4" t="inlineStr">
        <is>
          <t>YOUR WHOLE HOMESCHOOL, IN ONE PLACE</t>
        </is>
      </c>
    </row>
    <row r="6" ht="22" customHeight="1">
      <c r="B6" s="5" t="inlineStr">
        <is>
          <t>Curriculum, lesson plans, attendance &amp; hours, grades, reading, field trips, portfolio and the records your state may ask for — all in ONE premium Google Sheets &amp; Excel system. A profile for every student, a live dashboard that shows if you're on track, and a lesson planner that actually keeps up. Whether you follow Classical, Charlotte Mason, unit studies or your own beautiful mix, this bends to your family — and scales from 1 student to a full house.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family, state, required days &amp; hours goal.</t>
        </is>
      </c>
    </row>
    <row r="13" ht="22" customHeight="1">
      <c r="B13" s="8" t="inlineStr">
        <is>
          <t>2.  Fill a Student Profile for each child — grade, approach, strengths.</t>
        </is>
      </c>
    </row>
    <row r="14" ht="22" customHeight="1">
      <c r="B14" s="8" t="inlineStr">
        <is>
          <t>3.  Plan Curriculum &amp; Subjects, then map the Lesson Planner week by week.</t>
        </is>
      </c>
    </row>
    <row r="15" ht="22" customHeight="1">
      <c r="B15" s="8" t="inlineStr">
        <is>
          <t>4.  Each day, log Attendance &amp; Hours and check off lessons &amp; assignments.</t>
        </is>
      </c>
    </row>
    <row r="16" ht="22" customHeight="1">
      <c r="B16" s="8" t="inlineStr">
        <is>
          <t>5.  Keep Reading, Field Trips, Portfolio &amp; Records current as you go.</t>
        </is>
      </c>
    </row>
    <row r="17" ht="22" customHeight="1">
      <c r="B17" s="8" t="inlineStr">
        <is>
          <t>6.  Watch the Dashboard track days, hours, grades &amp; an On-Track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the Bennett family (4 students, grades K–8) is included so you can see how it all connects — just type over it with your own. Attendance, hours, lessons, grades, goals and records roll up into a live On-Track Score. Twelve matching printable pages (student-at-a-glance, weekly plan, daily schedule, attendance, reading log, transcript &amp; more) are included to print and keep. Requirements vary by state — always confirm your own state's rules; this is a record-keeping tool, not legal advice.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time to actually teach — you've got this.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📚  HOMESCHOOL COMMAND CENTER™</t>
        </is>
      </c>
    </row>
    <row r="2" ht="24" customHeight="1">
      <c r="A2" s="2" t="inlineStr">
        <is>
          <t xml:space="preserve">  Days, hours, lessons, grades &amp; records — your whole homeschool year,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STUDENTS</t>
        </is>
      </c>
      <c r="C5" s="13" t="n"/>
      <c r="D5" s="12" t="inlineStr">
        <is>
          <t>SCHOOL DAYS</t>
        </is>
      </c>
      <c r="E5" s="13" t="n"/>
      <c r="F5" s="12" t="inlineStr">
        <is>
          <t>HOURS LOGGED</t>
        </is>
      </c>
      <c r="G5" s="13" t="n"/>
      <c r="H5" s="12" t="inlineStr">
        <is>
          <t>DAYS LEFT</t>
        </is>
      </c>
      <c r="I5" s="13" t="n"/>
      <c r="J5" s="12" t="inlineStr">
        <is>
          <t>SUBJECTS</t>
        </is>
      </c>
      <c r="K5" s="13" t="n"/>
      <c r="L5" s="12" t="inlineStr">
        <is>
          <t>LESSONS DONE</t>
        </is>
      </c>
      <c r="M5" s="13" t="n"/>
    </row>
    <row r="6" ht="40" customHeight="1">
      <c r="B6" s="14">
        <f>Students</f>
        <v/>
      </c>
      <c r="C6" s="15" t="n"/>
      <c r="D6" s="14">
        <f>DaysDone</f>
        <v/>
      </c>
      <c r="E6" s="15" t="n"/>
      <c r="F6" s="14">
        <f>HoursLogged</f>
        <v/>
      </c>
      <c r="G6" s="15" t="n"/>
      <c r="H6" s="14">
        <f>DaysRequired-DaysDone</f>
        <v/>
      </c>
      <c r="I6" s="15" t="n"/>
      <c r="J6" s="14">
        <f>Subjects</f>
        <v/>
      </c>
      <c r="K6" s="15" t="n"/>
      <c r="L6" s="16">
        <f>IFERROR(COUNTIF(LessonStatus,"Done")/COUNTA(LessonUnit),0)</f>
        <v/>
      </c>
      <c r="M6" s="15" t="n"/>
    </row>
    <row r="8" ht="18" customHeight="1">
      <c r="B8" s="12" t="inlineStr">
        <is>
          <t>GRADED</t>
        </is>
      </c>
      <c r="C8" s="13" t="n"/>
      <c r="D8" s="12" t="inlineStr">
        <is>
          <t>BOOKS READ</t>
        </is>
      </c>
      <c r="E8" s="13" t="n"/>
      <c r="F8" s="12" t="inlineStr">
        <is>
          <t>CURRICULUM SPENT</t>
        </is>
      </c>
      <c r="G8" s="13" t="n"/>
      <c r="H8" s="12" t="inlineStr">
        <is>
          <t>FIELD TRIPS</t>
        </is>
      </c>
      <c r="I8" s="13" t="n"/>
      <c r="J8" s="12" t="inlineStr">
        <is>
          <t>GOALS</t>
        </is>
      </c>
      <c r="K8" s="13" t="n"/>
      <c r="L8" s="12" t="inlineStr">
        <is>
          <t>ON-TRACK</t>
        </is>
      </c>
      <c r="M8" s="13" t="n"/>
    </row>
    <row r="9" ht="40" customHeight="1">
      <c r="B9" s="16">
        <f>IFERROR(COUNTIF(AssignGraded,"Graded")/COUNTA(AssignName),0)</f>
        <v/>
      </c>
      <c r="C9" s="15" t="n"/>
      <c r="D9" s="14">
        <f>BooksRead</f>
        <v/>
      </c>
      <c r="E9" s="15" t="n"/>
      <c r="F9" s="17">
        <f>CurricSpent</f>
        <v/>
      </c>
      <c r="G9" s="15" t="n"/>
      <c r="H9" s="14">
        <f>COUNTA(TripName)</f>
        <v/>
      </c>
      <c r="I9" s="15" t="n"/>
      <c r="J9" s="16">
        <f>IFERROR(AVERAGE(GoalProgress),0)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ARE WE ON TRACK?</t>
        </is>
      </c>
      <c r="H11" s="4" t="inlineStr">
        <is>
          <t>BUDGET BY CATEGORY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18" t="inlineStr">
        <is>
          <t>School days (of 180)</t>
        </is>
      </c>
      <c r="C13" s="19">
        <f>IFERROR(DaysDone/DaysRequired,0)</f>
        <v/>
      </c>
      <c r="D13" s="20">
        <f>IF(C13&gt;=0.85,"On track",IF(C13&gt;=0.6,"Going well","Focus"))</f>
        <v/>
      </c>
    </row>
    <row r="14">
      <c r="B14" s="21" t="inlineStr">
        <is>
          <t>Instructional hours</t>
        </is>
      </c>
      <c r="C14" s="22">
        <f>IFERROR(HoursLogged/HoursGoal,0)</f>
        <v/>
      </c>
      <c r="D14" s="23">
        <f>IF(C14&gt;=0.85,"On track",IF(C14&gt;=0.6,"Going well","Focus"))</f>
        <v/>
      </c>
    </row>
    <row r="15">
      <c r="B15" s="18" t="inlineStr">
        <is>
          <t>Lessons done</t>
        </is>
      </c>
      <c r="C15" s="19">
        <f>IFERROR(COUNTIF(LessonStatus,"Done")/COUNTA(LessonUnit),0)</f>
        <v/>
      </c>
      <c r="D15" s="20">
        <f>IF(C15&gt;=0.85,"On track",IF(C15&gt;=0.6,"Going well","Focus"))</f>
        <v/>
      </c>
    </row>
    <row r="16">
      <c r="B16" s="21" t="inlineStr">
        <is>
          <t>Assignments graded</t>
        </is>
      </c>
      <c r="C16" s="22">
        <f>IFERROR(COUNTIF(AssignGraded,"Graded")/COUNTA(AssignName),0)</f>
        <v/>
      </c>
      <c r="D16" s="23">
        <f>IF(C16&gt;=0.85,"On track",IF(C16&gt;=0.6,"Going well","Focus"))</f>
        <v/>
      </c>
    </row>
    <row r="17">
      <c r="B17" s="18" t="inlineStr">
        <is>
          <t>Goals &amp; milestones</t>
        </is>
      </c>
      <c r="C17" s="19">
        <f>IFERROR(AVERAGE(GoalProgress),0)</f>
        <v/>
      </c>
      <c r="D17" s="20">
        <f>IF(C17&gt;=0.85,"On track",IF(C17&gt;=0.6,"Going well","Focus"))</f>
        <v/>
      </c>
    </row>
    <row r="18">
      <c r="B18" s="21" t="inlineStr">
        <is>
          <t>Records &amp; compliance</t>
        </is>
      </c>
      <c r="C18" s="22">
        <f>IFERROR(COUNTIF(RecDone,"Yes")/COUNTA(RecName),0)</f>
        <v/>
      </c>
      <c r="D18" s="23">
        <f>IF(C18&gt;=0.85,"On track",IF(C18&gt;=0.6,"Going well","Focus"))</f>
        <v/>
      </c>
    </row>
    <row r="21" ht="26" customHeight="1">
      <c r="B21" s="2" t="inlineStr">
        <is>
          <t>Homeschool Command Center™ — plan the year, log the days, keep the records. Edit anything in Settings.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2" customWidth="1" min="3" max="3"/>
    <col width="4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🧑‍🎓  STUDENT PROFILES</t>
        </is>
      </c>
    </row>
    <row r="2" ht="22" customHeight="1">
      <c r="A2" s="2" t="inlineStr">
        <is>
          <t xml:space="preserve">  A profile for every student — grade, approach, strengths &amp; goals.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Ella Bennett</t>
        </is>
      </c>
    </row>
    <row r="6" ht="22" customHeight="1">
      <c r="B6" s="24" t="inlineStr">
        <is>
          <t>Grade</t>
        </is>
      </c>
      <c r="C6" s="25" t="inlineStr">
        <is>
          <t>8</t>
        </is>
      </c>
      <c r="E6" s="24" t="inlineStr">
        <is>
          <t>Age</t>
        </is>
      </c>
      <c r="F6" s="25" t="n">
        <v>13</v>
      </c>
    </row>
    <row r="7" ht="22" customHeight="1">
      <c r="B7" s="24" t="inlineStr">
        <is>
          <t>Approach</t>
        </is>
      </c>
      <c r="C7" s="25" t="inlineStr">
        <is>
          <t>Classical</t>
        </is>
      </c>
      <c r="E7" s="24" t="inlineStr">
        <is>
          <t>Learning style</t>
        </is>
      </c>
      <c r="F7" s="25" t="inlineStr">
        <is>
          <t>—</t>
        </is>
      </c>
    </row>
    <row r="8" ht="22" customHeight="1">
      <c r="B8" s="24" t="inlineStr">
        <is>
          <t>Strengths</t>
        </is>
      </c>
      <c r="C8" s="25" t="inlineStr">
        <is>
          <t>Strong reader · loves history</t>
        </is>
      </c>
      <c r="E8" s="24" t="inlineStr">
        <is>
          <t>Working on</t>
        </is>
      </c>
      <c r="F8" s="25" t="inlineStr">
        <is>
          <t>—</t>
        </is>
      </c>
    </row>
    <row r="9" ht="22" customHeight="1">
      <c r="B9" s="24" t="inlineStr">
        <is>
          <t>Curriculum</t>
        </is>
      </c>
      <c r="C9" s="25" t="inlineStr">
        <is>
          <t>See Curriculum tab</t>
        </is>
      </c>
      <c r="E9" s="24" t="inlineStr">
        <is>
          <t>Reading level</t>
        </is>
      </c>
      <c r="F9" s="25" t="inlineStr">
        <is>
          <t>—</t>
        </is>
      </c>
    </row>
    <row r="10" ht="22" customHeight="1">
      <c r="B10" s="24" t="inlineStr">
        <is>
          <t>Interests</t>
        </is>
      </c>
      <c r="C10" s="25" t="inlineStr">
        <is>
          <t>—</t>
        </is>
      </c>
      <c r="E10" s="24" t="inlineStr">
        <is>
          <t>Big goal</t>
        </is>
      </c>
      <c r="F10" s="25" t="inlineStr">
        <is>
          <t>See Goals tab</t>
        </is>
      </c>
    </row>
    <row r="12" ht="22" customHeight="1">
      <c r="B12" s="4" t="inlineStr">
        <is>
          <t>Noah Bennett</t>
        </is>
      </c>
    </row>
    <row r="13" ht="22" customHeight="1">
      <c r="B13" s="24" t="inlineStr">
        <is>
          <t>Grade</t>
        </is>
      </c>
      <c r="C13" s="25" t="inlineStr">
        <is>
          <t>6</t>
        </is>
      </c>
      <c r="E13" s="24" t="inlineStr">
        <is>
          <t>Age</t>
        </is>
      </c>
      <c r="F13" s="25" t="n">
        <v>11</v>
      </c>
    </row>
    <row r="14" ht="22" customHeight="1">
      <c r="B14" s="24" t="inlineStr">
        <is>
          <t>Approach</t>
        </is>
      </c>
      <c r="C14" s="25" t="inlineStr">
        <is>
          <t>Eclectic</t>
        </is>
      </c>
      <c r="E14" s="24" t="inlineStr">
        <is>
          <t>Learning style</t>
        </is>
      </c>
      <c r="F14" s="25" t="inlineStr">
        <is>
          <t>—</t>
        </is>
      </c>
    </row>
    <row r="15" ht="22" customHeight="1">
      <c r="B15" s="24" t="inlineStr">
        <is>
          <t>Strengths</t>
        </is>
      </c>
      <c r="C15" s="25" t="inlineStr">
        <is>
          <t>Hands-on · needs movement breaks</t>
        </is>
      </c>
      <c r="E15" s="24" t="inlineStr">
        <is>
          <t>Working on</t>
        </is>
      </c>
      <c r="F15" s="25" t="inlineStr">
        <is>
          <t>—</t>
        </is>
      </c>
    </row>
    <row r="16" ht="22" customHeight="1">
      <c r="B16" s="24" t="inlineStr">
        <is>
          <t>Curriculum</t>
        </is>
      </c>
      <c r="C16" s="25" t="inlineStr">
        <is>
          <t>See Curriculum tab</t>
        </is>
      </c>
      <c r="E16" s="24" t="inlineStr">
        <is>
          <t>Reading level</t>
        </is>
      </c>
      <c r="F16" s="25" t="inlineStr">
        <is>
          <t>—</t>
        </is>
      </c>
    </row>
    <row r="17" ht="22" customHeight="1">
      <c r="B17" s="24" t="inlineStr">
        <is>
          <t>Interests</t>
        </is>
      </c>
      <c r="C17" s="25" t="inlineStr">
        <is>
          <t>—</t>
        </is>
      </c>
      <c r="E17" s="24" t="inlineStr">
        <is>
          <t>Big goal</t>
        </is>
      </c>
      <c r="F17" s="25" t="inlineStr">
        <is>
          <t>See Goals tab</t>
        </is>
      </c>
    </row>
    <row r="19" ht="22" customHeight="1">
      <c r="B19" s="4" t="inlineStr">
        <is>
          <t>Grace Bennett</t>
        </is>
      </c>
    </row>
    <row r="20" ht="22" customHeight="1">
      <c r="B20" s="24" t="inlineStr">
        <is>
          <t>Grade</t>
        </is>
      </c>
      <c r="C20" s="25" t="inlineStr">
        <is>
          <t>3</t>
        </is>
      </c>
      <c r="E20" s="24" t="inlineStr">
        <is>
          <t>Age</t>
        </is>
      </c>
      <c r="F20" s="25" t="n">
        <v>8</v>
      </c>
    </row>
    <row r="21" ht="22" customHeight="1">
      <c r="B21" s="24" t="inlineStr">
        <is>
          <t>Approach</t>
        </is>
      </c>
      <c r="C21" s="25" t="inlineStr">
        <is>
          <t>Charlotte Mason</t>
        </is>
      </c>
      <c r="E21" s="24" t="inlineStr">
        <is>
          <t>Learning style</t>
        </is>
      </c>
      <c r="F21" s="25" t="inlineStr">
        <is>
          <t>—</t>
        </is>
      </c>
    </row>
    <row r="22" ht="22" customHeight="1">
      <c r="B22" s="24" t="inlineStr">
        <is>
          <t>Strengths</t>
        </is>
      </c>
      <c r="C22" s="25" t="inlineStr">
        <is>
          <t>Nature study · early reader</t>
        </is>
      </c>
      <c r="E22" s="24" t="inlineStr">
        <is>
          <t>Working on</t>
        </is>
      </c>
      <c r="F22" s="25" t="inlineStr">
        <is>
          <t>—</t>
        </is>
      </c>
    </row>
    <row r="23" ht="22" customHeight="1">
      <c r="B23" s="24" t="inlineStr">
        <is>
          <t>Curriculum</t>
        </is>
      </c>
      <c r="C23" s="25" t="inlineStr">
        <is>
          <t>See Curriculum tab</t>
        </is>
      </c>
      <c r="E23" s="24" t="inlineStr">
        <is>
          <t>Reading level</t>
        </is>
      </c>
      <c r="F23" s="25" t="inlineStr">
        <is>
          <t>—</t>
        </is>
      </c>
    </row>
    <row r="24" ht="22" customHeight="1">
      <c r="B24" s="24" t="inlineStr">
        <is>
          <t>Interests</t>
        </is>
      </c>
      <c r="C24" s="25" t="inlineStr">
        <is>
          <t>—</t>
        </is>
      </c>
      <c r="E24" s="24" t="inlineStr">
        <is>
          <t>Big goal</t>
        </is>
      </c>
      <c r="F24" s="25" t="inlineStr">
        <is>
          <t>See Goals tab</t>
        </is>
      </c>
    </row>
    <row r="26" ht="22" customHeight="1">
      <c r="B26" s="4" t="inlineStr">
        <is>
          <t>Sam Bennett</t>
        </is>
      </c>
    </row>
    <row r="27" ht="22" customHeight="1">
      <c r="B27" s="24" t="inlineStr">
        <is>
          <t>Grade</t>
        </is>
      </c>
      <c r="C27" s="25" t="inlineStr">
        <is>
          <t>K</t>
        </is>
      </c>
      <c r="E27" s="24" t="inlineStr">
        <is>
          <t>Age</t>
        </is>
      </c>
      <c r="F27" s="25" t="n">
        <v>5</v>
      </c>
    </row>
    <row r="28" ht="22" customHeight="1">
      <c r="B28" s="24" t="inlineStr">
        <is>
          <t>Approach</t>
        </is>
      </c>
      <c r="C28" s="25" t="inlineStr">
        <is>
          <t>Play-based</t>
        </is>
      </c>
      <c r="E28" s="24" t="inlineStr">
        <is>
          <t>Learning style</t>
        </is>
      </c>
      <c r="F28" s="25" t="inlineStr">
        <is>
          <t>—</t>
        </is>
      </c>
    </row>
    <row r="29" ht="22" customHeight="1">
      <c r="B29" s="24" t="inlineStr">
        <is>
          <t>Strengths</t>
        </is>
      </c>
      <c r="C29" s="25" t="inlineStr">
        <is>
          <t>Letters &amp; numbers · lots of read-alouds</t>
        </is>
      </c>
      <c r="E29" s="24" t="inlineStr">
        <is>
          <t>Working on</t>
        </is>
      </c>
      <c r="F29" s="25" t="inlineStr">
        <is>
          <t>—</t>
        </is>
      </c>
    </row>
    <row r="30" ht="22" customHeight="1">
      <c r="B30" s="24" t="inlineStr">
        <is>
          <t>Curriculum</t>
        </is>
      </c>
      <c r="C30" s="25" t="inlineStr">
        <is>
          <t>See Curriculum tab</t>
        </is>
      </c>
      <c r="E30" s="24" t="inlineStr">
        <is>
          <t>Reading level</t>
        </is>
      </c>
      <c r="F30" s="25" t="inlineStr">
        <is>
          <t>—</t>
        </is>
      </c>
    </row>
    <row r="31" ht="22" customHeight="1">
      <c r="B31" s="24" t="inlineStr">
        <is>
          <t>Interests</t>
        </is>
      </c>
      <c r="C31" s="25" t="inlineStr">
        <is>
          <t>—</t>
        </is>
      </c>
      <c r="E31" s="24" t="inlineStr">
        <is>
          <t>Big goal</t>
        </is>
      </c>
      <c r="F31" s="25" t="inlineStr">
        <is>
          <t>See Goals tab</t>
        </is>
      </c>
    </row>
  </sheetData>
  <mergeCells count="6">
    <mergeCell ref="B12:F12"/>
    <mergeCell ref="A1:G1"/>
    <mergeCell ref="B19:F19"/>
    <mergeCell ref="B5:F5"/>
    <mergeCell ref="A2:G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8" customWidth="1" min="4" max="4"/>
  </cols>
  <sheetData>
    <row r="1" ht="46" customHeight="1">
      <c r="A1" s="1" t="inlineStr">
        <is>
          <t xml:space="preserve">  🗓  YEAR AT A GLANCE — 2026–2027</t>
        </is>
      </c>
    </row>
    <row r="2" ht="22" customHeight="1">
      <c r="A2" s="2" t="inlineStr">
        <is>
          <t xml:space="preserve">  Terms, breaks &amp; big milestones — map the whole year, then work the plan.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Milestone</t>
        </is>
      </c>
      <c r="B4" s="9" t="inlineStr">
        <is>
          <t>Date</t>
        </is>
      </c>
      <c r="C4" s="9" t="inlineStr">
        <is>
          <t>Type</t>
        </is>
      </c>
      <c r="D4" s="9" t="inlineStr">
        <is>
          <t>Notes</t>
        </is>
      </c>
    </row>
    <row r="5">
      <c r="A5" s="26" t="inlineStr">
        <is>
          <t>Term 1 begins</t>
        </is>
      </c>
      <c r="B5" s="27" t="n">
        <v>46258</v>
      </c>
      <c r="C5" s="28" t="inlineStr">
        <is>
          <t>Start Term 1</t>
        </is>
      </c>
      <c r="D5" s="26" t="inlineStr">
        <is>
          <t>6 weeks on</t>
        </is>
      </c>
    </row>
    <row r="6">
      <c r="A6" s="21" t="inlineStr">
        <is>
          <t>Fall break</t>
        </is>
      </c>
      <c r="B6" s="29" t="n">
        <v>46300</v>
      </c>
      <c r="C6" s="23" t="inlineStr">
        <is>
          <t>Break</t>
        </is>
      </c>
      <c r="D6" s="21" t="inlineStr">
        <is>
          <t>1 week off</t>
        </is>
      </c>
    </row>
    <row r="7">
      <c r="A7" s="26" t="inlineStr">
        <is>
          <t>Term 2 begins</t>
        </is>
      </c>
      <c r="B7" s="27" t="n">
        <v>46307</v>
      </c>
      <c r="C7" s="28" t="inlineStr">
        <is>
          <t>Start Term 2</t>
        </is>
      </c>
      <c r="D7" s="26" t="inlineStr">
        <is>
          <t>6 weeks on</t>
        </is>
      </c>
    </row>
    <row r="8">
      <c r="A8" s="21" t="inlineStr">
        <is>
          <t>Thanksgiving break</t>
        </is>
      </c>
      <c r="B8" s="29" t="n">
        <v>46349</v>
      </c>
      <c r="C8" s="23" t="inlineStr">
        <is>
          <t>Break</t>
        </is>
      </c>
      <c r="D8" s="21" t="inlineStr">
        <is>
          <t>Nov 23–27</t>
        </is>
      </c>
    </row>
    <row r="9">
      <c r="A9" s="26" t="inlineStr">
        <is>
          <t>Term 3 begins</t>
        </is>
      </c>
      <c r="B9" s="27" t="n">
        <v>46356</v>
      </c>
      <c r="C9" s="28" t="inlineStr">
        <is>
          <t>Start Term 3</t>
        </is>
      </c>
      <c r="D9" s="26" t="inlineStr">
        <is>
          <t>Portfolio review</t>
        </is>
      </c>
    </row>
    <row r="10">
      <c r="A10" s="21" t="inlineStr">
        <is>
          <t>Winter break</t>
        </is>
      </c>
      <c r="B10" s="29" t="n">
        <v>46377</v>
      </c>
      <c r="C10" s="23" t="inlineStr">
        <is>
          <t>Break</t>
        </is>
      </c>
      <c r="D10" s="21" t="inlineStr">
        <is>
          <t>Return Jan 5</t>
        </is>
      </c>
    </row>
    <row r="11">
      <c r="A11" s="26" t="inlineStr">
        <is>
          <t>Term 4 begins</t>
        </is>
      </c>
      <c r="B11" s="27" t="n">
        <v>46392</v>
      </c>
      <c r="C11" s="28" t="inlineStr">
        <is>
          <t>Start Term 4</t>
        </is>
      </c>
      <c r="D11" s="26" t="inlineStr">
        <is>
          <t>Standardized test window</t>
        </is>
      </c>
    </row>
    <row r="12">
      <c r="A12" s="21" t="inlineStr">
        <is>
          <t>Spring break</t>
        </is>
      </c>
      <c r="B12" s="29" t="n">
        <v>46468</v>
      </c>
      <c r="C12" s="23" t="inlineStr">
        <is>
          <t>Break</t>
        </is>
      </c>
      <c r="D12" s="21" t="inlineStr">
        <is>
          <t>1 week off</t>
        </is>
      </c>
    </row>
    <row r="13">
      <c r="A13" s="26" t="inlineStr">
        <is>
          <t>Term 5 begins</t>
        </is>
      </c>
      <c r="B13" s="27" t="n">
        <v>46475</v>
      </c>
      <c r="C13" s="28" t="inlineStr">
        <is>
          <t>Start Term 5</t>
        </is>
      </c>
      <c r="D13" s="26" t="inlineStr">
        <is>
          <t>Science fair</t>
        </is>
      </c>
    </row>
    <row r="14">
      <c r="A14" s="21" t="inlineStr">
        <is>
          <t>Co-op ends</t>
        </is>
      </c>
      <c r="B14" s="29" t="n">
        <v>46514</v>
      </c>
      <c r="C14" s="23" t="inlineStr">
        <is>
          <t>Milestone</t>
        </is>
      </c>
      <c r="D14" s="21" t="inlineStr">
        <is>
          <t>Last co-op Friday</t>
        </is>
      </c>
    </row>
    <row r="15">
      <c r="A15" s="26" t="inlineStr">
        <is>
          <t>Year-end evaluation</t>
        </is>
      </c>
      <c r="B15" s="27" t="n">
        <v>46528</v>
      </c>
      <c r="C15" s="28" t="inlineStr">
        <is>
          <t>Records</t>
        </is>
      </c>
      <c r="D15" s="26" t="inlineStr">
        <is>
          <t>Evaluator meeting</t>
        </is>
      </c>
    </row>
    <row r="16">
      <c r="A16" s="21" t="inlineStr">
        <is>
          <t>Last day / Day 180</t>
        </is>
      </c>
      <c r="B16" s="29" t="n">
        <v>46535</v>
      </c>
      <c r="C16" s="23" t="inlineStr">
        <is>
          <t>Milestone</t>
        </is>
      </c>
      <c r="D16" s="21" t="inlineStr">
        <is>
          <t>Portfolio complete</t>
        </is>
      </c>
    </row>
    <row r="17">
      <c r="A17" s="26" t="n"/>
      <c r="B17" s="27" t="n"/>
      <c r="C17" s="28" t="n"/>
      <c r="D17" s="26" t="n"/>
    </row>
    <row r="18">
      <c r="A18" s="21" t="n"/>
      <c r="B18" s="29" t="n"/>
      <c r="C18" s="23" t="n"/>
      <c r="D18" s="21" t="n"/>
    </row>
    <row r="19">
      <c r="A19" s="26" t="n"/>
      <c r="B19" s="27" t="n"/>
      <c r="C19" s="28" t="n"/>
      <c r="D19" s="26" t="n"/>
    </row>
    <row r="20">
      <c r="A20" s="21" t="n"/>
      <c r="B20" s="29" t="n"/>
      <c r="C20" s="23" t="n"/>
      <c r="D20" s="21" t="n"/>
    </row>
    <row r="21">
      <c r="A21" s="26" t="n"/>
      <c r="B21" s="27" t="n"/>
      <c r="C21" s="28" t="n"/>
      <c r="D21" s="26" t="n"/>
    </row>
    <row r="22">
      <c r="A22" s="21" t="n"/>
      <c r="B22" s="29" t="n"/>
      <c r="C22" s="23" t="n"/>
      <c r="D22" s="21" t="n"/>
    </row>
    <row r="23">
      <c r="A23" s="26" t="n"/>
      <c r="B23" s="27" t="n"/>
      <c r="C23" s="28" t="n"/>
      <c r="D23" s="26" t="n"/>
    </row>
    <row r="24">
      <c r="A24" s="21" t="n"/>
      <c r="B24" s="29" t="n"/>
      <c r="C24" s="23" t="n"/>
      <c r="D24" s="21" t="n"/>
    </row>
    <row r="25">
      <c r="A25" s="26" t="n"/>
      <c r="B25" s="27" t="n"/>
      <c r="C25" s="28" t="n"/>
      <c r="D25" s="26" t="n"/>
    </row>
    <row r="26">
      <c r="A26" s="21" t="n"/>
      <c r="B26" s="29" t="n"/>
      <c r="C26" s="23" t="n"/>
      <c r="D26" s="21" t="n"/>
    </row>
    <row r="27">
      <c r="A27" s="26" t="n"/>
      <c r="B27" s="27" t="n"/>
      <c r="C27" s="28" t="n"/>
      <c r="D27" s="26" t="n"/>
    </row>
    <row r="28">
      <c r="A28" s="21" t="n"/>
      <c r="B28" s="29" t="n"/>
      <c r="C28" s="23" t="n"/>
      <c r="D28" s="21" t="n"/>
    </row>
    <row r="29">
      <c r="A29" s="26" t="n"/>
      <c r="B29" s="27" t="n"/>
      <c r="C29" s="28" t="n"/>
      <c r="D29" s="26" t="n"/>
    </row>
    <row r="30">
      <c r="A30" s="21" t="n"/>
      <c r="B30" s="29" t="n"/>
      <c r="C30" s="23" t="n"/>
      <c r="D30" s="21" t="n"/>
    </row>
    <row r="31">
      <c r="A31" s="26" t="n"/>
      <c r="B31" s="27" t="n"/>
      <c r="C31" s="28" t="n"/>
      <c r="D31" s="26" t="n"/>
    </row>
    <row r="32">
      <c r="A32" s="21" t="n"/>
      <c r="B32" s="29" t="n"/>
      <c r="C32" s="23" t="n"/>
      <c r="D32" s="21" t="n"/>
    </row>
    <row r="33">
      <c r="A33" s="26" t="n"/>
      <c r="B33" s="27" t="n"/>
      <c r="C33" s="28" t="n"/>
      <c r="D33" s="26" t="n"/>
    </row>
    <row r="34">
      <c r="A34" s="21" t="n"/>
      <c r="B34" s="29" t="n"/>
      <c r="C34" s="23" t="n"/>
      <c r="D34" s="21" t="n"/>
    </row>
    <row r="35">
      <c r="A35" s="26" t="n"/>
      <c r="B35" s="27" t="n"/>
      <c r="C35" s="28" t="n"/>
      <c r="D35" s="26" t="n"/>
    </row>
    <row r="36">
      <c r="A36" s="21" t="n"/>
      <c r="B36" s="29" t="n"/>
      <c r="C36" s="23" t="n"/>
      <c r="D36" s="21" t="n"/>
    </row>
    <row r="37">
      <c r="A37" s="26" t="n"/>
      <c r="B37" s="27" t="n"/>
      <c r="C37" s="28" t="n"/>
      <c r="D37" s="26" t="n"/>
    </row>
    <row r="38">
      <c r="A38" s="21" t="n"/>
      <c r="B38" s="29" t="n"/>
      <c r="C38" s="23" t="n"/>
      <c r="D38" s="21" t="n"/>
    </row>
    <row r="39">
      <c r="A39" s="26" t="n"/>
      <c r="B39" s="27" t="n"/>
      <c r="C39" s="28" t="n"/>
      <c r="D39" s="26" t="n"/>
    </row>
    <row r="40">
      <c r="A40" s="21" t="n"/>
      <c r="B40" s="29" t="n"/>
      <c r="C40" s="23" t="n"/>
      <c r="D40" s="21" t="n"/>
    </row>
    <row r="41">
      <c r="A41" s="26" t="n"/>
      <c r="B41" s="27" t="n"/>
      <c r="C41" s="28" t="n"/>
      <c r="D41" s="26" t="n"/>
    </row>
    <row r="42">
      <c r="A42" s="21" t="n"/>
      <c r="B42" s="29" t="n"/>
      <c r="C42" s="23" t="n"/>
      <c r="D42" s="21" t="n"/>
    </row>
    <row r="43">
      <c r="A43" s="26" t="n"/>
      <c r="B43" s="27" t="n"/>
      <c r="C43" s="28" t="n"/>
      <c r="D43" s="26" t="n"/>
    </row>
    <row r="44">
      <c r="A44" s="21" t="n"/>
      <c r="B44" s="29" t="n"/>
      <c r="C44" s="23" t="n"/>
      <c r="D44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2" customWidth="1" min="4" max="4"/>
    <col width="12" customWidth="1" min="5" max="5"/>
  </cols>
  <sheetData>
    <row r="1" ht="46" customHeight="1">
      <c r="A1" s="1" t="inlineStr">
        <is>
          <t xml:space="preserve">  📖  CURRICULUM &amp; RESOURCES</t>
        </is>
      </c>
    </row>
    <row r="2" ht="22" customHeight="1">
      <c r="A2" s="2" t="inlineStr">
        <is>
          <t xml:space="preserve">  Every subject, every student — what you're using, what it cost &amp; what's still needed.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Subject</t>
        </is>
      </c>
      <c r="B4" s="9" t="inlineStr">
        <is>
          <t>Student</t>
        </is>
      </c>
      <c r="C4" s="9" t="inlineStr">
        <is>
          <t>Resource</t>
        </is>
      </c>
      <c r="D4" s="9" t="inlineStr">
        <is>
          <t>Cost</t>
        </is>
      </c>
      <c r="E4" s="9" t="inlineStr">
        <is>
          <t>Status</t>
        </is>
      </c>
    </row>
    <row r="5">
      <c r="A5" s="28" t="inlineStr">
        <is>
          <t>Math</t>
        </is>
      </c>
      <c r="B5" s="28" t="inlineStr">
        <is>
          <t>Ella</t>
        </is>
      </c>
      <c r="C5" s="26" t="inlineStr">
        <is>
          <t>Saxon 8/7</t>
        </is>
      </c>
      <c r="D5" s="30" t="n">
        <v>110</v>
      </c>
      <c r="E5" s="28" t="inlineStr">
        <is>
          <t>Have</t>
        </is>
      </c>
    </row>
    <row r="6">
      <c r="A6" s="23" t="inlineStr">
        <is>
          <t>Math</t>
        </is>
      </c>
      <c r="B6" s="23" t="inlineStr">
        <is>
          <t>Noah</t>
        </is>
      </c>
      <c r="C6" s="21" t="inlineStr">
        <is>
          <t>Singapore 6</t>
        </is>
      </c>
      <c r="D6" s="31" t="n">
        <v>95</v>
      </c>
      <c r="E6" s="23" t="inlineStr">
        <is>
          <t>Have</t>
        </is>
      </c>
    </row>
    <row r="7">
      <c r="A7" s="28" t="inlineStr">
        <is>
          <t>Math</t>
        </is>
      </c>
      <c r="B7" s="28" t="inlineStr">
        <is>
          <t>Grace</t>
        </is>
      </c>
      <c r="C7" s="26" t="inlineStr">
        <is>
          <t>Math-U-See</t>
        </is>
      </c>
      <c r="D7" s="30" t="n">
        <v>85</v>
      </c>
      <c r="E7" s="28" t="inlineStr">
        <is>
          <t>Have</t>
        </is>
      </c>
    </row>
    <row r="8">
      <c r="A8" s="23" t="inlineStr">
        <is>
          <t>Math</t>
        </is>
      </c>
      <c r="B8" s="23" t="inlineStr">
        <is>
          <t>Sam</t>
        </is>
      </c>
      <c r="C8" s="21" t="inlineStr">
        <is>
          <t>Math games (K)</t>
        </is>
      </c>
      <c r="D8" s="31" t="n">
        <v>40</v>
      </c>
      <c r="E8" s="23" t="inlineStr">
        <is>
          <t>Have</t>
        </is>
      </c>
    </row>
    <row r="9">
      <c r="A9" s="28" t="inlineStr">
        <is>
          <t>Language Arts</t>
        </is>
      </c>
      <c r="B9" s="28" t="inlineStr">
        <is>
          <t>Ella</t>
        </is>
      </c>
      <c r="C9" s="26" t="inlineStr">
        <is>
          <t>IEW writing</t>
        </is>
      </c>
      <c r="D9" s="30" t="n">
        <v>120</v>
      </c>
      <c r="E9" s="28" t="inlineStr">
        <is>
          <t>Have</t>
        </is>
      </c>
    </row>
    <row r="10">
      <c r="A10" s="23" t="inlineStr">
        <is>
          <t>Language Arts</t>
        </is>
      </c>
      <c r="B10" s="23" t="inlineStr">
        <is>
          <t>Noah</t>
        </is>
      </c>
      <c r="C10" s="21" t="inlineStr">
        <is>
          <t>Grammar + lit</t>
        </is>
      </c>
      <c r="D10" s="31" t="n">
        <v>90</v>
      </c>
      <c r="E10" s="23" t="inlineStr">
        <is>
          <t>Have</t>
        </is>
      </c>
    </row>
    <row r="11">
      <c r="A11" s="28" t="inlineStr">
        <is>
          <t>Language Arts</t>
        </is>
      </c>
      <c r="B11" s="28" t="inlineStr">
        <is>
          <t>Grace</t>
        </is>
      </c>
      <c r="C11" s="26" t="inlineStr">
        <is>
          <t>Phonics + readers</t>
        </is>
      </c>
      <c r="D11" s="30" t="n">
        <v>70</v>
      </c>
      <c r="E11" s="28" t="inlineStr">
        <is>
          <t>Have</t>
        </is>
      </c>
    </row>
    <row r="12">
      <c r="A12" s="23" t="inlineStr">
        <is>
          <t>Language Arts</t>
        </is>
      </c>
      <c r="B12" s="23" t="inlineStr">
        <is>
          <t>Sam</t>
        </is>
      </c>
      <c r="C12" s="21" t="inlineStr">
        <is>
          <t>Handwriting</t>
        </is>
      </c>
      <c r="D12" s="31" t="n">
        <v>35</v>
      </c>
      <c r="E12" s="23" t="inlineStr">
        <is>
          <t>Have</t>
        </is>
      </c>
    </row>
    <row r="13">
      <c r="A13" s="28" t="inlineStr">
        <is>
          <t>Science</t>
        </is>
      </c>
      <c r="B13" s="28" t="inlineStr">
        <is>
          <t>All</t>
        </is>
      </c>
      <c r="C13" s="26" t="inlineStr">
        <is>
          <t>Apologia + lab kit</t>
        </is>
      </c>
      <c r="D13" s="30" t="n">
        <v>130</v>
      </c>
      <c r="E13" s="28" t="inlineStr">
        <is>
          <t>Have</t>
        </is>
      </c>
    </row>
    <row r="14">
      <c r="A14" s="23" t="inlineStr">
        <is>
          <t>History</t>
        </is>
      </c>
      <c r="B14" s="23" t="inlineStr">
        <is>
          <t>All</t>
        </is>
      </c>
      <c r="C14" s="21" t="inlineStr">
        <is>
          <t>Story of the World</t>
        </is>
      </c>
      <c r="D14" s="31" t="n">
        <v>95</v>
      </c>
      <c r="E14" s="23" t="inlineStr">
        <is>
          <t>Have</t>
        </is>
      </c>
    </row>
    <row r="15">
      <c r="A15" s="28" t="inlineStr">
        <is>
          <t>Art</t>
        </is>
      </c>
      <c r="B15" s="28" t="inlineStr">
        <is>
          <t>All</t>
        </is>
      </c>
      <c r="C15" s="26" t="inlineStr">
        <is>
          <t>Art supply box</t>
        </is>
      </c>
      <c r="D15" s="30" t="n">
        <v>60</v>
      </c>
      <c r="E15" s="28" t="inlineStr">
        <is>
          <t>Have</t>
        </is>
      </c>
    </row>
    <row r="16">
      <c r="A16" s="23" t="inlineStr">
        <is>
          <t>Music</t>
        </is>
      </c>
      <c r="B16" s="23" t="inlineStr">
        <is>
          <t>All</t>
        </is>
      </c>
      <c r="C16" s="21" t="inlineStr">
        <is>
          <t>Piano books</t>
        </is>
      </c>
      <c r="D16" s="31" t="n">
        <v>45</v>
      </c>
      <c r="E16" s="23" t="inlineStr">
        <is>
          <t>Have</t>
        </is>
      </c>
    </row>
    <row r="17">
      <c r="A17" s="28" t="inlineStr">
        <is>
          <t>Foreign Language</t>
        </is>
      </c>
      <c r="B17" s="28" t="inlineStr">
        <is>
          <t>Ella/Noah</t>
        </is>
      </c>
      <c r="C17" s="26" t="inlineStr">
        <is>
          <t>Spanish (online)</t>
        </is>
      </c>
      <c r="D17" s="30" t="n">
        <v>0</v>
      </c>
      <c r="E17" s="28" t="inlineStr">
        <is>
          <t>Need</t>
        </is>
      </c>
    </row>
    <row r="18">
      <c r="A18" s="23" t="inlineStr">
        <is>
          <t>Bible / Character</t>
        </is>
      </c>
      <c r="B18" s="23" t="inlineStr">
        <is>
          <t>All</t>
        </is>
      </c>
      <c r="C18" s="21" t="inlineStr">
        <is>
          <t>Devotional set</t>
        </is>
      </c>
      <c r="D18" s="31" t="n">
        <v>30</v>
      </c>
      <c r="E18" s="23" t="inlineStr">
        <is>
          <t>Have</t>
        </is>
      </c>
    </row>
    <row r="19">
      <c r="A19" s="28" t="inlineStr">
        <is>
          <t>Geography</t>
        </is>
      </c>
      <c r="B19" s="28" t="inlineStr">
        <is>
          <t>All</t>
        </is>
      </c>
      <c r="C19" s="26" t="inlineStr">
        <is>
          <t>Maps + atlas</t>
        </is>
      </c>
      <c r="D19" s="30" t="n">
        <v>55</v>
      </c>
      <c r="E19" s="28" t="inlineStr">
        <is>
          <t>Have</t>
        </is>
      </c>
    </row>
    <row r="20">
      <c r="A20" s="23" t="inlineStr">
        <is>
          <t>PE</t>
        </is>
      </c>
      <c r="B20" s="23" t="inlineStr">
        <is>
          <t>All</t>
        </is>
      </c>
      <c r="C20" s="21" t="inlineStr">
        <is>
          <t>Co-op sports</t>
        </is>
      </c>
      <c r="D20" s="31" t="n">
        <v>80</v>
      </c>
      <c r="E20" s="23" t="inlineStr">
        <is>
          <t>Have</t>
        </is>
      </c>
    </row>
    <row r="21">
      <c r="A21" s="28" t="inlineStr">
        <is>
          <t>Life Skills</t>
        </is>
      </c>
      <c r="B21" s="28" t="inlineStr">
        <is>
          <t>All</t>
        </is>
      </c>
      <c r="C21" s="26" t="inlineStr">
        <is>
          <t>Cooking &amp; typing</t>
        </is>
      </c>
      <c r="D21" s="30" t="n">
        <v>40</v>
      </c>
      <c r="E21" s="28" t="inlineStr">
        <is>
          <t>Have</t>
        </is>
      </c>
    </row>
    <row r="22">
      <c r="A22" s="23" t="inlineStr">
        <is>
          <t>Language Arts</t>
        </is>
      </c>
      <c r="B22" s="23" t="inlineStr">
        <is>
          <t>Ella</t>
        </is>
      </c>
      <c r="C22" s="21" t="inlineStr">
        <is>
          <t>Literature guides</t>
        </is>
      </c>
      <c r="D22" s="31" t="n">
        <v>60</v>
      </c>
      <c r="E22" s="23" t="inlineStr">
        <is>
          <t>Have</t>
        </is>
      </c>
    </row>
    <row r="23">
      <c r="A23" s="28" t="n"/>
      <c r="B23" s="28" t="n"/>
      <c r="C23" s="26" t="n"/>
      <c r="D23" s="30" t="n"/>
      <c r="E23" s="28" t="n"/>
    </row>
    <row r="24">
      <c r="A24" s="23" t="n"/>
      <c r="B24" s="23" t="n"/>
      <c r="C24" s="21" t="n"/>
      <c r="D24" s="31" t="n"/>
      <c r="E24" s="23" t="n"/>
    </row>
    <row r="25">
      <c r="A25" s="28" t="n"/>
      <c r="B25" s="28" t="n"/>
      <c r="C25" s="26" t="n"/>
      <c r="D25" s="30" t="n"/>
      <c r="E25" s="28" t="n"/>
    </row>
    <row r="26">
      <c r="A26" s="23" t="n"/>
      <c r="B26" s="23" t="n"/>
      <c r="C26" s="21" t="n"/>
      <c r="D26" s="31" t="n"/>
      <c r="E26" s="23" t="n"/>
    </row>
    <row r="27">
      <c r="A27" s="28" t="n"/>
      <c r="B27" s="28" t="n"/>
      <c r="C27" s="26" t="n"/>
      <c r="D27" s="30" t="n"/>
      <c r="E27" s="28" t="n"/>
    </row>
    <row r="28">
      <c r="A28" s="23" t="n"/>
      <c r="B28" s="23" t="n"/>
      <c r="C28" s="21" t="n"/>
      <c r="D28" s="31" t="n"/>
      <c r="E28" s="23" t="n"/>
    </row>
    <row r="29">
      <c r="A29" s="28" t="n"/>
      <c r="B29" s="28" t="n"/>
      <c r="C29" s="26" t="n"/>
      <c r="D29" s="30" t="n"/>
      <c r="E29" s="28" t="n"/>
    </row>
    <row r="30">
      <c r="A30" s="23" t="n"/>
      <c r="B30" s="23" t="n"/>
      <c r="C30" s="21" t="n"/>
      <c r="D30" s="31" t="n"/>
      <c r="E30" s="23" t="n"/>
    </row>
    <row r="31">
      <c r="A31" s="28" t="n"/>
      <c r="B31" s="28" t="n"/>
      <c r="C31" s="26" t="n"/>
      <c r="D31" s="30" t="n"/>
      <c r="E31" s="28" t="n"/>
    </row>
    <row r="32">
      <c r="A32" s="23" t="n"/>
      <c r="B32" s="23" t="n"/>
      <c r="C32" s="21" t="n"/>
      <c r="D32" s="31" t="n"/>
      <c r="E32" s="23" t="n"/>
    </row>
    <row r="33">
      <c r="A33" s="28" t="n"/>
      <c r="B33" s="28" t="n"/>
      <c r="C33" s="26" t="n"/>
      <c r="D33" s="30" t="n"/>
      <c r="E33" s="28" t="n"/>
    </row>
    <row r="34">
      <c r="A34" s="23" t="n"/>
      <c r="B34" s="23" t="n"/>
      <c r="C34" s="21" t="n"/>
      <c r="D34" s="31" t="n"/>
      <c r="E34" s="23" t="n"/>
    </row>
    <row r="35">
      <c r="A35" s="28" t="n"/>
      <c r="B35" s="28" t="n"/>
      <c r="C35" s="26" t="n"/>
      <c r="D35" s="30" t="n"/>
      <c r="E35" s="28" t="n"/>
    </row>
    <row r="36">
      <c r="A36" s="23" t="n"/>
      <c r="B36" s="23" t="n"/>
      <c r="C36" s="21" t="n"/>
      <c r="D36" s="31" t="n"/>
      <c r="E36" s="23" t="n"/>
    </row>
    <row r="37">
      <c r="A37" s="28" t="n"/>
      <c r="B37" s="28" t="n"/>
      <c r="C37" s="26" t="n"/>
      <c r="D37" s="30" t="n"/>
      <c r="E37" s="28" t="n"/>
    </row>
    <row r="38">
      <c r="A38" s="23" t="n"/>
      <c r="B38" s="23" t="n"/>
      <c r="C38" s="21" t="n"/>
      <c r="D38" s="31" t="n"/>
      <c r="E38" s="23" t="n"/>
    </row>
    <row r="39">
      <c r="A39" s="28" t="n"/>
      <c r="B39" s="28" t="n"/>
      <c r="C39" s="26" t="n"/>
      <c r="D39" s="30" t="n"/>
      <c r="E39" s="28" t="n"/>
    </row>
    <row r="40">
      <c r="A40" s="23" t="n"/>
      <c r="B40" s="23" t="n"/>
      <c r="C40" s="21" t="n"/>
      <c r="D40" s="31" t="n"/>
      <c r="E40" s="23" t="n"/>
    </row>
    <row r="41">
      <c r="A41" s="28" t="n"/>
      <c r="B41" s="28" t="n"/>
      <c r="C41" s="26" t="n"/>
      <c r="D41" s="30" t="n"/>
      <c r="E41" s="28" t="n"/>
    </row>
    <row r="42">
      <c r="A42" s="23" t="n"/>
      <c r="B42" s="23" t="n"/>
      <c r="C42" s="21" t="n"/>
      <c r="D42" s="31" t="n"/>
      <c r="E42" s="23" t="n"/>
    </row>
    <row r="43">
      <c r="A43" s="28" t="n"/>
      <c r="B43" s="28" t="n"/>
      <c r="C43" s="26" t="n"/>
      <c r="D43" s="30" t="n"/>
      <c r="E43" s="28" t="n"/>
    </row>
    <row r="44">
      <c r="A44" s="23" t="n"/>
      <c r="B44" s="23" t="n"/>
      <c r="C44" s="21" t="n"/>
      <c r="D44" s="31" t="n"/>
      <c r="E44" s="23" t="n"/>
    </row>
    <row r="45">
      <c r="C45" s="9" t="inlineStr">
        <is>
          <t>ACQUIRED TO DATE</t>
        </is>
      </c>
      <c r="D45" s="32">
        <f>SUMIF(CurricStatus,"Have",CurricCost)</f>
        <v/>
      </c>
      <c r="E45" s="33" t="n"/>
    </row>
  </sheetData>
  <mergeCells count="2">
    <mergeCell ref="A2:E2"/>
    <mergeCell ref="A1:E1"/>
  </mergeCells>
  <conditionalFormatting sqref="E5:E44">
    <cfRule type="cellIs" priority="1" operator="equal" dxfId="0">
      <formula>"Have"</formula>
    </cfRule>
    <cfRule type="cellIs" priority="2" operator="equal" dxfId="1">
      <formula>"Ordered"</formula>
    </cfRule>
    <cfRule type="cellIs" priority="3" operator="equal" dxfId="2">
      <formula>"Need"</formula>
    </cfRule>
  </conditionalFormatting>
  <dataValidations count="2">
    <dataValidation sqref="A5:A44" showDropDown="0" showInputMessage="0" showErrorMessage="0" allowBlank="1" type="list">
      <formula1>=SubjectList</formula1>
    </dataValidation>
    <dataValidation sqref="E5:E44" showDropDown="0" showInputMessage="0" showErrorMessage="0" allowBlank="1" type="list">
      <formula1>=AcquiredList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30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🧭  SUBJECT / COURSE PLAN</t>
        </is>
      </c>
    </row>
    <row r="2" ht="22" customHeight="1">
      <c r="A2" s="2" t="inlineStr">
        <is>
          <t xml:space="preserve">  Your course of study — the scope for each subject and how you'll cover it.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Subject</t>
        </is>
      </c>
      <c r="C4" s="9" t="inlineStr">
        <is>
          <t>Scope this year</t>
        </is>
      </c>
      <c r="D4" s="9" t="inlineStr">
        <is>
          <t>Students</t>
        </is>
      </c>
      <c r="E4" s="9" t="inlineStr">
        <is>
          <t>Cadence</t>
        </is>
      </c>
    </row>
    <row r="5">
      <c r="B5" s="18" t="inlineStr">
        <is>
          <t>Math</t>
        </is>
      </c>
      <c r="C5" s="18" t="inlineStr">
        <is>
          <t>Grade-level curriculum + facts practice</t>
        </is>
      </c>
      <c r="D5" s="20" t="inlineStr">
        <is>
          <t>All (own level)</t>
        </is>
      </c>
      <c r="E5" s="20" t="inlineStr">
        <is>
          <t>Daily</t>
        </is>
      </c>
    </row>
    <row r="6">
      <c r="B6" s="21" t="inlineStr">
        <is>
          <t>Language Arts</t>
        </is>
      </c>
      <c r="C6" s="21" t="inlineStr">
        <is>
          <t>Reading, writing, grammar, spelling</t>
        </is>
      </c>
      <c r="D6" s="23" t="inlineStr">
        <is>
          <t>All (own level)</t>
        </is>
      </c>
      <c r="E6" s="23" t="inlineStr">
        <is>
          <t>Daily</t>
        </is>
      </c>
    </row>
    <row r="7">
      <c r="B7" s="18" t="inlineStr">
        <is>
          <t>Science</t>
        </is>
      </c>
      <c r="C7" s="18" t="inlineStr">
        <is>
          <t>Life science + weekly labs</t>
        </is>
      </c>
      <c r="D7" s="20" t="inlineStr">
        <is>
          <t>Together</t>
        </is>
      </c>
      <c r="E7" s="20" t="inlineStr">
        <is>
          <t>3× / week</t>
        </is>
      </c>
    </row>
    <row r="8">
      <c r="B8" s="21" t="inlineStr">
        <is>
          <t>History</t>
        </is>
      </c>
      <c r="C8" s="21" t="inlineStr">
        <is>
          <t>Ancients (Story of the World Vol. 1)</t>
        </is>
      </c>
      <c r="D8" s="23" t="inlineStr">
        <is>
          <t>Together</t>
        </is>
      </c>
      <c r="E8" s="23" t="inlineStr">
        <is>
          <t>3× / week</t>
        </is>
      </c>
    </row>
    <row r="9">
      <c r="B9" s="18" t="inlineStr">
        <is>
          <t>Geography</t>
        </is>
      </c>
      <c r="C9" s="18" t="inlineStr">
        <is>
          <t>Continents, maps, US states</t>
        </is>
      </c>
      <c r="D9" s="20" t="inlineStr">
        <is>
          <t>Together</t>
        </is>
      </c>
      <c r="E9" s="20" t="inlineStr">
        <is>
          <t>Weekly</t>
        </is>
      </c>
    </row>
    <row r="10">
      <c r="B10" s="21" t="inlineStr">
        <is>
          <t>Art</t>
        </is>
      </c>
      <c r="C10" s="21" t="inlineStr">
        <is>
          <t>Techniques + artist study</t>
        </is>
      </c>
      <c r="D10" s="23" t="inlineStr">
        <is>
          <t>Together</t>
        </is>
      </c>
      <c r="E10" s="23" t="inlineStr">
        <is>
          <t>Weekly</t>
        </is>
      </c>
    </row>
    <row r="11">
      <c r="B11" s="18" t="inlineStr">
        <is>
          <t>Music</t>
        </is>
      </c>
      <c r="C11" s="18" t="inlineStr">
        <is>
          <t>Piano + composer study</t>
        </is>
      </c>
      <c r="D11" s="20" t="inlineStr">
        <is>
          <t>Together</t>
        </is>
      </c>
      <c r="E11" s="20" t="inlineStr">
        <is>
          <t>2× / week</t>
        </is>
      </c>
    </row>
    <row r="12">
      <c r="B12" s="21" t="inlineStr">
        <is>
          <t>Bible / Character</t>
        </is>
      </c>
      <c r="C12" s="21" t="inlineStr">
        <is>
          <t>Proverbs + character focus</t>
        </is>
      </c>
      <c r="D12" s="23" t="inlineStr">
        <is>
          <t>Together</t>
        </is>
      </c>
      <c r="E12" s="23" t="inlineStr">
        <is>
          <t>Daily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</cols>
  <sheetData>
    <row r="1" ht="46" customHeight="1">
      <c r="A1" s="1" t="inlineStr">
        <is>
          <t xml:space="preserve">  ✏  LESSON PLANNER</t>
        </is>
      </c>
    </row>
    <row r="2" ht="22" customHeight="1">
      <c r="A2" s="2" t="inlineStr">
        <is>
          <t xml:space="preserve">  Unit by unit, per subject — plan the scope and check it off as you go.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Subject</t>
        </is>
      </c>
      <c r="B4" s="9" t="inlineStr">
        <is>
          <t>Student</t>
        </is>
      </c>
      <c r="C4" s="9" t="inlineStr">
        <is>
          <t>Unit / Lesson</t>
        </is>
      </c>
      <c r="D4" s="9" t="inlineStr">
        <is>
          <t>Status</t>
        </is>
      </c>
    </row>
    <row r="5">
      <c r="A5" s="28" t="inlineStr">
        <is>
          <t>Math</t>
        </is>
      </c>
      <c r="B5" s="28" t="inlineStr">
        <is>
          <t>Ella</t>
        </is>
      </c>
      <c r="C5" s="26" t="inlineStr">
        <is>
          <t>Ratios &amp; proportions</t>
        </is>
      </c>
      <c r="D5" s="28" t="inlineStr">
        <is>
          <t>Done</t>
        </is>
      </c>
    </row>
    <row r="6">
      <c r="A6" s="23" t="inlineStr">
        <is>
          <t>Math</t>
        </is>
      </c>
      <c r="B6" s="23" t="inlineStr">
        <is>
          <t>Ella</t>
        </is>
      </c>
      <c r="C6" s="21" t="inlineStr">
        <is>
          <t>Percents</t>
        </is>
      </c>
      <c r="D6" s="23" t="inlineStr">
        <is>
          <t>In Progress</t>
        </is>
      </c>
    </row>
    <row r="7">
      <c r="A7" s="28" t="inlineStr">
        <is>
          <t>Math</t>
        </is>
      </c>
      <c r="B7" s="28" t="inlineStr">
        <is>
          <t>Noah</t>
        </is>
      </c>
      <c r="C7" s="26" t="inlineStr">
        <is>
          <t>Fractions</t>
        </is>
      </c>
      <c r="D7" s="28" t="inlineStr">
        <is>
          <t>Done</t>
        </is>
      </c>
    </row>
    <row r="8">
      <c r="A8" s="23" t="inlineStr">
        <is>
          <t>Math</t>
        </is>
      </c>
      <c r="B8" s="23" t="inlineStr">
        <is>
          <t>Grace</t>
        </is>
      </c>
      <c r="C8" s="21" t="inlineStr">
        <is>
          <t>Multiplication facts</t>
        </is>
      </c>
      <c r="D8" s="23" t="inlineStr">
        <is>
          <t>Done</t>
        </is>
      </c>
    </row>
    <row r="9">
      <c r="A9" s="28" t="inlineStr">
        <is>
          <t>Math</t>
        </is>
      </c>
      <c r="B9" s="28" t="inlineStr">
        <is>
          <t>Sam</t>
        </is>
      </c>
      <c r="C9" s="26" t="inlineStr">
        <is>
          <t>Counting to 100</t>
        </is>
      </c>
      <c r="D9" s="28" t="inlineStr">
        <is>
          <t>Done</t>
        </is>
      </c>
    </row>
    <row r="10">
      <c r="A10" s="23" t="inlineStr">
        <is>
          <t>Language Arts</t>
        </is>
      </c>
      <c r="B10" s="23" t="inlineStr">
        <is>
          <t>Ella</t>
        </is>
      </c>
      <c r="C10" s="21" t="inlineStr">
        <is>
          <t>Essay: persuasive</t>
        </is>
      </c>
      <c r="D10" s="23" t="inlineStr">
        <is>
          <t>Done</t>
        </is>
      </c>
    </row>
    <row r="11">
      <c r="A11" s="28" t="inlineStr">
        <is>
          <t>Language Arts</t>
        </is>
      </c>
      <c r="B11" s="28" t="inlineStr">
        <is>
          <t>Noah</t>
        </is>
      </c>
      <c r="C11" s="26" t="inlineStr">
        <is>
          <t>Parts of speech</t>
        </is>
      </c>
      <c r="D11" s="28" t="inlineStr">
        <is>
          <t>Done</t>
        </is>
      </c>
    </row>
    <row r="12">
      <c r="A12" s="23" t="inlineStr">
        <is>
          <t>Language Arts</t>
        </is>
      </c>
      <c r="B12" s="23" t="inlineStr">
        <is>
          <t>Grace</t>
        </is>
      </c>
      <c r="C12" s="21" t="inlineStr">
        <is>
          <t>Short vowels</t>
        </is>
      </c>
      <c r="D12" s="23" t="inlineStr">
        <is>
          <t>Done</t>
        </is>
      </c>
    </row>
    <row r="13">
      <c r="A13" s="28" t="inlineStr">
        <is>
          <t>Language Arts</t>
        </is>
      </c>
      <c r="B13" s="28" t="inlineStr">
        <is>
          <t>Sam</t>
        </is>
      </c>
      <c r="C13" s="26" t="inlineStr">
        <is>
          <t>Letter sounds</t>
        </is>
      </c>
      <c r="D13" s="28" t="inlineStr">
        <is>
          <t>In Progress</t>
        </is>
      </c>
    </row>
    <row r="14">
      <c r="A14" s="23" t="inlineStr">
        <is>
          <t>Science</t>
        </is>
      </c>
      <c r="B14" s="23" t="inlineStr">
        <is>
          <t>All</t>
        </is>
      </c>
      <c r="C14" s="21" t="inlineStr">
        <is>
          <t>Cells &amp; life</t>
        </is>
      </c>
      <c r="D14" s="23" t="inlineStr">
        <is>
          <t>Done</t>
        </is>
      </c>
    </row>
    <row r="15">
      <c r="A15" s="28" t="inlineStr">
        <is>
          <t>Science</t>
        </is>
      </c>
      <c r="B15" s="28" t="inlineStr">
        <is>
          <t>All</t>
        </is>
      </c>
      <c r="C15" s="26" t="inlineStr">
        <is>
          <t>Weather unit</t>
        </is>
      </c>
      <c r="D15" s="28" t="inlineStr">
        <is>
          <t>Done</t>
        </is>
      </c>
    </row>
    <row r="16">
      <c r="A16" s="23" t="inlineStr">
        <is>
          <t>Science</t>
        </is>
      </c>
      <c r="B16" s="23" t="inlineStr">
        <is>
          <t>All</t>
        </is>
      </c>
      <c r="C16" s="21" t="inlineStr">
        <is>
          <t>Human body</t>
        </is>
      </c>
      <c r="D16" s="23" t="inlineStr">
        <is>
          <t>In Progress</t>
        </is>
      </c>
    </row>
    <row r="17">
      <c r="A17" s="28" t="inlineStr">
        <is>
          <t>History</t>
        </is>
      </c>
      <c r="B17" s="28" t="inlineStr">
        <is>
          <t>All</t>
        </is>
      </c>
      <c r="C17" s="26" t="inlineStr">
        <is>
          <t>Ancient Egypt</t>
        </is>
      </c>
      <c r="D17" s="28" t="inlineStr">
        <is>
          <t>Done</t>
        </is>
      </c>
    </row>
    <row r="18">
      <c r="A18" s="23" t="inlineStr">
        <is>
          <t>History</t>
        </is>
      </c>
      <c r="B18" s="23" t="inlineStr">
        <is>
          <t>All</t>
        </is>
      </c>
      <c r="C18" s="21" t="inlineStr">
        <is>
          <t>Ancient Greece</t>
        </is>
      </c>
      <c r="D18" s="23" t="inlineStr">
        <is>
          <t>Done</t>
        </is>
      </c>
    </row>
    <row r="19">
      <c r="A19" s="28" t="inlineStr">
        <is>
          <t>History</t>
        </is>
      </c>
      <c r="B19" s="28" t="inlineStr">
        <is>
          <t>All</t>
        </is>
      </c>
      <c r="C19" s="26" t="inlineStr">
        <is>
          <t>Rome</t>
        </is>
      </c>
      <c r="D19" s="28" t="inlineStr">
        <is>
          <t>In Progress</t>
        </is>
      </c>
    </row>
    <row r="20">
      <c r="A20" s="23" t="inlineStr">
        <is>
          <t>Geography</t>
        </is>
      </c>
      <c r="B20" s="23" t="inlineStr">
        <is>
          <t>All</t>
        </is>
      </c>
      <c r="C20" s="21" t="inlineStr">
        <is>
          <t>Continents &amp; oceans</t>
        </is>
      </c>
      <c r="D20" s="23" t="inlineStr">
        <is>
          <t>Done</t>
        </is>
      </c>
    </row>
    <row r="21">
      <c r="A21" s="28" t="inlineStr">
        <is>
          <t>Geography</t>
        </is>
      </c>
      <c r="B21" s="28" t="inlineStr">
        <is>
          <t>All</t>
        </is>
      </c>
      <c r="C21" s="26" t="inlineStr">
        <is>
          <t>US states</t>
        </is>
      </c>
      <c r="D21" s="28" t="inlineStr">
        <is>
          <t>Not Started</t>
        </is>
      </c>
    </row>
    <row r="22">
      <c r="A22" s="23" t="inlineStr">
        <is>
          <t>Art</t>
        </is>
      </c>
      <c r="B22" s="23" t="inlineStr">
        <is>
          <t>All</t>
        </is>
      </c>
      <c r="C22" s="21" t="inlineStr">
        <is>
          <t>Watercolor basics</t>
        </is>
      </c>
      <c r="D22" s="23" t="inlineStr">
        <is>
          <t>Done</t>
        </is>
      </c>
    </row>
    <row r="23">
      <c r="A23" s="28" t="inlineStr">
        <is>
          <t>Art</t>
        </is>
      </c>
      <c r="B23" s="28" t="inlineStr">
        <is>
          <t>All</t>
        </is>
      </c>
      <c r="C23" s="26" t="inlineStr">
        <is>
          <t>Famous artists</t>
        </is>
      </c>
      <c r="D23" s="28" t="inlineStr">
        <is>
          <t>Done</t>
        </is>
      </c>
    </row>
    <row r="24">
      <c r="A24" s="23" t="inlineStr">
        <is>
          <t>Music</t>
        </is>
      </c>
      <c r="B24" s="23" t="inlineStr">
        <is>
          <t>All</t>
        </is>
      </c>
      <c r="C24" s="21" t="inlineStr">
        <is>
          <t>Note reading</t>
        </is>
      </c>
      <c r="D24" s="23" t="inlineStr">
        <is>
          <t>Done</t>
        </is>
      </c>
    </row>
    <row r="25">
      <c r="A25" s="28" t="inlineStr">
        <is>
          <t>Bible / Character</t>
        </is>
      </c>
      <c r="B25" s="28" t="inlineStr">
        <is>
          <t>All</t>
        </is>
      </c>
      <c r="C25" s="26" t="inlineStr">
        <is>
          <t>Proverbs study</t>
        </is>
      </c>
      <c r="D25" s="28" t="inlineStr">
        <is>
          <t>Done</t>
        </is>
      </c>
    </row>
    <row r="26">
      <c r="A26" s="23" t="inlineStr">
        <is>
          <t>Life Skills</t>
        </is>
      </c>
      <c r="B26" s="23" t="inlineStr">
        <is>
          <t>All</t>
        </is>
      </c>
      <c r="C26" s="21" t="inlineStr">
        <is>
          <t>Money &amp; budgeting</t>
        </is>
      </c>
      <c r="D26" s="23" t="inlineStr">
        <is>
          <t>Done</t>
        </is>
      </c>
    </row>
    <row r="27">
      <c r="A27" s="28" t="inlineStr">
        <is>
          <t>PE</t>
        </is>
      </c>
      <c r="B27" s="28" t="inlineStr">
        <is>
          <t>All</t>
        </is>
      </c>
      <c r="C27" s="26" t="inlineStr">
        <is>
          <t>Soccer skills</t>
        </is>
      </c>
      <c r="D27" s="28" t="inlineStr">
        <is>
          <t>Done</t>
        </is>
      </c>
    </row>
    <row r="28">
      <c r="A28" s="23" t="inlineStr">
        <is>
          <t>Foreign Language</t>
        </is>
      </c>
      <c r="B28" s="23" t="inlineStr">
        <is>
          <t>Ella</t>
        </is>
      </c>
      <c r="C28" s="21" t="inlineStr">
        <is>
          <t>Spanish greetings</t>
        </is>
      </c>
      <c r="D28" s="23" t="inlineStr">
        <is>
          <t>Not Started</t>
        </is>
      </c>
    </row>
    <row r="29">
      <c r="A29" s="28" t="inlineStr">
        <is>
          <t>Language Arts</t>
        </is>
      </c>
      <c r="B29" s="28" t="inlineStr">
        <is>
          <t>Ella</t>
        </is>
      </c>
      <c r="C29" s="26" t="inlineStr">
        <is>
          <t>Poetry unit</t>
        </is>
      </c>
      <c r="D29" s="28" t="inlineStr">
        <is>
          <t>Done</t>
        </is>
      </c>
    </row>
    <row r="30">
      <c r="A30" s="23" t="inlineStr">
        <is>
          <t>Science</t>
        </is>
      </c>
      <c r="B30" s="23" t="inlineStr">
        <is>
          <t>All</t>
        </is>
      </c>
      <c r="C30" s="21" t="inlineStr">
        <is>
          <t>Simple machines</t>
        </is>
      </c>
      <c r="D30" s="23" t="inlineStr">
        <is>
          <t>Done</t>
        </is>
      </c>
    </row>
    <row r="31">
      <c r="A31" s="28" t="inlineStr">
        <is>
          <t>History</t>
        </is>
      </c>
      <c r="B31" s="28" t="inlineStr">
        <is>
          <t>All</t>
        </is>
      </c>
      <c r="C31" s="26" t="inlineStr">
        <is>
          <t>Timeline project</t>
        </is>
      </c>
      <c r="D31" s="28" t="inlineStr">
        <is>
          <t>Done</t>
        </is>
      </c>
    </row>
    <row r="32">
      <c r="A32" s="23" t="n"/>
      <c r="B32" s="23" t="n"/>
      <c r="C32" s="21" t="n"/>
      <c r="D32" s="23" t="n"/>
    </row>
    <row r="33">
      <c r="A33" s="28" t="n"/>
      <c r="B33" s="28" t="n"/>
      <c r="C33" s="26" t="n"/>
      <c r="D33" s="28" t="n"/>
    </row>
    <row r="34">
      <c r="A34" s="23" t="n"/>
      <c r="B34" s="23" t="n"/>
      <c r="C34" s="21" t="n"/>
      <c r="D34" s="23" t="n"/>
    </row>
    <row r="35">
      <c r="A35" s="28" t="n"/>
      <c r="B35" s="28" t="n"/>
      <c r="C35" s="26" t="n"/>
      <c r="D35" s="28" t="n"/>
    </row>
    <row r="36">
      <c r="A36" s="23" t="n"/>
      <c r="B36" s="23" t="n"/>
      <c r="C36" s="21" t="n"/>
      <c r="D36" s="23" t="n"/>
    </row>
    <row r="37">
      <c r="A37" s="28" t="n"/>
      <c r="B37" s="28" t="n"/>
      <c r="C37" s="26" t="n"/>
      <c r="D37" s="28" t="n"/>
    </row>
    <row r="38">
      <c r="A38" s="23" t="n"/>
      <c r="B38" s="23" t="n"/>
      <c r="C38" s="21" t="n"/>
      <c r="D38" s="23" t="n"/>
    </row>
    <row r="39">
      <c r="A39" s="28" t="n"/>
      <c r="B39" s="28" t="n"/>
      <c r="C39" s="26" t="n"/>
      <c r="D39" s="28" t="n"/>
    </row>
    <row r="40">
      <c r="A40" s="23" t="n"/>
      <c r="B40" s="23" t="n"/>
      <c r="C40" s="21" t="n"/>
      <c r="D40" s="23" t="n"/>
    </row>
    <row r="41">
      <c r="A41" s="28" t="n"/>
      <c r="B41" s="28" t="n"/>
      <c r="C41" s="26" t="n"/>
      <c r="D41" s="28" t="n"/>
    </row>
    <row r="42">
      <c r="A42" s="23" t="n"/>
      <c r="B42" s="23" t="n"/>
      <c r="C42" s="21" t="n"/>
      <c r="D42" s="23" t="n"/>
    </row>
    <row r="43">
      <c r="A43" s="28" t="n"/>
      <c r="B43" s="28" t="n"/>
      <c r="C43" s="26" t="n"/>
      <c r="D43" s="28" t="n"/>
    </row>
    <row r="44">
      <c r="A44" s="23" t="n"/>
      <c r="B44" s="23" t="n"/>
      <c r="C44" s="21" t="n"/>
      <c r="D44" s="23" t="n"/>
    </row>
    <row r="45">
      <c r="A45" s="28" t="n"/>
      <c r="B45" s="28" t="n"/>
      <c r="C45" s="26" t="n"/>
      <c r="D45" s="28" t="n"/>
    </row>
    <row r="46">
      <c r="A46" s="23" t="n"/>
      <c r="B46" s="23" t="n"/>
      <c r="C46" s="21" t="n"/>
      <c r="D46" s="23" t="n"/>
    </row>
    <row r="47">
      <c r="A47" s="28" t="n"/>
      <c r="B47" s="28" t="n"/>
      <c r="C47" s="26" t="n"/>
      <c r="D47" s="28" t="n"/>
    </row>
    <row r="48">
      <c r="A48" s="23" t="n"/>
      <c r="B48" s="23" t="n"/>
      <c r="C48" s="21" t="n"/>
      <c r="D48" s="23" t="n"/>
    </row>
    <row r="49">
      <c r="A49" s="28" t="n"/>
      <c r="B49" s="28" t="n"/>
      <c r="C49" s="26" t="n"/>
      <c r="D49" s="28" t="n"/>
    </row>
    <row r="50">
      <c r="A50" s="23" t="n"/>
      <c r="B50" s="23" t="n"/>
      <c r="C50" s="21" t="n"/>
      <c r="D50" s="23" t="n"/>
    </row>
    <row r="51">
      <c r="A51" s="28" t="n"/>
      <c r="B51" s="28" t="n"/>
      <c r="C51" s="26" t="n"/>
      <c r="D51" s="28" t="n"/>
    </row>
    <row r="52">
      <c r="A52" s="23" t="n"/>
      <c r="B52" s="23" t="n"/>
      <c r="C52" s="21" t="n"/>
      <c r="D52" s="23" t="n"/>
    </row>
    <row r="53">
      <c r="A53" s="28" t="n"/>
      <c r="B53" s="28" t="n"/>
      <c r="C53" s="26" t="n"/>
      <c r="D53" s="28" t="n"/>
    </row>
    <row r="54">
      <c r="A54" s="23" t="n"/>
      <c r="B54" s="23" t="n"/>
      <c r="C54" s="21" t="n"/>
      <c r="D54" s="23" t="n"/>
    </row>
    <row r="55">
      <c r="A55" s="28" t="n"/>
      <c r="B55" s="28" t="n"/>
      <c r="C55" s="26" t="n"/>
      <c r="D55" s="28" t="n"/>
    </row>
    <row r="56">
      <c r="A56" s="23" t="n"/>
      <c r="B56" s="23" t="n"/>
      <c r="C56" s="21" t="n"/>
      <c r="D56" s="23" t="n"/>
    </row>
    <row r="57">
      <c r="A57" s="28" t="n"/>
      <c r="B57" s="28" t="n"/>
      <c r="C57" s="26" t="n"/>
      <c r="D57" s="28" t="n"/>
    </row>
    <row r="58">
      <c r="A58" s="23" t="n"/>
      <c r="B58" s="23" t="n"/>
      <c r="C58" s="21" t="n"/>
      <c r="D58" s="23" t="n"/>
    </row>
    <row r="59">
      <c r="A59" s="28" t="n"/>
      <c r="B59" s="28" t="n"/>
      <c r="C59" s="26" t="n"/>
      <c r="D59" s="28" t="n"/>
    </row>
    <row r="60">
      <c r="A60" s="23" t="n"/>
      <c r="B60" s="23" t="n"/>
      <c r="C60" s="21" t="n"/>
      <c r="D60" s="23" t="n"/>
    </row>
    <row r="61">
      <c r="A61" s="28" t="n"/>
      <c r="B61" s="28" t="n"/>
      <c r="C61" s="26" t="n"/>
      <c r="D61" s="28" t="n"/>
    </row>
    <row r="62">
      <c r="A62" s="23" t="n"/>
      <c r="B62" s="23" t="n"/>
      <c r="C62" s="21" t="n"/>
      <c r="D62" s="23" t="n"/>
    </row>
    <row r="63">
      <c r="A63" s="28" t="n"/>
      <c r="B63" s="28" t="n"/>
      <c r="C63" s="26" t="n"/>
      <c r="D63" s="28" t="n"/>
    </row>
    <row r="64">
      <c r="A64" s="23" t="n"/>
      <c r="B64" s="23" t="n"/>
      <c r="C64" s="21" t="n"/>
      <c r="D64" s="23" t="n"/>
    </row>
  </sheetData>
  <mergeCells count="2">
    <mergeCell ref="A1:D1"/>
    <mergeCell ref="A2:D2"/>
  </mergeCells>
  <conditionalFormatting sqref="D5:D6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3">
      <formula>"Not Started"</formula>
    </cfRule>
  </conditionalFormatting>
  <dataValidations count="2">
    <dataValidation sqref="A5:A64" showDropDown="0" showInputMessage="0" showErrorMessage="0" allowBlank="1" type="list">
      <formula1>=SubjectList</formula1>
    </dataValidation>
    <dataValidation sqref="D5:D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4" customWidth="1" min="4" max="4"/>
  </cols>
  <sheetData>
    <row r="1" ht="46" customHeight="1">
      <c r="A1" s="1" t="inlineStr">
        <is>
          <t xml:space="preserve">  📅  ATTENDANCE &amp; HOURS LOG</t>
        </is>
      </c>
    </row>
    <row r="2" ht="22" customHeight="1">
      <c r="A2" s="2" t="inlineStr">
        <is>
          <t xml:space="preserve">  Days and instructional hours by week — the records your state may require.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Week</t>
        </is>
      </c>
      <c r="B4" s="9" t="inlineStr">
        <is>
          <t>Days</t>
        </is>
      </c>
      <c r="C4" s="9" t="inlineStr">
        <is>
          <t>Hours</t>
        </is>
      </c>
      <c r="D4" s="9" t="inlineStr">
        <is>
          <t>Notes</t>
        </is>
      </c>
    </row>
    <row r="5">
      <c r="A5" s="28" t="inlineStr">
        <is>
          <t>Week 1</t>
        </is>
      </c>
      <c r="B5" s="34" t="n">
        <v>5</v>
      </c>
      <c r="C5" s="35" t="n">
        <v>27</v>
      </c>
      <c r="D5" s="26" t="inlineStr"/>
    </row>
    <row r="6">
      <c r="A6" s="23" t="inlineStr">
        <is>
          <t>Week 2</t>
        </is>
      </c>
      <c r="B6" s="36" t="n">
        <v>5</v>
      </c>
      <c r="C6" s="37" t="n">
        <v>27</v>
      </c>
      <c r="D6" s="21" t="inlineStr"/>
    </row>
    <row r="7">
      <c r="A7" s="28" t="inlineStr">
        <is>
          <t>Week 3</t>
        </is>
      </c>
      <c r="B7" s="34" t="n">
        <v>5</v>
      </c>
      <c r="C7" s="35" t="n">
        <v>27</v>
      </c>
      <c r="D7" s="26" t="inlineStr"/>
    </row>
    <row r="8">
      <c r="A8" s="23" t="inlineStr">
        <is>
          <t>Week 4</t>
        </is>
      </c>
      <c r="B8" s="36" t="n">
        <v>5</v>
      </c>
      <c r="C8" s="37" t="n">
        <v>27</v>
      </c>
      <c r="D8" s="21" t="inlineStr"/>
    </row>
    <row r="9">
      <c r="A9" s="28" t="inlineStr">
        <is>
          <t>Week 5</t>
        </is>
      </c>
      <c r="B9" s="34" t="n">
        <v>5</v>
      </c>
      <c r="C9" s="35" t="n">
        <v>27</v>
      </c>
      <c r="D9" s="26" t="inlineStr"/>
    </row>
    <row r="10">
      <c r="A10" s="23" t="inlineStr">
        <is>
          <t>Week 6</t>
        </is>
      </c>
      <c r="B10" s="36" t="n">
        <v>5</v>
      </c>
      <c r="C10" s="37" t="n">
        <v>27</v>
      </c>
      <c r="D10" s="21" t="inlineStr"/>
    </row>
    <row r="11">
      <c r="A11" s="28" t="inlineStr">
        <is>
          <t>Week 7</t>
        </is>
      </c>
      <c r="B11" s="34" t="n">
        <v>5</v>
      </c>
      <c r="C11" s="35" t="n">
        <v>27</v>
      </c>
      <c r="D11" s="26" t="inlineStr"/>
    </row>
    <row r="12">
      <c r="A12" s="23" t="inlineStr">
        <is>
          <t>Week 8</t>
        </is>
      </c>
      <c r="B12" s="36" t="n">
        <v>5</v>
      </c>
      <c r="C12" s="37" t="n">
        <v>27</v>
      </c>
      <c r="D12" s="21" t="inlineStr"/>
    </row>
    <row r="13">
      <c r="A13" s="28" t="inlineStr">
        <is>
          <t>Week 9</t>
        </is>
      </c>
      <c r="B13" s="34" t="n">
        <v>5</v>
      </c>
      <c r="C13" s="35" t="n">
        <v>27</v>
      </c>
      <c r="D13" s="26" t="inlineStr"/>
    </row>
    <row r="14">
      <c r="A14" s="23" t="inlineStr">
        <is>
          <t>Week 10</t>
        </is>
      </c>
      <c r="B14" s="36" t="n">
        <v>5</v>
      </c>
      <c r="C14" s="37" t="n">
        <v>27</v>
      </c>
      <c r="D14" s="21" t="inlineStr"/>
    </row>
    <row r="15">
      <c r="A15" s="28" t="inlineStr">
        <is>
          <t>Week 11</t>
        </is>
      </c>
      <c r="B15" s="34" t="n">
        <v>5</v>
      </c>
      <c r="C15" s="35" t="n">
        <v>27</v>
      </c>
      <c r="D15" s="26" t="inlineStr"/>
    </row>
    <row r="16">
      <c r="A16" s="23" t="inlineStr">
        <is>
          <t>Week 12</t>
        </is>
      </c>
      <c r="B16" s="36" t="n">
        <v>5</v>
      </c>
      <c r="C16" s="37" t="n">
        <v>27</v>
      </c>
      <c r="D16" s="21" t="inlineStr"/>
    </row>
    <row r="17">
      <c r="A17" s="28" t="inlineStr">
        <is>
          <t>Week 13</t>
        </is>
      </c>
      <c r="B17" s="34" t="n">
        <v>5</v>
      </c>
      <c r="C17" s="35" t="n">
        <v>27</v>
      </c>
      <c r="D17" s="26" t="inlineStr"/>
    </row>
    <row r="18">
      <c r="A18" s="23" t="inlineStr">
        <is>
          <t>Week 14</t>
        </is>
      </c>
      <c r="B18" s="36" t="n">
        <v>5</v>
      </c>
      <c r="C18" s="37" t="n">
        <v>27</v>
      </c>
      <c r="D18" s="21" t="inlineStr"/>
    </row>
    <row r="19">
      <c r="A19" s="28" t="inlineStr">
        <is>
          <t>Week 15</t>
        </is>
      </c>
      <c r="B19" s="34" t="n">
        <v>5</v>
      </c>
      <c r="C19" s="35" t="n">
        <v>27</v>
      </c>
      <c r="D19" s="26" t="inlineStr"/>
    </row>
    <row r="20">
      <c r="A20" s="23" t="inlineStr">
        <is>
          <t>Week 16</t>
        </is>
      </c>
      <c r="B20" s="36" t="n">
        <v>5</v>
      </c>
      <c r="C20" s="37" t="n">
        <v>27</v>
      </c>
      <c r="D20" s="21" t="inlineStr"/>
    </row>
    <row r="21">
      <c r="A21" s="28" t="inlineStr">
        <is>
          <t>Week 17</t>
        </is>
      </c>
      <c r="B21" s="34" t="n">
        <v>5</v>
      </c>
      <c r="C21" s="35" t="n">
        <v>26</v>
      </c>
      <c r="D21" s="26" t="inlineStr"/>
    </row>
    <row r="22">
      <c r="A22" s="23" t="inlineStr">
        <is>
          <t>Week 18</t>
        </is>
      </c>
      <c r="B22" s="36" t="n">
        <v>5</v>
      </c>
      <c r="C22" s="37" t="n">
        <v>26</v>
      </c>
      <c r="D22" s="21" t="inlineStr"/>
    </row>
    <row r="23">
      <c r="A23" s="28" t="inlineStr">
        <is>
          <t>Week 19</t>
        </is>
      </c>
      <c r="B23" s="34" t="n">
        <v>5</v>
      </c>
      <c r="C23" s="35" t="n">
        <v>26</v>
      </c>
      <c r="D23" s="26" t="inlineStr"/>
    </row>
    <row r="24">
      <c r="A24" s="23" t="inlineStr">
        <is>
          <t>Week 20</t>
        </is>
      </c>
      <c r="B24" s="36" t="n">
        <v>5</v>
      </c>
      <c r="C24" s="37" t="n">
        <v>26</v>
      </c>
      <c r="D24" s="21" t="inlineStr"/>
    </row>
    <row r="25">
      <c r="A25" s="28" t="inlineStr">
        <is>
          <t>Week 21</t>
        </is>
      </c>
      <c r="B25" s="34" t="n">
        <v>5</v>
      </c>
      <c r="C25" s="35" t="n">
        <v>26</v>
      </c>
      <c r="D25" s="26" t="inlineStr"/>
    </row>
    <row r="26">
      <c r="A26" s="23" t="inlineStr">
        <is>
          <t>Week 22</t>
        </is>
      </c>
      <c r="B26" s="36" t="n">
        <v>5</v>
      </c>
      <c r="C26" s="37" t="n">
        <v>26</v>
      </c>
      <c r="D26" s="21" t="inlineStr"/>
    </row>
    <row r="27">
      <c r="A27" s="28" t="inlineStr">
        <is>
          <t>Week 23</t>
        </is>
      </c>
      <c r="B27" s="34" t="n">
        <v>5</v>
      </c>
      <c r="C27" s="35" t="n">
        <v>26</v>
      </c>
      <c r="D27" s="26" t="inlineStr"/>
    </row>
    <row r="28">
      <c r="A28" s="23" t="inlineStr">
        <is>
          <t>Week 24</t>
        </is>
      </c>
      <c r="B28" s="36" t="n">
        <v>5</v>
      </c>
      <c r="C28" s="37" t="n">
        <v>26</v>
      </c>
      <c r="D28" s="21" t="inlineStr"/>
    </row>
    <row r="29">
      <c r="A29" s="28" t="n"/>
      <c r="B29" s="34" t="n"/>
      <c r="C29" s="35" t="n"/>
      <c r="D29" s="26" t="n"/>
    </row>
    <row r="30">
      <c r="A30" s="23" t="n"/>
      <c r="B30" s="36" t="n"/>
      <c r="C30" s="37" t="n"/>
      <c r="D30" s="21" t="n"/>
    </row>
    <row r="31">
      <c r="A31" s="28" t="n"/>
      <c r="B31" s="34" t="n"/>
      <c r="C31" s="35" t="n"/>
      <c r="D31" s="26" t="n"/>
    </row>
    <row r="32">
      <c r="A32" s="23" t="n"/>
      <c r="B32" s="36" t="n"/>
      <c r="C32" s="37" t="n"/>
      <c r="D32" s="21" t="n"/>
    </row>
    <row r="33">
      <c r="A33" s="28" t="n"/>
      <c r="B33" s="34" t="n"/>
      <c r="C33" s="35" t="n"/>
      <c r="D33" s="26" t="n"/>
    </row>
    <row r="34">
      <c r="A34" s="23" t="n"/>
      <c r="B34" s="36" t="n"/>
      <c r="C34" s="37" t="n"/>
      <c r="D34" s="21" t="n"/>
    </row>
    <row r="35">
      <c r="A35" s="28" t="n"/>
      <c r="B35" s="34" t="n"/>
      <c r="C35" s="35" t="n"/>
      <c r="D35" s="26" t="n"/>
    </row>
    <row r="36">
      <c r="A36" s="23" t="n"/>
      <c r="B36" s="36" t="n"/>
      <c r="C36" s="37" t="n"/>
      <c r="D36" s="21" t="n"/>
    </row>
    <row r="37">
      <c r="A37" s="28" t="n"/>
      <c r="B37" s="34" t="n"/>
      <c r="C37" s="35" t="n"/>
      <c r="D37" s="26" t="n"/>
    </row>
    <row r="38">
      <c r="A38" s="23" t="n"/>
      <c r="B38" s="36" t="n"/>
      <c r="C38" s="37" t="n"/>
      <c r="D38" s="21" t="n"/>
    </row>
    <row r="39">
      <c r="A39" s="28" t="n"/>
      <c r="B39" s="34" t="n"/>
      <c r="C39" s="35" t="n"/>
      <c r="D39" s="26" t="n"/>
    </row>
    <row r="40">
      <c r="A40" s="23" t="n"/>
      <c r="B40" s="36" t="n"/>
      <c r="C40" s="37" t="n"/>
      <c r="D40" s="21" t="n"/>
    </row>
    <row r="41">
      <c r="A41" s="28" t="n"/>
      <c r="B41" s="34" t="n"/>
      <c r="C41" s="35" t="n"/>
      <c r="D41" s="26" t="n"/>
    </row>
    <row r="42">
      <c r="A42" s="23" t="n"/>
      <c r="B42" s="36" t="n"/>
      <c r="C42" s="37" t="n"/>
      <c r="D42" s="21" t="n"/>
    </row>
    <row r="43">
      <c r="A43" s="28" t="n"/>
      <c r="B43" s="34" t="n"/>
      <c r="C43" s="35" t="n"/>
      <c r="D43" s="26" t="n"/>
    </row>
    <row r="44">
      <c r="A44" s="23" t="n"/>
      <c r="B44" s="36" t="n"/>
      <c r="C44" s="37" t="n"/>
      <c r="D44" s="21" t="n"/>
    </row>
    <row r="45">
      <c r="A45" s="9" t="inlineStr">
        <is>
          <t>TOTAL</t>
        </is>
      </c>
      <c r="B45" s="38">
        <f>SUM(AttDays)</f>
        <v/>
      </c>
      <c r="C45" s="38">
        <f>SUM(AttHours)</f>
        <v/>
      </c>
      <c r="D45" s="33" t="n"/>
    </row>
  </sheetData>
  <mergeCells count="2">
    <mergeCell ref="A1:D1"/>
    <mergeCell ref="A2:D2"/>
  </mergeCells>
  <conditionalFormatting sqref="C5:C44">
    <cfRule type="dataBar" priority="1">
      <dataBar showValue="1">
        <cfvo type="num" val="0"/>
        <cfvo type="num" val="30"/>
        <color rgb="001B4F48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4" customWidth="1" min="4" max="4"/>
    <col width="10" customWidth="1" min="5" max="5"/>
    <col width="14" customWidth="1" min="6" max="6"/>
  </cols>
  <sheetData>
    <row r="1" ht="46" customHeight="1">
      <c r="A1" s="1" t="inlineStr">
        <is>
          <t xml:space="preserve">  📝  ASSIGNMENTS &amp; GRADES</t>
        </is>
      </c>
    </row>
    <row r="2" ht="22" customHeight="1">
      <c r="A2" s="2" t="inlineStr">
        <is>
          <t xml:space="preserve">  Every graded assignment, per student — the raw material for report cards.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Student</t>
        </is>
      </c>
      <c r="C4" s="9" t="inlineStr">
        <is>
          <t>Subject</t>
        </is>
      </c>
      <c r="D4" s="9" t="inlineStr">
        <is>
          <t>Assignment</t>
        </is>
      </c>
      <c r="E4" s="9" t="inlineStr">
        <is>
          <t>Grade</t>
        </is>
      </c>
      <c r="F4" s="9" t="inlineStr">
        <is>
          <t>Status</t>
        </is>
      </c>
    </row>
    <row r="5">
      <c r="A5" s="27" t="n">
        <v>46204</v>
      </c>
      <c r="B5" s="28" t="inlineStr">
        <is>
          <t>Ella</t>
        </is>
      </c>
      <c r="C5" s="28" t="inlineStr">
        <is>
          <t>Math</t>
        </is>
      </c>
      <c r="D5" s="26" t="inlineStr">
        <is>
          <t>Ch. 8 test</t>
        </is>
      </c>
      <c r="E5" s="28" t="inlineStr">
        <is>
          <t>94%</t>
        </is>
      </c>
      <c r="F5" s="28" t="inlineStr">
        <is>
          <t>Graded</t>
        </is>
      </c>
    </row>
    <row r="6">
      <c r="A6" s="29" t="n">
        <v>46205</v>
      </c>
      <c r="B6" s="23" t="inlineStr">
        <is>
          <t>Ella</t>
        </is>
      </c>
      <c r="C6" s="23" t="inlineStr">
        <is>
          <t>Lang Arts</t>
        </is>
      </c>
      <c r="D6" s="21" t="inlineStr">
        <is>
          <t>Persuasive essay</t>
        </is>
      </c>
      <c r="E6" s="23" t="inlineStr">
        <is>
          <t>A</t>
        </is>
      </c>
      <c r="F6" s="23" t="inlineStr">
        <is>
          <t>Graded</t>
        </is>
      </c>
    </row>
    <row r="7">
      <c r="A7" s="27" t="n">
        <v>46206</v>
      </c>
      <c r="B7" s="28" t="inlineStr">
        <is>
          <t>Noah</t>
        </is>
      </c>
      <c r="C7" s="28" t="inlineStr">
        <is>
          <t>Math</t>
        </is>
      </c>
      <c r="D7" s="26" t="inlineStr">
        <is>
          <t>Fractions quiz</t>
        </is>
      </c>
      <c r="E7" s="28" t="inlineStr">
        <is>
          <t>88%</t>
        </is>
      </c>
      <c r="F7" s="28" t="inlineStr">
        <is>
          <t>Graded</t>
        </is>
      </c>
    </row>
    <row r="8">
      <c r="A8" s="29" t="n">
        <v>46207</v>
      </c>
      <c r="B8" s="23" t="inlineStr">
        <is>
          <t>Grace</t>
        </is>
      </c>
      <c r="C8" s="23" t="inlineStr">
        <is>
          <t>Reading</t>
        </is>
      </c>
      <c r="D8" s="21" t="inlineStr">
        <is>
          <t>Oral reading check</t>
        </is>
      </c>
      <c r="E8" s="23" t="inlineStr">
        <is>
          <t>S+</t>
        </is>
      </c>
      <c r="F8" s="23" t="inlineStr">
        <is>
          <t>Graded</t>
        </is>
      </c>
    </row>
    <row r="9">
      <c r="A9" s="27" t="n">
        <v>46208</v>
      </c>
      <c r="B9" s="28" t="inlineStr">
        <is>
          <t>Ella</t>
        </is>
      </c>
      <c r="C9" s="28" t="inlineStr">
        <is>
          <t>History</t>
        </is>
      </c>
      <c r="D9" s="26" t="inlineStr">
        <is>
          <t>Egypt project</t>
        </is>
      </c>
      <c r="E9" s="28" t="inlineStr">
        <is>
          <t>A-</t>
        </is>
      </c>
      <c r="F9" s="28" t="inlineStr">
        <is>
          <t>Graded</t>
        </is>
      </c>
    </row>
    <row r="10">
      <c r="A10" s="29" t="n">
        <v>46209</v>
      </c>
      <c r="B10" s="23" t="inlineStr">
        <is>
          <t>Noah</t>
        </is>
      </c>
      <c r="C10" s="23" t="inlineStr">
        <is>
          <t>Science</t>
        </is>
      </c>
      <c r="D10" s="21" t="inlineStr">
        <is>
          <t>Weather lab</t>
        </is>
      </c>
      <c r="E10" s="23" t="inlineStr">
        <is>
          <t>B+</t>
        </is>
      </c>
      <c r="F10" s="23" t="inlineStr">
        <is>
          <t>Graded</t>
        </is>
      </c>
    </row>
    <row r="11">
      <c r="A11" s="27" t="n">
        <v>46210</v>
      </c>
      <c r="B11" s="28" t="inlineStr">
        <is>
          <t>Ella</t>
        </is>
      </c>
      <c r="C11" s="28" t="inlineStr">
        <is>
          <t>Science</t>
        </is>
      </c>
      <c r="D11" s="26" t="inlineStr">
        <is>
          <t>Cells worksheet</t>
        </is>
      </c>
      <c r="E11" s="28" t="inlineStr">
        <is>
          <t>92%</t>
        </is>
      </c>
      <c r="F11" s="28" t="inlineStr">
        <is>
          <t>Graded</t>
        </is>
      </c>
    </row>
    <row r="12">
      <c r="A12" s="29" t="n">
        <v>46211</v>
      </c>
      <c r="B12" s="23" t="inlineStr">
        <is>
          <t>Grace</t>
        </is>
      </c>
      <c r="C12" s="23" t="inlineStr">
        <is>
          <t>Math</t>
        </is>
      </c>
      <c r="D12" s="21" t="inlineStr">
        <is>
          <t>Facts drill</t>
        </is>
      </c>
      <c r="E12" s="23" t="inlineStr">
        <is>
          <t>S</t>
        </is>
      </c>
      <c r="F12" s="23" t="inlineStr">
        <is>
          <t>Graded</t>
        </is>
      </c>
    </row>
    <row r="13">
      <c r="A13" s="27" t="n">
        <v>46212</v>
      </c>
      <c r="B13" s="28" t="inlineStr">
        <is>
          <t>Noah</t>
        </is>
      </c>
      <c r="C13" s="28" t="inlineStr">
        <is>
          <t>Lang Arts</t>
        </is>
      </c>
      <c r="D13" s="26" t="inlineStr">
        <is>
          <t>Grammar quiz</t>
        </is>
      </c>
      <c r="E13" s="28" t="inlineStr">
        <is>
          <t>85%</t>
        </is>
      </c>
      <c r="F13" s="28" t="inlineStr">
        <is>
          <t>Graded</t>
        </is>
      </c>
    </row>
    <row r="14">
      <c r="A14" s="29" t="n">
        <v>46213</v>
      </c>
      <c r="B14" s="23" t="inlineStr">
        <is>
          <t>Ella</t>
        </is>
      </c>
      <c r="C14" s="23" t="inlineStr">
        <is>
          <t>Math</t>
        </is>
      </c>
      <c r="D14" s="21" t="inlineStr">
        <is>
          <t>Percents set</t>
        </is>
      </c>
      <c r="E14" s="23" t="inlineStr">
        <is>
          <t>90%</t>
        </is>
      </c>
      <c r="F14" s="23" t="inlineStr">
        <is>
          <t>Graded</t>
        </is>
      </c>
    </row>
    <row r="15">
      <c r="A15" s="27" t="n">
        <v>46214</v>
      </c>
      <c r="B15" s="28" t="inlineStr">
        <is>
          <t>Sam</t>
        </is>
      </c>
      <c r="C15" s="28" t="inlineStr">
        <is>
          <t>Reading</t>
        </is>
      </c>
      <c r="D15" s="26" t="inlineStr">
        <is>
          <t>Letter sounds</t>
        </is>
      </c>
      <c r="E15" s="28" t="inlineStr">
        <is>
          <t>S</t>
        </is>
      </c>
      <c r="F15" s="28" t="inlineStr">
        <is>
          <t>Graded</t>
        </is>
      </c>
    </row>
    <row r="16">
      <c r="A16" s="29" t="n">
        <v>46215</v>
      </c>
      <c r="B16" s="23" t="inlineStr">
        <is>
          <t>Grace</t>
        </is>
      </c>
      <c r="C16" s="23" t="inlineStr">
        <is>
          <t>Science</t>
        </is>
      </c>
      <c r="D16" s="21" t="inlineStr">
        <is>
          <t>Nature journal</t>
        </is>
      </c>
      <c r="E16" s="23" t="inlineStr">
        <is>
          <t>S+</t>
        </is>
      </c>
      <c r="F16" s="23" t="inlineStr">
        <is>
          <t>Graded</t>
        </is>
      </c>
    </row>
    <row r="17">
      <c r="A17" s="27" t="n">
        <v>46216</v>
      </c>
      <c r="B17" s="28" t="inlineStr">
        <is>
          <t>Ella</t>
        </is>
      </c>
      <c r="C17" s="28" t="inlineStr">
        <is>
          <t>History</t>
        </is>
      </c>
      <c r="D17" s="26" t="inlineStr">
        <is>
          <t>Greece essay</t>
        </is>
      </c>
      <c r="E17" s="28" t="inlineStr">
        <is>
          <t>A</t>
        </is>
      </c>
      <c r="F17" s="28" t="inlineStr">
        <is>
          <t>Graded</t>
        </is>
      </c>
    </row>
    <row r="18">
      <c r="A18" s="29" t="n">
        <v>46216</v>
      </c>
      <c r="B18" s="23" t="inlineStr">
        <is>
          <t>Noah</t>
        </is>
      </c>
      <c r="C18" s="23" t="inlineStr">
        <is>
          <t>History</t>
        </is>
      </c>
      <c r="D18" s="21" t="inlineStr">
        <is>
          <t>Map quiz</t>
        </is>
      </c>
      <c r="E18" s="23" t="inlineStr">
        <is>
          <t>A-</t>
        </is>
      </c>
      <c r="F18" s="23" t="inlineStr">
        <is>
          <t>Graded</t>
        </is>
      </c>
    </row>
    <row r="19">
      <c r="A19" s="27" t="n">
        <v>46217</v>
      </c>
      <c r="B19" s="28" t="inlineStr">
        <is>
          <t>Ella</t>
        </is>
      </c>
      <c r="C19" s="28" t="inlineStr">
        <is>
          <t>Lang Arts</t>
        </is>
      </c>
      <c r="D19" s="26" t="inlineStr">
        <is>
          <t>Poetry recitation</t>
        </is>
      </c>
      <c r="E19" s="28" t="inlineStr">
        <is>
          <t>A</t>
        </is>
      </c>
      <c r="F19" s="28" t="inlineStr">
        <is>
          <t>Graded</t>
        </is>
      </c>
    </row>
    <row r="20">
      <c r="A20" s="29" t="n">
        <v>46217</v>
      </c>
      <c r="B20" s="23" t="inlineStr">
        <is>
          <t>Grace</t>
        </is>
      </c>
      <c r="C20" s="23" t="inlineStr">
        <is>
          <t>Art</t>
        </is>
      </c>
      <c r="D20" s="21" t="inlineStr">
        <is>
          <t>Watercolor</t>
        </is>
      </c>
      <c r="E20" s="23" t="inlineStr">
        <is>
          <t>S</t>
        </is>
      </c>
      <c r="F20" s="23" t="inlineStr">
        <is>
          <t>Graded</t>
        </is>
      </c>
    </row>
    <row r="21">
      <c r="A21" s="27" t="n">
        <v>46217</v>
      </c>
      <c r="B21" s="28" t="inlineStr">
        <is>
          <t>Noah</t>
        </is>
      </c>
      <c r="C21" s="28" t="inlineStr">
        <is>
          <t>Math</t>
        </is>
      </c>
      <c r="D21" s="26" t="inlineStr">
        <is>
          <t>Ch. 9 test</t>
        </is>
      </c>
      <c r="E21" s="28" t="inlineStr">
        <is>
          <t>91%</t>
        </is>
      </c>
      <c r="F21" s="28" t="inlineStr">
        <is>
          <t>Graded</t>
        </is>
      </c>
    </row>
    <row r="22">
      <c r="A22" s="29" t="n">
        <v>46218</v>
      </c>
      <c r="B22" s="23" t="inlineStr">
        <is>
          <t>Ella</t>
        </is>
      </c>
      <c r="C22" s="23" t="inlineStr">
        <is>
          <t>Science</t>
        </is>
      </c>
      <c r="D22" s="21" t="inlineStr">
        <is>
          <t>Body systems</t>
        </is>
      </c>
      <c r="E22" s="23" t="inlineStr"/>
      <c r="F22" s="23" t="inlineStr">
        <is>
          <t>Not Yet</t>
        </is>
      </c>
    </row>
    <row r="23">
      <c r="A23" s="27" t="n">
        <v>46218</v>
      </c>
      <c r="B23" s="28" t="inlineStr">
        <is>
          <t>Noah</t>
        </is>
      </c>
      <c r="C23" s="28" t="inlineStr">
        <is>
          <t>Lang Arts</t>
        </is>
      </c>
      <c r="D23" s="26" t="inlineStr">
        <is>
          <t>Book report</t>
        </is>
      </c>
      <c r="E23" s="28" t="inlineStr"/>
      <c r="F23" s="28" t="inlineStr">
        <is>
          <t>Turned In</t>
        </is>
      </c>
    </row>
    <row r="24">
      <c r="A24" s="29" t="n">
        <v>46218</v>
      </c>
      <c r="B24" s="23" t="inlineStr">
        <is>
          <t>Grace</t>
        </is>
      </c>
      <c r="C24" s="23" t="inlineStr">
        <is>
          <t>Math</t>
        </is>
      </c>
      <c r="D24" s="21" t="inlineStr">
        <is>
          <t>Unit test</t>
        </is>
      </c>
      <c r="E24" s="23" t="inlineStr"/>
      <c r="F24" s="23" t="inlineStr">
        <is>
          <t>Not Yet</t>
        </is>
      </c>
    </row>
    <row r="25">
      <c r="A25" s="27" t="n"/>
      <c r="B25" s="28" t="n"/>
      <c r="C25" s="28" t="n"/>
      <c r="D25" s="26" t="n"/>
      <c r="E25" s="28" t="n"/>
      <c r="F25" s="28" t="n"/>
    </row>
    <row r="26">
      <c r="A26" s="29" t="n"/>
      <c r="B26" s="23" t="n"/>
      <c r="C26" s="23" t="n"/>
      <c r="D26" s="21" t="n"/>
      <c r="E26" s="23" t="n"/>
      <c r="F26" s="23" t="n"/>
    </row>
    <row r="27">
      <c r="A27" s="27" t="n"/>
      <c r="B27" s="28" t="n"/>
      <c r="C27" s="28" t="n"/>
      <c r="D27" s="26" t="n"/>
      <c r="E27" s="28" t="n"/>
      <c r="F27" s="28" t="n"/>
    </row>
    <row r="28">
      <c r="A28" s="29" t="n"/>
      <c r="B28" s="23" t="n"/>
      <c r="C28" s="23" t="n"/>
      <c r="D28" s="21" t="n"/>
      <c r="E28" s="23" t="n"/>
      <c r="F28" s="23" t="n"/>
    </row>
    <row r="29">
      <c r="A29" s="27" t="n"/>
      <c r="B29" s="28" t="n"/>
      <c r="C29" s="28" t="n"/>
      <c r="D29" s="26" t="n"/>
      <c r="E29" s="28" t="n"/>
      <c r="F29" s="28" t="n"/>
    </row>
    <row r="30">
      <c r="A30" s="29" t="n"/>
      <c r="B30" s="23" t="n"/>
      <c r="C30" s="23" t="n"/>
      <c r="D30" s="21" t="n"/>
      <c r="E30" s="23" t="n"/>
      <c r="F30" s="23" t="n"/>
    </row>
    <row r="31">
      <c r="A31" s="27" t="n"/>
      <c r="B31" s="28" t="n"/>
      <c r="C31" s="28" t="n"/>
      <c r="D31" s="26" t="n"/>
      <c r="E31" s="28" t="n"/>
      <c r="F31" s="28" t="n"/>
    </row>
    <row r="32">
      <c r="A32" s="29" t="n"/>
      <c r="B32" s="23" t="n"/>
      <c r="C32" s="23" t="n"/>
      <c r="D32" s="21" t="n"/>
      <c r="E32" s="23" t="n"/>
      <c r="F32" s="23" t="n"/>
    </row>
    <row r="33">
      <c r="A33" s="27" t="n"/>
      <c r="B33" s="28" t="n"/>
      <c r="C33" s="28" t="n"/>
      <c r="D33" s="26" t="n"/>
      <c r="E33" s="28" t="n"/>
      <c r="F33" s="28" t="n"/>
    </row>
    <row r="34">
      <c r="A34" s="29" t="n"/>
      <c r="B34" s="23" t="n"/>
      <c r="C34" s="23" t="n"/>
      <c r="D34" s="21" t="n"/>
      <c r="E34" s="23" t="n"/>
      <c r="F34" s="23" t="n"/>
    </row>
    <row r="35">
      <c r="A35" s="27" t="n"/>
      <c r="B35" s="28" t="n"/>
      <c r="C35" s="28" t="n"/>
      <c r="D35" s="26" t="n"/>
      <c r="E35" s="28" t="n"/>
      <c r="F35" s="28" t="n"/>
    </row>
    <row r="36">
      <c r="A36" s="29" t="n"/>
      <c r="B36" s="23" t="n"/>
      <c r="C36" s="23" t="n"/>
      <c r="D36" s="21" t="n"/>
      <c r="E36" s="23" t="n"/>
      <c r="F36" s="23" t="n"/>
    </row>
    <row r="37">
      <c r="A37" s="27" t="n"/>
      <c r="B37" s="28" t="n"/>
      <c r="C37" s="28" t="n"/>
      <c r="D37" s="26" t="n"/>
      <c r="E37" s="28" t="n"/>
      <c r="F37" s="28" t="n"/>
    </row>
    <row r="38">
      <c r="A38" s="29" t="n"/>
      <c r="B38" s="23" t="n"/>
      <c r="C38" s="23" t="n"/>
      <c r="D38" s="21" t="n"/>
      <c r="E38" s="23" t="n"/>
      <c r="F38" s="23" t="n"/>
    </row>
    <row r="39">
      <c r="A39" s="27" t="n"/>
      <c r="B39" s="28" t="n"/>
      <c r="C39" s="28" t="n"/>
      <c r="D39" s="26" t="n"/>
      <c r="E39" s="28" t="n"/>
      <c r="F39" s="28" t="n"/>
    </row>
    <row r="40">
      <c r="A40" s="29" t="n"/>
      <c r="B40" s="23" t="n"/>
      <c r="C40" s="23" t="n"/>
      <c r="D40" s="21" t="n"/>
      <c r="E40" s="23" t="n"/>
      <c r="F40" s="23" t="n"/>
    </row>
    <row r="41">
      <c r="A41" s="27" t="n"/>
      <c r="B41" s="28" t="n"/>
      <c r="C41" s="28" t="n"/>
      <c r="D41" s="26" t="n"/>
      <c r="E41" s="28" t="n"/>
      <c r="F41" s="28" t="n"/>
    </row>
    <row r="42">
      <c r="A42" s="29" t="n"/>
      <c r="B42" s="23" t="n"/>
      <c r="C42" s="23" t="n"/>
      <c r="D42" s="21" t="n"/>
      <c r="E42" s="23" t="n"/>
      <c r="F42" s="23" t="n"/>
    </row>
    <row r="43">
      <c r="A43" s="27" t="n"/>
      <c r="B43" s="28" t="n"/>
      <c r="C43" s="28" t="n"/>
      <c r="D43" s="26" t="n"/>
      <c r="E43" s="28" t="n"/>
      <c r="F43" s="28" t="n"/>
    </row>
    <row r="44">
      <c r="A44" s="29" t="n"/>
      <c r="B44" s="23" t="n"/>
      <c r="C44" s="23" t="n"/>
      <c r="D44" s="21" t="n"/>
      <c r="E44" s="23" t="n"/>
      <c r="F44" s="23" t="n"/>
    </row>
    <row r="45">
      <c r="A45" s="27" t="n"/>
      <c r="B45" s="28" t="n"/>
      <c r="C45" s="28" t="n"/>
      <c r="D45" s="26" t="n"/>
      <c r="E45" s="28" t="n"/>
      <c r="F45" s="28" t="n"/>
    </row>
    <row r="46">
      <c r="A46" s="29" t="n"/>
      <c r="B46" s="23" t="n"/>
      <c r="C46" s="23" t="n"/>
      <c r="D46" s="21" t="n"/>
      <c r="E46" s="23" t="n"/>
      <c r="F46" s="23" t="n"/>
    </row>
    <row r="47">
      <c r="A47" s="27" t="n"/>
      <c r="B47" s="28" t="n"/>
      <c r="C47" s="28" t="n"/>
      <c r="D47" s="26" t="n"/>
      <c r="E47" s="28" t="n"/>
      <c r="F47" s="28" t="n"/>
    </row>
    <row r="48">
      <c r="A48" s="29" t="n"/>
      <c r="B48" s="23" t="n"/>
      <c r="C48" s="23" t="n"/>
      <c r="D48" s="21" t="n"/>
      <c r="E48" s="23" t="n"/>
      <c r="F48" s="23" t="n"/>
    </row>
    <row r="49">
      <c r="A49" s="27" t="n"/>
      <c r="B49" s="28" t="n"/>
      <c r="C49" s="28" t="n"/>
      <c r="D49" s="26" t="n"/>
      <c r="E49" s="28" t="n"/>
      <c r="F49" s="28" t="n"/>
    </row>
    <row r="50">
      <c r="A50" s="29" t="n"/>
      <c r="B50" s="23" t="n"/>
      <c r="C50" s="23" t="n"/>
      <c r="D50" s="21" t="n"/>
      <c r="E50" s="23" t="n"/>
      <c r="F50" s="23" t="n"/>
    </row>
    <row r="51">
      <c r="A51" s="27" t="n"/>
      <c r="B51" s="28" t="n"/>
      <c r="C51" s="28" t="n"/>
      <c r="D51" s="26" t="n"/>
      <c r="E51" s="28" t="n"/>
      <c r="F51" s="28" t="n"/>
    </row>
    <row r="52">
      <c r="A52" s="29" t="n"/>
      <c r="B52" s="23" t="n"/>
      <c r="C52" s="23" t="n"/>
      <c r="D52" s="21" t="n"/>
      <c r="E52" s="23" t="n"/>
      <c r="F52" s="23" t="n"/>
    </row>
    <row r="53">
      <c r="A53" s="27" t="n"/>
      <c r="B53" s="28" t="n"/>
      <c r="C53" s="28" t="n"/>
      <c r="D53" s="26" t="n"/>
      <c r="E53" s="28" t="n"/>
      <c r="F53" s="28" t="n"/>
    </row>
    <row r="54">
      <c r="A54" s="29" t="n"/>
      <c r="B54" s="23" t="n"/>
      <c r="C54" s="23" t="n"/>
      <c r="D54" s="21" t="n"/>
      <c r="E54" s="23" t="n"/>
      <c r="F54" s="23" t="n"/>
    </row>
    <row r="55">
      <c r="A55" s="27" t="n"/>
      <c r="B55" s="28" t="n"/>
      <c r="C55" s="28" t="n"/>
      <c r="D55" s="26" t="n"/>
      <c r="E55" s="28" t="n"/>
      <c r="F55" s="28" t="n"/>
    </row>
    <row r="56">
      <c r="A56" s="29" t="n"/>
      <c r="B56" s="23" t="n"/>
      <c r="C56" s="23" t="n"/>
      <c r="D56" s="21" t="n"/>
      <c r="E56" s="23" t="n"/>
      <c r="F56" s="23" t="n"/>
    </row>
    <row r="57">
      <c r="A57" s="27" t="n"/>
      <c r="B57" s="28" t="n"/>
      <c r="C57" s="28" t="n"/>
      <c r="D57" s="26" t="n"/>
      <c r="E57" s="28" t="n"/>
      <c r="F57" s="28" t="n"/>
    </row>
    <row r="58">
      <c r="A58" s="29" t="n"/>
      <c r="B58" s="23" t="n"/>
      <c r="C58" s="23" t="n"/>
      <c r="D58" s="21" t="n"/>
      <c r="E58" s="23" t="n"/>
      <c r="F58" s="23" t="n"/>
    </row>
    <row r="59">
      <c r="A59" s="27" t="n"/>
      <c r="B59" s="28" t="n"/>
      <c r="C59" s="28" t="n"/>
      <c r="D59" s="26" t="n"/>
      <c r="E59" s="28" t="n"/>
      <c r="F59" s="28" t="n"/>
    </row>
    <row r="60">
      <c r="A60" s="29" t="n"/>
      <c r="B60" s="23" t="n"/>
      <c r="C60" s="23" t="n"/>
      <c r="D60" s="21" t="n"/>
      <c r="E60" s="23" t="n"/>
      <c r="F60" s="23" t="n"/>
    </row>
    <row r="61">
      <c r="A61" s="27" t="n"/>
      <c r="B61" s="28" t="n"/>
      <c r="C61" s="28" t="n"/>
      <c r="D61" s="26" t="n"/>
      <c r="E61" s="28" t="n"/>
      <c r="F61" s="28" t="n"/>
    </row>
    <row r="62">
      <c r="A62" s="29" t="n"/>
      <c r="B62" s="23" t="n"/>
      <c r="C62" s="23" t="n"/>
      <c r="D62" s="21" t="n"/>
      <c r="E62" s="23" t="n"/>
      <c r="F62" s="23" t="n"/>
    </row>
    <row r="63">
      <c r="A63" s="27" t="n"/>
      <c r="B63" s="28" t="n"/>
      <c r="C63" s="28" t="n"/>
      <c r="D63" s="26" t="n"/>
      <c r="E63" s="28" t="n"/>
      <c r="F63" s="28" t="n"/>
    </row>
    <row r="64">
      <c r="A64" s="29" t="n"/>
      <c r="B64" s="23" t="n"/>
      <c r="C64" s="23" t="n"/>
      <c r="D64" s="21" t="n"/>
      <c r="E64" s="23" t="n"/>
      <c r="F64" s="23" t="n"/>
    </row>
  </sheetData>
  <mergeCells count="2">
    <mergeCell ref="A2:F2"/>
    <mergeCell ref="A1:F1"/>
  </mergeCells>
  <conditionalFormatting sqref="F5:F64">
    <cfRule type="cellIs" priority="1" operator="equal" dxfId="0">
      <formula>"Graded"</formula>
    </cfRule>
    <cfRule type="cellIs" priority="2" operator="equal" dxfId="1">
      <formula>"Turned In"</formula>
    </cfRule>
    <cfRule type="cellIs" priority="3" operator="equal" dxfId="2">
      <formula>"Not Yet"</formula>
    </cfRule>
  </conditionalFormatting>
  <dataValidations count="2">
    <dataValidation sqref="C5:C64" showDropDown="0" showInputMessage="0" showErrorMessage="0" allowBlank="1" type="list">
      <formula1>=SubjectList</formula1>
    </dataValidation>
    <dataValidation sqref="F5:F64" showDropDown="0" showInputMessage="0" showErrorMessage="0" allowBlank="1" type="list">
      <formula1>=GradedList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</cols>
  <sheetData>
    <row r="1" ht="46" customHeight="1">
      <c r="A1" s="1" t="inlineStr">
        <is>
          <t xml:space="preserve">  📕  READING LOG</t>
        </is>
      </c>
    </row>
    <row r="2" ht="22" customHeight="1">
      <c r="A2" s="2" t="inlineStr">
        <is>
          <t xml:space="preserve">  Every book, per child — reading is the heart of it. Set the year's total in Settings.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Student</t>
        </is>
      </c>
      <c r="B4" s="9" t="inlineStr">
        <is>
          <t>Title</t>
        </is>
      </c>
      <c r="C4" s="9" t="inlineStr">
        <is>
          <t>Pages</t>
        </is>
      </c>
      <c r="D4" s="9" t="inlineStr">
        <is>
          <t>Finished?</t>
        </is>
      </c>
    </row>
    <row r="5">
      <c r="A5" s="28" t="inlineStr">
        <is>
          <t>Ella</t>
        </is>
      </c>
      <c r="B5" s="26" t="inlineStr">
        <is>
          <t>The Hobbit</t>
        </is>
      </c>
      <c r="C5" s="34" t="n">
        <v>310</v>
      </c>
      <c r="D5" s="28" t="inlineStr">
        <is>
          <t>Yes</t>
        </is>
      </c>
    </row>
    <row r="6">
      <c r="A6" s="23" t="inlineStr">
        <is>
          <t>Ella</t>
        </is>
      </c>
      <c r="B6" s="21" t="inlineStr">
        <is>
          <t>Number the Stars</t>
        </is>
      </c>
      <c r="C6" s="36" t="n">
        <v>137</v>
      </c>
      <c r="D6" s="23" t="inlineStr">
        <is>
          <t>Yes</t>
        </is>
      </c>
    </row>
    <row r="7">
      <c r="A7" s="28" t="inlineStr">
        <is>
          <t>Noah</t>
        </is>
      </c>
      <c r="B7" s="26" t="inlineStr">
        <is>
          <t>Hatchet</t>
        </is>
      </c>
      <c r="C7" s="34" t="n">
        <v>195</v>
      </c>
      <c r="D7" s="28" t="inlineStr">
        <is>
          <t>Yes</t>
        </is>
      </c>
    </row>
    <row r="8">
      <c r="A8" s="23" t="inlineStr">
        <is>
          <t>Grace</t>
        </is>
      </c>
      <c r="B8" s="21" t="inlineStr">
        <is>
          <t>Charlotte's Web</t>
        </is>
      </c>
      <c r="C8" s="36" t="n">
        <v>184</v>
      </c>
      <c r="D8" s="23" t="inlineStr">
        <is>
          <t>Yes</t>
        </is>
      </c>
    </row>
    <row r="9">
      <c r="A9" s="28" t="inlineStr">
        <is>
          <t>Sam</t>
        </is>
      </c>
      <c r="B9" s="26" t="inlineStr">
        <is>
          <t>Frog and Toad (read-aloud)</t>
        </is>
      </c>
      <c r="C9" s="34" t="n">
        <v>64</v>
      </c>
      <c r="D9" s="28" t="inlineStr">
        <is>
          <t>Yes</t>
        </is>
      </c>
    </row>
    <row r="10">
      <c r="A10" s="23" t="inlineStr">
        <is>
          <t>Ella</t>
        </is>
      </c>
      <c r="B10" s="21" t="inlineStr">
        <is>
          <t>The Bronze Bow</t>
        </is>
      </c>
      <c r="C10" s="36" t="n">
        <v>254</v>
      </c>
      <c r="D10" s="23" t="inlineStr">
        <is>
          <t>In Progress</t>
        </is>
      </c>
    </row>
    <row r="11">
      <c r="A11" s="28" t="inlineStr">
        <is>
          <t>Noah</t>
        </is>
      </c>
      <c r="B11" s="26" t="inlineStr">
        <is>
          <t>The Wingfeather Saga</t>
        </is>
      </c>
      <c r="C11" s="34" t="n">
        <v>288</v>
      </c>
      <c r="D11" s="28" t="inlineStr">
        <is>
          <t>Yes</t>
        </is>
      </c>
    </row>
    <row r="12">
      <c r="A12" s="23" t="inlineStr">
        <is>
          <t>Grace</t>
        </is>
      </c>
      <c r="B12" s="21" t="inlineStr">
        <is>
          <t>Little House series</t>
        </is>
      </c>
      <c r="C12" s="36" t="n">
        <v>240</v>
      </c>
      <c r="D12" s="23" t="inlineStr">
        <is>
          <t>In Progress</t>
        </is>
      </c>
    </row>
    <row r="13">
      <c r="A13" s="28" t="n"/>
      <c r="B13" s="26" t="n"/>
      <c r="C13" s="34" t="n"/>
      <c r="D13" s="28" t="n"/>
    </row>
    <row r="14">
      <c r="A14" s="23" t="n"/>
      <c r="B14" s="21" t="n"/>
      <c r="C14" s="36" t="n"/>
      <c r="D14" s="23" t="n"/>
    </row>
    <row r="15">
      <c r="A15" s="28" t="n"/>
      <c r="B15" s="26" t="n"/>
      <c r="C15" s="34" t="n"/>
      <c r="D15" s="28" t="n"/>
    </row>
    <row r="16">
      <c r="A16" s="23" t="n"/>
      <c r="B16" s="21" t="n"/>
      <c r="C16" s="36" t="n"/>
      <c r="D16" s="23" t="n"/>
    </row>
    <row r="17">
      <c r="A17" s="28" t="n"/>
      <c r="B17" s="26" t="n"/>
      <c r="C17" s="34" t="n"/>
      <c r="D17" s="28" t="n"/>
    </row>
    <row r="18">
      <c r="A18" s="23" t="n"/>
      <c r="B18" s="21" t="n"/>
      <c r="C18" s="36" t="n"/>
      <c r="D18" s="23" t="n"/>
    </row>
    <row r="19">
      <c r="A19" s="28" t="n"/>
      <c r="B19" s="26" t="n"/>
      <c r="C19" s="34" t="n"/>
      <c r="D19" s="28" t="n"/>
    </row>
    <row r="20">
      <c r="A20" s="23" t="n"/>
      <c r="B20" s="21" t="n"/>
      <c r="C20" s="36" t="n"/>
      <c r="D20" s="23" t="n"/>
    </row>
    <row r="21">
      <c r="A21" s="28" t="n"/>
      <c r="B21" s="26" t="n"/>
      <c r="C21" s="34" t="n"/>
      <c r="D21" s="28" t="n"/>
    </row>
    <row r="22">
      <c r="A22" s="23" t="n"/>
      <c r="B22" s="21" t="n"/>
      <c r="C22" s="36" t="n"/>
      <c r="D22" s="23" t="n"/>
    </row>
    <row r="23">
      <c r="A23" s="28" t="n"/>
      <c r="B23" s="26" t="n"/>
      <c r="C23" s="34" t="n"/>
      <c r="D23" s="28" t="n"/>
    </row>
    <row r="24">
      <c r="A24" s="23" t="n"/>
      <c r="B24" s="21" t="n"/>
      <c r="C24" s="36" t="n"/>
      <c r="D24" s="23" t="n"/>
    </row>
    <row r="25">
      <c r="A25" s="28" t="n"/>
      <c r="B25" s="26" t="n"/>
      <c r="C25" s="34" t="n"/>
      <c r="D25" s="28" t="n"/>
    </row>
    <row r="26">
      <c r="A26" s="23" t="n"/>
      <c r="B26" s="21" t="n"/>
      <c r="C26" s="36" t="n"/>
      <c r="D26" s="23" t="n"/>
    </row>
    <row r="27">
      <c r="A27" s="28" t="n"/>
      <c r="B27" s="26" t="n"/>
      <c r="C27" s="34" t="n"/>
      <c r="D27" s="28" t="n"/>
    </row>
    <row r="28">
      <c r="A28" s="23" t="n"/>
      <c r="B28" s="21" t="n"/>
      <c r="C28" s="36" t="n"/>
      <c r="D28" s="23" t="n"/>
    </row>
    <row r="29">
      <c r="A29" s="28" t="n"/>
      <c r="B29" s="26" t="n"/>
      <c r="C29" s="34" t="n"/>
      <c r="D29" s="28" t="n"/>
    </row>
    <row r="30">
      <c r="A30" s="23" t="n"/>
      <c r="B30" s="21" t="n"/>
      <c r="C30" s="36" t="n"/>
      <c r="D30" s="23" t="n"/>
    </row>
    <row r="31">
      <c r="A31" s="28" t="n"/>
      <c r="B31" s="26" t="n"/>
      <c r="C31" s="34" t="n"/>
      <c r="D31" s="28" t="n"/>
    </row>
    <row r="32">
      <c r="A32" s="23" t="n"/>
      <c r="B32" s="21" t="n"/>
      <c r="C32" s="36" t="n"/>
      <c r="D32" s="23" t="n"/>
    </row>
    <row r="33">
      <c r="A33" s="28" t="n"/>
      <c r="B33" s="26" t="n"/>
      <c r="C33" s="34" t="n"/>
      <c r="D33" s="28" t="n"/>
    </row>
    <row r="34">
      <c r="A34" s="23" t="n"/>
      <c r="B34" s="21" t="n"/>
      <c r="C34" s="36" t="n"/>
      <c r="D34" s="23" t="n"/>
    </row>
    <row r="35">
      <c r="A35" s="28" t="n"/>
      <c r="B35" s="26" t="n"/>
      <c r="C35" s="34" t="n"/>
      <c r="D35" s="28" t="n"/>
    </row>
    <row r="36">
      <c r="A36" s="23" t="n"/>
      <c r="B36" s="21" t="n"/>
      <c r="C36" s="36" t="n"/>
      <c r="D36" s="23" t="n"/>
    </row>
    <row r="37">
      <c r="A37" s="28" t="n"/>
      <c r="B37" s="26" t="n"/>
      <c r="C37" s="34" t="n"/>
      <c r="D37" s="28" t="n"/>
    </row>
    <row r="38">
      <c r="A38" s="23" t="n"/>
      <c r="B38" s="21" t="n"/>
      <c r="C38" s="36" t="n"/>
      <c r="D38" s="23" t="n"/>
    </row>
    <row r="39">
      <c r="A39" s="28" t="n"/>
      <c r="B39" s="26" t="n"/>
      <c r="C39" s="34" t="n"/>
      <c r="D39" s="28" t="n"/>
    </row>
    <row r="40">
      <c r="A40" s="23" t="n"/>
      <c r="B40" s="21" t="n"/>
      <c r="C40" s="36" t="n"/>
      <c r="D40" s="23" t="n"/>
    </row>
    <row r="41">
      <c r="A41" s="28" t="n"/>
      <c r="B41" s="26" t="n"/>
      <c r="C41" s="34" t="n"/>
      <c r="D41" s="28" t="n"/>
    </row>
    <row r="42">
      <c r="A42" s="23" t="n"/>
      <c r="B42" s="21" t="n"/>
      <c r="C42" s="36" t="n"/>
      <c r="D42" s="23" t="n"/>
    </row>
    <row r="43">
      <c r="A43" s="28" t="n"/>
      <c r="B43" s="26" t="n"/>
      <c r="C43" s="34" t="n"/>
      <c r="D43" s="28" t="n"/>
    </row>
    <row r="44">
      <c r="A44" s="23" t="n"/>
      <c r="B44" s="21" t="n"/>
      <c r="C44" s="36" t="n"/>
      <c r="D44" s="23" t="n"/>
    </row>
    <row r="45">
      <c r="A45" s="28" t="n"/>
      <c r="B45" s="26" t="n"/>
      <c r="C45" s="34" t="n"/>
      <c r="D45" s="28" t="n"/>
    </row>
    <row r="46">
      <c r="A46" s="23" t="n"/>
      <c r="B46" s="21" t="n"/>
      <c r="C46" s="36" t="n"/>
      <c r="D46" s="23" t="n"/>
    </row>
    <row r="47">
      <c r="A47" s="28" t="n"/>
      <c r="B47" s="26" t="n"/>
      <c r="C47" s="34" t="n"/>
      <c r="D47" s="28" t="n"/>
    </row>
    <row r="48">
      <c r="A48" s="23" t="n"/>
      <c r="B48" s="21" t="n"/>
      <c r="C48" s="36" t="n"/>
      <c r="D48" s="23" t="n"/>
    </row>
    <row r="49">
      <c r="A49" s="28" t="n"/>
      <c r="B49" s="26" t="n"/>
      <c r="C49" s="34" t="n"/>
      <c r="D49" s="28" t="n"/>
    </row>
    <row r="50">
      <c r="A50" s="23" t="n"/>
      <c r="B50" s="21" t="n"/>
      <c r="C50" s="36" t="n"/>
      <c r="D50" s="23" t="n"/>
    </row>
    <row r="51">
      <c r="A51" s="28" t="n"/>
      <c r="B51" s="26" t="n"/>
      <c r="C51" s="34" t="n"/>
      <c r="D51" s="28" t="n"/>
    </row>
    <row r="52">
      <c r="A52" s="23" t="n"/>
      <c r="B52" s="21" t="n"/>
      <c r="C52" s="36" t="n"/>
      <c r="D52" s="23" t="n"/>
    </row>
    <row r="53">
      <c r="A53" s="28" t="n"/>
      <c r="B53" s="26" t="n"/>
      <c r="C53" s="34" t="n"/>
      <c r="D53" s="28" t="n"/>
    </row>
    <row r="54">
      <c r="A54" s="23" t="n"/>
      <c r="B54" s="21" t="n"/>
      <c r="C54" s="36" t="n"/>
      <c r="D54" s="23" t="n"/>
    </row>
    <row r="55">
      <c r="A55" s="28" t="n"/>
      <c r="B55" s="26" t="n"/>
      <c r="C55" s="34" t="n"/>
      <c r="D55" s="28" t="n"/>
    </row>
    <row r="56">
      <c r="A56" s="23" t="n"/>
      <c r="B56" s="21" t="n"/>
      <c r="C56" s="36" t="n"/>
      <c r="D56" s="23" t="n"/>
    </row>
    <row r="57">
      <c r="A57" s="28" t="n"/>
      <c r="B57" s="26" t="n"/>
      <c r="C57" s="34" t="n"/>
      <c r="D57" s="28" t="n"/>
    </row>
    <row r="58">
      <c r="A58" s="23" t="n"/>
      <c r="B58" s="21" t="n"/>
      <c r="C58" s="36" t="n"/>
      <c r="D58" s="23" t="n"/>
    </row>
    <row r="59">
      <c r="A59" s="28" t="n"/>
      <c r="B59" s="26" t="n"/>
      <c r="C59" s="34" t="n"/>
      <c r="D59" s="28" t="n"/>
    </row>
    <row r="60">
      <c r="A60" s="23" t="n"/>
      <c r="B60" s="21" t="n"/>
      <c r="C60" s="36" t="n"/>
      <c r="D60" s="23" t="n"/>
    </row>
    <row r="61">
      <c r="A61" s="28" t="n"/>
      <c r="B61" s="26" t="n"/>
      <c r="C61" s="34" t="n"/>
      <c r="D61" s="28" t="n"/>
    </row>
    <row r="62">
      <c r="A62" s="23" t="n"/>
      <c r="B62" s="21" t="n"/>
      <c r="C62" s="36" t="n"/>
      <c r="D62" s="23" t="n"/>
    </row>
    <row r="63">
      <c r="A63" s="28" t="n"/>
      <c r="B63" s="26" t="n"/>
      <c r="C63" s="34" t="n"/>
      <c r="D63" s="28" t="n"/>
    </row>
    <row r="64">
      <c r="A64" s="23" t="n"/>
      <c r="B64" s="21" t="n"/>
      <c r="C64" s="36" t="n"/>
      <c r="D64" s="23" t="n"/>
    </row>
  </sheetData>
  <mergeCells count="2">
    <mergeCell ref="A1:D1"/>
    <mergeCell ref="A2:D2"/>
  </mergeCells>
  <conditionalFormatting sqref="D5:D64">
    <cfRule type="cellIs" priority="1" operator="equal" dxfId="0">
      <formula>"Yes"</formula>
    </cfRule>
  </conditionalFormatting>
  <dataValidations count="1">
    <dataValidation sqref="D5:D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6" customWidth="1" min="4" max="4"/>
    <col width="12" customWidth="1" min="5" max="5"/>
  </cols>
  <sheetData>
    <row r="1" ht="46" customHeight="1">
      <c r="A1" s="1" t="inlineStr">
        <is>
          <t xml:space="preserve">  🚌  FIELD TRIPS &amp; ACTIVITIES</t>
        </is>
      </c>
    </row>
    <row r="2" ht="22" customHeight="1">
      <c r="A2" s="2" t="inlineStr">
        <is>
          <t xml:space="preserve">  Learning beyond the table — every trip, what it covered &amp; what it cost.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Date</t>
        </is>
      </c>
      <c r="B4" s="9" t="inlineStr">
        <is>
          <t>Place</t>
        </is>
      </c>
      <c r="C4" s="9" t="inlineStr">
        <is>
          <t>Subject Tie-in</t>
        </is>
      </c>
      <c r="D4" s="9" t="inlineStr">
        <is>
          <t>Who</t>
        </is>
      </c>
      <c r="E4" s="9" t="inlineStr">
        <is>
          <t>Cost</t>
        </is>
      </c>
    </row>
    <row r="5">
      <c r="A5" s="27" t="n">
        <v>46178</v>
      </c>
      <c r="B5" s="26" t="inlineStr">
        <is>
          <t>Natural History Museum</t>
        </is>
      </c>
      <c r="C5" s="28" t="inlineStr">
        <is>
          <t>Science</t>
        </is>
      </c>
      <c r="D5" s="28" t="inlineStr">
        <is>
          <t>All</t>
        </is>
      </c>
      <c r="E5" s="30" t="n">
        <v>0</v>
      </c>
    </row>
    <row r="6">
      <c r="A6" s="29" t="n">
        <v>46190</v>
      </c>
      <c r="B6" s="21" t="inlineStr">
        <is>
          <t>Colonial farm</t>
        </is>
      </c>
      <c r="C6" s="23" t="inlineStr">
        <is>
          <t>History</t>
        </is>
      </c>
      <c r="D6" s="23" t="inlineStr">
        <is>
          <t>All</t>
        </is>
      </c>
      <c r="E6" s="31" t="n">
        <v>24</v>
      </c>
    </row>
    <row r="7">
      <c r="A7" s="27" t="n">
        <v>46198</v>
      </c>
      <c r="B7" s="26" t="inlineStr">
        <is>
          <t>Symphony kids concert</t>
        </is>
      </c>
      <c r="C7" s="28" t="inlineStr">
        <is>
          <t>Music</t>
        </is>
      </c>
      <c r="D7" s="28" t="inlineStr">
        <is>
          <t>All</t>
        </is>
      </c>
      <c r="E7" s="30" t="n">
        <v>30</v>
      </c>
    </row>
    <row r="8">
      <c r="A8" s="29" t="n">
        <v>46206</v>
      </c>
      <c r="B8" s="21" t="inlineStr">
        <is>
          <t>Tide pools</t>
        </is>
      </c>
      <c r="C8" s="23" t="inlineStr">
        <is>
          <t>Science</t>
        </is>
      </c>
      <c r="D8" s="23" t="inlineStr">
        <is>
          <t>All</t>
        </is>
      </c>
      <c r="E8" s="31" t="n">
        <v>0</v>
      </c>
    </row>
    <row r="9">
      <c r="A9" s="27" t="n">
        <v>46212</v>
      </c>
      <c r="B9" s="26" t="inlineStr">
        <is>
          <t>Local bakery tour</t>
        </is>
      </c>
      <c r="C9" s="28" t="inlineStr">
        <is>
          <t>Life Skills</t>
        </is>
      </c>
      <c r="D9" s="28" t="inlineStr">
        <is>
          <t>Grace/Sam</t>
        </is>
      </c>
      <c r="E9" s="30" t="n">
        <v>0</v>
      </c>
    </row>
    <row r="10">
      <c r="A10" s="29" t="n">
        <v>46223</v>
      </c>
      <c r="B10" s="21" t="inlineStr">
        <is>
          <t>State capitol</t>
        </is>
      </c>
      <c r="C10" s="23" t="inlineStr">
        <is>
          <t>Geography</t>
        </is>
      </c>
      <c r="D10" s="23" t="inlineStr">
        <is>
          <t>Ella/Noah</t>
        </is>
      </c>
      <c r="E10" s="31" t="n">
        <v>0</v>
      </c>
    </row>
    <row r="11">
      <c r="A11" s="27" t="n">
        <v>46230</v>
      </c>
      <c r="B11" s="26" t="inlineStr">
        <is>
          <t>Botanical gardens</t>
        </is>
      </c>
      <c r="C11" s="28" t="inlineStr">
        <is>
          <t>Science</t>
        </is>
      </c>
      <c r="D11" s="28" t="inlineStr">
        <is>
          <t>All</t>
        </is>
      </c>
      <c r="E11" s="30" t="n">
        <v>18</v>
      </c>
    </row>
    <row r="12">
      <c r="A12" s="29" t="n"/>
      <c r="B12" s="21" t="n"/>
      <c r="C12" s="23" t="n"/>
      <c r="D12" s="23" t="n"/>
      <c r="E12" s="31" t="n"/>
    </row>
    <row r="13">
      <c r="A13" s="27" t="n"/>
      <c r="B13" s="26" t="n"/>
      <c r="C13" s="28" t="n"/>
      <c r="D13" s="28" t="n"/>
      <c r="E13" s="30" t="n"/>
    </row>
    <row r="14">
      <c r="A14" s="29" t="n"/>
      <c r="B14" s="21" t="n"/>
      <c r="C14" s="23" t="n"/>
      <c r="D14" s="23" t="n"/>
      <c r="E14" s="31" t="n"/>
    </row>
    <row r="15">
      <c r="A15" s="27" t="n"/>
      <c r="B15" s="26" t="n"/>
      <c r="C15" s="28" t="n"/>
      <c r="D15" s="28" t="n"/>
      <c r="E15" s="30" t="n"/>
    </row>
    <row r="16">
      <c r="A16" s="29" t="n"/>
      <c r="B16" s="21" t="n"/>
      <c r="C16" s="23" t="n"/>
      <c r="D16" s="23" t="n"/>
      <c r="E16" s="31" t="n"/>
    </row>
    <row r="17">
      <c r="A17" s="27" t="n"/>
      <c r="B17" s="26" t="n"/>
      <c r="C17" s="28" t="n"/>
      <c r="D17" s="28" t="n"/>
      <c r="E17" s="30" t="n"/>
    </row>
    <row r="18">
      <c r="A18" s="29" t="n"/>
      <c r="B18" s="21" t="n"/>
      <c r="C18" s="23" t="n"/>
      <c r="D18" s="23" t="n"/>
      <c r="E18" s="31" t="n"/>
    </row>
    <row r="19">
      <c r="A19" s="27" t="n"/>
      <c r="B19" s="26" t="n"/>
      <c r="C19" s="28" t="n"/>
      <c r="D19" s="28" t="n"/>
      <c r="E19" s="30" t="n"/>
    </row>
    <row r="20">
      <c r="A20" s="29" t="n"/>
      <c r="B20" s="21" t="n"/>
      <c r="C20" s="23" t="n"/>
      <c r="D20" s="23" t="n"/>
      <c r="E20" s="31" t="n"/>
    </row>
    <row r="21">
      <c r="A21" s="27" t="n"/>
      <c r="B21" s="26" t="n"/>
      <c r="C21" s="28" t="n"/>
      <c r="D21" s="28" t="n"/>
      <c r="E21" s="30" t="n"/>
    </row>
    <row r="22">
      <c r="A22" s="29" t="n"/>
      <c r="B22" s="21" t="n"/>
      <c r="C22" s="23" t="n"/>
      <c r="D22" s="23" t="n"/>
      <c r="E22" s="31" t="n"/>
    </row>
    <row r="23">
      <c r="A23" s="27" t="n"/>
      <c r="B23" s="26" t="n"/>
      <c r="C23" s="28" t="n"/>
      <c r="D23" s="28" t="n"/>
      <c r="E23" s="30" t="n"/>
    </row>
    <row r="24">
      <c r="A24" s="29" t="n"/>
      <c r="B24" s="21" t="n"/>
      <c r="C24" s="23" t="n"/>
      <c r="D24" s="23" t="n"/>
      <c r="E24" s="31" t="n"/>
    </row>
    <row r="25">
      <c r="A25" s="27" t="n"/>
      <c r="B25" s="26" t="n"/>
      <c r="C25" s="28" t="n"/>
      <c r="D25" s="28" t="n"/>
      <c r="E25" s="30" t="n"/>
    </row>
    <row r="26">
      <c r="A26" s="29" t="n"/>
      <c r="B26" s="21" t="n"/>
      <c r="C26" s="23" t="n"/>
      <c r="D26" s="23" t="n"/>
      <c r="E26" s="31" t="n"/>
    </row>
    <row r="27">
      <c r="A27" s="27" t="n"/>
      <c r="B27" s="26" t="n"/>
      <c r="C27" s="28" t="n"/>
      <c r="D27" s="28" t="n"/>
      <c r="E27" s="30" t="n"/>
    </row>
    <row r="28">
      <c r="A28" s="29" t="n"/>
      <c r="B28" s="21" t="n"/>
      <c r="C28" s="23" t="n"/>
      <c r="D28" s="23" t="n"/>
      <c r="E28" s="31" t="n"/>
    </row>
    <row r="29">
      <c r="A29" s="27" t="n"/>
      <c r="B29" s="26" t="n"/>
      <c r="C29" s="28" t="n"/>
      <c r="D29" s="28" t="n"/>
      <c r="E29" s="30" t="n"/>
    </row>
    <row r="30">
      <c r="A30" s="29" t="n"/>
      <c r="B30" s="21" t="n"/>
      <c r="C30" s="23" t="n"/>
      <c r="D30" s="23" t="n"/>
      <c r="E30" s="31" t="n"/>
    </row>
    <row r="31">
      <c r="A31" s="27" t="n"/>
      <c r="B31" s="26" t="n"/>
      <c r="C31" s="28" t="n"/>
      <c r="D31" s="28" t="n"/>
      <c r="E31" s="30" t="n"/>
    </row>
    <row r="32">
      <c r="A32" s="29" t="n"/>
      <c r="B32" s="21" t="n"/>
      <c r="C32" s="23" t="n"/>
      <c r="D32" s="23" t="n"/>
      <c r="E32" s="31" t="n"/>
    </row>
    <row r="33">
      <c r="A33" s="27" t="n"/>
      <c r="B33" s="26" t="n"/>
      <c r="C33" s="28" t="n"/>
      <c r="D33" s="28" t="n"/>
      <c r="E33" s="30" t="n"/>
    </row>
    <row r="34">
      <c r="A34" s="29" t="n"/>
      <c r="B34" s="21" t="n"/>
      <c r="C34" s="23" t="n"/>
      <c r="D34" s="23" t="n"/>
      <c r="E34" s="31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 ht="46" customHeight="1">
      <c r="A1" s="1" t="inlineStr">
        <is>
          <t xml:space="preserve">  🤝  CO-OP &amp; EXTRACURRICULARS</t>
        </is>
      </c>
    </row>
    <row r="2" ht="22" customHeight="1">
      <c r="A2" s="2" t="inlineStr">
        <is>
          <t xml:space="preserve">  Co-op classes, lessons &amp; activities — the master schedule &amp; carpool view.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Student</t>
        </is>
      </c>
      <c r="B4" s="9" t="inlineStr">
        <is>
          <t>Activity</t>
        </is>
      </c>
      <c r="C4" s="9" t="inlineStr">
        <is>
          <t>Day</t>
        </is>
      </c>
      <c r="D4" s="9" t="inlineStr">
        <is>
          <t>Time</t>
        </is>
      </c>
      <c r="E4" s="9" t="inlineStr">
        <is>
          <t>Cost</t>
        </is>
      </c>
      <c r="F4" s="9" t="inlineStr">
        <is>
          <t>Where</t>
        </is>
      </c>
    </row>
    <row r="5">
      <c r="A5" s="28" t="inlineStr">
        <is>
          <t>Ella</t>
        </is>
      </c>
      <c r="B5" s="28" t="inlineStr">
        <is>
          <t>Writing co-op class</t>
        </is>
      </c>
      <c r="C5" s="28" t="inlineStr">
        <is>
          <t>Fri</t>
        </is>
      </c>
      <c r="D5" s="28" t="inlineStr">
        <is>
          <t>9:00–10:00</t>
        </is>
      </c>
      <c r="E5" s="28" t="inlineStr">
        <is>
          <t>$60/sem</t>
        </is>
      </c>
      <c r="F5" s="26" t="inlineStr">
        <is>
          <t>Homeschool co-op</t>
        </is>
      </c>
    </row>
    <row r="6">
      <c r="A6" s="23" t="inlineStr">
        <is>
          <t>Noah</t>
        </is>
      </c>
      <c r="B6" s="23" t="inlineStr">
        <is>
          <t>STEM club</t>
        </is>
      </c>
      <c r="C6" s="23" t="inlineStr">
        <is>
          <t>Fri</t>
        </is>
      </c>
      <c r="D6" s="23" t="inlineStr">
        <is>
          <t>10:15–11:15</t>
        </is>
      </c>
      <c r="E6" s="23" t="inlineStr">
        <is>
          <t>$45/sem</t>
        </is>
      </c>
      <c r="F6" s="21" t="inlineStr">
        <is>
          <t>Homeschool co-op</t>
        </is>
      </c>
    </row>
    <row r="7">
      <c r="A7" s="28" t="inlineStr">
        <is>
          <t>Grace</t>
        </is>
      </c>
      <c r="B7" s="28" t="inlineStr">
        <is>
          <t>Nature study group</t>
        </is>
      </c>
      <c r="C7" s="28" t="inlineStr">
        <is>
          <t>Wed</t>
        </is>
      </c>
      <c r="D7" s="28" t="inlineStr">
        <is>
          <t>1:00–2:30</t>
        </is>
      </c>
      <c r="E7" s="28" t="inlineStr">
        <is>
          <t>Free</t>
        </is>
      </c>
      <c r="F7" s="26" t="inlineStr">
        <is>
          <t>Park meetup</t>
        </is>
      </c>
    </row>
    <row r="8">
      <c r="A8" s="23" t="inlineStr">
        <is>
          <t>Ella</t>
        </is>
      </c>
      <c r="B8" s="23" t="inlineStr">
        <is>
          <t>Piano lessons</t>
        </is>
      </c>
      <c r="C8" s="23" t="inlineStr">
        <is>
          <t>Tue</t>
        </is>
      </c>
      <c r="D8" s="23" t="inlineStr">
        <is>
          <t>3:30–4:15</t>
        </is>
      </c>
      <c r="E8" s="23" t="inlineStr">
        <is>
          <t>$120/mo</t>
        </is>
      </c>
      <c r="F8" s="21" t="inlineStr">
        <is>
          <t>Private teacher</t>
        </is>
      </c>
    </row>
    <row r="9">
      <c r="A9" s="28" t="inlineStr">
        <is>
          <t>Noah</t>
        </is>
      </c>
      <c r="B9" s="28" t="inlineStr">
        <is>
          <t>Rec soccer</t>
        </is>
      </c>
      <c r="C9" s="28" t="inlineStr">
        <is>
          <t>Sat</t>
        </is>
      </c>
      <c r="D9" s="28" t="inlineStr">
        <is>
          <t>9:00–10:00</t>
        </is>
      </c>
      <c r="E9" s="28" t="inlineStr">
        <is>
          <t>$80/season</t>
        </is>
      </c>
      <c r="F9" s="26" t="inlineStr">
        <is>
          <t>City league</t>
        </is>
      </c>
    </row>
    <row r="10">
      <c r="A10" s="23" t="inlineStr">
        <is>
          <t>Grace</t>
        </is>
      </c>
      <c r="B10" s="23" t="inlineStr">
        <is>
          <t>Ballet</t>
        </is>
      </c>
      <c r="C10" s="23" t="inlineStr">
        <is>
          <t>Mon</t>
        </is>
      </c>
      <c r="D10" s="23" t="inlineStr">
        <is>
          <t>4:00–5:00</t>
        </is>
      </c>
      <c r="E10" s="23" t="inlineStr">
        <is>
          <t>$65/mo</t>
        </is>
      </c>
      <c r="F10" s="21" t="inlineStr">
        <is>
          <t>Studio</t>
        </is>
      </c>
    </row>
    <row r="11">
      <c r="A11" s="28" t="inlineStr">
        <is>
          <t>Sam</t>
        </is>
      </c>
      <c r="B11" s="28" t="inlineStr">
        <is>
          <t>Library story time</t>
        </is>
      </c>
      <c r="C11" s="28" t="inlineStr">
        <is>
          <t>Thu</t>
        </is>
      </c>
      <c r="D11" s="28" t="inlineStr">
        <is>
          <t>10:30–11:00</t>
        </is>
      </c>
      <c r="E11" s="28" t="inlineStr">
        <is>
          <t>Free</t>
        </is>
      </c>
      <c r="F11" s="26" t="inlineStr">
        <is>
          <t>Public library</t>
        </is>
      </c>
    </row>
    <row r="12">
      <c r="A12" s="23" t="n"/>
      <c r="B12" s="23" t="n"/>
      <c r="C12" s="23" t="n"/>
      <c r="D12" s="23" t="n"/>
      <c r="E12" s="23" t="n"/>
      <c r="F12" s="21" t="n"/>
    </row>
    <row r="13">
      <c r="A13" s="28" t="n"/>
      <c r="B13" s="28" t="n"/>
      <c r="C13" s="28" t="n"/>
      <c r="D13" s="28" t="n"/>
      <c r="E13" s="28" t="n"/>
      <c r="F13" s="26" t="n"/>
    </row>
    <row r="14">
      <c r="A14" s="23" t="n"/>
      <c r="B14" s="23" t="n"/>
      <c r="C14" s="23" t="n"/>
      <c r="D14" s="23" t="n"/>
      <c r="E14" s="23" t="n"/>
      <c r="F14" s="21" t="n"/>
    </row>
    <row r="15">
      <c r="A15" s="28" t="n"/>
      <c r="B15" s="28" t="n"/>
      <c r="C15" s="28" t="n"/>
      <c r="D15" s="28" t="n"/>
      <c r="E15" s="28" t="n"/>
      <c r="F15" s="26" t="n"/>
    </row>
    <row r="16">
      <c r="A16" s="23" t="n"/>
      <c r="B16" s="23" t="n"/>
      <c r="C16" s="23" t="n"/>
      <c r="D16" s="23" t="n"/>
      <c r="E16" s="23" t="n"/>
      <c r="F16" s="21" t="n"/>
    </row>
    <row r="17">
      <c r="A17" s="28" t="n"/>
      <c r="B17" s="28" t="n"/>
      <c r="C17" s="28" t="n"/>
      <c r="D17" s="28" t="n"/>
      <c r="E17" s="28" t="n"/>
      <c r="F17" s="26" t="n"/>
    </row>
    <row r="18">
      <c r="A18" s="23" t="n"/>
      <c r="B18" s="23" t="n"/>
      <c r="C18" s="23" t="n"/>
      <c r="D18" s="23" t="n"/>
      <c r="E18" s="23" t="n"/>
      <c r="F18" s="21" t="n"/>
    </row>
    <row r="19">
      <c r="A19" s="28" t="n"/>
      <c r="B19" s="28" t="n"/>
      <c r="C19" s="28" t="n"/>
      <c r="D19" s="28" t="n"/>
      <c r="E19" s="28" t="n"/>
      <c r="F19" s="26" t="n"/>
    </row>
    <row r="20">
      <c r="A20" s="23" t="n"/>
      <c r="B20" s="23" t="n"/>
      <c r="C20" s="23" t="n"/>
      <c r="D20" s="23" t="n"/>
      <c r="E20" s="23" t="n"/>
      <c r="F20" s="21" t="n"/>
    </row>
    <row r="21">
      <c r="A21" s="28" t="n"/>
      <c r="B21" s="28" t="n"/>
      <c r="C21" s="28" t="n"/>
      <c r="D21" s="28" t="n"/>
      <c r="E21" s="28" t="n"/>
      <c r="F21" s="26" t="n"/>
    </row>
    <row r="22">
      <c r="A22" s="23" t="n"/>
      <c r="B22" s="23" t="n"/>
      <c r="C22" s="23" t="n"/>
      <c r="D22" s="23" t="n"/>
      <c r="E22" s="23" t="n"/>
      <c r="F22" s="21" t="n"/>
    </row>
    <row r="23">
      <c r="A23" s="28" t="n"/>
      <c r="B23" s="28" t="n"/>
      <c r="C23" s="28" t="n"/>
      <c r="D23" s="28" t="n"/>
      <c r="E23" s="28" t="n"/>
      <c r="F23" s="26" t="n"/>
    </row>
    <row r="24">
      <c r="A24" s="23" t="n"/>
      <c r="B24" s="23" t="n"/>
      <c r="C24" s="23" t="n"/>
      <c r="D24" s="23" t="n"/>
      <c r="E24" s="23" t="n"/>
      <c r="F24" s="21" t="n"/>
    </row>
    <row r="25">
      <c r="A25" s="28" t="n"/>
      <c r="B25" s="28" t="n"/>
      <c r="C25" s="28" t="n"/>
      <c r="D25" s="28" t="n"/>
      <c r="E25" s="28" t="n"/>
      <c r="F25" s="26" t="n"/>
    </row>
    <row r="26">
      <c r="A26" s="23" t="n"/>
      <c r="B26" s="23" t="n"/>
      <c r="C26" s="23" t="n"/>
      <c r="D26" s="23" t="n"/>
      <c r="E26" s="23" t="n"/>
      <c r="F26" s="21" t="n"/>
    </row>
    <row r="27">
      <c r="A27" s="28" t="n"/>
      <c r="B27" s="28" t="n"/>
      <c r="C27" s="28" t="n"/>
      <c r="D27" s="28" t="n"/>
      <c r="E27" s="28" t="n"/>
      <c r="F27" s="26" t="n"/>
    </row>
    <row r="28">
      <c r="A28" s="23" t="n"/>
      <c r="B28" s="23" t="n"/>
      <c r="C28" s="23" t="n"/>
      <c r="D28" s="23" t="n"/>
      <c r="E28" s="23" t="n"/>
      <c r="F28" s="21" t="n"/>
    </row>
    <row r="29">
      <c r="A29" s="28" t="n"/>
      <c r="B29" s="28" t="n"/>
      <c r="C29" s="28" t="n"/>
      <c r="D29" s="28" t="n"/>
      <c r="E29" s="28" t="n"/>
      <c r="F29" s="26" t="n"/>
    </row>
    <row r="30">
      <c r="A30" s="23" t="n"/>
      <c r="B30" s="23" t="n"/>
      <c r="C30" s="23" t="n"/>
      <c r="D30" s="23" t="n"/>
      <c r="E30" s="23" t="n"/>
      <c r="F30" s="21" t="n"/>
    </row>
    <row r="31">
      <c r="A31" s="28" t="n"/>
      <c r="B31" s="28" t="n"/>
      <c r="C31" s="28" t="n"/>
      <c r="D31" s="28" t="n"/>
      <c r="E31" s="28" t="n"/>
      <c r="F31" s="26" t="n"/>
    </row>
    <row r="32">
      <c r="A32" s="23" t="n"/>
      <c r="B32" s="23" t="n"/>
      <c r="C32" s="23" t="n"/>
      <c r="D32" s="23" t="n"/>
      <c r="E32" s="23" t="n"/>
      <c r="F32" s="21" t="n"/>
    </row>
    <row r="33">
      <c r="A33" s="28" t="n"/>
      <c r="B33" s="28" t="n"/>
      <c r="C33" s="28" t="n"/>
      <c r="D33" s="28" t="n"/>
      <c r="E33" s="28" t="n"/>
      <c r="F33" s="26" t="n"/>
    </row>
    <row r="34">
      <c r="A34" s="23" t="n"/>
      <c r="B34" s="23" t="n"/>
      <c r="C34" s="23" t="n"/>
      <c r="D34" s="23" t="n"/>
      <c r="E34" s="23" t="n"/>
      <c r="F34" s="21" t="n"/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🖼  PORTFOLIO &amp; WORK SAMPLES</t>
        </is>
      </c>
    </row>
    <row r="2" ht="22" customHeight="1">
      <c r="A2" s="2" t="inlineStr">
        <is>
          <t xml:space="preserve">  Save a few samples per subject — your proof of a year well taught.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SAMPLES</t>
        </is>
      </c>
    </row>
    <row r="6" ht="26" customHeight="1">
      <c r="B6" s="39" t="inlineStr">
        <is>
          <t>Google Sheets: click a box, Insert ▸ Image ▸ Image in cell, or paste =IMAGE("link"). Excel: Insert ▸ Pictures ▸ Place in Cell. Snap a photo of a great worksheet, art project or writing sample and caption it — subject, date &amp; what it shows. A few per subject is plenty.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40" t="inlineStr">
        <is>
          <t>🖼
Writing Sample
(add sample)</t>
        </is>
      </c>
      <c r="C9" s="40" t="inlineStr">
        <is>
          <t>🖼
Math Work
(add sample)</t>
        </is>
      </c>
      <c r="D9" s="40" t="inlineStr">
        <is>
          <t>🖼
Art Project
(add sample)</t>
        </is>
      </c>
    </row>
    <row r="10"/>
    <row r="11"/>
    <row r="12"/>
    <row r="13" ht="30" customHeight="1">
      <c r="B13" s="41" t="inlineStr">
        <is>
          <t>Student · subject · date…</t>
        </is>
      </c>
      <c r="C13" s="41" t="inlineStr">
        <is>
          <t>Student · subject · date…</t>
        </is>
      </c>
      <c r="D13" s="41" t="inlineStr">
        <is>
          <t>Student · subject · date…</t>
        </is>
      </c>
    </row>
    <row r="15" ht="120" customHeight="1">
      <c r="B15" s="40" t="inlineStr">
        <is>
          <t>🖼
Science / Nature
(add sample)</t>
        </is>
      </c>
      <c r="C15" s="40" t="inlineStr">
        <is>
          <t>🖼
History Project
(add sample)</t>
        </is>
      </c>
      <c r="D15" s="40" t="inlineStr">
        <is>
          <t>🖼
Reading Milestone
(add sample)</t>
        </is>
      </c>
    </row>
    <row r="16"/>
    <row r="17"/>
    <row r="18"/>
    <row r="19" ht="30" customHeight="1">
      <c r="B19" s="41" t="inlineStr">
        <is>
          <t>Student · subject · date…</t>
        </is>
      </c>
      <c r="C19" s="41" t="inlineStr">
        <is>
          <t>Student · subject · date…</t>
        </is>
      </c>
      <c r="D19" s="41" t="inlineStr">
        <is>
          <t>Student · subject · date…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💰  HOMESCHOOL BUDGET</t>
        </is>
      </c>
    </row>
    <row r="2" ht="22" customHeight="1">
      <c r="A2" s="2" t="inlineStr">
        <is>
          <t xml:space="preserve">  Curriculum, books, co-op &amp; trips — planned vs actual, so there are no surprises.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Planned</t>
        </is>
      </c>
      <c r="D4" s="9" t="inlineStr">
        <is>
          <t>Actual</t>
        </is>
      </c>
      <c r="E4" s="9" t="inlineStr">
        <is>
          <t>Remaining</t>
        </is>
      </c>
    </row>
    <row r="5">
      <c r="B5" s="18" t="inlineStr">
        <is>
          <t>Curriculum</t>
        </is>
      </c>
      <c r="C5" s="42" t="n">
        <v>900</v>
      </c>
      <c r="D5" s="43">
        <f>CurricSpent</f>
        <v/>
      </c>
      <c r="E5" s="44">
        <f>C5-D5</f>
        <v/>
      </c>
    </row>
    <row r="6">
      <c r="B6" s="21" t="inlineStr">
        <is>
          <t>Books &amp; Library</t>
        </is>
      </c>
      <c r="C6" s="45" t="n">
        <v>120</v>
      </c>
      <c r="D6" s="45" t="n">
        <v>96</v>
      </c>
      <c r="E6" s="46">
        <f>C6-D6</f>
        <v/>
      </c>
    </row>
    <row r="7">
      <c r="B7" s="18" t="inlineStr">
        <is>
          <t>Art &amp; Science Supplies</t>
        </is>
      </c>
      <c r="C7" s="42" t="n">
        <v>150</v>
      </c>
      <c r="D7" s="42" t="n">
        <v>128</v>
      </c>
      <c r="E7" s="44">
        <f>C7-D7</f>
        <v/>
      </c>
    </row>
    <row r="8">
      <c r="B8" s="21" t="inlineStr">
        <is>
          <t>Co-op Fees</t>
        </is>
      </c>
      <c r="C8" s="45" t="n">
        <v>220</v>
      </c>
      <c r="D8" s="45" t="n">
        <v>210</v>
      </c>
      <c r="E8" s="46">
        <f>C8-D8</f>
        <v/>
      </c>
    </row>
    <row r="9">
      <c r="B9" s="18" t="inlineStr">
        <is>
          <t>Lessons (music/sport)</t>
        </is>
      </c>
      <c r="C9" s="42" t="n">
        <v>300</v>
      </c>
      <c r="D9" s="42" t="n">
        <v>285</v>
      </c>
      <c r="E9" s="44">
        <f>C9-D9</f>
        <v/>
      </c>
    </row>
    <row r="10">
      <c r="B10" s="21" t="inlineStr">
        <is>
          <t>Field Trips</t>
        </is>
      </c>
      <c r="C10" s="45" t="n">
        <v>120</v>
      </c>
      <c r="D10" s="45" t="n">
        <v>72</v>
      </c>
      <c r="E10" s="46">
        <f>C10-D10</f>
        <v/>
      </c>
    </row>
    <row r="11">
      <c r="B11" s="18" t="inlineStr">
        <is>
          <t>Technology / Printing</t>
        </is>
      </c>
      <c r="C11" s="42" t="n">
        <v>150</v>
      </c>
      <c r="D11" s="42" t="n">
        <v>84</v>
      </c>
      <c r="E11" s="44">
        <f>C11-D11</f>
        <v/>
      </c>
    </row>
    <row r="12">
      <c r="B12" s="21" t="inlineStr">
        <is>
          <t>Standardized Testing</t>
        </is>
      </c>
      <c r="C12" s="45" t="n">
        <v>60</v>
      </c>
      <c r="D12" s="45" t="n">
        <v>0</v>
      </c>
      <c r="E12" s="46">
        <f>C12-D12</f>
        <v/>
      </c>
    </row>
    <row r="13">
      <c r="B13" s="18" t="inlineStr">
        <is>
          <t>Misc</t>
        </is>
      </c>
      <c r="C13" s="42" t="n">
        <v>80</v>
      </c>
      <c r="D13" s="42" t="n">
        <v>45</v>
      </c>
      <c r="E13" s="44">
        <f>C13-D13</f>
        <v/>
      </c>
    </row>
    <row r="14">
      <c r="B14" s="9" t="inlineStr">
        <is>
          <t>TOTAL</t>
        </is>
      </c>
      <c r="C14" s="32">
        <f>SUM(C5:C13)</f>
        <v/>
      </c>
      <c r="D14" s="32">
        <f>SUM(D5:D13)</f>
        <v/>
      </c>
      <c r="E14" s="32">
        <f>SUM(E5:E13)</f>
        <v/>
      </c>
    </row>
    <row r="15">
      <c r="B15" s="4" t="inlineStr">
        <is>
          <t>THE BOTTOM LINE</t>
        </is>
      </c>
    </row>
    <row r="16">
      <c r="B16" s="24" t="inlineStr">
        <is>
          <t>Total budget</t>
        </is>
      </c>
      <c r="C16" s="43">
        <f>BudgetPlanTotal</f>
        <v/>
      </c>
    </row>
    <row r="17">
      <c r="B17" s="24" t="inlineStr">
        <is>
          <t>Spent so far</t>
        </is>
      </c>
      <c r="C17" s="43">
        <f>BudgetSpent</f>
        <v/>
      </c>
    </row>
    <row r="18">
      <c r="B18" s="24" t="inlineStr">
        <is>
          <t>Remaining</t>
        </is>
      </c>
      <c r="C18" s="47">
        <f>BudgetPlanTotal-BudgetSpent</f>
        <v/>
      </c>
    </row>
    <row r="19">
      <c r="B19" s="24" t="inlineStr">
        <is>
          <t>Per student (avg)</t>
        </is>
      </c>
      <c r="C19" s="47">
        <f>IFERROR(BudgetSpent/Students,0)</f>
        <v/>
      </c>
    </row>
  </sheetData>
  <mergeCells count="3">
    <mergeCell ref="A2:E2"/>
    <mergeCell ref="B15:E15"/>
    <mergeCell ref="A1:E1"/>
  </mergeCells>
  <conditionalFormatting sqref="D5:D13">
    <cfRule type="dataBar" priority="1">
      <dataBar showValue="1">
        <cfvo type="num" val="0"/>
        <cfvo type="num" val="900"/>
        <color rgb="001B4F48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🎯  GOALS &amp; MILESTONES</t>
        </is>
      </c>
    </row>
    <row r="2" ht="22" customHeight="1">
      <c r="A2" s="2" t="inlineStr">
        <is>
          <t xml:space="preserve">  The wins that matter — one meaningful goal per child, plus family goals.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Goal</t>
        </is>
      </c>
      <c r="C4" s="9" t="inlineStr">
        <is>
          <t>Student</t>
        </is>
      </c>
      <c r="D4" s="9" t="inlineStr">
        <is>
          <t>Progress</t>
        </is>
      </c>
    </row>
    <row r="5">
      <c r="B5" s="18" t="inlineStr">
        <is>
          <t>Read 60 books this year</t>
        </is>
      </c>
      <c r="C5" s="20" t="inlineStr">
        <is>
          <t>Ella</t>
        </is>
      </c>
      <c r="D5" s="48" t="n">
        <v>0.9</v>
      </c>
    </row>
    <row r="6">
      <c r="B6" s="21" t="inlineStr">
        <is>
          <t>Master multiplication facts</t>
        </is>
      </c>
      <c r="C6" s="23" t="inlineStr">
        <is>
          <t>Grace</t>
        </is>
      </c>
      <c r="D6" s="49" t="n">
        <v>0.8</v>
      </c>
    </row>
    <row r="7">
      <c r="B7" s="18" t="inlineStr">
        <is>
          <t>Finish Story of the World Vol. 1</t>
        </is>
      </c>
      <c r="C7" s="20" t="inlineStr">
        <is>
          <t>All</t>
        </is>
      </c>
      <c r="D7" s="48" t="n">
        <v>0.75</v>
      </c>
    </row>
    <row r="8">
      <c r="B8" s="21" t="inlineStr">
        <is>
          <t>Learn to read (CVC words)</t>
        </is>
      </c>
      <c r="C8" s="23" t="inlineStr">
        <is>
          <t>Sam</t>
        </is>
      </c>
      <c r="D8" s="49" t="n">
        <v>0.7</v>
      </c>
    </row>
    <row r="9">
      <c r="B9" s="18" t="inlineStr">
        <is>
          <t>Spanish: 100 words</t>
        </is>
      </c>
      <c r="C9" s="20" t="inlineStr">
        <is>
          <t>Ella/Noah</t>
        </is>
      </c>
      <c r="D9" s="48" t="n">
        <v>0.6</v>
      </c>
    </row>
    <row r="10">
      <c r="B10" s="21" t="inlineStr">
        <is>
          <t>Complete science fair project</t>
        </is>
      </c>
      <c r="C10" s="23" t="inlineStr">
        <is>
          <t>Noah</t>
        </is>
      </c>
      <c r="D10" s="49" t="n">
        <v>0.57</v>
      </c>
    </row>
  </sheetData>
  <mergeCells count="2">
    <mergeCell ref="A1:D1"/>
    <mergeCell ref="A2:D2"/>
  </mergeCells>
  <conditionalFormatting sqref="D5:D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2" customWidth="1" min="8" max="8"/>
  </cols>
  <sheetData>
    <row r="1" ht="46" customHeight="1">
      <c r="A1" s="1" t="inlineStr">
        <is>
          <t xml:space="preserve">  🎓  REPORT CARD / TRANSCRIPT</t>
        </is>
      </c>
    </row>
    <row r="2" ht="22" customHeight="1">
      <c r="A2" s="2" t="inlineStr">
        <is>
          <t xml:space="preserve">  A clean term-by-term record per student — print-ready for your files or high school.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Student — Subject</t>
        </is>
      </c>
      <c r="C4" s="9" t="inlineStr">
        <is>
          <t>T1</t>
        </is>
      </c>
      <c r="D4" s="9" t="inlineStr">
        <is>
          <t>T2</t>
        </is>
      </c>
      <c r="E4" s="9" t="inlineStr">
        <is>
          <t>T3</t>
        </is>
      </c>
      <c r="F4" s="9" t="inlineStr">
        <is>
          <t>T4</t>
        </is>
      </c>
      <c r="G4" s="9" t="inlineStr">
        <is>
          <t>Final</t>
        </is>
      </c>
    </row>
    <row r="5">
      <c r="B5" s="18" t="inlineStr">
        <is>
          <t>Ella — Math</t>
        </is>
      </c>
      <c r="C5" s="50" t="inlineStr">
        <is>
          <t>A-</t>
        </is>
      </c>
      <c r="D5" s="50" t="inlineStr"/>
      <c r="E5" s="50" t="inlineStr"/>
      <c r="F5" s="50" t="inlineStr"/>
      <c r="G5" s="50" t="inlineStr"/>
    </row>
    <row r="6">
      <c r="B6" s="21" t="inlineStr">
        <is>
          <t>Ella — Language Arts</t>
        </is>
      </c>
      <c r="C6" s="51" t="inlineStr">
        <is>
          <t>A</t>
        </is>
      </c>
      <c r="D6" s="51" t="inlineStr"/>
      <c r="E6" s="51" t="inlineStr"/>
      <c r="F6" s="51" t="inlineStr"/>
      <c r="G6" s="51" t="inlineStr"/>
    </row>
    <row r="7">
      <c r="B7" s="18" t="inlineStr">
        <is>
          <t>Ella — Science</t>
        </is>
      </c>
      <c r="C7" s="50" t="inlineStr">
        <is>
          <t>A-</t>
        </is>
      </c>
      <c r="D7" s="50" t="inlineStr"/>
      <c r="E7" s="50" t="inlineStr"/>
      <c r="F7" s="50" t="inlineStr"/>
      <c r="G7" s="50" t="inlineStr"/>
    </row>
    <row r="8">
      <c r="B8" s="21" t="inlineStr">
        <is>
          <t>Ella — History</t>
        </is>
      </c>
      <c r="C8" s="51" t="inlineStr">
        <is>
          <t>A</t>
        </is>
      </c>
      <c r="D8" s="51" t="inlineStr"/>
      <c r="E8" s="51" t="inlineStr"/>
      <c r="F8" s="51" t="inlineStr"/>
      <c r="G8" s="51" t="inlineStr"/>
    </row>
    <row r="9">
      <c r="B9" s="18" t="inlineStr">
        <is>
          <t>Noah — Math</t>
        </is>
      </c>
      <c r="C9" s="50" t="inlineStr">
        <is>
          <t>B+</t>
        </is>
      </c>
      <c r="D9" s="50" t="inlineStr"/>
      <c r="E9" s="50" t="inlineStr"/>
      <c r="F9" s="50" t="inlineStr"/>
      <c r="G9" s="50" t="inlineStr"/>
    </row>
    <row r="10">
      <c r="B10" s="21" t="inlineStr">
        <is>
          <t>Noah — Language Arts</t>
        </is>
      </c>
      <c r="C10" s="51" t="inlineStr">
        <is>
          <t>B</t>
        </is>
      </c>
      <c r="D10" s="51" t="inlineStr"/>
      <c r="E10" s="51" t="inlineStr"/>
      <c r="F10" s="51" t="inlineStr"/>
      <c r="G10" s="51" t="inlineStr"/>
    </row>
    <row r="11">
      <c r="B11" s="18" t="inlineStr">
        <is>
          <t>Grace — Reading</t>
        </is>
      </c>
      <c r="C11" s="50" t="inlineStr">
        <is>
          <t>S+</t>
        </is>
      </c>
      <c r="D11" s="50" t="inlineStr"/>
      <c r="E11" s="50" t="inlineStr"/>
      <c r="F11" s="50" t="inlineStr"/>
      <c r="G11" s="50" t="inlineStr"/>
    </row>
    <row r="12">
      <c r="B12" s="21" t="inlineStr">
        <is>
          <t>Grace — Math</t>
        </is>
      </c>
      <c r="C12" s="51" t="inlineStr">
        <is>
          <t>S</t>
        </is>
      </c>
      <c r="D12" s="51" t="inlineStr"/>
      <c r="E12" s="51" t="inlineStr"/>
      <c r="F12" s="51" t="inlineStr"/>
      <c r="G12" s="51" t="inlineStr"/>
    </row>
    <row r="13">
      <c r="B13" s="18" t="inlineStr">
        <is>
          <t>Sam — Readiness</t>
        </is>
      </c>
      <c r="C13" s="50" t="inlineStr">
        <is>
          <t>S</t>
        </is>
      </c>
      <c r="D13" s="50" t="inlineStr"/>
      <c r="E13" s="50" t="inlineStr"/>
      <c r="F13" s="50" t="inlineStr"/>
      <c r="G13" s="50" t="inlineStr"/>
    </row>
    <row r="16" ht="22" customHeight="1">
      <c r="B16" s="4" t="inlineStr">
        <is>
          <t>GRADING KEY</t>
        </is>
      </c>
    </row>
    <row r="17">
      <c r="B17" s="24" t="inlineStr">
        <is>
          <t>A / 90–100</t>
        </is>
      </c>
      <c r="C17" s="25" t="inlineStr">
        <is>
          <t>Excellent</t>
        </is>
      </c>
    </row>
    <row r="18">
      <c r="B18" s="24" t="inlineStr">
        <is>
          <t>B / 80–89</t>
        </is>
      </c>
      <c r="C18" s="25" t="inlineStr">
        <is>
          <t>Good</t>
        </is>
      </c>
    </row>
    <row r="19">
      <c r="B19" s="24" t="inlineStr">
        <is>
          <t>S / S+</t>
        </is>
      </c>
      <c r="C19" s="25" t="inlineStr">
        <is>
          <t>Satisfactory (younger)</t>
        </is>
      </c>
    </row>
    <row r="20">
      <c r="B20" s="24" t="inlineStr">
        <is>
          <t>I</t>
        </is>
      </c>
      <c r="C20" s="25" t="inlineStr">
        <is>
          <t>In progress</t>
        </is>
      </c>
    </row>
    <row r="21">
      <c r="B21" s="24" t="inlineStr">
        <is>
          <t>Credits</t>
        </is>
      </c>
      <c r="C21" s="25" t="inlineStr">
        <is>
          <t>0.5 per semester (HS)</t>
        </is>
      </c>
    </row>
  </sheetData>
  <mergeCells count="3">
    <mergeCell ref="B16:F16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 ht="46" customHeight="1">
      <c r="A1" s="1" t="inlineStr">
        <is>
          <t xml:space="preserve">  🗂  RECORDS &amp; COMPLIANCE</t>
        </is>
      </c>
    </row>
    <row r="2" ht="22" customHeight="1">
      <c r="A2" s="2" t="inlineStr">
        <is>
          <t xml:space="preserve">  The paperwork trail — check off what your state asks for. Confirm your own state's rules.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Requirement / Record</t>
        </is>
      </c>
      <c r="B4" s="9" t="inlineStr">
        <is>
          <t>Done?</t>
        </is>
      </c>
      <c r="C4" s="9" t="inlineStr">
        <is>
          <t>Link / Location</t>
        </is>
      </c>
    </row>
    <row r="5">
      <c r="A5" s="26" t="inlineStr">
        <is>
          <t>Letter of intent filed</t>
        </is>
      </c>
      <c r="B5" s="28" t="inlineStr">
        <is>
          <t>Yes</t>
        </is>
      </c>
      <c r="C5" s="26" t="inlineStr">
        <is>
          <t>—</t>
        </is>
      </c>
    </row>
    <row r="6">
      <c r="A6" s="21" t="inlineStr">
        <is>
          <t>Immunization / exemption on file</t>
        </is>
      </c>
      <c r="B6" s="23" t="inlineStr">
        <is>
          <t>Yes</t>
        </is>
      </c>
      <c r="C6" s="21" t="inlineStr">
        <is>
          <t>—</t>
        </is>
      </c>
    </row>
    <row r="7">
      <c r="A7" s="26" t="inlineStr">
        <is>
          <t>Attendance log current</t>
        </is>
      </c>
      <c r="B7" s="28" t="inlineStr">
        <is>
          <t>Yes</t>
        </is>
      </c>
      <c r="C7" s="26" t="inlineStr">
        <is>
          <t>—</t>
        </is>
      </c>
    </row>
    <row r="8">
      <c r="A8" s="21" t="inlineStr">
        <is>
          <t>Portfolio started</t>
        </is>
      </c>
      <c r="B8" s="23" t="inlineStr">
        <is>
          <t>Yes</t>
        </is>
      </c>
      <c r="C8" s="21" t="inlineStr">
        <is>
          <t>—</t>
        </is>
      </c>
    </row>
    <row r="9">
      <c r="A9" s="26" t="inlineStr">
        <is>
          <t>Standardized test scheduled</t>
        </is>
      </c>
      <c r="B9" s="28" t="inlineStr">
        <is>
          <t>No</t>
        </is>
      </c>
      <c r="C9" s="26" t="inlineStr">
        <is>
          <t>—</t>
        </is>
      </c>
    </row>
    <row r="10">
      <c r="A10" s="21" t="inlineStr">
        <is>
          <t>Curriculum plan documented</t>
        </is>
      </c>
      <c r="B10" s="23" t="inlineStr">
        <is>
          <t>Yes</t>
        </is>
      </c>
      <c r="C10" s="21" t="inlineStr">
        <is>
          <t>—</t>
        </is>
      </c>
    </row>
    <row r="11">
      <c r="A11" s="26" t="inlineStr">
        <is>
          <t>Samples saved (each subject)</t>
        </is>
      </c>
      <c r="B11" s="28" t="inlineStr">
        <is>
          <t>Yes</t>
        </is>
      </c>
      <c r="C11" s="26" t="inlineStr">
        <is>
          <t>—</t>
        </is>
      </c>
    </row>
    <row r="12">
      <c r="A12" s="21" t="inlineStr">
        <is>
          <t>Report cards / transcript updated</t>
        </is>
      </c>
      <c r="B12" s="23" t="inlineStr">
        <is>
          <t>Yes</t>
        </is>
      </c>
      <c r="C12" s="21" t="inlineStr">
        <is>
          <t>—</t>
        </is>
      </c>
    </row>
    <row r="13">
      <c r="A13" s="26" t="inlineStr">
        <is>
          <t>Umbrella / evaluator contact</t>
        </is>
      </c>
      <c r="B13" s="28" t="inlineStr">
        <is>
          <t>Yes</t>
        </is>
      </c>
      <c r="C13" s="26" t="inlineStr">
        <is>
          <t>—</t>
        </is>
      </c>
    </row>
    <row r="14">
      <c r="A14" s="21" t="inlineStr">
        <is>
          <t>End-of-year evaluation booked</t>
        </is>
      </c>
      <c r="B14" s="23" t="inlineStr">
        <is>
          <t>No</t>
        </is>
      </c>
      <c r="C14" s="21" t="inlineStr">
        <is>
          <t>—</t>
        </is>
      </c>
    </row>
    <row r="15">
      <c r="A15" s="26" t="n"/>
      <c r="B15" s="28" t="n"/>
      <c r="C15" s="26" t="n"/>
    </row>
    <row r="16">
      <c r="A16" s="21" t="n"/>
      <c r="B16" s="23" t="n"/>
      <c r="C16" s="21" t="n"/>
    </row>
    <row r="17">
      <c r="A17" s="26" t="n"/>
      <c r="B17" s="28" t="n"/>
      <c r="C17" s="26" t="n"/>
    </row>
    <row r="18">
      <c r="A18" s="21" t="n"/>
      <c r="B18" s="23" t="n"/>
      <c r="C18" s="21" t="n"/>
    </row>
    <row r="19">
      <c r="A19" s="26" t="n"/>
      <c r="B19" s="28" t="n"/>
      <c r="C19" s="26" t="n"/>
    </row>
    <row r="20">
      <c r="A20" s="21" t="n"/>
      <c r="B20" s="23" t="n"/>
      <c r="C20" s="21" t="n"/>
    </row>
    <row r="21">
      <c r="A21" s="26" t="n"/>
      <c r="B21" s="28" t="n"/>
      <c r="C21" s="26" t="n"/>
    </row>
    <row r="22">
      <c r="A22" s="21" t="n"/>
      <c r="B22" s="23" t="n"/>
      <c r="C22" s="21" t="n"/>
    </row>
    <row r="23">
      <c r="A23" s="26" t="n"/>
      <c r="B23" s="28" t="n"/>
      <c r="C23" s="26" t="n"/>
    </row>
    <row r="24">
      <c r="A24" s="21" t="n"/>
      <c r="B24" s="23" t="n"/>
      <c r="C24" s="21" t="n"/>
    </row>
    <row r="25">
      <c r="A25" s="26" t="n"/>
      <c r="B25" s="28" t="n"/>
      <c r="C25" s="26" t="n"/>
    </row>
    <row r="26">
      <c r="A26" s="21" t="n"/>
      <c r="B26" s="23" t="n"/>
      <c r="C26" s="21" t="n"/>
    </row>
    <row r="27">
      <c r="A27" s="26" t="n"/>
      <c r="B27" s="28" t="n"/>
      <c r="C27" s="26" t="n"/>
    </row>
    <row r="28">
      <c r="A28" s="21" t="n"/>
      <c r="B28" s="23" t="n"/>
      <c r="C28" s="21" t="n"/>
    </row>
  </sheetData>
  <mergeCells count="2">
    <mergeCell ref="A1:C1"/>
    <mergeCell ref="A2:C2"/>
  </mergeCells>
  <conditionalFormatting sqref="B5:B28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B5:B28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2" customWidth="1" min="4" max="4"/>
    <col width="22" customWidth="1" min="5" max="5"/>
  </cols>
  <sheetData>
    <row r="1" ht="46" customHeight="1">
      <c r="A1" s="1" t="inlineStr">
        <is>
          <t xml:space="preserve">  📚  BOOK LIST &amp; WISH LIST</t>
        </is>
      </c>
    </row>
    <row r="2" ht="22" customHeight="1">
      <c r="A2" s="2" t="inlineStr">
        <is>
          <t xml:space="preserve">  The year's reading &amp; the wish list — what to borrow, buy or save for later.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Title</t>
        </is>
      </c>
      <c r="B4" s="9" t="inlineStr">
        <is>
          <t>Author</t>
        </is>
      </c>
      <c r="C4" s="9" t="inlineStr">
        <is>
          <t>For</t>
        </is>
      </c>
      <c r="D4" s="9" t="inlineStr">
        <is>
          <t>Status</t>
        </is>
      </c>
      <c r="E4" s="9" t="inlineStr">
        <is>
          <t>Notes</t>
        </is>
      </c>
    </row>
    <row r="5">
      <c r="A5" s="26" t="inlineStr">
        <is>
          <t>The Chronicles of Narnia</t>
        </is>
      </c>
      <c r="B5" s="28" t="inlineStr">
        <is>
          <t>C.S. Lewis</t>
        </is>
      </c>
      <c r="C5" s="28" t="inlineStr">
        <is>
          <t>Read-aloud</t>
        </is>
      </c>
      <c r="D5" s="28" t="inlineStr">
        <is>
          <t>Have</t>
        </is>
      </c>
      <c r="E5" s="26" t="inlineStr">
        <is>
          <t>Family favorite</t>
        </is>
      </c>
    </row>
    <row r="6">
      <c r="A6" s="21" t="inlineStr">
        <is>
          <t>D'Aulaires' Greek Myths</t>
        </is>
      </c>
      <c r="B6" s="23" t="inlineStr">
        <is>
          <t>D'Aulaire</t>
        </is>
      </c>
      <c r="C6" s="23" t="inlineStr">
        <is>
          <t>History</t>
        </is>
      </c>
      <c r="D6" s="23" t="inlineStr">
        <is>
          <t>Have</t>
        </is>
      </c>
      <c r="E6" s="21" t="inlineStr">
        <is>
          <t>Pairs with Ancients</t>
        </is>
      </c>
    </row>
    <row r="7">
      <c r="A7" s="26" t="inlineStr">
        <is>
          <t>The Wingfeather Saga</t>
        </is>
      </c>
      <c r="B7" s="28" t="inlineStr">
        <is>
          <t>Peterson</t>
        </is>
      </c>
      <c r="C7" s="28" t="inlineStr">
        <is>
          <t>Noah</t>
        </is>
      </c>
      <c r="D7" s="28" t="inlineStr">
        <is>
          <t>Have</t>
        </is>
      </c>
      <c r="E7" s="26" t="inlineStr">
        <is>
          <t>Noah loves it</t>
        </is>
      </c>
    </row>
    <row r="8">
      <c r="A8" s="21" t="inlineStr">
        <is>
          <t>Little House series</t>
        </is>
      </c>
      <c r="B8" s="23" t="inlineStr">
        <is>
          <t>Wilder</t>
        </is>
      </c>
      <c r="C8" s="23" t="inlineStr">
        <is>
          <t>Grace</t>
        </is>
      </c>
      <c r="D8" s="23" t="inlineStr">
        <is>
          <t>Have</t>
        </is>
      </c>
      <c r="E8" s="21" t="inlineStr">
        <is>
          <t>History + read-aloud</t>
        </is>
      </c>
    </row>
    <row r="9">
      <c r="A9" s="26" t="inlineStr">
        <is>
          <t>The Bronze Bow</t>
        </is>
      </c>
      <c r="B9" s="28" t="inlineStr">
        <is>
          <t>Speare</t>
        </is>
      </c>
      <c r="C9" s="28" t="inlineStr">
        <is>
          <t>Ella</t>
        </is>
      </c>
      <c r="D9" s="28" t="inlineStr">
        <is>
          <t>Have</t>
        </is>
      </c>
      <c r="E9" s="26" t="inlineStr">
        <is>
          <t>Newbery</t>
        </is>
      </c>
    </row>
    <row r="10">
      <c r="A10" s="21" t="inlineStr">
        <is>
          <t>Handbook of Nature Study</t>
        </is>
      </c>
      <c r="B10" s="23" t="inlineStr">
        <is>
          <t>Comstock</t>
        </is>
      </c>
      <c r="C10" s="23" t="inlineStr">
        <is>
          <t>Reference</t>
        </is>
      </c>
      <c r="D10" s="23" t="inlineStr">
        <is>
          <t>Have</t>
        </is>
      </c>
      <c r="E10" s="21" t="inlineStr">
        <is>
          <t>Charlotte Mason staple</t>
        </is>
      </c>
    </row>
    <row r="11">
      <c r="A11" s="26" t="inlineStr">
        <is>
          <t>Poetry for Young People</t>
        </is>
      </c>
      <c r="B11" s="28" t="inlineStr">
        <is>
          <t>various</t>
        </is>
      </c>
      <c r="C11" s="28" t="inlineStr">
        <is>
          <t>Language Arts</t>
        </is>
      </c>
      <c r="D11" s="28" t="inlineStr">
        <is>
          <t>Need</t>
        </is>
      </c>
      <c r="E11" s="26" t="inlineStr">
        <is>
          <t>For poetry unit</t>
        </is>
      </c>
    </row>
    <row r="12">
      <c r="A12" s="21" t="inlineStr">
        <is>
          <t>Life of Fred</t>
        </is>
      </c>
      <c r="B12" s="23" t="inlineStr">
        <is>
          <t>Schmidt</t>
        </is>
      </c>
      <c r="C12" s="23" t="inlineStr">
        <is>
          <t>Math (fun)</t>
        </is>
      </c>
      <c r="D12" s="23" t="inlineStr">
        <is>
          <t>Need</t>
        </is>
      </c>
      <c r="E12" s="21" t="inlineStr">
        <is>
          <t>Requested by kids</t>
        </is>
      </c>
    </row>
    <row r="13">
      <c r="A13" s="26" t="n"/>
      <c r="B13" s="28" t="n"/>
      <c r="C13" s="28" t="n"/>
      <c r="D13" s="28" t="n"/>
      <c r="E13" s="26" t="n"/>
    </row>
    <row r="14">
      <c r="A14" s="21" t="n"/>
      <c r="B14" s="23" t="n"/>
      <c r="C14" s="23" t="n"/>
      <c r="D14" s="23" t="n"/>
      <c r="E14" s="21" t="n"/>
    </row>
    <row r="15">
      <c r="A15" s="26" t="n"/>
      <c r="B15" s="28" t="n"/>
      <c r="C15" s="28" t="n"/>
      <c r="D15" s="28" t="n"/>
      <c r="E15" s="26" t="n"/>
    </row>
    <row r="16">
      <c r="A16" s="21" t="n"/>
      <c r="B16" s="23" t="n"/>
      <c r="C16" s="23" t="n"/>
      <c r="D16" s="23" t="n"/>
      <c r="E16" s="21" t="n"/>
    </row>
    <row r="17">
      <c r="A17" s="26" t="n"/>
      <c r="B17" s="28" t="n"/>
      <c r="C17" s="28" t="n"/>
      <c r="D17" s="28" t="n"/>
      <c r="E17" s="26" t="n"/>
    </row>
    <row r="18">
      <c r="A18" s="21" t="n"/>
      <c r="B18" s="23" t="n"/>
      <c r="C18" s="23" t="n"/>
      <c r="D18" s="23" t="n"/>
      <c r="E18" s="21" t="n"/>
    </row>
    <row r="19">
      <c r="A19" s="26" t="n"/>
      <c r="B19" s="28" t="n"/>
      <c r="C19" s="28" t="n"/>
      <c r="D19" s="28" t="n"/>
      <c r="E19" s="26" t="n"/>
    </row>
    <row r="20">
      <c r="A20" s="21" t="n"/>
      <c r="B20" s="23" t="n"/>
      <c r="C20" s="23" t="n"/>
      <c r="D20" s="23" t="n"/>
      <c r="E20" s="21" t="n"/>
    </row>
    <row r="21">
      <c r="A21" s="26" t="n"/>
      <c r="B21" s="28" t="n"/>
      <c r="C21" s="28" t="n"/>
      <c r="D21" s="28" t="n"/>
      <c r="E21" s="26" t="n"/>
    </row>
    <row r="22">
      <c r="A22" s="21" t="n"/>
      <c r="B22" s="23" t="n"/>
      <c r="C22" s="23" t="n"/>
      <c r="D22" s="23" t="n"/>
      <c r="E22" s="21" t="n"/>
    </row>
    <row r="23">
      <c r="A23" s="26" t="n"/>
      <c r="B23" s="28" t="n"/>
      <c r="C23" s="28" t="n"/>
      <c r="D23" s="28" t="n"/>
      <c r="E23" s="26" t="n"/>
    </row>
    <row r="24">
      <c r="A24" s="21" t="n"/>
      <c r="B24" s="23" t="n"/>
      <c r="C24" s="23" t="n"/>
      <c r="D24" s="23" t="n"/>
      <c r="E24" s="21" t="n"/>
    </row>
    <row r="25">
      <c r="A25" s="26" t="n"/>
      <c r="B25" s="28" t="n"/>
      <c r="C25" s="28" t="n"/>
      <c r="D25" s="28" t="n"/>
      <c r="E25" s="26" t="n"/>
    </row>
    <row r="26">
      <c r="A26" s="21" t="n"/>
      <c r="B26" s="23" t="n"/>
      <c r="C26" s="23" t="n"/>
      <c r="D26" s="23" t="n"/>
      <c r="E26" s="21" t="n"/>
    </row>
    <row r="27">
      <c r="A27" s="26" t="n"/>
      <c r="B27" s="28" t="n"/>
      <c r="C27" s="28" t="n"/>
      <c r="D27" s="28" t="n"/>
      <c r="E27" s="26" t="n"/>
    </row>
    <row r="28">
      <c r="A28" s="21" t="n"/>
      <c r="B28" s="23" t="n"/>
      <c r="C28" s="23" t="n"/>
      <c r="D28" s="23" t="n"/>
      <c r="E28" s="21" t="n"/>
    </row>
    <row r="29">
      <c r="A29" s="26" t="n"/>
      <c r="B29" s="28" t="n"/>
      <c r="C29" s="28" t="n"/>
      <c r="D29" s="28" t="n"/>
      <c r="E29" s="26" t="n"/>
    </row>
    <row r="30">
      <c r="A30" s="21" t="n"/>
      <c r="B30" s="23" t="n"/>
      <c r="C30" s="23" t="n"/>
      <c r="D30" s="23" t="n"/>
      <c r="E30" s="21" t="n"/>
    </row>
    <row r="31">
      <c r="A31" s="26" t="n"/>
      <c r="B31" s="28" t="n"/>
      <c r="C31" s="28" t="n"/>
      <c r="D31" s="28" t="n"/>
      <c r="E31" s="26" t="n"/>
    </row>
    <row r="32">
      <c r="A32" s="21" t="n"/>
      <c r="B32" s="23" t="n"/>
      <c r="C32" s="23" t="n"/>
      <c r="D32" s="23" t="n"/>
      <c r="E32" s="21" t="n"/>
    </row>
    <row r="33">
      <c r="A33" s="26" t="n"/>
      <c r="B33" s="28" t="n"/>
      <c r="C33" s="28" t="n"/>
      <c r="D33" s="28" t="n"/>
      <c r="E33" s="26" t="n"/>
    </row>
    <row r="34">
      <c r="A34" s="21" t="n"/>
      <c r="B34" s="23" t="n"/>
      <c r="C34" s="23" t="n"/>
      <c r="D34" s="23" t="n"/>
      <c r="E34" s="21" t="n"/>
    </row>
    <row r="35">
      <c r="A35" s="26" t="n"/>
      <c r="B35" s="28" t="n"/>
      <c r="C35" s="28" t="n"/>
      <c r="D35" s="28" t="n"/>
      <c r="E35" s="26" t="n"/>
    </row>
    <row r="36">
      <c r="A36" s="21" t="n"/>
      <c r="B36" s="23" t="n"/>
      <c r="C36" s="23" t="n"/>
      <c r="D36" s="23" t="n"/>
      <c r="E36" s="21" t="n"/>
    </row>
    <row r="37">
      <c r="A37" s="26" t="n"/>
      <c r="B37" s="28" t="n"/>
      <c r="C37" s="28" t="n"/>
      <c r="D37" s="28" t="n"/>
      <c r="E37" s="26" t="n"/>
    </row>
    <row r="38">
      <c r="A38" s="21" t="n"/>
      <c r="B38" s="23" t="n"/>
      <c r="C38" s="23" t="n"/>
      <c r="D38" s="23" t="n"/>
      <c r="E38" s="21" t="n"/>
    </row>
    <row r="39">
      <c r="A39" s="26" t="n"/>
      <c r="B39" s="28" t="n"/>
      <c r="C39" s="28" t="n"/>
      <c r="D39" s="28" t="n"/>
      <c r="E39" s="26" t="n"/>
    </row>
    <row r="40">
      <c r="A40" s="21" t="n"/>
      <c r="B40" s="23" t="n"/>
      <c r="C40" s="23" t="n"/>
      <c r="D40" s="23" t="n"/>
      <c r="E40" s="21" t="n"/>
    </row>
    <row r="41">
      <c r="A41" s="26" t="n"/>
      <c r="B41" s="28" t="n"/>
      <c r="C41" s="28" t="n"/>
      <c r="D41" s="28" t="n"/>
      <c r="E41" s="26" t="n"/>
    </row>
    <row r="42">
      <c r="A42" s="21" t="n"/>
      <c r="B42" s="23" t="n"/>
      <c r="C42" s="23" t="n"/>
      <c r="D42" s="23" t="n"/>
      <c r="E42" s="21" t="n"/>
    </row>
    <row r="43">
      <c r="A43" s="26" t="n"/>
      <c r="B43" s="28" t="n"/>
      <c r="C43" s="28" t="n"/>
      <c r="D43" s="28" t="n"/>
      <c r="E43" s="26" t="n"/>
    </row>
    <row r="44">
      <c r="A44" s="21" t="n"/>
      <c r="B44" s="23" t="n"/>
      <c r="C44" s="23" t="n"/>
      <c r="D44" s="23" t="n"/>
      <c r="E44" s="21" t="n"/>
    </row>
  </sheetData>
  <mergeCells count="2">
    <mergeCell ref="A2:E2"/>
    <mergeCell ref="A1:E1"/>
  </mergeCells>
  <dataValidations count="1">
    <dataValidation sqref="D5:D44" showDropDown="0" showInputMessage="0" showErrorMessage="0" allowBlank="1" type="list">
      <formula1>=AcquiredList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family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HOMESCHOOL INPUTS</t>
        </is>
      </c>
      <c r="E5" s="4" t="inlineStr">
        <is>
          <t>DROPDOWN LISTS</t>
        </is>
      </c>
    </row>
    <row r="6">
      <c r="B6" s="24" t="inlineStr">
        <is>
          <t>Family Name</t>
        </is>
      </c>
      <c r="C6" s="50" t="inlineStr">
        <is>
          <t>The Bennett Family</t>
        </is>
      </c>
      <c r="E6" s="9" t="inlineStr">
        <is>
          <t>Grade</t>
        </is>
      </c>
      <c r="F6" s="9" t="inlineStr">
        <is>
          <t>Subject</t>
        </is>
      </c>
      <c r="G6" s="9" t="inlineStr">
        <is>
          <t>Status</t>
        </is>
      </c>
      <c r="H6" s="9" t="inlineStr">
        <is>
          <t>Curriculum</t>
        </is>
      </c>
      <c r="I6" s="9" t="inlineStr">
        <is>
          <t>Graded</t>
        </is>
      </c>
      <c r="J6" s="9" t="inlineStr">
        <is>
          <t>Approach</t>
        </is>
      </c>
      <c r="K6" s="9" t="inlineStr">
        <is>
          <t>Yes / No</t>
        </is>
      </c>
    </row>
    <row r="7">
      <c r="B7" s="24" t="inlineStr">
        <is>
          <t>School Year</t>
        </is>
      </c>
      <c r="C7" s="50" t="inlineStr">
        <is>
          <t>2026–2027</t>
        </is>
      </c>
      <c r="E7" s="18" t="inlineStr">
        <is>
          <t>PreK</t>
        </is>
      </c>
      <c r="F7" s="18" t="inlineStr">
        <is>
          <t>Math</t>
        </is>
      </c>
      <c r="G7" s="18" t="inlineStr">
        <is>
          <t>Not Started</t>
        </is>
      </c>
      <c r="H7" s="18" t="inlineStr">
        <is>
          <t>Have</t>
        </is>
      </c>
      <c r="I7" s="18" t="inlineStr">
        <is>
          <t>Graded</t>
        </is>
      </c>
      <c r="J7" s="18" t="inlineStr">
        <is>
          <t>Classical</t>
        </is>
      </c>
      <c r="K7" s="18" t="inlineStr">
        <is>
          <t>Yes</t>
        </is>
      </c>
    </row>
    <row r="8">
      <c r="B8" s="24" t="inlineStr">
        <is>
          <t>State</t>
        </is>
      </c>
      <c r="C8" s="50" t="inlineStr">
        <is>
          <t>Ohio</t>
        </is>
      </c>
      <c r="E8" s="18" t="inlineStr">
        <is>
          <t>K</t>
        </is>
      </c>
      <c r="F8" s="18" t="inlineStr">
        <is>
          <t>Language Arts</t>
        </is>
      </c>
      <c r="G8" s="18" t="inlineStr">
        <is>
          <t>In Progress</t>
        </is>
      </c>
      <c r="H8" s="18" t="inlineStr">
        <is>
          <t>Ordered</t>
        </is>
      </c>
      <c r="I8" s="18" t="inlineStr">
        <is>
          <t>Turned In</t>
        </is>
      </c>
      <c r="J8" s="18" t="inlineStr">
        <is>
          <t>Charlotte Mason</t>
        </is>
      </c>
      <c r="K8" s="18" t="inlineStr">
        <is>
          <t>No</t>
        </is>
      </c>
    </row>
    <row r="9">
      <c r="B9" s="24" t="inlineStr">
        <is>
          <t>Students</t>
        </is>
      </c>
      <c r="C9" s="52" t="n">
        <v>4</v>
      </c>
      <c r="E9" s="18" t="inlineStr">
        <is>
          <t>1</t>
        </is>
      </c>
      <c r="F9" s="18" t="inlineStr">
        <is>
          <t>Science</t>
        </is>
      </c>
      <c r="G9" s="18" t="inlineStr">
        <is>
          <t>Done</t>
        </is>
      </c>
      <c r="H9" s="18" t="inlineStr">
        <is>
          <t>Need</t>
        </is>
      </c>
      <c r="I9" s="18" t="inlineStr">
        <is>
          <t>Not Yet</t>
        </is>
      </c>
      <c r="J9" s="18" t="inlineStr">
        <is>
          <t>Unit Study</t>
        </is>
      </c>
    </row>
    <row r="10">
      <c r="B10" s="24" t="inlineStr">
        <is>
          <t>Core Subjects</t>
        </is>
      </c>
      <c r="C10" s="52" t="n">
        <v>8</v>
      </c>
      <c r="E10" s="18" t="inlineStr">
        <is>
          <t>2</t>
        </is>
      </c>
      <c r="F10" s="18" t="inlineStr">
        <is>
          <t>History</t>
        </is>
      </c>
      <c r="J10" s="18" t="inlineStr">
        <is>
          <t>Eclectic</t>
        </is>
      </c>
    </row>
    <row r="11">
      <c r="B11" s="24" t="inlineStr">
        <is>
          <t>Required Days</t>
        </is>
      </c>
      <c r="C11" s="52" t="n">
        <v>180</v>
      </c>
      <c r="E11" s="18" t="inlineStr">
        <is>
          <t>3</t>
        </is>
      </c>
      <c r="F11" s="18" t="inlineStr">
        <is>
          <t>Geography</t>
        </is>
      </c>
      <c r="J11" s="18" t="inlineStr">
        <is>
          <t>Unschool</t>
        </is>
      </c>
    </row>
    <row r="12">
      <c r="B12" s="24" t="inlineStr">
        <is>
          <t>Instructional-Hours Goal</t>
        </is>
      </c>
      <c r="C12" s="53" t="n">
        <v>900</v>
      </c>
      <c r="E12" s="18" t="inlineStr">
        <is>
          <t>4</t>
        </is>
      </c>
      <c r="F12" s="18" t="inlineStr">
        <is>
          <t>Art</t>
        </is>
      </c>
      <c r="J12" s="18" t="inlineStr">
        <is>
          <t>Traditional</t>
        </is>
      </c>
    </row>
    <row r="13">
      <c r="B13" s="24" t="inlineStr">
        <is>
          <t>Curriculum Budget</t>
        </is>
      </c>
      <c r="C13" s="42" t="n">
        <v>1500</v>
      </c>
      <c r="E13" s="18" t="inlineStr">
        <is>
          <t>5</t>
        </is>
      </c>
      <c r="F13" s="18" t="inlineStr">
        <is>
          <t>Music</t>
        </is>
      </c>
      <c r="J13" s="18" t="inlineStr">
        <is>
          <t>Montessori</t>
        </is>
      </c>
    </row>
    <row r="14">
      <c r="B14" s="24" t="inlineStr">
        <is>
          <t>Books Read (year)</t>
        </is>
      </c>
      <c r="C14" s="53" t="n">
        <v>46</v>
      </c>
      <c r="E14" s="18" t="inlineStr">
        <is>
          <t>6</t>
        </is>
      </c>
      <c r="F14" s="18" t="inlineStr">
        <is>
          <t>PE</t>
        </is>
      </c>
    </row>
    <row r="15">
      <c r="E15" s="18" t="inlineStr">
        <is>
          <t>7</t>
        </is>
      </c>
      <c r="F15" s="18" t="inlineStr">
        <is>
          <t>Bible / Character</t>
        </is>
      </c>
    </row>
    <row r="16">
      <c r="E16" s="18" t="inlineStr">
        <is>
          <t>8</t>
        </is>
      </c>
      <c r="F16" s="18" t="inlineStr">
        <is>
          <t>Foreign Language</t>
        </is>
      </c>
    </row>
    <row r="17">
      <c r="E17" s="18" t="inlineStr">
        <is>
          <t>9</t>
        </is>
      </c>
      <c r="F17" s="18" t="inlineStr">
        <is>
          <t>Life Skills</t>
        </is>
      </c>
    </row>
    <row r="18">
      <c r="E18" s="18" t="inlineStr">
        <is>
          <t>10</t>
        </is>
      </c>
      <c r="F18" s="18" t="inlineStr">
        <is>
          <t>Other</t>
        </is>
      </c>
    </row>
    <row r="19">
      <c r="E19" s="18" t="inlineStr">
        <is>
          <t>11</t>
        </is>
      </c>
    </row>
    <row r="20">
      <c r="E20" s="18" t="inlineStr">
        <is>
          <t>12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2026-07-15T20:29:15Z</dcterms:created>
  <dcterms:modified xsi:type="dcterms:W3CDTF">2026-07-15T20:29:16Z</dcterms:modified>
</cp:coreProperties>
</file>