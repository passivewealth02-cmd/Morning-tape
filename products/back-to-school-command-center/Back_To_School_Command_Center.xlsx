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tudents" sheetId="2" state="visible" r:id="rId2"/>
    <sheet name="Supplies" sheetId="3" state="visible" r:id="rId3"/>
    <sheet name="Budget" sheetId="4" state="visible" r:id="rId4"/>
    <sheet name="Clothing" sheetId="5" state="visible" r:id="rId5"/>
    <sheet name="Schedule" sheetId="6" state="visible" r:id="rId6"/>
    <sheet name="Assignments" sheetId="7" state="visible" r:id="rId7"/>
    <sheet name="Extracurricular" sheetId="8" state="visible" r:id="rId8"/>
    <sheet name="Calendar" sheetId="9" state="visible" r:id="rId9"/>
    <sheet name="Meals" sheetId="10" state="visible" r:id="rId10"/>
    <sheet name="Emergency" sheetId="11" state="visible" r:id="rId11"/>
    <sheet name="Settings" sheetId="12" state="visible" r:id="rId12"/>
  </sheets>
  <definedNames>
    <definedName name="SchoolYear">Settings!$C$5</definedName>
    <definedName name="FirstDayOfSchool">Settings!$C$6</definedName>
    <definedName name="TotalBudget">Settings!$C$7</definedName>
    <definedName name="FamilySize">Settings!$C$8</definedName>
    <definedName name="TaxRate">Settings!$C$9</definedName>
    <definedName name="TodayDate">Settings!$C$10</definedName>
    <definedName name="CategoryList">Settings!$E$6:$E$14</definedName>
    <definedName name="PriorityList">Settings!$F$6:$F$8</definedName>
    <definedName name="StatusList">Settings!$G$6:$G$9</definedName>
    <definedName name="SubjectList">Settings!$H$6:$H$15</definedName>
    <definedName name="StoreList">Settings!$E$21:$E$26</definedName>
    <definedName name="GradeList">Settings!$F$21:$F$35</definedName>
    <definedName name="YesNoList">Settings!$G$21:$G$22</definedName>
    <definedName name="TransportList">Settings!$H$21:$H$25</definedName>
    <definedName name="SupActual">Supplies!$H$5:$H$64</definedName>
    <definedName name="SupEst">Supplies!$G$5:$G$64</definedName>
    <definedName name="SupPurchased">Supplies!$I$5:$I$64</definedName>
    <definedName name="SupItem">Supplies!$B$5:$B$64</definedName>
    <definedName name="SupReq">Supplies!$C$5:$C$64</definedName>
    <definedName name="SupBought">Supplies!$D$5:$D$64</definedName>
    <definedName name="BudgetCategories">Budget!$A$5:$A$13</definedName>
    <definedName name="BudgetPlanned">Budget!$B$5:$B$13</definedName>
    <definedName name="BudgetActual">Budget!$C$5:$C$13</definedName>
    <definedName name="BudgetTotalPlanned">Budget!$B$14</definedName>
    <definedName name="BudgetTotalActual">Budget!$C$14</definedName>
    <definedName name="AsgStatus">Assignments!$E$5:$E$54</definedName>
    <definedName name="AsgDue">Assignments!$C$5:$C$54</definedName>
    <definedName name="AsgSubject">Assignments!$A$5:$A$54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yyyy-mm-dd"/>
    <numFmt numFmtId="166" formatCode="mm/dd/yyyy"/>
    <numFmt numFmtId="167" formatCode="&quot;$&quot;#,##0.00;[Red]-&quot;$&quot;#,##0.00"/>
    <numFmt numFmtId="168" formatCode="0;[Red]-0"/>
  </numFmts>
  <fonts count="10">
    <font>
      <name val="Calibri"/>
      <family val="2"/>
      <color theme="1"/>
      <sz val="11"/>
      <scheme val="minor"/>
    </font>
    <font>
      <b val="1"/>
      <color rgb="00FFFFFF"/>
      <sz val="22"/>
    </font>
    <font>
      <color rgb="00FFFFFF"/>
      <sz val="11"/>
    </font>
    <font>
      <b val="1"/>
      <color rgb="001B4F48"/>
      <sz val="12"/>
    </font>
    <font>
      <b val="1"/>
      <color rgb="00FFFFFF"/>
      <sz val="11"/>
    </font>
    <font>
      <color rgb="00333333"/>
      <sz val="11"/>
    </font>
    <font>
      <b val="1"/>
      <color rgb="00937356"/>
      <sz val="10"/>
    </font>
    <font>
      <b val="1"/>
      <color rgb="001B4F48"/>
      <sz val="20"/>
    </font>
    <font>
      <b val="1"/>
      <color rgb="001B4F48"/>
      <sz val="11"/>
    </font>
    <font>
      <b val="1"/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FFFFFF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F4ECDE"/>
      </patternFill>
    </fill>
    <fill>
      <patternFill patternType="solid">
        <fgColor rgb="00D9E8E6"/>
      </patternFill>
    </fill>
    <fill>
      <patternFill patternType="solid">
        <fgColor rgb="00EDE0CE"/>
      </patternFill>
    </fill>
    <fill>
      <patternFill patternType="solid">
        <fgColor rgb="00DCF5EC"/>
      </patternFill>
    </fill>
    <fill>
      <patternFill patternType="solid">
        <fgColor rgb="00F0E4D2"/>
      </patternFill>
    </fill>
    <fill>
      <patternFill patternType="solid">
        <fgColor rgb="00F5E0D6"/>
      </patternFill>
    </fill>
    <fill>
      <patternFill patternType="solid">
        <fgColor rgb="00DDE5F2"/>
      </patternFill>
    </fill>
    <fill>
      <patternFill patternType="solid">
        <fgColor rgb="00EAD9F0"/>
      </patternFill>
    </fill>
    <fill>
      <patternFill patternType="solid">
        <fgColor rgb="00F5E2E2"/>
      </patternFill>
    </fill>
    <fill>
      <patternFill patternType="solid">
        <fgColor rgb="00E0EBE1"/>
      </patternFill>
    </fill>
    <fill>
      <patternFill patternType="solid">
        <fgColor rgb="00EDE9E0"/>
      </patternFill>
    </fill>
  </fills>
  <borders count="3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</borders>
  <cellStyleXfs count="14">
    <xf numFmtId="0" fontId="0" fillId="0" borderId="0"/>
    <xf numFmtId="0" fontId="1" fillId="2" borderId="1" applyAlignment="1">
      <alignment horizontal="left" vertical="center" indent="1"/>
    </xf>
    <xf numFmtId="0" fontId="2" fillId="2" borderId="1" applyAlignment="1">
      <alignment horizontal="left" vertical="center" indent="1"/>
    </xf>
    <xf numFmtId="0" fontId="3" fillId="0" borderId="1" applyAlignment="1">
      <alignment horizontal="left" vertical="center"/>
    </xf>
    <xf numFmtId="0" fontId="4" fillId="2" borderId="2" applyAlignment="1">
      <alignment horizontal="center" vertical="center" wrapText="1"/>
    </xf>
    <xf numFmtId="0" fontId="5" fillId="0" borderId="2" applyAlignment="1">
      <alignment horizontal="center" vertical="center" wrapText="1"/>
    </xf>
    <xf numFmtId="0" fontId="5" fillId="0" borderId="2" applyAlignment="1">
      <alignment horizontal="left" vertical="center" wrapText="1" indent="1"/>
    </xf>
    <xf numFmtId="0" fontId="6" fillId="3" borderId="1" applyAlignment="1">
      <alignment horizontal="center" vertical="center"/>
    </xf>
    <xf numFmtId="0" fontId="7" fillId="3" borderId="1" applyAlignment="1">
      <alignment horizontal="center" vertical="center"/>
    </xf>
    <xf numFmtId="164" fontId="7" fillId="3" borderId="1" applyAlignment="1">
      <alignment horizontal="center" vertical="center"/>
    </xf>
    <xf numFmtId="9" fontId="7" fillId="3" borderId="1" applyAlignment="1">
      <alignment horizontal="center" vertical="center"/>
    </xf>
    <xf numFmtId="0" fontId="8" fillId="4" borderId="2" applyAlignment="1">
      <alignment horizontal="center" vertical="center"/>
    </xf>
    <xf numFmtId="0" fontId="6" fillId="5" borderId="2" applyAlignment="1">
      <alignment horizontal="left" vertical="center" indent="1"/>
    </xf>
    <xf numFmtId="0" fontId="5" fillId="0" borderId="2" applyAlignment="1">
      <alignment horizontal="left" vertical="center" indent="1"/>
    </xf>
  </cellStyleXfs>
  <cellXfs count="56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1"/>
    </xf>
    <xf numFmtId="0" fontId="2" fillId="2" borderId="1" applyAlignment="1" pivotButton="0" quotePrefix="0" xfId="2">
      <alignment horizontal="left" vertical="center" indent="1"/>
    </xf>
    <xf numFmtId="0" fontId="6" fillId="3" borderId="2" applyAlignment="1" pivotButton="0" quotePrefix="0" xfId="7">
      <alignment horizontal="center" vertical="center"/>
    </xf>
    <xf numFmtId="0" fontId="0" fillId="0" borderId="2" pivotButton="0" quotePrefix="0" xfId="0"/>
    <xf numFmtId="164" fontId="7" fillId="3" borderId="2" applyAlignment="1" pivotButton="0" quotePrefix="0" xfId="9">
      <alignment horizontal="center" vertical="center"/>
    </xf>
    <xf numFmtId="0" fontId="7" fillId="3" borderId="2" applyAlignment="1" pivotButton="0" quotePrefix="0" xfId="8">
      <alignment horizontal="center" vertical="center"/>
    </xf>
    <xf numFmtId="9" fontId="7" fillId="3" borderId="2" applyAlignment="1" pivotButton="0" quotePrefix="0" xfId="10">
      <alignment horizontal="center" vertical="center"/>
    </xf>
    <xf numFmtId="0" fontId="3" fillId="0" borderId="1" applyAlignment="1" pivotButton="0" quotePrefix="0" xfId="3">
      <alignment horizontal="left" vertical="center"/>
    </xf>
    <xf numFmtId="0" fontId="9" fillId="2" borderId="2" applyAlignment="1" pivotButton="0" quotePrefix="0" xfId="0">
      <alignment horizontal="center" vertical="center"/>
    </xf>
    <xf numFmtId="0" fontId="6" fillId="5" borderId="2" applyAlignment="1" pivotButton="0" quotePrefix="0" xfId="12">
      <alignment horizontal="left" vertical="center" indent="1"/>
    </xf>
    <xf numFmtId="0" fontId="5" fillId="0" borderId="2" applyAlignment="1" pivotButton="0" quotePrefix="0" xfId="13">
      <alignment horizontal="left" vertical="center" indent="1"/>
    </xf>
    <xf numFmtId="0" fontId="4" fillId="2" borderId="2" applyAlignment="1" pivotButton="0" quotePrefix="0" xfId="4">
      <alignment horizontal="center" vertical="center" wrapText="1"/>
    </xf>
    <xf numFmtId="0" fontId="5" fillId="3" borderId="2" applyAlignment="1" pivotButton="0" quotePrefix="0" xfId="5">
      <alignment horizontal="center" vertical="center" wrapText="1"/>
    </xf>
    <xf numFmtId="0" fontId="5" fillId="3" borderId="2" applyAlignment="1" pivotButton="0" quotePrefix="0" xfId="6">
      <alignment horizontal="left" vertical="center" wrapText="1" indent="1"/>
    </xf>
    <xf numFmtId="1" fontId="5" fillId="3" borderId="2" applyAlignment="1" pivotButton="0" quotePrefix="0" xfId="5">
      <alignment horizontal="center" vertical="center" wrapText="1"/>
    </xf>
    <xf numFmtId="164" fontId="5" fillId="3" borderId="2" applyAlignment="1" pivotButton="0" quotePrefix="0" xfId="5">
      <alignment horizontal="center" vertical="center" wrapText="1"/>
    </xf>
    <xf numFmtId="0" fontId="5" fillId="6" borderId="2" applyAlignment="1" pivotButton="0" quotePrefix="0" xfId="5">
      <alignment horizontal="center" vertical="center" wrapText="1"/>
    </xf>
    <xf numFmtId="0" fontId="5" fillId="6" borderId="2" applyAlignment="1" pivotButton="0" quotePrefix="0" xfId="6">
      <alignment horizontal="left" vertical="center" wrapText="1" indent="1"/>
    </xf>
    <xf numFmtId="1" fontId="5" fillId="6" borderId="2" applyAlignment="1" pivotButton="0" quotePrefix="0" xfId="5">
      <alignment horizontal="center" vertical="center" wrapText="1"/>
    </xf>
    <xf numFmtId="164" fontId="5" fillId="6" borderId="2" applyAlignment="1" pivotButton="0" quotePrefix="0" xfId="5">
      <alignment horizontal="center" vertical="center" wrapText="1"/>
    </xf>
    <xf numFmtId="164" fontId="8" fillId="3" borderId="2" applyAlignment="1" pivotButton="0" quotePrefix="0" xfId="11">
      <alignment horizontal="center" vertical="center"/>
    </xf>
    <xf numFmtId="167" fontId="5" fillId="3" borderId="2" applyAlignment="1" pivotButton="0" quotePrefix="0" xfId="5">
      <alignment horizontal="center" vertical="center" wrapText="1"/>
    </xf>
    <xf numFmtId="9" fontId="5" fillId="3" borderId="2" applyAlignment="1" pivotButton="0" quotePrefix="0" xfId="5">
      <alignment horizontal="center" vertical="center" wrapText="1"/>
    </xf>
    <xf numFmtId="164" fontId="3" fillId="0" borderId="2" applyAlignment="1" pivotButton="0" quotePrefix="0" xfId="13">
      <alignment horizontal="left" vertical="center" indent="1"/>
    </xf>
    <xf numFmtId="164" fontId="8" fillId="6" borderId="2" applyAlignment="1" pivotButton="0" quotePrefix="0" xfId="11">
      <alignment horizontal="center" vertical="center"/>
    </xf>
    <xf numFmtId="167" fontId="5" fillId="6" borderId="2" applyAlignment="1" pivotButton="0" quotePrefix="0" xfId="5">
      <alignment horizontal="center" vertical="center" wrapText="1"/>
    </xf>
    <xf numFmtId="9" fontId="5" fillId="6" borderId="2" applyAlignment="1" pivotButton="0" quotePrefix="0" xfId="5">
      <alignment horizontal="center" vertical="center" wrapText="1"/>
    </xf>
    <xf numFmtId="9" fontId="3" fillId="0" borderId="2" applyAlignment="1" pivotButton="0" quotePrefix="0" xfId="13">
      <alignment horizontal="left" vertical="center" indent="1"/>
    </xf>
    <xf numFmtId="164" fontId="8" fillId="4" borderId="2" applyAlignment="1" pivotButton="0" quotePrefix="0" xfId="5">
      <alignment horizontal="center" vertical="center" wrapText="1"/>
    </xf>
    <xf numFmtId="9" fontId="8" fillId="4" borderId="2" applyAlignment="1" pivotButton="0" quotePrefix="0" xfId="5">
      <alignment horizontal="center" vertical="center" wrapText="1"/>
    </xf>
    <xf numFmtId="0" fontId="9" fillId="2" borderId="2" applyAlignment="1" pivotButton="0" quotePrefix="0" xfId="5">
      <alignment horizontal="center" vertical="center" wrapText="1"/>
    </xf>
    <xf numFmtId="0" fontId="5" fillId="7" borderId="2" applyAlignment="1" pivotButton="0" quotePrefix="0" xfId="6">
      <alignment horizontal="left" vertical="center" wrapText="1" indent="1"/>
    </xf>
    <xf numFmtId="0" fontId="5" fillId="8" borderId="2" applyAlignment="1" pivotButton="0" quotePrefix="0" xfId="6">
      <alignment horizontal="left" vertical="center" wrapText="1" indent="1"/>
    </xf>
    <xf numFmtId="0" fontId="5" fillId="9" borderId="2" applyAlignment="1" pivotButton="0" quotePrefix="0" xfId="6">
      <alignment horizontal="left" vertical="center" wrapText="1" indent="1"/>
    </xf>
    <xf numFmtId="0" fontId="5" fillId="10" borderId="2" applyAlignment="1" pivotButton="0" quotePrefix="0" xfId="6">
      <alignment horizontal="left" vertical="center" wrapText="1" indent="1"/>
    </xf>
    <xf numFmtId="0" fontId="5" fillId="11" borderId="2" applyAlignment="1" pivotButton="0" quotePrefix="0" xfId="6">
      <alignment horizontal="left" vertical="center" wrapText="1" indent="1"/>
    </xf>
    <xf numFmtId="0" fontId="5" fillId="12" borderId="2" applyAlignment="1" pivotButton="0" quotePrefix="0" xfId="6">
      <alignment horizontal="left" vertical="center" wrapText="1" indent="1"/>
    </xf>
    <xf numFmtId="0" fontId="5" fillId="13" borderId="2" applyAlignment="1" pivotButton="0" quotePrefix="0" xfId="6">
      <alignment horizontal="left" vertical="center" wrapText="1" indent="1"/>
    </xf>
    <xf numFmtId="0" fontId="5" fillId="4" borderId="2" applyAlignment="1" pivotButton="0" quotePrefix="0" xfId="6">
      <alignment horizontal="left" vertical="center" wrapText="1" indent="1"/>
    </xf>
    <xf numFmtId="0" fontId="5" fillId="14" borderId="2" applyAlignment="1" pivotButton="0" quotePrefix="0" xfId="6">
      <alignment horizontal="left" vertical="center" wrapText="1" indent="1"/>
    </xf>
    <xf numFmtId="0" fontId="5" fillId="15" borderId="2" applyAlignment="1" pivotButton="0" quotePrefix="0" xfId="6">
      <alignment horizontal="left" vertical="center" wrapText="1" indent="1"/>
    </xf>
    <xf numFmtId="0" fontId="5" fillId="16" borderId="2" applyAlignment="1" pivotButton="0" quotePrefix="0" xfId="6">
      <alignment horizontal="left" vertical="center" wrapText="1" indent="1"/>
    </xf>
    <xf numFmtId="168" fontId="5" fillId="3" borderId="2" applyAlignment="1" pivotButton="0" quotePrefix="0" xfId="5">
      <alignment horizontal="center" vertical="center" wrapText="1"/>
    </xf>
    <xf numFmtId="168" fontId="5" fillId="6" borderId="2" applyAlignment="1" pivotButton="0" quotePrefix="0" xfId="5">
      <alignment horizontal="center" vertical="center" wrapText="1"/>
    </xf>
    <xf numFmtId="164" fontId="5" fillId="3" borderId="2" applyAlignment="1" pivotButton="0" quotePrefix="0" xfId="6">
      <alignment horizontal="left" vertical="center" wrapText="1" indent="1"/>
    </xf>
    <xf numFmtId="164" fontId="5" fillId="6" borderId="2" applyAlignment="1" pivotButton="0" quotePrefix="0" xfId="6">
      <alignment horizontal="left" vertical="center" wrapText="1" indent="1"/>
    </xf>
    <xf numFmtId="0" fontId="4" fillId="2" borderId="2" applyAlignment="1" pivotButton="0" quotePrefix="0" xfId="5">
      <alignment horizontal="center" vertical="center" wrapText="1"/>
    </xf>
    <xf numFmtId="0" fontId="5" fillId="5" borderId="2" applyAlignment="1" pivotButton="0" quotePrefix="0" xfId="6">
      <alignment horizontal="left" vertical="center" wrapText="1" indent="1"/>
    </xf>
    <xf numFmtId="0" fontId="5" fillId="0" borderId="2" applyAlignment="1" pivotButton="0" quotePrefix="0" xfId="6">
      <alignment horizontal="left" vertical="center" wrapText="1" indent="1"/>
    </xf>
    <xf numFmtId="1" fontId="5" fillId="0" borderId="2" applyAlignment="1" pivotButton="0" quotePrefix="0" xfId="5">
      <alignment horizontal="center" vertical="center" wrapText="1"/>
    </xf>
    <xf numFmtId="0" fontId="8" fillId="4" borderId="2" applyAlignment="1" pivotButton="0" quotePrefix="0" xfId="11">
      <alignment horizontal="center" vertical="center"/>
    </xf>
    <xf numFmtId="166" fontId="8" fillId="4" borderId="2" applyAlignment="1" pivotButton="0" quotePrefix="0" xfId="11">
      <alignment horizontal="center" vertical="center"/>
    </xf>
    <xf numFmtId="164" fontId="8" fillId="4" borderId="2" applyAlignment="1" pivotButton="0" quotePrefix="0" xfId="11">
      <alignment horizontal="center" vertical="center"/>
    </xf>
    <xf numFmtId="1" fontId="8" fillId="4" borderId="2" applyAlignment="1" pivotButton="0" quotePrefix="0" xfId="11">
      <alignment horizontal="center" vertical="center"/>
    </xf>
    <xf numFmtId="10" fontId="8" fillId="4" borderId="2" applyAlignment="1" pivotButton="0" quotePrefix="0" xfId="11">
      <alignment horizontal="center" vertical="center"/>
    </xf>
  </cellXfs>
  <cellStyles count="14">
    <cellStyle name="Normal" xfId="0" builtinId="0" hidden="0"/>
    <cellStyle name="title" xfId="1" hidden="0"/>
    <cellStyle name="subtitle" xfId="2" hidden="0"/>
    <cellStyle name="section" xfId="3" hidden="0"/>
    <cellStyle name="th" xfId="4" hidden="0"/>
    <cellStyle name="td" xfId="5" hidden="0"/>
    <cellStyle name="td_left" xfId="6" hidden="0"/>
    <cellStyle name="kpi_label" xfId="7" hidden="0"/>
    <cellStyle name="kpi_value" xfId="8" hidden="0"/>
    <cellStyle name="kpi_money" xfId="9" hidden="0"/>
    <cellStyle name="kpi_pct" xfId="10" hidden="0"/>
    <cellStyle name="input" xfId="11" hidden="0"/>
    <cellStyle name="field_label" xfId="12" hidden="0"/>
    <cellStyle name="field_value" xfId="13" hidden="0"/>
  </cellStyles>
  <dxfs count="6">
    <dxf>
      <fill>
        <patternFill patternType="solid">
          <fgColor rgb="00E3F8EF"/>
        </patternFill>
      </fill>
    </dxf>
    <dxf>
      <fill>
        <patternFill patternType="solid">
          <fgColor rgb="00EFE0CC"/>
        </patternFill>
      </fill>
    </dxf>
    <dxf>
      <fill>
        <patternFill patternType="solid">
          <fgColor rgb="00FBF0E2"/>
        </patternFill>
      </fill>
    </dxf>
    <dxf>
      <fill>
        <patternFill patternType="solid">
          <fgColor rgb="00FBE6E6"/>
        </patternFill>
      </fill>
    </dxf>
    <dxf>
      <fill>
        <patternFill patternType="solid">
          <fgColor rgb="00DCF5EC"/>
        </patternFill>
      </fill>
    </dxf>
    <dxf>
      <fill>
        <patternFill patternType="solid">
          <fgColor rgb="00F1F1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'Budget'!$A$5:$A$13</f>
            </numRef>
          </cat>
          <val>
            <numRef>
              <f>'Budget'!$C$5:$C$13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'Budget'!B4</f>
            </strRef>
          </tx>
          <spPr>
            <a:ln>
              <a:prstDash val="solid"/>
            </a:ln>
          </spPr>
          <cat>
            <numRef>
              <f>'Budget'!$A$5:$A$13</f>
            </numRef>
          </cat>
          <val>
            <numRef>
              <f>'Budget'!$B$5:$B$13</f>
            </numRef>
          </val>
        </ser>
        <ser>
          <idx val="1"/>
          <order val="1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'Budget'!$A$5:$A$13</f>
            </numRef>
          </cat>
          <val>
            <numRef>
              <f>'Budget'!$C$5:$C$13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Breakdown</a:t>
            </a:r>
          </a:p>
        </rich>
      </tx>
    </title>
    <plotArea>
      <doughnutChart>
        <varyColors val="1"/>
        <ser>
          <idx val="0"/>
          <order val="0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'Budget'!$A$5:$A$13</f>
            </numRef>
          </cat>
          <val>
            <numRef>
              <f>'Budget'!$C$5:$C$13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Actual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'Budget'!B4</f>
            </strRef>
          </tx>
          <spPr>
            <a:ln>
              <a:prstDash val="solid"/>
            </a:ln>
          </spPr>
          <cat>
            <numRef>
              <f>'Budget'!$A$5:$A$13</f>
            </numRef>
          </cat>
          <val>
            <numRef>
              <f>'Budget'!$B$5:$B$13</f>
            </numRef>
          </val>
        </ser>
        <ser>
          <idx val="1"/>
          <order val="1"/>
          <tx>
            <strRef>
              <f>'Budget'!C4</f>
            </strRef>
          </tx>
          <spPr>
            <a:ln>
              <a:prstDash val="solid"/>
            </a:ln>
          </spPr>
          <cat>
            <numRef>
              <f>'Budget'!$A$5:$A$13</f>
            </numRef>
          </cat>
          <val>
            <numRef>
              <f>'Budget'!$C$5:$C$13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43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13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17</row>
      <rowOff>0</rowOff>
    </from>
    <ext cx="50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B4F48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" customWidth="1" min="10" max="10"/>
  </cols>
  <sheetData>
    <row r="1" ht="56" customHeight="1">
      <c r="A1" s="1" t="inlineStr">
        <is>
          <t xml:space="preserve">  🎒  BACK-TO-SCHOOL COMMAND CENTER</t>
        </is>
      </c>
    </row>
    <row r="2" ht="22" customHeight="1">
      <c r="A2" s="2" t="inlineStr">
        <is>
          <t xml:space="preserve">  Plan · Budget · Organize · Prepare — one premium dashboard for the whole school year.</t>
        </is>
      </c>
    </row>
    <row r="4" ht="22" customHeight="1">
      <c r="B4" s="3" t="inlineStr">
        <is>
          <t>💵 Total Budget</t>
        </is>
      </c>
      <c r="C4" s="4" t="n"/>
      <c r="D4" s="3" t="inlineStr">
        <is>
          <t>💳 Total Spent</t>
        </is>
      </c>
      <c r="E4" s="4" t="n"/>
      <c r="F4" s="3" t="inlineStr">
        <is>
          <t>🧮 Remaining</t>
        </is>
      </c>
      <c r="G4" s="4" t="n"/>
      <c r="H4" s="3" t="inlineStr">
        <is>
          <t>⏳ Days Until School</t>
        </is>
      </c>
      <c r="I4" s="4" t="n"/>
    </row>
    <row r="5" ht="56" customHeight="1">
      <c r="B5" s="5">
        <f>TotalBudget</f>
        <v/>
      </c>
      <c r="C5" s="4" t="n"/>
      <c r="D5" s="5">
        <f>BudgetTotalActual</f>
        <v/>
      </c>
      <c r="E5" s="4" t="n"/>
      <c r="F5" s="5">
        <f>TotalBudget-BudgetTotalActual</f>
        <v/>
      </c>
      <c r="G5" s="4" t="n"/>
      <c r="H5" s="6">
        <f>MAX(FirstDayOfSchool-TODAY(),0)</f>
        <v/>
      </c>
      <c r="I5" s="4" t="n"/>
    </row>
    <row r="7" ht="22" customHeight="1">
      <c r="B7" s="3" t="inlineStr">
        <is>
          <t>🛒 Items Purchased</t>
        </is>
      </c>
      <c r="C7" s="4" t="n"/>
      <c r="D7" s="3" t="inlineStr">
        <is>
          <t>📋 Items Remaining</t>
        </is>
      </c>
      <c r="E7" s="4" t="n"/>
      <c r="F7" s="3" t="inlineStr">
        <is>
          <t>🎒 Supply Completion</t>
        </is>
      </c>
      <c r="G7" s="4" t="n"/>
      <c r="H7" s="3" t="inlineStr">
        <is>
          <t>✅ Assignments Done</t>
        </is>
      </c>
      <c r="I7" s="4" t="n"/>
    </row>
    <row r="8" ht="56" customHeight="1">
      <c r="B8" s="6">
        <f>SUMPRODUCT((SupPurchased="Yes")*1)</f>
        <v/>
      </c>
      <c r="C8" s="4" t="n"/>
      <c r="D8" s="6">
        <f>SUMPRODUCT((SupItem&lt;&gt;"")*(SupPurchased&lt;&gt;"Yes"))</f>
        <v/>
      </c>
      <c r="E8" s="4" t="n"/>
      <c r="F8" s="7">
        <f>IFERROR(SUMPRODUCT((SupPurchased="Yes")*1)/SUMPRODUCT((SupItem&lt;&gt;"")*1),0)</f>
        <v/>
      </c>
      <c r="G8" s="4" t="n"/>
      <c r="H8" s="7">
        <f>IFERROR(SUMPRODUCT((AsgStatus="Complete")*1)/SUMPRODUCT((AsgStatus&lt;&gt;"")*1),0)</f>
        <v/>
      </c>
      <c r="I8" s="4" t="n"/>
    </row>
    <row r="10" ht="26" customHeight="1">
      <c r="B10" s="8" t="inlineStr">
        <is>
          <t>QUICK NAVIGATION</t>
        </is>
      </c>
    </row>
    <row r="11" ht="30" customHeight="1">
      <c r="B11" s="9" t="inlineStr">
        <is>
          <t>Shopping List</t>
        </is>
      </c>
      <c r="C11" s="9" t="inlineStr">
        <is>
          <t>Budget</t>
        </is>
      </c>
      <c r="D11" s="9" t="inlineStr">
        <is>
          <t>Calendar</t>
        </is>
      </c>
      <c r="E11" s="9" t="inlineStr">
        <is>
          <t>Students</t>
        </is>
      </c>
      <c r="F11" s="9" t="inlineStr">
        <is>
          <t>Assignments</t>
        </is>
      </c>
      <c r="G11" s="9" t="inlineStr">
        <is>
          <t>Meals</t>
        </is>
      </c>
      <c r="H11" s="9" t="inlineStr">
        <is>
          <t>Emergency</t>
        </is>
      </c>
    </row>
    <row r="13" ht="26" customHeight="1">
      <c r="B13" s="8" t="inlineStr">
        <is>
          <t>ANALYTICS</t>
        </is>
      </c>
    </row>
    <row r="34" ht="26" customHeight="1">
      <c r="B34" s="2" t="inlineStr">
        <is>
          <t>Back-to-School Command Center v1.0  ·  Edit Settings → Total Budget · First Day  ·  Add items on Supplies</t>
        </is>
      </c>
    </row>
  </sheetData>
  <mergeCells count="21">
    <mergeCell ref="F4:G4"/>
    <mergeCell ref="B7:C7"/>
    <mergeCell ref="H4:I4"/>
    <mergeCell ref="F7:G7"/>
    <mergeCell ref="F5:G5"/>
    <mergeCell ref="B8:C8"/>
    <mergeCell ref="F8:G8"/>
    <mergeCell ref="B13:I13"/>
    <mergeCell ref="A1:J1"/>
    <mergeCell ref="D7:E7"/>
    <mergeCell ref="H7:I7"/>
    <mergeCell ref="B34:I34"/>
    <mergeCell ref="B10:I10"/>
    <mergeCell ref="D4:E4"/>
    <mergeCell ref="D8:E8"/>
    <mergeCell ref="B5:C5"/>
    <mergeCell ref="A2:J2"/>
    <mergeCell ref="D5:E5"/>
    <mergeCell ref="H5:I5"/>
    <mergeCell ref="H8:I8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937356"/>
    <outlinePr summaryBelow="1" summaryRight="1"/>
    <pageSetUpPr/>
  </sheetPr>
  <dimension ref="A1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6" customWidth="1" min="3" max="3"/>
    <col width="4" customWidth="1" min="4" max="4"/>
    <col width="22" customWidth="1" min="5" max="5"/>
    <col width="26" customWidth="1" min="6" max="6"/>
  </cols>
  <sheetData>
    <row r="1" ht="44" customHeight="1">
      <c r="A1" s="1" t="inlineStr">
        <is>
          <t xml:space="preserve">  👨‍🎓  STUDENT PROFILES</t>
        </is>
      </c>
    </row>
    <row r="2" ht="22" customHeight="1">
      <c r="A2" s="2" t="inlineStr">
        <is>
          <t xml:space="preserve">  One section per student. Duplicate the block for additional kids.</t>
        </is>
      </c>
    </row>
    <row r="4" ht="22" customHeight="1">
      <c r="B4" s="8" t="inlineStr">
        <is>
          <t xml:space="preserve">  STUDENT</t>
        </is>
      </c>
    </row>
    <row r="5" ht="24" customHeight="1">
      <c r="B5" s="10" t="inlineStr">
        <is>
          <t>Name</t>
        </is>
      </c>
      <c r="C5" s="11" t="inlineStr">
        <is>
          <t>Emma Carter</t>
        </is>
      </c>
      <c r="E5" s="10" t="inlineStr">
        <is>
          <t>Grade</t>
        </is>
      </c>
      <c r="F5" s="11" t="inlineStr">
        <is>
          <t>4</t>
        </is>
      </c>
    </row>
    <row r="6" ht="24" customHeight="1">
      <c r="B6" s="10" t="inlineStr">
        <is>
          <t>School</t>
        </is>
      </c>
      <c r="C6" s="11" t="inlineStr">
        <is>
          <t>Lincoln Elementary</t>
        </is>
      </c>
      <c r="E6" s="10" t="inlineStr">
        <is>
          <t>Teacher</t>
        </is>
      </c>
      <c r="F6" s="11" t="inlineStr">
        <is>
          <t>Ms. Hayes</t>
        </is>
      </c>
    </row>
    <row r="7" ht="24" customHeight="1">
      <c r="B7" s="10" t="inlineStr">
        <is>
          <t>Student ID</t>
        </is>
      </c>
      <c r="C7" s="11" t="inlineStr">
        <is>
          <t>LE-2024-118</t>
        </is>
      </c>
      <c r="E7" s="10" t="inlineStr">
        <is>
          <t>Start Date</t>
        </is>
      </c>
      <c r="F7" s="11" t="n">
        <v>46267</v>
      </c>
    </row>
    <row r="8" ht="24" customHeight="1">
      <c r="B8" s="10" t="inlineStr">
        <is>
          <t>Allergies</t>
        </is>
      </c>
      <c r="C8" s="11" t="inlineStr">
        <is>
          <t>Peanuts</t>
        </is>
      </c>
      <c r="E8" s="10" t="inlineStr">
        <is>
          <t>Emergency Contact</t>
        </is>
      </c>
      <c r="F8" s="11" t="inlineStr">
        <is>
          <t>Mom: (555) 412-7833</t>
        </is>
      </c>
    </row>
    <row r="9" ht="24" customHeight="1">
      <c r="B9" s="10" t="inlineStr">
        <is>
          <t>Transportation</t>
        </is>
      </c>
      <c r="C9" s="11" t="inlineStr">
        <is>
          <t>Bus</t>
        </is>
      </c>
      <c r="E9" s="10" t="inlineStr">
        <is>
          <t>Locker #</t>
        </is>
      </c>
      <c r="F9" s="11" t="inlineStr">
        <is>
          <t>—</t>
        </is>
      </c>
    </row>
    <row r="10" ht="24" customHeight="1">
      <c r="B10" s="10" t="inlineStr">
        <is>
          <t>Bus Route</t>
        </is>
      </c>
      <c r="C10" s="11" t="inlineStr">
        <is>
          <t>Route 14</t>
        </is>
      </c>
      <c r="E10" s="10" t="inlineStr">
        <is>
          <t>Homeroom</t>
        </is>
      </c>
      <c r="F10" s="11" t="inlineStr">
        <is>
          <t>Rm 104</t>
        </is>
      </c>
    </row>
    <row r="13" ht="22" customHeight="1">
      <c r="B13" s="8" t="inlineStr">
        <is>
          <t xml:space="preserve">  STUDENT</t>
        </is>
      </c>
    </row>
    <row r="14" ht="24" customHeight="1">
      <c r="B14" s="10" t="inlineStr">
        <is>
          <t>Name</t>
        </is>
      </c>
      <c r="C14" s="11" t="inlineStr">
        <is>
          <t>Liam Carter</t>
        </is>
      </c>
      <c r="E14" s="10" t="inlineStr">
        <is>
          <t>Grade</t>
        </is>
      </c>
      <c r="F14" s="11" t="inlineStr">
        <is>
          <t>8</t>
        </is>
      </c>
    </row>
    <row r="15" ht="24" customHeight="1">
      <c r="B15" s="10" t="inlineStr">
        <is>
          <t>School</t>
        </is>
      </c>
      <c r="C15" s="11" t="inlineStr">
        <is>
          <t>Roosevelt Middle</t>
        </is>
      </c>
      <c r="E15" s="10" t="inlineStr">
        <is>
          <t>Teacher</t>
        </is>
      </c>
      <c r="F15" s="11" t="inlineStr">
        <is>
          <t>Mr. Patel</t>
        </is>
      </c>
    </row>
    <row r="16" ht="24" customHeight="1">
      <c r="B16" s="10" t="inlineStr">
        <is>
          <t>Student ID</t>
        </is>
      </c>
      <c r="C16" s="11" t="inlineStr">
        <is>
          <t>RM-2024-441</t>
        </is>
      </c>
      <c r="E16" s="10" t="inlineStr">
        <is>
          <t>Start Date</t>
        </is>
      </c>
      <c r="F16" s="11" t="n">
        <v>46267</v>
      </c>
    </row>
    <row r="17" ht="24" customHeight="1">
      <c r="B17" s="10" t="inlineStr">
        <is>
          <t>Allergies</t>
        </is>
      </c>
      <c r="C17" s="11" t="inlineStr">
        <is>
          <t>None</t>
        </is>
      </c>
      <c r="E17" s="10" t="inlineStr">
        <is>
          <t>Emergency Contact</t>
        </is>
      </c>
      <c r="F17" s="11" t="inlineStr">
        <is>
          <t>Dad: (555) 412-7901</t>
        </is>
      </c>
    </row>
    <row r="18" ht="24" customHeight="1">
      <c r="B18" s="10" t="inlineStr">
        <is>
          <t>Transportation</t>
        </is>
      </c>
      <c r="C18" s="11" t="inlineStr">
        <is>
          <t>Carpool</t>
        </is>
      </c>
      <c r="E18" s="10" t="inlineStr">
        <is>
          <t>Locker #</t>
        </is>
      </c>
      <c r="F18" s="11" t="inlineStr">
        <is>
          <t>212</t>
        </is>
      </c>
    </row>
    <row r="19" ht="24" customHeight="1">
      <c r="B19" s="10" t="inlineStr">
        <is>
          <t>Bus Route</t>
        </is>
      </c>
      <c r="C19" s="11" t="inlineStr">
        <is>
          <t>—</t>
        </is>
      </c>
      <c r="E19" s="10" t="inlineStr">
        <is>
          <t>Homeroom</t>
        </is>
      </c>
      <c r="F19" s="11" t="inlineStr">
        <is>
          <t>Rm 8B</t>
        </is>
      </c>
    </row>
  </sheetData>
  <mergeCells count="4">
    <mergeCell ref="B4:F4"/>
    <mergeCell ref="A2:F2"/>
    <mergeCell ref="A1:F1"/>
    <mergeCell ref="B13:F13"/>
  </mergeCells>
  <dataValidations count="2">
    <dataValidation sqref="C5:C16" showDropDown="0" showInputMessage="0" showErrorMessage="0" allowBlank="1" type="list">
      <formula1>=GradeList</formula1>
    </dataValidation>
    <dataValidation sqref="F5:F16" showDropDown="0" showInputMessage="0" showErrorMessage="0" allowBlank="1" type="list">
      <formula1>=TransportList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5E6C1"/>
    <outlinePr summaryBelow="1" summaryRight="1"/>
    <pageSetUpPr/>
  </sheetPr>
  <dimension ref="A1:K6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26" customWidth="1" min="11" max="11"/>
  </cols>
  <sheetData>
    <row r="1" ht="44" customHeight="1">
      <c r="A1" s="1" t="inlineStr">
        <is>
          <t xml:space="preserve">  📚  SCHOOL SUPPLY TRACKER</t>
        </is>
      </c>
    </row>
    <row r="2" ht="22" customHeight="1">
      <c r="A2" s="2" t="inlineStr">
        <is>
          <t xml:space="preserve">  Track every item from list to checkout. Formulas auto-tally.</t>
        </is>
      </c>
    </row>
    <row r="4" ht="32" customHeight="1">
      <c r="A4" s="12" t="inlineStr">
        <is>
          <t>Category</t>
        </is>
      </c>
      <c r="B4" s="12" t="inlineStr">
        <is>
          <t>Item</t>
        </is>
      </c>
      <c r="C4" s="12" t="inlineStr">
        <is>
          <t>Req Qty</t>
        </is>
      </c>
      <c r="D4" s="12" t="inlineStr">
        <is>
          <t>Bought Qty</t>
        </is>
      </c>
      <c r="E4" s="12" t="inlineStr">
        <is>
          <t>Remaining</t>
        </is>
      </c>
      <c r="F4" s="12" t="inlineStr">
        <is>
          <t>Store</t>
        </is>
      </c>
      <c r="G4" s="12" t="inlineStr">
        <is>
          <t>Est. Price</t>
        </is>
      </c>
      <c r="H4" s="12" t="inlineStr">
        <is>
          <t>Actual Price</t>
        </is>
      </c>
      <c r="I4" s="12" t="inlineStr">
        <is>
          <t>Purchased</t>
        </is>
      </c>
      <c r="J4" s="12" t="inlineStr">
        <is>
          <t>Priority</t>
        </is>
      </c>
      <c r="K4" s="12" t="inlineStr">
        <is>
          <t>Notes</t>
        </is>
      </c>
    </row>
    <row r="5">
      <c r="A5" s="13" t="inlineStr">
        <is>
          <t>Supplies</t>
        </is>
      </c>
      <c r="B5" s="14" t="inlineStr">
        <is>
          <t>Backpack</t>
        </is>
      </c>
      <c r="C5" s="15" t="n">
        <v>1</v>
      </c>
      <c r="D5" s="15" t="n">
        <v>1</v>
      </c>
      <c r="E5" s="15">
        <f>IF(C5="","",MAX(C5-IFERROR(D5,0),0))</f>
        <v/>
      </c>
      <c r="F5" s="13" t="inlineStr">
        <is>
          <t>Target</t>
        </is>
      </c>
      <c r="G5" s="16" t="n">
        <v>39.99</v>
      </c>
      <c r="H5" s="16" t="n">
        <v>34.99</v>
      </c>
      <c r="I5" s="13" t="inlineStr">
        <is>
          <t>Yes</t>
        </is>
      </c>
      <c r="J5" s="13" t="inlineStr">
        <is>
          <t>High</t>
        </is>
      </c>
      <c r="K5" s="14" t="inlineStr">
        <is>
          <t>Black with side pocket</t>
        </is>
      </c>
    </row>
    <row r="6">
      <c r="A6" s="17" t="inlineStr">
        <is>
          <t>Supplies</t>
        </is>
      </c>
      <c r="B6" s="18" t="inlineStr">
        <is>
          <t>Pencil case</t>
        </is>
      </c>
      <c r="C6" s="19" t="n">
        <v>2</v>
      </c>
      <c r="D6" s="19" t="n">
        <v>0</v>
      </c>
      <c r="E6" s="19">
        <f>IF(C6="","",MAX(C6-IFERROR(D6,0),0))</f>
        <v/>
      </c>
      <c r="F6" s="17" t="inlineStr">
        <is>
          <t>Amazon</t>
        </is>
      </c>
      <c r="G6" s="20" t="n">
        <v>8.99</v>
      </c>
      <c r="H6" s="20" t="n"/>
      <c r="I6" s="17" t="inlineStr">
        <is>
          <t>No</t>
        </is>
      </c>
      <c r="J6" s="17" t="inlineStr">
        <is>
          <t>Medium</t>
        </is>
      </c>
      <c r="K6" s="18" t="inlineStr">
        <is>
          <t>Need two: one per child</t>
        </is>
      </c>
    </row>
    <row r="7">
      <c r="A7" s="13" t="inlineStr">
        <is>
          <t>Supplies</t>
        </is>
      </c>
      <c r="B7" s="14" t="inlineStr">
        <is>
          <t>Pencils #2 (12pk)</t>
        </is>
      </c>
      <c r="C7" s="15" t="n">
        <v>4</v>
      </c>
      <c r="D7" s="15" t="n">
        <v>3</v>
      </c>
      <c r="E7" s="15">
        <f>IF(C7="","",MAX(C7-IFERROR(D7,0),0))</f>
        <v/>
      </c>
      <c r="F7" s="13" t="inlineStr">
        <is>
          <t>Walmart</t>
        </is>
      </c>
      <c r="G7" s="16" t="n">
        <v>3.49</v>
      </c>
      <c r="H7" s="16" t="n">
        <v>3.49</v>
      </c>
      <c r="I7" s="13" t="inlineStr">
        <is>
          <t>No</t>
        </is>
      </c>
      <c r="J7" s="13" t="inlineStr">
        <is>
          <t>High</t>
        </is>
      </c>
      <c r="K7" s="14" t="inlineStr"/>
    </row>
    <row r="8">
      <c r="A8" s="17" t="inlineStr">
        <is>
          <t>Supplies</t>
        </is>
      </c>
      <c r="B8" s="18" t="inlineStr">
        <is>
          <t>Erasers</t>
        </is>
      </c>
      <c r="C8" s="19" t="n">
        <v>6</v>
      </c>
      <c r="D8" s="19" t="n">
        <v>4</v>
      </c>
      <c r="E8" s="19">
        <f>IF(C8="","",MAX(C8-IFERROR(D8,0),0))</f>
        <v/>
      </c>
      <c r="F8" s="17" t="inlineStr">
        <is>
          <t>Walmart</t>
        </is>
      </c>
      <c r="G8" s="20" t="n">
        <v>1.99</v>
      </c>
      <c r="H8" s="20" t="n">
        <v>1.99</v>
      </c>
      <c r="I8" s="17" t="inlineStr">
        <is>
          <t>No</t>
        </is>
      </c>
      <c r="J8" s="17" t="inlineStr">
        <is>
          <t>Low</t>
        </is>
      </c>
      <c r="K8" s="18" t="inlineStr"/>
    </row>
    <row r="9">
      <c r="A9" s="13" t="inlineStr">
        <is>
          <t>Supplies</t>
        </is>
      </c>
      <c r="B9" s="14" t="inlineStr">
        <is>
          <t>Glue sticks</t>
        </is>
      </c>
      <c r="C9" s="15" t="n">
        <v>12</v>
      </c>
      <c r="D9" s="15" t="n">
        <v>6</v>
      </c>
      <c r="E9" s="15">
        <f>IF(C9="","",MAX(C9-IFERROR(D9,0),0))</f>
        <v/>
      </c>
      <c r="F9" s="13" t="inlineStr">
        <is>
          <t>Staples</t>
        </is>
      </c>
      <c r="G9" s="16" t="n">
        <v>0.99</v>
      </c>
      <c r="H9" s="16" t="n">
        <v>0.99</v>
      </c>
      <c r="I9" s="13" t="inlineStr">
        <is>
          <t>No</t>
        </is>
      </c>
      <c r="J9" s="13" t="inlineStr">
        <is>
          <t>Medium</t>
        </is>
      </c>
      <c r="K9" s="14" t="inlineStr"/>
    </row>
    <row r="10">
      <c r="A10" s="17" t="inlineStr">
        <is>
          <t>Supplies</t>
        </is>
      </c>
      <c r="B10" s="18" t="inlineStr">
        <is>
          <t>Notebook (wide-rule)</t>
        </is>
      </c>
      <c r="C10" s="19" t="n">
        <v>8</v>
      </c>
      <c r="D10" s="19" t="n">
        <v>8</v>
      </c>
      <c r="E10" s="19">
        <f>IF(C10="","",MAX(C10-IFERROR(D10,0),0))</f>
        <v/>
      </c>
      <c r="F10" s="17" t="inlineStr">
        <is>
          <t>Target</t>
        </is>
      </c>
      <c r="G10" s="20" t="n">
        <v>1.49</v>
      </c>
      <c r="H10" s="20" t="n">
        <v>1.29</v>
      </c>
      <c r="I10" s="17" t="inlineStr">
        <is>
          <t>Yes</t>
        </is>
      </c>
      <c r="J10" s="17" t="inlineStr">
        <is>
          <t>High</t>
        </is>
      </c>
      <c r="K10" s="18" t="inlineStr">
        <is>
          <t>All purchased</t>
        </is>
      </c>
    </row>
    <row r="11">
      <c r="A11" s="13" t="inlineStr">
        <is>
          <t>Supplies</t>
        </is>
      </c>
      <c r="B11" s="14" t="inlineStr">
        <is>
          <t>Composition books</t>
        </is>
      </c>
      <c r="C11" s="15" t="n">
        <v>4</v>
      </c>
      <c r="D11" s="15" t="n">
        <v>0</v>
      </c>
      <c r="E11" s="15">
        <f>IF(C11="","",MAX(C11-IFERROR(D11,0),0))</f>
        <v/>
      </c>
      <c r="F11" s="13" t="inlineStr">
        <is>
          <t>Staples</t>
        </is>
      </c>
      <c r="G11" s="16" t="n">
        <v>2.49</v>
      </c>
      <c r="H11" s="16" t="n"/>
      <c r="I11" s="13" t="inlineStr">
        <is>
          <t>No</t>
        </is>
      </c>
      <c r="J11" s="13" t="inlineStr">
        <is>
          <t>Medium</t>
        </is>
      </c>
      <c r="K11" s="14" t="inlineStr"/>
    </row>
    <row r="12">
      <c r="A12" s="17" t="inlineStr">
        <is>
          <t>Supplies</t>
        </is>
      </c>
      <c r="B12" s="18" t="inlineStr">
        <is>
          <t>Folders</t>
        </is>
      </c>
      <c r="C12" s="19" t="n">
        <v>6</v>
      </c>
      <c r="D12" s="19" t="n">
        <v>3</v>
      </c>
      <c r="E12" s="19">
        <f>IF(C12="","",MAX(C12-IFERROR(D12,0),0))</f>
        <v/>
      </c>
      <c r="F12" s="17" t="inlineStr">
        <is>
          <t>Target</t>
        </is>
      </c>
      <c r="G12" s="20" t="n">
        <v>0.79</v>
      </c>
      <c r="H12" s="20" t="n">
        <v>0.79</v>
      </c>
      <c r="I12" s="17" t="inlineStr">
        <is>
          <t>No</t>
        </is>
      </c>
      <c r="J12" s="17" t="inlineStr">
        <is>
          <t>Medium</t>
        </is>
      </c>
      <c r="K12" s="18" t="inlineStr"/>
    </row>
    <row r="13">
      <c r="A13" s="13" t="inlineStr">
        <is>
          <t>Supplies</t>
        </is>
      </c>
      <c r="B13" s="14" t="inlineStr">
        <is>
          <t>Binders 1"</t>
        </is>
      </c>
      <c r="C13" s="15" t="n">
        <v>3</v>
      </c>
      <c r="D13" s="15" t="n">
        <v>1</v>
      </c>
      <c r="E13" s="15">
        <f>IF(C13="","",MAX(C13-IFERROR(D13,0),0))</f>
        <v/>
      </c>
      <c r="F13" s="13" t="inlineStr">
        <is>
          <t>Staples</t>
        </is>
      </c>
      <c r="G13" s="16" t="n">
        <v>4.99</v>
      </c>
      <c r="H13" s="16" t="n">
        <v>4.99</v>
      </c>
      <c r="I13" s="13" t="inlineStr">
        <is>
          <t>No</t>
        </is>
      </c>
      <c r="J13" s="13" t="inlineStr">
        <is>
          <t>High</t>
        </is>
      </c>
      <c r="K13" s="14" t="inlineStr"/>
    </row>
    <row r="14">
      <c r="A14" s="17" t="inlineStr">
        <is>
          <t>Supplies</t>
        </is>
      </c>
      <c r="B14" s="18" t="inlineStr">
        <is>
          <t>Highlighters (4pk)</t>
        </is>
      </c>
      <c r="C14" s="19" t="n">
        <v>2</v>
      </c>
      <c r="D14" s="19" t="n">
        <v>2</v>
      </c>
      <c r="E14" s="19">
        <f>IF(C14="","",MAX(C14-IFERROR(D14,0),0))</f>
        <v/>
      </c>
      <c r="F14" s="17" t="inlineStr">
        <is>
          <t>Amazon</t>
        </is>
      </c>
      <c r="G14" s="20" t="n">
        <v>4.49</v>
      </c>
      <c r="H14" s="20" t="n">
        <v>4.49</v>
      </c>
      <c r="I14" s="17" t="inlineStr">
        <is>
          <t>Yes</t>
        </is>
      </c>
      <c r="J14" s="17" t="inlineStr">
        <is>
          <t>Low</t>
        </is>
      </c>
      <c r="K14" s="18" t="inlineStr"/>
    </row>
    <row r="15">
      <c r="A15" s="13" t="inlineStr">
        <is>
          <t>Electronics</t>
        </is>
      </c>
      <c r="B15" s="14" t="inlineStr">
        <is>
          <t>Laptop bag</t>
        </is>
      </c>
      <c r="C15" s="15" t="n">
        <v>1</v>
      </c>
      <c r="D15" s="15" t="n">
        <v>0</v>
      </c>
      <c r="E15" s="15">
        <f>IF(C15="","",MAX(C15-IFERROR(D15,0),0))</f>
        <v/>
      </c>
      <c r="F15" s="13" t="inlineStr">
        <is>
          <t>Amazon</t>
        </is>
      </c>
      <c r="G15" s="16" t="n">
        <v>24.99</v>
      </c>
      <c r="H15" s="16" t="n"/>
      <c r="I15" s="13" t="inlineStr">
        <is>
          <t>No</t>
        </is>
      </c>
      <c r="J15" s="13" t="inlineStr">
        <is>
          <t>High</t>
        </is>
      </c>
      <c r="K15" s="14" t="inlineStr">
        <is>
          <t>13" sleeve</t>
        </is>
      </c>
    </row>
    <row r="16">
      <c r="A16" s="17" t="inlineStr">
        <is>
          <t>Electronics</t>
        </is>
      </c>
      <c r="B16" s="18" t="inlineStr">
        <is>
          <t>USB-C charger</t>
        </is>
      </c>
      <c r="C16" s="19" t="n">
        <v>2</v>
      </c>
      <c r="D16" s="19" t="n">
        <v>1</v>
      </c>
      <c r="E16" s="19">
        <f>IF(C16="","",MAX(C16-IFERROR(D16,0),0))</f>
        <v/>
      </c>
      <c r="F16" s="17" t="inlineStr">
        <is>
          <t>Amazon</t>
        </is>
      </c>
      <c r="G16" s="20" t="n">
        <v>19.99</v>
      </c>
      <c r="H16" s="20" t="n">
        <v>19.99</v>
      </c>
      <c r="I16" s="17" t="inlineStr">
        <is>
          <t>No</t>
        </is>
      </c>
      <c r="J16" s="17" t="inlineStr">
        <is>
          <t>High</t>
        </is>
      </c>
      <c r="K16" s="18" t="inlineStr"/>
    </row>
    <row r="17">
      <c r="A17" s="13" t="inlineStr">
        <is>
          <t>Electronics</t>
        </is>
      </c>
      <c r="B17" s="14" t="inlineStr">
        <is>
          <t>Headphones (wired)</t>
        </is>
      </c>
      <c r="C17" s="15" t="n">
        <v>2</v>
      </c>
      <c r="D17" s="15" t="n">
        <v>2</v>
      </c>
      <c r="E17" s="15">
        <f>IF(C17="","",MAX(C17-IFERROR(D17,0),0))</f>
        <v/>
      </c>
      <c r="F17" s="13" t="inlineStr">
        <is>
          <t>Target</t>
        </is>
      </c>
      <c r="G17" s="16" t="n">
        <v>12.99</v>
      </c>
      <c r="H17" s="16" t="n">
        <v>12.99</v>
      </c>
      <c r="I17" s="13" t="inlineStr">
        <is>
          <t>Yes</t>
        </is>
      </c>
      <c r="J17" s="13" t="inlineStr">
        <is>
          <t>Medium</t>
        </is>
      </c>
      <c r="K17" s="14" t="inlineStr"/>
    </row>
    <row r="18">
      <c r="A18" s="17" t="inlineStr">
        <is>
          <t>Clothing</t>
        </is>
      </c>
      <c r="B18" s="18" t="inlineStr">
        <is>
          <t>School polo</t>
        </is>
      </c>
      <c r="C18" s="19" t="n">
        <v>5</v>
      </c>
      <c r="D18" s="19" t="n">
        <v>2</v>
      </c>
      <c r="E18" s="19">
        <f>IF(C18="","",MAX(C18-IFERROR(D18,0),0))</f>
        <v/>
      </c>
      <c r="F18" s="17" t="inlineStr">
        <is>
          <t>Target</t>
        </is>
      </c>
      <c r="G18" s="20" t="n">
        <v>14.99</v>
      </c>
      <c r="H18" s="20" t="n">
        <v>14.99</v>
      </c>
      <c r="I18" s="17" t="inlineStr">
        <is>
          <t>No</t>
        </is>
      </c>
      <c r="J18" s="17" t="inlineStr">
        <is>
          <t>High</t>
        </is>
      </c>
      <c r="K18" s="18" t="inlineStr">
        <is>
          <t>Navy</t>
        </is>
      </c>
    </row>
    <row r="19">
      <c r="A19" s="13" t="inlineStr">
        <is>
          <t>Clothing</t>
        </is>
      </c>
      <c r="B19" s="14" t="inlineStr">
        <is>
          <t>Khaki pants</t>
        </is>
      </c>
      <c r="C19" s="15" t="n">
        <v>3</v>
      </c>
      <c r="D19" s="15" t="n">
        <v>1</v>
      </c>
      <c r="E19" s="15">
        <f>IF(C19="","",MAX(C19-IFERROR(D19,0),0))</f>
        <v/>
      </c>
      <c r="F19" s="13" t="inlineStr">
        <is>
          <t>Target</t>
        </is>
      </c>
      <c r="G19" s="16" t="n">
        <v>19.99</v>
      </c>
      <c r="H19" s="16" t="n">
        <v>19.99</v>
      </c>
      <c r="I19" s="13" t="inlineStr">
        <is>
          <t>No</t>
        </is>
      </c>
      <c r="J19" s="13" t="inlineStr">
        <is>
          <t>High</t>
        </is>
      </c>
      <c r="K19" s="14" t="inlineStr"/>
    </row>
    <row r="20">
      <c r="A20" s="17" t="inlineStr">
        <is>
          <t>Shoes</t>
        </is>
      </c>
      <c r="B20" s="18" t="inlineStr">
        <is>
          <t>Sneakers</t>
        </is>
      </c>
      <c r="C20" s="19" t="n">
        <v>2</v>
      </c>
      <c r="D20" s="19" t="n">
        <v>1</v>
      </c>
      <c r="E20" s="19">
        <f>IF(C20="","",MAX(C20-IFERROR(D20,0),0))</f>
        <v/>
      </c>
      <c r="F20" s="17" t="inlineStr">
        <is>
          <t>Local</t>
        </is>
      </c>
      <c r="G20" s="20" t="n">
        <v>44.99</v>
      </c>
      <c r="H20" s="20" t="n">
        <v>39.99</v>
      </c>
      <c r="I20" s="17" t="inlineStr">
        <is>
          <t>No</t>
        </is>
      </c>
      <c r="J20" s="17" t="inlineStr">
        <is>
          <t>High</t>
        </is>
      </c>
      <c r="K20" s="18" t="inlineStr">
        <is>
          <t>Size 4 &amp; 7</t>
        </is>
      </c>
    </row>
    <row r="21">
      <c r="A21" s="13" t="inlineStr">
        <is>
          <t>Sports</t>
        </is>
      </c>
      <c r="B21" s="14" t="inlineStr">
        <is>
          <t>Soccer cleats</t>
        </is>
      </c>
      <c r="C21" s="15" t="n">
        <v>1</v>
      </c>
      <c r="D21" s="15" t="n">
        <v>0</v>
      </c>
      <c r="E21" s="15">
        <f>IF(C21="","",MAX(C21-IFERROR(D21,0),0))</f>
        <v/>
      </c>
      <c r="F21" s="13" t="inlineStr">
        <is>
          <t>Local</t>
        </is>
      </c>
      <c r="G21" s="16" t="n">
        <v>54.99</v>
      </c>
      <c r="H21" s="16" t="n"/>
      <c r="I21" s="13" t="inlineStr">
        <is>
          <t>No</t>
        </is>
      </c>
      <c r="J21" s="13" t="inlineStr">
        <is>
          <t>Medium</t>
        </is>
      </c>
      <c r="K21" s="14" t="inlineStr">
        <is>
          <t>Try-on 8/24</t>
        </is>
      </c>
    </row>
    <row r="22">
      <c r="A22" s="17" t="inlineStr">
        <is>
          <t>Lunch Supplies</t>
        </is>
      </c>
      <c r="B22" s="18" t="inlineStr">
        <is>
          <t>Lunch box</t>
        </is>
      </c>
      <c r="C22" s="19" t="n">
        <v>2</v>
      </c>
      <c r="D22" s="19" t="n">
        <v>2</v>
      </c>
      <c r="E22" s="19">
        <f>IF(C22="","",MAX(C22-IFERROR(D22,0),0))</f>
        <v/>
      </c>
      <c r="F22" s="17" t="inlineStr">
        <is>
          <t>Target</t>
        </is>
      </c>
      <c r="G22" s="20" t="n">
        <v>12.99</v>
      </c>
      <c r="H22" s="20" t="n">
        <v>12.99</v>
      </c>
      <c r="I22" s="17" t="inlineStr">
        <is>
          <t>Yes</t>
        </is>
      </c>
      <c r="J22" s="17" t="inlineStr">
        <is>
          <t>High</t>
        </is>
      </c>
      <c r="K22" s="18" t="inlineStr"/>
    </row>
    <row r="23">
      <c r="A23" s="13" t="inlineStr">
        <is>
          <t>Lunch Supplies</t>
        </is>
      </c>
      <c r="B23" s="14" t="inlineStr">
        <is>
          <t>Water bottle</t>
        </is>
      </c>
      <c r="C23" s="15" t="n">
        <v>2</v>
      </c>
      <c r="D23" s="15" t="n">
        <v>1</v>
      </c>
      <c r="E23" s="15">
        <f>IF(C23="","",MAX(C23-IFERROR(D23,0),0))</f>
        <v/>
      </c>
      <c r="F23" s="13" t="inlineStr">
        <is>
          <t>Target</t>
        </is>
      </c>
      <c r="G23" s="16" t="n">
        <v>9.99</v>
      </c>
      <c r="H23" s="16" t="n">
        <v>9.99</v>
      </c>
      <c r="I23" s="13" t="inlineStr">
        <is>
          <t>No</t>
        </is>
      </c>
      <c r="J23" s="13" t="inlineStr">
        <is>
          <t>High</t>
        </is>
      </c>
      <c r="K23" s="14" t="inlineStr"/>
    </row>
    <row r="24">
      <c r="A24" s="17" t="inlineStr">
        <is>
          <t>Fees</t>
        </is>
      </c>
      <c r="B24" s="18" t="inlineStr">
        <is>
          <t>Registration fee</t>
        </is>
      </c>
      <c r="C24" s="19" t="n">
        <v>1</v>
      </c>
      <c r="D24" s="19" t="n">
        <v>0</v>
      </c>
      <c r="E24" s="19">
        <f>IF(C24="","",MAX(C24-IFERROR(D24,0),0))</f>
        <v/>
      </c>
      <c r="F24" s="17" t="inlineStr">
        <is>
          <t>Other</t>
        </is>
      </c>
      <c r="G24" s="20" t="n">
        <v>125</v>
      </c>
      <c r="H24" s="20" t="n"/>
      <c r="I24" s="17" t="inlineStr">
        <is>
          <t>No</t>
        </is>
      </c>
      <c r="J24" s="17" t="inlineStr">
        <is>
          <t>High</t>
        </is>
      </c>
      <c r="K24" s="18" t="inlineStr">
        <is>
          <t>Due 8/20</t>
        </is>
      </c>
    </row>
    <row r="25">
      <c r="A25" s="13" t="inlineStr">
        <is>
          <t>Fees</t>
        </is>
      </c>
      <c r="B25" s="14" t="inlineStr">
        <is>
          <t>Field trip deposit</t>
        </is>
      </c>
      <c r="C25" s="15" t="n">
        <v>1</v>
      </c>
      <c r="D25" s="15" t="n">
        <v>0</v>
      </c>
      <c r="E25" s="15">
        <f>IF(C25="","",MAX(C25-IFERROR(D25,0),0))</f>
        <v/>
      </c>
      <c r="F25" s="13" t="inlineStr">
        <is>
          <t>Other</t>
        </is>
      </c>
      <c r="G25" s="16" t="n">
        <v>35</v>
      </c>
      <c r="H25" s="16" t="n"/>
      <c r="I25" s="13" t="inlineStr">
        <is>
          <t>No</t>
        </is>
      </c>
      <c r="J25" s="13" t="inlineStr">
        <is>
          <t>Medium</t>
        </is>
      </c>
      <c r="K25" s="14" t="inlineStr"/>
    </row>
    <row r="26">
      <c r="A26" s="17" t="inlineStr">
        <is>
          <t>Miscellaneous</t>
        </is>
      </c>
      <c r="B26" s="18" t="inlineStr">
        <is>
          <t>Locker organizer</t>
        </is>
      </c>
      <c r="C26" s="19" t="n">
        <v>1</v>
      </c>
      <c r="D26" s="19" t="n">
        <v>0</v>
      </c>
      <c r="E26" s="19">
        <f>IF(C26="","",MAX(C26-IFERROR(D26,0),0))</f>
        <v/>
      </c>
      <c r="F26" s="17" t="inlineStr">
        <is>
          <t>Amazon</t>
        </is>
      </c>
      <c r="G26" s="20" t="n">
        <v>16.99</v>
      </c>
      <c r="H26" s="20" t="n"/>
      <c r="I26" s="17" t="inlineStr">
        <is>
          <t>No</t>
        </is>
      </c>
      <c r="J26" s="17" t="inlineStr">
        <is>
          <t>Low</t>
        </is>
      </c>
      <c r="K26" s="18" t="inlineStr"/>
    </row>
    <row r="27">
      <c r="A27" s="13" t="n"/>
      <c r="B27" s="14" t="n"/>
      <c r="C27" s="15" t="n"/>
      <c r="D27" s="15" t="n"/>
      <c r="E27" s="15">
        <f>IF(C27="","",MAX(C27-IFERROR(D27,0),0))</f>
        <v/>
      </c>
      <c r="F27" s="13" t="n"/>
      <c r="G27" s="16" t="n"/>
      <c r="H27" s="16" t="n"/>
      <c r="I27" s="13" t="n"/>
      <c r="J27" s="13" t="n"/>
      <c r="K27" s="14" t="n"/>
    </row>
    <row r="28">
      <c r="A28" s="17" t="n"/>
      <c r="B28" s="18" t="n"/>
      <c r="C28" s="19" t="n"/>
      <c r="D28" s="19" t="n"/>
      <c r="E28" s="19">
        <f>IF(C28="","",MAX(C28-IFERROR(D28,0),0))</f>
        <v/>
      </c>
      <c r="F28" s="17" t="n"/>
      <c r="G28" s="20" t="n"/>
      <c r="H28" s="20" t="n"/>
      <c r="I28" s="17" t="n"/>
      <c r="J28" s="17" t="n"/>
      <c r="K28" s="18" t="n"/>
    </row>
    <row r="29">
      <c r="A29" s="13" t="n"/>
      <c r="B29" s="14" t="n"/>
      <c r="C29" s="15" t="n"/>
      <c r="D29" s="15" t="n"/>
      <c r="E29" s="15">
        <f>IF(C29="","",MAX(C29-IFERROR(D29,0),0))</f>
        <v/>
      </c>
      <c r="F29" s="13" t="n"/>
      <c r="G29" s="16" t="n"/>
      <c r="H29" s="16" t="n"/>
      <c r="I29" s="13" t="n"/>
      <c r="J29" s="13" t="n"/>
      <c r="K29" s="14" t="n"/>
    </row>
    <row r="30">
      <c r="A30" s="17" t="n"/>
      <c r="B30" s="18" t="n"/>
      <c r="C30" s="19" t="n"/>
      <c r="D30" s="19" t="n"/>
      <c r="E30" s="19">
        <f>IF(C30="","",MAX(C30-IFERROR(D30,0),0))</f>
        <v/>
      </c>
      <c r="F30" s="17" t="n"/>
      <c r="G30" s="20" t="n"/>
      <c r="H30" s="20" t="n"/>
      <c r="I30" s="17" t="n"/>
      <c r="J30" s="17" t="n"/>
      <c r="K30" s="18" t="n"/>
    </row>
    <row r="31">
      <c r="A31" s="13" t="n"/>
      <c r="B31" s="14" t="n"/>
      <c r="C31" s="15" t="n"/>
      <c r="D31" s="15" t="n"/>
      <c r="E31" s="15">
        <f>IF(C31="","",MAX(C31-IFERROR(D31,0),0))</f>
        <v/>
      </c>
      <c r="F31" s="13" t="n"/>
      <c r="G31" s="16" t="n"/>
      <c r="H31" s="16" t="n"/>
      <c r="I31" s="13" t="n"/>
      <c r="J31" s="13" t="n"/>
      <c r="K31" s="14" t="n"/>
    </row>
    <row r="32">
      <c r="A32" s="17" t="n"/>
      <c r="B32" s="18" t="n"/>
      <c r="C32" s="19" t="n"/>
      <c r="D32" s="19" t="n"/>
      <c r="E32" s="19">
        <f>IF(C32="","",MAX(C32-IFERROR(D32,0),0))</f>
        <v/>
      </c>
      <c r="F32" s="17" t="n"/>
      <c r="G32" s="20" t="n"/>
      <c r="H32" s="20" t="n"/>
      <c r="I32" s="17" t="n"/>
      <c r="J32" s="17" t="n"/>
      <c r="K32" s="18" t="n"/>
    </row>
    <row r="33">
      <c r="A33" s="13" t="n"/>
      <c r="B33" s="14" t="n"/>
      <c r="C33" s="15" t="n"/>
      <c r="D33" s="15" t="n"/>
      <c r="E33" s="15">
        <f>IF(C33="","",MAX(C33-IFERROR(D33,0),0))</f>
        <v/>
      </c>
      <c r="F33" s="13" t="n"/>
      <c r="G33" s="16" t="n"/>
      <c r="H33" s="16" t="n"/>
      <c r="I33" s="13" t="n"/>
      <c r="J33" s="13" t="n"/>
      <c r="K33" s="14" t="n"/>
    </row>
    <row r="34">
      <c r="A34" s="17" t="n"/>
      <c r="B34" s="18" t="n"/>
      <c r="C34" s="19" t="n"/>
      <c r="D34" s="19" t="n"/>
      <c r="E34" s="19">
        <f>IF(C34="","",MAX(C34-IFERROR(D34,0),0))</f>
        <v/>
      </c>
      <c r="F34" s="17" t="n"/>
      <c r="G34" s="20" t="n"/>
      <c r="H34" s="20" t="n"/>
      <c r="I34" s="17" t="n"/>
      <c r="J34" s="17" t="n"/>
      <c r="K34" s="18" t="n"/>
    </row>
    <row r="35">
      <c r="A35" s="13" t="n"/>
      <c r="B35" s="14" t="n"/>
      <c r="C35" s="15" t="n"/>
      <c r="D35" s="15" t="n"/>
      <c r="E35" s="15">
        <f>IF(C35="","",MAX(C35-IFERROR(D35,0),0))</f>
        <v/>
      </c>
      <c r="F35" s="13" t="n"/>
      <c r="G35" s="16" t="n"/>
      <c r="H35" s="16" t="n"/>
      <c r="I35" s="13" t="n"/>
      <c r="J35" s="13" t="n"/>
      <c r="K35" s="14" t="n"/>
    </row>
    <row r="36">
      <c r="A36" s="17" t="n"/>
      <c r="B36" s="18" t="n"/>
      <c r="C36" s="19" t="n"/>
      <c r="D36" s="19" t="n"/>
      <c r="E36" s="19">
        <f>IF(C36="","",MAX(C36-IFERROR(D36,0),0))</f>
        <v/>
      </c>
      <c r="F36" s="17" t="n"/>
      <c r="G36" s="20" t="n"/>
      <c r="H36" s="20" t="n"/>
      <c r="I36" s="17" t="n"/>
      <c r="J36" s="17" t="n"/>
      <c r="K36" s="18" t="n"/>
    </row>
    <row r="37">
      <c r="A37" s="13" t="n"/>
      <c r="B37" s="14" t="n"/>
      <c r="C37" s="15" t="n"/>
      <c r="D37" s="15" t="n"/>
      <c r="E37" s="15">
        <f>IF(C37="","",MAX(C37-IFERROR(D37,0),0))</f>
        <v/>
      </c>
      <c r="F37" s="13" t="n"/>
      <c r="G37" s="16" t="n"/>
      <c r="H37" s="16" t="n"/>
      <c r="I37" s="13" t="n"/>
      <c r="J37" s="13" t="n"/>
      <c r="K37" s="14" t="n"/>
    </row>
    <row r="38">
      <c r="A38" s="17" t="n"/>
      <c r="B38" s="18" t="n"/>
      <c r="C38" s="19" t="n"/>
      <c r="D38" s="19" t="n"/>
      <c r="E38" s="19">
        <f>IF(C38="","",MAX(C38-IFERROR(D38,0),0))</f>
        <v/>
      </c>
      <c r="F38" s="17" t="n"/>
      <c r="G38" s="20" t="n"/>
      <c r="H38" s="20" t="n"/>
      <c r="I38" s="17" t="n"/>
      <c r="J38" s="17" t="n"/>
      <c r="K38" s="18" t="n"/>
    </row>
    <row r="39">
      <c r="A39" s="13" t="n"/>
      <c r="B39" s="14" t="n"/>
      <c r="C39" s="15" t="n"/>
      <c r="D39" s="15" t="n"/>
      <c r="E39" s="15">
        <f>IF(C39="","",MAX(C39-IFERROR(D39,0),0))</f>
        <v/>
      </c>
      <c r="F39" s="13" t="n"/>
      <c r="G39" s="16" t="n"/>
      <c r="H39" s="16" t="n"/>
      <c r="I39" s="13" t="n"/>
      <c r="J39" s="13" t="n"/>
      <c r="K39" s="14" t="n"/>
    </row>
    <row r="40">
      <c r="A40" s="17" t="n"/>
      <c r="B40" s="18" t="n"/>
      <c r="C40" s="19" t="n"/>
      <c r="D40" s="19" t="n"/>
      <c r="E40" s="19">
        <f>IF(C40="","",MAX(C40-IFERROR(D40,0),0))</f>
        <v/>
      </c>
      <c r="F40" s="17" t="n"/>
      <c r="G40" s="20" t="n"/>
      <c r="H40" s="20" t="n"/>
      <c r="I40" s="17" t="n"/>
      <c r="J40" s="17" t="n"/>
      <c r="K40" s="18" t="n"/>
    </row>
    <row r="41">
      <c r="A41" s="13" t="n"/>
      <c r="B41" s="14" t="n"/>
      <c r="C41" s="15" t="n"/>
      <c r="D41" s="15" t="n"/>
      <c r="E41" s="15">
        <f>IF(C41="","",MAX(C41-IFERROR(D41,0),0))</f>
        <v/>
      </c>
      <c r="F41" s="13" t="n"/>
      <c r="G41" s="16" t="n"/>
      <c r="H41" s="16" t="n"/>
      <c r="I41" s="13" t="n"/>
      <c r="J41" s="13" t="n"/>
      <c r="K41" s="14" t="n"/>
    </row>
    <row r="42">
      <c r="A42" s="17" t="n"/>
      <c r="B42" s="18" t="n"/>
      <c r="C42" s="19" t="n"/>
      <c r="D42" s="19" t="n"/>
      <c r="E42" s="19">
        <f>IF(C42="","",MAX(C42-IFERROR(D42,0),0))</f>
        <v/>
      </c>
      <c r="F42" s="17" t="n"/>
      <c r="G42" s="20" t="n"/>
      <c r="H42" s="20" t="n"/>
      <c r="I42" s="17" t="n"/>
      <c r="J42" s="17" t="n"/>
      <c r="K42" s="18" t="n"/>
    </row>
    <row r="43">
      <c r="A43" s="13" t="n"/>
      <c r="B43" s="14" t="n"/>
      <c r="C43" s="15" t="n"/>
      <c r="D43" s="15" t="n"/>
      <c r="E43" s="15">
        <f>IF(C43="","",MAX(C43-IFERROR(D43,0),0))</f>
        <v/>
      </c>
      <c r="F43" s="13" t="n"/>
      <c r="G43" s="16" t="n"/>
      <c r="H43" s="16" t="n"/>
      <c r="I43" s="13" t="n"/>
      <c r="J43" s="13" t="n"/>
      <c r="K43" s="14" t="n"/>
    </row>
    <row r="44">
      <c r="A44" s="17" t="n"/>
      <c r="B44" s="18" t="n"/>
      <c r="C44" s="19" t="n"/>
      <c r="D44" s="19" t="n"/>
      <c r="E44" s="19">
        <f>IF(C44="","",MAX(C44-IFERROR(D44,0),0))</f>
        <v/>
      </c>
      <c r="F44" s="17" t="n"/>
      <c r="G44" s="20" t="n"/>
      <c r="H44" s="20" t="n"/>
      <c r="I44" s="17" t="n"/>
      <c r="J44" s="17" t="n"/>
      <c r="K44" s="18" t="n"/>
    </row>
    <row r="45">
      <c r="A45" s="13" t="n"/>
      <c r="B45" s="14" t="n"/>
      <c r="C45" s="15" t="n"/>
      <c r="D45" s="15" t="n"/>
      <c r="E45" s="15">
        <f>IF(C45="","",MAX(C45-IFERROR(D45,0),0))</f>
        <v/>
      </c>
      <c r="F45" s="13" t="n"/>
      <c r="G45" s="16" t="n"/>
      <c r="H45" s="16" t="n"/>
      <c r="I45" s="13" t="n"/>
      <c r="J45" s="13" t="n"/>
      <c r="K45" s="14" t="n"/>
    </row>
    <row r="46">
      <c r="A46" s="17" t="n"/>
      <c r="B46" s="18" t="n"/>
      <c r="C46" s="19" t="n"/>
      <c r="D46" s="19" t="n"/>
      <c r="E46" s="19">
        <f>IF(C46="","",MAX(C46-IFERROR(D46,0),0))</f>
        <v/>
      </c>
      <c r="F46" s="17" t="n"/>
      <c r="G46" s="20" t="n"/>
      <c r="H46" s="20" t="n"/>
      <c r="I46" s="17" t="n"/>
      <c r="J46" s="17" t="n"/>
      <c r="K46" s="18" t="n"/>
    </row>
    <row r="47">
      <c r="A47" s="13" t="n"/>
      <c r="B47" s="14" t="n"/>
      <c r="C47" s="15" t="n"/>
      <c r="D47" s="15" t="n"/>
      <c r="E47" s="15">
        <f>IF(C47="","",MAX(C47-IFERROR(D47,0),0))</f>
        <v/>
      </c>
      <c r="F47" s="13" t="n"/>
      <c r="G47" s="16" t="n"/>
      <c r="H47" s="16" t="n"/>
      <c r="I47" s="13" t="n"/>
      <c r="J47" s="13" t="n"/>
      <c r="K47" s="14" t="n"/>
    </row>
    <row r="48">
      <c r="A48" s="17" t="n"/>
      <c r="B48" s="18" t="n"/>
      <c r="C48" s="19" t="n"/>
      <c r="D48" s="19" t="n"/>
      <c r="E48" s="19">
        <f>IF(C48="","",MAX(C48-IFERROR(D48,0),0))</f>
        <v/>
      </c>
      <c r="F48" s="17" t="n"/>
      <c r="G48" s="20" t="n"/>
      <c r="H48" s="20" t="n"/>
      <c r="I48" s="17" t="n"/>
      <c r="J48" s="17" t="n"/>
      <c r="K48" s="18" t="n"/>
    </row>
    <row r="49">
      <c r="A49" s="13" t="n"/>
      <c r="B49" s="14" t="n"/>
      <c r="C49" s="15" t="n"/>
      <c r="D49" s="15" t="n"/>
      <c r="E49" s="15">
        <f>IF(C49="","",MAX(C49-IFERROR(D49,0),0))</f>
        <v/>
      </c>
      <c r="F49" s="13" t="n"/>
      <c r="G49" s="16" t="n"/>
      <c r="H49" s="16" t="n"/>
      <c r="I49" s="13" t="n"/>
      <c r="J49" s="13" t="n"/>
      <c r="K49" s="14" t="n"/>
    </row>
    <row r="50">
      <c r="A50" s="17" t="n"/>
      <c r="B50" s="18" t="n"/>
      <c r="C50" s="19" t="n"/>
      <c r="D50" s="19" t="n"/>
      <c r="E50" s="19">
        <f>IF(C50="","",MAX(C50-IFERROR(D50,0),0))</f>
        <v/>
      </c>
      <c r="F50" s="17" t="n"/>
      <c r="G50" s="20" t="n"/>
      <c r="H50" s="20" t="n"/>
      <c r="I50" s="17" t="n"/>
      <c r="J50" s="17" t="n"/>
      <c r="K50" s="18" t="n"/>
    </row>
    <row r="51">
      <c r="A51" s="13" t="n"/>
      <c r="B51" s="14" t="n"/>
      <c r="C51" s="15" t="n"/>
      <c r="D51" s="15" t="n"/>
      <c r="E51" s="15">
        <f>IF(C51="","",MAX(C51-IFERROR(D51,0),0))</f>
        <v/>
      </c>
      <c r="F51" s="13" t="n"/>
      <c r="G51" s="16" t="n"/>
      <c r="H51" s="16" t="n"/>
      <c r="I51" s="13" t="n"/>
      <c r="J51" s="13" t="n"/>
      <c r="K51" s="14" t="n"/>
    </row>
    <row r="52">
      <c r="A52" s="17" t="n"/>
      <c r="B52" s="18" t="n"/>
      <c r="C52" s="19" t="n"/>
      <c r="D52" s="19" t="n"/>
      <c r="E52" s="19">
        <f>IF(C52="","",MAX(C52-IFERROR(D52,0),0))</f>
        <v/>
      </c>
      <c r="F52" s="17" t="n"/>
      <c r="G52" s="20" t="n"/>
      <c r="H52" s="20" t="n"/>
      <c r="I52" s="17" t="n"/>
      <c r="J52" s="17" t="n"/>
      <c r="K52" s="18" t="n"/>
    </row>
    <row r="53">
      <c r="A53" s="13" t="n"/>
      <c r="B53" s="14" t="n"/>
      <c r="C53" s="15" t="n"/>
      <c r="D53" s="15" t="n"/>
      <c r="E53" s="15">
        <f>IF(C53="","",MAX(C53-IFERROR(D53,0),0))</f>
        <v/>
      </c>
      <c r="F53" s="13" t="n"/>
      <c r="G53" s="16" t="n"/>
      <c r="H53" s="16" t="n"/>
      <c r="I53" s="13" t="n"/>
      <c r="J53" s="13" t="n"/>
      <c r="K53" s="14" t="n"/>
    </row>
    <row r="54">
      <c r="A54" s="17" t="n"/>
      <c r="B54" s="18" t="n"/>
      <c r="C54" s="19" t="n"/>
      <c r="D54" s="19" t="n"/>
      <c r="E54" s="19">
        <f>IF(C54="","",MAX(C54-IFERROR(D54,0),0))</f>
        <v/>
      </c>
      <c r="F54" s="17" t="n"/>
      <c r="G54" s="20" t="n"/>
      <c r="H54" s="20" t="n"/>
      <c r="I54" s="17" t="n"/>
      <c r="J54" s="17" t="n"/>
      <c r="K54" s="18" t="n"/>
    </row>
    <row r="55">
      <c r="A55" s="13" t="n"/>
      <c r="B55" s="14" t="n"/>
      <c r="C55" s="15" t="n"/>
      <c r="D55" s="15" t="n"/>
      <c r="E55" s="15">
        <f>IF(C55="","",MAX(C55-IFERROR(D55,0),0))</f>
        <v/>
      </c>
      <c r="F55" s="13" t="n"/>
      <c r="G55" s="16" t="n"/>
      <c r="H55" s="16" t="n"/>
      <c r="I55" s="13" t="n"/>
      <c r="J55" s="13" t="n"/>
      <c r="K55" s="14" t="n"/>
    </row>
    <row r="56">
      <c r="A56" s="17" t="n"/>
      <c r="B56" s="18" t="n"/>
      <c r="C56" s="19" t="n"/>
      <c r="D56" s="19" t="n"/>
      <c r="E56" s="19">
        <f>IF(C56="","",MAX(C56-IFERROR(D56,0),0))</f>
        <v/>
      </c>
      <c r="F56" s="17" t="n"/>
      <c r="G56" s="20" t="n"/>
      <c r="H56" s="20" t="n"/>
      <c r="I56" s="17" t="n"/>
      <c r="J56" s="17" t="n"/>
      <c r="K56" s="18" t="n"/>
    </row>
    <row r="57">
      <c r="A57" s="13" t="n"/>
      <c r="B57" s="14" t="n"/>
      <c r="C57" s="15" t="n"/>
      <c r="D57" s="15" t="n"/>
      <c r="E57" s="15">
        <f>IF(C57="","",MAX(C57-IFERROR(D57,0),0))</f>
        <v/>
      </c>
      <c r="F57" s="13" t="n"/>
      <c r="G57" s="16" t="n"/>
      <c r="H57" s="16" t="n"/>
      <c r="I57" s="13" t="n"/>
      <c r="J57" s="13" t="n"/>
      <c r="K57" s="14" t="n"/>
    </row>
    <row r="58">
      <c r="A58" s="17" t="n"/>
      <c r="B58" s="18" t="n"/>
      <c r="C58" s="19" t="n"/>
      <c r="D58" s="19" t="n"/>
      <c r="E58" s="19">
        <f>IF(C58="","",MAX(C58-IFERROR(D58,0),0))</f>
        <v/>
      </c>
      <c r="F58" s="17" t="n"/>
      <c r="G58" s="20" t="n"/>
      <c r="H58" s="20" t="n"/>
      <c r="I58" s="17" t="n"/>
      <c r="J58" s="17" t="n"/>
      <c r="K58" s="18" t="n"/>
    </row>
    <row r="59">
      <c r="A59" s="13" t="n"/>
      <c r="B59" s="14" t="n"/>
      <c r="C59" s="15" t="n"/>
      <c r="D59" s="15" t="n"/>
      <c r="E59" s="15">
        <f>IF(C59="","",MAX(C59-IFERROR(D59,0),0))</f>
        <v/>
      </c>
      <c r="F59" s="13" t="n"/>
      <c r="G59" s="16" t="n"/>
      <c r="H59" s="16" t="n"/>
      <c r="I59" s="13" t="n"/>
      <c r="J59" s="13" t="n"/>
      <c r="K59" s="14" t="n"/>
    </row>
    <row r="60">
      <c r="A60" s="17" t="n"/>
      <c r="B60" s="18" t="n"/>
      <c r="C60" s="19" t="n"/>
      <c r="D60" s="19" t="n"/>
      <c r="E60" s="19">
        <f>IF(C60="","",MAX(C60-IFERROR(D60,0),0))</f>
        <v/>
      </c>
      <c r="F60" s="17" t="n"/>
      <c r="G60" s="20" t="n"/>
      <c r="H60" s="20" t="n"/>
      <c r="I60" s="17" t="n"/>
      <c r="J60" s="17" t="n"/>
      <c r="K60" s="18" t="n"/>
    </row>
    <row r="61">
      <c r="A61" s="13" t="n"/>
      <c r="B61" s="14" t="n"/>
      <c r="C61" s="15" t="n"/>
      <c r="D61" s="15" t="n"/>
      <c r="E61" s="15">
        <f>IF(C61="","",MAX(C61-IFERROR(D61,0),0))</f>
        <v/>
      </c>
      <c r="F61" s="13" t="n"/>
      <c r="G61" s="16" t="n"/>
      <c r="H61" s="16" t="n"/>
      <c r="I61" s="13" t="n"/>
      <c r="J61" s="13" t="n"/>
      <c r="K61" s="14" t="n"/>
    </row>
    <row r="62">
      <c r="A62" s="17" t="n"/>
      <c r="B62" s="18" t="n"/>
      <c r="C62" s="19" t="n"/>
      <c r="D62" s="19" t="n"/>
      <c r="E62" s="19">
        <f>IF(C62="","",MAX(C62-IFERROR(D62,0),0))</f>
        <v/>
      </c>
      <c r="F62" s="17" t="n"/>
      <c r="G62" s="20" t="n"/>
      <c r="H62" s="20" t="n"/>
      <c r="I62" s="17" t="n"/>
      <c r="J62" s="17" t="n"/>
      <c r="K62" s="18" t="n"/>
    </row>
    <row r="63">
      <c r="A63" s="13" t="n"/>
      <c r="B63" s="14" t="n"/>
      <c r="C63" s="15" t="n"/>
      <c r="D63" s="15" t="n"/>
      <c r="E63" s="15">
        <f>IF(C63="","",MAX(C63-IFERROR(D63,0),0))</f>
        <v/>
      </c>
      <c r="F63" s="13" t="n"/>
      <c r="G63" s="16" t="n"/>
      <c r="H63" s="16" t="n"/>
      <c r="I63" s="13" t="n"/>
      <c r="J63" s="13" t="n"/>
      <c r="K63" s="14" t="n"/>
    </row>
    <row r="64">
      <c r="A64" s="17" t="n"/>
      <c r="B64" s="18" t="n"/>
      <c r="C64" s="19" t="n"/>
      <c r="D64" s="19" t="n"/>
      <c r="E64" s="19">
        <f>IF(C64="","",MAX(C64-IFERROR(D64,0),0))</f>
        <v/>
      </c>
      <c r="F64" s="17" t="n"/>
      <c r="G64" s="20" t="n"/>
      <c r="H64" s="20" t="n"/>
      <c r="I64" s="17" t="n"/>
      <c r="J64" s="17" t="n"/>
      <c r="K64" s="18" t="n"/>
    </row>
  </sheetData>
  <mergeCells count="2">
    <mergeCell ref="A2:K2"/>
    <mergeCell ref="A1:K1"/>
  </mergeCells>
  <conditionalFormatting sqref="A5:K64">
    <cfRule type="expression" priority="1" dxfId="0">
      <formula>$I5="Yes"</formula>
    </cfRule>
  </conditionalFormatting>
  <conditionalFormatting sqref="J5:J64">
    <cfRule type="cellIs" priority="2" operator="equal" dxfId="1">
      <formula>"High"</formula>
    </cfRule>
  </conditionalFormatting>
  <conditionalFormatting sqref="E5:E64">
    <cfRule type="cellIs" priority="3" operator="greaterThan" dxfId="2">
      <formula>0</formula>
    </cfRule>
  </conditionalFormatting>
  <dataValidations count="4">
    <dataValidation sqref="A5:A64" showDropDown="0" showInputMessage="0" showErrorMessage="0" allowBlank="1" type="list">
      <formula1>=CategoryList</formula1>
    </dataValidation>
    <dataValidation sqref="F5:F64" showDropDown="0" showInputMessage="0" showErrorMessage="0" allowBlank="1" type="list">
      <formula1>=StoreList</formula1>
    </dataValidation>
    <dataValidation sqref="I5:I64" showDropDown="0" showInputMessage="0" showErrorMessage="0" allowBlank="1" type="list">
      <formula1>=YesNoList</formula1>
    </dataValidation>
    <dataValidation sqref="J5:J64" showDropDown="0" showInputMessage="0" showErrorMessage="0" allowBlank="1" type="list">
      <formula1>=PriorityList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4F48"/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8" customWidth="1" min="5" max="5"/>
    <col width="4" customWidth="1" min="6" max="6"/>
    <col width="24" customWidth="1" min="7" max="7"/>
    <col width="20" customWidth="1" min="8" max="8"/>
  </cols>
  <sheetData>
    <row r="1" ht="44" customHeight="1">
      <c r="A1" s="1" t="inlineStr">
        <is>
          <t xml:space="preserve">  💰  BACK-TO-SCHOOL BUDGET</t>
        </is>
      </c>
    </row>
    <row r="2" ht="22" customHeight="1">
      <c r="A2" s="2" t="inlineStr">
        <is>
          <t xml:space="preserve">  Plan, track, and check variance across categories.</t>
        </is>
      </c>
    </row>
    <row r="4" ht="30" customHeight="1">
      <c r="A4" s="12" t="inlineStr">
        <is>
          <t>Category</t>
        </is>
      </c>
      <c r="B4" s="12" t="inlineStr">
        <is>
          <t>Planned</t>
        </is>
      </c>
      <c r="C4" s="12" t="inlineStr">
        <is>
          <t>Actual</t>
        </is>
      </c>
      <c r="D4" s="12" t="inlineStr">
        <is>
          <t>Variance</t>
        </is>
      </c>
      <c r="E4" s="12" t="inlineStr">
        <is>
          <t>% Spent</t>
        </is>
      </c>
      <c r="G4" s="8" t="inlineStr">
        <is>
          <t>BUDGET KPIs</t>
        </is>
      </c>
    </row>
    <row r="5" ht="22" customHeight="1">
      <c r="A5" s="14" t="inlineStr">
        <is>
          <t>Supplies</t>
        </is>
      </c>
      <c r="B5" s="21" t="n">
        <v>200</v>
      </c>
      <c r="C5" s="16">
        <f>IFERROR(SUMIFS(SupActual,Supplies!$A$5:$A$64,A5),0)</f>
        <v/>
      </c>
      <c r="D5" s="22">
        <f>B5-C5</f>
        <v/>
      </c>
      <c r="E5" s="23">
        <f>IFERROR(C5/B5,0)</f>
        <v/>
      </c>
      <c r="G5" s="10" t="inlineStr">
        <is>
          <t>Planned Budget</t>
        </is>
      </c>
      <c r="H5" s="24">
        <f>BudgetTotalPlanned</f>
        <v/>
      </c>
    </row>
    <row r="6" ht="22" customHeight="1">
      <c r="A6" s="18" t="inlineStr">
        <is>
          <t>Clothing</t>
        </is>
      </c>
      <c r="B6" s="25" t="n">
        <v>260</v>
      </c>
      <c r="C6" s="20">
        <f>IFERROR(SUMIFS(SupActual,Supplies!$A$5:$A$64,A6),0)</f>
        <v/>
      </c>
      <c r="D6" s="26">
        <f>B6-C6</f>
        <v/>
      </c>
      <c r="E6" s="27">
        <f>IFERROR(C6/B6,0)</f>
        <v/>
      </c>
      <c r="G6" s="10" t="inlineStr">
        <is>
          <t>Actual Spending</t>
        </is>
      </c>
      <c r="H6" s="24">
        <f>BudgetTotalActual</f>
        <v/>
      </c>
    </row>
    <row r="7" ht="22" customHeight="1">
      <c r="A7" s="14" t="inlineStr">
        <is>
          <t>Shoes</t>
        </is>
      </c>
      <c r="B7" s="21" t="n">
        <v>120</v>
      </c>
      <c r="C7" s="16">
        <f>IFERROR(SUMIFS(SupActual,Supplies!$A$5:$A$64,A7),0)</f>
        <v/>
      </c>
      <c r="D7" s="22">
        <f>B7-C7</f>
        <v/>
      </c>
      <c r="E7" s="23">
        <f>IFERROR(C7/B7,0)</f>
        <v/>
      </c>
      <c r="G7" s="10" t="inlineStr">
        <is>
          <t>Remaining</t>
        </is>
      </c>
      <c r="H7" s="24">
        <f>TotalBudget-BudgetTotalActual</f>
        <v/>
      </c>
    </row>
    <row r="8" ht="22" customHeight="1">
      <c r="A8" s="18" t="inlineStr">
        <is>
          <t>Electronics</t>
        </is>
      </c>
      <c r="B8" s="25" t="n">
        <v>180</v>
      </c>
      <c r="C8" s="20">
        <f>IFERROR(SUMIFS(SupActual,Supplies!$A$5:$A$64,A8),0)</f>
        <v/>
      </c>
      <c r="D8" s="26">
        <f>B8-C8</f>
        <v/>
      </c>
      <c r="E8" s="27">
        <f>IFERROR(C8/B8,0)</f>
        <v/>
      </c>
      <c r="G8" s="10" t="inlineStr">
        <is>
          <t>% Spent</t>
        </is>
      </c>
      <c r="H8" s="28">
        <f>IFERROR(BudgetTotalActual/TotalBudget,0)</f>
        <v/>
      </c>
    </row>
    <row r="9" ht="22" customHeight="1">
      <c r="A9" s="14" t="inlineStr">
        <is>
          <t>Sports</t>
        </is>
      </c>
      <c r="B9" s="21" t="n">
        <v>90</v>
      </c>
      <c r="C9" s="16">
        <f>IFERROR(SUMIFS(SupActual,Supplies!$A$5:$A$64,A9),0)</f>
        <v/>
      </c>
      <c r="D9" s="22">
        <f>B9-C9</f>
        <v/>
      </c>
      <c r="E9" s="23">
        <f>IFERROR(C9/B9,0)</f>
        <v/>
      </c>
    </row>
    <row r="10" ht="22" customHeight="1">
      <c r="A10" s="18" t="inlineStr">
        <is>
          <t>Lunch Supplies</t>
        </is>
      </c>
      <c r="B10" s="25" t="n">
        <v>60</v>
      </c>
      <c r="C10" s="20">
        <f>IFERROR(SUMIFS(SupActual,Supplies!$A$5:$A$64,A10),0)</f>
        <v/>
      </c>
      <c r="D10" s="26">
        <f>B10-C10</f>
        <v/>
      </c>
      <c r="E10" s="27">
        <f>IFERROR(C10/B10,0)</f>
        <v/>
      </c>
    </row>
    <row r="11" ht="22" customHeight="1">
      <c r="A11" s="14" t="inlineStr">
        <is>
          <t>Fees</t>
        </is>
      </c>
      <c r="B11" s="21" t="n">
        <v>180</v>
      </c>
      <c r="C11" s="16">
        <f>IFERROR(SUMIFS(SupActual,Supplies!$A$5:$A$64,A11),0)</f>
        <v/>
      </c>
      <c r="D11" s="22">
        <f>B11-C11</f>
        <v/>
      </c>
      <c r="E11" s="23">
        <f>IFERROR(C11/B11,0)</f>
        <v/>
      </c>
    </row>
    <row r="12" ht="22" customHeight="1">
      <c r="A12" s="18" t="inlineStr">
        <is>
          <t>Transportation</t>
        </is>
      </c>
      <c r="B12" s="25" t="n">
        <v>60</v>
      </c>
      <c r="C12" s="20">
        <f>IFERROR(SUMIFS(SupActual,Supplies!$A$5:$A$64,A12),0)</f>
        <v/>
      </c>
      <c r="D12" s="26">
        <f>B12-C12</f>
        <v/>
      </c>
      <c r="E12" s="27">
        <f>IFERROR(C12/B12,0)</f>
        <v/>
      </c>
    </row>
    <row r="13" ht="22" customHeight="1">
      <c r="A13" s="14" t="inlineStr">
        <is>
          <t>Miscellaneous</t>
        </is>
      </c>
      <c r="B13" s="21" t="n">
        <v>50</v>
      </c>
      <c r="C13" s="16">
        <f>IFERROR(SUMIFS(SupActual,Supplies!$A$5:$A$64,A13),0)</f>
        <v/>
      </c>
      <c r="D13" s="22">
        <f>B13-C13</f>
        <v/>
      </c>
      <c r="E13" s="23">
        <f>IFERROR(C13/B13,0)</f>
        <v/>
      </c>
    </row>
    <row r="14">
      <c r="A14" s="12" t="inlineStr">
        <is>
          <t>TOTAL</t>
        </is>
      </c>
      <c r="B14" s="29">
        <f>SUM(B5:B13)</f>
        <v/>
      </c>
      <c r="C14" s="29">
        <f>SUM(C5:C13)</f>
        <v/>
      </c>
      <c r="D14" s="29">
        <f>SUM(D5:D13)</f>
        <v/>
      </c>
      <c r="E14" s="30">
        <f>IFERROR(C14/B14,0)</f>
        <v/>
      </c>
    </row>
  </sheetData>
  <mergeCells count="2">
    <mergeCell ref="A2:H2"/>
    <mergeCell ref="A1:H1"/>
  </mergeCells>
  <conditionalFormatting sqref="E5:E13">
    <cfRule type="dataBar" priority="1">
      <dataBar showValue="1">
        <cfvo type="num" val="0"/>
        <cfvo type="num" val="1"/>
        <color rgb="001B4F4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937356"/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16" customWidth="1" min="4" max="4"/>
    <col width="16" customWidth="1" min="5" max="5"/>
    <col width="14" customWidth="1" min="6" max="6"/>
    <col width="16" customWidth="1" min="7" max="7"/>
    <col width="24" customWidth="1" min="8" max="8"/>
  </cols>
  <sheetData>
    <row r="1" ht="44" customHeight="1">
      <c r="A1" s="1" t="inlineStr">
        <is>
          <t xml:space="preserve">  👕  CLOTHING INVENTORY</t>
        </is>
      </c>
    </row>
    <row r="2" ht="22" customHeight="1">
      <c r="A2" s="2" t="inlineStr">
        <is>
          <t xml:space="preserve">  Sizes, quantities, and what's left to buy.</t>
        </is>
      </c>
    </row>
    <row r="4" ht="30" customHeight="1">
      <c r="A4" s="12" t="inlineStr">
        <is>
          <t>Category</t>
        </is>
      </c>
      <c r="B4" s="12" t="inlineStr">
        <is>
          <t>Item</t>
        </is>
      </c>
      <c r="C4" s="12" t="inlineStr">
        <is>
          <t>Size</t>
        </is>
      </c>
      <c r="D4" s="12" t="inlineStr">
        <is>
          <t>Qty Needed</t>
        </is>
      </c>
      <c r="E4" s="12" t="inlineStr">
        <is>
          <t>Qty Owned</t>
        </is>
      </c>
      <c r="F4" s="12" t="inlineStr">
        <is>
          <t>Cost / Unit</t>
        </is>
      </c>
      <c r="G4" s="12" t="inlineStr">
        <is>
          <t>Status</t>
        </is>
      </c>
      <c r="H4" s="12" t="inlineStr">
        <is>
          <t>Notes</t>
        </is>
      </c>
    </row>
    <row r="5">
      <c r="A5" s="13" t="inlineStr">
        <is>
          <t>Shirts</t>
        </is>
      </c>
      <c r="B5" s="14" t="inlineStr">
        <is>
          <t>Polo (Navy)</t>
        </is>
      </c>
      <c r="C5" s="13" t="inlineStr">
        <is>
          <t>S</t>
        </is>
      </c>
      <c r="D5" s="13" t="n">
        <v>5</v>
      </c>
      <c r="E5" s="13" t="n">
        <v>2</v>
      </c>
      <c r="F5" s="16" t="n">
        <v>14.99</v>
      </c>
      <c r="G5" s="13">
        <f>IF(D5="","",IF(E5&gt;=D5,"Complete",IF(E5=0,"Not Started","In Progress")))</f>
        <v/>
      </c>
      <c r="H5" s="14" t="inlineStr"/>
    </row>
    <row r="6">
      <c r="A6" s="17" t="inlineStr">
        <is>
          <t>Shirts</t>
        </is>
      </c>
      <c r="B6" s="18" t="inlineStr">
        <is>
          <t>Polo (White)</t>
        </is>
      </c>
      <c r="C6" s="17" t="inlineStr">
        <is>
          <t>S</t>
        </is>
      </c>
      <c r="D6" s="17" t="n">
        <v>3</v>
      </c>
      <c r="E6" s="17" t="n">
        <v>1</v>
      </c>
      <c r="F6" s="20" t="n">
        <v>14.99</v>
      </c>
      <c r="G6" s="17">
        <f>IF(D6="","",IF(E6&gt;=D6,"Complete",IF(E6=0,"Not Started","In Progress")))</f>
        <v/>
      </c>
      <c r="H6" s="18" t="inlineStr"/>
    </row>
    <row r="7">
      <c r="A7" s="13" t="inlineStr">
        <is>
          <t>Shirts</t>
        </is>
      </c>
      <c r="B7" s="14" t="inlineStr">
        <is>
          <t>Long sleeve tee</t>
        </is>
      </c>
      <c r="C7" s="13" t="inlineStr">
        <is>
          <t>S</t>
        </is>
      </c>
      <c r="D7" s="13" t="n">
        <v>4</v>
      </c>
      <c r="E7" s="13" t="n">
        <v>4</v>
      </c>
      <c r="F7" s="16" t="n">
        <v>9.99</v>
      </c>
      <c r="G7" s="13">
        <f>IF(D7="","",IF(E7&gt;=D7,"Complete",IF(E7=0,"Not Started","In Progress")))</f>
        <v/>
      </c>
      <c r="H7" s="14" t="inlineStr"/>
    </row>
    <row r="8">
      <c r="A8" s="17" t="inlineStr">
        <is>
          <t>Pants</t>
        </is>
      </c>
      <c r="B8" s="18" t="inlineStr">
        <is>
          <t>Khaki</t>
        </is>
      </c>
      <c r="C8" s="17" t="inlineStr">
        <is>
          <t>8</t>
        </is>
      </c>
      <c r="D8" s="17" t="n">
        <v>3</v>
      </c>
      <c r="E8" s="17" t="n">
        <v>1</v>
      </c>
      <c r="F8" s="20" t="n">
        <v>19.99</v>
      </c>
      <c r="G8" s="17">
        <f>IF(D8="","",IF(E8&gt;=D8,"Complete",IF(E8=0,"Not Started","In Progress")))</f>
        <v/>
      </c>
      <c r="H8" s="18" t="inlineStr"/>
    </row>
    <row r="9">
      <c r="A9" s="13" t="inlineStr">
        <is>
          <t>Pants</t>
        </is>
      </c>
      <c r="B9" s="14" t="inlineStr">
        <is>
          <t>Jeans</t>
        </is>
      </c>
      <c r="C9" s="13" t="inlineStr">
        <is>
          <t>8</t>
        </is>
      </c>
      <c r="D9" s="13" t="n">
        <v>2</v>
      </c>
      <c r="E9" s="13" t="n">
        <v>2</v>
      </c>
      <c r="F9" s="16" t="n">
        <v>24.99</v>
      </c>
      <c r="G9" s="13">
        <f>IF(D9="","",IF(E9&gt;=D9,"Complete",IF(E9=0,"Not Started","In Progress")))</f>
        <v/>
      </c>
      <c r="H9" s="14" t="inlineStr"/>
    </row>
    <row r="10">
      <c r="A10" s="17" t="inlineStr">
        <is>
          <t>Shoes</t>
        </is>
      </c>
      <c r="B10" s="18" t="inlineStr">
        <is>
          <t>Sneakers</t>
        </is>
      </c>
      <c r="C10" s="17" t="inlineStr">
        <is>
          <t>4</t>
        </is>
      </c>
      <c r="D10" s="17" t="n">
        <v>1</v>
      </c>
      <c r="E10" s="17" t="n">
        <v>0</v>
      </c>
      <c r="F10" s="20" t="n">
        <v>39.99</v>
      </c>
      <c r="G10" s="17">
        <f>IF(D10="","",IF(E10&gt;=D10,"Complete",IF(E10=0,"Not Started","In Progress")))</f>
        <v/>
      </c>
      <c r="H10" s="18" t="inlineStr">
        <is>
          <t>Order online</t>
        </is>
      </c>
    </row>
    <row r="11">
      <c r="A11" s="13" t="inlineStr">
        <is>
          <t>Shoes</t>
        </is>
      </c>
      <c r="B11" s="14" t="inlineStr">
        <is>
          <t>Dress shoes</t>
        </is>
      </c>
      <c r="C11" s="13" t="inlineStr">
        <is>
          <t>4</t>
        </is>
      </c>
      <c r="D11" s="13" t="n">
        <v>1</v>
      </c>
      <c r="E11" s="13" t="n">
        <v>1</v>
      </c>
      <c r="F11" s="16" t="n">
        <v>29.99</v>
      </c>
      <c r="G11" s="13">
        <f>IF(D11="","",IF(E11&gt;=D11,"Complete",IF(E11=0,"Not Started","In Progress")))</f>
        <v/>
      </c>
      <c r="H11" s="14" t="inlineStr"/>
    </row>
    <row r="12">
      <c r="A12" s="17" t="inlineStr">
        <is>
          <t>Jackets</t>
        </is>
      </c>
      <c r="B12" s="18" t="inlineStr">
        <is>
          <t>Light jacket</t>
        </is>
      </c>
      <c r="C12" s="17" t="inlineStr">
        <is>
          <t>S</t>
        </is>
      </c>
      <c r="D12" s="17" t="n">
        <v>1</v>
      </c>
      <c r="E12" s="17" t="n">
        <v>0</v>
      </c>
      <c r="F12" s="20" t="n">
        <v>34.99</v>
      </c>
      <c r="G12" s="17">
        <f>IF(D12="","",IF(E12&gt;=D12,"Complete",IF(E12=0,"Not Started","In Progress")))</f>
        <v/>
      </c>
      <c r="H12" s="18" t="inlineStr"/>
    </row>
    <row r="13">
      <c r="A13" s="13" t="inlineStr">
        <is>
          <t>Jackets</t>
        </is>
      </c>
      <c r="B13" s="14" t="inlineStr">
        <is>
          <t>Winter coat</t>
        </is>
      </c>
      <c r="C13" s="13" t="inlineStr">
        <is>
          <t>S</t>
        </is>
      </c>
      <c r="D13" s="13" t="n">
        <v>1</v>
      </c>
      <c r="E13" s="13" t="n">
        <v>1</v>
      </c>
      <c r="F13" s="16" t="n">
        <v>59.99</v>
      </c>
      <c r="G13" s="13">
        <f>IF(D13="","",IF(E13&gt;=D13,"Complete",IF(E13=0,"Not Started","In Progress")))</f>
        <v/>
      </c>
      <c r="H13" s="14" t="inlineStr">
        <is>
          <t>Last year still fits</t>
        </is>
      </c>
    </row>
    <row r="14">
      <c r="A14" s="17" t="inlineStr">
        <is>
          <t>Uniforms</t>
        </is>
      </c>
      <c r="B14" s="18" t="inlineStr">
        <is>
          <t>School sweater</t>
        </is>
      </c>
      <c r="C14" s="17" t="inlineStr">
        <is>
          <t>S</t>
        </is>
      </c>
      <c r="D14" s="17" t="n">
        <v>2</v>
      </c>
      <c r="E14" s="17" t="n">
        <v>0</v>
      </c>
      <c r="F14" s="20" t="n">
        <v>24.99</v>
      </c>
      <c r="G14" s="17">
        <f>IF(D14="","",IF(E14&gt;=D14,"Complete",IF(E14=0,"Not Started","In Progress")))</f>
        <v/>
      </c>
      <c r="H14" s="18" t="inlineStr"/>
    </row>
    <row r="15">
      <c r="A15" s="13" t="inlineStr">
        <is>
          <t>Gym Clothes</t>
        </is>
      </c>
      <c r="B15" s="14" t="inlineStr">
        <is>
          <t>Athletic shorts</t>
        </is>
      </c>
      <c r="C15" s="13" t="inlineStr">
        <is>
          <t>S</t>
        </is>
      </c>
      <c r="D15" s="13" t="n">
        <v>3</v>
      </c>
      <c r="E15" s="13" t="n">
        <v>2</v>
      </c>
      <c r="F15" s="16" t="n">
        <v>11.99</v>
      </c>
      <c r="G15" s="13">
        <f>IF(D15="","",IF(E15&gt;=D15,"Complete",IF(E15=0,"Not Started","In Progress")))</f>
        <v/>
      </c>
      <c r="H15" s="14" t="inlineStr"/>
    </row>
    <row r="16">
      <c r="A16" s="17" t="inlineStr">
        <is>
          <t>Gym Clothes</t>
        </is>
      </c>
      <c r="B16" s="18" t="inlineStr">
        <is>
          <t>Performance tee</t>
        </is>
      </c>
      <c r="C16" s="17" t="inlineStr">
        <is>
          <t>S</t>
        </is>
      </c>
      <c r="D16" s="17" t="n">
        <v>3</v>
      </c>
      <c r="E16" s="17" t="n">
        <v>1</v>
      </c>
      <c r="F16" s="20" t="n">
        <v>9.99</v>
      </c>
      <c r="G16" s="17">
        <f>IF(D16="","",IF(E16&gt;=D16,"Complete",IF(E16=0,"Not Started","In Progress")))</f>
        <v/>
      </c>
      <c r="H16" s="18" t="inlineStr"/>
    </row>
    <row r="17">
      <c r="A17" s="13" t="inlineStr">
        <is>
          <t>Accessories</t>
        </is>
      </c>
      <c r="B17" s="14" t="inlineStr">
        <is>
          <t>Belt</t>
        </is>
      </c>
      <c r="C17" s="13" t="inlineStr">
        <is>
          <t>S</t>
        </is>
      </c>
      <c r="D17" s="13" t="n">
        <v>2</v>
      </c>
      <c r="E17" s="13" t="n">
        <v>1</v>
      </c>
      <c r="F17" s="16" t="n">
        <v>7.99</v>
      </c>
      <c r="G17" s="13">
        <f>IF(D17="","",IF(E17&gt;=D17,"Complete",IF(E17=0,"Not Started","In Progress")))</f>
        <v/>
      </c>
      <c r="H17" s="14" t="inlineStr"/>
    </row>
    <row r="18">
      <c r="A18" s="17" t="inlineStr">
        <is>
          <t>Accessories</t>
        </is>
      </c>
      <c r="B18" s="18" t="inlineStr">
        <is>
          <t>Socks (6pk)</t>
        </is>
      </c>
      <c r="C18" s="17" t="inlineStr">
        <is>
          <t>M</t>
        </is>
      </c>
      <c r="D18" s="17" t="n">
        <v>2</v>
      </c>
      <c r="E18" s="17" t="n">
        <v>1</v>
      </c>
      <c r="F18" s="20" t="n">
        <v>8.99</v>
      </c>
      <c r="G18" s="17">
        <f>IF(D18="","",IF(E18&gt;=D18,"Complete",IF(E18=0,"Not Started","In Progress")))</f>
        <v/>
      </c>
      <c r="H18" s="18" t="inlineStr"/>
    </row>
    <row r="19">
      <c r="A19" s="13" t="inlineStr">
        <is>
          <t>Accessories</t>
        </is>
      </c>
      <c r="B19" s="14" t="inlineStr">
        <is>
          <t>Hat</t>
        </is>
      </c>
      <c r="C19" s="13" t="inlineStr">
        <is>
          <t>S</t>
        </is>
      </c>
      <c r="D19" s="13" t="n">
        <v>1</v>
      </c>
      <c r="E19" s="13" t="n">
        <v>0</v>
      </c>
      <c r="F19" s="16" t="n">
        <v>12.99</v>
      </c>
      <c r="G19" s="13">
        <f>IF(D19="","",IF(E19&gt;=D19,"Complete",IF(E19=0,"Not Started","In Progress")))</f>
        <v/>
      </c>
      <c r="H19" s="14" t="inlineStr"/>
    </row>
    <row r="20">
      <c r="A20" s="17" t="n"/>
      <c r="B20" s="18" t="n"/>
      <c r="C20" s="17" t="n"/>
      <c r="D20" s="17" t="n"/>
      <c r="E20" s="17" t="n"/>
      <c r="F20" s="20" t="n"/>
      <c r="G20" s="17">
        <f>IF(D20="","",IF(E20&gt;=D20,"Complete",IF(E20=0,"Not Started","In Progress")))</f>
        <v/>
      </c>
      <c r="H20" s="18" t="n"/>
    </row>
    <row r="21">
      <c r="A21" s="13" t="n"/>
      <c r="B21" s="14" t="n"/>
      <c r="C21" s="13" t="n"/>
      <c r="D21" s="13" t="n"/>
      <c r="E21" s="13" t="n"/>
      <c r="F21" s="16" t="n"/>
      <c r="G21" s="13">
        <f>IF(D21="","",IF(E21&gt;=D21,"Complete",IF(E21=0,"Not Started","In Progress")))</f>
        <v/>
      </c>
      <c r="H21" s="14" t="n"/>
    </row>
    <row r="22">
      <c r="A22" s="17" t="n"/>
      <c r="B22" s="18" t="n"/>
      <c r="C22" s="17" t="n"/>
      <c r="D22" s="17" t="n"/>
      <c r="E22" s="17" t="n"/>
      <c r="F22" s="20" t="n"/>
      <c r="G22" s="17">
        <f>IF(D22="","",IF(E22&gt;=D22,"Complete",IF(E22=0,"Not Started","In Progress")))</f>
        <v/>
      </c>
      <c r="H22" s="18" t="n"/>
    </row>
    <row r="23">
      <c r="A23" s="13" t="n"/>
      <c r="B23" s="14" t="n"/>
      <c r="C23" s="13" t="n"/>
      <c r="D23" s="13" t="n"/>
      <c r="E23" s="13" t="n"/>
      <c r="F23" s="16" t="n"/>
      <c r="G23" s="13">
        <f>IF(D23="","",IF(E23&gt;=D23,"Complete",IF(E23=0,"Not Started","In Progress")))</f>
        <v/>
      </c>
      <c r="H23" s="14" t="n"/>
    </row>
    <row r="24">
      <c r="A24" s="17" t="n"/>
      <c r="B24" s="18" t="n"/>
      <c r="C24" s="17" t="n"/>
      <c r="D24" s="17" t="n"/>
      <c r="E24" s="17" t="n"/>
      <c r="F24" s="20" t="n"/>
      <c r="G24" s="17">
        <f>IF(D24="","",IF(E24&gt;=D24,"Complete",IF(E24=0,"Not Started","In Progress")))</f>
        <v/>
      </c>
      <c r="H24" s="18" t="n"/>
    </row>
    <row r="25">
      <c r="A25" s="13" t="n"/>
      <c r="B25" s="14" t="n"/>
      <c r="C25" s="13" t="n"/>
      <c r="D25" s="13" t="n"/>
      <c r="E25" s="13" t="n"/>
      <c r="F25" s="16" t="n"/>
      <c r="G25" s="13">
        <f>IF(D25="","",IF(E25&gt;=D25,"Complete",IF(E25=0,"Not Started","In Progress")))</f>
        <v/>
      </c>
      <c r="H25" s="14" t="n"/>
    </row>
    <row r="26">
      <c r="A26" s="17" t="n"/>
      <c r="B26" s="18" t="n"/>
      <c r="C26" s="17" t="n"/>
      <c r="D26" s="17" t="n"/>
      <c r="E26" s="17" t="n"/>
      <c r="F26" s="20" t="n"/>
      <c r="G26" s="17">
        <f>IF(D26="","",IF(E26&gt;=D26,"Complete",IF(E26=0,"Not Started","In Progress")))</f>
        <v/>
      </c>
      <c r="H26" s="18" t="n"/>
    </row>
    <row r="27">
      <c r="A27" s="13" t="n"/>
      <c r="B27" s="14" t="n"/>
      <c r="C27" s="13" t="n"/>
      <c r="D27" s="13" t="n"/>
      <c r="E27" s="13" t="n"/>
      <c r="F27" s="16" t="n"/>
      <c r="G27" s="13">
        <f>IF(D27="","",IF(E27&gt;=D27,"Complete",IF(E27=0,"Not Started","In Progress")))</f>
        <v/>
      </c>
      <c r="H27" s="14" t="n"/>
    </row>
    <row r="28">
      <c r="A28" s="17" t="n"/>
      <c r="B28" s="18" t="n"/>
      <c r="C28" s="17" t="n"/>
      <c r="D28" s="17" t="n"/>
      <c r="E28" s="17" t="n"/>
      <c r="F28" s="20" t="n"/>
      <c r="G28" s="17">
        <f>IF(D28="","",IF(E28&gt;=D28,"Complete",IF(E28=0,"Not Started","In Progress")))</f>
        <v/>
      </c>
      <c r="H28" s="18" t="n"/>
    </row>
    <row r="29">
      <c r="A29" s="13" t="n"/>
      <c r="B29" s="14" t="n"/>
      <c r="C29" s="13" t="n"/>
      <c r="D29" s="13" t="n"/>
      <c r="E29" s="13" t="n"/>
      <c r="F29" s="16" t="n"/>
      <c r="G29" s="13">
        <f>IF(D29="","",IF(E29&gt;=D29,"Complete",IF(E29=0,"Not Started","In Progress")))</f>
        <v/>
      </c>
      <c r="H29" s="14" t="n"/>
    </row>
    <row r="30">
      <c r="A30" s="17" t="n"/>
      <c r="B30" s="18" t="n"/>
      <c r="C30" s="17" t="n"/>
      <c r="D30" s="17" t="n"/>
      <c r="E30" s="17" t="n"/>
      <c r="F30" s="20" t="n"/>
      <c r="G30" s="17">
        <f>IF(D30="","",IF(E30&gt;=D30,"Complete",IF(E30=0,"Not Started","In Progress")))</f>
        <v/>
      </c>
      <c r="H30" s="18" t="n"/>
    </row>
    <row r="31">
      <c r="A31" s="13" t="n"/>
      <c r="B31" s="14" t="n"/>
      <c r="C31" s="13" t="n"/>
      <c r="D31" s="13" t="n"/>
      <c r="E31" s="13" t="n"/>
      <c r="F31" s="16" t="n"/>
      <c r="G31" s="13">
        <f>IF(D31="","",IF(E31&gt;=D31,"Complete",IF(E31=0,"Not Started","In Progress")))</f>
        <v/>
      </c>
      <c r="H31" s="14" t="n"/>
    </row>
    <row r="32">
      <c r="A32" s="17" t="n"/>
      <c r="B32" s="18" t="n"/>
      <c r="C32" s="17" t="n"/>
      <c r="D32" s="17" t="n"/>
      <c r="E32" s="17" t="n"/>
      <c r="F32" s="20" t="n"/>
      <c r="G32" s="17">
        <f>IF(D32="","",IF(E32&gt;=D32,"Complete",IF(E32=0,"Not Started","In Progress")))</f>
        <v/>
      </c>
      <c r="H32" s="18" t="n"/>
    </row>
    <row r="33">
      <c r="A33" s="13" t="n"/>
      <c r="B33" s="14" t="n"/>
      <c r="C33" s="13" t="n"/>
      <c r="D33" s="13" t="n"/>
      <c r="E33" s="13" t="n"/>
      <c r="F33" s="16" t="n"/>
      <c r="G33" s="13">
        <f>IF(D33="","",IF(E33&gt;=D33,"Complete",IF(E33=0,"Not Started","In Progress")))</f>
        <v/>
      </c>
      <c r="H33" s="14" t="n"/>
    </row>
    <row r="34">
      <c r="A34" s="17" t="n"/>
      <c r="B34" s="18" t="n"/>
      <c r="C34" s="17" t="n"/>
      <c r="D34" s="17" t="n"/>
      <c r="E34" s="17" t="n"/>
      <c r="F34" s="20" t="n"/>
      <c r="G34" s="17">
        <f>IF(D34="","",IF(E34&gt;=D34,"Complete",IF(E34=0,"Not Started","In Progress")))</f>
        <v/>
      </c>
      <c r="H34" s="18" t="n"/>
    </row>
  </sheetData>
  <mergeCells count="2">
    <mergeCell ref="A2:H2"/>
    <mergeCell ref="A1:H1"/>
  </mergeCells>
  <conditionalFormatting sqref="G5:G34">
    <cfRule type="cellIs" priority="1" operator="equal" dxfId="0">
      <formula>"Complete"</formula>
    </cfRule>
    <cfRule type="cellIs" priority="2" operator="equal" dxfId="3">
      <formula>"Not Started"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5E6C1"/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44" customHeight="1">
      <c r="A1" s="1" t="inlineStr">
        <is>
          <t xml:space="preserve">  📅  WEEKLY CLASS SCHEDULE</t>
        </is>
      </c>
    </row>
    <row r="2" ht="22" customHeight="1">
      <c r="A2" s="2" t="inlineStr">
        <is>
          <t xml:space="preserve">  Color-coded by subject. Drag in homework notes per slot.</t>
        </is>
      </c>
    </row>
    <row r="4" ht="30" customHeight="1">
      <c r="A4" s="12" t="inlineStr">
        <is>
          <t>TIME</t>
        </is>
      </c>
      <c r="B4" s="12" t="inlineStr">
        <is>
          <t>Monday</t>
        </is>
      </c>
      <c r="C4" s="12" t="inlineStr">
        <is>
          <t>Tuesday</t>
        </is>
      </c>
      <c r="D4" s="12" t="inlineStr">
        <is>
          <t>Wednesday</t>
        </is>
      </c>
      <c r="E4" s="12" t="inlineStr">
        <is>
          <t>Thursday</t>
        </is>
      </c>
      <c r="F4" s="12" t="inlineStr">
        <is>
          <t>Friday</t>
        </is>
      </c>
    </row>
    <row r="5" ht="40" customHeight="1">
      <c r="A5" s="31" t="inlineStr">
        <is>
          <t>8:00 – 8:55</t>
        </is>
      </c>
      <c r="B5" s="32" t="inlineStr">
        <is>
          <t>Math · Hayes · R104</t>
        </is>
      </c>
      <c r="C5" s="32" t="inlineStr">
        <is>
          <t>Math · Hayes · R104</t>
        </is>
      </c>
      <c r="D5" s="32" t="inlineStr">
        <is>
          <t>Math · Hayes · R104</t>
        </is>
      </c>
      <c r="E5" s="32" t="inlineStr">
        <is>
          <t>Math · Hayes · R104</t>
        </is>
      </c>
      <c r="F5" s="32" t="inlineStr">
        <is>
          <t>Math · Hayes · R104</t>
        </is>
      </c>
    </row>
    <row r="6" ht="40" customHeight="1">
      <c r="A6" s="31" t="inlineStr">
        <is>
          <t>9:00 – 9:55</t>
        </is>
      </c>
      <c r="B6" s="33" t="inlineStr">
        <is>
          <t>English · Brooks · R208</t>
        </is>
      </c>
      <c r="C6" s="34" t="inlineStr">
        <is>
          <t>Science · Patel · R301</t>
        </is>
      </c>
      <c r="D6" s="33" t="inlineStr">
        <is>
          <t>English · Brooks · R208</t>
        </is>
      </c>
      <c r="E6" s="34" t="inlineStr">
        <is>
          <t>Science · Patel · R301</t>
        </is>
      </c>
      <c r="F6" s="33" t="inlineStr">
        <is>
          <t>English · Brooks · R208</t>
        </is>
      </c>
    </row>
    <row r="7" ht="40" customHeight="1">
      <c r="A7" s="31" t="inlineStr">
        <is>
          <t>10:00 – 10:55</t>
        </is>
      </c>
      <c r="B7" s="34" t="inlineStr">
        <is>
          <t>Science · Patel · R301</t>
        </is>
      </c>
      <c r="C7" s="33" t="inlineStr">
        <is>
          <t>English · Brooks · R208</t>
        </is>
      </c>
      <c r="D7" s="34" t="inlineStr">
        <is>
          <t>Science · Patel · R301</t>
        </is>
      </c>
      <c r="E7" s="33" t="inlineStr">
        <is>
          <t>English · Brooks · R208</t>
        </is>
      </c>
      <c r="F7" s="34" t="inlineStr">
        <is>
          <t>Science · Patel · R301</t>
        </is>
      </c>
    </row>
    <row r="8" ht="40" customHeight="1">
      <c r="A8" s="31" t="inlineStr">
        <is>
          <t>11:00 – 11:55</t>
        </is>
      </c>
      <c r="B8" s="35" t="inlineStr">
        <is>
          <t>History · Reed · R112</t>
        </is>
      </c>
      <c r="C8" s="36" t="inlineStr">
        <is>
          <t>Art · Lin · R150</t>
        </is>
      </c>
      <c r="D8" s="35" t="inlineStr">
        <is>
          <t>History · Reed · R112</t>
        </is>
      </c>
      <c r="E8" s="37" t="inlineStr">
        <is>
          <t>Tech · Reyes · Lab2</t>
        </is>
      </c>
      <c r="F8" s="38" t="inlineStr">
        <is>
          <t>Music · Park · R220</t>
        </is>
      </c>
    </row>
    <row r="9" ht="40" customHeight="1">
      <c r="A9" s="31" t="inlineStr">
        <is>
          <t>12:00 – 12:45 (Lunch)</t>
        </is>
      </c>
      <c r="B9" s="39" t="inlineStr">
        <is>
          <t>LUNCH</t>
        </is>
      </c>
      <c r="C9" s="39" t="inlineStr">
        <is>
          <t>LUNCH</t>
        </is>
      </c>
      <c r="D9" s="39" t="inlineStr">
        <is>
          <t>LUNCH</t>
        </is>
      </c>
      <c r="E9" s="39" t="inlineStr">
        <is>
          <t>LUNCH</t>
        </is>
      </c>
      <c r="F9" s="39" t="inlineStr">
        <is>
          <t>LUNCH</t>
        </is>
      </c>
    </row>
    <row r="10" ht="40" customHeight="1">
      <c r="A10" s="31" t="inlineStr">
        <is>
          <t>12:50 – 1:45</t>
        </is>
      </c>
      <c r="B10" s="40" t="inlineStr">
        <is>
          <t>PE · Gomez · Gym</t>
        </is>
      </c>
      <c r="C10" s="40" t="inlineStr">
        <is>
          <t>PE · Gomez · Gym</t>
        </is>
      </c>
      <c r="D10" s="40" t="inlineStr">
        <is>
          <t>PE · Gomez · Gym</t>
        </is>
      </c>
      <c r="E10" s="40" t="inlineStr">
        <is>
          <t>PE · Gomez · Gym</t>
        </is>
      </c>
      <c r="F10" s="40" t="inlineStr">
        <is>
          <t>PE · Gomez · Gym</t>
        </is>
      </c>
    </row>
    <row r="11" ht="40" customHeight="1">
      <c r="A11" s="31" t="inlineStr">
        <is>
          <t>1:50 – 2:45</t>
        </is>
      </c>
      <c r="B11" s="41" t="inlineStr">
        <is>
          <t>Spanish · Ortega · R141</t>
        </is>
      </c>
      <c r="C11" s="41" t="inlineStr">
        <is>
          <t>Spanish · Ortega · R141</t>
        </is>
      </c>
      <c r="D11" s="41" t="inlineStr">
        <is>
          <t>Spanish · Ortega · R141</t>
        </is>
      </c>
      <c r="E11" s="41" t="inlineStr">
        <is>
          <t>Spanish · Ortega · R141</t>
        </is>
      </c>
      <c r="F11" s="41" t="inlineStr">
        <is>
          <t>Spanish · Ortega · R141</t>
        </is>
      </c>
    </row>
    <row r="12" ht="40" customHeight="1">
      <c r="A12" s="31" t="inlineStr">
        <is>
          <t>2:50 – 3:30</t>
        </is>
      </c>
      <c r="B12" s="42" t="inlineStr">
        <is>
          <t>Study Hall · R104</t>
        </is>
      </c>
      <c r="C12" s="42" t="inlineStr">
        <is>
          <t>Study Hall · R104</t>
        </is>
      </c>
      <c r="D12" s="42" t="inlineStr">
        <is>
          <t>Study Hall · R104</t>
        </is>
      </c>
      <c r="E12" s="34" t="inlineStr">
        <is>
          <t>Club: Robotics · Lab2</t>
        </is>
      </c>
      <c r="F12" s="42" t="inlineStr">
        <is>
          <t>Study Hall · R104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4F48"/>
    <outlinePr summaryBelow="1" summaryRight="1"/>
    <pageSetUpPr/>
  </sheetPr>
  <dimension ref="A1:H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2" customWidth="1" min="4" max="4"/>
    <col width="14" customWidth="1" min="5" max="5"/>
    <col width="10" customWidth="1" min="6" max="6"/>
    <col width="28" customWidth="1" min="7" max="7"/>
    <col width="14" customWidth="1" min="8" max="8"/>
  </cols>
  <sheetData>
    <row r="1" ht="44" customHeight="1">
      <c r="A1" s="1" t="inlineStr">
        <is>
          <t xml:space="preserve">  📝  ASSIGNMENT TRACKER</t>
        </is>
      </c>
    </row>
    <row r="2" ht="22" customHeight="1">
      <c r="A2" s="2" t="inlineStr">
        <is>
          <t xml:space="preserve">  Due dates, priorities, status — and live overdue flags.</t>
        </is>
      </c>
    </row>
    <row r="4" ht="32" customHeight="1">
      <c r="A4" s="12" t="inlineStr">
        <is>
          <t>Subject</t>
        </is>
      </c>
      <c r="B4" s="12" t="inlineStr">
        <is>
          <t>Assignment</t>
        </is>
      </c>
      <c r="C4" s="12" t="inlineStr">
        <is>
          <t>Due Date</t>
        </is>
      </c>
      <c r="D4" s="12" t="inlineStr">
        <is>
          <t>Priority</t>
        </is>
      </c>
      <c r="E4" s="12" t="inlineStr">
        <is>
          <t>Status</t>
        </is>
      </c>
      <c r="F4" s="12" t="inlineStr">
        <is>
          <t>Grade</t>
        </is>
      </c>
      <c r="G4" s="12" t="inlineStr">
        <is>
          <t>Notes</t>
        </is>
      </c>
      <c r="H4" s="12" t="inlineStr">
        <is>
          <t>Days Until</t>
        </is>
      </c>
    </row>
    <row r="5">
      <c r="A5" s="13" t="inlineStr">
        <is>
          <t>Math</t>
        </is>
      </c>
      <c r="B5" s="14" t="inlineStr">
        <is>
          <t>Ch 3 problem set</t>
        </is>
      </c>
      <c r="C5" s="13" t="n">
        <v>46199</v>
      </c>
      <c r="D5" s="13" t="inlineStr">
        <is>
          <t>High</t>
        </is>
      </c>
      <c r="E5" s="13" t="inlineStr">
        <is>
          <t>Complete</t>
        </is>
      </c>
      <c r="F5" s="15" t="n">
        <v>92</v>
      </c>
      <c r="G5" s="14" t="inlineStr">
        <is>
          <t>Showed all work</t>
        </is>
      </c>
      <c r="H5" s="43">
        <f>IF(C5="","",C5-TODAY())</f>
        <v/>
      </c>
    </row>
    <row r="6">
      <c r="A6" s="17" t="inlineStr">
        <is>
          <t>English</t>
        </is>
      </c>
      <c r="B6" s="18" t="inlineStr">
        <is>
          <t>Book report: Hatchet</t>
        </is>
      </c>
      <c r="C6" s="17" t="n">
        <v>46203</v>
      </c>
      <c r="D6" s="17" t="inlineStr">
        <is>
          <t>High</t>
        </is>
      </c>
      <c r="E6" s="17" t="inlineStr">
        <is>
          <t>In Progress</t>
        </is>
      </c>
      <c r="F6" s="19" t="inlineStr"/>
      <c r="G6" s="18" t="inlineStr">
        <is>
          <t>Outline done</t>
        </is>
      </c>
      <c r="H6" s="44">
        <f>IF(C6="","",C6-TODAY())</f>
        <v/>
      </c>
    </row>
    <row r="7">
      <c r="A7" s="13" t="inlineStr">
        <is>
          <t>Science</t>
        </is>
      </c>
      <c r="B7" s="14" t="inlineStr">
        <is>
          <t>Lab write-up</t>
        </is>
      </c>
      <c r="C7" s="13" t="n">
        <v>46200</v>
      </c>
      <c r="D7" s="13" t="inlineStr">
        <is>
          <t>Medium</t>
        </is>
      </c>
      <c r="E7" s="13" t="inlineStr">
        <is>
          <t>Not Started</t>
        </is>
      </c>
      <c r="F7" s="15" t="inlineStr"/>
      <c r="G7" s="14" t="inlineStr">
        <is>
          <t>Need lab partner notes</t>
        </is>
      </c>
      <c r="H7" s="43">
        <f>IF(C7="","",C7-TODAY())</f>
        <v/>
      </c>
    </row>
    <row r="8">
      <c r="A8" s="17" t="inlineStr">
        <is>
          <t>History</t>
        </is>
      </c>
      <c r="B8" s="18" t="inlineStr">
        <is>
          <t>Civil War timeline</t>
        </is>
      </c>
      <c r="C8" s="17" t="n">
        <v>46206</v>
      </c>
      <c r="D8" s="17" t="inlineStr">
        <is>
          <t>Medium</t>
        </is>
      </c>
      <c r="E8" s="17" t="inlineStr">
        <is>
          <t>Not Started</t>
        </is>
      </c>
      <c r="F8" s="19" t="inlineStr"/>
      <c r="G8" s="18" t="inlineStr"/>
      <c r="H8" s="44">
        <f>IF(C8="","",C8-TODAY())</f>
        <v/>
      </c>
    </row>
    <row r="9">
      <c r="A9" s="13" t="inlineStr">
        <is>
          <t>Art</t>
        </is>
      </c>
      <c r="B9" s="14" t="inlineStr">
        <is>
          <t>Self portrait</t>
        </is>
      </c>
      <c r="C9" s="13" t="n">
        <v>46210</v>
      </c>
      <c r="D9" s="13" t="inlineStr">
        <is>
          <t>Low</t>
        </is>
      </c>
      <c r="E9" s="13" t="inlineStr">
        <is>
          <t>In Progress</t>
        </is>
      </c>
      <c r="F9" s="15" t="inlineStr"/>
      <c r="G9" s="14" t="inlineStr">
        <is>
          <t>Sketch stage</t>
        </is>
      </c>
      <c r="H9" s="43">
        <f>IF(C9="","",C9-TODAY())</f>
        <v/>
      </c>
    </row>
    <row r="10">
      <c r="A10" s="17" t="inlineStr">
        <is>
          <t>Tech</t>
        </is>
      </c>
      <c r="B10" s="18" t="inlineStr">
        <is>
          <t>Robotics build log</t>
        </is>
      </c>
      <c r="C10" s="17" t="n">
        <v>46201</v>
      </c>
      <c r="D10" s="17" t="inlineStr">
        <is>
          <t>High</t>
        </is>
      </c>
      <c r="E10" s="17" t="inlineStr">
        <is>
          <t>In Progress</t>
        </is>
      </c>
      <c r="F10" s="19" t="inlineStr"/>
      <c r="G10" s="18" t="inlineStr">
        <is>
          <t>Due end of day</t>
        </is>
      </c>
      <c r="H10" s="44">
        <f>IF(C10="","",C10-TODAY())</f>
        <v/>
      </c>
    </row>
    <row r="11">
      <c r="A11" s="13" t="inlineStr">
        <is>
          <t>Spanish</t>
        </is>
      </c>
      <c r="B11" s="14" t="inlineStr">
        <is>
          <t>Vocab quiz prep</t>
        </is>
      </c>
      <c r="C11" s="13" t="n">
        <v>46202</v>
      </c>
      <c r="D11" s="13" t="inlineStr">
        <is>
          <t>Medium</t>
        </is>
      </c>
      <c r="E11" s="13" t="inlineStr">
        <is>
          <t>Not Started</t>
        </is>
      </c>
      <c r="F11" s="15" t="inlineStr"/>
      <c r="G11" s="14" t="inlineStr"/>
      <c r="H11" s="43">
        <f>IF(C11="","",C11-TODAY())</f>
        <v/>
      </c>
    </row>
    <row r="12">
      <c r="A12" s="17" t="inlineStr">
        <is>
          <t>Math</t>
        </is>
      </c>
      <c r="B12" s="18" t="inlineStr">
        <is>
          <t>Quiz: fractions</t>
        </is>
      </c>
      <c r="C12" s="17" t="n">
        <v>46208</v>
      </c>
      <c r="D12" s="17" t="inlineStr">
        <is>
          <t>High</t>
        </is>
      </c>
      <c r="E12" s="17" t="inlineStr">
        <is>
          <t>Not Started</t>
        </is>
      </c>
      <c r="F12" s="19" t="inlineStr"/>
      <c r="G12" s="18" t="inlineStr">
        <is>
          <t>Study Mon evening</t>
        </is>
      </c>
      <c r="H12" s="44">
        <f>IF(C12="","",C12-TODAY())</f>
        <v/>
      </c>
    </row>
    <row r="13">
      <c r="A13" s="13" t="inlineStr">
        <is>
          <t>English</t>
        </is>
      </c>
      <c r="B13" s="14" t="inlineStr">
        <is>
          <t>Vocabulary list</t>
        </is>
      </c>
      <c r="C13" s="13" t="n">
        <v>46198</v>
      </c>
      <c r="D13" s="13" t="inlineStr">
        <is>
          <t>Low</t>
        </is>
      </c>
      <c r="E13" s="13" t="inlineStr">
        <is>
          <t>Complete</t>
        </is>
      </c>
      <c r="F13" s="15" t="n">
        <v>100</v>
      </c>
      <c r="G13" s="14" t="inlineStr"/>
      <c r="H13" s="43">
        <f>IF(C13="","",C13-TODAY())</f>
        <v/>
      </c>
    </row>
    <row r="14">
      <c r="A14" s="17" t="inlineStr">
        <is>
          <t>Science</t>
        </is>
      </c>
      <c r="B14" s="18" t="inlineStr">
        <is>
          <t>Reading: chapters 4–5</t>
        </is>
      </c>
      <c r="C14" s="17" t="n">
        <v>46204</v>
      </c>
      <c r="D14" s="17" t="inlineStr">
        <is>
          <t>Medium</t>
        </is>
      </c>
      <c r="E14" s="17" t="inlineStr">
        <is>
          <t>Not Started</t>
        </is>
      </c>
      <c r="F14" s="19" t="inlineStr"/>
      <c r="G14" s="18" t="inlineStr"/>
      <c r="H14" s="44">
        <f>IF(C14="","",C14-TODAY())</f>
        <v/>
      </c>
    </row>
    <row r="15">
      <c r="A15" s="13" t="n"/>
      <c r="B15" s="14" t="n"/>
      <c r="C15" s="13" t="n"/>
      <c r="D15" s="13" t="n"/>
      <c r="E15" s="13" t="n"/>
      <c r="F15" s="15" t="n"/>
      <c r="G15" s="14" t="n"/>
      <c r="H15" s="43">
        <f>IF(C15="","",C15-TODAY())</f>
        <v/>
      </c>
    </row>
    <row r="16">
      <c r="A16" s="17" t="n"/>
      <c r="B16" s="18" t="n"/>
      <c r="C16" s="17" t="n"/>
      <c r="D16" s="17" t="n"/>
      <c r="E16" s="17" t="n"/>
      <c r="F16" s="19" t="n"/>
      <c r="G16" s="18" t="n"/>
      <c r="H16" s="44">
        <f>IF(C16="","",C16-TODAY())</f>
        <v/>
      </c>
    </row>
    <row r="17">
      <c r="A17" s="13" t="n"/>
      <c r="B17" s="14" t="n"/>
      <c r="C17" s="13" t="n"/>
      <c r="D17" s="13" t="n"/>
      <c r="E17" s="13" t="n"/>
      <c r="F17" s="15" t="n"/>
      <c r="G17" s="14" t="n"/>
      <c r="H17" s="43">
        <f>IF(C17="","",C17-TODAY())</f>
        <v/>
      </c>
    </row>
    <row r="18">
      <c r="A18" s="17" t="n"/>
      <c r="B18" s="18" t="n"/>
      <c r="C18" s="17" t="n"/>
      <c r="D18" s="17" t="n"/>
      <c r="E18" s="17" t="n"/>
      <c r="F18" s="19" t="n"/>
      <c r="G18" s="18" t="n"/>
      <c r="H18" s="44">
        <f>IF(C18="","",C18-TODAY())</f>
        <v/>
      </c>
    </row>
    <row r="19">
      <c r="A19" s="13" t="n"/>
      <c r="B19" s="14" t="n"/>
      <c r="C19" s="13" t="n"/>
      <c r="D19" s="13" t="n"/>
      <c r="E19" s="13" t="n"/>
      <c r="F19" s="15" t="n"/>
      <c r="G19" s="14" t="n"/>
      <c r="H19" s="43">
        <f>IF(C19="","",C19-TODAY())</f>
        <v/>
      </c>
    </row>
    <row r="20">
      <c r="A20" s="17" t="n"/>
      <c r="B20" s="18" t="n"/>
      <c r="C20" s="17" t="n"/>
      <c r="D20" s="17" t="n"/>
      <c r="E20" s="17" t="n"/>
      <c r="F20" s="19" t="n"/>
      <c r="G20" s="18" t="n"/>
      <c r="H20" s="44">
        <f>IF(C20="","",C20-TODAY())</f>
        <v/>
      </c>
    </row>
    <row r="21">
      <c r="A21" s="13" t="n"/>
      <c r="B21" s="14" t="n"/>
      <c r="C21" s="13" t="n"/>
      <c r="D21" s="13" t="n"/>
      <c r="E21" s="13" t="n"/>
      <c r="F21" s="15" t="n"/>
      <c r="G21" s="14" t="n"/>
      <c r="H21" s="43">
        <f>IF(C21="","",C21-TODAY())</f>
        <v/>
      </c>
    </row>
    <row r="22">
      <c r="A22" s="17" t="n"/>
      <c r="B22" s="18" t="n"/>
      <c r="C22" s="17" t="n"/>
      <c r="D22" s="17" t="n"/>
      <c r="E22" s="17" t="n"/>
      <c r="F22" s="19" t="n"/>
      <c r="G22" s="18" t="n"/>
      <c r="H22" s="44">
        <f>IF(C22="","",C22-TODAY())</f>
        <v/>
      </c>
    </row>
    <row r="23">
      <c r="A23" s="13" t="n"/>
      <c r="B23" s="14" t="n"/>
      <c r="C23" s="13" t="n"/>
      <c r="D23" s="13" t="n"/>
      <c r="E23" s="13" t="n"/>
      <c r="F23" s="15" t="n"/>
      <c r="G23" s="14" t="n"/>
      <c r="H23" s="43">
        <f>IF(C23="","",C23-TODAY())</f>
        <v/>
      </c>
    </row>
    <row r="24">
      <c r="A24" s="17" t="n"/>
      <c r="B24" s="18" t="n"/>
      <c r="C24" s="17" t="n"/>
      <c r="D24" s="17" t="n"/>
      <c r="E24" s="17" t="n"/>
      <c r="F24" s="19" t="n"/>
      <c r="G24" s="18" t="n"/>
      <c r="H24" s="44">
        <f>IF(C24="","",C24-TODAY())</f>
        <v/>
      </c>
    </row>
    <row r="25">
      <c r="A25" s="13" t="n"/>
      <c r="B25" s="14" t="n"/>
      <c r="C25" s="13" t="n"/>
      <c r="D25" s="13" t="n"/>
      <c r="E25" s="13" t="n"/>
      <c r="F25" s="15" t="n"/>
      <c r="G25" s="14" t="n"/>
      <c r="H25" s="43">
        <f>IF(C25="","",C25-TODAY())</f>
        <v/>
      </c>
    </row>
    <row r="26">
      <c r="A26" s="17" t="n"/>
      <c r="B26" s="18" t="n"/>
      <c r="C26" s="17" t="n"/>
      <c r="D26" s="17" t="n"/>
      <c r="E26" s="17" t="n"/>
      <c r="F26" s="19" t="n"/>
      <c r="G26" s="18" t="n"/>
      <c r="H26" s="44">
        <f>IF(C26="","",C26-TODAY())</f>
        <v/>
      </c>
    </row>
    <row r="27">
      <c r="A27" s="13" t="n"/>
      <c r="B27" s="14" t="n"/>
      <c r="C27" s="13" t="n"/>
      <c r="D27" s="13" t="n"/>
      <c r="E27" s="13" t="n"/>
      <c r="F27" s="15" t="n"/>
      <c r="G27" s="14" t="n"/>
      <c r="H27" s="43">
        <f>IF(C27="","",C27-TODAY())</f>
        <v/>
      </c>
    </row>
    <row r="28">
      <c r="A28" s="17" t="n"/>
      <c r="B28" s="18" t="n"/>
      <c r="C28" s="17" t="n"/>
      <c r="D28" s="17" t="n"/>
      <c r="E28" s="17" t="n"/>
      <c r="F28" s="19" t="n"/>
      <c r="G28" s="18" t="n"/>
      <c r="H28" s="44">
        <f>IF(C28="","",C28-TODAY())</f>
        <v/>
      </c>
    </row>
    <row r="29">
      <c r="A29" s="13" t="n"/>
      <c r="B29" s="14" t="n"/>
      <c r="C29" s="13" t="n"/>
      <c r="D29" s="13" t="n"/>
      <c r="E29" s="13" t="n"/>
      <c r="F29" s="15" t="n"/>
      <c r="G29" s="14" t="n"/>
      <c r="H29" s="43">
        <f>IF(C29="","",C29-TODAY())</f>
        <v/>
      </c>
    </row>
    <row r="30">
      <c r="A30" s="17" t="n"/>
      <c r="B30" s="18" t="n"/>
      <c r="C30" s="17" t="n"/>
      <c r="D30" s="17" t="n"/>
      <c r="E30" s="17" t="n"/>
      <c r="F30" s="19" t="n"/>
      <c r="G30" s="18" t="n"/>
      <c r="H30" s="44">
        <f>IF(C30="","",C30-TODAY())</f>
        <v/>
      </c>
    </row>
    <row r="31">
      <c r="A31" s="13" t="n"/>
      <c r="B31" s="14" t="n"/>
      <c r="C31" s="13" t="n"/>
      <c r="D31" s="13" t="n"/>
      <c r="E31" s="13" t="n"/>
      <c r="F31" s="15" t="n"/>
      <c r="G31" s="14" t="n"/>
      <c r="H31" s="43">
        <f>IF(C31="","",C31-TODAY())</f>
        <v/>
      </c>
    </row>
    <row r="32">
      <c r="A32" s="17" t="n"/>
      <c r="B32" s="18" t="n"/>
      <c r="C32" s="17" t="n"/>
      <c r="D32" s="17" t="n"/>
      <c r="E32" s="17" t="n"/>
      <c r="F32" s="19" t="n"/>
      <c r="G32" s="18" t="n"/>
      <c r="H32" s="44">
        <f>IF(C32="","",C32-TODAY())</f>
        <v/>
      </c>
    </row>
    <row r="33">
      <c r="A33" s="13" t="n"/>
      <c r="B33" s="14" t="n"/>
      <c r="C33" s="13" t="n"/>
      <c r="D33" s="13" t="n"/>
      <c r="E33" s="13" t="n"/>
      <c r="F33" s="15" t="n"/>
      <c r="G33" s="14" t="n"/>
      <c r="H33" s="43">
        <f>IF(C33="","",C33-TODAY())</f>
        <v/>
      </c>
    </row>
    <row r="34">
      <c r="A34" s="17" t="n"/>
      <c r="B34" s="18" t="n"/>
      <c r="C34" s="17" t="n"/>
      <c r="D34" s="17" t="n"/>
      <c r="E34" s="17" t="n"/>
      <c r="F34" s="19" t="n"/>
      <c r="G34" s="18" t="n"/>
      <c r="H34" s="44">
        <f>IF(C34="","",C34-TODAY())</f>
        <v/>
      </c>
    </row>
    <row r="35">
      <c r="A35" s="13" t="n"/>
      <c r="B35" s="14" t="n"/>
      <c r="C35" s="13" t="n"/>
      <c r="D35" s="13" t="n"/>
      <c r="E35" s="13" t="n"/>
      <c r="F35" s="15" t="n"/>
      <c r="G35" s="14" t="n"/>
      <c r="H35" s="43">
        <f>IF(C35="","",C35-TODAY())</f>
        <v/>
      </c>
    </row>
    <row r="36">
      <c r="A36" s="17" t="n"/>
      <c r="B36" s="18" t="n"/>
      <c r="C36" s="17" t="n"/>
      <c r="D36" s="17" t="n"/>
      <c r="E36" s="17" t="n"/>
      <c r="F36" s="19" t="n"/>
      <c r="G36" s="18" t="n"/>
      <c r="H36" s="44">
        <f>IF(C36="","",C36-TODAY())</f>
        <v/>
      </c>
    </row>
    <row r="37">
      <c r="A37" s="13" t="n"/>
      <c r="B37" s="14" t="n"/>
      <c r="C37" s="13" t="n"/>
      <c r="D37" s="13" t="n"/>
      <c r="E37" s="13" t="n"/>
      <c r="F37" s="15" t="n"/>
      <c r="G37" s="14" t="n"/>
      <c r="H37" s="43">
        <f>IF(C37="","",C37-TODAY())</f>
        <v/>
      </c>
    </row>
    <row r="38">
      <c r="A38" s="17" t="n"/>
      <c r="B38" s="18" t="n"/>
      <c r="C38" s="17" t="n"/>
      <c r="D38" s="17" t="n"/>
      <c r="E38" s="17" t="n"/>
      <c r="F38" s="19" t="n"/>
      <c r="G38" s="18" t="n"/>
      <c r="H38" s="44">
        <f>IF(C38="","",C38-TODAY())</f>
        <v/>
      </c>
    </row>
    <row r="39">
      <c r="A39" s="13" t="n"/>
      <c r="B39" s="14" t="n"/>
      <c r="C39" s="13" t="n"/>
      <c r="D39" s="13" t="n"/>
      <c r="E39" s="13" t="n"/>
      <c r="F39" s="15" t="n"/>
      <c r="G39" s="14" t="n"/>
      <c r="H39" s="43">
        <f>IF(C39="","",C39-TODAY())</f>
        <v/>
      </c>
    </row>
    <row r="40">
      <c r="A40" s="17" t="n"/>
      <c r="B40" s="18" t="n"/>
      <c r="C40" s="17" t="n"/>
      <c r="D40" s="17" t="n"/>
      <c r="E40" s="17" t="n"/>
      <c r="F40" s="19" t="n"/>
      <c r="G40" s="18" t="n"/>
      <c r="H40" s="44">
        <f>IF(C40="","",C40-TODAY())</f>
        <v/>
      </c>
    </row>
    <row r="41">
      <c r="A41" s="13" t="n"/>
      <c r="B41" s="14" t="n"/>
      <c r="C41" s="13" t="n"/>
      <c r="D41" s="13" t="n"/>
      <c r="E41" s="13" t="n"/>
      <c r="F41" s="15" t="n"/>
      <c r="G41" s="14" t="n"/>
      <c r="H41" s="43">
        <f>IF(C41="","",C41-TODAY())</f>
        <v/>
      </c>
    </row>
    <row r="42">
      <c r="A42" s="17" t="n"/>
      <c r="B42" s="18" t="n"/>
      <c r="C42" s="17" t="n"/>
      <c r="D42" s="17" t="n"/>
      <c r="E42" s="17" t="n"/>
      <c r="F42" s="19" t="n"/>
      <c r="G42" s="18" t="n"/>
      <c r="H42" s="44">
        <f>IF(C42="","",C42-TODAY())</f>
        <v/>
      </c>
    </row>
    <row r="43">
      <c r="A43" s="13" t="n"/>
      <c r="B43" s="14" t="n"/>
      <c r="C43" s="13" t="n"/>
      <c r="D43" s="13" t="n"/>
      <c r="E43" s="13" t="n"/>
      <c r="F43" s="15" t="n"/>
      <c r="G43" s="14" t="n"/>
      <c r="H43" s="43">
        <f>IF(C43="","",C43-TODAY())</f>
        <v/>
      </c>
    </row>
    <row r="44">
      <c r="A44" s="17" t="n"/>
      <c r="B44" s="18" t="n"/>
      <c r="C44" s="17" t="n"/>
      <c r="D44" s="17" t="n"/>
      <c r="E44" s="17" t="n"/>
      <c r="F44" s="19" t="n"/>
      <c r="G44" s="18" t="n"/>
      <c r="H44" s="44">
        <f>IF(C44="","",C44-TODAY())</f>
        <v/>
      </c>
    </row>
    <row r="45">
      <c r="A45" s="13" t="n"/>
      <c r="B45" s="14" t="n"/>
      <c r="C45" s="13" t="n"/>
      <c r="D45" s="13" t="n"/>
      <c r="E45" s="13" t="n"/>
      <c r="F45" s="15" t="n"/>
      <c r="G45" s="14" t="n"/>
      <c r="H45" s="43">
        <f>IF(C45="","",C45-TODAY())</f>
        <v/>
      </c>
    </row>
    <row r="46">
      <c r="A46" s="17" t="n"/>
      <c r="B46" s="18" t="n"/>
      <c r="C46" s="17" t="n"/>
      <c r="D46" s="17" t="n"/>
      <c r="E46" s="17" t="n"/>
      <c r="F46" s="19" t="n"/>
      <c r="G46" s="18" t="n"/>
      <c r="H46" s="44">
        <f>IF(C46="","",C46-TODAY())</f>
        <v/>
      </c>
    </row>
    <row r="47">
      <c r="A47" s="13" t="n"/>
      <c r="B47" s="14" t="n"/>
      <c r="C47" s="13" t="n"/>
      <c r="D47" s="13" t="n"/>
      <c r="E47" s="13" t="n"/>
      <c r="F47" s="15" t="n"/>
      <c r="G47" s="14" t="n"/>
      <c r="H47" s="43">
        <f>IF(C47="","",C47-TODAY())</f>
        <v/>
      </c>
    </row>
    <row r="48">
      <c r="A48" s="17" t="n"/>
      <c r="B48" s="18" t="n"/>
      <c r="C48" s="17" t="n"/>
      <c r="D48" s="17" t="n"/>
      <c r="E48" s="17" t="n"/>
      <c r="F48" s="19" t="n"/>
      <c r="G48" s="18" t="n"/>
      <c r="H48" s="44">
        <f>IF(C48="","",C48-TODAY())</f>
        <v/>
      </c>
    </row>
    <row r="49">
      <c r="A49" s="13" t="n"/>
      <c r="B49" s="14" t="n"/>
      <c r="C49" s="13" t="n"/>
      <c r="D49" s="13" t="n"/>
      <c r="E49" s="13" t="n"/>
      <c r="F49" s="15" t="n"/>
      <c r="G49" s="14" t="n"/>
      <c r="H49" s="43">
        <f>IF(C49="","",C49-TODAY())</f>
        <v/>
      </c>
    </row>
    <row r="50">
      <c r="A50" s="17" t="n"/>
      <c r="B50" s="18" t="n"/>
      <c r="C50" s="17" t="n"/>
      <c r="D50" s="17" t="n"/>
      <c r="E50" s="17" t="n"/>
      <c r="F50" s="19" t="n"/>
      <c r="G50" s="18" t="n"/>
      <c r="H50" s="44">
        <f>IF(C50="","",C50-TODAY())</f>
        <v/>
      </c>
    </row>
    <row r="51">
      <c r="A51" s="13" t="n"/>
      <c r="B51" s="14" t="n"/>
      <c r="C51" s="13" t="n"/>
      <c r="D51" s="13" t="n"/>
      <c r="E51" s="13" t="n"/>
      <c r="F51" s="15" t="n"/>
      <c r="G51" s="14" t="n"/>
      <c r="H51" s="43">
        <f>IF(C51="","",C51-TODAY())</f>
        <v/>
      </c>
    </row>
    <row r="52">
      <c r="A52" s="17" t="n"/>
      <c r="B52" s="18" t="n"/>
      <c r="C52" s="17" t="n"/>
      <c r="D52" s="17" t="n"/>
      <c r="E52" s="17" t="n"/>
      <c r="F52" s="19" t="n"/>
      <c r="G52" s="18" t="n"/>
      <c r="H52" s="44">
        <f>IF(C52="","",C52-TODAY())</f>
        <v/>
      </c>
    </row>
    <row r="53">
      <c r="A53" s="13" t="n"/>
      <c r="B53" s="14" t="n"/>
      <c r="C53" s="13" t="n"/>
      <c r="D53" s="13" t="n"/>
      <c r="E53" s="13" t="n"/>
      <c r="F53" s="15" t="n"/>
      <c r="G53" s="14" t="n"/>
      <c r="H53" s="43">
        <f>IF(C53="","",C53-TODAY())</f>
        <v/>
      </c>
    </row>
    <row r="54">
      <c r="A54" s="17" t="n"/>
      <c r="B54" s="18" t="n"/>
      <c r="C54" s="17" t="n"/>
      <c r="D54" s="17" t="n"/>
      <c r="E54" s="17" t="n"/>
      <c r="F54" s="19" t="n"/>
      <c r="G54" s="18" t="n"/>
      <c r="H54" s="44">
        <f>IF(C54="","",C54-TODAY())</f>
        <v/>
      </c>
    </row>
  </sheetData>
  <mergeCells count="2">
    <mergeCell ref="A2:H2"/>
    <mergeCell ref="A1:H1"/>
  </mergeCells>
  <conditionalFormatting sqref="A5:H54">
    <cfRule type="expression" priority="1" dxfId="3">
      <formula>AND($C5&lt;&gt;"",$C5&lt;TODAY(),$E5&lt;&gt;"Complete")</formula>
    </cfRule>
    <cfRule type="expression" priority="2" dxfId="0">
      <formula>$E5="Complete"</formula>
    </cfRule>
    <cfRule type="expression" priority="3" dxfId="2">
      <formula>AND($C5&lt;&gt;"",$C5-TODAY()&gt;=0,$C5-TODAY()&lt;=7,$E5&lt;&gt;"Complete")</formula>
    </cfRule>
  </conditionalFormatting>
  <dataValidations count="3">
    <dataValidation sqref="A5:A54" showDropDown="0" showInputMessage="0" showErrorMessage="0" allowBlank="1" type="list">
      <formula1>=SubjectList</formula1>
    </dataValidation>
    <dataValidation sqref="D5:D54" showDropDown="0" showInputMessage="0" showErrorMessage="0" allowBlank="1" type="list">
      <formula1>=PriorityList</formula1>
    </dataValidation>
    <dataValidation sqref="E5:E54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37356"/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6" customWidth="1" min="3" max="3"/>
    <col width="18" customWidth="1" min="4" max="4"/>
    <col width="14" customWidth="1" min="5" max="5"/>
    <col width="28" customWidth="1" min="6" max="6"/>
    <col width="24" customWidth="1" min="7" max="7"/>
  </cols>
  <sheetData>
    <row r="1" ht="44" customHeight="1">
      <c r="A1" s="1" t="inlineStr">
        <is>
          <t xml:space="preserve">  🎯  EXTRACURRICULAR ACTIVITIES</t>
        </is>
      </c>
    </row>
    <row r="2" ht="22" customHeight="1">
      <c r="A2" s="2" t="inlineStr">
        <is>
          <t xml:space="preserve">  Practices, fees, equipment, and contacts in one view.</t>
        </is>
      </c>
    </row>
    <row r="4" ht="32" customHeight="1">
      <c r="A4" s="12" t="inlineStr">
        <is>
          <t>Activity</t>
        </is>
      </c>
      <c r="B4" s="12" t="inlineStr">
        <is>
          <t>Coach / Instructor</t>
        </is>
      </c>
      <c r="C4" s="12" t="inlineStr">
        <is>
          <t>Practice Day</t>
        </is>
      </c>
      <c r="D4" s="12" t="inlineStr">
        <is>
          <t>Practice Time</t>
        </is>
      </c>
      <c r="E4" s="12" t="inlineStr">
        <is>
          <t>Fee</t>
        </is>
      </c>
      <c r="F4" s="12" t="inlineStr">
        <is>
          <t>Equipment Needed</t>
        </is>
      </c>
      <c r="G4" s="12" t="inlineStr">
        <is>
          <t>Contact</t>
        </is>
      </c>
    </row>
    <row r="5">
      <c r="A5" s="14" t="inlineStr">
        <is>
          <t>Soccer (U10)</t>
        </is>
      </c>
      <c r="B5" s="14" t="inlineStr">
        <is>
          <t>Coach Reyes</t>
        </is>
      </c>
      <c r="C5" s="14" t="inlineStr">
        <is>
          <t>Mon / Wed</t>
        </is>
      </c>
      <c r="D5" s="14" t="inlineStr">
        <is>
          <t>4:30 – 6:00pm</t>
        </is>
      </c>
      <c r="E5" s="45" t="n">
        <v>120</v>
      </c>
      <c r="F5" s="14" t="inlineStr">
        <is>
          <t>Cleats, shin guards, ball</t>
        </is>
      </c>
      <c r="G5" s="14" t="inlineStr">
        <is>
          <t>reyes@league.org</t>
        </is>
      </c>
    </row>
    <row r="6">
      <c r="A6" s="18" t="inlineStr">
        <is>
          <t>Robotics Club</t>
        </is>
      </c>
      <c r="B6" s="18" t="inlineStr">
        <is>
          <t>Mr. Patel</t>
        </is>
      </c>
      <c r="C6" s="18" t="inlineStr">
        <is>
          <t>Thursday</t>
        </is>
      </c>
      <c r="D6" s="18" t="inlineStr">
        <is>
          <t>3:30 – 5:00pm</t>
        </is>
      </c>
      <c r="E6" s="46" t="n">
        <v>45</v>
      </c>
      <c r="F6" s="18" t="inlineStr">
        <is>
          <t>Laptop</t>
        </is>
      </c>
      <c r="G6" s="18" t="inlineStr">
        <is>
          <t>patel@school.edu</t>
        </is>
      </c>
    </row>
    <row r="7">
      <c r="A7" s="14" t="inlineStr">
        <is>
          <t>Piano Lessons</t>
        </is>
      </c>
      <c r="B7" s="14" t="inlineStr">
        <is>
          <t>Ms. Park</t>
        </is>
      </c>
      <c r="C7" s="14" t="inlineStr">
        <is>
          <t>Saturday</t>
        </is>
      </c>
      <c r="D7" s="14" t="inlineStr">
        <is>
          <t>10:00 – 10:30am</t>
        </is>
      </c>
      <c r="E7" s="45" t="n">
        <v>35</v>
      </c>
      <c r="F7" s="14" t="inlineStr">
        <is>
          <t>Practice book</t>
        </is>
      </c>
      <c r="G7" s="14" t="inlineStr">
        <is>
          <t>(555) 412-8841</t>
        </is>
      </c>
    </row>
    <row r="8">
      <c r="A8" s="18" t="inlineStr">
        <is>
          <t>Art Workshop</t>
        </is>
      </c>
      <c r="B8" s="18" t="inlineStr">
        <is>
          <t>Ms. Lin</t>
        </is>
      </c>
      <c r="C8" s="18" t="inlineStr">
        <is>
          <t>Friday</t>
        </is>
      </c>
      <c r="D8" s="18" t="inlineStr">
        <is>
          <t>3:30 – 4:30pm</t>
        </is>
      </c>
      <c r="E8" s="46" t="n">
        <v>25</v>
      </c>
      <c r="F8" s="18" t="inlineStr">
        <is>
          <t>Sketchbook, pencils</t>
        </is>
      </c>
      <c r="G8" s="18" t="inlineStr">
        <is>
          <t>lin@studio.com</t>
        </is>
      </c>
    </row>
    <row r="9">
      <c r="A9" s="14" t="inlineStr">
        <is>
          <t>Math Olympiad</t>
        </is>
      </c>
      <c r="B9" s="14" t="inlineStr">
        <is>
          <t>Mr. Hayes</t>
        </is>
      </c>
      <c r="C9" s="14" t="inlineStr">
        <is>
          <t>Tuesday</t>
        </is>
      </c>
      <c r="D9" s="14" t="inlineStr">
        <is>
          <t>3:30 – 4:30pm</t>
        </is>
      </c>
      <c r="E9" s="45" t="n">
        <v>0</v>
      </c>
      <c r="F9" s="14" t="inlineStr">
        <is>
          <t>—</t>
        </is>
      </c>
      <c r="G9" s="14" t="inlineStr">
        <is>
          <t>hayes@school.edu</t>
        </is>
      </c>
    </row>
    <row r="10">
      <c r="A10" s="18" t="inlineStr">
        <is>
          <t>Swimming</t>
        </is>
      </c>
      <c r="B10" s="18" t="inlineStr">
        <is>
          <t>Coach Diaz</t>
        </is>
      </c>
      <c r="C10" s="18" t="inlineStr">
        <is>
          <t>Sun / Wed</t>
        </is>
      </c>
      <c r="D10" s="18" t="inlineStr">
        <is>
          <t>8:00 – 9:00am</t>
        </is>
      </c>
      <c r="E10" s="46" t="n">
        <v>80</v>
      </c>
      <c r="F10" s="18" t="inlineStr">
        <is>
          <t>Swimsuit, goggles, towel</t>
        </is>
      </c>
      <c r="G10" s="18" t="inlineStr">
        <is>
          <t>(555) 901-2271</t>
        </is>
      </c>
    </row>
    <row r="11">
      <c r="A11" s="14" t="n"/>
      <c r="B11" s="14" t="n"/>
      <c r="C11" s="14" t="n"/>
      <c r="D11" s="14" t="n"/>
      <c r="E11" s="45" t="n"/>
      <c r="F11" s="14" t="n"/>
      <c r="G11" s="14" t="n"/>
    </row>
    <row r="12">
      <c r="A12" s="18" t="n"/>
      <c r="B12" s="18" t="n"/>
      <c r="C12" s="18" t="n"/>
      <c r="D12" s="18" t="n"/>
      <c r="E12" s="46" t="n"/>
      <c r="F12" s="18" t="n"/>
      <c r="G12" s="18" t="n"/>
    </row>
    <row r="13">
      <c r="A13" s="14" t="n"/>
      <c r="B13" s="14" t="n"/>
      <c r="C13" s="14" t="n"/>
      <c r="D13" s="14" t="n"/>
      <c r="E13" s="45" t="n"/>
      <c r="F13" s="14" t="n"/>
      <c r="G13" s="14" t="n"/>
    </row>
    <row r="14">
      <c r="A14" s="18" t="n"/>
      <c r="B14" s="18" t="n"/>
      <c r="C14" s="18" t="n"/>
      <c r="D14" s="18" t="n"/>
      <c r="E14" s="46" t="n"/>
      <c r="F14" s="18" t="n"/>
      <c r="G14" s="18" t="n"/>
    </row>
    <row r="15">
      <c r="A15" s="14" t="n"/>
      <c r="B15" s="14" t="n"/>
      <c r="C15" s="14" t="n"/>
      <c r="D15" s="14" t="n"/>
      <c r="E15" s="45" t="n"/>
      <c r="F15" s="14" t="n"/>
      <c r="G15" s="14" t="n"/>
    </row>
    <row r="16">
      <c r="A16" s="18" t="n"/>
      <c r="B16" s="18" t="n"/>
      <c r="C16" s="18" t="n"/>
      <c r="D16" s="18" t="n"/>
      <c r="E16" s="46" t="n"/>
      <c r="F16" s="18" t="n"/>
      <c r="G16" s="18" t="n"/>
    </row>
    <row r="17">
      <c r="A17" s="14" t="n"/>
      <c r="B17" s="14" t="n"/>
      <c r="C17" s="14" t="n"/>
      <c r="D17" s="14" t="n"/>
      <c r="E17" s="45" t="n"/>
      <c r="F17" s="14" t="n"/>
      <c r="G17" s="14" t="n"/>
    </row>
    <row r="18">
      <c r="A18" s="18" t="n"/>
      <c r="B18" s="18" t="n"/>
      <c r="C18" s="18" t="n"/>
      <c r="D18" s="18" t="n"/>
      <c r="E18" s="46" t="n"/>
      <c r="F18" s="18" t="n"/>
      <c r="G18" s="18" t="n"/>
    </row>
    <row r="19">
      <c r="A19" s="14" t="n"/>
      <c r="B19" s="14" t="n"/>
      <c r="C19" s="14" t="n"/>
      <c r="D19" s="14" t="n"/>
      <c r="E19" s="45" t="n"/>
      <c r="F19" s="14" t="n"/>
      <c r="G19" s="14" t="n"/>
    </row>
    <row r="20">
      <c r="A20" s="18" t="n"/>
      <c r="B20" s="18" t="n"/>
      <c r="C20" s="18" t="n"/>
      <c r="D20" s="18" t="n"/>
      <c r="E20" s="46" t="n"/>
      <c r="F20" s="18" t="n"/>
      <c r="G20" s="18" t="n"/>
    </row>
    <row r="21">
      <c r="A21" s="14" t="n"/>
      <c r="B21" s="14" t="n"/>
      <c r="C21" s="14" t="n"/>
      <c r="D21" s="14" t="n"/>
      <c r="E21" s="45" t="n"/>
      <c r="F21" s="14" t="n"/>
      <c r="G21" s="14" t="n"/>
    </row>
    <row r="22">
      <c r="A22" s="18" t="n"/>
      <c r="B22" s="18" t="n"/>
      <c r="C22" s="18" t="n"/>
      <c r="D22" s="18" t="n"/>
      <c r="E22" s="46" t="n"/>
      <c r="F22" s="18" t="n"/>
      <c r="G22" s="18" t="n"/>
    </row>
    <row r="23">
      <c r="A23" s="14" t="n"/>
      <c r="B23" s="14" t="n"/>
      <c r="C23" s="14" t="n"/>
      <c r="D23" s="14" t="n"/>
      <c r="E23" s="45" t="n"/>
      <c r="F23" s="14" t="n"/>
      <c r="G23" s="14" t="n"/>
    </row>
    <row r="24">
      <c r="A24" s="18" t="n"/>
      <c r="B24" s="18" t="n"/>
      <c r="C24" s="18" t="n"/>
      <c r="D24" s="18" t="n"/>
      <c r="E24" s="46" t="n"/>
      <c r="F24" s="18" t="n"/>
      <c r="G24" s="18" t="n"/>
    </row>
  </sheetData>
  <mergeCells count="2"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5E6C1"/>
    <outlinePr summaryBelow="1" summaryRight="1"/>
    <pageSetUpPr/>
  </sheetPr>
  <dimension ref="A1:F4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8" customWidth="1" min="4" max="4"/>
    <col width="18" customWidth="1" min="5" max="5"/>
    <col width="24" customWidth="1" min="6" max="6"/>
  </cols>
  <sheetData>
    <row r="1" ht="44" customHeight="1">
      <c r="A1" s="1" t="inlineStr">
        <is>
          <t xml:space="preserve">  🗓  SCHOOL-YEAR CALENDAR</t>
        </is>
      </c>
    </row>
    <row r="2" ht="22" customHeight="1">
      <c r="A2" s="2" t="inlineStr">
        <is>
          <t xml:space="preserve">  Logged events: holidays, exams, meetings, deadlines.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Event</t>
        </is>
      </c>
      <c r="D4" s="12" t="inlineStr">
        <is>
          <t>Notes</t>
        </is>
      </c>
      <c r="E4" s="12" t="inlineStr">
        <is>
          <t>Type</t>
        </is>
      </c>
      <c r="F4" s="12" t="inlineStr">
        <is>
          <t>Student</t>
        </is>
      </c>
    </row>
    <row r="5">
      <c r="A5" s="13" t="n">
        <v>46267</v>
      </c>
      <c r="B5" s="13" t="inlineStr">
        <is>
          <t>Wed</t>
        </is>
      </c>
      <c r="C5" s="14" t="inlineStr">
        <is>
          <t>First day of school</t>
        </is>
      </c>
      <c r="D5" s="14" t="inlineStr">
        <is>
          <t>Bus pickup 7:35am</t>
        </is>
      </c>
      <c r="E5" s="13" t="inlineStr">
        <is>
          <t>Milestone</t>
        </is>
      </c>
      <c r="F5" s="14" t="inlineStr">
        <is>
          <t>All</t>
        </is>
      </c>
    </row>
    <row r="6">
      <c r="A6" s="17" t="n">
        <v>46279</v>
      </c>
      <c r="B6" s="17" t="inlineStr">
        <is>
          <t>Mon</t>
        </is>
      </c>
      <c r="C6" s="18" t="inlineStr">
        <is>
          <t>Picture day</t>
        </is>
      </c>
      <c r="D6" s="18" t="inlineStr">
        <is>
          <t>Wear school colors</t>
        </is>
      </c>
      <c r="E6" s="17" t="inlineStr">
        <is>
          <t>Picture Day</t>
        </is>
      </c>
      <c r="F6" s="18" t="inlineStr">
        <is>
          <t>All</t>
        </is>
      </c>
    </row>
    <row r="7">
      <c r="A7" s="13" t="n">
        <v>46286</v>
      </c>
      <c r="B7" s="13" t="inlineStr">
        <is>
          <t>Mon</t>
        </is>
      </c>
      <c r="C7" s="14" t="inlineStr">
        <is>
          <t>Back-to-school night</t>
        </is>
      </c>
      <c r="D7" s="14" t="inlineStr">
        <is>
          <t>6:30pm – 8:30pm</t>
        </is>
      </c>
      <c r="E7" s="13" t="inlineStr">
        <is>
          <t>Parent-Teacher</t>
        </is>
      </c>
      <c r="F7" s="14" t="inlineStr">
        <is>
          <t>All</t>
        </is>
      </c>
    </row>
    <row r="8">
      <c r="A8" s="17" t="n">
        <v>46304</v>
      </c>
      <c r="B8" s="17" t="inlineStr">
        <is>
          <t>Fri</t>
        </is>
      </c>
      <c r="C8" s="18" t="inlineStr">
        <is>
          <t>Teacher work day (no school)</t>
        </is>
      </c>
      <c r="D8" s="18" t="inlineStr"/>
      <c r="E8" s="17" t="inlineStr">
        <is>
          <t>Holiday</t>
        </is>
      </c>
      <c r="F8" s="18" t="inlineStr">
        <is>
          <t>All</t>
        </is>
      </c>
    </row>
    <row r="9">
      <c r="A9" s="13" t="n">
        <v>46321</v>
      </c>
      <c r="B9" s="13" t="inlineStr">
        <is>
          <t>Mon</t>
        </is>
      </c>
      <c r="C9" s="14" t="inlineStr">
        <is>
          <t>Midterm exam — Math</t>
        </is>
      </c>
      <c r="D9" s="14" t="inlineStr">
        <is>
          <t>Bring calculator</t>
        </is>
      </c>
      <c r="E9" s="13" t="inlineStr">
        <is>
          <t>Exam</t>
        </is>
      </c>
      <c r="F9" s="14" t="inlineStr">
        <is>
          <t>Liam</t>
        </is>
      </c>
    </row>
    <row r="10">
      <c r="A10" s="17" t="n">
        <v>46339</v>
      </c>
      <c r="B10" s="17" t="inlineStr">
        <is>
          <t>Fri</t>
        </is>
      </c>
      <c r="C10" s="18" t="inlineStr">
        <is>
          <t>Field trip — Museum</t>
        </is>
      </c>
      <c r="D10" s="18" t="inlineStr">
        <is>
          <t>Permission slip due 11/6</t>
        </is>
      </c>
      <c r="E10" s="17" t="inlineStr">
        <is>
          <t>Field Trip</t>
        </is>
      </c>
      <c r="F10" s="18" t="inlineStr">
        <is>
          <t>Emma</t>
        </is>
      </c>
    </row>
    <row r="11">
      <c r="A11" s="13" t="n">
        <v>46352</v>
      </c>
      <c r="B11" s="13" t="inlineStr">
        <is>
          <t>Thu</t>
        </is>
      </c>
      <c r="C11" s="14" t="inlineStr">
        <is>
          <t>Thanksgiving break begins</t>
        </is>
      </c>
      <c r="D11" s="14" t="inlineStr">
        <is>
          <t>Return 12/1</t>
        </is>
      </c>
      <c r="E11" s="13" t="inlineStr">
        <is>
          <t>Holiday</t>
        </is>
      </c>
      <c r="F11" s="14" t="inlineStr">
        <is>
          <t>All</t>
        </is>
      </c>
    </row>
    <row r="12">
      <c r="A12" s="17" t="n">
        <v>46374</v>
      </c>
      <c r="B12" s="17" t="inlineStr">
        <is>
          <t>Fri</t>
        </is>
      </c>
      <c r="C12" s="18" t="inlineStr">
        <is>
          <t>Winter break begins</t>
        </is>
      </c>
      <c r="D12" s="18" t="inlineStr">
        <is>
          <t>Return 1/5</t>
        </is>
      </c>
      <c r="E12" s="17" t="inlineStr">
        <is>
          <t>Holiday</t>
        </is>
      </c>
      <c r="F12" s="18" t="inlineStr">
        <is>
          <t>All</t>
        </is>
      </c>
    </row>
    <row r="13">
      <c r="A13" s="13" t="n">
        <v>46402</v>
      </c>
      <c r="B13" s="13" t="inlineStr">
        <is>
          <t>Fri</t>
        </is>
      </c>
      <c r="C13" s="14" t="inlineStr">
        <is>
          <t>Report cards issued</t>
        </is>
      </c>
      <c r="D13" s="14" t="inlineStr"/>
      <c r="E13" s="13" t="inlineStr">
        <is>
          <t>Milestone</t>
        </is>
      </c>
      <c r="F13" s="14" t="inlineStr">
        <is>
          <t>All</t>
        </is>
      </c>
    </row>
    <row r="14">
      <c r="A14" s="17" t="n">
        <v>46430</v>
      </c>
      <c r="B14" s="17" t="inlineStr">
        <is>
          <t>Fri</t>
        </is>
      </c>
      <c r="C14" s="18" t="inlineStr">
        <is>
          <t>Parent-teacher conferences</t>
        </is>
      </c>
      <c r="D14" s="18" t="inlineStr">
        <is>
          <t>Sign up online</t>
        </is>
      </c>
      <c r="E14" s="17" t="inlineStr">
        <is>
          <t>Parent-Teacher</t>
        </is>
      </c>
      <c r="F14" s="18" t="inlineStr">
        <is>
          <t>All</t>
        </is>
      </c>
    </row>
    <row r="15">
      <c r="A15" s="13" t="n">
        <v>46472</v>
      </c>
      <c r="B15" s="13" t="inlineStr">
        <is>
          <t>Fri</t>
        </is>
      </c>
      <c r="C15" s="14" t="inlineStr">
        <is>
          <t>Spring break begins</t>
        </is>
      </c>
      <c r="D15" s="14" t="inlineStr">
        <is>
          <t>Return 4/5</t>
        </is>
      </c>
      <c r="E15" s="13" t="inlineStr">
        <is>
          <t>Holiday</t>
        </is>
      </c>
      <c r="F15" s="14" t="inlineStr">
        <is>
          <t>All</t>
        </is>
      </c>
    </row>
    <row r="16">
      <c r="A16" s="17" t="n">
        <v>46531</v>
      </c>
      <c r="B16" s="17" t="inlineStr">
        <is>
          <t>Mon</t>
        </is>
      </c>
      <c r="C16" s="18" t="inlineStr">
        <is>
          <t>Final exams week</t>
        </is>
      </c>
      <c r="D16" s="18" t="inlineStr"/>
      <c r="E16" s="17" t="inlineStr">
        <is>
          <t>Exam</t>
        </is>
      </c>
      <c r="F16" s="18" t="inlineStr">
        <is>
          <t>Liam</t>
        </is>
      </c>
    </row>
    <row r="17">
      <c r="A17" s="13" t="n">
        <v>46550</v>
      </c>
      <c r="B17" s="13" t="inlineStr">
        <is>
          <t>Fri</t>
        </is>
      </c>
      <c r="C17" s="14" t="inlineStr">
        <is>
          <t>Last day of school</t>
        </is>
      </c>
      <c r="D17" s="14" t="inlineStr">
        <is>
          <t>Early dismissal 12pm</t>
        </is>
      </c>
      <c r="E17" s="13" t="inlineStr">
        <is>
          <t>Milestone</t>
        </is>
      </c>
      <c r="F17" s="14" t="inlineStr">
        <is>
          <t>All</t>
        </is>
      </c>
    </row>
    <row r="18">
      <c r="A18" s="17" t="n"/>
      <c r="B18" s="17" t="n"/>
      <c r="C18" s="18" t="n"/>
      <c r="D18" s="18" t="n"/>
      <c r="E18" s="17" t="n"/>
      <c r="F18" s="18" t="n"/>
    </row>
    <row r="19">
      <c r="A19" s="13" t="n"/>
      <c r="B19" s="13" t="n"/>
      <c r="C19" s="14" t="n"/>
      <c r="D19" s="14" t="n"/>
      <c r="E19" s="13" t="n"/>
      <c r="F19" s="14" t="n"/>
    </row>
    <row r="20">
      <c r="A20" s="17" t="n"/>
      <c r="B20" s="17" t="n"/>
      <c r="C20" s="18" t="n"/>
      <c r="D20" s="18" t="n"/>
      <c r="E20" s="17" t="n"/>
      <c r="F20" s="18" t="n"/>
    </row>
    <row r="21">
      <c r="A21" s="13" t="n"/>
      <c r="B21" s="13" t="n"/>
      <c r="C21" s="14" t="n"/>
      <c r="D21" s="14" t="n"/>
      <c r="E21" s="13" t="n"/>
      <c r="F21" s="14" t="n"/>
    </row>
    <row r="22">
      <c r="A22" s="17" t="n"/>
      <c r="B22" s="17" t="n"/>
      <c r="C22" s="18" t="n"/>
      <c r="D22" s="18" t="n"/>
      <c r="E22" s="17" t="n"/>
      <c r="F22" s="18" t="n"/>
    </row>
    <row r="23">
      <c r="A23" s="13" t="n"/>
      <c r="B23" s="13" t="n"/>
      <c r="C23" s="14" t="n"/>
      <c r="D23" s="14" t="n"/>
      <c r="E23" s="13" t="n"/>
      <c r="F23" s="14" t="n"/>
    </row>
    <row r="24">
      <c r="A24" s="17" t="n"/>
      <c r="B24" s="17" t="n"/>
      <c r="C24" s="18" t="n"/>
      <c r="D24" s="18" t="n"/>
      <c r="E24" s="17" t="n"/>
      <c r="F24" s="18" t="n"/>
    </row>
    <row r="25">
      <c r="A25" s="13" t="n"/>
      <c r="B25" s="13" t="n"/>
      <c r="C25" s="14" t="n"/>
      <c r="D25" s="14" t="n"/>
      <c r="E25" s="13" t="n"/>
      <c r="F25" s="14" t="n"/>
    </row>
    <row r="26">
      <c r="A26" s="17" t="n"/>
      <c r="B26" s="17" t="n"/>
      <c r="C26" s="18" t="n"/>
      <c r="D26" s="18" t="n"/>
      <c r="E26" s="17" t="n"/>
      <c r="F26" s="18" t="n"/>
    </row>
    <row r="27">
      <c r="A27" s="13" t="n"/>
      <c r="B27" s="13" t="n"/>
      <c r="C27" s="14" t="n"/>
      <c r="D27" s="14" t="n"/>
      <c r="E27" s="13" t="n"/>
      <c r="F27" s="14" t="n"/>
    </row>
    <row r="28">
      <c r="A28" s="17" t="n"/>
      <c r="B28" s="17" t="n"/>
      <c r="C28" s="18" t="n"/>
      <c r="D28" s="18" t="n"/>
      <c r="E28" s="17" t="n"/>
      <c r="F28" s="18" t="n"/>
    </row>
    <row r="29">
      <c r="A29" s="13" t="n"/>
      <c r="B29" s="13" t="n"/>
      <c r="C29" s="14" t="n"/>
      <c r="D29" s="14" t="n"/>
      <c r="E29" s="13" t="n"/>
      <c r="F29" s="14" t="n"/>
    </row>
    <row r="30">
      <c r="A30" s="17" t="n"/>
      <c r="B30" s="17" t="n"/>
      <c r="C30" s="18" t="n"/>
      <c r="D30" s="18" t="n"/>
      <c r="E30" s="17" t="n"/>
      <c r="F30" s="18" t="n"/>
    </row>
    <row r="31">
      <c r="A31" s="13" t="n"/>
      <c r="B31" s="13" t="n"/>
      <c r="C31" s="14" t="n"/>
      <c r="D31" s="14" t="n"/>
      <c r="E31" s="13" t="n"/>
      <c r="F31" s="14" t="n"/>
    </row>
    <row r="32">
      <c r="A32" s="17" t="n"/>
      <c r="B32" s="17" t="n"/>
      <c r="C32" s="18" t="n"/>
      <c r="D32" s="18" t="n"/>
      <c r="E32" s="17" t="n"/>
      <c r="F32" s="18" t="n"/>
    </row>
    <row r="33">
      <c r="A33" s="13" t="n"/>
      <c r="B33" s="13" t="n"/>
      <c r="C33" s="14" t="n"/>
      <c r="D33" s="14" t="n"/>
      <c r="E33" s="13" t="n"/>
      <c r="F33" s="14" t="n"/>
    </row>
    <row r="34">
      <c r="A34" s="17" t="n"/>
      <c r="B34" s="17" t="n"/>
      <c r="C34" s="18" t="n"/>
      <c r="D34" s="18" t="n"/>
      <c r="E34" s="17" t="n"/>
      <c r="F34" s="18" t="n"/>
    </row>
    <row r="35">
      <c r="A35" s="13" t="n"/>
      <c r="B35" s="13" t="n"/>
      <c r="C35" s="14" t="n"/>
      <c r="D35" s="14" t="n"/>
      <c r="E35" s="13" t="n"/>
      <c r="F35" s="14" t="n"/>
    </row>
    <row r="36">
      <c r="A36" s="17" t="n"/>
      <c r="B36" s="17" t="n"/>
      <c r="C36" s="18" t="n"/>
      <c r="D36" s="18" t="n"/>
      <c r="E36" s="17" t="n"/>
      <c r="F36" s="18" t="n"/>
    </row>
    <row r="37">
      <c r="A37" s="13" t="n"/>
      <c r="B37" s="13" t="n"/>
      <c r="C37" s="14" t="n"/>
      <c r="D37" s="14" t="n"/>
      <c r="E37" s="13" t="n"/>
      <c r="F37" s="14" t="n"/>
    </row>
    <row r="38">
      <c r="A38" s="17" t="n"/>
      <c r="B38" s="17" t="n"/>
      <c r="C38" s="18" t="n"/>
      <c r="D38" s="18" t="n"/>
      <c r="E38" s="17" t="n"/>
      <c r="F38" s="18" t="n"/>
    </row>
    <row r="39">
      <c r="A39" s="13" t="n"/>
      <c r="B39" s="13" t="n"/>
      <c r="C39" s="14" t="n"/>
      <c r="D39" s="14" t="n"/>
      <c r="E39" s="13" t="n"/>
      <c r="F39" s="14" t="n"/>
    </row>
    <row r="40">
      <c r="A40" s="17" t="n"/>
      <c r="B40" s="17" t="n"/>
      <c r="C40" s="18" t="n"/>
      <c r="D40" s="18" t="n"/>
      <c r="E40" s="17" t="n"/>
      <c r="F40" s="18" t="n"/>
    </row>
    <row r="41">
      <c r="A41" s="13" t="n"/>
      <c r="B41" s="13" t="n"/>
      <c r="C41" s="14" t="n"/>
      <c r="D41" s="14" t="n"/>
      <c r="E41" s="13" t="n"/>
      <c r="F41" s="14" t="n"/>
    </row>
    <row r="42">
      <c r="A42" s="17" t="n"/>
      <c r="B42" s="17" t="n"/>
      <c r="C42" s="18" t="n"/>
      <c r="D42" s="18" t="n"/>
      <c r="E42" s="17" t="n"/>
      <c r="F42" s="18" t="n"/>
    </row>
    <row r="43">
      <c r="A43" s="13" t="n"/>
      <c r="B43" s="13" t="n"/>
      <c r="C43" s="14" t="n"/>
      <c r="D43" s="14" t="n"/>
      <c r="E43" s="13" t="n"/>
      <c r="F43" s="14" t="n"/>
    </row>
    <row r="44">
      <c r="A44" s="17" t="n"/>
      <c r="B44" s="17" t="n"/>
      <c r="C44" s="18" t="n"/>
      <c r="D44" s="18" t="n"/>
      <c r="E44" s="17" t="n"/>
      <c r="F44" s="18" t="n"/>
    </row>
  </sheetData>
  <mergeCells count="2">
    <mergeCell ref="A2:F2"/>
    <mergeCell ref="A1:F1"/>
  </mergeCells>
  <conditionalFormatting sqref="A5:F44">
    <cfRule type="expression" priority="1" dxfId="4">
      <formula>AND($A5&lt;&gt;"",$A5-TODAY()&gt;=0,$A5-TODAY()&lt;=14)</formula>
    </cfRule>
    <cfRule type="expression" priority="2" dxfId="5">
      <formula>AND($A5&lt;&gt;"",$A5&lt;TODAY())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937356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6" customWidth="1" min="7" max="7"/>
    <col width="22" customWidth="1" min="8" max="8"/>
    <col width="14" customWidth="1" min="9" max="9"/>
  </cols>
  <sheetData>
    <row r="1" ht="44" customHeight="1">
      <c r="A1" s="1" t="inlineStr">
        <is>
          <t xml:space="preserve">  🍎  LUNCH &amp; MEAL PLANNER</t>
        </is>
      </c>
    </row>
    <row r="2" ht="22" customHeight="1">
      <c r="A2" s="2" t="inlineStr">
        <is>
          <t xml:space="preserve">  Weekly meals + auto-build grocery list.</t>
        </is>
      </c>
    </row>
    <row r="4" ht="30" customHeight="1">
      <c r="A4" s="12" t="inlineStr">
        <is>
          <t>MEAL</t>
        </is>
      </c>
      <c r="B4" s="12" t="inlineStr">
        <is>
          <t>Monday</t>
        </is>
      </c>
      <c r="C4" s="12" t="inlineStr">
        <is>
          <t>Tuesday</t>
        </is>
      </c>
      <c r="D4" s="12" t="inlineStr">
        <is>
          <t>Wednesday</t>
        </is>
      </c>
      <c r="E4" s="12" t="inlineStr">
        <is>
          <t>Thursday</t>
        </is>
      </c>
      <c r="F4" s="12" t="inlineStr">
        <is>
          <t>Friday</t>
        </is>
      </c>
      <c r="H4" s="12" t="inlineStr">
        <is>
          <t>GROCERY LIST</t>
        </is>
      </c>
    </row>
    <row r="5" ht="42" customHeight="1">
      <c r="A5" s="47" t="inlineStr">
        <is>
          <t>Breakfast</t>
        </is>
      </c>
      <c r="B5" s="48" t="inlineStr">
        <is>
          <t>Oatmeal + berries</t>
        </is>
      </c>
      <c r="C5" s="14" t="inlineStr">
        <is>
          <t>Yogurt parfait</t>
        </is>
      </c>
      <c r="D5" s="48" t="inlineStr">
        <is>
          <t>Scrambled eggs + toast</t>
        </is>
      </c>
      <c r="E5" s="14" t="inlineStr">
        <is>
          <t>Smoothie + granola</t>
        </is>
      </c>
      <c r="F5" s="48" t="inlineStr">
        <is>
          <t>Pancakes</t>
        </is>
      </c>
      <c r="H5" s="49" t="inlineStr">
        <is>
          <t>Bread (whole grain)</t>
        </is>
      </c>
      <c r="I5" s="50" t="n">
        <v>2</v>
      </c>
    </row>
    <row r="6" ht="42" customHeight="1">
      <c r="A6" s="47" t="inlineStr">
        <is>
          <t>Lunch</t>
        </is>
      </c>
      <c r="B6" s="48" t="inlineStr">
        <is>
          <t>Turkey wrap + apple</t>
        </is>
      </c>
      <c r="C6" s="14" t="inlineStr">
        <is>
          <t>PB&amp;J + carrots</t>
        </is>
      </c>
      <c r="D6" s="48" t="inlineStr">
        <is>
          <t>Pasta salad + grapes</t>
        </is>
      </c>
      <c r="E6" s="14" t="inlineStr">
        <is>
          <t>Chicken nuggets + cucumber</t>
        </is>
      </c>
      <c r="F6" s="48" t="inlineStr">
        <is>
          <t>Cheese pizza slice + orange</t>
        </is>
      </c>
      <c r="H6" s="18" t="inlineStr">
        <is>
          <t>Turkey slices</t>
        </is>
      </c>
      <c r="I6" s="19" t="n">
        <v>1</v>
      </c>
    </row>
    <row r="7" ht="42" customHeight="1">
      <c r="A7" s="47" t="inlineStr">
        <is>
          <t>Snack</t>
        </is>
      </c>
      <c r="B7" s="48" t="inlineStr">
        <is>
          <t>Trail mix</t>
        </is>
      </c>
      <c r="C7" s="14" t="inlineStr">
        <is>
          <t>Cheese stick + crackers</t>
        </is>
      </c>
      <c r="D7" s="48" t="inlineStr">
        <is>
          <t>Apple slices + PB</t>
        </is>
      </c>
      <c r="E7" s="14" t="inlineStr">
        <is>
          <t>Granola bar</t>
        </is>
      </c>
      <c r="F7" s="48" t="inlineStr">
        <is>
          <t>Veggie chips</t>
        </is>
      </c>
      <c r="H7" s="49" t="inlineStr">
        <is>
          <t>Cheese sticks</t>
        </is>
      </c>
      <c r="I7" s="50" t="n">
        <v>8</v>
      </c>
    </row>
    <row r="8">
      <c r="H8" s="18" t="inlineStr">
        <is>
          <t>Apples</t>
        </is>
      </c>
      <c r="I8" s="19" t="n">
        <v>10</v>
      </c>
    </row>
    <row r="9">
      <c r="H9" s="49" t="inlineStr">
        <is>
          <t>Carrots (baby)</t>
        </is>
      </c>
      <c r="I9" s="50" t="n">
        <v>1</v>
      </c>
    </row>
    <row r="10">
      <c r="A10" s="8" t="inlineStr">
        <is>
          <t>DIETARY NOTES</t>
        </is>
      </c>
      <c r="H10" s="18" t="inlineStr">
        <is>
          <t>Cucumbers</t>
        </is>
      </c>
      <c r="I10" s="19" t="n">
        <v>2</v>
      </c>
    </row>
    <row r="11" ht="22" customHeight="1">
      <c r="A11" s="11" t="inlineStr">
        <is>
          <t>Emma: peanut allergy — strictly no peanuts in lunch packing.
Liam: vegetarian Mondays.
Family: gluten-free option preferred Wednesdays.</t>
        </is>
      </c>
      <c r="H11" s="49" t="inlineStr">
        <is>
          <t>Yogurt cups</t>
        </is>
      </c>
      <c r="I11" s="50" t="n">
        <v>8</v>
      </c>
    </row>
    <row r="12" ht="22" customHeight="1">
      <c r="H12" s="18" t="inlineStr">
        <is>
          <t>Granola</t>
        </is>
      </c>
      <c r="I12" s="19" t="n">
        <v>1</v>
      </c>
    </row>
    <row r="13" ht="22" customHeight="1">
      <c r="H13" s="49" t="inlineStr">
        <is>
          <t>Trail mix</t>
        </is>
      </c>
      <c r="I13" s="50" t="n">
        <v>1</v>
      </c>
    </row>
    <row r="14">
      <c r="H14" s="18" t="inlineStr">
        <is>
          <t>Eggs (dozen)</t>
        </is>
      </c>
      <c r="I14" s="19" t="n">
        <v>1</v>
      </c>
    </row>
    <row r="15">
      <c r="H15" s="49" t="inlineStr">
        <is>
          <t>Oats</t>
        </is>
      </c>
      <c r="I15" s="50" t="n">
        <v>1</v>
      </c>
    </row>
    <row r="16">
      <c r="H16" s="18" t="inlineStr">
        <is>
          <t>Berries (mixed)</t>
        </is>
      </c>
      <c r="I16" s="19" t="n">
        <v>2</v>
      </c>
    </row>
    <row r="17">
      <c r="H17" s="49" t="inlineStr">
        <is>
          <t>Pasta</t>
        </is>
      </c>
      <c r="I17" s="50" t="n">
        <v>1</v>
      </c>
    </row>
    <row r="18">
      <c r="H18" s="18" t="inlineStr">
        <is>
          <t>Pizza slices (frozen)</t>
        </is>
      </c>
      <c r="I18" s="19" t="n">
        <v>5</v>
      </c>
    </row>
    <row r="19">
      <c r="H19" s="49" t="inlineStr">
        <is>
          <t>Veggie chips</t>
        </is>
      </c>
      <c r="I19" s="50" t="n">
        <v>1</v>
      </c>
    </row>
  </sheetData>
  <mergeCells count="5">
    <mergeCell ref="A11:F13"/>
    <mergeCell ref="A10:F10"/>
    <mergeCell ref="A2:I2"/>
    <mergeCell ref="A1:I1"/>
    <mergeCell ref="H4:I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C94C4C"/>
    <outlinePr summaryBelow="1" summaryRight="1"/>
    <pageSetUpPr/>
  </sheetPr>
  <dimension ref="A1:CD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30" customWidth="1" min="5" max="5"/>
  </cols>
  <sheetData>
    <row r="1" ht="44" customHeight="1">
      <c r="A1" s="1" t="inlineStr">
        <is>
          <t xml:space="preserve">  🚨  EMERGENCY CONTACTS &amp; INFO</t>
        </is>
      </c>
    </row>
    <row r="2" ht="22" customHeight="1">
      <c r="A2" s="2" t="inlineStr">
        <is>
          <t xml:space="preserve">  Keep this printable and accessible.</t>
        </is>
      </c>
    </row>
    <row r="4" ht="22" customHeight="1">
      <c r="A4" s="8" t="inlineStr">
        <is>
          <t>FAMILY</t>
        </is>
      </c>
    </row>
    <row r="5" ht="26" customHeight="1">
      <c r="A5" s="12" t="inlineStr">
        <is>
          <t>Role</t>
        </is>
      </c>
      <c r="B5" s="12" t="inlineStr">
        <is>
          <t>Name</t>
        </is>
      </c>
      <c r="C5" s="12" t="inlineStr">
        <is>
          <t>Phone</t>
        </is>
      </c>
      <c r="D5" s="12" t="inlineStr">
        <is>
          <t>Email / Provider</t>
        </is>
      </c>
      <c r="E5" s="12" t="inlineStr">
        <is>
          <t>Notes</t>
        </is>
      </c>
      <c r="BQ5" t="inlineStr">
        <is>
          <t>Email / Provider</t>
        </is>
      </c>
      <c r="BZ5" t="inlineStr">
        <is>
          <t>Notes</t>
        </is>
      </c>
      <c r="CB5" t="inlineStr">
        <is>
          <t>Phone</t>
        </is>
      </c>
      <c r="CD5" t="inlineStr">
        <is>
          <t>Role</t>
        </is>
      </c>
    </row>
    <row r="6">
      <c r="A6" s="14" t="inlineStr">
        <is>
          <t>Mom</t>
        </is>
      </c>
      <c r="B6" s="14" t="inlineStr">
        <is>
          <t>Sarah Carter</t>
        </is>
      </c>
      <c r="C6" s="14" t="inlineStr">
        <is>
          <t>(555) 412-7833</t>
        </is>
      </c>
      <c r="D6" s="14" t="inlineStr">
        <is>
          <t>sarah@example.com</t>
        </is>
      </c>
      <c r="E6" s="14" t="inlineStr">
        <is>
          <t>Primary</t>
        </is>
      </c>
    </row>
    <row r="7">
      <c r="A7" s="18" t="inlineStr">
        <is>
          <t>Dad</t>
        </is>
      </c>
      <c r="B7" s="18" t="inlineStr">
        <is>
          <t>James Carter</t>
        </is>
      </c>
      <c r="C7" s="18" t="inlineStr">
        <is>
          <t>(555) 412-7901</t>
        </is>
      </c>
      <c r="D7" s="18" t="inlineStr">
        <is>
          <t>james@example.com</t>
        </is>
      </c>
      <c r="E7" s="18" t="inlineStr">
        <is>
          <t>Secondary</t>
        </is>
      </c>
    </row>
    <row r="8">
      <c r="A8" s="14" t="inlineStr">
        <is>
          <t>Grandma</t>
        </is>
      </c>
      <c r="B8" s="14" t="inlineStr">
        <is>
          <t>Linda Reyes</t>
        </is>
      </c>
      <c r="C8" s="14" t="inlineStr">
        <is>
          <t>(555) 904-1320</t>
        </is>
      </c>
      <c r="D8" s="14" t="inlineStr">
        <is>
          <t>linda@example.com</t>
        </is>
      </c>
      <c r="E8" s="14" t="inlineStr">
        <is>
          <t>Pickup authorized</t>
        </is>
      </c>
    </row>
    <row r="10" ht="22" customHeight="1">
      <c r="A10" s="8" t="inlineStr">
        <is>
          <t>MEDICAL</t>
        </is>
      </c>
    </row>
    <row r="11" ht="26" customHeight="1">
      <c r="A11" s="12" t="inlineStr">
        <is>
          <t>Role</t>
        </is>
      </c>
      <c r="B11" s="12" t="inlineStr">
        <is>
          <t>Name</t>
        </is>
      </c>
      <c r="C11" s="12" t="inlineStr">
        <is>
          <t>Phone</t>
        </is>
      </c>
      <c r="D11" s="12" t="inlineStr">
        <is>
          <t>Email / Provider</t>
        </is>
      </c>
      <c r="E11" s="12" t="inlineStr">
        <is>
          <t>Notes</t>
        </is>
      </c>
      <c r="BQ11" t="inlineStr">
        <is>
          <t>Email / Provider</t>
        </is>
      </c>
      <c r="BZ11" t="inlineStr">
        <is>
          <t>Notes</t>
        </is>
      </c>
      <c r="CB11" t="inlineStr">
        <is>
          <t>Phone</t>
        </is>
      </c>
      <c r="CD11" t="inlineStr">
        <is>
          <t>Role</t>
        </is>
      </c>
    </row>
    <row r="12">
      <c r="A12" s="14" t="inlineStr">
        <is>
          <t>Pediatrician</t>
        </is>
      </c>
      <c r="B12" s="14" t="inlineStr">
        <is>
          <t>Dr. Mira Singh</t>
        </is>
      </c>
      <c r="C12" s="14" t="inlineStr">
        <is>
          <t>(555) 388-2210</t>
        </is>
      </c>
      <c r="D12" s="14" t="inlineStr">
        <is>
          <t>Westside Pediatrics</t>
        </is>
      </c>
      <c r="E12" s="14" t="inlineStr">
        <is>
          <t>Mon–Fri 8–5</t>
        </is>
      </c>
    </row>
    <row r="13">
      <c r="A13" s="18" t="inlineStr">
        <is>
          <t>Dentist</t>
        </is>
      </c>
      <c r="B13" s="18" t="inlineStr">
        <is>
          <t>Dr. Aaron Park</t>
        </is>
      </c>
      <c r="C13" s="18" t="inlineStr">
        <is>
          <t>(555) 388-9911</t>
        </is>
      </c>
      <c r="D13" s="18" t="inlineStr">
        <is>
          <t>Park Family Dental</t>
        </is>
      </c>
      <c r="E13" s="18" t="inlineStr"/>
    </row>
    <row r="14">
      <c r="A14" s="14" t="inlineStr">
        <is>
          <t>Allergist</t>
        </is>
      </c>
      <c r="B14" s="14" t="inlineStr">
        <is>
          <t>Dr. Eleanor Wu</t>
        </is>
      </c>
      <c r="C14" s="14" t="inlineStr">
        <is>
          <t>(555) 388-3344</t>
        </is>
      </c>
      <c r="D14" s="14" t="inlineStr">
        <is>
          <t>Allergy Partners</t>
        </is>
      </c>
      <c r="E14" s="14" t="inlineStr">
        <is>
          <t>EpiPen: see backpack</t>
        </is>
      </c>
    </row>
    <row r="16" ht="22" customHeight="1">
      <c r="A16" s="8" t="inlineStr">
        <is>
          <t>SCHOOL</t>
        </is>
      </c>
    </row>
    <row r="17" ht="26" customHeight="1">
      <c r="A17" s="12" t="inlineStr">
        <is>
          <t>Role</t>
        </is>
      </c>
      <c r="B17" s="12" t="inlineStr">
        <is>
          <t>Name</t>
        </is>
      </c>
      <c r="C17" s="12" t="inlineStr">
        <is>
          <t>Phone</t>
        </is>
      </c>
      <c r="D17" s="12" t="inlineStr">
        <is>
          <t>Email / Provider</t>
        </is>
      </c>
      <c r="E17" s="12" t="inlineStr">
        <is>
          <t>Notes</t>
        </is>
      </c>
      <c r="BQ17" t="inlineStr">
        <is>
          <t>Email / Provider</t>
        </is>
      </c>
      <c r="BZ17" t="inlineStr">
        <is>
          <t>Notes</t>
        </is>
      </c>
      <c r="CB17" t="inlineStr">
        <is>
          <t>Phone</t>
        </is>
      </c>
      <c r="CD17" t="inlineStr">
        <is>
          <t>Role</t>
        </is>
      </c>
    </row>
    <row r="18">
      <c r="A18" s="14" t="inlineStr">
        <is>
          <t>Lincoln Elementary office</t>
        </is>
      </c>
      <c r="B18" s="14" t="inlineStr">
        <is>
          <t>—</t>
        </is>
      </c>
      <c r="C18" s="14" t="inlineStr">
        <is>
          <t>(555) 200-1188</t>
        </is>
      </c>
      <c r="D18" s="14" t="inlineStr">
        <is>
          <t>lincoln@district.edu</t>
        </is>
      </c>
      <c r="E18" s="14" t="inlineStr">
        <is>
          <t>Emma · Rm 104</t>
        </is>
      </c>
    </row>
    <row r="19">
      <c r="A19" s="18" t="inlineStr">
        <is>
          <t>Roosevelt Middle office</t>
        </is>
      </c>
      <c r="B19" s="18" t="inlineStr">
        <is>
          <t>—</t>
        </is>
      </c>
      <c r="C19" s="18" t="inlineStr">
        <is>
          <t>(555) 200-2244</t>
        </is>
      </c>
      <c r="D19" s="18" t="inlineStr">
        <is>
          <t>rms@district.edu</t>
        </is>
      </c>
      <c r="E19" s="18" t="inlineStr">
        <is>
          <t>Liam · Rm 8B</t>
        </is>
      </c>
    </row>
    <row r="20">
      <c r="A20" s="14" t="inlineStr">
        <is>
          <t>After-school program</t>
        </is>
      </c>
      <c r="B20" s="14" t="inlineStr">
        <is>
          <t>Ms. Hall</t>
        </is>
      </c>
      <c r="C20" s="14" t="inlineStr">
        <is>
          <t>(555) 200-7711</t>
        </is>
      </c>
      <c r="D20" s="14" t="inlineStr">
        <is>
          <t>afterschool@district.edu</t>
        </is>
      </c>
      <c r="E20" s="14" t="inlineStr"/>
    </row>
    <row r="22" ht="22" customHeight="1">
      <c r="A22" s="8" t="inlineStr">
        <is>
          <t>INSURANCE</t>
        </is>
      </c>
    </row>
    <row r="23" ht="26" customHeight="1">
      <c r="A23" s="12" t="inlineStr">
        <is>
          <t>Role</t>
        </is>
      </c>
      <c r="B23" s="12" t="inlineStr">
        <is>
          <t>Name</t>
        </is>
      </c>
      <c r="C23" s="12" t="inlineStr">
        <is>
          <t>Phone</t>
        </is>
      </c>
      <c r="D23" s="12" t="inlineStr">
        <is>
          <t>Email / Provider</t>
        </is>
      </c>
      <c r="E23" s="12" t="inlineStr">
        <is>
          <t>Notes</t>
        </is>
      </c>
      <c r="BQ23" t="inlineStr">
        <is>
          <t>Email / Provider</t>
        </is>
      </c>
      <c r="BZ23" t="inlineStr">
        <is>
          <t>Notes</t>
        </is>
      </c>
      <c r="CB23" t="inlineStr">
        <is>
          <t>Phone</t>
        </is>
      </c>
      <c r="CD23" t="inlineStr">
        <is>
          <t>Role</t>
        </is>
      </c>
    </row>
    <row r="24">
      <c r="A24" s="14" t="inlineStr">
        <is>
          <t>Health insurance</t>
        </is>
      </c>
      <c r="B24" s="14" t="inlineStr">
        <is>
          <t>BlueShield</t>
        </is>
      </c>
      <c r="C24" s="14" t="inlineStr">
        <is>
          <t>1-800-555-0000</t>
        </is>
      </c>
      <c r="D24" s="14" t="inlineStr">
        <is>
          <t>Member ID: 8821-44A</t>
        </is>
      </c>
      <c r="E24" s="14" t="inlineStr">
        <is>
          <t>Group #14422</t>
        </is>
      </c>
    </row>
    <row r="25">
      <c r="A25" s="18" t="inlineStr">
        <is>
          <t>Dental insurance</t>
        </is>
      </c>
      <c r="B25" s="18" t="inlineStr">
        <is>
          <t>DeltaDental</t>
        </is>
      </c>
      <c r="C25" s="18" t="inlineStr">
        <is>
          <t>1-800-555-7700</t>
        </is>
      </c>
      <c r="D25" s="18" t="inlineStr">
        <is>
          <t>Member ID: 8821-44D</t>
        </is>
      </c>
      <c r="E25" s="18" t="inlineStr"/>
    </row>
  </sheetData>
  <mergeCells count="6">
    <mergeCell ref="A4:E4"/>
    <mergeCell ref="A2:E2"/>
    <mergeCell ref="A16:E16"/>
    <mergeCell ref="A10:E10"/>
    <mergeCell ref="A1:E1"/>
    <mergeCell ref="A22:E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5D3BA"/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24" customWidth="1" min="3" max="3"/>
    <col width="4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44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Configure school year, goals, and dropdowns.</t>
        </is>
      </c>
    </row>
    <row r="4">
      <c r="B4" s="8" t="inlineStr">
        <is>
          <t>USER CONTROLS</t>
        </is>
      </c>
      <c r="E4" s="8" t="inlineStr">
        <is>
          <t>DROPDOWN LISTS</t>
        </is>
      </c>
    </row>
    <row r="5">
      <c r="B5" s="10" t="inlineStr">
        <is>
          <t>School Year</t>
        </is>
      </c>
      <c r="C5" s="51" t="inlineStr">
        <is>
          <t>2026-2027</t>
        </is>
      </c>
      <c r="E5" s="12" t="inlineStr">
        <is>
          <t>Categories</t>
        </is>
      </c>
      <c r="F5" s="12" t="inlineStr">
        <is>
          <t>Priority</t>
        </is>
      </c>
      <c r="G5" s="12" t="inlineStr">
        <is>
          <t>Status</t>
        </is>
      </c>
      <c r="H5" s="12" t="inlineStr">
        <is>
          <t>Subjects</t>
        </is>
      </c>
    </row>
    <row r="6">
      <c r="B6" s="10" t="inlineStr">
        <is>
          <t>First Day of School</t>
        </is>
      </c>
      <c r="C6" s="52" t="n">
        <v>46267</v>
      </c>
      <c r="E6" s="49" t="inlineStr">
        <is>
          <t>Supplies</t>
        </is>
      </c>
      <c r="F6" s="49" t="inlineStr">
        <is>
          <t>High</t>
        </is>
      </c>
      <c r="G6" s="49" t="inlineStr">
        <is>
          <t>Not Started</t>
        </is>
      </c>
      <c r="H6" s="49" t="inlineStr">
        <is>
          <t>Math</t>
        </is>
      </c>
    </row>
    <row r="7">
      <c r="B7" s="10" t="inlineStr">
        <is>
          <t>Total Back-to-School Budget</t>
        </is>
      </c>
      <c r="C7" s="53" t="n">
        <v>1200</v>
      </c>
      <c r="E7" s="49" t="inlineStr">
        <is>
          <t>Clothing</t>
        </is>
      </c>
      <c r="F7" s="49" t="inlineStr">
        <is>
          <t>Medium</t>
        </is>
      </c>
      <c r="G7" s="49" t="inlineStr">
        <is>
          <t>In Progress</t>
        </is>
      </c>
      <c r="H7" s="49" t="inlineStr">
        <is>
          <t>English</t>
        </is>
      </c>
    </row>
    <row r="8">
      <c r="B8" s="10" t="inlineStr">
        <is>
          <t>Family Size</t>
        </is>
      </c>
      <c r="C8" s="54" t="n">
        <v>2</v>
      </c>
      <c r="E8" s="49" t="inlineStr">
        <is>
          <t>Shoes</t>
        </is>
      </c>
      <c r="F8" s="49" t="inlineStr">
        <is>
          <t>Low</t>
        </is>
      </c>
      <c r="G8" s="49" t="inlineStr">
        <is>
          <t>Complete</t>
        </is>
      </c>
      <c r="H8" s="49" t="inlineStr">
        <is>
          <t>Science</t>
        </is>
      </c>
    </row>
    <row r="9">
      <c r="B9" s="10" t="inlineStr">
        <is>
          <t>Tax Rate</t>
        </is>
      </c>
      <c r="C9" s="55" t="n">
        <v>0.075</v>
      </c>
      <c r="E9" s="49" t="inlineStr">
        <is>
          <t>Electronics</t>
        </is>
      </c>
      <c r="G9" s="49" t="inlineStr">
        <is>
          <t>Overdue</t>
        </is>
      </c>
      <c r="H9" s="49" t="inlineStr">
        <is>
          <t>History</t>
        </is>
      </c>
    </row>
    <row r="10">
      <c r="B10" s="10" t="inlineStr">
        <is>
          <t>Today (auto)</t>
        </is>
      </c>
      <c r="C10" s="52">
        <f>TODAY()</f>
        <v/>
      </c>
      <c r="E10" s="49" t="inlineStr">
        <is>
          <t>Sports</t>
        </is>
      </c>
      <c r="H10" s="49" t="inlineStr">
        <is>
          <t>Art</t>
        </is>
      </c>
    </row>
    <row r="11">
      <c r="E11" s="49" t="inlineStr">
        <is>
          <t>Lunch Supplies</t>
        </is>
      </c>
      <c r="H11" s="49" t="inlineStr">
        <is>
          <t>PE</t>
        </is>
      </c>
    </row>
    <row r="12">
      <c r="E12" s="49" t="inlineStr">
        <is>
          <t>Fees</t>
        </is>
      </c>
      <c r="H12" s="49" t="inlineStr">
        <is>
          <t>Music</t>
        </is>
      </c>
    </row>
    <row r="13">
      <c r="E13" s="49" t="inlineStr">
        <is>
          <t>Transportation</t>
        </is>
      </c>
      <c r="H13" s="49" t="inlineStr">
        <is>
          <t>Tech</t>
        </is>
      </c>
    </row>
    <row r="14">
      <c r="E14" s="49" t="inlineStr">
        <is>
          <t>Miscellaneous</t>
        </is>
      </c>
      <c r="H14" s="49" t="inlineStr">
        <is>
          <t>Spanish</t>
        </is>
      </c>
    </row>
    <row r="15">
      <c r="H15" s="49" t="inlineStr">
        <is>
          <t>Other</t>
        </is>
      </c>
    </row>
    <row r="20">
      <c r="E20" s="12" t="inlineStr">
        <is>
          <t>Stores</t>
        </is>
      </c>
      <c r="F20" s="12" t="inlineStr">
        <is>
          <t>Grades</t>
        </is>
      </c>
      <c r="G20" s="12" t="inlineStr">
        <is>
          <t>Yes / No</t>
        </is>
      </c>
      <c r="H20" s="12" t="inlineStr">
        <is>
          <t>Transport</t>
        </is>
      </c>
    </row>
    <row r="21">
      <c r="E21" s="49" t="inlineStr">
        <is>
          <t>Target</t>
        </is>
      </c>
      <c r="F21" s="49" t="inlineStr">
        <is>
          <t>Pre-K</t>
        </is>
      </c>
      <c r="G21" s="49" t="inlineStr">
        <is>
          <t>Yes</t>
        </is>
      </c>
      <c r="H21" s="49" t="inlineStr">
        <is>
          <t>Bus</t>
        </is>
      </c>
    </row>
    <row r="22">
      <c r="E22" s="49" t="inlineStr">
        <is>
          <t>Walmart</t>
        </is>
      </c>
      <c r="F22" s="49" t="inlineStr">
        <is>
          <t>K</t>
        </is>
      </c>
      <c r="G22" s="49" t="inlineStr">
        <is>
          <t>No</t>
        </is>
      </c>
      <c r="H22" s="49" t="inlineStr">
        <is>
          <t>Carpool</t>
        </is>
      </c>
    </row>
    <row r="23">
      <c r="E23" s="49" t="inlineStr">
        <is>
          <t>Amazon</t>
        </is>
      </c>
      <c r="F23" s="49" t="inlineStr">
        <is>
          <t>1</t>
        </is>
      </c>
      <c r="H23" s="49" t="inlineStr">
        <is>
          <t>Walk</t>
        </is>
      </c>
    </row>
    <row r="24">
      <c r="E24" s="49" t="inlineStr">
        <is>
          <t>Staples</t>
        </is>
      </c>
      <c r="F24" s="49" t="inlineStr">
        <is>
          <t>2</t>
        </is>
      </c>
      <c r="H24" s="49" t="inlineStr">
        <is>
          <t>Bike</t>
        </is>
      </c>
    </row>
    <row r="25">
      <c r="E25" s="49" t="inlineStr">
        <is>
          <t>Local</t>
        </is>
      </c>
      <c r="F25" s="49" t="inlineStr">
        <is>
          <t>3</t>
        </is>
      </c>
      <c r="H25" s="49" t="inlineStr">
        <is>
          <t>Parent Drop-off</t>
        </is>
      </c>
    </row>
    <row r="26">
      <c r="E26" s="49" t="inlineStr">
        <is>
          <t>Other</t>
        </is>
      </c>
      <c r="F26" s="49" t="inlineStr">
        <is>
          <t>4</t>
        </is>
      </c>
    </row>
    <row r="27">
      <c r="F27" s="49" t="inlineStr">
        <is>
          <t>5</t>
        </is>
      </c>
    </row>
    <row r="28">
      <c r="F28" s="49" t="inlineStr">
        <is>
          <t>6</t>
        </is>
      </c>
    </row>
    <row r="29">
      <c r="F29" s="49" t="inlineStr">
        <is>
          <t>7</t>
        </is>
      </c>
    </row>
    <row r="30">
      <c r="F30" s="49" t="inlineStr">
        <is>
          <t>8</t>
        </is>
      </c>
    </row>
    <row r="31">
      <c r="F31" s="49" t="inlineStr">
        <is>
          <t>9</t>
        </is>
      </c>
    </row>
    <row r="32">
      <c r="F32" s="49" t="inlineStr">
        <is>
          <t>10</t>
        </is>
      </c>
    </row>
    <row r="33">
      <c r="F33" s="49" t="inlineStr">
        <is>
          <t>11</t>
        </is>
      </c>
    </row>
    <row r="34">
      <c r="F34" s="49" t="inlineStr">
        <is>
          <t>12</t>
        </is>
      </c>
    </row>
    <row r="35">
      <c r="F35" s="49" t="inlineStr">
        <is>
          <t>College</t>
        </is>
      </c>
    </row>
  </sheetData>
  <mergeCells count="4">
    <mergeCell ref="B4:C4"/>
    <mergeCell ref="A2:H2"/>
    <mergeCell ref="E4:H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2026-06-28T16:57:26Z</dcterms:created>
  <dcterms:modified xsi:type="dcterms:W3CDTF">2026-06-28T16:57:26Z</dcterms:modified>
</cp:coreProperties>
</file>