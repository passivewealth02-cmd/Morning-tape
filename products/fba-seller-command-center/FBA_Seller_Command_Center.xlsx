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Profit Calculator" sheetId="3" state="visible" r:id="rId3"/>
    <sheet name="Product Catalog" sheetId="4" state="visible" r:id="rId4"/>
    <sheet name="Fee Breakdown" sheetId="5" state="visible" r:id="rId5"/>
    <sheet name="Inventory" sheetId="6" state="visible" r:id="rId6"/>
    <sheet name="Sales" sheetId="7" state="visible" r:id="rId7"/>
    <sheet name="PPC &amp; ACoS" sheetId="8" state="visible" r:id="rId8"/>
    <sheet name="Returns" sheetId="9" state="visible" r:id="rId9"/>
    <sheet name="Suppliers &amp; POs" sheetId="10" state="visible" r:id="rId10"/>
    <sheet name="Reviews" sheetId="11" state="visible" r:id="rId11"/>
    <sheet name="Expenses" sheetId="12" state="visible" r:id="rId12"/>
    <sheet name="Monthly Summary" sheetId="13" state="visible" r:id="rId13"/>
    <sheet name="Settings" sheetId="14" state="visible" r:id="rId14"/>
  </sheets>
  <definedNames>
    <definedName name="BrandName">Settings!$C$6</definedName>
    <definedName name="Owner">Settings!$C$7</definedName>
    <definedName name="ReferralRate">Settings!$C$8</definedName>
    <definedName name="MarginGoal">Settings!$C$9</definedName>
    <definedName name="ROIGoal">Settings!$C$10</definedName>
    <definedName name="ACoSGoal">Settings!$C$11</definedName>
    <definedName name="CoverGoal">Settings!$C$12</definedName>
    <definedName name="ReviewGoal">Settings!$C$13</definedName>
    <definedName name="SKUGoal">Settings!$C$14</definedName>
    <definedName name="AdSpend">Settings!$C$15</definedName>
    <definedName name="AdSales">Settings!$C$16</definedName>
    <definedName name="ChannelList">Settings!$E$7:$E$12</definedName>
    <definedName name="StockStatusList">Settings!$F$7:$F$10</definedName>
    <definedName name="ReturnReasonList">Settings!$G$7:$G$12</definedName>
    <definedName name="YesNoList">Settings!$H$7:$H$8</definedName>
    <definedName name="SalePrice">'Profit Calculator'!$C$6</definedName>
    <definedName name="ReferralFee">'Profit Calculator'!$C$9</definedName>
    <definedName name="FBAFee">'Profit Calculator'!$C$10</definedName>
    <definedName name="StorageFee">'Profit Calculator'!$C$11</definedName>
    <definedName name="TotalFees">'Profit Calculator'!$C$12</definedName>
    <definedName name="UnitCOGS">'Profit Calculator'!$C$15</definedName>
    <definedName name="InboundShip">'Profit Calculator'!$C$16</definedName>
    <definedName name="LandedCost">'Profit Calculator'!$C$17</definedName>
    <definedName name="NetPerUnit">'Profit Calculator'!$C$19</definedName>
    <definedName name="NetMargin">'Profit Calculator'!$C$20</definedName>
    <definedName name="ROI">'Profit Calculator'!$C$21</definedName>
    <definedName name="UnitsMonth">'Profit Calculator'!$C$23</definedName>
    <definedName name="MonthlyProfit">'Profit Calculator'!$C$24</definedName>
    <definedName name="MonthlyRevenue">'Profit Calculator'!$C$25</definedName>
    <definedName name="SKUName">'Product Catalog'!$B$5:$B$12</definedName>
    <definedName name="SKUNet">'Product Catalog'!$G$5:$G$12</definedName>
    <definedName name="SKUMonthly">'Product Catalog'!$H$5:$H$12</definedName>
    <definedName name="AllSKUProfit">'Product Catalog'!$H$13</definedName>
    <definedName name="SKUCount">'Product Catalog'!$D$15</definedName>
    <definedName name="DaysCover">'Inventory'!$F$5:$F$12</definedName>
    <definedName name="FlagshipCover">'Inventory'!$F$14</definedName>
    <definedName name="SaleUnits">'Sales'!$C$5:$C$10</definedName>
    <definedName name="SaleRev">'Sales'!$D$5:$D$10</definedName>
    <definedName name="RevenueYTD">'Sales'!$D$11</definedName>
    <definedName name="AdCampSpend">'PPC &amp; ACoS'!$C$5:$C$9</definedName>
    <definedName name="AdCampSales">'PPC &amp; ACoS'!$D$5:$D$9</definedName>
    <definedName name="ACoS">'PPC &amp; ACoS'!$E$10</definedName>
    <definedName name="TACoS">'PPC &amp; ACoS'!$E$12</definedName>
    <definedName name="RetUnits">'Returns'!$C$5:$C$28</definedName>
    <definedName name="ReturnRate">'Returns'!$C$30</definedName>
    <definedName name="POUnits">'Suppliers &amp; POs'!$D$5:$D$28</definedName>
    <definedName name="POCost">'Suppliers &amp; POs'!$E$5:$E$28</definedName>
    <definedName name="OnOrderValue">'Suppliers &amp; POs'!$E$29</definedName>
    <definedName name="RevCount">'Reviews'!$C$5:$C$12</definedName>
    <definedName name="RevRating">'Reviews'!$D$5:$D$12</definedName>
    <definedName name="AvgReviews">'Reviews'!$C$13</definedName>
    <definedName name="AvgRating">'Reviews'!$D$13</definedName>
    <definedName name="ExpAmt">'Expenses'!$C$5:$C$10</definedName>
    <definedName name="ExpTotal">'Expenses'!$C$11</definedName>
    <definedName name="ProfitTrend">'Monthly Summary'!$C$7:$C$12</definedName>
    <definedName name="HealthRange">'Dashboard'!$C$13:$C$18</definedName>
  </definedNames>
  <calcPr calcId="124519" fullCalcOnLoad="1"/>
</workbook>
</file>

<file path=xl/styles.xml><?xml version="1.0" encoding="utf-8"?>
<styleSheet xmlns="http://schemas.openxmlformats.org/spreadsheetml/2006/main">
  <numFmts count="4">
    <numFmt numFmtId="164" formatCode="&quot;$&quot;#,##0"/>
    <numFmt numFmtId="165" formatCode="&quot;$&quot;#,##0.00"/>
    <numFmt numFmtId="166" formatCode="0.0%"/>
    <numFmt numFmtId="167" formatCode="0.0"/>
  </numFmts>
  <fonts count="18">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C94C4C"/>
      <sz val="12"/>
    </font>
    <font>
      <b val="1"/>
      <color rgb="001B4F48"/>
    </font>
    <font>
      <b val="1"/>
      <color rgb="001B4F48"/>
      <sz val="14"/>
    </font>
    <font>
      <b val="1"/>
      <color rgb="001B4F48"/>
      <sz val="13"/>
    </font>
    <font>
      <b val="1"/>
      <color rgb="001B4F48"/>
      <sz val="12"/>
    </font>
    <font>
      <b val="1"/>
      <color rgb="00C94C4C"/>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72">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6" fillId="9" borderId="3" applyAlignment="1" pivotButton="0" quotePrefix="0" xfId="0">
      <alignment horizontal="center" vertical="center"/>
    </xf>
    <xf numFmtId="0" fontId="0" fillId="9" borderId="3" pivotButton="0" quotePrefix="0" xfId="0"/>
    <xf numFmtId="165" fontId="17" fillId="9" borderId="2" applyAlignment="1" pivotButton="0" quotePrefix="0" xfId="0">
      <alignment horizontal="center" vertical="center"/>
    </xf>
    <xf numFmtId="0" fontId="0" fillId="9" borderId="2" pivotButton="0" quotePrefix="0" xfId="0"/>
    <xf numFmtId="166" fontId="17" fillId="9" borderId="2" applyAlignment="1" pivotButton="0" quotePrefix="0" xfId="0">
      <alignment horizontal="center" vertical="center"/>
    </xf>
    <xf numFmtId="3" fontId="17" fillId="9" borderId="2" applyAlignment="1" pivotButton="0" quotePrefix="0" xfId="0">
      <alignment horizontal="center" vertical="center"/>
    </xf>
    <xf numFmtId="164" fontId="17" fillId="9" borderId="2" applyAlignment="1" pivotButton="0" quotePrefix="0" xfId="0">
      <alignment horizontal="center" vertical="center"/>
    </xf>
    <xf numFmtId="9" fontId="17"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165" fontId="7" fillId="3" borderId="2" applyAlignment="1" pivotButton="0" quotePrefix="0" xfId="8">
      <alignment horizontal="center" vertical="center"/>
    </xf>
    <xf numFmtId="165" fontId="7" fillId="0" borderId="2" applyAlignment="1" pivotButton="0" quotePrefix="0" xfId="10">
      <alignment horizontal="left" vertical="center" indent="1"/>
    </xf>
    <xf numFmtId="165" fontId="10" fillId="3" borderId="2" applyAlignment="1" pivotButton="0" quotePrefix="0" xfId="6">
      <alignment horizontal="center" vertical="center" wrapText="1"/>
    </xf>
    <xf numFmtId="165" fontId="11" fillId="3" borderId="2" applyAlignment="1" pivotButton="0" quotePrefix="0" xfId="6">
      <alignment horizontal="center" vertical="center" wrapText="1"/>
    </xf>
    <xf numFmtId="165" fontId="12" fillId="6" borderId="2" applyAlignment="1" pivotButton="0" quotePrefix="0" xfId="6">
      <alignment horizontal="center" vertical="center" wrapText="1"/>
    </xf>
    <xf numFmtId="166" fontId="13" fillId="6" borderId="2" applyAlignment="1" pivotButton="0" quotePrefix="0" xfId="6">
      <alignment horizontal="center" vertical="center" wrapText="1"/>
    </xf>
    <xf numFmtId="3" fontId="7" fillId="3" borderId="2" applyAlignment="1" pivotButton="0" quotePrefix="0" xfId="8">
      <alignment horizontal="center" vertical="center"/>
    </xf>
    <xf numFmtId="164" fontId="13" fillId="6" borderId="2" applyAlignment="1" pivotButton="0" quotePrefix="0" xfId="6">
      <alignment horizontal="center" vertical="center" wrapText="1"/>
    </xf>
    <xf numFmtId="164" fontId="7" fillId="0" borderId="2" applyAlignment="1" pivotButton="0" quotePrefix="0" xfId="10">
      <alignment horizontal="left" vertical="center" indent="1"/>
    </xf>
    <xf numFmtId="165" fontId="6" fillId="0" borderId="2" applyAlignment="1" pivotButton="0" quotePrefix="0" xfId="6">
      <alignment horizontal="center" vertical="center" wrapText="1"/>
    </xf>
    <xf numFmtId="164" fontId="6" fillId="0" borderId="2" applyAlignment="1" pivotButton="0" quotePrefix="0" xfId="6">
      <alignment horizontal="center" vertical="center" wrapText="1"/>
    </xf>
    <xf numFmtId="165" fontId="7" fillId="8" borderId="2" applyAlignment="1" pivotButton="0" quotePrefix="0" xfId="8">
      <alignment horizontal="center" vertical="center"/>
    </xf>
    <xf numFmtId="3" fontId="7" fillId="8" borderId="2" applyAlignment="1" pivotButton="0" quotePrefix="0" xfId="8">
      <alignment horizontal="center" vertical="center"/>
    </xf>
    <xf numFmtId="165" fontId="6" fillId="8" borderId="2" applyAlignment="1" pivotButton="0" quotePrefix="0" xfId="6">
      <alignment horizontal="center" vertical="center" wrapText="1"/>
    </xf>
    <xf numFmtId="164" fontId="6" fillId="8" borderId="2" applyAlignment="1" pivotButton="0" quotePrefix="0" xfId="6">
      <alignment horizontal="center" vertical="center" wrapText="1"/>
    </xf>
    <xf numFmtId="0" fontId="6" fillId="3" borderId="2" applyAlignment="1" pivotButton="0" quotePrefix="0" xfId="6">
      <alignment horizontal="center" vertical="center" wrapText="1"/>
    </xf>
    <xf numFmtId="164" fontId="14" fillId="6" borderId="2" applyAlignment="1" pivotButton="0" quotePrefix="0" xfId="6">
      <alignment horizontal="center" vertical="center" wrapText="1"/>
    </xf>
    <xf numFmtId="3" fontId="7" fillId="0" borderId="2" applyAlignment="1" pivotButton="0" quotePrefix="0" xfId="10">
      <alignment horizontal="left" vertical="center" indent="1"/>
    </xf>
    <xf numFmtId="165" fontId="7" fillId="7" borderId="2" applyAlignment="1" pivotButton="0" quotePrefix="0" xfId="10">
      <alignment horizontal="left" vertical="center" indent="1"/>
    </xf>
    <xf numFmtId="166" fontId="7" fillId="0" borderId="2" applyAlignment="1" pivotButton="0" quotePrefix="0" xfId="10">
      <alignment horizontal="left" vertical="center" indent="1"/>
    </xf>
    <xf numFmtId="3" fontId="6" fillId="0" borderId="2" applyAlignment="1" pivotButton="0" quotePrefix="0" xfId="6">
      <alignment horizontal="center" vertical="center" wrapText="1"/>
    </xf>
    <xf numFmtId="3" fontId="6" fillId="8" borderId="2" applyAlignment="1" pivotButton="0" quotePrefix="0" xfId="6">
      <alignment horizontal="center" vertical="center" wrapText="1"/>
    </xf>
    <xf numFmtId="3" fontId="7" fillId="6" borderId="2" applyAlignment="1" pivotButton="0" quotePrefix="0" xfId="10">
      <alignment horizontal="left" vertical="center" indent="1"/>
    </xf>
    <xf numFmtId="164" fontId="7" fillId="3" borderId="2" applyAlignment="1" pivotButton="0" quotePrefix="0" xfId="8">
      <alignment horizontal="center" vertical="center"/>
    </xf>
    <xf numFmtId="164" fontId="7" fillId="8" borderId="2" applyAlignment="1" pivotButton="0" quotePrefix="0" xfId="8">
      <alignment horizontal="center" vertical="center"/>
    </xf>
    <xf numFmtId="3" fontId="11" fillId="3" borderId="2" applyAlignment="1" pivotButton="0" quotePrefix="0" xfId="6">
      <alignment horizontal="center" vertical="center" wrapText="1"/>
    </xf>
    <xf numFmtId="166" fontId="6" fillId="0" borderId="2" applyAlignment="1" pivotButton="0" quotePrefix="0" xfId="6">
      <alignment horizontal="center" vertical="center" wrapText="1"/>
    </xf>
    <xf numFmtId="166" fontId="6" fillId="8" borderId="2" applyAlignment="1" pivotButton="0" quotePrefix="0" xfId="6">
      <alignment horizontal="center" vertical="center" wrapText="1"/>
    </xf>
    <xf numFmtId="164" fontId="15" fillId="3" borderId="2" applyAlignment="1" pivotButton="0" quotePrefix="0" xfId="6">
      <alignment horizontal="center" vertical="center" wrapText="1"/>
    </xf>
    <xf numFmtId="164" fontId="11" fillId="3" borderId="2" applyAlignment="1" pivotButton="0" quotePrefix="0" xfId="6">
      <alignment horizontal="center" vertical="center" wrapText="1"/>
    </xf>
    <xf numFmtId="166" fontId="14" fillId="6" borderId="2" applyAlignment="1" pivotButton="0" quotePrefix="0" xfId="6">
      <alignment horizontal="center" vertical="center" wrapText="1"/>
    </xf>
    <xf numFmtId="166" fontId="7" fillId="6" borderId="2" applyAlignment="1" pivotButton="0" quotePrefix="0" xfId="10">
      <alignment horizontal="left" vertical="center" indent="1"/>
    </xf>
    <xf numFmtId="0" fontId="6" fillId="9" borderId="2" applyAlignment="1" pivotButton="0" quotePrefix="0" xfId="7">
      <alignment horizontal="left" vertical="center" wrapText="1" indent="1"/>
    </xf>
    <xf numFmtId="3"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3" fontId="15" fillId="3" borderId="2" applyAlignment="1" pivotButton="0" quotePrefix="0" xfId="6">
      <alignment horizontal="center" vertical="center" wrapText="1"/>
    </xf>
    <xf numFmtId="166" fontId="7" fillId="7" borderId="2" applyAlignment="1" pivotButton="0" quotePrefix="0" xfId="10">
      <alignment horizontal="left" vertical="center" indent="1"/>
    </xf>
    <xf numFmtId="165" fontId="6" fillId="9" borderId="2" applyAlignment="1" pivotButton="0" quotePrefix="0" xfId="6">
      <alignment horizontal="center" vertical="center" wrapText="1"/>
    </xf>
    <xf numFmtId="164" fontId="11" fillId="6" borderId="2" applyAlignment="1" pivotButton="0" quotePrefix="0" xfId="6">
      <alignment horizontal="center" vertical="center" wrapText="1"/>
    </xf>
    <xf numFmtId="167" fontId="7" fillId="3" borderId="2" applyAlignment="1" pivotButton="0" quotePrefix="0" xfId="8">
      <alignment horizontal="center" vertical="center"/>
    </xf>
    <xf numFmtId="167" fontId="7" fillId="8" borderId="2" applyAlignment="1" pivotButton="0" quotePrefix="0" xfId="8">
      <alignment horizontal="center" vertical="center"/>
    </xf>
    <xf numFmtId="167" fontId="11" fillId="6" borderId="2" applyAlignment="1" pivotButton="0" quotePrefix="0" xfId="6">
      <alignment horizontal="center" vertical="center" wrapText="1"/>
    </xf>
    <xf numFmtId="0" fontId="7" fillId="3" borderId="2" applyAlignment="1" pivotButton="0" quotePrefix="0" xfId="8">
      <alignment horizontal="center" vertical="center"/>
    </xf>
    <xf numFmtId="9" fontId="7" fillId="3" borderId="2" applyAlignment="1" pivotButton="0" quotePrefix="0" xfId="8">
      <alignment horizontal="center" vertical="center"/>
    </xf>
    <xf numFmtId="1"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1">
    <dxf>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Net Profit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Net Profit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AMAZON FBA &amp; ONLINE SELLER PROFIT COMMAND CENTER™</t>
        </is>
      </c>
    </row>
    <row r="2" ht="24" customHeight="1">
      <c r="A2" s="2" t="inlineStr">
        <is>
          <t xml:space="preserve">  Know your real profit per unit — after every fee Amazon takes.</t>
        </is>
      </c>
    </row>
    <row r="3" ht="6" customHeight="1">
      <c r="A3" s="3" t="n"/>
      <c r="B3" s="3" t="n"/>
      <c r="C3" s="3" t="n"/>
    </row>
    <row r="5">
      <c r="B5" s="4" t="inlineStr">
        <is>
          <t>YOUR WHOLE SELLER BUSINESS, IN ONE PLACE</t>
        </is>
      </c>
    </row>
    <row r="6" ht="22" customHeight="1">
      <c r="B6" s="5" t="inlineStr">
        <is>
          <t>A $29.99 sale is not $29.99 of revenue. By the time the referral fee, the FBA fulfilment fee, storage, your cost of goods and inbound shipping come out, what's left can be a fraction of what you thought — and PPC comes off that too. This makes it exact: a true-profit engine strips out every fee to show your net per unit, your margin and your ROI. Then run your catalog, inventory and reorder points, PPC and ACoS, returns, suppliers and reviews — all in ONE premium Google Sheets &amp; Excel system.</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referral rate and goals.</t>
        </is>
      </c>
    </row>
    <row r="13" ht="22" customHeight="1">
      <c r="B13" s="8" t="inlineStr">
        <is>
          <t>2.  Run the Profit Calculator on your best-selling SKU.</t>
        </is>
      </c>
    </row>
    <row r="14" ht="22" customHeight="1">
      <c r="B14" s="8" t="inlineStr">
        <is>
          <t>3.  Read your net per unit, margin and ROI. That's the truth.</t>
        </is>
      </c>
    </row>
    <row r="15" ht="22" customHeight="1">
      <c r="B15" s="8" t="inlineStr">
        <is>
          <t>4.  Load your Product Catalog and Inventory reorder points.</t>
        </is>
      </c>
    </row>
    <row r="16" ht="22" customHeight="1">
      <c r="B16" s="8" t="inlineStr">
        <is>
          <t>5.  Track PPC &amp; ACoS, returns, suppliers and reviews.</t>
        </is>
      </c>
    </row>
    <row r="17" ht="22" customHeight="1">
      <c r="B17" s="8" t="inlineStr">
        <is>
          <t>6.  Check the Dashboard: profit, ACoS &amp; a Seller Score.</t>
        </is>
      </c>
    </row>
    <row r="20" ht="26" customHeight="1">
      <c r="B20" s="9" t="inlineStr">
        <is>
          <t xml:space="preserve">  GOOD TO KNOW</t>
        </is>
      </c>
    </row>
    <row r="21" ht="22" customHeight="1">
      <c r="B21" s="10" t="inlineStr">
        <is>
          <t>Sample data for a fictional brand (Northport Goods, owner Sam) is included so you can see how it all connects — just type over it with your own SKUs and fees. Your net profit per unit and your ROI are the two numbers that decide whether a product is worth selling at all, and they roll into a live Seller Score. Amazon's fee schedule changes — check your own Seller Central fee preview and update Settings. Twelve matching printable pages (profit worksheet, SKU sheet, reorder planner, PPC log &amp; more) are included. This is a business &amp; organizing tool, not financial, tax or accounting advice.</t>
        </is>
      </c>
    </row>
    <row r="22" ht="22" customHeight="1">
      <c r="B22" s="11" t="n"/>
    </row>
    <row r="23" ht="22" customHeight="1">
      <c r="B23" s="11" t="n"/>
    </row>
    <row r="25">
      <c r="B25" s="4" t="inlineStr">
        <is>
          <t>Revenue is vanity. Net per unit after fees is the only number that pays you.</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AMAZON FBA &amp; ONLINE SELLER PROFIT COMMAND CENTER™</t>
        </is>
      </c>
    </row>
    <row r="2" ht="24" customHeight="1">
      <c r="A2" s="2" t="inlineStr">
        <is>
          <t xml:space="preserve">  Net per unit, margin, ROI, ACoS &amp; a Seller Score — your whole brand, at a glance.</t>
        </is>
      </c>
    </row>
    <row r="3" ht="6" customHeight="1">
      <c r="A3" s="3" t="n"/>
      <c r="B3" s="3" t="n"/>
      <c r="C3" s="3" t="n"/>
      <c r="D3" s="3" t="n"/>
      <c r="E3" s="3" t="n"/>
      <c r="F3" s="3" t="n"/>
      <c r="G3" s="3" t="n"/>
      <c r="H3" s="3" t="n"/>
      <c r="I3" s="3" t="n"/>
      <c r="J3" s="3" t="n"/>
      <c r="K3" s="3" t="n"/>
      <c r="L3" s="3" t="n"/>
      <c r="M3" s="3" t="n"/>
      <c r="N3" s="3" t="n"/>
    </row>
    <row r="5" ht="18" customHeight="1">
      <c r="B5" s="12" t="inlineStr">
        <is>
          <t>SALE PRICE</t>
        </is>
      </c>
      <c r="C5" s="13" t="n"/>
      <c r="D5" s="12" t="inlineStr">
        <is>
          <t>AMAZON FEES</t>
        </is>
      </c>
      <c r="E5" s="13" t="n"/>
      <c r="F5" s="12" t="inlineStr">
        <is>
          <t>LANDED COST</t>
        </is>
      </c>
      <c r="G5" s="13" t="n"/>
      <c r="H5" s="12" t="inlineStr">
        <is>
          <t>NET / UNIT</t>
        </is>
      </c>
      <c r="I5" s="13" t="n"/>
      <c r="J5" s="12" t="inlineStr">
        <is>
          <t>NET MARGIN</t>
        </is>
      </c>
      <c r="K5" s="13" t="n"/>
      <c r="L5" s="12" t="inlineStr">
        <is>
          <t>ROI</t>
        </is>
      </c>
      <c r="M5" s="13" t="n"/>
    </row>
    <row r="6" ht="40" customHeight="1">
      <c r="B6" s="14">
        <f>SalePrice</f>
        <v/>
      </c>
      <c r="C6" s="15" t="n"/>
      <c r="D6" s="14">
        <f>TotalFees</f>
        <v/>
      </c>
      <c r="E6" s="15" t="n"/>
      <c r="F6" s="14">
        <f>LandedCost</f>
        <v/>
      </c>
      <c r="G6" s="15" t="n"/>
      <c r="H6" s="14">
        <f>NetPerUnit</f>
        <v/>
      </c>
      <c r="I6" s="15" t="n"/>
      <c r="J6" s="16">
        <f>NetMargin</f>
        <v/>
      </c>
      <c r="K6" s="15" t="n"/>
      <c r="L6" s="16">
        <f>ROI</f>
        <v/>
      </c>
      <c r="M6" s="15" t="n"/>
    </row>
    <row r="8" ht="18" customHeight="1">
      <c r="B8" s="12" t="inlineStr">
        <is>
          <t>UNITS / MONTH</t>
        </is>
      </c>
      <c r="C8" s="13" t="n"/>
      <c r="D8" s="12" t="inlineStr">
        <is>
          <t>MONTHLY REVENUE</t>
        </is>
      </c>
      <c r="E8" s="13" t="n"/>
      <c r="F8" s="12" t="inlineStr">
        <is>
          <t>MONTHLY PROFIT</t>
        </is>
      </c>
      <c r="G8" s="13" t="n"/>
      <c r="H8" s="12" t="inlineStr">
        <is>
          <t>ACOS</t>
        </is>
      </c>
      <c r="I8" s="13" t="n"/>
      <c r="J8" s="12" t="inlineStr">
        <is>
          <t>DAYS OF COVER</t>
        </is>
      </c>
      <c r="K8" s="13" t="n"/>
      <c r="L8" s="12" t="inlineStr">
        <is>
          <t>SELLER SCORE</t>
        </is>
      </c>
      <c r="M8" s="13" t="n"/>
    </row>
    <row r="9" ht="40" customHeight="1">
      <c r="B9" s="17">
        <f>UnitsMonth</f>
        <v/>
      </c>
      <c r="C9" s="15" t="n"/>
      <c r="D9" s="18">
        <f>MonthlyRevenue</f>
        <v/>
      </c>
      <c r="E9" s="15" t="n"/>
      <c r="F9" s="18">
        <f>MonthlyProfit</f>
        <v/>
      </c>
      <c r="G9" s="15" t="n"/>
      <c r="H9" s="16">
        <f>ACoS</f>
        <v/>
      </c>
      <c r="I9" s="15" t="n"/>
      <c r="J9" s="17">
        <f>FlagshipCover</f>
        <v/>
      </c>
      <c r="K9" s="15" t="n"/>
      <c r="L9" s="19">
        <f>IFERROR(AVERAGE(HealthRange),0)</f>
        <v/>
      </c>
      <c r="M9" s="15" t="n"/>
    </row>
    <row r="11" ht="26" customHeight="1">
      <c r="B11" s="4" t="inlineStr">
        <is>
          <t>SELLER HEALTH</t>
        </is>
      </c>
      <c r="H11" s="4" t="inlineStr">
        <is>
          <t>NET PROFIT BY MONTH</t>
        </is>
      </c>
    </row>
    <row r="12" ht="30" customHeight="1">
      <c r="B12" s="9" t="inlineStr">
        <is>
          <t>Check</t>
        </is>
      </c>
      <c r="C12" s="9" t="inlineStr">
        <is>
          <t>Score</t>
        </is>
      </c>
      <c r="D12" s="9" t="inlineStr">
        <is>
          <t>Status</t>
        </is>
      </c>
    </row>
    <row r="13">
      <c r="B13" s="20" t="inlineStr">
        <is>
          <t>Margin healthy</t>
        </is>
      </c>
      <c r="C13" s="21">
        <f>IFERROR(MIN(NetMargin/MarginGoal,1),0)</f>
        <v/>
      </c>
      <c r="D13" s="22">
        <f>IF(C13&gt;=0.85,"Strong",IF(C13&gt;=0.6,"OK","Watch"))</f>
        <v/>
      </c>
    </row>
    <row r="14">
      <c r="B14" s="23" t="inlineStr">
        <is>
          <t>ROI healthy</t>
        </is>
      </c>
      <c r="C14" s="24">
        <f>IFERROR(MIN(ROI/ROIGoal,1),0)</f>
        <v/>
      </c>
      <c r="D14" s="25">
        <f>IF(C14&gt;=0.85,"Strong",IF(C14&gt;=0.6,"OK","Watch"))</f>
        <v/>
      </c>
    </row>
    <row r="15">
      <c r="B15" s="20" t="inlineStr">
        <is>
          <t>ACoS in check</t>
        </is>
      </c>
      <c r="C15" s="21">
        <f>IFERROR(MIN(ACoSGoal/ACoS,1),0)</f>
        <v/>
      </c>
      <c r="D15" s="22">
        <f>IF(C15&gt;=0.85,"Strong",IF(C15&gt;=0.6,"OK","Watch"))</f>
        <v/>
      </c>
    </row>
    <row r="16">
      <c r="B16" s="23" t="inlineStr">
        <is>
          <t>Inventory covered</t>
        </is>
      </c>
      <c r="C16" s="24">
        <f>IFERROR(MIN(FlagshipCover/CoverGoal,1),0)</f>
        <v/>
      </c>
      <c r="D16" s="25">
        <f>IF(C16&gt;=0.85,"Strong",IF(C16&gt;=0.6,"OK","Watch"))</f>
        <v/>
      </c>
    </row>
    <row r="17">
      <c r="B17" s="20" t="inlineStr">
        <is>
          <t>Catalog built out</t>
        </is>
      </c>
      <c r="C17" s="21">
        <f>IFERROR(MIN(SKUCount/SKUGoal,1),0)</f>
        <v/>
      </c>
      <c r="D17" s="22">
        <f>IF(C17&gt;=0.85,"Strong",IF(C17&gt;=0.6,"OK","Watch"))</f>
        <v/>
      </c>
    </row>
    <row r="18">
      <c r="B18" s="23" t="inlineStr">
        <is>
          <t>Reviews per SKU</t>
        </is>
      </c>
      <c r="C18" s="24">
        <f>IFERROR(MIN(AvgReviews/ReviewGoal,1),0)</f>
        <v/>
      </c>
      <c r="D18" s="25">
        <f>IF(C18&gt;=0.85,"Strong",IF(C18&gt;=0.6,"OK","Watch"))</f>
        <v/>
      </c>
    </row>
    <row r="21" ht="26" customHeight="1">
      <c r="B21" s="2" t="inlineStr">
        <is>
          <t>Amazon FBA &amp; Online Seller Profit Command Center™ — revenue is vanity, net per unit is truth.</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2" customWidth="1" min="1" max="1"/>
    <col width="36" customWidth="1" min="2" max="2"/>
    <col width="18" customWidth="1" min="3" max="3"/>
    <col width="2" customWidth="1" min="4" max="4"/>
  </cols>
  <sheetData>
    <row r="1" ht="46" customHeight="1">
      <c r="A1" s="1" t="inlineStr">
        <is>
          <t xml:space="preserve">  🧮  PROFIT CALCULATOR</t>
        </is>
      </c>
    </row>
    <row r="2" ht="22" customHeight="1">
      <c r="A2" s="2" t="inlineStr">
        <is>
          <t xml:space="preserve">  Sale price minus every fee, your cost and inbound shipping — the real money you keep per unit.</t>
        </is>
      </c>
    </row>
    <row r="3" ht="6" customHeight="1">
      <c r="A3" s="3" t="n"/>
      <c r="B3" s="3" t="n"/>
      <c r="C3" s="3" t="n"/>
    </row>
    <row r="5">
      <c r="B5" s="4" t="inlineStr">
        <is>
          <t>THE SALE</t>
        </is>
      </c>
    </row>
    <row r="6">
      <c r="B6" s="26" t="inlineStr">
        <is>
          <t>Sale price</t>
        </is>
      </c>
      <c r="C6" s="27" t="n">
        <v>29.99</v>
      </c>
    </row>
    <row r="8">
      <c r="B8" s="4" t="inlineStr">
        <is>
          <t>WHAT AMAZON TAKES</t>
        </is>
      </c>
    </row>
    <row r="9">
      <c r="B9" s="26" t="inlineStr">
        <is>
          <t>− Referral fee (% of price)</t>
        </is>
      </c>
      <c r="C9" s="28">
        <f>ROUND(SalePrice*ReferralRate,2)</f>
        <v/>
      </c>
    </row>
    <row r="10">
      <c r="B10" s="26" t="inlineStr">
        <is>
          <t>− FBA fulfilment fee</t>
        </is>
      </c>
      <c r="C10" s="27" t="n">
        <v>5.4</v>
      </c>
    </row>
    <row r="11">
      <c r="B11" s="26" t="inlineStr">
        <is>
          <t>− Monthly storage (per unit)</t>
        </is>
      </c>
      <c r="C11" s="27" t="n">
        <v>0.35</v>
      </c>
    </row>
    <row r="12">
      <c r="B12" s="9">
        <f> TOTAL AMAZON FEES</f>
        <v/>
      </c>
      <c r="C12" s="29">
        <f>ReferralFee+FBAFee+StorageFee</f>
        <v/>
      </c>
    </row>
    <row r="14">
      <c r="B14" s="4" t="inlineStr">
        <is>
          <t>WHAT THE PRODUCT COSTS YOU</t>
        </is>
      </c>
    </row>
    <row r="15">
      <c r="B15" s="26" t="inlineStr">
        <is>
          <t>− Cost of goods (per unit)</t>
        </is>
      </c>
      <c r="C15" s="27" t="n">
        <v>7.5</v>
      </c>
    </row>
    <row r="16">
      <c r="B16" s="26" t="inlineStr">
        <is>
          <t>− Inbound shipping (per unit)</t>
        </is>
      </c>
      <c r="C16" s="27" t="n">
        <v>1.2</v>
      </c>
    </row>
    <row r="17">
      <c r="B17" s="9">
        <f> YOUR LANDED COST</f>
        <v/>
      </c>
      <c r="C17" s="30">
        <f>UnitCOGS+InboundShip</f>
        <v/>
      </c>
    </row>
    <row r="19">
      <c r="B19" s="9">
        <f> NET PROFIT PER UNIT</f>
        <v/>
      </c>
      <c r="C19" s="31">
        <f>SalePrice-TotalFees-LandedCost</f>
        <v/>
      </c>
    </row>
    <row r="20">
      <c r="B20" s="9">
        <f> NET MARGIN</f>
        <v/>
      </c>
      <c r="C20" s="32">
        <f>IFERROR(NetPerUnit/SalePrice,0)</f>
        <v/>
      </c>
    </row>
    <row r="21">
      <c r="B21" s="9">
        <f> ROI (return on your cash)</f>
        <v/>
      </c>
      <c r="C21" s="32">
        <f>IFERROR(NetPerUnit/LandedCost,0)</f>
        <v/>
      </c>
    </row>
    <row r="23">
      <c r="B23" s="26" t="inlineStr">
        <is>
          <t>Units sold per month</t>
        </is>
      </c>
      <c r="C23" s="33" t="n">
        <v>420</v>
      </c>
    </row>
    <row r="24">
      <c r="B24" s="9">
        <f> MONTHLY PROFIT (this SKU)</f>
        <v/>
      </c>
      <c r="C24" s="34">
        <f>NetPerUnit*UnitsMonth</f>
        <v/>
      </c>
    </row>
    <row r="25">
      <c r="B25" s="26">
        <f> MONTHLY REVENUE (this SKU)</f>
        <v/>
      </c>
      <c r="C25" s="35">
        <f>SalePrice*UnitsMonth</f>
        <v/>
      </c>
    </row>
    <row r="27">
      <c r="B27" s="4" t="inlineStr">
        <is>
          <t>A 30%+ margin and 100%+ ROI is a product worth scaling. Below that, fix it or drop it.</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24" customWidth="1" min="3" max="3"/>
    <col width="12" customWidth="1" min="4" max="4"/>
    <col width="12" customWidth="1" min="5" max="5"/>
    <col width="12" customWidth="1" min="6" max="6"/>
    <col width="14" customWidth="1" min="7" max="7"/>
    <col width="14" customWidth="1" min="8" max="8"/>
    <col width="2" customWidth="1" min="9" max="9"/>
  </cols>
  <sheetData>
    <row r="1" ht="46" customHeight="1">
      <c r="A1" s="1" t="inlineStr">
        <is>
          <t xml:space="preserve">  🏷  PRODUCT CATALOG</t>
        </is>
      </c>
    </row>
    <row r="2" ht="22" customHeight="1">
      <c r="A2" s="2" t="inlineStr">
        <is>
          <t xml:space="preserve">  Every SKU with its price, cost and volume — and the estimated net each one throws off.</t>
        </is>
      </c>
    </row>
    <row r="3" ht="6" customHeight="1">
      <c r="A3" s="3" t="n"/>
      <c r="B3" s="3" t="n"/>
      <c r="C3" s="3" t="n"/>
      <c r="D3" s="3" t="n"/>
      <c r="E3" s="3" t="n"/>
      <c r="F3" s="3" t="n"/>
      <c r="G3" s="3" t="n"/>
      <c r="H3" s="3" t="n"/>
    </row>
    <row r="4" ht="30" customHeight="1">
      <c r="B4" s="9" t="inlineStr">
        <is>
          <t>SKU</t>
        </is>
      </c>
      <c r="C4" s="9" t="inlineStr">
        <is>
          <t>Product</t>
        </is>
      </c>
      <c r="D4" s="9" t="inlineStr">
        <is>
          <t>Price</t>
        </is>
      </c>
      <c r="E4" s="9" t="inlineStr">
        <is>
          <t>COGS</t>
        </is>
      </c>
      <c r="F4" s="9" t="inlineStr">
        <is>
          <t>Units/mo</t>
        </is>
      </c>
      <c r="G4" s="9" t="inlineStr">
        <is>
          <t>Est. Net/Unit</t>
        </is>
      </c>
      <c r="H4" s="9" t="inlineStr">
        <is>
          <t>Est. Monthly</t>
        </is>
      </c>
    </row>
    <row r="5">
      <c r="B5" s="20" t="inlineStr">
        <is>
          <t>NP-CAN-08</t>
        </is>
      </c>
      <c r="C5" s="20" t="inlineStr">
        <is>
          <t>Soy Candle 8oz</t>
        </is>
      </c>
      <c r="D5" s="27" t="n">
        <v>29.99</v>
      </c>
      <c r="E5" s="27" t="n">
        <v>7.5</v>
      </c>
      <c r="F5" s="33" t="n">
        <v>420</v>
      </c>
      <c r="G5" s="36">
        <f>D5-ROUND(D5*ReferralRate,2)-FBAFee-StorageFee-E5-InboundShip</f>
        <v/>
      </c>
      <c r="H5" s="37">
        <f>G5*F5</f>
        <v/>
      </c>
    </row>
    <row r="6">
      <c r="B6" s="23" t="inlineStr">
        <is>
          <t>NP-DIF-01</t>
        </is>
      </c>
      <c r="C6" s="23" t="inlineStr">
        <is>
          <t>Reed Diffuser</t>
        </is>
      </c>
      <c r="D6" s="38" t="n">
        <v>34.99</v>
      </c>
      <c r="E6" s="38" t="n">
        <v>9</v>
      </c>
      <c r="F6" s="39" t="n">
        <v>180</v>
      </c>
      <c r="G6" s="40">
        <f>D6-ROUND(D6*ReferralRate,2)-FBAFee-StorageFee-E6-InboundShip</f>
        <v/>
      </c>
      <c r="H6" s="41">
        <f>G6*F6</f>
        <v/>
      </c>
    </row>
    <row r="7">
      <c r="B7" s="20" t="inlineStr">
        <is>
          <t>NP-MLT-06</t>
        </is>
      </c>
      <c r="C7" s="20" t="inlineStr">
        <is>
          <t>Wax Melts 6pk</t>
        </is>
      </c>
      <c r="D7" s="27" t="n">
        <v>16.99</v>
      </c>
      <c r="E7" s="27" t="n">
        <v>4.2</v>
      </c>
      <c r="F7" s="33" t="n">
        <v>260</v>
      </c>
      <c r="G7" s="36">
        <f>D7-ROUND(D7*ReferralRate,2)-FBAFee-StorageFee-E7-InboundShip</f>
        <v/>
      </c>
      <c r="H7" s="37">
        <f>G7*F7</f>
        <v/>
      </c>
    </row>
    <row r="8">
      <c r="B8" s="23" t="inlineStr">
        <is>
          <t>NP-SPR-04</t>
        </is>
      </c>
      <c r="C8" s="23" t="inlineStr">
        <is>
          <t>Room Spray 4oz</t>
        </is>
      </c>
      <c r="D8" s="38" t="n">
        <v>14.99</v>
      </c>
      <c r="E8" s="38" t="n">
        <v>3.6</v>
      </c>
      <c r="F8" s="39" t="n">
        <v>210</v>
      </c>
      <c r="G8" s="40">
        <f>D8-ROUND(D8*ReferralRate,2)-FBAFee-StorageFee-E8-InboundShip</f>
        <v/>
      </c>
      <c r="H8" s="41">
        <f>G8*F8</f>
        <v/>
      </c>
    </row>
    <row r="9">
      <c r="B9" s="20" t="inlineStr">
        <is>
          <t>NP-SET-03</t>
        </is>
      </c>
      <c r="C9" s="20" t="inlineStr">
        <is>
          <t>Gift Set Trio</t>
        </is>
      </c>
      <c r="D9" s="27" t="n">
        <v>69.98999999999999</v>
      </c>
      <c r="E9" s="27" t="n">
        <v>21</v>
      </c>
      <c r="F9" s="33" t="n">
        <v>95</v>
      </c>
      <c r="G9" s="36">
        <f>D9-ROUND(D9*ReferralRate,2)-FBAFee-StorageFee-E9-InboundShip</f>
        <v/>
      </c>
      <c r="H9" s="37">
        <f>G9*F9</f>
        <v/>
      </c>
    </row>
    <row r="10">
      <c r="B10" s="23" t="inlineStr">
        <is>
          <t>NP-REF-02</t>
        </is>
      </c>
      <c r="C10" s="23" t="inlineStr">
        <is>
          <t>Refill Pouch</t>
        </is>
      </c>
      <c r="D10" s="38" t="n">
        <v>12.99</v>
      </c>
      <c r="E10" s="38" t="n">
        <v>3.1</v>
      </c>
      <c r="F10" s="39" t="n">
        <v>150</v>
      </c>
      <c r="G10" s="40">
        <f>D10-ROUND(D10*ReferralRate,2)-FBAFee-StorageFee-E10-InboundShip</f>
        <v/>
      </c>
      <c r="H10" s="41">
        <f>G10*F10</f>
        <v/>
      </c>
    </row>
    <row r="11">
      <c r="B11" s="20" t="inlineStr">
        <is>
          <t>NP-WIC-20</t>
        </is>
      </c>
      <c r="C11" s="20" t="inlineStr">
        <is>
          <t>Wick Trimmer</t>
        </is>
      </c>
      <c r="D11" s="27" t="n">
        <v>11.99</v>
      </c>
      <c r="E11" s="27" t="n">
        <v>2.4</v>
      </c>
      <c r="F11" s="33" t="n">
        <v>130</v>
      </c>
      <c r="G11" s="36">
        <f>D11-ROUND(D11*ReferralRate,2)-FBAFee-StorageFee-E11-InboundShip</f>
        <v/>
      </c>
      <c r="H11" s="37">
        <f>G11*F11</f>
        <v/>
      </c>
    </row>
    <row r="12">
      <c r="B12" s="23" t="inlineStr">
        <is>
          <t>NP-TRV-02</t>
        </is>
      </c>
      <c r="C12" s="23" t="inlineStr">
        <is>
          <t>Travel Tin 2oz</t>
        </is>
      </c>
      <c r="D12" s="38" t="n">
        <v>9.99</v>
      </c>
      <c r="E12" s="38" t="n">
        <v>2.2</v>
      </c>
      <c r="F12" s="39" t="n">
        <v>175</v>
      </c>
      <c r="G12" s="40">
        <f>D12-ROUND(D12*ReferralRate,2)-FBAFee-StorageFee-E12-InboundShip</f>
        <v/>
      </c>
      <c r="H12" s="41">
        <f>G12*F12</f>
        <v/>
      </c>
    </row>
    <row r="13">
      <c r="B13" s="9" t="inlineStr">
        <is>
          <t>ALL SKUS</t>
        </is>
      </c>
      <c r="C13" s="42" t="n"/>
      <c r="D13" s="42" t="n"/>
      <c r="E13" s="42" t="n"/>
      <c r="F13" s="42" t="n"/>
      <c r="G13" s="42" t="n"/>
      <c r="H13" s="43">
        <f>SUM(SKUMonthly)</f>
        <v/>
      </c>
    </row>
    <row r="15">
      <c r="B15" s="26" t="inlineStr">
        <is>
          <t>SKUs listed</t>
        </is>
      </c>
      <c r="D15" s="44">
        <f>COUNTA(SKUName)</f>
        <v/>
      </c>
    </row>
  </sheetData>
  <mergeCells count="2">
    <mergeCell ref="A2:H2"/>
    <mergeCell ref="A1:H1"/>
  </mergeCells>
  <conditionalFormatting sqref="G5:G12">
    <cfRule type="cellIs" priority="1" operator="lessThan" dxfId="0">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46" customWidth="1" min="3" max="3"/>
    <col width="2" customWidth="1" min="4" max="4"/>
  </cols>
  <sheetData>
    <row r="1" ht="46" customHeight="1">
      <c r="A1" s="1" t="inlineStr">
        <is>
          <t xml:space="preserve">  💸  FEE BREAKDOWN</t>
        </is>
      </c>
    </row>
    <row r="2" ht="22" customHeight="1">
      <c r="A2" s="2" t="inlineStr">
        <is>
          <t xml:space="preserve">  Every fee Amazon charges, in plain English — so nothing on your statement is a mystery.</t>
        </is>
      </c>
    </row>
    <row r="3" ht="6" customHeight="1">
      <c r="A3" s="3" t="n"/>
      <c r="B3" s="3" t="n"/>
      <c r="C3" s="3" t="n"/>
    </row>
    <row r="4" ht="30" customHeight="1">
      <c r="B4" s="9" t="inlineStr">
        <is>
          <t>Fee</t>
        </is>
      </c>
      <c r="C4" s="9" t="inlineStr">
        <is>
          <t>How it works</t>
        </is>
      </c>
    </row>
    <row r="5">
      <c r="B5" s="20" t="inlineStr">
        <is>
          <t>Referral fee</t>
        </is>
      </c>
      <c r="C5" s="20" t="inlineStr">
        <is>
          <t>% of sale price — most categories 15%</t>
        </is>
      </c>
    </row>
    <row r="6">
      <c r="B6" s="23" t="inlineStr">
        <is>
          <t>FBA fulfilment fee</t>
        </is>
      </c>
      <c r="C6" s="23" t="inlineStr">
        <is>
          <t>Flat, by size tier &amp; weight</t>
        </is>
      </c>
    </row>
    <row r="7">
      <c r="B7" s="20" t="inlineStr">
        <is>
          <t>Monthly storage</t>
        </is>
      </c>
      <c r="C7" s="20" t="inlineStr">
        <is>
          <t>Per cubic foot, higher Oct–Dec</t>
        </is>
      </c>
    </row>
    <row r="8">
      <c r="B8" s="23" t="inlineStr">
        <is>
          <t>Long-term storage</t>
        </is>
      </c>
      <c r="C8" s="23" t="inlineStr">
        <is>
          <t>Charged after 181 days — watch aged stock</t>
        </is>
      </c>
    </row>
    <row r="9">
      <c r="B9" s="20" t="inlineStr">
        <is>
          <t>Inbound shipping</t>
        </is>
      </c>
      <c r="C9" s="20" t="inlineStr">
        <is>
          <t>Your cost to send units to Amazon</t>
        </is>
      </c>
    </row>
    <row r="10">
      <c r="B10" s="23" t="inlineStr">
        <is>
          <t>Returns processing</t>
        </is>
      </c>
      <c r="C10" s="23" t="inlineStr">
        <is>
          <t>Charged on some categories</t>
        </is>
      </c>
    </row>
    <row r="11">
      <c r="B11" s="20" t="inlineStr">
        <is>
          <t>Advertising (PPC)</t>
        </is>
      </c>
      <c r="C11" s="20" t="inlineStr">
        <is>
          <t>Not a fee — but it comes off the same profit</t>
        </is>
      </c>
    </row>
    <row r="13">
      <c r="B13" s="4" t="inlineStr">
        <is>
          <t>ON THIS SKU</t>
        </is>
      </c>
    </row>
    <row r="14">
      <c r="B14" s="26" t="inlineStr">
        <is>
          <t>Referral fee</t>
        </is>
      </c>
      <c r="C14" s="28">
        <f>ReferralFee</f>
        <v/>
      </c>
    </row>
    <row r="15">
      <c r="B15" s="26" t="inlineStr">
        <is>
          <t>FBA fulfilment</t>
        </is>
      </c>
      <c r="C15" s="28">
        <f>FBAFee</f>
        <v/>
      </c>
    </row>
    <row r="16">
      <c r="B16" s="26" t="inlineStr">
        <is>
          <t>Storage</t>
        </is>
      </c>
      <c r="C16" s="28">
        <f>StorageFee</f>
        <v/>
      </c>
    </row>
    <row r="17">
      <c r="B17" s="26" t="inlineStr">
        <is>
          <t>Total fees</t>
        </is>
      </c>
      <c r="C17" s="45">
        <f>TotalFees</f>
        <v/>
      </c>
    </row>
    <row r="18">
      <c r="B18" s="26" t="inlineStr">
        <is>
          <t>Fees as % of price</t>
        </is>
      </c>
      <c r="C18" s="46">
        <f>IFERROR(TotalFees/SalePrice,0)</f>
        <v/>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4" customWidth="1" min="3" max="3"/>
    <col width="16" customWidth="1" min="4" max="4"/>
    <col width="14" customWidth="1" min="5" max="5"/>
    <col width="16" customWidth="1" min="6" max="6"/>
    <col width="16" customWidth="1" min="7" max="7"/>
    <col width="2" customWidth="1" min="8" max="8"/>
  </cols>
  <sheetData>
    <row r="1" ht="46" customHeight="1">
      <c r="A1" s="1" t="inlineStr">
        <is>
          <t xml:space="preserve">  📦  INVENTORY &amp; REORDER</t>
        </is>
      </c>
    </row>
    <row r="2" ht="22" customHeight="1">
      <c r="A2" s="2" t="inlineStr">
        <is>
          <t xml:space="preserve">  Units on hand versus how fast they sell — the days-of-cover number that stops a stockout.</t>
        </is>
      </c>
    </row>
    <row r="3" ht="6" customHeight="1">
      <c r="A3" s="3" t="n"/>
      <c r="B3" s="3" t="n"/>
      <c r="C3" s="3" t="n"/>
      <c r="D3" s="3" t="n"/>
      <c r="E3" s="3" t="n"/>
      <c r="F3" s="3" t="n"/>
      <c r="G3" s="3" t="n"/>
    </row>
    <row r="4" ht="30" customHeight="1">
      <c r="B4" s="9" t="inlineStr">
        <is>
          <t>SKU</t>
        </is>
      </c>
      <c r="C4" s="9" t="inlineStr">
        <is>
          <t>On Hand</t>
        </is>
      </c>
      <c r="D4" s="9" t="inlineStr">
        <is>
          <t>Units / Day</t>
        </is>
      </c>
      <c r="E4" s="9" t="inlineStr">
        <is>
          <t>Reorder At</t>
        </is>
      </c>
      <c r="F4" s="9" t="inlineStr">
        <is>
          <t>Days of Cover</t>
        </is>
      </c>
      <c r="G4" s="9" t="inlineStr">
        <is>
          <t>Status</t>
        </is>
      </c>
    </row>
    <row r="5">
      <c r="B5" s="20" t="inlineStr">
        <is>
          <t>NP-CAN-08</t>
        </is>
      </c>
      <c r="C5" s="33" t="n">
        <v>840</v>
      </c>
      <c r="D5" s="33" t="n">
        <v>14</v>
      </c>
      <c r="E5" s="33" t="n">
        <v>420</v>
      </c>
      <c r="F5" s="47">
        <f>IFERROR(C5/D5,0)</f>
        <v/>
      </c>
      <c r="G5" s="22">
        <f>IF(C5&lt;=0,"Out of stock",IF(C5&lt;=E5,"Reorder now",IF(F5&lt;30,"Low","In stock")))</f>
        <v/>
      </c>
    </row>
    <row r="6">
      <c r="B6" s="23" t="inlineStr">
        <is>
          <t>NP-DIF-01</t>
        </is>
      </c>
      <c r="C6" s="39" t="n">
        <v>300</v>
      </c>
      <c r="D6" s="39" t="n">
        <v>6</v>
      </c>
      <c r="E6" s="39" t="n">
        <v>180</v>
      </c>
      <c r="F6" s="48">
        <f>IFERROR(C6/D6,0)</f>
        <v/>
      </c>
      <c r="G6" s="25">
        <f>IF(C6&lt;=0,"Out of stock",IF(C6&lt;=E6,"Reorder now",IF(F6&lt;30,"Low","In stock")))</f>
        <v/>
      </c>
    </row>
    <row r="7">
      <c r="B7" s="20" t="inlineStr">
        <is>
          <t>NP-MLT-06</t>
        </is>
      </c>
      <c r="C7" s="33" t="n">
        <v>380</v>
      </c>
      <c r="D7" s="33" t="n">
        <v>9</v>
      </c>
      <c r="E7" s="33" t="n">
        <v>270</v>
      </c>
      <c r="F7" s="47">
        <f>IFERROR(C7/D7,0)</f>
        <v/>
      </c>
      <c r="G7" s="22">
        <f>IF(C7&lt;=0,"Out of stock",IF(C7&lt;=E7,"Reorder now",IF(F7&lt;30,"Low","In stock")))</f>
        <v/>
      </c>
    </row>
    <row r="8">
      <c r="B8" s="23" t="inlineStr">
        <is>
          <t>NP-SPR-04</t>
        </is>
      </c>
      <c r="C8" s="39" t="n">
        <v>200</v>
      </c>
      <c r="D8" s="39" t="n">
        <v>7</v>
      </c>
      <c r="E8" s="39" t="n">
        <v>210</v>
      </c>
      <c r="F8" s="48">
        <f>IFERROR(C8/D8,0)</f>
        <v/>
      </c>
      <c r="G8" s="25">
        <f>IF(C8&lt;=0,"Out of stock",IF(C8&lt;=E8,"Reorder now",IF(F8&lt;30,"Low","In stock")))</f>
        <v/>
      </c>
    </row>
    <row r="9">
      <c r="B9" s="20" t="inlineStr">
        <is>
          <t>NP-SET-03</t>
        </is>
      </c>
      <c r="C9" s="33" t="n">
        <v>160</v>
      </c>
      <c r="D9" s="33" t="n">
        <v>3</v>
      </c>
      <c r="E9" s="33" t="n">
        <v>90</v>
      </c>
      <c r="F9" s="47">
        <f>IFERROR(C9/D9,0)</f>
        <v/>
      </c>
      <c r="G9" s="22">
        <f>IF(C9&lt;=0,"Out of stock",IF(C9&lt;=E9,"Reorder now",IF(F9&lt;30,"Low","In stock")))</f>
        <v/>
      </c>
    </row>
    <row r="10">
      <c r="B10" s="23" t="inlineStr">
        <is>
          <t>NP-REF-02</t>
        </is>
      </c>
      <c r="C10" s="39" t="n">
        <v>240</v>
      </c>
      <c r="D10" s="39" t="n">
        <v>5</v>
      </c>
      <c r="E10" s="39" t="n">
        <v>150</v>
      </c>
      <c r="F10" s="48">
        <f>IFERROR(C10/D10,0)</f>
        <v/>
      </c>
      <c r="G10" s="25">
        <f>IF(C10&lt;=0,"Out of stock",IF(C10&lt;=E10,"Reorder now",IF(F10&lt;30,"Low","In stock")))</f>
        <v/>
      </c>
    </row>
    <row r="11">
      <c r="B11" s="20" t="inlineStr">
        <is>
          <t>NP-WIC-20</t>
        </is>
      </c>
      <c r="C11" s="33" t="n">
        <v>190</v>
      </c>
      <c r="D11" s="33" t="n">
        <v>4</v>
      </c>
      <c r="E11" s="33" t="n">
        <v>120</v>
      </c>
      <c r="F11" s="47">
        <f>IFERROR(C11/D11,0)</f>
        <v/>
      </c>
      <c r="G11" s="22">
        <f>IF(C11&lt;=0,"Out of stock",IF(C11&lt;=E11,"Reorder now",IF(F11&lt;30,"Low","In stock")))</f>
        <v/>
      </c>
    </row>
    <row r="12">
      <c r="B12" s="23" t="inlineStr">
        <is>
          <t>NP-TRV-02</t>
        </is>
      </c>
      <c r="C12" s="39" t="n">
        <v>310</v>
      </c>
      <c r="D12" s="39" t="n">
        <v>6</v>
      </c>
      <c r="E12" s="39" t="n">
        <v>180</v>
      </c>
      <c r="F12" s="48">
        <f>IFERROR(C12/D12,0)</f>
        <v/>
      </c>
      <c r="G12" s="25">
        <f>IF(C12&lt;=0,"Out of stock",IF(C12&lt;=E12,"Reorder now",IF(F12&lt;30,"Low","In stock")))</f>
        <v/>
      </c>
    </row>
    <row r="14">
      <c r="B14" s="26" t="inlineStr">
        <is>
          <t>Flagship days of cover</t>
        </is>
      </c>
      <c r="F14" s="49">
        <f>F5</f>
        <v/>
      </c>
    </row>
    <row r="15">
      <c r="B15" s="26" t="inlineStr">
        <is>
          <t>SKUs needing a reorder</t>
        </is>
      </c>
      <c r="F15" s="44">
        <f>COUNTIF(G5:G12,"Reorder now")+COUNTIF(G5:G12,"Out of stock")</f>
        <v/>
      </c>
    </row>
  </sheetData>
  <mergeCells count="2">
    <mergeCell ref="A2:G2"/>
    <mergeCell ref="A1:G1"/>
  </mergeCells>
  <conditionalFormatting sqref="F5:F12">
    <cfRule type="colorScale" priority="1">
      <colorScale>
        <cfvo type="num" val="15"/>
        <cfvo type="num" val="45"/>
        <cfvo type="num" val="90"/>
        <color rgb="FFFBE6E6"/>
        <color rgb="FFFFF3CD"/>
        <color rgb="FF75E6C1"/>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2" customWidth="1" min="1" max="1"/>
    <col width="14" customWidth="1" min="2" max="2"/>
    <col width="16" customWidth="1" min="3" max="3"/>
    <col width="18" customWidth="1" min="4" max="4"/>
    <col width="18" customWidth="1" min="5" max="5"/>
    <col width="2" customWidth="1" min="6" max="6"/>
  </cols>
  <sheetData>
    <row r="1" ht="46" customHeight="1">
      <c r="A1" s="1" t="inlineStr">
        <is>
          <t xml:space="preserve">  🛒  SALES</t>
        </is>
      </c>
    </row>
    <row r="2" ht="22" customHeight="1">
      <c r="A2" s="2" t="inlineStr">
        <is>
          <t xml:space="preserve">  Units and revenue month by month — the growth curve your inventory has to keep up with.</t>
        </is>
      </c>
    </row>
    <row r="3" ht="6" customHeight="1">
      <c r="A3" s="3" t="n"/>
      <c r="B3" s="3" t="n"/>
      <c r="C3" s="3" t="n"/>
      <c r="D3" s="3" t="n"/>
      <c r="E3" s="3" t="n"/>
    </row>
    <row r="4" ht="30" customHeight="1">
      <c r="B4" s="9" t="inlineStr">
        <is>
          <t>Month</t>
        </is>
      </c>
      <c r="C4" s="9" t="inlineStr">
        <is>
          <t>Units</t>
        </is>
      </c>
      <c r="D4" s="9" t="inlineStr">
        <is>
          <t>Revenue</t>
        </is>
      </c>
      <c r="E4" s="9" t="inlineStr">
        <is>
          <t>Avg Order</t>
        </is>
      </c>
    </row>
    <row r="5">
      <c r="B5" s="20" t="inlineStr">
        <is>
          <t>Feb</t>
        </is>
      </c>
      <c r="C5" s="33" t="n">
        <v>300</v>
      </c>
      <c r="D5" s="50" t="n">
        <v>8997</v>
      </c>
      <c r="E5" s="36">
        <f>IFERROR(D5/C5,0)</f>
        <v/>
      </c>
    </row>
    <row r="6">
      <c r="B6" s="23" t="inlineStr">
        <is>
          <t>Mar</t>
        </is>
      </c>
      <c r="C6" s="39" t="n">
        <v>330</v>
      </c>
      <c r="D6" s="51" t="n">
        <v>9897</v>
      </c>
      <c r="E6" s="40">
        <f>IFERROR(D6/C6,0)</f>
        <v/>
      </c>
    </row>
    <row r="7">
      <c r="B7" s="20" t="inlineStr">
        <is>
          <t>Apr</t>
        </is>
      </c>
      <c r="C7" s="33" t="n">
        <v>360</v>
      </c>
      <c r="D7" s="50" t="n">
        <v>10796</v>
      </c>
      <c r="E7" s="36">
        <f>IFERROR(D7/C7,0)</f>
        <v/>
      </c>
    </row>
    <row r="8">
      <c r="B8" s="23" t="inlineStr">
        <is>
          <t>May</t>
        </is>
      </c>
      <c r="C8" s="39" t="n">
        <v>380</v>
      </c>
      <c r="D8" s="51" t="n">
        <v>11396</v>
      </c>
      <c r="E8" s="40">
        <f>IFERROR(D8/C8,0)</f>
        <v/>
      </c>
    </row>
    <row r="9">
      <c r="B9" s="20" t="inlineStr">
        <is>
          <t>Jun</t>
        </is>
      </c>
      <c r="C9" s="33" t="n">
        <v>400</v>
      </c>
      <c r="D9" s="50" t="n">
        <v>11996</v>
      </c>
      <c r="E9" s="36">
        <f>IFERROR(D9/C9,0)</f>
        <v/>
      </c>
    </row>
    <row r="10">
      <c r="B10" s="23" t="inlineStr">
        <is>
          <t>Jul</t>
        </is>
      </c>
      <c r="C10" s="39" t="n">
        <v>420</v>
      </c>
      <c r="D10" s="51" t="n">
        <v>12596</v>
      </c>
      <c r="E10" s="40">
        <f>IFERROR(D10/C10,0)</f>
        <v/>
      </c>
    </row>
    <row r="11">
      <c r="B11" s="9" t="inlineStr">
        <is>
          <t>TOTAL</t>
        </is>
      </c>
      <c r="C11" s="52">
        <f>SUM(SaleUnits)</f>
        <v/>
      </c>
      <c r="D11" s="43">
        <f>SUM(SaleRev)</f>
        <v/>
      </c>
      <c r="E11" s="42" t="n"/>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6" customWidth="1" min="3" max="3"/>
    <col width="16" customWidth="1" min="4" max="4"/>
    <col width="14" customWidth="1" min="5" max="5"/>
    <col width="2" customWidth="1" min="6" max="6"/>
  </cols>
  <sheetData>
    <row r="1" ht="46" customHeight="1">
      <c r="A1" s="1" t="inlineStr">
        <is>
          <t xml:space="preserve">  📣  PPC &amp; ACOS</t>
        </is>
      </c>
    </row>
    <row r="2" ht="22" customHeight="1">
      <c r="A2" s="2" t="inlineStr">
        <is>
          <t xml:space="preserve">  Every campaign's spend against the sales it produced — ACoS is the number that decides if ads pay.</t>
        </is>
      </c>
    </row>
    <row r="3" ht="6" customHeight="1">
      <c r="A3" s="3" t="n"/>
      <c r="B3" s="3" t="n"/>
      <c r="C3" s="3" t="n"/>
      <c r="D3" s="3" t="n"/>
      <c r="E3" s="3" t="n"/>
    </row>
    <row r="4" ht="30" customHeight="1">
      <c r="B4" s="9" t="inlineStr">
        <is>
          <t>Campaign</t>
        </is>
      </c>
      <c r="C4" s="9" t="inlineStr">
        <is>
          <t>Ad Spend</t>
        </is>
      </c>
      <c r="D4" s="9" t="inlineStr">
        <is>
          <t>Ad Sales</t>
        </is>
      </c>
      <c r="E4" s="9" t="inlineStr">
        <is>
          <t>ACoS</t>
        </is>
      </c>
    </row>
    <row r="5">
      <c r="B5" s="20" t="inlineStr">
        <is>
          <t>Auto — Candles</t>
        </is>
      </c>
      <c r="C5" s="50" t="n">
        <v>380</v>
      </c>
      <c r="D5" s="50" t="n">
        <v>2100</v>
      </c>
      <c r="E5" s="53">
        <f>IFERROR(C5/D5,0)</f>
        <v/>
      </c>
    </row>
    <row r="6">
      <c r="B6" s="23" t="inlineStr">
        <is>
          <t>Exact — soy candle</t>
        </is>
      </c>
      <c r="C6" s="51" t="n">
        <v>300</v>
      </c>
      <c r="D6" s="51" t="n">
        <v>1650</v>
      </c>
      <c r="E6" s="54">
        <f>IFERROR(C6/D6,0)</f>
        <v/>
      </c>
    </row>
    <row r="7">
      <c r="B7" s="20" t="inlineStr">
        <is>
          <t>Broad — home fragrance</t>
        </is>
      </c>
      <c r="C7" s="50" t="n">
        <v>260</v>
      </c>
      <c r="D7" s="50" t="n">
        <v>1100</v>
      </c>
      <c r="E7" s="53">
        <f>IFERROR(C7/D7,0)</f>
        <v/>
      </c>
    </row>
    <row r="8">
      <c r="B8" s="23" t="inlineStr">
        <is>
          <t>Product targeting</t>
        </is>
      </c>
      <c r="C8" s="51" t="n">
        <v>160</v>
      </c>
      <c r="D8" s="51" t="n">
        <v>700</v>
      </c>
      <c r="E8" s="54">
        <f>IFERROR(C8/D8,0)</f>
        <v/>
      </c>
    </row>
    <row r="9">
      <c r="B9" s="20" t="inlineStr">
        <is>
          <t>Brand defence</t>
        </is>
      </c>
      <c r="C9" s="50" t="n">
        <v>100</v>
      </c>
      <c r="D9" s="50" t="n">
        <v>450</v>
      </c>
      <c r="E9" s="53">
        <f>IFERROR(C9/D9,0)</f>
        <v/>
      </c>
    </row>
    <row r="10">
      <c r="B10" s="9" t="inlineStr">
        <is>
          <t>ALL CAMPAIGNS</t>
        </is>
      </c>
      <c r="C10" s="55">
        <f>SUM(AdCampSpend)</f>
        <v/>
      </c>
      <c r="D10" s="56">
        <f>SUM(AdCampSales)</f>
        <v/>
      </c>
      <c r="E10" s="57">
        <f>IFERROR(C10/D10,0)</f>
        <v/>
      </c>
    </row>
    <row r="12">
      <c r="B12" s="26" t="inlineStr">
        <is>
          <t>TACoS (ad spend ÷ total revenue)</t>
        </is>
      </c>
      <c r="E12" s="58">
        <f>IFERROR(AdSpend/MonthlyRevenue,0)</f>
        <v/>
      </c>
    </row>
    <row r="14">
      <c r="B14" s="4" t="inlineStr">
        <is>
          <t>ACoS above your margin means you're paying to lose money on that campaign.</t>
        </is>
      </c>
    </row>
  </sheetData>
  <mergeCells count="2">
    <mergeCell ref="A2:E2"/>
    <mergeCell ref="A1:E1"/>
  </mergeCells>
  <conditionalFormatting sqref="E5:E9">
    <cfRule type="cellIs" priority="1" operator="greaterThan" dxfId="0">
      <formula>ACoSGoal</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
  <sheetViews>
    <sheetView showGridLines="0" workbookViewId="0">
      <pane ySplit="4" topLeftCell="A5" activePane="bottomLeft" state="frozen"/>
      <selection pane="bottomLeft" activeCell="A1" sqref="A1"/>
    </sheetView>
  </sheetViews>
  <sheetFormatPr baseColWidth="8" defaultRowHeight="15"/>
  <cols>
    <col width="2" customWidth="1" min="1" max="1"/>
    <col width="18" customWidth="1" min="2" max="2"/>
    <col width="18" customWidth="1" min="3" max="3"/>
    <col width="20" customWidth="1" min="4" max="4"/>
    <col width="2" customWidth="1" min="5" max="5"/>
  </cols>
  <sheetData>
    <row r="1" ht="46" customHeight="1">
      <c r="A1" s="1" t="inlineStr">
        <is>
          <t xml:space="preserve">  ↩  RETURNS &amp; REFUNDS</t>
        </is>
      </c>
    </row>
    <row r="2" ht="22" customHeight="1">
      <c r="A2" s="2" t="inlineStr">
        <is>
          <t xml:space="preserve">  What comes back and why — a return rate creeping up is a listing or a quality problem.</t>
        </is>
      </c>
    </row>
    <row r="3" ht="6" customHeight="1">
      <c r="A3" s="3" t="n"/>
      <c r="B3" s="3" t="n"/>
      <c r="C3" s="3" t="n"/>
      <c r="D3" s="3" t="n"/>
    </row>
    <row r="4" ht="30" customHeight="1">
      <c r="B4" s="9" t="inlineStr">
        <is>
          <t>SKU</t>
        </is>
      </c>
      <c r="C4" s="9" t="inlineStr">
        <is>
          <t>Units Returned</t>
        </is>
      </c>
      <c r="D4" s="9" t="inlineStr">
        <is>
          <t>Reason</t>
        </is>
      </c>
    </row>
    <row r="5">
      <c r="B5" s="59" t="inlineStr">
        <is>
          <t>NP-CAN-08</t>
        </is>
      </c>
      <c r="C5" s="60" t="n">
        <v>6</v>
      </c>
      <c r="D5" s="61" t="inlineStr">
        <is>
          <t>Damaged</t>
        </is>
      </c>
    </row>
    <row r="6">
      <c r="B6" s="23" t="inlineStr">
        <is>
          <t>NP-DIF-01</t>
        </is>
      </c>
      <c r="C6" s="48" t="n">
        <v>3</v>
      </c>
      <c r="D6" s="25" t="inlineStr">
        <is>
          <t>Changed mind</t>
        </is>
      </c>
    </row>
    <row r="7">
      <c r="B7" s="59" t="inlineStr">
        <is>
          <t>NP-MLT-06</t>
        </is>
      </c>
      <c r="C7" s="60" t="n">
        <v>2</v>
      </c>
      <c r="D7" s="61" t="inlineStr">
        <is>
          <t>Didn't fit</t>
        </is>
      </c>
    </row>
    <row r="8">
      <c r="B8" s="23" t="inlineStr">
        <is>
          <t>NP-SET-03</t>
        </is>
      </c>
      <c r="C8" s="48" t="n">
        <v>2</v>
      </c>
      <c r="D8" s="25" t="inlineStr">
        <is>
          <t>Damaged</t>
        </is>
      </c>
    </row>
    <row r="9">
      <c r="B9" s="59" t="inlineStr">
        <is>
          <t>NP-SPR-04</t>
        </is>
      </c>
      <c r="C9" s="60" t="n">
        <v>1</v>
      </c>
      <c r="D9" s="61" t="inlineStr">
        <is>
          <t>Defective</t>
        </is>
      </c>
    </row>
    <row r="10">
      <c r="B10" s="23" t="n"/>
      <c r="C10" s="48" t="n"/>
      <c r="D10" s="25" t="n"/>
    </row>
    <row r="11">
      <c r="B11" s="59" t="n"/>
      <c r="C11" s="60" t="n"/>
      <c r="D11" s="61" t="n"/>
    </row>
    <row r="12">
      <c r="B12" s="23" t="n"/>
      <c r="C12" s="48" t="n"/>
      <c r="D12" s="25" t="n"/>
    </row>
    <row r="13">
      <c r="B13" s="59" t="n"/>
      <c r="C13" s="60" t="n"/>
      <c r="D13" s="61" t="n"/>
    </row>
    <row r="14">
      <c r="B14" s="23" t="n"/>
      <c r="C14" s="48" t="n"/>
      <c r="D14" s="25" t="n"/>
    </row>
    <row r="15">
      <c r="B15" s="59" t="n"/>
      <c r="C15" s="60" t="n"/>
      <c r="D15" s="61" t="n"/>
    </row>
    <row r="16">
      <c r="B16" s="23" t="n"/>
      <c r="C16" s="48" t="n"/>
      <c r="D16" s="25" t="n"/>
    </row>
    <row r="17">
      <c r="B17" s="59" t="n"/>
      <c r="C17" s="60" t="n"/>
      <c r="D17" s="61" t="n"/>
    </row>
    <row r="18">
      <c r="B18" s="23" t="n"/>
      <c r="C18" s="48" t="n"/>
      <c r="D18" s="25" t="n"/>
    </row>
    <row r="19">
      <c r="B19" s="59" t="n"/>
      <c r="C19" s="60" t="n"/>
      <c r="D19" s="61" t="n"/>
    </row>
    <row r="20">
      <c r="B20" s="23" t="n"/>
      <c r="C20" s="48" t="n"/>
      <c r="D20" s="25" t="n"/>
    </row>
    <row r="21">
      <c r="B21" s="59" t="n"/>
      <c r="C21" s="60" t="n"/>
      <c r="D21" s="61" t="n"/>
    </row>
    <row r="22">
      <c r="B22" s="23" t="n"/>
      <c r="C22" s="48" t="n"/>
      <c r="D22" s="25" t="n"/>
    </row>
    <row r="23">
      <c r="B23" s="59" t="n"/>
      <c r="C23" s="60" t="n"/>
      <c r="D23" s="61" t="n"/>
    </row>
    <row r="24">
      <c r="B24" s="23" t="n"/>
      <c r="C24" s="48" t="n"/>
      <c r="D24" s="25" t="n"/>
    </row>
    <row r="25">
      <c r="B25" s="59" t="n"/>
      <c r="C25" s="60" t="n"/>
      <c r="D25" s="61" t="n"/>
    </row>
    <row r="26">
      <c r="B26" s="23" t="n"/>
      <c r="C26" s="48" t="n"/>
      <c r="D26" s="25" t="n"/>
    </row>
    <row r="27">
      <c r="B27" s="59" t="n"/>
      <c r="C27" s="60" t="n"/>
      <c r="D27" s="61" t="n"/>
    </row>
    <row r="28">
      <c r="B28" s="23" t="n"/>
      <c r="C28" s="48" t="n"/>
      <c r="D28" s="25" t="n"/>
    </row>
    <row r="29">
      <c r="B29" s="9" t="inlineStr">
        <is>
          <t>TOTAL RETURNED</t>
        </is>
      </c>
      <c r="C29" s="62">
        <f>SUM(RetUnits)</f>
        <v/>
      </c>
      <c r="D29" s="42" t="n"/>
    </row>
    <row r="30">
      <c r="B30" s="26" t="inlineStr">
        <is>
          <t>Return rate (of units sold)</t>
        </is>
      </c>
      <c r="C30" s="63">
        <f>IFERROR(SUM(RetUnits)/UnitsMonth,0)</f>
        <v/>
      </c>
    </row>
  </sheetData>
  <mergeCells count="2">
    <mergeCell ref="A1:D1"/>
    <mergeCell ref="A2:D2"/>
  </mergeCells>
  <dataValidations count="1">
    <dataValidation sqref="D5:D28" showDropDown="0" showInputMessage="0" showErrorMessage="0" allowBlank="1" type="list">
      <formula1>=ReturnReasonList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2" customWidth="1" min="1" max="1"/>
    <col width="22" customWidth="1" min="2" max="2"/>
    <col width="16" customWidth="1" min="3" max="3"/>
    <col width="12" customWidth="1" min="4" max="4"/>
    <col width="14" customWidth="1" min="5" max="5"/>
    <col width="16" customWidth="1" min="6" max="6"/>
    <col width="2" customWidth="1" min="7" max="7"/>
  </cols>
  <sheetData>
    <row r="1" ht="46" customHeight="1">
      <c r="A1" s="1" t="inlineStr">
        <is>
          <t xml:space="preserve">  🚚  SUPPLIERS &amp; POS</t>
        </is>
      </c>
    </row>
    <row r="2" ht="22" customHeight="1">
      <c r="A2" s="2" t="inlineStr">
        <is>
          <t xml:space="preserve">  Who makes what, at what cost, and where each purchase order is right now.</t>
        </is>
      </c>
    </row>
    <row r="3" ht="6" customHeight="1">
      <c r="A3" s="3" t="n"/>
      <c r="B3" s="3" t="n"/>
      <c r="C3" s="3" t="n"/>
      <c r="D3" s="3" t="n"/>
      <c r="E3" s="3" t="n"/>
      <c r="F3" s="3" t="n"/>
    </row>
    <row r="4" ht="30" customHeight="1">
      <c r="B4" s="9" t="inlineStr">
        <is>
          <t>Supplier</t>
        </is>
      </c>
      <c r="C4" s="9" t="inlineStr">
        <is>
          <t>SKU</t>
        </is>
      </c>
      <c r="D4" s="9" t="inlineStr">
        <is>
          <t>Units</t>
        </is>
      </c>
      <c r="E4" s="9" t="inlineStr">
        <is>
          <t>Unit Cost</t>
        </is>
      </c>
      <c r="F4" s="9" t="inlineStr">
        <is>
          <t>Status</t>
        </is>
      </c>
    </row>
    <row r="5">
      <c r="B5" s="59" t="inlineStr">
        <is>
          <t>Cedar Supply Co.</t>
        </is>
      </c>
      <c r="C5" s="61" t="inlineStr">
        <is>
          <t>NP-CAN-08</t>
        </is>
      </c>
      <c r="D5" s="60" t="n">
        <v>1000</v>
      </c>
      <c r="E5" s="64" t="n">
        <v>7.5</v>
      </c>
      <c r="F5" s="59" t="inlineStr">
        <is>
          <t>Shipped</t>
        </is>
      </c>
    </row>
    <row r="6">
      <c r="B6" s="23" t="inlineStr">
        <is>
          <t>Glasswork Ltd</t>
        </is>
      </c>
      <c r="C6" s="25" t="inlineStr">
        <is>
          <t>NP-DIF-01</t>
        </is>
      </c>
      <c r="D6" s="48" t="n">
        <v>400</v>
      </c>
      <c r="E6" s="40" t="n">
        <v>9</v>
      </c>
      <c r="F6" s="23" t="inlineStr">
        <is>
          <t>In production</t>
        </is>
      </c>
    </row>
    <row r="7">
      <c r="B7" s="59" t="inlineStr">
        <is>
          <t>Cedar Supply Co.</t>
        </is>
      </c>
      <c r="C7" s="61" t="inlineStr">
        <is>
          <t>NP-MLT-06</t>
        </is>
      </c>
      <c r="D7" s="60" t="n">
        <v>600</v>
      </c>
      <c r="E7" s="64" t="n">
        <v>4.2</v>
      </c>
      <c r="F7" s="59" t="inlineStr">
        <is>
          <t>Delivered</t>
        </is>
      </c>
    </row>
    <row r="8">
      <c r="B8" s="23" t="inlineStr">
        <is>
          <t>Packwell</t>
        </is>
      </c>
      <c r="C8" s="25" t="inlineStr">
        <is>
          <t>NP-SPR-04</t>
        </is>
      </c>
      <c r="D8" s="48" t="n">
        <v>500</v>
      </c>
      <c r="E8" s="40" t="n">
        <v>3.6</v>
      </c>
      <c r="F8" s="23" t="inlineStr">
        <is>
          <t>Ordered</t>
        </is>
      </c>
    </row>
    <row r="9">
      <c r="B9" s="59" t="n"/>
      <c r="C9" s="61" t="n"/>
      <c r="D9" s="60" t="n"/>
      <c r="E9" s="64" t="n"/>
      <c r="F9" s="59" t="n"/>
    </row>
    <row r="10">
      <c r="B10" s="23" t="n"/>
      <c r="C10" s="25" t="n"/>
      <c r="D10" s="48" t="n"/>
      <c r="E10" s="40" t="n"/>
      <c r="F10" s="23" t="n"/>
    </row>
    <row r="11">
      <c r="B11" s="59" t="n"/>
      <c r="C11" s="61" t="n"/>
      <c r="D11" s="60" t="n"/>
      <c r="E11" s="64" t="n"/>
      <c r="F11" s="59" t="n"/>
    </row>
    <row r="12">
      <c r="B12" s="23" t="n"/>
      <c r="C12" s="25" t="n"/>
      <c r="D12" s="48" t="n"/>
      <c r="E12" s="40" t="n"/>
      <c r="F12" s="23" t="n"/>
    </row>
    <row r="13">
      <c r="B13" s="59" t="n"/>
      <c r="C13" s="61" t="n"/>
      <c r="D13" s="60" t="n"/>
      <c r="E13" s="64" t="n"/>
      <c r="F13" s="59" t="n"/>
    </row>
    <row r="14">
      <c r="B14" s="23" t="n"/>
      <c r="C14" s="25" t="n"/>
      <c r="D14" s="48" t="n"/>
      <c r="E14" s="40" t="n"/>
      <c r="F14" s="23" t="n"/>
    </row>
    <row r="15">
      <c r="B15" s="59" t="n"/>
      <c r="C15" s="61" t="n"/>
      <c r="D15" s="60" t="n"/>
      <c r="E15" s="64" t="n"/>
      <c r="F15" s="59" t="n"/>
    </row>
    <row r="16">
      <c r="B16" s="23" t="n"/>
      <c r="C16" s="25" t="n"/>
      <c r="D16" s="48" t="n"/>
      <c r="E16" s="40" t="n"/>
      <c r="F16" s="23" t="n"/>
    </row>
    <row r="17">
      <c r="B17" s="59" t="n"/>
      <c r="C17" s="61" t="n"/>
      <c r="D17" s="60" t="n"/>
      <c r="E17" s="64" t="n"/>
      <c r="F17" s="59" t="n"/>
    </row>
    <row r="18">
      <c r="B18" s="23" t="n"/>
      <c r="C18" s="25" t="n"/>
      <c r="D18" s="48" t="n"/>
      <c r="E18" s="40" t="n"/>
      <c r="F18" s="23" t="n"/>
    </row>
    <row r="19">
      <c r="B19" s="59" t="n"/>
      <c r="C19" s="61" t="n"/>
      <c r="D19" s="60" t="n"/>
      <c r="E19" s="64" t="n"/>
      <c r="F19" s="59" t="n"/>
    </row>
    <row r="20">
      <c r="B20" s="23" t="n"/>
      <c r="C20" s="25" t="n"/>
      <c r="D20" s="48" t="n"/>
      <c r="E20" s="40" t="n"/>
      <c r="F20" s="23" t="n"/>
    </row>
    <row r="21">
      <c r="B21" s="59" t="n"/>
      <c r="C21" s="61" t="n"/>
      <c r="D21" s="60" t="n"/>
      <c r="E21" s="64" t="n"/>
      <c r="F21" s="59" t="n"/>
    </row>
    <row r="22">
      <c r="B22" s="23" t="n"/>
      <c r="C22" s="25" t="n"/>
      <c r="D22" s="48" t="n"/>
      <c r="E22" s="40" t="n"/>
      <c r="F22" s="23" t="n"/>
    </row>
    <row r="23">
      <c r="B23" s="59" t="n"/>
      <c r="C23" s="61" t="n"/>
      <c r="D23" s="60" t="n"/>
      <c r="E23" s="64" t="n"/>
      <c r="F23" s="59" t="n"/>
    </row>
    <row r="24">
      <c r="B24" s="23" t="n"/>
      <c r="C24" s="25" t="n"/>
      <c r="D24" s="48" t="n"/>
      <c r="E24" s="40" t="n"/>
      <c r="F24" s="23" t="n"/>
    </row>
    <row r="25">
      <c r="B25" s="59" t="n"/>
      <c r="C25" s="61" t="n"/>
      <c r="D25" s="60" t="n"/>
      <c r="E25" s="64" t="n"/>
      <c r="F25" s="59" t="n"/>
    </row>
    <row r="26">
      <c r="B26" s="23" t="n"/>
      <c r="C26" s="25" t="n"/>
      <c r="D26" s="48" t="n"/>
      <c r="E26" s="40" t="n"/>
      <c r="F26" s="23" t="n"/>
    </row>
    <row r="27">
      <c r="B27" s="59" t="n"/>
      <c r="C27" s="61" t="n"/>
      <c r="D27" s="60" t="n"/>
      <c r="E27" s="64" t="n"/>
      <c r="F27" s="59" t="n"/>
    </row>
    <row r="28">
      <c r="B28" s="23" t="n"/>
      <c r="C28" s="25" t="n"/>
      <c r="D28" s="48" t="n"/>
      <c r="E28" s="40" t="n"/>
      <c r="F28" s="23" t="n"/>
    </row>
    <row r="29">
      <c r="B29" s="9" t="inlineStr">
        <is>
          <t>ON ORDER</t>
        </is>
      </c>
      <c r="C29" s="42" t="n"/>
      <c r="D29" s="52">
        <f>SUM(POUnits)</f>
        <v/>
      </c>
      <c r="E29" s="65">
        <f>SUMPRODUCT(POUnits,POCost)</f>
        <v/>
      </c>
      <c r="F29" s="42" t="n"/>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2" customWidth="1" min="1" max="1"/>
    <col width="18" customWidth="1" min="2" max="2"/>
    <col width="16" customWidth="1" min="3" max="3"/>
    <col width="16" customWidth="1" min="4" max="4"/>
    <col width="2" customWidth="1" min="5" max="5"/>
  </cols>
  <sheetData>
    <row r="1" ht="46" customHeight="1">
      <c r="A1" s="1" t="inlineStr">
        <is>
          <t xml:space="preserve">  ⭐  REVIEWS</t>
        </is>
      </c>
    </row>
    <row r="2" ht="22" customHeight="1">
      <c r="A2" s="2" t="inlineStr">
        <is>
          <t xml:space="preserve">  Review count and rating per SKU — review velocity is what unlocks conversion on Amazon.</t>
        </is>
      </c>
    </row>
    <row r="3" ht="6" customHeight="1">
      <c r="A3" s="3" t="n"/>
      <c r="B3" s="3" t="n"/>
      <c r="C3" s="3" t="n"/>
      <c r="D3" s="3" t="n"/>
    </row>
    <row r="4" ht="30" customHeight="1">
      <c r="B4" s="9" t="inlineStr">
        <is>
          <t>SKU</t>
        </is>
      </c>
      <c r="C4" s="9" t="inlineStr">
        <is>
          <t>Reviews</t>
        </is>
      </c>
      <c r="D4" s="9" t="inlineStr">
        <is>
          <t>Avg Rating</t>
        </is>
      </c>
    </row>
    <row r="5">
      <c r="B5" s="20" t="inlineStr">
        <is>
          <t>NP-CAN-08</t>
        </is>
      </c>
      <c r="C5" s="33" t="n">
        <v>9</v>
      </c>
      <c r="D5" s="66" t="n">
        <v>4.6</v>
      </c>
    </row>
    <row r="6">
      <c r="B6" s="23" t="inlineStr">
        <is>
          <t>NP-DIF-01</t>
        </is>
      </c>
      <c r="C6" s="39" t="n">
        <v>5</v>
      </c>
      <c r="D6" s="67" t="n">
        <v>4.4</v>
      </c>
    </row>
    <row r="7">
      <c r="B7" s="20" t="inlineStr">
        <is>
          <t>NP-MLT-06</t>
        </is>
      </c>
      <c r="C7" s="33" t="n">
        <v>4</v>
      </c>
      <c r="D7" s="66" t="n">
        <v>4.7</v>
      </c>
    </row>
    <row r="8">
      <c r="B8" s="23" t="inlineStr">
        <is>
          <t>NP-SPR-04</t>
        </is>
      </c>
      <c r="C8" s="39" t="n">
        <v>3</v>
      </c>
      <c r="D8" s="67" t="n">
        <v>4.3</v>
      </c>
    </row>
    <row r="9">
      <c r="B9" s="20" t="inlineStr">
        <is>
          <t>NP-SET-03</t>
        </is>
      </c>
      <c r="C9" s="33" t="n">
        <v>2</v>
      </c>
      <c r="D9" s="66" t="n">
        <v>4.8</v>
      </c>
    </row>
    <row r="10">
      <c r="B10" s="23" t="inlineStr">
        <is>
          <t>NP-REF-02</t>
        </is>
      </c>
      <c r="C10" s="39" t="n">
        <v>3</v>
      </c>
      <c r="D10" s="67" t="n">
        <v>4.5</v>
      </c>
    </row>
    <row r="11">
      <c r="B11" s="20" t="inlineStr">
        <is>
          <t>NP-WIC-20</t>
        </is>
      </c>
      <c r="C11" s="33" t="n">
        <v>4</v>
      </c>
      <c r="D11" s="66" t="n">
        <v>4.2</v>
      </c>
    </row>
    <row r="12">
      <c r="B12" s="23" t="inlineStr">
        <is>
          <t>NP-TRV-02</t>
        </is>
      </c>
      <c r="C12" s="39" t="n">
        <v>2</v>
      </c>
      <c r="D12" s="67" t="n">
        <v>4.6</v>
      </c>
    </row>
    <row r="13">
      <c r="B13" s="9" t="inlineStr">
        <is>
          <t>AVERAGE</t>
        </is>
      </c>
      <c r="C13" s="68">
        <f>IFERROR(AVERAGE(RevCount),0)</f>
        <v/>
      </c>
      <c r="D13" s="68">
        <f>IFERROR(AVERAGE(RevRating),0)</f>
        <v/>
      </c>
    </row>
    <row r="15">
      <c r="B15" s="4" t="inlineStr">
        <is>
          <t>Use Amazon's Request a Review button on every order — it's free and compliant.</t>
        </is>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8" customWidth="1" min="3" max="3"/>
    <col width="2" customWidth="1" min="4" max="4"/>
  </cols>
  <sheetData>
    <row r="1" ht="46" customHeight="1">
      <c r="A1" s="1" t="inlineStr">
        <is>
          <t xml:space="preserve">  💰  EXPENSES</t>
        </is>
      </c>
    </row>
    <row r="2" ht="22" customHeight="1">
      <c r="A2" s="2" t="inlineStr">
        <is>
          <t xml:space="preserve">  The costs that sit outside the per-unit maths — ads, software, photography, accounting.</t>
        </is>
      </c>
    </row>
    <row r="3" ht="6" customHeight="1">
      <c r="A3" s="3" t="n"/>
      <c r="B3" s="3" t="n"/>
      <c r="C3" s="3" t="n"/>
    </row>
    <row r="4" ht="30" customHeight="1">
      <c r="B4" s="9" t="inlineStr">
        <is>
          <t>Expense</t>
        </is>
      </c>
      <c r="C4" s="9" t="inlineStr">
        <is>
          <t>Monthly</t>
        </is>
      </c>
    </row>
    <row r="5">
      <c r="B5" s="20" t="inlineStr">
        <is>
          <t>Amazon PPC</t>
        </is>
      </c>
      <c r="C5" s="50" t="n">
        <v>1200</v>
      </c>
    </row>
    <row r="6">
      <c r="B6" s="23" t="inlineStr">
        <is>
          <t>Software &amp; tools</t>
        </is>
      </c>
      <c r="C6" s="51" t="n">
        <v>180</v>
      </c>
    </row>
    <row r="7">
      <c r="B7" s="20" t="inlineStr">
        <is>
          <t>Photography</t>
        </is>
      </c>
      <c r="C7" s="50" t="n">
        <v>150</v>
      </c>
    </row>
    <row r="8">
      <c r="B8" s="23" t="inlineStr">
        <is>
          <t>Samples &amp; testing</t>
        </is>
      </c>
      <c r="C8" s="51" t="n">
        <v>120</v>
      </c>
    </row>
    <row r="9">
      <c r="B9" s="20" t="inlineStr">
        <is>
          <t>Accounting</t>
        </is>
      </c>
      <c r="C9" s="50" t="n">
        <v>90</v>
      </c>
    </row>
    <row r="10">
      <c r="B10" s="23" t="inlineStr">
        <is>
          <t>Misc</t>
        </is>
      </c>
      <c r="C10" s="51" t="n">
        <v>80</v>
      </c>
    </row>
    <row r="11">
      <c r="B11" s="9" t="inlineStr">
        <is>
          <t>TOTAL EXPENSES</t>
        </is>
      </c>
      <c r="C11" s="55">
        <f>SUM(ExpAmt)</f>
        <v/>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 customWidth="1" min="1" max="1"/>
    <col width="30" customWidth="1" min="2" max="2"/>
    <col width="18" customWidth="1" min="3" max="3"/>
    <col width="2" customWidth="1" min="4" max="4"/>
  </cols>
  <sheetData>
    <row r="1" ht="46" customHeight="1">
      <c r="A1" s="1" t="inlineStr">
        <is>
          <t xml:space="preserve">  📈  MONTHLY SUMMARY</t>
        </is>
      </c>
    </row>
    <row r="2" ht="22" customHeight="1">
      <c r="A2" s="2" t="inlineStr">
        <is>
          <t xml:space="preserve">  Net profit month by month — the only line that matters once the fees are out.</t>
        </is>
      </c>
    </row>
    <row r="3" ht="6" customHeight="1">
      <c r="A3" s="3" t="n"/>
      <c r="B3" s="3" t="n"/>
      <c r="C3" s="3" t="n"/>
    </row>
    <row r="5">
      <c r="B5" s="4" t="inlineStr">
        <is>
          <t>THE TREND</t>
        </is>
      </c>
    </row>
    <row r="6" ht="30" customHeight="1">
      <c r="B6" s="9" t="inlineStr">
        <is>
          <t>Month</t>
        </is>
      </c>
      <c r="C6" s="9" t="inlineStr">
        <is>
          <t>Net Profit</t>
        </is>
      </c>
    </row>
    <row r="7">
      <c r="B7" s="20" t="inlineStr">
        <is>
          <t>Feb</t>
        </is>
      </c>
      <c r="C7" s="50" t="n">
        <v>3312</v>
      </c>
    </row>
    <row r="8">
      <c r="B8" s="23" t="inlineStr">
        <is>
          <t>Mar</t>
        </is>
      </c>
      <c r="C8" s="51" t="n">
        <v>3643</v>
      </c>
    </row>
    <row r="9">
      <c r="B9" s="20" t="inlineStr">
        <is>
          <t>Apr</t>
        </is>
      </c>
      <c r="C9" s="50" t="n">
        <v>3974</v>
      </c>
    </row>
    <row r="10">
      <c r="B10" s="23" t="inlineStr">
        <is>
          <t>May</t>
        </is>
      </c>
      <c r="C10" s="51" t="n">
        <v>4195</v>
      </c>
    </row>
    <row r="11">
      <c r="B11" s="20" t="inlineStr">
        <is>
          <t>Jun</t>
        </is>
      </c>
      <c r="C11" s="50" t="n">
        <v>4416</v>
      </c>
    </row>
    <row r="12">
      <c r="B12" s="23" t="inlineStr">
        <is>
          <t>Jul</t>
        </is>
      </c>
      <c r="C12" s="51" t="n">
        <v>4637</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2" customWidth="1" min="1" max="1"/>
    <col width="32" customWidth="1" min="2" max="2"/>
    <col width="20" customWidth="1" min="3" max="3"/>
    <col width="3" customWidth="1" min="4" max="4"/>
    <col width="20" customWidth="1" min="5" max="5"/>
    <col width="20" customWidth="1" min="6" max="6"/>
    <col width="20" customWidth="1" min="7" max="7"/>
    <col width="20" customWidth="1" min="8" max="8"/>
    <col width="20" customWidth="1" min="9" max="9"/>
    <col width="20" customWidth="1" min="10" max="10"/>
  </cols>
  <sheetData>
    <row r="1" ht="46" customHeight="1">
      <c r="A1" s="1" t="inlineStr">
        <is>
          <t xml:space="preserve">  ⚙  SETTINGS</t>
        </is>
      </c>
    </row>
    <row r="2" ht="22" customHeight="1">
      <c r="A2" s="2" t="inlineStr">
        <is>
          <t xml:space="preserve">  Set your fee rates &amp; goals once — every tab follows.</t>
        </is>
      </c>
    </row>
    <row r="3" ht="6" customHeight="1">
      <c r="A3" s="3" t="n"/>
      <c r="B3" s="3" t="n"/>
      <c r="C3" s="3" t="n"/>
      <c r="D3" s="3" t="n"/>
      <c r="E3" s="3" t="n"/>
      <c r="F3" s="3" t="n"/>
      <c r="G3" s="3" t="n"/>
      <c r="H3" s="3" t="n"/>
      <c r="I3" s="3" t="n"/>
      <c r="J3" s="3" t="n"/>
    </row>
    <row r="5">
      <c r="B5" s="7" t="inlineStr">
        <is>
          <t>YOUR RATES &amp; GOALS</t>
        </is>
      </c>
      <c r="E5" s="4" t="inlineStr">
        <is>
          <t>DROPDOWN LISTS</t>
        </is>
      </c>
    </row>
    <row r="6">
      <c r="B6" s="26" t="inlineStr">
        <is>
          <t>Brand name</t>
        </is>
      </c>
      <c r="C6" s="69" t="inlineStr">
        <is>
          <t>Northport Goods</t>
        </is>
      </c>
      <c r="E6" s="9" t="inlineStr">
        <is>
          <t>Channel</t>
        </is>
      </c>
      <c r="F6" s="9" t="inlineStr">
        <is>
          <t>Stock status</t>
        </is>
      </c>
      <c r="G6" s="9" t="inlineStr">
        <is>
          <t>Return reason</t>
        </is>
      </c>
      <c r="H6" s="9" t="inlineStr">
        <is>
          <t>Yes / No</t>
        </is>
      </c>
    </row>
    <row r="7">
      <c r="B7" s="26" t="inlineStr">
        <is>
          <t>Owner</t>
        </is>
      </c>
      <c r="C7" s="69" t="inlineStr">
        <is>
          <t>Sam</t>
        </is>
      </c>
      <c r="E7" s="20" t="inlineStr">
        <is>
          <t>Amazon FBA</t>
        </is>
      </c>
      <c r="F7" s="20" t="inlineStr">
        <is>
          <t>In stock</t>
        </is>
      </c>
      <c r="G7" s="20" t="inlineStr">
        <is>
          <t>Damaged</t>
        </is>
      </c>
      <c r="H7" s="20" t="inlineStr">
        <is>
          <t>Yes</t>
        </is>
      </c>
    </row>
    <row r="8">
      <c r="B8" s="26" t="inlineStr">
        <is>
          <t>Referral fee rate</t>
        </is>
      </c>
      <c r="C8" s="70" t="n">
        <v>0.15</v>
      </c>
      <c r="E8" s="20" t="inlineStr">
        <is>
          <t>Amazon FBM</t>
        </is>
      </c>
      <c r="F8" s="20" t="inlineStr">
        <is>
          <t>Low</t>
        </is>
      </c>
      <c r="G8" s="20" t="inlineStr">
        <is>
          <t>Wrong item</t>
        </is>
      </c>
      <c r="H8" s="20" t="inlineStr">
        <is>
          <t>No</t>
        </is>
      </c>
    </row>
    <row r="9">
      <c r="B9" s="26" t="inlineStr">
        <is>
          <t>Net-margin goal</t>
        </is>
      </c>
      <c r="C9" s="70" t="n">
        <v>0.3</v>
      </c>
      <c r="E9" s="20" t="inlineStr">
        <is>
          <t>Shopify</t>
        </is>
      </c>
      <c r="F9" s="20" t="inlineStr">
        <is>
          <t>Reorder now</t>
        </is>
      </c>
      <c r="G9" s="20" t="inlineStr">
        <is>
          <t>Didn't fit</t>
        </is>
      </c>
    </row>
    <row r="10">
      <c r="B10" s="26" t="inlineStr">
        <is>
          <t>ROI goal</t>
        </is>
      </c>
      <c r="C10" s="70" t="n">
        <v>1</v>
      </c>
      <c r="E10" s="20" t="inlineStr">
        <is>
          <t>Walmart</t>
        </is>
      </c>
      <c r="F10" s="20" t="inlineStr">
        <is>
          <t>Out of stock</t>
        </is>
      </c>
      <c r="G10" s="20" t="inlineStr">
        <is>
          <t>Changed mind</t>
        </is>
      </c>
    </row>
    <row r="11">
      <c r="B11" s="26" t="inlineStr">
        <is>
          <t>ACoS goal (max)</t>
        </is>
      </c>
      <c r="C11" s="70" t="n">
        <v>0.25</v>
      </c>
      <c r="E11" s="20" t="inlineStr">
        <is>
          <t>eBay</t>
        </is>
      </c>
      <c r="G11" s="20" t="inlineStr">
        <is>
          <t>Defective</t>
        </is>
      </c>
    </row>
    <row r="12">
      <c r="B12" s="26" t="inlineStr">
        <is>
          <t>Days-of-cover goal</t>
        </is>
      </c>
      <c r="C12" s="71" t="n">
        <v>60</v>
      </c>
      <c r="E12" s="20" t="inlineStr">
        <is>
          <t>Etsy</t>
        </is>
      </c>
      <c r="G12" s="20" t="inlineStr">
        <is>
          <t>Other</t>
        </is>
      </c>
    </row>
    <row r="13">
      <c r="B13" s="26" t="inlineStr">
        <is>
          <t>Reviews-per-SKU goal</t>
        </is>
      </c>
      <c r="C13" s="71" t="n">
        <v>10</v>
      </c>
    </row>
    <row r="14">
      <c r="B14" s="26" t="inlineStr">
        <is>
          <t>SKU count goal</t>
        </is>
      </c>
      <c r="C14" s="71" t="n">
        <v>8</v>
      </c>
    </row>
    <row r="15">
      <c r="B15" s="26" t="inlineStr">
        <is>
          <t>Ad spend (month)</t>
        </is>
      </c>
      <c r="C15" s="50" t="n">
        <v>1200</v>
      </c>
    </row>
    <row r="16">
      <c r="B16" s="26" t="inlineStr">
        <is>
          <t>Ad-attributed sales</t>
        </is>
      </c>
      <c r="C16" s="50" t="n">
        <v>6000</v>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2026-07-26T17:31:30Z</dcterms:created>
  <dcterms:modified xsi:type="dcterms:W3CDTF">2026-07-26T17:31:30Z</dcterms:modified>
</cp:coreProperties>
</file>