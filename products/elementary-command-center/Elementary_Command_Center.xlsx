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tudent Profiles" sheetId="3" state="visible" r:id="rId3"/>
    <sheet name="Weekly Plan" sheetId="4" state="visible" r:id="rId4"/>
    <sheet name="Subject Mastery" sheetId="5" state="visible" r:id="rId5"/>
    <sheet name="Math Facts" sheetId="6" state="visible" r:id="rId6"/>
    <sheet name="Sight Words" sheetId="7" state="visible" r:id="rId7"/>
    <sheet name="Reading Log" sheetId="8" state="visible" r:id="rId8"/>
    <sheet name="Assignments" sheetId="9" state="visible" r:id="rId9"/>
    <sheet name="Report Card" sheetId="10" state="visible" r:id="rId10"/>
    <sheet name="Attendance" sheetId="11" state="visible" r:id="rId11"/>
    <sheet name="Curriculum" sheetId="12" state="visible" r:id="rId12"/>
    <sheet name="Field Trips" sheetId="13" state="visible" r:id="rId13"/>
    <sheet name="Habits" sheetId="14" state="visible" r:id="rId14"/>
    <sheet name="Awards" sheetId="15" state="visible" r:id="rId15"/>
    <sheet name="Book List" sheetId="16" state="visible" r:id="rId16"/>
    <sheet name="Settings" sheetId="17" state="visible" r:id="rId17"/>
  </sheets>
  <definedNames>
    <definedName name="FamilyName">Settings!$C$6</definedName>
    <definedName name="SchoolYear">Settings!$C$7</definedName>
    <definedName name="Students">Settings!$C$8</definedName>
    <definedName name="Subjects">Settings!$C$9</definedName>
    <definedName name="DaysRequired">Settings!$C$10</definedName>
    <definedName name="ReadingGoal">Settings!$C$11</definedName>
    <definedName name="BooksRead">Settings!$C$12</definedName>
    <definedName name="SightWordsKnown">Settings!$C$13</definedName>
    <definedName name="SightWordGoal">Settings!$C$14</definedName>
    <definedName name="SubjectList">Settings!$E$7:$E$14</definedName>
    <definedName name="MasteryList">Settings!$F$7:$F$9</definedName>
    <definedName name="GradedList">Settings!$G$7:$G$9</definedName>
    <definedName name="StatusList">Settings!$H$7:$H$9</definedName>
    <definedName name="AcquiredList">Settings!$I$7:$I$9</definedName>
    <definedName name="GradeList">Settings!$J$7:$J$12</definedName>
    <definedName name="YesNoList">Settings!$K$7:$K$8</definedName>
    <definedName name="MasterySubject">'Subject Mastery'!$A$5:$A$44</definedName>
    <definedName name="MasteryName">'Subject Mastery'!$B$5:$B$44</definedName>
    <definedName name="MasteryStatus">'Subject Mastery'!$D$5:$D$44</definedName>
    <definedName name="SubjSumLabels">'Subject Mastery'!$B$47:$B$54</definedName>
    <definedName name="SubjSumVals">'Subject Mastery'!$C$47:$C$54</definedName>
    <definedName name="MathPct">'Math Facts'!$D$5:$D$10</definedName>
    <definedName name="MathAvg">'Math Facts'!$D$11</definedName>
    <definedName name="SWKnown">'Sight Words'!$D$5:$D$10</definedName>
    <definedName name="SWTotal">'Sight Words'!$E$5:$E$10</definedName>
    <definedName name="AssignName">'Assignments'!$D$5:$D$64</definedName>
    <definedName name="AssignGraded">'Assignments'!$F$5:$F$64</definedName>
    <definedName name="AttDays">'Attendance'!$B$5:$B$44</definedName>
    <definedName name="DaysDone">'Attendance'!$B$45</definedName>
    <definedName name="TripName">'Field Trips'!$B$5:$B$34</definedName>
    <definedName name="HabitDone">'Habits'!$B$5:$B$24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color rgb="00333333"/>
      <sz val="11"/>
    </font>
    <font>
      <b val="1"/>
      <color rgb="001B4F48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</cellStyleXfs>
  <cellXfs count="45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0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2" fillId="8" borderId="4" applyAlignment="1" pivotButton="0" quotePrefix="0" xfId="0">
      <alignment horizontal="center" vertical="center"/>
    </xf>
    <xf numFmtId="0" fontId="0" fillId="8" borderId="4" pivotButton="0" quotePrefix="0" xfId="0"/>
    <xf numFmtId="3" fontId="13" fillId="8" borderId="2" applyAlignment="1" pivotButton="0" quotePrefix="0" xfId="0">
      <alignment horizontal="center" vertical="center"/>
    </xf>
    <xf numFmtId="0" fontId="0" fillId="8" borderId="2" pivotButton="0" quotePrefix="0" xfId="0"/>
    <xf numFmtId="9" fontId="13" fillId="8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9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6" fillId="3" borderId="2" applyAlignment="1" pivotButton="0" quotePrefix="0" xfId="7">
      <alignment horizontal="left" vertical="center" wrapText="1" indent="1"/>
    </xf>
    <xf numFmtId="0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3" fontId="6" fillId="0" borderId="2" applyAlignment="1" pivotButton="0" quotePrefix="0" xfId="6">
      <alignment horizontal="center" vertical="center" wrapText="1"/>
    </xf>
    <xf numFmtId="9" fontId="7" fillId="3" borderId="2" applyAlignment="1" pivotButton="0" quotePrefix="0" xfId="8">
      <alignment horizontal="center" vertical="center"/>
    </xf>
    <xf numFmtId="9" fontId="7" fillId="9" borderId="2" applyAlignment="1" pivotButton="0" quotePrefix="0" xfId="8">
      <alignment horizontal="center" vertical="center"/>
    </xf>
    <xf numFmtId="0" fontId="6" fillId="3" borderId="2" applyAlignment="1" pivotButton="0" quotePrefix="0" xfId="6">
      <alignment horizontal="center" vertical="center" wrapText="1"/>
    </xf>
    <xf numFmtId="9" fontId="11" fillId="3" borderId="2" applyAlignment="1" pivotButton="0" quotePrefix="0" xfId="6">
      <alignment horizontal="center" vertical="center" wrapText="1"/>
    </xf>
    <xf numFmtId="3" fontId="7" fillId="3" borderId="2" applyAlignment="1" pivotButton="0" quotePrefix="0" xfId="8">
      <alignment horizontal="center" vertical="center"/>
    </xf>
    <xf numFmtId="3" fontId="7" fillId="9" borderId="2" applyAlignment="1" pivotButton="0" quotePrefix="0" xfId="8">
      <alignment horizontal="center" vertical="center"/>
    </xf>
    <xf numFmtId="165" fontId="6" fillId="8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0" fontId="7" fillId="9" borderId="2" applyAlignment="1" pivotButton="0" quotePrefix="0" xfId="8">
      <alignment horizontal="center" vertical="center"/>
    </xf>
    <xf numFmtId="3" fontId="6" fillId="8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3" fontId="11" fillId="3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1" fontId="7" fillId="3" borderId="2" applyAlignment="1" pivotButton="0" quotePrefix="0" xfId="8">
      <alignment horizontal="center" vertical="center"/>
    </xf>
  </cellXfs>
  <cellStyles count="13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</cellStyles>
  <dxfs count="4"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Skills Mastered by Subject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'Subject Mastery'!$B$47:$B$54</f>
            </numRef>
          </cat>
          <val>
            <numRef>
              <f>'Subject Mastery'!$C$47:$C$54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✏  ELEMENTARY COMMAND CENTER™</t>
        </is>
      </c>
    </row>
    <row r="2" ht="24" customHeight="1">
      <c r="A2" s="2" t="inlineStr">
        <is>
          <t xml:space="preserve">  Grades K–5, one calm system — plan the week, track mastery, celebrate every win.</t>
        </is>
      </c>
    </row>
    <row r="3" ht="6" customHeight="1">
      <c r="A3" s="3" t="n"/>
      <c r="B3" s="3" t="n"/>
      <c r="C3" s="3" t="n"/>
    </row>
    <row r="5">
      <c r="B5" s="4" t="inlineStr">
        <is>
          <t>YOUR WHOLE ELEMENTARY YEAR, IN ONE PLACE</t>
        </is>
      </c>
    </row>
    <row r="6" ht="22" customHeight="1">
      <c r="B6" s="5" t="inlineStr">
        <is>
          <t>A weekly lesson plan, a subject-mastery tracker, reading log &amp; levels, sight words &amp; spelling, math-facts fluency, assignments &amp; grades, a print-ready report card, attendance, curriculum, field trips, habits &amp; character, awards and a book list — all in ONE premium Google Sheets &amp; Excel system. A profile for every child and a live dashboard that shows exactly where each one is thriving and what to work on next. Built for the elementary years (grades K–5), any method.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family, students &amp; goals.</t>
        </is>
      </c>
    </row>
    <row r="13" ht="22" customHeight="1">
      <c r="B13" s="8" t="inlineStr">
        <is>
          <t>2.  Fill a Student Profile for each child — grade, reading level, strengths.</t>
        </is>
      </c>
    </row>
    <row r="14" ht="22" customHeight="1">
      <c r="B14" s="8" t="inlineStr">
        <is>
          <t>3.  Map the Weekly Lesson Plan and load Curriculum &amp; Resources.</t>
        </is>
      </c>
    </row>
    <row r="15" ht="22" customHeight="1">
      <c r="B15" s="8" t="inlineStr">
        <is>
          <t>4.  Track Subject Mastery, Math Facts &amp; Sight Words as skills click.</t>
        </is>
      </c>
    </row>
    <row r="16" ht="22" customHeight="1">
      <c r="B16" s="8" t="inlineStr">
        <is>
          <t>5.  Log reading, grade assignments and update the Report Card.</t>
        </is>
      </c>
    </row>
    <row r="17" ht="22" customHeight="1">
      <c r="B17" s="8" t="inlineStr">
        <is>
          <t>6.  Watch the Dashboard track mastery, facts, reading &amp; an On-Track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the Bennett family (Lucy, grade 3, and Jack, grade 1) is included so you can see how it all connects — just type over it with your own. Subject mastery, math facts, sight words, reading and graded work roll up into a live On-Track Score. Twelve matching printable pages (weekly plan, mastery checklist, math-facts chart, reading log, report card &amp; more) are included to print and keep. Every child grows at their own pace — use this as an encouraging guide, and confirm your state's rules.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See what's mastered and what's next — teach with confidence.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✏  ELEMENTARY COMMAND CENTER™</t>
        </is>
      </c>
    </row>
    <row r="2" ht="24" customHeight="1">
      <c r="A2" s="2" t="inlineStr">
        <is>
          <t xml:space="preserve">  Mastery, math facts, reading &amp; report cards — your whole K–5 year,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STUDENTS</t>
        </is>
      </c>
      <c r="C5" s="13" t="n"/>
      <c r="D5" s="12" t="inlineStr">
        <is>
          <t>SCHOOL DAYS</t>
        </is>
      </c>
      <c r="E5" s="13" t="n"/>
      <c r="F5" s="12" t="inlineStr">
        <is>
          <t>SUBJECTS</t>
        </is>
      </c>
      <c r="G5" s="13" t="n"/>
      <c r="H5" s="12" t="inlineStr">
        <is>
          <t>SKILLS MASTERED</t>
        </is>
      </c>
      <c r="I5" s="13" t="n"/>
      <c r="J5" s="12" t="inlineStr">
        <is>
          <t>MATH FACTS</t>
        </is>
      </c>
      <c r="K5" s="13" t="n"/>
      <c r="L5" s="12" t="inlineStr">
        <is>
          <t>SIGHT WORDS</t>
        </is>
      </c>
      <c r="M5" s="13" t="n"/>
    </row>
    <row r="6" ht="40" customHeight="1">
      <c r="B6" s="14">
        <f>Students</f>
        <v/>
      </c>
      <c r="C6" s="15" t="n"/>
      <c r="D6" s="14">
        <f>DaysDone</f>
        <v/>
      </c>
      <c r="E6" s="15" t="n"/>
      <c r="F6" s="14">
        <f>Subjects</f>
        <v/>
      </c>
      <c r="G6" s="15" t="n"/>
      <c r="H6" s="14">
        <f>COUNTIF(MasteryStatus,"Mastered")</f>
        <v/>
      </c>
      <c r="I6" s="15" t="n"/>
      <c r="J6" s="16">
        <f>MathAvg</f>
        <v/>
      </c>
      <c r="K6" s="15" t="n"/>
      <c r="L6" s="14">
        <f>SightWordsKnown</f>
        <v/>
      </c>
      <c r="M6" s="15" t="n"/>
    </row>
    <row r="8" ht="18" customHeight="1">
      <c r="B8" s="12" t="inlineStr">
        <is>
          <t>BOOKS READ</t>
        </is>
      </c>
      <c r="C8" s="13" t="n"/>
      <c r="D8" s="12" t="inlineStr">
        <is>
          <t>GRADED</t>
        </is>
      </c>
      <c r="E8" s="13" t="n"/>
      <c r="F8" s="12" t="inlineStr">
        <is>
          <t>FIELD TRIPS</t>
        </is>
      </c>
      <c r="G8" s="13" t="n"/>
      <c r="H8" s="12" t="inlineStr">
        <is>
          <t>HABITS</t>
        </is>
      </c>
      <c r="I8" s="13" t="n"/>
      <c r="J8" s="12" t="inlineStr">
        <is>
          <t>MASTERY</t>
        </is>
      </c>
      <c r="K8" s="13" t="n"/>
      <c r="L8" s="12" t="inlineStr">
        <is>
          <t>ON-TRACK</t>
        </is>
      </c>
      <c r="M8" s="13" t="n"/>
    </row>
    <row r="9" ht="40" customHeight="1">
      <c r="B9" s="14">
        <f>BooksRead</f>
        <v/>
      </c>
      <c r="C9" s="15" t="n"/>
      <c r="D9" s="16">
        <f>IFERROR(COUNTIF(AssignGraded,"Graded")/COUNTA(AssignName),0)</f>
        <v/>
      </c>
      <c r="E9" s="15" t="n"/>
      <c r="F9" s="14">
        <f>COUNTA(TripName)</f>
        <v/>
      </c>
      <c r="G9" s="15" t="n"/>
      <c r="H9" s="16">
        <f>IFERROR(COUNTIF(HabitDone,"Yes")/COUNTA(HabitDone),0)</f>
        <v/>
      </c>
      <c r="I9" s="15" t="n"/>
      <c r="J9" s="16">
        <f>IFERROR(COUNTIF(MasteryStatus,"Mastered")/COUNTA(MasteryName),0)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ARE WE ON TRACK?</t>
        </is>
      </c>
      <c r="H11" s="4" t="inlineStr">
        <is>
          <t>SKILLS MASTERED BY SUBJECT</t>
        </is>
      </c>
    </row>
    <row r="12" ht="30" customHeight="1">
      <c r="B12" s="9" t="inlineStr">
        <is>
          <t>Area</t>
        </is>
      </c>
      <c r="C12" s="9" t="inlineStr">
        <is>
          <t>Progress</t>
        </is>
      </c>
      <c r="D12" s="9" t="inlineStr">
        <is>
          <t>Status</t>
        </is>
      </c>
    </row>
    <row r="13">
      <c r="B13" s="17" t="inlineStr">
        <is>
          <t>Skills mastered</t>
        </is>
      </c>
      <c r="C13" s="18">
        <f>IFERROR(COUNTIF(MasteryStatus,"Mastered")/COUNTA(MasteryName),0)</f>
        <v/>
      </c>
      <c r="D13" s="19">
        <f>IF(C13&gt;=0.85,"On track",IF(C13&gt;=0.6,"Going well","Focus"))</f>
        <v/>
      </c>
    </row>
    <row r="14">
      <c r="B14" s="20" t="inlineStr">
        <is>
          <t>Math facts fluency</t>
        </is>
      </c>
      <c r="C14" s="21">
        <f>MathAvg</f>
        <v/>
      </c>
      <c r="D14" s="22">
        <f>IF(C14&gt;=0.85,"On track",IF(C14&gt;=0.6,"Going well","Focus"))</f>
        <v/>
      </c>
    </row>
    <row r="15">
      <c r="B15" s="17" t="inlineStr">
        <is>
          <t>Sight words</t>
        </is>
      </c>
      <c r="C15" s="18">
        <f>IFERROR(SightWordsKnown/SightWordGoal,0)</f>
        <v/>
      </c>
      <c r="D15" s="19">
        <f>IF(C15&gt;=0.85,"On track",IF(C15&gt;=0.6,"Going well","Focus"))</f>
        <v/>
      </c>
    </row>
    <row r="16">
      <c r="B16" s="20" t="inlineStr">
        <is>
          <t>Assignments graded</t>
        </is>
      </c>
      <c r="C16" s="21">
        <f>IFERROR(COUNTIF(AssignGraded,"Graded")/COUNTA(AssignName),0)</f>
        <v/>
      </c>
      <c r="D16" s="22">
        <f>IF(C16&gt;=0.85,"On track",IF(C16&gt;=0.6,"Going well","Focus"))</f>
        <v/>
      </c>
    </row>
    <row r="17">
      <c r="B17" s="17" t="inlineStr">
        <is>
          <t>Reading goal</t>
        </is>
      </c>
      <c r="C17" s="18">
        <f>IFERROR(BooksRead/ReadingGoal,0)</f>
        <v/>
      </c>
      <c r="D17" s="19">
        <f>IF(C17&gt;=0.85,"On track",IF(C17&gt;=0.6,"Going well","Focus"))</f>
        <v/>
      </c>
    </row>
    <row r="18">
      <c r="B18" s="20" t="inlineStr">
        <is>
          <t>Habits &amp; character</t>
        </is>
      </c>
      <c r="C18" s="21">
        <f>IFERROR(COUNTIF(HabitDone,"Yes")/COUNTA(HabitDone),0)</f>
        <v/>
      </c>
      <c r="D18" s="22">
        <f>IF(C18&gt;=0.85,"On track",IF(C18&gt;=0.6,"Going well","Focus"))</f>
        <v/>
      </c>
    </row>
    <row r="21" ht="26" customHeight="1">
      <c r="B21" s="2" t="inlineStr">
        <is>
          <t>Elementary Command Center™ — see what's mastered, teach what's next. Edit anything in Settings.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22" customWidth="1" min="3" max="3"/>
    <col width="4" customWidth="1" min="4" max="4"/>
    <col width="18" customWidth="1" min="5" max="5"/>
    <col width="18" customWidth="1" min="6" max="6"/>
    <col width="2" customWidth="1" min="7" max="7"/>
  </cols>
  <sheetData>
    <row r="1" ht="46" customHeight="1">
      <c r="A1" s="1" t="inlineStr">
        <is>
          <t xml:space="preserve">  🧑‍🎓  STUDENT PROFILES</t>
        </is>
      </c>
    </row>
    <row r="2" ht="22" customHeight="1">
      <c r="A2" s="2" t="inlineStr">
        <is>
          <t xml:space="preserve">  A profile for every child — grade, reading level, strengths &amp; what's next.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Lucy Bennett</t>
        </is>
      </c>
    </row>
    <row r="6" ht="22" customHeight="1">
      <c r="B6" s="23" t="inlineStr">
        <is>
          <t>Grade</t>
        </is>
      </c>
      <c r="C6" s="24" t="inlineStr">
        <is>
          <t>3</t>
        </is>
      </c>
      <c r="E6" s="23" t="inlineStr">
        <is>
          <t>Age</t>
        </is>
      </c>
      <c r="F6" s="24" t="n">
        <v>8</v>
      </c>
    </row>
    <row r="7" ht="22" customHeight="1">
      <c r="B7" s="23" t="inlineStr">
        <is>
          <t>Reading level</t>
        </is>
      </c>
      <c r="C7" s="24" t="inlineStr">
        <is>
          <t>Level P reader</t>
        </is>
      </c>
      <c r="E7" s="23" t="inlineStr">
        <is>
          <t>Strengths</t>
        </is>
      </c>
      <c r="F7" s="24" t="inlineStr">
        <is>
          <t>Loves reading &amp; science · strong writer</t>
        </is>
      </c>
    </row>
    <row r="8" ht="22" customHeight="1">
      <c r="B8" s="23" t="inlineStr">
        <is>
          <t>Working on</t>
        </is>
      </c>
      <c r="C8" s="24" t="inlineStr">
        <is>
          <t>See Mastery tab</t>
        </is>
      </c>
      <c r="E8" s="23" t="inlineStr">
        <is>
          <t>Math facts</t>
        </is>
      </c>
      <c r="F8" s="24" t="inlineStr">
        <is>
          <t>See Math Facts tab</t>
        </is>
      </c>
    </row>
    <row r="9" ht="22" customHeight="1">
      <c r="B9" s="23" t="inlineStr">
        <is>
          <t>Curriculum</t>
        </is>
      </c>
      <c r="C9" s="24" t="inlineStr">
        <is>
          <t>See Curriculum tab</t>
        </is>
      </c>
      <c r="E9" s="23" t="inlineStr">
        <is>
          <t>Favorite subject</t>
        </is>
      </c>
      <c r="F9" s="24" t="inlineStr">
        <is>
          <t>—</t>
        </is>
      </c>
    </row>
    <row r="10" ht="22" customHeight="1">
      <c r="B10" s="23" t="inlineStr">
        <is>
          <t>Interests</t>
        </is>
      </c>
      <c r="C10" s="24" t="inlineStr">
        <is>
          <t>—</t>
        </is>
      </c>
      <c r="E10" s="23" t="inlineStr">
        <is>
          <t>Big goal</t>
        </is>
      </c>
      <c r="F10" s="24" t="inlineStr">
        <is>
          <t>See Awards tab</t>
        </is>
      </c>
    </row>
    <row r="12" ht="22" customHeight="1">
      <c r="B12" s="4" t="inlineStr">
        <is>
          <t>Jack Bennett</t>
        </is>
      </c>
    </row>
    <row r="13" ht="22" customHeight="1">
      <c r="B13" s="23" t="inlineStr">
        <is>
          <t>Grade</t>
        </is>
      </c>
      <c r="C13" s="24" t="inlineStr">
        <is>
          <t>1</t>
        </is>
      </c>
      <c r="E13" s="23" t="inlineStr">
        <is>
          <t>Age</t>
        </is>
      </c>
      <c r="F13" s="24" t="n">
        <v>6</v>
      </c>
    </row>
    <row r="14" ht="22" customHeight="1">
      <c r="B14" s="23" t="inlineStr">
        <is>
          <t>Reading level</t>
        </is>
      </c>
      <c r="C14" s="24" t="inlineStr">
        <is>
          <t>Level E reader</t>
        </is>
      </c>
      <c r="E14" s="23" t="inlineStr">
        <is>
          <t>Strengths</t>
        </is>
      </c>
      <c r="F14" s="24" t="inlineStr">
        <is>
          <t>Hands-on · learning to read · loves math</t>
        </is>
      </c>
    </row>
    <row r="15" ht="22" customHeight="1">
      <c r="B15" s="23" t="inlineStr">
        <is>
          <t>Working on</t>
        </is>
      </c>
      <c r="C15" s="24" t="inlineStr">
        <is>
          <t>See Mastery tab</t>
        </is>
      </c>
      <c r="E15" s="23" t="inlineStr">
        <is>
          <t>Math facts</t>
        </is>
      </c>
      <c r="F15" s="24" t="inlineStr">
        <is>
          <t>See Math Facts tab</t>
        </is>
      </c>
    </row>
    <row r="16" ht="22" customHeight="1">
      <c r="B16" s="23" t="inlineStr">
        <is>
          <t>Curriculum</t>
        </is>
      </c>
      <c r="C16" s="24" t="inlineStr">
        <is>
          <t>See Curriculum tab</t>
        </is>
      </c>
      <c r="E16" s="23" t="inlineStr">
        <is>
          <t>Favorite subject</t>
        </is>
      </c>
      <c r="F16" s="24" t="inlineStr">
        <is>
          <t>—</t>
        </is>
      </c>
    </row>
    <row r="17" ht="22" customHeight="1">
      <c r="B17" s="23" t="inlineStr">
        <is>
          <t>Interests</t>
        </is>
      </c>
      <c r="C17" s="24" t="inlineStr">
        <is>
          <t>—</t>
        </is>
      </c>
      <c r="E17" s="23" t="inlineStr">
        <is>
          <t>Big goal</t>
        </is>
      </c>
      <c r="F17" s="24" t="inlineStr">
        <is>
          <t>See Awards tab</t>
        </is>
      </c>
    </row>
  </sheetData>
  <mergeCells count="4">
    <mergeCell ref="A2:G2"/>
    <mergeCell ref="A1:G1"/>
    <mergeCell ref="B12:F12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46" customHeight="1">
      <c r="A1" s="1" t="inlineStr">
        <is>
          <t xml:space="preserve">  🗓  WEEKLY LESSON PLAN</t>
        </is>
      </c>
    </row>
    <row r="2" ht="22" customHeight="1">
      <c r="A2" s="2" t="inlineStr">
        <is>
          <t xml:space="preserve">  Map the week, subject by subject — then check it off as you teach.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B4" s="9" t="inlineStr">
        <is>
          <t>Subject</t>
        </is>
      </c>
      <c r="C4" s="9" t="inlineStr">
        <is>
          <t>Monday</t>
        </is>
      </c>
      <c r="D4" s="9" t="inlineStr">
        <is>
          <t>Tuesday</t>
        </is>
      </c>
      <c r="E4" s="9" t="inlineStr">
        <is>
          <t>Wednesday</t>
        </is>
      </c>
      <c r="F4" s="9" t="inlineStr">
        <is>
          <t>Thursday</t>
        </is>
      </c>
      <c r="G4" s="9" t="inlineStr">
        <is>
          <t>Friday</t>
        </is>
      </c>
    </row>
    <row r="5">
      <c r="B5" s="25" t="inlineStr">
        <is>
          <t>Math</t>
        </is>
      </c>
      <c r="C5" s="26" t="inlineStr"/>
      <c r="D5" s="26" t="inlineStr"/>
      <c r="E5" s="26" t="inlineStr"/>
      <c r="F5" s="26" t="inlineStr"/>
      <c r="G5" s="26" t="inlineStr"/>
    </row>
    <row r="6">
      <c r="B6" s="25" t="inlineStr">
        <is>
          <t>Reading</t>
        </is>
      </c>
      <c r="C6" s="22" t="inlineStr"/>
      <c r="D6" s="22" t="inlineStr"/>
      <c r="E6" s="22" t="inlineStr"/>
      <c r="F6" s="22" t="inlineStr"/>
      <c r="G6" s="22" t="inlineStr"/>
    </row>
    <row r="7">
      <c r="B7" s="25" t="inlineStr">
        <is>
          <t>Writing</t>
        </is>
      </c>
      <c r="C7" s="26" t="inlineStr"/>
      <c r="D7" s="26" t="inlineStr"/>
      <c r="E7" s="26" t="inlineStr"/>
      <c r="F7" s="26" t="inlineStr"/>
      <c r="G7" s="26" t="inlineStr"/>
    </row>
    <row r="8">
      <c r="B8" s="25" t="inlineStr">
        <is>
          <t>Spelling</t>
        </is>
      </c>
      <c r="C8" s="22" t="inlineStr"/>
      <c r="D8" s="22" t="inlineStr"/>
      <c r="E8" s="22" t="inlineStr"/>
      <c r="F8" s="22" t="inlineStr"/>
      <c r="G8" s="22" t="inlineStr"/>
    </row>
    <row r="9">
      <c r="B9" s="25" t="inlineStr">
        <is>
          <t>Science</t>
        </is>
      </c>
      <c r="C9" s="26" t="inlineStr"/>
      <c r="D9" s="26" t="inlineStr"/>
      <c r="E9" s="26" t="inlineStr"/>
      <c r="F9" s="26" t="inlineStr"/>
      <c r="G9" s="26" t="inlineStr"/>
    </row>
    <row r="10">
      <c r="B10" s="25" t="inlineStr">
        <is>
          <t>Social Studies</t>
        </is>
      </c>
      <c r="C10" s="22" t="inlineStr"/>
      <c r="D10" s="22" t="inlineStr"/>
      <c r="E10" s="22" t="inlineStr"/>
      <c r="F10" s="22" t="inlineStr"/>
      <c r="G10" s="22" t="inlineStr"/>
    </row>
    <row r="11">
      <c r="B11" s="25" t="inlineStr">
        <is>
          <t>Art</t>
        </is>
      </c>
      <c r="C11" s="26" t="inlineStr"/>
      <c r="D11" s="26" t="inlineStr"/>
      <c r="E11" s="26" t="inlineStr"/>
      <c r="F11" s="26" t="inlineStr"/>
      <c r="G11" s="26" t="inlineStr"/>
    </row>
    <row r="12">
      <c r="B12" s="25" t="inlineStr">
        <is>
          <t>PE</t>
        </is>
      </c>
      <c r="C12" s="22" t="inlineStr"/>
      <c r="D12" s="22" t="inlineStr"/>
      <c r="E12" s="22" t="inlineStr"/>
      <c r="F12" s="22" t="inlineStr"/>
      <c r="G12" s="22" t="inlineStr"/>
    </row>
    <row r="14">
      <c r="B14" s="4" t="inlineStr">
        <is>
          <t>Tip: block by subject or by child. Fill lessons here, then track what's mastered on the Mastery tab.</t>
        </is>
      </c>
    </row>
  </sheetData>
  <mergeCells count="3">
    <mergeCell ref="B14:G14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4" customWidth="1" min="3" max="3"/>
    <col width="14" customWidth="1" min="4" max="4"/>
  </cols>
  <sheetData>
    <row r="1" ht="46" customHeight="1">
      <c r="A1" s="1" t="inlineStr">
        <is>
          <t xml:space="preserve">  🎯  SUBJECT MASTERY</t>
        </is>
      </c>
    </row>
    <row r="2" ht="22" customHeight="1">
      <c r="A2" s="2" t="inlineStr">
        <is>
          <t xml:space="preserve">  The skills that matter this year — per subject &amp; student, marked Mastered, Practicing or Not Yet.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Subject</t>
        </is>
      </c>
      <c r="B4" s="9" t="inlineStr">
        <is>
          <t>Skill</t>
        </is>
      </c>
      <c r="C4" s="9" t="inlineStr">
        <is>
          <t>Student</t>
        </is>
      </c>
      <c r="D4" s="9" t="inlineStr">
        <is>
          <t>Status</t>
        </is>
      </c>
    </row>
    <row r="5">
      <c r="A5" s="26" t="inlineStr">
        <is>
          <t>Math</t>
        </is>
      </c>
      <c r="B5" s="27" t="inlineStr">
        <is>
          <t>Add &amp; subtract within 1,000</t>
        </is>
      </c>
      <c r="C5" s="26" t="inlineStr">
        <is>
          <t>Lucy</t>
        </is>
      </c>
      <c r="D5" s="26" t="inlineStr">
        <is>
          <t>Mastered</t>
        </is>
      </c>
    </row>
    <row r="6">
      <c r="A6" s="22" t="inlineStr">
        <is>
          <t>Math</t>
        </is>
      </c>
      <c r="B6" s="20" t="inlineStr">
        <is>
          <t>Multiplication facts to 12</t>
        </is>
      </c>
      <c r="C6" s="22" t="inlineStr">
        <is>
          <t>Lucy</t>
        </is>
      </c>
      <c r="D6" s="22" t="inlineStr">
        <is>
          <t>Practicing</t>
        </is>
      </c>
    </row>
    <row r="7">
      <c r="A7" s="26" t="inlineStr">
        <is>
          <t>Math</t>
        </is>
      </c>
      <c r="B7" s="27" t="inlineStr">
        <is>
          <t>Fractions on a number line</t>
        </is>
      </c>
      <c r="C7" s="26" t="inlineStr">
        <is>
          <t>Lucy</t>
        </is>
      </c>
      <c r="D7" s="26" t="inlineStr">
        <is>
          <t>Practicing</t>
        </is>
      </c>
    </row>
    <row r="8">
      <c r="A8" s="22" t="inlineStr">
        <is>
          <t>Math</t>
        </is>
      </c>
      <c r="B8" s="20" t="inlineStr">
        <is>
          <t>Tell time to the minute</t>
        </is>
      </c>
      <c r="C8" s="22" t="inlineStr">
        <is>
          <t>Lucy</t>
        </is>
      </c>
      <c r="D8" s="22" t="inlineStr">
        <is>
          <t>Mastered</t>
        </is>
      </c>
    </row>
    <row r="9">
      <c r="A9" s="26" t="inlineStr">
        <is>
          <t>Math</t>
        </is>
      </c>
      <c r="B9" s="27" t="inlineStr">
        <is>
          <t>Count &amp; add within 20</t>
        </is>
      </c>
      <c r="C9" s="26" t="inlineStr">
        <is>
          <t>Jack</t>
        </is>
      </c>
      <c r="D9" s="26" t="inlineStr">
        <is>
          <t>Mastered</t>
        </is>
      </c>
    </row>
    <row r="10">
      <c r="A10" s="22" t="inlineStr">
        <is>
          <t>Math</t>
        </is>
      </c>
      <c r="B10" s="20" t="inlineStr">
        <is>
          <t>Place value to 100</t>
        </is>
      </c>
      <c r="C10" s="22" t="inlineStr">
        <is>
          <t>Jack</t>
        </is>
      </c>
      <c r="D10" s="22" t="inlineStr">
        <is>
          <t>Practicing</t>
        </is>
      </c>
    </row>
    <row r="11">
      <c r="A11" s="26" t="inlineStr">
        <is>
          <t>Reading</t>
        </is>
      </c>
      <c r="B11" s="27" t="inlineStr">
        <is>
          <t>Read grade-level text fluently</t>
        </is>
      </c>
      <c r="C11" s="26" t="inlineStr">
        <is>
          <t>Lucy</t>
        </is>
      </c>
      <c r="D11" s="26" t="inlineStr">
        <is>
          <t>Mastered</t>
        </is>
      </c>
    </row>
    <row r="12">
      <c r="A12" s="22" t="inlineStr">
        <is>
          <t>Reading</t>
        </is>
      </c>
      <c r="B12" s="20" t="inlineStr">
        <is>
          <t>Find the main idea</t>
        </is>
      </c>
      <c r="C12" s="22" t="inlineStr">
        <is>
          <t>Lucy</t>
        </is>
      </c>
      <c r="D12" s="22" t="inlineStr">
        <is>
          <t>Mastered</t>
        </is>
      </c>
    </row>
    <row r="13">
      <c r="A13" s="26" t="inlineStr">
        <is>
          <t>Reading</t>
        </is>
      </c>
      <c r="B13" s="27" t="inlineStr">
        <is>
          <t>Make inferences</t>
        </is>
      </c>
      <c r="C13" s="26" t="inlineStr">
        <is>
          <t>Lucy</t>
        </is>
      </c>
      <c r="D13" s="26" t="inlineStr">
        <is>
          <t>Practicing</t>
        </is>
      </c>
    </row>
    <row r="14">
      <c r="A14" s="22" t="inlineStr">
        <is>
          <t>Reading</t>
        </is>
      </c>
      <c r="B14" s="20" t="inlineStr">
        <is>
          <t>Blend CVC words</t>
        </is>
      </c>
      <c r="C14" s="22" t="inlineStr">
        <is>
          <t>Jack</t>
        </is>
      </c>
      <c r="D14" s="22" t="inlineStr">
        <is>
          <t>Mastered</t>
        </is>
      </c>
    </row>
    <row r="15">
      <c r="A15" s="26" t="inlineStr">
        <is>
          <t>Reading</t>
        </is>
      </c>
      <c r="B15" s="27" t="inlineStr">
        <is>
          <t>Read short vowels &amp; digraphs</t>
        </is>
      </c>
      <c r="C15" s="26" t="inlineStr">
        <is>
          <t>Jack</t>
        </is>
      </c>
      <c r="D15" s="26" t="inlineStr">
        <is>
          <t>Practicing</t>
        </is>
      </c>
    </row>
    <row r="16">
      <c r="A16" s="22" t="inlineStr">
        <is>
          <t>Writing</t>
        </is>
      </c>
      <c r="B16" s="20" t="inlineStr">
        <is>
          <t>Write a paragraph with details</t>
        </is>
      </c>
      <c r="C16" s="22" t="inlineStr">
        <is>
          <t>Lucy</t>
        </is>
      </c>
      <c r="D16" s="22" t="inlineStr">
        <is>
          <t>Mastered</t>
        </is>
      </c>
    </row>
    <row r="17">
      <c r="A17" s="26" t="inlineStr">
        <is>
          <t>Writing</t>
        </is>
      </c>
      <c r="B17" s="27" t="inlineStr">
        <is>
          <t>Use capitals &amp; end marks</t>
        </is>
      </c>
      <c r="C17" s="26" t="inlineStr">
        <is>
          <t>Lucy</t>
        </is>
      </c>
      <c r="D17" s="26" t="inlineStr">
        <is>
          <t>Mastered</t>
        </is>
      </c>
    </row>
    <row r="18">
      <c r="A18" s="22" t="inlineStr">
        <is>
          <t>Writing</t>
        </is>
      </c>
      <c r="B18" s="20" t="inlineStr">
        <is>
          <t>Write a complete sentence</t>
        </is>
      </c>
      <c r="C18" s="22" t="inlineStr">
        <is>
          <t>Jack</t>
        </is>
      </c>
      <c r="D18" s="22" t="inlineStr">
        <is>
          <t>Practicing</t>
        </is>
      </c>
    </row>
    <row r="19">
      <c r="A19" s="26" t="inlineStr">
        <is>
          <t>Spelling</t>
        </is>
      </c>
      <c r="B19" s="27" t="inlineStr">
        <is>
          <t>Grade-3 spelling list</t>
        </is>
      </c>
      <c r="C19" s="26" t="inlineStr">
        <is>
          <t>Lucy</t>
        </is>
      </c>
      <c r="D19" s="26" t="inlineStr">
        <is>
          <t>Practicing</t>
        </is>
      </c>
    </row>
    <row r="20">
      <c r="A20" s="22" t="inlineStr">
        <is>
          <t>Spelling</t>
        </is>
      </c>
      <c r="B20" s="20" t="inlineStr">
        <is>
          <t>Short-vowel word families</t>
        </is>
      </c>
      <c r="C20" s="22" t="inlineStr">
        <is>
          <t>Jack</t>
        </is>
      </c>
      <c r="D20" s="22" t="inlineStr">
        <is>
          <t>Mastered</t>
        </is>
      </c>
    </row>
    <row r="21">
      <c r="A21" s="26" t="inlineStr">
        <is>
          <t>Science</t>
        </is>
      </c>
      <c r="B21" s="27" t="inlineStr">
        <is>
          <t>Life cycles &amp; habitats</t>
        </is>
      </c>
      <c r="C21" s="26" t="inlineStr">
        <is>
          <t>Lucy</t>
        </is>
      </c>
      <c r="D21" s="26" t="inlineStr">
        <is>
          <t>Mastered</t>
        </is>
      </c>
    </row>
    <row r="22">
      <c r="A22" s="22" t="inlineStr">
        <is>
          <t>Science</t>
        </is>
      </c>
      <c r="B22" s="20" t="inlineStr">
        <is>
          <t>States of matter</t>
        </is>
      </c>
      <c r="C22" s="22" t="inlineStr">
        <is>
          <t>Lucy</t>
        </is>
      </c>
      <c r="D22" s="22" t="inlineStr">
        <is>
          <t>Practicing</t>
        </is>
      </c>
    </row>
    <row r="23">
      <c r="A23" s="26" t="inlineStr">
        <is>
          <t>Science</t>
        </is>
      </c>
      <c r="B23" s="27" t="inlineStr">
        <is>
          <t>Weather &amp; seasons</t>
        </is>
      </c>
      <c r="C23" s="26" t="inlineStr">
        <is>
          <t>Jack</t>
        </is>
      </c>
      <c r="D23" s="26" t="inlineStr">
        <is>
          <t>Mastered</t>
        </is>
      </c>
    </row>
    <row r="24">
      <c r="A24" s="22" t="inlineStr">
        <is>
          <t>Social Studies</t>
        </is>
      </c>
      <c r="B24" s="20" t="inlineStr">
        <is>
          <t>Community &amp; maps</t>
        </is>
      </c>
      <c r="C24" s="22" t="inlineStr">
        <is>
          <t>Lucy</t>
        </is>
      </c>
      <c r="D24" s="22" t="inlineStr">
        <is>
          <t>Mastered</t>
        </is>
      </c>
    </row>
    <row r="25">
      <c r="A25" s="26" t="inlineStr">
        <is>
          <t>Social Studies</t>
        </is>
      </c>
      <c r="B25" s="27" t="inlineStr">
        <is>
          <t>Past &amp; present</t>
        </is>
      </c>
      <c r="C25" s="26" t="inlineStr">
        <is>
          <t>Jack</t>
        </is>
      </c>
      <c r="D25" s="26" t="inlineStr">
        <is>
          <t>Practicing</t>
        </is>
      </c>
    </row>
    <row r="26">
      <c r="A26" s="22" t="inlineStr">
        <is>
          <t>Art</t>
        </is>
      </c>
      <c r="B26" s="20" t="inlineStr">
        <is>
          <t>Color mixing &amp; shapes</t>
        </is>
      </c>
      <c r="C26" s="22" t="inlineStr">
        <is>
          <t>Lucy</t>
        </is>
      </c>
      <c r="D26" s="22" t="inlineStr">
        <is>
          <t>Mastered</t>
        </is>
      </c>
    </row>
    <row r="27">
      <c r="A27" s="26" t="inlineStr">
        <is>
          <t>Art</t>
        </is>
      </c>
      <c r="B27" s="27" t="inlineStr">
        <is>
          <t>Cutting &amp; gluing control</t>
        </is>
      </c>
      <c r="C27" s="26" t="inlineStr">
        <is>
          <t>Jack</t>
        </is>
      </c>
      <c r="D27" s="26" t="inlineStr">
        <is>
          <t>Mastered</t>
        </is>
      </c>
    </row>
    <row r="28">
      <c r="A28" s="22" t="inlineStr">
        <is>
          <t>PE</t>
        </is>
      </c>
      <c r="B28" s="20" t="inlineStr">
        <is>
          <t>Skip, gallop &amp; jump rope</t>
        </is>
      </c>
      <c r="C28" s="22" t="inlineStr">
        <is>
          <t>Lucy</t>
        </is>
      </c>
      <c r="D28" s="22" t="inlineStr">
        <is>
          <t>Mastered</t>
        </is>
      </c>
    </row>
    <row r="29">
      <c r="A29" s="26" t="inlineStr">
        <is>
          <t>PE</t>
        </is>
      </c>
      <c r="B29" s="27" t="inlineStr">
        <is>
          <t>Throw &amp; catch a ball</t>
        </is>
      </c>
      <c r="C29" s="26" t="inlineStr">
        <is>
          <t>Jack</t>
        </is>
      </c>
      <c r="D29" s="26" t="inlineStr">
        <is>
          <t>Practicing</t>
        </is>
      </c>
    </row>
    <row r="30">
      <c r="A30" s="22" t="inlineStr">
        <is>
          <t>Math</t>
        </is>
      </c>
      <c r="B30" s="20" t="inlineStr">
        <is>
          <t>Measure length &amp; mass</t>
        </is>
      </c>
      <c r="C30" s="22" t="inlineStr">
        <is>
          <t>Lucy</t>
        </is>
      </c>
      <c r="D30" s="22" t="inlineStr">
        <is>
          <t>Not Yet</t>
        </is>
      </c>
    </row>
    <row r="31">
      <c r="A31" s="26" t="inlineStr">
        <is>
          <t>Writing</t>
        </is>
      </c>
      <c r="B31" s="27" t="inlineStr">
        <is>
          <t>Spell high-frequency words</t>
        </is>
      </c>
      <c r="C31" s="26" t="inlineStr">
        <is>
          <t>Jack</t>
        </is>
      </c>
      <c r="D31" s="26" t="inlineStr">
        <is>
          <t>Not Yet</t>
        </is>
      </c>
    </row>
    <row r="32">
      <c r="A32" s="22" t="inlineStr">
        <is>
          <t>Reading</t>
        </is>
      </c>
      <c r="B32" s="20" t="inlineStr">
        <is>
          <t>Retell a story in order</t>
        </is>
      </c>
      <c r="C32" s="22" t="inlineStr">
        <is>
          <t>Jack</t>
        </is>
      </c>
      <c r="D32" s="22" t="inlineStr">
        <is>
          <t>Mastered</t>
        </is>
      </c>
    </row>
    <row r="33">
      <c r="A33" s="26" t="n"/>
      <c r="B33" s="27" t="n"/>
      <c r="C33" s="26" t="n"/>
      <c r="D33" s="26" t="n"/>
    </row>
    <row r="34">
      <c r="A34" s="22" t="n"/>
      <c r="B34" s="20" t="n"/>
      <c r="C34" s="22" t="n"/>
      <c r="D34" s="22" t="n"/>
    </row>
    <row r="35">
      <c r="A35" s="26" t="n"/>
      <c r="B35" s="27" t="n"/>
      <c r="C35" s="26" t="n"/>
      <c r="D35" s="26" t="n"/>
    </row>
    <row r="36">
      <c r="A36" s="22" t="n"/>
      <c r="B36" s="20" t="n"/>
      <c r="C36" s="22" t="n"/>
      <c r="D36" s="22" t="n"/>
    </row>
    <row r="37">
      <c r="A37" s="26" t="n"/>
      <c r="B37" s="27" t="n"/>
      <c r="C37" s="26" t="n"/>
      <c r="D37" s="26" t="n"/>
    </row>
    <row r="38">
      <c r="A38" s="22" t="n"/>
      <c r="B38" s="20" t="n"/>
      <c r="C38" s="22" t="n"/>
      <c r="D38" s="22" t="n"/>
    </row>
    <row r="39">
      <c r="A39" s="26" t="n"/>
      <c r="B39" s="27" t="n"/>
      <c r="C39" s="26" t="n"/>
      <c r="D39" s="26" t="n"/>
    </row>
    <row r="40">
      <c r="A40" s="22" t="n"/>
      <c r="B40" s="20" t="n"/>
      <c r="C40" s="22" t="n"/>
      <c r="D40" s="22" t="n"/>
    </row>
    <row r="41">
      <c r="A41" s="26" t="n"/>
      <c r="B41" s="27" t="n"/>
      <c r="C41" s="26" t="n"/>
      <c r="D41" s="26" t="n"/>
    </row>
    <row r="42">
      <c r="A42" s="22" t="n"/>
      <c r="B42" s="20" t="n"/>
      <c r="C42" s="22" t="n"/>
      <c r="D42" s="22" t="n"/>
    </row>
    <row r="43">
      <c r="A43" s="26" t="n"/>
      <c r="B43" s="27" t="n"/>
      <c r="C43" s="26" t="n"/>
      <c r="D43" s="26" t="n"/>
    </row>
    <row r="44">
      <c r="A44" s="22" t="n"/>
      <c r="B44" s="20" t="n"/>
      <c r="C44" s="22" t="n"/>
      <c r="D44" s="22" t="n"/>
    </row>
    <row r="46">
      <c r="B46" s="4" t="inlineStr">
        <is>
          <t>MASTERED BY SUBJECT</t>
        </is>
      </c>
    </row>
    <row r="47">
      <c r="B47" s="17" t="inlineStr">
        <is>
          <t>Math</t>
        </is>
      </c>
      <c r="C47" s="28">
        <f>COUNTIFS(MasterySubject,B47,MasteryStatus,"Mastered")</f>
        <v/>
      </c>
    </row>
    <row r="48">
      <c r="B48" s="17" t="inlineStr">
        <is>
          <t>Reading</t>
        </is>
      </c>
      <c r="C48" s="28">
        <f>COUNTIFS(MasterySubject,B48,MasteryStatus,"Mastered")</f>
        <v/>
      </c>
    </row>
    <row r="49">
      <c r="B49" s="17" t="inlineStr">
        <is>
          <t>Writing</t>
        </is>
      </c>
      <c r="C49" s="28">
        <f>COUNTIFS(MasterySubject,B49,MasteryStatus,"Mastered")</f>
        <v/>
      </c>
    </row>
    <row r="50">
      <c r="B50" s="17" t="inlineStr">
        <is>
          <t>Spelling</t>
        </is>
      </c>
      <c r="C50" s="28">
        <f>COUNTIFS(MasterySubject,B50,MasteryStatus,"Mastered")</f>
        <v/>
      </c>
    </row>
    <row r="51">
      <c r="B51" s="17" t="inlineStr">
        <is>
          <t>Science</t>
        </is>
      </c>
      <c r="C51" s="28">
        <f>COUNTIFS(MasterySubject,B51,MasteryStatus,"Mastered")</f>
        <v/>
      </c>
    </row>
    <row r="52">
      <c r="B52" s="17" t="inlineStr">
        <is>
          <t>Social Studies</t>
        </is>
      </c>
      <c r="C52" s="28">
        <f>COUNTIFS(MasterySubject,B52,MasteryStatus,"Mastered")</f>
        <v/>
      </c>
    </row>
    <row r="53">
      <c r="B53" s="17" t="inlineStr">
        <is>
          <t>Art</t>
        </is>
      </c>
      <c r="C53" s="28">
        <f>COUNTIFS(MasterySubject,B53,MasteryStatus,"Mastered")</f>
        <v/>
      </c>
    </row>
    <row r="54">
      <c r="B54" s="17" t="inlineStr">
        <is>
          <t>PE</t>
        </is>
      </c>
      <c r="C54" s="28">
        <f>COUNTIFS(MasterySubject,B54,MasteryStatus,"Mastered")</f>
        <v/>
      </c>
    </row>
  </sheetData>
  <mergeCells count="2">
    <mergeCell ref="A1:D1"/>
    <mergeCell ref="A2:D2"/>
  </mergeCells>
  <conditionalFormatting sqref="D5:D44">
    <cfRule type="cellIs" priority="1" operator="equal" dxfId="0">
      <formula>"Mastered"</formula>
    </cfRule>
    <cfRule type="cellIs" priority="2" operator="equal" dxfId="1">
      <formula>"Practicing"</formula>
    </cfRule>
    <cfRule type="cellIs" priority="3" operator="equal" dxfId="2">
      <formula>"Not Yet"</formula>
    </cfRule>
  </conditionalFormatting>
  <dataValidations count="2">
    <dataValidation sqref="A5:A44" showDropDown="0" showInputMessage="0" showErrorMessage="0" allowBlank="1" type="list">
      <formula1>=SubjectList</formula1>
    </dataValidation>
    <dataValidation sqref="D5:D44" showDropDown="0" showInputMessage="0" showErrorMessage="0" allowBlank="1" type="list">
      <formula1>=MasteryList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2" customWidth="1" min="5" max="5"/>
  </cols>
  <sheetData>
    <row r="1" ht="46" customHeight="1">
      <c r="A1" s="1" t="inlineStr">
        <is>
          <t xml:space="preserve">  ➗  MATH FACTS FLUENCY</t>
        </is>
      </c>
    </row>
    <row r="2" ht="22" customHeight="1">
      <c r="A2" s="2" t="inlineStr">
        <is>
          <t xml:space="preserve">  Addition, subtraction, multiplication &amp; division — % fluent, per child. Watch it climb.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Operation</t>
        </is>
      </c>
      <c r="C4" s="9" t="inlineStr">
        <is>
          <t>Student</t>
        </is>
      </c>
      <c r="D4" s="9" t="inlineStr">
        <is>
          <t>% Fluent</t>
        </is>
      </c>
    </row>
    <row r="5">
      <c r="B5" s="17" t="inlineStr">
        <is>
          <t>Addition (0–12)</t>
        </is>
      </c>
      <c r="C5" s="19" t="inlineStr">
        <is>
          <t>Lucy</t>
        </is>
      </c>
      <c r="D5" s="29" t="n">
        <v>1</v>
      </c>
    </row>
    <row r="6">
      <c r="B6" s="20" t="inlineStr">
        <is>
          <t>Subtraction (0–12)</t>
        </is>
      </c>
      <c r="C6" s="22" t="inlineStr">
        <is>
          <t>Lucy</t>
        </is>
      </c>
      <c r="D6" s="30" t="n">
        <v>0.95</v>
      </c>
    </row>
    <row r="7">
      <c r="B7" s="17" t="inlineStr">
        <is>
          <t>Multiplication (0–12)</t>
        </is>
      </c>
      <c r="C7" s="19" t="inlineStr">
        <is>
          <t>Lucy</t>
        </is>
      </c>
      <c r="D7" s="29" t="n">
        <v>0.6</v>
      </c>
    </row>
    <row r="8">
      <c r="B8" s="20" t="inlineStr">
        <is>
          <t>Division (0–12)</t>
        </is>
      </c>
      <c r="C8" s="22" t="inlineStr">
        <is>
          <t>Lucy</t>
        </is>
      </c>
      <c r="D8" s="30" t="n">
        <v>0.3</v>
      </c>
    </row>
    <row r="9">
      <c r="B9" s="17" t="inlineStr">
        <is>
          <t>Addition (0–10)</t>
        </is>
      </c>
      <c r="C9" s="19" t="inlineStr">
        <is>
          <t>Jack</t>
        </is>
      </c>
      <c r="D9" s="29" t="n">
        <v>0.7</v>
      </c>
    </row>
    <row r="10">
      <c r="B10" s="20" t="inlineStr">
        <is>
          <t>Subtraction (0–10)</t>
        </is>
      </c>
      <c r="C10" s="22" t="inlineStr">
        <is>
          <t>Jack</t>
        </is>
      </c>
      <c r="D10" s="30" t="n">
        <v>0.45</v>
      </c>
    </row>
    <row r="11">
      <c r="B11" s="9" t="inlineStr">
        <is>
          <t>AVERAGE FLUENCY</t>
        </is>
      </c>
      <c r="C11" s="31" t="n"/>
      <c r="D11" s="32">
        <f>IFERROR(AVERAGE(MathPct),0)</f>
        <v/>
      </c>
    </row>
  </sheetData>
  <mergeCells count="2">
    <mergeCell ref="A1:D1"/>
    <mergeCell ref="A2:D2"/>
  </mergeCells>
  <conditionalFormatting sqref="D5:D10">
    <cfRule type="dataBar" priority="1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2" customWidth="1" min="4" max="4"/>
    <col width="12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🔤  SIGHT WORDS &amp; SPELLING</t>
        </is>
      </c>
    </row>
    <row r="2" ht="22" customHeight="1">
      <c r="A2" s="2" t="inlineStr">
        <is>
          <t xml:space="preserve">  Word lists &amp; spelling units — known vs total, with progress bars for every list.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List / Unit</t>
        </is>
      </c>
      <c r="C4" s="9" t="inlineStr">
        <is>
          <t>Student</t>
        </is>
      </c>
      <c r="D4" s="9" t="inlineStr">
        <is>
          <t>Known</t>
        </is>
      </c>
      <c r="E4" s="9" t="inlineStr">
        <is>
          <t>Total</t>
        </is>
      </c>
      <c r="F4" s="9" t="inlineStr">
        <is>
          <t xml:space="preserve">% </t>
        </is>
      </c>
    </row>
    <row r="5">
      <c r="B5" s="17" t="inlineStr">
        <is>
          <t>Dolch Pre-Primer (40)</t>
        </is>
      </c>
      <c r="C5" s="19" t="inlineStr">
        <is>
          <t>Jack</t>
        </is>
      </c>
      <c r="D5" s="33" t="n">
        <v>38</v>
      </c>
      <c r="E5" s="33" t="n">
        <v>40</v>
      </c>
      <c r="F5" s="18">
        <f>IFERROR(D5/E5,0)</f>
        <v/>
      </c>
    </row>
    <row r="6">
      <c r="B6" s="20" t="inlineStr">
        <is>
          <t>Dolch Primer (52)</t>
        </is>
      </c>
      <c r="C6" s="22" t="inlineStr">
        <is>
          <t>Jack</t>
        </is>
      </c>
      <c r="D6" s="34" t="n">
        <v>40</v>
      </c>
      <c r="E6" s="34" t="n">
        <v>52</v>
      </c>
      <c r="F6" s="21">
        <f>IFERROR(D6/E6,0)</f>
        <v/>
      </c>
    </row>
    <row r="7">
      <c r="B7" s="17" t="inlineStr">
        <is>
          <t>Fry First 100</t>
        </is>
      </c>
      <c r="C7" s="19" t="inlineStr">
        <is>
          <t>Lucy</t>
        </is>
      </c>
      <c r="D7" s="33" t="n">
        <v>100</v>
      </c>
      <c r="E7" s="33" t="n">
        <v>100</v>
      </c>
      <c r="F7" s="18">
        <f>IFERROR(D7/E7,0)</f>
        <v/>
      </c>
    </row>
    <row r="8">
      <c r="B8" s="20" t="inlineStr">
        <is>
          <t>Fry Second 100</t>
        </is>
      </c>
      <c r="C8" s="22" t="inlineStr">
        <is>
          <t>Lucy</t>
        </is>
      </c>
      <c r="D8" s="34" t="n">
        <v>92</v>
      </c>
      <c r="E8" s="34" t="n">
        <v>100</v>
      </c>
      <c r="F8" s="21">
        <f>IFERROR(D8/E8,0)</f>
        <v/>
      </c>
    </row>
    <row r="9">
      <c r="B9" s="17" t="inlineStr">
        <is>
          <t>Grade-3 spelling units</t>
        </is>
      </c>
      <c r="C9" s="19" t="inlineStr">
        <is>
          <t>Lucy</t>
        </is>
      </c>
      <c r="D9" s="33" t="n">
        <v>18</v>
      </c>
      <c r="E9" s="33" t="n">
        <v>24</v>
      </c>
      <c r="F9" s="18">
        <f>IFERROR(D9/E9,0)</f>
        <v/>
      </c>
    </row>
    <row r="10">
      <c r="B10" s="20" t="inlineStr">
        <is>
          <t>Short-vowel families</t>
        </is>
      </c>
      <c r="C10" s="22" t="inlineStr">
        <is>
          <t>Jack</t>
        </is>
      </c>
      <c r="D10" s="34" t="n">
        <v>12</v>
      </c>
      <c r="E10" s="34" t="n">
        <v>15</v>
      </c>
      <c r="F10" s="21">
        <f>IFERROR(D10/E10,0)</f>
        <v/>
      </c>
    </row>
  </sheetData>
  <mergeCells count="2">
    <mergeCell ref="A2:F2"/>
    <mergeCell ref="A1:F1"/>
  </mergeCells>
  <conditionalFormatting sqref="F5:F10">
    <cfRule type="dataBar" priority="1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</cols>
  <sheetData>
    <row r="1" ht="46" customHeight="1">
      <c r="A1" s="1" t="inlineStr">
        <is>
          <t xml:space="preserve">  📕  READING LOG &amp; LEVELS</t>
        </is>
      </c>
    </row>
    <row r="2" ht="22" customHeight="1">
      <c r="A2" s="2" t="inlineStr">
        <is>
          <t xml:space="preserve">  Every book, per child, with its level — reading is the heart of it. Set the year's goal in Settings.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Student</t>
        </is>
      </c>
      <c r="B4" s="9" t="inlineStr">
        <is>
          <t>Title</t>
        </is>
      </c>
      <c r="C4" s="9" t="inlineStr">
        <is>
          <t>Level</t>
        </is>
      </c>
      <c r="D4" s="9" t="inlineStr">
        <is>
          <t>Finished?</t>
        </is>
      </c>
    </row>
    <row r="5">
      <c r="A5" s="26" t="inlineStr">
        <is>
          <t>Lucy</t>
        </is>
      </c>
      <c r="B5" s="27" t="inlineStr">
        <is>
          <t>Charlotte's Web</t>
        </is>
      </c>
      <c r="C5" s="26" t="inlineStr">
        <is>
          <t>R</t>
        </is>
      </c>
      <c r="D5" s="26" t="inlineStr">
        <is>
          <t>Yes</t>
        </is>
      </c>
    </row>
    <row r="6">
      <c r="A6" s="22" t="inlineStr">
        <is>
          <t>Lucy</t>
        </is>
      </c>
      <c r="B6" s="20" t="inlineStr">
        <is>
          <t>The BFG</t>
        </is>
      </c>
      <c r="C6" s="22" t="inlineStr">
        <is>
          <t>R</t>
        </is>
      </c>
      <c r="D6" s="22" t="inlineStr">
        <is>
          <t>Yes</t>
        </is>
      </c>
    </row>
    <row r="7">
      <c r="A7" s="26" t="inlineStr">
        <is>
          <t>Lucy</t>
        </is>
      </c>
      <c r="B7" s="27" t="inlineStr">
        <is>
          <t>Ramona the Pest</t>
        </is>
      </c>
      <c r="C7" s="26" t="inlineStr">
        <is>
          <t>O</t>
        </is>
      </c>
      <c r="D7" s="26" t="inlineStr">
        <is>
          <t>Yes</t>
        </is>
      </c>
    </row>
    <row r="8">
      <c r="A8" s="22" t="inlineStr">
        <is>
          <t>Lucy</t>
        </is>
      </c>
      <c r="B8" s="20" t="inlineStr">
        <is>
          <t>The Magic Tree House #1</t>
        </is>
      </c>
      <c r="C8" s="22" t="inlineStr">
        <is>
          <t>M</t>
        </is>
      </c>
      <c r="D8" s="22" t="inlineStr">
        <is>
          <t>Yes</t>
        </is>
      </c>
    </row>
    <row r="9">
      <c r="A9" s="26" t="inlineStr">
        <is>
          <t>Jack</t>
        </is>
      </c>
      <c r="B9" s="27" t="inlineStr">
        <is>
          <t>Bob Books Set 2</t>
        </is>
      </c>
      <c r="C9" s="26" t="inlineStr">
        <is>
          <t>C</t>
        </is>
      </c>
      <c r="D9" s="26" t="inlineStr">
        <is>
          <t>Yes</t>
        </is>
      </c>
    </row>
    <row r="10">
      <c r="A10" s="22" t="inlineStr">
        <is>
          <t>Jack</t>
        </is>
      </c>
      <c r="B10" s="20" t="inlineStr">
        <is>
          <t>Frog and Toad</t>
        </is>
      </c>
      <c r="C10" s="22" t="inlineStr">
        <is>
          <t>K</t>
        </is>
      </c>
      <c r="D10" s="22" t="inlineStr">
        <is>
          <t>In Progress</t>
        </is>
      </c>
    </row>
    <row r="11">
      <c r="A11" s="26" t="inlineStr">
        <is>
          <t>Jack</t>
        </is>
      </c>
      <c r="B11" s="27" t="inlineStr">
        <is>
          <t>Elephant &amp; Piggie</t>
        </is>
      </c>
      <c r="C11" s="26" t="inlineStr">
        <is>
          <t>G</t>
        </is>
      </c>
      <c r="D11" s="26" t="inlineStr">
        <is>
          <t>Yes</t>
        </is>
      </c>
    </row>
    <row r="12">
      <c r="A12" s="22" t="inlineStr">
        <is>
          <t>Lucy</t>
        </is>
      </c>
      <c r="B12" s="20" t="inlineStr">
        <is>
          <t>Because of Winn-Dixie</t>
        </is>
      </c>
      <c r="C12" s="22" t="inlineStr">
        <is>
          <t>R</t>
        </is>
      </c>
      <c r="D12" s="22" t="inlineStr">
        <is>
          <t>In Progress</t>
        </is>
      </c>
    </row>
    <row r="13">
      <c r="A13" s="26" t="n"/>
      <c r="B13" s="27" t="n"/>
      <c r="C13" s="26" t="n"/>
      <c r="D13" s="26" t="n"/>
    </row>
    <row r="14">
      <c r="A14" s="22" t="n"/>
      <c r="B14" s="20" t="n"/>
      <c r="C14" s="22" t="n"/>
      <c r="D14" s="22" t="n"/>
    </row>
    <row r="15">
      <c r="A15" s="26" t="n"/>
      <c r="B15" s="27" t="n"/>
      <c r="C15" s="26" t="n"/>
      <c r="D15" s="26" t="n"/>
    </row>
    <row r="16">
      <c r="A16" s="22" t="n"/>
      <c r="B16" s="20" t="n"/>
      <c r="C16" s="22" t="n"/>
      <c r="D16" s="22" t="n"/>
    </row>
    <row r="17">
      <c r="A17" s="26" t="n"/>
      <c r="B17" s="27" t="n"/>
      <c r="C17" s="26" t="n"/>
      <c r="D17" s="26" t="n"/>
    </row>
    <row r="18">
      <c r="A18" s="22" t="n"/>
      <c r="B18" s="20" t="n"/>
      <c r="C18" s="22" t="n"/>
      <c r="D18" s="22" t="n"/>
    </row>
    <row r="19">
      <c r="A19" s="26" t="n"/>
      <c r="B19" s="27" t="n"/>
      <c r="C19" s="26" t="n"/>
      <c r="D19" s="26" t="n"/>
    </row>
    <row r="20">
      <c r="A20" s="22" t="n"/>
      <c r="B20" s="20" t="n"/>
      <c r="C20" s="22" t="n"/>
      <c r="D20" s="22" t="n"/>
    </row>
    <row r="21">
      <c r="A21" s="26" t="n"/>
      <c r="B21" s="27" t="n"/>
      <c r="C21" s="26" t="n"/>
      <c r="D21" s="26" t="n"/>
    </row>
    <row r="22">
      <c r="A22" s="22" t="n"/>
      <c r="B22" s="20" t="n"/>
      <c r="C22" s="22" t="n"/>
      <c r="D22" s="22" t="n"/>
    </row>
    <row r="23">
      <c r="A23" s="26" t="n"/>
      <c r="B23" s="27" t="n"/>
      <c r="C23" s="26" t="n"/>
      <c r="D23" s="26" t="n"/>
    </row>
    <row r="24">
      <c r="A24" s="22" t="n"/>
      <c r="B24" s="20" t="n"/>
      <c r="C24" s="22" t="n"/>
      <c r="D24" s="22" t="n"/>
    </row>
    <row r="25">
      <c r="A25" s="26" t="n"/>
      <c r="B25" s="27" t="n"/>
      <c r="C25" s="26" t="n"/>
      <c r="D25" s="26" t="n"/>
    </row>
    <row r="26">
      <c r="A26" s="22" t="n"/>
      <c r="B26" s="20" t="n"/>
      <c r="C26" s="22" t="n"/>
      <c r="D26" s="22" t="n"/>
    </row>
    <row r="27">
      <c r="A27" s="26" t="n"/>
      <c r="B27" s="27" t="n"/>
      <c r="C27" s="26" t="n"/>
      <c r="D27" s="26" t="n"/>
    </row>
    <row r="28">
      <c r="A28" s="22" t="n"/>
      <c r="B28" s="20" t="n"/>
      <c r="C28" s="22" t="n"/>
      <c r="D28" s="22" t="n"/>
    </row>
    <row r="29">
      <c r="A29" s="26" t="n"/>
      <c r="B29" s="27" t="n"/>
      <c r="C29" s="26" t="n"/>
      <c r="D29" s="26" t="n"/>
    </row>
    <row r="30">
      <c r="A30" s="22" t="n"/>
      <c r="B30" s="20" t="n"/>
      <c r="C30" s="22" t="n"/>
      <c r="D30" s="22" t="n"/>
    </row>
    <row r="31">
      <c r="A31" s="26" t="n"/>
      <c r="B31" s="27" t="n"/>
      <c r="C31" s="26" t="n"/>
      <c r="D31" s="26" t="n"/>
    </row>
    <row r="32">
      <c r="A32" s="22" t="n"/>
      <c r="B32" s="20" t="n"/>
      <c r="C32" s="22" t="n"/>
      <c r="D32" s="22" t="n"/>
    </row>
    <row r="33">
      <c r="A33" s="26" t="n"/>
      <c r="B33" s="27" t="n"/>
      <c r="C33" s="26" t="n"/>
      <c r="D33" s="26" t="n"/>
    </row>
    <row r="34">
      <c r="A34" s="22" t="n"/>
      <c r="B34" s="20" t="n"/>
      <c r="C34" s="22" t="n"/>
      <c r="D34" s="22" t="n"/>
    </row>
    <row r="35">
      <c r="A35" s="26" t="n"/>
      <c r="B35" s="27" t="n"/>
      <c r="C35" s="26" t="n"/>
      <c r="D35" s="26" t="n"/>
    </row>
    <row r="36">
      <c r="A36" s="22" t="n"/>
      <c r="B36" s="20" t="n"/>
      <c r="C36" s="22" t="n"/>
      <c r="D36" s="22" t="n"/>
    </row>
    <row r="37">
      <c r="A37" s="26" t="n"/>
      <c r="B37" s="27" t="n"/>
      <c r="C37" s="26" t="n"/>
      <c r="D37" s="26" t="n"/>
    </row>
    <row r="38">
      <c r="A38" s="22" t="n"/>
      <c r="B38" s="20" t="n"/>
      <c r="C38" s="22" t="n"/>
      <c r="D38" s="22" t="n"/>
    </row>
    <row r="39">
      <c r="A39" s="26" t="n"/>
      <c r="B39" s="27" t="n"/>
      <c r="C39" s="26" t="n"/>
      <c r="D39" s="26" t="n"/>
    </row>
    <row r="40">
      <c r="A40" s="22" t="n"/>
      <c r="B40" s="20" t="n"/>
      <c r="C40" s="22" t="n"/>
      <c r="D40" s="22" t="n"/>
    </row>
    <row r="41">
      <c r="A41" s="26" t="n"/>
      <c r="B41" s="27" t="n"/>
      <c r="C41" s="26" t="n"/>
      <c r="D41" s="26" t="n"/>
    </row>
    <row r="42">
      <c r="A42" s="22" t="n"/>
      <c r="B42" s="20" t="n"/>
      <c r="C42" s="22" t="n"/>
      <c r="D42" s="22" t="n"/>
    </row>
    <row r="43">
      <c r="A43" s="26" t="n"/>
      <c r="B43" s="27" t="n"/>
      <c r="C43" s="26" t="n"/>
      <c r="D43" s="26" t="n"/>
    </row>
    <row r="44">
      <c r="A44" s="22" t="n"/>
      <c r="B44" s="20" t="n"/>
      <c r="C44" s="22" t="n"/>
      <c r="D44" s="22" t="n"/>
    </row>
    <row r="45">
      <c r="A45" s="26" t="n"/>
      <c r="B45" s="27" t="n"/>
      <c r="C45" s="26" t="n"/>
      <c r="D45" s="26" t="n"/>
    </row>
    <row r="46">
      <c r="A46" s="22" t="n"/>
      <c r="B46" s="20" t="n"/>
      <c r="C46" s="22" t="n"/>
      <c r="D46" s="22" t="n"/>
    </row>
    <row r="47">
      <c r="A47" s="26" t="n"/>
      <c r="B47" s="27" t="n"/>
      <c r="C47" s="26" t="n"/>
      <c r="D47" s="26" t="n"/>
    </row>
    <row r="48">
      <c r="A48" s="22" t="n"/>
      <c r="B48" s="20" t="n"/>
      <c r="C48" s="22" t="n"/>
      <c r="D48" s="22" t="n"/>
    </row>
    <row r="49">
      <c r="A49" s="26" t="n"/>
      <c r="B49" s="27" t="n"/>
      <c r="C49" s="26" t="n"/>
      <c r="D49" s="26" t="n"/>
    </row>
    <row r="50">
      <c r="A50" s="22" t="n"/>
      <c r="B50" s="20" t="n"/>
      <c r="C50" s="22" t="n"/>
      <c r="D50" s="22" t="n"/>
    </row>
    <row r="51">
      <c r="A51" s="26" t="n"/>
      <c r="B51" s="27" t="n"/>
      <c r="C51" s="26" t="n"/>
      <c r="D51" s="26" t="n"/>
    </row>
    <row r="52">
      <c r="A52" s="22" t="n"/>
      <c r="B52" s="20" t="n"/>
      <c r="C52" s="22" t="n"/>
      <c r="D52" s="22" t="n"/>
    </row>
    <row r="53">
      <c r="A53" s="26" t="n"/>
      <c r="B53" s="27" t="n"/>
      <c r="C53" s="26" t="n"/>
      <c r="D53" s="26" t="n"/>
    </row>
    <row r="54">
      <c r="A54" s="22" t="n"/>
      <c r="B54" s="20" t="n"/>
      <c r="C54" s="22" t="n"/>
      <c r="D54" s="22" t="n"/>
    </row>
    <row r="55">
      <c r="A55" s="26" t="n"/>
      <c r="B55" s="27" t="n"/>
      <c r="C55" s="26" t="n"/>
      <c r="D55" s="26" t="n"/>
    </row>
    <row r="56">
      <c r="A56" s="22" t="n"/>
      <c r="B56" s="20" t="n"/>
      <c r="C56" s="22" t="n"/>
      <c r="D56" s="22" t="n"/>
    </row>
    <row r="57">
      <c r="A57" s="26" t="n"/>
      <c r="B57" s="27" t="n"/>
      <c r="C57" s="26" t="n"/>
      <c r="D57" s="26" t="n"/>
    </row>
    <row r="58">
      <c r="A58" s="22" t="n"/>
      <c r="B58" s="20" t="n"/>
      <c r="C58" s="22" t="n"/>
      <c r="D58" s="22" t="n"/>
    </row>
    <row r="59">
      <c r="A59" s="26" t="n"/>
      <c r="B59" s="27" t="n"/>
      <c r="C59" s="26" t="n"/>
      <c r="D59" s="26" t="n"/>
    </row>
    <row r="60">
      <c r="A60" s="22" t="n"/>
      <c r="B60" s="20" t="n"/>
      <c r="C60" s="22" t="n"/>
      <c r="D60" s="22" t="n"/>
    </row>
    <row r="61">
      <c r="A61" s="26" t="n"/>
      <c r="B61" s="27" t="n"/>
      <c r="C61" s="26" t="n"/>
      <c r="D61" s="26" t="n"/>
    </row>
    <row r="62">
      <c r="A62" s="22" t="n"/>
      <c r="B62" s="20" t="n"/>
      <c r="C62" s="22" t="n"/>
      <c r="D62" s="22" t="n"/>
    </row>
    <row r="63">
      <c r="A63" s="26" t="n"/>
      <c r="B63" s="27" t="n"/>
      <c r="C63" s="26" t="n"/>
      <c r="D63" s="26" t="n"/>
    </row>
    <row r="64">
      <c r="A64" s="22" t="n"/>
      <c r="B64" s="20" t="n"/>
      <c r="C64" s="22" t="n"/>
      <c r="D64" s="22" t="n"/>
    </row>
  </sheetData>
  <mergeCells count="2">
    <mergeCell ref="A1:D1"/>
    <mergeCell ref="A2:D2"/>
  </mergeCells>
  <conditionalFormatting sqref="D5:D64">
    <cfRule type="cellIs" priority="1" operator="equal" dxfId="0">
      <formula>"Yes"</formula>
    </cfRule>
  </conditionalFormatting>
  <dataValidations count="1">
    <dataValidation sqref="D5:D6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24" customWidth="1" min="4" max="4"/>
    <col width="10" customWidth="1" min="5" max="5"/>
    <col width="14" customWidth="1" min="6" max="6"/>
  </cols>
  <sheetData>
    <row r="1" ht="46" customHeight="1">
      <c r="A1" s="1" t="inlineStr">
        <is>
          <t xml:space="preserve">  📝  ASSIGNMENTS &amp; GRADES</t>
        </is>
      </c>
    </row>
    <row r="2" ht="22" customHeight="1">
      <c r="A2" s="2" t="inlineStr">
        <is>
          <t xml:space="preserve">  Every graded assignment, per student — the raw material for the report card.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Student</t>
        </is>
      </c>
      <c r="C4" s="9" t="inlineStr">
        <is>
          <t>Subject</t>
        </is>
      </c>
      <c r="D4" s="9" t="inlineStr">
        <is>
          <t>Assignment</t>
        </is>
      </c>
      <c r="E4" s="9" t="inlineStr">
        <is>
          <t>Grade</t>
        </is>
      </c>
      <c r="F4" s="9" t="inlineStr">
        <is>
          <t>Status</t>
        </is>
      </c>
    </row>
    <row r="5">
      <c r="A5" s="35" t="n">
        <v>46212</v>
      </c>
      <c r="B5" s="26" t="inlineStr">
        <is>
          <t>Lucy</t>
        </is>
      </c>
      <c r="C5" s="26" t="inlineStr">
        <is>
          <t>Math</t>
        </is>
      </c>
      <c r="D5" s="27" t="inlineStr">
        <is>
          <t>Ch. 6 test</t>
        </is>
      </c>
      <c r="E5" s="26" t="inlineStr">
        <is>
          <t>95%</t>
        </is>
      </c>
      <c r="F5" s="26" t="inlineStr">
        <is>
          <t>Graded</t>
        </is>
      </c>
    </row>
    <row r="6">
      <c r="A6" s="36" t="n">
        <v>46213</v>
      </c>
      <c r="B6" s="22" t="inlineStr">
        <is>
          <t>Lucy</t>
        </is>
      </c>
      <c r="C6" s="22" t="inlineStr">
        <is>
          <t>Writing</t>
        </is>
      </c>
      <c r="D6" s="20" t="inlineStr">
        <is>
          <t>Animal report</t>
        </is>
      </c>
      <c r="E6" s="22" t="inlineStr">
        <is>
          <t>A</t>
        </is>
      </c>
      <c r="F6" s="22" t="inlineStr">
        <is>
          <t>Graded</t>
        </is>
      </c>
    </row>
    <row r="7">
      <c r="A7" s="35" t="n">
        <v>46214</v>
      </c>
      <c r="B7" s="26" t="inlineStr">
        <is>
          <t>Lucy</t>
        </is>
      </c>
      <c r="C7" s="26" t="inlineStr">
        <is>
          <t>Reading</t>
        </is>
      </c>
      <c r="D7" s="27" t="inlineStr">
        <is>
          <t>Comprehension quiz</t>
        </is>
      </c>
      <c r="E7" s="26" t="inlineStr">
        <is>
          <t>92%</t>
        </is>
      </c>
      <c r="F7" s="26" t="inlineStr">
        <is>
          <t>Graded</t>
        </is>
      </c>
    </row>
    <row r="8">
      <c r="A8" s="36" t="n">
        <v>46215</v>
      </c>
      <c r="B8" s="22" t="inlineStr">
        <is>
          <t>Jack</t>
        </is>
      </c>
      <c r="C8" s="22" t="inlineStr">
        <is>
          <t>Math</t>
        </is>
      </c>
      <c r="D8" s="20" t="inlineStr">
        <is>
          <t>Add within 20 quiz</t>
        </is>
      </c>
      <c r="E8" s="22" t="inlineStr">
        <is>
          <t>S+</t>
        </is>
      </c>
      <c r="F8" s="22" t="inlineStr">
        <is>
          <t>Graded</t>
        </is>
      </c>
    </row>
    <row r="9">
      <c r="A9" s="35" t="n">
        <v>46216</v>
      </c>
      <c r="B9" s="26" t="inlineStr">
        <is>
          <t>Lucy</t>
        </is>
      </c>
      <c r="C9" s="26" t="inlineStr">
        <is>
          <t>Spelling</t>
        </is>
      </c>
      <c r="D9" s="27" t="inlineStr">
        <is>
          <t>Unit 12 test</t>
        </is>
      </c>
      <c r="E9" s="26" t="inlineStr">
        <is>
          <t>88%</t>
        </is>
      </c>
      <c r="F9" s="26" t="inlineStr">
        <is>
          <t>Graded</t>
        </is>
      </c>
    </row>
    <row r="10">
      <c r="A10" s="36" t="n">
        <v>46217</v>
      </c>
      <c r="B10" s="22" t="inlineStr">
        <is>
          <t>Jack</t>
        </is>
      </c>
      <c r="C10" s="22" t="inlineStr">
        <is>
          <t>Reading</t>
        </is>
      </c>
      <c r="D10" s="20" t="inlineStr">
        <is>
          <t>Sight-word check</t>
        </is>
      </c>
      <c r="E10" s="22" t="inlineStr">
        <is>
          <t>S</t>
        </is>
      </c>
      <c r="F10" s="22" t="inlineStr">
        <is>
          <t>Graded</t>
        </is>
      </c>
    </row>
    <row r="11">
      <c r="A11" s="35" t="n">
        <v>46218</v>
      </c>
      <c r="B11" s="26" t="inlineStr">
        <is>
          <t>Lucy</t>
        </is>
      </c>
      <c r="C11" s="26" t="inlineStr">
        <is>
          <t>Science</t>
        </is>
      </c>
      <c r="D11" s="27" t="inlineStr">
        <is>
          <t>Life-cycle project</t>
        </is>
      </c>
      <c r="E11" s="26" t="inlineStr">
        <is>
          <t>A</t>
        </is>
      </c>
      <c r="F11" s="26" t="inlineStr">
        <is>
          <t>Graded</t>
        </is>
      </c>
    </row>
    <row r="12">
      <c r="A12" s="36" t="n">
        <v>46219</v>
      </c>
      <c r="B12" s="22" t="inlineStr">
        <is>
          <t>Jack</t>
        </is>
      </c>
      <c r="C12" s="22" t="inlineStr">
        <is>
          <t>Writing</t>
        </is>
      </c>
      <c r="D12" s="20" t="inlineStr">
        <is>
          <t>Sentence practice</t>
        </is>
      </c>
      <c r="E12" s="22" t="inlineStr">
        <is>
          <t>S</t>
        </is>
      </c>
      <c r="F12" s="22" t="inlineStr">
        <is>
          <t>Graded</t>
        </is>
      </c>
    </row>
    <row r="13">
      <c r="A13" s="35" t="n">
        <v>46220</v>
      </c>
      <c r="B13" s="26" t="inlineStr">
        <is>
          <t>Lucy</t>
        </is>
      </c>
      <c r="C13" s="26" t="inlineStr">
        <is>
          <t>Math</t>
        </is>
      </c>
      <c r="D13" s="27" t="inlineStr">
        <is>
          <t>Multiplication drill</t>
        </is>
      </c>
      <c r="E13" s="26" t="inlineStr">
        <is>
          <t>80%</t>
        </is>
      </c>
      <c r="F13" s="26" t="inlineStr">
        <is>
          <t>Graded</t>
        </is>
      </c>
    </row>
    <row r="14">
      <c r="A14" s="36" t="n">
        <v>46221</v>
      </c>
      <c r="B14" s="22" t="inlineStr">
        <is>
          <t>Jack</t>
        </is>
      </c>
      <c r="C14" s="22" t="inlineStr">
        <is>
          <t>Math</t>
        </is>
      </c>
      <c r="D14" s="20" t="inlineStr">
        <is>
          <t>Place value sort</t>
        </is>
      </c>
      <c r="E14" s="22" t="inlineStr">
        <is>
          <t>S+</t>
        </is>
      </c>
      <c r="F14" s="22" t="inlineStr">
        <is>
          <t>Graded</t>
        </is>
      </c>
    </row>
    <row r="15">
      <c r="A15" s="35" t="n">
        <v>46222</v>
      </c>
      <c r="B15" s="26" t="inlineStr">
        <is>
          <t>Lucy</t>
        </is>
      </c>
      <c r="C15" s="26" t="inlineStr">
        <is>
          <t>Social Studies</t>
        </is>
      </c>
      <c r="D15" s="27" t="inlineStr">
        <is>
          <t>Map quiz</t>
        </is>
      </c>
      <c r="E15" s="26" t="inlineStr">
        <is>
          <t>A-</t>
        </is>
      </c>
      <c r="F15" s="26" t="inlineStr">
        <is>
          <t>Graded</t>
        </is>
      </c>
    </row>
    <row r="16">
      <c r="A16" s="36" t="n">
        <v>46223</v>
      </c>
      <c r="B16" s="22" t="inlineStr">
        <is>
          <t>Lucy</t>
        </is>
      </c>
      <c r="C16" s="22" t="inlineStr">
        <is>
          <t>Spelling</t>
        </is>
      </c>
      <c r="D16" s="20" t="inlineStr">
        <is>
          <t>Unit 13 test</t>
        </is>
      </c>
      <c r="E16" s="22" t="inlineStr"/>
      <c r="F16" s="22" t="inlineStr">
        <is>
          <t>Turned In</t>
        </is>
      </c>
    </row>
    <row r="17">
      <c r="A17" s="35" t="n">
        <v>46224</v>
      </c>
      <c r="B17" s="26" t="inlineStr">
        <is>
          <t>Jack</t>
        </is>
      </c>
      <c r="C17" s="26" t="inlineStr">
        <is>
          <t>Reading</t>
        </is>
      </c>
      <c r="D17" s="27" t="inlineStr">
        <is>
          <t>Fluency check</t>
        </is>
      </c>
      <c r="E17" s="26" t="inlineStr"/>
      <c r="F17" s="26" t="inlineStr">
        <is>
          <t>Not Yet</t>
        </is>
      </c>
    </row>
    <row r="18">
      <c r="A18" s="36" t="n">
        <v>46224</v>
      </c>
      <c r="B18" s="22" t="inlineStr">
        <is>
          <t>Lucy</t>
        </is>
      </c>
      <c r="C18" s="22" t="inlineStr">
        <is>
          <t>Science</t>
        </is>
      </c>
      <c r="D18" s="20" t="inlineStr">
        <is>
          <t>Matter worksheet</t>
        </is>
      </c>
      <c r="E18" s="22" t="inlineStr"/>
      <c r="F18" s="22" t="inlineStr">
        <is>
          <t>Not Yet</t>
        </is>
      </c>
    </row>
    <row r="19">
      <c r="A19" s="35" t="n"/>
      <c r="B19" s="26" t="n"/>
      <c r="C19" s="26" t="n"/>
      <c r="D19" s="27" t="n"/>
      <c r="E19" s="26" t="n"/>
      <c r="F19" s="26" t="n"/>
    </row>
    <row r="20">
      <c r="A20" s="36" t="n"/>
      <c r="B20" s="22" t="n"/>
      <c r="C20" s="22" t="n"/>
      <c r="D20" s="20" t="n"/>
      <c r="E20" s="22" t="n"/>
      <c r="F20" s="22" t="n"/>
    </row>
    <row r="21">
      <c r="A21" s="35" t="n"/>
      <c r="B21" s="26" t="n"/>
      <c r="C21" s="26" t="n"/>
      <c r="D21" s="27" t="n"/>
      <c r="E21" s="26" t="n"/>
      <c r="F21" s="26" t="n"/>
    </row>
    <row r="22">
      <c r="A22" s="36" t="n"/>
      <c r="B22" s="22" t="n"/>
      <c r="C22" s="22" t="n"/>
      <c r="D22" s="20" t="n"/>
      <c r="E22" s="22" t="n"/>
      <c r="F22" s="22" t="n"/>
    </row>
    <row r="23">
      <c r="A23" s="35" t="n"/>
      <c r="B23" s="26" t="n"/>
      <c r="C23" s="26" t="n"/>
      <c r="D23" s="27" t="n"/>
      <c r="E23" s="26" t="n"/>
      <c r="F23" s="26" t="n"/>
    </row>
    <row r="24">
      <c r="A24" s="36" t="n"/>
      <c r="B24" s="22" t="n"/>
      <c r="C24" s="22" t="n"/>
      <c r="D24" s="20" t="n"/>
      <c r="E24" s="22" t="n"/>
      <c r="F24" s="22" t="n"/>
    </row>
    <row r="25">
      <c r="A25" s="35" t="n"/>
      <c r="B25" s="26" t="n"/>
      <c r="C25" s="26" t="n"/>
      <c r="D25" s="27" t="n"/>
      <c r="E25" s="26" t="n"/>
      <c r="F25" s="26" t="n"/>
    </row>
    <row r="26">
      <c r="A26" s="36" t="n"/>
      <c r="B26" s="22" t="n"/>
      <c r="C26" s="22" t="n"/>
      <c r="D26" s="20" t="n"/>
      <c r="E26" s="22" t="n"/>
      <c r="F26" s="22" t="n"/>
    </row>
    <row r="27">
      <c r="A27" s="35" t="n"/>
      <c r="B27" s="26" t="n"/>
      <c r="C27" s="26" t="n"/>
      <c r="D27" s="27" t="n"/>
      <c r="E27" s="26" t="n"/>
      <c r="F27" s="26" t="n"/>
    </row>
    <row r="28">
      <c r="A28" s="36" t="n"/>
      <c r="B28" s="22" t="n"/>
      <c r="C28" s="22" t="n"/>
      <c r="D28" s="20" t="n"/>
      <c r="E28" s="22" t="n"/>
      <c r="F28" s="22" t="n"/>
    </row>
    <row r="29">
      <c r="A29" s="35" t="n"/>
      <c r="B29" s="26" t="n"/>
      <c r="C29" s="26" t="n"/>
      <c r="D29" s="27" t="n"/>
      <c r="E29" s="26" t="n"/>
      <c r="F29" s="26" t="n"/>
    </row>
    <row r="30">
      <c r="A30" s="36" t="n"/>
      <c r="B30" s="22" t="n"/>
      <c r="C30" s="22" t="n"/>
      <c r="D30" s="20" t="n"/>
      <c r="E30" s="22" t="n"/>
      <c r="F30" s="22" t="n"/>
    </row>
    <row r="31">
      <c r="A31" s="35" t="n"/>
      <c r="B31" s="26" t="n"/>
      <c r="C31" s="26" t="n"/>
      <c r="D31" s="27" t="n"/>
      <c r="E31" s="26" t="n"/>
      <c r="F31" s="26" t="n"/>
    </row>
    <row r="32">
      <c r="A32" s="36" t="n"/>
      <c r="B32" s="22" t="n"/>
      <c r="C32" s="22" t="n"/>
      <c r="D32" s="20" t="n"/>
      <c r="E32" s="22" t="n"/>
      <c r="F32" s="22" t="n"/>
    </row>
    <row r="33">
      <c r="A33" s="35" t="n"/>
      <c r="B33" s="26" t="n"/>
      <c r="C33" s="26" t="n"/>
      <c r="D33" s="27" t="n"/>
      <c r="E33" s="26" t="n"/>
      <c r="F33" s="26" t="n"/>
    </row>
    <row r="34">
      <c r="A34" s="36" t="n"/>
      <c r="B34" s="22" t="n"/>
      <c r="C34" s="22" t="n"/>
      <c r="D34" s="20" t="n"/>
      <c r="E34" s="22" t="n"/>
      <c r="F34" s="22" t="n"/>
    </row>
    <row r="35">
      <c r="A35" s="35" t="n"/>
      <c r="B35" s="26" t="n"/>
      <c r="C35" s="26" t="n"/>
      <c r="D35" s="27" t="n"/>
      <c r="E35" s="26" t="n"/>
      <c r="F35" s="26" t="n"/>
    </row>
    <row r="36">
      <c r="A36" s="36" t="n"/>
      <c r="B36" s="22" t="n"/>
      <c r="C36" s="22" t="n"/>
      <c r="D36" s="20" t="n"/>
      <c r="E36" s="22" t="n"/>
      <c r="F36" s="22" t="n"/>
    </row>
    <row r="37">
      <c r="A37" s="35" t="n"/>
      <c r="B37" s="26" t="n"/>
      <c r="C37" s="26" t="n"/>
      <c r="D37" s="27" t="n"/>
      <c r="E37" s="26" t="n"/>
      <c r="F37" s="26" t="n"/>
    </row>
    <row r="38">
      <c r="A38" s="36" t="n"/>
      <c r="B38" s="22" t="n"/>
      <c r="C38" s="22" t="n"/>
      <c r="D38" s="20" t="n"/>
      <c r="E38" s="22" t="n"/>
      <c r="F38" s="22" t="n"/>
    </row>
    <row r="39">
      <c r="A39" s="35" t="n"/>
      <c r="B39" s="26" t="n"/>
      <c r="C39" s="26" t="n"/>
      <c r="D39" s="27" t="n"/>
      <c r="E39" s="26" t="n"/>
      <c r="F39" s="26" t="n"/>
    </row>
    <row r="40">
      <c r="A40" s="36" t="n"/>
      <c r="B40" s="22" t="n"/>
      <c r="C40" s="22" t="n"/>
      <c r="D40" s="20" t="n"/>
      <c r="E40" s="22" t="n"/>
      <c r="F40" s="22" t="n"/>
    </row>
    <row r="41">
      <c r="A41" s="35" t="n"/>
      <c r="B41" s="26" t="n"/>
      <c r="C41" s="26" t="n"/>
      <c r="D41" s="27" t="n"/>
      <c r="E41" s="26" t="n"/>
      <c r="F41" s="26" t="n"/>
    </row>
    <row r="42">
      <c r="A42" s="36" t="n"/>
      <c r="B42" s="22" t="n"/>
      <c r="C42" s="22" t="n"/>
      <c r="D42" s="20" t="n"/>
      <c r="E42" s="22" t="n"/>
      <c r="F42" s="22" t="n"/>
    </row>
    <row r="43">
      <c r="A43" s="35" t="n"/>
      <c r="B43" s="26" t="n"/>
      <c r="C43" s="26" t="n"/>
      <c r="D43" s="27" t="n"/>
      <c r="E43" s="26" t="n"/>
      <c r="F43" s="26" t="n"/>
    </row>
    <row r="44">
      <c r="A44" s="36" t="n"/>
      <c r="B44" s="22" t="n"/>
      <c r="C44" s="22" t="n"/>
      <c r="D44" s="20" t="n"/>
      <c r="E44" s="22" t="n"/>
      <c r="F44" s="22" t="n"/>
    </row>
    <row r="45">
      <c r="A45" s="35" t="n"/>
      <c r="B45" s="26" t="n"/>
      <c r="C45" s="26" t="n"/>
      <c r="D45" s="27" t="n"/>
      <c r="E45" s="26" t="n"/>
      <c r="F45" s="26" t="n"/>
    </row>
    <row r="46">
      <c r="A46" s="36" t="n"/>
      <c r="B46" s="22" t="n"/>
      <c r="C46" s="22" t="n"/>
      <c r="D46" s="20" t="n"/>
      <c r="E46" s="22" t="n"/>
      <c r="F46" s="22" t="n"/>
    </row>
    <row r="47">
      <c r="A47" s="35" t="n"/>
      <c r="B47" s="26" t="n"/>
      <c r="C47" s="26" t="n"/>
      <c r="D47" s="27" t="n"/>
      <c r="E47" s="26" t="n"/>
      <c r="F47" s="26" t="n"/>
    </row>
    <row r="48">
      <c r="A48" s="36" t="n"/>
      <c r="B48" s="22" t="n"/>
      <c r="C48" s="22" t="n"/>
      <c r="D48" s="20" t="n"/>
      <c r="E48" s="22" t="n"/>
      <c r="F48" s="22" t="n"/>
    </row>
    <row r="49">
      <c r="A49" s="35" t="n"/>
      <c r="B49" s="26" t="n"/>
      <c r="C49" s="26" t="n"/>
      <c r="D49" s="27" t="n"/>
      <c r="E49" s="26" t="n"/>
      <c r="F49" s="26" t="n"/>
    </row>
    <row r="50">
      <c r="A50" s="36" t="n"/>
      <c r="B50" s="22" t="n"/>
      <c r="C50" s="22" t="n"/>
      <c r="D50" s="20" t="n"/>
      <c r="E50" s="22" t="n"/>
      <c r="F50" s="22" t="n"/>
    </row>
    <row r="51">
      <c r="A51" s="35" t="n"/>
      <c r="B51" s="26" t="n"/>
      <c r="C51" s="26" t="n"/>
      <c r="D51" s="27" t="n"/>
      <c r="E51" s="26" t="n"/>
      <c r="F51" s="26" t="n"/>
    </row>
    <row r="52">
      <c r="A52" s="36" t="n"/>
      <c r="B52" s="22" t="n"/>
      <c r="C52" s="22" t="n"/>
      <c r="D52" s="20" t="n"/>
      <c r="E52" s="22" t="n"/>
      <c r="F52" s="22" t="n"/>
    </row>
    <row r="53">
      <c r="A53" s="35" t="n"/>
      <c r="B53" s="26" t="n"/>
      <c r="C53" s="26" t="n"/>
      <c r="D53" s="27" t="n"/>
      <c r="E53" s="26" t="n"/>
      <c r="F53" s="26" t="n"/>
    </row>
    <row r="54">
      <c r="A54" s="36" t="n"/>
      <c r="B54" s="22" t="n"/>
      <c r="C54" s="22" t="n"/>
      <c r="D54" s="20" t="n"/>
      <c r="E54" s="22" t="n"/>
      <c r="F54" s="22" t="n"/>
    </row>
    <row r="55">
      <c r="A55" s="35" t="n"/>
      <c r="B55" s="26" t="n"/>
      <c r="C55" s="26" t="n"/>
      <c r="D55" s="27" t="n"/>
      <c r="E55" s="26" t="n"/>
      <c r="F55" s="26" t="n"/>
    </row>
    <row r="56">
      <c r="A56" s="36" t="n"/>
      <c r="B56" s="22" t="n"/>
      <c r="C56" s="22" t="n"/>
      <c r="D56" s="20" t="n"/>
      <c r="E56" s="22" t="n"/>
      <c r="F56" s="22" t="n"/>
    </row>
    <row r="57">
      <c r="A57" s="35" t="n"/>
      <c r="B57" s="26" t="n"/>
      <c r="C57" s="26" t="n"/>
      <c r="D57" s="27" t="n"/>
      <c r="E57" s="26" t="n"/>
      <c r="F57" s="26" t="n"/>
    </row>
    <row r="58">
      <c r="A58" s="36" t="n"/>
      <c r="B58" s="22" t="n"/>
      <c r="C58" s="22" t="n"/>
      <c r="D58" s="20" t="n"/>
      <c r="E58" s="22" t="n"/>
      <c r="F58" s="22" t="n"/>
    </row>
    <row r="59">
      <c r="A59" s="35" t="n"/>
      <c r="B59" s="26" t="n"/>
      <c r="C59" s="26" t="n"/>
      <c r="D59" s="27" t="n"/>
      <c r="E59" s="26" t="n"/>
      <c r="F59" s="26" t="n"/>
    </row>
    <row r="60">
      <c r="A60" s="36" t="n"/>
      <c r="B60" s="22" t="n"/>
      <c r="C60" s="22" t="n"/>
      <c r="D60" s="20" t="n"/>
      <c r="E60" s="22" t="n"/>
      <c r="F60" s="22" t="n"/>
    </row>
    <row r="61">
      <c r="A61" s="35" t="n"/>
      <c r="B61" s="26" t="n"/>
      <c r="C61" s="26" t="n"/>
      <c r="D61" s="27" t="n"/>
      <c r="E61" s="26" t="n"/>
      <c r="F61" s="26" t="n"/>
    </row>
    <row r="62">
      <c r="A62" s="36" t="n"/>
      <c r="B62" s="22" t="n"/>
      <c r="C62" s="22" t="n"/>
      <c r="D62" s="20" t="n"/>
      <c r="E62" s="22" t="n"/>
      <c r="F62" s="22" t="n"/>
    </row>
    <row r="63">
      <c r="A63" s="35" t="n"/>
      <c r="B63" s="26" t="n"/>
      <c r="C63" s="26" t="n"/>
      <c r="D63" s="27" t="n"/>
      <c r="E63" s="26" t="n"/>
      <c r="F63" s="26" t="n"/>
    </row>
    <row r="64">
      <c r="A64" s="36" t="n"/>
      <c r="B64" s="22" t="n"/>
      <c r="C64" s="22" t="n"/>
      <c r="D64" s="20" t="n"/>
      <c r="E64" s="22" t="n"/>
      <c r="F64" s="22" t="n"/>
    </row>
  </sheetData>
  <mergeCells count="2">
    <mergeCell ref="A2:F2"/>
    <mergeCell ref="A1:F1"/>
  </mergeCells>
  <conditionalFormatting sqref="F5:F64">
    <cfRule type="cellIs" priority="1" operator="equal" dxfId="0">
      <formula>"Graded"</formula>
    </cfRule>
    <cfRule type="cellIs" priority="2" operator="equal" dxfId="1">
      <formula>"Turned In"</formula>
    </cfRule>
    <cfRule type="cellIs" priority="3" operator="equal" dxfId="3">
      <formula>"Not Yet"</formula>
    </cfRule>
  </conditionalFormatting>
  <dataValidations count="2">
    <dataValidation sqref="C5:C64" showDropDown="0" showInputMessage="0" showErrorMessage="0" allowBlank="1" type="list">
      <formula1>=SubjectList</formula1>
    </dataValidation>
    <dataValidation sqref="F5:F64" showDropDown="0" showInputMessage="0" showErrorMessage="0" allowBlank="1" type="list">
      <formula1>=GradedList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2" customWidth="1" min="8" max="8"/>
  </cols>
  <sheetData>
    <row r="1" ht="46" customHeight="1">
      <c r="A1" s="1" t="inlineStr">
        <is>
          <t xml:space="preserve">  🏅  REPORT CARD</t>
        </is>
      </c>
    </row>
    <row r="2" ht="22" customHeight="1">
      <c r="A2" s="2" t="inlineStr">
        <is>
          <t xml:space="preserve">  A clean quarter-by-quarter record per student — print-ready for your files.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B4" s="9" t="inlineStr">
        <is>
          <t>Student — Subject</t>
        </is>
      </c>
      <c r="C4" s="9" t="inlineStr">
        <is>
          <t>Q1</t>
        </is>
      </c>
      <c r="D4" s="9" t="inlineStr">
        <is>
          <t>Q2</t>
        </is>
      </c>
      <c r="E4" s="9" t="inlineStr">
        <is>
          <t>Q3</t>
        </is>
      </c>
      <c r="F4" s="9" t="inlineStr">
        <is>
          <t>Q4</t>
        </is>
      </c>
      <c r="G4" s="9" t="inlineStr">
        <is>
          <t>Final</t>
        </is>
      </c>
    </row>
    <row r="5">
      <c r="B5" s="17" t="inlineStr">
        <is>
          <t>Lucy — Math</t>
        </is>
      </c>
      <c r="C5" s="37" t="inlineStr">
        <is>
          <t>A</t>
        </is>
      </c>
      <c r="D5" s="37" t="inlineStr"/>
      <c r="E5" s="37" t="inlineStr"/>
      <c r="F5" s="37" t="inlineStr"/>
      <c r="G5" s="37" t="inlineStr"/>
    </row>
    <row r="6">
      <c r="B6" s="20" t="inlineStr">
        <is>
          <t>Lucy — Reading</t>
        </is>
      </c>
      <c r="C6" s="38" t="inlineStr">
        <is>
          <t>A</t>
        </is>
      </c>
      <c r="D6" s="38" t="inlineStr"/>
      <c r="E6" s="38" t="inlineStr"/>
      <c r="F6" s="38" t="inlineStr"/>
      <c r="G6" s="38" t="inlineStr"/>
    </row>
    <row r="7">
      <c r="B7" s="17" t="inlineStr">
        <is>
          <t>Lucy — Writing</t>
        </is>
      </c>
      <c r="C7" s="37" t="inlineStr">
        <is>
          <t>A-</t>
        </is>
      </c>
      <c r="D7" s="37" t="inlineStr"/>
      <c r="E7" s="37" t="inlineStr"/>
      <c r="F7" s="37" t="inlineStr"/>
      <c r="G7" s="37" t="inlineStr"/>
    </row>
    <row r="8">
      <c r="B8" s="20" t="inlineStr">
        <is>
          <t>Lucy — Spelling</t>
        </is>
      </c>
      <c r="C8" s="38" t="inlineStr">
        <is>
          <t>B+</t>
        </is>
      </c>
      <c r="D8" s="38" t="inlineStr"/>
      <c r="E8" s="38" t="inlineStr"/>
      <c r="F8" s="38" t="inlineStr"/>
      <c r="G8" s="38" t="inlineStr"/>
    </row>
    <row r="9">
      <c r="B9" s="17" t="inlineStr">
        <is>
          <t>Lucy — Science</t>
        </is>
      </c>
      <c r="C9" s="37" t="inlineStr">
        <is>
          <t>A</t>
        </is>
      </c>
      <c r="D9" s="37" t="inlineStr"/>
      <c r="E9" s="37" t="inlineStr"/>
      <c r="F9" s="37" t="inlineStr"/>
      <c r="G9" s="37" t="inlineStr"/>
    </row>
    <row r="10">
      <c r="B10" s="20" t="inlineStr">
        <is>
          <t>Jack — Math</t>
        </is>
      </c>
      <c r="C10" s="38" t="inlineStr">
        <is>
          <t>S+</t>
        </is>
      </c>
      <c r="D10" s="38" t="inlineStr"/>
      <c r="E10" s="38" t="inlineStr"/>
      <c r="F10" s="38" t="inlineStr"/>
      <c r="G10" s="38" t="inlineStr"/>
    </row>
    <row r="11">
      <c r="B11" s="17" t="inlineStr">
        <is>
          <t>Jack — Reading</t>
        </is>
      </c>
      <c r="C11" s="37" t="inlineStr">
        <is>
          <t>S</t>
        </is>
      </c>
      <c r="D11" s="37" t="inlineStr"/>
      <c r="E11" s="37" t="inlineStr"/>
      <c r="F11" s="37" t="inlineStr"/>
      <c r="G11" s="37" t="inlineStr"/>
    </row>
    <row r="12">
      <c r="B12" s="20" t="inlineStr">
        <is>
          <t>Jack — Writing</t>
        </is>
      </c>
      <c r="C12" s="38" t="inlineStr">
        <is>
          <t>S</t>
        </is>
      </c>
      <c r="D12" s="38" t="inlineStr"/>
      <c r="E12" s="38" t="inlineStr"/>
      <c r="F12" s="38" t="inlineStr"/>
      <c r="G12" s="38" t="inlineStr"/>
    </row>
    <row r="15" ht="22" customHeight="1">
      <c r="B15" s="4" t="inlineStr">
        <is>
          <t>GRADING KEY</t>
        </is>
      </c>
    </row>
    <row r="16">
      <c r="B16" s="23" t="inlineStr">
        <is>
          <t>A / 90–100</t>
        </is>
      </c>
      <c r="C16" s="24" t="inlineStr">
        <is>
          <t>Excellent</t>
        </is>
      </c>
    </row>
    <row r="17">
      <c r="B17" s="23" t="inlineStr">
        <is>
          <t>B / 80–89</t>
        </is>
      </c>
      <c r="C17" s="24" t="inlineStr">
        <is>
          <t>Good</t>
        </is>
      </c>
    </row>
    <row r="18">
      <c r="B18" s="23" t="inlineStr">
        <is>
          <t>S+ / S</t>
        </is>
      </c>
      <c r="C18" s="24" t="inlineStr">
        <is>
          <t>Satisfactory (younger)</t>
        </is>
      </c>
    </row>
    <row r="19">
      <c r="B19" s="23" t="inlineStr">
        <is>
          <t>N</t>
        </is>
      </c>
      <c r="C19" s="24" t="inlineStr">
        <is>
          <t>Needs practice</t>
        </is>
      </c>
    </row>
    <row r="20">
      <c r="B20" s="23" t="inlineStr">
        <is>
          <t>I</t>
        </is>
      </c>
      <c r="C20" s="24" t="inlineStr">
        <is>
          <t>In progress</t>
        </is>
      </c>
    </row>
  </sheetData>
  <mergeCells count="3">
    <mergeCell ref="B15:F15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 ht="46" customHeight="1">
      <c r="A1" s="1" t="inlineStr">
        <is>
          <t xml:space="preserve">  📅  ATTENDANCE &amp; DAYS</t>
        </is>
      </c>
    </row>
    <row r="2" ht="22" customHeight="1">
      <c r="A2" s="2" t="inlineStr">
        <is>
          <t xml:space="preserve">  Days by week — the record your state may require. Set required days in Settings.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Week</t>
        </is>
      </c>
      <c r="B4" s="9" t="inlineStr">
        <is>
          <t>Days</t>
        </is>
      </c>
      <c r="C4" s="9" t="inlineStr">
        <is>
          <t>Notes</t>
        </is>
      </c>
    </row>
    <row r="5">
      <c r="A5" s="26" t="inlineStr">
        <is>
          <t>Week 1</t>
        </is>
      </c>
      <c r="B5" s="39" t="n">
        <v>5</v>
      </c>
      <c r="C5" s="27" t="inlineStr"/>
    </row>
    <row r="6">
      <c r="A6" s="22" t="inlineStr">
        <is>
          <t>Week 2</t>
        </is>
      </c>
      <c r="B6" s="40" t="n">
        <v>5</v>
      </c>
      <c r="C6" s="20" t="inlineStr"/>
    </row>
    <row r="7">
      <c r="A7" s="26" t="inlineStr">
        <is>
          <t>Week 3</t>
        </is>
      </c>
      <c r="B7" s="39" t="n">
        <v>5</v>
      </c>
      <c r="C7" s="27" t="inlineStr"/>
    </row>
    <row r="8">
      <c r="A8" s="22" t="inlineStr">
        <is>
          <t>Week 4</t>
        </is>
      </c>
      <c r="B8" s="40" t="n">
        <v>5</v>
      </c>
      <c r="C8" s="20" t="inlineStr"/>
    </row>
    <row r="9">
      <c r="A9" s="26" t="inlineStr">
        <is>
          <t>Week 5</t>
        </is>
      </c>
      <c r="B9" s="39" t="n">
        <v>5</v>
      </c>
      <c r="C9" s="27" t="inlineStr"/>
    </row>
    <row r="10">
      <c r="A10" s="22" t="inlineStr">
        <is>
          <t>Week 6</t>
        </is>
      </c>
      <c r="B10" s="40" t="n">
        <v>5</v>
      </c>
      <c r="C10" s="20" t="inlineStr"/>
    </row>
    <row r="11">
      <c r="A11" s="26" t="inlineStr">
        <is>
          <t>Week 7</t>
        </is>
      </c>
      <c r="B11" s="39" t="n">
        <v>5</v>
      </c>
      <c r="C11" s="27" t="inlineStr"/>
    </row>
    <row r="12">
      <c r="A12" s="22" t="inlineStr">
        <is>
          <t>Week 8</t>
        </is>
      </c>
      <c r="B12" s="40" t="n">
        <v>5</v>
      </c>
      <c r="C12" s="20" t="inlineStr"/>
    </row>
    <row r="13">
      <c r="A13" s="26" t="inlineStr">
        <is>
          <t>Week 9</t>
        </is>
      </c>
      <c r="B13" s="39" t="n">
        <v>5</v>
      </c>
      <c r="C13" s="27" t="inlineStr"/>
    </row>
    <row r="14">
      <c r="A14" s="22" t="inlineStr">
        <is>
          <t>Week 10</t>
        </is>
      </c>
      <c r="B14" s="40" t="n">
        <v>5</v>
      </c>
      <c r="C14" s="20" t="inlineStr"/>
    </row>
    <row r="15">
      <c r="A15" s="26" t="inlineStr">
        <is>
          <t>Week 11</t>
        </is>
      </c>
      <c r="B15" s="39" t="n">
        <v>5</v>
      </c>
      <c r="C15" s="27" t="inlineStr"/>
    </row>
    <row r="16">
      <c r="A16" s="22" t="inlineStr">
        <is>
          <t>Week 12</t>
        </is>
      </c>
      <c r="B16" s="40" t="n">
        <v>5</v>
      </c>
      <c r="C16" s="20" t="inlineStr"/>
    </row>
    <row r="17">
      <c r="A17" s="26" t="inlineStr">
        <is>
          <t>Week 13</t>
        </is>
      </c>
      <c r="B17" s="39" t="n">
        <v>5</v>
      </c>
      <c r="C17" s="27" t="inlineStr"/>
    </row>
    <row r="18">
      <c r="A18" s="22" t="inlineStr">
        <is>
          <t>Week 14</t>
        </is>
      </c>
      <c r="B18" s="40" t="n">
        <v>5</v>
      </c>
      <c r="C18" s="20" t="inlineStr"/>
    </row>
    <row r="19">
      <c r="A19" s="26" t="inlineStr">
        <is>
          <t>Week 15</t>
        </is>
      </c>
      <c r="B19" s="39" t="n">
        <v>5</v>
      </c>
      <c r="C19" s="27" t="inlineStr"/>
    </row>
    <row r="20">
      <c r="A20" s="22" t="inlineStr">
        <is>
          <t>Week 16</t>
        </is>
      </c>
      <c r="B20" s="40" t="n">
        <v>5</v>
      </c>
      <c r="C20" s="20" t="inlineStr"/>
    </row>
    <row r="21">
      <c r="A21" s="26" t="inlineStr">
        <is>
          <t>Week 17</t>
        </is>
      </c>
      <c r="B21" s="39" t="n">
        <v>5</v>
      </c>
      <c r="C21" s="27" t="inlineStr"/>
    </row>
    <row r="22">
      <c r="A22" s="22" t="inlineStr">
        <is>
          <t>Week 18</t>
        </is>
      </c>
      <c r="B22" s="40" t="n">
        <v>5</v>
      </c>
      <c r="C22" s="20" t="inlineStr"/>
    </row>
    <row r="23">
      <c r="A23" s="26" t="inlineStr">
        <is>
          <t>Week 19</t>
        </is>
      </c>
      <c r="B23" s="39" t="n">
        <v>5</v>
      </c>
      <c r="C23" s="27" t="inlineStr"/>
    </row>
    <row r="24">
      <c r="A24" s="22" t="inlineStr">
        <is>
          <t>Week 20</t>
        </is>
      </c>
      <c r="B24" s="40" t="n">
        <v>5</v>
      </c>
      <c r="C24" s="20" t="inlineStr"/>
    </row>
    <row r="25">
      <c r="A25" s="26" t="inlineStr">
        <is>
          <t>Week 21</t>
        </is>
      </c>
      <c r="B25" s="39" t="n">
        <v>5</v>
      </c>
      <c r="C25" s="27" t="inlineStr"/>
    </row>
    <row r="26">
      <c r="A26" s="22" t="inlineStr">
        <is>
          <t>Week 22</t>
        </is>
      </c>
      <c r="B26" s="40" t="n">
        <v>5</v>
      </c>
      <c r="C26" s="20" t="inlineStr"/>
    </row>
    <row r="27">
      <c r="A27" s="26" t="inlineStr">
        <is>
          <t>Week 23</t>
        </is>
      </c>
      <c r="B27" s="39" t="n">
        <v>5</v>
      </c>
      <c r="C27" s="27" t="inlineStr"/>
    </row>
    <row r="28">
      <c r="A28" s="22" t="inlineStr">
        <is>
          <t>Week 24</t>
        </is>
      </c>
      <c r="B28" s="40" t="n">
        <v>5</v>
      </c>
      <c r="C28" s="20" t="inlineStr"/>
    </row>
    <row r="29">
      <c r="A29" s="26" t="n"/>
      <c r="B29" s="39" t="n"/>
      <c r="C29" s="27" t="n"/>
    </row>
    <row r="30">
      <c r="A30" s="22" t="n"/>
      <c r="B30" s="40" t="n"/>
      <c r="C30" s="20" t="n"/>
    </row>
    <row r="31">
      <c r="A31" s="26" t="n"/>
      <c r="B31" s="39" t="n"/>
      <c r="C31" s="27" t="n"/>
    </row>
    <row r="32">
      <c r="A32" s="22" t="n"/>
      <c r="B32" s="40" t="n"/>
      <c r="C32" s="20" t="n"/>
    </row>
    <row r="33">
      <c r="A33" s="26" t="n"/>
      <c r="B33" s="39" t="n"/>
      <c r="C33" s="27" t="n"/>
    </row>
    <row r="34">
      <c r="A34" s="22" t="n"/>
      <c r="B34" s="40" t="n"/>
      <c r="C34" s="20" t="n"/>
    </row>
    <row r="35">
      <c r="A35" s="26" t="n"/>
      <c r="B35" s="39" t="n"/>
      <c r="C35" s="27" t="n"/>
    </row>
    <row r="36">
      <c r="A36" s="22" t="n"/>
      <c r="B36" s="40" t="n"/>
      <c r="C36" s="20" t="n"/>
    </row>
    <row r="37">
      <c r="A37" s="26" t="n"/>
      <c r="B37" s="39" t="n"/>
      <c r="C37" s="27" t="n"/>
    </row>
    <row r="38">
      <c r="A38" s="22" t="n"/>
      <c r="B38" s="40" t="n"/>
      <c r="C38" s="20" t="n"/>
    </row>
    <row r="39">
      <c r="A39" s="26" t="n"/>
      <c r="B39" s="39" t="n"/>
      <c r="C39" s="27" t="n"/>
    </row>
    <row r="40">
      <c r="A40" s="22" t="n"/>
      <c r="B40" s="40" t="n"/>
      <c r="C40" s="20" t="n"/>
    </row>
    <row r="41">
      <c r="A41" s="26" t="n"/>
      <c r="B41" s="39" t="n"/>
      <c r="C41" s="27" t="n"/>
    </row>
    <row r="42">
      <c r="A42" s="22" t="n"/>
      <c r="B42" s="40" t="n"/>
      <c r="C42" s="20" t="n"/>
    </row>
    <row r="43">
      <c r="A43" s="26" t="n"/>
      <c r="B43" s="39" t="n"/>
      <c r="C43" s="27" t="n"/>
    </row>
    <row r="44">
      <c r="A44" s="22" t="n"/>
      <c r="B44" s="40" t="n"/>
      <c r="C44" s="20" t="n"/>
    </row>
    <row r="45">
      <c r="A45" s="9" t="inlineStr">
        <is>
          <t>TOTAL</t>
        </is>
      </c>
      <c r="B45" s="41">
        <f>SUM(AttDays)</f>
        <v/>
      </c>
      <c r="C45" s="31" t="n"/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2" customWidth="1" min="4" max="4"/>
    <col width="12" customWidth="1" min="5" max="5"/>
  </cols>
  <sheetData>
    <row r="1" ht="46" customHeight="1">
      <c r="A1" s="1" t="inlineStr">
        <is>
          <t xml:space="preserve">  📖  CURRICULUM &amp; RESOURCES</t>
        </is>
      </c>
    </row>
    <row r="2" ht="22" customHeight="1">
      <c r="A2" s="2" t="inlineStr">
        <is>
          <t xml:space="preserve">  What you're using per subject &amp; child, what it cost &amp; what's still needed.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Subject</t>
        </is>
      </c>
      <c r="B4" s="9" t="inlineStr">
        <is>
          <t>Resource</t>
        </is>
      </c>
      <c r="C4" s="9" t="inlineStr">
        <is>
          <t>Student</t>
        </is>
      </c>
      <c r="D4" s="9" t="inlineStr">
        <is>
          <t>Cost</t>
        </is>
      </c>
      <c r="E4" s="9" t="inlineStr">
        <is>
          <t>Status</t>
        </is>
      </c>
    </row>
    <row r="5">
      <c r="A5" s="26" t="inlineStr">
        <is>
          <t>Math</t>
        </is>
      </c>
      <c r="B5" s="27" t="inlineStr">
        <is>
          <t>Singapore 3A/3B</t>
        </is>
      </c>
      <c r="C5" s="26" t="inlineStr">
        <is>
          <t>Lucy</t>
        </is>
      </c>
      <c r="D5" s="42" t="n">
        <v>90</v>
      </c>
      <c r="E5" s="26" t="inlineStr">
        <is>
          <t>Have</t>
        </is>
      </c>
    </row>
    <row r="6">
      <c r="A6" s="22" t="inlineStr">
        <is>
          <t>Math</t>
        </is>
      </c>
      <c r="B6" s="20" t="inlineStr">
        <is>
          <t>Math-U-See Alpha</t>
        </is>
      </c>
      <c r="C6" s="22" t="inlineStr">
        <is>
          <t>Jack</t>
        </is>
      </c>
      <c r="D6" s="43" t="n">
        <v>85</v>
      </c>
      <c r="E6" s="22" t="inlineStr">
        <is>
          <t>Have</t>
        </is>
      </c>
    </row>
    <row r="7">
      <c r="A7" s="26" t="inlineStr">
        <is>
          <t>Reading</t>
        </is>
      </c>
      <c r="B7" s="27" t="inlineStr">
        <is>
          <t>The Good &amp; the Beautiful</t>
        </is>
      </c>
      <c r="C7" s="26" t="inlineStr">
        <is>
          <t>Both</t>
        </is>
      </c>
      <c r="D7" s="42" t="n">
        <v>0</v>
      </c>
      <c r="E7" s="26" t="inlineStr">
        <is>
          <t>Have</t>
        </is>
      </c>
    </row>
    <row r="8">
      <c r="A8" s="22" t="inlineStr">
        <is>
          <t>Writing</t>
        </is>
      </c>
      <c r="B8" s="20" t="inlineStr">
        <is>
          <t>IEW-B</t>
        </is>
      </c>
      <c r="C8" s="22" t="inlineStr">
        <is>
          <t>Lucy</t>
        </is>
      </c>
      <c r="D8" s="43" t="n">
        <v>60</v>
      </c>
      <c r="E8" s="22" t="inlineStr">
        <is>
          <t>Have</t>
        </is>
      </c>
    </row>
    <row r="9">
      <c r="A9" s="26" t="inlineStr">
        <is>
          <t>Spelling</t>
        </is>
      </c>
      <c r="B9" s="27" t="inlineStr">
        <is>
          <t>All About Spelling 2</t>
        </is>
      </c>
      <c r="C9" s="26" t="inlineStr">
        <is>
          <t>Lucy</t>
        </is>
      </c>
      <c r="D9" s="42" t="n">
        <v>40</v>
      </c>
      <c r="E9" s="26" t="inlineStr">
        <is>
          <t>Have</t>
        </is>
      </c>
    </row>
    <row r="10">
      <c r="A10" s="22" t="inlineStr">
        <is>
          <t>Science</t>
        </is>
      </c>
      <c r="B10" s="20" t="inlineStr">
        <is>
          <t>Nancy Larson Science</t>
        </is>
      </c>
      <c r="C10" s="22" t="inlineStr">
        <is>
          <t>Both</t>
        </is>
      </c>
      <c r="D10" s="43" t="n">
        <v>120</v>
      </c>
      <c r="E10" s="22" t="inlineStr">
        <is>
          <t>Have</t>
        </is>
      </c>
    </row>
    <row r="11">
      <c r="A11" s="26" t="inlineStr">
        <is>
          <t>Social Studies</t>
        </is>
      </c>
      <c r="B11" s="27" t="inlineStr">
        <is>
          <t>Story of the World 1</t>
        </is>
      </c>
      <c r="C11" s="26" t="inlineStr">
        <is>
          <t>Both</t>
        </is>
      </c>
      <c r="D11" s="42" t="n">
        <v>40</v>
      </c>
      <c r="E11" s="26" t="inlineStr">
        <is>
          <t>Have</t>
        </is>
      </c>
    </row>
    <row r="12">
      <c r="A12" s="22" t="inlineStr">
        <is>
          <t>Art</t>
        </is>
      </c>
      <c r="B12" s="20" t="inlineStr">
        <is>
          <t>Art supply box</t>
        </is>
      </c>
      <c r="C12" s="22" t="inlineStr">
        <is>
          <t>Both</t>
        </is>
      </c>
      <c r="D12" s="43" t="n">
        <v>45</v>
      </c>
      <c r="E12" s="22" t="inlineStr">
        <is>
          <t>Have</t>
        </is>
      </c>
    </row>
    <row r="13">
      <c r="A13" s="26" t="n"/>
      <c r="B13" s="27" t="n"/>
      <c r="C13" s="26" t="n"/>
      <c r="D13" s="42" t="n"/>
      <c r="E13" s="26" t="n"/>
    </row>
    <row r="14">
      <c r="A14" s="22" t="n"/>
      <c r="B14" s="20" t="n"/>
      <c r="C14" s="22" t="n"/>
      <c r="D14" s="43" t="n"/>
      <c r="E14" s="22" t="n"/>
    </row>
    <row r="15">
      <c r="A15" s="26" t="n"/>
      <c r="B15" s="27" t="n"/>
      <c r="C15" s="26" t="n"/>
      <c r="D15" s="42" t="n"/>
      <c r="E15" s="26" t="n"/>
    </row>
    <row r="16">
      <c r="A16" s="22" t="n"/>
      <c r="B16" s="20" t="n"/>
      <c r="C16" s="22" t="n"/>
      <c r="D16" s="43" t="n"/>
      <c r="E16" s="22" t="n"/>
    </row>
    <row r="17">
      <c r="A17" s="26" t="n"/>
      <c r="B17" s="27" t="n"/>
      <c r="C17" s="26" t="n"/>
      <c r="D17" s="42" t="n"/>
      <c r="E17" s="26" t="n"/>
    </row>
    <row r="18">
      <c r="A18" s="22" t="n"/>
      <c r="B18" s="20" t="n"/>
      <c r="C18" s="22" t="n"/>
      <c r="D18" s="43" t="n"/>
      <c r="E18" s="22" t="n"/>
    </row>
    <row r="19">
      <c r="A19" s="26" t="n"/>
      <c r="B19" s="27" t="n"/>
      <c r="C19" s="26" t="n"/>
      <c r="D19" s="42" t="n"/>
      <c r="E19" s="26" t="n"/>
    </row>
    <row r="20">
      <c r="A20" s="22" t="n"/>
      <c r="B20" s="20" t="n"/>
      <c r="C20" s="22" t="n"/>
      <c r="D20" s="43" t="n"/>
      <c r="E20" s="22" t="n"/>
    </row>
    <row r="21">
      <c r="A21" s="26" t="n"/>
      <c r="B21" s="27" t="n"/>
      <c r="C21" s="26" t="n"/>
      <c r="D21" s="42" t="n"/>
      <c r="E21" s="26" t="n"/>
    </row>
    <row r="22">
      <c r="A22" s="22" t="n"/>
      <c r="B22" s="20" t="n"/>
      <c r="C22" s="22" t="n"/>
      <c r="D22" s="43" t="n"/>
      <c r="E22" s="22" t="n"/>
    </row>
    <row r="23">
      <c r="A23" s="26" t="n"/>
      <c r="B23" s="27" t="n"/>
      <c r="C23" s="26" t="n"/>
      <c r="D23" s="42" t="n"/>
      <c r="E23" s="26" t="n"/>
    </row>
    <row r="24">
      <c r="A24" s="22" t="n"/>
      <c r="B24" s="20" t="n"/>
      <c r="C24" s="22" t="n"/>
      <c r="D24" s="43" t="n"/>
      <c r="E24" s="22" t="n"/>
    </row>
    <row r="25">
      <c r="A25" s="26" t="n"/>
      <c r="B25" s="27" t="n"/>
      <c r="C25" s="26" t="n"/>
      <c r="D25" s="42" t="n"/>
      <c r="E25" s="26" t="n"/>
    </row>
    <row r="26">
      <c r="A26" s="22" t="n"/>
      <c r="B26" s="20" t="n"/>
      <c r="C26" s="22" t="n"/>
      <c r="D26" s="43" t="n"/>
      <c r="E26" s="22" t="n"/>
    </row>
    <row r="27">
      <c r="A27" s="26" t="n"/>
      <c r="B27" s="27" t="n"/>
      <c r="C27" s="26" t="n"/>
      <c r="D27" s="42" t="n"/>
      <c r="E27" s="26" t="n"/>
    </row>
    <row r="28">
      <c r="A28" s="22" t="n"/>
      <c r="B28" s="20" t="n"/>
      <c r="C28" s="22" t="n"/>
      <c r="D28" s="43" t="n"/>
      <c r="E28" s="22" t="n"/>
    </row>
    <row r="29">
      <c r="A29" s="26" t="n"/>
      <c r="B29" s="27" t="n"/>
      <c r="C29" s="26" t="n"/>
      <c r="D29" s="42" t="n"/>
      <c r="E29" s="26" t="n"/>
    </row>
    <row r="30">
      <c r="A30" s="22" t="n"/>
      <c r="B30" s="20" t="n"/>
      <c r="C30" s="22" t="n"/>
      <c r="D30" s="43" t="n"/>
      <c r="E30" s="22" t="n"/>
    </row>
    <row r="31">
      <c r="A31" s="26" t="n"/>
      <c r="B31" s="27" t="n"/>
      <c r="C31" s="26" t="n"/>
      <c r="D31" s="42" t="n"/>
      <c r="E31" s="26" t="n"/>
    </row>
    <row r="32">
      <c r="A32" s="22" t="n"/>
      <c r="B32" s="20" t="n"/>
      <c r="C32" s="22" t="n"/>
      <c r="D32" s="43" t="n"/>
      <c r="E32" s="22" t="n"/>
    </row>
    <row r="33">
      <c r="A33" s="26" t="n"/>
      <c r="B33" s="27" t="n"/>
      <c r="C33" s="26" t="n"/>
      <c r="D33" s="42" t="n"/>
      <c r="E33" s="26" t="n"/>
    </row>
    <row r="34">
      <c r="A34" s="22" t="n"/>
      <c r="B34" s="20" t="n"/>
      <c r="C34" s="22" t="n"/>
      <c r="D34" s="43" t="n"/>
      <c r="E34" s="22" t="n"/>
    </row>
  </sheetData>
  <mergeCells count="2">
    <mergeCell ref="A2:E2"/>
    <mergeCell ref="A1:E1"/>
  </mergeCells>
  <conditionalFormatting sqref="E5:E34">
    <cfRule type="cellIs" priority="1" operator="equal" dxfId="0">
      <formula>"Have"</formula>
    </cfRule>
    <cfRule type="cellIs" priority="2" operator="equal" dxfId="1">
      <formula>"Ordered"</formula>
    </cfRule>
    <cfRule type="cellIs" priority="3" operator="equal" dxfId="3">
      <formula>"Need"</formula>
    </cfRule>
  </conditionalFormatting>
  <dataValidations count="2">
    <dataValidation sqref="A5:A34" showDropDown="0" showInputMessage="0" showErrorMessage="0" allowBlank="1" type="list">
      <formula1>=SubjectList</formula1>
    </dataValidation>
    <dataValidation sqref="E5:E34" showDropDown="0" showInputMessage="0" showErrorMessage="0" allowBlank="1" type="list">
      <formula1>=AcquiredList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</cols>
  <sheetData>
    <row r="1" ht="46" customHeight="1">
      <c r="A1" s="1" t="inlineStr">
        <is>
          <t xml:space="preserve">  🚌  FIELD TRIPS &amp; ENRICHMENT</t>
        </is>
      </c>
    </row>
    <row r="2" ht="22" customHeight="1">
      <c r="A2" s="2" t="inlineStr">
        <is>
          <t xml:space="preserve">  Learning beyond the table — every trip, class &amp; what it covered.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Date</t>
        </is>
      </c>
      <c r="B4" s="9" t="inlineStr">
        <is>
          <t>Place / Activity</t>
        </is>
      </c>
      <c r="C4" s="9" t="inlineStr">
        <is>
          <t>Subject Tie-in</t>
        </is>
      </c>
      <c r="D4" s="9" t="inlineStr">
        <is>
          <t>Who</t>
        </is>
      </c>
    </row>
    <row r="5">
      <c r="A5" s="35" t="n">
        <v>46194</v>
      </c>
      <c r="B5" s="27" t="inlineStr">
        <is>
          <t>Science museum</t>
        </is>
      </c>
      <c r="C5" s="26" t="inlineStr">
        <is>
          <t>Science</t>
        </is>
      </c>
      <c r="D5" s="26" t="inlineStr">
        <is>
          <t>Both</t>
        </is>
      </c>
    </row>
    <row r="6">
      <c r="A6" s="36" t="n">
        <v>46202</v>
      </c>
      <c r="B6" s="20" t="inlineStr">
        <is>
          <t>Public library program</t>
        </is>
      </c>
      <c r="C6" s="22" t="inlineStr">
        <is>
          <t>Reading</t>
        </is>
      </c>
      <c r="D6" s="22" t="inlineStr">
        <is>
          <t>Both</t>
        </is>
      </c>
    </row>
    <row r="7">
      <c r="A7" s="35" t="n">
        <v>46210</v>
      </c>
      <c r="B7" s="27" t="inlineStr">
        <is>
          <t>Local farm</t>
        </is>
      </c>
      <c r="C7" s="26" t="inlineStr">
        <is>
          <t>Science</t>
        </is>
      </c>
      <c r="D7" s="26" t="inlineStr">
        <is>
          <t>Both</t>
        </is>
      </c>
    </row>
    <row r="8">
      <c r="A8" s="36" t="n">
        <v>46218</v>
      </c>
      <c r="B8" s="20" t="inlineStr">
        <is>
          <t>Art class at the co-op</t>
        </is>
      </c>
      <c r="C8" s="22" t="inlineStr">
        <is>
          <t>Art</t>
        </is>
      </c>
      <c r="D8" s="22" t="inlineStr">
        <is>
          <t>Lucy</t>
        </is>
      </c>
    </row>
    <row r="9">
      <c r="A9" s="35" t="n">
        <v>46232</v>
      </c>
      <c r="B9" s="27" t="inlineStr">
        <is>
          <t>Children's theater</t>
        </is>
      </c>
      <c r="C9" s="26" t="inlineStr">
        <is>
          <t>Reading</t>
        </is>
      </c>
      <c r="D9" s="26" t="inlineStr">
        <is>
          <t>Both</t>
        </is>
      </c>
    </row>
    <row r="10">
      <c r="A10" s="36" t="n">
        <v>46240</v>
      </c>
      <c r="B10" s="20" t="inlineStr">
        <is>
          <t>Nature-center hike</t>
        </is>
      </c>
      <c r="C10" s="22" t="inlineStr">
        <is>
          <t>Science</t>
        </is>
      </c>
      <c r="D10" s="22" t="inlineStr">
        <is>
          <t>Both</t>
        </is>
      </c>
    </row>
    <row r="11">
      <c r="A11" s="35" t="n"/>
      <c r="B11" s="27" t="n"/>
      <c r="C11" s="26" t="n"/>
      <c r="D11" s="26" t="n"/>
    </row>
    <row r="12">
      <c r="A12" s="36" t="n"/>
      <c r="B12" s="20" t="n"/>
      <c r="C12" s="22" t="n"/>
      <c r="D12" s="22" t="n"/>
    </row>
    <row r="13">
      <c r="A13" s="35" t="n"/>
      <c r="B13" s="27" t="n"/>
      <c r="C13" s="26" t="n"/>
      <c r="D13" s="26" t="n"/>
    </row>
    <row r="14">
      <c r="A14" s="36" t="n"/>
      <c r="B14" s="20" t="n"/>
      <c r="C14" s="22" t="n"/>
      <c r="D14" s="22" t="n"/>
    </row>
    <row r="15">
      <c r="A15" s="35" t="n"/>
      <c r="B15" s="27" t="n"/>
      <c r="C15" s="26" t="n"/>
      <c r="D15" s="26" t="n"/>
    </row>
    <row r="16">
      <c r="A16" s="36" t="n"/>
      <c r="B16" s="20" t="n"/>
      <c r="C16" s="22" t="n"/>
      <c r="D16" s="22" t="n"/>
    </row>
    <row r="17">
      <c r="A17" s="35" t="n"/>
      <c r="B17" s="27" t="n"/>
      <c r="C17" s="26" t="n"/>
      <c r="D17" s="26" t="n"/>
    </row>
    <row r="18">
      <c r="A18" s="36" t="n"/>
      <c r="B18" s="20" t="n"/>
      <c r="C18" s="22" t="n"/>
      <c r="D18" s="22" t="n"/>
    </row>
    <row r="19">
      <c r="A19" s="35" t="n"/>
      <c r="B19" s="27" t="n"/>
      <c r="C19" s="26" t="n"/>
      <c r="D19" s="26" t="n"/>
    </row>
    <row r="20">
      <c r="A20" s="36" t="n"/>
      <c r="B20" s="20" t="n"/>
      <c r="C20" s="22" t="n"/>
      <c r="D20" s="22" t="n"/>
    </row>
    <row r="21">
      <c r="A21" s="35" t="n"/>
      <c r="B21" s="27" t="n"/>
      <c r="C21" s="26" t="n"/>
      <c r="D21" s="26" t="n"/>
    </row>
    <row r="22">
      <c r="A22" s="36" t="n"/>
      <c r="B22" s="20" t="n"/>
      <c r="C22" s="22" t="n"/>
      <c r="D22" s="22" t="n"/>
    </row>
    <row r="23">
      <c r="A23" s="35" t="n"/>
      <c r="B23" s="27" t="n"/>
      <c r="C23" s="26" t="n"/>
      <c r="D23" s="26" t="n"/>
    </row>
    <row r="24">
      <c r="A24" s="36" t="n"/>
      <c r="B24" s="20" t="n"/>
      <c r="C24" s="22" t="n"/>
      <c r="D24" s="22" t="n"/>
    </row>
    <row r="25">
      <c r="A25" s="35" t="n"/>
      <c r="B25" s="27" t="n"/>
      <c r="C25" s="26" t="n"/>
      <c r="D25" s="26" t="n"/>
    </row>
    <row r="26">
      <c r="A26" s="36" t="n"/>
      <c r="B26" s="20" t="n"/>
      <c r="C26" s="22" t="n"/>
      <c r="D26" s="22" t="n"/>
    </row>
    <row r="27">
      <c r="A27" s="35" t="n"/>
      <c r="B27" s="27" t="n"/>
      <c r="C27" s="26" t="n"/>
      <c r="D27" s="26" t="n"/>
    </row>
    <row r="28">
      <c r="A28" s="36" t="n"/>
      <c r="B28" s="20" t="n"/>
      <c r="C28" s="22" t="n"/>
      <c r="D28" s="22" t="n"/>
    </row>
    <row r="29">
      <c r="A29" s="35" t="n"/>
      <c r="B29" s="27" t="n"/>
      <c r="C29" s="26" t="n"/>
      <c r="D29" s="26" t="n"/>
    </row>
    <row r="30">
      <c r="A30" s="36" t="n"/>
      <c r="B30" s="20" t="n"/>
      <c r="C30" s="22" t="n"/>
      <c r="D30" s="22" t="n"/>
    </row>
    <row r="31">
      <c r="A31" s="35" t="n"/>
      <c r="B31" s="27" t="n"/>
      <c r="C31" s="26" t="n"/>
      <c r="D31" s="26" t="n"/>
    </row>
    <row r="32">
      <c r="A32" s="36" t="n"/>
      <c r="B32" s="20" t="n"/>
      <c r="C32" s="22" t="n"/>
      <c r="D32" s="22" t="n"/>
    </row>
    <row r="33">
      <c r="A33" s="35" t="n"/>
      <c r="B33" s="27" t="n"/>
      <c r="C33" s="26" t="n"/>
      <c r="D33" s="26" t="n"/>
    </row>
    <row r="34">
      <c r="A34" s="36" t="n"/>
      <c r="B34" s="20" t="n"/>
      <c r="C34" s="22" t="n"/>
      <c r="D34" s="22" t="n"/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 ht="46" customHeight="1">
      <c r="A1" s="1" t="inlineStr">
        <is>
          <t xml:space="preserve">  🌟  HABITS &amp; CHARACTER</t>
        </is>
      </c>
    </row>
    <row r="2" ht="22" customHeight="1">
      <c r="A2" s="2" t="inlineStr">
        <is>
          <t xml:space="preserve">  The little routines that build great learners — check them off &amp; watch the streaks grow.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Habit</t>
        </is>
      </c>
      <c r="B4" s="9" t="inlineStr">
        <is>
          <t>Done Today?</t>
        </is>
      </c>
      <c r="C4" s="9" t="inlineStr">
        <is>
          <t>Streak (days)</t>
        </is>
      </c>
    </row>
    <row r="5">
      <c r="A5" s="26" t="inlineStr">
        <is>
          <t>Made the bed</t>
        </is>
      </c>
      <c r="B5" s="26" t="inlineStr">
        <is>
          <t>Yes</t>
        </is>
      </c>
      <c r="C5" s="39" t="n">
        <v>12</v>
      </c>
    </row>
    <row r="6">
      <c r="A6" s="22" t="inlineStr">
        <is>
          <t>Morning chores</t>
        </is>
      </c>
      <c r="B6" s="22" t="inlineStr">
        <is>
          <t>Yes</t>
        </is>
      </c>
      <c r="C6" s="40" t="n">
        <v>8</v>
      </c>
    </row>
    <row r="7">
      <c r="A7" s="26" t="inlineStr">
        <is>
          <t>Read 20 minutes</t>
        </is>
      </c>
      <c r="B7" s="26" t="inlineStr">
        <is>
          <t>Yes</t>
        </is>
      </c>
      <c r="C7" s="39" t="n">
        <v>24</v>
      </c>
    </row>
    <row r="8">
      <c r="A8" s="22" t="inlineStr">
        <is>
          <t>Kind words / helped a sibling</t>
        </is>
      </c>
      <c r="B8" s="22" t="inlineStr">
        <is>
          <t>Yes</t>
        </is>
      </c>
      <c r="C8" s="40" t="n">
        <v>6</v>
      </c>
    </row>
    <row r="9">
      <c r="A9" s="26" t="inlineStr">
        <is>
          <t>Screen-time limit kept</t>
        </is>
      </c>
      <c r="B9" s="26" t="inlineStr">
        <is>
          <t>No</t>
        </is>
      </c>
      <c r="C9" s="39" t="n">
        <v>0</v>
      </c>
    </row>
    <row r="10">
      <c r="A10" s="22" t="inlineStr">
        <is>
          <t>Tidied school space</t>
        </is>
      </c>
      <c r="B10" s="22" t="inlineStr">
        <is>
          <t>Yes</t>
        </is>
      </c>
      <c r="C10" s="40" t="n">
        <v>9</v>
      </c>
    </row>
    <row r="11">
      <c r="A11" s="26" t="inlineStr">
        <is>
          <t>Practiced piano</t>
        </is>
      </c>
      <c r="B11" s="26" t="inlineStr">
        <is>
          <t>Yes</t>
        </is>
      </c>
      <c r="C11" s="39" t="n">
        <v>4</v>
      </c>
    </row>
    <row r="12">
      <c r="A12" s="22" t="n"/>
      <c r="B12" s="22" t="n"/>
      <c r="C12" s="40" t="n"/>
    </row>
    <row r="13">
      <c r="A13" s="26" t="n"/>
      <c r="B13" s="26" t="n"/>
      <c r="C13" s="39" t="n"/>
    </row>
    <row r="14">
      <c r="A14" s="22" t="n"/>
      <c r="B14" s="22" t="n"/>
      <c r="C14" s="40" t="n"/>
    </row>
    <row r="15">
      <c r="A15" s="26" t="n"/>
      <c r="B15" s="26" t="n"/>
      <c r="C15" s="39" t="n"/>
    </row>
    <row r="16">
      <c r="A16" s="22" t="n"/>
      <c r="B16" s="22" t="n"/>
      <c r="C16" s="40" t="n"/>
    </row>
    <row r="17">
      <c r="A17" s="26" t="n"/>
      <c r="B17" s="26" t="n"/>
      <c r="C17" s="39" t="n"/>
    </row>
    <row r="18">
      <c r="A18" s="22" t="n"/>
      <c r="B18" s="22" t="n"/>
      <c r="C18" s="40" t="n"/>
    </row>
    <row r="19">
      <c r="A19" s="26" t="n"/>
      <c r="B19" s="26" t="n"/>
      <c r="C19" s="39" t="n"/>
    </row>
    <row r="20">
      <c r="A20" s="22" t="n"/>
      <c r="B20" s="22" t="n"/>
      <c r="C20" s="40" t="n"/>
    </row>
    <row r="21">
      <c r="A21" s="26" t="n"/>
      <c r="B21" s="26" t="n"/>
      <c r="C21" s="39" t="n"/>
    </row>
    <row r="22">
      <c r="A22" s="22" t="n"/>
      <c r="B22" s="22" t="n"/>
      <c r="C22" s="40" t="n"/>
    </row>
    <row r="23">
      <c r="A23" s="26" t="n"/>
      <c r="B23" s="26" t="n"/>
      <c r="C23" s="39" t="n"/>
    </row>
    <row r="24">
      <c r="A24" s="22" t="n"/>
      <c r="B24" s="22" t="n"/>
      <c r="C24" s="40" t="n"/>
    </row>
  </sheetData>
  <mergeCells count="2">
    <mergeCell ref="A1:C1"/>
    <mergeCell ref="A2:C2"/>
  </mergeCells>
  <conditionalFormatting sqref="B5:B24">
    <cfRule type="cellIs" priority="1" operator="equal" dxfId="0">
      <formula>"Yes"</formula>
    </cfRule>
  </conditionalFormatting>
  <conditionalFormatting sqref="C5:C24">
    <cfRule type="dataBar" priority="2">
      <dataBar showValue="1">
        <cfvo type="num" val="0"/>
        <cfvo type="num" val="30"/>
        <color rgb="001B4F48"/>
      </dataBar>
    </cfRule>
  </conditionalFormatting>
  <dataValidations count="1">
    <dataValidation sqref="B5:B2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 ht="46" customHeight="1">
      <c r="A1" s="1" t="inlineStr">
        <is>
          <t xml:space="preserve">  🏆  AWARDS &amp; MILESTONES</t>
        </is>
      </c>
    </row>
    <row r="2" ht="22" customHeight="1">
      <c r="A2" s="2" t="inlineStr">
        <is>
          <t xml:space="preserve">  Every win worth celebrating — the milestones that keep little learners motivated.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Award / Milestone</t>
        </is>
      </c>
      <c r="B4" s="9" t="inlineStr">
        <is>
          <t>Student</t>
        </is>
      </c>
      <c r="C4" s="9" t="inlineStr">
        <is>
          <t>Date</t>
        </is>
      </c>
    </row>
    <row r="5">
      <c r="A5" s="27" t="inlineStr">
        <is>
          <t>Read 50 books!</t>
        </is>
      </c>
      <c r="B5" s="26" t="inlineStr">
        <is>
          <t>Lucy</t>
        </is>
      </c>
      <c r="C5" s="35" t="n">
        <v>46214</v>
      </c>
    </row>
    <row r="6">
      <c r="A6" s="20" t="inlineStr">
        <is>
          <t>Mastered addition facts</t>
        </is>
      </c>
      <c r="B6" s="22" t="inlineStr">
        <is>
          <t>Jack</t>
        </is>
      </c>
      <c r="C6" s="36" t="n">
        <v>46206</v>
      </c>
    </row>
    <row r="7">
      <c r="A7" s="27" t="inlineStr">
        <is>
          <t>Finished Singapore 3A</t>
        </is>
      </c>
      <c r="B7" s="26" t="inlineStr">
        <is>
          <t>Lucy</t>
        </is>
      </c>
      <c r="C7" s="35" t="n">
        <v>46199</v>
      </c>
    </row>
    <row r="8">
      <c r="A8" s="20" t="inlineStr">
        <is>
          <t>First chapter book read alone</t>
        </is>
      </c>
      <c r="B8" s="22" t="inlineStr">
        <is>
          <t>Jack</t>
        </is>
      </c>
      <c r="C8" s="36" t="n">
        <v>46184</v>
      </c>
    </row>
    <row r="9">
      <c r="A9" s="27" t="inlineStr">
        <is>
          <t>Perfect spelling test</t>
        </is>
      </c>
      <c r="B9" s="26" t="inlineStr">
        <is>
          <t>Lucy</t>
        </is>
      </c>
      <c r="C9" s="35" t="n">
        <v>46219</v>
      </c>
    </row>
    <row r="10">
      <c r="A10" s="20" t="n"/>
      <c r="B10" s="22" t="n"/>
      <c r="C10" s="36" t="n"/>
    </row>
    <row r="11">
      <c r="A11" s="27" t="n"/>
      <c r="B11" s="26" t="n"/>
      <c r="C11" s="35" t="n"/>
    </row>
    <row r="12">
      <c r="A12" s="20" t="n"/>
      <c r="B12" s="22" t="n"/>
      <c r="C12" s="36" t="n"/>
    </row>
    <row r="13">
      <c r="A13" s="27" t="n"/>
      <c r="B13" s="26" t="n"/>
      <c r="C13" s="35" t="n"/>
    </row>
    <row r="14">
      <c r="A14" s="20" t="n"/>
      <c r="B14" s="22" t="n"/>
      <c r="C14" s="36" t="n"/>
    </row>
    <row r="15">
      <c r="A15" s="27" t="n"/>
      <c r="B15" s="26" t="n"/>
      <c r="C15" s="35" t="n"/>
    </row>
    <row r="16">
      <c r="A16" s="20" t="n"/>
      <c r="B16" s="22" t="n"/>
      <c r="C16" s="36" t="n"/>
    </row>
    <row r="17">
      <c r="A17" s="27" t="n"/>
      <c r="B17" s="26" t="n"/>
      <c r="C17" s="35" t="n"/>
    </row>
    <row r="18">
      <c r="A18" s="20" t="n"/>
      <c r="B18" s="22" t="n"/>
      <c r="C18" s="36" t="n"/>
    </row>
    <row r="19">
      <c r="A19" s="27" t="n"/>
      <c r="B19" s="26" t="n"/>
      <c r="C19" s="35" t="n"/>
    </row>
    <row r="20">
      <c r="A20" s="20" t="n"/>
      <c r="B20" s="22" t="n"/>
      <c r="C20" s="36" t="n"/>
    </row>
    <row r="21">
      <c r="A21" s="27" t="n"/>
      <c r="B21" s="26" t="n"/>
      <c r="C21" s="35" t="n"/>
    </row>
    <row r="22">
      <c r="A22" s="20" t="n"/>
      <c r="B22" s="22" t="n"/>
      <c r="C22" s="36" t="n"/>
    </row>
    <row r="23">
      <c r="A23" s="27" t="n"/>
      <c r="B23" s="26" t="n"/>
      <c r="C23" s="35" t="n"/>
    </row>
    <row r="24">
      <c r="A24" s="20" t="n"/>
      <c r="B24" s="22" t="n"/>
      <c r="C24" s="36" t="n"/>
    </row>
    <row r="25">
      <c r="A25" s="27" t="n"/>
      <c r="B25" s="26" t="n"/>
      <c r="C25" s="35" t="n"/>
    </row>
    <row r="26">
      <c r="A26" s="20" t="n"/>
      <c r="B26" s="22" t="n"/>
      <c r="C26" s="36" t="n"/>
    </row>
    <row r="27">
      <c r="A27" s="27" t="n"/>
      <c r="B27" s="26" t="n"/>
      <c r="C27" s="35" t="n"/>
    </row>
    <row r="28">
      <c r="A28" s="20" t="n"/>
      <c r="B28" s="22" t="n"/>
      <c r="C28" s="36" t="n"/>
    </row>
  </sheetData>
  <mergeCells count="2">
    <mergeCell ref="A1:C1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2" customWidth="1" min="4" max="4"/>
  </cols>
  <sheetData>
    <row r="1" ht="46" customHeight="1">
      <c r="A1" s="1" t="inlineStr">
        <is>
          <t xml:space="preserve">  📚  BOOK LIST &amp; WISH LIST</t>
        </is>
      </c>
    </row>
    <row r="2" ht="22" customHeight="1">
      <c r="A2" s="2" t="inlineStr">
        <is>
          <t xml:space="preserve">  The year's reading &amp; the wish list — what to borrow, buy or save for later.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Title</t>
        </is>
      </c>
      <c r="B4" s="9" t="inlineStr">
        <is>
          <t>Author</t>
        </is>
      </c>
      <c r="C4" s="9" t="inlineStr">
        <is>
          <t>For</t>
        </is>
      </c>
      <c r="D4" s="9" t="inlineStr">
        <is>
          <t>Status</t>
        </is>
      </c>
    </row>
    <row r="5">
      <c r="A5" s="27" t="inlineStr">
        <is>
          <t>The Chronicles of Narnia</t>
        </is>
      </c>
      <c r="B5" s="26" t="inlineStr">
        <is>
          <t>C.S. Lewis</t>
        </is>
      </c>
      <c r="C5" s="26" t="inlineStr">
        <is>
          <t>Read-aloud</t>
        </is>
      </c>
      <c r="D5" s="26" t="inlineStr">
        <is>
          <t>Have</t>
        </is>
      </c>
    </row>
    <row r="6">
      <c r="A6" s="20" t="inlineStr">
        <is>
          <t>Magic Tree House series</t>
        </is>
      </c>
      <c r="B6" s="22" t="inlineStr">
        <is>
          <t>Osborne</t>
        </is>
      </c>
      <c r="C6" s="22" t="inlineStr">
        <is>
          <t>Lucy</t>
        </is>
      </c>
      <c r="D6" s="22" t="inlineStr">
        <is>
          <t>Have</t>
        </is>
      </c>
    </row>
    <row r="7">
      <c r="A7" s="27" t="inlineStr">
        <is>
          <t>Frog and Toad</t>
        </is>
      </c>
      <c r="B7" s="26" t="inlineStr">
        <is>
          <t>Lobel</t>
        </is>
      </c>
      <c r="C7" s="26" t="inlineStr">
        <is>
          <t>Jack</t>
        </is>
      </c>
      <c r="D7" s="26" t="inlineStr">
        <is>
          <t>Have</t>
        </is>
      </c>
    </row>
    <row r="8">
      <c r="A8" s="20" t="inlineStr">
        <is>
          <t>Charlotte's Web</t>
        </is>
      </c>
      <c r="B8" s="22" t="inlineStr">
        <is>
          <t>E.B. White</t>
        </is>
      </c>
      <c r="C8" s="22" t="inlineStr">
        <is>
          <t>Read-aloud</t>
        </is>
      </c>
      <c r="D8" s="22" t="inlineStr">
        <is>
          <t>Have</t>
        </is>
      </c>
    </row>
    <row r="9">
      <c r="A9" s="27" t="inlineStr">
        <is>
          <t>Elephant &amp; Piggie set</t>
        </is>
      </c>
      <c r="B9" s="26" t="inlineStr">
        <is>
          <t>Willems</t>
        </is>
      </c>
      <c r="C9" s="26" t="inlineStr">
        <is>
          <t>Jack</t>
        </is>
      </c>
      <c r="D9" s="26" t="inlineStr">
        <is>
          <t>Have</t>
        </is>
      </c>
    </row>
    <row r="10">
      <c r="A10" s="20" t="inlineStr">
        <is>
          <t>The Boxcar Children</t>
        </is>
      </c>
      <c r="B10" s="22" t="inlineStr">
        <is>
          <t>Warner</t>
        </is>
      </c>
      <c r="C10" s="22" t="inlineStr">
        <is>
          <t>Lucy</t>
        </is>
      </c>
      <c r="D10" s="22" t="inlineStr">
        <is>
          <t>Need</t>
        </is>
      </c>
    </row>
    <row r="11">
      <c r="A11" s="27" t="inlineStr">
        <is>
          <t>Poetry for Young People</t>
        </is>
      </c>
      <c r="B11" s="26" t="inlineStr">
        <is>
          <t>various</t>
        </is>
      </c>
      <c r="C11" s="26" t="inlineStr">
        <is>
          <t>Both</t>
        </is>
      </c>
      <c r="D11" s="26" t="inlineStr">
        <is>
          <t>Need</t>
        </is>
      </c>
    </row>
    <row r="12">
      <c r="A12" s="20" t="inlineStr">
        <is>
          <t>D'Aulaires' Greek Myths</t>
        </is>
      </c>
      <c r="B12" s="22" t="inlineStr">
        <is>
          <t>D'Aulaire</t>
        </is>
      </c>
      <c r="C12" s="22" t="inlineStr">
        <is>
          <t>Read-aloud</t>
        </is>
      </c>
      <c r="D12" s="22" t="inlineStr">
        <is>
          <t>Have</t>
        </is>
      </c>
    </row>
    <row r="13">
      <c r="A13" s="27" t="n"/>
      <c r="B13" s="26" t="n"/>
      <c r="C13" s="26" t="n"/>
      <c r="D13" s="26" t="n"/>
    </row>
    <row r="14">
      <c r="A14" s="20" t="n"/>
      <c r="B14" s="22" t="n"/>
      <c r="C14" s="22" t="n"/>
      <c r="D14" s="22" t="n"/>
    </row>
    <row r="15">
      <c r="A15" s="27" t="n"/>
      <c r="B15" s="26" t="n"/>
      <c r="C15" s="26" t="n"/>
      <c r="D15" s="26" t="n"/>
    </row>
    <row r="16">
      <c r="A16" s="20" t="n"/>
      <c r="B16" s="22" t="n"/>
      <c r="C16" s="22" t="n"/>
      <c r="D16" s="22" t="n"/>
    </row>
    <row r="17">
      <c r="A17" s="27" t="n"/>
      <c r="B17" s="26" t="n"/>
      <c r="C17" s="26" t="n"/>
      <c r="D17" s="26" t="n"/>
    </row>
    <row r="18">
      <c r="A18" s="20" t="n"/>
      <c r="B18" s="22" t="n"/>
      <c r="C18" s="22" t="n"/>
      <c r="D18" s="22" t="n"/>
    </row>
    <row r="19">
      <c r="A19" s="27" t="n"/>
      <c r="B19" s="26" t="n"/>
      <c r="C19" s="26" t="n"/>
      <c r="D19" s="26" t="n"/>
    </row>
    <row r="20">
      <c r="A20" s="20" t="n"/>
      <c r="B20" s="22" t="n"/>
      <c r="C20" s="22" t="n"/>
      <c r="D20" s="22" t="n"/>
    </row>
    <row r="21">
      <c r="A21" s="27" t="n"/>
      <c r="B21" s="26" t="n"/>
      <c r="C21" s="26" t="n"/>
      <c r="D21" s="26" t="n"/>
    </row>
    <row r="22">
      <c r="A22" s="20" t="n"/>
      <c r="B22" s="22" t="n"/>
      <c r="C22" s="22" t="n"/>
      <c r="D22" s="22" t="n"/>
    </row>
    <row r="23">
      <c r="A23" s="27" t="n"/>
      <c r="B23" s="26" t="n"/>
      <c r="C23" s="26" t="n"/>
      <c r="D23" s="26" t="n"/>
    </row>
    <row r="24">
      <c r="A24" s="20" t="n"/>
      <c r="B24" s="22" t="n"/>
      <c r="C24" s="22" t="n"/>
      <c r="D24" s="22" t="n"/>
    </row>
    <row r="25">
      <c r="A25" s="27" t="n"/>
      <c r="B25" s="26" t="n"/>
      <c r="C25" s="26" t="n"/>
      <c r="D25" s="26" t="n"/>
    </row>
    <row r="26">
      <c r="A26" s="20" t="n"/>
      <c r="B26" s="22" t="n"/>
      <c r="C26" s="22" t="n"/>
      <c r="D26" s="22" t="n"/>
    </row>
    <row r="27">
      <c r="A27" s="27" t="n"/>
      <c r="B27" s="26" t="n"/>
      <c r="C27" s="26" t="n"/>
      <c r="D27" s="26" t="n"/>
    </row>
    <row r="28">
      <c r="A28" s="20" t="n"/>
      <c r="B28" s="22" t="n"/>
      <c r="C28" s="22" t="n"/>
      <c r="D28" s="22" t="n"/>
    </row>
    <row r="29">
      <c r="A29" s="27" t="n"/>
      <c r="B29" s="26" t="n"/>
      <c r="C29" s="26" t="n"/>
      <c r="D29" s="26" t="n"/>
    </row>
    <row r="30">
      <c r="A30" s="20" t="n"/>
      <c r="B30" s="22" t="n"/>
      <c r="C30" s="22" t="n"/>
      <c r="D30" s="22" t="n"/>
    </row>
    <row r="31">
      <c r="A31" s="27" t="n"/>
      <c r="B31" s="26" t="n"/>
      <c r="C31" s="26" t="n"/>
      <c r="D31" s="26" t="n"/>
    </row>
    <row r="32">
      <c r="A32" s="20" t="n"/>
      <c r="B32" s="22" t="n"/>
      <c r="C32" s="22" t="n"/>
      <c r="D32" s="22" t="n"/>
    </row>
    <row r="33">
      <c r="A33" s="27" t="n"/>
      <c r="B33" s="26" t="n"/>
      <c r="C33" s="26" t="n"/>
      <c r="D33" s="26" t="n"/>
    </row>
    <row r="34">
      <c r="A34" s="20" t="n"/>
      <c r="B34" s="22" t="n"/>
      <c r="C34" s="22" t="n"/>
      <c r="D34" s="22" t="n"/>
    </row>
    <row r="35">
      <c r="A35" s="27" t="n"/>
      <c r="B35" s="26" t="n"/>
      <c r="C35" s="26" t="n"/>
      <c r="D35" s="26" t="n"/>
    </row>
    <row r="36">
      <c r="A36" s="20" t="n"/>
      <c r="B36" s="22" t="n"/>
      <c r="C36" s="22" t="n"/>
      <c r="D36" s="22" t="n"/>
    </row>
    <row r="37">
      <c r="A37" s="27" t="n"/>
      <c r="B37" s="26" t="n"/>
      <c r="C37" s="26" t="n"/>
      <c r="D37" s="26" t="n"/>
    </row>
    <row r="38">
      <c r="A38" s="20" t="n"/>
      <c r="B38" s="22" t="n"/>
      <c r="C38" s="22" t="n"/>
      <c r="D38" s="22" t="n"/>
    </row>
    <row r="39">
      <c r="A39" s="27" t="n"/>
      <c r="B39" s="26" t="n"/>
      <c r="C39" s="26" t="n"/>
      <c r="D39" s="26" t="n"/>
    </row>
    <row r="40">
      <c r="A40" s="20" t="n"/>
      <c r="B40" s="22" t="n"/>
      <c r="C40" s="22" t="n"/>
      <c r="D40" s="22" t="n"/>
    </row>
    <row r="41">
      <c r="A41" s="27" t="n"/>
      <c r="B41" s="26" t="n"/>
      <c r="C41" s="26" t="n"/>
      <c r="D41" s="26" t="n"/>
    </row>
    <row r="42">
      <c r="A42" s="20" t="n"/>
      <c r="B42" s="22" t="n"/>
      <c r="C42" s="22" t="n"/>
      <c r="D42" s="22" t="n"/>
    </row>
    <row r="43">
      <c r="A43" s="27" t="n"/>
      <c r="B43" s="26" t="n"/>
      <c r="C43" s="26" t="n"/>
      <c r="D43" s="26" t="n"/>
    </row>
    <row r="44">
      <c r="A44" s="20" t="n"/>
      <c r="B44" s="22" t="n"/>
      <c r="C44" s="22" t="n"/>
      <c r="D44" s="22" t="n"/>
    </row>
  </sheetData>
  <mergeCells count="2">
    <mergeCell ref="A1:D1"/>
    <mergeCell ref="A2:D2"/>
  </mergeCells>
  <dataValidations count="1">
    <dataValidation sqref="D5:D44" showDropDown="0" showInputMessage="0" showErrorMessage="0" allowBlank="1" type="list">
      <formula1>=AcquiredList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family details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7" t="inlineStr">
        <is>
          <t>SCHOOL INPUTS</t>
        </is>
      </c>
      <c r="E5" s="4" t="inlineStr">
        <is>
          <t>DROPDOWN LISTS</t>
        </is>
      </c>
    </row>
    <row r="6">
      <c r="B6" s="23" t="inlineStr">
        <is>
          <t>Family Name</t>
        </is>
      </c>
      <c r="C6" s="37" t="inlineStr">
        <is>
          <t>The Bennett Family</t>
        </is>
      </c>
      <c r="E6" s="9" t="inlineStr">
        <is>
          <t>Subject</t>
        </is>
      </c>
      <c r="F6" s="9" t="inlineStr">
        <is>
          <t>Mastery</t>
        </is>
      </c>
      <c r="G6" s="9" t="inlineStr">
        <is>
          <t>Graded</t>
        </is>
      </c>
      <c r="H6" s="9" t="inlineStr">
        <is>
          <t>Status</t>
        </is>
      </c>
      <c r="I6" s="9" t="inlineStr">
        <is>
          <t>Curriculum</t>
        </is>
      </c>
      <c r="J6" s="9" t="inlineStr">
        <is>
          <t>Grade</t>
        </is>
      </c>
      <c r="K6" s="9" t="inlineStr">
        <is>
          <t>Yes / No</t>
        </is>
      </c>
    </row>
    <row r="7">
      <c r="B7" s="23" t="inlineStr">
        <is>
          <t>School Year</t>
        </is>
      </c>
      <c r="C7" s="37" t="inlineStr">
        <is>
          <t>2026–2027</t>
        </is>
      </c>
      <c r="E7" s="17" t="inlineStr">
        <is>
          <t>Math</t>
        </is>
      </c>
      <c r="F7" s="17" t="inlineStr">
        <is>
          <t>Mastered</t>
        </is>
      </c>
      <c r="G7" s="17" t="inlineStr">
        <is>
          <t>Graded</t>
        </is>
      </c>
      <c r="H7" s="17" t="inlineStr">
        <is>
          <t>Done</t>
        </is>
      </c>
      <c r="I7" s="17" t="inlineStr">
        <is>
          <t>Have</t>
        </is>
      </c>
      <c r="J7" s="17" t="inlineStr">
        <is>
          <t>K</t>
        </is>
      </c>
      <c r="K7" s="17" t="inlineStr">
        <is>
          <t>Yes</t>
        </is>
      </c>
    </row>
    <row r="8">
      <c r="B8" s="23" t="inlineStr">
        <is>
          <t>Students</t>
        </is>
      </c>
      <c r="C8" s="44" t="n">
        <v>2</v>
      </c>
      <c r="E8" s="17" t="inlineStr">
        <is>
          <t>Reading</t>
        </is>
      </c>
      <c r="F8" s="17" t="inlineStr">
        <is>
          <t>Practicing</t>
        </is>
      </c>
      <c r="G8" s="17" t="inlineStr">
        <is>
          <t>Turned In</t>
        </is>
      </c>
      <c r="H8" s="17" t="inlineStr">
        <is>
          <t>In Progress</t>
        </is>
      </c>
      <c r="I8" s="17" t="inlineStr">
        <is>
          <t>Ordered</t>
        </is>
      </c>
      <c r="J8" s="17" t="inlineStr">
        <is>
          <t>1</t>
        </is>
      </c>
      <c r="K8" s="17" t="inlineStr">
        <is>
          <t>No</t>
        </is>
      </c>
    </row>
    <row r="9">
      <c r="B9" s="23" t="inlineStr">
        <is>
          <t>Subjects</t>
        </is>
      </c>
      <c r="C9" s="44" t="n">
        <v>8</v>
      </c>
      <c r="E9" s="17" t="inlineStr">
        <is>
          <t>Writing</t>
        </is>
      </c>
      <c r="F9" s="17" t="inlineStr">
        <is>
          <t>Not Yet</t>
        </is>
      </c>
      <c r="G9" s="17" t="inlineStr">
        <is>
          <t>Not Yet</t>
        </is>
      </c>
      <c r="H9" s="17" t="inlineStr">
        <is>
          <t>Not Started</t>
        </is>
      </c>
      <c r="I9" s="17" t="inlineStr">
        <is>
          <t>Need</t>
        </is>
      </c>
      <c r="J9" s="17" t="inlineStr">
        <is>
          <t>2</t>
        </is>
      </c>
    </row>
    <row r="10">
      <c r="B10" s="23" t="inlineStr">
        <is>
          <t>Required Days</t>
        </is>
      </c>
      <c r="C10" s="44" t="n">
        <v>180</v>
      </c>
      <c r="E10" s="17" t="inlineStr">
        <is>
          <t>Spelling</t>
        </is>
      </c>
      <c r="J10" s="17" t="inlineStr">
        <is>
          <t>3</t>
        </is>
      </c>
    </row>
    <row r="11">
      <c r="B11" s="23" t="inlineStr">
        <is>
          <t>Reading Goal (books)</t>
        </is>
      </c>
      <c r="C11" s="44" t="n">
        <v>60</v>
      </c>
      <c r="E11" s="17" t="inlineStr">
        <is>
          <t>Science</t>
        </is>
      </c>
      <c r="J11" s="17" t="inlineStr">
        <is>
          <t>4</t>
        </is>
      </c>
    </row>
    <row r="12">
      <c r="B12" s="23" t="inlineStr">
        <is>
          <t>Books Read</t>
        </is>
      </c>
      <c r="C12" s="44" t="n">
        <v>52</v>
      </c>
      <c r="E12" s="17" t="inlineStr">
        <is>
          <t>Social Studies</t>
        </is>
      </c>
      <c r="J12" s="17" t="inlineStr">
        <is>
          <t>5</t>
        </is>
      </c>
    </row>
    <row r="13">
      <c r="B13" s="23" t="inlineStr">
        <is>
          <t>Sight Words Known</t>
        </is>
      </c>
      <c r="C13" s="44" t="n">
        <v>210</v>
      </c>
      <c r="E13" s="17" t="inlineStr">
        <is>
          <t>Art</t>
        </is>
      </c>
    </row>
    <row r="14">
      <c r="B14" s="23" t="inlineStr">
        <is>
          <t>Sight-Word Goal</t>
        </is>
      </c>
      <c r="C14" s="44" t="n">
        <v>220</v>
      </c>
      <c r="E14" s="17" t="inlineStr">
        <is>
          <t>PE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2026-07-21T03:07:08Z</dcterms:created>
  <dcterms:modified xsi:type="dcterms:W3CDTF">2026-07-21T03:07:08Z</dcterms:modified>
</cp:coreProperties>
</file>