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oldings" sheetId="2" state="visible" r:id="rId2"/>
    <sheet name="Calculations" sheetId="3" state="visible" r:id="rId3"/>
    <sheet name="Settings" sheetId="4" state="visible" r:id="rId4"/>
    <sheet name="Projections" sheetId="5" state="visible" r:id="rId5"/>
  </sheets>
  <definedNames>
    <definedName name="MonthlyContribution">Settings!$C$5</definedName>
    <definedName name="TargetMonthlyIncome">Settings!$C$6</definedName>
    <definedName name="AnnualGrowthRate">Settings!$C$7</definedName>
    <definedName name="DividendGrowthRate">Settings!$C$8</definedName>
    <definedName name="ReinvestToggle">Settings!$C$9</definedName>
    <definedName name="TaxRate">Settings!$C$10</definedName>
    <definedName name="YearsToProject">Settings!$C$11</definedName>
    <definedName name="SectorList">Settings!$E$6:$E$11</definedName>
    <definedName name="RiskList">Settings!$F$6:$F$8</definedName>
    <definedName name="FrequencyList">Settings!$F$9:$F$12</definedName>
    <definedName name="FreqTable">Settings!$E$19:$F$22</definedName>
    <definedName name="TblTotalValue">Holdings!$G$5:$G$64</definedName>
    <definedName name="TblAnnualIncome">Holdings!$J$5:$J$64</definedName>
    <definedName name="TblSector">Holdings!$C$5:$C$64</definedName>
    <definedName name="TblFrequency">Holdings!$I$5:$I$64</definedName>
    <definedName name="TblRisk">Holdings!$L$5:$L$64</definedName>
    <definedName name="TblYield">Holdings!$K$5:$K$64</definedName>
    <definedName name="TblTicker">Holdings!$A$5:$A$64</definedName>
    <definedName name="TotalPortfolioValue">Calculations!$C$5</definedName>
    <definedName name="TotalAnnualIncome">Calculations!$C$6</definedName>
    <definedName name="TotalMonthlyIncome">Calculations!$C$7</definedName>
    <definedName name="PortfolioYield">Calculations!$C$8</definedName>
    <definedName name="AfterTaxMonthly">Calculations!$C$9</definedName>
    <definedName name="HoldingsCount">Calculations!$C$10</definedName>
    <definedName name="ProgressToGoal">Calculations!$C$11</definedName>
    <definedName name="SectorLabels">Calculations!$E$6:$E$11</definedName>
    <definedName name="SectorValues">Calculations!$F$6:$F$11</definedName>
    <definedName name="SectorIncome">Calculations!$G$6:$G$11</definedName>
    <definedName name="MonthLabels">Calculations!$B$16:$B$27</definedName>
    <definedName name="MonthValues">Calculations!$C$16:$C$27</definedName>
    <definedName name="FireNumber">Projections!$C$5</definedName>
    <definedName name="YearsTo1k">Projections!$C$6</definedName>
    <definedName name="YearsTo5k">Projections!$C$7</definedName>
    <definedName name="YearsToTarget">Projections!$C$8</definedName>
    <definedName name="ProjYears">Projections!$B$13:$B$42</definedName>
    <definedName name="ProjPortfolio">Projections!$C$13:$C$42</definedName>
    <definedName name="ProjAnnualIncome">Projections!$D$13:$D$42</definedName>
    <definedName name="ProjMonthlyIncome">Projections!$E$13:$E$42</definedName>
    <definedName name="ProjContrib">Projections!$F$13:$F$42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1"/>
    </font>
    <font>
      <name val="Calibri"/>
      <b val="1"/>
      <color rgb="001B4F48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937356"/>
      <sz val="10"/>
    </font>
    <font>
      <name val="Calibri"/>
      <b val="1"/>
      <color rgb="001B4F48"/>
      <sz val="20"/>
    </font>
    <font>
      <name val="Calibri"/>
      <b val="1"/>
      <color rgb="001B4F48"/>
      <sz val="11"/>
    </font>
  </fonts>
  <fills count="6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FFFFFF"/>
      </patternFill>
    </fill>
    <fill>
      <patternFill patternType="solid">
        <fgColor rgb="00E5D3BA"/>
      </patternFill>
    </fill>
    <fill>
      <patternFill patternType="solid">
        <fgColor rgb="00F4ECDE"/>
      </patternFill>
    </fill>
  </fills>
  <borders count="3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1"/>
    </xf>
    <xf numFmtId="0" fontId="2" fillId="2" borderId="1" applyAlignment="1">
      <alignment horizontal="left" vertical="center" indent="1"/>
    </xf>
    <xf numFmtId="0" fontId="3" fillId="3" borderId="1" applyAlignment="1">
      <alignment horizontal="left" vertical="center"/>
    </xf>
    <xf numFmtId="0" fontId="4" fillId="2" borderId="2" applyAlignment="1">
      <alignment horizontal="center" vertical="center" wrapText="1"/>
    </xf>
    <xf numFmtId="0" fontId="5" fillId="0" borderId="2" applyAlignment="1">
      <alignment horizontal="center" vertical="center"/>
    </xf>
    <xf numFmtId="0" fontId="5" fillId="0" borderId="2" applyAlignment="1">
      <alignment horizontal="left" vertical="center" indent="1"/>
    </xf>
    <xf numFmtId="0" fontId="6" fillId="3" borderId="1" applyAlignment="1">
      <alignment horizontal="center" vertical="center"/>
    </xf>
    <xf numFmtId="0" fontId="7" fillId="3" borderId="1" applyAlignment="1">
      <alignment horizontal="center" vertical="center"/>
    </xf>
    <xf numFmtId="164" fontId="7" fillId="3" borderId="1" applyAlignment="1">
      <alignment horizontal="center" vertical="center"/>
    </xf>
    <xf numFmtId="10" fontId="7" fillId="3" borderId="1" applyAlignment="1">
      <alignment horizontal="center" vertical="center"/>
    </xf>
    <xf numFmtId="0" fontId="8" fillId="4" borderId="2" applyAlignment="1">
      <alignment horizontal="center" vertical="center"/>
    </xf>
  </cellStyleXfs>
  <cellXfs count="31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1"/>
    </xf>
    <xf numFmtId="0" fontId="0" fillId="2" borderId="0" pivotButton="0" quotePrefix="0" xfId="0"/>
    <xf numFmtId="0" fontId="2" fillId="2" borderId="1" applyAlignment="1" pivotButton="0" quotePrefix="0" xfId="2">
      <alignment horizontal="left" vertical="center" indent="1"/>
    </xf>
    <xf numFmtId="0" fontId="6" fillId="3" borderId="2" applyAlignment="1" pivotButton="0" quotePrefix="0" xfId="7">
      <alignment horizontal="center" vertical="center"/>
    </xf>
    <xf numFmtId="0" fontId="0" fillId="3" borderId="2" pivotButton="0" quotePrefix="0" xfId="0"/>
    <xf numFmtId="164" fontId="7" fillId="3" borderId="2" applyAlignment="1" pivotButton="0" quotePrefix="0" xfId="9">
      <alignment horizontal="center" vertical="center"/>
    </xf>
    <xf numFmtId="10" fontId="7" fillId="3" borderId="2" applyAlignment="1" pivotButton="0" quotePrefix="0" xfId="10">
      <alignment horizontal="center" vertical="center"/>
    </xf>
    <xf numFmtId="0" fontId="3" fillId="3" borderId="1" applyAlignment="1" pivotButton="0" quotePrefix="0" xfId="3">
      <alignment horizontal="left" vertical="center"/>
    </xf>
    <xf numFmtId="0" fontId="0" fillId="3" borderId="0" pivotButton="0" quotePrefix="0" xfId="0"/>
    <xf numFmtId="0" fontId="8" fillId="4" borderId="2" applyAlignment="1" pivotButton="0" quotePrefix="0" xfId="11">
      <alignment horizontal="center" vertical="center"/>
    </xf>
    <xf numFmtId="0" fontId="4" fillId="2" borderId="2" applyAlignment="1" pivotButton="0" quotePrefix="0" xfId="4">
      <alignment horizontal="center" vertical="center" wrapText="1"/>
    </xf>
    <xf numFmtId="0" fontId="5" fillId="3" borderId="2" applyAlignment="1" pivotButton="0" quotePrefix="0" xfId="6">
      <alignment horizontal="left" vertical="center" indent="1"/>
    </xf>
    <xf numFmtId="0" fontId="5" fillId="3" borderId="2" applyAlignment="1" pivotButton="0" quotePrefix="0" xfId="5">
      <alignment horizontal="center" vertical="center"/>
    </xf>
    <xf numFmtId="1" fontId="5" fillId="3" borderId="2" applyAlignment="1" pivotButton="0" quotePrefix="0" xfId="5">
      <alignment horizontal="center" vertical="center"/>
    </xf>
    <xf numFmtId="164" fontId="5" fillId="3" borderId="2" applyAlignment="1" pivotButton="0" quotePrefix="0" xfId="5">
      <alignment horizontal="center" vertical="center"/>
    </xf>
    <xf numFmtId="10" fontId="5" fillId="3" borderId="2" applyAlignment="1" pivotButton="0" quotePrefix="0" xfId="5">
      <alignment horizontal="center" vertical="center"/>
    </xf>
    <xf numFmtId="0" fontId="5" fillId="5" borderId="2" applyAlignment="1" pivotButton="0" quotePrefix="0" xfId="6">
      <alignment horizontal="left" vertical="center" indent="1"/>
    </xf>
    <xf numFmtId="0" fontId="5" fillId="5" borderId="2" applyAlignment="1" pivotButton="0" quotePrefix="0" xfId="5">
      <alignment horizontal="center" vertical="center"/>
    </xf>
    <xf numFmtId="1" fontId="5" fillId="5" borderId="2" applyAlignment="1" pivotButton="0" quotePrefix="0" xfId="5">
      <alignment horizontal="center" vertical="center"/>
    </xf>
    <xf numFmtId="164" fontId="5" fillId="5" borderId="2" applyAlignment="1" pivotButton="0" quotePrefix="0" xfId="5">
      <alignment horizontal="center" vertical="center"/>
    </xf>
    <xf numFmtId="10" fontId="5" fillId="5" borderId="2" applyAlignment="1" pivotButton="0" quotePrefix="0" xfId="5">
      <alignment horizontal="center" vertical="center"/>
    </xf>
    <xf numFmtId="0" fontId="5" fillId="0" borderId="2" applyAlignment="1" pivotButton="0" quotePrefix="0" xfId="6">
      <alignment horizontal="left" vertical="center" indent="1"/>
    </xf>
    <xf numFmtId="164" fontId="5" fillId="0" borderId="2" applyAlignment="1" pivotButton="0" quotePrefix="0" xfId="5">
      <alignment horizontal="center" vertical="center"/>
    </xf>
    <xf numFmtId="10" fontId="5" fillId="0" borderId="2" applyAlignment="1" pivotButton="0" quotePrefix="0" xfId="5">
      <alignment horizontal="center" vertical="center"/>
    </xf>
    <xf numFmtId="1" fontId="5" fillId="0" borderId="2" applyAlignment="1" pivotButton="0" quotePrefix="0" xfId="5">
      <alignment horizontal="center" vertical="center"/>
    </xf>
    <xf numFmtId="164" fontId="8" fillId="4" borderId="2" applyAlignment="1" pivotButton="0" quotePrefix="0" xfId="11">
      <alignment horizontal="center" vertical="center"/>
    </xf>
    <xf numFmtId="10" fontId="8" fillId="4" borderId="2" applyAlignment="1" pivotButton="0" quotePrefix="0" xfId="11">
      <alignment horizontal="center" vertical="center"/>
    </xf>
    <xf numFmtId="1" fontId="8" fillId="4" borderId="2" applyAlignment="1" pivotButton="0" quotePrefix="0" xfId="11">
      <alignment horizontal="center" vertical="center"/>
    </xf>
    <xf numFmtId="0" fontId="5" fillId="0" borderId="2" applyAlignment="1" pivotButton="0" quotePrefix="0" xfId="5">
      <alignment horizontal="center" vertical="center"/>
    </xf>
    <xf numFmtId="165" fontId="5" fillId="0" borderId="2" applyAlignment="1" pivotButton="0" quotePrefix="0" xfId="5">
      <alignment horizontal="center" vertical="center"/>
    </xf>
  </cellXfs>
  <cellStyles count="12">
    <cellStyle name="Normal" xfId="0" builtinId="0" hidden="0"/>
    <cellStyle name="brand_title" xfId="1" hidden="0"/>
    <cellStyle name="brand_subtitle" xfId="2" hidden="0"/>
    <cellStyle name="brand_section" xfId="3" hidden="0"/>
    <cellStyle name="brand_th" xfId="4" hidden="0"/>
    <cellStyle name="brand_td" xfId="5" hidden="0"/>
    <cellStyle name="brand_td_left" xfId="6" hidden="0"/>
    <cellStyle name="kpi_label" xfId="7" hidden="0"/>
    <cellStyle name="kpi_value" xfId="8" hidden="0"/>
    <cellStyle name="kpi_value_money" xfId="9" hidden="0"/>
    <cellStyle name="kpi_value_pct" xfId="10" hidden="0"/>
    <cellStyle name="brand_input" xfId="11" hidden="0"/>
  </cellStyles>
  <dxfs count="1"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Allocation by Sector</a:t>
            </a:r>
          </a:p>
        </rich>
      </tx>
    </title>
    <plotArea>
      <pieChart>
        <varyColors val="1"/>
        <ser>
          <idx val="0"/>
          <order val="0"/>
          <tx>
            <strRef>
              <f>'Calculations'!F5</f>
            </strRef>
          </tx>
          <spPr>
            <a:ln>
              <a:prstDash val="solid"/>
            </a:ln>
          </spPr>
          <cat>
            <numRef>
              <f>'Calculations'!$E$6:$E$11</f>
            </numRef>
          </cat>
          <val>
            <numRef>
              <f>'Calculations'!$F$6:$F$11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Dividend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'Calculations'!C12</f>
            </strRef>
          </tx>
          <spPr>
            <a:ln>
              <a:prstDash val="solid"/>
            </a:ln>
          </spPr>
          <cat>
            <numRef>
              <f>'Calculations'!$B$13:$B$24</f>
            </numRef>
          </cat>
          <val>
            <numRef>
              <f>'Calculations'!$C$13:$C$24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Wealth Growth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'Projections'!C12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'Projections'!$B$13:$B$42</f>
            </numRef>
          </cat>
          <val>
            <numRef>
              <f>'Projections'!$C$13:$C$42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Yield vs Risk Score</a:t>
            </a:r>
          </a:p>
        </rich>
      </tx>
    </title>
    <plotArea>
      <scatterChart>
        <ser>
          <idx val="0"/>
          <order val="0"/>
          <tx>
            <v>Holdings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'Holdings'!$L$5:$L$64</f>
            </numRef>
          </xVal>
          <yVal>
            <numRef>
              <f>'Holdings'!$K$5:$K$64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Risk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Yield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Wealth Growth Curve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'Projections'!C12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'Projections'!$B$13:$B$42</f>
            </numRef>
          </cat>
          <val>
            <numRef>
              <f>'Projections'!$C$13:$C$42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Annual Dividend Income Curve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'Projections'!D12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'Projections'!$B$13:$B$42</f>
            </numRef>
          </cat>
          <val>
            <numRef>
              <f>'Projections'!$D$13:$D$42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Contributions vs Passive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'Projections'!F12</f>
            </strRef>
          </tx>
          <spPr>
            <a:ln>
              <a:prstDash val="solid"/>
            </a:ln>
          </spPr>
          <cat>
            <numRef>
              <f>'Projections'!$B$13:$B$42</f>
            </numRef>
          </cat>
          <val>
            <numRef>
              <f>'Projections'!$F$13:$F$42</f>
            </numRef>
          </val>
        </ser>
        <ser>
          <idx val="1"/>
          <order val="1"/>
          <tx>
            <strRef>
              <f>'Projections'!D12</f>
            </strRef>
          </tx>
          <spPr>
            <a:ln>
              <a:prstDash val="solid"/>
            </a:ln>
          </spPr>
          <cat>
            <numRef>
              <f>'Projections'!$B$13:$B$42</f>
            </numRef>
          </cat>
          <val>
            <numRef>
              <f>'Projections'!$D$13:$D$42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11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6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29</row>
      <rowOff>0</rowOff>
    </from>
    <ext cx="468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43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M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2" customWidth="1" min="3" max="3"/>
    <col width="24" customWidth="1" min="4" max="4"/>
    <col width="22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56" customHeight="1">
      <c r="A1" s="1" t="inlineStr">
        <is>
          <t xml:space="preserve">  💎  DIVIDEND WEALTH BUILDER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 xml:space="preserve">  Track. Optimize. Reach financial independence through dividends.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22" customHeight="1">
      <c r="B4" s="4" t="inlineStr">
        <is>
          <t>💰 Portfolio Value</t>
        </is>
      </c>
      <c r="C4" s="5" t="n"/>
      <c r="D4" s="4" t="inlineStr">
        <is>
          <t>📈 Monthly Income</t>
        </is>
      </c>
      <c r="E4" s="5" t="n"/>
      <c r="F4" s="4" t="inlineStr">
        <is>
          <t>📊 Annual Income</t>
        </is>
      </c>
      <c r="G4" s="5" t="n"/>
      <c r="H4" s="4" t="inlineStr">
        <is>
          <t>📉 Average Yield</t>
        </is>
      </c>
      <c r="I4" s="5" t="n"/>
      <c r="J4" s="4" t="inlineStr">
        <is>
          <t>🔁 Dividend Growth</t>
        </is>
      </c>
      <c r="K4" s="5" t="n"/>
      <c r="L4" s="4" t="inlineStr">
        <is>
          <t>🎯 Progress to Goal</t>
        </is>
      </c>
      <c r="M4" s="5" t="n"/>
    </row>
    <row r="5" ht="50" customHeight="1">
      <c r="B5" s="6">
        <f>TotalPortfolioValue</f>
        <v/>
      </c>
      <c r="C5" s="5" t="n"/>
      <c r="D5" s="6">
        <f>TotalMonthlyIncome</f>
        <v/>
      </c>
      <c r="E5" s="5" t="n"/>
      <c r="F5" s="6">
        <f>TotalAnnualIncome</f>
        <v/>
      </c>
      <c r="G5" s="5" t="n"/>
      <c r="H5" s="7">
        <f>PortfolioYield</f>
        <v/>
      </c>
      <c r="I5" s="5" t="n"/>
      <c r="J5" s="7">
        <f>DividendGrowthRate</f>
        <v/>
      </c>
      <c r="K5" s="5" t="n"/>
      <c r="L5" s="7">
        <f>ProgressToGoal</f>
        <v/>
      </c>
      <c r="M5" s="5" t="n"/>
    </row>
    <row r="7" ht="22" customHeight="1">
      <c r="B7" s="8" t="inlineStr">
        <is>
          <t>FILTERS — Use these dropdowns to focus the holdings view (data filters live on the Holdings sheet)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B8" s="8" t="inlineStr">
        <is>
          <t>Asset Sector</t>
        </is>
      </c>
      <c r="D8" s="8" t="inlineStr">
        <is>
          <t>Risk Level</t>
        </is>
      </c>
      <c r="F8" s="8" t="inlineStr">
        <is>
          <t>Dividend Frequency</t>
        </is>
      </c>
    </row>
    <row r="9">
      <c r="B9" s="10" t="inlineStr"/>
      <c r="D9" s="10" t="inlineStr"/>
      <c r="F9" s="10" t="inlineStr"/>
    </row>
    <row r="48" ht="30" customHeight="1">
      <c r="B48" s="3" t="inlineStr">
        <is>
          <t xml:space="preserve">  Dividend Wealth Builder System v1.0  •  Inputs live on Settings  •  Add holdings on Holdings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</sheetData>
  <mergeCells count="16">
    <mergeCell ref="F4:G4"/>
    <mergeCell ref="J4:K4"/>
    <mergeCell ref="L4:M4"/>
    <mergeCell ref="J5:K5"/>
    <mergeCell ref="B48:K48"/>
    <mergeCell ref="B5:C5"/>
    <mergeCell ref="F5:G5"/>
    <mergeCell ref="D5:E5"/>
    <mergeCell ref="A2:K2"/>
    <mergeCell ref="H5:I5"/>
    <mergeCell ref="D4:E4"/>
    <mergeCell ref="L5:M5"/>
    <mergeCell ref="H4:I4"/>
    <mergeCell ref="B7:K7"/>
    <mergeCell ref="A1:K1"/>
    <mergeCell ref="B4:C4"/>
  </mergeCells>
  <dataValidations count="3">
    <dataValidation sqref="B9" showDropDown="0" showInputMessage="0" showErrorMessage="0" allowBlank="1" type="list">
      <formula1>=SectorList</formula1>
    </dataValidation>
    <dataValidation sqref="D9" showDropDown="0" showInputMessage="0" showErrorMessage="0" allowBlank="1" type="list">
      <formula1>=RiskList</formula1>
    </dataValidation>
    <dataValidation sqref="F9" showDropDown="0" showInputMessage="0" showErrorMessage="0" allowBlank="1" type="list">
      <formula1>=FrequencyList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37356"/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12" customWidth="1" min="11" max="11"/>
    <col width="12" customWidth="1" min="12" max="12"/>
  </cols>
  <sheetData>
    <row r="1" ht="48" customHeight="1">
      <c r="A1" s="1" t="inlineStr">
        <is>
          <t xml:space="preserve">  📂  HOLDINGS DATABASE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 xml:space="preserve">  Add / edit holdings. Formulas auto-calculate.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30" customHeight="1">
      <c r="A4" s="11" t="inlineStr">
        <is>
          <t>Ticker</t>
        </is>
      </c>
      <c r="B4" s="11" t="inlineStr">
        <is>
          <t>Company</t>
        </is>
      </c>
      <c r="C4" s="11" t="inlineStr">
        <is>
          <t>Sector</t>
        </is>
      </c>
      <c r="D4" s="11" t="inlineStr">
        <is>
          <t>Shares</t>
        </is>
      </c>
      <c r="E4" s="11" t="inlineStr">
        <is>
          <t>Buy Price</t>
        </is>
      </c>
      <c r="F4" s="11" t="inlineStr">
        <is>
          <t>Current Price</t>
        </is>
      </c>
      <c r="G4" s="11" t="inlineStr">
        <is>
          <t>Total Value</t>
        </is>
      </c>
      <c r="H4" s="11" t="inlineStr">
        <is>
          <t>Div / Share</t>
        </is>
      </c>
      <c r="I4" s="11" t="inlineStr">
        <is>
          <t>Frequency</t>
        </is>
      </c>
      <c r="J4" s="11" t="inlineStr">
        <is>
          <t>Annual Income</t>
        </is>
      </c>
      <c r="K4" s="11" t="inlineStr">
        <is>
          <t>Yield %</t>
        </is>
      </c>
      <c r="L4" s="11" t="inlineStr">
        <is>
          <t>Risk (1-5)</t>
        </is>
      </c>
    </row>
    <row r="5">
      <c r="A5" s="12" t="inlineStr">
        <is>
          <t>AAPL</t>
        </is>
      </c>
      <c r="B5" s="12" t="inlineStr">
        <is>
          <t>Apple Inc.</t>
        </is>
      </c>
      <c r="C5" s="13" t="inlineStr">
        <is>
          <t>Tech</t>
        </is>
      </c>
      <c r="D5" s="14" t="n">
        <v>50</v>
      </c>
      <c r="E5" s="15" t="n">
        <v>145.3</v>
      </c>
      <c r="F5" s="15" t="n">
        <v>192.4</v>
      </c>
      <c r="G5" s="15">
        <f>IF(D5="","",D5*F5)</f>
        <v/>
      </c>
      <c r="H5" s="15" t="n">
        <v>0.96</v>
      </c>
      <c r="I5" s="13" t="inlineStr">
        <is>
          <t>Quarterly</t>
        </is>
      </c>
      <c r="J5" s="15">
        <f>IF(OR(D5="",H5="",I5=""),"",D5*H5*VLOOKUP(I5,FreqTable,2,FALSE))</f>
        <v/>
      </c>
      <c r="K5" s="16">
        <f>IFERROR(IF(OR(F5="",H5="",I5=""),"",(H5*VLOOKUP(I5,FreqTable,2,FALSE))/F5),"")</f>
        <v/>
      </c>
      <c r="L5" s="14" t="n">
        <v>2</v>
      </c>
    </row>
    <row r="6">
      <c r="A6" s="17" t="inlineStr">
        <is>
          <t>MSFT</t>
        </is>
      </c>
      <c r="B6" s="17" t="inlineStr">
        <is>
          <t>Microsoft Corp.</t>
        </is>
      </c>
      <c r="C6" s="18" t="inlineStr">
        <is>
          <t>Tech</t>
        </is>
      </c>
      <c r="D6" s="19" t="n">
        <v>40</v>
      </c>
      <c r="E6" s="20" t="n">
        <v>250.1</v>
      </c>
      <c r="F6" s="20" t="n">
        <v>415.2</v>
      </c>
      <c r="G6" s="20">
        <f>IF(D6="","",D6*F6)</f>
        <v/>
      </c>
      <c r="H6" s="20" t="n">
        <v>3</v>
      </c>
      <c r="I6" s="18" t="inlineStr">
        <is>
          <t>Quarterly</t>
        </is>
      </c>
      <c r="J6" s="20">
        <f>IF(OR(D6="",H6="",I6=""),"",D6*H6*VLOOKUP(I6,FreqTable,2,FALSE))</f>
        <v/>
      </c>
      <c r="K6" s="21">
        <f>IFERROR(IF(OR(F6="",H6="",I6=""),"",(H6*VLOOKUP(I6,FreqTable,2,FALSE))/F6),"")</f>
        <v/>
      </c>
      <c r="L6" s="19" t="n">
        <v>2</v>
      </c>
    </row>
    <row r="7">
      <c r="A7" s="12" t="inlineStr">
        <is>
          <t>JNJ</t>
        </is>
      </c>
      <c r="B7" s="12" t="inlineStr">
        <is>
          <t>Johnson &amp; Johnson</t>
        </is>
      </c>
      <c r="C7" s="13" t="inlineStr">
        <is>
          <t>Healthcare</t>
        </is>
      </c>
      <c r="D7" s="14" t="n">
        <v>60</v>
      </c>
      <c r="E7" s="15" t="n">
        <v>162.45</v>
      </c>
      <c r="F7" s="15" t="n">
        <v>158.2</v>
      </c>
      <c r="G7" s="15">
        <f>IF(D7="","",D7*F7)</f>
        <v/>
      </c>
      <c r="H7" s="15" t="n">
        <v>4.76</v>
      </c>
      <c r="I7" s="13" t="inlineStr">
        <is>
          <t>Quarterly</t>
        </is>
      </c>
      <c r="J7" s="15">
        <f>IF(OR(D7="",H7="",I7=""),"",D7*H7*VLOOKUP(I7,FreqTable,2,FALSE))</f>
        <v/>
      </c>
      <c r="K7" s="16">
        <f>IFERROR(IF(OR(F7="",H7="",I7=""),"",(H7*VLOOKUP(I7,FreqTable,2,FALSE))/F7),"")</f>
        <v/>
      </c>
      <c r="L7" s="14" t="n">
        <v>1</v>
      </c>
    </row>
    <row r="8">
      <c r="A8" s="17" t="inlineStr">
        <is>
          <t>KO</t>
        </is>
      </c>
      <c r="B8" s="17" t="inlineStr">
        <is>
          <t>Coca-Cola Co.</t>
        </is>
      </c>
      <c r="C8" s="18" t="inlineStr">
        <is>
          <t>Consumer</t>
        </is>
      </c>
      <c r="D8" s="19" t="n">
        <v>120</v>
      </c>
      <c r="E8" s="20" t="n">
        <v>56.1</v>
      </c>
      <c r="F8" s="20" t="n">
        <v>63.4</v>
      </c>
      <c r="G8" s="20">
        <f>IF(D8="","",D8*F8)</f>
        <v/>
      </c>
      <c r="H8" s="20" t="n">
        <v>1.84</v>
      </c>
      <c r="I8" s="18" t="inlineStr">
        <is>
          <t>Quarterly</t>
        </is>
      </c>
      <c r="J8" s="20">
        <f>IF(OR(D8="",H8="",I8=""),"",D8*H8*VLOOKUP(I8,FreqTable,2,FALSE))</f>
        <v/>
      </c>
      <c r="K8" s="21">
        <f>IFERROR(IF(OR(F8="",H8="",I8=""),"",(H8*VLOOKUP(I8,FreqTable,2,FALSE))/F8),"")</f>
        <v/>
      </c>
      <c r="L8" s="19" t="n">
        <v>1</v>
      </c>
    </row>
    <row r="9">
      <c r="A9" s="12" t="inlineStr">
        <is>
          <t>PG</t>
        </is>
      </c>
      <c r="B9" s="12" t="inlineStr">
        <is>
          <t>Procter &amp; Gamble</t>
        </is>
      </c>
      <c r="C9" s="13" t="inlineStr">
        <is>
          <t>Consumer</t>
        </is>
      </c>
      <c r="D9" s="14" t="n">
        <v>45</v>
      </c>
      <c r="E9" s="15" t="n">
        <v>142.2</v>
      </c>
      <c r="F9" s="15" t="n">
        <v>161.8</v>
      </c>
      <c r="G9" s="15">
        <f>IF(D9="","",D9*F9)</f>
        <v/>
      </c>
      <c r="H9" s="15" t="n">
        <v>4.03</v>
      </c>
      <c r="I9" s="13" t="inlineStr">
        <is>
          <t>Quarterly</t>
        </is>
      </c>
      <c r="J9" s="15">
        <f>IF(OR(D9="",H9="",I9=""),"",D9*H9*VLOOKUP(I9,FreqTable,2,FALSE))</f>
        <v/>
      </c>
      <c r="K9" s="16">
        <f>IFERROR(IF(OR(F9="",H9="",I9=""),"",(H9*VLOOKUP(I9,FreqTable,2,FALSE))/F9),"")</f>
        <v/>
      </c>
      <c r="L9" s="14" t="n">
        <v>1</v>
      </c>
    </row>
    <row r="10">
      <c r="A10" s="17" t="inlineStr">
        <is>
          <t>JPM</t>
        </is>
      </c>
      <c r="B10" s="17" t="inlineStr">
        <is>
          <t>JPMorgan Chase</t>
        </is>
      </c>
      <c r="C10" s="18" t="inlineStr">
        <is>
          <t>Finance</t>
        </is>
      </c>
      <c r="D10" s="19" t="n">
        <v>35</v>
      </c>
      <c r="E10" s="20" t="n">
        <v>132.5</v>
      </c>
      <c r="F10" s="20" t="n">
        <v>198.1</v>
      </c>
      <c r="G10" s="20">
        <f>IF(D10="","",D10*F10)</f>
        <v/>
      </c>
      <c r="H10" s="20" t="n">
        <v>4.6</v>
      </c>
      <c r="I10" s="18" t="inlineStr">
        <is>
          <t>Quarterly</t>
        </is>
      </c>
      <c r="J10" s="20">
        <f>IF(OR(D10="",H10="",I10=""),"",D10*H10*VLOOKUP(I10,FreqTable,2,FALSE))</f>
        <v/>
      </c>
      <c r="K10" s="21">
        <f>IFERROR(IF(OR(F10="",H10="",I10=""),"",(H10*VLOOKUP(I10,FreqTable,2,FALSE))/F10),"")</f>
        <v/>
      </c>
      <c r="L10" s="19" t="n">
        <v>3</v>
      </c>
    </row>
    <row r="11">
      <c r="A11" s="12" t="inlineStr">
        <is>
          <t>BAC</t>
        </is>
      </c>
      <c r="B11" s="12" t="inlineStr">
        <is>
          <t>Bank of America</t>
        </is>
      </c>
      <c r="C11" s="13" t="inlineStr">
        <is>
          <t>Finance</t>
        </is>
      </c>
      <c r="D11" s="14" t="n">
        <v>150</v>
      </c>
      <c r="E11" s="15" t="n">
        <v>32.4</v>
      </c>
      <c r="F11" s="15" t="n">
        <v>39.85</v>
      </c>
      <c r="G11" s="15">
        <f>IF(D11="","",D11*F11)</f>
        <v/>
      </c>
      <c r="H11" s="15" t="n">
        <v>1.04</v>
      </c>
      <c r="I11" s="13" t="inlineStr">
        <is>
          <t>Quarterly</t>
        </is>
      </c>
      <c r="J11" s="15">
        <f>IF(OR(D11="",H11="",I11=""),"",D11*H11*VLOOKUP(I11,FreqTable,2,FALSE))</f>
        <v/>
      </c>
      <c r="K11" s="16">
        <f>IFERROR(IF(OR(F11="",H11="",I11=""),"",(H11*VLOOKUP(I11,FreqTable,2,FALSE))/F11),"")</f>
        <v/>
      </c>
      <c r="L11" s="14" t="n">
        <v>3</v>
      </c>
    </row>
    <row r="12">
      <c r="A12" s="17" t="inlineStr">
        <is>
          <t>XOM</t>
        </is>
      </c>
      <c r="B12" s="17" t="inlineStr">
        <is>
          <t>Exxon Mobil</t>
        </is>
      </c>
      <c r="C12" s="18" t="inlineStr">
        <is>
          <t>Energy</t>
        </is>
      </c>
      <c r="D12" s="19" t="n">
        <v>80</v>
      </c>
      <c r="E12" s="20" t="n">
        <v>95.2</v>
      </c>
      <c r="F12" s="20" t="n">
        <v>116.3</v>
      </c>
      <c r="G12" s="20">
        <f>IF(D12="","",D12*F12)</f>
        <v/>
      </c>
      <c r="H12" s="20" t="n">
        <v>3.8</v>
      </c>
      <c r="I12" s="18" t="inlineStr">
        <is>
          <t>Quarterly</t>
        </is>
      </c>
      <c r="J12" s="20">
        <f>IF(OR(D12="",H12="",I12=""),"",D12*H12*VLOOKUP(I12,FreqTable,2,FALSE))</f>
        <v/>
      </c>
      <c r="K12" s="21">
        <f>IFERROR(IF(OR(F12="",H12="",I12=""),"",(H12*VLOOKUP(I12,FreqTable,2,FALSE))/F12),"")</f>
        <v/>
      </c>
      <c r="L12" s="19" t="n">
        <v>3</v>
      </c>
    </row>
    <row r="13">
      <c r="A13" s="12" t="inlineStr">
        <is>
          <t>CVX</t>
        </is>
      </c>
      <c r="B13" s="12" t="inlineStr">
        <is>
          <t>Chevron Corp.</t>
        </is>
      </c>
      <c r="C13" s="13" t="inlineStr">
        <is>
          <t>Energy</t>
        </is>
      </c>
      <c r="D13" s="14" t="n">
        <v>30</v>
      </c>
      <c r="E13" s="15" t="n">
        <v>158.1</v>
      </c>
      <c r="F13" s="15" t="n">
        <v>162.4</v>
      </c>
      <c r="G13" s="15">
        <f>IF(D13="","",D13*F13)</f>
        <v/>
      </c>
      <c r="H13" s="15" t="n">
        <v>6.52</v>
      </c>
      <c r="I13" s="13" t="inlineStr">
        <is>
          <t>Quarterly</t>
        </is>
      </c>
      <c r="J13" s="15">
        <f>IF(OR(D13="",H13="",I13=""),"",D13*H13*VLOOKUP(I13,FreqTable,2,FALSE))</f>
        <v/>
      </c>
      <c r="K13" s="16">
        <f>IFERROR(IF(OR(F13="",H13="",I13=""),"",(H13*VLOOKUP(I13,FreqTable,2,FALSE))/F13),"")</f>
        <v/>
      </c>
      <c r="L13" s="14" t="n">
        <v>3</v>
      </c>
    </row>
    <row r="14">
      <c r="A14" s="17" t="inlineStr">
        <is>
          <t>O</t>
        </is>
      </c>
      <c r="B14" s="17" t="inlineStr">
        <is>
          <t>Realty Income</t>
        </is>
      </c>
      <c r="C14" s="18" t="inlineStr">
        <is>
          <t>REITs</t>
        </is>
      </c>
      <c r="D14" s="19" t="n">
        <v>200</v>
      </c>
      <c r="E14" s="20" t="n">
        <v>62.4</v>
      </c>
      <c r="F14" s="20" t="n">
        <v>58.1</v>
      </c>
      <c r="G14" s="20">
        <f>IF(D14="","",D14*F14)</f>
        <v/>
      </c>
      <c r="H14" s="20" t="n">
        <v>3.16</v>
      </c>
      <c r="I14" s="18" t="inlineStr">
        <is>
          <t>Monthly</t>
        </is>
      </c>
      <c r="J14" s="20">
        <f>IF(OR(D14="",H14="",I14=""),"",D14*H14*VLOOKUP(I14,FreqTable,2,FALSE))</f>
        <v/>
      </c>
      <c r="K14" s="21">
        <f>IFERROR(IF(OR(F14="",H14="",I14=""),"",(H14*VLOOKUP(I14,FreqTable,2,FALSE))/F14),"")</f>
        <v/>
      </c>
      <c r="L14" s="19" t="n">
        <v>2</v>
      </c>
    </row>
    <row r="15">
      <c r="A15" s="12" t="inlineStr">
        <is>
          <t>STAG</t>
        </is>
      </c>
      <c r="B15" s="12" t="inlineStr">
        <is>
          <t>Stag Industrial</t>
        </is>
      </c>
      <c r="C15" s="13" t="inlineStr">
        <is>
          <t>REITs</t>
        </is>
      </c>
      <c r="D15" s="14" t="n">
        <v>180</v>
      </c>
      <c r="E15" s="15" t="n">
        <v>35.2</v>
      </c>
      <c r="F15" s="15" t="n">
        <v>36.85</v>
      </c>
      <c r="G15" s="15">
        <f>IF(D15="","",D15*F15)</f>
        <v/>
      </c>
      <c r="H15" s="15" t="n">
        <v>1.48</v>
      </c>
      <c r="I15" s="13" t="inlineStr">
        <is>
          <t>Monthly</t>
        </is>
      </c>
      <c r="J15" s="15">
        <f>IF(OR(D15="",H15="",I15=""),"",D15*H15*VLOOKUP(I15,FreqTable,2,FALSE))</f>
        <v/>
      </c>
      <c r="K15" s="16">
        <f>IFERROR(IF(OR(F15="",H15="",I15=""),"",(H15*VLOOKUP(I15,FreqTable,2,FALSE))/F15),"")</f>
        <v/>
      </c>
      <c r="L15" s="14" t="n">
        <v>3</v>
      </c>
    </row>
    <row r="16">
      <c r="A16" s="17" t="inlineStr">
        <is>
          <t>VYM</t>
        </is>
      </c>
      <c r="B16" s="17" t="inlineStr">
        <is>
          <t>Vanguard High Div ETF</t>
        </is>
      </c>
      <c r="C16" s="18" t="inlineStr">
        <is>
          <t>Finance</t>
        </is>
      </c>
      <c r="D16" s="19" t="n">
        <v>100</v>
      </c>
      <c r="E16" s="20" t="n">
        <v>105.4</v>
      </c>
      <c r="F16" s="20" t="n">
        <v>124.8</v>
      </c>
      <c r="G16" s="20">
        <f>IF(D16="","",D16*F16)</f>
        <v/>
      </c>
      <c r="H16" s="20" t="n">
        <v>3.45</v>
      </c>
      <c r="I16" s="18" t="inlineStr">
        <is>
          <t>Quarterly</t>
        </is>
      </c>
      <c r="J16" s="20">
        <f>IF(OR(D16="",H16="",I16=""),"",D16*H16*VLOOKUP(I16,FreqTable,2,FALSE))</f>
        <v/>
      </c>
      <c r="K16" s="21">
        <f>IFERROR(IF(OR(F16="",H16="",I16=""),"",(H16*VLOOKUP(I16,FreqTable,2,FALSE))/F16),"")</f>
        <v/>
      </c>
      <c r="L16" s="19" t="n">
        <v>2</v>
      </c>
    </row>
    <row r="17">
      <c r="A17" s="12" t="inlineStr">
        <is>
          <t>SCHD</t>
        </is>
      </c>
      <c r="B17" s="12" t="inlineStr">
        <is>
          <t>Schwab US Div ETF</t>
        </is>
      </c>
      <c r="C17" s="13" t="inlineStr">
        <is>
          <t>Finance</t>
        </is>
      </c>
      <c r="D17" s="14" t="n">
        <v>220</v>
      </c>
      <c r="E17" s="15" t="n">
        <v>72.3</v>
      </c>
      <c r="F17" s="15" t="n">
        <v>78.40000000000001</v>
      </c>
      <c r="G17" s="15">
        <f>IF(D17="","",D17*F17)</f>
        <v/>
      </c>
      <c r="H17" s="15" t="n">
        <v>2.66</v>
      </c>
      <c r="I17" s="13" t="inlineStr">
        <is>
          <t>Quarterly</t>
        </is>
      </c>
      <c r="J17" s="15">
        <f>IF(OR(D17="",H17="",I17=""),"",D17*H17*VLOOKUP(I17,FreqTable,2,FALSE))</f>
        <v/>
      </c>
      <c r="K17" s="16">
        <f>IFERROR(IF(OR(F17="",H17="",I17=""),"",(H17*VLOOKUP(I17,FreqTable,2,FALSE))/F17),"")</f>
        <v/>
      </c>
      <c r="L17" s="14" t="n">
        <v>2</v>
      </c>
    </row>
    <row r="18">
      <c r="A18" s="17" t="inlineStr">
        <is>
          <t>MAIN</t>
        </is>
      </c>
      <c r="B18" s="17" t="inlineStr">
        <is>
          <t>Main Street Capital</t>
        </is>
      </c>
      <c r="C18" s="18" t="inlineStr">
        <is>
          <t>Finance</t>
        </is>
      </c>
      <c r="D18" s="19" t="n">
        <v>90</v>
      </c>
      <c r="E18" s="20" t="n">
        <v>41.1</v>
      </c>
      <c r="F18" s="20" t="n">
        <v>49.8</v>
      </c>
      <c r="G18" s="20">
        <f>IF(D18="","",D18*F18)</f>
        <v/>
      </c>
      <c r="H18" s="20" t="n">
        <v>2.94</v>
      </c>
      <c r="I18" s="18" t="inlineStr">
        <is>
          <t>Monthly</t>
        </is>
      </c>
      <c r="J18" s="20">
        <f>IF(OR(D18="",H18="",I18=""),"",D18*H18*VLOOKUP(I18,FreqTable,2,FALSE))</f>
        <v/>
      </c>
      <c r="K18" s="21">
        <f>IFERROR(IF(OR(F18="",H18="",I18=""),"",(H18*VLOOKUP(I18,FreqTable,2,FALSE))/F18),"")</f>
        <v/>
      </c>
      <c r="L18" s="19" t="n">
        <v>3</v>
      </c>
    </row>
    <row r="19">
      <c r="A19" s="12" t="inlineStr">
        <is>
          <t>MO</t>
        </is>
      </c>
      <c r="B19" s="12" t="inlineStr">
        <is>
          <t>Altria Group</t>
        </is>
      </c>
      <c r="C19" s="13" t="inlineStr">
        <is>
          <t>Consumer</t>
        </is>
      </c>
      <c r="D19" s="14" t="n">
        <v>110</v>
      </c>
      <c r="E19" s="15" t="n">
        <v>45.6</v>
      </c>
      <c r="F19" s="15" t="n">
        <v>49.2</v>
      </c>
      <c r="G19" s="15">
        <f>IF(D19="","",D19*F19)</f>
        <v/>
      </c>
      <c r="H19" s="15" t="n">
        <v>3.92</v>
      </c>
      <c r="I19" s="13" t="inlineStr">
        <is>
          <t>Quarterly</t>
        </is>
      </c>
      <c r="J19" s="15">
        <f>IF(OR(D19="",H19="",I19=""),"",D19*H19*VLOOKUP(I19,FreqTable,2,FALSE))</f>
        <v/>
      </c>
      <c r="K19" s="16">
        <f>IFERROR(IF(OR(F19="",H19="",I19=""),"",(H19*VLOOKUP(I19,FreqTable,2,FALSE))/F19),"")</f>
        <v/>
      </c>
      <c r="L19" s="14" t="n">
        <v>3</v>
      </c>
    </row>
    <row r="20">
      <c r="A20" s="17" t="n"/>
      <c r="B20" s="17" t="n"/>
      <c r="C20" s="18" t="n"/>
      <c r="D20" s="19" t="n"/>
      <c r="E20" s="20" t="n"/>
      <c r="F20" s="20" t="n"/>
      <c r="G20" s="20">
        <f>IF(D20="","",D20*F20)</f>
        <v/>
      </c>
      <c r="H20" s="20" t="n"/>
      <c r="I20" s="18" t="n"/>
      <c r="J20" s="20">
        <f>IF(OR(D20="",H20="",I20=""),"",D20*H20*VLOOKUP(I20,FreqTable,2,FALSE))</f>
        <v/>
      </c>
      <c r="K20" s="21">
        <f>IFERROR(IF(OR(F20="",H20="",I20=""),"",(H20*VLOOKUP(I20,FreqTable,2,FALSE))/F20),"")</f>
        <v/>
      </c>
      <c r="L20" s="19" t="n"/>
    </row>
    <row r="21">
      <c r="A21" s="12" t="n"/>
      <c r="B21" s="12" t="n"/>
      <c r="C21" s="13" t="n"/>
      <c r="D21" s="14" t="n"/>
      <c r="E21" s="15" t="n"/>
      <c r="F21" s="15" t="n"/>
      <c r="G21" s="15">
        <f>IF(D21="","",D21*F21)</f>
        <v/>
      </c>
      <c r="H21" s="15" t="n"/>
      <c r="I21" s="13" t="n"/>
      <c r="J21" s="15">
        <f>IF(OR(D21="",H21="",I21=""),"",D21*H21*VLOOKUP(I21,FreqTable,2,FALSE))</f>
        <v/>
      </c>
      <c r="K21" s="16">
        <f>IFERROR(IF(OR(F21="",H21="",I21=""),"",(H21*VLOOKUP(I21,FreqTable,2,FALSE))/F21),"")</f>
        <v/>
      </c>
      <c r="L21" s="14" t="n"/>
    </row>
    <row r="22">
      <c r="A22" s="17" t="n"/>
      <c r="B22" s="17" t="n"/>
      <c r="C22" s="18" t="n"/>
      <c r="D22" s="19" t="n"/>
      <c r="E22" s="20" t="n"/>
      <c r="F22" s="20" t="n"/>
      <c r="G22" s="20">
        <f>IF(D22="","",D22*F22)</f>
        <v/>
      </c>
      <c r="H22" s="20" t="n"/>
      <c r="I22" s="18" t="n"/>
      <c r="J22" s="20">
        <f>IF(OR(D22="",H22="",I22=""),"",D22*H22*VLOOKUP(I22,FreqTable,2,FALSE))</f>
        <v/>
      </c>
      <c r="K22" s="21">
        <f>IFERROR(IF(OR(F22="",H22="",I22=""),"",(H22*VLOOKUP(I22,FreqTable,2,FALSE))/F22),"")</f>
        <v/>
      </c>
      <c r="L22" s="19" t="n"/>
    </row>
    <row r="23">
      <c r="A23" s="12" t="n"/>
      <c r="B23" s="12" t="n"/>
      <c r="C23" s="13" t="n"/>
      <c r="D23" s="14" t="n"/>
      <c r="E23" s="15" t="n"/>
      <c r="F23" s="15" t="n"/>
      <c r="G23" s="15">
        <f>IF(D23="","",D23*F23)</f>
        <v/>
      </c>
      <c r="H23" s="15" t="n"/>
      <c r="I23" s="13" t="n"/>
      <c r="J23" s="15">
        <f>IF(OR(D23="",H23="",I23=""),"",D23*H23*VLOOKUP(I23,FreqTable,2,FALSE))</f>
        <v/>
      </c>
      <c r="K23" s="16">
        <f>IFERROR(IF(OR(F23="",H23="",I23=""),"",(H23*VLOOKUP(I23,FreqTable,2,FALSE))/F23),"")</f>
        <v/>
      </c>
      <c r="L23" s="14" t="n"/>
    </row>
    <row r="24">
      <c r="A24" s="17" t="n"/>
      <c r="B24" s="17" t="n"/>
      <c r="C24" s="18" t="n"/>
      <c r="D24" s="19" t="n"/>
      <c r="E24" s="20" t="n"/>
      <c r="F24" s="20" t="n"/>
      <c r="G24" s="20">
        <f>IF(D24="","",D24*F24)</f>
        <v/>
      </c>
      <c r="H24" s="20" t="n"/>
      <c r="I24" s="18" t="n"/>
      <c r="J24" s="20">
        <f>IF(OR(D24="",H24="",I24=""),"",D24*H24*VLOOKUP(I24,FreqTable,2,FALSE))</f>
        <v/>
      </c>
      <c r="K24" s="21">
        <f>IFERROR(IF(OR(F24="",H24="",I24=""),"",(H24*VLOOKUP(I24,FreqTable,2,FALSE))/F24),"")</f>
        <v/>
      </c>
      <c r="L24" s="19" t="n"/>
    </row>
    <row r="25">
      <c r="A25" s="12" t="n"/>
      <c r="B25" s="12" t="n"/>
      <c r="C25" s="13" t="n"/>
      <c r="D25" s="14" t="n"/>
      <c r="E25" s="15" t="n"/>
      <c r="F25" s="15" t="n"/>
      <c r="G25" s="15">
        <f>IF(D25="","",D25*F25)</f>
        <v/>
      </c>
      <c r="H25" s="15" t="n"/>
      <c r="I25" s="13" t="n"/>
      <c r="J25" s="15">
        <f>IF(OR(D25="",H25="",I25=""),"",D25*H25*VLOOKUP(I25,FreqTable,2,FALSE))</f>
        <v/>
      </c>
      <c r="K25" s="16">
        <f>IFERROR(IF(OR(F25="",H25="",I25=""),"",(H25*VLOOKUP(I25,FreqTable,2,FALSE))/F25),"")</f>
        <v/>
      </c>
      <c r="L25" s="14" t="n"/>
    </row>
    <row r="26">
      <c r="A26" s="17" t="n"/>
      <c r="B26" s="17" t="n"/>
      <c r="C26" s="18" t="n"/>
      <c r="D26" s="19" t="n"/>
      <c r="E26" s="20" t="n"/>
      <c r="F26" s="20" t="n"/>
      <c r="G26" s="20">
        <f>IF(D26="","",D26*F26)</f>
        <v/>
      </c>
      <c r="H26" s="20" t="n"/>
      <c r="I26" s="18" t="n"/>
      <c r="J26" s="20">
        <f>IF(OR(D26="",H26="",I26=""),"",D26*H26*VLOOKUP(I26,FreqTable,2,FALSE))</f>
        <v/>
      </c>
      <c r="K26" s="21">
        <f>IFERROR(IF(OR(F26="",H26="",I26=""),"",(H26*VLOOKUP(I26,FreqTable,2,FALSE))/F26),"")</f>
        <v/>
      </c>
      <c r="L26" s="19" t="n"/>
    </row>
    <row r="27">
      <c r="A27" s="12" t="n"/>
      <c r="B27" s="12" t="n"/>
      <c r="C27" s="13" t="n"/>
      <c r="D27" s="14" t="n"/>
      <c r="E27" s="15" t="n"/>
      <c r="F27" s="15" t="n"/>
      <c r="G27" s="15">
        <f>IF(D27="","",D27*F27)</f>
        <v/>
      </c>
      <c r="H27" s="15" t="n"/>
      <c r="I27" s="13" t="n"/>
      <c r="J27" s="15">
        <f>IF(OR(D27="",H27="",I27=""),"",D27*H27*VLOOKUP(I27,FreqTable,2,FALSE))</f>
        <v/>
      </c>
      <c r="K27" s="16">
        <f>IFERROR(IF(OR(F27="",H27="",I27=""),"",(H27*VLOOKUP(I27,FreqTable,2,FALSE))/F27),"")</f>
        <v/>
      </c>
      <c r="L27" s="14" t="n"/>
    </row>
    <row r="28">
      <c r="A28" s="17" t="n"/>
      <c r="B28" s="17" t="n"/>
      <c r="C28" s="18" t="n"/>
      <c r="D28" s="19" t="n"/>
      <c r="E28" s="20" t="n"/>
      <c r="F28" s="20" t="n"/>
      <c r="G28" s="20">
        <f>IF(D28="","",D28*F28)</f>
        <v/>
      </c>
      <c r="H28" s="20" t="n"/>
      <c r="I28" s="18" t="n"/>
      <c r="J28" s="20">
        <f>IF(OR(D28="",H28="",I28=""),"",D28*H28*VLOOKUP(I28,FreqTable,2,FALSE))</f>
        <v/>
      </c>
      <c r="K28" s="21">
        <f>IFERROR(IF(OR(F28="",H28="",I28=""),"",(H28*VLOOKUP(I28,FreqTable,2,FALSE))/F28),"")</f>
        <v/>
      </c>
      <c r="L28" s="19" t="n"/>
    </row>
    <row r="29">
      <c r="A29" s="12" t="n"/>
      <c r="B29" s="12" t="n"/>
      <c r="C29" s="13" t="n"/>
      <c r="D29" s="14" t="n"/>
      <c r="E29" s="15" t="n"/>
      <c r="F29" s="15" t="n"/>
      <c r="G29" s="15">
        <f>IF(D29="","",D29*F29)</f>
        <v/>
      </c>
      <c r="H29" s="15" t="n"/>
      <c r="I29" s="13" t="n"/>
      <c r="J29" s="15">
        <f>IF(OR(D29="",H29="",I29=""),"",D29*H29*VLOOKUP(I29,FreqTable,2,FALSE))</f>
        <v/>
      </c>
      <c r="K29" s="16">
        <f>IFERROR(IF(OR(F29="",H29="",I29=""),"",(H29*VLOOKUP(I29,FreqTable,2,FALSE))/F29),"")</f>
        <v/>
      </c>
      <c r="L29" s="14" t="n"/>
    </row>
    <row r="30">
      <c r="A30" s="17" t="n"/>
      <c r="B30" s="17" t="n"/>
      <c r="C30" s="18" t="n"/>
      <c r="D30" s="19" t="n"/>
      <c r="E30" s="20" t="n"/>
      <c r="F30" s="20" t="n"/>
      <c r="G30" s="20">
        <f>IF(D30="","",D30*F30)</f>
        <v/>
      </c>
      <c r="H30" s="20" t="n"/>
      <c r="I30" s="18" t="n"/>
      <c r="J30" s="20">
        <f>IF(OR(D30="",H30="",I30=""),"",D30*H30*VLOOKUP(I30,FreqTable,2,FALSE))</f>
        <v/>
      </c>
      <c r="K30" s="21">
        <f>IFERROR(IF(OR(F30="",H30="",I30=""),"",(H30*VLOOKUP(I30,FreqTable,2,FALSE))/F30),"")</f>
        <v/>
      </c>
      <c r="L30" s="19" t="n"/>
    </row>
    <row r="31">
      <c r="A31" s="12" t="n"/>
      <c r="B31" s="12" t="n"/>
      <c r="C31" s="13" t="n"/>
      <c r="D31" s="14" t="n"/>
      <c r="E31" s="15" t="n"/>
      <c r="F31" s="15" t="n"/>
      <c r="G31" s="15">
        <f>IF(D31="","",D31*F31)</f>
        <v/>
      </c>
      <c r="H31" s="15" t="n"/>
      <c r="I31" s="13" t="n"/>
      <c r="J31" s="15">
        <f>IF(OR(D31="",H31="",I31=""),"",D31*H31*VLOOKUP(I31,FreqTable,2,FALSE))</f>
        <v/>
      </c>
      <c r="K31" s="16">
        <f>IFERROR(IF(OR(F31="",H31="",I31=""),"",(H31*VLOOKUP(I31,FreqTable,2,FALSE))/F31),"")</f>
        <v/>
      </c>
      <c r="L31" s="14" t="n"/>
    </row>
    <row r="32">
      <c r="A32" s="17" t="n"/>
      <c r="B32" s="17" t="n"/>
      <c r="C32" s="18" t="n"/>
      <c r="D32" s="19" t="n"/>
      <c r="E32" s="20" t="n"/>
      <c r="F32" s="20" t="n"/>
      <c r="G32" s="20">
        <f>IF(D32="","",D32*F32)</f>
        <v/>
      </c>
      <c r="H32" s="20" t="n"/>
      <c r="I32" s="18" t="n"/>
      <c r="J32" s="20">
        <f>IF(OR(D32="",H32="",I32=""),"",D32*H32*VLOOKUP(I32,FreqTable,2,FALSE))</f>
        <v/>
      </c>
      <c r="K32" s="21">
        <f>IFERROR(IF(OR(F32="",H32="",I32=""),"",(H32*VLOOKUP(I32,FreqTable,2,FALSE))/F32),"")</f>
        <v/>
      </c>
      <c r="L32" s="19" t="n"/>
    </row>
    <row r="33">
      <c r="A33" s="12" t="n"/>
      <c r="B33" s="12" t="n"/>
      <c r="C33" s="13" t="n"/>
      <c r="D33" s="14" t="n"/>
      <c r="E33" s="15" t="n"/>
      <c r="F33" s="15" t="n"/>
      <c r="G33" s="15">
        <f>IF(D33="","",D33*F33)</f>
        <v/>
      </c>
      <c r="H33" s="15" t="n"/>
      <c r="I33" s="13" t="n"/>
      <c r="J33" s="15">
        <f>IF(OR(D33="",H33="",I33=""),"",D33*H33*VLOOKUP(I33,FreqTable,2,FALSE))</f>
        <v/>
      </c>
      <c r="K33" s="16">
        <f>IFERROR(IF(OR(F33="",H33="",I33=""),"",(H33*VLOOKUP(I33,FreqTable,2,FALSE))/F33),"")</f>
        <v/>
      </c>
      <c r="L33" s="14" t="n"/>
    </row>
    <row r="34">
      <c r="A34" s="17" t="n"/>
      <c r="B34" s="17" t="n"/>
      <c r="C34" s="18" t="n"/>
      <c r="D34" s="19" t="n"/>
      <c r="E34" s="20" t="n"/>
      <c r="F34" s="20" t="n"/>
      <c r="G34" s="20">
        <f>IF(D34="","",D34*F34)</f>
        <v/>
      </c>
      <c r="H34" s="20" t="n"/>
      <c r="I34" s="18" t="n"/>
      <c r="J34" s="20">
        <f>IF(OR(D34="",H34="",I34=""),"",D34*H34*VLOOKUP(I34,FreqTable,2,FALSE))</f>
        <v/>
      </c>
      <c r="K34" s="21">
        <f>IFERROR(IF(OR(F34="",H34="",I34=""),"",(H34*VLOOKUP(I34,FreqTable,2,FALSE))/F34),"")</f>
        <v/>
      </c>
      <c r="L34" s="19" t="n"/>
    </row>
    <row r="35">
      <c r="A35" s="12" t="n"/>
      <c r="B35" s="12" t="n"/>
      <c r="C35" s="13" t="n"/>
      <c r="D35" s="14" t="n"/>
      <c r="E35" s="15" t="n"/>
      <c r="F35" s="15" t="n"/>
      <c r="G35" s="15">
        <f>IF(D35="","",D35*F35)</f>
        <v/>
      </c>
      <c r="H35" s="15" t="n"/>
      <c r="I35" s="13" t="n"/>
      <c r="J35" s="15">
        <f>IF(OR(D35="",H35="",I35=""),"",D35*H35*VLOOKUP(I35,FreqTable,2,FALSE))</f>
        <v/>
      </c>
      <c r="K35" s="16">
        <f>IFERROR(IF(OR(F35="",H35="",I35=""),"",(H35*VLOOKUP(I35,FreqTable,2,FALSE))/F35),"")</f>
        <v/>
      </c>
      <c r="L35" s="14" t="n"/>
    </row>
    <row r="36">
      <c r="A36" s="17" t="n"/>
      <c r="B36" s="17" t="n"/>
      <c r="C36" s="18" t="n"/>
      <c r="D36" s="19" t="n"/>
      <c r="E36" s="20" t="n"/>
      <c r="F36" s="20" t="n"/>
      <c r="G36" s="20">
        <f>IF(D36="","",D36*F36)</f>
        <v/>
      </c>
      <c r="H36" s="20" t="n"/>
      <c r="I36" s="18" t="n"/>
      <c r="J36" s="20">
        <f>IF(OR(D36="",H36="",I36=""),"",D36*H36*VLOOKUP(I36,FreqTable,2,FALSE))</f>
        <v/>
      </c>
      <c r="K36" s="21">
        <f>IFERROR(IF(OR(F36="",H36="",I36=""),"",(H36*VLOOKUP(I36,FreqTable,2,FALSE))/F36),"")</f>
        <v/>
      </c>
      <c r="L36" s="19" t="n"/>
    </row>
    <row r="37">
      <c r="A37" s="12" t="n"/>
      <c r="B37" s="12" t="n"/>
      <c r="C37" s="13" t="n"/>
      <c r="D37" s="14" t="n"/>
      <c r="E37" s="15" t="n"/>
      <c r="F37" s="15" t="n"/>
      <c r="G37" s="15">
        <f>IF(D37="","",D37*F37)</f>
        <v/>
      </c>
      <c r="H37" s="15" t="n"/>
      <c r="I37" s="13" t="n"/>
      <c r="J37" s="15">
        <f>IF(OR(D37="",H37="",I37=""),"",D37*H37*VLOOKUP(I37,FreqTable,2,FALSE))</f>
        <v/>
      </c>
      <c r="K37" s="16">
        <f>IFERROR(IF(OR(F37="",H37="",I37=""),"",(H37*VLOOKUP(I37,FreqTable,2,FALSE))/F37),"")</f>
        <v/>
      </c>
      <c r="L37" s="14" t="n"/>
    </row>
    <row r="38">
      <c r="A38" s="17" t="n"/>
      <c r="B38" s="17" t="n"/>
      <c r="C38" s="18" t="n"/>
      <c r="D38" s="19" t="n"/>
      <c r="E38" s="20" t="n"/>
      <c r="F38" s="20" t="n"/>
      <c r="G38" s="20">
        <f>IF(D38="","",D38*F38)</f>
        <v/>
      </c>
      <c r="H38" s="20" t="n"/>
      <c r="I38" s="18" t="n"/>
      <c r="J38" s="20">
        <f>IF(OR(D38="",H38="",I38=""),"",D38*H38*VLOOKUP(I38,FreqTable,2,FALSE))</f>
        <v/>
      </c>
      <c r="K38" s="21">
        <f>IFERROR(IF(OR(F38="",H38="",I38=""),"",(H38*VLOOKUP(I38,FreqTable,2,FALSE))/F38),"")</f>
        <v/>
      </c>
      <c r="L38" s="19" t="n"/>
    </row>
    <row r="39">
      <c r="A39" s="12" t="n"/>
      <c r="B39" s="12" t="n"/>
      <c r="C39" s="13" t="n"/>
      <c r="D39" s="14" t="n"/>
      <c r="E39" s="15" t="n"/>
      <c r="F39" s="15" t="n"/>
      <c r="G39" s="15">
        <f>IF(D39="","",D39*F39)</f>
        <v/>
      </c>
      <c r="H39" s="15" t="n"/>
      <c r="I39" s="13" t="n"/>
      <c r="J39" s="15">
        <f>IF(OR(D39="",H39="",I39=""),"",D39*H39*VLOOKUP(I39,FreqTable,2,FALSE))</f>
        <v/>
      </c>
      <c r="K39" s="16">
        <f>IFERROR(IF(OR(F39="",H39="",I39=""),"",(H39*VLOOKUP(I39,FreqTable,2,FALSE))/F39),"")</f>
        <v/>
      </c>
      <c r="L39" s="14" t="n"/>
    </row>
    <row r="40">
      <c r="A40" s="17" t="n"/>
      <c r="B40" s="17" t="n"/>
      <c r="C40" s="18" t="n"/>
      <c r="D40" s="19" t="n"/>
      <c r="E40" s="20" t="n"/>
      <c r="F40" s="20" t="n"/>
      <c r="G40" s="20">
        <f>IF(D40="","",D40*F40)</f>
        <v/>
      </c>
      <c r="H40" s="20" t="n"/>
      <c r="I40" s="18" t="n"/>
      <c r="J40" s="20">
        <f>IF(OR(D40="",H40="",I40=""),"",D40*H40*VLOOKUP(I40,FreqTable,2,FALSE))</f>
        <v/>
      </c>
      <c r="K40" s="21">
        <f>IFERROR(IF(OR(F40="",H40="",I40=""),"",(H40*VLOOKUP(I40,FreqTable,2,FALSE))/F40),"")</f>
        <v/>
      </c>
      <c r="L40" s="19" t="n"/>
    </row>
    <row r="41">
      <c r="A41" s="12" t="n"/>
      <c r="B41" s="12" t="n"/>
      <c r="C41" s="13" t="n"/>
      <c r="D41" s="14" t="n"/>
      <c r="E41" s="15" t="n"/>
      <c r="F41" s="15" t="n"/>
      <c r="G41" s="15">
        <f>IF(D41="","",D41*F41)</f>
        <v/>
      </c>
      <c r="H41" s="15" t="n"/>
      <c r="I41" s="13" t="n"/>
      <c r="J41" s="15">
        <f>IF(OR(D41="",H41="",I41=""),"",D41*H41*VLOOKUP(I41,FreqTable,2,FALSE))</f>
        <v/>
      </c>
      <c r="K41" s="16">
        <f>IFERROR(IF(OR(F41="",H41="",I41=""),"",(H41*VLOOKUP(I41,FreqTable,2,FALSE))/F41),"")</f>
        <v/>
      </c>
      <c r="L41" s="14" t="n"/>
    </row>
    <row r="42">
      <c r="A42" s="17" t="n"/>
      <c r="B42" s="17" t="n"/>
      <c r="C42" s="18" t="n"/>
      <c r="D42" s="19" t="n"/>
      <c r="E42" s="20" t="n"/>
      <c r="F42" s="20" t="n"/>
      <c r="G42" s="20">
        <f>IF(D42="","",D42*F42)</f>
        <v/>
      </c>
      <c r="H42" s="20" t="n"/>
      <c r="I42" s="18" t="n"/>
      <c r="J42" s="20">
        <f>IF(OR(D42="",H42="",I42=""),"",D42*H42*VLOOKUP(I42,FreqTable,2,FALSE))</f>
        <v/>
      </c>
      <c r="K42" s="21">
        <f>IFERROR(IF(OR(F42="",H42="",I42=""),"",(H42*VLOOKUP(I42,FreqTable,2,FALSE))/F42),"")</f>
        <v/>
      </c>
      <c r="L42" s="19" t="n"/>
    </row>
    <row r="43">
      <c r="A43" s="12" t="n"/>
      <c r="B43" s="12" t="n"/>
      <c r="C43" s="13" t="n"/>
      <c r="D43" s="14" t="n"/>
      <c r="E43" s="15" t="n"/>
      <c r="F43" s="15" t="n"/>
      <c r="G43" s="15">
        <f>IF(D43="","",D43*F43)</f>
        <v/>
      </c>
      <c r="H43" s="15" t="n"/>
      <c r="I43" s="13" t="n"/>
      <c r="J43" s="15">
        <f>IF(OR(D43="",H43="",I43=""),"",D43*H43*VLOOKUP(I43,FreqTable,2,FALSE))</f>
        <v/>
      </c>
      <c r="K43" s="16">
        <f>IFERROR(IF(OR(F43="",H43="",I43=""),"",(H43*VLOOKUP(I43,FreqTable,2,FALSE))/F43),"")</f>
        <v/>
      </c>
      <c r="L43" s="14" t="n"/>
    </row>
    <row r="44">
      <c r="A44" s="17" t="n"/>
      <c r="B44" s="17" t="n"/>
      <c r="C44" s="18" t="n"/>
      <c r="D44" s="19" t="n"/>
      <c r="E44" s="20" t="n"/>
      <c r="F44" s="20" t="n"/>
      <c r="G44" s="20">
        <f>IF(D44="","",D44*F44)</f>
        <v/>
      </c>
      <c r="H44" s="20" t="n"/>
      <c r="I44" s="18" t="n"/>
      <c r="J44" s="20">
        <f>IF(OR(D44="",H44="",I44=""),"",D44*H44*VLOOKUP(I44,FreqTable,2,FALSE))</f>
        <v/>
      </c>
      <c r="K44" s="21">
        <f>IFERROR(IF(OR(F44="",H44="",I44=""),"",(H44*VLOOKUP(I44,FreqTable,2,FALSE))/F44),"")</f>
        <v/>
      </c>
      <c r="L44" s="19" t="n"/>
    </row>
    <row r="45">
      <c r="A45" s="12" t="n"/>
      <c r="B45" s="12" t="n"/>
      <c r="C45" s="13" t="n"/>
      <c r="D45" s="14" t="n"/>
      <c r="E45" s="15" t="n"/>
      <c r="F45" s="15" t="n"/>
      <c r="G45" s="15">
        <f>IF(D45="","",D45*F45)</f>
        <v/>
      </c>
      <c r="H45" s="15" t="n"/>
      <c r="I45" s="13" t="n"/>
      <c r="J45" s="15">
        <f>IF(OR(D45="",H45="",I45=""),"",D45*H45*VLOOKUP(I45,FreqTable,2,FALSE))</f>
        <v/>
      </c>
      <c r="K45" s="16">
        <f>IFERROR(IF(OR(F45="",H45="",I45=""),"",(H45*VLOOKUP(I45,FreqTable,2,FALSE))/F45),"")</f>
        <v/>
      </c>
      <c r="L45" s="14" t="n"/>
    </row>
    <row r="46">
      <c r="A46" s="17" t="n"/>
      <c r="B46" s="17" t="n"/>
      <c r="C46" s="18" t="n"/>
      <c r="D46" s="19" t="n"/>
      <c r="E46" s="20" t="n"/>
      <c r="F46" s="20" t="n"/>
      <c r="G46" s="20">
        <f>IF(D46="","",D46*F46)</f>
        <v/>
      </c>
      <c r="H46" s="20" t="n"/>
      <c r="I46" s="18" t="n"/>
      <c r="J46" s="20">
        <f>IF(OR(D46="",H46="",I46=""),"",D46*H46*VLOOKUP(I46,FreqTable,2,FALSE))</f>
        <v/>
      </c>
      <c r="K46" s="21">
        <f>IFERROR(IF(OR(F46="",H46="",I46=""),"",(H46*VLOOKUP(I46,FreqTable,2,FALSE))/F46),"")</f>
        <v/>
      </c>
      <c r="L46" s="19" t="n"/>
    </row>
    <row r="47">
      <c r="A47" s="12" t="n"/>
      <c r="B47" s="12" t="n"/>
      <c r="C47" s="13" t="n"/>
      <c r="D47" s="14" t="n"/>
      <c r="E47" s="15" t="n"/>
      <c r="F47" s="15" t="n"/>
      <c r="G47" s="15">
        <f>IF(D47="","",D47*F47)</f>
        <v/>
      </c>
      <c r="H47" s="15" t="n"/>
      <c r="I47" s="13" t="n"/>
      <c r="J47" s="15">
        <f>IF(OR(D47="",H47="",I47=""),"",D47*H47*VLOOKUP(I47,FreqTable,2,FALSE))</f>
        <v/>
      </c>
      <c r="K47" s="16">
        <f>IFERROR(IF(OR(F47="",H47="",I47=""),"",(H47*VLOOKUP(I47,FreqTable,2,FALSE))/F47),"")</f>
        <v/>
      </c>
      <c r="L47" s="14" t="n"/>
    </row>
    <row r="48">
      <c r="A48" s="17" t="n"/>
      <c r="B48" s="17" t="n"/>
      <c r="C48" s="18" t="n"/>
      <c r="D48" s="19" t="n"/>
      <c r="E48" s="20" t="n"/>
      <c r="F48" s="20" t="n"/>
      <c r="G48" s="20">
        <f>IF(D48="","",D48*F48)</f>
        <v/>
      </c>
      <c r="H48" s="20" t="n"/>
      <c r="I48" s="18" t="n"/>
      <c r="J48" s="20">
        <f>IF(OR(D48="",H48="",I48=""),"",D48*H48*VLOOKUP(I48,FreqTable,2,FALSE))</f>
        <v/>
      </c>
      <c r="K48" s="21">
        <f>IFERROR(IF(OR(F48="",H48="",I48=""),"",(H48*VLOOKUP(I48,FreqTable,2,FALSE))/F48),"")</f>
        <v/>
      </c>
      <c r="L48" s="19" t="n"/>
    </row>
    <row r="49">
      <c r="A49" s="12" t="n"/>
      <c r="B49" s="12" t="n"/>
      <c r="C49" s="13" t="n"/>
      <c r="D49" s="14" t="n"/>
      <c r="E49" s="15" t="n"/>
      <c r="F49" s="15" t="n"/>
      <c r="G49" s="15">
        <f>IF(D49="","",D49*F49)</f>
        <v/>
      </c>
      <c r="H49" s="15" t="n"/>
      <c r="I49" s="13" t="n"/>
      <c r="J49" s="15">
        <f>IF(OR(D49="",H49="",I49=""),"",D49*H49*VLOOKUP(I49,FreqTable,2,FALSE))</f>
        <v/>
      </c>
      <c r="K49" s="16">
        <f>IFERROR(IF(OR(F49="",H49="",I49=""),"",(H49*VLOOKUP(I49,FreqTable,2,FALSE))/F49),"")</f>
        <v/>
      </c>
      <c r="L49" s="14" t="n"/>
    </row>
    <row r="50">
      <c r="A50" s="17" t="n"/>
      <c r="B50" s="17" t="n"/>
      <c r="C50" s="18" t="n"/>
      <c r="D50" s="19" t="n"/>
      <c r="E50" s="20" t="n"/>
      <c r="F50" s="20" t="n"/>
      <c r="G50" s="20">
        <f>IF(D50="","",D50*F50)</f>
        <v/>
      </c>
      <c r="H50" s="20" t="n"/>
      <c r="I50" s="18" t="n"/>
      <c r="J50" s="20">
        <f>IF(OR(D50="",H50="",I50=""),"",D50*H50*VLOOKUP(I50,FreqTable,2,FALSE))</f>
        <v/>
      </c>
      <c r="K50" s="21">
        <f>IFERROR(IF(OR(F50="",H50="",I50=""),"",(H50*VLOOKUP(I50,FreqTable,2,FALSE))/F50),"")</f>
        <v/>
      </c>
      <c r="L50" s="19" t="n"/>
    </row>
    <row r="51">
      <c r="A51" s="12" t="n"/>
      <c r="B51" s="12" t="n"/>
      <c r="C51" s="13" t="n"/>
      <c r="D51" s="14" t="n"/>
      <c r="E51" s="15" t="n"/>
      <c r="F51" s="15" t="n"/>
      <c r="G51" s="15">
        <f>IF(D51="","",D51*F51)</f>
        <v/>
      </c>
      <c r="H51" s="15" t="n"/>
      <c r="I51" s="13" t="n"/>
      <c r="J51" s="15">
        <f>IF(OR(D51="",H51="",I51=""),"",D51*H51*VLOOKUP(I51,FreqTable,2,FALSE))</f>
        <v/>
      </c>
      <c r="K51" s="16">
        <f>IFERROR(IF(OR(F51="",H51="",I51=""),"",(H51*VLOOKUP(I51,FreqTable,2,FALSE))/F51),"")</f>
        <v/>
      </c>
      <c r="L51" s="14" t="n"/>
    </row>
    <row r="52">
      <c r="A52" s="17" t="n"/>
      <c r="B52" s="17" t="n"/>
      <c r="C52" s="18" t="n"/>
      <c r="D52" s="19" t="n"/>
      <c r="E52" s="20" t="n"/>
      <c r="F52" s="20" t="n"/>
      <c r="G52" s="20">
        <f>IF(D52="","",D52*F52)</f>
        <v/>
      </c>
      <c r="H52" s="20" t="n"/>
      <c r="I52" s="18" t="n"/>
      <c r="J52" s="20">
        <f>IF(OR(D52="",H52="",I52=""),"",D52*H52*VLOOKUP(I52,FreqTable,2,FALSE))</f>
        <v/>
      </c>
      <c r="K52" s="21">
        <f>IFERROR(IF(OR(F52="",H52="",I52=""),"",(H52*VLOOKUP(I52,FreqTable,2,FALSE))/F52),"")</f>
        <v/>
      </c>
      <c r="L52" s="19" t="n"/>
    </row>
    <row r="53">
      <c r="A53" s="12" t="n"/>
      <c r="B53" s="12" t="n"/>
      <c r="C53" s="13" t="n"/>
      <c r="D53" s="14" t="n"/>
      <c r="E53" s="15" t="n"/>
      <c r="F53" s="15" t="n"/>
      <c r="G53" s="15">
        <f>IF(D53="","",D53*F53)</f>
        <v/>
      </c>
      <c r="H53" s="15" t="n"/>
      <c r="I53" s="13" t="n"/>
      <c r="J53" s="15">
        <f>IF(OR(D53="",H53="",I53=""),"",D53*H53*VLOOKUP(I53,FreqTable,2,FALSE))</f>
        <v/>
      </c>
      <c r="K53" s="16">
        <f>IFERROR(IF(OR(F53="",H53="",I53=""),"",(H53*VLOOKUP(I53,FreqTable,2,FALSE))/F53),"")</f>
        <v/>
      </c>
      <c r="L53" s="14" t="n"/>
    </row>
    <row r="54">
      <c r="A54" s="17" t="n"/>
      <c r="B54" s="17" t="n"/>
      <c r="C54" s="18" t="n"/>
      <c r="D54" s="19" t="n"/>
      <c r="E54" s="20" t="n"/>
      <c r="F54" s="20" t="n"/>
      <c r="G54" s="20">
        <f>IF(D54="","",D54*F54)</f>
        <v/>
      </c>
      <c r="H54" s="20" t="n"/>
      <c r="I54" s="18" t="n"/>
      <c r="J54" s="20">
        <f>IF(OR(D54="",H54="",I54=""),"",D54*H54*VLOOKUP(I54,FreqTable,2,FALSE))</f>
        <v/>
      </c>
      <c r="K54" s="21">
        <f>IFERROR(IF(OR(F54="",H54="",I54=""),"",(H54*VLOOKUP(I54,FreqTable,2,FALSE))/F54),"")</f>
        <v/>
      </c>
      <c r="L54" s="19" t="n"/>
    </row>
    <row r="55">
      <c r="A55" s="12" t="n"/>
      <c r="B55" s="12" t="n"/>
      <c r="C55" s="13" t="n"/>
      <c r="D55" s="14" t="n"/>
      <c r="E55" s="15" t="n"/>
      <c r="F55" s="15" t="n"/>
      <c r="G55" s="15">
        <f>IF(D55="","",D55*F55)</f>
        <v/>
      </c>
      <c r="H55" s="15" t="n"/>
      <c r="I55" s="13" t="n"/>
      <c r="J55" s="15">
        <f>IF(OR(D55="",H55="",I55=""),"",D55*H55*VLOOKUP(I55,FreqTable,2,FALSE))</f>
        <v/>
      </c>
      <c r="K55" s="16">
        <f>IFERROR(IF(OR(F55="",H55="",I55=""),"",(H55*VLOOKUP(I55,FreqTable,2,FALSE))/F55),"")</f>
        <v/>
      </c>
      <c r="L55" s="14" t="n"/>
    </row>
    <row r="56">
      <c r="A56" s="17" t="n"/>
      <c r="B56" s="17" t="n"/>
      <c r="C56" s="18" t="n"/>
      <c r="D56" s="19" t="n"/>
      <c r="E56" s="20" t="n"/>
      <c r="F56" s="20" t="n"/>
      <c r="G56" s="20">
        <f>IF(D56="","",D56*F56)</f>
        <v/>
      </c>
      <c r="H56" s="20" t="n"/>
      <c r="I56" s="18" t="n"/>
      <c r="J56" s="20">
        <f>IF(OR(D56="",H56="",I56=""),"",D56*H56*VLOOKUP(I56,FreqTable,2,FALSE))</f>
        <v/>
      </c>
      <c r="K56" s="21">
        <f>IFERROR(IF(OR(F56="",H56="",I56=""),"",(H56*VLOOKUP(I56,FreqTable,2,FALSE))/F56),"")</f>
        <v/>
      </c>
      <c r="L56" s="19" t="n"/>
    </row>
    <row r="57">
      <c r="A57" s="12" t="n"/>
      <c r="B57" s="12" t="n"/>
      <c r="C57" s="13" t="n"/>
      <c r="D57" s="14" t="n"/>
      <c r="E57" s="15" t="n"/>
      <c r="F57" s="15" t="n"/>
      <c r="G57" s="15">
        <f>IF(D57="","",D57*F57)</f>
        <v/>
      </c>
      <c r="H57" s="15" t="n"/>
      <c r="I57" s="13" t="n"/>
      <c r="J57" s="15">
        <f>IF(OR(D57="",H57="",I57=""),"",D57*H57*VLOOKUP(I57,FreqTable,2,FALSE))</f>
        <v/>
      </c>
      <c r="K57" s="16">
        <f>IFERROR(IF(OR(F57="",H57="",I57=""),"",(H57*VLOOKUP(I57,FreqTable,2,FALSE))/F57),"")</f>
        <v/>
      </c>
      <c r="L57" s="14" t="n"/>
    </row>
    <row r="58">
      <c r="A58" s="17" t="n"/>
      <c r="B58" s="17" t="n"/>
      <c r="C58" s="18" t="n"/>
      <c r="D58" s="19" t="n"/>
      <c r="E58" s="20" t="n"/>
      <c r="F58" s="20" t="n"/>
      <c r="G58" s="20">
        <f>IF(D58="","",D58*F58)</f>
        <v/>
      </c>
      <c r="H58" s="20" t="n"/>
      <c r="I58" s="18" t="n"/>
      <c r="J58" s="20">
        <f>IF(OR(D58="",H58="",I58=""),"",D58*H58*VLOOKUP(I58,FreqTable,2,FALSE))</f>
        <v/>
      </c>
      <c r="K58" s="21">
        <f>IFERROR(IF(OR(F58="",H58="",I58=""),"",(H58*VLOOKUP(I58,FreqTable,2,FALSE))/F58),"")</f>
        <v/>
      </c>
      <c r="L58" s="19" t="n"/>
    </row>
    <row r="59">
      <c r="A59" s="12" t="n"/>
      <c r="B59" s="12" t="n"/>
      <c r="C59" s="13" t="n"/>
      <c r="D59" s="14" t="n"/>
      <c r="E59" s="15" t="n"/>
      <c r="F59" s="15" t="n"/>
      <c r="G59" s="15">
        <f>IF(D59="","",D59*F59)</f>
        <v/>
      </c>
      <c r="H59" s="15" t="n"/>
      <c r="I59" s="13" t="n"/>
      <c r="J59" s="15">
        <f>IF(OR(D59="",H59="",I59=""),"",D59*H59*VLOOKUP(I59,FreqTable,2,FALSE))</f>
        <v/>
      </c>
      <c r="K59" s="16">
        <f>IFERROR(IF(OR(F59="",H59="",I59=""),"",(H59*VLOOKUP(I59,FreqTable,2,FALSE))/F59),"")</f>
        <v/>
      </c>
      <c r="L59" s="14" t="n"/>
    </row>
    <row r="60">
      <c r="A60" s="17" t="n"/>
      <c r="B60" s="17" t="n"/>
      <c r="C60" s="18" t="n"/>
      <c r="D60" s="19" t="n"/>
      <c r="E60" s="20" t="n"/>
      <c r="F60" s="20" t="n"/>
      <c r="G60" s="20">
        <f>IF(D60="","",D60*F60)</f>
        <v/>
      </c>
      <c r="H60" s="20" t="n"/>
      <c r="I60" s="18" t="n"/>
      <c r="J60" s="20">
        <f>IF(OR(D60="",H60="",I60=""),"",D60*H60*VLOOKUP(I60,FreqTable,2,FALSE))</f>
        <v/>
      </c>
      <c r="K60" s="21">
        <f>IFERROR(IF(OR(F60="",H60="",I60=""),"",(H60*VLOOKUP(I60,FreqTable,2,FALSE))/F60),"")</f>
        <v/>
      </c>
      <c r="L60" s="19" t="n"/>
    </row>
    <row r="61">
      <c r="A61" s="12" t="n"/>
      <c r="B61" s="12" t="n"/>
      <c r="C61" s="13" t="n"/>
      <c r="D61" s="14" t="n"/>
      <c r="E61" s="15" t="n"/>
      <c r="F61" s="15" t="n"/>
      <c r="G61" s="15">
        <f>IF(D61="","",D61*F61)</f>
        <v/>
      </c>
      <c r="H61" s="15" t="n"/>
      <c r="I61" s="13" t="n"/>
      <c r="J61" s="15">
        <f>IF(OR(D61="",H61="",I61=""),"",D61*H61*VLOOKUP(I61,FreqTable,2,FALSE))</f>
        <v/>
      </c>
      <c r="K61" s="16">
        <f>IFERROR(IF(OR(F61="",H61="",I61=""),"",(H61*VLOOKUP(I61,FreqTable,2,FALSE))/F61),"")</f>
        <v/>
      </c>
      <c r="L61" s="14" t="n"/>
    </row>
    <row r="62">
      <c r="A62" s="17" t="n"/>
      <c r="B62" s="17" t="n"/>
      <c r="C62" s="18" t="n"/>
      <c r="D62" s="19" t="n"/>
      <c r="E62" s="20" t="n"/>
      <c r="F62" s="20" t="n"/>
      <c r="G62" s="20">
        <f>IF(D62="","",D62*F62)</f>
        <v/>
      </c>
      <c r="H62" s="20" t="n"/>
      <c r="I62" s="18" t="n"/>
      <c r="J62" s="20">
        <f>IF(OR(D62="",H62="",I62=""),"",D62*H62*VLOOKUP(I62,FreqTable,2,FALSE))</f>
        <v/>
      </c>
      <c r="K62" s="21">
        <f>IFERROR(IF(OR(F62="",H62="",I62=""),"",(H62*VLOOKUP(I62,FreqTable,2,FALSE))/F62),"")</f>
        <v/>
      </c>
      <c r="L62" s="19" t="n"/>
    </row>
    <row r="63">
      <c r="A63" s="12" t="n"/>
      <c r="B63" s="12" t="n"/>
      <c r="C63" s="13" t="n"/>
      <c r="D63" s="14" t="n"/>
      <c r="E63" s="15" t="n"/>
      <c r="F63" s="15" t="n"/>
      <c r="G63" s="15">
        <f>IF(D63="","",D63*F63)</f>
        <v/>
      </c>
      <c r="H63" s="15" t="n"/>
      <c r="I63" s="13" t="n"/>
      <c r="J63" s="15">
        <f>IF(OR(D63="",H63="",I63=""),"",D63*H63*VLOOKUP(I63,FreqTable,2,FALSE))</f>
        <v/>
      </c>
      <c r="K63" s="16">
        <f>IFERROR(IF(OR(F63="",H63="",I63=""),"",(H63*VLOOKUP(I63,FreqTable,2,FALSE))/F63),"")</f>
        <v/>
      </c>
      <c r="L63" s="14" t="n"/>
    </row>
    <row r="64">
      <c r="A64" s="17" t="n"/>
      <c r="B64" s="17" t="n"/>
      <c r="C64" s="18" t="n"/>
      <c r="D64" s="19" t="n"/>
      <c r="E64" s="20" t="n"/>
      <c r="F64" s="20" t="n"/>
      <c r="G64" s="20">
        <f>IF(D64="","",D64*F64)</f>
        <v/>
      </c>
      <c r="H64" s="20" t="n"/>
      <c r="I64" s="18" t="n"/>
      <c r="J64" s="20">
        <f>IF(OR(D64="",H64="",I64=""),"",D64*H64*VLOOKUP(I64,FreqTable,2,FALSE))</f>
        <v/>
      </c>
      <c r="K64" s="21">
        <f>IFERROR(IF(OR(F64="",H64="",I64=""),"",(H64*VLOOKUP(I64,FreqTable,2,FALSE))/F64),"")</f>
        <v/>
      </c>
      <c r="L64" s="19" t="n"/>
    </row>
  </sheetData>
  <mergeCells count="2">
    <mergeCell ref="A2:L2"/>
    <mergeCell ref="A1:L1"/>
  </mergeCells>
  <conditionalFormatting sqref="K5:K64">
    <cfRule type="colorScale" priority="1">
      <colorScale>
        <cfvo type="min"/>
        <cfvo type="percentile" val="50"/>
        <cfvo type="max"/>
        <color rgb="FFE5D3BA"/>
        <color rgb="FFFFE08C"/>
        <color rgb="FF75E6C1"/>
      </colorScale>
    </cfRule>
  </conditionalFormatting>
  <conditionalFormatting sqref="L5:L64">
    <cfRule type="dataBar" priority="2">
      <dataBar showValue="1">
        <cfvo type="num" val="1"/>
        <cfvo type="num" val="5"/>
        <color rgb="00C94C4C"/>
      </dataBar>
    </cfRule>
  </conditionalFormatting>
  <conditionalFormatting sqref="A5:L64">
    <cfRule type="expression" priority="3" dxfId="0">
      <formula>AND($F5&lt;&gt;"",$F5&lt;$E5)</formula>
    </cfRule>
  </conditionalFormatting>
  <dataValidations count="3">
    <dataValidation sqref="C5:C64" showDropDown="0" showInputMessage="0" showErrorMessage="0" allowBlank="1" type="list">
      <formula1>=SectorList</formula1>
    </dataValidation>
    <dataValidation sqref="I5:I64" showDropDown="0" showInputMessage="0" showErrorMessage="0" allowBlank="1" type="list">
      <formula1>=FrequencyList</formula1>
    </dataValidation>
    <dataValidation sqref="L5:L6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4" customWidth="1" min="4" max="4"/>
    <col width="22" customWidth="1" min="5" max="5"/>
    <col width="18" customWidth="1" min="6" max="6"/>
    <col width="18" customWidth="1" min="7" max="7"/>
    <col width="18" customWidth="1" min="8" max="8"/>
  </cols>
  <sheetData>
    <row r="1" ht="48" customHeight="1">
      <c r="A1" s="1" t="inlineStr">
        <is>
          <t xml:space="preserve">  🧮  CALCULATIONS ENGINE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 xml:space="preserve">  Centralized logic. Do not edit values — formulas only.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B4" s="8" t="inlineStr">
        <is>
          <t>PORTFOLIO AGGREGATES</t>
        </is>
      </c>
      <c r="C4" s="9" t="n"/>
      <c r="E4" s="8" t="inlineStr">
        <is>
          <t>SECTOR BREAKDOWN</t>
        </is>
      </c>
      <c r="F4" s="9" t="n"/>
      <c r="G4" s="9" t="n"/>
      <c r="H4" s="9" t="n"/>
    </row>
    <row r="5">
      <c r="B5" s="22" t="inlineStr">
        <is>
          <t>Total Portfolio Value</t>
        </is>
      </c>
      <c r="C5" s="23">
        <f>SUMPRODUCT((TblTotalValue&lt;&gt;"")*IFERROR(TblTotalValue,0))</f>
        <v/>
      </c>
      <c r="E5" s="11" t="inlineStr">
        <is>
          <t>Sector</t>
        </is>
      </c>
      <c r="F5" s="11" t="inlineStr">
        <is>
          <t>Value</t>
        </is>
      </c>
      <c r="G5" s="11" t="inlineStr">
        <is>
          <t>Annual Income</t>
        </is>
      </c>
      <c r="H5" s="11" t="inlineStr">
        <is>
          <t>Allocation %</t>
        </is>
      </c>
    </row>
    <row r="6">
      <c r="B6" s="22" t="inlineStr">
        <is>
          <t>Total Annual Dividend Income</t>
        </is>
      </c>
      <c r="C6" s="23">
        <f>SUMPRODUCT((TblAnnualIncome&lt;&gt;"")*IFERROR(TblAnnualIncome,0))</f>
        <v/>
      </c>
      <c r="E6" s="22" t="inlineStr">
        <is>
          <t>Tech</t>
        </is>
      </c>
      <c r="F6" s="23">
        <f>SUMIFS(TblTotalValue,TblSector,E6)</f>
        <v/>
      </c>
      <c r="G6" s="23">
        <f>SUMIFS(TblAnnualIncome,TblSector,E6)</f>
        <v/>
      </c>
      <c r="H6" s="24">
        <f>IFERROR(F6/TotalPortfolioValue,0)</f>
        <v/>
      </c>
    </row>
    <row r="7">
      <c r="B7" s="22" t="inlineStr">
        <is>
          <t>Total Monthly Dividend Income</t>
        </is>
      </c>
      <c r="C7" s="23">
        <f>TotalAnnualIncome/12</f>
        <v/>
      </c>
      <c r="E7" s="22" t="inlineStr">
        <is>
          <t>Finance</t>
        </is>
      </c>
      <c r="F7" s="23">
        <f>SUMIFS(TblTotalValue,TblSector,E7)</f>
        <v/>
      </c>
      <c r="G7" s="23">
        <f>SUMIFS(TblAnnualIncome,TblSector,E7)</f>
        <v/>
      </c>
      <c r="H7" s="24">
        <f>IFERROR(F7/TotalPortfolioValue,0)</f>
        <v/>
      </c>
    </row>
    <row r="8">
      <c r="B8" s="22" t="inlineStr">
        <is>
          <t>Portfolio Yield (Weighted)</t>
        </is>
      </c>
      <c r="C8" s="24">
        <f>IFERROR(TotalAnnualIncome/TotalPortfolioValue,0)</f>
        <v/>
      </c>
      <c r="E8" s="22" t="inlineStr">
        <is>
          <t>Energy</t>
        </is>
      </c>
      <c r="F8" s="23">
        <f>SUMIFS(TblTotalValue,TblSector,E8)</f>
        <v/>
      </c>
      <c r="G8" s="23">
        <f>SUMIFS(TblAnnualIncome,TblSector,E8)</f>
        <v/>
      </c>
      <c r="H8" s="24">
        <f>IFERROR(F8/TotalPortfolioValue,0)</f>
        <v/>
      </c>
    </row>
    <row r="9">
      <c r="B9" s="22" t="inlineStr">
        <is>
          <t>After-Tax Monthly Income</t>
        </is>
      </c>
      <c r="C9" s="23">
        <f>TotalMonthlyIncome*(1-TaxRate)</f>
        <v/>
      </c>
      <c r="E9" s="22" t="inlineStr">
        <is>
          <t>REITs</t>
        </is>
      </c>
      <c r="F9" s="23">
        <f>SUMIFS(TblTotalValue,TblSector,E9)</f>
        <v/>
      </c>
      <c r="G9" s="23">
        <f>SUMIFS(TblAnnualIncome,TblSector,E9)</f>
        <v/>
      </c>
      <c r="H9" s="24">
        <f>IFERROR(F9/TotalPortfolioValue,0)</f>
        <v/>
      </c>
    </row>
    <row r="10">
      <c r="B10" s="22" t="inlineStr">
        <is>
          <t>Holdings Count</t>
        </is>
      </c>
      <c r="C10" s="25">
        <f>SUMPRODUCT((TblTicker&lt;&gt;"")*1)</f>
        <v/>
      </c>
      <c r="E10" s="22" t="inlineStr">
        <is>
          <t>Consumer</t>
        </is>
      </c>
      <c r="F10" s="23">
        <f>SUMIFS(TblTotalValue,TblSector,E10)</f>
        <v/>
      </c>
      <c r="G10" s="23">
        <f>SUMIFS(TblAnnualIncome,TblSector,E10)</f>
        <v/>
      </c>
      <c r="H10" s="24">
        <f>IFERROR(F10/TotalPortfolioValue,0)</f>
        <v/>
      </c>
    </row>
    <row r="11">
      <c r="B11" s="22" t="inlineStr">
        <is>
          <t>Progress to Income Goal</t>
        </is>
      </c>
      <c r="C11" s="24">
        <f>IFERROR(TotalMonthlyIncome/TargetMonthlyIncome,0)</f>
        <v/>
      </c>
      <c r="E11" s="22" t="inlineStr">
        <is>
          <t>Healthcare</t>
        </is>
      </c>
      <c r="F11" s="23">
        <f>SUMIFS(TblTotalValue,TblSector,E11)</f>
        <v/>
      </c>
      <c r="G11" s="23">
        <f>SUMIFS(TblAnnualIncome,TblSector,E11)</f>
        <v/>
      </c>
      <c r="H11" s="24">
        <f>IFERROR(F11/TotalPortfolioValue,0)</f>
        <v/>
      </c>
    </row>
    <row r="14">
      <c r="B14" s="8" t="inlineStr">
        <is>
          <t>MONTHLY DIVIDEND DISTRIBUTION</t>
        </is>
      </c>
      <c r="C14" s="9" t="n"/>
      <c r="D14" s="9" t="n"/>
      <c r="E14" s="9" t="n"/>
      <c r="F14" s="9" t="n"/>
      <c r="G14" s="9" t="n"/>
      <c r="H14" s="9" t="n"/>
    </row>
    <row r="15">
      <c r="B15" s="11" t="inlineStr">
        <is>
          <t>Month</t>
        </is>
      </c>
      <c r="C15" s="11" t="inlineStr">
        <is>
          <t>Monthly $ (Even Spread)</t>
        </is>
      </c>
      <c r="D15" s="11" t="inlineStr">
        <is>
          <t>Cumulative</t>
        </is>
      </c>
    </row>
    <row r="16">
      <c r="B16" s="22" t="inlineStr">
        <is>
          <t>Jan</t>
        </is>
      </c>
      <c r="C16" s="23">
        <f>TotalAnnualIncome/12</f>
        <v/>
      </c>
      <c r="D16" s="23">
        <f>SUM($C$16:C16)</f>
        <v/>
      </c>
    </row>
    <row r="17">
      <c r="B17" s="22" t="inlineStr">
        <is>
          <t>Feb</t>
        </is>
      </c>
      <c r="C17" s="23">
        <f>TotalAnnualIncome/12</f>
        <v/>
      </c>
      <c r="D17" s="23">
        <f>SUM($C$16:C17)</f>
        <v/>
      </c>
    </row>
    <row r="18">
      <c r="B18" s="22" t="inlineStr">
        <is>
          <t>Mar</t>
        </is>
      </c>
      <c r="C18" s="23">
        <f>TotalAnnualIncome/12</f>
        <v/>
      </c>
      <c r="D18" s="23">
        <f>SUM($C$16:C18)</f>
        <v/>
      </c>
    </row>
    <row r="19">
      <c r="B19" s="22" t="inlineStr">
        <is>
          <t>Apr</t>
        </is>
      </c>
      <c r="C19" s="23">
        <f>TotalAnnualIncome/12</f>
        <v/>
      </c>
      <c r="D19" s="23">
        <f>SUM($C$16:C19)</f>
        <v/>
      </c>
    </row>
    <row r="20">
      <c r="B20" s="22" t="inlineStr">
        <is>
          <t>May</t>
        </is>
      </c>
      <c r="C20" s="23">
        <f>TotalAnnualIncome/12</f>
        <v/>
      </c>
      <c r="D20" s="23">
        <f>SUM($C$16:C20)</f>
        <v/>
      </c>
    </row>
    <row r="21">
      <c r="B21" s="22" t="inlineStr">
        <is>
          <t>Jun</t>
        </is>
      </c>
      <c r="C21" s="23">
        <f>TotalAnnualIncome/12</f>
        <v/>
      </c>
      <c r="D21" s="23">
        <f>SUM($C$16:C21)</f>
        <v/>
      </c>
    </row>
    <row r="22">
      <c r="B22" s="22" t="inlineStr">
        <is>
          <t>Jul</t>
        </is>
      </c>
      <c r="C22" s="23">
        <f>TotalAnnualIncome/12</f>
        <v/>
      </c>
      <c r="D22" s="23">
        <f>SUM($C$16:C22)</f>
        <v/>
      </c>
    </row>
    <row r="23">
      <c r="B23" s="22" t="inlineStr">
        <is>
          <t>Aug</t>
        </is>
      </c>
      <c r="C23" s="23">
        <f>TotalAnnualIncome/12</f>
        <v/>
      </c>
      <c r="D23" s="23">
        <f>SUM($C$16:C23)</f>
        <v/>
      </c>
    </row>
    <row r="24">
      <c r="B24" s="22" t="inlineStr">
        <is>
          <t>Sep</t>
        </is>
      </c>
      <c r="C24" s="23">
        <f>TotalAnnualIncome/12</f>
        <v/>
      </c>
      <c r="D24" s="23">
        <f>SUM($C$16:C24)</f>
        <v/>
      </c>
    </row>
    <row r="25">
      <c r="B25" s="22" t="inlineStr">
        <is>
          <t>Oct</t>
        </is>
      </c>
      <c r="C25" s="23">
        <f>TotalAnnualIncome/12</f>
        <v/>
      </c>
      <c r="D25" s="23">
        <f>SUM($C$16:C25)</f>
        <v/>
      </c>
    </row>
    <row r="26">
      <c r="B26" s="22" t="inlineStr">
        <is>
          <t>Nov</t>
        </is>
      </c>
      <c r="C26" s="23">
        <f>TotalAnnualIncome/12</f>
        <v/>
      </c>
      <c r="D26" s="23">
        <f>SUM($C$16:C26)</f>
        <v/>
      </c>
    </row>
    <row r="27">
      <c r="B27" s="22" t="inlineStr">
        <is>
          <t>Dec</t>
        </is>
      </c>
      <c r="C27" s="23">
        <f>TotalAnnualIncome/12</f>
        <v/>
      </c>
      <c r="D27" s="23">
        <f>SUM($C$16:C27)</f>
        <v/>
      </c>
    </row>
  </sheetData>
  <mergeCells count="5">
    <mergeCell ref="B14:H14"/>
    <mergeCell ref="A2:H2"/>
    <mergeCell ref="E4:H4"/>
    <mergeCell ref="A1:H1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4" customWidth="1" min="3" max="3"/>
    <col width="2" customWidth="1" min="4" max="4"/>
    <col width="26" customWidth="1" min="5" max="5"/>
    <col width="22" customWidth="1" min="6" max="6"/>
  </cols>
  <sheetData>
    <row r="1" ht="48" customHeight="1">
      <c r="A1" s="1" t="inlineStr">
        <is>
          <t xml:space="preserve">  ⚙  SETTINGS &amp; INPUTS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 xml:space="preserve">  Configure portfolio goals, dropdowns, and constants.</t>
        </is>
      </c>
      <c r="B2" s="2" t="n"/>
      <c r="C2" s="2" t="n"/>
      <c r="D2" s="2" t="n"/>
      <c r="E2" s="2" t="n"/>
      <c r="F2" s="2" t="n"/>
    </row>
    <row r="3" ht="22" customHeight="1"/>
    <row r="4" ht="22" customHeight="1">
      <c r="B4" s="8" t="inlineStr">
        <is>
          <t>USER CONTROLS</t>
        </is>
      </c>
      <c r="C4" s="9" t="n"/>
      <c r="E4" s="8" t="inlineStr">
        <is>
          <t>DROPDOWN LISTS</t>
        </is>
      </c>
      <c r="F4" s="9" t="n"/>
    </row>
    <row r="5" ht="22" customHeight="1">
      <c r="B5" s="12" t="inlineStr">
        <is>
          <t>Monthly Contribution</t>
        </is>
      </c>
      <c r="C5" s="26" t="n">
        <v>500</v>
      </c>
      <c r="E5" s="11" t="inlineStr">
        <is>
          <t>Sectors</t>
        </is>
      </c>
      <c r="F5" s="11" t="inlineStr">
        <is>
          <t>Risk / Frequency</t>
        </is>
      </c>
    </row>
    <row r="6" ht="22" customHeight="1">
      <c r="B6" s="12" t="inlineStr">
        <is>
          <t>Target Monthly Dividend Income</t>
        </is>
      </c>
      <c r="C6" s="26" t="n">
        <v>5000</v>
      </c>
      <c r="E6" s="22" t="inlineStr">
        <is>
          <t>Tech</t>
        </is>
      </c>
      <c r="F6" s="22" t="inlineStr">
        <is>
          <t>Low</t>
        </is>
      </c>
    </row>
    <row r="7" ht="22" customHeight="1">
      <c r="B7" s="12" t="inlineStr">
        <is>
          <t>Expected Annual Growth Rate</t>
        </is>
      </c>
      <c r="C7" s="27" t="n">
        <v>0.08</v>
      </c>
      <c r="E7" s="22" t="inlineStr">
        <is>
          <t>Finance</t>
        </is>
      </c>
      <c r="F7" s="22" t="inlineStr">
        <is>
          <t>Medium</t>
        </is>
      </c>
    </row>
    <row r="8" ht="22" customHeight="1">
      <c r="B8" s="12" t="inlineStr">
        <is>
          <t>Dividend Growth Rate</t>
        </is>
      </c>
      <c r="C8" s="27" t="n">
        <v>0.06</v>
      </c>
      <c r="E8" s="22" t="inlineStr">
        <is>
          <t>Energy</t>
        </is>
      </c>
      <c r="F8" s="22" t="inlineStr">
        <is>
          <t>High</t>
        </is>
      </c>
    </row>
    <row r="9" ht="22" customHeight="1">
      <c r="B9" s="12" t="inlineStr">
        <is>
          <t>Reinvestment (1 = YES, 0 = NO)</t>
        </is>
      </c>
      <c r="C9" s="28" t="n">
        <v>1</v>
      </c>
      <c r="E9" s="22" t="inlineStr">
        <is>
          <t>REITs</t>
        </is>
      </c>
      <c r="F9" s="22" t="inlineStr">
        <is>
          <t>Monthly</t>
        </is>
      </c>
    </row>
    <row r="10" ht="22" customHeight="1">
      <c r="B10" s="12" t="inlineStr">
        <is>
          <t>Tax Rate on Dividends</t>
        </is>
      </c>
      <c r="C10" s="27" t="n">
        <v>0.15</v>
      </c>
      <c r="E10" s="22" t="inlineStr">
        <is>
          <t>Consumer</t>
        </is>
      </c>
      <c r="F10" s="22" t="inlineStr">
        <is>
          <t>Quarterly</t>
        </is>
      </c>
    </row>
    <row r="11" ht="22" customHeight="1">
      <c r="B11" s="12" t="inlineStr">
        <is>
          <t>Years to Project</t>
        </is>
      </c>
      <c r="C11" s="28" t="n">
        <v>30</v>
      </c>
      <c r="E11" s="22" t="inlineStr">
        <is>
          <t>Healthcare</t>
        </is>
      </c>
      <c r="F11" s="22" t="inlineStr">
        <is>
          <t>Semi-Annual</t>
        </is>
      </c>
    </row>
    <row r="12" ht="22" customHeight="1">
      <c r="F12" s="22" t="inlineStr">
        <is>
          <t>Annual</t>
        </is>
      </c>
    </row>
    <row r="13" ht="22" customHeight="1"/>
    <row r="14" ht="22" customHeight="1"/>
    <row r="15" ht="22" customHeight="1"/>
    <row r="16" ht="22" customHeight="1"/>
    <row r="17" ht="22" customHeight="1"/>
    <row r="18" ht="22" customHeight="1">
      <c r="E18" s="11" t="inlineStr">
        <is>
          <t>Frequency</t>
        </is>
      </c>
      <c r="F18" s="11" t="inlineStr">
        <is>
          <t>Payments/Yr</t>
        </is>
      </c>
    </row>
    <row r="19" ht="22" customHeight="1">
      <c r="E19" s="22" t="inlineStr">
        <is>
          <t>Monthly</t>
        </is>
      </c>
      <c r="F19" s="29" t="n">
        <v>12</v>
      </c>
    </row>
    <row r="20" ht="22" customHeight="1">
      <c r="E20" s="22" t="inlineStr">
        <is>
          <t>Quarterly</t>
        </is>
      </c>
      <c r="F20" s="29" t="n">
        <v>4</v>
      </c>
    </row>
    <row r="21" ht="22" customHeight="1">
      <c r="E21" s="22" t="inlineStr">
        <is>
          <t>Semi-Annual</t>
        </is>
      </c>
      <c r="F21" s="29" t="n">
        <v>2</v>
      </c>
    </row>
    <row r="22" ht="22" customHeight="1">
      <c r="E22" s="22" t="inlineStr">
        <is>
          <t>Annual</t>
        </is>
      </c>
      <c r="F22" s="29" t="n">
        <v>1</v>
      </c>
    </row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4">
    <mergeCell ref="B4:C4"/>
    <mergeCell ref="A2:F2"/>
    <mergeCell ref="E4:F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8" customHeight="1">
      <c r="A1" s="1" t="inlineStr">
        <is>
          <t xml:space="preserve">  🚀  PROJECTIONS &amp; FIRE MODEL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 xml:space="preserve">  Compounding projection driven by Settings inputs.</t>
        </is>
      </c>
      <c r="B2" s="2" t="n"/>
      <c r="C2" s="2" t="n"/>
      <c r="D2" s="2" t="n"/>
      <c r="E2" s="2" t="n"/>
      <c r="F2" s="2" t="n"/>
      <c r="G2" s="2" t="n"/>
    </row>
    <row r="4">
      <c r="B4" s="8" t="inlineStr">
        <is>
          <t>FIRE METRICS</t>
        </is>
      </c>
      <c r="C4" s="9" t="n"/>
      <c r="D4" s="9" t="n"/>
      <c r="E4" s="9" t="n"/>
      <c r="F4" s="9" t="n"/>
      <c r="G4" s="9" t="n"/>
    </row>
    <row r="5">
      <c r="B5" s="22" t="inlineStr">
        <is>
          <t>FIRE Number (25× Annual Spend Goal)</t>
        </is>
      </c>
      <c r="C5" s="23">
        <f>TargetMonthlyIncome*12*25</f>
        <v/>
      </c>
    </row>
    <row r="6">
      <c r="B6" s="22" t="inlineStr">
        <is>
          <t>Years to $1,000 / month Passive</t>
        </is>
      </c>
      <c r="C6" s="30">
        <f>IFERROR(IF(TotalMonthlyIncome&gt;=1000,0,LOG((1000/IFERROR((TotalMonthlyIncome+0.0001),0.0001)))/LOG(1+DividendGrowthRate)),"—")</f>
        <v/>
      </c>
    </row>
    <row r="7">
      <c r="B7" s="22" t="inlineStr">
        <is>
          <t>Years to $5,000 / month Passive</t>
        </is>
      </c>
      <c r="C7" s="30">
        <f>IFERROR(IF(TotalMonthlyIncome&gt;=5000,0,LOG((5000/IFERROR((TotalMonthlyIncome+0.0001),0.0001)))/LOG(1+DividendGrowthRate)),"—")</f>
        <v/>
      </c>
    </row>
    <row r="8">
      <c r="B8" s="22" t="inlineStr">
        <is>
          <t>Years to Target Income</t>
        </is>
      </c>
      <c r="C8" s="30">
        <f>IFERROR(IF(TotalMonthlyIncome&gt;=TargetMonthlyIncome,0,LOG((TargetMonthlyIncome/IFERROR((TotalMonthlyIncome+0.0001),0.0001)))/LOG(1+DividendGrowthRate)),"—")</f>
        <v/>
      </c>
    </row>
    <row r="11">
      <c r="B11" s="8" t="inlineStr">
        <is>
          <t>YEAR-BY-YEAR PROJECTION</t>
        </is>
      </c>
      <c r="C11" s="9" t="n"/>
      <c r="D11" s="9" t="n"/>
      <c r="E11" s="9" t="n"/>
      <c r="F11" s="9" t="n"/>
      <c r="G11" s="9" t="n"/>
    </row>
    <row r="12" ht="30" customHeight="1">
      <c r="B12" s="11" t="inlineStr">
        <is>
          <t>Year</t>
        </is>
      </c>
      <c r="C12" s="11" t="inlineStr">
        <is>
          <t>Portfolio Value</t>
        </is>
      </c>
      <c r="D12" s="11" t="inlineStr">
        <is>
          <t>Annual Income</t>
        </is>
      </c>
      <c r="E12" s="11" t="inlineStr">
        <is>
          <t>Monthly Income</t>
        </is>
      </c>
      <c r="F12" s="11" t="inlineStr">
        <is>
          <t>Cumulative Contributions</t>
        </is>
      </c>
      <c r="G12" s="11" t="inlineStr">
        <is>
          <t>% to FIRE</t>
        </is>
      </c>
    </row>
    <row r="13">
      <c r="B13" s="14" t="n">
        <v>1</v>
      </c>
      <c r="C13" s="15">
        <f>TotalPortfolioValue*(1+AnnualGrowthRate)+MonthlyContribution*12</f>
        <v/>
      </c>
      <c r="D13" s="15">
        <f>TotalAnnualIncome*(1+DividendGrowthRate)</f>
        <v/>
      </c>
      <c r="E13" s="15">
        <f>D13/12</f>
        <v/>
      </c>
      <c r="F13" s="15">
        <f>MonthlyContribution*12</f>
        <v/>
      </c>
      <c r="G13" s="16">
        <f>IFERROR(C13/FireNumber,0)</f>
        <v/>
      </c>
    </row>
    <row r="14">
      <c r="B14" s="19" t="n">
        <v>2</v>
      </c>
      <c r="C14" s="20">
        <f>C13*(1+AnnualGrowthRate)+MonthlyContribution*12+IF(ReinvestToggle=1,D13,0)</f>
        <v/>
      </c>
      <c r="D14" s="20">
        <f>D13*(1+DividendGrowthRate)+IF(ReinvestToggle=1,C13*PortfolioYield*0.05,0)</f>
        <v/>
      </c>
      <c r="E14" s="20">
        <f>D14/12</f>
        <v/>
      </c>
      <c r="F14" s="20">
        <f>F13+MonthlyContribution*12</f>
        <v/>
      </c>
      <c r="G14" s="21">
        <f>IFERROR(C14/FireNumber,0)</f>
        <v/>
      </c>
    </row>
    <row r="15">
      <c r="B15" s="14" t="n">
        <v>3</v>
      </c>
      <c r="C15" s="15">
        <f>C14*(1+AnnualGrowthRate)+MonthlyContribution*12+IF(ReinvestToggle=1,D14,0)</f>
        <v/>
      </c>
      <c r="D15" s="15">
        <f>D14*(1+DividendGrowthRate)+IF(ReinvestToggle=1,C14*PortfolioYield*0.05,0)</f>
        <v/>
      </c>
      <c r="E15" s="15">
        <f>D15/12</f>
        <v/>
      </c>
      <c r="F15" s="15">
        <f>F14+MonthlyContribution*12</f>
        <v/>
      </c>
      <c r="G15" s="16">
        <f>IFERROR(C15/FireNumber,0)</f>
        <v/>
      </c>
    </row>
    <row r="16">
      <c r="B16" s="19" t="n">
        <v>4</v>
      </c>
      <c r="C16" s="20">
        <f>C15*(1+AnnualGrowthRate)+MonthlyContribution*12+IF(ReinvestToggle=1,D15,0)</f>
        <v/>
      </c>
      <c r="D16" s="20">
        <f>D15*(1+DividendGrowthRate)+IF(ReinvestToggle=1,C15*PortfolioYield*0.05,0)</f>
        <v/>
      </c>
      <c r="E16" s="20">
        <f>D16/12</f>
        <v/>
      </c>
      <c r="F16" s="20">
        <f>F15+MonthlyContribution*12</f>
        <v/>
      </c>
      <c r="G16" s="21">
        <f>IFERROR(C16/FireNumber,0)</f>
        <v/>
      </c>
    </row>
    <row r="17">
      <c r="B17" s="14" t="n">
        <v>5</v>
      </c>
      <c r="C17" s="15">
        <f>C16*(1+AnnualGrowthRate)+MonthlyContribution*12+IF(ReinvestToggle=1,D16,0)</f>
        <v/>
      </c>
      <c r="D17" s="15">
        <f>D16*(1+DividendGrowthRate)+IF(ReinvestToggle=1,C16*PortfolioYield*0.05,0)</f>
        <v/>
      </c>
      <c r="E17" s="15">
        <f>D17/12</f>
        <v/>
      </c>
      <c r="F17" s="15">
        <f>F16+MonthlyContribution*12</f>
        <v/>
      </c>
      <c r="G17" s="16">
        <f>IFERROR(C17/FireNumber,0)</f>
        <v/>
      </c>
    </row>
    <row r="18">
      <c r="B18" s="19" t="n">
        <v>6</v>
      </c>
      <c r="C18" s="20">
        <f>C17*(1+AnnualGrowthRate)+MonthlyContribution*12+IF(ReinvestToggle=1,D17,0)</f>
        <v/>
      </c>
      <c r="D18" s="20">
        <f>D17*(1+DividendGrowthRate)+IF(ReinvestToggle=1,C17*PortfolioYield*0.05,0)</f>
        <v/>
      </c>
      <c r="E18" s="20">
        <f>D18/12</f>
        <v/>
      </c>
      <c r="F18" s="20">
        <f>F17+MonthlyContribution*12</f>
        <v/>
      </c>
      <c r="G18" s="21">
        <f>IFERROR(C18/FireNumber,0)</f>
        <v/>
      </c>
    </row>
    <row r="19">
      <c r="B19" s="14" t="n">
        <v>7</v>
      </c>
      <c r="C19" s="15">
        <f>C18*(1+AnnualGrowthRate)+MonthlyContribution*12+IF(ReinvestToggle=1,D18,0)</f>
        <v/>
      </c>
      <c r="D19" s="15">
        <f>D18*(1+DividendGrowthRate)+IF(ReinvestToggle=1,C18*PortfolioYield*0.05,0)</f>
        <v/>
      </c>
      <c r="E19" s="15">
        <f>D19/12</f>
        <v/>
      </c>
      <c r="F19" s="15">
        <f>F18+MonthlyContribution*12</f>
        <v/>
      </c>
      <c r="G19" s="16">
        <f>IFERROR(C19/FireNumber,0)</f>
        <v/>
      </c>
    </row>
    <row r="20">
      <c r="B20" s="19" t="n">
        <v>8</v>
      </c>
      <c r="C20" s="20">
        <f>C19*(1+AnnualGrowthRate)+MonthlyContribution*12+IF(ReinvestToggle=1,D19,0)</f>
        <v/>
      </c>
      <c r="D20" s="20">
        <f>D19*(1+DividendGrowthRate)+IF(ReinvestToggle=1,C19*PortfolioYield*0.05,0)</f>
        <v/>
      </c>
      <c r="E20" s="20">
        <f>D20/12</f>
        <v/>
      </c>
      <c r="F20" s="20">
        <f>F19+MonthlyContribution*12</f>
        <v/>
      </c>
      <c r="G20" s="21">
        <f>IFERROR(C20/FireNumber,0)</f>
        <v/>
      </c>
    </row>
    <row r="21">
      <c r="B21" s="14" t="n">
        <v>9</v>
      </c>
      <c r="C21" s="15">
        <f>C20*(1+AnnualGrowthRate)+MonthlyContribution*12+IF(ReinvestToggle=1,D20,0)</f>
        <v/>
      </c>
      <c r="D21" s="15">
        <f>D20*(1+DividendGrowthRate)+IF(ReinvestToggle=1,C20*PortfolioYield*0.05,0)</f>
        <v/>
      </c>
      <c r="E21" s="15">
        <f>D21/12</f>
        <v/>
      </c>
      <c r="F21" s="15">
        <f>F20+MonthlyContribution*12</f>
        <v/>
      </c>
      <c r="G21" s="16">
        <f>IFERROR(C21/FireNumber,0)</f>
        <v/>
      </c>
    </row>
    <row r="22">
      <c r="B22" s="19" t="n">
        <v>10</v>
      </c>
      <c r="C22" s="20">
        <f>C21*(1+AnnualGrowthRate)+MonthlyContribution*12+IF(ReinvestToggle=1,D21,0)</f>
        <v/>
      </c>
      <c r="D22" s="20">
        <f>D21*(1+DividendGrowthRate)+IF(ReinvestToggle=1,C21*PortfolioYield*0.05,0)</f>
        <v/>
      </c>
      <c r="E22" s="20">
        <f>D22/12</f>
        <v/>
      </c>
      <c r="F22" s="20">
        <f>F21+MonthlyContribution*12</f>
        <v/>
      </c>
      <c r="G22" s="21">
        <f>IFERROR(C22/FireNumber,0)</f>
        <v/>
      </c>
    </row>
    <row r="23">
      <c r="B23" s="14" t="n">
        <v>11</v>
      </c>
      <c r="C23" s="15">
        <f>C22*(1+AnnualGrowthRate)+MonthlyContribution*12+IF(ReinvestToggle=1,D22,0)</f>
        <v/>
      </c>
      <c r="D23" s="15">
        <f>D22*(1+DividendGrowthRate)+IF(ReinvestToggle=1,C22*PortfolioYield*0.05,0)</f>
        <v/>
      </c>
      <c r="E23" s="15">
        <f>D23/12</f>
        <v/>
      </c>
      <c r="F23" s="15">
        <f>F22+MonthlyContribution*12</f>
        <v/>
      </c>
      <c r="G23" s="16">
        <f>IFERROR(C23/FireNumber,0)</f>
        <v/>
      </c>
    </row>
    <row r="24">
      <c r="B24" s="19" t="n">
        <v>12</v>
      </c>
      <c r="C24" s="20">
        <f>C23*(1+AnnualGrowthRate)+MonthlyContribution*12+IF(ReinvestToggle=1,D23,0)</f>
        <v/>
      </c>
      <c r="D24" s="20">
        <f>D23*(1+DividendGrowthRate)+IF(ReinvestToggle=1,C23*PortfolioYield*0.05,0)</f>
        <v/>
      </c>
      <c r="E24" s="20">
        <f>D24/12</f>
        <v/>
      </c>
      <c r="F24" s="20">
        <f>F23+MonthlyContribution*12</f>
        <v/>
      </c>
      <c r="G24" s="21">
        <f>IFERROR(C24/FireNumber,0)</f>
        <v/>
      </c>
    </row>
    <row r="25">
      <c r="B25" s="14" t="n">
        <v>13</v>
      </c>
      <c r="C25" s="15">
        <f>C24*(1+AnnualGrowthRate)+MonthlyContribution*12+IF(ReinvestToggle=1,D24,0)</f>
        <v/>
      </c>
      <c r="D25" s="15">
        <f>D24*(1+DividendGrowthRate)+IF(ReinvestToggle=1,C24*PortfolioYield*0.05,0)</f>
        <v/>
      </c>
      <c r="E25" s="15">
        <f>D25/12</f>
        <v/>
      </c>
      <c r="F25" s="15">
        <f>F24+MonthlyContribution*12</f>
        <v/>
      </c>
      <c r="G25" s="16">
        <f>IFERROR(C25/FireNumber,0)</f>
        <v/>
      </c>
    </row>
    <row r="26">
      <c r="B26" s="19" t="n">
        <v>14</v>
      </c>
      <c r="C26" s="20">
        <f>C25*(1+AnnualGrowthRate)+MonthlyContribution*12+IF(ReinvestToggle=1,D25,0)</f>
        <v/>
      </c>
      <c r="D26" s="20">
        <f>D25*(1+DividendGrowthRate)+IF(ReinvestToggle=1,C25*PortfolioYield*0.05,0)</f>
        <v/>
      </c>
      <c r="E26" s="20">
        <f>D26/12</f>
        <v/>
      </c>
      <c r="F26" s="20">
        <f>F25+MonthlyContribution*12</f>
        <v/>
      </c>
      <c r="G26" s="21">
        <f>IFERROR(C26/FireNumber,0)</f>
        <v/>
      </c>
    </row>
    <row r="27">
      <c r="B27" s="14" t="n">
        <v>15</v>
      </c>
      <c r="C27" s="15">
        <f>C26*(1+AnnualGrowthRate)+MonthlyContribution*12+IF(ReinvestToggle=1,D26,0)</f>
        <v/>
      </c>
      <c r="D27" s="15">
        <f>D26*(1+DividendGrowthRate)+IF(ReinvestToggle=1,C26*PortfolioYield*0.05,0)</f>
        <v/>
      </c>
      <c r="E27" s="15">
        <f>D27/12</f>
        <v/>
      </c>
      <c r="F27" s="15">
        <f>F26+MonthlyContribution*12</f>
        <v/>
      </c>
      <c r="G27" s="16">
        <f>IFERROR(C27/FireNumber,0)</f>
        <v/>
      </c>
    </row>
    <row r="28">
      <c r="B28" s="19" t="n">
        <v>16</v>
      </c>
      <c r="C28" s="20">
        <f>C27*(1+AnnualGrowthRate)+MonthlyContribution*12+IF(ReinvestToggle=1,D27,0)</f>
        <v/>
      </c>
      <c r="D28" s="20">
        <f>D27*(1+DividendGrowthRate)+IF(ReinvestToggle=1,C27*PortfolioYield*0.05,0)</f>
        <v/>
      </c>
      <c r="E28" s="20">
        <f>D28/12</f>
        <v/>
      </c>
      <c r="F28" s="20">
        <f>F27+MonthlyContribution*12</f>
        <v/>
      </c>
      <c r="G28" s="21">
        <f>IFERROR(C28/FireNumber,0)</f>
        <v/>
      </c>
    </row>
    <row r="29">
      <c r="B29" s="14" t="n">
        <v>17</v>
      </c>
      <c r="C29" s="15">
        <f>C28*(1+AnnualGrowthRate)+MonthlyContribution*12+IF(ReinvestToggle=1,D28,0)</f>
        <v/>
      </c>
      <c r="D29" s="15">
        <f>D28*(1+DividendGrowthRate)+IF(ReinvestToggle=1,C28*PortfolioYield*0.05,0)</f>
        <v/>
      </c>
      <c r="E29" s="15">
        <f>D29/12</f>
        <v/>
      </c>
      <c r="F29" s="15">
        <f>F28+MonthlyContribution*12</f>
        <v/>
      </c>
      <c r="G29" s="16">
        <f>IFERROR(C29/FireNumber,0)</f>
        <v/>
      </c>
    </row>
    <row r="30">
      <c r="B30" s="19" t="n">
        <v>18</v>
      </c>
      <c r="C30" s="20">
        <f>C29*(1+AnnualGrowthRate)+MonthlyContribution*12+IF(ReinvestToggle=1,D29,0)</f>
        <v/>
      </c>
      <c r="D30" s="20">
        <f>D29*(1+DividendGrowthRate)+IF(ReinvestToggle=1,C29*PortfolioYield*0.05,0)</f>
        <v/>
      </c>
      <c r="E30" s="20">
        <f>D30/12</f>
        <v/>
      </c>
      <c r="F30" s="20">
        <f>F29+MonthlyContribution*12</f>
        <v/>
      </c>
      <c r="G30" s="21">
        <f>IFERROR(C30/FireNumber,0)</f>
        <v/>
      </c>
    </row>
    <row r="31">
      <c r="B31" s="14" t="n">
        <v>19</v>
      </c>
      <c r="C31" s="15">
        <f>C30*(1+AnnualGrowthRate)+MonthlyContribution*12+IF(ReinvestToggle=1,D30,0)</f>
        <v/>
      </c>
      <c r="D31" s="15">
        <f>D30*(1+DividendGrowthRate)+IF(ReinvestToggle=1,C30*PortfolioYield*0.05,0)</f>
        <v/>
      </c>
      <c r="E31" s="15">
        <f>D31/12</f>
        <v/>
      </c>
      <c r="F31" s="15">
        <f>F30+MonthlyContribution*12</f>
        <v/>
      </c>
      <c r="G31" s="16">
        <f>IFERROR(C31/FireNumber,0)</f>
        <v/>
      </c>
    </row>
    <row r="32">
      <c r="B32" s="19" t="n">
        <v>20</v>
      </c>
      <c r="C32" s="20">
        <f>C31*(1+AnnualGrowthRate)+MonthlyContribution*12+IF(ReinvestToggle=1,D31,0)</f>
        <v/>
      </c>
      <c r="D32" s="20">
        <f>D31*(1+DividendGrowthRate)+IF(ReinvestToggle=1,C31*PortfolioYield*0.05,0)</f>
        <v/>
      </c>
      <c r="E32" s="20">
        <f>D32/12</f>
        <v/>
      </c>
      <c r="F32" s="20">
        <f>F31+MonthlyContribution*12</f>
        <v/>
      </c>
      <c r="G32" s="21">
        <f>IFERROR(C32/FireNumber,0)</f>
        <v/>
      </c>
    </row>
    <row r="33">
      <c r="B33" s="14" t="n">
        <v>21</v>
      </c>
      <c r="C33" s="15">
        <f>C32*(1+AnnualGrowthRate)+MonthlyContribution*12+IF(ReinvestToggle=1,D32,0)</f>
        <v/>
      </c>
      <c r="D33" s="15">
        <f>D32*(1+DividendGrowthRate)+IF(ReinvestToggle=1,C32*PortfolioYield*0.05,0)</f>
        <v/>
      </c>
      <c r="E33" s="15">
        <f>D33/12</f>
        <v/>
      </c>
      <c r="F33" s="15">
        <f>F32+MonthlyContribution*12</f>
        <v/>
      </c>
      <c r="G33" s="16">
        <f>IFERROR(C33/FireNumber,0)</f>
        <v/>
      </c>
    </row>
    <row r="34">
      <c r="B34" s="19" t="n">
        <v>22</v>
      </c>
      <c r="C34" s="20">
        <f>C33*(1+AnnualGrowthRate)+MonthlyContribution*12+IF(ReinvestToggle=1,D33,0)</f>
        <v/>
      </c>
      <c r="D34" s="20">
        <f>D33*(1+DividendGrowthRate)+IF(ReinvestToggle=1,C33*PortfolioYield*0.05,0)</f>
        <v/>
      </c>
      <c r="E34" s="20">
        <f>D34/12</f>
        <v/>
      </c>
      <c r="F34" s="20">
        <f>F33+MonthlyContribution*12</f>
        <v/>
      </c>
      <c r="G34" s="21">
        <f>IFERROR(C34/FireNumber,0)</f>
        <v/>
      </c>
    </row>
    <row r="35">
      <c r="B35" s="14" t="n">
        <v>23</v>
      </c>
      <c r="C35" s="15">
        <f>C34*(1+AnnualGrowthRate)+MonthlyContribution*12+IF(ReinvestToggle=1,D34,0)</f>
        <v/>
      </c>
      <c r="D35" s="15">
        <f>D34*(1+DividendGrowthRate)+IF(ReinvestToggle=1,C34*PortfolioYield*0.05,0)</f>
        <v/>
      </c>
      <c r="E35" s="15">
        <f>D35/12</f>
        <v/>
      </c>
      <c r="F35" s="15">
        <f>F34+MonthlyContribution*12</f>
        <v/>
      </c>
      <c r="G35" s="16">
        <f>IFERROR(C35/FireNumber,0)</f>
        <v/>
      </c>
    </row>
    <row r="36">
      <c r="B36" s="19" t="n">
        <v>24</v>
      </c>
      <c r="C36" s="20">
        <f>C35*(1+AnnualGrowthRate)+MonthlyContribution*12+IF(ReinvestToggle=1,D35,0)</f>
        <v/>
      </c>
      <c r="D36" s="20">
        <f>D35*(1+DividendGrowthRate)+IF(ReinvestToggle=1,C35*PortfolioYield*0.05,0)</f>
        <v/>
      </c>
      <c r="E36" s="20">
        <f>D36/12</f>
        <v/>
      </c>
      <c r="F36" s="20">
        <f>F35+MonthlyContribution*12</f>
        <v/>
      </c>
      <c r="G36" s="21">
        <f>IFERROR(C36/FireNumber,0)</f>
        <v/>
      </c>
    </row>
    <row r="37">
      <c r="B37" s="14" t="n">
        <v>25</v>
      </c>
      <c r="C37" s="15">
        <f>C36*(1+AnnualGrowthRate)+MonthlyContribution*12+IF(ReinvestToggle=1,D36,0)</f>
        <v/>
      </c>
      <c r="D37" s="15">
        <f>D36*(1+DividendGrowthRate)+IF(ReinvestToggle=1,C36*PortfolioYield*0.05,0)</f>
        <v/>
      </c>
      <c r="E37" s="15">
        <f>D37/12</f>
        <v/>
      </c>
      <c r="F37" s="15">
        <f>F36+MonthlyContribution*12</f>
        <v/>
      </c>
      <c r="G37" s="16">
        <f>IFERROR(C37/FireNumber,0)</f>
        <v/>
      </c>
    </row>
    <row r="38">
      <c r="B38" s="19" t="n">
        <v>26</v>
      </c>
      <c r="C38" s="20">
        <f>C37*(1+AnnualGrowthRate)+MonthlyContribution*12+IF(ReinvestToggle=1,D37,0)</f>
        <v/>
      </c>
      <c r="D38" s="20">
        <f>D37*(1+DividendGrowthRate)+IF(ReinvestToggle=1,C37*PortfolioYield*0.05,0)</f>
        <v/>
      </c>
      <c r="E38" s="20">
        <f>D38/12</f>
        <v/>
      </c>
      <c r="F38" s="20">
        <f>F37+MonthlyContribution*12</f>
        <v/>
      </c>
      <c r="G38" s="21">
        <f>IFERROR(C38/FireNumber,0)</f>
        <v/>
      </c>
    </row>
    <row r="39">
      <c r="B39" s="14" t="n">
        <v>27</v>
      </c>
      <c r="C39" s="15">
        <f>C38*(1+AnnualGrowthRate)+MonthlyContribution*12+IF(ReinvestToggle=1,D38,0)</f>
        <v/>
      </c>
      <c r="D39" s="15">
        <f>D38*(1+DividendGrowthRate)+IF(ReinvestToggle=1,C38*PortfolioYield*0.05,0)</f>
        <v/>
      </c>
      <c r="E39" s="15">
        <f>D39/12</f>
        <v/>
      </c>
      <c r="F39" s="15">
        <f>F38+MonthlyContribution*12</f>
        <v/>
      </c>
      <c r="G39" s="16">
        <f>IFERROR(C39/FireNumber,0)</f>
        <v/>
      </c>
    </row>
    <row r="40">
      <c r="B40" s="19" t="n">
        <v>28</v>
      </c>
      <c r="C40" s="20">
        <f>C39*(1+AnnualGrowthRate)+MonthlyContribution*12+IF(ReinvestToggle=1,D39,0)</f>
        <v/>
      </c>
      <c r="D40" s="20">
        <f>D39*(1+DividendGrowthRate)+IF(ReinvestToggle=1,C39*PortfolioYield*0.05,0)</f>
        <v/>
      </c>
      <c r="E40" s="20">
        <f>D40/12</f>
        <v/>
      </c>
      <c r="F40" s="20">
        <f>F39+MonthlyContribution*12</f>
        <v/>
      </c>
      <c r="G40" s="21">
        <f>IFERROR(C40/FireNumber,0)</f>
        <v/>
      </c>
    </row>
    <row r="41">
      <c r="B41" s="14" t="n">
        <v>29</v>
      </c>
      <c r="C41" s="15">
        <f>C40*(1+AnnualGrowthRate)+MonthlyContribution*12+IF(ReinvestToggle=1,D40,0)</f>
        <v/>
      </c>
      <c r="D41" s="15">
        <f>D40*(1+DividendGrowthRate)+IF(ReinvestToggle=1,C40*PortfolioYield*0.05,0)</f>
        <v/>
      </c>
      <c r="E41" s="15">
        <f>D41/12</f>
        <v/>
      </c>
      <c r="F41" s="15">
        <f>F40+MonthlyContribution*12</f>
        <v/>
      </c>
      <c r="G41" s="16">
        <f>IFERROR(C41/FireNumber,0)</f>
        <v/>
      </c>
    </row>
    <row r="42">
      <c r="B42" s="19" t="n">
        <v>30</v>
      </c>
      <c r="C42" s="20">
        <f>C41*(1+AnnualGrowthRate)+MonthlyContribution*12+IF(ReinvestToggle=1,D41,0)</f>
        <v/>
      </c>
      <c r="D42" s="20">
        <f>D41*(1+DividendGrowthRate)+IF(ReinvestToggle=1,C41*PortfolioYield*0.05,0)</f>
        <v/>
      </c>
      <c r="E42" s="20">
        <f>D42/12</f>
        <v/>
      </c>
      <c r="F42" s="20">
        <f>F41+MonthlyContribution*12</f>
        <v/>
      </c>
      <c r="G42" s="21">
        <f>IFERROR(C42/FireNumber,0)</f>
        <v/>
      </c>
    </row>
  </sheetData>
  <mergeCells count="8">
    <mergeCell ref="C6:D6"/>
    <mergeCell ref="A1:G1"/>
    <mergeCell ref="C7:D7"/>
    <mergeCell ref="C5:D5"/>
    <mergeCell ref="B4:G4"/>
    <mergeCell ref="A2:G2"/>
    <mergeCell ref="C8:D8"/>
    <mergeCell ref="B11:G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2026-06-29T03:34:26Z</dcterms:created>
  <dcterms:modified xsi:type="dcterms:W3CDTF">2026-06-29T03:34:26Z</dcterms:modified>
</cp:coreProperties>
</file>