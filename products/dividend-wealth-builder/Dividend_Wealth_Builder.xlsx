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Holdings" sheetId="2" state="visible" r:id="rId2"/>
    <sheet name="IncomeCalendar" sheetId="3" state="visible" r:id="rId3"/>
    <sheet name="Calculations" sheetId="4" state="visible" r:id="rId4"/>
    <sheet name="Projections" sheetId="5" state="visible" r:id="rId5"/>
    <sheet name="Settings" sheetId="6" state="visible" r:id="rId6"/>
  </sheets>
  <definedNames>
    <definedName name="MonthlyContribution">Settings!$C$6</definedName>
    <definedName name="TargetMonthlyIncome">Settings!$C$7</definedName>
    <definedName name="AnnualGrowthRate">Settings!$C$8</definedName>
    <definedName name="DividendGrowthRate">Settings!$C$9</definedName>
    <definedName name="ReinvestToggle">Settings!$C$10</definedName>
    <definedName name="TaxRate">Settings!$C$11</definedName>
    <definedName name="YearsToProject">Settings!$C$12</definedName>
    <definedName name="SectorList">Settings!$E$7:$E$12</definedName>
    <definedName name="RiskList">Settings!$F$7:$F$9</definedName>
    <definedName name="FrequencyList">Settings!$G$7:$G$10</definedName>
    <definedName name="FreqTable">Settings!$E$17:$F$20</definedName>
    <definedName name="TblTicker">Holdings!$A$5:$A$44</definedName>
    <definedName name="TblCompany">Holdings!$B$5:$B$44</definedName>
    <definedName name="TblSector">Holdings!$C$5:$C$44</definedName>
    <definedName name="TblCost">Holdings!$G$5:$G$44</definedName>
    <definedName name="TblMV">Holdings!$H$5:$H$44</definedName>
    <definedName name="TblGain">Holdings!$I$5:$I$44</definedName>
    <definedName name="TblIncome">Holdings!$M$5:$M$44</definedName>
    <definedName name="TblYield">Holdings!$N$5:$N$44</definedName>
    <definedName name="TblRisk">Holdings!$Q$5:$Q$44</definedName>
    <definedName name="TotalMarketValue">Calculations!$C$6</definedName>
    <definedName name="TotalCostBasis">Calculations!$C$7</definedName>
    <definedName name="TotalGain">Calculations!$C$8</definedName>
    <definedName name="TotalReturnPct">Calculations!$C$9</definedName>
    <definedName name="TotalAnnualIncome">Calculations!$C$10</definedName>
    <definedName name="TotalMonthlyIncome">Calculations!$C$11</definedName>
    <definedName name="PortfolioYield">Calculations!$C$12</definedName>
    <definedName name="PortfolioYoC">Calculations!$C$13</definedName>
    <definedName name="AfterTaxMonthly">Calculations!$C$14</definedName>
    <definedName name="HoldingsCount">Calculations!$C$15</definedName>
    <definedName name="ProgressToGoal">Calculations!$C$16</definedName>
    <definedName name="SectorLabels">Calculations!$E$7:$E$12</definedName>
    <definedName name="SectorValues">Calculations!$F$7:$F$12</definedName>
    <definedName name="TopRank">Calculations!$E$16:$E$25</definedName>
    <definedName name="TopTicker">Calculations!$F$16:$F$25</definedName>
    <definedName name="TopCompany">Calculations!$G$16:$G$25</definedName>
    <definedName name="TopIncome">Calculations!$H$16:$H$25</definedName>
    <definedName name="CalMonthLabels">IncomeCalendar!$D$4:$O$4</definedName>
    <definedName name="CalMonthTotals">IncomeCalendar!$D$45:$O$45</definedName>
    <definedName name="FireNumber">Projections!$E$6</definedName>
    <definedName name="YearsTo1k">Projections!$E$7</definedName>
    <definedName name="YearsTo5k">Projections!$E$8</definedName>
    <definedName name="YearsToTarget">Projections!$E$9</definedName>
    <definedName name="ProjYears">Projections!$B$13:$B$42</definedName>
    <definedName name="ProjPortfolio">Projections!$C$13:$C$42</definedName>
    <definedName name="ProjAnnualIncome">Projections!$D$13:$D$42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$&quot;#,##0"/>
    <numFmt numFmtId="165" formatCode="&quot;$&quot;#,##0.00"/>
    <numFmt numFmtId="166" formatCode="&quot;$&quot;#,##0;[Red]-&quot;$&quot;#,##0"/>
    <numFmt numFmtId="167" formatCode="0.0%"/>
    <numFmt numFmtId="168" formatCode="0.0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i val="1"/>
      <color rgb="00E5D3BA"/>
      <sz val="11"/>
    </font>
    <font>
      <name val="Calibri"/>
      <b val="1"/>
      <color rgb="001B4F48"/>
      <sz val="12"/>
    </font>
    <font>
      <name val="Calibri"/>
      <b val="1"/>
      <color rgb="00937356"/>
      <sz val="12"/>
    </font>
    <font>
      <name val="Calibri"/>
      <b val="1"/>
      <color rgb="00FFFFFF"/>
      <sz val="11"/>
    </font>
    <font>
      <name val="Calibri"/>
      <color rgb="00333333"/>
      <sz val="11"/>
    </font>
    <font>
      <name val="Calibri"/>
      <b val="1"/>
      <color rgb="001B4F48"/>
      <sz val="11"/>
    </font>
    <font>
      <name val="Calibri"/>
      <b val="1"/>
      <color rgb="00937356"/>
      <sz val="10"/>
    </font>
    <font>
      <b val="1"/>
      <color rgb="001B4F48"/>
    </font>
    <font>
      <b val="1"/>
      <color rgb="00937356"/>
      <sz val="10"/>
    </font>
    <font>
      <b val="1"/>
      <color rgb="001B4F48"/>
      <sz val="24"/>
    </font>
  </fonts>
  <fills count="8">
    <fill>
      <patternFill/>
    </fill>
    <fill>
      <patternFill patternType="gray125"/>
    </fill>
    <fill>
      <patternFill patternType="solid">
        <fgColor rgb="001B4F48"/>
      </patternFill>
    </fill>
    <fill>
      <patternFill patternType="solid">
        <fgColor rgb="00E5D3BA"/>
      </patternFill>
    </fill>
    <fill>
      <patternFill patternType="solid">
        <fgColor rgb="00FAF7F1"/>
      </patternFill>
    </fill>
    <fill>
      <patternFill patternType="solid">
        <fgColor rgb="00C9A86A"/>
      </patternFill>
    </fill>
    <fill>
      <patternFill patternType="solid">
        <fgColor rgb="00FFFFFF"/>
      </patternFill>
    </fill>
    <fill>
      <patternFill patternType="solid">
        <fgColor rgb="00F4ECDE"/>
      </patternFill>
    </fill>
  </fills>
  <borders count="8">
    <border>
      <left/>
      <right/>
      <top/>
      <bottom/>
      <diagonal/>
    </border>
    <border/>
    <border>
      <left style="thin">
        <color rgb="00D6D2C8"/>
      </left>
      <right style="thin">
        <color rgb="00D6D2C8"/>
      </right>
      <top style="thin">
        <color rgb="00D6D2C8"/>
      </top>
      <bottom style="thin">
        <color rgb="00D6D2C8"/>
      </bottom>
    </border>
    <border>
      <left/>
      <right/>
      <top style="thin">
        <color rgb="00D6D2C8"/>
      </top>
      <bottom/>
      <diagonal/>
    </border>
    <border>
      <left/>
      <right style="thin">
        <color rgb="00D6D2C8"/>
      </right>
      <top style="thin">
        <color rgb="00D6D2C8"/>
      </top>
      <bottom/>
      <diagonal/>
    </border>
    <border>
      <left/>
      <right/>
      <top style="thin">
        <color rgb="00D6D2C8"/>
      </top>
      <bottom style="thin">
        <color rgb="00D6D2C8"/>
      </bottom>
      <diagonal/>
    </border>
    <border>
      <left/>
      <right style="thin">
        <color rgb="00D6D2C8"/>
      </right>
      <top style="thin">
        <color rgb="00D6D2C8"/>
      </top>
      <bottom style="thin">
        <color rgb="00D6D2C8"/>
      </bottom>
      <diagonal/>
    </border>
    <border>
      <left style="thin">
        <color rgb="00D6D2C8"/>
      </left>
      <right style="thin">
        <color rgb="00D6D2C8"/>
      </right>
      <top style="medium">
        <color rgb="00C9A86A"/>
      </top>
      <bottom style="thin">
        <color rgb="00D6D2C8"/>
      </bottom>
    </border>
  </borders>
  <cellStyleXfs count="11">
    <xf numFmtId="0" fontId="0" fillId="0" borderId="0"/>
    <xf numFmtId="0" fontId="1" fillId="2" borderId="1" applyAlignment="1">
      <alignment horizontal="left" vertical="center" indent="2"/>
    </xf>
    <xf numFmtId="0" fontId="2" fillId="2" borderId="1" applyAlignment="1">
      <alignment horizontal="left" vertical="center" indent="2"/>
    </xf>
    <xf numFmtId="0" fontId="3" fillId="0" borderId="1" applyAlignment="1">
      <alignment horizontal="left" vertical="center"/>
    </xf>
    <xf numFmtId="0" fontId="4" fillId="0" borderId="1" applyAlignment="1">
      <alignment horizontal="left" vertical="center"/>
    </xf>
    <xf numFmtId="0" fontId="5" fillId="2" borderId="2" applyAlignment="1">
      <alignment horizontal="center" vertical="center" wrapText="1"/>
    </xf>
    <xf numFmtId="0" fontId="6" fillId="0" borderId="2" applyAlignment="1">
      <alignment horizontal="center" vertical="center"/>
    </xf>
    <xf numFmtId="0" fontId="6" fillId="0" borderId="2" applyAlignment="1">
      <alignment horizontal="left" vertical="center" indent="1"/>
    </xf>
    <xf numFmtId="0" fontId="7" fillId="3" borderId="2" applyAlignment="1">
      <alignment horizontal="center" vertical="center"/>
    </xf>
    <xf numFmtId="0" fontId="8" fillId="4" borderId="2" applyAlignment="1">
      <alignment horizontal="left" vertical="center" indent="1"/>
    </xf>
    <xf numFmtId="0" fontId="7" fillId="0" borderId="2" applyAlignment="1">
      <alignment horizontal="left" vertical="center" indent="1"/>
    </xf>
  </cellStyleXfs>
  <cellXfs count="49">
    <xf numFmtId="0" fontId="0" fillId="0" borderId="0" pivotButton="0" quotePrefix="0" xfId="0"/>
    <xf numFmtId="0" fontId="1" fillId="2" borderId="1" applyAlignment="1" pivotButton="0" quotePrefix="0" xfId="1">
      <alignment horizontal="left" vertical="center" indent="2"/>
    </xf>
    <xf numFmtId="0" fontId="2" fillId="2" borderId="1" applyAlignment="1" pivotButton="0" quotePrefix="0" xfId="2">
      <alignment horizontal="left" vertical="center" indent="2"/>
    </xf>
    <xf numFmtId="0" fontId="0" fillId="5" borderId="0" pivotButton="0" quotePrefix="0" xfId="0"/>
    <xf numFmtId="0" fontId="10" fillId="6" borderId="7" applyAlignment="1" pivotButton="0" quotePrefix="0" xfId="0">
      <alignment horizontal="center" vertical="center"/>
    </xf>
    <xf numFmtId="0" fontId="0" fillId="6" borderId="7" pivotButton="0" quotePrefix="0" xfId="0"/>
    <xf numFmtId="164" fontId="11" fillId="6" borderId="2" applyAlignment="1" pivotButton="0" quotePrefix="0" xfId="0">
      <alignment horizontal="center" vertical="center"/>
    </xf>
    <xf numFmtId="0" fontId="0" fillId="6" borderId="2" pivotButton="0" quotePrefix="0" xfId="0"/>
    <xf numFmtId="165" fontId="11" fillId="6" borderId="2" applyAlignment="1" pivotButton="0" quotePrefix="0" xfId="0">
      <alignment horizontal="center" vertical="center"/>
    </xf>
    <xf numFmtId="167" fontId="11" fillId="6" borderId="2" applyAlignment="1" pivotButton="0" quotePrefix="0" xfId="0">
      <alignment horizontal="center" vertical="center"/>
    </xf>
    <xf numFmtId="0" fontId="4" fillId="0" borderId="1" applyAlignment="1" pivotButton="0" quotePrefix="0" xfId="4">
      <alignment horizontal="left" vertical="center"/>
    </xf>
    <xf numFmtId="0" fontId="3" fillId="0" borderId="1" applyAlignment="1" pivotButton="0" quotePrefix="0" xfId="3">
      <alignment horizontal="left" vertical="center"/>
    </xf>
    <xf numFmtId="0" fontId="5" fillId="2" borderId="2" applyAlignment="1" pivotButton="0" quotePrefix="0" xfId="5">
      <alignment horizontal="center" vertical="center" wrapText="1"/>
    </xf>
    <xf numFmtId="0" fontId="0" fillId="0" borderId="6" pivotButton="0" quotePrefix="0" xfId="0"/>
    <xf numFmtId="0" fontId="6" fillId="6" borderId="2" applyAlignment="1" pivotButton="0" quotePrefix="0" xfId="6">
      <alignment horizontal="center" vertical="center"/>
    </xf>
    <xf numFmtId="0" fontId="6" fillId="6" borderId="2" applyAlignment="1" pivotButton="0" quotePrefix="0" xfId="7">
      <alignment horizontal="left" vertical="center" indent="1"/>
    </xf>
    <xf numFmtId="0" fontId="0" fillId="6" borderId="0" pivotButton="0" quotePrefix="0" xfId="0"/>
    <xf numFmtId="164" fontId="6" fillId="6" borderId="2" applyAlignment="1" pivotButton="0" quotePrefix="0" xfId="6">
      <alignment horizontal="center" vertical="center"/>
    </xf>
    <xf numFmtId="0" fontId="6" fillId="7" borderId="2" applyAlignment="1" pivotButton="0" quotePrefix="0" xfId="6">
      <alignment horizontal="center" vertical="center"/>
    </xf>
    <xf numFmtId="0" fontId="6" fillId="7" borderId="2" applyAlignment="1" pivotButton="0" quotePrefix="0" xfId="7">
      <alignment horizontal="left" vertical="center" indent="1"/>
    </xf>
    <xf numFmtId="0" fontId="0" fillId="7" borderId="0" pivotButton="0" quotePrefix="0" xfId="0"/>
    <xf numFmtId="164" fontId="6" fillId="7" borderId="2" applyAlignment="1" pivotButton="0" quotePrefix="0" xfId="6">
      <alignment horizontal="center" vertical="center"/>
    </xf>
    <xf numFmtId="0" fontId="9" fillId="6" borderId="2" applyAlignment="1" pivotButton="0" quotePrefix="0" xfId="7">
      <alignment horizontal="left" vertical="center" indent="1"/>
    </xf>
    <xf numFmtId="1" fontId="6" fillId="6" borderId="2" applyAlignment="1" pivotButton="0" quotePrefix="0" xfId="6">
      <alignment horizontal="center" vertical="center"/>
    </xf>
    <xf numFmtId="165" fontId="6" fillId="6" borderId="2" applyAlignment="1" pivotButton="0" quotePrefix="0" xfId="6">
      <alignment horizontal="center" vertical="center"/>
    </xf>
    <xf numFmtId="10" fontId="6" fillId="6" borderId="2" applyAlignment="1" pivotButton="0" quotePrefix="0" xfId="6">
      <alignment horizontal="center" vertical="center"/>
    </xf>
    <xf numFmtId="0" fontId="9" fillId="7" borderId="2" applyAlignment="1" pivotButton="0" quotePrefix="0" xfId="7">
      <alignment horizontal="left" vertical="center" indent="1"/>
    </xf>
    <xf numFmtId="1" fontId="6" fillId="7" borderId="2" applyAlignment="1" pivotButton="0" quotePrefix="0" xfId="6">
      <alignment horizontal="center" vertical="center"/>
    </xf>
    <xf numFmtId="165" fontId="6" fillId="7" borderId="2" applyAlignment="1" pivotButton="0" quotePrefix="0" xfId="6">
      <alignment horizontal="center" vertical="center"/>
    </xf>
    <xf numFmtId="10" fontId="6" fillId="7" borderId="2" applyAlignment="1" pivotButton="0" quotePrefix="0" xfId="6">
      <alignment horizontal="center" vertical="center"/>
    </xf>
    <xf numFmtId="0" fontId="0" fillId="0" borderId="5" pivotButton="0" quotePrefix="0" xfId="0"/>
    <xf numFmtId="164" fontId="9" fillId="3" borderId="2" applyAlignment="1" pivotButton="0" quotePrefix="0" xfId="6">
      <alignment horizontal="center" vertical="center"/>
    </xf>
    <xf numFmtId="0" fontId="8" fillId="4" borderId="2" applyAlignment="1" pivotButton="0" quotePrefix="0" xfId="9">
      <alignment horizontal="left" vertical="center" indent="1"/>
    </xf>
    <xf numFmtId="164" fontId="7" fillId="0" borderId="2" applyAlignment="1" pivotButton="0" quotePrefix="0" xfId="10">
      <alignment horizontal="left" vertical="center" indent="1"/>
    </xf>
    <xf numFmtId="0" fontId="6" fillId="0" borderId="2" applyAlignment="1" pivotButton="0" quotePrefix="0" xfId="7">
      <alignment horizontal="left" vertical="center" indent="1"/>
    </xf>
    <xf numFmtId="164" fontId="6" fillId="0" borderId="2" applyAlignment="1" pivotButton="0" quotePrefix="0" xfId="6">
      <alignment horizontal="center" vertical="center"/>
    </xf>
    <xf numFmtId="167" fontId="6" fillId="0" borderId="2" applyAlignment="1" pivotButton="0" quotePrefix="0" xfId="6">
      <alignment horizontal="center" vertical="center"/>
    </xf>
    <xf numFmtId="166" fontId="7" fillId="0" borderId="2" applyAlignment="1" pivotButton="0" quotePrefix="0" xfId="10">
      <alignment horizontal="left" vertical="center" indent="1"/>
    </xf>
    <xf numFmtId="167" fontId="7" fillId="0" borderId="2" applyAlignment="1" pivotButton="0" quotePrefix="0" xfId="10">
      <alignment horizontal="left" vertical="center" indent="1"/>
    </xf>
    <xf numFmtId="165" fontId="7" fillId="0" borderId="2" applyAlignment="1" pivotButton="0" quotePrefix="0" xfId="10">
      <alignment horizontal="left" vertical="center" indent="1"/>
    </xf>
    <xf numFmtId="10" fontId="7" fillId="0" borderId="2" applyAlignment="1" pivotButton="0" quotePrefix="0" xfId="10">
      <alignment horizontal="left" vertical="center" indent="1"/>
    </xf>
    <xf numFmtId="1" fontId="7" fillId="0" borderId="2" applyAlignment="1" pivotButton="0" quotePrefix="0" xfId="10">
      <alignment horizontal="left" vertical="center" indent="1"/>
    </xf>
    <xf numFmtId="0" fontId="6" fillId="0" borderId="2" applyAlignment="1" pivotButton="0" quotePrefix="0" xfId="6">
      <alignment horizontal="center" vertical="center"/>
    </xf>
    <xf numFmtId="168" fontId="7" fillId="0" borderId="2" applyAlignment="1" pivotButton="0" quotePrefix="0" xfId="10">
      <alignment horizontal="left" vertical="center" indent="1"/>
    </xf>
    <xf numFmtId="167" fontId="6" fillId="6" borderId="2" applyAlignment="1" pivotButton="0" quotePrefix="0" xfId="6">
      <alignment horizontal="center" vertical="center"/>
    </xf>
    <xf numFmtId="167" fontId="6" fillId="7" borderId="2" applyAlignment="1" pivotButton="0" quotePrefix="0" xfId="6">
      <alignment horizontal="center" vertical="center"/>
    </xf>
    <xf numFmtId="164" fontId="7" fillId="3" borderId="2" applyAlignment="1" pivotButton="0" quotePrefix="0" xfId="8">
      <alignment horizontal="center" vertical="center"/>
    </xf>
    <xf numFmtId="10" fontId="7" fillId="3" borderId="2" applyAlignment="1" pivotButton="0" quotePrefix="0" xfId="8">
      <alignment horizontal="center" vertical="center"/>
    </xf>
    <xf numFmtId="1" fontId="7" fillId="3" borderId="2" applyAlignment="1" pivotButton="0" quotePrefix="0" xfId="8">
      <alignment horizontal="center" vertical="center"/>
    </xf>
  </cellXfs>
  <cellStyles count="11">
    <cellStyle name="Normal" xfId="0" builtinId="0" hidden="0"/>
    <cellStyle name="title" xfId="1" hidden="0"/>
    <cellStyle name="subtitle" xfId="2" hidden="0"/>
    <cellStyle name="section" xfId="3" hidden="0"/>
    <cellStyle name="section_gold" xfId="4" hidden="0"/>
    <cellStyle name="th" xfId="5" hidden="0"/>
    <cellStyle name="td" xfId="6" hidden="0"/>
    <cellStyle name="td_left" xfId="7" hidden="0"/>
    <cellStyle name="input" xfId="8" hidden="0"/>
    <cellStyle name="field_label" xfId="9" hidden="0"/>
    <cellStyle name="field_value" xfId="10" hidden="0"/>
  </cellStyles>
  <dxfs count="1">
    <dxf>
      <font>
        <b val="1"/>
        <color rgb="00C94C4C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Allocation by Sector</a:t>
            </a:r>
          </a:p>
        </rich>
      </tx>
    </title>
    <plotArea>
      <doughnutChart>
        <varyColors val="1"/>
        <ser>
          <idx val="0"/>
          <order val="0"/>
          <tx>
            <strRef>
              <f>'Calculations'!F6</f>
            </strRef>
          </tx>
          <spPr>
            <a:ln>
              <a:prstDash val="solid"/>
            </a:ln>
          </spPr>
          <cat>
            <numRef>
              <f>'Calculations'!$E$7:$E$12</f>
            </numRef>
          </cat>
          <val>
            <numRef>
              <f>'Calculations'!$F$7:$F$12</f>
            </numRef>
          </val>
        </ser>
        <dLbls>
          <showLegendKey val="0"/>
          <showVal val="0"/>
          <showCatName val="0"/>
          <showSerName val="0"/>
          <showPercent val="1"/>
          <showBubbleSize val="0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Dividend Income by Month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'IncomeCalendar'!$D$4:$O$4</f>
            </numRef>
          </cat>
          <val>
            <numRef>
              <f>'IncomeCalendar'!$D$45</f>
            </numRef>
          </val>
        </ser>
        <ser>
          <idx val="1"/>
          <order val="1"/>
          <spPr>
            <a:ln>
              <a:prstDash val="solid"/>
            </a:ln>
          </spPr>
          <cat>
            <numRef>
              <f>'IncomeCalendar'!$D$4:$O$4</f>
            </numRef>
          </cat>
          <val>
            <numRef>
              <f>'IncomeCalendar'!$E$45</f>
            </numRef>
          </val>
        </ser>
        <ser>
          <idx val="2"/>
          <order val="2"/>
          <spPr>
            <a:ln>
              <a:prstDash val="solid"/>
            </a:ln>
          </spPr>
          <cat>
            <numRef>
              <f>'IncomeCalendar'!$D$4:$O$4</f>
            </numRef>
          </cat>
          <val>
            <numRef>
              <f>'IncomeCalendar'!$F$45</f>
            </numRef>
          </val>
        </ser>
        <ser>
          <idx val="3"/>
          <order val="3"/>
          <spPr>
            <a:ln>
              <a:prstDash val="solid"/>
            </a:ln>
          </spPr>
          <cat>
            <numRef>
              <f>'IncomeCalendar'!$D$4:$O$4</f>
            </numRef>
          </cat>
          <val>
            <numRef>
              <f>'IncomeCalendar'!$G$45</f>
            </numRef>
          </val>
        </ser>
        <ser>
          <idx val="4"/>
          <order val="4"/>
          <spPr>
            <a:ln>
              <a:prstDash val="solid"/>
            </a:ln>
          </spPr>
          <cat>
            <numRef>
              <f>'IncomeCalendar'!$D$4:$O$4</f>
            </numRef>
          </cat>
          <val>
            <numRef>
              <f>'IncomeCalendar'!$H$45</f>
            </numRef>
          </val>
        </ser>
        <ser>
          <idx val="5"/>
          <order val="5"/>
          <spPr>
            <a:ln>
              <a:prstDash val="solid"/>
            </a:ln>
          </spPr>
          <cat>
            <numRef>
              <f>'IncomeCalendar'!$D$4:$O$4</f>
            </numRef>
          </cat>
          <val>
            <numRef>
              <f>'IncomeCalendar'!$I$45</f>
            </numRef>
          </val>
        </ser>
        <ser>
          <idx val="6"/>
          <order val="6"/>
          <spPr>
            <a:ln>
              <a:prstDash val="solid"/>
            </a:ln>
          </spPr>
          <cat>
            <numRef>
              <f>'IncomeCalendar'!$D$4:$O$4</f>
            </numRef>
          </cat>
          <val>
            <numRef>
              <f>'IncomeCalendar'!$J$45</f>
            </numRef>
          </val>
        </ser>
        <ser>
          <idx val="7"/>
          <order val="7"/>
          <spPr>
            <a:ln>
              <a:prstDash val="solid"/>
            </a:ln>
          </spPr>
          <cat>
            <numRef>
              <f>'IncomeCalendar'!$D$4:$O$4</f>
            </numRef>
          </cat>
          <val>
            <numRef>
              <f>'IncomeCalendar'!$K$45</f>
            </numRef>
          </val>
        </ser>
        <ser>
          <idx val="8"/>
          <order val="8"/>
          <spPr>
            <a:ln>
              <a:prstDash val="solid"/>
            </a:ln>
          </spPr>
          <cat>
            <numRef>
              <f>'IncomeCalendar'!$D$4:$O$4</f>
            </numRef>
          </cat>
          <val>
            <numRef>
              <f>'IncomeCalendar'!$L$45</f>
            </numRef>
          </val>
        </ser>
        <ser>
          <idx val="9"/>
          <order val="9"/>
          <spPr>
            <a:ln>
              <a:prstDash val="solid"/>
            </a:ln>
          </spPr>
          <cat>
            <numRef>
              <f>'IncomeCalendar'!$D$4:$O$4</f>
            </numRef>
          </cat>
          <val>
            <numRef>
              <f>'IncomeCalendar'!$M$45</f>
            </numRef>
          </val>
        </ser>
        <ser>
          <idx val="10"/>
          <order val="10"/>
          <spPr>
            <a:ln>
              <a:prstDash val="solid"/>
            </a:ln>
          </spPr>
          <cat>
            <numRef>
              <f>'IncomeCalendar'!$D$4:$O$4</f>
            </numRef>
          </cat>
          <val>
            <numRef>
              <f>'IncomeCalendar'!$N$45</f>
            </numRef>
          </val>
        </ser>
        <ser>
          <idx val="11"/>
          <order val="11"/>
          <spPr>
            <a:ln>
              <a:prstDash val="solid"/>
            </a:ln>
          </spPr>
          <cat>
            <numRef>
              <f>'IncomeCalendar'!$D$4:$O$4</f>
            </numRef>
          </cat>
          <val>
            <numRef>
              <f>'IncomeCalendar'!$O$45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Projected Wealth Growth</a:t>
            </a:r>
          </a:p>
        </rich>
      </tx>
    </title>
    <plotArea>
      <lineChart>
        <grouping val="standard"/>
        <ser>
          <idx val="0"/>
          <order val="0"/>
          <tx>
            <strRef>
              <f>'Projections'!C12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'Projections'!$B$13:$B$42</f>
            </numRef>
          </cat>
          <val>
            <numRef>
              <f>'Projections'!$C$13:$C$42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Projected Wealth Growth</a:t>
            </a:r>
          </a:p>
        </rich>
      </tx>
    </title>
    <plotArea>
      <lineChart>
        <grouping val="standard"/>
        <ser>
          <idx val="0"/>
          <order val="0"/>
          <tx>
            <strRef>
              <f>'Projections'!C12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'Projections'!$B$13:$B$42</f>
            </numRef>
          </cat>
          <val>
            <numRef>
              <f>'Projections'!$C$13:$C$42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Annual Dividend Income</a:t>
            </a:r>
          </a:p>
        </rich>
      </tx>
    </title>
    <plotArea>
      <lineChart>
        <grouping val="standard"/>
        <ser>
          <idx val="0"/>
          <order val="0"/>
          <tx>
            <strRef>
              <f>'Projections'!D12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'Projections'!$B$13:$B$42</f>
            </numRef>
          </cat>
          <val>
            <numRef>
              <f>'Projections'!$D$13:$D$42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11</row>
      <rowOff>0</rowOff>
    </from>
    <ext cx="43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11</row>
      <rowOff>0</rowOff>
    </from>
    <ext cx="43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7</col>
      <colOff>0</colOff>
      <row>29</row>
      <rowOff>0</rowOff>
    </from>
    <ext cx="43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21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B4F48"/>
    <outlinePr summaryBelow="1" summaryRight="1"/>
    <pageSetUpPr/>
  </sheetPr>
  <dimension ref="A1:N4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2" customWidth="1" min="14" max="14"/>
  </cols>
  <sheetData>
    <row r="1" ht="56" customHeight="1">
      <c r="A1" s="1" t="inlineStr">
        <is>
          <t xml:space="preserve">  💎  DIVIDEND WEALTH BUILDER</t>
        </is>
      </c>
    </row>
    <row r="2" ht="24" customHeight="1">
      <c r="A2" s="2" t="inlineStr">
        <is>
          <t xml:space="preserve">  Track every dividend, optimize your yield, and forecast financial independence — in one elegant system.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5" ht="24" customHeight="1">
      <c r="B5" s="4" t="inlineStr">
        <is>
          <t>PORTFOLIO VALUE</t>
        </is>
      </c>
      <c r="C5" s="5" t="n"/>
      <c r="D5" s="5" t="n"/>
      <c r="E5" s="4" t="inlineStr">
        <is>
          <t>MONTHLY INCOME</t>
        </is>
      </c>
      <c r="F5" s="5" t="n"/>
      <c r="G5" s="5" t="n"/>
      <c r="H5" s="4" t="inlineStr">
        <is>
          <t>ANNUAL INCOME</t>
        </is>
      </c>
      <c r="I5" s="5" t="n"/>
      <c r="J5" s="5" t="n"/>
      <c r="K5" s="4" t="inlineStr">
        <is>
          <t>PORTFOLIO YIELD</t>
        </is>
      </c>
      <c r="L5" s="5" t="n"/>
      <c r="M5" s="5" t="n"/>
    </row>
    <row r="6" ht="52" customHeight="1">
      <c r="B6" s="6">
        <f>TotalMarketValue</f>
        <v/>
      </c>
      <c r="C6" s="7" t="n"/>
      <c r="D6" s="7" t="n"/>
      <c r="E6" s="8">
        <f>TotalMonthlyIncome</f>
        <v/>
      </c>
      <c r="F6" s="7" t="n"/>
      <c r="G6" s="7" t="n"/>
      <c r="H6" s="6">
        <f>TotalAnnualIncome</f>
        <v/>
      </c>
      <c r="I6" s="7" t="n"/>
      <c r="J6" s="7" t="n"/>
      <c r="K6" s="9">
        <f>PortfolioYield</f>
        <v/>
      </c>
      <c r="L6" s="7" t="n"/>
      <c r="M6" s="7" t="n"/>
    </row>
    <row r="8" ht="24" customHeight="1">
      <c r="B8" s="4" t="inlineStr">
        <is>
          <t>YIELD ON COST</t>
        </is>
      </c>
      <c r="C8" s="5" t="n"/>
      <c r="D8" s="5" t="n"/>
      <c r="E8" s="4" t="inlineStr">
        <is>
          <t>TOTAL GAIN / LOSS</t>
        </is>
      </c>
      <c r="F8" s="5" t="n"/>
      <c r="G8" s="5" t="n"/>
      <c r="H8" s="4" t="inlineStr">
        <is>
          <t>DIVIDEND GROWTH</t>
        </is>
      </c>
      <c r="I8" s="5" t="n"/>
      <c r="J8" s="5" t="n"/>
      <c r="K8" s="4" t="inlineStr">
        <is>
          <t>PROGRESS TO GOAL</t>
        </is>
      </c>
      <c r="L8" s="5" t="n"/>
      <c r="M8" s="5" t="n"/>
    </row>
    <row r="9" ht="52" customHeight="1">
      <c r="B9" s="9">
        <f>PortfolioYoC</f>
        <v/>
      </c>
      <c r="C9" s="7" t="n"/>
      <c r="D9" s="7" t="n"/>
      <c r="E9" s="6">
        <f>TotalGain</f>
        <v/>
      </c>
      <c r="F9" s="7" t="n"/>
      <c r="G9" s="7" t="n"/>
      <c r="H9" s="9">
        <f>DividendGrowthRate</f>
        <v/>
      </c>
      <c r="I9" s="7" t="n"/>
      <c r="J9" s="7" t="n"/>
      <c r="K9" s="9">
        <f>ProgressToGoal</f>
        <v/>
      </c>
      <c r="L9" s="7" t="n"/>
      <c r="M9" s="7" t="n"/>
    </row>
    <row r="11" ht="26" customHeight="1">
      <c r="B11" s="10" t="inlineStr">
        <is>
          <t>PORTFOLIO ANALYTICS</t>
        </is>
      </c>
    </row>
    <row r="30" ht="26" customHeight="1">
      <c r="B30" s="11" t="inlineStr">
        <is>
          <t>TOP DIVIDEND PAYERS</t>
        </is>
      </c>
    </row>
    <row r="31">
      <c r="B31" s="12" t="inlineStr">
        <is>
          <t>#</t>
        </is>
      </c>
      <c r="C31" s="12" t="inlineStr">
        <is>
          <t>Ticker</t>
        </is>
      </c>
      <c r="D31" s="12" t="inlineStr">
        <is>
          <t>Company</t>
        </is>
      </c>
      <c r="E31" s="13" t="n"/>
      <c r="F31" s="12" t="inlineStr">
        <is>
          <t>Annual Income</t>
        </is>
      </c>
    </row>
    <row r="32">
      <c r="B32" s="14">
        <f>IFERROR(INDEX(TopRank,1),"")</f>
        <v/>
      </c>
      <c r="C32" s="14">
        <f>IFERROR(INDEX(TopTicker,1),"")</f>
        <v/>
      </c>
      <c r="D32" s="15">
        <f>IFERROR(INDEX(TopCompany,1),"")</f>
        <v/>
      </c>
      <c r="E32" s="16" t="n"/>
      <c r="F32" s="17">
        <f>IFERROR(INDEX(TopIncome,1),"")</f>
        <v/>
      </c>
    </row>
    <row r="33">
      <c r="B33" s="18">
        <f>IFERROR(INDEX(TopRank,2),"")</f>
        <v/>
      </c>
      <c r="C33" s="18">
        <f>IFERROR(INDEX(TopTicker,2),"")</f>
        <v/>
      </c>
      <c r="D33" s="19">
        <f>IFERROR(INDEX(TopCompany,2),"")</f>
        <v/>
      </c>
      <c r="E33" s="20" t="n"/>
      <c r="F33" s="21">
        <f>IFERROR(INDEX(TopIncome,2),"")</f>
        <v/>
      </c>
    </row>
    <row r="34">
      <c r="B34" s="14">
        <f>IFERROR(INDEX(TopRank,3),"")</f>
        <v/>
      </c>
      <c r="C34" s="14">
        <f>IFERROR(INDEX(TopTicker,3),"")</f>
        <v/>
      </c>
      <c r="D34" s="15">
        <f>IFERROR(INDEX(TopCompany,3),"")</f>
        <v/>
      </c>
      <c r="E34" s="16" t="n"/>
      <c r="F34" s="17">
        <f>IFERROR(INDEX(TopIncome,3),"")</f>
        <v/>
      </c>
    </row>
    <row r="35">
      <c r="B35" s="18">
        <f>IFERROR(INDEX(TopRank,4),"")</f>
        <v/>
      </c>
      <c r="C35" s="18">
        <f>IFERROR(INDEX(TopTicker,4),"")</f>
        <v/>
      </c>
      <c r="D35" s="19">
        <f>IFERROR(INDEX(TopCompany,4),"")</f>
        <v/>
      </c>
      <c r="E35" s="20" t="n"/>
      <c r="F35" s="21">
        <f>IFERROR(INDEX(TopIncome,4),"")</f>
        <v/>
      </c>
    </row>
    <row r="36">
      <c r="B36" s="14">
        <f>IFERROR(INDEX(TopRank,5),"")</f>
        <v/>
      </c>
      <c r="C36" s="14">
        <f>IFERROR(INDEX(TopTicker,5),"")</f>
        <v/>
      </c>
      <c r="D36" s="15">
        <f>IFERROR(INDEX(TopCompany,5),"")</f>
        <v/>
      </c>
      <c r="E36" s="16" t="n"/>
      <c r="F36" s="17">
        <f>IFERROR(INDEX(TopIncome,5),"")</f>
        <v/>
      </c>
    </row>
    <row r="37">
      <c r="B37" s="18">
        <f>IFERROR(INDEX(TopRank,6),"")</f>
        <v/>
      </c>
      <c r="C37" s="18">
        <f>IFERROR(INDEX(TopTicker,6),"")</f>
        <v/>
      </c>
      <c r="D37" s="19">
        <f>IFERROR(INDEX(TopCompany,6),"")</f>
        <v/>
      </c>
      <c r="E37" s="20" t="n"/>
      <c r="F37" s="21">
        <f>IFERROR(INDEX(TopIncome,6),"")</f>
        <v/>
      </c>
    </row>
    <row r="38">
      <c r="B38" s="14">
        <f>IFERROR(INDEX(TopRank,7),"")</f>
        <v/>
      </c>
      <c r="C38" s="14">
        <f>IFERROR(INDEX(TopTicker,7),"")</f>
        <v/>
      </c>
      <c r="D38" s="15">
        <f>IFERROR(INDEX(TopCompany,7),"")</f>
        <v/>
      </c>
      <c r="E38" s="16" t="n"/>
      <c r="F38" s="17">
        <f>IFERROR(INDEX(TopIncome,7),"")</f>
        <v/>
      </c>
    </row>
    <row r="39">
      <c r="B39" s="18">
        <f>IFERROR(INDEX(TopRank,8),"")</f>
        <v/>
      </c>
      <c r="C39" s="18">
        <f>IFERROR(INDEX(TopTicker,8),"")</f>
        <v/>
      </c>
      <c r="D39" s="19">
        <f>IFERROR(INDEX(TopCompany,8),"")</f>
        <v/>
      </c>
      <c r="E39" s="20" t="n"/>
      <c r="F39" s="21">
        <f>IFERROR(INDEX(TopIncome,8),"")</f>
        <v/>
      </c>
    </row>
    <row r="48" ht="26" customHeight="1">
      <c r="B48" s="2" t="inlineStr">
        <is>
          <t>Dividend Wealth Builder v2.0  ·  Edit Settings → contribution · target · growth  ·  Add holdings on the Holdings tab</t>
        </is>
      </c>
    </row>
  </sheetData>
  <mergeCells count="30">
    <mergeCell ref="B48:M48"/>
    <mergeCell ref="B11:M11"/>
    <mergeCell ref="D34:E34"/>
    <mergeCell ref="B8:D8"/>
    <mergeCell ref="E9:G9"/>
    <mergeCell ref="D36:E36"/>
    <mergeCell ref="D31:E31"/>
    <mergeCell ref="E6:G6"/>
    <mergeCell ref="A1:N1"/>
    <mergeCell ref="K8:M8"/>
    <mergeCell ref="B9:D9"/>
    <mergeCell ref="D32:E32"/>
    <mergeCell ref="B30:G30"/>
    <mergeCell ref="B6:D6"/>
    <mergeCell ref="B5:D5"/>
    <mergeCell ref="K6:M6"/>
    <mergeCell ref="H5:J5"/>
    <mergeCell ref="A2:N2"/>
    <mergeCell ref="D37:E37"/>
    <mergeCell ref="H8:J8"/>
    <mergeCell ref="D39:E39"/>
    <mergeCell ref="K9:M9"/>
    <mergeCell ref="E5:G5"/>
    <mergeCell ref="K5:M5"/>
    <mergeCell ref="D33:E33"/>
    <mergeCell ref="E8:G8"/>
    <mergeCell ref="D38:E38"/>
    <mergeCell ref="H9:J9"/>
    <mergeCell ref="D35:E35"/>
    <mergeCell ref="H6:J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937356"/>
    <outlinePr summaryBelow="1" summaryRight="1"/>
    <pageSetUpPr/>
  </sheetPr>
  <dimension ref="A1:Q4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13" customWidth="1" min="3" max="3"/>
    <col width="9" customWidth="1" min="4" max="4"/>
    <col width="12" customWidth="1" min="5" max="5"/>
    <col width="12" customWidth="1" min="6" max="6"/>
    <col width="14" customWidth="1" min="7" max="7"/>
    <col width="14" customWidth="1" min="8" max="8"/>
    <col width="13" customWidth="1" min="9" max="9"/>
    <col width="10" customWidth="1" min="10" max="10"/>
    <col width="12" customWidth="1" min="11" max="11"/>
    <col width="13" customWidth="1" min="12" max="12"/>
    <col width="11" customWidth="1" min="13" max="13"/>
    <col width="10" customWidth="1" min="14" max="14"/>
    <col width="10" customWidth="1" min="15" max="15"/>
    <col width="9" customWidth="1" min="16" max="16"/>
    <col width="8" customWidth="1" min="17" max="17"/>
  </cols>
  <sheetData>
    <row r="1" ht="46" customHeight="1">
      <c r="A1" s="1" t="inlineStr">
        <is>
          <t xml:space="preserve">  📊  HOLDINGS</t>
        </is>
      </c>
    </row>
    <row r="2" ht="22" customHeight="1">
      <c r="A2" s="2" t="inlineStr">
        <is>
          <t xml:space="preserve">  Your dividend portfolio — gain/loss, yield, and yield-on-cost auto-calculated.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</row>
    <row r="4" ht="30" customHeight="1">
      <c r="A4" s="12" t="inlineStr">
        <is>
          <t>Ticker</t>
        </is>
      </c>
      <c r="B4" s="12" t="inlineStr">
        <is>
          <t>Company</t>
        </is>
      </c>
      <c r="C4" s="12" t="inlineStr">
        <is>
          <t>Sector</t>
        </is>
      </c>
      <c r="D4" s="12" t="inlineStr">
        <is>
          <t>Shares</t>
        </is>
      </c>
      <c r="E4" s="12" t="inlineStr">
        <is>
          <t>Avg Cost</t>
        </is>
      </c>
      <c r="F4" s="12" t="inlineStr">
        <is>
          <t>Price</t>
        </is>
      </c>
      <c r="G4" s="12" t="inlineStr">
        <is>
          <t>Cost Basis</t>
        </is>
      </c>
      <c r="H4" s="12" t="inlineStr">
        <is>
          <t>Mkt Value</t>
        </is>
      </c>
      <c r="I4" s="12" t="inlineStr">
        <is>
          <t>Gain $</t>
        </is>
      </c>
      <c r="J4" s="12" t="inlineStr">
        <is>
          <t>Gain %</t>
        </is>
      </c>
      <c r="K4" s="12" t="inlineStr">
        <is>
          <t>Div/Share</t>
        </is>
      </c>
      <c r="L4" s="12" t="inlineStr">
        <is>
          <t>Frequency</t>
        </is>
      </c>
      <c r="M4" s="12" t="inlineStr">
        <is>
          <t>Annual Inc</t>
        </is>
      </c>
      <c r="N4" s="12" t="inlineStr">
        <is>
          <t>Yield</t>
        </is>
      </c>
      <c r="O4" s="12" t="inlineStr">
        <is>
          <t>YoC</t>
        </is>
      </c>
      <c r="P4" s="12" t="inlineStr">
        <is>
          <t>Weight</t>
        </is>
      </c>
      <c r="Q4" s="12" t="inlineStr">
        <is>
          <t>Risk</t>
        </is>
      </c>
    </row>
    <row r="5">
      <c r="A5" s="22" t="inlineStr">
        <is>
          <t>SCHD</t>
        </is>
      </c>
      <c r="B5" s="15" t="inlineStr">
        <is>
          <t>Schwab US Dividend ETF</t>
        </is>
      </c>
      <c r="C5" s="14" t="inlineStr">
        <is>
          <t>Finance</t>
        </is>
      </c>
      <c r="D5" s="23" t="n">
        <v>220</v>
      </c>
      <c r="E5" s="24" t="n">
        <v>72.3</v>
      </c>
      <c r="F5" s="24" t="n">
        <v>78.40000000000001</v>
      </c>
      <c r="G5" s="24">
        <f>IF($D5="","",$D5*$E5)</f>
        <v/>
      </c>
      <c r="H5" s="24">
        <f>IF($D5="","",$D5*$F5)</f>
        <v/>
      </c>
      <c r="I5" s="24">
        <f>IF($D5="","",$H5-$G5)</f>
        <v/>
      </c>
      <c r="J5" s="25">
        <f>IFERROR($I5/$G5,"")</f>
        <v/>
      </c>
      <c r="K5" s="24" t="n">
        <v>2.66</v>
      </c>
      <c r="L5" s="14" t="inlineStr">
        <is>
          <t>Quarterly</t>
        </is>
      </c>
      <c r="M5" s="24">
        <f>IF(OR($D5="",$K5="",$L5=""),"",$D5*$K5*VLOOKUP($L5,FreqTable,2,FALSE))</f>
        <v/>
      </c>
      <c r="N5" s="25">
        <f>IFERROR(IF(OR($F5="",$K5="",$L5=""),"",($K5*VLOOKUP($L5,FreqTable,2,FALSE))/$F5),"")</f>
        <v/>
      </c>
      <c r="O5" s="25">
        <f>IFERROR(IF(OR($E5="",$K5="",$L5=""),"",($K5*VLOOKUP($L5,FreqTable,2,FALSE))/$E5),"")</f>
        <v/>
      </c>
      <c r="P5" s="25">
        <f>IFERROR($H5/TotalMarketValue,"")</f>
        <v/>
      </c>
      <c r="Q5" s="23" t="n">
        <v>2</v>
      </c>
    </row>
    <row r="6">
      <c r="A6" s="26" t="inlineStr">
        <is>
          <t>O</t>
        </is>
      </c>
      <c r="B6" s="19" t="inlineStr">
        <is>
          <t>Realty Income</t>
        </is>
      </c>
      <c r="C6" s="18" t="inlineStr">
        <is>
          <t>REITs</t>
        </is>
      </c>
      <c r="D6" s="27" t="n">
        <v>200</v>
      </c>
      <c r="E6" s="28" t="n">
        <v>62.4</v>
      </c>
      <c r="F6" s="28" t="n">
        <v>58.1</v>
      </c>
      <c r="G6" s="28">
        <f>IF($D6="","",$D6*$E6)</f>
        <v/>
      </c>
      <c r="H6" s="28">
        <f>IF($D6="","",$D6*$F6)</f>
        <v/>
      </c>
      <c r="I6" s="28">
        <f>IF($D6="","",$H6-$G6)</f>
        <v/>
      </c>
      <c r="J6" s="29">
        <f>IFERROR($I6/$G6,"")</f>
        <v/>
      </c>
      <c r="K6" s="28" t="n">
        <v>3.16</v>
      </c>
      <c r="L6" s="18" t="inlineStr">
        <is>
          <t>Monthly</t>
        </is>
      </c>
      <c r="M6" s="28">
        <f>IF(OR($D6="",$K6="",$L6=""),"",$D6*$K6*VLOOKUP($L6,FreqTable,2,FALSE))</f>
        <v/>
      </c>
      <c r="N6" s="29">
        <f>IFERROR(IF(OR($F6="",$K6="",$L6=""),"",($K6*VLOOKUP($L6,FreqTable,2,FALSE))/$F6),"")</f>
        <v/>
      </c>
      <c r="O6" s="29">
        <f>IFERROR(IF(OR($E6="",$K6="",$L6=""),"",($K6*VLOOKUP($L6,FreqTable,2,FALSE))/$E6),"")</f>
        <v/>
      </c>
      <c r="P6" s="29">
        <f>IFERROR($H6/TotalMarketValue,"")</f>
        <v/>
      </c>
      <c r="Q6" s="27" t="n">
        <v>2</v>
      </c>
    </row>
    <row r="7">
      <c r="A7" s="22" t="inlineStr">
        <is>
          <t>JNJ</t>
        </is>
      </c>
      <c r="B7" s="15" t="inlineStr">
        <is>
          <t>Johnson &amp; Johnson</t>
        </is>
      </c>
      <c r="C7" s="14" t="inlineStr">
        <is>
          <t>Healthcare</t>
        </is>
      </c>
      <c r="D7" s="23" t="n">
        <v>60</v>
      </c>
      <c r="E7" s="24" t="n">
        <v>162.45</v>
      </c>
      <c r="F7" s="24" t="n">
        <v>158.2</v>
      </c>
      <c r="G7" s="24">
        <f>IF($D7="","",$D7*$E7)</f>
        <v/>
      </c>
      <c r="H7" s="24">
        <f>IF($D7="","",$D7*$F7)</f>
        <v/>
      </c>
      <c r="I7" s="24">
        <f>IF($D7="","",$H7-$G7)</f>
        <v/>
      </c>
      <c r="J7" s="25">
        <f>IFERROR($I7/$G7,"")</f>
        <v/>
      </c>
      <c r="K7" s="24" t="n">
        <v>4.76</v>
      </c>
      <c r="L7" s="14" t="inlineStr">
        <is>
          <t>Quarterly</t>
        </is>
      </c>
      <c r="M7" s="24">
        <f>IF(OR($D7="",$K7="",$L7=""),"",$D7*$K7*VLOOKUP($L7,FreqTable,2,FALSE))</f>
        <v/>
      </c>
      <c r="N7" s="25">
        <f>IFERROR(IF(OR($F7="",$K7="",$L7=""),"",($K7*VLOOKUP($L7,FreqTable,2,FALSE))/$F7),"")</f>
        <v/>
      </c>
      <c r="O7" s="25">
        <f>IFERROR(IF(OR($E7="",$K7="",$L7=""),"",($K7*VLOOKUP($L7,FreqTable,2,FALSE))/$E7),"")</f>
        <v/>
      </c>
      <c r="P7" s="25">
        <f>IFERROR($H7/TotalMarketValue,"")</f>
        <v/>
      </c>
      <c r="Q7" s="23" t="n">
        <v>1</v>
      </c>
    </row>
    <row r="8">
      <c r="A8" s="26" t="inlineStr">
        <is>
          <t>MSFT</t>
        </is>
      </c>
      <c r="B8" s="19" t="inlineStr">
        <is>
          <t>Microsoft Corp.</t>
        </is>
      </c>
      <c r="C8" s="18" t="inlineStr">
        <is>
          <t>Tech</t>
        </is>
      </c>
      <c r="D8" s="27" t="n">
        <v>40</v>
      </c>
      <c r="E8" s="28" t="n">
        <v>250.1</v>
      </c>
      <c r="F8" s="28" t="n">
        <v>415.2</v>
      </c>
      <c r="G8" s="28">
        <f>IF($D8="","",$D8*$E8)</f>
        <v/>
      </c>
      <c r="H8" s="28">
        <f>IF($D8="","",$D8*$F8)</f>
        <v/>
      </c>
      <c r="I8" s="28">
        <f>IF($D8="","",$H8-$G8)</f>
        <v/>
      </c>
      <c r="J8" s="29">
        <f>IFERROR($I8/$G8,"")</f>
        <v/>
      </c>
      <c r="K8" s="28" t="n">
        <v>3</v>
      </c>
      <c r="L8" s="18" t="inlineStr">
        <is>
          <t>Quarterly</t>
        </is>
      </c>
      <c r="M8" s="28">
        <f>IF(OR($D8="",$K8="",$L8=""),"",$D8*$K8*VLOOKUP($L8,FreqTable,2,FALSE))</f>
        <v/>
      </c>
      <c r="N8" s="29">
        <f>IFERROR(IF(OR($F8="",$K8="",$L8=""),"",($K8*VLOOKUP($L8,FreqTable,2,FALSE))/$F8),"")</f>
        <v/>
      </c>
      <c r="O8" s="29">
        <f>IFERROR(IF(OR($E8="",$K8="",$L8=""),"",($K8*VLOOKUP($L8,FreqTable,2,FALSE))/$E8),"")</f>
        <v/>
      </c>
      <c r="P8" s="29">
        <f>IFERROR($H8/TotalMarketValue,"")</f>
        <v/>
      </c>
      <c r="Q8" s="27" t="n">
        <v>2</v>
      </c>
    </row>
    <row r="9">
      <c r="A9" s="22" t="inlineStr">
        <is>
          <t>KO</t>
        </is>
      </c>
      <c r="B9" s="15" t="inlineStr">
        <is>
          <t>Coca-Cola Co.</t>
        </is>
      </c>
      <c r="C9" s="14" t="inlineStr">
        <is>
          <t>Consumer</t>
        </is>
      </c>
      <c r="D9" s="23" t="n">
        <v>120</v>
      </c>
      <c r="E9" s="24" t="n">
        <v>56.1</v>
      </c>
      <c r="F9" s="24" t="n">
        <v>63.4</v>
      </c>
      <c r="G9" s="24">
        <f>IF($D9="","",$D9*$E9)</f>
        <v/>
      </c>
      <c r="H9" s="24">
        <f>IF($D9="","",$D9*$F9)</f>
        <v/>
      </c>
      <c r="I9" s="24">
        <f>IF($D9="","",$H9-$G9)</f>
        <v/>
      </c>
      <c r="J9" s="25">
        <f>IFERROR($I9/$G9,"")</f>
        <v/>
      </c>
      <c r="K9" s="24" t="n">
        <v>1.84</v>
      </c>
      <c r="L9" s="14" t="inlineStr">
        <is>
          <t>Quarterly</t>
        </is>
      </c>
      <c r="M9" s="24">
        <f>IF(OR($D9="",$K9="",$L9=""),"",$D9*$K9*VLOOKUP($L9,FreqTable,2,FALSE))</f>
        <v/>
      </c>
      <c r="N9" s="25">
        <f>IFERROR(IF(OR($F9="",$K9="",$L9=""),"",($K9*VLOOKUP($L9,FreqTable,2,FALSE))/$F9),"")</f>
        <v/>
      </c>
      <c r="O9" s="25">
        <f>IFERROR(IF(OR($E9="",$K9="",$L9=""),"",($K9*VLOOKUP($L9,FreqTable,2,FALSE))/$E9),"")</f>
        <v/>
      </c>
      <c r="P9" s="25">
        <f>IFERROR($H9/TotalMarketValue,"")</f>
        <v/>
      </c>
      <c r="Q9" s="23" t="n">
        <v>1</v>
      </c>
    </row>
    <row r="10">
      <c r="A10" s="26" t="inlineStr">
        <is>
          <t>PG</t>
        </is>
      </c>
      <c r="B10" s="19" t="inlineStr">
        <is>
          <t>Procter &amp; Gamble</t>
        </is>
      </c>
      <c r="C10" s="18" t="inlineStr">
        <is>
          <t>Consumer</t>
        </is>
      </c>
      <c r="D10" s="27" t="n">
        <v>45</v>
      </c>
      <c r="E10" s="28" t="n">
        <v>142.2</v>
      </c>
      <c r="F10" s="28" t="n">
        <v>161.8</v>
      </c>
      <c r="G10" s="28">
        <f>IF($D10="","",$D10*$E10)</f>
        <v/>
      </c>
      <c r="H10" s="28">
        <f>IF($D10="","",$D10*$F10)</f>
        <v/>
      </c>
      <c r="I10" s="28">
        <f>IF($D10="","",$H10-$G10)</f>
        <v/>
      </c>
      <c r="J10" s="29">
        <f>IFERROR($I10/$G10,"")</f>
        <v/>
      </c>
      <c r="K10" s="28" t="n">
        <v>4.03</v>
      </c>
      <c r="L10" s="18" t="inlineStr">
        <is>
          <t>Quarterly</t>
        </is>
      </c>
      <c r="M10" s="28">
        <f>IF(OR($D10="",$K10="",$L10=""),"",$D10*$K10*VLOOKUP($L10,FreqTable,2,FALSE))</f>
        <v/>
      </c>
      <c r="N10" s="29">
        <f>IFERROR(IF(OR($F10="",$K10="",$L10=""),"",($K10*VLOOKUP($L10,FreqTable,2,FALSE))/$F10),"")</f>
        <v/>
      </c>
      <c r="O10" s="29">
        <f>IFERROR(IF(OR($E10="",$K10="",$L10=""),"",($K10*VLOOKUP($L10,FreqTable,2,FALSE))/$E10),"")</f>
        <v/>
      </c>
      <c r="P10" s="29">
        <f>IFERROR($H10/TotalMarketValue,"")</f>
        <v/>
      </c>
      <c r="Q10" s="27" t="n">
        <v>1</v>
      </c>
    </row>
    <row r="11">
      <c r="A11" s="22" t="inlineStr">
        <is>
          <t>JPM</t>
        </is>
      </c>
      <c r="B11" s="15" t="inlineStr">
        <is>
          <t>JPMorgan Chase</t>
        </is>
      </c>
      <c r="C11" s="14" t="inlineStr">
        <is>
          <t>Finance</t>
        </is>
      </c>
      <c r="D11" s="23" t="n">
        <v>35</v>
      </c>
      <c r="E11" s="24" t="n">
        <v>132.5</v>
      </c>
      <c r="F11" s="24" t="n">
        <v>198.1</v>
      </c>
      <c r="G11" s="24">
        <f>IF($D11="","",$D11*$E11)</f>
        <v/>
      </c>
      <c r="H11" s="24">
        <f>IF($D11="","",$D11*$F11)</f>
        <v/>
      </c>
      <c r="I11" s="24">
        <f>IF($D11="","",$H11-$G11)</f>
        <v/>
      </c>
      <c r="J11" s="25">
        <f>IFERROR($I11/$G11,"")</f>
        <v/>
      </c>
      <c r="K11" s="24" t="n">
        <v>4.6</v>
      </c>
      <c r="L11" s="14" t="inlineStr">
        <is>
          <t>Quarterly</t>
        </is>
      </c>
      <c r="M11" s="24">
        <f>IF(OR($D11="",$K11="",$L11=""),"",$D11*$K11*VLOOKUP($L11,FreqTable,2,FALSE))</f>
        <v/>
      </c>
      <c r="N11" s="25">
        <f>IFERROR(IF(OR($F11="",$K11="",$L11=""),"",($K11*VLOOKUP($L11,FreqTable,2,FALSE))/$F11),"")</f>
        <v/>
      </c>
      <c r="O11" s="25">
        <f>IFERROR(IF(OR($E11="",$K11="",$L11=""),"",($K11*VLOOKUP($L11,FreqTable,2,FALSE))/$E11),"")</f>
        <v/>
      </c>
      <c r="P11" s="25">
        <f>IFERROR($H11/TotalMarketValue,"")</f>
        <v/>
      </c>
      <c r="Q11" s="23" t="n">
        <v>3</v>
      </c>
    </row>
    <row r="12">
      <c r="A12" s="26" t="inlineStr">
        <is>
          <t>VYM</t>
        </is>
      </c>
      <c r="B12" s="19" t="inlineStr">
        <is>
          <t>Vanguard High Div ETF</t>
        </is>
      </c>
      <c r="C12" s="18" t="inlineStr">
        <is>
          <t>Finance</t>
        </is>
      </c>
      <c r="D12" s="27" t="n">
        <v>100</v>
      </c>
      <c r="E12" s="28" t="n">
        <v>105.4</v>
      </c>
      <c r="F12" s="28" t="n">
        <v>124.8</v>
      </c>
      <c r="G12" s="28">
        <f>IF($D12="","",$D12*$E12)</f>
        <v/>
      </c>
      <c r="H12" s="28">
        <f>IF($D12="","",$D12*$F12)</f>
        <v/>
      </c>
      <c r="I12" s="28">
        <f>IF($D12="","",$H12-$G12)</f>
        <v/>
      </c>
      <c r="J12" s="29">
        <f>IFERROR($I12/$G12,"")</f>
        <v/>
      </c>
      <c r="K12" s="28" t="n">
        <v>3.45</v>
      </c>
      <c r="L12" s="18" t="inlineStr">
        <is>
          <t>Quarterly</t>
        </is>
      </c>
      <c r="M12" s="28">
        <f>IF(OR($D12="",$K12="",$L12=""),"",$D12*$K12*VLOOKUP($L12,FreqTable,2,FALSE))</f>
        <v/>
      </c>
      <c r="N12" s="29">
        <f>IFERROR(IF(OR($F12="",$K12="",$L12=""),"",($K12*VLOOKUP($L12,FreqTable,2,FALSE))/$F12),"")</f>
        <v/>
      </c>
      <c r="O12" s="29">
        <f>IFERROR(IF(OR($E12="",$K12="",$L12=""),"",($K12*VLOOKUP($L12,FreqTable,2,FALSE))/$E12),"")</f>
        <v/>
      </c>
      <c r="P12" s="29">
        <f>IFERROR($H12/TotalMarketValue,"")</f>
        <v/>
      </c>
      <c r="Q12" s="27" t="n">
        <v>2</v>
      </c>
    </row>
    <row r="13">
      <c r="A13" s="22" t="inlineStr">
        <is>
          <t>XOM</t>
        </is>
      </c>
      <c r="B13" s="15" t="inlineStr">
        <is>
          <t>Exxon Mobil</t>
        </is>
      </c>
      <c r="C13" s="14" t="inlineStr">
        <is>
          <t>Energy</t>
        </is>
      </c>
      <c r="D13" s="23" t="n">
        <v>80</v>
      </c>
      <c r="E13" s="24" t="n">
        <v>95.2</v>
      </c>
      <c r="F13" s="24" t="n">
        <v>116.3</v>
      </c>
      <c r="G13" s="24">
        <f>IF($D13="","",$D13*$E13)</f>
        <v/>
      </c>
      <c r="H13" s="24">
        <f>IF($D13="","",$D13*$F13)</f>
        <v/>
      </c>
      <c r="I13" s="24">
        <f>IF($D13="","",$H13-$G13)</f>
        <v/>
      </c>
      <c r="J13" s="25">
        <f>IFERROR($I13/$G13,"")</f>
        <v/>
      </c>
      <c r="K13" s="24" t="n">
        <v>3.8</v>
      </c>
      <c r="L13" s="14" t="inlineStr">
        <is>
          <t>Quarterly</t>
        </is>
      </c>
      <c r="M13" s="24">
        <f>IF(OR($D13="",$K13="",$L13=""),"",$D13*$K13*VLOOKUP($L13,FreqTable,2,FALSE))</f>
        <v/>
      </c>
      <c r="N13" s="25">
        <f>IFERROR(IF(OR($F13="",$K13="",$L13=""),"",($K13*VLOOKUP($L13,FreqTable,2,FALSE))/$F13),"")</f>
        <v/>
      </c>
      <c r="O13" s="25">
        <f>IFERROR(IF(OR($E13="",$K13="",$L13=""),"",($K13*VLOOKUP($L13,FreqTable,2,FALSE))/$E13),"")</f>
        <v/>
      </c>
      <c r="P13" s="25">
        <f>IFERROR($H13/TotalMarketValue,"")</f>
        <v/>
      </c>
      <c r="Q13" s="23" t="n">
        <v>3</v>
      </c>
    </row>
    <row r="14">
      <c r="A14" s="26" t="inlineStr">
        <is>
          <t>CVX</t>
        </is>
      </c>
      <c r="B14" s="19" t="inlineStr">
        <is>
          <t>Chevron Corp.</t>
        </is>
      </c>
      <c r="C14" s="18" t="inlineStr">
        <is>
          <t>Energy</t>
        </is>
      </c>
      <c r="D14" s="27" t="n">
        <v>30</v>
      </c>
      <c r="E14" s="28" t="n">
        <v>158.1</v>
      </c>
      <c r="F14" s="28" t="n">
        <v>162.4</v>
      </c>
      <c r="G14" s="28">
        <f>IF($D14="","",$D14*$E14)</f>
        <v/>
      </c>
      <c r="H14" s="28">
        <f>IF($D14="","",$D14*$F14)</f>
        <v/>
      </c>
      <c r="I14" s="28">
        <f>IF($D14="","",$H14-$G14)</f>
        <v/>
      </c>
      <c r="J14" s="29">
        <f>IFERROR($I14/$G14,"")</f>
        <v/>
      </c>
      <c r="K14" s="28" t="n">
        <v>6.52</v>
      </c>
      <c r="L14" s="18" t="inlineStr">
        <is>
          <t>Quarterly</t>
        </is>
      </c>
      <c r="M14" s="28">
        <f>IF(OR($D14="",$K14="",$L14=""),"",$D14*$K14*VLOOKUP($L14,FreqTable,2,FALSE))</f>
        <v/>
      </c>
      <c r="N14" s="29">
        <f>IFERROR(IF(OR($F14="",$K14="",$L14=""),"",($K14*VLOOKUP($L14,FreqTable,2,FALSE))/$F14),"")</f>
        <v/>
      </c>
      <c r="O14" s="29">
        <f>IFERROR(IF(OR($E14="",$K14="",$L14=""),"",($K14*VLOOKUP($L14,FreqTable,2,FALSE))/$E14),"")</f>
        <v/>
      </c>
      <c r="P14" s="29">
        <f>IFERROR($H14/TotalMarketValue,"")</f>
        <v/>
      </c>
      <c r="Q14" s="27" t="n">
        <v>3</v>
      </c>
    </row>
    <row r="15">
      <c r="A15" s="22" t="inlineStr">
        <is>
          <t>AAPL</t>
        </is>
      </c>
      <c r="B15" s="15" t="inlineStr">
        <is>
          <t>Apple Inc.</t>
        </is>
      </c>
      <c r="C15" s="14" t="inlineStr">
        <is>
          <t>Tech</t>
        </is>
      </c>
      <c r="D15" s="23" t="n">
        <v>50</v>
      </c>
      <c r="E15" s="24" t="n">
        <v>145.3</v>
      </c>
      <c r="F15" s="24" t="n">
        <v>192.4</v>
      </c>
      <c r="G15" s="24">
        <f>IF($D15="","",$D15*$E15)</f>
        <v/>
      </c>
      <c r="H15" s="24">
        <f>IF($D15="","",$D15*$F15)</f>
        <v/>
      </c>
      <c r="I15" s="24">
        <f>IF($D15="","",$H15-$G15)</f>
        <v/>
      </c>
      <c r="J15" s="25">
        <f>IFERROR($I15/$G15,"")</f>
        <v/>
      </c>
      <c r="K15" s="24" t="n">
        <v>1</v>
      </c>
      <c r="L15" s="14" t="inlineStr">
        <is>
          <t>Quarterly</t>
        </is>
      </c>
      <c r="M15" s="24">
        <f>IF(OR($D15="",$K15="",$L15=""),"",$D15*$K15*VLOOKUP($L15,FreqTable,2,FALSE))</f>
        <v/>
      </c>
      <c r="N15" s="25">
        <f>IFERROR(IF(OR($F15="",$K15="",$L15=""),"",($K15*VLOOKUP($L15,FreqTable,2,FALSE))/$F15),"")</f>
        <v/>
      </c>
      <c r="O15" s="25">
        <f>IFERROR(IF(OR($E15="",$K15="",$L15=""),"",($K15*VLOOKUP($L15,FreqTable,2,FALSE))/$E15),"")</f>
        <v/>
      </c>
      <c r="P15" s="25">
        <f>IFERROR($H15/TotalMarketValue,"")</f>
        <v/>
      </c>
      <c r="Q15" s="23" t="n">
        <v>2</v>
      </c>
    </row>
    <row r="16">
      <c r="A16" s="26" t="inlineStr">
        <is>
          <t>MAIN</t>
        </is>
      </c>
      <c r="B16" s="19" t="inlineStr">
        <is>
          <t>Main Street Capital</t>
        </is>
      </c>
      <c r="C16" s="18" t="inlineStr">
        <is>
          <t>Finance</t>
        </is>
      </c>
      <c r="D16" s="27" t="n">
        <v>90</v>
      </c>
      <c r="E16" s="28" t="n">
        <v>41.1</v>
      </c>
      <c r="F16" s="28" t="n">
        <v>49.8</v>
      </c>
      <c r="G16" s="28">
        <f>IF($D16="","",$D16*$E16)</f>
        <v/>
      </c>
      <c r="H16" s="28">
        <f>IF($D16="","",$D16*$F16)</f>
        <v/>
      </c>
      <c r="I16" s="28">
        <f>IF($D16="","",$H16-$G16)</f>
        <v/>
      </c>
      <c r="J16" s="29">
        <f>IFERROR($I16/$G16,"")</f>
        <v/>
      </c>
      <c r="K16" s="28" t="n">
        <v>2.94</v>
      </c>
      <c r="L16" s="18" t="inlineStr">
        <is>
          <t>Monthly</t>
        </is>
      </c>
      <c r="M16" s="28">
        <f>IF(OR($D16="",$K16="",$L16=""),"",$D16*$K16*VLOOKUP($L16,FreqTable,2,FALSE))</f>
        <v/>
      </c>
      <c r="N16" s="29">
        <f>IFERROR(IF(OR($F16="",$K16="",$L16=""),"",($K16*VLOOKUP($L16,FreqTable,2,FALSE))/$F16),"")</f>
        <v/>
      </c>
      <c r="O16" s="29">
        <f>IFERROR(IF(OR($E16="",$K16="",$L16=""),"",($K16*VLOOKUP($L16,FreqTable,2,FALSE))/$E16),"")</f>
        <v/>
      </c>
      <c r="P16" s="29">
        <f>IFERROR($H16/TotalMarketValue,"")</f>
        <v/>
      </c>
      <c r="Q16" s="27" t="n">
        <v>3</v>
      </c>
    </row>
    <row r="17">
      <c r="A17" s="22" t="inlineStr">
        <is>
          <t>STAG</t>
        </is>
      </c>
      <c r="B17" s="15" t="inlineStr">
        <is>
          <t>Stag Industrial</t>
        </is>
      </c>
      <c r="C17" s="14" t="inlineStr">
        <is>
          <t>REITs</t>
        </is>
      </c>
      <c r="D17" s="23" t="n">
        <v>180</v>
      </c>
      <c r="E17" s="24" t="n">
        <v>35.2</v>
      </c>
      <c r="F17" s="24" t="n">
        <v>36.85</v>
      </c>
      <c r="G17" s="24">
        <f>IF($D17="","",$D17*$E17)</f>
        <v/>
      </c>
      <c r="H17" s="24">
        <f>IF($D17="","",$D17*$F17)</f>
        <v/>
      </c>
      <c r="I17" s="24">
        <f>IF($D17="","",$H17-$G17)</f>
        <v/>
      </c>
      <c r="J17" s="25">
        <f>IFERROR($I17/$G17,"")</f>
        <v/>
      </c>
      <c r="K17" s="24" t="n">
        <v>1.48</v>
      </c>
      <c r="L17" s="14" t="inlineStr">
        <is>
          <t>Monthly</t>
        </is>
      </c>
      <c r="M17" s="24">
        <f>IF(OR($D17="",$K17="",$L17=""),"",$D17*$K17*VLOOKUP($L17,FreqTable,2,FALSE))</f>
        <v/>
      </c>
      <c r="N17" s="25">
        <f>IFERROR(IF(OR($F17="",$K17="",$L17=""),"",($K17*VLOOKUP($L17,FreqTable,2,FALSE))/$F17),"")</f>
        <v/>
      </c>
      <c r="O17" s="25">
        <f>IFERROR(IF(OR($E17="",$K17="",$L17=""),"",($K17*VLOOKUP($L17,FreqTable,2,FALSE))/$E17),"")</f>
        <v/>
      </c>
      <c r="P17" s="25">
        <f>IFERROR($H17/TotalMarketValue,"")</f>
        <v/>
      </c>
      <c r="Q17" s="23" t="n">
        <v>3</v>
      </c>
    </row>
    <row r="18">
      <c r="A18" s="26" t="inlineStr">
        <is>
          <t>MO</t>
        </is>
      </c>
      <c r="B18" s="19" t="inlineStr">
        <is>
          <t>Altria Group</t>
        </is>
      </c>
      <c r="C18" s="18" t="inlineStr">
        <is>
          <t>Consumer</t>
        </is>
      </c>
      <c r="D18" s="27" t="n">
        <v>110</v>
      </c>
      <c r="E18" s="28" t="n">
        <v>45.6</v>
      </c>
      <c r="F18" s="28" t="n">
        <v>49.2</v>
      </c>
      <c r="G18" s="28">
        <f>IF($D18="","",$D18*$E18)</f>
        <v/>
      </c>
      <c r="H18" s="28">
        <f>IF($D18="","",$D18*$F18)</f>
        <v/>
      </c>
      <c r="I18" s="28">
        <f>IF($D18="","",$H18-$G18)</f>
        <v/>
      </c>
      <c r="J18" s="29">
        <f>IFERROR($I18/$G18,"")</f>
        <v/>
      </c>
      <c r="K18" s="28" t="n">
        <v>3.92</v>
      </c>
      <c r="L18" s="18" t="inlineStr">
        <is>
          <t>Quarterly</t>
        </is>
      </c>
      <c r="M18" s="28">
        <f>IF(OR($D18="",$K18="",$L18=""),"",$D18*$K18*VLOOKUP($L18,FreqTable,2,FALSE))</f>
        <v/>
      </c>
      <c r="N18" s="29">
        <f>IFERROR(IF(OR($F18="",$K18="",$L18=""),"",($K18*VLOOKUP($L18,FreqTable,2,FALSE))/$F18),"")</f>
        <v/>
      </c>
      <c r="O18" s="29">
        <f>IFERROR(IF(OR($E18="",$K18="",$L18=""),"",($K18*VLOOKUP($L18,FreqTable,2,FALSE))/$E18),"")</f>
        <v/>
      </c>
      <c r="P18" s="29">
        <f>IFERROR($H18/TotalMarketValue,"")</f>
        <v/>
      </c>
      <c r="Q18" s="27" t="n">
        <v>3</v>
      </c>
    </row>
    <row r="19">
      <c r="A19" s="22" t="inlineStr">
        <is>
          <t>ABBV</t>
        </is>
      </c>
      <c r="B19" s="15" t="inlineStr">
        <is>
          <t>AbbVie Inc.</t>
        </is>
      </c>
      <c r="C19" s="14" t="inlineStr">
        <is>
          <t>Healthcare</t>
        </is>
      </c>
      <c r="D19" s="23" t="n">
        <v>40</v>
      </c>
      <c r="E19" s="24" t="n">
        <v>138.4</v>
      </c>
      <c r="F19" s="24" t="n">
        <v>176.2</v>
      </c>
      <c r="G19" s="24">
        <f>IF($D19="","",$D19*$E19)</f>
        <v/>
      </c>
      <c r="H19" s="24">
        <f>IF($D19="","",$D19*$F19)</f>
        <v/>
      </c>
      <c r="I19" s="24">
        <f>IF($D19="","",$H19-$G19)</f>
        <v/>
      </c>
      <c r="J19" s="25">
        <f>IFERROR($I19/$G19,"")</f>
        <v/>
      </c>
      <c r="K19" s="24" t="n">
        <v>6.2</v>
      </c>
      <c r="L19" s="14" t="inlineStr">
        <is>
          <t>Quarterly</t>
        </is>
      </c>
      <c r="M19" s="24">
        <f>IF(OR($D19="",$K19="",$L19=""),"",$D19*$K19*VLOOKUP($L19,FreqTable,2,FALSE))</f>
        <v/>
      </c>
      <c r="N19" s="25">
        <f>IFERROR(IF(OR($F19="",$K19="",$L19=""),"",($K19*VLOOKUP($L19,FreqTable,2,FALSE))/$F19),"")</f>
        <v/>
      </c>
      <c r="O19" s="25">
        <f>IFERROR(IF(OR($E19="",$K19="",$L19=""),"",($K19*VLOOKUP($L19,FreqTable,2,FALSE))/$E19),"")</f>
        <v/>
      </c>
      <c r="P19" s="25">
        <f>IFERROR($H19/TotalMarketValue,"")</f>
        <v/>
      </c>
      <c r="Q19" s="23" t="n">
        <v>2</v>
      </c>
    </row>
    <row r="20">
      <c r="A20" s="26" t="n"/>
      <c r="B20" s="19" t="n"/>
      <c r="C20" s="18" t="n"/>
      <c r="D20" s="27" t="n"/>
      <c r="E20" s="28" t="n"/>
      <c r="F20" s="28" t="n"/>
      <c r="G20" s="28">
        <f>IF($D20="","",$D20*$E20)</f>
        <v/>
      </c>
      <c r="H20" s="28">
        <f>IF($D20="","",$D20*$F20)</f>
        <v/>
      </c>
      <c r="I20" s="28">
        <f>IF($D20="","",$H20-$G20)</f>
        <v/>
      </c>
      <c r="J20" s="29">
        <f>IFERROR($I20/$G20,"")</f>
        <v/>
      </c>
      <c r="K20" s="28" t="n"/>
      <c r="L20" s="18" t="n"/>
      <c r="M20" s="28">
        <f>IF(OR($D20="",$K20="",$L20=""),"",$D20*$K20*VLOOKUP($L20,FreqTable,2,FALSE))</f>
        <v/>
      </c>
      <c r="N20" s="29">
        <f>IFERROR(IF(OR($F20="",$K20="",$L20=""),"",($K20*VLOOKUP($L20,FreqTable,2,FALSE))/$F20),"")</f>
        <v/>
      </c>
      <c r="O20" s="29">
        <f>IFERROR(IF(OR($E20="",$K20="",$L20=""),"",($K20*VLOOKUP($L20,FreqTable,2,FALSE))/$E20),"")</f>
        <v/>
      </c>
      <c r="P20" s="29">
        <f>IFERROR($H20/TotalMarketValue,"")</f>
        <v/>
      </c>
      <c r="Q20" s="27" t="n"/>
    </row>
    <row r="21">
      <c r="A21" s="22" t="n"/>
      <c r="B21" s="15" t="n"/>
      <c r="C21" s="14" t="n"/>
      <c r="D21" s="23" t="n"/>
      <c r="E21" s="24" t="n"/>
      <c r="F21" s="24" t="n"/>
      <c r="G21" s="24">
        <f>IF($D21="","",$D21*$E21)</f>
        <v/>
      </c>
      <c r="H21" s="24">
        <f>IF($D21="","",$D21*$F21)</f>
        <v/>
      </c>
      <c r="I21" s="24">
        <f>IF($D21="","",$H21-$G21)</f>
        <v/>
      </c>
      <c r="J21" s="25">
        <f>IFERROR($I21/$G21,"")</f>
        <v/>
      </c>
      <c r="K21" s="24" t="n"/>
      <c r="L21" s="14" t="n"/>
      <c r="M21" s="24">
        <f>IF(OR($D21="",$K21="",$L21=""),"",$D21*$K21*VLOOKUP($L21,FreqTable,2,FALSE))</f>
        <v/>
      </c>
      <c r="N21" s="25">
        <f>IFERROR(IF(OR($F21="",$K21="",$L21=""),"",($K21*VLOOKUP($L21,FreqTable,2,FALSE))/$F21),"")</f>
        <v/>
      </c>
      <c r="O21" s="25">
        <f>IFERROR(IF(OR($E21="",$K21="",$L21=""),"",($K21*VLOOKUP($L21,FreqTable,2,FALSE))/$E21),"")</f>
        <v/>
      </c>
      <c r="P21" s="25">
        <f>IFERROR($H21/TotalMarketValue,"")</f>
        <v/>
      </c>
      <c r="Q21" s="23" t="n"/>
    </row>
    <row r="22">
      <c r="A22" s="26" t="n"/>
      <c r="B22" s="19" t="n"/>
      <c r="C22" s="18" t="n"/>
      <c r="D22" s="27" t="n"/>
      <c r="E22" s="28" t="n"/>
      <c r="F22" s="28" t="n"/>
      <c r="G22" s="28">
        <f>IF($D22="","",$D22*$E22)</f>
        <v/>
      </c>
      <c r="H22" s="28">
        <f>IF($D22="","",$D22*$F22)</f>
        <v/>
      </c>
      <c r="I22" s="28">
        <f>IF($D22="","",$H22-$G22)</f>
        <v/>
      </c>
      <c r="J22" s="29">
        <f>IFERROR($I22/$G22,"")</f>
        <v/>
      </c>
      <c r="K22" s="28" t="n"/>
      <c r="L22" s="18" t="n"/>
      <c r="M22" s="28">
        <f>IF(OR($D22="",$K22="",$L22=""),"",$D22*$K22*VLOOKUP($L22,FreqTable,2,FALSE))</f>
        <v/>
      </c>
      <c r="N22" s="29">
        <f>IFERROR(IF(OR($F22="",$K22="",$L22=""),"",($K22*VLOOKUP($L22,FreqTable,2,FALSE))/$F22),"")</f>
        <v/>
      </c>
      <c r="O22" s="29">
        <f>IFERROR(IF(OR($E22="",$K22="",$L22=""),"",($K22*VLOOKUP($L22,FreqTable,2,FALSE))/$E22),"")</f>
        <v/>
      </c>
      <c r="P22" s="29">
        <f>IFERROR($H22/TotalMarketValue,"")</f>
        <v/>
      </c>
      <c r="Q22" s="27" t="n"/>
    </row>
    <row r="23">
      <c r="A23" s="22" t="n"/>
      <c r="B23" s="15" t="n"/>
      <c r="C23" s="14" t="n"/>
      <c r="D23" s="23" t="n"/>
      <c r="E23" s="24" t="n"/>
      <c r="F23" s="24" t="n"/>
      <c r="G23" s="24">
        <f>IF($D23="","",$D23*$E23)</f>
        <v/>
      </c>
      <c r="H23" s="24">
        <f>IF($D23="","",$D23*$F23)</f>
        <v/>
      </c>
      <c r="I23" s="24">
        <f>IF($D23="","",$H23-$G23)</f>
        <v/>
      </c>
      <c r="J23" s="25">
        <f>IFERROR($I23/$G23,"")</f>
        <v/>
      </c>
      <c r="K23" s="24" t="n"/>
      <c r="L23" s="14" t="n"/>
      <c r="M23" s="24">
        <f>IF(OR($D23="",$K23="",$L23=""),"",$D23*$K23*VLOOKUP($L23,FreqTable,2,FALSE))</f>
        <v/>
      </c>
      <c r="N23" s="25">
        <f>IFERROR(IF(OR($F23="",$K23="",$L23=""),"",($K23*VLOOKUP($L23,FreqTable,2,FALSE))/$F23),"")</f>
        <v/>
      </c>
      <c r="O23" s="25">
        <f>IFERROR(IF(OR($E23="",$K23="",$L23=""),"",($K23*VLOOKUP($L23,FreqTable,2,FALSE))/$E23),"")</f>
        <v/>
      </c>
      <c r="P23" s="25">
        <f>IFERROR($H23/TotalMarketValue,"")</f>
        <v/>
      </c>
      <c r="Q23" s="23" t="n"/>
    </row>
    <row r="24">
      <c r="A24" s="26" t="n"/>
      <c r="B24" s="19" t="n"/>
      <c r="C24" s="18" t="n"/>
      <c r="D24" s="27" t="n"/>
      <c r="E24" s="28" t="n"/>
      <c r="F24" s="28" t="n"/>
      <c r="G24" s="28">
        <f>IF($D24="","",$D24*$E24)</f>
        <v/>
      </c>
      <c r="H24" s="28">
        <f>IF($D24="","",$D24*$F24)</f>
        <v/>
      </c>
      <c r="I24" s="28">
        <f>IF($D24="","",$H24-$G24)</f>
        <v/>
      </c>
      <c r="J24" s="29">
        <f>IFERROR($I24/$G24,"")</f>
        <v/>
      </c>
      <c r="K24" s="28" t="n"/>
      <c r="L24" s="18" t="n"/>
      <c r="M24" s="28">
        <f>IF(OR($D24="",$K24="",$L24=""),"",$D24*$K24*VLOOKUP($L24,FreqTable,2,FALSE))</f>
        <v/>
      </c>
      <c r="N24" s="29">
        <f>IFERROR(IF(OR($F24="",$K24="",$L24=""),"",($K24*VLOOKUP($L24,FreqTable,2,FALSE))/$F24),"")</f>
        <v/>
      </c>
      <c r="O24" s="29">
        <f>IFERROR(IF(OR($E24="",$K24="",$L24=""),"",($K24*VLOOKUP($L24,FreqTable,2,FALSE))/$E24),"")</f>
        <v/>
      </c>
      <c r="P24" s="29">
        <f>IFERROR($H24/TotalMarketValue,"")</f>
        <v/>
      </c>
      <c r="Q24" s="27" t="n"/>
    </row>
    <row r="25">
      <c r="A25" s="22" t="n"/>
      <c r="B25" s="15" t="n"/>
      <c r="C25" s="14" t="n"/>
      <c r="D25" s="23" t="n"/>
      <c r="E25" s="24" t="n"/>
      <c r="F25" s="24" t="n"/>
      <c r="G25" s="24">
        <f>IF($D25="","",$D25*$E25)</f>
        <v/>
      </c>
      <c r="H25" s="24">
        <f>IF($D25="","",$D25*$F25)</f>
        <v/>
      </c>
      <c r="I25" s="24">
        <f>IF($D25="","",$H25-$G25)</f>
        <v/>
      </c>
      <c r="J25" s="25">
        <f>IFERROR($I25/$G25,"")</f>
        <v/>
      </c>
      <c r="K25" s="24" t="n"/>
      <c r="L25" s="14" t="n"/>
      <c r="M25" s="24">
        <f>IF(OR($D25="",$K25="",$L25=""),"",$D25*$K25*VLOOKUP($L25,FreqTable,2,FALSE))</f>
        <v/>
      </c>
      <c r="N25" s="25">
        <f>IFERROR(IF(OR($F25="",$K25="",$L25=""),"",($K25*VLOOKUP($L25,FreqTable,2,FALSE))/$F25),"")</f>
        <v/>
      </c>
      <c r="O25" s="25">
        <f>IFERROR(IF(OR($E25="",$K25="",$L25=""),"",($K25*VLOOKUP($L25,FreqTable,2,FALSE))/$E25),"")</f>
        <v/>
      </c>
      <c r="P25" s="25">
        <f>IFERROR($H25/TotalMarketValue,"")</f>
        <v/>
      </c>
      <c r="Q25" s="23" t="n"/>
    </row>
    <row r="26">
      <c r="A26" s="26" t="n"/>
      <c r="B26" s="19" t="n"/>
      <c r="C26" s="18" t="n"/>
      <c r="D26" s="27" t="n"/>
      <c r="E26" s="28" t="n"/>
      <c r="F26" s="28" t="n"/>
      <c r="G26" s="28">
        <f>IF($D26="","",$D26*$E26)</f>
        <v/>
      </c>
      <c r="H26" s="28">
        <f>IF($D26="","",$D26*$F26)</f>
        <v/>
      </c>
      <c r="I26" s="28">
        <f>IF($D26="","",$H26-$G26)</f>
        <v/>
      </c>
      <c r="J26" s="29">
        <f>IFERROR($I26/$G26,"")</f>
        <v/>
      </c>
      <c r="K26" s="28" t="n"/>
      <c r="L26" s="18" t="n"/>
      <c r="M26" s="28">
        <f>IF(OR($D26="",$K26="",$L26=""),"",$D26*$K26*VLOOKUP($L26,FreqTable,2,FALSE))</f>
        <v/>
      </c>
      <c r="N26" s="29">
        <f>IFERROR(IF(OR($F26="",$K26="",$L26=""),"",($K26*VLOOKUP($L26,FreqTable,2,FALSE))/$F26),"")</f>
        <v/>
      </c>
      <c r="O26" s="29">
        <f>IFERROR(IF(OR($E26="",$K26="",$L26=""),"",($K26*VLOOKUP($L26,FreqTable,2,FALSE))/$E26),"")</f>
        <v/>
      </c>
      <c r="P26" s="29">
        <f>IFERROR($H26/TotalMarketValue,"")</f>
        <v/>
      </c>
      <c r="Q26" s="27" t="n"/>
    </row>
    <row r="27">
      <c r="A27" s="22" t="n"/>
      <c r="B27" s="15" t="n"/>
      <c r="C27" s="14" t="n"/>
      <c r="D27" s="23" t="n"/>
      <c r="E27" s="24" t="n"/>
      <c r="F27" s="24" t="n"/>
      <c r="G27" s="24">
        <f>IF($D27="","",$D27*$E27)</f>
        <v/>
      </c>
      <c r="H27" s="24">
        <f>IF($D27="","",$D27*$F27)</f>
        <v/>
      </c>
      <c r="I27" s="24">
        <f>IF($D27="","",$H27-$G27)</f>
        <v/>
      </c>
      <c r="J27" s="25">
        <f>IFERROR($I27/$G27,"")</f>
        <v/>
      </c>
      <c r="K27" s="24" t="n"/>
      <c r="L27" s="14" t="n"/>
      <c r="M27" s="24">
        <f>IF(OR($D27="",$K27="",$L27=""),"",$D27*$K27*VLOOKUP($L27,FreqTable,2,FALSE))</f>
        <v/>
      </c>
      <c r="N27" s="25">
        <f>IFERROR(IF(OR($F27="",$K27="",$L27=""),"",($K27*VLOOKUP($L27,FreqTable,2,FALSE))/$F27),"")</f>
        <v/>
      </c>
      <c r="O27" s="25">
        <f>IFERROR(IF(OR($E27="",$K27="",$L27=""),"",($K27*VLOOKUP($L27,FreqTable,2,FALSE))/$E27),"")</f>
        <v/>
      </c>
      <c r="P27" s="25">
        <f>IFERROR($H27/TotalMarketValue,"")</f>
        <v/>
      </c>
      <c r="Q27" s="23" t="n"/>
    </row>
    <row r="28">
      <c r="A28" s="26" t="n"/>
      <c r="B28" s="19" t="n"/>
      <c r="C28" s="18" t="n"/>
      <c r="D28" s="27" t="n"/>
      <c r="E28" s="28" t="n"/>
      <c r="F28" s="28" t="n"/>
      <c r="G28" s="28">
        <f>IF($D28="","",$D28*$E28)</f>
        <v/>
      </c>
      <c r="H28" s="28">
        <f>IF($D28="","",$D28*$F28)</f>
        <v/>
      </c>
      <c r="I28" s="28">
        <f>IF($D28="","",$H28-$G28)</f>
        <v/>
      </c>
      <c r="J28" s="29">
        <f>IFERROR($I28/$G28,"")</f>
        <v/>
      </c>
      <c r="K28" s="28" t="n"/>
      <c r="L28" s="18" t="n"/>
      <c r="M28" s="28">
        <f>IF(OR($D28="",$K28="",$L28=""),"",$D28*$K28*VLOOKUP($L28,FreqTable,2,FALSE))</f>
        <v/>
      </c>
      <c r="N28" s="29">
        <f>IFERROR(IF(OR($F28="",$K28="",$L28=""),"",($K28*VLOOKUP($L28,FreqTable,2,FALSE))/$F28),"")</f>
        <v/>
      </c>
      <c r="O28" s="29">
        <f>IFERROR(IF(OR($E28="",$K28="",$L28=""),"",($K28*VLOOKUP($L28,FreqTable,2,FALSE))/$E28),"")</f>
        <v/>
      </c>
      <c r="P28" s="29">
        <f>IFERROR($H28/TotalMarketValue,"")</f>
        <v/>
      </c>
      <c r="Q28" s="27" t="n"/>
    </row>
    <row r="29">
      <c r="A29" s="22" t="n"/>
      <c r="B29" s="15" t="n"/>
      <c r="C29" s="14" t="n"/>
      <c r="D29" s="23" t="n"/>
      <c r="E29" s="24" t="n"/>
      <c r="F29" s="24" t="n"/>
      <c r="G29" s="24">
        <f>IF($D29="","",$D29*$E29)</f>
        <v/>
      </c>
      <c r="H29" s="24">
        <f>IF($D29="","",$D29*$F29)</f>
        <v/>
      </c>
      <c r="I29" s="24">
        <f>IF($D29="","",$H29-$G29)</f>
        <v/>
      </c>
      <c r="J29" s="25">
        <f>IFERROR($I29/$G29,"")</f>
        <v/>
      </c>
      <c r="K29" s="24" t="n"/>
      <c r="L29" s="14" t="n"/>
      <c r="M29" s="24">
        <f>IF(OR($D29="",$K29="",$L29=""),"",$D29*$K29*VLOOKUP($L29,FreqTable,2,FALSE))</f>
        <v/>
      </c>
      <c r="N29" s="25">
        <f>IFERROR(IF(OR($F29="",$K29="",$L29=""),"",($K29*VLOOKUP($L29,FreqTable,2,FALSE))/$F29),"")</f>
        <v/>
      </c>
      <c r="O29" s="25">
        <f>IFERROR(IF(OR($E29="",$K29="",$L29=""),"",($K29*VLOOKUP($L29,FreqTable,2,FALSE))/$E29),"")</f>
        <v/>
      </c>
      <c r="P29" s="25">
        <f>IFERROR($H29/TotalMarketValue,"")</f>
        <v/>
      </c>
      <c r="Q29" s="23" t="n"/>
    </row>
    <row r="30">
      <c r="A30" s="26" t="n"/>
      <c r="B30" s="19" t="n"/>
      <c r="C30" s="18" t="n"/>
      <c r="D30" s="27" t="n"/>
      <c r="E30" s="28" t="n"/>
      <c r="F30" s="28" t="n"/>
      <c r="G30" s="28">
        <f>IF($D30="","",$D30*$E30)</f>
        <v/>
      </c>
      <c r="H30" s="28">
        <f>IF($D30="","",$D30*$F30)</f>
        <v/>
      </c>
      <c r="I30" s="28">
        <f>IF($D30="","",$H30-$G30)</f>
        <v/>
      </c>
      <c r="J30" s="29">
        <f>IFERROR($I30/$G30,"")</f>
        <v/>
      </c>
      <c r="K30" s="28" t="n"/>
      <c r="L30" s="18" t="n"/>
      <c r="M30" s="28">
        <f>IF(OR($D30="",$K30="",$L30=""),"",$D30*$K30*VLOOKUP($L30,FreqTable,2,FALSE))</f>
        <v/>
      </c>
      <c r="N30" s="29">
        <f>IFERROR(IF(OR($F30="",$K30="",$L30=""),"",($K30*VLOOKUP($L30,FreqTable,2,FALSE))/$F30),"")</f>
        <v/>
      </c>
      <c r="O30" s="29">
        <f>IFERROR(IF(OR($E30="",$K30="",$L30=""),"",($K30*VLOOKUP($L30,FreqTable,2,FALSE))/$E30),"")</f>
        <v/>
      </c>
      <c r="P30" s="29">
        <f>IFERROR($H30/TotalMarketValue,"")</f>
        <v/>
      </c>
      <c r="Q30" s="27" t="n"/>
    </row>
    <row r="31">
      <c r="A31" s="22" t="n"/>
      <c r="B31" s="15" t="n"/>
      <c r="C31" s="14" t="n"/>
      <c r="D31" s="23" t="n"/>
      <c r="E31" s="24" t="n"/>
      <c r="F31" s="24" t="n"/>
      <c r="G31" s="24">
        <f>IF($D31="","",$D31*$E31)</f>
        <v/>
      </c>
      <c r="H31" s="24">
        <f>IF($D31="","",$D31*$F31)</f>
        <v/>
      </c>
      <c r="I31" s="24">
        <f>IF($D31="","",$H31-$G31)</f>
        <v/>
      </c>
      <c r="J31" s="25">
        <f>IFERROR($I31/$G31,"")</f>
        <v/>
      </c>
      <c r="K31" s="24" t="n"/>
      <c r="L31" s="14" t="n"/>
      <c r="M31" s="24">
        <f>IF(OR($D31="",$K31="",$L31=""),"",$D31*$K31*VLOOKUP($L31,FreqTable,2,FALSE))</f>
        <v/>
      </c>
      <c r="N31" s="25">
        <f>IFERROR(IF(OR($F31="",$K31="",$L31=""),"",($K31*VLOOKUP($L31,FreqTable,2,FALSE))/$F31),"")</f>
        <v/>
      </c>
      <c r="O31" s="25">
        <f>IFERROR(IF(OR($E31="",$K31="",$L31=""),"",($K31*VLOOKUP($L31,FreqTable,2,FALSE))/$E31),"")</f>
        <v/>
      </c>
      <c r="P31" s="25">
        <f>IFERROR($H31/TotalMarketValue,"")</f>
        <v/>
      </c>
      <c r="Q31" s="23" t="n"/>
    </row>
    <row r="32">
      <c r="A32" s="26" t="n"/>
      <c r="B32" s="19" t="n"/>
      <c r="C32" s="18" t="n"/>
      <c r="D32" s="27" t="n"/>
      <c r="E32" s="28" t="n"/>
      <c r="F32" s="28" t="n"/>
      <c r="G32" s="28">
        <f>IF($D32="","",$D32*$E32)</f>
        <v/>
      </c>
      <c r="H32" s="28">
        <f>IF($D32="","",$D32*$F32)</f>
        <v/>
      </c>
      <c r="I32" s="28">
        <f>IF($D32="","",$H32-$G32)</f>
        <v/>
      </c>
      <c r="J32" s="29">
        <f>IFERROR($I32/$G32,"")</f>
        <v/>
      </c>
      <c r="K32" s="28" t="n"/>
      <c r="L32" s="18" t="n"/>
      <c r="M32" s="28">
        <f>IF(OR($D32="",$K32="",$L32=""),"",$D32*$K32*VLOOKUP($L32,FreqTable,2,FALSE))</f>
        <v/>
      </c>
      <c r="N32" s="29">
        <f>IFERROR(IF(OR($F32="",$K32="",$L32=""),"",($K32*VLOOKUP($L32,FreqTable,2,FALSE))/$F32),"")</f>
        <v/>
      </c>
      <c r="O32" s="29">
        <f>IFERROR(IF(OR($E32="",$K32="",$L32=""),"",($K32*VLOOKUP($L32,FreqTable,2,FALSE))/$E32),"")</f>
        <v/>
      </c>
      <c r="P32" s="29">
        <f>IFERROR($H32/TotalMarketValue,"")</f>
        <v/>
      </c>
      <c r="Q32" s="27" t="n"/>
    </row>
    <row r="33">
      <c r="A33" s="22" t="n"/>
      <c r="B33" s="15" t="n"/>
      <c r="C33" s="14" t="n"/>
      <c r="D33" s="23" t="n"/>
      <c r="E33" s="24" t="n"/>
      <c r="F33" s="24" t="n"/>
      <c r="G33" s="24">
        <f>IF($D33="","",$D33*$E33)</f>
        <v/>
      </c>
      <c r="H33" s="24">
        <f>IF($D33="","",$D33*$F33)</f>
        <v/>
      </c>
      <c r="I33" s="24">
        <f>IF($D33="","",$H33-$G33)</f>
        <v/>
      </c>
      <c r="J33" s="25">
        <f>IFERROR($I33/$G33,"")</f>
        <v/>
      </c>
      <c r="K33" s="24" t="n"/>
      <c r="L33" s="14" t="n"/>
      <c r="M33" s="24">
        <f>IF(OR($D33="",$K33="",$L33=""),"",$D33*$K33*VLOOKUP($L33,FreqTable,2,FALSE))</f>
        <v/>
      </c>
      <c r="N33" s="25">
        <f>IFERROR(IF(OR($F33="",$K33="",$L33=""),"",($K33*VLOOKUP($L33,FreqTable,2,FALSE))/$F33),"")</f>
        <v/>
      </c>
      <c r="O33" s="25">
        <f>IFERROR(IF(OR($E33="",$K33="",$L33=""),"",($K33*VLOOKUP($L33,FreqTable,2,FALSE))/$E33),"")</f>
        <v/>
      </c>
      <c r="P33" s="25">
        <f>IFERROR($H33/TotalMarketValue,"")</f>
        <v/>
      </c>
      <c r="Q33" s="23" t="n"/>
    </row>
    <row r="34">
      <c r="A34" s="26" t="n"/>
      <c r="B34" s="19" t="n"/>
      <c r="C34" s="18" t="n"/>
      <c r="D34" s="27" t="n"/>
      <c r="E34" s="28" t="n"/>
      <c r="F34" s="28" t="n"/>
      <c r="G34" s="28">
        <f>IF($D34="","",$D34*$E34)</f>
        <v/>
      </c>
      <c r="H34" s="28">
        <f>IF($D34="","",$D34*$F34)</f>
        <v/>
      </c>
      <c r="I34" s="28">
        <f>IF($D34="","",$H34-$G34)</f>
        <v/>
      </c>
      <c r="J34" s="29">
        <f>IFERROR($I34/$G34,"")</f>
        <v/>
      </c>
      <c r="K34" s="28" t="n"/>
      <c r="L34" s="18" t="n"/>
      <c r="M34" s="28">
        <f>IF(OR($D34="",$K34="",$L34=""),"",$D34*$K34*VLOOKUP($L34,FreqTable,2,FALSE))</f>
        <v/>
      </c>
      <c r="N34" s="29">
        <f>IFERROR(IF(OR($F34="",$K34="",$L34=""),"",($K34*VLOOKUP($L34,FreqTable,2,FALSE))/$F34),"")</f>
        <v/>
      </c>
      <c r="O34" s="29">
        <f>IFERROR(IF(OR($E34="",$K34="",$L34=""),"",($K34*VLOOKUP($L34,FreqTable,2,FALSE))/$E34),"")</f>
        <v/>
      </c>
      <c r="P34" s="29">
        <f>IFERROR($H34/TotalMarketValue,"")</f>
        <v/>
      </c>
      <c r="Q34" s="27" t="n"/>
    </row>
    <row r="35">
      <c r="A35" s="22" t="n"/>
      <c r="B35" s="15" t="n"/>
      <c r="C35" s="14" t="n"/>
      <c r="D35" s="23" t="n"/>
      <c r="E35" s="24" t="n"/>
      <c r="F35" s="24" t="n"/>
      <c r="G35" s="24">
        <f>IF($D35="","",$D35*$E35)</f>
        <v/>
      </c>
      <c r="H35" s="24">
        <f>IF($D35="","",$D35*$F35)</f>
        <v/>
      </c>
      <c r="I35" s="24">
        <f>IF($D35="","",$H35-$G35)</f>
        <v/>
      </c>
      <c r="J35" s="25">
        <f>IFERROR($I35/$G35,"")</f>
        <v/>
      </c>
      <c r="K35" s="24" t="n"/>
      <c r="L35" s="14" t="n"/>
      <c r="M35" s="24">
        <f>IF(OR($D35="",$K35="",$L35=""),"",$D35*$K35*VLOOKUP($L35,FreqTable,2,FALSE))</f>
        <v/>
      </c>
      <c r="N35" s="25">
        <f>IFERROR(IF(OR($F35="",$K35="",$L35=""),"",($K35*VLOOKUP($L35,FreqTable,2,FALSE))/$F35),"")</f>
        <v/>
      </c>
      <c r="O35" s="25">
        <f>IFERROR(IF(OR($E35="",$K35="",$L35=""),"",($K35*VLOOKUP($L35,FreqTable,2,FALSE))/$E35),"")</f>
        <v/>
      </c>
      <c r="P35" s="25">
        <f>IFERROR($H35/TotalMarketValue,"")</f>
        <v/>
      </c>
      <c r="Q35" s="23" t="n"/>
    </row>
    <row r="36">
      <c r="A36" s="26" t="n"/>
      <c r="B36" s="19" t="n"/>
      <c r="C36" s="18" t="n"/>
      <c r="D36" s="27" t="n"/>
      <c r="E36" s="28" t="n"/>
      <c r="F36" s="28" t="n"/>
      <c r="G36" s="28">
        <f>IF($D36="","",$D36*$E36)</f>
        <v/>
      </c>
      <c r="H36" s="28">
        <f>IF($D36="","",$D36*$F36)</f>
        <v/>
      </c>
      <c r="I36" s="28">
        <f>IF($D36="","",$H36-$G36)</f>
        <v/>
      </c>
      <c r="J36" s="29">
        <f>IFERROR($I36/$G36,"")</f>
        <v/>
      </c>
      <c r="K36" s="28" t="n"/>
      <c r="L36" s="18" t="n"/>
      <c r="M36" s="28">
        <f>IF(OR($D36="",$K36="",$L36=""),"",$D36*$K36*VLOOKUP($L36,FreqTable,2,FALSE))</f>
        <v/>
      </c>
      <c r="N36" s="29">
        <f>IFERROR(IF(OR($F36="",$K36="",$L36=""),"",($K36*VLOOKUP($L36,FreqTable,2,FALSE))/$F36),"")</f>
        <v/>
      </c>
      <c r="O36" s="29">
        <f>IFERROR(IF(OR($E36="",$K36="",$L36=""),"",($K36*VLOOKUP($L36,FreqTable,2,FALSE))/$E36),"")</f>
        <v/>
      </c>
      <c r="P36" s="29">
        <f>IFERROR($H36/TotalMarketValue,"")</f>
        <v/>
      </c>
      <c r="Q36" s="27" t="n"/>
    </row>
    <row r="37">
      <c r="A37" s="22" t="n"/>
      <c r="B37" s="15" t="n"/>
      <c r="C37" s="14" t="n"/>
      <c r="D37" s="23" t="n"/>
      <c r="E37" s="24" t="n"/>
      <c r="F37" s="24" t="n"/>
      <c r="G37" s="24">
        <f>IF($D37="","",$D37*$E37)</f>
        <v/>
      </c>
      <c r="H37" s="24">
        <f>IF($D37="","",$D37*$F37)</f>
        <v/>
      </c>
      <c r="I37" s="24">
        <f>IF($D37="","",$H37-$G37)</f>
        <v/>
      </c>
      <c r="J37" s="25">
        <f>IFERROR($I37/$G37,"")</f>
        <v/>
      </c>
      <c r="K37" s="24" t="n"/>
      <c r="L37" s="14" t="n"/>
      <c r="M37" s="24">
        <f>IF(OR($D37="",$K37="",$L37=""),"",$D37*$K37*VLOOKUP($L37,FreqTable,2,FALSE))</f>
        <v/>
      </c>
      <c r="N37" s="25">
        <f>IFERROR(IF(OR($F37="",$K37="",$L37=""),"",($K37*VLOOKUP($L37,FreqTable,2,FALSE))/$F37),"")</f>
        <v/>
      </c>
      <c r="O37" s="25">
        <f>IFERROR(IF(OR($E37="",$K37="",$L37=""),"",($K37*VLOOKUP($L37,FreqTable,2,FALSE))/$E37),"")</f>
        <v/>
      </c>
      <c r="P37" s="25">
        <f>IFERROR($H37/TotalMarketValue,"")</f>
        <v/>
      </c>
      <c r="Q37" s="23" t="n"/>
    </row>
    <row r="38">
      <c r="A38" s="26" t="n"/>
      <c r="B38" s="19" t="n"/>
      <c r="C38" s="18" t="n"/>
      <c r="D38" s="27" t="n"/>
      <c r="E38" s="28" t="n"/>
      <c r="F38" s="28" t="n"/>
      <c r="G38" s="28">
        <f>IF($D38="","",$D38*$E38)</f>
        <v/>
      </c>
      <c r="H38" s="28">
        <f>IF($D38="","",$D38*$F38)</f>
        <v/>
      </c>
      <c r="I38" s="28">
        <f>IF($D38="","",$H38-$G38)</f>
        <v/>
      </c>
      <c r="J38" s="29">
        <f>IFERROR($I38/$G38,"")</f>
        <v/>
      </c>
      <c r="K38" s="28" t="n"/>
      <c r="L38" s="18" t="n"/>
      <c r="M38" s="28">
        <f>IF(OR($D38="",$K38="",$L38=""),"",$D38*$K38*VLOOKUP($L38,FreqTable,2,FALSE))</f>
        <v/>
      </c>
      <c r="N38" s="29">
        <f>IFERROR(IF(OR($F38="",$K38="",$L38=""),"",($K38*VLOOKUP($L38,FreqTable,2,FALSE))/$F38),"")</f>
        <v/>
      </c>
      <c r="O38" s="29">
        <f>IFERROR(IF(OR($E38="",$K38="",$L38=""),"",($K38*VLOOKUP($L38,FreqTable,2,FALSE))/$E38),"")</f>
        <v/>
      </c>
      <c r="P38" s="29">
        <f>IFERROR($H38/TotalMarketValue,"")</f>
        <v/>
      </c>
      <c r="Q38" s="27" t="n"/>
    </row>
    <row r="39">
      <c r="A39" s="22" t="n"/>
      <c r="B39" s="15" t="n"/>
      <c r="C39" s="14" t="n"/>
      <c r="D39" s="23" t="n"/>
      <c r="E39" s="24" t="n"/>
      <c r="F39" s="24" t="n"/>
      <c r="G39" s="24">
        <f>IF($D39="","",$D39*$E39)</f>
        <v/>
      </c>
      <c r="H39" s="24">
        <f>IF($D39="","",$D39*$F39)</f>
        <v/>
      </c>
      <c r="I39" s="24">
        <f>IF($D39="","",$H39-$G39)</f>
        <v/>
      </c>
      <c r="J39" s="25">
        <f>IFERROR($I39/$G39,"")</f>
        <v/>
      </c>
      <c r="K39" s="24" t="n"/>
      <c r="L39" s="14" t="n"/>
      <c r="M39" s="24">
        <f>IF(OR($D39="",$K39="",$L39=""),"",$D39*$K39*VLOOKUP($L39,FreqTable,2,FALSE))</f>
        <v/>
      </c>
      <c r="N39" s="25">
        <f>IFERROR(IF(OR($F39="",$K39="",$L39=""),"",($K39*VLOOKUP($L39,FreqTable,2,FALSE))/$F39),"")</f>
        <v/>
      </c>
      <c r="O39" s="25">
        <f>IFERROR(IF(OR($E39="",$K39="",$L39=""),"",($K39*VLOOKUP($L39,FreqTable,2,FALSE))/$E39),"")</f>
        <v/>
      </c>
      <c r="P39" s="25">
        <f>IFERROR($H39/TotalMarketValue,"")</f>
        <v/>
      </c>
      <c r="Q39" s="23" t="n"/>
    </row>
    <row r="40">
      <c r="A40" s="26" t="n"/>
      <c r="B40" s="19" t="n"/>
      <c r="C40" s="18" t="n"/>
      <c r="D40" s="27" t="n"/>
      <c r="E40" s="28" t="n"/>
      <c r="F40" s="28" t="n"/>
      <c r="G40" s="28">
        <f>IF($D40="","",$D40*$E40)</f>
        <v/>
      </c>
      <c r="H40" s="28">
        <f>IF($D40="","",$D40*$F40)</f>
        <v/>
      </c>
      <c r="I40" s="28">
        <f>IF($D40="","",$H40-$G40)</f>
        <v/>
      </c>
      <c r="J40" s="29">
        <f>IFERROR($I40/$G40,"")</f>
        <v/>
      </c>
      <c r="K40" s="28" t="n"/>
      <c r="L40" s="18" t="n"/>
      <c r="M40" s="28">
        <f>IF(OR($D40="",$K40="",$L40=""),"",$D40*$K40*VLOOKUP($L40,FreqTable,2,FALSE))</f>
        <v/>
      </c>
      <c r="N40" s="29">
        <f>IFERROR(IF(OR($F40="",$K40="",$L40=""),"",($K40*VLOOKUP($L40,FreqTable,2,FALSE))/$F40),"")</f>
        <v/>
      </c>
      <c r="O40" s="29">
        <f>IFERROR(IF(OR($E40="",$K40="",$L40=""),"",($K40*VLOOKUP($L40,FreqTable,2,FALSE))/$E40),"")</f>
        <v/>
      </c>
      <c r="P40" s="29">
        <f>IFERROR($H40/TotalMarketValue,"")</f>
        <v/>
      </c>
      <c r="Q40" s="27" t="n"/>
    </row>
    <row r="41">
      <c r="A41" s="22" t="n"/>
      <c r="B41" s="15" t="n"/>
      <c r="C41" s="14" t="n"/>
      <c r="D41" s="23" t="n"/>
      <c r="E41" s="24" t="n"/>
      <c r="F41" s="24" t="n"/>
      <c r="G41" s="24">
        <f>IF($D41="","",$D41*$E41)</f>
        <v/>
      </c>
      <c r="H41" s="24">
        <f>IF($D41="","",$D41*$F41)</f>
        <v/>
      </c>
      <c r="I41" s="24">
        <f>IF($D41="","",$H41-$G41)</f>
        <v/>
      </c>
      <c r="J41" s="25">
        <f>IFERROR($I41/$G41,"")</f>
        <v/>
      </c>
      <c r="K41" s="24" t="n"/>
      <c r="L41" s="14" t="n"/>
      <c r="M41" s="24">
        <f>IF(OR($D41="",$K41="",$L41=""),"",$D41*$K41*VLOOKUP($L41,FreqTable,2,FALSE))</f>
        <v/>
      </c>
      <c r="N41" s="25">
        <f>IFERROR(IF(OR($F41="",$K41="",$L41=""),"",($K41*VLOOKUP($L41,FreqTable,2,FALSE))/$F41),"")</f>
        <v/>
      </c>
      <c r="O41" s="25">
        <f>IFERROR(IF(OR($E41="",$K41="",$L41=""),"",($K41*VLOOKUP($L41,FreqTable,2,FALSE))/$E41),"")</f>
        <v/>
      </c>
      <c r="P41" s="25">
        <f>IFERROR($H41/TotalMarketValue,"")</f>
        <v/>
      </c>
      <c r="Q41" s="23" t="n"/>
    </row>
    <row r="42">
      <c r="A42" s="26" t="n"/>
      <c r="B42" s="19" t="n"/>
      <c r="C42" s="18" t="n"/>
      <c r="D42" s="27" t="n"/>
      <c r="E42" s="28" t="n"/>
      <c r="F42" s="28" t="n"/>
      <c r="G42" s="28">
        <f>IF($D42="","",$D42*$E42)</f>
        <v/>
      </c>
      <c r="H42" s="28">
        <f>IF($D42="","",$D42*$F42)</f>
        <v/>
      </c>
      <c r="I42" s="28">
        <f>IF($D42="","",$H42-$G42)</f>
        <v/>
      </c>
      <c r="J42" s="29">
        <f>IFERROR($I42/$G42,"")</f>
        <v/>
      </c>
      <c r="K42" s="28" t="n"/>
      <c r="L42" s="18" t="n"/>
      <c r="M42" s="28">
        <f>IF(OR($D42="",$K42="",$L42=""),"",$D42*$K42*VLOOKUP($L42,FreqTable,2,FALSE))</f>
        <v/>
      </c>
      <c r="N42" s="29">
        <f>IFERROR(IF(OR($F42="",$K42="",$L42=""),"",($K42*VLOOKUP($L42,FreqTable,2,FALSE))/$F42),"")</f>
        <v/>
      </c>
      <c r="O42" s="29">
        <f>IFERROR(IF(OR($E42="",$K42="",$L42=""),"",($K42*VLOOKUP($L42,FreqTable,2,FALSE))/$E42),"")</f>
        <v/>
      </c>
      <c r="P42" s="29">
        <f>IFERROR($H42/TotalMarketValue,"")</f>
        <v/>
      </c>
      <c r="Q42" s="27" t="n"/>
    </row>
    <row r="43">
      <c r="A43" s="22" t="n"/>
      <c r="B43" s="15" t="n"/>
      <c r="C43" s="14" t="n"/>
      <c r="D43" s="23" t="n"/>
      <c r="E43" s="24" t="n"/>
      <c r="F43" s="24" t="n"/>
      <c r="G43" s="24">
        <f>IF($D43="","",$D43*$E43)</f>
        <v/>
      </c>
      <c r="H43" s="24">
        <f>IF($D43="","",$D43*$F43)</f>
        <v/>
      </c>
      <c r="I43" s="24">
        <f>IF($D43="","",$H43-$G43)</f>
        <v/>
      </c>
      <c r="J43" s="25">
        <f>IFERROR($I43/$G43,"")</f>
        <v/>
      </c>
      <c r="K43" s="24" t="n"/>
      <c r="L43" s="14" t="n"/>
      <c r="M43" s="24">
        <f>IF(OR($D43="",$K43="",$L43=""),"",$D43*$K43*VLOOKUP($L43,FreqTable,2,FALSE))</f>
        <v/>
      </c>
      <c r="N43" s="25">
        <f>IFERROR(IF(OR($F43="",$K43="",$L43=""),"",($K43*VLOOKUP($L43,FreqTable,2,FALSE))/$F43),"")</f>
        <v/>
      </c>
      <c r="O43" s="25">
        <f>IFERROR(IF(OR($E43="",$K43="",$L43=""),"",($K43*VLOOKUP($L43,FreqTable,2,FALSE))/$E43),"")</f>
        <v/>
      </c>
      <c r="P43" s="25">
        <f>IFERROR($H43/TotalMarketValue,"")</f>
        <v/>
      </c>
      <c r="Q43" s="23" t="n"/>
    </row>
    <row r="44">
      <c r="A44" s="26" t="n"/>
      <c r="B44" s="19" t="n"/>
      <c r="C44" s="18" t="n"/>
      <c r="D44" s="27" t="n"/>
      <c r="E44" s="28" t="n"/>
      <c r="F44" s="28" t="n"/>
      <c r="G44" s="28">
        <f>IF($D44="","",$D44*$E44)</f>
        <v/>
      </c>
      <c r="H44" s="28">
        <f>IF($D44="","",$D44*$F44)</f>
        <v/>
      </c>
      <c r="I44" s="28">
        <f>IF($D44="","",$H44-$G44)</f>
        <v/>
      </c>
      <c r="J44" s="29">
        <f>IFERROR($I44/$G44,"")</f>
        <v/>
      </c>
      <c r="K44" s="28" t="n"/>
      <c r="L44" s="18" t="n"/>
      <c r="M44" s="28">
        <f>IF(OR($D44="",$K44="",$L44=""),"",$D44*$K44*VLOOKUP($L44,FreqTable,2,FALSE))</f>
        <v/>
      </c>
      <c r="N44" s="29">
        <f>IFERROR(IF(OR($F44="",$K44="",$L44=""),"",($K44*VLOOKUP($L44,FreqTable,2,FALSE))/$F44),"")</f>
        <v/>
      </c>
      <c r="O44" s="29">
        <f>IFERROR(IF(OR($E44="",$K44="",$L44=""),"",($K44*VLOOKUP($L44,FreqTable,2,FALSE))/$E44),"")</f>
        <v/>
      </c>
      <c r="P44" s="29">
        <f>IFERROR($H44/TotalMarketValue,"")</f>
        <v/>
      </c>
      <c r="Q44" s="27" t="n"/>
    </row>
  </sheetData>
  <mergeCells count="2">
    <mergeCell ref="A2:Q2"/>
    <mergeCell ref="A1:Q1"/>
  </mergeCells>
  <conditionalFormatting sqref="J5:J44">
    <cfRule type="colorScale" priority="1">
      <colorScale>
        <cfvo type="num" val="-0.3"/>
        <cfvo type="num" val="0"/>
        <cfvo type="num" val="0.5"/>
        <color rgb="FFFBE6E6"/>
        <color rgb="FFFFF3CD"/>
        <color rgb="FF75E6C1"/>
      </colorScale>
    </cfRule>
  </conditionalFormatting>
  <conditionalFormatting sqref="N5:N44">
    <cfRule type="colorScale" priority="2">
      <colorScale>
        <cfvo type="min"/>
        <cfvo type="percentile" val="50"/>
        <cfvo type="max"/>
        <color rgb="FFE5D3BA"/>
        <color rgb="FFFFE08C"/>
        <color rgb="FF75E6C1"/>
      </colorScale>
    </cfRule>
  </conditionalFormatting>
  <conditionalFormatting sqref="Q5:Q44">
    <cfRule type="dataBar" priority="3">
      <dataBar showValue="1">
        <cfvo type="num" val="1"/>
        <cfvo type="num" val="5"/>
        <color rgb="00C94C4C"/>
      </dataBar>
    </cfRule>
  </conditionalFormatting>
  <conditionalFormatting sqref="I5:I44">
    <cfRule type="cellIs" priority="4" operator="lessThan" dxfId="0">
      <formula>0</formula>
    </cfRule>
  </conditionalFormatting>
  <dataValidations count="3">
    <dataValidation sqref="C5:C44" showDropDown="0" showInputMessage="0" showErrorMessage="0" allowBlank="1" type="list">
      <formula1>=SectorList</formula1>
    </dataValidation>
    <dataValidation sqref="L5:L44" showDropDown="0" showInputMessage="0" showErrorMessage="0" allowBlank="1" type="list">
      <formula1>=FrequencyList</formula1>
    </dataValidation>
    <dataValidation sqref="Q5:Q44" showDropDown="0" showInputMessage="0" showErrorMessage="0" allowBlank="1" type="whole" operator="between">
      <formula1>1</formula1>
      <formula2>5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5E6C1"/>
    <outlinePr summaryBelow="1" summaryRight="1"/>
    <pageSetUpPr/>
  </sheetPr>
  <dimension ref="A1:O4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46" customHeight="1">
      <c r="A1" s="1" t="inlineStr">
        <is>
          <t xml:space="preserve">  📅  DIVIDEND INCOME CALENDAR</t>
        </is>
      </c>
    </row>
    <row r="2" ht="22" customHeight="1">
      <c r="A2" s="2" t="inlineStr">
        <is>
          <t xml:space="preserve">  See exactly which months you get paid — built from each holding's frequency.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</row>
    <row r="4" ht="28" customHeight="1">
      <c r="A4" s="12" t="inlineStr">
        <is>
          <t>Ticker</t>
        </is>
      </c>
      <c r="B4" s="12" t="inlineStr">
        <is>
          <t>Annual Inc</t>
        </is>
      </c>
      <c r="C4" s="12" t="inlineStr">
        <is>
          <t>Frequency</t>
        </is>
      </c>
      <c r="D4" s="12" t="inlineStr">
        <is>
          <t>Jan</t>
        </is>
      </c>
      <c r="E4" s="12" t="inlineStr">
        <is>
          <t>Feb</t>
        </is>
      </c>
      <c r="F4" s="12" t="inlineStr">
        <is>
          <t>Mar</t>
        </is>
      </c>
      <c r="G4" s="12" t="inlineStr">
        <is>
          <t>Apr</t>
        </is>
      </c>
      <c r="H4" s="12" t="inlineStr">
        <is>
          <t>May</t>
        </is>
      </c>
      <c r="I4" s="12" t="inlineStr">
        <is>
          <t>Jun</t>
        </is>
      </c>
      <c r="J4" s="12" t="inlineStr">
        <is>
          <t>Jul</t>
        </is>
      </c>
      <c r="K4" s="12" t="inlineStr">
        <is>
          <t>Aug</t>
        </is>
      </c>
      <c r="L4" s="12" t="inlineStr">
        <is>
          <t>Sep</t>
        </is>
      </c>
      <c r="M4" s="12" t="inlineStr">
        <is>
          <t>Oct</t>
        </is>
      </c>
      <c r="N4" s="12" t="inlineStr">
        <is>
          <t>Nov</t>
        </is>
      </c>
      <c r="O4" s="12" t="inlineStr">
        <is>
          <t>Dec</t>
        </is>
      </c>
    </row>
    <row r="5">
      <c r="A5" s="22">
        <f>IF(Holdings!A5="","",Holdings!A5)</f>
        <v/>
      </c>
      <c r="B5" s="17">
        <f>IF(Holdings!A5="","",Holdings!M5)</f>
        <v/>
      </c>
      <c r="C5" s="14">
        <f>IF(Holdings!A5="","",Holdings!L5)</f>
        <v/>
      </c>
      <c r="D5" s="17">
        <f>IF($A5="","",IF($C5="Monthly",$B5/12,IF(AND($C5="Quarterly",MOD(1,3)=0),$B5/4,IF(AND($C5="Semi-Annual",OR(1=6,1=12)),$B5/2,IF(AND($C5="Annual",1=12),$B5,0)))))</f>
        <v/>
      </c>
      <c r="E5" s="17">
        <f>IF($A5="","",IF($C5="Monthly",$B5/12,IF(AND($C5="Quarterly",MOD(2,3)=0),$B5/4,IF(AND($C5="Semi-Annual",OR(2=6,2=12)),$B5/2,IF(AND($C5="Annual",2=12),$B5,0)))))</f>
        <v/>
      </c>
      <c r="F5" s="17">
        <f>IF($A5="","",IF($C5="Monthly",$B5/12,IF(AND($C5="Quarterly",MOD(3,3)=0),$B5/4,IF(AND($C5="Semi-Annual",OR(3=6,3=12)),$B5/2,IF(AND($C5="Annual",3=12),$B5,0)))))</f>
        <v/>
      </c>
      <c r="G5" s="17">
        <f>IF($A5="","",IF($C5="Monthly",$B5/12,IF(AND($C5="Quarterly",MOD(4,3)=0),$B5/4,IF(AND($C5="Semi-Annual",OR(4=6,4=12)),$B5/2,IF(AND($C5="Annual",4=12),$B5,0)))))</f>
        <v/>
      </c>
      <c r="H5" s="17">
        <f>IF($A5="","",IF($C5="Monthly",$B5/12,IF(AND($C5="Quarterly",MOD(5,3)=0),$B5/4,IF(AND($C5="Semi-Annual",OR(5=6,5=12)),$B5/2,IF(AND($C5="Annual",5=12),$B5,0)))))</f>
        <v/>
      </c>
      <c r="I5" s="17">
        <f>IF($A5="","",IF($C5="Monthly",$B5/12,IF(AND($C5="Quarterly",MOD(6,3)=0),$B5/4,IF(AND($C5="Semi-Annual",OR(6=6,6=12)),$B5/2,IF(AND($C5="Annual",6=12),$B5,0)))))</f>
        <v/>
      </c>
      <c r="J5" s="17">
        <f>IF($A5="","",IF($C5="Monthly",$B5/12,IF(AND($C5="Quarterly",MOD(7,3)=0),$B5/4,IF(AND($C5="Semi-Annual",OR(7=6,7=12)),$B5/2,IF(AND($C5="Annual",7=12),$B5,0)))))</f>
        <v/>
      </c>
      <c r="K5" s="17">
        <f>IF($A5="","",IF($C5="Monthly",$B5/12,IF(AND($C5="Quarterly",MOD(8,3)=0),$B5/4,IF(AND($C5="Semi-Annual",OR(8=6,8=12)),$B5/2,IF(AND($C5="Annual",8=12),$B5,0)))))</f>
        <v/>
      </c>
      <c r="L5" s="17">
        <f>IF($A5="","",IF($C5="Monthly",$B5/12,IF(AND($C5="Quarterly",MOD(9,3)=0),$B5/4,IF(AND($C5="Semi-Annual",OR(9=6,9=12)),$B5/2,IF(AND($C5="Annual",9=12),$B5,0)))))</f>
        <v/>
      </c>
      <c r="M5" s="17">
        <f>IF($A5="","",IF($C5="Monthly",$B5/12,IF(AND($C5="Quarterly",MOD(10,3)=0),$B5/4,IF(AND($C5="Semi-Annual",OR(10=6,10=12)),$B5/2,IF(AND($C5="Annual",10=12),$B5,0)))))</f>
        <v/>
      </c>
      <c r="N5" s="17">
        <f>IF($A5="","",IF($C5="Monthly",$B5/12,IF(AND($C5="Quarterly",MOD(11,3)=0),$B5/4,IF(AND($C5="Semi-Annual",OR(11=6,11=12)),$B5/2,IF(AND($C5="Annual",11=12),$B5,0)))))</f>
        <v/>
      </c>
      <c r="O5" s="17">
        <f>IF($A5="","",IF($C5="Monthly",$B5/12,IF(AND($C5="Quarterly",MOD(12,3)=0),$B5/4,IF(AND($C5="Semi-Annual",OR(12=6,12=12)),$B5/2,IF(AND($C5="Annual",12=12),$B5,0)))))</f>
        <v/>
      </c>
    </row>
    <row r="6">
      <c r="A6" s="26">
        <f>IF(Holdings!A6="","",Holdings!A6)</f>
        <v/>
      </c>
      <c r="B6" s="21">
        <f>IF(Holdings!A6="","",Holdings!M6)</f>
        <v/>
      </c>
      <c r="C6" s="18">
        <f>IF(Holdings!A6="","",Holdings!L6)</f>
        <v/>
      </c>
      <c r="D6" s="21">
        <f>IF($A6="","",IF($C6="Monthly",$B6/12,IF(AND($C6="Quarterly",MOD(1,3)=0),$B6/4,IF(AND($C6="Semi-Annual",OR(1=6,1=12)),$B6/2,IF(AND($C6="Annual",1=12),$B6,0)))))</f>
        <v/>
      </c>
      <c r="E6" s="21">
        <f>IF($A6="","",IF($C6="Monthly",$B6/12,IF(AND($C6="Quarterly",MOD(2,3)=0),$B6/4,IF(AND($C6="Semi-Annual",OR(2=6,2=12)),$B6/2,IF(AND($C6="Annual",2=12),$B6,0)))))</f>
        <v/>
      </c>
      <c r="F6" s="21">
        <f>IF($A6="","",IF($C6="Monthly",$B6/12,IF(AND($C6="Quarterly",MOD(3,3)=0),$B6/4,IF(AND($C6="Semi-Annual",OR(3=6,3=12)),$B6/2,IF(AND($C6="Annual",3=12),$B6,0)))))</f>
        <v/>
      </c>
      <c r="G6" s="21">
        <f>IF($A6="","",IF($C6="Monthly",$B6/12,IF(AND($C6="Quarterly",MOD(4,3)=0),$B6/4,IF(AND($C6="Semi-Annual",OR(4=6,4=12)),$B6/2,IF(AND($C6="Annual",4=12),$B6,0)))))</f>
        <v/>
      </c>
      <c r="H6" s="21">
        <f>IF($A6="","",IF($C6="Monthly",$B6/12,IF(AND($C6="Quarterly",MOD(5,3)=0),$B6/4,IF(AND($C6="Semi-Annual",OR(5=6,5=12)),$B6/2,IF(AND($C6="Annual",5=12),$B6,0)))))</f>
        <v/>
      </c>
      <c r="I6" s="21">
        <f>IF($A6="","",IF($C6="Monthly",$B6/12,IF(AND($C6="Quarterly",MOD(6,3)=0),$B6/4,IF(AND($C6="Semi-Annual",OR(6=6,6=12)),$B6/2,IF(AND($C6="Annual",6=12),$B6,0)))))</f>
        <v/>
      </c>
      <c r="J6" s="21">
        <f>IF($A6="","",IF($C6="Monthly",$B6/12,IF(AND($C6="Quarterly",MOD(7,3)=0),$B6/4,IF(AND($C6="Semi-Annual",OR(7=6,7=12)),$B6/2,IF(AND($C6="Annual",7=12),$B6,0)))))</f>
        <v/>
      </c>
      <c r="K6" s="21">
        <f>IF($A6="","",IF($C6="Monthly",$B6/12,IF(AND($C6="Quarterly",MOD(8,3)=0),$B6/4,IF(AND($C6="Semi-Annual",OR(8=6,8=12)),$B6/2,IF(AND($C6="Annual",8=12),$B6,0)))))</f>
        <v/>
      </c>
      <c r="L6" s="21">
        <f>IF($A6="","",IF($C6="Monthly",$B6/12,IF(AND($C6="Quarterly",MOD(9,3)=0),$B6/4,IF(AND($C6="Semi-Annual",OR(9=6,9=12)),$B6/2,IF(AND($C6="Annual",9=12),$B6,0)))))</f>
        <v/>
      </c>
      <c r="M6" s="21">
        <f>IF($A6="","",IF($C6="Monthly",$B6/12,IF(AND($C6="Quarterly",MOD(10,3)=0),$B6/4,IF(AND($C6="Semi-Annual",OR(10=6,10=12)),$B6/2,IF(AND($C6="Annual",10=12),$B6,0)))))</f>
        <v/>
      </c>
      <c r="N6" s="21">
        <f>IF($A6="","",IF($C6="Monthly",$B6/12,IF(AND($C6="Quarterly",MOD(11,3)=0),$B6/4,IF(AND($C6="Semi-Annual",OR(11=6,11=12)),$B6/2,IF(AND($C6="Annual",11=12),$B6,0)))))</f>
        <v/>
      </c>
      <c r="O6" s="21">
        <f>IF($A6="","",IF($C6="Monthly",$B6/12,IF(AND($C6="Quarterly",MOD(12,3)=0),$B6/4,IF(AND($C6="Semi-Annual",OR(12=6,12=12)),$B6/2,IF(AND($C6="Annual",12=12),$B6,0)))))</f>
        <v/>
      </c>
    </row>
    <row r="7">
      <c r="A7" s="22">
        <f>IF(Holdings!A7="","",Holdings!A7)</f>
        <v/>
      </c>
      <c r="B7" s="17">
        <f>IF(Holdings!A7="","",Holdings!M7)</f>
        <v/>
      </c>
      <c r="C7" s="14">
        <f>IF(Holdings!A7="","",Holdings!L7)</f>
        <v/>
      </c>
      <c r="D7" s="17">
        <f>IF($A7="","",IF($C7="Monthly",$B7/12,IF(AND($C7="Quarterly",MOD(1,3)=0),$B7/4,IF(AND($C7="Semi-Annual",OR(1=6,1=12)),$B7/2,IF(AND($C7="Annual",1=12),$B7,0)))))</f>
        <v/>
      </c>
      <c r="E7" s="17">
        <f>IF($A7="","",IF($C7="Monthly",$B7/12,IF(AND($C7="Quarterly",MOD(2,3)=0),$B7/4,IF(AND($C7="Semi-Annual",OR(2=6,2=12)),$B7/2,IF(AND($C7="Annual",2=12),$B7,0)))))</f>
        <v/>
      </c>
      <c r="F7" s="17">
        <f>IF($A7="","",IF($C7="Monthly",$B7/12,IF(AND($C7="Quarterly",MOD(3,3)=0),$B7/4,IF(AND($C7="Semi-Annual",OR(3=6,3=12)),$B7/2,IF(AND($C7="Annual",3=12),$B7,0)))))</f>
        <v/>
      </c>
      <c r="G7" s="17">
        <f>IF($A7="","",IF($C7="Monthly",$B7/12,IF(AND($C7="Quarterly",MOD(4,3)=0),$B7/4,IF(AND($C7="Semi-Annual",OR(4=6,4=12)),$B7/2,IF(AND($C7="Annual",4=12),$B7,0)))))</f>
        <v/>
      </c>
      <c r="H7" s="17">
        <f>IF($A7="","",IF($C7="Monthly",$B7/12,IF(AND($C7="Quarterly",MOD(5,3)=0),$B7/4,IF(AND($C7="Semi-Annual",OR(5=6,5=12)),$B7/2,IF(AND($C7="Annual",5=12),$B7,0)))))</f>
        <v/>
      </c>
      <c r="I7" s="17">
        <f>IF($A7="","",IF($C7="Monthly",$B7/12,IF(AND($C7="Quarterly",MOD(6,3)=0),$B7/4,IF(AND($C7="Semi-Annual",OR(6=6,6=12)),$B7/2,IF(AND($C7="Annual",6=12),$B7,0)))))</f>
        <v/>
      </c>
      <c r="J7" s="17">
        <f>IF($A7="","",IF($C7="Monthly",$B7/12,IF(AND($C7="Quarterly",MOD(7,3)=0),$B7/4,IF(AND($C7="Semi-Annual",OR(7=6,7=12)),$B7/2,IF(AND($C7="Annual",7=12),$B7,0)))))</f>
        <v/>
      </c>
      <c r="K7" s="17">
        <f>IF($A7="","",IF($C7="Monthly",$B7/12,IF(AND($C7="Quarterly",MOD(8,3)=0),$B7/4,IF(AND($C7="Semi-Annual",OR(8=6,8=12)),$B7/2,IF(AND($C7="Annual",8=12),$B7,0)))))</f>
        <v/>
      </c>
      <c r="L7" s="17">
        <f>IF($A7="","",IF($C7="Monthly",$B7/12,IF(AND($C7="Quarterly",MOD(9,3)=0),$B7/4,IF(AND($C7="Semi-Annual",OR(9=6,9=12)),$B7/2,IF(AND($C7="Annual",9=12),$B7,0)))))</f>
        <v/>
      </c>
      <c r="M7" s="17">
        <f>IF($A7="","",IF($C7="Monthly",$B7/12,IF(AND($C7="Quarterly",MOD(10,3)=0),$B7/4,IF(AND($C7="Semi-Annual",OR(10=6,10=12)),$B7/2,IF(AND($C7="Annual",10=12),$B7,0)))))</f>
        <v/>
      </c>
      <c r="N7" s="17">
        <f>IF($A7="","",IF($C7="Monthly",$B7/12,IF(AND($C7="Quarterly",MOD(11,3)=0),$B7/4,IF(AND($C7="Semi-Annual",OR(11=6,11=12)),$B7/2,IF(AND($C7="Annual",11=12),$B7,0)))))</f>
        <v/>
      </c>
      <c r="O7" s="17">
        <f>IF($A7="","",IF($C7="Monthly",$B7/12,IF(AND($C7="Quarterly",MOD(12,3)=0),$B7/4,IF(AND($C7="Semi-Annual",OR(12=6,12=12)),$B7/2,IF(AND($C7="Annual",12=12),$B7,0)))))</f>
        <v/>
      </c>
    </row>
    <row r="8">
      <c r="A8" s="26">
        <f>IF(Holdings!A8="","",Holdings!A8)</f>
        <v/>
      </c>
      <c r="B8" s="21">
        <f>IF(Holdings!A8="","",Holdings!M8)</f>
        <v/>
      </c>
      <c r="C8" s="18">
        <f>IF(Holdings!A8="","",Holdings!L8)</f>
        <v/>
      </c>
      <c r="D8" s="21">
        <f>IF($A8="","",IF($C8="Monthly",$B8/12,IF(AND($C8="Quarterly",MOD(1,3)=0),$B8/4,IF(AND($C8="Semi-Annual",OR(1=6,1=12)),$B8/2,IF(AND($C8="Annual",1=12),$B8,0)))))</f>
        <v/>
      </c>
      <c r="E8" s="21">
        <f>IF($A8="","",IF($C8="Monthly",$B8/12,IF(AND($C8="Quarterly",MOD(2,3)=0),$B8/4,IF(AND($C8="Semi-Annual",OR(2=6,2=12)),$B8/2,IF(AND($C8="Annual",2=12),$B8,0)))))</f>
        <v/>
      </c>
      <c r="F8" s="21">
        <f>IF($A8="","",IF($C8="Monthly",$B8/12,IF(AND($C8="Quarterly",MOD(3,3)=0),$B8/4,IF(AND($C8="Semi-Annual",OR(3=6,3=12)),$B8/2,IF(AND($C8="Annual",3=12),$B8,0)))))</f>
        <v/>
      </c>
      <c r="G8" s="21">
        <f>IF($A8="","",IF($C8="Monthly",$B8/12,IF(AND($C8="Quarterly",MOD(4,3)=0),$B8/4,IF(AND($C8="Semi-Annual",OR(4=6,4=12)),$B8/2,IF(AND($C8="Annual",4=12),$B8,0)))))</f>
        <v/>
      </c>
      <c r="H8" s="21">
        <f>IF($A8="","",IF($C8="Monthly",$B8/12,IF(AND($C8="Quarterly",MOD(5,3)=0),$B8/4,IF(AND($C8="Semi-Annual",OR(5=6,5=12)),$B8/2,IF(AND($C8="Annual",5=12),$B8,0)))))</f>
        <v/>
      </c>
      <c r="I8" s="21">
        <f>IF($A8="","",IF($C8="Monthly",$B8/12,IF(AND($C8="Quarterly",MOD(6,3)=0),$B8/4,IF(AND($C8="Semi-Annual",OR(6=6,6=12)),$B8/2,IF(AND($C8="Annual",6=12),$B8,0)))))</f>
        <v/>
      </c>
      <c r="J8" s="21">
        <f>IF($A8="","",IF($C8="Monthly",$B8/12,IF(AND($C8="Quarterly",MOD(7,3)=0),$B8/4,IF(AND($C8="Semi-Annual",OR(7=6,7=12)),$B8/2,IF(AND($C8="Annual",7=12),$B8,0)))))</f>
        <v/>
      </c>
      <c r="K8" s="21">
        <f>IF($A8="","",IF($C8="Monthly",$B8/12,IF(AND($C8="Quarterly",MOD(8,3)=0),$B8/4,IF(AND($C8="Semi-Annual",OR(8=6,8=12)),$B8/2,IF(AND($C8="Annual",8=12),$B8,0)))))</f>
        <v/>
      </c>
      <c r="L8" s="21">
        <f>IF($A8="","",IF($C8="Monthly",$B8/12,IF(AND($C8="Quarterly",MOD(9,3)=0),$B8/4,IF(AND($C8="Semi-Annual",OR(9=6,9=12)),$B8/2,IF(AND($C8="Annual",9=12),$B8,0)))))</f>
        <v/>
      </c>
      <c r="M8" s="21">
        <f>IF($A8="","",IF($C8="Monthly",$B8/12,IF(AND($C8="Quarterly",MOD(10,3)=0),$B8/4,IF(AND($C8="Semi-Annual",OR(10=6,10=12)),$B8/2,IF(AND($C8="Annual",10=12),$B8,0)))))</f>
        <v/>
      </c>
      <c r="N8" s="21">
        <f>IF($A8="","",IF($C8="Monthly",$B8/12,IF(AND($C8="Quarterly",MOD(11,3)=0),$B8/4,IF(AND($C8="Semi-Annual",OR(11=6,11=12)),$B8/2,IF(AND($C8="Annual",11=12),$B8,0)))))</f>
        <v/>
      </c>
      <c r="O8" s="21">
        <f>IF($A8="","",IF($C8="Monthly",$B8/12,IF(AND($C8="Quarterly",MOD(12,3)=0),$B8/4,IF(AND($C8="Semi-Annual",OR(12=6,12=12)),$B8/2,IF(AND($C8="Annual",12=12),$B8,0)))))</f>
        <v/>
      </c>
    </row>
    <row r="9">
      <c r="A9" s="22">
        <f>IF(Holdings!A9="","",Holdings!A9)</f>
        <v/>
      </c>
      <c r="B9" s="17">
        <f>IF(Holdings!A9="","",Holdings!M9)</f>
        <v/>
      </c>
      <c r="C9" s="14">
        <f>IF(Holdings!A9="","",Holdings!L9)</f>
        <v/>
      </c>
      <c r="D9" s="17">
        <f>IF($A9="","",IF($C9="Monthly",$B9/12,IF(AND($C9="Quarterly",MOD(1,3)=0),$B9/4,IF(AND($C9="Semi-Annual",OR(1=6,1=12)),$B9/2,IF(AND($C9="Annual",1=12),$B9,0)))))</f>
        <v/>
      </c>
      <c r="E9" s="17">
        <f>IF($A9="","",IF($C9="Monthly",$B9/12,IF(AND($C9="Quarterly",MOD(2,3)=0),$B9/4,IF(AND($C9="Semi-Annual",OR(2=6,2=12)),$B9/2,IF(AND($C9="Annual",2=12),$B9,0)))))</f>
        <v/>
      </c>
      <c r="F9" s="17">
        <f>IF($A9="","",IF($C9="Monthly",$B9/12,IF(AND($C9="Quarterly",MOD(3,3)=0),$B9/4,IF(AND($C9="Semi-Annual",OR(3=6,3=12)),$B9/2,IF(AND($C9="Annual",3=12),$B9,0)))))</f>
        <v/>
      </c>
      <c r="G9" s="17">
        <f>IF($A9="","",IF($C9="Monthly",$B9/12,IF(AND($C9="Quarterly",MOD(4,3)=0),$B9/4,IF(AND($C9="Semi-Annual",OR(4=6,4=12)),$B9/2,IF(AND($C9="Annual",4=12),$B9,0)))))</f>
        <v/>
      </c>
      <c r="H9" s="17">
        <f>IF($A9="","",IF($C9="Monthly",$B9/12,IF(AND($C9="Quarterly",MOD(5,3)=0),$B9/4,IF(AND($C9="Semi-Annual",OR(5=6,5=12)),$B9/2,IF(AND($C9="Annual",5=12),$B9,0)))))</f>
        <v/>
      </c>
      <c r="I9" s="17">
        <f>IF($A9="","",IF($C9="Monthly",$B9/12,IF(AND($C9="Quarterly",MOD(6,3)=0),$B9/4,IF(AND($C9="Semi-Annual",OR(6=6,6=12)),$B9/2,IF(AND($C9="Annual",6=12),$B9,0)))))</f>
        <v/>
      </c>
      <c r="J9" s="17">
        <f>IF($A9="","",IF($C9="Monthly",$B9/12,IF(AND($C9="Quarterly",MOD(7,3)=0),$B9/4,IF(AND($C9="Semi-Annual",OR(7=6,7=12)),$B9/2,IF(AND($C9="Annual",7=12),$B9,0)))))</f>
        <v/>
      </c>
      <c r="K9" s="17">
        <f>IF($A9="","",IF($C9="Monthly",$B9/12,IF(AND($C9="Quarterly",MOD(8,3)=0),$B9/4,IF(AND($C9="Semi-Annual",OR(8=6,8=12)),$B9/2,IF(AND($C9="Annual",8=12),$B9,0)))))</f>
        <v/>
      </c>
      <c r="L9" s="17">
        <f>IF($A9="","",IF($C9="Monthly",$B9/12,IF(AND($C9="Quarterly",MOD(9,3)=0),$B9/4,IF(AND($C9="Semi-Annual",OR(9=6,9=12)),$B9/2,IF(AND($C9="Annual",9=12),$B9,0)))))</f>
        <v/>
      </c>
      <c r="M9" s="17">
        <f>IF($A9="","",IF($C9="Monthly",$B9/12,IF(AND($C9="Quarterly",MOD(10,3)=0),$B9/4,IF(AND($C9="Semi-Annual",OR(10=6,10=12)),$B9/2,IF(AND($C9="Annual",10=12),$B9,0)))))</f>
        <v/>
      </c>
      <c r="N9" s="17">
        <f>IF($A9="","",IF($C9="Monthly",$B9/12,IF(AND($C9="Quarterly",MOD(11,3)=0),$B9/4,IF(AND($C9="Semi-Annual",OR(11=6,11=12)),$B9/2,IF(AND($C9="Annual",11=12),$B9,0)))))</f>
        <v/>
      </c>
      <c r="O9" s="17">
        <f>IF($A9="","",IF($C9="Monthly",$B9/12,IF(AND($C9="Quarterly",MOD(12,3)=0),$B9/4,IF(AND($C9="Semi-Annual",OR(12=6,12=12)),$B9/2,IF(AND($C9="Annual",12=12),$B9,0)))))</f>
        <v/>
      </c>
    </row>
    <row r="10">
      <c r="A10" s="26">
        <f>IF(Holdings!A10="","",Holdings!A10)</f>
        <v/>
      </c>
      <c r="B10" s="21">
        <f>IF(Holdings!A10="","",Holdings!M10)</f>
        <v/>
      </c>
      <c r="C10" s="18">
        <f>IF(Holdings!A10="","",Holdings!L10)</f>
        <v/>
      </c>
      <c r="D10" s="21">
        <f>IF($A10="","",IF($C10="Monthly",$B10/12,IF(AND($C10="Quarterly",MOD(1,3)=0),$B10/4,IF(AND($C10="Semi-Annual",OR(1=6,1=12)),$B10/2,IF(AND($C10="Annual",1=12),$B10,0)))))</f>
        <v/>
      </c>
      <c r="E10" s="21">
        <f>IF($A10="","",IF($C10="Monthly",$B10/12,IF(AND($C10="Quarterly",MOD(2,3)=0),$B10/4,IF(AND($C10="Semi-Annual",OR(2=6,2=12)),$B10/2,IF(AND($C10="Annual",2=12),$B10,0)))))</f>
        <v/>
      </c>
      <c r="F10" s="21">
        <f>IF($A10="","",IF($C10="Monthly",$B10/12,IF(AND($C10="Quarterly",MOD(3,3)=0),$B10/4,IF(AND($C10="Semi-Annual",OR(3=6,3=12)),$B10/2,IF(AND($C10="Annual",3=12),$B10,0)))))</f>
        <v/>
      </c>
      <c r="G10" s="21">
        <f>IF($A10="","",IF($C10="Monthly",$B10/12,IF(AND($C10="Quarterly",MOD(4,3)=0),$B10/4,IF(AND($C10="Semi-Annual",OR(4=6,4=12)),$B10/2,IF(AND($C10="Annual",4=12),$B10,0)))))</f>
        <v/>
      </c>
      <c r="H10" s="21">
        <f>IF($A10="","",IF($C10="Monthly",$B10/12,IF(AND($C10="Quarterly",MOD(5,3)=0),$B10/4,IF(AND($C10="Semi-Annual",OR(5=6,5=12)),$B10/2,IF(AND($C10="Annual",5=12),$B10,0)))))</f>
        <v/>
      </c>
      <c r="I10" s="21">
        <f>IF($A10="","",IF($C10="Monthly",$B10/12,IF(AND($C10="Quarterly",MOD(6,3)=0),$B10/4,IF(AND($C10="Semi-Annual",OR(6=6,6=12)),$B10/2,IF(AND($C10="Annual",6=12),$B10,0)))))</f>
        <v/>
      </c>
      <c r="J10" s="21">
        <f>IF($A10="","",IF($C10="Monthly",$B10/12,IF(AND($C10="Quarterly",MOD(7,3)=0),$B10/4,IF(AND($C10="Semi-Annual",OR(7=6,7=12)),$B10/2,IF(AND($C10="Annual",7=12),$B10,0)))))</f>
        <v/>
      </c>
      <c r="K10" s="21">
        <f>IF($A10="","",IF($C10="Monthly",$B10/12,IF(AND($C10="Quarterly",MOD(8,3)=0),$B10/4,IF(AND($C10="Semi-Annual",OR(8=6,8=12)),$B10/2,IF(AND($C10="Annual",8=12),$B10,0)))))</f>
        <v/>
      </c>
      <c r="L10" s="21">
        <f>IF($A10="","",IF($C10="Monthly",$B10/12,IF(AND($C10="Quarterly",MOD(9,3)=0),$B10/4,IF(AND($C10="Semi-Annual",OR(9=6,9=12)),$B10/2,IF(AND($C10="Annual",9=12),$B10,0)))))</f>
        <v/>
      </c>
      <c r="M10" s="21">
        <f>IF($A10="","",IF($C10="Monthly",$B10/12,IF(AND($C10="Quarterly",MOD(10,3)=0),$B10/4,IF(AND($C10="Semi-Annual",OR(10=6,10=12)),$B10/2,IF(AND($C10="Annual",10=12),$B10,0)))))</f>
        <v/>
      </c>
      <c r="N10" s="21">
        <f>IF($A10="","",IF($C10="Monthly",$B10/12,IF(AND($C10="Quarterly",MOD(11,3)=0),$B10/4,IF(AND($C10="Semi-Annual",OR(11=6,11=12)),$B10/2,IF(AND($C10="Annual",11=12),$B10,0)))))</f>
        <v/>
      </c>
      <c r="O10" s="21">
        <f>IF($A10="","",IF($C10="Monthly",$B10/12,IF(AND($C10="Quarterly",MOD(12,3)=0),$B10/4,IF(AND($C10="Semi-Annual",OR(12=6,12=12)),$B10/2,IF(AND($C10="Annual",12=12),$B10,0)))))</f>
        <v/>
      </c>
    </row>
    <row r="11">
      <c r="A11" s="22">
        <f>IF(Holdings!A11="","",Holdings!A11)</f>
        <v/>
      </c>
      <c r="B11" s="17">
        <f>IF(Holdings!A11="","",Holdings!M11)</f>
        <v/>
      </c>
      <c r="C11" s="14">
        <f>IF(Holdings!A11="","",Holdings!L11)</f>
        <v/>
      </c>
      <c r="D11" s="17">
        <f>IF($A11="","",IF($C11="Monthly",$B11/12,IF(AND($C11="Quarterly",MOD(1,3)=0),$B11/4,IF(AND($C11="Semi-Annual",OR(1=6,1=12)),$B11/2,IF(AND($C11="Annual",1=12),$B11,0)))))</f>
        <v/>
      </c>
      <c r="E11" s="17">
        <f>IF($A11="","",IF($C11="Monthly",$B11/12,IF(AND($C11="Quarterly",MOD(2,3)=0),$B11/4,IF(AND($C11="Semi-Annual",OR(2=6,2=12)),$B11/2,IF(AND($C11="Annual",2=12),$B11,0)))))</f>
        <v/>
      </c>
      <c r="F11" s="17">
        <f>IF($A11="","",IF($C11="Monthly",$B11/12,IF(AND($C11="Quarterly",MOD(3,3)=0),$B11/4,IF(AND($C11="Semi-Annual",OR(3=6,3=12)),$B11/2,IF(AND($C11="Annual",3=12),$B11,0)))))</f>
        <v/>
      </c>
      <c r="G11" s="17">
        <f>IF($A11="","",IF($C11="Monthly",$B11/12,IF(AND($C11="Quarterly",MOD(4,3)=0),$B11/4,IF(AND($C11="Semi-Annual",OR(4=6,4=12)),$B11/2,IF(AND($C11="Annual",4=12),$B11,0)))))</f>
        <v/>
      </c>
      <c r="H11" s="17">
        <f>IF($A11="","",IF($C11="Monthly",$B11/12,IF(AND($C11="Quarterly",MOD(5,3)=0),$B11/4,IF(AND($C11="Semi-Annual",OR(5=6,5=12)),$B11/2,IF(AND($C11="Annual",5=12),$B11,0)))))</f>
        <v/>
      </c>
      <c r="I11" s="17">
        <f>IF($A11="","",IF($C11="Monthly",$B11/12,IF(AND($C11="Quarterly",MOD(6,3)=0),$B11/4,IF(AND($C11="Semi-Annual",OR(6=6,6=12)),$B11/2,IF(AND($C11="Annual",6=12),$B11,0)))))</f>
        <v/>
      </c>
      <c r="J11" s="17">
        <f>IF($A11="","",IF($C11="Monthly",$B11/12,IF(AND($C11="Quarterly",MOD(7,3)=0),$B11/4,IF(AND($C11="Semi-Annual",OR(7=6,7=12)),$B11/2,IF(AND($C11="Annual",7=12),$B11,0)))))</f>
        <v/>
      </c>
      <c r="K11" s="17">
        <f>IF($A11="","",IF($C11="Monthly",$B11/12,IF(AND($C11="Quarterly",MOD(8,3)=0),$B11/4,IF(AND($C11="Semi-Annual",OR(8=6,8=12)),$B11/2,IF(AND($C11="Annual",8=12),$B11,0)))))</f>
        <v/>
      </c>
      <c r="L11" s="17">
        <f>IF($A11="","",IF($C11="Monthly",$B11/12,IF(AND($C11="Quarterly",MOD(9,3)=0),$B11/4,IF(AND($C11="Semi-Annual",OR(9=6,9=12)),$B11/2,IF(AND($C11="Annual",9=12),$B11,0)))))</f>
        <v/>
      </c>
      <c r="M11" s="17">
        <f>IF($A11="","",IF($C11="Monthly",$B11/12,IF(AND($C11="Quarterly",MOD(10,3)=0),$B11/4,IF(AND($C11="Semi-Annual",OR(10=6,10=12)),$B11/2,IF(AND($C11="Annual",10=12),$B11,0)))))</f>
        <v/>
      </c>
      <c r="N11" s="17">
        <f>IF($A11="","",IF($C11="Monthly",$B11/12,IF(AND($C11="Quarterly",MOD(11,3)=0),$B11/4,IF(AND($C11="Semi-Annual",OR(11=6,11=12)),$B11/2,IF(AND($C11="Annual",11=12),$B11,0)))))</f>
        <v/>
      </c>
      <c r="O11" s="17">
        <f>IF($A11="","",IF($C11="Monthly",$B11/12,IF(AND($C11="Quarterly",MOD(12,3)=0),$B11/4,IF(AND($C11="Semi-Annual",OR(12=6,12=12)),$B11/2,IF(AND($C11="Annual",12=12),$B11,0)))))</f>
        <v/>
      </c>
    </row>
    <row r="12">
      <c r="A12" s="26">
        <f>IF(Holdings!A12="","",Holdings!A12)</f>
        <v/>
      </c>
      <c r="B12" s="21">
        <f>IF(Holdings!A12="","",Holdings!M12)</f>
        <v/>
      </c>
      <c r="C12" s="18">
        <f>IF(Holdings!A12="","",Holdings!L12)</f>
        <v/>
      </c>
      <c r="D12" s="21">
        <f>IF($A12="","",IF($C12="Monthly",$B12/12,IF(AND($C12="Quarterly",MOD(1,3)=0),$B12/4,IF(AND($C12="Semi-Annual",OR(1=6,1=12)),$B12/2,IF(AND($C12="Annual",1=12),$B12,0)))))</f>
        <v/>
      </c>
      <c r="E12" s="21">
        <f>IF($A12="","",IF($C12="Monthly",$B12/12,IF(AND($C12="Quarterly",MOD(2,3)=0),$B12/4,IF(AND($C12="Semi-Annual",OR(2=6,2=12)),$B12/2,IF(AND($C12="Annual",2=12),$B12,0)))))</f>
        <v/>
      </c>
      <c r="F12" s="21">
        <f>IF($A12="","",IF($C12="Monthly",$B12/12,IF(AND($C12="Quarterly",MOD(3,3)=0),$B12/4,IF(AND($C12="Semi-Annual",OR(3=6,3=12)),$B12/2,IF(AND($C12="Annual",3=12),$B12,0)))))</f>
        <v/>
      </c>
      <c r="G12" s="21">
        <f>IF($A12="","",IF($C12="Monthly",$B12/12,IF(AND($C12="Quarterly",MOD(4,3)=0),$B12/4,IF(AND($C12="Semi-Annual",OR(4=6,4=12)),$B12/2,IF(AND($C12="Annual",4=12),$B12,0)))))</f>
        <v/>
      </c>
      <c r="H12" s="21">
        <f>IF($A12="","",IF($C12="Monthly",$B12/12,IF(AND($C12="Quarterly",MOD(5,3)=0),$B12/4,IF(AND($C12="Semi-Annual",OR(5=6,5=12)),$B12/2,IF(AND($C12="Annual",5=12),$B12,0)))))</f>
        <v/>
      </c>
      <c r="I12" s="21">
        <f>IF($A12="","",IF($C12="Monthly",$B12/12,IF(AND($C12="Quarterly",MOD(6,3)=0),$B12/4,IF(AND($C12="Semi-Annual",OR(6=6,6=12)),$B12/2,IF(AND($C12="Annual",6=12),$B12,0)))))</f>
        <v/>
      </c>
      <c r="J12" s="21">
        <f>IF($A12="","",IF($C12="Monthly",$B12/12,IF(AND($C12="Quarterly",MOD(7,3)=0),$B12/4,IF(AND($C12="Semi-Annual",OR(7=6,7=12)),$B12/2,IF(AND($C12="Annual",7=12),$B12,0)))))</f>
        <v/>
      </c>
      <c r="K12" s="21">
        <f>IF($A12="","",IF($C12="Monthly",$B12/12,IF(AND($C12="Quarterly",MOD(8,3)=0),$B12/4,IF(AND($C12="Semi-Annual",OR(8=6,8=12)),$B12/2,IF(AND($C12="Annual",8=12),$B12,0)))))</f>
        <v/>
      </c>
      <c r="L12" s="21">
        <f>IF($A12="","",IF($C12="Monthly",$B12/12,IF(AND($C12="Quarterly",MOD(9,3)=0),$B12/4,IF(AND($C12="Semi-Annual",OR(9=6,9=12)),$B12/2,IF(AND($C12="Annual",9=12),$B12,0)))))</f>
        <v/>
      </c>
      <c r="M12" s="21">
        <f>IF($A12="","",IF($C12="Monthly",$B12/12,IF(AND($C12="Quarterly",MOD(10,3)=0),$B12/4,IF(AND($C12="Semi-Annual",OR(10=6,10=12)),$B12/2,IF(AND($C12="Annual",10=12),$B12,0)))))</f>
        <v/>
      </c>
      <c r="N12" s="21">
        <f>IF($A12="","",IF($C12="Monthly",$B12/12,IF(AND($C12="Quarterly",MOD(11,3)=0),$B12/4,IF(AND($C12="Semi-Annual",OR(11=6,11=12)),$B12/2,IF(AND($C12="Annual",11=12),$B12,0)))))</f>
        <v/>
      </c>
      <c r="O12" s="21">
        <f>IF($A12="","",IF($C12="Monthly",$B12/12,IF(AND($C12="Quarterly",MOD(12,3)=0),$B12/4,IF(AND($C12="Semi-Annual",OR(12=6,12=12)),$B12/2,IF(AND($C12="Annual",12=12),$B12,0)))))</f>
        <v/>
      </c>
    </row>
    <row r="13">
      <c r="A13" s="22">
        <f>IF(Holdings!A13="","",Holdings!A13)</f>
        <v/>
      </c>
      <c r="B13" s="17">
        <f>IF(Holdings!A13="","",Holdings!M13)</f>
        <v/>
      </c>
      <c r="C13" s="14">
        <f>IF(Holdings!A13="","",Holdings!L13)</f>
        <v/>
      </c>
      <c r="D13" s="17">
        <f>IF($A13="","",IF($C13="Monthly",$B13/12,IF(AND($C13="Quarterly",MOD(1,3)=0),$B13/4,IF(AND($C13="Semi-Annual",OR(1=6,1=12)),$B13/2,IF(AND($C13="Annual",1=12),$B13,0)))))</f>
        <v/>
      </c>
      <c r="E13" s="17">
        <f>IF($A13="","",IF($C13="Monthly",$B13/12,IF(AND($C13="Quarterly",MOD(2,3)=0),$B13/4,IF(AND($C13="Semi-Annual",OR(2=6,2=12)),$B13/2,IF(AND($C13="Annual",2=12),$B13,0)))))</f>
        <v/>
      </c>
      <c r="F13" s="17">
        <f>IF($A13="","",IF($C13="Monthly",$B13/12,IF(AND($C13="Quarterly",MOD(3,3)=0),$B13/4,IF(AND($C13="Semi-Annual",OR(3=6,3=12)),$B13/2,IF(AND($C13="Annual",3=12),$B13,0)))))</f>
        <v/>
      </c>
      <c r="G13" s="17">
        <f>IF($A13="","",IF($C13="Monthly",$B13/12,IF(AND($C13="Quarterly",MOD(4,3)=0),$B13/4,IF(AND($C13="Semi-Annual",OR(4=6,4=12)),$B13/2,IF(AND($C13="Annual",4=12),$B13,0)))))</f>
        <v/>
      </c>
      <c r="H13" s="17">
        <f>IF($A13="","",IF($C13="Monthly",$B13/12,IF(AND($C13="Quarterly",MOD(5,3)=0),$B13/4,IF(AND($C13="Semi-Annual",OR(5=6,5=12)),$B13/2,IF(AND($C13="Annual",5=12),$B13,0)))))</f>
        <v/>
      </c>
      <c r="I13" s="17">
        <f>IF($A13="","",IF($C13="Monthly",$B13/12,IF(AND($C13="Quarterly",MOD(6,3)=0),$B13/4,IF(AND($C13="Semi-Annual",OR(6=6,6=12)),$B13/2,IF(AND($C13="Annual",6=12),$B13,0)))))</f>
        <v/>
      </c>
      <c r="J13" s="17">
        <f>IF($A13="","",IF($C13="Monthly",$B13/12,IF(AND($C13="Quarterly",MOD(7,3)=0),$B13/4,IF(AND($C13="Semi-Annual",OR(7=6,7=12)),$B13/2,IF(AND($C13="Annual",7=12),$B13,0)))))</f>
        <v/>
      </c>
      <c r="K13" s="17">
        <f>IF($A13="","",IF($C13="Monthly",$B13/12,IF(AND($C13="Quarterly",MOD(8,3)=0),$B13/4,IF(AND($C13="Semi-Annual",OR(8=6,8=12)),$B13/2,IF(AND($C13="Annual",8=12),$B13,0)))))</f>
        <v/>
      </c>
      <c r="L13" s="17">
        <f>IF($A13="","",IF($C13="Monthly",$B13/12,IF(AND($C13="Quarterly",MOD(9,3)=0),$B13/4,IF(AND($C13="Semi-Annual",OR(9=6,9=12)),$B13/2,IF(AND($C13="Annual",9=12),$B13,0)))))</f>
        <v/>
      </c>
      <c r="M13" s="17">
        <f>IF($A13="","",IF($C13="Monthly",$B13/12,IF(AND($C13="Quarterly",MOD(10,3)=0),$B13/4,IF(AND($C13="Semi-Annual",OR(10=6,10=12)),$B13/2,IF(AND($C13="Annual",10=12),$B13,0)))))</f>
        <v/>
      </c>
      <c r="N13" s="17">
        <f>IF($A13="","",IF($C13="Monthly",$B13/12,IF(AND($C13="Quarterly",MOD(11,3)=0),$B13/4,IF(AND($C13="Semi-Annual",OR(11=6,11=12)),$B13/2,IF(AND($C13="Annual",11=12),$B13,0)))))</f>
        <v/>
      </c>
      <c r="O13" s="17">
        <f>IF($A13="","",IF($C13="Monthly",$B13/12,IF(AND($C13="Quarterly",MOD(12,3)=0),$B13/4,IF(AND($C13="Semi-Annual",OR(12=6,12=12)),$B13/2,IF(AND($C13="Annual",12=12),$B13,0)))))</f>
        <v/>
      </c>
    </row>
    <row r="14">
      <c r="A14" s="26">
        <f>IF(Holdings!A14="","",Holdings!A14)</f>
        <v/>
      </c>
      <c r="B14" s="21">
        <f>IF(Holdings!A14="","",Holdings!M14)</f>
        <v/>
      </c>
      <c r="C14" s="18">
        <f>IF(Holdings!A14="","",Holdings!L14)</f>
        <v/>
      </c>
      <c r="D14" s="21">
        <f>IF($A14="","",IF($C14="Monthly",$B14/12,IF(AND($C14="Quarterly",MOD(1,3)=0),$B14/4,IF(AND($C14="Semi-Annual",OR(1=6,1=12)),$B14/2,IF(AND($C14="Annual",1=12),$B14,0)))))</f>
        <v/>
      </c>
      <c r="E14" s="21">
        <f>IF($A14="","",IF($C14="Monthly",$B14/12,IF(AND($C14="Quarterly",MOD(2,3)=0),$B14/4,IF(AND($C14="Semi-Annual",OR(2=6,2=12)),$B14/2,IF(AND($C14="Annual",2=12),$B14,0)))))</f>
        <v/>
      </c>
      <c r="F14" s="21">
        <f>IF($A14="","",IF($C14="Monthly",$B14/12,IF(AND($C14="Quarterly",MOD(3,3)=0),$B14/4,IF(AND($C14="Semi-Annual",OR(3=6,3=12)),$B14/2,IF(AND($C14="Annual",3=12),$B14,0)))))</f>
        <v/>
      </c>
      <c r="G14" s="21">
        <f>IF($A14="","",IF($C14="Monthly",$B14/12,IF(AND($C14="Quarterly",MOD(4,3)=0),$B14/4,IF(AND($C14="Semi-Annual",OR(4=6,4=12)),$B14/2,IF(AND($C14="Annual",4=12),$B14,0)))))</f>
        <v/>
      </c>
      <c r="H14" s="21">
        <f>IF($A14="","",IF($C14="Monthly",$B14/12,IF(AND($C14="Quarterly",MOD(5,3)=0),$B14/4,IF(AND($C14="Semi-Annual",OR(5=6,5=12)),$B14/2,IF(AND($C14="Annual",5=12),$B14,0)))))</f>
        <v/>
      </c>
      <c r="I14" s="21">
        <f>IF($A14="","",IF($C14="Monthly",$B14/12,IF(AND($C14="Quarterly",MOD(6,3)=0),$B14/4,IF(AND($C14="Semi-Annual",OR(6=6,6=12)),$B14/2,IF(AND($C14="Annual",6=12),$B14,0)))))</f>
        <v/>
      </c>
      <c r="J14" s="21">
        <f>IF($A14="","",IF($C14="Monthly",$B14/12,IF(AND($C14="Quarterly",MOD(7,3)=0),$B14/4,IF(AND($C14="Semi-Annual",OR(7=6,7=12)),$B14/2,IF(AND($C14="Annual",7=12),$B14,0)))))</f>
        <v/>
      </c>
      <c r="K14" s="21">
        <f>IF($A14="","",IF($C14="Monthly",$B14/12,IF(AND($C14="Quarterly",MOD(8,3)=0),$B14/4,IF(AND($C14="Semi-Annual",OR(8=6,8=12)),$B14/2,IF(AND($C14="Annual",8=12),$B14,0)))))</f>
        <v/>
      </c>
      <c r="L14" s="21">
        <f>IF($A14="","",IF($C14="Monthly",$B14/12,IF(AND($C14="Quarterly",MOD(9,3)=0),$B14/4,IF(AND($C14="Semi-Annual",OR(9=6,9=12)),$B14/2,IF(AND($C14="Annual",9=12),$B14,0)))))</f>
        <v/>
      </c>
      <c r="M14" s="21">
        <f>IF($A14="","",IF($C14="Monthly",$B14/12,IF(AND($C14="Quarterly",MOD(10,3)=0),$B14/4,IF(AND($C14="Semi-Annual",OR(10=6,10=12)),$B14/2,IF(AND($C14="Annual",10=12),$B14,0)))))</f>
        <v/>
      </c>
      <c r="N14" s="21">
        <f>IF($A14="","",IF($C14="Monthly",$B14/12,IF(AND($C14="Quarterly",MOD(11,3)=0),$B14/4,IF(AND($C14="Semi-Annual",OR(11=6,11=12)),$B14/2,IF(AND($C14="Annual",11=12),$B14,0)))))</f>
        <v/>
      </c>
      <c r="O14" s="21">
        <f>IF($A14="","",IF($C14="Monthly",$B14/12,IF(AND($C14="Quarterly",MOD(12,3)=0),$B14/4,IF(AND($C14="Semi-Annual",OR(12=6,12=12)),$B14/2,IF(AND($C14="Annual",12=12),$B14,0)))))</f>
        <v/>
      </c>
    </row>
    <row r="15">
      <c r="A15" s="22">
        <f>IF(Holdings!A15="","",Holdings!A15)</f>
        <v/>
      </c>
      <c r="B15" s="17">
        <f>IF(Holdings!A15="","",Holdings!M15)</f>
        <v/>
      </c>
      <c r="C15" s="14">
        <f>IF(Holdings!A15="","",Holdings!L15)</f>
        <v/>
      </c>
      <c r="D15" s="17">
        <f>IF($A15="","",IF($C15="Monthly",$B15/12,IF(AND($C15="Quarterly",MOD(1,3)=0),$B15/4,IF(AND($C15="Semi-Annual",OR(1=6,1=12)),$B15/2,IF(AND($C15="Annual",1=12),$B15,0)))))</f>
        <v/>
      </c>
      <c r="E15" s="17">
        <f>IF($A15="","",IF($C15="Monthly",$B15/12,IF(AND($C15="Quarterly",MOD(2,3)=0),$B15/4,IF(AND($C15="Semi-Annual",OR(2=6,2=12)),$B15/2,IF(AND($C15="Annual",2=12),$B15,0)))))</f>
        <v/>
      </c>
      <c r="F15" s="17">
        <f>IF($A15="","",IF($C15="Monthly",$B15/12,IF(AND($C15="Quarterly",MOD(3,3)=0),$B15/4,IF(AND($C15="Semi-Annual",OR(3=6,3=12)),$B15/2,IF(AND($C15="Annual",3=12),$B15,0)))))</f>
        <v/>
      </c>
      <c r="G15" s="17">
        <f>IF($A15="","",IF($C15="Monthly",$B15/12,IF(AND($C15="Quarterly",MOD(4,3)=0),$B15/4,IF(AND($C15="Semi-Annual",OR(4=6,4=12)),$B15/2,IF(AND($C15="Annual",4=12),$B15,0)))))</f>
        <v/>
      </c>
      <c r="H15" s="17">
        <f>IF($A15="","",IF($C15="Monthly",$B15/12,IF(AND($C15="Quarterly",MOD(5,3)=0),$B15/4,IF(AND($C15="Semi-Annual",OR(5=6,5=12)),$B15/2,IF(AND($C15="Annual",5=12),$B15,0)))))</f>
        <v/>
      </c>
      <c r="I15" s="17">
        <f>IF($A15="","",IF($C15="Monthly",$B15/12,IF(AND($C15="Quarterly",MOD(6,3)=0),$B15/4,IF(AND($C15="Semi-Annual",OR(6=6,6=12)),$B15/2,IF(AND($C15="Annual",6=12),$B15,0)))))</f>
        <v/>
      </c>
      <c r="J15" s="17">
        <f>IF($A15="","",IF($C15="Monthly",$B15/12,IF(AND($C15="Quarterly",MOD(7,3)=0),$B15/4,IF(AND($C15="Semi-Annual",OR(7=6,7=12)),$B15/2,IF(AND($C15="Annual",7=12),$B15,0)))))</f>
        <v/>
      </c>
      <c r="K15" s="17">
        <f>IF($A15="","",IF($C15="Monthly",$B15/12,IF(AND($C15="Quarterly",MOD(8,3)=0),$B15/4,IF(AND($C15="Semi-Annual",OR(8=6,8=12)),$B15/2,IF(AND($C15="Annual",8=12),$B15,0)))))</f>
        <v/>
      </c>
      <c r="L15" s="17">
        <f>IF($A15="","",IF($C15="Monthly",$B15/12,IF(AND($C15="Quarterly",MOD(9,3)=0),$B15/4,IF(AND($C15="Semi-Annual",OR(9=6,9=12)),$B15/2,IF(AND($C15="Annual",9=12),$B15,0)))))</f>
        <v/>
      </c>
      <c r="M15" s="17">
        <f>IF($A15="","",IF($C15="Monthly",$B15/12,IF(AND($C15="Quarterly",MOD(10,3)=0),$B15/4,IF(AND($C15="Semi-Annual",OR(10=6,10=12)),$B15/2,IF(AND($C15="Annual",10=12),$B15,0)))))</f>
        <v/>
      </c>
      <c r="N15" s="17">
        <f>IF($A15="","",IF($C15="Monthly",$B15/12,IF(AND($C15="Quarterly",MOD(11,3)=0),$B15/4,IF(AND($C15="Semi-Annual",OR(11=6,11=12)),$B15/2,IF(AND($C15="Annual",11=12),$B15,0)))))</f>
        <v/>
      </c>
      <c r="O15" s="17">
        <f>IF($A15="","",IF($C15="Monthly",$B15/12,IF(AND($C15="Quarterly",MOD(12,3)=0),$B15/4,IF(AND($C15="Semi-Annual",OR(12=6,12=12)),$B15/2,IF(AND($C15="Annual",12=12),$B15,0)))))</f>
        <v/>
      </c>
    </row>
    <row r="16">
      <c r="A16" s="26">
        <f>IF(Holdings!A16="","",Holdings!A16)</f>
        <v/>
      </c>
      <c r="B16" s="21">
        <f>IF(Holdings!A16="","",Holdings!M16)</f>
        <v/>
      </c>
      <c r="C16" s="18">
        <f>IF(Holdings!A16="","",Holdings!L16)</f>
        <v/>
      </c>
      <c r="D16" s="21">
        <f>IF($A16="","",IF($C16="Monthly",$B16/12,IF(AND($C16="Quarterly",MOD(1,3)=0),$B16/4,IF(AND($C16="Semi-Annual",OR(1=6,1=12)),$B16/2,IF(AND($C16="Annual",1=12),$B16,0)))))</f>
        <v/>
      </c>
      <c r="E16" s="21">
        <f>IF($A16="","",IF($C16="Monthly",$B16/12,IF(AND($C16="Quarterly",MOD(2,3)=0),$B16/4,IF(AND($C16="Semi-Annual",OR(2=6,2=12)),$B16/2,IF(AND($C16="Annual",2=12),$B16,0)))))</f>
        <v/>
      </c>
      <c r="F16" s="21">
        <f>IF($A16="","",IF($C16="Monthly",$B16/12,IF(AND($C16="Quarterly",MOD(3,3)=0),$B16/4,IF(AND($C16="Semi-Annual",OR(3=6,3=12)),$B16/2,IF(AND($C16="Annual",3=12),$B16,0)))))</f>
        <v/>
      </c>
      <c r="G16" s="21">
        <f>IF($A16="","",IF($C16="Monthly",$B16/12,IF(AND($C16="Quarterly",MOD(4,3)=0),$B16/4,IF(AND($C16="Semi-Annual",OR(4=6,4=12)),$B16/2,IF(AND($C16="Annual",4=12),$B16,0)))))</f>
        <v/>
      </c>
      <c r="H16" s="21">
        <f>IF($A16="","",IF($C16="Monthly",$B16/12,IF(AND($C16="Quarterly",MOD(5,3)=0),$B16/4,IF(AND($C16="Semi-Annual",OR(5=6,5=12)),$B16/2,IF(AND($C16="Annual",5=12),$B16,0)))))</f>
        <v/>
      </c>
      <c r="I16" s="21">
        <f>IF($A16="","",IF($C16="Monthly",$B16/12,IF(AND($C16="Quarterly",MOD(6,3)=0),$B16/4,IF(AND($C16="Semi-Annual",OR(6=6,6=12)),$B16/2,IF(AND($C16="Annual",6=12),$B16,0)))))</f>
        <v/>
      </c>
      <c r="J16" s="21">
        <f>IF($A16="","",IF($C16="Monthly",$B16/12,IF(AND($C16="Quarterly",MOD(7,3)=0),$B16/4,IF(AND($C16="Semi-Annual",OR(7=6,7=12)),$B16/2,IF(AND($C16="Annual",7=12),$B16,0)))))</f>
        <v/>
      </c>
      <c r="K16" s="21">
        <f>IF($A16="","",IF($C16="Monthly",$B16/12,IF(AND($C16="Quarterly",MOD(8,3)=0),$B16/4,IF(AND($C16="Semi-Annual",OR(8=6,8=12)),$B16/2,IF(AND($C16="Annual",8=12),$B16,0)))))</f>
        <v/>
      </c>
      <c r="L16" s="21">
        <f>IF($A16="","",IF($C16="Monthly",$B16/12,IF(AND($C16="Quarterly",MOD(9,3)=0),$B16/4,IF(AND($C16="Semi-Annual",OR(9=6,9=12)),$B16/2,IF(AND($C16="Annual",9=12),$B16,0)))))</f>
        <v/>
      </c>
      <c r="M16" s="21">
        <f>IF($A16="","",IF($C16="Monthly",$B16/12,IF(AND($C16="Quarterly",MOD(10,3)=0),$B16/4,IF(AND($C16="Semi-Annual",OR(10=6,10=12)),$B16/2,IF(AND($C16="Annual",10=12),$B16,0)))))</f>
        <v/>
      </c>
      <c r="N16" s="21">
        <f>IF($A16="","",IF($C16="Monthly",$B16/12,IF(AND($C16="Quarterly",MOD(11,3)=0),$B16/4,IF(AND($C16="Semi-Annual",OR(11=6,11=12)),$B16/2,IF(AND($C16="Annual",11=12),$B16,0)))))</f>
        <v/>
      </c>
      <c r="O16" s="21">
        <f>IF($A16="","",IF($C16="Monthly",$B16/12,IF(AND($C16="Quarterly",MOD(12,3)=0),$B16/4,IF(AND($C16="Semi-Annual",OR(12=6,12=12)),$B16/2,IF(AND($C16="Annual",12=12),$B16,0)))))</f>
        <v/>
      </c>
    </row>
    <row r="17">
      <c r="A17" s="22">
        <f>IF(Holdings!A17="","",Holdings!A17)</f>
        <v/>
      </c>
      <c r="B17" s="17">
        <f>IF(Holdings!A17="","",Holdings!M17)</f>
        <v/>
      </c>
      <c r="C17" s="14">
        <f>IF(Holdings!A17="","",Holdings!L17)</f>
        <v/>
      </c>
      <c r="D17" s="17">
        <f>IF($A17="","",IF($C17="Monthly",$B17/12,IF(AND($C17="Quarterly",MOD(1,3)=0),$B17/4,IF(AND($C17="Semi-Annual",OR(1=6,1=12)),$B17/2,IF(AND($C17="Annual",1=12),$B17,0)))))</f>
        <v/>
      </c>
      <c r="E17" s="17">
        <f>IF($A17="","",IF($C17="Monthly",$B17/12,IF(AND($C17="Quarterly",MOD(2,3)=0),$B17/4,IF(AND($C17="Semi-Annual",OR(2=6,2=12)),$B17/2,IF(AND($C17="Annual",2=12),$B17,0)))))</f>
        <v/>
      </c>
      <c r="F17" s="17">
        <f>IF($A17="","",IF($C17="Monthly",$B17/12,IF(AND($C17="Quarterly",MOD(3,3)=0),$B17/4,IF(AND($C17="Semi-Annual",OR(3=6,3=12)),$B17/2,IF(AND($C17="Annual",3=12),$B17,0)))))</f>
        <v/>
      </c>
      <c r="G17" s="17">
        <f>IF($A17="","",IF($C17="Monthly",$B17/12,IF(AND($C17="Quarterly",MOD(4,3)=0),$B17/4,IF(AND($C17="Semi-Annual",OR(4=6,4=12)),$B17/2,IF(AND($C17="Annual",4=12),$B17,0)))))</f>
        <v/>
      </c>
      <c r="H17" s="17">
        <f>IF($A17="","",IF($C17="Monthly",$B17/12,IF(AND($C17="Quarterly",MOD(5,3)=0),$B17/4,IF(AND($C17="Semi-Annual",OR(5=6,5=12)),$B17/2,IF(AND($C17="Annual",5=12),$B17,0)))))</f>
        <v/>
      </c>
      <c r="I17" s="17">
        <f>IF($A17="","",IF($C17="Monthly",$B17/12,IF(AND($C17="Quarterly",MOD(6,3)=0),$B17/4,IF(AND($C17="Semi-Annual",OR(6=6,6=12)),$B17/2,IF(AND($C17="Annual",6=12),$B17,0)))))</f>
        <v/>
      </c>
      <c r="J17" s="17">
        <f>IF($A17="","",IF($C17="Monthly",$B17/12,IF(AND($C17="Quarterly",MOD(7,3)=0),$B17/4,IF(AND($C17="Semi-Annual",OR(7=6,7=12)),$B17/2,IF(AND($C17="Annual",7=12),$B17,0)))))</f>
        <v/>
      </c>
      <c r="K17" s="17">
        <f>IF($A17="","",IF($C17="Monthly",$B17/12,IF(AND($C17="Quarterly",MOD(8,3)=0),$B17/4,IF(AND($C17="Semi-Annual",OR(8=6,8=12)),$B17/2,IF(AND($C17="Annual",8=12),$B17,0)))))</f>
        <v/>
      </c>
      <c r="L17" s="17">
        <f>IF($A17="","",IF($C17="Monthly",$B17/12,IF(AND($C17="Quarterly",MOD(9,3)=0),$B17/4,IF(AND($C17="Semi-Annual",OR(9=6,9=12)),$B17/2,IF(AND($C17="Annual",9=12),$B17,0)))))</f>
        <v/>
      </c>
      <c r="M17" s="17">
        <f>IF($A17="","",IF($C17="Monthly",$B17/12,IF(AND($C17="Quarterly",MOD(10,3)=0),$B17/4,IF(AND($C17="Semi-Annual",OR(10=6,10=12)),$B17/2,IF(AND($C17="Annual",10=12),$B17,0)))))</f>
        <v/>
      </c>
      <c r="N17" s="17">
        <f>IF($A17="","",IF($C17="Monthly",$B17/12,IF(AND($C17="Quarterly",MOD(11,3)=0),$B17/4,IF(AND($C17="Semi-Annual",OR(11=6,11=12)),$B17/2,IF(AND($C17="Annual",11=12),$B17,0)))))</f>
        <v/>
      </c>
      <c r="O17" s="17">
        <f>IF($A17="","",IF($C17="Monthly",$B17/12,IF(AND($C17="Quarterly",MOD(12,3)=0),$B17/4,IF(AND($C17="Semi-Annual",OR(12=6,12=12)),$B17/2,IF(AND($C17="Annual",12=12),$B17,0)))))</f>
        <v/>
      </c>
    </row>
    <row r="18">
      <c r="A18" s="26">
        <f>IF(Holdings!A18="","",Holdings!A18)</f>
        <v/>
      </c>
      <c r="B18" s="21">
        <f>IF(Holdings!A18="","",Holdings!M18)</f>
        <v/>
      </c>
      <c r="C18" s="18">
        <f>IF(Holdings!A18="","",Holdings!L18)</f>
        <v/>
      </c>
      <c r="D18" s="21">
        <f>IF($A18="","",IF($C18="Monthly",$B18/12,IF(AND($C18="Quarterly",MOD(1,3)=0),$B18/4,IF(AND($C18="Semi-Annual",OR(1=6,1=12)),$B18/2,IF(AND($C18="Annual",1=12),$B18,0)))))</f>
        <v/>
      </c>
      <c r="E18" s="21">
        <f>IF($A18="","",IF($C18="Monthly",$B18/12,IF(AND($C18="Quarterly",MOD(2,3)=0),$B18/4,IF(AND($C18="Semi-Annual",OR(2=6,2=12)),$B18/2,IF(AND($C18="Annual",2=12),$B18,0)))))</f>
        <v/>
      </c>
      <c r="F18" s="21">
        <f>IF($A18="","",IF($C18="Monthly",$B18/12,IF(AND($C18="Quarterly",MOD(3,3)=0),$B18/4,IF(AND($C18="Semi-Annual",OR(3=6,3=12)),$B18/2,IF(AND($C18="Annual",3=12),$B18,0)))))</f>
        <v/>
      </c>
      <c r="G18" s="21">
        <f>IF($A18="","",IF($C18="Monthly",$B18/12,IF(AND($C18="Quarterly",MOD(4,3)=0),$B18/4,IF(AND($C18="Semi-Annual",OR(4=6,4=12)),$B18/2,IF(AND($C18="Annual",4=12),$B18,0)))))</f>
        <v/>
      </c>
      <c r="H18" s="21">
        <f>IF($A18="","",IF($C18="Monthly",$B18/12,IF(AND($C18="Quarterly",MOD(5,3)=0),$B18/4,IF(AND($C18="Semi-Annual",OR(5=6,5=12)),$B18/2,IF(AND($C18="Annual",5=12),$B18,0)))))</f>
        <v/>
      </c>
      <c r="I18" s="21">
        <f>IF($A18="","",IF($C18="Monthly",$B18/12,IF(AND($C18="Quarterly",MOD(6,3)=0),$B18/4,IF(AND($C18="Semi-Annual",OR(6=6,6=12)),$B18/2,IF(AND($C18="Annual",6=12),$B18,0)))))</f>
        <v/>
      </c>
      <c r="J18" s="21">
        <f>IF($A18="","",IF($C18="Monthly",$B18/12,IF(AND($C18="Quarterly",MOD(7,3)=0),$B18/4,IF(AND($C18="Semi-Annual",OR(7=6,7=12)),$B18/2,IF(AND($C18="Annual",7=12),$B18,0)))))</f>
        <v/>
      </c>
      <c r="K18" s="21">
        <f>IF($A18="","",IF($C18="Monthly",$B18/12,IF(AND($C18="Quarterly",MOD(8,3)=0),$B18/4,IF(AND($C18="Semi-Annual",OR(8=6,8=12)),$B18/2,IF(AND($C18="Annual",8=12),$B18,0)))))</f>
        <v/>
      </c>
      <c r="L18" s="21">
        <f>IF($A18="","",IF($C18="Monthly",$B18/12,IF(AND($C18="Quarterly",MOD(9,3)=0),$B18/4,IF(AND($C18="Semi-Annual",OR(9=6,9=12)),$B18/2,IF(AND($C18="Annual",9=12),$B18,0)))))</f>
        <v/>
      </c>
      <c r="M18" s="21">
        <f>IF($A18="","",IF($C18="Monthly",$B18/12,IF(AND($C18="Quarterly",MOD(10,3)=0),$B18/4,IF(AND($C18="Semi-Annual",OR(10=6,10=12)),$B18/2,IF(AND($C18="Annual",10=12),$B18,0)))))</f>
        <v/>
      </c>
      <c r="N18" s="21">
        <f>IF($A18="","",IF($C18="Monthly",$B18/12,IF(AND($C18="Quarterly",MOD(11,3)=0),$B18/4,IF(AND($C18="Semi-Annual",OR(11=6,11=12)),$B18/2,IF(AND($C18="Annual",11=12),$B18,0)))))</f>
        <v/>
      </c>
      <c r="O18" s="21">
        <f>IF($A18="","",IF($C18="Monthly",$B18/12,IF(AND($C18="Quarterly",MOD(12,3)=0),$B18/4,IF(AND($C18="Semi-Annual",OR(12=6,12=12)),$B18/2,IF(AND($C18="Annual",12=12),$B18,0)))))</f>
        <v/>
      </c>
    </row>
    <row r="19">
      <c r="A19" s="22">
        <f>IF(Holdings!A19="","",Holdings!A19)</f>
        <v/>
      </c>
      <c r="B19" s="17">
        <f>IF(Holdings!A19="","",Holdings!M19)</f>
        <v/>
      </c>
      <c r="C19" s="14">
        <f>IF(Holdings!A19="","",Holdings!L19)</f>
        <v/>
      </c>
      <c r="D19" s="17">
        <f>IF($A19="","",IF($C19="Monthly",$B19/12,IF(AND($C19="Quarterly",MOD(1,3)=0),$B19/4,IF(AND($C19="Semi-Annual",OR(1=6,1=12)),$B19/2,IF(AND($C19="Annual",1=12),$B19,0)))))</f>
        <v/>
      </c>
      <c r="E19" s="17">
        <f>IF($A19="","",IF($C19="Monthly",$B19/12,IF(AND($C19="Quarterly",MOD(2,3)=0),$B19/4,IF(AND($C19="Semi-Annual",OR(2=6,2=12)),$B19/2,IF(AND($C19="Annual",2=12),$B19,0)))))</f>
        <v/>
      </c>
      <c r="F19" s="17">
        <f>IF($A19="","",IF($C19="Monthly",$B19/12,IF(AND($C19="Quarterly",MOD(3,3)=0),$B19/4,IF(AND($C19="Semi-Annual",OR(3=6,3=12)),$B19/2,IF(AND($C19="Annual",3=12),$B19,0)))))</f>
        <v/>
      </c>
      <c r="G19" s="17">
        <f>IF($A19="","",IF($C19="Monthly",$B19/12,IF(AND($C19="Quarterly",MOD(4,3)=0),$B19/4,IF(AND($C19="Semi-Annual",OR(4=6,4=12)),$B19/2,IF(AND($C19="Annual",4=12),$B19,0)))))</f>
        <v/>
      </c>
      <c r="H19" s="17">
        <f>IF($A19="","",IF($C19="Monthly",$B19/12,IF(AND($C19="Quarterly",MOD(5,3)=0),$B19/4,IF(AND($C19="Semi-Annual",OR(5=6,5=12)),$B19/2,IF(AND($C19="Annual",5=12),$B19,0)))))</f>
        <v/>
      </c>
      <c r="I19" s="17">
        <f>IF($A19="","",IF($C19="Monthly",$B19/12,IF(AND($C19="Quarterly",MOD(6,3)=0),$B19/4,IF(AND($C19="Semi-Annual",OR(6=6,6=12)),$B19/2,IF(AND($C19="Annual",6=12),$B19,0)))))</f>
        <v/>
      </c>
      <c r="J19" s="17">
        <f>IF($A19="","",IF($C19="Monthly",$B19/12,IF(AND($C19="Quarterly",MOD(7,3)=0),$B19/4,IF(AND($C19="Semi-Annual",OR(7=6,7=12)),$B19/2,IF(AND($C19="Annual",7=12),$B19,0)))))</f>
        <v/>
      </c>
      <c r="K19" s="17">
        <f>IF($A19="","",IF($C19="Monthly",$B19/12,IF(AND($C19="Quarterly",MOD(8,3)=0),$B19/4,IF(AND($C19="Semi-Annual",OR(8=6,8=12)),$B19/2,IF(AND($C19="Annual",8=12),$B19,0)))))</f>
        <v/>
      </c>
      <c r="L19" s="17">
        <f>IF($A19="","",IF($C19="Monthly",$B19/12,IF(AND($C19="Quarterly",MOD(9,3)=0),$B19/4,IF(AND($C19="Semi-Annual",OR(9=6,9=12)),$B19/2,IF(AND($C19="Annual",9=12),$B19,0)))))</f>
        <v/>
      </c>
      <c r="M19" s="17">
        <f>IF($A19="","",IF($C19="Monthly",$B19/12,IF(AND($C19="Quarterly",MOD(10,3)=0),$B19/4,IF(AND($C19="Semi-Annual",OR(10=6,10=12)),$B19/2,IF(AND($C19="Annual",10=12),$B19,0)))))</f>
        <v/>
      </c>
      <c r="N19" s="17">
        <f>IF($A19="","",IF($C19="Monthly",$B19/12,IF(AND($C19="Quarterly",MOD(11,3)=0),$B19/4,IF(AND($C19="Semi-Annual",OR(11=6,11=12)),$B19/2,IF(AND($C19="Annual",11=12),$B19,0)))))</f>
        <v/>
      </c>
      <c r="O19" s="17">
        <f>IF($A19="","",IF($C19="Monthly",$B19/12,IF(AND($C19="Quarterly",MOD(12,3)=0),$B19/4,IF(AND($C19="Semi-Annual",OR(12=6,12=12)),$B19/2,IF(AND($C19="Annual",12=12),$B19,0)))))</f>
        <v/>
      </c>
    </row>
    <row r="20">
      <c r="A20" s="26">
        <f>IF(Holdings!A20="","",Holdings!A20)</f>
        <v/>
      </c>
      <c r="B20" s="21">
        <f>IF(Holdings!A20="","",Holdings!M20)</f>
        <v/>
      </c>
      <c r="C20" s="18">
        <f>IF(Holdings!A20="","",Holdings!L20)</f>
        <v/>
      </c>
      <c r="D20" s="21">
        <f>IF($A20="","",IF($C20="Monthly",$B20/12,IF(AND($C20="Quarterly",MOD(1,3)=0),$B20/4,IF(AND($C20="Semi-Annual",OR(1=6,1=12)),$B20/2,IF(AND($C20="Annual",1=12),$B20,0)))))</f>
        <v/>
      </c>
      <c r="E20" s="21">
        <f>IF($A20="","",IF($C20="Monthly",$B20/12,IF(AND($C20="Quarterly",MOD(2,3)=0),$B20/4,IF(AND($C20="Semi-Annual",OR(2=6,2=12)),$B20/2,IF(AND($C20="Annual",2=12),$B20,0)))))</f>
        <v/>
      </c>
      <c r="F20" s="21">
        <f>IF($A20="","",IF($C20="Monthly",$B20/12,IF(AND($C20="Quarterly",MOD(3,3)=0),$B20/4,IF(AND($C20="Semi-Annual",OR(3=6,3=12)),$B20/2,IF(AND($C20="Annual",3=12),$B20,0)))))</f>
        <v/>
      </c>
      <c r="G20" s="21">
        <f>IF($A20="","",IF($C20="Monthly",$B20/12,IF(AND($C20="Quarterly",MOD(4,3)=0),$B20/4,IF(AND($C20="Semi-Annual",OR(4=6,4=12)),$B20/2,IF(AND($C20="Annual",4=12),$B20,0)))))</f>
        <v/>
      </c>
      <c r="H20" s="21">
        <f>IF($A20="","",IF($C20="Monthly",$B20/12,IF(AND($C20="Quarterly",MOD(5,3)=0),$B20/4,IF(AND($C20="Semi-Annual",OR(5=6,5=12)),$B20/2,IF(AND($C20="Annual",5=12),$B20,0)))))</f>
        <v/>
      </c>
      <c r="I20" s="21">
        <f>IF($A20="","",IF($C20="Monthly",$B20/12,IF(AND($C20="Quarterly",MOD(6,3)=0),$B20/4,IF(AND($C20="Semi-Annual",OR(6=6,6=12)),$B20/2,IF(AND($C20="Annual",6=12),$B20,0)))))</f>
        <v/>
      </c>
      <c r="J20" s="21">
        <f>IF($A20="","",IF($C20="Monthly",$B20/12,IF(AND($C20="Quarterly",MOD(7,3)=0),$B20/4,IF(AND($C20="Semi-Annual",OR(7=6,7=12)),$B20/2,IF(AND($C20="Annual",7=12),$B20,0)))))</f>
        <v/>
      </c>
      <c r="K20" s="21">
        <f>IF($A20="","",IF($C20="Monthly",$B20/12,IF(AND($C20="Quarterly",MOD(8,3)=0),$B20/4,IF(AND($C20="Semi-Annual",OR(8=6,8=12)),$B20/2,IF(AND($C20="Annual",8=12),$B20,0)))))</f>
        <v/>
      </c>
      <c r="L20" s="21">
        <f>IF($A20="","",IF($C20="Monthly",$B20/12,IF(AND($C20="Quarterly",MOD(9,3)=0),$B20/4,IF(AND($C20="Semi-Annual",OR(9=6,9=12)),$B20/2,IF(AND($C20="Annual",9=12),$B20,0)))))</f>
        <v/>
      </c>
      <c r="M20" s="21">
        <f>IF($A20="","",IF($C20="Monthly",$B20/12,IF(AND($C20="Quarterly",MOD(10,3)=0),$B20/4,IF(AND($C20="Semi-Annual",OR(10=6,10=12)),$B20/2,IF(AND($C20="Annual",10=12),$B20,0)))))</f>
        <v/>
      </c>
      <c r="N20" s="21">
        <f>IF($A20="","",IF($C20="Monthly",$B20/12,IF(AND($C20="Quarterly",MOD(11,3)=0),$B20/4,IF(AND($C20="Semi-Annual",OR(11=6,11=12)),$B20/2,IF(AND($C20="Annual",11=12),$B20,0)))))</f>
        <v/>
      </c>
      <c r="O20" s="21">
        <f>IF($A20="","",IF($C20="Monthly",$B20/12,IF(AND($C20="Quarterly",MOD(12,3)=0),$B20/4,IF(AND($C20="Semi-Annual",OR(12=6,12=12)),$B20/2,IF(AND($C20="Annual",12=12),$B20,0)))))</f>
        <v/>
      </c>
    </row>
    <row r="21">
      <c r="A21" s="22">
        <f>IF(Holdings!A21="","",Holdings!A21)</f>
        <v/>
      </c>
      <c r="B21" s="17">
        <f>IF(Holdings!A21="","",Holdings!M21)</f>
        <v/>
      </c>
      <c r="C21" s="14">
        <f>IF(Holdings!A21="","",Holdings!L21)</f>
        <v/>
      </c>
      <c r="D21" s="17">
        <f>IF($A21="","",IF($C21="Monthly",$B21/12,IF(AND($C21="Quarterly",MOD(1,3)=0),$B21/4,IF(AND($C21="Semi-Annual",OR(1=6,1=12)),$B21/2,IF(AND($C21="Annual",1=12),$B21,0)))))</f>
        <v/>
      </c>
      <c r="E21" s="17">
        <f>IF($A21="","",IF($C21="Monthly",$B21/12,IF(AND($C21="Quarterly",MOD(2,3)=0),$B21/4,IF(AND($C21="Semi-Annual",OR(2=6,2=12)),$B21/2,IF(AND($C21="Annual",2=12),$B21,0)))))</f>
        <v/>
      </c>
      <c r="F21" s="17">
        <f>IF($A21="","",IF($C21="Monthly",$B21/12,IF(AND($C21="Quarterly",MOD(3,3)=0),$B21/4,IF(AND($C21="Semi-Annual",OR(3=6,3=12)),$B21/2,IF(AND($C21="Annual",3=12),$B21,0)))))</f>
        <v/>
      </c>
      <c r="G21" s="17">
        <f>IF($A21="","",IF($C21="Monthly",$B21/12,IF(AND($C21="Quarterly",MOD(4,3)=0),$B21/4,IF(AND($C21="Semi-Annual",OR(4=6,4=12)),$B21/2,IF(AND($C21="Annual",4=12),$B21,0)))))</f>
        <v/>
      </c>
      <c r="H21" s="17">
        <f>IF($A21="","",IF($C21="Monthly",$B21/12,IF(AND($C21="Quarterly",MOD(5,3)=0),$B21/4,IF(AND($C21="Semi-Annual",OR(5=6,5=12)),$B21/2,IF(AND($C21="Annual",5=12),$B21,0)))))</f>
        <v/>
      </c>
      <c r="I21" s="17">
        <f>IF($A21="","",IF($C21="Monthly",$B21/12,IF(AND($C21="Quarterly",MOD(6,3)=0),$B21/4,IF(AND($C21="Semi-Annual",OR(6=6,6=12)),$B21/2,IF(AND($C21="Annual",6=12),$B21,0)))))</f>
        <v/>
      </c>
      <c r="J21" s="17">
        <f>IF($A21="","",IF($C21="Monthly",$B21/12,IF(AND($C21="Quarterly",MOD(7,3)=0),$B21/4,IF(AND($C21="Semi-Annual",OR(7=6,7=12)),$B21/2,IF(AND($C21="Annual",7=12),$B21,0)))))</f>
        <v/>
      </c>
      <c r="K21" s="17">
        <f>IF($A21="","",IF($C21="Monthly",$B21/12,IF(AND($C21="Quarterly",MOD(8,3)=0),$B21/4,IF(AND($C21="Semi-Annual",OR(8=6,8=12)),$B21/2,IF(AND($C21="Annual",8=12),$B21,0)))))</f>
        <v/>
      </c>
      <c r="L21" s="17">
        <f>IF($A21="","",IF($C21="Monthly",$B21/12,IF(AND($C21="Quarterly",MOD(9,3)=0),$B21/4,IF(AND($C21="Semi-Annual",OR(9=6,9=12)),$B21/2,IF(AND($C21="Annual",9=12),$B21,0)))))</f>
        <v/>
      </c>
      <c r="M21" s="17">
        <f>IF($A21="","",IF($C21="Monthly",$B21/12,IF(AND($C21="Quarterly",MOD(10,3)=0),$B21/4,IF(AND($C21="Semi-Annual",OR(10=6,10=12)),$B21/2,IF(AND($C21="Annual",10=12),$B21,0)))))</f>
        <v/>
      </c>
      <c r="N21" s="17">
        <f>IF($A21="","",IF($C21="Monthly",$B21/12,IF(AND($C21="Quarterly",MOD(11,3)=0),$B21/4,IF(AND($C21="Semi-Annual",OR(11=6,11=12)),$B21/2,IF(AND($C21="Annual",11=12),$B21,0)))))</f>
        <v/>
      </c>
      <c r="O21" s="17">
        <f>IF($A21="","",IF($C21="Monthly",$B21/12,IF(AND($C21="Quarterly",MOD(12,3)=0),$B21/4,IF(AND($C21="Semi-Annual",OR(12=6,12=12)),$B21/2,IF(AND($C21="Annual",12=12),$B21,0)))))</f>
        <v/>
      </c>
    </row>
    <row r="22">
      <c r="A22" s="26">
        <f>IF(Holdings!A22="","",Holdings!A22)</f>
        <v/>
      </c>
      <c r="B22" s="21">
        <f>IF(Holdings!A22="","",Holdings!M22)</f>
        <v/>
      </c>
      <c r="C22" s="18">
        <f>IF(Holdings!A22="","",Holdings!L22)</f>
        <v/>
      </c>
      <c r="D22" s="21">
        <f>IF($A22="","",IF($C22="Monthly",$B22/12,IF(AND($C22="Quarterly",MOD(1,3)=0),$B22/4,IF(AND($C22="Semi-Annual",OR(1=6,1=12)),$B22/2,IF(AND($C22="Annual",1=12),$B22,0)))))</f>
        <v/>
      </c>
      <c r="E22" s="21">
        <f>IF($A22="","",IF($C22="Monthly",$B22/12,IF(AND($C22="Quarterly",MOD(2,3)=0),$B22/4,IF(AND($C22="Semi-Annual",OR(2=6,2=12)),$B22/2,IF(AND($C22="Annual",2=12),$B22,0)))))</f>
        <v/>
      </c>
      <c r="F22" s="21">
        <f>IF($A22="","",IF($C22="Monthly",$B22/12,IF(AND($C22="Quarterly",MOD(3,3)=0),$B22/4,IF(AND($C22="Semi-Annual",OR(3=6,3=12)),$B22/2,IF(AND($C22="Annual",3=12),$B22,0)))))</f>
        <v/>
      </c>
      <c r="G22" s="21">
        <f>IF($A22="","",IF($C22="Monthly",$B22/12,IF(AND($C22="Quarterly",MOD(4,3)=0),$B22/4,IF(AND($C22="Semi-Annual",OR(4=6,4=12)),$B22/2,IF(AND($C22="Annual",4=12),$B22,0)))))</f>
        <v/>
      </c>
      <c r="H22" s="21">
        <f>IF($A22="","",IF($C22="Monthly",$B22/12,IF(AND($C22="Quarterly",MOD(5,3)=0),$B22/4,IF(AND($C22="Semi-Annual",OR(5=6,5=12)),$B22/2,IF(AND($C22="Annual",5=12),$B22,0)))))</f>
        <v/>
      </c>
      <c r="I22" s="21">
        <f>IF($A22="","",IF($C22="Monthly",$B22/12,IF(AND($C22="Quarterly",MOD(6,3)=0),$B22/4,IF(AND($C22="Semi-Annual",OR(6=6,6=12)),$B22/2,IF(AND($C22="Annual",6=12),$B22,0)))))</f>
        <v/>
      </c>
      <c r="J22" s="21">
        <f>IF($A22="","",IF($C22="Monthly",$B22/12,IF(AND($C22="Quarterly",MOD(7,3)=0),$B22/4,IF(AND($C22="Semi-Annual",OR(7=6,7=12)),$B22/2,IF(AND($C22="Annual",7=12),$B22,0)))))</f>
        <v/>
      </c>
      <c r="K22" s="21">
        <f>IF($A22="","",IF($C22="Monthly",$B22/12,IF(AND($C22="Quarterly",MOD(8,3)=0),$B22/4,IF(AND($C22="Semi-Annual",OR(8=6,8=12)),$B22/2,IF(AND($C22="Annual",8=12),$B22,0)))))</f>
        <v/>
      </c>
      <c r="L22" s="21">
        <f>IF($A22="","",IF($C22="Monthly",$B22/12,IF(AND($C22="Quarterly",MOD(9,3)=0),$B22/4,IF(AND($C22="Semi-Annual",OR(9=6,9=12)),$B22/2,IF(AND($C22="Annual",9=12),$B22,0)))))</f>
        <v/>
      </c>
      <c r="M22" s="21">
        <f>IF($A22="","",IF($C22="Monthly",$B22/12,IF(AND($C22="Quarterly",MOD(10,3)=0),$B22/4,IF(AND($C22="Semi-Annual",OR(10=6,10=12)),$B22/2,IF(AND($C22="Annual",10=12),$B22,0)))))</f>
        <v/>
      </c>
      <c r="N22" s="21">
        <f>IF($A22="","",IF($C22="Monthly",$B22/12,IF(AND($C22="Quarterly",MOD(11,3)=0),$B22/4,IF(AND($C22="Semi-Annual",OR(11=6,11=12)),$B22/2,IF(AND($C22="Annual",11=12),$B22,0)))))</f>
        <v/>
      </c>
      <c r="O22" s="21">
        <f>IF($A22="","",IF($C22="Monthly",$B22/12,IF(AND($C22="Quarterly",MOD(12,3)=0),$B22/4,IF(AND($C22="Semi-Annual",OR(12=6,12=12)),$B22/2,IF(AND($C22="Annual",12=12),$B22,0)))))</f>
        <v/>
      </c>
    </row>
    <row r="23">
      <c r="A23" s="22">
        <f>IF(Holdings!A23="","",Holdings!A23)</f>
        <v/>
      </c>
      <c r="B23" s="17">
        <f>IF(Holdings!A23="","",Holdings!M23)</f>
        <v/>
      </c>
      <c r="C23" s="14">
        <f>IF(Holdings!A23="","",Holdings!L23)</f>
        <v/>
      </c>
      <c r="D23" s="17">
        <f>IF($A23="","",IF($C23="Monthly",$B23/12,IF(AND($C23="Quarterly",MOD(1,3)=0),$B23/4,IF(AND($C23="Semi-Annual",OR(1=6,1=12)),$B23/2,IF(AND($C23="Annual",1=12),$B23,0)))))</f>
        <v/>
      </c>
      <c r="E23" s="17">
        <f>IF($A23="","",IF($C23="Monthly",$B23/12,IF(AND($C23="Quarterly",MOD(2,3)=0),$B23/4,IF(AND($C23="Semi-Annual",OR(2=6,2=12)),$B23/2,IF(AND($C23="Annual",2=12),$B23,0)))))</f>
        <v/>
      </c>
      <c r="F23" s="17">
        <f>IF($A23="","",IF($C23="Monthly",$B23/12,IF(AND($C23="Quarterly",MOD(3,3)=0),$B23/4,IF(AND($C23="Semi-Annual",OR(3=6,3=12)),$B23/2,IF(AND($C23="Annual",3=12),$B23,0)))))</f>
        <v/>
      </c>
      <c r="G23" s="17">
        <f>IF($A23="","",IF($C23="Monthly",$B23/12,IF(AND($C23="Quarterly",MOD(4,3)=0),$B23/4,IF(AND($C23="Semi-Annual",OR(4=6,4=12)),$B23/2,IF(AND($C23="Annual",4=12),$B23,0)))))</f>
        <v/>
      </c>
      <c r="H23" s="17">
        <f>IF($A23="","",IF($C23="Monthly",$B23/12,IF(AND($C23="Quarterly",MOD(5,3)=0),$B23/4,IF(AND($C23="Semi-Annual",OR(5=6,5=12)),$B23/2,IF(AND($C23="Annual",5=12),$B23,0)))))</f>
        <v/>
      </c>
      <c r="I23" s="17">
        <f>IF($A23="","",IF($C23="Monthly",$B23/12,IF(AND($C23="Quarterly",MOD(6,3)=0),$B23/4,IF(AND($C23="Semi-Annual",OR(6=6,6=12)),$B23/2,IF(AND($C23="Annual",6=12),$B23,0)))))</f>
        <v/>
      </c>
      <c r="J23" s="17">
        <f>IF($A23="","",IF($C23="Monthly",$B23/12,IF(AND($C23="Quarterly",MOD(7,3)=0),$B23/4,IF(AND($C23="Semi-Annual",OR(7=6,7=12)),$B23/2,IF(AND($C23="Annual",7=12),$B23,0)))))</f>
        <v/>
      </c>
      <c r="K23" s="17">
        <f>IF($A23="","",IF($C23="Monthly",$B23/12,IF(AND($C23="Quarterly",MOD(8,3)=0),$B23/4,IF(AND($C23="Semi-Annual",OR(8=6,8=12)),$B23/2,IF(AND($C23="Annual",8=12),$B23,0)))))</f>
        <v/>
      </c>
      <c r="L23" s="17">
        <f>IF($A23="","",IF($C23="Monthly",$B23/12,IF(AND($C23="Quarterly",MOD(9,3)=0),$B23/4,IF(AND($C23="Semi-Annual",OR(9=6,9=12)),$B23/2,IF(AND($C23="Annual",9=12),$B23,0)))))</f>
        <v/>
      </c>
      <c r="M23" s="17">
        <f>IF($A23="","",IF($C23="Monthly",$B23/12,IF(AND($C23="Quarterly",MOD(10,3)=0),$B23/4,IF(AND($C23="Semi-Annual",OR(10=6,10=12)),$B23/2,IF(AND($C23="Annual",10=12),$B23,0)))))</f>
        <v/>
      </c>
      <c r="N23" s="17">
        <f>IF($A23="","",IF($C23="Monthly",$B23/12,IF(AND($C23="Quarterly",MOD(11,3)=0),$B23/4,IF(AND($C23="Semi-Annual",OR(11=6,11=12)),$B23/2,IF(AND($C23="Annual",11=12),$B23,0)))))</f>
        <v/>
      </c>
      <c r="O23" s="17">
        <f>IF($A23="","",IF($C23="Monthly",$B23/12,IF(AND($C23="Quarterly",MOD(12,3)=0),$B23/4,IF(AND($C23="Semi-Annual",OR(12=6,12=12)),$B23/2,IF(AND($C23="Annual",12=12),$B23,0)))))</f>
        <v/>
      </c>
    </row>
    <row r="24">
      <c r="A24" s="26">
        <f>IF(Holdings!A24="","",Holdings!A24)</f>
        <v/>
      </c>
      <c r="B24" s="21">
        <f>IF(Holdings!A24="","",Holdings!M24)</f>
        <v/>
      </c>
      <c r="C24" s="18">
        <f>IF(Holdings!A24="","",Holdings!L24)</f>
        <v/>
      </c>
      <c r="D24" s="21">
        <f>IF($A24="","",IF($C24="Monthly",$B24/12,IF(AND($C24="Quarterly",MOD(1,3)=0),$B24/4,IF(AND($C24="Semi-Annual",OR(1=6,1=12)),$B24/2,IF(AND($C24="Annual",1=12),$B24,0)))))</f>
        <v/>
      </c>
      <c r="E24" s="21">
        <f>IF($A24="","",IF($C24="Monthly",$B24/12,IF(AND($C24="Quarterly",MOD(2,3)=0),$B24/4,IF(AND($C24="Semi-Annual",OR(2=6,2=12)),$B24/2,IF(AND($C24="Annual",2=12),$B24,0)))))</f>
        <v/>
      </c>
      <c r="F24" s="21">
        <f>IF($A24="","",IF($C24="Monthly",$B24/12,IF(AND($C24="Quarterly",MOD(3,3)=0),$B24/4,IF(AND($C24="Semi-Annual",OR(3=6,3=12)),$B24/2,IF(AND($C24="Annual",3=12),$B24,0)))))</f>
        <v/>
      </c>
      <c r="G24" s="21">
        <f>IF($A24="","",IF($C24="Monthly",$B24/12,IF(AND($C24="Quarterly",MOD(4,3)=0),$B24/4,IF(AND($C24="Semi-Annual",OR(4=6,4=12)),$B24/2,IF(AND($C24="Annual",4=12),$B24,0)))))</f>
        <v/>
      </c>
      <c r="H24" s="21">
        <f>IF($A24="","",IF($C24="Monthly",$B24/12,IF(AND($C24="Quarterly",MOD(5,3)=0),$B24/4,IF(AND($C24="Semi-Annual",OR(5=6,5=12)),$B24/2,IF(AND($C24="Annual",5=12),$B24,0)))))</f>
        <v/>
      </c>
      <c r="I24" s="21">
        <f>IF($A24="","",IF($C24="Monthly",$B24/12,IF(AND($C24="Quarterly",MOD(6,3)=0),$B24/4,IF(AND($C24="Semi-Annual",OR(6=6,6=12)),$B24/2,IF(AND($C24="Annual",6=12),$B24,0)))))</f>
        <v/>
      </c>
      <c r="J24" s="21">
        <f>IF($A24="","",IF($C24="Monthly",$B24/12,IF(AND($C24="Quarterly",MOD(7,3)=0),$B24/4,IF(AND($C24="Semi-Annual",OR(7=6,7=12)),$B24/2,IF(AND($C24="Annual",7=12),$B24,0)))))</f>
        <v/>
      </c>
      <c r="K24" s="21">
        <f>IF($A24="","",IF($C24="Monthly",$B24/12,IF(AND($C24="Quarterly",MOD(8,3)=0),$B24/4,IF(AND($C24="Semi-Annual",OR(8=6,8=12)),$B24/2,IF(AND($C24="Annual",8=12),$B24,0)))))</f>
        <v/>
      </c>
      <c r="L24" s="21">
        <f>IF($A24="","",IF($C24="Monthly",$B24/12,IF(AND($C24="Quarterly",MOD(9,3)=0),$B24/4,IF(AND($C24="Semi-Annual",OR(9=6,9=12)),$B24/2,IF(AND($C24="Annual",9=12),$B24,0)))))</f>
        <v/>
      </c>
      <c r="M24" s="21">
        <f>IF($A24="","",IF($C24="Monthly",$B24/12,IF(AND($C24="Quarterly",MOD(10,3)=0),$B24/4,IF(AND($C24="Semi-Annual",OR(10=6,10=12)),$B24/2,IF(AND($C24="Annual",10=12),$B24,0)))))</f>
        <v/>
      </c>
      <c r="N24" s="21">
        <f>IF($A24="","",IF($C24="Monthly",$B24/12,IF(AND($C24="Quarterly",MOD(11,3)=0),$B24/4,IF(AND($C24="Semi-Annual",OR(11=6,11=12)),$B24/2,IF(AND($C24="Annual",11=12),$B24,0)))))</f>
        <v/>
      </c>
      <c r="O24" s="21">
        <f>IF($A24="","",IF($C24="Monthly",$B24/12,IF(AND($C24="Quarterly",MOD(12,3)=0),$B24/4,IF(AND($C24="Semi-Annual",OR(12=6,12=12)),$B24/2,IF(AND($C24="Annual",12=12),$B24,0)))))</f>
        <v/>
      </c>
    </row>
    <row r="25">
      <c r="A25" s="22">
        <f>IF(Holdings!A25="","",Holdings!A25)</f>
        <v/>
      </c>
      <c r="B25" s="17">
        <f>IF(Holdings!A25="","",Holdings!M25)</f>
        <v/>
      </c>
      <c r="C25" s="14">
        <f>IF(Holdings!A25="","",Holdings!L25)</f>
        <v/>
      </c>
      <c r="D25" s="17">
        <f>IF($A25="","",IF($C25="Monthly",$B25/12,IF(AND($C25="Quarterly",MOD(1,3)=0),$B25/4,IF(AND($C25="Semi-Annual",OR(1=6,1=12)),$B25/2,IF(AND($C25="Annual",1=12),$B25,0)))))</f>
        <v/>
      </c>
      <c r="E25" s="17">
        <f>IF($A25="","",IF($C25="Monthly",$B25/12,IF(AND($C25="Quarterly",MOD(2,3)=0),$B25/4,IF(AND($C25="Semi-Annual",OR(2=6,2=12)),$B25/2,IF(AND($C25="Annual",2=12),$B25,0)))))</f>
        <v/>
      </c>
      <c r="F25" s="17">
        <f>IF($A25="","",IF($C25="Monthly",$B25/12,IF(AND($C25="Quarterly",MOD(3,3)=0),$B25/4,IF(AND($C25="Semi-Annual",OR(3=6,3=12)),$B25/2,IF(AND($C25="Annual",3=12),$B25,0)))))</f>
        <v/>
      </c>
      <c r="G25" s="17">
        <f>IF($A25="","",IF($C25="Monthly",$B25/12,IF(AND($C25="Quarterly",MOD(4,3)=0),$B25/4,IF(AND($C25="Semi-Annual",OR(4=6,4=12)),$B25/2,IF(AND($C25="Annual",4=12),$B25,0)))))</f>
        <v/>
      </c>
      <c r="H25" s="17">
        <f>IF($A25="","",IF($C25="Monthly",$B25/12,IF(AND($C25="Quarterly",MOD(5,3)=0),$B25/4,IF(AND($C25="Semi-Annual",OR(5=6,5=12)),$B25/2,IF(AND($C25="Annual",5=12),$B25,0)))))</f>
        <v/>
      </c>
      <c r="I25" s="17">
        <f>IF($A25="","",IF($C25="Monthly",$B25/12,IF(AND($C25="Quarterly",MOD(6,3)=0),$B25/4,IF(AND($C25="Semi-Annual",OR(6=6,6=12)),$B25/2,IF(AND($C25="Annual",6=12),$B25,0)))))</f>
        <v/>
      </c>
      <c r="J25" s="17">
        <f>IF($A25="","",IF($C25="Monthly",$B25/12,IF(AND($C25="Quarterly",MOD(7,3)=0),$B25/4,IF(AND($C25="Semi-Annual",OR(7=6,7=12)),$B25/2,IF(AND($C25="Annual",7=12),$B25,0)))))</f>
        <v/>
      </c>
      <c r="K25" s="17">
        <f>IF($A25="","",IF($C25="Monthly",$B25/12,IF(AND($C25="Quarterly",MOD(8,3)=0),$B25/4,IF(AND($C25="Semi-Annual",OR(8=6,8=12)),$B25/2,IF(AND($C25="Annual",8=12),$B25,0)))))</f>
        <v/>
      </c>
      <c r="L25" s="17">
        <f>IF($A25="","",IF($C25="Monthly",$B25/12,IF(AND($C25="Quarterly",MOD(9,3)=0),$B25/4,IF(AND($C25="Semi-Annual",OR(9=6,9=12)),$B25/2,IF(AND($C25="Annual",9=12),$B25,0)))))</f>
        <v/>
      </c>
      <c r="M25" s="17">
        <f>IF($A25="","",IF($C25="Monthly",$B25/12,IF(AND($C25="Quarterly",MOD(10,3)=0),$B25/4,IF(AND($C25="Semi-Annual",OR(10=6,10=12)),$B25/2,IF(AND($C25="Annual",10=12),$B25,0)))))</f>
        <v/>
      </c>
      <c r="N25" s="17">
        <f>IF($A25="","",IF($C25="Monthly",$B25/12,IF(AND($C25="Quarterly",MOD(11,3)=0),$B25/4,IF(AND($C25="Semi-Annual",OR(11=6,11=12)),$B25/2,IF(AND($C25="Annual",11=12),$B25,0)))))</f>
        <v/>
      </c>
      <c r="O25" s="17">
        <f>IF($A25="","",IF($C25="Monthly",$B25/12,IF(AND($C25="Quarterly",MOD(12,3)=0),$B25/4,IF(AND($C25="Semi-Annual",OR(12=6,12=12)),$B25/2,IF(AND($C25="Annual",12=12),$B25,0)))))</f>
        <v/>
      </c>
    </row>
    <row r="26">
      <c r="A26" s="26">
        <f>IF(Holdings!A26="","",Holdings!A26)</f>
        <v/>
      </c>
      <c r="B26" s="21">
        <f>IF(Holdings!A26="","",Holdings!M26)</f>
        <v/>
      </c>
      <c r="C26" s="18">
        <f>IF(Holdings!A26="","",Holdings!L26)</f>
        <v/>
      </c>
      <c r="D26" s="21">
        <f>IF($A26="","",IF($C26="Monthly",$B26/12,IF(AND($C26="Quarterly",MOD(1,3)=0),$B26/4,IF(AND($C26="Semi-Annual",OR(1=6,1=12)),$B26/2,IF(AND($C26="Annual",1=12),$B26,0)))))</f>
        <v/>
      </c>
      <c r="E26" s="21">
        <f>IF($A26="","",IF($C26="Monthly",$B26/12,IF(AND($C26="Quarterly",MOD(2,3)=0),$B26/4,IF(AND($C26="Semi-Annual",OR(2=6,2=12)),$B26/2,IF(AND($C26="Annual",2=12),$B26,0)))))</f>
        <v/>
      </c>
      <c r="F26" s="21">
        <f>IF($A26="","",IF($C26="Monthly",$B26/12,IF(AND($C26="Quarterly",MOD(3,3)=0),$B26/4,IF(AND($C26="Semi-Annual",OR(3=6,3=12)),$B26/2,IF(AND($C26="Annual",3=12),$B26,0)))))</f>
        <v/>
      </c>
      <c r="G26" s="21">
        <f>IF($A26="","",IF($C26="Monthly",$B26/12,IF(AND($C26="Quarterly",MOD(4,3)=0),$B26/4,IF(AND($C26="Semi-Annual",OR(4=6,4=12)),$B26/2,IF(AND($C26="Annual",4=12),$B26,0)))))</f>
        <v/>
      </c>
      <c r="H26" s="21">
        <f>IF($A26="","",IF($C26="Monthly",$B26/12,IF(AND($C26="Quarterly",MOD(5,3)=0),$B26/4,IF(AND($C26="Semi-Annual",OR(5=6,5=12)),$B26/2,IF(AND($C26="Annual",5=12),$B26,0)))))</f>
        <v/>
      </c>
      <c r="I26" s="21">
        <f>IF($A26="","",IF($C26="Monthly",$B26/12,IF(AND($C26="Quarterly",MOD(6,3)=0),$B26/4,IF(AND($C26="Semi-Annual",OR(6=6,6=12)),$B26/2,IF(AND($C26="Annual",6=12),$B26,0)))))</f>
        <v/>
      </c>
      <c r="J26" s="21">
        <f>IF($A26="","",IF($C26="Monthly",$B26/12,IF(AND($C26="Quarterly",MOD(7,3)=0),$B26/4,IF(AND($C26="Semi-Annual",OR(7=6,7=12)),$B26/2,IF(AND($C26="Annual",7=12),$B26,0)))))</f>
        <v/>
      </c>
      <c r="K26" s="21">
        <f>IF($A26="","",IF($C26="Monthly",$B26/12,IF(AND($C26="Quarterly",MOD(8,3)=0),$B26/4,IF(AND($C26="Semi-Annual",OR(8=6,8=12)),$B26/2,IF(AND($C26="Annual",8=12),$B26,0)))))</f>
        <v/>
      </c>
      <c r="L26" s="21">
        <f>IF($A26="","",IF($C26="Monthly",$B26/12,IF(AND($C26="Quarterly",MOD(9,3)=0),$B26/4,IF(AND($C26="Semi-Annual",OR(9=6,9=12)),$B26/2,IF(AND($C26="Annual",9=12),$B26,0)))))</f>
        <v/>
      </c>
      <c r="M26" s="21">
        <f>IF($A26="","",IF($C26="Monthly",$B26/12,IF(AND($C26="Quarterly",MOD(10,3)=0),$B26/4,IF(AND($C26="Semi-Annual",OR(10=6,10=12)),$B26/2,IF(AND($C26="Annual",10=12),$B26,0)))))</f>
        <v/>
      </c>
      <c r="N26" s="21">
        <f>IF($A26="","",IF($C26="Monthly",$B26/12,IF(AND($C26="Quarterly",MOD(11,3)=0),$B26/4,IF(AND($C26="Semi-Annual",OR(11=6,11=12)),$B26/2,IF(AND($C26="Annual",11=12),$B26,0)))))</f>
        <v/>
      </c>
      <c r="O26" s="21">
        <f>IF($A26="","",IF($C26="Monthly",$B26/12,IF(AND($C26="Quarterly",MOD(12,3)=0),$B26/4,IF(AND($C26="Semi-Annual",OR(12=6,12=12)),$B26/2,IF(AND($C26="Annual",12=12),$B26,0)))))</f>
        <v/>
      </c>
    </row>
    <row r="27">
      <c r="A27" s="22">
        <f>IF(Holdings!A27="","",Holdings!A27)</f>
        <v/>
      </c>
      <c r="B27" s="17">
        <f>IF(Holdings!A27="","",Holdings!M27)</f>
        <v/>
      </c>
      <c r="C27" s="14">
        <f>IF(Holdings!A27="","",Holdings!L27)</f>
        <v/>
      </c>
      <c r="D27" s="17">
        <f>IF($A27="","",IF($C27="Monthly",$B27/12,IF(AND($C27="Quarterly",MOD(1,3)=0),$B27/4,IF(AND($C27="Semi-Annual",OR(1=6,1=12)),$B27/2,IF(AND($C27="Annual",1=12),$B27,0)))))</f>
        <v/>
      </c>
      <c r="E27" s="17">
        <f>IF($A27="","",IF($C27="Monthly",$B27/12,IF(AND($C27="Quarterly",MOD(2,3)=0),$B27/4,IF(AND($C27="Semi-Annual",OR(2=6,2=12)),$B27/2,IF(AND($C27="Annual",2=12),$B27,0)))))</f>
        <v/>
      </c>
      <c r="F27" s="17">
        <f>IF($A27="","",IF($C27="Monthly",$B27/12,IF(AND($C27="Quarterly",MOD(3,3)=0),$B27/4,IF(AND($C27="Semi-Annual",OR(3=6,3=12)),$B27/2,IF(AND($C27="Annual",3=12),$B27,0)))))</f>
        <v/>
      </c>
      <c r="G27" s="17">
        <f>IF($A27="","",IF($C27="Monthly",$B27/12,IF(AND($C27="Quarterly",MOD(4,3)=0),$B27/4,IF(AND($C27="Semi-Annual",OR(4=6,4=12)),$B27/2,IF(AND($C27="Annual",4=12),$B27,0)))))</f>
        <v/>
      </c>
      <c r="H27" s="17">
        <f>IF($A27="","",IF($C27="Monthly",$B27/12,IF(AND($C27="Quarterly",MOD(5,3)=0),$B27/4,IF(AND($C27="Semi-Annual",OR(5=6,5=12)),$B27/2,IF(AND($C27="Annual",5=12),$B27,0)))))</f>
        <v/>
      </c>
      <c r="I27" s="17">
        <f>IF($A27="","",IF($C27="Monthly",$B27/12,IF(AND($C27="Quarterly",MOD(6,3)=0),$B27/4,IF(AND($C27="Semi-Annual",OR(6=6,6=12)),$B27/2,IF(AND($C27="Annual",6=12),$B27,0)))))</f>
        <v/>
      </c>
      <c r="J27" s="17">
        <f>IF($A27="","",IF($C27="Monthly",$B27/12,IF(AND($C27="Quarterly",MOD(7,3)=0),$B27/4,IF(AND($C27="Semi-Annual",OR(7=6,7=12)),$B27/2,IF(AND($C27="Annual",7=12),$B27,0)))))</f>
        <v/>
      </c>
      <c r="K27" s="17">
        <f>IF($A27="","",IF($C27="Monthly",$B27/12,IF(AND($C27="Quarterly",MOD(8,3)=0),$B27/4,IF(AND($C27="Semi-Annual",OR(8=6,8=12)),$B27/2,IF(AND($C27="Annual",8=12),$B27,0)))))</f>
        <v/>
      </c>
      <c r="L27" s="17">
        <f>IF($A27="","",IF($C27="Monthly",$B27/12,IF(AND($C27="Quarterly",MOD(9,3)=0),$B27/4,IF(AND($C27="Semi-Annual",OR(9=6,9=12)),$B27/2,IF(AND($C27="Annual",9=12),$B27,0)))))</f>
        <v/>
      </c>
      <c r="M27" s="17">
        <f>IF($A27="","",IF($C27="Monthly",$B27/12,IF(AND($C27="Quarterly",MOD(10,3)=0),$B27/4,IF(AND($C27="Semi-Annual",OR(10=6,10=12)),$B27/2,IF(AND($C27="Annual",10=12),$B27,0)))))</f>
        <v/>
      </c>
      <c r="N27" s="17">
        <f>IF($A27="","",IF($C27="Monthly",$B27/12,IF(AND($C27="Quarterly",MOD(11,3)=0),$B27/4,IF(AND($C27="Semi-Annual",OR(11=6,11=12)),$B27/2,IF(AND($C27="Annual",11=12),$B27,0)))))</f>
        <v/>
      </c>
      <c r="O27" s="17">
        <f>IF($A27="","",IF($C27="Monthly",$B27/12,IF(AND($C27="Quarterly",MOD(12,3)=0),$B27/4,IF(AND($C27="Semi-Annual",OR(12=6,12=12)),$B27/2,IF(AND($C27="Annual",12=12),$B27,0)))))</f>
        <v/>
      </c>
    </row>
    <row r="28">
      <c r="A28" s="26">
        <f>IF(Holdings!A28="","",Holdings!A28)</f>
        <v/>
      </c>
      <c r="B28" s="21">
        <f>IF(Holdings!A28="","",Holdings!M28)</f>
        <v/>
      </c>
      <c r="C28" s="18">
        <f>IF(Holdings!A28="","",Holdings!L28)</f>
        <v/>
      </c>
      <c r="D28" s="21">
        <f>IF($A28="","",IF($C28="Monthly",$B28/12,IF(AND($C28="Quarterly",MOD(1,3)=0),$B28/4,IF(AND($C28="Semi-Annual",OR(1=6,1=12)),$B28/2,IF(AND($C28="Annual",1=12),$B28,0)))))</f>
        <v/>
      </c>
      <c r="E28" s="21">
        <f>IF($A28="","",IF($C28="Monthly",$B28/12,IF(AND($C28="Quarterly",MOD(2,3)=0),$B28/4,IF(AND($C28="Semi-Annual",OR(2=6,2=12)),$B28/2,IF(AND($C28="Annual",2=12),$B28,0)))))</f>
        <v/>
      </c>
      <c r="F28" s="21">
        <f>IF($A28="","",IF($C28="Monthly",$B28/12,IF(AND($C28="Quarterly",MOD(3,3)=0),$B28/4,IF(AND($C28="Semi-Annual",OR(3=6,3=12)),$B28/2,IF(AND($C28="Annual",3=12),$B28,0)))))</f>
        <v/>
      </c>
      <c r="G28" s="21">
        <f>IF($A28="","",IF($C28="Monthly",$B28/12,IF(AND($C28="Quarterly",MOD(4,3)=0),$B28/4,IF(AND($C28="Semi-Annual",OR(4=6,4=12)),$B28/2,IF(AND($C28="Annual",4=12),$B28,0)))))</f>
        <v/>
      </c>
      <c r="H28" s="21">
        <f>IF($A28="","",IF($C28="Monthly",$B28/12,IF(AND($C28="Quarterly",MOD(5,3)=0),$B28/4,IF(AND($C28="Semi-Annual",OR(5=6,5=12)),$B28/2,IF(AND($C28="Annual",5=12),$B28,0)))))</f>
        <v/>
      </c>
      <c r="I28" s="21">
        <f>IF($A28="","",IF($C28="Monthly",$B28/12,IF(AND($C28="Quarterly",MOD(6,3)=0),$B28/4,IF(AND($C28="Semi-Annual",OR(6=6,6=12)),$B28/2,IF(AND($C28="Annual",6=12),$B28,0)))))</f>
        <v/>
      </c>
      <c r="J28" s="21">
        <f>IF($A28="","",IF($C28="Monthly",$B28/12,IF(AND($C28="Quarterly",MOD(7,3)=0),$B28/4,IF(AND($C28="Semi-Annual",OR(7=6,7=12)),$B28/2,IF(AND($C28="Annual",7=12),$B28,0)))))</f>
        <v/>
      </c>
      <c r="K28" s="21">
        <f>IF($A28="","",IF($C28="Monthly",$B28/12,IF(AND($C28="Quarterly",MOD(8,3)=0),$B28/4,IF(AND($C28="Semi-Annual",OR(8=6,8=12)),$B28/2,IF(AND($C28="Annual",8=12),$B28,0)))))</f>
        <v/>
      </c>
      <c r="L28" s="21">
        <f>IF($A28="","",IF($C28="Monthly",$B28/12,IF(AND($C28="Quarterly",MOD(9,3)=0),$B28/4,IF(AND($C28="Semi-Annual",OR(9=6,9=12)),$B28/2,IF(AND($C28="Annual",9=12),$B28,0)))))</f>
        <v/>
      </c>
      <c r="M28" s="21">
        <f>IF($A28="","",IF($C28="Monthly",$B28/12,IF(AND($C28="Quarterly",MOD(10,3)=0),$B28/4,IF(AND($C28="Semi-Annual",OR(10=6,10=12)),$B28/2,IF(AND($C28="Annual",10=12),$B28,0)))))</f>
        <v/>
      </c>
      <c r="N28" s="21">
        <f>IF($A28="","",IF($C28="Monthly",$B28/12,IF(AND($C28="Quarterly",MOD(11,3)=0),$B28/4,IF(AND($C28="Semi-Annual",OR(11=6,11=12)),$B28/2,IF(AND($C28="Annual",11=12),$B28,0)))))</f>
        <v/>
      </c>
      <c r="O28" s="21">
        <f>IF($A28="","",IF($C28="Monthly",$B28/12,IF(AND($C28="Quarterly",MOD(12,3)=0),$B28/4,IF(AND($C28="Semi-Annual",OR(12=6,12=12)),$B28/2,IF(AND($C28="Annual",12=12),$B28,0)))))</f>
        <v/>
      </c>
    </row>
    <row r="29">
      <c r="A29" s="22">
        <f>IF(Holdings!A29="","",Holdings!A29)</f>
        <v/>
      </c>
      <c r="B29" s="17">
        <f>IF(Holdings!A29="","",Holdings!M29)</f>
        <v/>
      </c>
      <c r="C29" s="14">
        <f>IF(Holdings!A29="","",Holdings!L29)</f>
        <v/>
      </c>
      <c r="D29" s="17">
        <f>IF($A29="","",IF($C29="Monthly",$B29/12,IF(AND($C29="Quarterly",MOD(1,3)=0),$B29/4,IF(AND($C29="Semi-Annual",OR(1=6,1=12)),$B29/2,IF(AND($C29="Annual",1=12),$B29,0)))))</f>
        <v/>
      </c>
      <c r="E29" s="17">
        <f>IF($A29="","",IF($C29="Monthly",$B29/12,IF(AND($C29="Quarterly",MOD(2,3)=0),$B29/4,IF(AND($C29="Semi-Annual",OR(2=6,2=12)),$B29/2,IF(AND($C29="Annual",2=12),$B29,0)))))</f>
        <v/>
      </c>
      <c r="F29" s="17">
        <f>IF($A29="","",IF($C29="Monthly",$B29/12,IF(AND($C29="Quarterly",MOD(3,3)=0),$B29/4,IF(AND($C29="Semi-Annual",OR(3=6,3=12)),$B29/2,IF(AND($C29="Annual",3=12),$B29,0)))))</f>
        <v/>
      </c>
      <c r="G29" s="17">
        <f>IF($A29="","",IF($C29="Monthly",$B29/12,IF(AND($C29="Quarterly",MOD(4,3)=0),$B29/4,IF(AND($C29="Semi-Annual",OR(4=6,4=12)),$B29/2,IF(AND($C29="Annual",4=12),$B29,0)))))</f>
        <v/>
      </c>
      <c r="H29" s="17">
        <f>IF($A29="","",IF($C29="Monthly",$B29/12,IF(AND($C29="Quarterly",MOD(5,3)=0),$B29/4,IF(AND($C29="Semi-Annual",OR(5=6,5=12)),$B29/2,IF(AND($C29="Annual",5=12),$B29,0)))))</f>
        <v/>
      </c>
      <c r="I29" s="17">
        <f>IF($A29="","",IF($C29="Monthly",$B29/12,IF(AND($C29="Quarterly",MOD(6,3)=0),$B29/4,IF(AND($C29="Semi-Annual",OR(6=6,6=12)),$B29/2,IF(AND($C29="Annual",6=12),$B29,0)))))</f>
        <v/>
      </c>
      <c r="J29" s="17">
        <f>IF($A29="","",IF($C29="Monthly",$B29/12,IF(AND($C29="Quarterly",MOD(7,3)=0),$B29/4,IF(AND($C29="Semi-Annual",OR(7=6,7=12)),$B29/2,IF(AND($C29="Annual",7=12),$B29,0)))))</f>
        <v/>
      </c>
      <c r="K29" s="17">
        <f>IF($A29="","",IF($C29="Monthly",$B29/12,IF(AND($C29="Quarterly",MOD(8,3)=0),$B29/4,IF(AND($C29="Semi-Annual",OR(8=6,8=12)),$B29/2,IF(AND($C29="Annual",8=12),$B29,0)))))</f>
        <v/>
      </c>
      <c r="L29" s="17">
        <f>IF($A29="","",IF($C29="Monthly",$B29/12,IF(AND($C29="Quarterly",MOD(9,3)=0),$B29/4,IF(AND($C29="Semi-Annual",OR(9=6,9=12)),$B29/2,IF(AND($C29="Annual",9=12),$B29,0)))))</f>
        <v/>
      </c>
      <c r="M29" s="17">
        <f>IF($A29="","",IF($C29="Monthly",$B29/12,IF(AND($C29="Quarterly",MOD(10,3)=0),$B29/4,IF(AND($C29="Semi-Annual",OR(10=6,10=12)),$B29/2,IF(AND($C29="Annual",10=12),$B29,0)))))</f>
        <v/>
      </c>
      <c r="N29" s="17">
        <f>IF($A29="","",IF($C29="Monthly",$B29/12,IF(AND($C29="Quarterly",MOD(11,3)=0),$B29/4,IF(AND($C29="Semi-Annual",OR(11=6,11=12)),$B29/2,IF(AND($C29="Annual",11=12),$B29,0)))))</f>
        <v/>
      </c>
      <c r="O29" s="17">
        <f>IF($A29="","",IF($C29="Monthly",$B29/12,IF(AND($C29="Quarterly",MOD(12,3)=0),$B29/4,IF(AND($C29="Semi-Annual",OR(12=6,12=12)),$B29/2,IF(AND($C29="Annual",12=12),$B29,0)))))</f>
        <v/>
      </c>
    </row>
    <row r="30">
      <c r="A30" s="26">
        <f>IF(Holdings!A30="","",Holdings!A30)</f>
        <v/>
      </c>
      <c r="B30" s="21">
        <f>IF(Holdings!A30="","",Holdings!M30)</f>
        <v/>
      </c>
      <c r="C30" s="18">
        <f>IF(Holdings!A30="","",Holdings!L30)</f>
        <v/>
      </c>
      <c r="D30" s="21">
        <f>IF($A30="","",IF($C30="Monthly",$B30/12,IF(AND($C30="Quarterly",MOD(1,3)=0),$B30/4,IF(AND($C30="Semi-Annual",OR(1=6,1=12)),$B30/2,IF(AND($C30="Annual",1=12),$B30,0)))))</f>
        <v/>
      </c>
      <c r="E30" s="21">
        <f>IF($A30="","",IF($C30="Monthly",$B30/12,IF(AND($C30="Quarterly",MOD(2,3)=0),$B30/4,IF(AND($C30="Semi-Annual",OR(2=6,2=12)),$B30/2,IF(AND($C30="Annual",2=12),$B30,0)))))</f>
        <v/>
      </c>
      <c r="F30" s="21">
        <f>IF($A30="","",IF($C30="Monthly",$B30/12,IF(AND($C30="Quarterly",MOD(3,3)=0),$B30/4,IF(AND($C30="Semi-Annual",OR(3=6,3=12)),$B30/2,IF(AND($C30="Annual",3=12),$B30,0)))))</f>
        <v/>
      </c>
      <c r="G30" s="21">
        <f>IF($A30="","",IF($C30="Monthly",$B30/12,IF(AND($C30="Quarterly",MOD(4,3)=0),$B30/4,IF(AND($C30="Semi-Annual",OR(4=6,4=12)),$B30/2,IF(AND($C30="Annual",4=12),$B30,0)))))</f>
        <v/>
      </c>
      <c r="H30" s="21">
        <f>IF($A30="","",IF($C30="Monthly",$B30/12,IF(AND($C30="Quarterly",MOD(5,3)=0),$B30/4,IF(AND($C30="Semi-Annual",OR(5=6,5=12)),$B30/2,IF(AND($C30="Annual",5=12),$B30,0)))))</f>
        <v/>
      </c>
      <c r="I30" s="21">
        <f>IF($A30="","",IF($C30="Monthly",$B30/12,IF(AND($C30="Quarterly",MOD(6,3)=0),$B30/4,IF(AND($C30="Semi-Annual",OR(6=6,6=12)),$B30/2,IF(AND($C30="Annual",6=12),$B30,0)))))</f>
        <v/>
      </c>
      <c r="J30" s="21">
        <f>IF($A30="","",IF($C30="Monthly",$B30/12,IF(AND($C30="Quarterly",MOD(7,3)=0),$B30/4,IF(AND($C30="Semi-Annual",OR(7=6,7=12)),$B30/2,IF(AND($C30="Annual",7=12),$B30,0)))))</f>
        <v/>
      </c>
      <c r="K30" s="21">
        <f>IF($A30="","",IF($C30="Monthly",$B30/12,IF(AND($C30="Quarterly",MOD(8,3)=0),$B30/4,IF(AND($C30="Semi-Annual",OR(8=6,8=12)),$B30/2,IF(AND($C30="Annual",8=12),$B30,0)))))</f>
        <v/>
      </c>
      <c r="L30" s="21">
        <f>IF($A30="","",IF($C30="Monthly",$B30/12,IF(AND($C30="Quarterly",MOD(9,3)=0),$B30/4,IF(AND($C30="Semi-Annual",OR(9=6,9=12)),$B30/2,IF(AND($C30="Annual",9=12),$B30,0)))))</f>
        <v/>
      </c>
      <c r="M30" s="21">
        <f>IF($A30="","",IF($C30="Monthly",$B30/12,IF(AND($C30="Quarterly",MOD(10,3)=0),$B30/4,IF(AND($C30="Semi-Annual",OR(10=6,10=12)),$B30/2,IF(AND($C30="Annual",10=12),$B30,0)))))</f>
        <v/>
      </c>
      <c r="N30" s="21">
        <f>IF($A30="","",IF($C30="Monthly",$B30/12,IF(AND($C30="Quarterly",MOD(11,3)=0),$B30/4,IF(AND($C30="Semi-Annual",OR(11=6,11=12)),$B30/2,IF(AND($C30="Annual",11=12),$B30,0)))))</f>
        <v/>
      </c>
      <c r="O30" s="21">
        <f>IF($A30="","",IF($C30="Monthly",$B30/12,IF(AND($C30="Quarterly",MOD(12,3)=0),$B30/4,IF(AND($C30="Semi-Annual",OR(12=6,12=12)),$B30/2,IF(AND($C30="Annual",12=12),$B30,0)))))</f>
        <v/>
      </c>
    </row>
    <row r="31">
      <c r="A31" s="22">
        <f>IF(Holdings!A31="","",Holdings!A31)</f>
        <v/>
      </c>
      <c r="B31" s="17">
        <f>IF(Holdings!A31="","",Holdings!M31)</f>
        <v/>
      </c>
      <c r="C31" s="14">
        <f>IF(Holdings!A31="","",Holdings!L31)</f>
        <v/>
      </c>
      <c r="D31" s="17">
        <f>IF($A31="","",IF($C31="Monthly",$B31/12,IF(AND($C31="Quarterly",MOD(1,3)=0),$B31/4,IF(AND($C31="Semi-Annual",OR(1=6,1=12)),$B31/2,IF(AND($C31="Annual",1=12),$B31,0)))))</f>
        <v/>
      </c>
      <c r="E31" s="17">
        <f>IF($A31="","",IF($C31="Monthly",$B31/12,IF(AND($C31="Quarterly",MOD(2,3)=0),$B31/4,IF(AND($C31="Semi-Annual",OR(2=6,2=12)),$B31/2,IF(AND($C31="Annual",2=12),$B31,0)))))</f>
        <v/>
      </c>
      <c r="F31" s="17">
        <f>IF($A31="","",IF($C31="Monthly",$B31/12,IF(AND($C31="Quarterly",MOD(3,3)=0),$B31/4,IF(AND($C31="Semi-Annual",OR(3=6,3=12)),$B31/2,IF(AND($C31="Annual",3=12),$B31,0)))))</f>
        <v/>
      </c>
      <c r="G31" s="17">
        <f>IF($A31="","",IF($C31="Monthly",$B31/12,IF(AND($C31="Quarterly",MOD(4,3)=0),$B31/4,IF(AND($C31="Semi-Annual",OR(4=6,4=12)),$B31/2,IF(AND($C31="Annual",4=12),$B31,0)))))</f>
        <v/>
      </c>
      <c r="H31" s="17">
        <f>IF($A31="","",IF($C31="Monthly",$B31/12,IF(AND($C31="Quarterly",MOD(5,3)=0),$B31/4,IF(AND($C31="Semi-Annual",OR(5=6,5=12)),$B31/2,IF(AND($C31="Annual",5=12),$B31,0)))))</f>
        <v/>
      </c>
      <c r="I31" s="17">
        <f>IF($A31="","",IF($C31="Monthly",$B31/12,IF(AND($C31="Quarterly",MOD(6,3)=0),$B31/4,IF(AND($C31="Semi-Annual",OR(6=6,6=12)),$B31/2,IF(AND($C31="Annual",6=12),$B31,0)))))</f>
        <v/>
      </c>
      <c r="J31" s="17">
        <f>IF($A31="","",IF($C31="Monthly",$B31/12,IF(AND($C31="Quarterly",MOD(7,3)=0),$B31/4,IF(AND($C31="Semi-Annual",OR(7=6,7=12)),$B31/2,IF(AND($C31="Annual",7=12),$B31,0)))))</f>
        <v/>
      </c>
      <c r="K31" s="17">
        <f>IF($A31="","",IF($C31="Monthly",$B31/12,IF(AND($C31="Quarterly",MOD(8,3)=0),$B31/4,IF(AND($C31="Semi-Annual",OR(8=6,8=12)),$B31/2,IF(AND($C31="Annual",8=12),$B31,0)))))</f>
        <v/>
      </c>
      <c r="L31" s="17">
        <f>IF($A31="","",IF($C31="Monthly",$B31/12,IF(AND($C31="Quarterly",MOD(9,3)=0),$B31/4,IF(AND($C31="Semi-Annual",OR(9=6,9=12)),$B31/2,IF(AND($C31="Annual",9=12),$B31,0)))))</f>
        <v/>
      </c>
      <c r="M31" s="17">
        <f>IF($A31="","",IF($C31="Monthly",$B31/12,IF(AND($C31="Quarterly",MOD(10,3)=0),$B31/4,IF(AND($C31="Semi-Annual",OR(10=6,10=12)),$B31/2,IF(AND($C31="Annual",10=12),$B31,0)))))</f>
        <v/>
      </c>
      <c r="N31" s="17">
        <f>IF($A31="","",IF($C31="Monthly",$B31/12,IF(AND($C31="Quarterly",MOD(11,3)=0),$B31/4,IF(AND($C31="Semi-Annual",OR(11=6,11=12)),$B31/2,IF(AND($C31="Annual",11=12),$B31,0)))))</f>
        <v/>
      </c>
      <c r="O31" s="17">
        <f>IF($A31="","",IF($C31="Monthly",$B31/12,IF(AND($C31="Quarterly",MOD(12,3)=0),$B31/4,IF(AND($C31="Semi-Annual",OR(12=6,12=12)),$B31/2,IF(AND($C31="Annual",12=12),$B31,0)))))</f>
        <v/>
      </c>
    </row>
    <row r="32">
      <c r="A32" s="26">
        <f>IF(Holdings!A32="","",Holdings!A32)</f>
        <v/>
      </c>
      <c r="B32" s="21">
        <f>IF(Holdings!A32="","",Holdings!M32)</f>
        <v/>
      </c>
      <c r="C32" s="18">
        <f>IF(Holdings!A32="","",Holdings!L32)</f>
        <v/>
      </c>
      <c r="D32" s="21">
        <f>IF($A32="","",IF($C32="Monthly",$B32/12,IF(AND($C32="Quarterly",MOD(1,3)=0),$B32/4,IF(AND($C32="Semi-Annual",OR(1=6,1=12)),$B32/2,IF(AND($C32="Annual",1=12),$B32,0)))))</f>
        <v/>
      </c>
      <c r="E32" s="21">
        <f>IF($A32="","",IF($C32="Monthly",$B32/12,IF(AND($C32="Quarterly",MOD(2,3)=0),$B32/4,IF(AND($C32="Semi-Annual",OR(2=6,2=12)),$B32/2,IF(AND($C32="Annual",2=12),$B32,0)))))</f>
        <v/>
      </c>
      <c r="F32" s="21">
        <f>IF($A32="","",IF($C32="Monthly",$B32/12,IF(AND($C32="Quarterly",MOD(3,3)=0),$B32/4,IF(AND($C32="Semi-Annual",OR(3=6,3=12)),$B32/2,IF(AND($C32="Annual",3=12),$B32,0)))))</f>
        <v/>
      </c>
      <c r="G32" s="21">
        <f>IF($A32="","",IF($C32="Monthly",$B32/12,IF(AND($C32="Quarterly",MOD(4,3)=0),$B32/4,IF(AND($C32="Semi-Annual",OR(4=6,4=12)),$B32/2,IF(AND($C32="Annual",4=12),$B32,0)))))</f>
        <v/>
      </c>
      <c r="H32" s="21">
        <f>IF($A32="","",IF($C32="Monthly",$B32/12,IF(AND($C32="Quarterly",MOD(5,3)=0),$B32/4,IF(AND($C32="Semi-Annual",OR(5=6,5=12)),$B32/2,IF(AND($C32="Annual",5=12),$B32,0)))))</f>
        <v/>
      </c>
      <c r="I32" s="21">
        <f>IF($A32="","",IF($C32="Monthly",$B32/12,IF(AND($C32="Quarterly",MOD(6,3)=0),$B32/4,IF(AND($C32="Semi-Annual",OR(6=6,6=12)),$B32/2,IF(AND($C32="Annual",6=12),$B32,0)))))</f>
        <v/>
      </c>
      <c r="J32" s="21">
        <f>IF($A32="","",IF($C32="Monthly",$B32/12,IF(AND($C32="Quarterly",MOD(7,3)=0),$B32/4,IF(AND($C32="Semi-Annual",OR(7=6,7=12)),$B32/2,IF(AND($C32="Annual",7=12),$B32,0)))))</f>
        <v/>
      </c>
      <c r="K32" s="21">
        <f>IF($A32="","",IF($C32="Monthly",$B32/12,IF(AND($C32="Quarterly",MOD(8,3)=0),$B32/4,IF(AND($C32="Semi-Annual",OR(8=6,8=12)),$B32/2,IF(AND($C32="Annual",8=12),$B32,0)))))</f>
        <v/>
      </c>
      <c r="L32" s="21">
        <f>IF($A32="","",IF($C32="Monthly",$B32/12,IF(AND($C32="Quarterly",MOD(9,3)=0),$B32/4,IF(AND($C32="Semi-Annual",OR(9=6,9=12)),$B32/2,IF(AND($C32="Annual",9=12),$B32,0)))))</f>
        <v/>
      </c>
      <c r="M32" s="21">
        <f>IF($A32="","",IF($C32="Monthly",$B32/12,IF(AND($C32="Quarterly",MOD(10,3)=0),$B32/4,IF(AND($C32="Semi-Annual",OR(10=6,10=12)),$B32/2,IF(AND($C32="Annual",10=12),$B32,0)))))</f>
        <v/>
      </c>
      <c r="N32" s="21">
        <f>IF($A32="","",IF($C32="Monthly",$B32/12,IF(AND($C32="Quarterly",MOD(11,3)=0),$B32/4,IF(AND($C32="Semi-Annual",OR(11=6,11=12)),$B32/2,IF(AND($C32="Annual",11=12),$B32,0)))))</f>
        <v/>
      </c>
      <c r="O32" s="21">
        <f>IF($A32="","",IF($C32="Monthly",$B32/12,IF(AND($C32="Quarterly",MOD(12,3)=0),$B32/4,IF(AND($C32="Semi-Annual",OR(12=6,12=12)),$B32/2,IF(AND($C32="Annual",12=12),$B32,0)))))</f>
        <v/>
      </c>
    </row>
    <row r="33">
      <c r="A33" s="22">
        <f>IF(Holdings!A33="","",Holdings!A33)</f>
        <v/>
      </c>
      <c r="B33" s="17">
        <f>IF(Holdings!A33="","",Holdings!M33)</f>
        <v/>
      </c>
      <c r="C33" s="14">
        <f>IF(Holdings!A33="","",Holdings!L33)</f>
        <v/>
      </c>
      <c r="D33" s="17">
        <f>IF($A33="","",IF($C33="Monthly",$B33/12,IF(AND($C33="Quarterly",MOD(1,3)=0),$B33/4,IF(AND($C33="Semi-Annual",OR(1=6,1=12)),$B33/2,IF(AND($C33="Annual",1=12),$B33,0)))))</f>
        <v/>
      </c>
      <c r="E33" s="17">
        <f>IF($A33="","",IF($C33="Monthly",$B33/12,IF(AND($C33="Quarterly",MOD(2,3)=0),$B33/4,IF(AND($C33="Semi-Annual",OR(2=6,2=12)),$B33/2,IF(AND($C33="Annual",2=12),$B33,0)))))</f>
        <v/>
      </c>
      <c r="F33" s="17">
        <f>IF($A33="","",IF($C33="Monthly",$B33/12,IF(AND($C33="Quarterly",MOD(3,3)=0),$B33/4,IF(AND($C33="Semi-Annual",OR(3=6,3=12)),$B33/2,IF(AND($C33="Annual",3=12),$B33,0)))))</f>
        <v/>
      </c>
      <c r="G33" s="17">
        <f>IF($A33="","",IF($C33="Monthly",$B33/12,IF(AND($C33="Quarterly",MOD(4,3)=0),$B33/4,IF(AND($C33="Semi-Annual",OR(4=6,4=12)),$B33/2,IF(AND($C33="Annual",4=12),$B33,0)))))</f>
        <v/>
      </c>
      <c r="H33" s="17">
        <f>IF($A33="","",IF($C33="Monthly",$B33/12,IF(AND($C33="Quarterly",MOD(5,3)=0),$B33/4,IF(AND($C33="Semi-Annual",OR(5=6,5=12)),$B33/2,IF(AND($C33="Annual",5=12),$B33,0)))))</f>
        <v/>
      </c>
      <c r="I33" s="17">
        <f>IF($A33="","",IF($C33="Monthly",$B33/12,IF(AND($C33="Quarterly",MOD(6,3)=0),$B33/4,IF(AND($C33="Semi-Annual",OR(6=6,6=12)),$B33/2,IF(AND($C33="Annual",6=12),$B33,0)))))</f>
        <v/>
      </c>
      <c r="J33" s="17">
        <f>IF($A33="","",IF($C33="Monthly",$B33/12,IF(AND($C33="Quarterly",MOD(7,3)=0),$B33/4,IF(AND($C33="Semi-Annual",OR(7=6,7=12)),$B33/2,IF(AND($C33="Annual",7=12),$B33,0)))))</f>
        <v/>
      </c>
      <c r="K33" s="17">
        <f>IF($A33="","",IF($C33="Monthly",$B33/12,IF(AND($C33="Quarterly",MOD(8,3)=0),$B33/4,IF(AND($C33="Semi-Annual",OR(8=6,8=12)),$B33/2,IF(AND($C33="Annual",8=12),$B33,0)))))</f>
        <v/>
      </c>
      <c r="L33" s="17">
        <f>IF($A33="","",IF($C33="Monthly",$B33/12,IF(AND($C33="Quarterly",MOD(9,3)=0),$B33/4,IF(AND($C33="Semi-Annual",OR(9=6,9=12)),$B33/2,IF(AND($C33="Annual",9=12),$B33,0)))))</f>
        <v/>
      </c>
      <c r="M33" s="17">
        <f>IF($A33="","",IF($C33="Monthly",$B33/12,IF(AND($C33="Quarterly",MOD(10,3)=0),$B33/4,IF(AND($C33="Semi-Annual",OR(10=6,10=12)),$B33/2,IF(AND($C33="Annual",10=12),$B33,0)))))</f>
        <v/>
      </c>
      <c r="N33" s="17">
        <f>IF($A33="","",IF($C33="Monthly",$B33/12,IF(AND($C33="Quarterly",MOD(11,3)=0),$B33/4,IF(AND($C33="Semi-Annual",OR(11=6,11=12)),$B33/2,IF(AND($C33="Annual",11=12),$B33,0)))))</f>
        <v/>
      </c>
      <c r="O33" s="17">
        <f>IF($A33="","",IF($C33="Monthly",$B33/12,IF(AND($C33="Quarterly",MOD(12,3)=0),$B33/4,IF(AND($C33="Semi-Annual",OR(12=6,12=12)),$B33/2,IF(AND($C33="Annual",12=12),$B33,0)))))</f>
        <v/>
      </c>
    </row>
    <row r="34">
      <c r="A34" s="26">
        <f>IF(Holdings!A34="","",Holdings!A34)</f>
        <v/>
      </c>
      <c r="B34" s="21">
        <f>IF(Holdings!A34="","",Holdings!M34)</f>
        <v/>
      </c>
      <c r="C34" s="18">
        <f>IF(Holdings!A34="","",Holdings!L34)</f>
        <v/>
      </c>
      <c r="D34" s="21">
        <f>IF($A34="","",IF($C34="Monthly",$B34/12,IF(AND($C34="Quarterly",MOD(1,3)=0),$B34/4,IF(AND($C34="Semi-Annual",OR(1=6,1=12)),$B34/2,IF(AND($C34="Annual",1=12),$B34,0)))))</f>
        <v/>
      </c>
      <c r="E34" s="21">
        <f>IF($A34="","",IF($C34="Monthly",$B34/12,IF(AND($C34="Quarterly",MOD(2,3)=0),$B34/4,IF(AND($C34="Semi-Annual",OR(2=6,2=12)),$B34/2,IF(AND($C34="Annual",2=12),$B34,0)))))</f>
        <v/>
      </c>
      <c r="F34" s="21">
        <f>IF($A34="","",IF($C34="Monthly",$B34/12,IF(AND($C34="Quarterly",MOD(3,3)=0),$B34/4,IF(AND($C34="Semi-Annual",OR(3=6,3=12)),$B34/2,IF(AND($C34="Annual",3=12),$B34,0)))))</f>
        <v/>
      </c>
      <c r="G34" s="21">
        <f>IF($A34="","",IF($C34="Monthly",$B34/12,IF(AND($C34="Quarterly",MOD(4,3)=0),$B34/4,IF(AND($C34="Semi-Annual",OR(4=6,4=12)),$B34/2,IF(AND($C34="Annual",4=12),$B34,0)))))</f>
        <v/>
      </c>
      <c r="H34" s="21">
        <f>IF($A34="","",IF($C34="Monthly",$B34/12,IF(AND($C34="Quarterly",MOD(5,3)=0),$B34/4,IF(AND($C34="Semi-Annual",OR(5=6,5=12)),$B34/2,IF(AND($C34="Annual",5=12),$B34,0)))))</f>
        <v/>
      </c>
      <c r="I34" s="21">
        <f>IF($A34="","",IF($C34="Monthly",$B34/12,IF(AND($C34="Quarterly",MOD(6,3)=0),$B34/4,IF(AND($C34="Semi-Annual",OR(6=6,6=12)),$B34/2,IF(AND($C34="Annual",6=12),$B34,0)))))</f>
        <v/>
      </c>
      <c r="J34" s="21">
        <f>IF($A34="","",IF($C34="Monthly",$B34/12,IF(AND($C34="Quarterly",MOD(7,3)=0),$B34/4,IF(AND($C34="Semi-Annual",OR(7=6,7=12)),$B34/2,IF(AND($C34="Annual",7=12),$B34,0)))))</f>
        <v/>
      </c>
      <c r="K34" s="21">
        <f>IF($A34="","",IF($C34="Monthly",$B34/12,IF(AND($C34="Quarterly",MOD(8,3)=0),$B34/4,IF(AND($C34="Semi-Annual",OR(8=6,8=12)),$B34/2,IF(AND($C34="Annual",8=12),$B34,0)))))</f>
        <v/>
      </c>
      <c r="L34" s="21">
        <f>IF($A34="","",IF($C34="Monthly",$B34/12,IF(AND($C34="Quarterly",MOD(9,3)=0),$B34/4,IF(AND($C34="Semi-Annual",OR(9=6,9=12)),$B34/2,IF(AND($C34="Annual",9=12),$B34,0)))))</f>
        <v/>
      </c>
      <c r="M34" s="21">
        <f>IF($A34="","",IF($C34="Monthly",$B34/12,IF(AND($C34="Quarterly",MOD(10,3)=0),$B34/4,IF(AND($C34="Semi-Annual",OR(10=6,10=12)),$B34/2,IF(AND($C34="Annual",10=12),$B34,0)))))</f>
        <v/>
      </c>
      <c r="N34" s="21">
        <f>IF($A34="","",IF($C34="Monthly",$B34/12,IF(AND($C34="Quarterly",MOD(11,3)=0),$B34/4,IF(AND($C34="Semi-Annual",OR(11=6,11=12)),$B34/2,IF(AND($C34="Annual",11=12),$B34,0)))))</f>
        <v/>
      </c>
      <c r="O34" s="21">
        <f>IF($A34="","",IF($C34="Monthly",$B34/12,IF(AND($C34="Quarterly",MOD(12,3)=0),$B34/4,IF(AND($C34="Semi-Annual",OR(12=6,12=12)),$B34/2,IF(AND($C34="Annual",12=12),$B34,0)))))</f>
        <v/>
      </c>
    </row>
    <row r="35">
      <c r="A35" s="22">
        <f>IF(Holdings!A35="","",Holdings!A35)</f>
        <v/>
      </c>
      <c r="B35" s="17">
        <f>IF(Holdings!A35="","",Holdings!M35)</f>
        <v/>
      </c>
      <c r="C35" s="14">
        <f>IF(Holdings!A35="","",Holdings!L35)</f>
        <v/>
      </c>
      <c r="D35" s="17">
        <f>IF($A35="","",IF($C35="Monthly",$B35/12,IF(AND($C35="Quarterly",MOD(1,3)=0),$B35/4,IF(AND($C35="Semi-Annual",OR(1=6,1=12)),$B35/2,IF(AND($C35="Annual",1=12),$B35,0)))))</f>
        <v/>
      </c>
      <c r="E35" s="17">
        <f>IF($A35="","",IF($C35="Monthly",$B35/12,IF(AND($C35="Quarterly",MOD(2,3)=0),$B35/4,IF(AND($C35="Semi-Annual",OR(2=6,2=12)),$B35/2,IF(AND($C35="Annual",2=12),$B35,0)))))</f>
        <v/>
      </c>
      <c r="F35" s="17">
        <f>IF($A35="","",IF($C35="Monthly",$B35/12,IF(AND($C35="Quarterly",MOD(3,3)=0),$B35/4,IF(AND($C35="Semi-Annual",OR(3=6,3=12)),$B35/2,IF(AND($C35="Annual",3=12),$B35,0)))))</f>
        <v/>
      </c>
      <c r="G35" s="17">
        <f>IF($A35="","",IF($C35="Monthly",$B35/12,IF(AND($C35="Quarterly",MOD(4,3)=0),$B35/4,IF(AND($C35="Semi-Annual",OR(4=6,4=12)),$B35/2,IF(AND($C35="Annual",4=12),$B35,0)))))</f>
        <v/>
      </c>
      <c r="H35" s="17">
        <f>IF($A35="","",IF($C35="Monthly",$B35/12,IF(AND($C35="Quarterly",MOD(5,3)=0),$B35/4,IF(AND($C35="Semi-Annual",OR(5=6,5=12)),$B35/2,IF(AND($C35="Annual",5=12),$B35,0)))))</f>
        <v/>
      </c>
      <c r="I35" s="17">
        <f>IF($A35="","",IF($C35="Monthly",$B35/12,IF(AND($C35="Quarterly",MOD(6,3)=0),$B35/4,IF(AND($C35="Semi-Annual",OR(6=6,6=12)),$B35/2,IF(AND($C35="Annual",6=12),$B35,0)))))</f>
        <v/>
      </c>
      <c r="J35" s="17">
        <f>IF($A35="","",IF($C35="Monthly",$B35/12,IF(AND($C35="Quarterly",MOD(7,3)=0),$B35/4,IF(AND($C35="Semi-Annual",OR(7=6,7=12)),$B35/2,IF(AND($C35="Annual",7=12),$B35,0)))))</f>
        <v/>
      </c>
      <c r="K35" s="17">
        <f>IF($A35="","",IF($C35="Monthly",$B35/12,IF(AND($C35="Quarterly",MOD(8,3)=0),$B35/4,IF(AND($C35="Semi-Annual",OR(8=6,8=12)),$B35/2,IF(AND($C35="Annual",8=12),$B35,0)))))</f>
        <v/>
      </c>
      <c r="L35" s="17">
        <f>IF($A35="","",IF($C35="Monthly",$B35/12,IF(AND($C35="Quarterly",MOD(9,3)=0),$B35/4,IF(AND($C35="Semi-Annual",OR(9=6,9=12)),$B35/2,IF(AND($C35="Annual",9=12),$B35,0)))))</f>
        <v/>
      </c>
      <c r="M35" s="17">
        <f>IF($A35="","",IF($C35="Monthly",$B35/12,IF(AND($C35="Quarterly",MOD(10,3)=0),$B35/4,IF(AND($C35="Semi-Annual",OR(10=6,10=12)),$B35/2,IF(AND($C35="Annual",10=12),$B35,0)))))</f>
        <v/>
      </c>
      <c r="N35" s="17">
        <f>IF($A35="","",IF($C35="Monthly",$B35/12,IF(AND($C35="Quarterly",MOD(11,3)=0),$B35/4,IF(AND($C35="Semi-Annual",OR(11=6,11=12)),$B35/2,IF(AND($C35="Annual",11=12),$B35,0)))))</f>
        <v/>
      </c>
      <c r="O35" s="17">
        <f>IF($A35="","",IF($C35="Monthly",$B35/12,IF(AND($C35="Quarterly",MOD(12,3)=0),$B35/4,IF(AND($C35="Semi-Annual",OR(12=6,12=12)),$B35/2,IF(AND($C35="Annual",12=12),$B35,0)))))</f>
        <v/>
      </c>
    </row>
    <row r="36">
      <c r="A36" s="26">
        <f>IF(Holdings!A36="","",Holdings!A36)</f>
        <v/>
      </c>
      <c r="B36" s="21">
        <f>IF(Holdings!A36="","",Holdings!M36)</f>
        <v/>
      </c>
      <c r="C36" s="18">
        <f>IF(Holdings!A36="","",Holdings!L36)</f>
        <v/>
      </c>
      <c r="D36" s="21">
        <f>IF($A36="","",IF($C36="Monthly",$B36/12,IF(AND($C36="Quarterly",MOD(1,3)=0),$B36/4,IF(AND($C36="Semi-Annual",OR(1=6,1=12)),$B36/2,IF(AND($C36="Annual",1=12),$B36,0)))))</f>
        <v/>
      </c>
      <c r="E36" s="21">
        <f>IF($A36="","",IF($C36="Monthly",$B36/12,IF(AND($C36="Quarterly",MOD(2,3)=0),$B36/4,IF(AND($C36="Semi-Annual",OR(2=6,2=12)),$B36/2,IF(AND($C36="Annual",2=12),$B36,0)))))</f>
        <v/>
      </c>
      <c r="F36" s="21">
        <f>IF($A36="","",IF($C36="Monthly",$B36/12,IF(AND($C36="Quarterly",MOD(3,3)=0),$B36/4,IF(AND($C36="Semi-Annual",OR(3=6,3=12)),$B36/2,IF(AND($C36="Annual",3=12),$B36,0)))))</f>
        <v/>
      </c>
      <c r="G36" s="21">
        <f>IF($A36="","",IF($C36="Monthly",$B36/12,IF(AND($C36="Quarterly",MOD(4,3)=0),$B36/4,IF(AND($C36="Semi-Annual",OR(4=6,4=12)),$B36/2,IF(AND($C36="Annual",4=12),$B36,0)))))</f>
        <v/>
      </c>
      <c r="H36" s="21">
        <f>IF($A36="","",IF($C36="Monthly",$B36/12,IF(AND($C36="Quarterly",MOD(5,3)=0),$B36/4,IF(AND($C36="Semi-Annual",OR(5=6,5=12)),$B36/2,IF(AND($C36="Annual",5=12),$B36,0)))))</f>
        <v/>
      </c>
      <c r="I36" s="21">
        <f>IF($A36="","",IF($C36="Monthly",$B36/12,IF(AND($C36="Quarterly",MOD(6,3)=0),$B36/4,IF(AND($C36="Semi-Annual",OR(6=6,6=12)),$B36/2,IF(AND($C36="Annual",6=12),$B36,0)))))</f>
        <v/>
      </c>
      <c r="J36" s="21">
        <f>IF($A36="","",IF($C36="Monthly",$B36/12,IF(AND($C36="Quarterly",MOD(7,3)=0),$B36/4,IF(AND($C36="Semi-Annual",OR(7=6,7=12)),$B36/2,IF(AND($C36="Annual",7=12),$B36,0)))))</f>
        <v/>
      </c>
      <c r="K36" s="21">
        <f>IF($A36="","",IF($C36="Monthly",$B36/12,IF(AND($C36="Quarterly",MOD(8,3)=0),$B36/4,IF(AND($C36="Semi-Annual",OR(8=6,8=12)),$B36/2,IF(AND($C36="Annual",8=12),$B36,0)))))</f>
        <v/>
      </c>
      <c r="L36" s="21">
        <f>IF($A36="","",IF($C36="Monthly",$B36/12,IF(AND($C36="Quarterly",MOD(9,3)=0),$B36/4,IF(AND($C36="Semi-Annual",OR(9=6,9=12)),$B36/2,IF(AND($C36="Annual",9=12),$B36,0)))))</f>
        <v/>
      </c>
      <c r="M36" s="21">
        <f>IF($A36="","",IF($C36="Monthly",$B36/12,IF(AND($C36="Quarterly",MOD(10,3)=0),$B36/4,IF(AND($C36="Semi-Annual",OR(10=6,10=12)),$B36/2,IF(AND($C36="Annual",10=12),$B36,0)))))</f>
        <v/>
      </c>
      <c r="N36" s="21">
        <f>IF($A36="","",IF($C36="Monthly",$B36/12,IF(AND($C36="Quarterly",MOD(11,3)=0),$B36/4,IF(AND($C36="Semi-Annual",OR(11=6,11=12)),$B36/2,IF(AND($C36="Annual",11=12),$B36,0)))))</f>
        <v/>
      </c>
      <c r="O36" s="21">
        <f>IF($A36="","",IF($C36="Monthly",$B36/12,IF(AND($C36="Quarterly",MOD(12,3)=0),$B36/4,IF(AND($C36="Semi-Annual",OR(12=6,12=12)),$B36/2,IF(AND($C36="Annual",12=12),$B36,0)))))</f>
        <v/>
      </c>
    </row>
    <row r="37">
      <c r="A37" s="22">
        <f>IF(Holdings!A37="","",Holdings!A37)</f>
        <v/>
      </c>
      <c r="B37" s="17">
        <f>IF(Holdings!A37="","",Holdings!M37)</f>
        <v/>
      </c>
      <c r="C37" s="14">
        <f>IF(Holdings!A37="","",Holdings!L37)</f>
        <v/>
      </c>
      <c r="D37" s="17">
        <f>IF($A37="","",IF($C37="Monthly",$B37/12,IF(AND($C37="Quarterly",MOD(1,3)=0),$B37/4,IF(AND($C37="Semi-Annual",OR(1=6,1=12)),$B37/2,IF(AND($C37="Annual",1=12),$B37,0)))))</f>
        <v/>
      </c>
      <c r="E37" s="17">
        <f>IF($A37="","",IF($C37="Monthly",$B37/12,IF(AND($C37="Quarterly",MOD(2,3)=0),$B37/4,IF(AND($C37="Semi-Annual",OR(2=6,2=12)),$B37/2,IF(AND($C37="Annual",2=12),$B37,0)))))</f>
        <v/>
      </c>
      <c r="F37" s="17">
        <f>IF($A37="","",IF($C37="Monthly",$B37/12,IF(AND($C37="Quarterly",MOD(3,3)=0),$B37/4,IF(AND($C37="Semi-Annual",OR(3=6,3=12)),$B37/2,IF(AND($C37="Annual",3=12),$B37,0)))))</f>
        <v/>
      </c>
      <c r="G37" s="17">
        <f>IF($A37="","",IF($C37="Monthly",$B37/12,IF(AND($C37="Quarterly",MOD(4,3)=0),$B37/4,IF(AND($C37="Semi-Annual",OR(4=6,4=12)),$B37/2,IF(AND($C37="Annual",4=12),$B37,0)))))</f>
        <v/>
      </c>
      <c r="H37" s="17">
        <f>IF($A37="","",IF($C37="Monthly",$B37/12,IF(AND($C37="Quarterly",MOD(5,3)=0),$B37/4,IF(AND($C37="Semi-Annual",OR(5=6,5=12)),$B37/2,IF(AND($C37="Annual",5=12),$B37,0)))))</f>
        <v/>
      </c>
      <c r="I37" s="17">
        <f>IF($A37="","",IF($C37="Monthly",$B37/12,IF(AND($C37="Quarterly",MOD(6,3)=0),$B37/4,IF(AND($C37="Semi-Annual",OR(6=6,6=12)),$B37/2,IF(AND($C37="Annual",6=12),$B37,0)))))</f>
        <v/>
      </c>
      <c r="J37" s="17">
        <f>IF($A37="","",IF($C37="Monthly",$B37/12,IF(AND($C37="Quarterly",MOD(7,3)=0),$B37/4,IF(AND($C37="Semi-Annual",OR(7=6,7=12)),$B37/2,IF(AND($C37="Annual",7=12),$B37,0)))))</f>
        <v/>
      </c>
      <c r="K37" s="17">
        <f>IF($A37="","",IF($C37="Monthly",$B37/12,IF(AND($C37="Quarterly",MOD(8,3)=0),$B37/4,IF(AND($C37="Semi-Annual",OR(8=6,8=12)),$B37/2,IF(AND($C37="Annual",8=12),$B37,0)))))</f>
        <v/>
      </c>
      <c r="L37" s="17">
        <f>IF($A37="","",IF($C37="Monthly",$B37/12,IF(AND($C37="Quarterly",MOD(9,3)=0),$B37/4,IF(AND($C37="Semi-Annual",OR(9=6,9=12)),$B37/2,IF(AND($C37="Annual",9=12),$B37,0)))))</f>
        <v/>
      </c>
      <c r="M37" s="17">
        <f>IF($A37="","",IF($C37="Monthly",$B37/12,IF(AND($C37="Quarterly",MOD(10,3)=0),$B37/4,IF(AND($C37="Semi-Annual",OR(10=6,10=12)),$B37/2,IF(AND($C37="Annual",10=12),$B37,0)))))</f>
        <v/>
      </c>
      <c r="N37" s="17">
        <f>IF($A37="","",IF($C37="Monthly",$B37/12,IF(AND($C37="Quarterly",MOD(11,3)=0),$B37/4,IF(AND($C37="Semi-Annual",OR(11=6,11=12)),$B37/2,IF(AND($C37="Annual",11=12),$B37,0)))))</f>
        <v/>
      </c>
      <c r="O37" s="17">
        <f>IF($A37="","",IF($C37="Monthly",$B37/12,IF(AND($C37="Quarterly",MOD(12,3)=0),$B37/4,IF(AND($C37="Semi-Annual",OR(12=6,12=12)),$B37/2,IF(AND($C37="Annual",12=12),$B37,0)))))</f>
        <v/>
      </c>
    </row>
    <row r="38">
      <c r="A38" s="26">
        <f>IF(Holdings!A38="","",Holdings!A38)</f>
        <v/>
      </c>
      <c r="B38" s="21">
        <f>IF(Holdings!A38="","",Holdings!M38)</f>
        <v/>
      </c>
      <c r="C38" s="18">
        <f>IF(Holdings!A38="","",Holdings!L38)</f>
        <v/>
      </c>
      <c r="D38" s="21">
        <f>IF($A38="","",IF($C38="Monthly",$B38/12,IF(AND($C38="Quarterly",MOD(1,3)=0),$B38/4,IF(AND($C38="Semi-Annual",OR(1=6,1=12)),$B38/2,IF(AND($C38="Annual",1=12),$B38,0)))))</f>
        <v/>
      </c>
      <c r="E38" s="21">
        <f>IF($A38="","",IF($C38="Monthly",$B38/12,IF(AND($C38="Quarterly",MOD(2,3)=0),$B38/4,IF(AND($C38="Semi-Annual",OR(2=6,2=12)),$B38/2,IF(AND($C38="Annual",2=12),$B38,0)))))</f>
        <v/>
      </c>
      <c r="F38" s="21">
        <f>IF($A38="","",IF($C38="Monthly",$B38/12,IF(AND($C38="Quarterly",MOD(3,3)=0),$B38/4,IF(AND($C38="Semi-Annual",OR(3=6,3=12)),$B38/2,IF(AND($C38="Annual",3=12),$B38,0)))))</f>
        <v/>
      </c>
      <c r="G38" s="21">
        <f>IF($A38="","",IF($C38="Monthly",$B38/12,IF(AND($C38="Quarterly",MOD(4,3)=0),$B38/4,IF(AND($C38="Semi-Annual",OR(4=6,4=12)),$B38/2,IF(AND($C38="Annual",4=12),$B38,0)))))</f>
        <v/>
      </c>
      <c r="H38" s="21">
        <f>IF($A38="","",IF($C38="Monthly",$B38/12,IF(AND($C38="Quarterly",MOD(5,3)=0),$B38/4,IF(AND($C38="Semi-Annual",OR(5=6,5=12)),$B38/2,IF(AND($C38="Annual",5=12),$B38,0)))))</f>
        <v/>
      </c>
      <c r="I38" s="21">
        <f>IF($A38="","",IF($C38="Monthly",$B38/12,IF(AND($C38="Quarterly",MOD(6,3)=0),$B38/4,IF(AND($C38="Semi-Annual",OR(6=6,6=12)),$B38/2,IF(AND($C38="Annual",6=12),$B38,0)))))</f>
        <v/>
      </c>
      <c r="J38" s="21">
        <f>IF($A38="","",IF($C38="Monthly",$B38/12,IF(AND($C38="Quarterly",MOD(7,3)=0),$B38/4,IF(AND($C38="Semi-Annual",OR(7=6,7=12)),$B38/2,IF(AND($C38="Annual",7=12),$B38,0)))))</f>
        <v/>
      </c>
      <c r="K38" s="21">
        <f>IF($A38="","",IF($C38="Monthly",$B38/12,IF(AND($C38="Quarterly",MOD(8,3)=0),$B38/4,IF(AND($C38="Semi-Annual",OR(8=6,8=12)),$B38/2,IF(AND($C38="Annual",8=12),$B38,0)))))</f>
        <v/>
      </c>
      <c r="L38" s="21">
        <f>IF($A38="","",IF($C38="Monthly",$B38/12,IF(AND($C38="Quarterly",MOD(9,3)=0),$B38/4,IF(AND($C38="Semi-Annual",OR(9=6,9=12)),$B38/2,IF(AND($C38="Annual",9=12),$B38,0)))))</f>
        <v/>
      </c>
      <c r="M38" s="21">
        <f>IF($A38="","",IF($C38="Monthly",$B38/12,IF(AND($C38="Quarterly",MOD(10,3)=0),$B38/4,IF(AND($C38="Semi-Annual",OR(10=6,10=12)),$B38/2,IF(AND($C38="Annual",10=12),$B38,0)))))</f>
        <v/>
      </c>
      <c r="N38" s="21">
        <f>IF($A38="","",IF($C38="Monthly",$B38/12,IF(AND($C38="Quarterly",MOD(11,3)=0),$B38/4,IF(AND($C38="Semi-Annual",OR(11=6,11=12)),$B38/2,IF(AND($C38="Annual",11=12),$B38,0)))))</f>
        <v/>
      </c>
      <c r="O38" s="21">
        <f>IF($A38="","",IF($C38="Monthly",$B38/12,IF(AND($C38="Quarterly",MOD(12,3)=0),$B38/4,IF(AND($C38="Semi-Annual",OR(12=6,12=12)),$B38/2,IF(AND($C38="Annual",12=12),$B38,0)))))</f>
        <v/>
      </c>
    </row>
    <row r="39">
      <c r="A39" s="22">
        <f>IF(Holdings!A39="","",Holdings!A39)</f>
        <v/>
      </c>
      <c r="B39" s="17">
        <f>IF(Holdings!A39="","",Holdings!M39)</f>
        <v/>
      </c>
      <c r="C39" s="14">
        <f>IF(Holdings!A39="","",Holdings!L39)</f>
        <v/>
      </c>
      <c r="D39" s="17">
        <f>IF($A39="","",IF($C39="Monthly",$B39/12,IF(AND($C39="Quarterly",MOD(1,3)=0),$B39/4,IF(AND($C39="Semi-Annual",OR(1=6,1=12)),$B39/2,IF(AND($C39="Annual",1=12),$B39,0)))))</f>
        <v/>
      </c>
      <c r="E39" s="17">
        <f>IF($A39="","",IF($C39="Monthly",$B39/12,IF(AND($C39="Quarterly",MOD(2,3)=0),$B39/4,IF(AND($C39="Semi-Annual",OR(2=6,2=12)),$B39/2,IF(AND($C39="Annual",2=12),$B39,0)))))</f>
        <v/>
      </c>
      <c r="F39" s="17">
        <f>IF($A39="","",IF($C39="Monthly",$B39/12,IF(AND($C39="Quarterly",MOD(3,3)=0),$B39/4,IF(AND($C39="Semi-Annual",OR(3=6,3=12)),$B39/2,IF(AND($C39="Annual",3=12),$B39,0)))))</f>
        <v/>
      </c>
      <c r="G39" s="17">
        <f>IF($A39="","",IF($C39="Monthly",$B39/12,IF(AND($C39="Quarterly",MOD(4,3)=0),$B39/4,IF(AND($C39="Semi-Annual",OR(4=6,4=12)),$B39/2,IF(AND($C39="Annual",4=12),$B39,0)))))</f>
        <v/>
      </c>
      <c r="H39" s="17">
        <f>IF($A39="","",IF($C39="Monthly",$B39/12,IF(AND($C39="Quarterly",MOD(5,3)=0),$B39/4,IF(AND($C39="Semi-Annual",OR(5=6,5=12)),$B39/2,IF(AND($C39="Annual",5=12),$B39,0)))))</f>
        <v/>
      </c>
      <c r="I39" s="17">
        <f>IF($A39="","",IF($C39="Monthly",$B39/12,IF(AND($C39="Quarterly",MOD(6,3)=0),$B39/4,IF(AND($C39="Semi-Annual",OR(6=6,6=12)),$B39/2,IF(AND($C39="Annual",6=12),$B39,0)))))</f>
        <v/>
      </c>
      <c r="J39" s="17">
        <f>IF($A39="","",IF($C39="Monthly",$B39/12,IF(AND($C39="Quarterly",MOD(7,3)=0),$B39/4,IF(AND($C39="Semi-Annual",OR(7=6,7=12)),$B39/2,IF(AND($C39="Annual",7=12),$B39,0)))))</f>
        <v/>
      </c>
      <c r="K39" s="17">
        <f>IF($A39="","",IF($C39="Monthly",$B39/12,IF(AND($C39="Quarterly",MOD(8,3)=0),$B39/4,IF(AND($C39="Semi-Annual",OR(8=6,8=12)),$B39/2,IF(AND($C39="Annual",8=12),$B39,0)))))</f>
        <v/>
      </c>
      <c r="L39" s="17">
        <f>IF($A39="","",IF($C39="Monthly",$B39/12,IF(AND($C39="Quarterly",MOD(9,3)=0),$B39/4,IF(AND($C39="Semi-Annual",OR(9=6,9=12)),$B39/2,IF(AND($C39="Annual",9=12),$B39,0)))))</f>
        <v/>
      </c>
      <c r="M39" s="17">
        <f>IF($A39="","",IF($C39="Monthly",$B39/12,IF(AND($C39="Quarterly",MOD(10,3)=0),$B39/4,IF(AND($C39="Semi-Annual",OR(10=6,10=12)),$B39/2,IF(AND($C39="Annual",10=12),$B39,0)))))</f>
        <v/>
      </c>
      <c r="N39" s="17">
        <f>IF($A39="","",IF($C39="Monthly",$B39/12,IF(AND($C39="Quarterly",MOD(11,3)=0),$B39/4,IF(AND($C39="Semi-Annual",OR(11=6,11=12)),$B39/2,IF(AND($C39="Annual",11=12),$B39,0)))))</f>
        <v/>
      </c>
      <c r="O39" s="17">
        <f>IF($A39="","",IF($C39="Monthly",$B39/12,IF(AND($C39="Quarterly",MOD(12,3)=0),$B39/4,IF(AND($C39="Semi-Annual",OR(12=6,12=12)),$B39/2,IF(AND($C39="Annual",12=12),$B39,0)))))</f>
        <v/>
      </c>
    </row>
    <row r="40">
      <c r="A40" s="26">
        <f>IF(Holdings!A40="","",Holdings!A40)</f>
        <v/>
      </c>
      <c r="B40" s="21">
        <f>IF(Holdings!A40="","",Holdings!M40)</f>
        <v/>
      </c>
      <c r="C40" s="18">
        <f>IF(Holdings!A40="","",Holdings!L40)</f>
        <v/>
      </c>
      <c r="D40" s="21">
        <f>IF($A40="","",IF($C40="Monthly",$B40/12,IF(AND($C40="Quarterly",MOD(1,3)=0),$B40/4,IF(AND($C40="Semi-Annual",OR(1=6,1=12)),$B40/2,IF(AND($C40="Annual",1=12),$B40,0)))))</f>
        <v/>
      </c>
      <c r="E40" s="21">
        <f>IF($A40="","",IF($C40="Monthly",$B40/12,IF(AND($C40="Quarterly",MOD(2,3)=0),$B40/4,IF(AND($C40="Semi-Annual",OR(2=6,2=12)),$B40/2,IF(AND($C40="Annual",2=12),$B40,0)))))</f>
        <v/>
      </c>
      <c r="F40" s="21">
        <f>IF($A40="","",IF($C40="Monthly",$B40/12,IF(AND($C40="Quarterly",MOD(3,3)=0),$B40/4,IF(AND($C40="Semi-Annual",OR(3=6,3=12)),$B40/2,IF(AND($C40="Annual",3=12),$B40,0)))))</f>
        <v/>
      </c>
      <c r="G40" s="21">
        <f>IF($A40="","",IF($C40="Monthly",$B40/12,IF(AND($C40="Quarterly",MOD(4,3)=0),$B40/4,IF(AND($C40="Semi-Annual",OR(4=6,4=12)),$B40/2,IF(AND($C40="Annual",4=12),$B40,0)))))</f>
        <v/>
      </c>
      <c r="H40" s="21">
        <f>IF($A40="","",IF($C40="Monthly",$B40/12,IF(AND($C40="Quarterly",MOD(5,3)=0),$B40/4,IF(AND($C40="Semi-Annual",OR(5=6,5=12)),$B40/2,IF(AND($C40="Annual",5=12),$B40,0)))))</f>
        <v/>
      </c>
      <c r="I40" s="21">
        <f>IF($A40="","",IF($C40="Monthly",$B40/12,IF(AND($C40="Quarterly",MOD(6,3)=0),$B40/4,IF(AND($C40="Semi-Annual",OR(6=6,6=12)),$B40/2,IF(AND($C40="Annual",6=12),$B40,0)))))</f>
        <v/>
      </c>
      <c r="J40" s="21">
        <f>IF($A40="","",IF($C40="Monthly",$B40/12,IF(AND($C40="Quarterly",MOD(7,3)=0),$B40/4,IF(AND($C40="Semi-Annual",OR(7=6,7=12)),$B40/2,IF(AND($C40="Annual",7=12),$B40,0)))))</f>
        <v/>
      </c>
      <c r="K40" s="21">
        <f>IF($A40="","",IF($C40="Monthly",$B40/12,IF(AND($C40="Quarterly",MOD(8,3)=0),$B40/4,IF(AND($C40="Semi-Annual",OR(8=6,8=12)),$B40/2,IF(AND($C40="Annual",8=12),$B40,0)))))</f>
        <v/>
      </c>
      <c r="L40" s="21">
        <f>IF($A40="","",IF($C40="Monthly",$B40/12,IF(AND($C40="Quarterly",MOD(9,3)=0),$B40/4,IF(AND($C40="Semi-Annual",OR(9=6,9=12)),$B40/2,IF(AND($C40="Annual",9=12),$B40,0)))))</f>
        <v/>
      </c>
      <c r="M40" s="21">
        <f>IF($A40="","",IF($C40="Monthly",$B40/12,IF(AND($C40="Quarterly",MOD(10,3)=0),$B40/4,IF(AND($C40="Semi-Annual",OR(10=6,10=12)),$B40/2,IF(AND($C40="Annual",10=12),$B40,0)))))</f>
        <v/>
      </c>
      <c r="N40" s="21">
        <f>IF($A40="","",IF($C40="Monthly",$B40/12,IF(AND($C40="Quarterly",MOD(11,3)=0),$B40/4,IF(AND($C40="Semi-Annual",OR(11=6,11=12)),$B40/2,IF(AND($C40="Annual",11=12),$B40,0)))))</f>
        <v/>
      </c>
      <c r="O40" s="21">
        <f>IF($A40="","",IF($C40="Monthly",$B40/12,IF(AND($C40="Quarterly",MOD(12,3)=0),$B40/4,IF(AND($C40="Semi-Annual",OR(12=6,12=12)),$B40/2,IF(AND($C40="Annual",12=12),$B40,0)))))</f>
        <v/>
      </c>
    </row>
    <row r="41">
      <c r="A41" s="22">
        <f>IF(Holdings!A41="","",Holdings!A41)</f>
        <v/>
      </c>
      <c r="B41" s="17">
        <f>IF(Holdings!A41="","",Holdings!M41)</f>
        <v/>
      </c>
      <c r="C41" s="14">
        <f>IF(Holdings!A41="","",Holdings!L41)</f>
        <v/>
      </c>
      <c r="D41" s="17">
        <f>IF($A41="","",IF($C41="Monthly",$B41/12,IF(AND($C41="Quarterly",MOD(1,3)=0),$B41/4,IF(AND($C41="Semi-Annual",OR(1=6,1=12)),$B41/2,IF(AND($C41="Annual",1=12),$B41,0)))))</f>
        <v/>
      </c>
      <c r="E41" s="17">
        <f>IF($A41="","",IF($C41="Monthly",$B41/12,IF(AND($C41="Quarterly",MOD(2,3)=0),$B41/4,IF(AND($C41="Semi-Annual",OR(2=6,2=12)),$B41/2,IF(AND($C41="Annual",2=12),$B41,0)))))</f>
        <v/>
      </c>
      <c r="F41" s="17">
        <f>IF($A41="","",IF($C41="Monthly",$B41/12,IF(AND($C41="Quarterly",MOD(3,3)=0),$B41/4,IF(AND($C41="Semi-Annual",OR(3=6,3=12)),$B41/2,IF(AND($C41="Annual",3=12),$B41,0)))))</f>
        <v/>
      </c>
      <c r="G41" s="17">
        <f>IF($A41="","",IF($C41="Monthly",$B41/12,IF(AND($C41="Quarterly",MOD(4,3)=0),$B41/4,IF(AND($C41="Semi-Annual",OR(4=6,4=12)),$B41/2,IF(AND($C41="Annual",4=12),$B41,0)))))</f>
        <v/>
      </c>
      <c r="H41" s="17">
        <f>IF($A41="","",IF($C41="Monthly",$B41/12,IF(AND($C41="Quarterly",MOD(5,3)=0),$B41/4,IF(AND($C41="Semi-Annual",OR(5=6,5=12)),$B41/2,IF(AND($C41="Annual",5=12),$B41,0)))))</f>
        <v/>
      </c>
      <c r="I41" s="17">
        <f>IF($A41="","",IF($C41="Monthly",$B41/12,IF(AND($C41="Quarterly",MOD(6,3)=0),$B41/4,IF(AND($C41="Semi-Annual",OR(6=6,6=12)),$B41/2,IF(AND($C41="Annual",6=12),$B41,0)))))</f>
        <v/>
      </c>
      <c r="J41" s="17">
        <f>IF($A41="","",IF($C41="Monthly",$B41/12,IF(AND($C41="Quarterly",MOD(7,3)=0),$B41/4,IF(AND($C41="Semi-Annual",OR(7=6,7=12)),$B41/2,IF(AND($C41="Annual",7=12),$B41,0)))))</f>
        <v/>
      </c>
      <c r="K41" s="17">
        <f>IF($A41="","",IF($C41="Monthly",$B41/12,IF(AND($C41="Quarterly",MOD(8,3)=0),$B41/4,IF(AND($C41="Semi-Annual",OR(8=6,8=12)),$B41/2,IF(AND($C41="Annual",8=12),$B41,0)))))</f>
        <v/>
      </c>
      <c r="L41" s="17">
        <f>IF($A41="","",IF($C41="Monthly",$B41/12,IF(AND($C41="Quarterly",MOD(9,3)=0),$B41/4,IF(AND($C41="Semi-Annual",OR(9=6,9=12)),$B41/2,IF(AND($C41="Annual",9=12),$B41,0)))))</f>
        <v/>
      </c>
      <c r="M41" s="17">
        <f>IF($A41="","",IF($C41="Monthly",$B41/12,IF(AND($C41="Quarterly",MOD(10,3)=0),$B41/4,IF(AND($C41="Semi-Annual",OR(10=6,10=12)),$B41/2,IF(AND($C41="Annual",10=12),$B41,0)))))</f>
        <v/>
      </c>
      <c r="N41" s="17">
        <f>IF($A41="","",IF($C41="Monthly",$B41/12,IF(AND($C41="Quarterly",MOD(11,3)=0),$B41/4,IF(AND($C41="Semi-Annual",OR(11=6,11=12)),$B41/2,IF(AND($C41="Annual",11=12),$B41,0)))))</f>
        <v/>
      </c>
      <c r="O41" s="17">
        <f>IF($A41="","",IF($C41="Monthly",$B41/12,IF(AND($C41="Quarterly",MOD(12,3)=0),$B41/4,IF(AND($C41="Semi-Annual",OR(12=6,12=12)),$B41/2,IF(AND($C41="Annual",12=12),$B41,0)))))</f>
        <v/>
      </c>
    </row>
    <row r="42">
      <c r="A42" s="26">
        <f>IF(Holdings!A42="","",Holdings!A42)</f>
        <v/>
      </c>
      <c r="B42" s="21">
        <f>IF(Holdings!A42="","",Holdings!M42)</f>
        <v/>
      </c>
      <c r="C42" s="18">
        <f>IF(Holdings!A42="","",Holdings!L42)</f>
        <v/>
      </c>
      <c r="D42" s="21">
        <f>IF($A42="","",IF($C42="Monthly",$B42/12,IF(AND($C42="Quarterly",MOD(1,3)=0),$B42/4,IF(AND($C42="Semi-Annual",OR(1=6,1=12)),$B42/2,IF(AND($C42="Annual",1=12),$B42,0)))))</f>
        <v/>
      </c>
      <c r="E42" s="21">
        <f>IF($A42="","",IF($C42="Monthly",$B42/12,IF(AND($C42="Quarterly",MOD(2,3)=0),$B42/4,IF(AND($C42="Semi-Annual",OR(2=6,2=12)),$B42/2,IF(AND($C42="Annual",2=12),$B42,0)))))</f>
        <v/>
      </c>
      <c r="F42" s="21">
        <f>IF($A42="","",IF($C42="Monthly",$B42/12,IF(AND($C42="Quarterly",MOD(3,3)=0),$B42/4,IF(AND($C42="Semi-Annual",OR(3=6,3=12)),$B42/2,IF(AND($C42="Annual",3=12),$B42,0)))))</f>
        <v/>
      </c>
      <c r="G42" s="21">
        <f>IF($A42="","",IF($C42="Monthly",$B42/12,IF(AND($C42="Quarterly",MOD(4,3)=0),$B42/4,IF(AND($C42="Semi-Annual",OR(4=6,4=12)),$B42/2,IF(AND($C42="Annual",4=12),$B42,0)))))</f>
        <v/>
      </c>
      <c r="H42" s="21">
        <f>IF($A42="","",IF($C42="Monthly",$B42/12,IF(AND($C42="Quarterly",MOD(5,3)=0),$B42/4,IF(AND($C42="Semi-Annual",OR(5=6,5=12)),$B42/2,IF(AND($C42="Annual",5=12),$B42,0)))))</f>
        <v/>
      </c>
      <c r="I42" s="21">
        <f>IF($A42="","",IF($C42="Monthly",$B42/12,IF(AND($C42="Quarterly",MOD(6,3)=0),$B42/4,IF(AND($C42="Semi-Annual",OR(6=6,6=12)),$B42/2,IF(AND($C42="Annual",6=12),$B42,0)))))</f>
        <v/>
      </c>
      <c r="J42" s="21">
        <f>IF($A42="","",IF($C42="Monthly",$B42/12,IF(AND($C42="Quarterly",MOD(7,3)=0),$B42/4,IF(AND($C42="Semi-Annual",OR(7=6,7=12)),$B42/2,IF(AND($C42="Annual",7=12),$B42,0)))))</f>
        <v/>
      </c>
      <c r="K42" s="21">
        <f>IF($A42="","",IF($C42="Monthly",$B42/12,IF(AND($C42="Quarterly",MOD(8,3)=0),$B42/4,IF(AND($C42="Semi-Annual",OR(8=6,8=12)),$B42/2,IF(AND($C42="Annual",8=12),$B42,0)))))</f>
        <v/>
      </c>
      <c r="L42" s="21">
        <f>IF($A42="","",IF($C42="Monthly",$B42/12,IF(AND($C42="Quarterly",MOD(9,3)=0),$B42/4,IF(AND($C42="Semi-Annual",OR(9=6,9=12)),$B42/2,IF(AND($C42="Annual",9=12),$B42,0)))))</f>
        <v/>
      </c>
      <c r="M42" s="21">
        <f>IF($A42="","",IF($C42="Monthly",$B42/12,IF(AND($C42="Quarterly",MOD(10,3)=0),$B42/4,IF(AND($C42="Semi-Annual",OR(10=6,10=12)),$B42/2,IF(AND($C42="Annual",10=12),$B42,0)))))</f>
        <v/>
      </c>
      <c r="N42" s="21">
        <f>IF($A42="","",IF($C42="Monthly",$B42/12,IF(AND($C42="Quarterly",MOD(11,3)=0),$B42/4,IF(AND($C42="Semi-Annual",OR(11=6,11=12)),$B42/2,IF(AND($C42="Annual",11=12),$B42,0)))))</f>
        <v/>
      </c>
      <c r="O42" s="21">
        <f>IF($A42="","",IF($C42="Monthly",$B42/12,IF(AND($C42="Quarterly",MOD(12,3)=0),$B42/4,IF(AND($C42="Semi-Annual",OR(12=6,12=12)),$B42/2,IF(AND($C42="Annual",12=12),$B42,0)))))</f>
        <v/>
      </c>
    </row>
    <row r="43">
      <c r="A43" s="22">
        <f>IF(Holdings!A43="","",Holdings!A43)</f>
        <v/>
      </c>
      <c r="B43" s="17">
        <f>IF(Holdings!A43="","",Holdings!M43)</f>
        <v/>
      </c>
      <c r="C43" s="14">
        <f>IF(Holdings!A43="","",Holdings!L43)</f>
        <v/>
      </c>
      <c r="D43" s="17">
        <f>IF($A43="","",IF($C43="Monthly",$B43/12,IF(AND($C43="Quarterly",MOD(1,3)=0),$B43/4,IF(AND($C43="Semi-Annual",OR(1=6,1=12)),$B43/2,IF(AND($C43="Annual",1=12),$B43,0)))))</f>
        <v/>
      </c>
      <c r="E43" s="17">
        <f>IF($A43="","",IF($C43="Monthly",$B43/12,IF(AND($C43="Quarterly",MOD(2,3)=0),$B43/4,IF(AND($C43="Semi-Annual",OR(2=6,2=12)),$B43/2,IF(AND($C43="Annual",2=12),$B43,0)))))</f>
        <v/>
      </c>
      <c r="F43" s="17">
        <f>IF($A43="","",IF($C43="Monthly",$B43/12,IF(AND($C43="Quarterly",MOD(3,3)=0),$B43/4,IF(AND($C43="Semi-Annual",OR(3=6,3=12)),$B43/2,IF(AND($C43="Annual",3=12),$B43,0)))))</f>
        <v/>
      </c>
      <c r="G43" s="17">
        <f>IF($A43="","",IF($C43="Monthly",$B43/12,IF(AND($C43="Quarterly",MOD(4,3)=0),$B43/4,IF(AND($C43="Semi-Annual",OR(4=6,4=12)),$B43/2,IF(AND($C43="Annual",4=12),$B43,0)))))</f>
        <v/>
      </c>
      <c r="H43" s="17">
        <f>IF($A43="","",IF($C43="Monthly",$B43/12,IF(AND($C43="Quarterly",MOD(5,3)=0),$B43/4,IF(AND($C43="Semi-Annual",OR(5=6,5=12)),$B43/2,IF(AND($C43="Annual",5=12),$B43,0)))))</f>
        <v/>
      </c>
      <c r="I43" s="17">
        <f>IF($A43="","",IF($C43="Monthly",$B43/12,IF(AND($C43="Quarterly",MOD(6,3)=0),$B43/4,IF(AND($C43="Semi-Annual",OR(6=6,6=12)),$B43/2,IF(AND($C43="Annual",6=12),$B43,0)))))</f>
        <v/>
      </c>
      <c r="J43" s="17">
        <f>IF($A43="","",IF($C43="Monthly",$B43/12,IF(AND($C43="Quarterly",MOD(7,3)=0),$B43/4,IF(AND($C43="Semi-Annual",OR(7=6,7=12)),$B43/2,IF(AND($C43="Annual",7=12),$B43,0)))))</f>
        <v/>
      </c>
      <c r="K43" s="17">
        <f>IF($A43="","",IF($C43="Monthly",$B43/12,IF(AND($C43="Quarterly",MOD(8,3)=0),$B43/4,IF(AND($C43="Semi-Annual",OR(8=6,8=12)),$B43/2,IF(AND($C43="Annual",8=12),$B43,0)))))</f>
        <v/>
      </c>
      <c r="L43" s="17">
        <f>IF($A43="","",IF($C43="Monthly",$B43/12,IF(AND($C43="Quarterly",MOD(9,3)=0),$B43/4,IF(AND($C43="Semi-Annual",OR(9=6,9=12)),$B43/2,IF(AND($C43="Annual",9=12),$B43,0)))))</f>
        <v/>
      </c>
      <c r="M43" s="17">
        <f>IF($A43="","",IF($C43="Monthly",$B43/12,IF(AND($C43="Quarterly",MOD(10,3)=0),$B43/4,IF(AND($C43="Semi-Annual",OR(10=6,10=12)),$B43/2,IF(AND($C43="Annual",10=12),$B43,0)))))</f>
        <v/>
      </c>
      <c r="N43" s="17">
        <f>IF($A43="","",IF($C43="Monthly",$B43/12,IF(AND($C43="Quarterly",MOD(11,3)=0),$B43/4,IF(AND($C43="Semi-Annual",OR(11=6,11=12)),$B43/2,IF(AND($C43="Annual",11=12),$B43,0)))))</f>
        <v/>
      </c>
      <c r="O43" s="17">
        <f>IF($A43="","",IF($C43="Monthly",$B43/12,IF(AND($C43="Quarterly",MOD(12,3)=0),$B43/4,IF(AND($C43="Semi-Annual",OR(12=6,12=12)),$B43/2,IF(AND($C43="Annual",12=12),$B43,0)))))</f>
        <v/>
      </c>
    </row>
    <row r="44">
      <c r="A44" s="26">
        <f>IF(Holdings!A44="","",Holdings!A44)</f>
        <v/>
      </c>
      <c r="B44" s="21">
        <f>IF(Holdings!A44="","",Holdings!M44)</f>
        <v/>
      </c>
      <c r="C44" s="18">
        <f>IF(Holdings!A44="","",Holdings!L44)</f>
        <v/>
      </c>
      <c r="D44" s="21">
        <f>IF($A44="","",IF($C44="Monthly",$B44/12,IF(AND($C44="Quarterly",MOD(1,3)=0),$B44/4,IF(AND($C44="Semi-Annual",OR(1=6,1=12)),$B44/2,IF(AND($C44="Annual",1=12),$B44,0)))))</f>
        <v/>
      </c>
      <c r="E44" s="21">
        <f>IF($A44="","",IF($C44="Monthly",$B44/12,IF(AND($C44="Quarterly",MOD(2,3)=0),$B44/4,IF(AND($C44="Semi-Annual",OR(2=6,2=12)),$B44/2,IF(AND($C44="Annual",2=12),$B44,0)))))</f>
        <v/>
      </c>
      <c r="F44" s="21">
        <f>IF($A44="","",IF($C44="Monthly",$B44/12,IF(AND($C44="Quarterly",MOD(3,3)=0),$B44/4,IF(AND($C44="Semi-Annual",OR(3=6,3=12)),$B44/2,IF(AND($C44="Annual",3=12),$B44,0)))))</f>
        <v/>
      </c>
      <c r="G44" s="21">
        <f>IF($A44="","",IF($C44="Monthly",$B44/12,IF(AND($C44="Quarterly",MOD(4,3)=0),$B44/4,IF(AND($C44="Semi-Annual",OR(4=6,4=12)),$B44/2,IF(AND($C44="Annual",4=12),$B44,0)))))</f>
        <v/>
      </c>
      <c r="H44" s="21">
        <f>IF($A44="","",IF($C44="Monthly",$B44/12,IF(AND($C44="Quarterly",MOD(5,3)=0),$B44/4,IF(AND($C44="Semi-Annual",OR(5=6,5=12)),$B44/2,IF(AND($C44="Annual",5=12),$B44,0)))))</f>
        <v/>
      </c>
      <c r="I44" s="21">
        <f>IF($A44="","",IF($C44="Monthly",$B44/12,IF(AND($C44="Quarterly",MOD(6,3)=0),$B44/4,IF(AND($C44="Semi-Annual",OR(6=6,6=12)),$B44/2,IF(AND($C44="Annual",6=12),$B44,0)))))</f>
        <v/>
      </c>
      <c r="J44" s="21">
        <f>IF($A44="","",IF($C44="Monthly",$B44/12,IF(AND($C44="Quarterly",MOD(7,3)=0),$B44/4,IF(AND($C44="Semi-Annual",OR(7=6,7=12)),$B44/2,IF(AND($C44="Annual",7=12),$B44,0)))))</f>
        <v/>
      </c>
      <c r="K44" s="21">
        <f>IF($A44="","",IF($C44="Monthly",$B44/12,IF(AND($C44="Quarterly",MOD(8,3)=0),$B44/4,IF(AND($C44="Semi-Annual",OR(8=6,8=12)),$B44/2,IF(AND($C44="Annual",8=12),$B44,0)))))</f>
        <v/>
      </c>
      <c r="L44" s="21">
        <f>IF($A44="","",IF($C44="Monthly",$B44/12,IF(AND($C44="Quarterly",MOD(9,3)=0),$B44/4,IF(AND($C44="Semi-Annual",OR(9=6,9=12)),$B44/2,IF(AND($C44="Annual",9=12),$B44,0)))))</f>
        <v/>
      </c>
      <c r="M44" s="21">
        <f>IF($A44="","",IF($C44="Monthly",$B44/12,IF(AND($C44="Quarterly",MOD(10,3)=0),$B44/4,IF(AND($C44="Semi-Annual",OR(10=6,10=12)),$B44/2,IF(AND($C44="Annual",10=12),$B44,0)))))</f>
        <v/>
      </c>
      <c r="N44" s="21">
        <f>IF($A44="","",IF($C44="Monthly",$B44/12,IF(AND($C44="Quarterly",MOD(11,3)=0),$B44/4,IF(AND($C44="Semi-Annual",OR(11=6,11=12)),$B44/2,IF(AND($C44="Annual",11=12),$B44,0)))))</f>
        <v/>
      </c>
      <c r="O44" s="21">
        <f>IF($A44="","",IF($C44="Monthly",$B44/12,IF(AND($C44="Quarterly",MOD(12,3)=0),$B44/4,IF(AND($C44="Semi-Annual",OR(12=6,12=12)),$B44/2,IF(AND($C44="Annual",12=12),$B44,0)))))</f>
        <v/>
      </c>
    </row>
    <row r="45">
      <c r="A45" s="12" t="inlineStr">
        <is>
          <t>TOTAL</t>
        </is>
      </c>
      <c r="B45" s="30" t="n"/>
      <c r="C45" s="13" t="n"/>
      <c r="D45" s="31">
        <f>SUM(D5:D44)</f>
        <v/>
      </c>
      <c r="E45" s="31">
        <f>SUM(E5:E44)</f>
        <v/>
      </c>
      <c r="F45" s="31">
        <f>SUM(F5:F44)</f>
        <v/>
      </c>
      <c r="G45" s="31">
        <f>SUM(G5:G44)</f>
        <v/>
      </c>
      <c r="H45" s="31">
        <f>SUM(H5:H44)</f>
        <v/>
      </c>
      <c r="I45" s="31">
        <f>SUM(I5:I44)</f>
        <v/>
      </c>
      <c r="J45" s="31">
        <f>SUM(J5:J44)</f>
        <v/>
      </c>
      <c r="K45" s="31">
        <f>SUM(K5:K44)</f>
        <v/>
      </c>
      <c r="L45" s="31">
        <f>SUM(L5:L44)</f>
        <v/>
      </c>
      <c r="M45" s="31">
        <f>SUM(M5:M44)</f>
        <v/>
      </c>
      <c r="N45" s="31">
        <f>SUM(N5:N44)</f>
        <v/>
      </c>
      <c r="O45" s="31">
        <f>SUM(O5:O44)</f>
        <v/>
      </c>
    </row>
  </sheetData>
  <mergeCells count="3">
    <mergeCell ref="A45:C45"/>
    <mergeCell ref="A1:O1"/>
    <mergeCell ref="A2:O2"/>
  </mergeCells>
  <conditionalFormatting sqref="D5:O44">
    <cfRule type="colorScale" priority="1">
      <colorScale>
        <cfvo type="num" val="0"/>
        <cfvo type="max"/>
        <color rgb="FFFFFFFF"/>
        <color rgb="FF75E6C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5D3BA"/>
    <outlinePr summaryBelow="1" summaryRight="1"/>
    <pageSetUpPr/>
  </sheetPr>
  <dimension ref="A1:H2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8" customWidth="1" min="3" max="3"/>
    <col width="4" customWidth="1" min="4" max="4"/>
    <col width="18" customWidth="1" min="5" max="5"/>
    <col width="16" customWidth="1" min="6" max="6"/>
    <col width="16" customWidth="1" min="7" max="7"/>
    <col width="16" customWidth="1" min="8" max="8"/>
    <col width="2" customWidth="1" min="9" max="9"/>
  </cols>
  <sheetData>
    <row r="1" ht="46" customHeight="1">
      <c r="A1" s="1" t="inlineStr">
        <is>
          <t xml:space="preserve">  🧮  CALCULATIONS ENGINE</t>
        </is>
      </c>
    </row>
    <row r="2" ht="22" customHeight="1">
      <c r="A2" s="2" t="inlineStr">
        <is>
          <t xml:space="preserve">  Centralized portfolio math. Do not edit — formulas only.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</row>
    <row r="5">
      <c r="B5" s="11" t="inlineStr">
        <is>
          <t>PORTFOLIO TOTALS</t>
        </is>
      </c>
      <c r="E5" s="10" t="inlineStr">
        <is>
          <t>SECTOR BREAKDOWN</t>
        </is>
      </c>
    </row>
    <row r="6">
      <c r="B6" s="32" t="inlineStr">
        <is>
          <t>Total Market Value</t>
        </is>
      </c>
      <c r="C6" s="33">
        <f>SUM(TblMV)</f>
        <v/>
      </c>
      <c r="E6" s="12" t="inlineStr">
        <is>
          <t>Sector</t>
        </is>
      </c>
      <c r="F6" s="12" t="inlineStr">
        <is>
          <t>Value</t>
        </is>
      </c>
      <c r="G6" s="12" t="inlineStr">
        <is>
          <t>Annual Inc</t>
        </is>
      </c>
      <c r="H6" s="12" t="inlineStr">
        <is>
          <t>Weight</t>
        </is>
      </c>
    </row>
    <row r="7">
      <c r="B7" s="32" t="inlineStr">
        <is>
          <t>Total Cost Basis</t>
        </is>
      </c>
      <c r="C7" s="33">
        <f>SUM(TblCost)</f>
        <v/>
      </c>
      <c r="E7" s="34" t="inlineStr">
        <is>
          <t>Tech</t>
        </is>
      </c>
      <c r="F7" s="35">
        <f>SUMIF(TblSector,E7,TblMV)</f>
        <v/>
      </c>
      <c r="G7" s="35">
        <f>SUMIF(TblSector,E7,TblIncome)</f>
        <v/>
      </c>
      <c r="H7" s="36">
        <f>IFERROR(F7/TotalMarketValue,0)</f>
        <v/>
      </c>
    </row>
    <row r="8">
      <c r="B8" s="32" t="inlineStr">
        <is>
          <t>Total Gain / Loss</t>
        </is>
      </c>
      <c r="C8" s="37">
        <f>TotalMarketValue-TotalCostBasis</f>
        <v/>
      </c>
      <c r="E8" s="34" t="inlineStr">
        <is>
          <t>Finance</t>
        </is>
      </c>
      <c r="F8" s="35">
        <f>SUMIF(TblSector,E8,TblMV)</f>
        <v/>
      </c>
      <c r="G8" s="35">
        <f>SUMIF(TblSector,E8,TblIncome)</f>
        <v/>
      </c>
      <c r="H8" s="36">
        <f>IFERROR(F8/TotalMarketValue,0)</f>
        <v/>
      </c>
    </row>
    <row r="9">
      <c r="B9" s="32" t="inlineStr">
        <is>
          <t>Total Return %</t>
        </is>
      </c>
      <c r="C9" s="38">
        <f>IFERROR(TotalGain/TotalCostBasis,0)</f>
        <v/>
      </c>
      <c r="E9" s="34" t="inlineStr">
        <is>
          <t>Energy</t>
        </is>
      </c>
      <c r="F9" s="35">
        <f>SUMIF(TblSector,E9,TblMV)</f>
        <v/>
      </c>
      <c r="G9" s="35">
        <f>SUMIF(TblSector,E9,TblIncome)</f>
        <v/>
      </c>
      <c r="H9" s="36">
        <f>IFERROR(F9/TotalMarketValue,0)</f>
        <v/>
      </c>
    </row>
    <row r="10">
      <c r="B10" s="32" t="inlineStr">
        <is>
          <t>Annual Dividend Income</t>
        </is>
      </c>
      <c r="C10" s="33">
        <f>SUM(TblIncome)</f>
        <v/>
      </c>
      <c r="E10" s="34" t="inlineStr">
        <is>
          <t>REITs</t>
        </is>
      </c>
      <c r="F10" s="35">
        <f>SUMIF(TblSector,E10,TblMV)</f>
        <v/>
      </c>
      <c r="G10" s="35">
        <f>SUMIF(TblSector,E10,TblIncome)</f>
        <v/>
      </c>
      <c r="H10" s="36">
        <f>IFERROR(F10/TotalMarketValue,0)</f>
        <v/>
      </c>
    </row>
    <row r="11">
      <c r="B11" s="32" t="inlineStr">
        <is>
          <t>Monthly Dividend Income</t>
        </is>
      </c>
      <c r="C11" s="39">
        <f>TotalAnnualIncome/12</f>
        <v/>
      </c>
      <c r="E11" s="34" t="inlineStr">
        <is>
          <t>Consumer</t>
        </is>
      </c>
      <c r="F11" s="35">
        <f>SUMIF(TblSector,E11,TblMV)</f>
        <v/>
      </c>
      <c r="G11" s="35">
        <f>SUMIF(TblSector,E11,TblIncome)</f>
        <v/>
      </c>
      <c r="H11" s="36">
        <f>IFERROR(F11/TotalMarketValue,0)</f>
        <v/>
      </c>
    </row>
    <row r="12">
      <c r="B12" s="32" t="inlineStr">
        <is>
          <t>Portfolio Yield</t>
        </is>
      </c>
      <c r="C12" s="40">
        <f>IFERROR(TotalAnnualIncome/TotalMarketValue,0)</f>
        <v/>
      </c>
      <c r="E12" s="34" t="inlineStr">
        <is>
          <t>Healthcare</t>
        </is>
      </c>
      <c r="F12" s="35">
        <f>SUMIF(TblSector,E12,TblMV)</f>
        <v/>
      </c>
      <c r="G12" s="35">
        <f>SUMIF(TblSector,E12,TblIncome)</f>
        <v/>
      </c>
      <c r="H12" s="36">
        <f>IFERROR(F12/TotalMarketValue,0)</f>
        <v/>
      </c>
    </row>
    <row r="13">
      <c r="B13" s="32" t="inlineStr">
        <is>
          <t>Yield on Cost</t>
        </is>
      </c>
      <c r="C13" s="40">
        <f>IFERROR(TotalAnnualIncome/TotalCostBasis,0)</f>
        <v/>
      </c>
    </row>
    <row r="14">
      <c r="B14" s="32" t="inlineStr">
        <is>
          <t>After-Tax Monthly</t>
        </is>
      </c>
      <c r="C14" s="39">
        <f>TotalMonthlyIncome*(1-TaxRate)</f>
        <v/>
      </c>
      <c r="E14" s="10" t="inlineStr">
        <is>
          <t>TOP DIVIDEND PAYERS</t>
        </is>
      </c>
    </row>
    <row r="15">
      <c r="B15" s="32" t="inlineStr">
        <is>
          <t>Holdings Count</t>
        </is>
      </c>
      <c r="C15" s="41">
        <f>COUNTA(TblTicker)</f>
        <v/>
      </c>
      <c r="E15" s="12" t="inlineStr">
        <is>
          <t>Rank</t>
        </is>
      </c>
      <c r="F15" s="12" t="inlineStr">
        <is>
          <t>Ticker</t>
        </is>
      </c>
      <c r="G15" s="12" t="inlineStr">
        <is>
          <t>Company</t>
        </is>
      </c>
      <c r="H15" s="12" t="inlineStr">
        <is>
          <t>Annual Inc</t>
        </is>
      </c>
    </row>
    <row r="16">
      <c r="B16" s="32" t="inlineStr">
        <is>
          <t>Progress to Income Goal</t>
        </is>
      </c>
      <c r="C16" s="38">
        <f>IFERROR(TotalMonthlyIncome/TargetMonthlyIncome,0)</f>
        <v/>
      </c>
      <c r="E16" s="42" t="n">
        <v>1</v>
      </c>
      <c r="F16" s="42">
        <f>IFERROR(INDEX(TblTicker,MATCH(LARGE(TblIncome,1),TblIncome,0)),"")</f>
        <v/>
      </c>
      <c r="G16" s="34">
        <f>IFERROR(INDEX(TblCompany,MATCH(LARGE(TblIncome,1),TblIncome,0)),"")</f>
        <v/>
      </c>
      <c r="H16" s="35">
        <f>IFERROR(LARGE(TblIncome,1),"")</f>
        <v/>
      </c>
    </row>
    <row r="17">
      <c r="E17" s="42" t="n">
        <v>2</v>
      </c>
      <c r="F17" s="42">
        <f>IFERROR(INDEX(TblTicker,MATCH(LARGE(TblIncome,2),TblIncome,0)),"")</f>
        <v/>
      </c>
      <c r="G17" s="34">
        <f>IFERROR(INDEX(TblCompany,MATCH(LARGE(TblIncome,2),TblIncome,0)),"")</f>
        <v/>
      </c>
      <c r="H17" s="35">
        <f>IFERROR(LARGE(TblIncome,2),"")</f>
        <v/>
      </c>
    </row>
    <row r="18">
      <c r="E18" s="42" t="n">
        <v>3</v>
      </c>
      <c r="F18" s="42">
        <f>IFERROR(INDEX(TblTicker,MATCH(LARGE(TblIncome,3),TblIncome,0)),"")</f>
        <v/>
      </c>
      <c r="G18" s="34">
        <f>IFERROR(INDEX(TblCompany,MATCH(LARGE(TblIncome,3),TblIncome,0)),"")</f>
        <v/>
      </c>
      <c r="H18" s="35">
        <f>IFERROR(LARGE(TblIncome,3),"")</f>
        <v/>
      </c>
    </row>
    <row r="19">
      <c r="E19" s="42" t="n">
        <v>4</v>
      </c>
      <c r="F19" s="42">
        <f>IFERROR(INDEX(TblTicker,MATCH(LARGE(TblIncome,4),TblIncome,0)),"")</f>
        <v/>
      </c>
      <c r="G19" s="34">
        <f>IFERROR(INDEX(TblCompany,MATCH(LARGE(TblIncome,4),TblIncome,0)),"")</f>
        <v/>
      </c>
      <c r="H19" s="35">
        <f>IFERROR(LARGE(TblIncome,4),"")</f>
        <v/>
      </c>
    </row>
    <row r="20">
      <c r="E20" s="42" t="n">
        <v>5</v>
      </c>
      <c r="F20" s="42">
        <f>IFERROR(INDEX(TblTicker,MATCH(LARGE(TblIncome,5),TblIncome,0)),"")</f>
        <v/>
      </c>
      <c r="G20" s="34">
        <f>IFERROR(INDEX(TblCompany,MATCH(LARGE(TblIncome,5),TblIncome,0)),"")</f>
        <v/>
      </c>
      <c r="H20" s="35">
        <f>IFERROR(LARGE(TblIncome,5),"")</f>
        <v/>
      </c>
    </row>
    <row r="21">
      <c r="E21" s="42" t="n">
        <v>6</v>
      </c>
      <c r="F21" s="42">
        <f>IFERROR(INDEX(TblTicker,MATCH(LARGE(TblIncome,6),TblIncome,0)),"")</f>
        <v/>
      </c>
      <c r="G21" s="34">
        <f>IFERROR(INDEX(TblCompany,MATCH(LARGE(TblIncome,6),TblIncome,0)),"")</f>
        <v/>
      </c>
      <c r="H21" s="35">
        <f>IFERROR(LARGE(TblIncome,6),"")</f>
        <v/>
      </c>
    </row>
    <row r="22">
      <c r="E22" s="42" t="n">
        <v>7</v>
      </c>
      <c r="F22" s="42">
        <f>IFERROR(INDEX(TblTicker,MATCH(LARGE(TblIncome,7),TblIncome,0)),"")</f>
        <v/>
      </c>
      <c r="G22" s="34">
        <f>IFERROR(INDEX(TblCompany,MATCH(LARGE(TblIncome,7),TblIncome,0)),"")</f>
        <v/>
      </c>
      <c r="H22" s="35">
        <f>IFERROR(LARGE(TblIncome,7),"")</f>
        <v/>
      </c>
    </row>
    <row r="23">
      <c r="E23" s="42" t="n">
        <v>8</v>
      </c>
      <c r="F23" s="42">
        <f>IFERROR(INDEX(TblTicker,MATCH(LARGE(TblIncome,8),TblIncome,0)),"")</f>
        <v/>
      </c>
      <c r="G23" s="34">
        <f>IFERROR(INDEX(TblCompany,MATCH(LARGE(TblIncome,8),TblIncome,0)),"")</f>
        <v/>
      </c>
      <c r="H23" s="35">
        <f>IFERROR(LARGE(TblIncome,8),"")</f>
        <v/>
      </c>
    </row>
    <row r="24">
      <c r="E24" s="42" t="n">
        <v>9</v>
      </c>
      <c r="F24" s="42">
        <f>IFERROR(INDEX(TblTicker,MATCH(LARGE(TblIncome,9),TblIncome,0)),"")</f>
        <v/>
      </c>
      <c r="G24" s="34">
        <f>IFERROR(INDEX(TblCompany,MATCH(LARGE(TblIncome,9),TblIncome,0)),"")</f>
        <v/>
      </c>
      <c r="H24" s="35">
        <f>IFERROR(LARGE(TblIncome,9),"")</f>
        <v/>
      </c>
    </row>
    <row r="25">
      <c r="E25" s="42" t="n">
        <v>10</v>
      </c>
      <c r="F25" s="42">
        <f>IFERROR(INDEX(TblTicker,MATCH(LARGE(TblIncome,10),TblIncome,0)),"")</f>
        <v/>
      </c>
      <c r="G25" s="34">
        <f>IFERROR(INDEX(TblCompany,MATCH(LARGE(TblIncome,10),TblIncome,0)),"")</f>
        <v/>
      </c>
      <c r="H25" s="35">
        <f>IFERROR(LARGE(TblIncome,10),"")</f>
        <v/>
      </c>
    </row>
  </sheetData>
  <mergeCells count="5">
    <mergeCell ref="E14:H14"/>
    <mergeCell ref="B5:C5"/>
    <mergeCell ref="A2:H2"/>
    <mergeCell ref="A1:H1"/>
    <mergeCell ref="E5:H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B4F48"/>
    <outlinePr summaryBelow="1" summaryRight="1"/>
    <pageSetUpPr/>
  </sheetPr>
  <dimension ref="A1:G4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" customWidth="1" min="2" max="2"/>
    <col width="20" customWidth="1" min="3" max="3"/>
    <col width="20" customWidth="1" min="4" max="4"/>
    <col width="18" customWidth="1" min="5" max="5"/>
    <col width="22" customWidth="1" min="6" max="6"/>
    <col width="14" customWidth="1" min="7" max="7"/>
  </cols>
  <sheetData>
    <row r="1" ht="46" customHeight="1">
      <c r="A1" s="1" t="inlineStr">
        <is>
          <t xml:space="preserve">  🚀  PROJECTIONS &amp; FIRE MODEL</t>
        </is>
      </c>
    </row>
    <row r="2" ht="22" customHeight="1">
      <c r="A2" s="2" t="inlineStr">
        <is>
          <t xml:space="preserve">  Compounding forecast driven by your Settings inputs.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</row>
    <row r="5">
      <c r="B5" s="10" t="inlineStr">
        <is>
          <t>FINANCIAL INDEPENDENCE METRICS</t>
        </is>
      </c>
    </row>
    <row r="6">
      <c r="B6" s="32" t="inlineStr">
        <is>
          <t>FIRE Number (25× annual goal)</t>
        </is>
      </c>
      <c r="C6" s="30" t="n"/>
      <c r="D6" s="13" t="n"/>
      <c r="E6" s="33">
        <f>TargetMonthlyIncome*12*25</f>
        <v/>
      </c>
    </row>
    <row r="7">
      <c r="B7" s="32" t="inlineStr">
        <is>
          <t>Years to $1,000 / month</t>
        </is>
      </c>
      <c r="C7" s="30" t="n"/>
      <c r="D7" s="13" t="n"/>
      <c r="E7" s="43">
        <f>IFERROR(IF(TotalMonthlyIncome&gt;=1000,0,LOG(1000/(TotalMonthlyIncome+0.0001))/LOG(1+DividendGrowthRate)),"—")</f>
        <v/>
      </c>
    </row>
    <row r="8">
      <c r="B8" s="32" t="inlineStr">
        <is>
          <t>Years to $5,000 / month</t>
        </is>
      </c>
      <c r="C8" s="30" t="n"/>
      <c r="D8" s="13" t="n"/>
      <c r="E8" s="43">
        <f>IFERROR(IF(TotalMonthlyIncome&gt;=5000,0,LOG(5000/(TotalMonthlyIncome+0.0001))/LOG(1+DividendGrowthRate)),"—")</f>
        <v/>
      </c>
    </row>
    <row r="9">
      <c r="B9" s="32" t="inlineStr">
        <is>
          <t>Years to Target Income</t>
        </is>
      </c>
      <c r="C9" s="30" t="n"/>
      <c r="D9" s="13" t="n"/>
      <c r="E9" s="43">
        <f>IFERROR(IF(TotalMonthlyIncome&gt;=TargetMonthlyIncome,0,LOG(TargetMonthlyIncome/(TotalMonthlyIncome+0.0001))/LOG(1+DividendGrowthRate)),"—")</f>
        <v/>
      </c>
    </row>
    <row r="11">
      <c r="B11" s="10" t="inlineStr">
        <is>
          <t>30-YEAR PROJECTION</t>
        </is>
      </c>
    </row>
    <row r="12" ht="30" customHeight="1">
      <c r="B12" s="12" t="inlineStr">
        <is>
          <t>Year</t>
        </is>
      </c>
      <c r="C12" s="12" t="inlineStr">
        <is>
          <t>Portfolio Value</t>
        </is>
      </c>
      <c r="D12" s="12" t="inlineStr">
        <is>
          <t>Annual Income</t>
        </is>
      </c>
      <c r="E12" s="12" t="inlineStr">
        <is>
          <t>Monthly Income</t>
        </is>
      </c>
      <c r="F12" s="12" t="inlineStr">
        <is>
          <t>Cumulative Contributions</t>
        </is>
      </c>
      <c r="G12" s="12" t="inlineStr">
        <is>
          <t>% to FIRE</t>
        </is>
      </c>
    </row>
    <row r="13">
      <c r="B13" s="23" t="n">
        <v>1</v>
      </c>
      <c r="C13" s="17">
        <f>TotalMarketValue*(1+AnnualGrowthRate)+MonthlyContribution*12</f>
        <v/>
      </c>
      <c r="D13" s="17">
        <f>TotalAnnualIncome*(1+DividendGrowthRate)</f>
        <v/>
      </c>
      <c r="E13" s="17">
        <f>D13/12</f>
        <v/>
      </c>
      <c r="F13" s="17">
        <f>MonthlyContribution*12</f>
        <v/>
      </c>
      <c r="G13" s="44">
        <f>IFERROR(C13/FireNumber,0)</f>
        <v/>
      </c>
    </row>
    <row r="14">
      <c r="B14" s="27" t="n">
        <v>2</v>
      </c>
      <c r="C14" s="21">
        <f>C13*(1+AnnualGrowthRate)+MonthlyContribution*12+IF(ReinvestToggle=1,D13,0)</f>
        <v/>
      </c>
      <c r="D14" s="21">
        <f>D13*(1+DividendGrowthRate)+IF(ReinvestToggle=1,C13*PortfolioYield*0.05,0)</f>
        <v/>
      </c>
      <c r="E14" s="21">
        <f>D14/12</f>
        <v/>
      </c>
      <c r="F14" s="21">
        <f>F13+MonthlyContribution*12</f>
        <v/>
      </c>
      <c r="G14" s="45">
        <f>IFERROR(C14/FireNumber,0)</f>
        <v/>
      </c>
    </row>
    <row r="15">
      <c r="B15" s="23" t="n">
        <v>3</v>
      </c>
      <c r="C15" s="17">
        <f>C14*(1+AnnualGrowthRate)+MonthlyContribution*12+IF(ReinvestToggle=1,D14,0)</f>
        <v/>
      </c>
      <c r="D15" s="17">
        <f>D14*(1+DividendGrowthRate)+IF(ReinvestToggle=1,C14*PortfolioYield*0.05,0)</f>
        <v/>
      </c>
      <c r="E15" s="17">
        <f>D15/12</f>
        <v/>
      </c>
      <c r="F15" s="17">
        <f>F14+MonthlyContribution*12</f>
        <v/>
      </c>
      <c r="G15" s="44">
        <f>IFERROR(C15/FireNumber,0)</f>
        <v/>
      </c>
    </row>
    <row r="16">
      <c r="B16" s="27" t="n">
        <v>4</v>
      </c>
      <c r="C16" s="21">
        <f>C15*(1+AnnualGrowthRate)+MonthlyContribution*12+IF(ReinvestToggle=1,D15,0)</f>
        <v/>
      </c>
      <c r="D16" s="21">
        <f>D15*(1+DividendGrowthRate)+IF(ReinvestToggle=1,C15*PortfolioYield*0.05,0)</f>
        <v/>
      </c>
      <c r="E16" s="21">
        <f>D16/12</f>
        <v/>
      </c>
      <c r="F16" s="21">
        <f>F15+MonthlyContribution*12</f>
        <v/>
      </c>
      <c r="G16" s="45">
        <f>IFERROR(C16/FireNumber,0)</f>
        <v/>
      </c>
    </row>
    <row r="17">
      <c r="B17" s="23" t="n">
        <v>5</v>
      </c>
      <c r="C17" s="17">
        <f>C16*(1+AnnualGrowthRate)+MonthlyContribution*12+IF(ReinvestToggle=1,D16,0)</f>
        <v/>
      </c>
      <c r="D17" s="17">
        <f>D16*(1+DividendGrowthRate)+IF(ReinvestToggle=1,C16*PortfolioYield*0.05,0)</f>
        <v/>
      </c>
      <c r="E17" s="17">
        <f>D17/12</f>
        <v/>
      </c>
      <c r="F17" s="17">
        <f>F16+MonthlyContribution*12</f>
        <v/>
      </c>
      <c r="G17" s="44">
        <f>IFERROR(C17/FireNumber,0)</f>
        <v/>
      </c>
    </row>
    <row r="18">
      <c r="B18" s="27" t="n">
        <v>6</v>
      </c>
      <c r="C18" s="21">
        <f>C17*(1+AnnualGrowthRate)+MonthlyContribution*12+IF(ReinvestToggle=1,D17,0)</f>
        <v/>
      </c>
      <c r="D18" s="21">
        <f>D17*(1+DividendGrowthRate)+IF(ReinvestToggle=1,C17*PortfolioYield*0.05,0)</f>
        <v/>
      </c>
      <c r="E18" s="21">
        <f>D18/12</f>
        <v/>
      </c>
      <c r="F18" s="21">
        <f>F17+MonthlyContribution*12</f>
        <v/>
      </c>
      <c r="G18" s="45">
        <f>IFERROR(C18/FireNumber,0)</f>
        <v/>
      </c>
    </row>
    <row r="19">
      <c r="B19" s="23" t="n">
        <v>7</v>
      </c>
      <c r="C19" s="17">
        <f>C18*(1+AnnualGrowthRate)+MonthlyContribution*12+IF(ReinvestToggle=1,D18,0)</f>
        <v/>
      </c>
      <c r="D19" s="17">
        <f>D18*(1+DividendGrowthRate)+IF(ReinvestToggle=1,C18*PortfolioYield*0.05,0)</f>
        <v/>
      </c>
      <c r="E19" s="17">
        <f>D19/12</f>
        <v/>
      </c>
      <c r="F19" s="17">
        <f>F18+MonthlyContribution*12</f>
        <v/>
      </c>
      <c r="G19" s="44">
        <f>IFERROR(C19/FireNumber,0)</f>
        <v/>
      </c>
    </row>
    <row r="20">
      <c r="B20" s="27" t="n">
        <v>8</v>
      </c>
      <c r="C20" s="21">
        <f>C19*(1+AnnualGrowthRate)+MonthlyContribution*12+IF(ReinvestToggle=1,D19,0)</f>
        <v/>
      </c>
      <c r="D20" s="21">
        <f>D19*(1+DividendGrowthRate)+IF(ReinvestToggle=1,C19*PortfolioYield*0.05,0)</f>
        <v/>
      </c>
      <c r="E20" s="21">
        <f>D20/12</f>
        <v/>
      </c>
      <c r="F20" s="21">
        <f>F19+MonthlyContribution*12</f>
        <v/>
      </c>
      <c r="G20" s="45">
        <f>IFERROR(C20/FireNumber,0)</f>
        <v/>
      </c>
    </row>
    <row r="21">
      <c r="B21" s="23" t="n">
        <v>9</v>
      </c>
      <c r="C21" s="17">
        <f>C20*(1+AnnualGrowthRate)+MonthlyContribution*12+IF(ReinvestToggle=1,D20,0)</f>
        <v/>
      </c>
      <c r="D21" s="17">
        <f>D20*(1+DividendGrowthRate)+IF(ReinvestToggle=1,C20*PortfolioYield*0.05,0)</f>
        <v/>
      </c>
      <c r="E21" s="17">
        <f>D21/12</f>
        <v/>
      </c>
      <c r="F21" s="17">
        <f>F20+MonthlyContribution*12</f>
        <v/>
      </c>
      <c r="G21" s="44">
        <f>IFERROR(C21/FireNumber,0)</f>
        <v/>
      </c>
    </row>
    <row r="22">
      <c r="B22" s="27" t="n">
        <v>10</v>
      </c>
      <c r="C22" s="21">
        <f>C21*(1+AnnualGrowthRate)+MonthlyContribution*12+IF(ReinvestToggle=1,D21,0)</f>
        <v/>
      </c>
      <c r="D22" s="21">
        <f>D21*(1+DividendGrowthRate)+IF(ReinvestToggle=1,C21*PortfolioYield*0.05,0)</f>
        <v/>
      </c>
      <c r="E22" s="21">
        <f>D22/12</f>
        <v/>
      </c>
      <c r="F22" s="21">
        <f>F21+MonthlyContribution*12</f>
        <v/>
      </c>
      <c r="G22" s="45">
        <f>IFERROR(C22/FireNumber,0)</f>
        <v/>
      </c>
    </row>
    <row r="23">
      <c r="B23" s="23" t="n">
        <v>11</v>
      </c>
      <c r="C23" s="17">
        <f>C22*(1+AnnualGrowthRate)+MonthlyContribution*12+IF(ReinvestToggle=1,D22,0)</f>
        <v/>
      </c>
      <c r="D23" s="17">
        <f>D22*(1+DividendGrowthRate)+IF(ReinvestToggle=1,C22*PortfolioYield*0.05,0)</f>
        <v/>
      </c>
      <c r="E23" s="17">
        <f>D23/12</f>
        <v/>
      </c>
      <c r="F23" s="17">
        <f>F22+MonthlyContribution*12</f>
        <v/>
      </c>
      <c r="G23" s="44">
        <f>IFERROR(C23/FireNumber,0)</f>
        <v/>
      </c>
    </row>
    <row r="24">
      <c r="B24" s="27" t="n">
        <v>12</v>
      </c>
      <c r="C24" s="21">
        <f>C23*(1+AnnualGrowthRate)+MonthlyContribution*12+IF(ReinvestToggle=1,D23,0)</f>
        <v/>
      </c>
      <c r="D24" s="21">
        <f>D23*(1+DividendGrowthRate)+IF(ReinvestToggle=1,C23*PortfolioYield*0.05,0)</f>
        <v/>
      </c>
      <c r="E24" s="21">
        <f>D24/12</f>
        <v/>
      </c>
      <c r="F24" s="21">
        <f>F23+MonthlyContribution*12</f>
        <v/>
      </c>
      <c r="G24" s="45">
        <f>IFERROR(C24/FireNumber,0)</f>
        <v/>
      </c>
    </row>
    <row r="25">
      <c r="B25" s="23" t="n">
        <v>13</v>
      </c>
      <c r="C25" s="17">
        <f>C24*(1+AnnualGrowthRate)+MonthlyContribution*12+IF(ReinvestToggle=1,D24,0)</f>
        <v/>
      </c>
      <c r="D25" s="17">
        <f>D24*(1+DividendGrowthRate)+IF(ReinvestToggle=1,C24*PortfolioYield*0.05,0)</f>
        <v/>
      </c>
      <c r="E25" s="17">
        <f>D25/12</f>
        <v/>
      </c>
      <c r="F25" s="17">
        <f>F24+MonthlyContribution*12</f>
        <v/>
      </c>
      <c r="G25" s="44">
        <f>IFERROR(C25/FireNumber,0)</f>
        <v/>
      </c>
    </row>
    <row r="26">
      <c r="B26" s="27" t="n">
        <v>14</v>
      </c>
      <c r="C26" s="21">
        <f>C25*(1+AnnualGrowthRate)+MonthlyContribution*12+IF(ReinvestToggle=1,D25,0)</f>
        <v/>
      </c>
      <c r="D26" s="21">
        <f>D25*(1+DividendGrowthRate)+IF(ReinvestToggle=1,C25*PortfolioYield*0.05,0)</f>
        <v/>
      </c>
      <c r="E26" s="21">
        <f>D26/12</f>
        <v/>
      </c>
      <c r="F26" s="21">
        <f>F25+MonthlyContribution*12</f>
        <v/>
      </c>
      <c r="G26" s="45">
        <f>IFERROR(C26/FireNumber,0)</f>
        <v/>
      </c>
    </row>
    <row r="27">
      <c r="B27" s="23" t="n">
        <v>15</v>
      </c>
      <c r="C27" s="17">
        <f>C26*(1+AnnualGrowthRate)+MonthlyContribution*12+IF(ReinvestToggle=1,D26,0)</f>
        <v/>
      </c>
      <c r="D27" s="17">
        <f>D26*(1+DividendGrowthRate)+IF(ReinvestToggle=1,C26*PortfolioYield*0.05,0)</f>
        <v/>
      </c>
      <c r="E27" s="17">
        <f>D27/12</f>
        <v/>
      </c>
      <c r="F27" s="17">
        <f>F26+MonthlyContribution*12</f>
        <v/>
      </c>
      <c r="G27" s="44">
        <f>IFERROR(C27/FireNumber,0)</f>
        <v/>
      </c>
    </row>
    <row r="28">
      <c r="B28" s="27" t="n">
        <v>16</v>
      </c>
      <c r="C28" s="21">
        <f>C27*(1+AnnualGrowthRate)+MonthlyContribution*12+IF(ReinvestToggle=1,D27,0)</f>
        <v/>
      </c>
      <c r="D28" s="21">
        <f>D27*(1+DividendGrowthRate)+IF(ReinvestToggle=1,C27*PortfolioYield*0.05,0)</f>
        <v/>
      </c>
      <c r="E28" s="21">
        <f>D28/12</f>
        <v/>
      </c>
      <c r="F28" s="21">
        <f>F27+MonthlyContribution*12</f>
        <v/>
      </c>
      <c r="G28" s="45">
        <f>IFERROR(C28/FireNumber,0)</f>
        <v/>
      </c>
    </row>
    <row r="29">
      <c r="B29" s="23" t="n">
        <v>17</v>
      </c>
      <c r="C29" s="17">
        <f>C28*(1+AnnualGrowthRate)+MonthlyContribution*12+IF(ReinvestToggle=1,D28,0)</f>
        <v/>
      </c>
      <c r="D29" s="17">
        <f>D28*(1+DividendGrowthRate)+IF(ReinvestToggle=1,C28*PortfolioYield*0.05,0)</f>
        <v/>
      </c>
      <c r="E29" s="17">
        <f>D29/12</f>
        <v/>
      </c>
      <c r="F29" s="17">
        <f>F28+MonthlyContribution*12</f>
        <v/>
      </c>
      <c r="G29" s="44">
        <f>IFERROR(C29/FireNumber,0)</f>
        <v/>
      </c>
    </row>
    <row r="30">
      <c r="B30" s="27" t="n">
        <v>18</v>
      </c>
      <c r="C30" s="21">
        <f>C29*(1+AnnualGrowthRate)+MonthlyContribution*12+IF(ReinvestToggle=1,D29,0)</f>
        <v/>
      </c>
      <c r="D30" s="21">
        <f>D29*(1+DividendGrowthRate)+IF(ReinvestToggle=1,C29*PortfolioYield*0.05,0)</f>
        <v/>
      </c>
      <c r="E30" s="21">
        <f>D30/12</f>
        <v/>
      </c>
      <c r="F30" s="21">
        <f>F29+MonthlyContribution*12</f>
        <v/>
      </c>
      <c r="G30" s="45">
        <f>IFERROR(C30/FireNumber,0)</f>
        <v/>
      </c>
    </row>
    <row r="31">
      <c r="B31" s="23" t="n">
        <v>19</v>
      </c>
      <c r="C31" s="17">
        <f>C30*(1+AnnualGrowthRate)+MonthlyContribution*12+IF(ReinvestToggle=1,D30,0)</f>
        <v/>
      </c>
      <c r="D31" s="17">
        <f>D30*(1+DividendGrowthRate)+IF(ReinvestToggle=1,C30*PortfolioYield*0.05,0)</f>
        <v/>
      </c>
      <c r="E31" s="17">
        <f>D31/12</f>
        <v/>
      </c>
      <c r="F31" s="17">
        <f>F30+MonthlyContribution*12</f>
        <v/>
      </c>
      <c r="G31" s="44">
        <f>IFERROR(C31/FireNumber,0)</f>
        <v/>
      </c>
    </row>
    <row r="32">
      <c r="B32" s="27" t="n">
        <v>20</v>
      </c>
      <c r="C32" s="21">
        <f>C31*(1+AnnualGrowthRate)+MonthlyContribution*12+IF(ReinvestToggle=1,D31,0)</f>
        <v/>
      </c>
      <c r="D32" s="21">
        <f>D31*(1+DividendGrowthRate)+IF(ReinvestToggle=1,C31*PortfolioYield*0.05,0)</f>
        <v/>
      </c>
      <c r="E32" s="21">
        <f>D32/12</f>
        <v/>
      </c>
      <c r="F32" s="21">
        <f>F31+MonthlyContribution*12</f>
        <v/>
      </c>
      <c r="G32" s="45">
        <f>IFERROR(C32/FireNumber,0)</f>
        <v/>
      </c>
    </row>
    <row r="33">
      <c r="B33" s="23" t="n">
        <v>21</v>
      </c>
      <c r="C33" s="17">
        <f>C32*(1+AnnualGrowthRate)+MonthlyContribution*12+IF(ReinvestToggle=1,D32,0)</f>
        <v/>
      </c>
      <c r="D33" s="17">
        <f>D32*(1+DividendGrowthRate)+IF(ReinvestToggle=1,C32*PortfolioYield*0.05,0)</f>
        <v/>
      </c>
      <c r="E33" s="17">
        <f>D33/12</f>
        <v/>
      </c>
      <c r="F33" s="17">
        <f>F32+MonthlyContribution*12</f>
        <v/>
      </c>
      <c r="G33" s="44">
        <f>IFERROR(C33/FireNumber,0)</f>
        <v/>
      </c>
    </row>
    <row r="34">
      <c r="B34" s="27" t="n">
        <v>22</v>
      </c>
      <c r="C34" s="21">
        <f>C33*(1+AnnualGrowthRate)+MonthlyContribution*12+IF(ReinvestToggle=1,D33,0)</f>
        <v/>
      </c>
      <c r="D34" s="21">
        <f>D33*(1+DividendGrowthRate)+IF(ReinvestToggle=1,C33*PortfolioYield*0.05,0)</f>
        <v/>
      </c>
      <c r="E34" s="21">
        <f>D34/12</f>
        <v/>
      </c>
      <c r="F34" s="21">
        <f>F33+MonthlyContribution*12</f>
        <v/>
      </c>
      <c r="G34" s="45">
        <f>IFERROR(C34/FireNumber,0)</f>
        <v/>
      </c>
    </row>
    <row r="35">
      <c r="B35" s="23" t="n">
        <v>23</v>
      </c>
      <c r="C35" s="17">
        <f>C34*(1+AnnualGrowthRate)+MonthlyContribution*12+IF(ReinvestToggle=1,D34,0)</f>
        <v/>
      </c>
      <c r="D35" s="17">
        <f>D34*(1+DividendGrowthRate)+IF(ReinvestToggle=1,C34*PortfolioYield*0.05,0)</f>
        <v/>
      </c>
      <c r="E35" s="17">
        <f>D35/12</f>
        <v/>
      </c>
      <c r="F35" s="17">
        <f>F34+MonthlyContribution*12</f>
        <v/>
      </c>
      <c r="G35" s="44">
        <f>IFERROR(C35/FireNumber,0)</f>
        <v/>
      </c>
    </row>
    <row r="36">
      <c r="B36" s="27" t="n">
        <v>24</v>
      </c>
      <c r="C36" s="21">
        <f>C35*(1+AnnualGrowthRate)+MonthlyContribution*12+IF(ReinvestToggle=1,D35,0)</f>
        <v/>
      </c>
      <c r="D36" s="21">
        <f>D35*(1+DividendGrowthRate)+IF(ReinvestToggle=1,C35*PortfolioYield*0.05,0)</f>
        <v/>
      </c>
      <c r="E36" s="21">
        <f>D36/12</f>
        <v/>
      </c>
      <c r="F36" s="21">
        <f>F35+MonthlyContribution*12</f>
        <v/>
      </c>
      <c r="G36" s="45">
        <f>IFERROR(C36/FireNumber,0)</f>
        <v/>
      </c>
    </row>
    <row r="37">
      <c r="B37" s="23" t="n">
        <v>25</v>
      </c>
      <c r="C37" s="17">
        <f>C36*(1+AnnualGrowthRate)+MonthlyContribution*12+IF(ReinvestToggle=1,D36,0)</f>
        <v/>
      </c>
      <c r="D37" s="17">
        <f>D36*(1+DividendGrowthRate)+IF(ReinvestToggle=1,C36*PortfolioYield*0.05,0)</f>
        <v/>
      </c>
      <c r="E37" s="17">
        <f>D37/12</f>
        <v/>
      </c>
      <c r="F37" s="17">
        <f>F36+MonthlyContribution*12</f>
        <v/>
      </c>
      <c r="G37" s="44">
        <f>IFERROR(C37/FireNumber,0)</f>
        <v/>
      </c>
    </row>
    <row r="38">
      <c r="B38" s="27" t="n">
        <v>26</v>
      </c>
      <c r="C38" s="21">
        <f>C37*(1+AnnualGrowthRate)+MonthlyContribution*12+IF(ReinvestToggle=1,D37,0)</f>
        <v/>
      </c>
      <c r="D38" s="21">
        <f>D37*(1+DividendGrowthRate)+IF(ReinvestToggle=1,C37*PortfolioYield*0.05,0)</f>
        <v/>
      </c>
      <c r="E38" s="21">
        <f>D38/12</f>
        <v/>
      </c>
      <c r="F38" s="21">
        <f>F37+MonthlyContribution*12</f>
        <v/>
      </c>
      <c r="G38" s="45">
        <f>IFERROR(C38/FireNumber,0)</f>
        <v/>
      </c>
    </row>
    <row r="39">
      <c r="B39" s="23" t="n">
        <v>27</v>
      </c>
      <c r="C39" s="17">
        <f>C38*(1+AnnualGrowthRate)+MonthlyContribution*12+IF(ReinvestToggle=1,D38,0)</f>
        <v/>
      </c>
      <c r="D39" s="17">
        <f>D38*(1+DividendGrowthRate)+IF(ReinvestToggle=1,C38*PortfolioYield*0.05,0)</f>
        <v/>
      </c>
      <c r="E39" s="17">
        <f>D39/12</f>
        <v/>
      </c>
      <c r="F39" s="17">
        <f>F38+MonthlyContribution*12</f>
        <v/>
      </c>
      <c r="G39" s="44">
        <f>IFERROR(C39/FireNumber,0)</f>
        <v/>
      </c>
    </row>
    <row r="40">
      <c r="B40" s="27" t="n">
        <v>28</v>
      </c>
      <c r="C40" s="21">
        <f>C39*(1+AnnualGrowthRate)+MonthlyContribution*12+IF(ReinvestToggle=1,D39,0)</f>
        <v/>
      </c>
      <c r="D40" s="21">
        <f>D39*(1+DividendGrowthRate)+IF(ReinvestToggle=1,C39*PortfolioYield*0.05,0)</f>
        <v/>
      </c>
      <c r="E40" s="21">
        <f>D40/12</f>
        <v/>
      </c>
      <c r="F40" s="21">
        <f>F39+MonthlyContribution*12</f>
        <v/>
      </c>
      <c r="G40" s="45">
        <f>IFERROR(C40/FireNumber,0)</f>
        <v/>
      </c>
    </row>
    <row r="41">
      <c r="B41" s="23" t="n">
        <v>29</v>
      </c>
      <c r="C41" s="17">
        <f>C40*(1+AnnualGrowthRate)+MonthlyContribution*12+IF(ReinvestToggle=1,D40,0)</f>
        <v/>
      </c>
      <c r="D41" s="17">
        <f>D40*(1+DividendGrowthRate)+IF(ReinvestToggle=1,C40*PortfolioYield*0.05,0)</f>
        <v/>
      </c>
      <c r="E41" s="17">
        <f>D41/12</f>
        <v/>
      </c>
      <c r="F41" s="17">
        <f>F40+MonthlyContribution*12</f>
        <v/>
      </c>
      <c r="G41" s="44">
        <f>IFERROR(C41/FireNumber,0)</f>
        <v/>
      </c>
    </row>
    <row r="42">
      <c r="B42" s="27" t="n">
        <v>30</v>
      </c>
      <c r="C42" s="21">
        <f>C41*(1+AnnualGrowthRate)+MonthlyContribution*12+IF(ReinvestToggle=1,D41,0)</f>
        <v/>
      </c>
      <c r="D42" s="21">
        <f>D41*(1+DividendGrowthRate)+IF(ReinvestToggle=1,C41*PortfolioYield*0.05,0)</f>
        <v/>
      </c>
      <c r="E42" s="21">
        <f>D42/12</f>
        <v/>
      </c>
      <c r="F42" s="21">
        <f>F41+MonthlyContribution*12</f>
        <v/>
      </c>
      <c r="G42" s="45">
        <f>IFERROR(C42/FireNumber,0)</f>
        <v/>
      </c>
    </row>
  </sheetData>
  <mergeCells count="8">
    <mergeCell ref="A1:G1"/>
    <mergeCell ref="B5:G5"/>
    <mergeCell ref="B8:D8"/>
    <mergeCell ref="B9:D9"/>
    <mergeCell ref="A2:G2"/>
    <mergeCell ref="B7:D7"/>
    <mergeCell ref="B6:D6"/>
    <mergeCell ref="B11:G1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E5D3BA"/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2" customWidth="1" min="2" max="2"/>
    <col width="20" customWidth="1" min="3" max="3"/>
    <col width="4" customWidth="1" min="4" max="4"/>
    <col width="22" customWidth="1" min="5" max="5"/>
    <col width="18" customWidth="1" min="6" max="6"/>
    <col width="18" customWidth="1" min="7" max="7"/>
    <col width="18" customWidth="1" min="8" max="8"/>
  </cols>
  <sheetData>
    <row r="1" ht="46" customHeight="1">
      <c r="A1" s="1" t="inlineStr">
        <is>
          <t xml:space="preserve">  ⚙  SETTINGS</t>
        </is>
      </c>
    </row>
    <row r="2" ht="22" customHeight="1">
      <c r="A2" s="2" t="inlineStr">
        <is>
          <t xml:space="preserve">  Set your goals once — the whole system updates.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</row>
    <row r="5">
      <c r="B5" s="11" t="inlineStr">
        <is>
          <t>INVESTOR CONTROLS</t>
        </is>
      </c>
      <c r="E5" s="10" t="inlineStr">
        <is>
          <t>DROPDOWN LISTS</t>
        </is>
      </c>
    </row>
    <row r="6">
      <c r="B6" s="32" t="inlineStr">
        <is>
          <t>Monthly Contribution</t>
        </is>
      </c>
      <c r="C6" s="46" t="n">
        <v>1000</v>
      </c>
      <c r="E6" s="12" t="inlineStr">
        <is>
          <t>Sectors</t>
        </is>
      </c>
      <c r="F6" s="12" t="inlineStr">
        <is>
          <t>Risk Levels</t>
        </is>
      </c>
      <c r="G6" s="12" t="inlineStr">
        <is>
          <t>Frequencies</t>
        </is>
      </c>
    </row>
    <row r="7">
      <c r="B7" s="32" t="inlineStr">
        <is>
          <t>Target Monthly Dividend Income</t>
        </is>
      </c>
      <c r="C7" s="46" t="n">
        <v>4000</v>
      </c>
      <c r="E7" s="34" t="inlineStr">
        <is>
          <t>Tech</t>
        </is>
      </c>
      <c r="F7" s="34" t="inlineStr">
        <is>
          <t>Low</t>
        </is>
      </c>
      <c r="G7" s="34" t="inlineStr">
        <is>
          <t>Monthly</t>
        </is>
      </c>
    </row>
    <row r="8">
      <c r="B8" s="32" t="inlineStr">
        <is>
          <t>Expected Annual Growth Rate</t>
        </is>
      </c>
      <c r="C8" s="47" t="n">
        <v>0.08</v>
      </c>
      <c r="E8" s="34" t="inlineStr">
        <is>
          <t>Finance</t>
        </is>
      </c>
      <c r="F8" s="34" t="inlineStr">
        <is>
          <t>Medium</t>
        </is>
      </c>
      <c r="G8" s="34" t="inlineStr">
        <is>
          <t>Quarterly</t>
        </is>
      </c>
    </row>
    <row r="9">
      <c r="B9" s="32" t="inlineStr">
        <is>
          <t>Dividend Growth Rate</t>
        </is>
      </c>
      <c r="C9" s="47" t="n">
        <v>0.07000000000000001</v>
      </c>
      <c r="E9" s="34" t="inlineStr">
        <is>
          <t>Energy</t>
        </is>
      </c>
      <c r="F9" s="34" t="inlineStr">
        <is>
          <t>High</t>
        </is>
      </c>
      <c r="G9" s="34" t="inlineStr">
        <is>
          <t>Semi-Annual</t>
        </is>
      </c>
    </row>
    <row r="10">
      <c r="B10" s="32" t="inlineStr">
        <is>
          <t>Reinvest Dividends (1=Yes, 0=No)</t>
        </is>
      </c>
      <c r="C10" s="48" t="n">
        <v>1</v>
      </c>
      <c r="E10" s="34" t="inlineStr">
        <is>
          <t>REITs</t>
        </is>
      </c>
      <c r="G10" s="34" t="inlineStr">
        <is>
          <t>Annual</t>
        </is>
      </c>
    </row>
    <row r="11">
      <c r="B11" s="32" t="inlineStr">
        <is>
          <t>Dividend Tax Rate</t>
        </is>
      </c>
      <c r="C11" s="47" t="n">
        <v>0.15</v>
      </c>
      <c r="E11" s="34" t="inlineStr">
        <is>
          <t>Consumer</t>
        </is>
      </c>
    </row>
    <row r="12">
      <c r="B12" s="32" t="inlineStr">
        <is>
          <t>Years to Project</t>
        </is>
      </c>
      <c r="C12" s="48" t="n">
        <v>30</v>
      </c>
      <c r="E12" s="34" t="inlineStr">
        <is>
          <t>Healthcare</t>
        </is>
      </c>
    </row>
    <row r="15">
      <c r="E15" s="10" t="inlineStr">
        <is>
          <t>FREQUENCY LOOKUP</t>
        </is>
      </c>
    </row>
    <row r="16">
      <c r="E16" s="12" t="inlineStr">
        <is>
          <t>Frequency</t>
        </is>
      </c>
      <c r="F16" s="12" t="inlineStr">
        <is>
          <t>Pmts/Yr</t>
        </is>
      </c>
    </row>
    <row r="17">
      <c r="E17" s="34" t="inlineStr">
        <is>
          <t>Monthly</t>
        </is>
      </c>
      <c r="F17" s="42" t="n">
        <v>12</v>
      </c>
    </row>
    <row r="18">
      <c r="E18" s="34" t="inlineStr">
        <is>
          <t>Quarterly</t>
        </is>
      </c>
      <c r="F18" s="42" t="n">
        <v>4</v>
      </c>
    </row>
    <row r="19">
      <c r="E19" s="34" t="inlineStr">
        <is>
          <t>Semi-Annual</t>
        </is>
      </c>
      <c r="F19" s="42" t="n">
        <v>2</v>
      </c>
    </row>
    <row r="20">
      <c r="E20" s="34" t="inlineStr">
        <is>
          <t>Annual</t>
        </is>
      </c>
      <c r="F20" s="42" t="n">
        <v>1</v>
      </c>
    </row>
  </sheetData>
  <mergeCells count="5">
    <mergeCell ref="E15:F15"/>
    <mergeCell ref="B5:C5"/>
    <mergeCell ref="A2:H2"/>
    <mergeCell ref="A1:H1"/>
    <mergeCell ref="E5:H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2026-06-29T04:10:57Z</dcterms:created>
  <dcterms:modified xsi:type="dcterms:W3CDTF">2026-06-29T04:10:57Z</dcterms:modified>
</cp:coreProperties>
</file>