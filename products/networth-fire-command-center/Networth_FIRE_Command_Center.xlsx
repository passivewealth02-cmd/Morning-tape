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Net Worth" sheetId="3" state="visible" r:id="rId3"/>
    <sheet name="FIRE Number" sheetId="4" state="visible" r:id="rId4"/>
    <sheet name="Assets" sheetId="5" state="visible" r:id="rId5"/>
    <sheet name="Liabilities" sheetId="6" state="visible" r:id="rId6"/>
    <sheet name="Accounts" sheetId="7" state="visible" r:id="rId7"/>
    <sheet name="Contributions" sheetId="8" state="visible" r:id="rId8"/>
    <sheet name="Income &amp; Expenses" sheetId="9" state="visible" r:id="rId9"/>
    <sheet name="Savings Rate" sheetId="10" state="visible" r:id="rId10"/>
    <sheet name="Coast &amp; Projection" sheetId="11" state="visible" r:id="rId11"/>
    <sheet name="Milestones" sheetId="12" state="visible" r:id="rId12"/>
    <sheet name="Net Worth Trend" sheetId="13" state="visible" r:id="rId13"/>
    <sheet name="Settings" sheetId="14" state="visible" r:id="rId14"/>
  </sheets>
  <definedNames>
    <definedName name="Owner">Settings!$C$6</definedName>
    <definedName name="PlanName">Settings!$C$7</definedName>
    <definedName name="WithdrawalRate">Settings!$C$8</definedName>
    <definedName name="ReturnRate">Settings!$C$9</definedName>
    <definedName name="CurrentAge">Settings!$C$10</definedName>
    <definedName name="RetireAge">Settings!$C$11</definedName>
    <definedName name="SavingsGoal">Settings!$C$12</definedName>
    <definedName name="EmergencyFundGoal">Settings!$C$13</definedName>
    <definedName name="ContribGoal">Settings!$C$14</definedName>
    <definedName name="HalfwayGoal">Settings!$C$15</definedName>
    <definedName name="AssetTypeList">Settings!$E$7:$E$11</definedName>
    <definedName name="LiabTypeList">Settings!$F$7:$F$10</definedName>
    <definedName name="AcctTypeList">Settings!$G$7:$G$12</definedName>
    <definedName name="YesNoList">Settings!$H$7:$H$8</definedName>
    <definedName name="NetWorth">'Net Worth'!$C$7</definedName>
    <definedName name="LiquidNW">'Net Worth'!$C$9</definedName>
    <definedName name="AnnualExpenses">'FIRE Number'!$C$5</definedName>
    <definedName name="FIRENumber">'FIRE Number'!$C$7</definedName>
    <definedName name="FIREProgress">'FIRE Number'!$C$10</definedName>
    <definedName name="CoastNumber">'FIRE Number'!$C$14</definedName>
    <definedName name="YearsToFI">'FIRE Number'!$C$17</definedName>
    <definedName name="AssetType">'Assets'!$C$5:$C$10</definedName>
    <definedName name="AssetValue">'Assets'!$D$5:$D$10</definedName>
    <definedName name="TotalAssets">'Assets'!$D$11</definedName>
    <definedName name="InvestedAssets">'Assets'!$D$13</definedName>
    <definedName name="CashAssets">'Assets'!$D$14</definedName>
    <definedName name="LiabType">'Liabilities'!$C$5:$C$7</definedName>
    <definedName name="LiabBalance">'Liabilities'!$D$5:$D$7</definedName>
    <definedName name="TotalLiab">'Liabilities'!$D$8</definedName>
    <definedName name="NonMortgageDebt">'Liabilities'!$D$10</definedName>
    <definedName name="AcctBalance">'Accounts'!$E$5:$E$28</definedName>
    <definedName name="ContribAnnual">'Contributions'!$C$5</definedName>
    <definedName name="ContribAmt">'Contributions'!$D$8:$D$13</definedName>
    <definedName name="AnnualIncome">'Income &amp; Expenses'!$C$5</definedName>
    <definedName name="AnnualSavings">'Income &amp; Expenses'!$C$7</definedName>
    <definedName name="SavingsRate">'Income &amp; Expenses'!$C$8</definedName>
    <definedName name="MilestoneReached">'Milestones'!$D$5:$D$12</definedName>
    <definedName name="NWTrend">'Net Worth Trend'!$C$7:$C$12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  <sz val="14"/>
    </font>
    <font>
      <b val="1"/>
      <color rgb="001B4F48"/>
      <sz val="13"/>
    </font>
    <font>
      <b val="1"/>
      <color rgb="001B4F48"/>
      <sz val="12"/>
    </font>
    <font>
      <b val="1"/>
      <color rgb="001B4F48"/>
    </font>
    <font>
      <b val="1"/>
      <color rgb="00C94C4C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5" fillId="9" borderId="3" applyAlignment="1" pivotButton="0" quotePrefix="0" xfId="0">
      <alignment horizontal="center" vertical="center"/>
    </xf>
    <xf numFmtId="0" fontId="0" fillId="9" borderId="3" pivotButton="0" quotePrefix="0" xfId="0"/>
    <xf numFmtId="165" fontId="16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5" fontId="7" fillId="6" borderId="2" applyAlignment="1" pivotButton="0" quotePrefix="0" xfId="10">
      <alignment horizontal="left" vertical="center" indent="1"/>
    </xf>
    <xf numFmtId="165" fontId="7" fillId="0" borderId="2" applyAlignment="1" pivotButton="0" quotePrefix="0" xfId="10">
      <alignment horizontal="left" vertical="center" indent="1"/>
    </xf>
    <xf numFmtId="165" fontId="10" fillId="6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9" fontId="11" fillId="6" borderId="2" applyAlignment="1" pivotButton="0" quotePrefix="0" xfId="6">
      <alignment horizontal="center" vertical="center" wrapText="1"/>
    </xf>
    <xf numFmtId="1" fontId="7" fillId="0" borderId="2" applyAlignment="1" pivotButton="0" quotePrefix="0" xfId="10">
      <alignment horizontal="left" vertical="center" indent="1"/>
    </xf>
    <xf numFmtId="165" fontId="12" fillId="6" borderId="2" applyAlignment="1" pivotButton="0" quotePrefix="0" xfId="6">
      <alignment horizontal="center" vertical="center" wrapText="1"/>
    </xf>
    <xf numFmtId="0" fontId="7" fillId="0" borderId="2" applyAlignment="1" pivotButton="0" quotePrefix="0" xfId="10">
      <alignment horizontal="left" vertical="center" indent="1"/>
    </xf>
    <xf numFmtId="166" fontId="11" fillId="6" borderId="2" applyAlignment="1" pivotButton="0" quotePrefix="0" xfId="6">
      <alignment horizontal="center" vertical="center" wrapText="1"/>
    </xf>
    <xf numFmtId="165" fontId="7" fillId="8" borderId="2" applyAlignment="1" pivotButton="0" quotePrefix="0" xfId="8">
      <alignment horizontal="center" vertical="center"/>
    </xf>
    <xf numFmtId="0" fontId="6" fillId="3" borderId="2" applyAlignment="1" pivotButton="0" quotePrefix="0" xfId="6">
      <alignment horizontal="center" vertical="center" wrapText="1"/>
    </xf>
    <xf numFmtId="165" fontId="13" fillId="6" borderId="2" applyAlignment="1" pivotButton="0" quotePrefix="0" xfId="6">
      <alignment horizontal="center" vertical="center" wrapText="1"/>
    </xf>
    <xf numFmtId="165" fontId="14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1" fillId="6" borderId="2" applyAlignment="1" pivotButton="0" quotePrefix="0" xfId="6">
      <alignment horizontal="center" vertical="center" wrapText="1"/>
    </xf>
    <xf numFmtId="165" fontId="6" fillId="0" borderId="2" applyAlignment="1" pivotButton="0" quotePrefix="0" xfId="6">
      <alignment horizontal="center" vertical="center" wrapText="1"/>
    </xf>
    <xf numFmtId="9" fontId="13" fillId="6" borderId="2" applyAlignment="1" pivotButton="0" quotePrefix="0" xfId="6">
      <alignment horizontal="center" vertical="center" wrapText="1"/>
    </xf>
    <xf numFmtId="0" fontId="13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Worth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'Net Worth Trend'!$B$7:$B$12</f>
            </numRef>
          </cat>
          <val>
            <numRef>
              <f>'Net Worth Trend'!$C$7:$C$12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Worth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'Net Worth Trend'!$B$7:$B$12</f>
            </numRef>
          </cat>
          <val>
            <numRef>
              <f>'Net Worth Trend'!$C$7:$C$12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🧭  NET WORTH &amp; FIRE COMMAND CENTER™</t>
        </is>
      </c>
    </row>
    <row r="2" ht="24" customHeight="1">
      <c r="A2" s="2" t="inlineStr">
        <is>
          <t xml:space="preserve">  Know your number, and your progress to it.</t>
        </is>
      </c>
    </row>
    <row r="3" ht="6" customHeight="1">
      <c r="A3" s="3" t="n"/>
      <c r="B3" s="3" t="n"/>
      <c r="C3" s="3" t="n"/>
    </row>
    <row r="5">
      <c r="B5" s="4" t="inlineStr">
        <is>
          <t>YOUR WHOLE FINANCIAL PICTURE, IN ONE PLACE</t>
        </is>
      </c>
    </row>
    <row r="6" ht="22" customHeight="1">
      <c r="B6" s="5" t="inlineStr">
        <is>
          <t>Financial independence comes down to two numbers most people never calculate: the number you need to never work again, and how far along you are. This makes both clear: a FIRE-number engine turns your annual spending into the amount you need, then shows your progress, your coast-FIRE number and your years to freedom. Track your net worth, assets, liabilities, accounts, contributions and savings rate — all in ONE premium Google Sheets &amp; Excel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withdrawal rate, return, ages &amp; goals.</t>
        </is>
      </c>
    </row>
    <row r="13" ht="22" customHeight="1">
      <c r="B13" s="8" t="inlineStr">
        <is>
          <t>2.  Enter your Assets and Liabilities — your Net Worth appears.</t>
        </is>
      </c>
    </row>
    <row r="14" ht="22" customHeight="1">
      <c r="B14" s="8" t="inlineStr">
        <is>
          <t>3.  Enter your spending in the FIRE Number tab — see your number.</t>
        </is>
      </c>
    </row>
    <row r="15" ht="22" customHeight="1">
      <c r="B15" s="8" t="inlineStr">
        <is>
          <t>4.  Log your Income &amp; Expenses and your Contributions.</t>
        </is>
      </c>
    </row>
    <row r="16" ht="22" customHeight="1">
      <c r="B16" s="8" t="inlineStr">
        <is>
          <t>5.  Read your progress, coast FIRE and years to FI.</t>
        </is>
      </c>
    </row>
    <row r="17" ht="22" customHeight="1">
      <c r="B17" s="8" t="inlineStr">
        <is>
          <t>6.  Check the Dashboard: net worth, progress &amp; a FIRE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saver (North Star Finance, Sage) is included so you can see how it all connects — just type over it with your own numbers. The FIRE number and your progress to it are the two figures that decide when work becomes optional, and they roll into a live FIRE Score. Twelve matching printable pages (net-worth worksheet, FIRE-number worksheet, asset &amp; debt lists &amp; more) are included. This is a personal-finance organizing tool, not financial, legal or tax advice — confirm figures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The best day to know your number was years ago. The second best day is today.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🧭  NET WORTH &amp; FIRE COMMAND CENTER™</t>
        </is>
      </c>
    </row>
    <row r="2" ht="24" customHeight="1">
      <c r="A2" s="2" t="inlineStr">
        <is>
          <t xml:space="preserve">  Net worth, your FIRE number, your progress &amp; a FIRE Score — your whole picture,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NET WORTH</t>
        </is>
      </c>
      <c r="C5" s="13" t="n"/>
      <c r="D5" s="12" t="inlineStr">
        <is>
          <t>TOTAL ASSETS</t>
        </is>
      </c>
      <c r="E5" s="13" t="n"/>
      <c r="F5" s="12" t="inlineStr">
        <is>
          <t>TOTAL LIABILITIES</t>
        </is>
      </c>
      <c r="G5" s="13" t="n"/>
      <c r="H5" s="12" t="inlineStr">
        <is>
          <t>FIRE NUMBER</t>
        </is>
      </c>
      <c r="I5" s="13" t="n"/>
      <c r="J5" s="12" t="inlineStr">
        <is>
          <t>FIRE PROGRESS</t>
        </is>
      </c>
      <c r="K5" s="13" t="n"/>
      <c r="L5" s="12" t="inlineStr">
        <is>
          <t>ANNUAL EXPENSES</t>
        </is>
      </c>
      <c r="M5" s="13" t="n"/>
    </row>
    <row r="6" ht="40" customHeight="1">
      <c r="B6" s="14">
        <f>NetWorth</f>
        <v/>
      </c>
      <c r="C6" s="15" t="n"/>
      <c r="D6" s="14">
        <f>TotalAssets</f>
        <v/>
      </c>
      <c r="E6" s="15" t="n"/>
      <c r="F6" s="14">
        <f>TotalLiab</f>
        <v/>
      </c>
      <c r="G6" s="15" t="n"/>
      <c r="H6" s="14">
        <f>FIRENumber</f>
        <v/>
      </c>
      <c r="I6" s="15" t="n"/>
      <c r="J6" s="16">
        <f>FIREProgress</f>
        <v/>
      </c>
      <c r="K6" s="15" t="n"/>
      <c r="L6" s="14">
        <f>AnnualExpenses</f>
        <v/>
      </c>
      <c r="M6" s="15" t="n"/>
    </row>
    <row r="8" ht="18" customHeight="1">
      <c r="B8" s="12" t="inlineStr">
        <is>
          <t>SAVINGS RATE</t>
        </is>
      </c>
      <c r="C8" s="13" t="n"/>
      <c r="D8" s="12" t="inlineStr">
        <is>
          <t>ANNUAL SAVINGS</t>
        </is>
      </c>
      <c r="E8" s="13" t="n"/>
      <c r="F8" s="12" t="inlineStr">
        <is>
          <t>COAST NUMBER</t>
        </is>
      </c>
      <c r="G8" s="13" t="n"/>
      <c r="H8" s="12" t="inlineStr">
        <is>
          <t>YEARS TO FI</t>
        </is>
      </c>
      <c r="I8" s="13" t="n"/>
      <c r="J8" s="12" t="inlineStr">
        <is>
          <t>INVESTED ASSETS</t>
        </is>
      </c>
      <c r="K8" s="13" t="n"/>
      <c r="L8" s="12" t="inlineStr">
        <is>
          <t>FIRE SCORE</t>
        </is>
      </c>
      <c r="M8" s="13" t="n"/>
    </row>
    <row r="9" ht="40" customHeight="1">
      <c r="B9" s="16">
        <f>SavingsRate</f>
        <v/>
      </c>
      <c r="C9" s="15" t="n"/>
      <c r="D9" s="14">
        <f>AnnualSavings</f>
        <v/>
      </c>
      <c r="E9" s="15" t="n"/>
      <c r="F9" s="14">
        <f>CoastNumber</f>
        <v/>
      </c>
      <c r="G9" s="15" t="n"/>
      <c r="H9" s="17">
        <f>YearsToFI</f>
        <v/>
      </c>
      <c r="I9" s="15" t="n"/>
      <c r="J9" s="14">
        <f>InvestedAssets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FIRE HEALTH</t>
        </is>
      </c>
      <c r="H11" s="4" t="inlineStr">
        <is>
          <t>NET WORTH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8" t="inlineStr">
        <is>
          <t>Saving enough</t>
        </is>
      </c>
      <c r="C13" s="19">
        <f>IFERROR(MIN(SavingsRate/SavingsGoal,1),0)</f>
        <v/>
      </c>
      <c r="D13" s="20">
        <f>IF(C13&gt;=0.85,"Strong",IF(C13&gt;=0.6,"OK","Watch"))</f>
        <v/>
      </c>
    </row>
    <row r="14">
      <c r="B14" s="21" t="inlineStr">
        <is>
          <t>Emergency fund funded</t>
        </is>
      </c>
      <c r="C14" s="22">
        <f>IFERROR(MIN(CashAssets/EmergencyFundGoal,1),0)</f>
        <v/>
      </c>
      <c r="D14" s="23">
        <f>IF(C14&gt;=0.85,"Strong",IF(C14&gt;=0.6,"OK","Watch"))</f>
        <v/>
      </c>
    </row>
    <row r="15">
      <c r="B15" s="18" t="inlineStr">
        <is>
          <t>Positive net worth</t>
        </is>
      </c>
      <c r="C15" s="19">
        <f>IF(NetWorth&gt;0,1,0)</f>
        <v/>
      </c>
      <c r="D15" s="20">
        <f>IF(C15&gt;=0.85,"Strong",IF(C15&gt;=0.6,"OK","Watch"))</f>
        <v/>
      </c>
    </row>
    <row r="16">
      <c r="B16" s="21" t="inlineStr">
        <is>
          <t>Coast FIRE reached</t>
        </is>
      </c>
      <c r="C16" s="22">
        <f>IFERROR(MIN(InvestedAssets/CoastNumber,1),0)</f>
        <v/>
      </c>
      <c r="D16" s="23">
        <f>IF(C16&gt;=0.85,"Strong",IF(C16&gt;=0.6,"OK","Watch"))</f>
        <v/>
      </c>
    </row>
    <row r="17">
      <c r="B17" s="18" t="inlineStr">
        <is>
          <t>Investing to goal</t>
        </is>
      </c>
      <c r="C17" s="19">
        <f>IFERROR(MIN(ContribAnnual/ContribGoal,1),0)</f>
        <v/>
      </c>
      <c r="D17" s="20">
        <f>IF(C17&gt;=0.85,"Strong",IF(C17&gt;=0.6,"OK","Watch"))</f>
        <v/>
      </c>
    </row>
    <row r="18">
      <c r="B18" s="21" t="inlineStr">
        <is>
          <t>Halfway to FI</t>
        </is>
      </c>
      <c r="C18" s="22">
        <f>IFERROR(MIN((InvestedAssets/FIRENumber)/HalfwayGoal,1),0)</f>
        <v/>
      </c>
      <c r="D18" s="23">
        <f>IF(C18&gt;=0.85,"Strong",IF(C18&gt;=0.6,"OK","Watch"))</f>
        <v/>
      </c>
    </row>
    <row r="21" ht="26" customHeight="1">
      <c r="B21" s="2" t="inlineStr">
        <is>
          <t>Net Worth &amp; FIRE Command Center™ — know your number, and your progress to it.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📊  NET WORTH</t>
        </is>
      </c>
    </row>
    <row r="2" ht="22" customHeight="1">
      <c r="A2" s="2" t="inlineStr">
        <is>
          <t xml:space="preserve">  What you own minus what you owe — the one number that tracks your whole financial life.</t>
        </is>
      </c>
    </row>
    <row r="3" ht="6" customHeight="1">
      <c r="A3" s="3" t="n"/>
      <c r="B3" s="3" t="n"/>
      <c r="C3" s="3" t="n"/>
    </row>
    <row r="5">
      <c r="B5" s="24" t="inlineStr">
        <is>
          <t>Total assets</t>
        </is>
      </c>
      <c r="C5" s="25">
        <f>TotalAssets</f>
        <v/>
      </c>
    </row>
    <row r="6">
      <c r="B6" s="24" t="inlineStr">
        <is>
          <t>− Total liabilities</t>
        </is>
      </c>
      <c r="C6" s="26">
        <f>TotalLiab</f>
        <v/>
      </c>
    </row>
    <row r="7">
      <c r="B7" s="9">
        <f> NET WORTH</f>
        <v/>
      </c>
      <c r="C7" s="27">
        <f>TotalAssets-TotalLiab</f>
        <v/>
      </c>
    </row>
    <row r="9">
      <c r="B9" s="24" t="inlineStr">
        <is>
          <t>Liquid net worth (cash + investments − non-mortgage debt)</t>
        </is>
      </c>
      <c r="C9" s="25">
        <f>CashAssets+InvestedAssets-NonMortgageDebt</f>
        <v/>
      </c>
    </row>
    <row r="10">
      <c r="B10" s="24" t="inlineStr">
        <is>
          <t>Invested assets (your FIRE engine)</t>
        </is>
      </c>
      <c r="C10" s="26">
        <f>InvestedAssets</f>
        <v/>
      </c>
    </row>
    <row r="12">
      <c r="B12" s="4" t="inlineStr">
        <is>
          <t>Net worth rolls up your Assets and Liabilities tabs — keep them current.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🔥  FIRE NUMBER</t>
        </is>
      </c>
    </row>
    <row r="2" ht="22" customHeight="1">
      <c r="A2" s="2" t="inlineStr">
        <is>
          <t xml:space="preserve">  Your annual spending × 25 (the 4% rule) is the amount you need to never work again.</t>
        </is>
      </c>
    </row>
    <row r="3" ht="6" customHeight="1">
      <c r="A3" s="3" t="n"/>
      <c r="B3" s="3" t="n"/>
      <c r="C3" s="3" t="n"/>
    </row>
    <row r="5">
      <c r="B5" s="24" t="inlineStr">
        <is>
          <t>Annual spending (what your life costs)</t>
        </is>
      </c>
      <c r="C5" s="28" t="n">
        <v>40000</v>
      </c>
    </row>
    <row r="6">
      <c r="B6" s="24" t="inlineStr">
        <is>
          <t>÷ Safe withdrawal rate</t>
        </is>
      </c>
      <c r="C6" s="29">
        <f>WithdrawalRate</f>
        <v/>
      </c>
    </row>
    <row r="7">
      <c r="B7" s="9">
        <f> YOUR FIRE NUMBER</f>
        <v/>
      </c>
      <c r="C7" s="27">
        <f>AnnualExpenses/WithdrawalRate</f>
        <v/>
      </c>
    </row>
    <row r="9">
      <c r="B9" s="24" t="inlineStr">
        <is>
          <t>Your net worth today</t>
        </is>
      </c>
      <c r="C9" s="26">
        <f>NetWorth</f>
        <v/>
      </c>
    </row>
    <row r="10">
      <c r="B10" s="9">
        <f> FIRE PROGRESS</f>
        <v/>
      </c>
      <c r="C10" s="30">
        <f>IFERROR(NetWorth/FIRENumber,0)</f>
        <v/>
      </c>
    </row>
    <row r="12">
      <c r="B12" s="4" t="inlineStr">
        <is>
          <t>COAST FIRE — invest nothing more, coast to retirement</t>
        </is>
      </c>
    </row>
    <row r="13">
      <c r="B13" s="24" t="inlineStr">
        <is>
          <t>Years to target retirement</t>
        </is>
      </c>
      <c r="C13" s="31">
        <f>RetireAge-CurrentAge</f>
        <v/>
      </c>
    </row>
    <row r="14">
      <c r="B14" s="9">
        <f> COAST FIRE NUMBER</f>
        <v/>
      </c>
      <c r="C14" s="32">
        <f>FIRENumber/(1+ReturnRate)^(RetireAge-CurrentAge)</f>
        <v/>
      </c>
    </row>
    <row r="15">
      <c r="B15" s="24" t="inlineStr">
        <is>
          <t>Coast FIRE reached?</t>
        </is>
      </c>
      <c r="C15" s="33">
        <f>IF(InvestedAssets&gt;=CoastNumber,"YES — you can coast","Not yet")</f>
        <v/>
      </c>
    </row>
    <row r="17">
      <c r="B17" s="9">
        <f> YEARS TO FI (at your savings &amp; return)</f>
        <v/>
      </c>
      <c r="C17" s="34">
        <f>IFERROR(NPER(ReturnRate,-AnnualSavings,-InvestedAssets,FIRENumber),0)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💎  ASSETS</t>
        </is>
      </c>
    </row>
    <row r="2" ht="22" customHeight="1">
      <c r="A2" s="2" t="inlineStr">
        <is>
          <t xml:space="preserve">  Everything you own — investments, cash, property. Your invested assets drive FIRE.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Asset</t>
        </is>
      </c>
      <c r="C4" s="9" t="inlineStr">
        <is>
          <t>Type</t>
        </is>
      </c>
      <c r="D4" s="9" t="inlineStr">
        <is>
          <t>Value</t>
        </is>
      </c>
    </row>
    <row r="5">
      <c r="B5" s="18" t="inlineStr">
        <is>
          <t>Brokerage</t>
        </is>
      </c>
      <c r="C5" s="20" t="inlineStr">
        <is>
          <t>Investment</t>
        </is>
      </c>
      <c r="D5" s="28" t="n">
        <v>120000</v>
      </c>
    </row>
    <row r="6">
      <c r="B6" s="21" t="inlineStr">
        <is>
          <t>401(k)</t>
        </is>
      </c>
      <c r="C6" s="23" t="inlineStr">
        <is>
          <t>Investment</t>
        </is>
      </c>
      <c r="D6" s="35" t="n">
        <v>60000</v>
      </c>
    </row>
    <row r="7">
      <c r="B7" s="18" t="inlineStr">
        <is>
          <t>Roth IRA</t>
        </is>
      </c>
      <c r="C7" s="20" t="inlineStr">
        <is>
          <t>Investment</t>
        </is>
      </c>
      <c r="D7" s="28" t="n">
        <v>20000</v>
      </c>
    </row>
    <row r="8">
      <c r="B8" s="21" t="inlineStr">
        <is>
          <t>Cash &amp; savings</t>
        </is>
      </c>
      <c r="C8" s="23" t="inlineStr">
        <is>
          <t>Cash</t>
        </is>
      </c>
      <c r="D8" s="35" t="n">
        <v>20000</v>
      </c>
    </row>
    <row r="9">
      <c r="B9" s="18" t="inlineStr">
        <is>
          <t>Home</t>
        </is>
      </c>
      <c r="C9" s="20" t="inlineStr">
        <is>
          <t>Property</t>
        </is>
      </c>
      <c r="D9" s="28" t="n">
        <v>300000</v>
      </c>
    </row>
    <row r="10">
      <c r="B10" s="21" t="inlineStr">
        <is>
          <t>Car</t>
        </is>
      </c>
      <c r="C10" s="23" t="inlineStr">
        <is>
          <t>Vehicle</t>
        </is>
      </c>
      <c r="D10" s="35" t="n">
        <v>10000</v>
      </c>
    </row>
    <row r="11">
      <c r="B11" s="9" t="inlineStr">
        <is>
          <t>TOTAL ASSETS</t>
        </is>
      </c>
      <c r="C11" s="36" t="n"/>
      <c r="D11" s="37">
        <f>SUM(AssetValue)</f>
        <v/>
      </c>
    </row>
    <row r="13">
      <c r="B13" s="24" t="inlineStr">
        <is>
          <t>Invested assets</t>
        </is>
      </c>
      <c r="D13" s="26">
        <f>SUMIF(AssetType,"Investment",AssetValue)</f>
        <v/>
      </c>
    </row>
    <row r="14">
      <c r="B14" s="24" t="inlineStr">
        <is>
          <t>Cash &amp; emergency fund</t>
        </is>
      </c>
      <c r="D14" s="26">
        <f>SUMIF(AssetType,"Cash",AssetValue)</f>
        <v/>
      </c>
    </row>
  </sheetData>
  <mergeCells count="2">
    <mergeCell ref="A1:D1"/>
    <mergeCell ref="A2:D2"/>
  </mergeCells>
  <dataValidations count="1">
    <dataValidation sqref="C5:C10" showDropDown="0" showInputMessage="0" showErrorMessage="0" allowBlank="1" type="list">
      <formula1>=AssetTypeList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🧾  LIABILITIES</t>
        </is>
      </c>
    </row>
    <row r="2" ht="22" customHeight="1">
      <c r="A2" s="2" t="inlineStr">
        <is>
          <t xml:space="preserve">  Everything you owe — mortgage, loans, cards. Net worth is what's left after these.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Liability</t>
        </is>
      </c>
      <c r="C4" s="9" t="inlineStr">
        <is>
          <t>Type</t>
        </is>
      </c>
      <c r="D4" s="9" t="inlineStr">
        <is>
          <t>Balance</t>
        </is>
      </c>
    </row>
    <row r="5">
      <c r="B5" s="18" t="inlineStr">
        <is>
          <t>Mortgage</t>
        </is>
      </c>
      <c r="C5" s="20" t="inlineStr">
        <is>
          <t>Mortgage</t>
        </is>
      </c>
      <c r="D5" s="28" t="n">
        <v>250000</v>
      </c>
    </row>
    <row r="6">
      <c r="B6" s="21" t="inlineStr">
        <is>
          <t>Student loan</t>
        </is>
      </c>
      <c r="C6" s="23" t="inlineStr">
        <is>
          <t>Loan</t>
        </is>
      </c>
      <c r="D6" s="35" t="n">
        <v>20000</v>
      </c>
    </row>
    <row r="7">
      <c r="B7" s="18" t="inlineStr">
        <is>
          <t>Credit card</t>
        </is>
      </c>
      <c r="C7" s="20" t="inlineStr">
        <is>
          <t>Credit</t>
        </is>
      </c>
      <c r="D7" s="28" t="n">
        <v>10000</v>
      </c>
    </row>
    <row r="8">
      <c r="B8" s="9" t="inlineStr">
        <is>
          <t>TOTAL LIABILITIES</t>
        </is>
      </c>
      <c r="C8" s="36" t="n"/>
      <c r="D8" s="38">
        <f>SUM(LiabBalance)</f>
        <v/>
      </c>
    </row>
    <row r="10">
      <c r="B10" s="24" t="inlineStr">
        <is>
          <t>Non-mortgage debt</t>
        </is>
      </c>
      <c r="D10" s="26">
        <f>TotalLiab-SUMIF(LiabType,"Mortgage",LiabBalance)</f>
        <v/>
      </c>
    </row>
  </sheetData>
  <mergeCells count="2">
    <mergeCell ref="A1:D1"/>
    <mergeCell ref="A2:D2"/>
  </mergeCells>
  <dataValidations count="1">
    <dataValidation sqref="C5:C7" showDropDown="0" showInputMessage="0" showErrorMessage="0" allowBlank="1" type="list">
      <formula1>=LiabTypeList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6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🏦  ACCOUNTS</t>
        </is>
      </c>
    </row>
    <row r="2" ht="22" customHeight="1">
      <c r="A2" s="2" t="inlineStr">
        <is>
          <t xml:space="preserve">  Every account and where it lives — so your whole net worth is one glance, never a guess.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Account</t>
        </is>
      </c>
      <c r="C4" s="9" t="inlineStr">
        <is>
          <t>Institution</t>
        </is>
      </c>
      <c r="D4" s="9" t="inlineStr">
        <is>
          <t>Type</t>
        </is>
      </c>
      <c r="E4" s="9" t="inlineStr">
        <is>
          <t>Balance</t>
        </is>
      </c>
    </row>
    <row r="5">
      <c r="B5" s="39" t="inlineStr">
        <is>
          <t>Brokerage</t>
        </is>
      </c>
      <c r="C5" s="39" t="inlineStr">
        <is>
          <t>Vanguard</t>
        </is>
      </c>
      <c r="D5" s="40" t="inlineStr">
        <is>
          <t>Brokerage</t>
        </is>
      </c>
      <c r="E5" s="41" t="n">
        <v>120000</v>
      </c>
    </row>
    <row r="6">
      <c r="B6" s="21" t="inlineStr">
        <is>
          <t>401(k)</t>
        </is>
      </c>
      <c r="C6" s="21" t="inlineStr">
        <is>
          <t>Fidelity</t>
        </is>
      </c>
      <c r="D6" s="23" t="inlineStr">
        <is>
          <t>401(k)</t>
        </is>
      </c>
      <c r="E6" s="42" t="n">
        <v>60000</v>
      </c>
    </row>
    <row r="7">
      <c r="B7" s="39" t="inlineStr">
        <is>
          <t>Roth IRA</t>
        </is>
      </c>
      <c r="C7" s="39" t="inlineStr">
        <is>
          <t>Vanguard</t>
        </is>
      </c>
      <c r="D7" s="40" t="inlineStr">
        <is>
          <t>IRA</t>
        </is>
      </c>
      <c r="E7" s="41" t="n">
        <v>20000</v>
      </c>
    </row>
    <row r="8">
      <c r="B8" s="21" t="inlineStr">
        <is>
          <t>Savings</t>
        </is>
      </c>
      <c r="C8" s="21" t="inlineStr">
        <is>
          <t>Ally</t>
        </is>
      </c>
      <c r="D8" s="23" t="inlineStr">
        <is>
          <t>Bank</t>
        </is>
      </c>
      <c r="E8" s="42" t="n">
        <v>20000</v>
      </c>
    </row>
    <row r="9">
      <c r="B9" s="39" t="inlineStr">
        <is>
          <t>Checking</t>
        </is>
      </c>
      <c r="C9" s="39" t="inlineStr">
        <is>
          <t>Local CU</t>
        </is>
      </c>
      <c r="D9" s="40" t="inlineStr">
        <is>
          <t>Bank</t>
        </is>
      </c>
      <c r="E9" s="41" t="n">
        <v>4000</v>
      </c>
    </row>
    <row r="10">
      <c r="B10" s="21" t="n"/>
      <c r="C10" s="21" t="n"/>
      <c r="D10" s="23" t="n"/>
      <c r="E10" s="42" t="n"/>
    </row>
    <row r="11">
      <c r="B11" s="39" t="n"/>
      <c r="C11" s="39" t="n"/>
      <c r="D11" s="40" t="n"/>
      <c r="E11" s="41" t="n"/>
    </row>
    <row r="12">
      <c r="B12" s="21" t="n"/>
      <c r="C12" s="21" t="n"/>
      <c r="D12" s="23" t="n"/>
      <c r="E12" s="42" t="n"/>
    </row>
    <row r="13">
      <c r="B13" s="39" t="n"/>
      <c r="C13" s="39" t="n"/>
      <c r="D13" s="40" t="n"/>
      <c r="E13" s="41" t="n"/>
    </row>
    <row r="14">
      <c r="B14" s="21" t="n"/>
      <c r="C14" s="21" t="n"/>
      <c r="D14" s="23" t="n"/>
      <c r="E14" s="42" t="n"/>
    </row>
    <row r="15">
      <c r="B15" s="39" t="n"/>
      <c r="C15" s="39" t="n"/>
      <c r="D15" s="40" t="n"/>
      <c r="E15" s="41" t="n"/>
    </row>
    <row r="16">
      <c r="B16" s="21" t="n"/>
      <c r="C16" s="21" t="n"/>
      <c r="D16" s="23" t="n"/>
      <c r="E16" s="42" t="n"/>
    </row>
    <row r="17">
      <c r="B17" s="39" t="n"/>
      <c r="C17" s="39" t="n"/>
      <c r="D17" s="40" t="n"/>
      <c r="E17" s="41" t="n"/>
    </row>
    <row r="18">
      <c r="B18" s="21" t="n"/>
      <c r="C18" s="21" t="n"/>
      <c r="D18" s="23" t="n"/>
      <c r="E18" s="42" t="n"/>
    </row>
    <row r="19">
      <c r="B19" s="39" t="n"/>
      <c r="C19" s="39" t="n"/>
      <c r="D19" s="40" t="n"/>
      <c r="E19" s="41" t="n"/>
    </row>
    <row r="20">
      <c r="B20" s="21" t="n"/>
      <c r="C20" s="21" t="n"/>
      <c r="D20" s="23" t="n"/>
      <c r="E20" s="42" t="n"/>
    </row>
    <row r="21">
      <c r="B21" s="39" t="n"/>
      <c r="C21" s="39" t="n"/>
      <c r="D21" s="40" t="n"/>
      <c r="E21" s="41" t="n"/>
    </row>
    <row r="22">
      <c r="B22" s="21" t="n"/>
      <c r="C22" s="21" t="n"/>
      <c r="D22" s="23" t="n"/>
      <c r="E22" s="42" t="n"/>
    </row>
    <row r="23">
      <c r="B23" s="39" t="n"/>
      <c r="C23" s="39" t="n"/>
      <c r="D23" s="40" t="n"/>
      <c r="E23" s="41" t="n"/>
    </row>
    <row r="24">
      <c r="B24" s="21" t="n"/>
      <c r="C24" s="21" t="n"/>
      <c r="D24" s="23" t="n"/>
      <c r="E24" s="42" t="n"/>
    </row>
    <row r="25">
      <c r="B25" s="39" t="n"/>
      <c r="C25" s="39" t="n"/>
      <c r="D25" s="40" t="n"/>
      <c r="E25" s="41" t="n"/>
    </row>
    <row r="26">
      <c r="B26" s="21" t="n"/>
      <c r="C26" s="21" t="n"/>
      <c r="D26" s="23" t="n"/>
      <c r="E26" s="42" t="n"/>
    </row>
    <row r="27">
      <c r="B27" s="39" t="n"/>
      <c r="C27" s="39" t="n"/>
      <c r="D27" s="40" t="n"/>
      <c r="E27" s="41" t="n"/>
    </row>
    <row r="28">
      <c r="B28" s="21" t="n"/>
      <c r="C28" s="21" t="n"/>
      <c r="D28" s="23" t="n"/>
      <c r="E28" s="42" t="n"/>
    </row>
    <row r="29">
      <c r="B29" s="9" t="inlineStr">
        <is>
          <t>ALL ACCOUNTS</t>
        </is>
      </c>
      <c r="C29" s="36" t="n"/>
      <c r="D29" s="36" t="n"/>
      <c r="E29" s="37">
        <f>SUM(AcctBalance)</f>
        <v/>
      </c>
    </row>
  </sheetData>
  <mergeCells count="2">
    <mergeCell ref="A2:E2"/>
    <mergeCell ref="A1:E1"/>
  </mergeCells>
  <dataValidations count="1">
    <dataValidation sqref="D5:D28" showDropDown="0" showInputMessage="0" showErrorMessage="0" allowBlank="1" type="list">
      <formula1>=AcctTypeList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📈  CONTRIBUTIONS</t>
        </is>
      </c>
    </row>
    <row r="2" ht="22" customHeight="1">
      <c r="A2" s="2" t="inlineStr">
        <is>
          <t xml:space="preserve">  What you invest, and when. Consistent contributions are how the FIRE number gets hit.</t>
        </is>
      </c>
    </row>
    <row r="3" ht="6" customHeight="1">
      <c r="A3" s="3" t="n"/>
      <c r="B3" s="3" t="n"/>
      <c r="C3" s="3" t="n"/>
      <c r="D3" s="3" t="n"/>
    </row>
    <row r="5">
      <c r="B5" s="24" t="inlineStr">
        <is>
          <t>Planned annual contributions</t>
        </is>
      </c>
      <c r="C5" s="28" t="n">
        <v>23000</v>
      </c>
    </row>
    <row r="7" ht="30" customHeight="1">
      <c r="B7" s="9" t="inlineStr">
        <is>
          <t>Date</t>
        </is>
      </c>
      <c r="C7" s="9" t="inlineStr">
        <is>
          <t>Account</t>
        </is>
      </c>
      <c r="D7" s="9" t="inlineStr">
        <is>
          <t>Amount</t>
        </is>
      </c>
    </row>
    <row r="8">
      <c r="B8" s="18" t="inlineStr">
        <is>
          <t>Jul 1</t>
        </is>
      </c>
      <c r="C8" s="18" t="inlineStr">
        <is>
          <t>401(k)</t>
        </is>
      </c>
      <c r="D8" s="28" t="n">
        <v>1500</v>
      </c>
    </row>
    <row r="9">
      <c r="B9" s="21" t="inlineStr">
        <is>
          <t>Jul 1</t>
        </is>
      </c>
      <c r="C9" s="21" t="inlineStr">
        <is>
          <t>Roth IRA</t>
        </is>
      </c>
      <c r="D9" s="35" t="n">
        <v>500</v>
      </c>
    </row>
    <row r="10">
      <c r="B10" s="18" t="inlineStr">
        <is>
          <t>Jun 1</t>
        </is>
      </c>
      <c r="C10" s="18" t="inlineStr">
        <is>
          <t>401(k)</t>
        </is>
      </c>
      <c r="D10" s="28" t="n">
        <v>1500</v>
      </c>
    </row>
    <row r="11">
      <c r="B11" s="21" t="inlineStr">
        <is>
          <t>Jun 1</t>
        </is>
      </c>
      <c r="C11" s="21" t="inlineStr">
        <is>
          <t>Roth IRA</t>
        </is>
      </c>
      <c r="D11" s="35" t="n">
        <v>500</v>
      </c>
    </row>
    <row r="12">
      <c r="B12" s="18" t="inlineStr">
        <is>
          <t>May 1</t>
        </is>
      </c>
      <c r="C12" s="18" t="inlineStr">
        <is>
          <t>401(k)</t>
        </is>
      </c>
      <c r="D12" s="28" t="n">
        <v>1500</v>
      </c>
    </row>
    <row r="13">
      <c r="B13" s="21" t="inlineStr">
        <is>
          <t>May 1</t>
        </is>
      </c>
      <c r="C13" s="21" t="inlineStr">
        <is>
          <t>Roth IRA</t>
        </is>
      </c>
      <c r="D13" s="35" t="n">
        <v>500</v>
      </c>
    </row>
    <row r="14">
      <c r="B14" s="9" t="inlineStr">
        <is>
          <t>LOGGED</t>
        </is>
      </c>
      <c r="C14" s="36" t="n"/>
      <c r="D14" s="37">
        <f>SUM(ContribAmt)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💵  INCOME &amp; EXPENSES</t>
        </is>
      </c>
    </row>
    <row r="2" ht="22" customHeight="1">
      <c r="A2" s="2" t="inlineStr">
        <is>
          <t xml:space="preserve">  Take-home income minus spending is your savings — and your savings RATE is what builds wealth.</t>
        </is>
      </c>
    </row>
    <row r="3" ht="6" customHeight="1">
      <c r="A3" s="3" t="n"/>
      <c r="B3" s="3" t="n"/>
      <c r="C3" s="3" t="n"/>
    </row>
    <row r="5">
      <c r="B5" s="24" t="inlineStr">
        <is>
          <t>Annual take-home income</t>
        </is>
      </c>
      <c r="C5" s="28" t="n">
        <v>80000</v>
      </c>
    </row>
    <row r="6">
      <c r="B6" s="24" t="inlineStr">
        <is>
          <t>− Annual spending (from FIRE Number)</t>
        </is>
      </c>
      <c r="C6" s="26">
        <f>AnnualExpenses</f>
        <v/>
      </c>
    </row>
    <row r="7">
      <c r="B7" s="9">
        <f> ANNUAL SAVINGS</f>
        <v/>
      </c>
      <c r="C7" s="43">
        <f>AnnualIncome-AnnualExpenses</f>
        <v/>
      </c>
    </row>
    <row r="8">
      <c r="B8" s="9">
        <f> SAVINGS RATE</f>
        <v/>
      </c>
      <c r="C8" s="30">
        <f>IFERROR(AnnualSavings/AnnualIncome,0)</f>
        <v/>
      </c>
    </row>
    <row r="10">
      <c r="B10" s="4" t="inlineStr">
        <is>
          <t>Your savings rate is the single biggest lever on your years to FI.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💰  SAVINGS RATE</t>
        </is>
      </c>
    </row>
    <row r="2" ht="22" customHeight="1">
      <c r="A2" s="2" t="inlineStr">
        <is>
          <t xml:space="preserve">  Month by month — income in, spending out, and the percentage you kept. Watch it climb.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Month</t>
        </is>
      </c>
      <c r="C4" s="9" t="inlineStr">
        <is>
          <t>Income</t>
        </is>
      </c>
      <c r="D4" s="9" t="inlineStr">
        <is>
          <t>Expenses</t>
        </is>
      </c>
      <c r="E4" s="9" t="inlineStr">
        <is>
          <t>Saved</t>
        </is>
      </c>
      <c r="F4" s="9" t="inlineStr">
        <is>
          <t>Rate</t>
        </is>
      </c>
    </row>
    <row r="5">
      <c r="B5" s="18" t="inlineStr">
        <is>
          <t>Feb</t>
        </is>
      </c>
      <c r="C5" s="28" t="n">
        <v>6600</v>
      </c>
      <c r="D5" s="28" t="n">
        <v>3400</v>
      </c>
      <c r="E5" s="44">
        <f>C5-D5</f>
        <v/>
      </c>
      <c r="F5" s="19">
        <f>IFERROR((C5-D5)/C5,0)</f>
        <v/>
      </c>
    </row>
    <row r="6">
      <c r="B6" s="21" t="inlineStr">
        <is>
          <t>Mar</t>
        </is>
      </c>
      <c r="C6" s="35" t="n">
        <v>6600</v>
      </c>
      <c r="D6" s="35" t="n">
        <v>3300</v>
      </c>
      <c r="E6" s="42">
        <f>C6-D6</f>
        <v/>
      </c>
      <c r="F6" s="22">
        <f>IFERROR((C6-D6)/C6,0)</f>
        <v/>
      </c>
    </row>
    <row r="7">
      <c r="B7" s="18" t="inlineStr">
        <is>
          <t>Apr</t>
        </is>
      </c>
      <c r="C7" s="28" t="n">
        <v>6700</v>
      </c>
      <c r="D7" s="28" t="n">
        <v>3300</v>
      </c>
      <c r="E7" s="44">
        <f>C7-D7</f>
        <v/>
      </c>
      <c r="F7" s="19">
        <f>IFERROR((C7-D7)/C7,0)</f>
        <v/>
      </c>
    </row>
    <row r="8">
      <c r="B8" s="21" t="inlineStr">
        <is>
          <t>May</t>
        </is>
      </c>
      <c r="C8" s="35" t="n">
        <v>6700</v>
      </c>
      <c r="D8" s="35" t="n">
        <v>3300</v>
      </c>
      <c r="E8" s="42">
        <f>C8-D8</f>
        <v/>
      </c>
      <c r="F8" s="22">
        <f>IFERROR((C8-D8)/C8,0)</f>
        <v/>
      </c>
    </row>
    <row r="9">
      <c r="B9" s="18" t="inlineStr">
        <is>
          <t>Jun</t>
        </is>
      </c>
      <c r="C9" s="28" t="n">
        <v>6700</v>
      </c>
      <c r="D9" s="28" t="n">
        <v>3200</v>
      </c>
      <c r="E9" s="44">
        <f>C9-D9</f>
        <v/>
      </c>
      <c r="F9" s="19">
        <f>IFERROR((C9-D9)/C9,0)</f>
        <v/>
      </c>
    </row>
    <row r="10">
      <c r="B10" s="21" t="inlineStr">
        <is>
          <t>Jul</t>
        </is>
      </c>
      <c r="C10" s="35" t="n">
        <v>6700</v>
      </c>
      <c r="D10" s="35" t="n">
        <v>3200</v>
      </c>
      <c r="E10" s="42">
        <f>C10-D10</f>
        <v/>
      </c>
      <c r="F10" s="22">
        <f>IFERROR((C10-D10)/C10,0)</f>
        <v/>
      </c>
    </row>
    <row r="11">
      <c r="B11" s="9" t="inlineStr">
        <is>
          <t>AVG</t>
        </is>
      </c>
      <c r="C11" s="36" t="n"/>
      <c r="D11" s="36" t="n"/>
      <c r="E11" s="36" t="n"/>
      <c r="F11" s="45">
        <f>IFERROR(AVERAGE(F5:F10),0)</f>
        <v/>
      </c>
    </row>
  </sheetData>
  <mergeCells count="2">
    <mergeCell ref="A2:F2"/>
    <mergeCell ref="A1:F1"/>
  </mergeCells>
  <conditionalFormatting sqref="F5:F10">
    <cfRule type="dataBar" priority="1">
      <dataBar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0" customWidth="1" min="3" max="3"/>
    <col width="20" customWidth="1" min="4" max="4"/>
    <col width="2" customWidth="1" min="5" max="5"/>
  </cols>
  <sheetData>
    <row r="1" ht="46" customHeight="1">
      <c r="A1" s="1" t="inlineStr">
        <is>
          <t xml:space="preserve">  🚀  COAST &amp; PROJECTION</t>
        </is>
      </c>
    </row>
    <row r="2" ht="22" customHeight="1">
      <c r="A2" s="2" t="inlineStr">
        <is>
          <t xml:space="preserve">  Where your invested assets land at each age if you keep saving — and when you cross your FIRE number.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Age</t>
        </is>
      </c>
      <c r="C4" s="9" t="inlineStr">
        <is>
          <t>Years</t>
        </is>
      </c>
      <c r="D4" s="9" t="inlineStr">
        <is>
          <t>Projected Invested</t>
        </is>
      </c>
    </row>
    <row r="5">
      <c r="B5" s="20" t="n">
        <v>35</v>
      </c>
      <c r="C5" s="20" t="n">
        <v>0</v>
      </c>
      <c r="D5" s="44">
        <f>InvestedAssets*(1+ReturnRate)^0+IFERROR(AnnualSavings*((1+ReturnRate)^0-1)/ReturnRate,0)</f>
        <v/>
      </c>
    </row>
    <row r="6">
      <c r="B6" s="23" t="n">
        <v>40</v>
      </c>
      <c r="C6" s="23" t="n">
        <v>5</v>
      </c>
      <c r="D6" s="42">
        <f>InvestedAssets*(1+ReturnRate)^5+IFERROR(AnnualSavings*((1+ReturnRate)^5-1)/ReturnRate,0)</f>
        <v/>
      </c>
    </row>
    <row r="7">
      <c r="B7" s="20" t="n">
        <v>45</v>
      </c>
      <c r="C7" s="20" t="n">
        <v>10</v>
      </c>
      <c r="D7" s="44">
        <f>InvestedAssets*(1+ReturnRate)^10+IFERROR(AnnualSavings*((1+ReturnRate)^10-1)/ReturnRate,0)</f>
        <v/>
      </c>
    </row>
    <row r="8">
      <c r="B8" s="23" t="n">
        <v>50</v>
      </c>
      <c r="C8" s="23" t="n">
        <v>15</v>
      </c>
      <c r="D8" s="42">
        <f>InvestedAssets*(1+ReturnRate)^15+IFERROR(AnnualSavings*((1+ReturnRate)^15-1)/ReturnRate,0)</f>
        <v/>
      </c>
    </row>
    <row r="9">
      <c r="B9" s="20" t="n">
        <v>55</v>
      </c>
      <c r="C9" s="20" t="n">
        <v>20</v>
      </c>
      <c r="D9" s="44">
        <f>InvestedAssets*(1+ReturnRate)^20+IFERROR(AnnualSavings*((1+ReturnRate)^20-1)/ReturnRate,0)</f>
        <v/>
      </c>
    </row>
    <row r="10">
      <c r="B10" s="23" t="n">
        <v>60</v>
      </c>
      <c r="C10" s="23" t="n">
        <v>25</v>
      </c>
      <c r="D10" s="42">
        <f>InvestedAssets*(1+ReturnRate)^25+IFERROR(AnnualSavings*((1+ReturnRate)^25-1)/ReturnRate,0)</f>
        <v/>
      </c>
    </row>
    <row r="11">
      <c r="B11" s="20" t="n">
        <v>65</v>
      </c>
      <c r="C11" s="20" t="n">
        <v>30</v>
      </c>
      <c r="D11" s="44">
        <f>InvestedAssets*(1+ReturnRate)^30+IFERROR(AnnualSavings*((1+ReturnRate)^30-1)/ReturnRate,0)</f>
        <v/>
      </c>
    </row>
    <row r="13">
      <c r="B13" s="4" t="inlineStr">
        <is>
          <t>At your FIRE number, work becomes optional — everything after is a choice.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🏁  MILESTONES</t>
        </is>
      </c>
    </row>
    <row r="2" ht="22" customHeight="1">
      <c r="A2" s="2" t="inlineStr">
        <is>
          <t xml:space="preserve">  The markers on the road to freedom — check them off as your net worth climbs.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Milestone</t>
        </is>
      </c>
      <c r="C4" s="9" t="inlineStr">
        <is>
          <t>Target</t>
        </is>
      </c>
      <c r="D4" s="9" t="inlineStr">
        <is>
          <t>Reached?</t>
        </is>
      </c>
    </row>
    <row r="5">
      <c r="B5" s="18" t="inlineStr">
        <is>
          <t>First $10k invested</t>
        </is>
      </c>
      <c r="C5" s="28" t="n">
        <v>10000</v>
      </c>
      <c r="D5" s="20" t="inlineStr">
        <is>
          <t>Yes</t>
        </is>
      </c>
    </row>
    <row r="6">
      <c r="B6" s="21" t="inlineStr">
        <is>
          <t>Emergency fund funded</t>
        </is>
      </c>
      <c r="C6" s="35" t="n">
        <v>20000</v>
      </c>
      <c r="D6" s="23" t="inlineStr">
        <is>
          <t>Yes</t>
        </is>
      </c>
    </row>
    <row r="7">
      <c r="B7" s="18" t="inlineStr">
        <is>
          <t>$100k net worth</t>
        </is>
      </c>
      <c r="C7" s="28" t="n">
        <v>100000</v>
      </c>
      <c r="D7" s="20" t="inlineStr">
        <is>
          <t>Yes</t>
        </is>
      </c>
    </row>
    <row r="8">
      <c r="B8" s="21" t="inlineStr">
        <is>
          <t>Coast FIRE reached</t>
        </is>
      </c>
      <c r="C8" s="35" t="n">
        <v>131367</v>
      </c>
      <c r="D8" s="23" t="inlineStr">
        <is>
          <t>Yes</t>
        </is>
      </c>
    </row>
    <row r="9">
      <c r="B9" s="18" t="inlineStr">
        <is>
          <t>$250k net worth</t>
        </is>
      </c>
      <c r="C9" s="28" t="n">
        <v>250000</v>
      </c>
      <c r="D9" s="20" t="inlineStr">
        <is>
          <t>Yes</t>
        </is>
      </c>
    </row>
    <row r="10">
      <c r="B10" s="21" t="inlineStr">
        <is>
          <t>Halfway to FI ($500k)</t>
        </is>
      </c>
      <c r="C10" s="35" t="n">
        <v>500000</v>
      </c>
      <c r="D10" s="23" t="inlineStr">
        <is>
          <t>No</t>
        </is>
      </c>
    </row>
    <row r="11">
      <c r="B11" s="18" t="inlineStr">
        <is>
          <t>Debt-free (ex-mortgage)</t>
        </is>
      </c>
      <c r="C11" s="28" t="n">
        <v>0</v>
      </c>
      <c r="D11" s="20" t="inlineStr">
        <is>
          <t>No</t>
        </is>
      </c>
    </row>
    <row r="12">
      <c r="B12" s="21" t="inlineStr">
        <is>
          <t>FIRE number ($1M)</t>
        </is>
      </c>
      <c r="C12" s="35" t="n">
        <v>1000000</v>
      </c>
      <c r="D12" s="23" t="inlineStr">
        <is>
          <t>No</t>
        </is>
      </c>
    </row>
    <row r="13">
      <c r="B13" s="9" t="inlineStr">
        <is>
          <t>REACHED</t>
        </is>
      </c>
      <c r="C13" s="36" t="n"/>
      <c r="D13" s="46">
        <f>COUNTIF(MilestoneReached,"Yes")&amp;" / "&amp;COUNTA(MilestoneReached)</f>
        <v/>
      </c>
    </row>
  </sheetData>
  <mergeCells count="2">
    <mergeCell ref="A1:D1"/>
    <mergeCell ref="A2:D2"/>
  </mergeCells>
  <dataValidations count="1">
    <dataValidation sqref="D5:D12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46" customHeight="1">
      <c r="A1" s="1" t="inlineStr">
        <is>
          <t xml:space="preserve">  📈  NET WORTH TREND</t>
        </is>
      </c>
    </row>
    <row r="2" ht="22" customHeight="1">
      <c r="A2" s="2" t="inlineStr">
        <is>
          <t xml:space="preserve">  Your net worth, month by month — the line that should only go up over time.</t>
        </is>
      </c>
    </row>
    <row r="3" ht="6" customHeight="1">
      <c r="A3" s="3" t="n"/>
      <c r="B3" s="3" t="n"/>
      <c r="C3" s="3" t="n"/>
    </row>
    <row r="5">
      <c r="B5" s="4" t="inlineStr">
        <is>
          <t>THE TREND</t>
        </is>
      </c>
    </row>
    <row r="6" ht="30" customHeight="1">
      <c r="B6" s="9" t="inlineStr">
        <is>
          <t>Month</t>
        </is>
      </c>
      <c r="C6" s="9" t="inlineStr">
        <is>
          <t>Net Worth</t>
        </is>
      </c>
    </row>
    <row r="7">
      <c r="B7" s="18" t="inlineStr">
        <is>
          <t>Feb</t>
        </is>
      </c>
      <c r="C7" s="28" t="n">
        <v>214000</v>
      </c>
    </row>
    <row r="8">
      <c r="B8" s="21" t="inlineStr">
        <is>
          <t>Mar</t>
        </is>
      </c>
      <c r="C8" s="35" t="n">
        <v>222000</v>
      </c>
    </row>
    <row r="9">
      <c r="B9" s="18" t="inlineStr">
        <is>
          <t>Apr</t>
        </is>
      </c>
      <c r="C9" s="28" t="n">
        <v>231000</v>
      </c>
    </row>
    <row r="10">
      <c r="B10" s="21" t="inlineStr">
        <is>
          <t>May</t>
        </is>
      </c>
      <c r="C10" s="35" t="n">
        <v>238000</v>
      </c>
    </row>
    <row r="11">
      <c r="B11" s="18" t="inlineStr">
        <is>
          <t>Jun</t>
        </is>
      </c>
      <c r="C11" s="28" t="n">
        <v>244000</v>
      </c>
    </row>
    <row r="12">
      <c r="B12" s="21" t="inlineStr">
        <is>
          <t>Jul</t>
        </is>
      </c>
      <c r="C12" s="35" t="n">
        <v>250000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assumptions &amp; goals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ASSUMPTIONS &amp; GOALS</t>
        </is>
      </c>
      <c r="E5" s="4" t="inlineStr">
        <is>
          <t>DROPDOWN LISTS</t>
        </is>
      </c>
    </row>
    <row r="6">
      <c r="B6" s="24" t="inlineStr">
        <is>
          <t>Your name</t>
        </is>
      </c>
      <c r="C6" s="47" t="inlineStr">
        <is>
          <t>Sage</t>
        </is>
      </c>
      <c r="E6" s="9" t="inlineStr">
        <is>
          <t>Asset type</t>
        </is>
      </c>
      <c r="F6" s="9" t="inlineStr">
        <is>
          <t>Liability type</t>
        </is>
      </c>
      <c r="G6" s="9" t="inlineStr">
        <is>
          <t>Account type</t>
        </is>
      </c>
      <c r="H6" s="9" t="inlineStr">
        <is>
          <t>Yes / No</t>
        </is>
      </c>
    </row>
    <row r="7">
      <c r="B7" s="24" t="inlineStr">
        <is>
          <t>Plan name</t>
        </is>
      </c>
      <c r="C7" s="47" t="inlineStr">
        <is>
          <t>North Star Finance</t>
        </is>
      </c>
      <c r="E7" s="18" t="inlineStr">
        <is>
          <t>Investment</t>
        </is>
      </c>
      <c r="F7" s="18" t="inlineStr">
        <is>
          <t>Mortgage</t>
        </is>
      </c>
      <c r="G7" s="18" t="inlineStr">
        <is>
          <t>Brokerage</t>
        </is>
      </c>
      <c r="H7" s="18" t="inlineStr">
        <is>
          <t>Yes</t>
        </is>
      </c>
    </row>
    <row r="8">
      <c r="B8" s="24" t="inlineStr">
        <is>
          <t>Safe withdrawal rate</t>
        </is>
      </c>
      <c r="C8" s="48" t="n">
        <v>0.04</v>
      </c>
      <c r="E8" s="18" t="inlineStr">
        <is>
          <t>Cash</t>
        </is>
      </c>
      <c r="F8" s="18" t="inlineStr">
        <is>
          <t>Loan</t>
        </is>
      </c>
      <c r="G8" s="18" t="inlineStr">
        <is>
          <t>401(k)</t>
        </is>
      </c>
      <c r="H8" s="18" t="inlineStr">
        <is>
          <t>No</t>
        </is>
      </c>
    </row>
    <row r="9">
      <c r="B9" s="24" t="inlineStr">
        <is>
          <t>Expected return (annual)</t>
        </is>
      </c>
      <c r="C9" s="48" t="n">
        <v>0.07000000000000001</v>
      </c>
      <c r="E9" s="18" t="inlineStr">
        <is>
          <t>Property</t>
        </is>
      </c>
      <c r="F9" s="18" t="inlineStr">
        <is>
          <t>Credit</t>
        </is>
      </c>
      <c r="G9" s="18" t="inlineStr">
        <is>
          <t>IRA</t>
        </is>
      </c>
    </row>
    <row r="10">
      <c r="B10" s="24" t="inlineStr">
        <is>
          <t>Current age</t>
        </is>
      </c>
      <c r="C10" s="49" t="n">
        <v>35</v>
      </c>
      <c r="E10" s="18" t="inlineStr">
        <is>
          <t>Vehicle</t>
        </is>
      </c>
      <c r="F10" s="18" t="inlineStr">
        <is>
          <t>Other</t>
        </is>
      </c>
      <c r="G10" s="18" t="inlineStr">
        <is>
          <t>HSA</t>
        </is>
      </c>
    </row>
    <row r="11">
      <c r="B11" s="24" t="inlineStr">
        <is>
          <t>Target retire age</t>
        </is>
      </c>
      <c r="C11" s="49" t="n">
        <v>65</v>
      </c>
      <c r="E11" s="18" t="inlineStr">
        <is>
          <t>Other</t>
        </is>
      </c>
      <c r="G11" s="18" t="inlineStr">
        <is>
          <t>Bank</t>
        </is>
      </c>
    </row>
    <row r="12">
      <c r="B12" s="24" t="inlineStr">
        <is>
          <t>Savings-rate goal %</t>
        </is>
      </c>
      <c r="C12" s="50" t="n">
        <v>0.5</v>
      </c>
      <c r="G12" s="18" t="inlineStr">
        <is>
          <t>Other</t>
        </is>
      </c>
    </row>
    <row r="13">
      <c r="B13" s="24" t="inlineStr">
        <is>
          <t>Emergency-fund goal</t>
        </is>
      </c>
      <c r="C13" s="28" t="n">
        <v>20000</v>
      </c>
    </row>
    <row r="14">
      <c r="B14" s="24" t="inlineStr">
        <is>
          <t>Annual contribution goal</t>
        </is>
      </c>
      <c r="C14" s="28" t="n">
        <v>23000</v>
      </c>
    </row>
    <row r="15">
      <c r="B15" s="24" t="inlineStr">
        <is>
          <t>Halfway-to-FI goal %</t>
        </is>
      </c>
      <c r="C15" s="50" t="n">
        <v>0.5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2026-07-24T05:09:38Z</dcterms:created>
  <dcterms:modified xsi:type="dcterms:W3CDTF">2026-07-24T05:09:38Z</dcterms:modified>
</cp:coreProperties>
</file>