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Show Profile" sheetId="3" state="visible" r:id="rId3"/>
    <sheet name="Calendar" sheetId="4" state="visible" r:id="rId4"/>
    <sheet name="Pipeline" sheetId="5" state="visible" r:id="rId5"/>
    <sheet name="Episodes" sheetId="6" state="visible" r:id="rId6"/>
    <sheet name="Guests" sheetId="7" state="visible" r:id="rId7"/>
    <sheet name="Recording" sheetId="8" state="visible" r:id="rId8"/>
    <sheet name="Show Notes" sheetId="9" state="visible" r:id="rId9"/>
    <sheet name="Analytics" sheetId="10" state="visible" r:id="rId10"/>
    <sheet name="Platforms" sheetId="11" state="visible" r:id="rId11"/>
    <sheet name="Sponsors" sheetId="12" state="visible" r:id="rId12"/>
    <sheet name="Members" sheetId="13" state="visible" r:id="rId13"/>
    <sheet name="Clips" sheetId="14" state="visible" r:id="rId14"/>
    <sheet name="Repurposing" sheetId="15" state="visible" r:id="rId15"/>
    <sheet name="Finance" sheetId="16" state="visible" r:id="rId16"/>
    <sheet name="Expenses" sheetId="17" state="visible" r:id="rId17"/>
    <sheet name="Equipment" sheetId="18" state="visible" r:id="rId18"/>
    <sheet name="Reviews" sheetId="19" state="visible" r:id="rId19"/>
    <sheet name="Brand Kit" sheetId="20" state="visible" r:id="rId20"/>
    <sheet name="Gallery" sheetId="21" state="visible" r:id="rId21"/>
    <sheet name="Goals" sheetId="22" state="visible" r:id="rId22"/>
    <sheet name="Audience" sheetId="23" state="visible" r:id="rId23"/>
    <sheet name="Collabs" sheetId="24" state="visible" r:id="rId24"/>
    <sheet name="Settings" sheetId="25" state="visible" r:id="rId25"/>
  </sheets>
  <definedNames>
    <definedName name="ShowName">Settings!$C$6</definedName>
    <definedName name="HostName">Settings!$C$7</definedName>
    <definedName name="Category">Settings!$C$8</definedName>
    <definedName name="RevenueGoal">Settings!$C$9</definedName>
    <definedName name="EpGoal">Settings!$C$10</definedName>
    <definedName name="DownloadGoal">Settings!$C$11</definedName>
    <definedName name="ConsumptionTarget">Settings!$C$12</definedName>
    <definedName name="SponsorTarget">Settings!$C$13</definedName>
    <definedName name="GrowthGoal">Settings!$C$14</definedName>
    <definedName name="FormatList">Settings!$E$7:$E$13</definedName>
    <definedName name="StatusList">Settings!$F$7:$F$13</definedName>
    <definedName name="RevCatList">Settings!$G$7:$G$13</definedName>
    <definedName name="ExpCatList">Settings!$H$7:$H$14</definedName>
    <definedName name="SponStageList">Settings!$I$7:$I$12</definedName>
    <definedName name="GuestStatusList">Settings!$J$7:$J$12</definedName>
    <definedName name="GoalCatList">Settings!$K$7:$K$13</definedName>
    <definedName name="PriorityList">Settings!$L$7:$L$9</definedName>
    <definedName name="YesNoList">Settings!$E$17:$E$18</definedName>
    <definedName name="CalDate">'Calendar'!$A$5:$A$64</definedName>
    <definedName name="CalStatus">'Calendar'!$F$5:$F$64</definedName>
    <definedName name="PipeProgress">'Pipeline'!$C$5:$C$44</definedName>
    <definedName name="GuestName">'Guests'!$A$5:$A$34</definedName>
    <definedName name="Subscribers">'Analytics'!$C$6</definedName>
    <definedName name="SubGrowth">'Analytics'!$C$7</definedName>
    <definedName name="Downloads28">'Analytics'!$C$8</definedName>
    <definedName name="AvgPerEp">'Analytics'!$C$9</definedName>
    <definedName name="UniqueListeners">'Analytics'!$C$10</definedName>
    <definedName name="Consumption">'Analytics'!$C$11</definedName>
    <definedName name="AvgRating">'Analytics'!$C$12</definedName>
    <definedName name="CPM">'Analytics'!$C$13</definedName>
    <definedName name="HealthRange">'Analytics'!$F$7:$F$12</definedName>
    <definedName name="EpTitle">'Analytics'!$B$17:$B$22</definedName>
    <definedName name="EpDownloads">'Analytics'!$C$17:$C$22</definedName>
    <definedName name="DlMonth">'Analytics'!$B$27:$B$32</definedName>
    <definedName name="DlVal">'Analytics'!$C$27:$C$32</definedName>
    <definedName name="SponStage">'Sponsors'!$C$5:$C$34</definedName>
    <definedName name="SponValue">'Sponsors'!$F$5:$F$34</definedName>
    <definedName name="MemberCount">'Members'!$C$9</definedName>
    <definedName name="MemberRev">'Members'!$D$9</definedName>
    <definedName name="RevSource">'Finance'!$A$5:$A$11</definedName>
    <definedName name="RevMonthly">'Finance'!$B$5:$B$11</definedName>
    <definedName name="RevenueTotal">'Finance'!$B$12</definedName>
    <definedName name="ExpCat">'Finance'!$F$5:$F$12</definedName>
    <definedName name="ExpMonthly">'Finance'!$G$5:$G$12</definedName>
    <definedName name="ExpenseTotal">'Finance'!$G$13</definedName>
    <definedName name="ReviewAvg">'Reviews'!$C$11</definedName>
    <definedName name="GoalCategory">'Goals'!$B$5:$B$11</definedName>
    <definedName name="GoalProgress">'Goals'!$E$5:$E$11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yyyy-mm-dd"/>
    <numFmt numFmtId="166" formatCode="mm/dd/yyyy"/>
    <numFmt numFmtId="167" formatCode="0.0"/>
    <numFmt numFmtId="168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color rgb="00333333"/>
      <sz val="10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  <xf numFmtId="0" fontId="10" fillId="0" borderId="2" applyAlignment="1">
      <alignment horizontal="left" vertical="top" wrapText="1" indent="1"/>
    </xf>
  </cellStyleXfs>
  <cellXfs count="69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3" fillId="8" borderId="4" applyAlignment="1" pivotButton="0" quotePrefix="0" xfId="0">
      <alignment horizontal="center" vertical="center"/>
    </xf>
    <xf numFmtId="0" fontId="0" fillId="8" borderId="4" pivotButton="0" quotePrefix="0" xfId="0"/>
    <xf numFmtId="3" fontId="14" fillId="8" borderId="2" applyAlignment="1" pivotButton="0" quotePrefix="0" xfId="0">
      <alignment horizontal="center" vertical="center"/>
    </xf>
    <xf numFmtId="0" fontId="0" fillId="8" borderId="2" pivotButton="0" quotePrefix="0" xfId="0"/>
    <xf numFmtId="9" fontId="14" fillId="8" borderId="2" applyAlignment="1" pivotButton="0" quotePrefix="0" xfId="0">
      <alignment horizontal="center" vertical="center"/>
    </xf>
    <xf numFmtId="164" fontId="14" fillId="8" borderId="2" applyAlignment="1" pivotButton="0" quotePrefix="0" xfId="0">
      <alignment horizontal="center" vertical="center"/>
    </xf>
    <xf numFmtId="168" fontId="14" fillId="8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166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9" fontId="6" fillId="8" borderId="2" applyAlignment="1" pivotButton="0" quotePrefix="0" xfId="6">
      <alignment horizontal="center" vertical="center" wrapText="1"/>
    </xf>
    <xf numFmtId="9" fontId="6" fillId="9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0" fontId="6" fillId="0" borderId="2" applyAlignment="1" pivotButton="0" quotePrefix="0" xfId="6">
      <alignment horizontal="center" vertical="center" wrapText="1"/>
    </xf>
    <xf numFmtId="1" fontId="6" fillId="0" borderId="2" applyAlignment="1" pivotButton="0" quotePrefix="0" xfId="6">
      <alignment horizontal="center" vertical="center" wrapText="1"/>
    </xf>
    <xf numFmtId="1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3" fontId="7" fillId="6" borderId="2" applyAlignment="1" pivotButton="0" quotePrefix="0" xfId="10">
      <alignment horizontal="left" vertical="center" indent="1"/>
    </xf>
    <xf numFmtId="3" fontId="7" fillId="0" borderId="2" applyAlignment="1" pivotButton="0" quotePrefix="0" xfId="10">
      <alignment horizontal="left" vertical="center" indent="1"/>
    </xf>
    <xf numFmtId="9" fontId="6" fillId="0" borderId="2" applyAlignment="1" pivotButton="0" quotePrefix="0" xfId="6">
      <alignment horizontal="center" vertical="center" wrapText="1"/>
    </xf>
    <xf numFmtId="9" fontId="7" fillId="0" borderId="2" applyAlignment="1" pivotButton="0" quotePrefix="0" xfId="10">
      <alignment horizontal="left" vertical="center" indent="1"/>
    </xf>
    <xf numFmtId="167" fontId="7" fillId="0" borderId="2" applyAlignment="1" pivotButton="0" quotePrefix="0" xfId="10">
      <alignment horizontal="left" vertical="center" indent="1"/>
    </xf>
    <xf numFmtId="168" fontId="7" fillId="0" borderId="2" applyAlignment="1" pivotButton="0" quotePrefix="0" xfId="10">
      <alignment horizontal="left" vertical="center" indent="1"/>
    </xf>
    <xf numFmtId="3" fontId="6" fillId="0" borderId="2" applyAlignment="1" pivotButton="0" quotePrefix="0" xfId="6">
      <alignment horizontal="center" vertical="center" wrapText="1"/>
    </xf>
    <xf numFmtId="167" fontId="6" fillId="0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8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4" fontId="7" fillId="9" borderId="2" applyAlignment="1" pivotButton="0" quotePrefix="0" xfId="8">
      <alignment horizontal="center" vertical="center"/>
    </xf>
    <xf numFmtId="3" fontId="7" fillId="9" borderId="2" applyAlignment="1" pivotButton="0" quotePrefix="0" xfId="8">
      <alignment horizontal="center" vertical="center"/>
    </xf>
    <xf numFmtId="3" fontId="12" fillId="3" borderId="2" applyAlignment="1" pivotButton="0" quotePrefix="0" xfId="6">
      <alignment horizontal="center" vertical="center" wrapText="1"/>
    </xf>
    <xf numFmtId="164" fontId="12" fillId="3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4" fontId="7" fillId="9" borderId="2" applyAlignment="1" pivotButton="0" quotePrefix="0" xfId="10">
      <alignment horizontal="left" vertical="center" indent="1"/>
    </xf>
    <xf numFmtId="164" fontId="7" fillId="0" borderId="2" applyAlignment="1" pivotButton="0" quotePrefix="0" xfId="10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167" fontId="12" fillId="3" borderId="2" applyAlignment="1" pivotButton="0" quotePrefix="0" xfId="6">
      <alignment horizontal="center" vertical="center" wrapText="1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9" fontId="7" fillId="3" borderId="2" applyAlignment="1" pivotButton="0" quotePrefix="0" xfId="8">
      <alignment horizontal="center" vertical="center"/>
    </xf>
    <xf numFmtId="9" fontId="7" fillId="9" borderId="2" applyAlignment="1" pivotButton="0" quotePrefix="0" xfId="8">
      <alignment horizontal="center" vertical="center"/>
    </xf>
    <xf numFmtId="0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  <cellStyle name="msg" xfId="13" hidden="0"/>
  </cellStyles>
  <dxfs count="4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AF7F1"/>
        </patternFill>
      </fill>
    </dxf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Downloads (K)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'Analytics'!C26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'Analytics'!$B$27:$B$32</f>
            </numRef>
          </cat>
          <val>
            <numRef>
              <f>'Analytics'!$C$27:$C$32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Source</a:t>
            </a:r>
          </a:p>
        </rich>
      </tx>
    </title>
    <plotArea>
      <doughnutChart>
        <varyColors val="1"/>
        <ser>
          <idx val="0"/>
          <order val="0"/>
          <tx>
            <strRef>
              <f>'Finance'!B4</f>
            </strRef>
          </tx>
          <spPr>
            <a:ln>
              <a:prstDash val="solid"/>
            </a:ln>
          </spPr>
          <cat>
            <numRef>
              <f>'Finance'!$A$5:$A$11</f>
            </numRef>
          </cat>
          <val>
            <numRef>
              <f>'Finance'!$B$5:$B$11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Episodes by Downloads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'Analytics'!C16</f>
            </strRef>
          </tx>
          <spPr>
            <a:ln>
              <a:prstDash val="solid"/>
            </a:ln>
          </spPr>
          <cat>
            <numRef>
              <f>'Analytics'!$B$17:$B$22</f>
            </numRef>
          </cat>
          <val>
            <numRef>
              <f>'Analytics'!$C$17:$C$22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'Finance'!G4</f>
            </strRef>
          </tx>
          <spPr>
            <a:ln>
              <a:prstDash val="solid"/>
            </a:ln>
          </spPr>
          <cat>
            <numRef>
              <f>'Finance'!$F$5:$F$12</f>
            </numRef>
          </cat>
          <val>
            <numRef>
              <f>'Finance'!$G$5:$G$12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🎙  PODCAST COMMAND CENTER™</t>
        </is>
      </c>
    </row>
    <row r="2" ht="24" customHeight="1">
      <c r="A2" s="2" t="inlineStr">
        <is>
          <t xml:space="preserve">  The ultimate podcast production &amp; business system.</t>
        </is>
      </c>
    </row>
    <row r="3" ht="6" customHeight="1">
      <c r="A3" s="3" t="n"/>
      <c r="B3" s="3" t="n"/>
      <c r="C3" s="3" t="n"/>
    </row>
    <row r="5">
      <c r="B5" s="4" t="inlineStr">
        <is>
          <t>RUN YOUR ENTIRE PODCAST FROM ONE FILE</t>
        </is>
      </c>
    </row>
    <row r="6" ht="22" customHeight="1">
      <c r="B6" s="5" t="inlineStr">
        <is>
          <t>From idea to episode to invoice — Podcast Command Center™ manages your episode calendar, guest outreach, recording, show notes, downloads analytics, platforms, sponsors, memberships, clips and finances in ONE premium Excel &amp; Google Sheets system. Publish consistently, grow downloads, land sponsors and turn listens into real income — all with producer-grade automation. This isn't an episode tracker — it's your complete Podcast Operating System.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show, host &amp; monthly goals.</t>
        </is>
      </c>
    </row>
    <row r="13" ht="22" customHeight="1">
      <c r="B13" s="8" t="inlineStr">
        <is>
          <t>2.  Plan the Episode Calendar &amp; Pipeline — idea → recording → published.</t>
        </is>
      </c>
    </row>
    <row r="14" ht="22" customHeight="1">
      <c r="B14" s="8" t="inlineStr">
        <is>
          <t>3.  Work the Guest CRM &amp; Recording Log — book, record, track.</t>
        </is>
      </c>
    </row>
    <row r="15" ht="22" customHeight="1">
      <c r="B15" s="8" t="inlineStr">
        <is>
          <t>4.  Log Analytics, Platforms &amp; Sponsors — downloads &amp; revenue update live.</t>
        </is>
      </c>
    </row>
    <row r="16" ht="22" customHeight="1">
      <c r="B16" s="8" t="inlineStr">
        <is>
          <t>5.  Grow income with Memberships, Clips &amp; the Repurposing engine.</t>
        </is>
      </c>
    </row>
    <row r="17" ht="22" customHeight="1">
      <c r="B17" s="8" t="inlineStr">
        <is>
          <t>6.  Watch the Dashboard track downloads, revenue &amp; a Show Health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Realistic sample data (Make It Work, an 18.5k-subscriber business &amp; creativity show doing ~42k downloads/mo and ~$9,100/mo) is included so you can see how everything connects — just type over it with your own. Downloads, revenue, net profit, consumption, publishing consistency, the sponsor pipeline and the Show Health Score all update automatically. Every sheet is print-friendly and works in Excel and Google Sheets, on desktop and mobile.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organized system, more time to record — let's grow your show.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🎙  PODCAST COMMAND CENTER™</t>
        </is>
      </c>
    </row>
    <row r="2" ht="24" customHeight="1">
      <c r="A2" s="2" t="inlineStr">
        <is>
          <t xml:space="preserve">  Downloads, revenue, guests &amp; sponsors — your whole podcast,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SUBSCRIBERS</t>
        </is>
      </c>
      <c r="C5" s="13" t="n"/>
      <c r="D5" s="12" t="inlineStr">
        <is>
          <t>DOWNLOADS (28D)</t>
        </is>
      </c>
      <c r="E5" s="13" t="n"/>
      <c r="F5" s="12" t="inlineStr">
        <is>
          <t>AVG / EPISODE</t>
        </is>
      </c>
      <c r="G5" s="13" t="n"/>
      <c r="H5" s="12" t="inlineStr">
        <is>
          <t>EPISODES (28D)</t>
        </is>
      </c>
      <c r="I5" s="13" t="n"/>
      <c r="J5" s="12" t="inlineStr">
        <is>
          <t>CONSUMPTION</t>
        </is>
      </c>
      <c r="K5" s="13" t="n"/>
      <c r="L5" s="12" t="inlineStr">
        <is>
          <t>MONTHLY REVENUE</t>
        </is>
      </c>
      <c r="M5" s="13" t="n"/>
    </row>
    <row r="6" ht="40" customHeight="1">
      <c r="B6" s="14">
        <f>Subscribers</f>
        <v/>
      </c>
      <c r="C6" s="15" t="n"/>
      <c r="D6" s="14">
        <f>Downloads28</f>
        <v/>
      </c>
      <c r="E6" s="15" t="n"/>
      <c r="F6" s="14">
        <f>AvgPerEp</f>
        <v/>
      </c>
      <c r="G6" s="15" t="n"/>
      <c r="H6" s="14">
        <f>COUNTIFS(CalDate,"&gt;="&amp;TODAY()-28,CalStatus,"Published")</f>
        <v/>
      </c>
      <c r="I6" s="15" t="n"/>
      <c r="J6" s="16">
        <f>Consumption</f>
        <v/>
      </c>
      <c r="K6" s="15" t="n"/>
      <c r="L6" s="17">
        <f>RevenueTotal</f>
        <v/>
      </c>
      <c r="M6" s="15" t="n"/>
    </row>
    <row r="8" ht="18" customHeight="1">
      <c r="B8" s="12" t="inlineStr">
        <is>
          <t>NET PROFIT</t>
        </is>
      </c>
      <c r="C8" s="13" t="n"/>
      <c r="D8" s="12" t="inlineStr">
        <is>
          <t>AD RATE (CPM)</t>
        </is>
      </c>
      <c r="E8" s="13" t="n"/>
      <c r="F8" s="12" t="inlineStr">
        <is>
          <t>ACTIVE SPONSORS</t>
        </is>
      </c>
      <c r="G8" s="13" t="n"/>
      <c r="H8" s="12" t="inlineStr">
        <is>
          <t>MEMBERS</t>
        </is>
      </c>
      <c r="I8" s="13" t="n"/>
      <c r="J8" s="12" t="inlineStr">
        <is>
          <t>PUBLISHING</t>
        </is>
      </c>
      <c r="K8" s="13" t="n"/>
      <c r="L8" s="12" t="inlineStr">
        <is>
          <t>SHOW HEALTH</t>
        </is>
      </c>
      <c r="M8" s="13" t="n"/>
    </row>
    <row r="9" ht="40" customHeight="1">
      <c r="B9" s="17">
        <f>RevenueTotal-ExpenseTotal</f>
        <v/>
      </c>
      <c r="C9" s="15" t="n"/>
      <c r="D9" s="18">
        <f>CPM</f>
        <v/>
      </c>
      <c r="E9" s="15" t="n"/>
      <c r="F9" s="14">
        <f>COUNTIF(SponStage,"Booked")+COUNTIF(SponStage,"Live")</f>
        <v/>
      </c>
      <c r="G9" s="15" t="n"/>
      <c r="H9" s="14">
        <f>MemberCount</f>
        <v/>
      </c>
      <c r="I9" s="15" t="n"/>
      <c r="J9" s="16">
        <f>IFERROR(MIN(COUNTIFS(CalDate,"&gt;="&amp;TODAY()-28,CalStatus,"Published")/EpGoal,1),0)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DOWNLOADS &amp; REVENUE</t>
        </is>
      </c>
    </row>
    <row r="29" ht="26" customHeight="1">
      <c r="B29" s="4" t="inlineStr">
        <is>
          <t>EPISODES &amp; PROFIT</t>
        </is>
      </c>
    </row>
    <row r="47" ht="26" customHeight="1">
      <c r="B47" s="2" t="inlineStr">
        <is>
          <t>Podcast Command Center™ — from idea to episode to invoice, all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🎧  SHOW PROFILE</t>
        </is>
      </c>
    </row>
    <row r="2" ht="22" customHeight="1">
      <c r="A2" s="2" t="inlineStr">
        <is>
          <t xml:space="preserve">  Your show, defined — the identity every episode flows from.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SHOW</t>
        </is>
      </c>
    </row>
    <row r="6" ht="24" customHeight="1">
      <c r="B6" s="19" t="inlineStr">
        <is>
          <t>Show Name</t>
        </is>
      </c>
      <c r="C6" s="20">
        <f>ShowName</f>
        <v/>
      </c>
      <c r="E6" s="19" t="inlineStr">
        <is>
          <t>Host</t>
        </is>
      </c>
      <c r="F6" s="20">
        <f>HostName</f>
        <v/>
      </c>
    </row>
    <row r="7" ht="24" customHeight="1">
      <c r="B7" s="19" t="inlineStr">
        <is>
          <t>Category</t>
        </is>
      </c>
      <c r="C7" s="20">
        <f>Category</f>
        <v/>
      </c>
      <c r="E7" s="19" t="inlineStr">
        <is>
          <t>Cadence</t>
        </is>
      </c>
      <c r="F7" s="20" t="inlineStr">
        <is>
          <t>Weekly · Tuesdays</t>
        </is>
      </c>
    </row>
    <row r="8" ht="24" customHeight="1">
      <c r="B8" s="19" t="inlineStr">
        <is>
          <t>Launched</t>
        </is>
      </c>
      <c r="C8" s="20" t="inlineStr">
        <is>
          <t>2022</t>
        </is>
      </c>
      <c r="E8" s="19" t="inlineStr">
        <is>
          <t>Format</t>
        </is>
      </c>
      <c r="F8" s="20" t="inlineStr">
        <is>
          <t>Interview + solo</t>
        </is>
      </c>
    </row>
    <row r="10" ht="22" customHeight="1">
      <c r="B10" s="4" t="inlineStr">
        <is>
          <t>STRATEGY</t>
        </is>
      </c>
    </row>
    <row r="11" ht="24" customHeight="1">
      <c r="B11" s="19" t="inlineStr">
        <is>
          <t>Tagline</t>
        </is>
      </c>
      <c r="C11" s="20" t="inlineStr">
        <is>
          <t>Building a life around your work</t>
        </is>
      </c>
      <c r="E11" s="19" t="inlineStr">
        <is>
          <t>Audience</t>
        </is>
      </c>
      <c r="F11" s="20" t="inlineStr">
        <is>
          <t>Founders &amp; creatives 28-45</t>
        </is>
      </c>
    </row>
    <row r="12" ht="24" customHeight="1">
      <c r="B12" s="19" t="inlineStr">
        <is>
          <t>Avg length</t>
        </is>
      </c>
      <c r="C12" s="20" t="inlineStr">
        <is>
          <t>48 min</t>
        </is>
      </c>
      <c r="E12" s="19" t="inlineStr">
        <is>
          <t>Host read CPM</t>
        </is>
      </c>
      <c r="F12" s="20" t="inlineStr">
        <is>
          <t>$28</t>
        </is>
      </c>
    </row>
    <row r="13" ht="24" customHeight="1">
      <c r="B13" s="19" t="inlineStr">
        <is>
          <t>Media Kit</t>
        </is>
      </c>
      <c r="C13" s="20" t="inlineStr">
        <is>
          <t>makeitwork.fm/sponsor</t>
        </is>
      </c>
      <c r="E13" s="19" t="inlineStr">
        <is>
          <t>Booking</t>
        </is>
      </c>
      <c r="F13" s="20" t="inlineStr">
        <is>
          <t>makeitwork.fm/guest</t>
        </is>
      </c>
    </row>
    <row r="15" ht="22" customHeight="1">
      <c r="B15" s="4" t="inlineStr">
        <is>
          <t>WHERE TO LISTEN</t>
        </is>
      </c>
    </row>
    <row r="16">
      <c r="B16" s="19" t="inlineStr">
        <is>
          <t>Apple Podcasts</t>
        </is>
      </c>
      <c r="C16" s="20" t="inlineStr">
        <is>
          <t>Make It Work</t>
        </is>
      </c>
      <c r="E16" s="19" t="inlineStr">
        <is>
          <t>Spotify</t>
        </is>
      </c>
      <c r="F16" s="20" t="inlineStr">
        <is>
          <t>Make It Work</t>
        </is>
      </c>
    </row>
    <row r="17">
      <c r="B17" s="19" t="inlineStr">
        <is>
          <t>YouTube</t>
        </is>
      </c>
      <c r="C17" s="20" t="inlineStr">
        <is>
          <t>Make It Work Pod</t>
        </is>
      </c>
      <c r="E17" s="19" t="inlineStr">
        <is>
          <t>Website</t>
        </is>
      </c>
      <c r="F17" s="20" t="inlineStr">
        <is>
          <t>makeitwork.fm</t>
        </is>
      </c>
    </row>
    <row r="18">
      <c r="B18" s="19" t="inlineStr">
        <is>
          <t>Newsletter</t>
        </is>
      </c>
      <c r="C18" s="20" t="inlineStr">
        <is>
          <t>The Debrief</t>
        </is>
      </c>
      <c r="E18" s="19" t="inlineStr">
        <is>
          <t>Community</t>
        </is>
      </c>
      <c r="F18" s="20" t="inlineStr">
        <is>
          <t>makeitwork.fm/circle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16" customWidth="1" min="4" max="4"/>
    <col width="11" customWidth="1" min="5" max="5"/>
    <col width="13" customWidth="1" min="6" max="6"/>
  </cols>
  <sheetData>
    <row r="1" ht="46" customHeight="1">
      <c r="A1" s="1" t="inlineStr">
        <is>
          <t xml:space="preserve">  🗓  EPISODE CALENDAR</t>
        </is>
      </c>
    </row>
    <row r="2" ht="22" customHeight="1">
      <c r="A2" s="2" t="inlineStr">
        <is>
          <t xml:space="preserve">  Plan every episode in one view — publishing status calculates itself.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Publish Date</t>
        </is>
      </c>
      <c r="B4" s="9" t="inlineStr">
        <is>
          <t>Episode</t>
        </is>
      </c>
      <c r="C4" s="9" t="inlineStr">
        <is>
          <t>Format</t>
        </is>
      </c>
      <c r="D4" s="9" t="inlineStr">
        <is>
          <t>Guest</t>
        </is>
      </c>
      <c r="E4" s="9" t="inlineStr">
        <is>
          <t>Priority</t>
        </is>
      </c>
      <c r="F4" s="9" t="inlineStr">
        <is>
          <t>Status</t>
        </is>
      </c>
    </row>
    <row r="5">
      <c r="A5" s="21" t="n">
        <v>46212</v>
      </c>
      <c r="B5" s="22" t="inlineStr">
        <is>
          <t>Ep 40: How to price your work</t>
        </is>
      </c>
      <c r="C5" s="23" t="inlineStr">
        <is>
          <t>Interview</t>
        </is>
      </c>
      <c r="D5" s="22" t="inlineStr">
        <is>
          <t>Dana Kim</t>
        </is>
      </c>
      <c r="E5" s="23" t="inlineStr">
        <is>
          <t>High</t>
        </is>
      </c>
      <c r="F5" s="23" t="inlineStr">
        <is>
          <t>Published</t>
        </is>
      </c>
    </row>
    <row r="6">
      <c r="A6" s="24" t="n">
        <v>46205</v>
      </c>
      <c r="B6" s="25" t="inlineStr">
        <is>
          <t>Ep 41: Quitting the 9-5: the real math</t>
        </is>
      </c>
      <c r="C6" s="26" t="inlineStr">
        <is>
          <t>Solo</t>
        </is>
      </c>
      <c r="D6" s="25" t="inlineStr">
        <is>
          <t>—</t>
        </is>
      </c>
      <c r="E6" s="26" t="inlineStr">
        <is>
          <t>High</t>
        </is>
      </c>
      <c r="F6" s="26" t="inlineStr">
        <is>
          <t>Published</t>
        </is>
      </c>
    </row>
    <row r="7">
      <c r="A7" s="21" t="n">
        <v>46198</v>
      </c>
      <c r="B7" s="22" t="inlineStr">
        <is>
          <t>Ep 42: Building in public</t>
        </is>
      </c>
      <c r="C7" s="23" t="inlineStr">
        <is>
          <t>Interview</t>
        </is>
      </c>
      <c r="D7" s="22" t="inlineStr">
        <is>
          <t>Marco Ellis</t>
        </is>
      </c>
      <c r="E7" s="23" t="inlineStr">
        <is>
          <t>High</t>
        </is>
      </c>
      <c r="F7" s="23" t="inlineStr">
        <is>
          <t>Published</t>
        </is>
      </c>
    </row>
    <row r="8">
      <c r="A8" s="24" t="n">
        <v>46191</v>
      </c>
      <c r="B8" s="25" t="inlineStr">
        <is>
          <t>Ep 43: The burnout trap</t>
        </is>
      </c>
      <c r="C8" s="26" t="inlineStr">
        <is>
          <t>Interview</t>
        </is>
      </c>
      <c r="D8" s="25" t="inlineStr">
        <is>
          <t>Dr. Lena Ross</t>
        </is>
      </c>
      <c r="E8" s="26" t="inlineStr">
        <is>
          <t>High</t>
        </is>
      </c>
      <c r="F8" s="26" t="inlineStr">
        <is>
          <t>Published</t>
        </is>
      </c>
    </row>
    <row r="9">
      <c r="A9" s="21" t="n">
        <v>46218</v>
      </c>
      <c r="B9" s="22" t="inlineStr">
        <is>
          <t>Ep 44: Your first $10k month</t>
        </is>
      </c>
      <c r="C9" s="23" t="inlineStr">
        <is>
          <t>Interview</t>
        </is>
      </c>
      <c r="D9" s="22" t="inlineStr">
        <is>
          <t>Ivy Chen</t>
        </is>
      </c>
      <c r="E9" s="23" t="inlineStr">
        <is>
          <t>High</t>
        </is>
      </c>
      <c r="F9" s="23" t="inlineStr">
        <is>
          <t>Scheduled</t>
        </is>
      </c>
    </row>
    <row r="10">
      <c r="A10" s="24" t="n">
        <v>46225</v>
      </c>
      <c r="B10" s="25" t="inlineStr">
        <is>
          <t>Ep 45: Say no to grow</t>
        </is>
      </c>
      <c r="C10" s="26" t="inlineStr">
        <is>
          <t>Solo</t>
        </is>
      </c>
      <c r="D10" s="25" t="inlineStr">
        <is>
          <t>—</t>
        </is>
      </c>
      <c r="E10" s="26" t="inlineStr">
        <is>
          <t>Medium</t>
        </is>
      </c>
      <c r="F10" s="26" t="inlineStr">
        <is>
          <t>Editing</t>
        </is>
      </c>
    </row>
    <row r="11">
      <c r="A11" s="21" t="n">
        <v>46221</v>
      </c>
      <c r="B11" s="22" t="inlineStr">
        <is>
          <t>Ep 46: Finding your niche</t>
        </is>
      </c>
      <c r="C11" s="23" t="inlineStr">
        <is>
          <t>Interview</t>
        </is>
      </c>
      <c r="D11" s="22" t="inlineStr">
        <is>
          <t>Owen Blake</t>
        </is>
      </c>
      <c r="E11" s="23" t="inlineStr">
        <is>
          <t>High</t>
        </is>
      </c>
      <c r="F11" s="23" t="inlineStr">
        <is>
          <t>Recording</t>
        </is>
      </c>
    </row>
    <row r="12">
      <c r="A12" s="24" t="n">
        <v>46228</v>
      </c>
      <c r="B12" s="25" t="inlineStr">
        <is>
          <t>Ep 47: The creator middle class</t>
        </is>
      </c>
      <c r="C12" s="26" t="inlineStr">
        <is>
          <t>Panel</t>
        </is>
      </c>
      <c r="D12" s="25" t="inlineStr">
        <is>
          <t>3 guests</t>
        </is>
      </c>
      <c r="E12" s="26" t="inlineStr">
        <is>
          <t>Medium</t>
        </is>
      </c>
      <c r="F12" s="26" t="inlineStr">
        <is>
          <t>Booked</t>
        </is>
      </c>
    </row>
    <row r="13">
      <c r="A13" s="21" t="n">
        <v>46235</v>
      </c>
      <c r="B13" s="22" t="inlineStr">
        <is>
          <t>Ep 48: Systems &gt; motivation</t>
        </is>
      </c>
      <c r="C13" s="23" t="inlineStr">
        <is>
          <t>Interview</t>
        </is>
      </c>
      <c r="D13" s="22" t="inlineStr">
        <is>
          <t>Sam Park</t>
        </is>
      </c>
      <c r="E13" s="23" t="inlineStr">
        <is>
          <t>Medium</t>
        </is>
      </c>
      <c r="F13" s="23" t="inlineStr">
        <is>
          <t>Idea</t>
        </is>
      </c>
    </row>
    <row r="14">
      <c r="A14" s="24" t="n"/>
      <c r="B14" s="25" t="n"/>
      <c r="C14" s="26" t="n"/>
      <c r="D14" s="25" t="n"/>
      <c r="E14" s="26" t="n"/>
      <c r="F14" s="26" t="n"/>
    </row>
    <row r="15">
      <c r="A15" s="21" t="n"/>
      <c r="B15" s="22" t="n"/>
      <c r="C15" s="23" t="n"/>
      <c r="D15" s="22" t="n"/>
      <c r="E15" s="23" t="n"/>
      <c r="F15" s="23" t="n"/>
    </row>
    <row r="16">
      <c r="A16" s="24" t="n"/>
      <c r="B16" s="25" t="n"/>
      <c r="C16" s="26" t="n"/>
      <c r="D16" s="25" t="n"/>
      <c r="E16" s="26" t="n"/>
      <c r="F16" s="26" t="n"/>
    </row>
    <row r="17">
      <c r="A17" s="21" t="n"/>
      <c r="B17" s="22" t="n"/>
      <c r="C17" s="23" t="n"/>
      <c r="D17" s="22" t="n"/>
      <c r="E17" s="23" t="n"/>
      <c r="F17" s="23" t="n"/>
    </row>
    <row r="18">
      <c r="A18" s="24" t="n"/>
      <c r="B18" s="25" t="n"/>
      <c r="C18" s="26" t="n"/>
      <c r="D18" s="25" t="n"/>
      <c r="E18" s="26" t="n"/>
      <c r="F18" s="26" t="n"/>
    </row>
    <row r="19">
      <c r="A19" s="21" t="n"/>
      <c r="B19" s="22" t="n"/>
      <c r="C19" s="23" t="n"/>
      <c r="D19" s="22" t="n"/>
      <c r="E19" s="23" t="n"/>
      <c r="F19" s="23" t="n"/>
    </row>
    <row r="20">
      <c r="A20" s="24" t="n"/>
      <c r="B20" s="25" t="n"/>
      <c r="C20" s="26" t="n"/>
      <c r="D20" s="25" t="n"/>
      <c r="E20" s="26" t="n"/>
      <c r="F20" s="26" t="n"/>
    </row>
    <row r="21">
      <c r="A21" s="21" t="n"/>
      <c r="B21" s="22" t="n"/>
      <c r="C21" s="23" t="n"/>
      <c r="D21" s="22" t="n"/>
      <c r="E21" s="23" t="n"/>
      <c r="F21" s="23" t="n"/>
    </row>
    <row r="22">
      <c r="A22" s="24" t="n"/>
      <c r="B22" s="25" t="n"/>
      <c r="C22" s="26" t="n"/>
      <c r="D22" s="25" t="n"/>
      <c r="E22" s="26" t="n"/>
      <c r="F22" s="26" t="n"/>
    </row>
    <row r="23">
      <c r="A23" s="21" t="n"/>
      <c r="B23" s="22" t="n"/>
      <c r="C23" s="23" t="n"/>
      <c r="D23" s="22" t="n"/>
      <c r="E23" s="23" t="n"/>
      <c r="F23" s="23" t="n"/>
    </row>
    <row r="24">
      <c r="A24" s="24" t="n"/>
      <c r="B24" s="25" t="n"/>
      <c r="C24" s="26" t="n"/>
      <c r="D24" s="25" t="n"/>
      <c r="E24" s="26" t="n"/>
      <c r="F24" s="26" t="n"/>
    </row>
    <row r="25">
      <c r="A25" s="21" t="n"/>
      <c r="B25" s="22" t="n"/>
      <c r="C25" s="23" t="n"/>
      <c r="D25" s="22" t="n"/>
      <c r="E25" s="23" t="n"/>
      <c r="F25" s="23" t="n"/>
    </row>
    <row r="26">
      <c r="A26" s="24" t="n"/>
      <c r="B26" s="25" t="n"/>
      <c r="C26" s="26" t="n"/>
      <c r="D26" s="25" t="n"/>
      <c r="E26" s="26" t="n"/>
      <c r="F26" s="26" t="n"/>
    </row>
    <row r="27">
      <c r="A27" s="21" t="n"/>
      <c r="B27" s="22" t="n"/>
      <c r="C27" s="23" t="n"/>
      <c r="D27" s="22" t="n"/>
      <c r="E27" s="23" t="n"/>
      <c r="F27" s="23" t="n"/>
    </row>
    <row r="28">
      <c r="A28" s="24" t="n"/>
      <c r="B28" s="25" t="n"/>
      <c r="C28" s="26" t="n"/>
      <c r="D28" s="25" t="n"/>
      <c r="E28" s="26" t="n"/>
      <c r="F28" s="26" t="n"/>
    </row>
    <row r="29">
      <c r="A29" s="21" t="n"/>
      <c r="B29" s="22" t="n"/>
      <c r="C29" s="23" t="n"/>
      <c r="D29" s="22" t="n"/>
      <c r="E29" s="23" t="n"/>
      <c r="F29" s="23" t="n"/>
    </row>
    <row r="30">
      <c r="A30" s="24" t="n"/>
      <c r="B30" s="25" t="n"/>
      <c r="C30" s="26" t="n"/>
      <c r="D30" s="25" t="n"/>
      <c r="E30" s="26" t="n"/>
      <c r="F30" s="26" t="n"/>
    </row>
    <row r="31">
      <c r="A31" s="21" t="n"/>
      <c r="B31" s="22" t="n"/>
      <c r="C31" s="23" t="n"/>
      <c r="D31" s="22" t="n"/>
      <c r="E31" s="23" t="n"/>
      <c r="F31" s="23" t="n"/>
    </row>
    <row r="32">
      <c r="A32" s="24" t="n"/>
      <c r="B32" s="25" t="n"/>
      <c r="C32" s="26" t="n"/>
      <c r="D32" s="25" t="n"/>
      <c r="E32" s="26" t="n"/>
      <c r="F32" s="26" t="n"/>
    </row>
    <row r="33">
      <c r="A33" s="21" t="n"/>
      <c r="B33" s="22" t="n"/>
      <c r="C33" s="23" t="n"/>
      <c r="D33" s="22" t="n"/>
      <c r="E33" s="23" t="n"/>
      <c r="F33" s="23" t="n"/>
    </row>
    <row r="34">
      <c r="A34" s="24" t="n"/>
      <c r="B34" s="25" t="n"/>
      <c r="C34" s="26" t="n"/>
      <c r="D34" s="25" t="n"/>
      <c r="E34" s="26" t="n"/>
      <c r="F34" s="26" t="n"/>
    </row>
    <row r="35">
      <c r="A35" s="21" t="n"/>
      <c r="B35" s="22" t="n"/>
      <c r="C35" s="23" t="n"/>
      <c r="D35" s="22" t="n"/>
      <c r="E35" s="23" t="n"/>
      <c r="F35" s="23" t="n"/>
    </row>
    <row r="36">
      <c r="A36" s="24" t="n"/>
      <c r="B36" s="25" t="n"/>
      <c r="C36" s="26" t="n"/>
      <c r="D36" s="25" t="n"/>
      <c r="E36" s="26" t="n"/>
      <c r="F36" s="26" t="n"/>
    </row>
    <row r="37">
      <c r="A37" s="21" t="n"/>
      <c r="B37" s="22" t="n"/>
      <c r="C37" s="23" t="n"/>
      <c r="D37" s="22" t="n"/>
      <c r="E37" s="23" t="n"/>
      <c r="F37" s="23" t="n"/>
    </row>
    <row r="38">
      <c r="A38" s="24" t="n"/>
      <c r="B38" s="25" t="n"/>
      <c r="C38" s="26" t="n"/>
      <c r="D38" s="25" t="n"/>
      <c r="E38" s="26" t="n"/>
      <c r="F38" s="26" t="n"/>
    </row>
    <row r="39">
      <c r="A39" s="21" t="n"/>
      <c r="B39" s="22" t="n"/>
      <c r="C39" s="23" t="n"/>
      <c r="D39" s="22" t="n"/>
      <c r="E39" s="23" t="n"/>
      <c r="F39" s="23" t="n"/>
    </row>
    <row r="40">
      <c r="A40" s="24" t="n"/>
      <c r="B40" s="25" t="n"/>
      <c r="C40" s="26" t="n"/>
      <c r="D40" s="25" t="n"/>
      <c r="E40" s="26" t="n"/>
      <c r="F40" s="26" t="n"/>
    </row>
    <row r="41">
      <c r="A41" s="21" t="n"/>
      <c r="B41" s="22" t="n"/>
      <c r="C41" s="23" t="n"/>
      <c r="D41" s="22" t="n"/>
      <c r="E41" s="23" t="n"/>
      <c r="F41" s="23" t="n"/>
    </row>
    <row r="42">
      <c r="A42" s="24" t="n"/>
      <c r="B42" s="25" t="n"/>
      <c r="C42" s="26" t="n"/>
      <c r="D42" s="25" t="n"/>
      <c r="E42" s="26" t="n"/>
      <c r="F42" s="26" t="n"/>
    </row>
    <row r="43">
      <c r="A43" s="21" t="n"/>
      <c r="B43" s="22" t="n"/>
      <c r="C43" s="23" t="n"/>
      <c r="D43" s="22" t="n"/>
      <c r="E43" s="23" t="n"/>
      <c r="F43" s="23" t="n"/>
    </row>
    <row r="44">
      <c r="A44" s="24" t="n"/>
      <c r="B44" s="25" t="n"/>
      <c r="C44" s="26" t="n"/>
      <c r="D44" s="25" t="n"/>
      <c r="E44" s="26" t="n"/>
      <c r="F44" s="26" t="n"/>
    </row>
    <row r="45">
      <c r="A45" s="21" t="n"/>
      <c r="B45" s="22" t="n"/>
      <c r="C45" s="23" t="n"/>
      <c r="D45" s="22" t="n"/>
      <c r="E45" s="23" t="n"/>
      <c r="F45" s="23" t="n"/>
    </row>
    <row r="46">
      <c r="A46" s="24" t="n"/>
      <c r="B46" s="25" t="n"/>
      <c r="C46" s="26" t="n"/>
      <c r="D46" s="25" t="n"/>
      <c r="E46" s="26" t="n"/>
      <c r="F46" s="26" t="n"/>
    </row>
    <row r="47">
      <c r="A47" s="21" t="n"/>
      <c r="B47" s="22" t="n"/>
      <c r="C47" s="23" t="n"/>
      <c r="D47" s="22" t="n"/>
      <c r="E47" s="23" t="n"/>
      <c r="F47" s="23" t="n"/>
    </row>
    <row r="48">
      <c r="A48" s="24" t="n"/>
      <c r="B48" s="25" t="n"/>
      <c r="C48" s="26" t="n"/>
      <c r="D48" s="25" t="n"/>
      <c r="E48" s="26" t="n"/>
      <c r="F48" s="26" t="n"/>
    </row>
    <row r="49">
      <c r="A49" s="21" t="n"/>
      <c r="B49" s="22" t="n"/>
      <c r="C49" s="23" t="n"/>
      <c r="D49" s="22" t="n"/>
      <c r="E49" s="23" t="n"/>
      <c r="F49" s="23" t="n"/>
    </row>
    <row r="50">
      <c r="A50" s="24" t="n"/>
      <c r="B50" s="25" t="n"/>
      <c r="C50" s="26" t="n"/>
      <c r="D50" s="25" t="n"/>
      <c r="E50" s="26" t="n"/>
      <c r="F50" s="26" t="n"/>
    </row>
    <row r="51">
      <c r="A51" s="21" t="n"/>
      <c r="B51" s="22" t="n"/>
      <c r="C51" s="23" t="n"/>
      <c r="D51" s="22" t="n"/>
      <c r="E51" s="23" t="n"/>
      <c r="F51" s="23" t="n"/>
    </row>
    <row r="52">
      <c r="A52" s="24" t="n"/>
      <c r="B52" s="25" t="n"/>
      <c r="C52" s="26" t="n"/>
      <c r="D52" s="25" t="n"/>
      <c r="E52" s="26" t="n"/>
      <c r="F52" s="26" t="n"/>
    </row>
    <row r="53">
      <c r="A53" s="21" t="n"/>
      <c r="B53" s="22" t="n"/>
      <c r="C53" s="23" t="n"/>
      <c r="D53" s="22" t="n"/>
      <c r="E53" s="23" t="n"/>
      <c r="F53" s="23" t="n"/>
    </row>
    <row r="54">
      <c r="A54" s="24" t="n"/>
      <c r="B54" s="25" t="n"/>
      <c r="C54" s="26" t="n"/>
      <c r="D54" s="25" t="n"/>
      <c r="E54" s="26" t="n"/>
      <c r="F54" s="26" t="n"/>
    </row>
    <row r="55">
      <c r="A55" s="21" t="n"/>
      <c r="B55" s="22" t="n"/>
      <c r="C55" s="23" t="n"/>
      <c r="D55" s="22" t="n"/>
      <c r="E55" s="23" t="n"/>
      <c r="F55" s="23" t="n"/>
    </row>
    <row r="56">
      <c r="A56" s="24" t="n"/>
      <c r="B56" s="25" t="n"/>
      <c r="C56" s="26" t="n"/>
      <c r="D56" s="25" t="n"/>
      <c r="E56" s="26" t="n"/>
      <c r="F56" s="26" t="n"/>
    </row>
    <row r="57">
      <c r="A57" s="21" t="n"/>
      <c r="B57" s="22" t="n"/>
      <c r="C57" s="23" t="n"/>
      <c r="D57" s="22" t="n"/>
      <c r="E57" s="23" t="n"/>
      <c r="F57" s="23" t="n"/>
    </row>
    <row r="58">
      <c r="A58" s="24" t="n"/>
      <c r="B58" s="25" t="n"/>
      <c r="C58" s="26" t="n"/>
      <c r="D58" s="25" t="n"/>
      <c r="E58" s="26" t="n"/>
      <c r="F58" s="26" t="n"/>
    </row>
    <row r="59">
      <c r="A59" s="21" t="n"/>
      <c r="B59" s="22" t="n"/>
      <c r="C59" s="23" t="n"/>
      <c r="D59" s="22" t="n"/>
      <c r="E59" s="23" t="n"/>
      <c r="F59" s="23" t="n"/>
    </row>
    <row r="60">
      <c r="A60" s="24" t="n"/>
      <c r="B60" s="25" t="n"/>
      <c r="C60" s="26" t="n"/>
      <c r="D60" s="25" t="n"/>
      <c r="E60" s="26" t="n"/>
      <c r="F60" s="26" t="n"/>
    </row>
    <row r="61">
      <c r="A61" s="21" t="n"/>
      <c r="B61" s="22" t="n"/>
      <c r="C61" s="23" t="n"/>
      <c r="D61" s="22" t="n"/>
      <c r="E61" s="23" t="n"/>
      <c r="F61" s="23" t="n"/>
    </row>
    <row r="62">
      <c r="A62" s="24" t="n"/>
      <c r="B62" s="25" t="n"/>
      <c r="C62" s="26" t="n"/>
      <c r="D62" s="25" t="n"/>
      <c r="E62" s="26" t="n"/>
      <c r="F62" s="26" t="n"/>
    </row>
    <row r="63">
      <c r="A63" s="21" t="n"/>
      <c r="B63" s="22" t="n"/>
      <c r="C63" s="23" t="n"/>
      <c r="D63" s="22" t="n"/>
      <c r="E63" s="23" t="n"/>
      <c r="F63" s="23" t="n"/>
    </row>
    <row r="64">
      <c r="A64" s="24" t="n"/>
      <c r="B64" s="25" t="n"/>
      <c r="C64" s="26" t="n"/>
      <c r="D64" s="25" t="n"/>
      <c r="E64" s="26" t="n"/>
      <c r="F64" s="26" t="n"/>
    </row>
  </sheetData>
  <mergeCells count="2">
    <mergeCell ref="A2:F2"/>
    <mergeCell ref="A1:F1"/>
  </mergeCells>
  <conditionalFormatting sqref="F5:F64">
    <cfRule type="cellIs" priority="1" operator="equal" dxfId="0">
      <formula>"Published"</formula>
    </cfRule>
    <cfRule type="cellIs" priority="2" operator="equal" dxfId="1">
      <formula>"Scheduled"</formula>
    </cfRule>
    <cfRule type="cellIs" priority="3" operator="equal" dxfId="2">
      <formula>"Editing"</formula>
    </cfRule>
    <cfRule type="cellIs" priority="4" operator="equal" dxfId="2">
      <formula>"Recording"</formula>
    </cfRule>
    <cfRule type="cellIs" priority="5" operator="equal" dxfId="3">
      <formula>"Booked"</formula>
    </cfRule>
    <cfRule type="cellIs" priority="6" operator="equal" dxfId="3">
      <formula>"Idea"</formula>
    </cfRule>
  </conditionalFormatting>
  <dataValidations count="3">
    <dataValidation sqref="C5:C64" showDropDown="0" showInputMessage="0" showErrorMessage="0" allowBlank="1" type="list">
      <formula1>=FormatList</formula1>
    </dataValidation>
    <dataValidation sqref="E5:E64" showDropDown="0" showInputMessage="0" showErrorMessage="0" allowBlank="1" type="list">
      <formula1>=PriorityList</formula1>
    </dataValidation>
    <dataValidation sqref="F5:F6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6" customWidth="1" min="4" max="4"/>
    <col width="13" customWidth="1" min="5" max="5"/>
    <col width="24" customWidth="1" min="6" max="6"/>
  </cols>
  <sheetData>
    <row r="1" ht="46" customHeight="1">
      <c r="A1" s="1" t="inlineStr">
        <is>
          <t xml:space="preserve">  🎬  PRODUCTION PIPELINE</t>
        </is>
      </c>
    </row>
    <row r="2" ht="22" customHeight="1">
      <c r="A2" s="2" t="inlineStr">
        <is>
          <t xml:space="preserve">  Every episode, every stage — from idea to published, with live progress %.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Episode</t>
        </is>
      </c>
      <c r="B4" s="9" t="inlineStr">
        <is>
          <t>Stage</t>
        </is>
      </c>
      <c r="C4" s="9" t="inlineStr">
        <is>
          <t>Progress</t>
        </is>
      </c>
      <c r="D4" s="9" t="inlineStr">
        <is>
          <t>Owner</t>
        </is>
      </c>
      <c r="E4" s="9" t="inlineStr">
        <is>
          <t>Due</t>
        </is>
      </c>
      <c r="F4" s="9" t="inlineStr">
        <is>
          <t>Notes</t>
        </is>
      </c>
    </row>
    <row r="5">
      <c r="A5" s="22" t="inlineStr">
        <is>
          <t>Ep 44: Money mindset reset</t>
        </is>
      </c>
      <c r="B5" s="23" t="inlineStr">
        <is>
          <t>Editing</t>
        </is>
      </c>
      <c r="C5" s="27" t="n">
        <v>0.8</v>
      </c>
      <c r="D5" s="22" t="inlineStr">
        <is>
          <t>Editor — Jo</t>
        </is>
      </c>
      <c r="E5" s="21" t="n">
        <v>46216</v>
      </c>
      <c r="F5" s="22" t="inlineStr">
        <is>
          <t>Cut to 46min + chapters</t>
        </is>
      </c>
    </row>
    <row r="6">
      <c r="A6" s="25" t="inlineStr">
        <is>
          <t>Ep 45: From freelancer to agency</t>
        </is>
      </c>
      <c r="B6" s="26" t="inlineStr">
        <is>
          <t>Recording</t>
        </is>
      </c>
      <c r="C6" s="28" t="n">
        <v>0.55</v>
      </c>
      <c r="D6" s="25" t="inlineStr">
        <is>
          <t>Priya</t>
        </is>
      </c>
      <c r="E6" s="24" t="n">
        <v>46221</v>
      </c>
      <c r="F6" s="25" t="inlineStr">
        <is>
          <t>Recorded, needs edit</t>
        </is>
      </c>
    </row>
    <row r="7">
      <c r="A7" s="22" t="inlineStr">
        <is>
          <t>Ep 46: The 4-hour content week</t>
        </is>
      </c>
      <c r="B7" s="23" t="inlineStr">
        <is>
          <t>Script</t>
        </is>
      </c>
      <c r="C7" s="27" t="n">
        <v>0.4</v>
      </c>
      <c r="D7" s="22" t="inlineStr">
        <is>
          <t>Priya</t>
        </is>
      </c>
      <c r="E7" s="21" t="n">
        <v>46225</v>
      </c>
      <c r="F7" s="22" t="inlineStr">
        <is>
          <t>Solo outline drafting</t>
        </is>
      </c>
    </row>
    <row r="8">
      <c r="A8" s="25" t="inlineStr">
        <is>
          <t>Ep 47: Launch without an audience</t>
        </is>
      </c>
      <c r="B8" s="26" t="inlineStr">
        <is>
          <t>Booked</t>
        </is>
      </c>
      <c r="C8" s="28" t="n">
        <v>0.2</v>
      </c>
      <c r="D8" s="25" t="inlineStr">
        <is>
          <t>Priya</t>
        </is>
      </c>
      <c r="E8" s="24" t="n">
        <v>46228</v>
      </c>
      <c r="F8" s="25" t="inlineStr">
        <is>
          <t>Guest confirmed</t>
        </is>
      </c>
    </row>
    <row r="9">
      <c r="A9" s="22" t="inlineStr">
        <is>
          <t>Ep 48: Pricing for retainers</t>
        </is>
      </c>
      <c r="B9" s="23" t="inlineStr">
        <is>
          <t>Idea</t>
        </is>
      </c>
      <c r="C9" s="27" t="n">
        <v>0.1</v>
      </c>
      <c r="D9" s="22" t="inlineStr">
        <is>
          <t>Priya</t>
        </is>
      </c>
      <c r="E9" s="21" t="n">
        <v>46235</v>
      </c>
      <c r="F9" s="22" t="inlineStr">
        <is>
          <t>Q&amp;A — collect questions</t>
        </is>
      </c>
    </row>
    <row r="10">
      <c r="A10" s="25" t="inlineStr">
        <is>
          <t>Ep 43: Systems &gt; motivation</t>
        </is>
      </c>
      <c r="B10" s="26" t="inlineStr">
        <is>
          <t>Show notes</t>
        </is>
      </c>
      <c r="C10" s="28" t="n">
        <v>0.9</v>
      </c>
      <c r="D10" s="25" t="inlineStr">
        <is>
          <t>VA — Mia</t>
        </is>
      </c>
      <c r="E10" s="24" t="n">
        <v>46215</v>
      </c>
      <c r="F10" s="25" t="inlineStr">
        <is>
          <t>Notes + clips left</t>
        </is>
      </c>
    </row>
    <row r="11">
      <c r="A11" s="22" t="inlineStr">
        <is>
          <t>Ep 45 clips</t>
        </is>
      </c>
      <c r="B11" s="23" t="inlineStr">
        <is>
          <t>Clips</t>
        </is>
      </c>
      <c r="C11" s="27" t="n">
        <v>0.6</v>
      </c>
      <c r="D11" s="22" t="inlineStr">
        <is>
          <t>Editor — Jo</t>
        </is>
      </c>
      <c r="E11" s="21" t="n">
        <v>46217</v>
      </c>
      <c r="F11" s="22" t="inlineStr">
        <is>
          <t>3 of 6 cut</t>
        </is>
      </c>
    </row>
    <row r="12">
      <c r="A12" s="25" t="inlineStr">
        <is>
          <t>Ep 46: solo audio cleanup</t>
        </is>
      </c>
      <c r="B12" s="26" t="inlineStr">
        <is>
          <t>Editing</t>
        </is>
      </c>
      <c r="C12" s="28" t="n">
        <v>0.5</v>
      </c>
      <c r="D12" s="25" t="inlineStr">
        <is>
          <t>Editor — Jo</t>
        </is>
      </c>
      <c r="E12" s="24" t="n">
        <v>46219</v>
      </c>
      <c r="F12" s="25" t="inlineStr">
        <is>
          <t>Noise reduction</t>
        </is>
      </c>
    </row>
    <row r="13">
      <c r="A13" s="22" t="n"/>
      <c r="B13" s="23" t="n"/>
      <c r="C13" s="27" t="n"/>
      <c r="D13" s="22" t="n"/>
      <c r="E13" s="21" t="n"/>
      <c r="F13" s="22" t="n"/>
    </row>
    <row r="14">
      <c r="A14" s="25" t="n"/>
      <c r="B14" s="26" t="n"/>
      <c r="C14" s="28" t="n"/>
      <c r="D14" s="25" t="n"/>
      <c r="E14" s="24" t="n"/>
      <c r="F14" s="25" t="n"/>
    </row>
    <row r="15">
      <c r="A15" s="22" t="n"/>
      <c r="B15" s="23" t="n"/>
      <c r="C15" s="27" t="n"/>
      <c r="D15" s="22" t="n"/>
      <c r="E15" s="21" t="n"/>
      <c r="F15" s="22" t="n"/>
    </row>
    <row r="16">
      <c r="A16" s="25" t="n"/>
      <c r="B16" s="26" t="n"/>
      <c r="C16" s="28" t="n"/>
      <c r="D16" s="25" t="n"/>
      <c r="E16" s="24" t="n"/>
      <c r="F16" s="25" t="n"/>
    </row>
    <row r="17">
      <c r="A17" s="22" t="n"/>
      <c r="B17" s="23" t="n"/>
      <c r="C17" s="27" t="n"/>
      <c r="D17" s="22" t="n"/>
      <c r="E17" s="21" t="n"/>
      <c r="F17" s="22" t="n"/>
    </row>
    <row r="18">
      <c r="A18" s="25" t="n"/>
      <c r="B18" s="26" t="n"/>
      <c r="C18" s="28" t="n"/>
      <c r="D18" s="25" t="n"/>
      <c r="E18" s="24" t="n"/>
      <c r="F18" s="25" t="n"/>
    </row>
    <row r="19">
      <c r="A19" s="22" t="n"/>
      <c r="B19" s="23" t="n"/>
      <c r="C19" s="27" t="n"/>
      <c r="D19" s="22" t="n"/>
      <c r="E19" s="21" t="n"/>
      <c r="F19" s="22" t="n"/>
    </row>
    <row r="20">
      <c r="A20" s="25" t="n"/>
      <c r="B20" s="26" t="n"/>
      <c r="C20" s="28" t="n"/>
      <c r="D20" s="25" t="n"/>
      <c r="E20" s="24" t="n"/>
      <c r="F20" s="25" t="n"/>
    </row>
    <row r="21">
      <c r="A21" s="22" t="n"/>
      <c r="B21" s="23" t="n"/>
      <c r="C21" s="27" t="n"/>
      <c r="D21" s="22" t="n"/>
      <c r="E21" s="21" t="n"/>
      <c r="F21" s="22" t="n"/>
    </row>
    <row r="22">
      <c r="A22" s="25" t="n"/>
      <c r="B22" s="26" t="n"/>
      <c r="C22" s="28" t="n"/>
      <c r="D22" s="25" t="n"/>
      <c r="E22" s="24" t="n"/>
      <c r="F22" s="25" t="n"/>
    </row>
    <row r="23">
      <c r="A23" s="22" t="n"/>
      <c r="B23" s="23" t="n"/>
      <c r="C23" s="27" t="n"/>
      <c r="D23" s="22" t="n"/>
      <c r="E23" s="21" t="n"/>
      <c r="F23" s="22" t="n"/>
    </row>
    <row r="24">
      <c r="A24" s="25" t="n"/>
      <c r="B24" s="26" t="n"/>
      <c r="C24" s="28" t="n"/>
      <c r="D24" s="25" t="n"/>
      <c r="E24" s="24" t="n"/>
      <c r="F24" s="25" t="n"/>
    </row>
    <row r="25">
      <c r="A25" s="22" t="n"/>
      <c r="B25" s="23" t="n"/>
      <c r="C25" s="27" t="n"/>
      <c r="D25" s="22" t="n"/>
      <c r="E25" s="21" t="n"/>
      <c r="F25" s="22" t="n"/>
    </row>
    <row r="26">
      <c r="A26" s="25" t="n"/>
      <c r="B26" s="26" t="n"/>
      <c r="C26" s="28" t="n"/>
      <c r="D26" s="25" t="n"/>
      <c r="E26" s="24" t="n"/>
      <c r="F26" s="25" t="n"/>
    </row>
    <row r="27">
      <c r="A27" s="22" t="n"/>
      <c r="B27" s="23" t="n"/>
      <c r="C27" s="27" t="n"/>
      <c r="D27" s="22" t="n"/>
      <c r="E27" s="21" t="n"/>
      <c r="F27" s="22" t="n"/>
    </row>
    <row r="28">
      <c r="A28" s="25" t="n"/>
      <c r="B28" s="26" t="n"/>
      <c r="C28" s="28" t="n"/>
      <c r="D28" s="25" t="n"/>
      <c r="E28" s="24" t="n"/>
      <c r="F28" s="25" t="n"/>
    </row>
    <row r="29">
      <c r="A29" s="22" t="n"/>
      <c r="B29" s="23" t="n"/>
      <c r="C29" s="27" t="n"/>
      <c r="D29" s="22" t="n"/>
      <c r="E29" s="21" t="n"/>
      <c r="F29" s="22" t="n"/>
    </row>
    <row r="30">
      <c r="A30" s="25" t="n"/>
      <c r="B30" s="26" t="n"/>
      <c r="C30" s="28" t="n"/>
      <c r="D30" s="25" t="n"/>
      <c r="E30" s="24" t="n"/>
      <c r="F30" s="25" t="n"/>
    </row>
    <row r="31">
      <c r="A31" s="22" t="n"/>
      <c r="B31" s="23" t="n"/>
      <c r="C31" s="27" t="n"/>
      <c r="D31" s="22" t="n"/>
      <c r="E31" s="21" t="n"/>
      <c r="F31" s="22" t="n"/>
    </row>
    <row r="32">
      <c r="A32" s="25" t="n"/>
      <c r="B32" s="26" t="n"/>
      <c r="C32" s="28" t="n"/>
      <c r="D32" s="25" t="n"/>
      <c r="E32" s="24" t="n"/>
      <c r="F32" s="25" t="n"/>
    </row>
    <row r="33">
      <c r="A33" s="22" t="n"/>
      <c r="B33" s="23" t="n"/>
      <c r="C33" s="27" t="n"/>
      <c r="D33" s="22" t="n"/>
      <c r="E33" s="21" t="n"/>
      <c r="F33" s="22" t="n"/>
    </row>
    <row r="34">
      <c r="A34" s="25" t="n"/>
      <c r="B34" s="26" t="n"/>
      <c r="C34" s="28" t="n"/>
      <c r="D34" s="25" t="n"/>
      <c r="E34" s="24" t="n"/>
      <c r="F34" s="25" t="n"/>
    </row>
    <row r="35">
      <c r="A35" s="22" t="n"/>
      <c r="B35" s="23" t="n"/>
      <c r="C35" s="27" t="n"/>
      <c r="D35" s="22" t="n"/>
      <c r="E35" s="21" t="n"/>
      <c r="F35" s="22" t="n"/>
    </row>
    <row r="36">
      <c r="A36" s="25" t="n"/>
      <c r="B36" s="26" t="n"/>
      <c r="C36" s="28" t="n"/>
      <c r="D36" s="25" t="n"/>
      <c r="E36" s="24" t="n"/>
      <c r="F36" s="25" t="n"/>
    </row>
    <row r="37">
      <c r="A37" s="22" t="n"/>
      <c r="B37" s="23" t="n"/>
      <c r="C37" s="27" t="n"/>
      <c r="D37" s="22" t="n"/>
      <c r="E37" s="21" t="n"/>
      <c r="F37" s="22" t="n"/>
    </row>
    <row r="38">
      <c r="A38" s="25" t="n"/>
      <c r="B38" s="26" t="n"/>
      <c r="C38" s="28" t="n"/>
      <c r="D38" s="25" t="n"/>
      <c r="E38" s="24" t="n"/>
      <c r="F38" s="25" t="n"/>
    </row>
    <row r="39">
      <c r="A39" s="22" t="n"/>
      <c r="B39" s="23" t="n"/>
      <c r="C39" s="27" t="n"/>
      <c r="D39" s="22" t="n"/>
      <c r="E39" s="21" t="n"/>
      <c r="F39" s="22" t="n"/>
    </row>
    <row r="40">
      <c r="A40" s="25" t="n"/>
      <c r="B40" s="26" t="n"/>
      <c r="C40" s="28" t="n"/>
      <c r="D40" s="25" t="n"/>
      <c r="E40" s="24" t="n"/>
      <c r="F40" s="25" t="n"/>
    </row>
    <row r="41">
      <c r="A41" s="22" t="n"/>
      <c r="B41" s="23" t="n"/>
      <c r="C41" s="27" t="n"/>
      <c r="D41" s="22" t="n"/>
      <c r="E41" s="21" t="n"/>
      <c r="F41" s="22" t="n"/>
    </row>
    <row r="42">
      <c r="A42" s="25" t="n"/>
      <c r="B42" s="26" t="n"/>
      <c r="C42" s="28" t="n"/>
      <c r="D42" s="25" t="n"/>
      <c r="E42" s="24" t="n"/>
      <c r="F42" s="25" t="n"/>
    </row>
    <row r="43">
      <c r="A43" s="22" t="n"/>
      <c r="B43" s="23" t="n"/>
      <c r="C43" s="27" t="n"/>
      <c r="D43" s="22" t="n"/>
      <c r="E43" s="21" t="n"/>
      <c r="F43" s="22" t="n"/>
    </row>
    <row r="44">
      <c r="A44" s="25" t="n"/>
      <c r="B44" s="26" t="n"/>
      <c r="C44" s="28" t="n"/>
      <c r="D44" s="25" t="n"/>
      <c r="E44" s="24" t="n"/>
      <c r="F44" s="25" t="n"/>
    </row>
  </sheetData>
  <mergeCells count="2">
    <mergeCell ref="A2:F2"/>
    <mergeCell ref="A1:F1"/>
  </mergeCells>
  <conditionalFormatting sqref="C5:C44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18" customWidth="1" min="4" max="4"/>
    <col width="12" customWidth="1" min="5" max="5"/>
    <col width="12" customWidth="1" min="6" max="6"/>
  </cols>
  <sheetData>
    <row r="1" ht="46" customHeight="1">
      <c r="A1" s="1" t="inlineStr">
        <is>
          <t xml:space="preserve">  💡  EPISODE PLANNER</t>
        </is>
      </c>
    </row>
    <row r="2" ht="22" customHeight="1">
      <c r="A2" s="2" t="inlineStr">
        <is>
          <t xml:space="preserve">  Never run dry — bank episode ideas &amp; angles, ranked by an interest score.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Working Title</t>
        </is>
      </c>
      <c r="B4" s="9" t="inlineStr">
        <is>
          <t>Format</t>
        </is>
      </c>
      <c r="C4" s="9" t="inlineStr">
        <is>
          <t>Angle / Promise</t>
        </is>
      </c>
      <c r="D4" s="9" t="inlineStr">
        <is>
          <t>Keywords</t>
        </is>
      </c>
      <c r="E4" s="9" t="inlineStr">
        <is>
          <t>Interest</t>
        </is>
      </c>
      <c r="F4" s="9" t="inlineStr">
        <is>
          <t>Status</t>
        </is>
      </c>
    </row>
    <row r="5">
      <c r="A5" s="29" t="inlineStr">
        <is>
          <t>The creator middle class</t>
        </is>
      </c>
      <c r="B5" s="30" t="inlineStr">
        <is>
          <t>Panel</t>
        </is>
      </c>
      <c r="C5" s="29" t="inlineStr">
        <is>
          <t>Is a stable creator income real?</t>
        </is>
      </c>
      <c r="D5" s="29" t="inlineStr">
        <is>
          <t>Money · Creators</t>
        </is>
      </c>
      <c r="E5" s="31" t="n">
        <v>5</v>
      </c>
      <c r="F5" s="30" t="inlineStr">
        <is>
          <t>Planned</t>
        </is>
      </c>
    </row>
    <row r="6">
      <c r="A6" s="25" t="inlineStr">
        <is>
          <t>Selling without being cringe</t>
        </is>
      </c>
      <c r="B6" s="26" t="inlineStr">
        <is>
          <t>Solo</t>
        </is>
      </c>
      <c r="C6" s="25" t="inlineStr">
        <is>
          <t>Ethical selling frameworks</t>
        </is>
      </c>
      <c r="D6" s="25" t="inlineStr">
        <is>
          <t>Sales · Mindset</t>
        </is>
      </c>
      <c r="E6" s="32" t="n">
        <v>4</v>
      </c>
      <c r="F6" s="26" t="inlineStr">
        <is>
          <t>Idea</t>
        </is>
      </c>
    </row>
    <row r="7">
      <c r="A7" s="29" t="inlineStr">
        <is>
          <t>Your email list is your business</t>
        </is>
      </c>
      <c r="B7" s="30" t="inlineStr">
        <is>
          <t>Interview</t>
        </is>
      </c>
      <c r="C7" s="29" t="inlineStr">
        <is>
          <t>Newsletter growth tactics</t>
        </is>
      </c>
      <c r="D7" s="29" t="inlineStr">
        <is>
          <t>Email · Growth</t>
        </is>
      </c>
      <c r="E7" s="31" t="n">
        <v>5</v>
      </c>
      <c r="F7" s="30" t="inlineStr">
        <is>
          <t>Booked</t>
        </is>
      </c>
    </row>
    <row r="8">
      <c r="A8" s="25" t="inlineStr">
        <is>
          <t>The anti-hustle roadmap</t>
        </is>
      </c>
      <c r="B8" s="26" t="inlineStr">
        <is>
          <t>Solo</t>
        </is>
      </c>
      <c r="C8" s="25" t="inlineStr">
        <is>
          <t>Sustainable pace + systems</t>
        </is>
      </c>
      <c r="D8" s="25" t="inlineStr">
        <is>
          <t>Productivity</t>
        </is>
      </c>
      <c r="E8" s="32" t="n">
        <v>4</v>
      </c>
      <c r="F8" s="26" t="inlineStr">
        <is>
          <t>Idea</t>
        </is>
      </c>
    </row>
    <row r="9">
      <c r="A9" s="29" t="inlineStr">
        <is>
          <t>Raising your rates (a playbook)</t>
        </is>
      </c>
      <c r="B9" s="30" t="inlineStr">
        <is>
          <t>Q&amp;A</t>
        </is>
      </c>
      <c r="C9" s="29" t="inlineStr">
        <is>
          <t>Scripts for the awkward talk</t>
        </is>
      </c>
      <c r="D9" s="29" t="inlineStr">
        <is>
          <t>Pricing</t>
        </is>
      </c>
      <c r="E9" s="31" t="n">
        <v>5</v>
      </c>
      <c r="F9" s="30" t="inlineStr">
        <is>
          <t>Planned</t>
        </is>
      </c>
    </row>
    <row r="10">
      <c r="A10" s="25" t="inlineStr">
        <is>
          <t>What I'd do with 0 followers</t>
        </is>
      </c>
      <c r="B10" s="26" t="inlineStr">
        <is>
          <t>Solo</t>
        </is>
      </c>
      <c r="C10" s="25" t="inlineStr">
        <is>
          <t>Cold-start growth</t>
        </is>
      </c>
      <c r="D10" s="25" t="inlineStr">
        <is>
          <t>Growth</t>
        </is>
      </c>
      <c r="E10" s="32" t="n">
        <v>4</v>
      </c>
      <c r="F10" s="26" t="inlineStr">
        <is>
          <t>Idea</t>
        </is>
      </c>
    </row>
    <row r="11">
      <c r="A11" s="29" t="inlineStr">
        <is>
          <t>Building a tiny team</t>
        </is>
      </c>
      <c r="B11" s="30" t="inlineStr">
        <is>
          <t>Interview</t>
        </is>
      </c>
      <c r="C11" s="29" t="inlineStr">
        <is>
          <t>First hires &amp; delegation</t>
        </is>
      </c>
      <c r="D11" s="29" t="inlineStr">
        <is>
          <t>Ops</t>
        </is>
      </c>
      <c r="E11" s="31" t="n">
        <v>4</v>
      </c>
      <c r="F11" s="30" t="inlineStr">
        <is>
          <t>Booked</t>
        </is>
      </c>
    </row>
    <row r="12">
      <c r="A12" s="25" t="inlineStr">
        <is>
          <t>The one-person media company</t>
        </is>
      </c>
      <c r="B12" s="26" t="inlineStr">
        <is>
          <t>Interview</t>
        </is>
      </c>
      <c r="C12" s="25" t="inlineStr">
        <is>
          <t>Repurposing at scale</t>
        </is>
      </c>
      <c r="D12" s="25" t="inlineStr">
        <is>
          <t>Content</t>
        </is>
      </c>
      <c r="E12" s="32" t="n">
        <v>5</v>
      </c>
      <c r="F12" s="26" t="inlineStr">
        <is>
          <t>Idea</t>
        </is>
      </c>
    </row>
    <row r="13">
      <c r="A13" s="22" t="n"/>
      <c r="B13" s="23" t="n"/>
      <c r="C13" s="22" t="n"/>
      <c r="D13" s="22" t="n"/>
      <c r="E13" s="23" t="n"/>
      <c r="F13" s="23" t="n"/>
    </row>
    <row r="14">
      <c r="A14" s="25" t="n"/>
      <c r="B14" s="26" t="n"/>
      <c r="C14" s="25" t="n"/>
      <c r="D14" s="25" t="n"/>
      <c r="E14" s="26" t="n"/>
      <c r="F14" s="26" t="n"/>
    </row>
    <row r="15">
      <c r="A15" s="22" t="n"/>
      <c r="B15" s="23" t="n"/>
      <c r="C15" s="22" t="n"/>
      <c r="D15" s="22" t="n"/>
      <c r="E15" s="23" t="n"/>
      <c r="F15" s="23" t="n"/>
    </row>
    <row r="16">
      <c r="A16" s="25" t="n"/>
      <c r="B16" s="26" t="n"/>
      <c r="C16" s="25" t="n"/>
      <c r="D16" s="25" t="n"/>
      <c r="E16" s="26" t="n"/>
      <c r="F16" s="26" t="n"/>
    </row>
    <row r="17">
      <c r="A17" s="22" t="n"/>
      <c r="B17" s="23" t="n"/>
      <c r="C17" s="22" t="n"/>
      <c r="D17" s="22" t="n"/>
      <c r="E17" s="23" t="n"/>
      <c r="F17" s="23" t="n"/>
    </row>
    <row r="18">
      <c r="A18" s="25" t="n"/>
      <c r="B18" s="26" t="n"/>
      <c r="C18" s="25" t="n"/>
      <c r="D18" s="25" t="n"/>
      <c r="E18" s="26" t="n"/>
      <c r="F18" s="26" t="n"/>
    </row>
    <row r="19">
      <c r="A19" s="22" t="n"/>
      <c r="B19" s="23" t="n"/>
      <c r="C19" s="22" t="n"/>
      <c r="D19" s="22" t="n"/>
      <c r="E19" s="23" t="n"/>
      <c r="F19" s="23" t="n"/>
    </row>
    <row r="20">
      <c r="A20" s="25" t="n"/>
      <c r="B20" s="26" t="n"/>
      <c r="C20" s="25" t="n"/>
      <c r="D20" s="25" t="n"/>
      <c r="E20" s="26" t="n"/>
      <c r="F20" s="26" t="n"/>
    </row>
    <row r="21">
      <c r="A21" s="22" t="n"/>
      <c r="B21" s="23" t="n"/>
      <c r="C21" s="22" t="n"/>
      <c r="D21" s="22" t="n"/>
      <c r="E21" s="23" t="n"/>
      <c r="F21" s="23" t="n"/>
    </row>
    <row r="22">
      <c r="A22" s="25" t="n"/>
      <c r="B22" s="26" t="n"/>
      <c r="C22" s="25" t="n"/>
      <c r="D22" s="25" t="n"/>
      <c r="E22" s="26" t="n"/>
      <c r="F22" s="26" t="n"/>
    </row>
    <row r="23">
      <c r="A23" s="22" t="n"/>
      <c r="B23" s="23" t="n"/>
      <c r="C23" s="22" t="n"/>
      <c r="D23" s="22" t="n"/>
      <c r="E23" s="23" t="n"/>
      <c r="F23" s="23" t="n"/>
    </row>
    <row r="24">
      <c r="A24" s="25" t="n"/>
      <c r="B24" s="26" t="n"/>
      <c r="C24" s="25" t="n"/>
      <c r="D24" s="25" t="n"/>
      <c r="E24" s="26" t="n"/>
      <c r="F24" s="26" t="n"/>
    </row>
    <row r="25">
      <c r="A25" s="22" t="n"/>
      <c r="B25" s="23" t="n"/>
      <c r="C25" s="22" t="n"/>
      <c r="D25" s="22" t="n"/>
      <c r="E25" s="23" t="n"/>
      <c r="F25" s="23" t="n"/>
    </row>
    <row r="26">
      <c r="A26" s="25" t="n"/>
      <c r="B26" s="26" t="n"/>
      <c r="C26" s="25" t="n"/>
      <c r="D26" s="25" t="n"/>
      <c r="E26" s="26" t="n"/>
      <c r="F26" s="26" t="n"/>
    </row>
    <row r="27">
      <c r="A27" s="22" t="n"/>
      <c r="B27" s="23" t="n"/>
      <c r="C27" s="22" t="n"/>
      <c r="D27" s="22" t="n"/>
      <c r="E27" s="23" t="n"/>
      <c r="F27" s="23" t="n"/>
    </row>
    <row r="28">
      <c r="A28" s="25" t="n"/>
      <c r="B28" s="26" t="n"/>
      <c r="C28" s="25" t="n"/>
      <c r="D28" s="25" t="n"/>
      <c r="E28" s="26" t="n"/>
      <c r="F28" s="26" t="n"/>
    </row>
    <row r="29">
      <c r="A29" s="22" t="n"/>
      <c r="B29" s="23" t="n"/>
      <c r="C29" s="22" t="n"/>
      <c r="D29" s="22" t="n"/>
      <c r="E29" s="23" t="n"/>
      <c r="F29" s="23" t="n"/>
    </row>
    <row r="30">
      <c r="A30" s="25" t="n"/>
      <c r="B30" s="26" t="n"/>
      <c r="C30" s="25" t="n"/>
      <c r="D30" s="25" t="n"/>
      <c r="E30" s="26" t="n"/>
      <c r="F30" s="26" t="n"/>
    </row>
    <row r="31">
      <c r="A31" s="22" t="n"/>
      <c r="B31" s="23" t="n"/>
      <c r="C31" s="22" t="n"/>
      <c r="D31" s="22" t="n"/>
      <c r="E31" s="23" t="n"/>
      <c r="F31" s="23" t="n"/>
    </row>
    <row r="32">
      <c r="A32" s="25" t="n"/>
      <c r="B32" s="26" t="n"/>
      <c r="C32" s="25" t="n"/>
      <c r="D32" s="25" t="n"/>
      <c r="E32" s="26" t="n"/>
      <c r="F32" s="26" t="n"/>
    </row>
    <row r="33">
      <c r="A33" s="22" t="n"/>
      <c r="B33" s="23" t="n"/>
      <c r="C33" s="22" t="n"/>
      <c r="D33" s="22" t="n"/>
      <c r="E33" s="23" t="n"/>
      <c r="F33" s="23" t="n"/>
    </row>
    <row r="34">
      <c r="A34" s="25" t="n"/>
      <c r="B34" s="26" t="n"/>
      <c r="C34" s="25" t="n"/>
      <c r="D34" s="25" t="n"/>
      <c r="E34" s="26" t="n"/>
      <c r="F34" s="26" t="n"/>
    </row>
    <row r="35">
      <c r="A35" s="22" t="n"/>
      <c r="B35" s="23" t="n"/>
      <c r="C35" s="22" t="n"/>
      <c r="D35" s="22" t="n"/>
      <c r="E35" s="23" t="n"/>
      <c r="F35" s="23" t="n"/>
    </row>
    <row r="36">
      <c r="A36" s="25" t="n"/>
      <c r="B36" s="26" t="n"/>
      <c r="C36" s="25" t="n"/>
      <c r="D36" s="25" t="n"/>
      <c r="E36" s="26" t="n"/>
      <c r="F36" s="26" t="n"/>
    </row>
    <row r="37">
      <c r="A37" s="22" t="n"/>
      <c r="B37" s="23" t="n"/>
      <c r="C37" s="22" t="n"/>
      <c r="D37" s="22" t="n"/>
      <c r="E37" s="23" t="n"/>
      <c r="F37" s="23" t="n"/>
    </row>
    <row r="38">
      <c r="A38" s="25" t="n"/>
      <c r="B38" s="26" t="n"/>
      <c r="C38" s="25" t="n"/>
      <c r="D38" s="25" t="n"/>
      <c r="E38" s="26" t="n"/>
      <c r="F38" s="26" t="n"/>
    </row>
    <row r="39">
      <c r="A39" s="22" t="n"/>
      <c r="B39" s="23" t="n"/>
      <c r="C39" s="22" t="n"/>
      <c r="D39" s="22" t="n"/>
      <c r="E39" s="23" t="n"/>
      <c r="F39" s="23" t="n"/>
    </row>
    <row r="40">
      <c r="A40" s="25" t="n"/>
      <c r="B40" s="26" t="n"/>
      <c r="C40" s="25" t="n"/>
      <c r="D40" s="25" t="n"/>
      <c r="E40" s="26" t="n"/>
      <c r="F40" s="26" t="n"/>
    </row>
    <row r="41">
      <c r="A41" s="22" t="n"/>
      <c r="B41" s="23" t="n"/>
      <c r="C41" s="22" t="n"/>
      <c r="D41" s="22" t="n"/>
      <c r="E41" s="23" t="n"/>
      <c r="F41" s="23" t="n"/>
    </row>
    <row r="42">
      <c r="A42" s="25" t="n"/>
      <c r="B42" s="26" t="n"/>
      <c r="C42" s="25" t="n"/>
      <c r="D42" s="25" t="n"/>
      <c r="E42" s="26" t="n"/>
      <c r="F42" s="26" t="n"/>
    </row>
  </sheetData>
  <mergeCells count="2">
    <mergeCell ref="A2:F2"/>
    <mergeCell ref="A1:F1"/>
  </mergeCells>
  <conditionalFormatting sqref="E5:E12">
    <cfRule type="colorScale" priority="1">
      <colorScale>
        <cfvo type="num" val="1"/>
        <cfvo type="num" val="5"/>
        <color rgb="FFFBF0E2"/>
        <color rgb="FF75E6C1"/>
      </colorScale>
    </cfRule>
  </conditionalFormatting>
  <dataValidations count="2">
    <dataValidation sqref="B5:B42" showDropDown="0" showInputMessage="0" showErrorMessage="0" allowBlank="1" type="list">
      <formula1>=FormatList</formula1>
    </dataValidation>
    <dataValidation sqref="F5:F42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3" customWidth="1" min="5" max="5"/>
    <col width="14" customWidth="1" min="6" max="6"/>
    <col width="24" customWidth="1" min="7" max="7"/>
  </cols>
  <sheetData>
    <row r="1" ht="46" customHeight="1">
      <c r="A1" s="1" t="inlineStr">
        <is>
          <t xml:space="preserve">  🤝  GUEST CRM</t>
        </is>
      </c>
    </row>
    <row r="2" ht="22" customHeight="1">
      <c r="A2" s="2" t="inlineStr">
        <is>
          <t xml:space="preserve">  Book better guests — outreach status, reach &amp; the pipeline from idea to published.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Guest</t>
        </is>
      </c>
      <c r="B4" s="9" t="inlineStr">
        <is>
          <t>Who They Are</t>
        </is>
      </c>
      <c r="C4" s="9" t="inlineStr">
        <is>
          <t>Status</t>
        </is>
      </c>
      <c r="D4" s="9" t="inlineStr">
        <is>
          <t>Handle</t>
        </is>
      </c>
      <c r="E4" s="9" t="inlineStr">
        <is>
          <t>Their Reach</t>
        </is>
      </c>
      <c r="F4" s="9" t="inlineStr">
        <is>
          <t>Record Date</t>
        </is>
      </c>
      <c r="G4" s="9" t="inlineStr">
        <is>
          <t>Notes</t>
        </is>
      </c>
    </row>
    <row r="5">
      <c r="A5" s="23" t="inlineStr">
        <is>
          <t>Dana Kim</t>
        </is>
      </c>
      <c r="B5" s="22" t="inlineStr">
        <is>
          <t>Pricing coach</t>
        </is>
      </c>
      <c r="C5" s="23" t="inlineStr">
        <is>
          <t>Booked</t>
        </is>
      </c>
      <c r="D5" s="22" t="inlineStr">
        <is>
          <t>@danakim</t>
        </is>
      </c>
      <c r="E5" s="33" t="n">
        <v>84000</v>
      </c>
      <c r="F5" s="23" t="n">
        <v>46220</v>
      </c>
      <c r="G5" s="22" t="inlineStr">
        <is>
          <t>Warm intro from Marco</t>
        </is>
      </c>
    </row>
    <row r="6">
      <c r="A6" s="26" t="inlineStr">
        <is>
          <t>Marco Ellis</t>
        </is>
      </c>
      <c r="B6" s="25" t="inlineStr">
        <is>
          <t>Build-in-public founder</t>
        </is>
      </c>
      <c r="C6" s="26" t="inlineStr">
        <is>
          <t>Recorded</t>
        </is>
      </c>
      <c r="D6" s="25" t="inlineStr">
        <is>
          <t>@marcoe</t>
        </is>
      </c>
      <c r="E6" s="34" t="n">
        <v>210000</v>
      </c>
      <c r="F6" s="26" t="n">
        <v>46205</v>
      </c>
      <c r="G6" s="25" t="inlineStr">
        <is>
          <t>Great story, big reach</t>
        </is>
      </c>
    </row>
    <row r="7">
      <c r="A7" s="23" t="inlineStr">
        <is>
          <t>Dr. Lena Ross</t>
        </is>
      </c>
      <c r="B7" s="22" t="inlineStr">
        <is>
          <t>Burnout researcher</t>
        </is>
      </c>
      <c r="C7" s="23" t="inlineStr">
        <is>
          <t>Published</t>
        </is>
      </c>
      <c r="D7" s="22" t="inlineStr">
        <is>
          <t>@drlena</t>
        </is>
      </c>
      <c r="E7" s="33" t="n">
        <v>45000</v>
      </c>
      <c r="F7" s="23" t="n">
        <v>46198</v>
      </c>
      <c r="G7" s="22" t="inlineStr">
        <is>
          <t>Evergreen topic</t>
        </is>
      </c>
    </row>
    <row r="8">
      <c r="A8" s="26" t="inlineStr">
        <is>
          <t>Ivy Chen</t>
        </is>
      </c>
      <c r="B8" s="25" t="inlineStr">
        <is>
          <t>6-figure freelancer</t>
        </is>
      </c>
      <c r="C8" s="26" t="inlineStr">
        <is>
          <t>Invited</t>
        </is>
      </c>
      <c r="D8" s="25" t="inlineStr">
        <is>
          <t>@ivychen</t>
        </is>
      </c>
      <c r="E8" s="34" t="n">
        <v>62000</v>
      </c>
      <c r="F8" s="26" t="inlineStr">
        <is>
          <t>—</t>
        </is>
      </c>
      <c r="G8" s="25" t="inlineStr">
        <is>
          <t>Waiting on reply</t>
        </is>
      </c>
    </row>
    <row r="9">
      <c r="A9" s="23" t="inlineStr">
        <is>
          <t>Owen Blake</t>
        </is>
      </c>
      <c r="B9" s="22" t="inlineStr">
        <is>
          <t>Niche strategist</t>
        </is>
      </c>
      <c r="C9" s="23" t="inlineStr">
        <is>
          <t>Booked</t>
        </is>
      </c>
      <c r="D9" s="22" t="inlineStr">
        <is>
          <t>@owenb</t>
        </is>
      </c>
      <c r="E9" s="33" t="n">
        <v>38000</v>
      </c>
      <c r="F9" s="23" t="n">
        <v>46234</v>
      </c>
      <c r="G9" s="22" t="inlineStr">
        <is>
          <t>Confirmed for Ep 47</t>
        </is>
      </c>
    </row>
    <row r="10">
      <c r="A10" s="26" t="inlineStr">
        <is>
          <t>Sam Park</t>
        </is>
      </c>
      <c r="B10" s="25" t="inlineStr">
        <is>
          <t>Systems consultant</t>
        </is>
      </c>
      <c r="C10" s="26" t="inlineStr">
        <is>
          <t>Idea</t>
        </is>
      </c>
      <c r="D10" s="25" t="inlineStr">
        <is>
          <t>@sampark</t>
        </is>
      </c>
      <c r="E10" s="34" t="n">
        <v>120000</v>
      </c>
      <c r="F10" s="26" t="inlineStr">
        <is>
          <t>—</t>
        </is>
      </c>
      <c r="G10" s="25" t="inlineStr">
        <is>
          <t>Reach out via mutual</t>
        </is>
      </c>
    </row>
    <row r="11">
      <c r="A11" s="23" t="inlineStr">
        <is>
          <t>Priya S.</t>
        </is>
      </c>
      <c r="B11" s="22" t="inlineStr">
        <is>
          <t>Launch expert</t>
        </is>
      </c>
      <c r="C11" s="23" t="inlineStr">
        <is>
          <t>Booked</t>
        </is>
      </c>
      <c r="D11" s="22" t="inlineStr">
        <is>
          <t>@priyas</t>
        </is>
      </c>
      <c r="E11" s="33" t="n">
        <v>156000</v>
      </c>
      <c r="F11" s="23" t="n">
        <v>46227</v>
      </c>
      <c r="G11" s="22" t="inlineStr">
        <is>
          <t>Cross-promo potential</t>
        </is>
      </c>
    </row>
    <row r="12">
      <c r="A12" s="26" t="inlineStr">
        <is>
          <t>Chris N.</t>
        </is>
      </c>
      <c r="B12" s="25" t="inlineStr">
        <is>
          <t>Agency owner</t>
        </is>
      </c>
      <c r="C12" s="26" t="inlineStr">
        <is>
          <t>Idea</t>
        </is>
      </c>
      <c r="D12" s="25" t="inlineStr">
        <is>
          <t>@chrisn</t>
        </is>
      </c>
      <c r="E12" s="34" t="n">
        <v>74000</v>
      </c>
      <c r="F12" s="26" t="inlineStr">
        <is>
          <t>—</t>
        </is>
      </c>
      <c r="G12" s="25" t="inlineStr">
        <is>
          <t>Ep 45 topic fit</t>
        </is>
      </c>
    </row>
    <row r="13">
      <c r="A13" s="23" t="n"/>
      <c r="B13" s="22" t="n"/>
      <c r="C13" s="23" t="n"/>
      <c r="D13" s="22" t="n"/>
      <c r="E13" s="33" t="n"/>
      <c r="F13" s="23" t="n"/>
      <c r="G13" s="22" t="n"/>
    </row>
    <row r="14">
      <c r="A14" s="26" t="n"/>
      <c r="B14" s="25" t="n"/>
      <c r="C14" s="26" t="n"/>
      <c r="D14" s="25" t="n"/>
      <c r="E14" s="34" t="n"/>
      <c r="F14" s="26" t="n"/>
      <c r="G14" s="25" t="n"/>
    </row>
    <row r="15">
      <c r="A15" s="23" t="n"/>
      <c r="B15" s="22" t="n"/>
      <c r="C15" s="23" t="n"/>
      <c r="D15" s="22" t="n"/>
      <c r="E15" s="33" t="n"/>
      <c r="F15" s="23" t="n"/>
      <c r="G15" s="22" t="n"/>
    </row>
    <row r="16">
      <c r="A16" s="26" t="n"/>
      <c r="B16" s="25" t="n"/>
      <c r="C16" s="26" t="n"/>
      <c r="D16" s="25" t="n"/>
      <c r="E16" s="34" t="n"/>
      <c r="F16" s="26" t="n"/>
      <c r="G16" s="25" t="n"/>
    </row>
    <row r="17">
      <c r="A17" s="23" t="n"/>
      <c r="B17" s="22" t="n"/>
      <c r="C17" s="23" t="n"/>
      <c r="D17" s="22" t="n"/>
      <c r="E17" s="33" t="n"/>
      <c r="F17" s="23" t="n"/>
      <c r="G17" s="22" t="n"/>
    </row>
    <row r="18">
      <c r="A18" s="26" t="n"/>
      <c r="B18" s="25" t="n"/>
      <c r="C18" s="26" t="n"/>
      <c r="D18" s="25" t="n"/>
      <c r="E18" s="34" t="n"/>
      <c r="F18" s="26" t="n"/>
      <c r="G18" s="25" t="n"/>
    </row>
    <row r="19">
      <c r="A19" s="23" t="n"/>
      <c r="B19" s="22" t="n"/>
      <c r="C19" s="23" t="n"/>
      <c r="D19" s="22" t="n"/>
      <c r="E19" s="33" t="n"/>
      <c r="F19" s="23" t="n"/>
      <c r="G19" s="22" t="n"/>
    </row>
    <row r="20">
      <c r="A20" s="26" t="n"/>
      <c r="B20" s="25" t="n"/>
      <c r="C20" s="26" t="n"/>
      <c r="D20" s="25" t="n"/>
      <c r="E20" s="34" t="n"/>
      <c r="F20" s="26" t="n"/>
      <c r="G20" s="25" t="n"/>
    </row>
    <row r="21">
      <c r="A21" s="23" t="n"/>
      <c r="B21" s="22" t="n"/>
      <c r="C21" s="23" t="n"/>
      <c r="D21" s="22" t="n"/>
      <c r="E21" s="33" t="n"/>
      <c r="F21" s="23" t="n"/>
      <c r="G21" s="22" t="n"/>
    </row>
    <row r="22">
      <c r="A22" s="26" t="n"/>
      <c r="B22" s="25" t="n"/>
      <c r="C22" s="26" t="n"/>
      <c r="D22" s="25" t="n"/>
      <c r="E22" s="34" t="n"/>
      <c r="F22" s="26" t="n"/>
      <c r="G22" s="25" t="n"/>
    </row>
    <row r="23">
      <c r="A23" s="23" t="n"/>
      <c r="B23" s="22" t="n"/>
      <c r="C23" s="23" t="n"/>
      <c r="D23" s="22" t="n"/>
      <c r="E23" s="33" t="n"/>
      <c r="F23" s="23" t="n"/>
      <c r="G23" s="22" t="n"/>
    </row>
    <row r="24">
      <c r="A24" s="26" t="n"/>
      <c r="B24" s="25" t="n"/>
      <c r="C24" s="26" t="n"/>
      <c r="D24" s="25" t="n"/>
      <c r="E24" s="34" t="n"/>
      <c r="F24" s="26" t="n"/>
      <c r="G24" s="25" t="n"/>
    </row>
    <row r="25">
      <c r="A25" s="23" t="n"/>
      <c r="B25" s="22" t="n"/>
      <c r="C25" s="23" t="n"/>
      <c r="D25" s="22" t="n"/>
      <c r="E25" s="33" t="n"/>
      <c r="F25" s="23" t="n"/>
      <c r="G25" s="22" t="n"/>
    </row>
    <row r="26">
      <c r="A26" s="26" t="n"/>
      <c r="B26" s="25" t="n"/>
      <c r="C26" s="26" t="n"/>
      <c r="D26" s="25" t="n"/>
      <c r="E26" s="34" t="n"/>
      <c r="F26" s="26" t="n"/>
      <c r="G26" s="25" t="n"/>
    </row>
    <row r="27">
      <c r="A27" s="23" t="n"/>
      <c r="B27" s="22" t="n"/>
      <c r="C27" s="23" t="n"/>
      <c r="D27" s="22" t="n"/>
      <c r="E27" s="33" t="n"/>
      <c r="F27" s="23" t="n"/>
      <c r="G27" s="22" t="n"/>
    </row>
    <row r="28">
      <c r="A28" s="26" t="n"/>
      <c r="B28" s="25" t="n"/>
      <c r="C28" s="26" t="n"/>
      <c r="D28" s="25" t="n"/>
      <c r="E28" s="34" t="n"/>
      <c r="F28" s="26" t="n"/>
      <c r="G28" s="25" t="n"/>
    </row>
    <row r="29">
      <c r="A29" s="23" t="n"/>
      <c r="B29" s="22" t="n"/>
      <c r="C29" s="23" t="n"/>
      <c r="D29" s="22" t="n"/>
      <c r="E29" s="33" t="n"/>
      <c r="F29" s="23" t="n"/>
      <c r="G29" s="22" t="n"/>
    </row>
    <row r="30">
      <c r="A30" s="26" t="n"/>
      <c r="B30" s="25" t="n"/>
      <c r="C30" s="26" t="n"/>
      <c r="D30" s="25" t="n"/>
      <c r="E30" s="34" t="n"/>
      <c r="F30" s="26" t="n"/>
      <c r="G30" s="25" t="n"/>
    </row>
    <row r="31">
      <c r="A31" s="23" t="n"/>
      <c r="B31" s="22" t="n"/>
      <c r="C31" s="23" t="n"/>
      <c r="D31" s="22" t="n"/>
      <c r="E31" s="33" t="n"/>
      <c r="F31" s="23" t="n"/>
      <c r="G31" s="22" t="n"/>
    </row>
    <row r="32">
      <c r="A32" s="26" t="n"/>
      <c r="B32" s="25" t="n"/>
      <c r="C32" s="26" t="n"/>
      <c r="D32" s="25" t="n"/>
      <c r="E32" s="34" t="n"/>
      <c r="F32" s="26" t="n"/>
      <c r="G32" s="25" t="n"/>
    </row>
    <row r="33">
      <c r="A33" s="23" t="n"/>
      <c r="B33" s="22" t="n"/>
      <c r="C33" s="23" t="n"/>
      <c r="D33" s="22" t="n"/>
      <c r="E33" s="33" t="n"/>
      <c r="F33" s="23" t="n"/>
      <c r="G33" s="22" t="n"/>
    </row>
    <row r="34">
      <c r="A34" s="26" t="n"/>
      <c r="B34" s="25" t="n"/>
      <c r="C34" s="26" t="n"/>
      <c r="D34" s="25" t="n"/>
      <c r="E34" s="34" t="n"/>
      <c r="F34" s="26" t="n"/>
      <c r="G34" s="25" t="n"/>
    </row>
  </sheetData>
  <mergeCells count="2">
    <mergeCell ref="A2:G2"/>
    <mergeCell ref="A1:G1"/>
  </mergeCells>
  <conditionalFormatting sqref="C5:C34">
    <cfRule type="cellIs" priority="1" operator="equal" dxfId="0">
      <formula>"Published"</formula>
    </cfRule>
    <cfRule type="cellIs" priority="2" operator="equal" dxfId="1">
      <formula>"Recorded"</formula>
    </cfRule>
    <cfRule type="cellIs" priority="3" operator="equal" dxfId="2">
      <formula>"Booked"</formula>
    </cfRule>
    <cfRule type="cellIs" priority="4" operator="equal" dxfId="3">
      <formula>"Invited"</formula>
    </cfRule>
  </conditionalFormatting>
  <dataValidations count="1">
    <dataValidation sqref="C5:C34" showDropDown="0" showInputMessage="0" showErrorMessage="0" allowBlank="1" type="list">
      <formula1>=GuestStatusList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3" customWidth="1" min="4" max="4"/>
    <col width="9" customWidth="1" min="5" max="5"/>
    <col width="12" customWidth="1" min="6" max="6"/>
    <col width="24" customWidth="1" min="7" max="7"/>
  </cols>
  <sheetData>
    <row r="1" ht="46" customHeight="1">
      <c r="A1" s="1" t="inlineStr">
        <is>
          <t xml:space="preserve">  🎚  RECORDING LOG</t>
        </is>
      </c>
    </row>
    <row r="2" ht="22" customHeight="1">
      <c r="A2" s="2" t="inlineStr">
        <is>
          <t xml:space="preserve">  Every session tracked — platform, length, quality &amp; notes so nothing gets lost.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Date</t>
        </is>
      </c>
      <c r="B4" s="9" t="inlineStr">
        <is>
          <t>Episode</t>
        </is>
      </c>
      <c r="C4" s="9" t="inlineStr">
        <is>
          <t>Guest</t>
        </is>
      </c>
      <c r="D4" s="9" t="inlineStr">
        <is>
          <t>Platform</t>
        </is>
      </c>
      <c r="E4" s="9" t="inlineStr">
        <is>
          <t>Mins</t>
        </is>
      </c>
      <c r="F4" s="9" t="inlineStr">
        <is>
          <t>Quality</t>
        </is>
      </c>
      <c r="G4" s="9" t="inlineStr">
        <is>
          <t>Notes</t>
        </is>
      </c>
    </row>
    <row r="5">
      <c r="A5" s="21" t="n">
        <v>46205</v>
      </c>
      <c r="B5" s="22" t="inlineStr">
        <is>
          <t>Ep 42: Building in public</t>
        </is>
      </c>
      <c r="C5" s="22" t="inlineStr">
        <is>
          <t>Marco Ellis</t>
        </is>
      </c>
      <c r="D5" s="23" t="inlineStr">
        <is>
          <t>Riverside</t>
        </is>
      </c>
      <c r="E5" s="33" t="n">
        <v>62</v>
      </c>
      <c r="F5" s="23" t="inlineStr">
        <is>
          <t>Great</t>
        </is>
      </c>
      <c r="G5" s="22" t="inlineStr">
        <is>
          <t>Backup on SD too</t>
        </is>
      </c>
    </row>
    <row r="6">
      <c r="A6" s="24" t="n">
        <v>46198</v>
      </c>
      <c r="B6" s="25" t="inlineStr">
        <is>
          <t>Ep 41: The burnout trap</t>
        </is>
      </c>
      <c r="C6" s="25" t="inlineStr">
        <is>
          <t>Dr. Lena Ross</t>
        </is>
      </c>
      <c r="D6" s="26" t="inlineStr">
        <is>
          <t>Riverside</t>
        </is>
      </c>
      <c r="E6" s="34" t="n">
        <v>54</v>
      </c>
      <c r="F6" s="26" t="inlineStr">
        <is>
          <t>Great</t>
        </is>
      </c>
      <c r="G6" s="25" t="inlineStr">
        <is>
          <t>Levels perfect</t>
        </is>
      </c>
    </row>
    <row r="7">
      <c r="A7" s="21" t="n">
        <v>46212</v>
      </c>
      <c r="B7" s="22" t="inlineStr">
        <is>
          <t>Ep 44: Money mindset reset</t>
        </is>
      </c>
      <c r="C7" s="22" t="inlineStr">
        <is>
          <t>Nora B.</t>
        </is>
      </c>
      <c r="D7" s="23" t="inlineStr">
        <is>
          <t>Riverside</t>
        </is>
      </c>
      <c r="E7" s="33" t="n">
        <v>58</v>
      </c>
      <c r="F7" s="23" t="inlineStr">
        <is>
          <t>Good</t>
        </is>
      </c>
      <c r="G7" s="22" t="inlineStr">
        <is>
          <t>Minor room echo — fixed</t>
        </is>
      </c>
    </row>
    <row r="8">
      <c r="A8" s="24" t="n">
        <v>46220</v>
      </c>
      <c r="B8" s="25" t="inlineStr">
        <is>
          <t>Ep 45: Freelancer to agency</t>
        </is>
      </c>
      <c r="C8" s="25" t="inlineStr">
        <is>
          <t>Chris N.</t>
        </is>
      </c>
      <c r="D8" s="26" t="inlineStr">
        <is>
          <t>In-person</t>
        </is>
      </c>
      <c r="E8" s="34" t="n">
        <v>0</v>
      </c>
      <c r="F8" s="26" t="inlineStr">
        <is>
          <t>Scheduled</t>
        </is>
      </c>
      <c r="G8" s="25" t="inlineStr">
        <is>
          <t>Bring travel kit</t>
        </is>
      </c>
    </row>
    <row r="9">
      <c r="A9" s="21" t="n">
        <v>46227</v>
      </c>
      <c r="B9" s="22" t="inlineStr">
        <is>
          <t>Ep 47: Launch w/o audience</t>
        </is>
      </c>
      <c r="C9" s="22" t="inlineStr">
        <is>
          <t>Priya S.</t>
        </is>
      </c>
      <c r="D9" s="23" t="inlineStr">
        <is>
          <t>Riverside</t>
        </is>
      </c>
      <c r="E9" s="33" t="n">
        <v>0</v>
      </c>
      <c r="F9" s="23" t="inlineStr">
        <is>
          <t>Scheduled</t>
        </is>
      </c>
      <c r="G9" s="22" t="inlineStr">
        <is>
          <t>Send prep doc</t>
        </is>
      </c>
    </row>
    <row r="10">
      <c r="A10" s="24" t="n"/>
      <c r="B10" s="25" t="n"/>
      <c r="C10" s="25" t="n"/>
      <c r="D10" s="26" t="n"/>
      <c r="E10" s="34" t="n"/>
      <c r="F10" s="26" t="n"/>
      <c r="G10" s="25" t="n"/>
    </row>
    <row r="11">
      <c r="A11" s="21" t="n"/>
      <c r="B11" s="22" t="n"/>
      <c r="C11" s="22" t="n"/>
      <c r="D11" s="23" t="n"/>
      <c r="E11" s="33" t="n"/>
      <c r="F11" s="23" t="n"/>
      <c r="G11" s="22" t="n"/>
    </row>
    <row r="12">
      <c r="A12" s="24" t="n"/>
      <c r="B12" s="25" t="n"/>
      <c r="C12" s="25" t="n"/>
      <c r="D12" s="26" t="n"/>
      <c r="E12" s="34" t="n"/>
      <c r="F12" s="26" t="n"/>
      <c r="G12" s="25" t="n"/>
    </row>
    <row r="13">
      <c r="A13" s="21" t="n"/>
      <c r="B13" s="22" t="n"/>
      <c r="C13" s="22" t="n"/>
      <c r="D13" s="23" t="n"/>
      <c r="E13" s="33" t="n"/>
      <c r="F13" s="23" t="n"/>
      <c r="G13" s="22" t="n"/>
    </row>
    <row r="14">
      <c r="A14" s="24" t="n"/>
      <c r="B14" s="25" t="n"/>
      <c r="C14" s="25" t="n"/>
      <c r="D14" s="26" t="n"/>
      <c r="E14" s="34" t="n"/>
      <c r="F14" s="26" t="n"/>
      <c r="G14" s="25" t="n"/>
    </row>
    <row r="15">
      <c r="A15" s="21" t="n"/>
      <c r="B15" s="22" t="n"/>
      <c r="C15" s="22" t="n"/>
      <c r="D15" s="23" t="n"/>
      <c r="E15" s="33" t="n"/>
      <c r="F15" s="23" t="n"/>
      <c r="G15" s="22" t="n"/>
    </row>
    <row r="16">
      <c r="A16" s="24" t="n"/>
      <c r="B16" s="25" t="n"/>
      <c r="C16" s="25" t="n"/>
      <c r="D16" s="26" t="n"/>
      <c r="E16" s="34" t="n"/>
      <c r="F16" s="26" t="n"/>
      <c r="G16" s="25" t="n"/>
    </row>
    <row r="17">
      <c r="A17" s="21" t="n"/>
      <c r="B17" s="22" t="n"/>
      <c r="C17" s="22" t="n"/>
      <c r="D17" s="23" t="n"/>
      <c r="E17" s="33" t="n"/>
      <c r="F17" s="23" t="n"/>
      <c r="G17" s="22" t="n"/>
    </row>
    <row r="18">
      <c r="A18" s="24" t="n"/>
      <c r="B18" s="25" t="n"/>
      <c r="C18" s="25" t="n"/>
      <c r="D18" s="26" t="n"/>
      <c r="E18" s="34" t="n"/>
      <c r="F18" s="26" t="n"/>
      <c r="G18" s="25" t="n"/>
    </row>
    <row r="19">
      <c r="A19" s="21" t="n"/>
      <c r="B19" s="22" t="n"/>
      <c r="C19" s="22" t="n"/>
      <c r="D19" s="23" t="n"/>
      <c r="E19" s="33" t="n"/>
      <c r="F19" s="23" t="n"/>
      <c r="G19" s="22" t="n"/>
    </row>
    <row r="20">
      <c r="A20" s="24" t="n"/>
      <c r="B20" s="25" t="n"/>
      <c r="C20" s="25" t="n"/>
      <c r="D20" s="26" t="n"/>
      <c r="E20" s="34" t="n"/>
      <c r="F20" s="26" t="n"/>
      <c r="G20" s="25" t="n"/>
    </row>
    <row r="21">
      <c r="A21" s="21" t="n"/>
      <c r="B21" s="22" t="n"/>
      <c r="C21" s="22" t="n"/>
      <c r="D21" s="23" t="n"/>
      <c r="E21" s="33" t="n"/>
      <c r="F21" s="23" t="n"/>
      <c r="G21" s="22" t="n"/>
    </row>
    <row r="22">
      <c r="A22" s="24" t="n"/>
      <c r="B22" s="25" t="n"/>
      <c r="C22" s="25" t="n"/>
      <c r="D22" s="26" t="n"/>
      <c r="E22" s="34" t="n"/>
      <c r="F22" s="26" t="n"/>
      <c r="G22" s="25" t="n"/>
    </row>
    <row r="23">
      <c r="A23" s="21" t="n"/>
      <c r="B23" s="22" t="n"/>
      <c r="C23" s="22" t="n"/>
      <c r="D23" s="23" t="n"/>
      <c r="E23" s="33" t="n"/>
      <c r="F23" s="23" t="n"/>
      <c r="G23" s="22" t="n"/>
    </row>
    <row r="24">
      <c r="A24" s="24" t="n"/>
      <c r="B24" s="25" t="n"/>
      <c r="C24" s="25" t="n"/>
      <c r="D24" s="26" t="n"/>
      <c r="E24" s="34" t="n"/>
      <c r="F24" s="26" t="n"/>
      <c r="G24" s="25" t="n"/>
    </row>
    <row r="25">
      <c r="A25" s="21" t="n"/>
      <c r="B25" s="22" t="n"/>
      <c r="C25" s="22" t="n"/>
      <c r="D25" s="23" t="n"/>
      <c r="E25" s="33" t="n"/>
      <c r="F25" s="23" t="n"/>
      <c r="G25" s="22" t="n"/>
    </row>
    <row r="26">
      <c r="A26" s="24" t="n"/>
      <c r="B26" s="25" t="n"/>
      <c r="C26" s="25" t="n"/>
      <c r="D26" s="26" t="n"/>
      <c r="E26" s="34" t="n"/>
      <c r="F26" s="26" t="n"/>
      <c r="G26" s="25" t="n"/>
    </row>
    <row r="27">
      <c r="A27" s="21" t="n"/>
      <c r="B27" s="22" t="n"/>
      <c r="C27" s="22" t="n"/>
      <c r="D27" s="23" t="n"/>
      <c r="E27" s="33" t="n"/>
      <c r="F27" s="23" t="n"/>
      <c r="G27" s="22" t="n"/>
    </row>
    <row r="28">
      <c r="A28" s="24" t="n"/>
      <c r="B28" s="25" t="n"/>
      <c r="C28" s="25" t="n"/>
      <c r="D28" s="26" t="n"/>
      <c r="E28" s="34" t="n"/>
      <c r="F28" s="26" t="n"/>
      <c r="G28" s="25" t="n"/>
    </row>
    <row r="29">
      <c r="A29" s="21" t="n"/>
      <c r="B29" s="22" t="n"/>
      <c r="C29" s="22" t="n"/>
      <c r="D29" s="23" t="n"/>
      <c r="E29" s="33" t="n"/>
      <c r="F29" s="23" t="n"/>
      <c r="G29" s="22" t="n"/>
    </row>
    <row r="30">
      <c r="A30" s="24" t="n"/>
      <c r="B30" s="25" t="n"/>
      <c r="C30" s="25" t="n"/>
      <c r="D30" s="26" t="n"/>
      <c r="E30" s="34" t="n"/>
      <c r="F30" s="26" t="n"/>
      <c r="G30" s="25" t="n"/>
    </row>
    <row r="31">
      <c r="A31" s="21" t="n"/>
      <c r="B31" s="22" t="n"/>
      <c r="C31" s="22" t="n"/>
      <c r="D31" s="23" t="n"/>
      <c r="E31" s="33" t="n"/>
      <c r="F31" s="23" t="n"/>
      <c r="G31" s="22" t="n"/>
    </row>
    <row r="32">
      <c r="A32" s="24" t="n"/>
      <c r="B32" s="25" t="n"/>
      <c r="C32" s="25" t="n"/>
      <c r="D32" s="26" t="n"/>
      <c r="E32" s="34" t="n"/>
      <c r="F32" s="26" t="n"/>
      <c r="G32" s="25" t="n"/>
    </row>
    <row r="33">
      <c r="A33" s="21" t="n"/>
      <c r="B33" s="22" t="n"/>
      <c r="C33" s="22" t="n"/>
      <c r="D33" s="23" t="n"/>
      <c r="E33" s="33" t="n"/>
      <c r="F33" s="23" t="n"/>
      <c r="G33" s="22" t="n"/>
    </row>
    <row r="34">
      <c r="A34" s="24" t="n"/>
      <c r="B34" s="25" t="n"/>
      <c r="C34" s="25" t="n"/>
      <c r="D34" s="26" t="n"/>
      <c r="E34" s="34" t="n"/>
      <c r="F34" s="26" t="n"/>
      <c r="G34" s="25" t="n"/>
    </row>
  </sheetData>
  <mergeCells count="2">
    <mergeCell ref="A2:G2"/>
    <mergeCell ref="A1:G1"/>
  </mergeCells>
  <conditionalFormatting sqref="F5:F34">
    <cfRule type="cellIs" priority="1" operator="equal" dxfId="0">
      <formula>"Great"</formula>
    </cfRule>
    <cfRule type="cellIs" priority="2" operator="equal" dxfId="2">
      <formula>"Good"</formula>
    </cfRule>
    <cfRule type="cellIs" priority="3" operator="equal" dxfId="1">
      <formula>"Scheduled"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0" customWidth="1" min="5" max="5"/>
    <col width="11" customWidth="1" min="6" max="6"/>
    <col width="24" customWidth="1" min="7" max="7"/>
  </cols>
  <sheetData>
    <row r="1" ht="46" customHeight="1">
      <c r="A1" s="1" t="inlineStr">
        <is>
          <t xml:space="preserve">  📝  SHOW NOTES &amp; ASSETS</t>
        </is>
      </c>
    </row>
    <row r="2" ht="22" customHeight="1">
      <c r="A2" s="2" t="inlineStr">
        <is>
          <t xml:space="preserve">  Ship complete episodes — notes, transcript, timestamps, links &amp; SEO title, checked off.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Episode</t>
        </is>
      </c>
      <c r="B4" s="9" t="inlineStr">
        <is>
          <t>Notes</t>
        </is>
      </c>
      <c r="C4" s="9" t="inlineStr">
        <is>
          <t>Transcript</t>
        </is>
      </c>
      <c r="D4" s="9" t="inlineStr">
        <is>
          <t>Timestamps</t>
        </is>
      </c>
      <c r="E4" s="9" t="inlineStr">
        <is>
          <t>Links</t>
        </is>
      </c>
      <c r="F4" s="9" t="inlineStr">
        <is>
          <t>SEO Title</t>
        </is>
      </c>
      <c r="G4" s="9" t="inlineStr">
        <is>
          <t>Status</t>
        </is>
      </c>
    </row>
    <row r="5">
      <c r="A5" s="22" t="inlineStr">
        <is>
          <t>Ep 43: Systems &gt; motivation</t>
        </is>
      </c>
      <c r="B5" s="23" t="inlineStr">
        <is>
          <t>Yes</t>
        </is>
      </c>
      <c r="C5" s="23" t="inlineStr">
        <is>
          <t>Yes</t>
        </is>
      </c>
      <c r="D5" s="23" t="inlineStr">
        <is>
          <t>Yes</t>
        </is>
      </c>
      <c r="E5" s="23" t="inlineStr">
        <is>
          <t>Yes</t>
        </is>
      </c>
      <c r="F5" s="23" t="inlineStr">
        <is>
          <t>No</t>
        </is>
      </c>
      <c r="G5" s="22" t="inlineStr">
        <is>
          <t>Chapters + 3 links</t>
        </is>
      </c>
    </row>
    <row r="6">
      <c r="A6" s="25" t="inlineStr">
        <is>
          <t>Ep 42: Building in public</t>
        </is>
      </c>
      <c r="B6" s="26" t="inlineStr">
        <is>
          <t>Yes</t>
        </is>
      </c>
      <c r="C6" s="26" t="inlineStr">
        <is>
          <t>Yes</t>
        </is>
      </c>
      <c r="D6" s="26" t="inlineStr">
        <is>
          <t>Yes</t>
        </is>
      </c>
      <c r="E6" s="26" t="inlineStr">
        <is>
          <t>Yes</t>
        </is>
      </c>
      <c r="F6" s="26" t="inlineStr">
        <is>
          <t>Yes</t>
        </is>
      </c>
      <c r="G6" s="25" t="inlineStr">
        <is>
          <t>Full transcript live</t>
        </is>
      </c>
    </row>
    <row r="7">
      <c r="A7" s="22" t="inlineStr">
        <is>
          <t>Ep 41: The burnout trap</t>
        </is>
      </c>
      <c r="B7" s="23" t="inlineStr">
        <is>
          <t>Yes</t>
        </is>
      </c>
      <c r="C7" s="23" t="inlineStr">
        <is>
          <t>Yes</t>
        </is>
      </c>
      <c r="D7" s="23" t="inlineStr">
        <is>
          <t>No</t>
        </is>
      </c>
      <c r="E7" s="23" t="inlineStr">
        <is>
          <t>Yes</t>
        </is>
      </c>
      <c r="F7" s="23" t="inlineStr">
        <is>
          <t>Yes</t>
        </is>
      </c>
      <c r="G7" s="22" t="inlineStr">
        <is>
          <t>Add pull-quotes</t>
        </is>
      </c>
    </row>
    <row r="8">
      <c r="A8" s="25" t="inlineStr">
        <is>
          <t>Ep 44: Money mindset reset</t>
        </is>
      </c>
      <c r="B8" s="26" t="inlineStr">
        <is>
          <t>No</t>
        </is>
      </c>
      <c r="C8" s="26" t="inlineStr">
        <is>
          <t>No</t>
        </is>
      </c>
      <c r="D8" s="26" t="inlineStr">
        <is>
          <t>No</t>
        </is>
      </c>
      <c r="E8" s="26" t="inlineStr">
        <is>
          <t>No</t>
        </is>
      </c>
      <c r="F8" s="26" t="inlineStr">
        <is>
          <t>No</t>
        </is>
      </c>
      <c r="G8" s="25" t="inlineStr">
        <is>
          <t>In production</t>
        </is>
      </c>
    </row>
    <row r="9">
      <c r="A9" s="22" t="inlineStr">
        <is>
          <t>Ep 40: Your first $10k month</t>
        </is>
      </c>
      <c r="B9" s="23" t="inlineStr">
        <is>
          <t>Yes</t>
        </is>
      </c>
      <c r="C9" s="23" t="inlineStr">
        <is>
          <t>Yes</t>
        </is>
      </c>
      <c r="D9" s="23" t="inlineStr">
        <is>
          <t>Yes</t>
        </is>
      </c>
      <c r="E9" s="23" t="inlineStr">
        <is>
          <t>Yes</t>
        </is>
      </c>
      <c r="F9" s="23" t="inlineStr">
        <is>
          <t>Yes</t>
        </is>
      </c>
      <c r="G9" s="22" t="inlineStr">
        <is>
          <t>Top performer — refresh SEO</t>
        </is>
      </c>
    </row>
    <row r="10">
      <c r="A10" s="25" t="n"/>
      <c r="B10" s="26" t="n"/>
      <c r="C10" s="26" t="n"/>
      <c r="D10" s="26" t="n"/>
      <c r="E10" s="26" t="n"/>
      <c r="F10" s="26" t="n"/>
      <c r="G10" s="25" t="n"/>
    </row>
    <row r="11">
      <c r="A11" s="22" t="n"/>
      <c r="B11" s="23" t="n"/>
      <c r="C11" s="23" t="n"/>
      <c r="D11" s="23" t="n"/>
      <c r="E11" s="23" t="n"/>
      <c r="F11" s="23" t="n"/>
      <c r="G11" s="22" t="n"/>
    </row>
    <row r="12">
      <c r="A12" s="25" t="n"/>
      <c r="B12" s="26" t="n"/>
      <c r="C12" s="26" t="n"/>
      <c r="D12" s="26" t="n"/>
      <c r="E12" s="26" t="n"/>
      <c r="F12" s="26" t="n"/>
      <c r="G12" s="25" t="n"/>
    </row>
    <row r="13">
      <c r="A13" s="22" t="n"/>
      <c r="B13" s="23" t="n"/>
      <c r="C13" s="23" t="n"/>
      <c r="D13" s="23" t="n"/>
      <c r="E13" s="23" t="n"/>
      <c r="F13" s="23" t="n"/>
      <c r="G13" s="22" t="n"/>
    </row>
    <row r="14">
      <c r="A14" s="25" t="n"/>
      <c r="B14" s="26" t="n"/>
      <c r="C14" s="26" t="n"/>
      <c r="D14" s="26" t="n"/>
      <c r="E14" s="26" t="n"/>
      <c r="F14" s="26" t="n"/>
      <c r="G14" s="25" t="n"/>
    </row>
    <row r="15">
      <c r="A15" s="22" t="n"/>
      <c r="B15" s="23" t="n"/>
      <c r="C15" s="23" t="n"/>
      <c r="D15" s="23" t="n"/>
      <c r="E15" s="23" t="n"/>
      <c r="F15" s="23" t="n"/>
      <c r="G15" s="22" t="n"/>
    </row>
    <row r="16">
      <c r="A16" s="25" t="n"/>
      <c r="B16" s="26" t="n"/>
      <c r="C16" s="26" t="n"/>
      <c r="D16" s="26" t="n"/>
      <c r="E16" s="26" t="n"/>
      <c r="F16" s="26" t="n"/>
      <c r="G16" s="25" t="n"/>
    </row>
    <row r="17">
      <c r="A17" s="22" t="n"/>
      <c r="B17" s="23" t="n"/>
      <c r="C17" s="23" t="n"/>
      <c r="D17" s="23" t="n"/>
      <c r="E17" s="23" t="n"/>
      <c r="F17" s="23" t="n"/>
      <c r="G17" s="22" t="n"/>
    </row>
    <row r="18">
      <c r="A18" s="25" t="n"/>
      <c r="B18" s="26" t="n"/>
      <c r="C18" s="26" t="n"/>
      <c r="D18" s="26" t="n"/>
      <c r="E18" s="26" t="n"/>
      <c r="F18" s="26" t="n"/>
      <c r="G18" s="25" t="n"/>
    </row>
    <row r="19">
      <c r="A19" s="22" t="n"/>
      <c r="B19" s="23" t="n"/>
      <c r="C19" s="23" t="n"/>
      <c r="D19" s="23" t="n"/>
      <c r="E19" s="23" t="n"/>
      <c r="F19" s="23" t="n"/>
      <c r="G19" s="22" t="n"/>
    </row>
    <row r="20">
      <c r="A20" s="25" t="n"/>
      <c r="B20" s="26" t="n"/>
      <c r="C20" s="26" t="n"/>
      <c r="D20" s="26" t="n"/>
      <c r="E20" s="26" t="n"/>
      <c r="F20" s="26" t="n"/>
      <c r="G20" s="25" t="n"/>
    </row>
    <row r="21">
      <c r="A21" s="22" t="n"/>
      <c r="B21" s="23" t="n"/>
      <c r="C21" s="23" t="n"/>
      <c r="D21" s="23" t="n"/>
      <c r="E21" s="23" t="n"/>
      <c r="F21" s="23" t="n"/>
      <c r="G21" s="22" t="n"/>
    </row>
    <row r="22">
      <c r="A22" s="25" t="n"/>
      <c r="B22" s="26" t="n"/>
      <c r="C22" s="26" t="n"/>
      <c r="D22" s="26" t="n"/>
      <c r="E22" s="26" t="n"/>
      <c r="F22" s="26" t="n"/>
      <c r="G22" s="25" t="n"/>
    </row>
    <row r="23">
      <c r="A23" s="22" t="n"/>
      <c r="B23" s="23" t="n"/>
      <c r="C23" s="23" t="n"/>
      <c r="D23" s="23" t="n"/>
      <c r="E23" s="23" t="n"/>
      <c r="F23" s="23" t="n"/>
      <c r="G23" s="22" t="n"/>
    </row>
    <row r="24">
      <c r="A24" s="25" t="n"/>
      <c r="B24" s="26" t="n"/>
      <c r="C24" s="26" t="n"/>
      <c r="D24" s="26" t="n"/>
      <c r="E24" s="26" t="n"/>
      <c r="F24" s="26" t="n"/>
      <c r="G24" s="25" t="n"/>
    </row>
    <row r="25">
      <c r="A25" s="22" t="n"/>
      <c r="B25" s="23" t="n"/>
      <c r="C25" s="23" t="n"/>
      <c r="D25" s="23" t="n"/>
      <c r="E25" s="23" t="n"/>
      <c r="F25" s="23" t="n"/>
      <c r="G25" s="22" t="n"/>
    </row>
    <row r="26">
      <c r="A26" s="25" t="n"/>
      <c r="B26" s="26" t="n"/>
      <c r="C26" s="26" t="n"/>
      <c r="D26" s="26" t="n"/>
      <c r="E26" s="26" t="n"/>
      <c r="F26" s="26" t="n"/>
      <c r="G26" s="25" t="n"/>
    </row>
    <row r="27">
      <c r="A27" s="22" t="n"/>
      <c r="B27" s="23" t="n"/>
      <c r="C27" s="23" t="n"/>
      <c r="D27" s="23" t="n"/>
      <c r="E27" s="23" t="n"/>
      <c r="F27" s="23" t="n"/>
      <c r="G27" s="22" t="n"/>
    </row>
    <row r="28">
      <c r="A28" s="25" t="n"/>
      <c r="B28" s="26" t="n"/>
      <c r="C28" s="26" t="n"/>
      <c r="D28" s="26" t="n"/>
      <c r="E28" s="26" t="n"/>
      <c r="F28" s="26" t="n"/>
      <c r="G28" s="25" t="n"/>
    </row>
    <row r="29">
      <c r="A29" s="22" t="n"/>
      <c r="B29" s="23" t="n"/>
      <c r="C29" s="23" t="n"/>
      <c r="D29" s="23" t="n"/>
      <c r="E29" s="23" t="n"/>
      <c r="F29" s="23" t="n"/>
      <c r="G29" s="22" t="n"/>
    </row>
    <row r="30">
      <c r="A30" s="25" t="n"/>
      <c r="B30" s="26" t="n"/>
      <c r="C30" s="26" t="n"/>
      <c r="D30" s="26" t="n"/>
      <c r="E30" s="26" t="n"/>
      <c r="F30" s="26" t="n"/>
      <c r="G30" s="25" t="n"/>
    </row>
    <row r="31">
      <c r="A31" s="22" t="n"/>
      <c r="B31" s="23" t="n"/>
      <c r="C31" s="23" t="n"/>
      <c r="D31" s="23" t="n"/>
      <c r="E31" s="23" t="n"/>
      <c r="F31" s="23" t="n"/>
      <c r="G31" s="22" t="n"/>
    </row>
    <row r="32">
      <c r="A32" s="25" t="n"/>
      <c r="B32" s="26" t="n"/>
      <c r="C32" s="26" t="n"/>
      <c r="D32" s="26" t="n"/>
      <c r="E32" s="26" t="n"/>
      <c r="F32" s="26" t="n"/>
      <c r="G32" s="25" t="n"/>
    </row>
    <row r="33">
      <c r="A33" s="22" t="n"/>
      <c r="B33" s="23" t="n"/>
      <c r="C33" s="23" t="n"/>
      <c r="D33" s="23" t="n"/>
      <c r="E33" s="23" t="n"/>
      <c r="F33" s="23" t="n"/>
      <c r="G33" s="22" t="n"/>
    </row>
    <row r="34">
      <c r="A34" s="25" t="n"/>
      <c r="B34" s="26" t="n"/>
      <c r="C34" s="26" t="n"/>
      <c r="D34" s="26" t="n"/>
      <c r="E34" s="26" t="n"/>
      <c r="F34" s="26" t="n"/>
      <c r="G34" s="25" t="n"/>
    </row>
  </sheetData>
  <mergeCells count="2">
    <mergeCell ref="A2:G2"/>
    <mergeCell ref="A1:G1"/>
  </mergeCells>
  <conditionalFormatting sqref="B5:B34">
    <cfRule type="cellIs" priority="1" operator="equal" dxfId="0">
      <formula>"Yes"</formula>
    </cfRule>
  </conditionalFormatting>
  <conditionalFormatting sqref="C5:C34">
    <cfRule type="cellIs" priority="2" operator="equal" dxfId="0">
      <formula>"Yes"</formula>
    </cfRule>
  </conditionalFormatting>
  <conditionalFormatting sqref="D5:D34">
    <cfRule type="cellIs" priority="3" operator="equal" dxfId="0">
      <formula>"Yes"</formula>
    </cfRule>
  </conditionalFormatting>
  <conditionalFormatting sqref="E5:E34">
    <cfRule type="cellIs" priority="4" operator="equal" dxfId="0">
      <formula>"Yes"</formula>
    </cfRule>
  </conditionalFormatting>
  <conditionalFormatting sqref="F5:F34">
    <cfRule type="cellIs" priority="5" operator="equal" dxfId="0">
      <formula>"Yes"</formula>
    </cfRule>
  </conditionalFormatting>
  <dataValidations count="5">
    <dataValidation sqref="B5:B34" showDropDown="0" showInputMessage="0" showErrorMessage="0" allowBlank="1" type="list">
      <formula1>=YesNoList</formula1>
    </dataValidation>
    <dataValidation sqref="C5:C34" showDropDown="0" showInputMessage="0" showErrorMessage="0" allowBlank="1" type="list">
      <formula1>=YesNoList</formula1>
    </dataValidation>
    <dataValidation sqref="D5:D34" showDropDown="0" showInputMessage="0" showErrorMessage="0" allowBlank="1" type="list">
      <formula1>=YesNoList</formula1>
    </dataValidation>
    <dataValidation sqref="E5:E34" showDropDown="0" showInputMessage="0" showErrorMessage="0" allowBlank="1" type="list">
      <formula1>=YesNoList</formula1>
    </dataValidation>
    <dataValidation sqref="F5:F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3" customWidth="1" min="4" max="4"/>
    <col width="18" customWidth="1" min="5" max="5"/>
    <col width="12" customWidth="1" min="6" max="6"/>
    <col width="12" customWidth="1" min="7" max="7"/>
    <col width="2" customWidth="1" min="8" max="8"/>
  </cols>
  <sheetData>
    <row r="1" ht="46" customHeight="1">
      <c r="A1" s="1" t="inlineStr">
        <is>
          <t xml:space="preserve">  📊  ANALYTICS COMMAND CENTER</t>
        </is>
      </c>
    </row>
    <row r="2" ht="22" customHeight="1">
      <c r="A2" s="2" t="inlineStr">
        <is>
          <t xml:space="preserve">  Your show by the numbers — a live snapshot, health dimensions &amp; the Show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7" t="inlineStr">
        <is>
          <t>SNAPSHOT (28 DAYS)</t>
        </is>
      </c>
      <c r="E5" s="4" t="inlineStr">
        <is>
          <t>SHOW HEALTH</t>
        </is>
      </c>
    </row>
    <row r="6" ht="30" customHeight="1">
      <c r="B6" s="19" t="inlineStr">
        <is>
          <t>Subscribers</t>
        </is>
      </c>
      <c r="C6" s="35" t="n">
        <v>18500</v>
      </c>
      <c r="E6" s="9" t="inlineStr">
        <is>
          <t>Dimension</t>
        </is>
      </c>
      <c r="F6" s="9" t="inlineStr">
        <is>
          <t>Score</t>
        </is>
      </c>
      <c r="G6" s="9" t="inlineStr">
        <is>
          <t>Status</t>
        </is>
      </c>
    </row>
    <row r="7">
      <c r="B7" s="19" t="inlineStr">
        <is>
          <t>Subs gained</t>
        </is>
      </c>
      <c r="C7" s="36" t="n">
        <v>1400</v>
      </c>
      <c r="E7" s="29" t="inlineStr">
        <is>
          <t>Revenue vs goal</t>
        </is>
      </c>
      <c r="F7" s="37">
        <f>IFERROR(MIN(RevenueTotal/RevenueGoal,1),0)</f>
        <v/>
      </c>
      <c r="G7" s="30">
        <f>IF(F7&gt;=0.75,"Strong",IF(F7&gt;=0.5,"Growing","Focus"))</f>
        <v/>
      </c>
    </row>
    <row r="8">
      <c r="B8" s="19" t="inlineStr">
        <is>
          <t>Downloads</t>
        </is>
      </c>
      <c r="C8" s="35" t="n">
        <v>42000</v>
      </c>
      <c r="E8" s="25" t="inlineStr">
        <is>
          <t>Publishing consistency</t>
        </is>
      </c>
      <c r="F8" s="28">
        <f>IFERROR(MIN(COUNTIFS(CalDate,"&gt;="&amp;TODAY()-28,CalStatus,"Published")/EpGoal,1),0)</f>
        <v/>
      </c>
      <c r="G8" s="26">
        <f>IF(F8&gt;=0.75,"Strong",IF(F8&gt;=0.5,"Growing","Focus"))</f>
        <v/>
      </c>
    </row>
    <row r="9">
      <c r="B9" s="19" t="inlineStr">
        <is>
          <t>Avg / episode</t>
        </is>
      </c>
      <c r="C9" s="36" t="n">
        <v>11000</v>
      </c>
      <c r="E9" s="29" t="inlineStr">
        <is>
          <t>Downloads vs goal</t>
        </is>
      </c>
      <c r="F9" s="37">
        <f>IFERROR(MIN(Downloads28/DownloadGoal,1),0)</f>
        <v/>
      </c>
      <c r="G9" s="30">
        <f>IF(F9&gt;=0.75,"Strong",IF(F9&gt;=0.5,"Growing","Focus"))</f>
        <v/>
      </c>
    </row>
    <row r="10">
      <c r="B10" s="19" t="inlineStr">
        <is>
          <t>Unique listeners</t>
        </is>
      </c>
      <c r="C10" s="36" t="n">
        <v>24000</v>
      </c>
      <c r="E10" s="25" t="inlineStr">
        <is>
          <t>Consumption</t>
        </is>
      </c>
      <c r="F10" s="28">
        <f>IFERROR(MIN(Consumption/ConsumptionTarget,1),0)</f>
        <v/>
      </c>
      <c r="G10" s="26">
        <f>IF(F10&gt;=0.75,"Strong",IF(F10&gt;=0.5,"Growing","Focus"))</f>
        <v/>
      </c>
    </row>
    <row r="11">
      <c r="B11" s="19" t="inlineStr">
        <is>
          <t>Consumption</t>
        </is>
      </c>
      <c r="C11" s="38" t="n">
        <v>0.78</v>
      </c>
      <c r="E11" s="29" t="inlineStr">
        <is>
          <t>Sponsor pipeline</t>
        </is>
      </c>
      <c r="F11" s="37">
        <f>IFERROR(MIN((COUNTIF(SponStage,"Booked")+COUNTIF(SponStage,"Live"))/SponsorTarget,1),0)</f>
        <v/>
      </c>
      <c r="G11" s="30">
        <f>IF(F11&gt;=0.75,"Strong",IF(F11&gt;=0.5,"Growing","Focus"))</f>
        <v/>
      </c>
    </row>
    <row r="12">
      <c r="B12" s="19" t="inlineStr">
        <is>
          <t>Avg rating</t>
        </is>
      </c>
      <c r="C12" s="39" t="n">
        <v>4.8</v>
      </c>
      <c r="E12" s="25" t="inlineStr">
        <is>
          <t>Audience growth</t>
        </is>
      </c>
      <c r="F12" s="28">
        <f>IFERROR(MIN(SubGrowth/GrowthGoal,1),0)</f>
        <v/>
      </c>
      <c r="G12" s="26">
        <f>IF(F12&gt;=0.75,"Strong",IF(F12&gt;=0.5,"Growing","Focus"))</f>
        <v/>
      </c>
    </row>
    <row r="13">
      <c r="B13" s="19" t="inlineStr">
        <is>
          <t>Ad CPM</t>
        </is>
      </c>
      <c r="C13" s="40" t="n">
        <v>28</v>
      </c>
    </row>
    <row r="15" ht="22" customHeight="1">
      <c r="B15" s="4" t="inlineStr">
        <is>
          <t>TOP EPISODES (30-DAY DOWNLOADS)</t>
        </is>
      </c>
    </row>
    <row r="16" ht="30" customHeight="1">
      <c r="B16" s="9" t="inlineStr">
        <is>
          <t>Episode</t>
        </is>
      </c>
      <c r="C16" s="9" t="inlineStr">
        <is>
          <t>Downloads</t>
        </is>
      </c>
      <c r="D16" s="9" t="inlineStr">
        <is>
          <t>Consumption</t>
        </is>
      </c>
      <c r="E16" s="9" t="inlineStr">
        <is>
          <t>New Subs</t>
        </is>
      </c>
      <c r="F16" s="9" t="inlineStr">
        <is>
          <t>Rating</t>
        </is>
      </c>
    </row>
    <row r="17">
      <c r="B17" s="29" t="inlineStr">
        <is>
          <t>Ep 40: Your first $10k month</t>
        </is>
      </c>
      <c r="C17" s="41" t="n">
        <v>18400</v>
      </c>
      <c r="D17" s="37" t="n">
        <v>0.84</v>
      </c>
      <c r="E17" s="41" t="n">
        <v>620</v>
      </c>
      <c r="F17" s="42" t="n">
        <v>4.9</v>
      </c>
    </row>
    <row r="18">
      <c r="B18" s="25" t="inlineStr">
        <is>
          <t>Ep 42: Building in public</t>
        </is>
      </c>
      <c r="C18" s="34" t="n">
        <v>14200</v>
      </c>
      <c r="D18" s="28" t="n">
        <v>0.8100000000000001</v>
      </c>
      <c r="E18" s="34" t="n">
        <v>480</v>
      </c>
      <c r="F18" s="43" t="n">
        <v>4.8</v>
      </c>
    </row>
    <row r="19">
      <c r="B19" s="29" t="inlineStr">
        <is>
          <t>Ep 39: Finding your niche</t>
        </is>
      </c>
      <c r="C19" s="41" t="n">
        <v>12600</v>
      </c>
      <c r="D19" s="37" t="n">
        <v>0.79</v>
      </c>
      <c r="E19" s="41" t="n">
        <v>410</v>
      </c>
      <c r="F19" s="42" t="n">
        <v>4.8</v>
      </c>
    </row>
    <row r="20">
      <c r="B20" s="25" t="inlineStr">
        <is>
          <t>Ep 41: The burnout trap</t>
        </is>
      </c>
      <c r="C20" s="34" t="n">
        <v>11800</v>
      </c>
      <c r="D20" s="28" t="n">
        <v>0.82</v>
      </c>
      <c r="E20" s="34" t="n">
        <v>360</v>
      </c>
      <c r="F20" s="43" t="n">
        <v>4.9</v>
      </c>
    </row>
    <row r="21">
      <c r="B21" s="29" t="inlineStr">
        <is>
          <t>Ep 43: Systems &gt; motivation</t>
        </is>
      </c>
      <c r="C21" s="41" t="n">
        <v>9800</v>
      </c>
      <c r="D21" s="37" t="n">
        <v>0.77</v>
      </c>
      <c r="E21" s="41" t="n">
        <v>300</v>
      </c>
      <c r="F21" s="42" t="n">
        <v>4.7</v>
      </c>
    </row>
    <row r="22">
      <c r="B22" s="25" t="inlineStr">
        <is>
          <t>Ep 38: Say no to grow</t>
        </is>
      </c>
      <c r="C22" s="34" t="n">
        <v>7600</v>
      </c>
      <c r="D22" s="28" t="n">
        <v>0.74</v>
      </c>
      <c r="E22" s="34" t="n">
        <v>210</v>
      </c>
      <c r="F22" s="43" t="n">
        <v>4.6</v>
      </c>
    </row>
    <row r="25">
      <c r="B25" s="7" t="inlineStr">
        <is>
          <t>DOWNLOADS (K) — 6 MONTHS</t>
        </is>
      </c>
    </row>
    <row r="26">
      <c r="B26" s="9" t="inlineStr">
        <is>
          <t>Month</t>
        </is>
      </c>
      <c r="C26" s="9" t="inlineStr">
        <is>
          <t>Downloads (K)</t>
        </is>
      </c>
    </row>
    <row r="27">
      <c r="B27" s="29" t="inlineStr">
        <is>
          <t>Feb</t>
        </is>
      </c>
      <c r="C27" s="31" t="n">
        <v>22</v>
      </c>
    </row>
    <row r="28">
      <c r="B28" s="25" t="inlineStr">
        <is>
          <t>Mar</t>
        </is>
      </c>
      <c r="C28" s="32" t="n">
        <v>27</v>
      </c>
    </row>
    <row r="29">
      <c r="B29" s="29" t="inlineStr">
        <is>
          <t>Apr</t>
        </is>
      </c>
      <c r="C29" s="31" t="n">
        <v>31</v>
      </c>
    </row>
    <row r="30">
      <c r="B30" s="25" t="inlineStr">
        <is>
          <t>May</t>
        </is>
      </c>
      <c r="C30" s="32" t="n">
        <v>35</v>
      </c>
    </row>
    <row r="31">
      <c r="B31" s="29" t="inlineStr">
        <is>
          <t>Jun</t>
        </is>
      </c>
      <c r="C31" s="31" t="n">
        <v>38</v>
      </c>
    </row>
    <row r="32">
      <c r="B32" s="25" t="inlineStr">
        <is>
          <t>Jul</t>
        </is>
      </c>
      <c r="C32" s="32" t="n">
        <v>42</v>
      </c>
    </row>
  </sheetData>
  <mergeCells count="6">
    <mergeCell ref="A1:G1"/>
    <mergeCell ref="B25:C25"/>
    <mergeCell ref="E5:G5"/>
    <mergeCell ref="B5:C5"/>
    <mergeCell ref="A2:G2"/>
    <mergeCell ref="B15:G15"/>
  </mergeCells>
  <conditionalFormatting sqref="F7:F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conditionalFormatting sqref="C17:C22">
    <cfRule type="dataBar" priority="2">
      <dataBar showValue="1">
        <cfvo type="num" val="0"/>
        <cfvo type="num" val="18400"/>
        <color rgb="001B4F48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26" customWidth="1" min="6" max="6"/>
  </cols>
  <sheetData>
    <row r="1" ht="46" customHeight="1">
      <c r="A1" s="1" t="inlineStr">
        <is>
          <t xml:space="preserve">  📡  PLATFORM ANALYTICS</t>
        </is>
      </c>
    </row>
    <row r="2" ht="22" customHeight="1">
      <c r="A2" s="2" t="inlineStr">
        <is>
          <t xml:space="preserve">  Where your listeners are — download share, subscribers &amp; ratings by platform.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Platform</t>
        </is>
      </c>
      <c r="B4" s="9" t="inlineStr">
        <is>
          <t>Share</t>
        </is>
      </c>
      <c r="C4" s="9" t="inlineStr">
        <is>
          <t>Downloads</t>
        </is>
      </c>
      <c r="D4" s="9" t="inlineStr">
        <is>
          <t>Subscribers</t>
        </is>
      </c>
      <c r="E4" s="9" t="inlineStr">
        <is>
          <t>Rating</t>
        </is>
      </c>
      <c r="F4" s="9" t="inlineStr">
        <is>
          <t>Notes</t>
        </is>
      </c>
    </row>
    <row r="5">
      <c r="A5" s="23" t="inlineStr">
        <is>
          <t>Apple Podcasts</t>
        </is>
      </c>
      <c r="B5" s="27" t="n">
        <v>0.41</v>
      </c>
      <c r="C5" s="33" t="n">
        <v>17200</v>
      </c>
      <c r="D5" s="33" t="n">
        <v>8600</v>
      </c>
      <c r="E5" s="44" t="n">
        <v>4.8</v>
      </c>
      <c r="F5" s="22" t="inlineStr">
        <is>
          <t>Strongest subscriber base</t>
        </is>
      </c>
    </row>
    <row r="6">
      <c r="A6" s="26" t="inlineStr">
        <is>
          <t>Spotify</t>
        </is>
      </c>
      <c r="B6" s="28" t="n">
        <v>0.34</v>
      </c>
      <c r="C6" s="34" t="n">
        <v>14300</v>
      </c>
      <c r="D6" s="34" t="n">
        <v>6900</v>
      </c>
      <c r="E6" s="43" t="n">
        <v>4.7</v>
      </c>
      <c r="F6" s="25" t="inlineStr">
        <is>
          <t>Fastest-growing</t>
        </is>
      </c>
    </row>
    <row r="7">
      <c r="A7" s="23" t="inlineStr">
        <is>
          <t>YouTube</t>
        </is>
      </c>
      <c r="B7" s="27" t="n">
        <v>0.13</v>
      </c>
      <c r="C7" s="33" t="n">
        <v>5500</v>
      </c>
      <c r="D7" s="33" t="n">
        <v>3800</v>
      </c>
      <c r="E7" s="44" t="n">
        <v>0</v>
      </c>
      <c r="F7" s="22" t="inlineStr">
        <is>
          <t>Video clips drive discovery</t>
        </is>
      </c>
    </row>
    <row r="8">
      <c r="A8" s="26" t="inlineStr">
        <is>
          <t>Overcast</t>
        </is>
      </c>
      <c r="B8" s="28" t="n">
        <v>0.05</v>
      </c>
      <c r="C8" s="34" t="n">
        <v>2100</v>
      </c>
      <c r="D8" s="34" t="n">
        <v>900</v>
      </c>
      <c r="E8" s="43" t="n">
        <v>0</v>
      </c>
      <c r="F8" s="25" t="inlineStr">
        <is>
          <t>Loyal power listeners</t>
        </is>
      </c>
    </row>
    <row r="9">
      <c r="A9" s="23" t="inlineStr">
        <is>
          <t>Pocket Casts</t>
        </is>
      </c>
      <c r="B9" s="27" t="n">
        <v>0.04</v>
      </c>
      <c r="C9" s="33" t="n">
        <v>1700</v>
      </c>
      <c r="D9" s="33" t="n">
        <v>700</v>
      </c>
      <c r="E9" s="44" t="n">
        <v>0</v>
      </c>
      <c r="F9" s="22" t="inlineStr">
        <is>
          <t>Steady</t>
        </is>
      </c>
    </row>
    <row r="10">
      <c r="A10" s="26" t="inlineStr">
        <is>
          <t>Web / RSS</t>
        </is>
      </c>
      <c r="B10" s="28" t="n">
        <v>0.03</v>
      </c>
      <c r="C10" s="34" t="n">
        <v>1200</v>
      </c>
      <c r="D10" s="34" t="n">
        <v>500</v>
      </c>
      <c r="E10" s="43" t="n">
        <v>0</v>
      </c>
      <c r="F10" s="25" t="inlineStr">
        <is>
          <t>Direct + embeds</t>
        </is>
      </c>
    </row>
    <row r="11">
      <c r="A11" s="23" t="n"/>
      <c r="B11" s="27" t="n"/>
      <c r="C11" s="33" t="n"/>
      <c r="D11" s="33" t="n"/>
      <c r="E11" s="44" t="n"/>
      <c r="F11" s="22" t="n"/>
    </row>
    <row r="12">
      <c r="A12" s="26" t="n"/>
      <c r="B12" s="28" t="n"/>
      <c r="C12" s="34" t="n"/>
      <c r="D12" s="34" t="n"/>
      <c r="E12" s="43" t="n"/>
      <c r="F12" s="25" t="n"/>
    </row>
    <row r="13">
      <c r="A13" s="23" t="n"/>
      <c r="B13" s="27" t="n"/>
      <c r="C13" s="33" t="n"/>
      <c r="D13" s="33" t="n"/>
      <c r="E13" s="44" t="n"/>
      <c r="F13" s="22" t="n"/>
    </row>
    <row r="14">
      <c r="A14" s="26" t="n"/>
      <c r="B14" s="28" t="n"/>
      <c r="C14" s="34" t="n"/>
      <c r="D14" s="34" t="n"/>
      <c r="E14" s="43" t="n"/>
      <c r="F14" s="25" t="n"/>
    </row>
    <row r="15">
      <c r="A15" s="23" t="n"/>
      <c r="B15" s="27" t="n"/>
      <c r="C15" s="33" t="n"/>
      <c r="D15" s="33" t="n"/>
      <c r="E15" s="44" t="n"/>
      <c r="F15" s="22" t="n"/>
    </row>
    <row r="16">
      <c r="A16" s="26" t="n"/>
      <c r="B16" s="28" t="n"/>
      <c r="C16" s="34" t="n"/>
      <c r="D16" s="34" t="n"/>
      <c r="E16" s="43" t="n"/>
      <c r="F16" s="25" t="n"/>
    </row>
    <row r="17">
      <c r="A17" s="23" t="n"/>
      <c r="B17" s="27" t="n"/>
      <c r="C17" s="33" t="n"/>
      <c r="D17" s="33" t="n"/>
      <c r="E17" s="44" t="n"/>
      <c r="F17" s="22" t="n"/>
    </row>
    <row r="18">
      <c r="A18" s="26" t="n"/>
      <c r="B18" s="28" t="n"/>
      <c r="C18" s="34" t="n"/>
      <c r="D18" s="34" t="n"/>
      <c r="E18" s="43" t="n"/>
      <c r="F18" s="25" t="n"/>
    </row>
    <row r="19">
      <c r="A19" s="23" t="n"/>
      <c r="B19" s="27" t="n"/>
      <c r="C19" s="33" t="n"/>
      <c r="D19" s="33" t="n"/>
      <c r="E19" s="44" t="n"/>
      <c r="F19" s="22" t="n"/>
    </row>
    <row r="20">
      <c r="A20" s="26" t="n"/>
      <c r="B20" s="28" t="n"/>
      <c r="C20" s="34" t="n"/>
      <c r="D20" s="34" t="n"/>
      <c r="E20" s="43" t="n"/>
      <c r="F20" s="25" t="n"/>
    </row>
  </sheetData>
  <mergeCells count="2">
    <mergeCell ref="A2:F2"/>
    <mergeCell ref="A1:F1"/>
  </mergeCells>
  <conditionalFormatting sqref="B5:B20">
    <cfRule type="dataBar" priority="1">
      <dataBar showValue="1">
        <cfvo type="num" val="0"/>
        <cfvo type="num" val="0.45"/>
        <color rgb="001B4F48"/>
      </dataBar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9" customWidth="1" min="5" max="5"/>
    <col width="12" customWidth="1" min="6" max="6"/>
    <col width="22" customWidth="1" min="7" max="7"/>
    <col width="13" customWidth="1" min="8" max="8"/>
  </cols>
  <sheetData>
    <row r="1" ht="46" customHeight="1">
      <c r="A1" s="1" t="inlineStr">
        <is>
          <t xml:space="preserve">  💵  SPONSORS &amp; ADS</t>
        </is>
      </c>
    </row>
    <row r="2" ht="22" customHeight="1">
      <c r="A2" s="2" t="inlineStr">
        <is>
          <t xml:space="preserve">  Turn downloads into deals — pipeline, CPM, spots &amp; value from lead to paid.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Sponsor</t>
        </is>
      </c>
      <c r="B4" s="9" t="inlineStr">
        <is>
          <t>Category</t>
        </is>
      </c>
      <c r="C4" s="9" t="inlineStr">
        <is>
          <t>Stage</t>
        </is>
      </c>
      <c r="D4" s="9" t="inlineStr">
        <is>
          <t>CPM</t>
        </is>
      </c>
      <c r="E4" s="9" t="inlineStr">
        <is>
          <t>Spots</t>
        </is>
      </c>
      <c r="F4" s="9" t="inlineStr">
        <is>
          <t>Deal Value</t>
        </is>
      </c>
      <c r="G4" s="9" t="inlineStr">
        <is>
          <t>Notes</t>
        </is>
      </c>
      <c r="H4" s="9" t="inlineStr">
        <is>
          <t>Flight / Paid</t>
        </is>
      </c>
    </row>
    <row r="5">
      <c r="A5" s="23" t="inlineStr">
        <is>
          <t>Riverside</t>
        </is>
      </c>
      <c r="B5" s="22" t="inlineStr">
        <is>
          <t>Recording tool</t>
        </is>
      </c>
      <c r="C5" s="23" t="inlineStr">
        <is>
          <t>Live</t>
        </is>
      </c>
      <c r="D5" s="45" t="n">
        <v>28</v>
      </c>
      <c r="E5" s="33" t="n">
        <v>3</v>
      </c>
      <c r="F5" s="46" t="n">
        <v>2400</v>
      </c>
      <c r="G5" s="22" t="inlineStr">
        <is>
          <t>Host-read · 3 eps</t>
        </is>
      </c>
      <c r="H5" s="21" t="n">
        <v>46226</v>
      </c>
    </row>
    <row r="6">
      <c r="A6" s="26" t="inlineStr">
        <is>
          <t>Notion</t>
        </is>
      </c>
      <c r="B6" s="25" t="inlineStr">
        <is>
          <t>Productivity</t>
        </is>
      </c>
      <c r="C6" s="26" t="inlineStr">
        <is>
          <t>Booked</t>
        </is>
      </c>
      <c r="D6" s="47" t="n">
        <v>30</v>
      </c>
      <c r="E6" s="34" t="n">
        <v>2</v>
      </c>
      <c r="F6" s="48" t="n">
        <v>1800</v>
      </c>
      <c r="G6" s="25" t="inlineStr">
        <is>
          <t>Mid-roll</t>
        </is>
      </c>
      <c r="H6" s="24" t="n">
        <v>46234</v>
      </c>
    </row>
    <row r="7">
      <c r="A7" s="23" t="inlineStr">
        <is>
          <t>Squarespace</t>
        </is>
      </c>
      <c r="B7" s="22" t="inlineStr">
        <is>
          <t>Websites</t>
        </is>
      </c>
      <c r="C7" s="23" t="inlineStr">
        <is>
          <t>Live</t>
        </is>
      </c>
      <c r="D7" s="45" t="n">
        <v>26</v>
      </c>
      <c r="E7" s="33" t="n">
        <v>2</v>
      </c>
      <c r="F7" s="46" t="n">
        <v>1300</v>
      </c>
      <c r="G7" s="22" t="inlineStr">
        <is>
          <t>Pre + mid</t>
        </is>
      </c>
      <c r="H7" s="21" t="n">
        <v>46209</v>
      </c>
    </row>
    <row r="8">
      <c r="A8" s="26" t="inlineStr">
        <is>
          <t>Athletic Greens</t>
        </is>
      </c>
      <c r="B8" s="25" t="inlineStr">
        <is>
          <t>Wellness</t>
        </is>
      </c>
      <c r="C8" s="26" t="inlineStr">
        <is>
          <t>Negotiation</t>
        </is>
      </c>
      <c r="D8" s="47" t="n">
        <v>32</v>
      </c>
      <c r="E8" s="34" t="n">
        <v>4</v>
      </c>
      <c r="F8" s="48" t="n">
        <v>2600</v>
      </c>
      <c r="G8" s="25" t="inlineStr">
        <is>
          <t>Whole flight</t>
        </is>
      </c>
      <c r="H8" s="24" t="n">
        <v>46244</v>
      </c>
    </row>
    <row r="9">
      <c r="A9" s="23" t="inlineStr">
        <is>
          <t>HelloFresh</t>
        </is>
      </c>
      <c r="B9" s="22" t="inlineStr">
        <is>
          <t>Meal kits</t>
        </is>
      </c>
      <c r="C9" s="23" t="inlineStr">
        <is>
          <t>Pitched</t>
        </is>
      </c>
      <c r="D9" s="45" t="n">
        <v>24</v>
      </c>
      <c r="E9" s="33" t="n">
        <v>2</v>
      </c>
      <c r="F9" s="46" t="n">
        <v>1100</v>
      </c>
      <c r="G9" s="22" t="inlineStr">
        <is>
          <t>Awaiting reply</t>
        </is>
      </c>
      <c r="H9" s="21" t="n">
        <v>46259</v>
      </c>
    </row>
    <row r="10">
      <c r="A10" s="26" t="inlineStr">
        <is>
          <t>Shopify</t>
        </is>
      </c>
      <c r="B10" s="25" t="inlineStr">
        <is>
          <t>E-commerce</t>
        </is>
      </c>
      <c r="C10" s="26" t="inlineStr">
        <is>
          <t>Lead</t>
        </is>
      </c>
      <c r="D10" s="47" t="n">
        <v>30</v>
      </c>
      <c r="E10" s="34" t="n">
        <v>3</v>
      </c>
      <c r="F10" s="48" t="n">
        <v>2000</v>
      </c>
      <c r="G10" s="25" t="inlineStr">
        <is>
          <t>Warm intro needed</t>
        </is>
      </c>
      <c r="H10" s="24" t="n">
        <v>46274</v>
      </c>
    </row>
    <row r="11">
      <c r="A11" s="23" t="inlineStr">
        <is>
          <t>Fathom</t>
        </is>
      </c>
      <c r="B11" s="22" t="inlineStr">
        <is>
          <t>Analytics</t>
        </is>
      </c>
      <c r="C11" s="23" t="inlineStr">
        <is>
          <t>Completed</t>
        </is>
      </c>
      <c r="D11" s="45" t="n">
        <v>25</v>
      </c>
      <c r="E11" s="33" t="n">
        <v>2</v>
      </c>
      <c r="F11" s="46" t="n">
        <v>900</v>
      </c>
      <c r="G11" s="22" t="inlineStr">
        <is>
          <t>Paid — great CTR</t>
        </is>
      </c>
      <c r="H11" s="21" t="n">
        <v>46184</v>
      </c>
    </row>
    <row r="12">
      <c r="A12" s="26" t="n"/>
      <c r="B12" s="25" t="n"/>
      <c r="C12" s="26" t="n"/>
      <c r="D12" s="47" t="n"/>
      <c r="E12" s="34" t="n"/>
      <c r="F12" s="48" t="n"/>
      <c r="G12" s="25" t="n"/>
      <c r="H12" s="24" t="n"/>
    </row>
    <row r="13">
      <c r="A13" s="23" t="n"/>
      <c r="B13" s="22" t="n"/>
      <c r="C13" s="23" t="n"/>
      <c r="D13" s="45" t="n"/>
      <c r="E13" s="33" t="n"/>
      <c r="F13" s="46" t="n"/>
      <c r="G13" s="22" t="n"/>
      <c r="H13" s="21" t="n"/>
    </row>
    <row r="14">
      <c r="A14" s="26" t="n"/>
      <c r="B14" s="25" t="n"/>
      <c r="C14" s="26" t="n"/>
      <c r="D14" s="47" t="n"/>
      <c r="E14" s="34" t="n"/>
      <c r="F14" s="48" t="n"/>
      <c r="G14" s="25" t="n"/>
      <c r="H14" s="24" t="n"/>
    </row>
    <row r="15">
      <c r="A15" s="23" t="n"/>
      <c r="B15" s="22" t="n"/>
      <c r="C15" s="23" t="n"/>
      <c r="D15" s="45" t="n"/>
      <c r="E15" s="33" t="n"/>
      <c r="F15" s="46" t="n"/>
      <c r="G15" s="22" t="n"/>
      <c r="H15" s="21" t="n"/>
    </row>
    <row r="16">
      <c r="A16" s="26" t="n"/>
      <c r="B16" s="25" t="n"/>
      <c r="C16" s="26" t="n"/>
      <c r="D16" s="47" t="n"/>
      <c r="E16" s="34" t="n"/>
      <c r="F16" s="48" t="n"/>
      <c r="G16" s="25" t="n"/>
      <c r="H16" s="24" t="n"/>
    </row>
    <row r="17">
      <c r="A17" s="23" t="n"/>
      <c r="B17" s="22" t="n"/>
      <c r="C17" s="23" t="n"/>
      <c r="D17" s="45" t="n"/>
      <c r="E17" s="33" t="n"/>
      <c r="F17" s="46" t="n"/>
      <c r="G17" s="22" t="n"/>
      <c r="H17" s="21" t="n"/>
    </row>
    <row r="18">
      <c r="A18" s="26" t="n"/>
      <c r="B18" s="25" t="n"/>
      <c r="C18" s="26" t="n"/>
      <c r="D18" s="47" t="n"/>
      <c r="E18" s="34" t="n"/>
      <c r="F18" s="48" t="n"/>
      <c r="G18" s="25" t="n"/>
      <c r="H18" s="24" t="n"/>
    </row>
    <row r="19">
      <c r="A19" s="23" t="n"/>
      <c r="B19" s="22" t="n"/>
      <c r="C19" s="23" t="n"/>
      <c r="D19" s="45" t="n"/>
      <c r="E19" s="33" t="n"/>
      <c r="F19" s="46" t="n"/>
      <c r="G19" s="22" t="n"/>
      <c r="H19" s="21" t="n"/>
    </row>
    <row r="20">
      <c r="A20" s="26" t="n"/>
      <c r="B20" s="25" t="n"/>
      <c r="C20" s="26" t="n"/>
      <c r="D20" s="47" t="n"/>
      <c r="E20" s="34" t="n"/>
      <c r="F20" s="48" t="n"/>
      <c r="G20" s="25" t="n"/>
      <c r="H20" s="24" t="n"/>
    </row>
    <row r="21">
      <c r="A21" s="23" t="n"/>
      <c r="B21" s="22" t="n"/>
      <c r="C21" s="23" t="n"/>
      <c r="D21" s="45" t="n"/>
      <c r="E21" s="33" t="n"/>
      <c r="F21" s="46" t="n"/>
      <c r="G21" s="22" t="n"/>
      <c r="H21" s="21" t="n"/>
    </row>
    <row r="22">
      <c r="A22" s="26" t="n"/>
      <c r="B22" s="25" t="n"/>
      <c r="C22" s="26" t="n"/>
      <c r="D22" s="47" t="n"/>
      <c r="E22" s="34" t="n"/>
      <c r="F22" s="48" t="n"/>
      <c r="G22" s="25" t="n"/>
      <c r="H22" s="24" t="n"/>
    </row>
    <row r="23">
      <c r="A23" s="23" t="n"/>
      <c r="B23" s="22" t="n"/>
      <c r="C23" s="23" t="n"/>
      <c r="D23" s="45" t="n"/>
      <c r="E23" s="33" t="n"/>
      <c r="F23" s="46" t="n"/>
      <c r="G23" s="22" t="n"/>
      <c r="H23" s="21" t="n"/>
    </row>
    <row r="24">
      <c r="A24" s="26" t="n"/>
      <c r="B24" s="25" t="n"/>
      <c r="C24" s="26" t="n"/>
      <c r="D24" s="47" t="n"/>
      <c r="E24" s="34" t="n"/>
      <c r="F24" s="48" t="n"/>
      <c r="G24" s="25" t="n"/>
      <c r="H24" s="24" t="n"/>
    </row>
    <row r="25">
      <c r="A25" s="23" t="n"/>
      <c r="B25" s="22" t="n"/>
      <c r="C25" s="23" t="n"/>
      <c r="D25" s="45" t="n"/>
      <c r="E25" s="33" t="n"/>
      <c r="F25" s="46" t="n"/>
      <c r="G25" s="22" t="n"/>
      <c r="H25" s="21" t="n"/>
    </row>
    <row r="26">
      <c r="A26" s="26" t="n"/>
      <c r="B26" s="25" t="n"/>
      <c r="C26" s="26" t="n"/>
      <c r="D26" s="47" t="n"/>
      <c r="E26" s="34" t="n"/>
      <c r="F26" s="48" t="n"/>
      <c r="G26" s="25" t="n"/>
      <c r="H26" s="24" t="n"/>
    </row>
    <row r="27">
      <c r="A27" s="23" t="n"/>
      <c r="B27" s="22" t="n"/>
      <c r="C27" s="23" t="n"/>
      <c r="D27" s="45" t="n"/>
      <c r="E27" s="33" t="n"/>
      <c r="F27" s="46" t="n"/>
      <c r="G27" s="22" t="n"/>
      <c r="H27" s="21" t="n"/>
    </row>
    <row r="28">
      <c r="A28" s="26" t="n"/>
      <c r="B28" s="25" t="n"/>
      <c r="C28" s="26" t="n"/>
      <c r="D28" s="47" t="n"/>
      <c r="E28" s="34" t="n"/>
      <c r="F28" s="48" t="n"/>
      <c r="G28" s="25" t="n"/>
      <c r="H28" s="24" t="n"/>
    </row>
    <row r="29">
      <c r="A29" s="23" t="n"/>
      <c r="B29" s="22" t="n"/>
      <c r="C29" s="23" t="n"/>
      <c r="D29" s="45" t="n"/>
      <c r="E29" s="33" t="n"/>
      <c r="F29" s="46" t="n"/>
      <c r="G29" s="22" t="n"/>
      <c r="H29" s="21" t="n"/>
    </row>
    <row r="30">
      <c r="A30" s="26" t="n"/>
      <c r="B30" s="25" t="n"/>
      <c r="C30" s="26" t="n"/>
      <c r="D30" s="47" t="n"/>
      <c r="E30" s="34" t="n"/>
      <c r="F30" s="48" t="n"/>
      <c r="G30" s="25" t="n"/>
      <c r="H30" s="24" t="n"/>
    </row>
    <row r="31">
      <c r="A31" s="23" t="n"/>
      <c r="B31" s="22" t="n"/>
      <c r="C31" s="23" t="n"/>
      <c r="D31" s="45" t="n"/>
      <c r="E31" s="33" t="n"/>
      <c r="F31" s="46" t="n"/>
      <c r="G31" s="22" t="n"/>
      <c r="H31" s="21" t="n"/>
    </row>
    <row r="32">
      <c r="A32" s="26" t="n"/>
      <c r="B32" s="25" t="n"/>
      <c r="C32" s="26" t="n"/>
      <c r="D32" s="47" t="n"/>
      <c r="E32" s="34" t="n"/>
      <c r="F32" s="48" t="n"/>
      <c r="G32" s="25" t="n"/>
      <c r="H32" s="24" t="n"/>
    </row>
    <row r="33">
      <c r="A33" s="23" t="n"/>
      <c r="B33" s="22" t="n"/>
      <c r="C33" s="23" t="n"/>
      <c r="D33" s="45" t="n"/>
      <c r="E33" s="33" t="n"/>
      <c r="F33" s="46" t="n"/>
      <c r="G33" s="22" t="n"/>
      <c r="H33" s="21" t="n"/>
    </row>
    <row r="34">
      <c r="A34" s="26" t="n"/>
      <c r="B34" s="25" t="n"/>
      <c r="C34" s="26" t="n"/>
      <c r="D34" s="47" t="n"/>
      <c r="E34" s="34" t="n"/>
      <c r="F34" s="48" t="n"/>
      <c r="G34" s="25" t="n"/>
      <c r="H34" s="24" t="n"/>
    </row>
  </sheetData>
  <mergeCells count="2">
    <mergeCell ref="A2:H2"/>
    <mergeCell ref="A1:H1"/>
  </mergeCells>
  <conditionalFormatting sqref="C5:C34">
    <cfRule type="cellIs" priority="1" operator="equal" dxfId="0">
      <formula>"Live"</formula>
    </cfRule>
    <cfRule type="cellIs" priority="2" operator="equal" dxfId="1">
      <formula>"Booked"</formula>
    </cfRule>
    <cfRule type="cellIs" priority="3" operator="equal" dxfId="2">
      <formula>"Completed"</formula>
    </cfRule>
    <cfRule type="cellIs" priority="4" operator="equal" dxfId="3">
      <formula>"Lead"</formula>
    </cfRule>
  </conditionalFormatting>
  <dataValidations count="1">
    <dataValidation sqref="C5:C34" showDropDown="0" showInputMessage="0" showErrorMessage="0" allowBlank="1" type="list">
      <formula1>=SponStageList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30" customWidth="1" min="5" max="5"/>
  </cols>
  <sheetData>
    <row r="1" ht="46" customHeight="1">
      <c r="A1" s="1" t="inlineStr">
        <is>
          <t xml:space="preserve">  ⭐  MEMBERSHIPS</t>
        </is>
      </c>
    </row>
    <row r="2" ht="22" customHeight="1">
      <c r="A2" s="2" t="inlineStr">
        <is>
          <t xml:space="preserve">  Recurring income from your biggest fans — tiers, members &amp; monthly revenue.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Tier</t>
        </is>
      </c>
      <c r="B4" s="9" t="inlineStr">
        <is>
          <t>Price</t>
        </is>
      </c>
      <c r="C4" s="9" t="inlineStr">
        <is>
          <t>Members</t>
        </is>
      </c>
      <c r="D4" s="9" t="inlineStr">
        <is>
          <t>Monthly</t>
        </is>
      </c>
      <c r="E4" s="9" t="inlineStr">
        <is>
          <t>Perks</t>
        </is>
      </c>
    </row>
    <row r="5">
      <c r="A5" s="29" t="inlineStr">
        <is>
          <t>Ad-free feed</t>
        </is>
      </c>
      <c r="B5" s="49" t="n">
        <v>5</v>
      </c>
      <c r="C5" s="50" t="n">
        <v>148</v>
      </c>
      <c r="D5" s="51">
        <f>B5*C5</f>
        <v/>
      </c>
      <c r="E5" s="29" t="inlineStr">
        <is>
          <t>Ad-free episodes early</t>
        </is>
      </c>
    </row>
    <row r="6">
      <c r="A6" s="25" t="inlineStr">
        <is>
          <t>Bonus episodes</t>
        </is>
      </c>
      <c r="B6" s="52" t="n">
        <v>10</v>
      </c>
      <c r="C6" s="53" t="n">
        <v>74</v>
      </c>
      <c r="D6" s="48">
        <f>B6*C6</f>
        <v/>
      </c>
      <c r="E6" s="25" t="inlineStr">
        <is>
          <t>2 bonus eps / month</t>
        </is>
      </c>
    </row>
    <row r="7">
      <c r="A7" s="29" t="inlineStr">
        <is>
          <t>Inner Circle</t>
        </is>
      </c>
      <c r="B7" s="49" t="n">
        <v>25</v>
      </c>
      <c r="C7" s="50" t="n">
        <v>30</v>
      </c>
      <c r="D7" s="51">
        <f>B7*C7</f>
        <v/>
      </c>
      <c r="E7" s="29" t="inlineStr">
        <is>
          <t>Bonus + monthly call + Discord</t>
        </is>
      </c>
    </row>
    <row r="8">
      <c r="A8" s="25" t="inlineStr">
        <is>
          <t>Founding member</t>
        </is>
      </c>
      <c r="B8" s="52" t="n">
        <v>50</v>
      </c>
      <c r="C8" s="53" t="n">
        <v>8</v>
      </c>
      <c r="D8" s="48">
        <f>B8*C8</f>
        <v/>
      </c>
      <c r="E8" s="25" t="inlineStr">
        <is>
          <t>All perks + name in credits</t>
        </is>
      </c>
    </row>
    <row r="9">
      <c r="A9" s="9" t="inlineStr">
        <is>
          <t>TOTAL</t>
        </is>
      </c>
      <c r="B9" s="9" t="n"/>
      <c r="C9" s="54">
        <f>SUM(C5:C8)</f>
        <v/>
      </c>
      <c r="D9" s="55">
        <f>SUM(D5:D8)</f>
        <v/>
      </c>
      <c r="E9" s="56" t="n"/>
    </row>
  </sheetData>
  <mergeCells count="2">
    <mergeCell ref="A2:E2"/>
    <mergeCell ref="A1:E1"/>
  </mergeCells>
  <conditionalFormatting sqref="D5:D8">
    <cfRule type="dataBar" priority="1">
      <dataBar showValue="1">
        <cfvo type="num" val="0"/>
        <cfvo type="num" val="800"/>
        <color rgb="001B4F48"/>
      </dataBar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13" customWidth="1" min="4" max="4"/>
    <col width="13" customWidth="1" min="5" max="5"/>
    <col width="26" customWidth="1" min="6" max="6"/>
  </cols>
  <sheetData>
    <row r="1" ht="46" customHeight="1">
      <c r="A1" s="1" t="inlineStr">
        <is>
          <t xml:space="preserve">  ✂  CLIPS &amp; PROMO</t>
        </is>
      </c>
    </row>
    <row r="2" ht="22" customHeight="1">
      <c r="A2" s="2" t="inlineStr">
        <is>
          <t xml:space="preserve">  One episode → many clips — track promo assets, where they ran &amp; what they drove.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Source Clip</t>
        </is>
      </c>
      <c r="B4" s="9" t="inlineStr">
        <is>
          <t>Format</t>
        </is>
      </c>
      <c r="C4" s="9" t="inlineStr">
        <is>
          <t>Posted?</t>
        </is>
      </c>
      <c r="D4" s="9" t="inlineStr">
        <is>
          <t>Views</t>
        </is>
      </c>
      <c r="E4" s="9" t="inlineStr">
        <is>
          <t>New Follows</t>
        </is>
      </c>
      <c r="F4" s="9" t="inlineStr">
        <is>
          <t>Notes</t>
        </is>
      </c>
    </row>
    <row r="5">
      <c r="A5" s="22" t="inlineStr">
        <is>
          <t>Ep 40: '$10k month' moment</t>
        </is>
      </c>
      <c r="B5" s="23" t="inlineStr">
        <is>
          <t>Reel</t>
        </is>
      </c>
      <c r="C5" s="23" t="inlineStr">
        <is>
          <t>Yes</t>
        </is>
      </c>
      <c r="D5" s="33" t="n">
        <v>92000</v>
      </c>
      <c r="E5" s="33" t="n">
        <v>3200</v>
      </c>
      <c r="F5" s="22" t="inlineStr">
        <is>
          <t>Top clip — repost quarterly</t>
        </is>
      </c>
    </row>
    <row r="6">
      <c r="A6" s="25" t="inlineStr">
        <is>
          <t>Ep 42: build-in-public tip</t>
        </is>
      </c>
      <c r="B6" s="26" t="inlineStr">
        <is>
          <t>Short</t>
        </is>
      </c>
      <c r="C6" s="26" t="inlineStr">
        <is>
          <t>Yes</t>
        </is>
      </c>
      <c r="D6" s="34" t="n">
        <v>54000</v>
      </c>
      <c r="E6" s="34" t="n">
        <v>1800</v>
      </c>
      <c r="F6" s="25" t="inlineStr">
        <is>
          <t>Drove Apple follows</t>
        </is>
      </c>
    </row>
    <row r="7">
      <c r="A7" s="22" t="inlineStr">
        <is>
          <t>Ep 41: burnout warning signs</t>
        </is>
      </c>
      <c r="B7" s="23" t="inlineStr">
        <is>
          <t>Carousel</t>
        </is>
      </c>
      <c r="C7" s="23" t="inlineStr">
        <is>
          <t>Yes</t>
        </is>
      </c>
      <c r="D7" s="33" t="n">
        <v>38000</v>
      </c>
      <c r="E7" s="33" t="n">
        <v>2100</v>
      </c>
      <c r="F7" s="22" t="inlineStr">
        <is>
          <t>High saves</t>
        </is>
      </c>
    </row>
    <row r="8">
      <c r="A8" s="25" t="inlineStr">
        <is>
          <t>Ep 43: systems &gt; motivation</t>
        </is>
      </c>
      <c r="B8" s="26" t="inlineStr">
        <is>
          <t>Reel</t>
        </is>
      </c>
      <c r="C8" s="26" t="inlineStr">
        <is>
          <t>No</t>
        </is>
      </c>
      <c r="D8" s="34" t="n">
        <v>0</v>
      </c>
      <c r="E8" s="34" t="n">
        <v>0</v>
      </c>
      <c r="F8" s="25" t="inlineStr">
        <is>
          <t>Cutting this week</t>
        </is>
      </c>
    </row>
    <row r="9">
      <c r="A9" s="22" t="inlineStr">
        <is>
          <t>Ep 39: niche framework</t>
        </is>
      </c>
      <c r="B9" s="23" t="inlineStr">
        <is>
          <t>Short</t>
        </is>
      </c>
      <c r="C9" s="23" t="inlineStr">
        <is>
          <t>Yes</t>
        </is>
      </c>
      <c r="D9" s="33" t="n">
        <v>41000</v>
      </c>
      <c r="E9" s="33" t="n">
        <v>1400</v>
      </c>
      <c r="F9" s="22" t="inlineStr">
        <is>
          <t>Evergreen</t>
        </is>
      </c>
    </row>
    <row r="10">
      <c r="A10" s="25" t="inlineStr">
        <is>
          <t>Ep 40: pricing hot take</t>
        </is>
      </c>
      <c r="B10" s="26" t="inlineStr">
        <is>
          <t>Quote card</t>
        </is>
      </c>
      <c r="C10" s="26" t="inlineStr">
        <is>
          <t>Yes</t>
        </is>
      </c>
      <c r="D10" s="34" t="n">
        <v>22000</v>
      </c>
      <c r="E10" s="34" t="n">
        <v>900</v>
      </c>
      <c r="F10" s="25" t="inlineStr">
        <is>
          <t>Good for Threads</t>
        </is>
      </c>
    </row>
    <row r="11">
      <c r="A11" s="22" t="n"/>
      <c r="B11" s="23" t="n"/>
      <c r="C11" s="23" t="n"/>
      <c r="D11" s="33" t="n"/>
      <c r="E11" s="33" t="n"/>
      <c r="F11" s="22" t="n"/>
    </row>
    <row r="12">
      <c r="A12" s="25" t="n"/>
      <c r="B12" s="26" t="n"/>
      <c r="C12" s="26" t="n"/>
      <c r="D12" s="34" t="n"/>
      <c r="E12" s="34" t="n"/>
      <c r="F12" s="25" t="n"/>
    </row>
    <row r="13">
      <c r="A13" s="22" t="n"/>
      <c r="B13" s="23" t="n"/>
      <c r="C13" s="23" t="n"/>
      <c r="D13" s="33" t="n"/>
      <c r="E13" s="33" t="n"/>
      <c r="F13" s="22" t="n"/>
    </row>
    <row r="14">
      <c r="A14" s="25" t="n"/>
      <c r="B14" s="26" t="n"/>
      <c r="C14" s="26" t="n"/>
      <c r="D14" s="34" t="n"/>
      <c r="E14" s="34" t="n"/>
      <c r="F14" s="25" t="n"/>
    </row>
    <row r="15">
      <c r="A15" s="22" t="n"/>
      <c r="B15" s="23" t="n"/>
      <c r="C15" s="23" t="n"/>
      <c r="D15" s="33" t="n"/>
      <c r="E15" s="33" t="n"/>
      <c r="F15" s="22" t="n"/>
    </row>
    <row r="16">
      <c r="A16" s="25" t="n"/>
      <c r="B16" s="26" t="n"/>
      <c r="C16" s="26" t="n"/>
      <c r="D16" s="34" t="n"/>
      <c r="E16" s="34" t="n"/>
      <c r="F16" s="25" t="n"/>
    </row>
    <row r="17">
      <c r="A17" s="22" t="n"/>
      <c r="B17" s="23" t="n"/>
      <c r="C17" s="23" t="n"/>
      <c r="D17" s="33" t="n"/>
      <c r="E17" s="33" t="n"/>
      <c r="F17" s="22" t="n"/>
    </row>
    <row r="18">
      <c r="A18" s="25" t="n"/>
      <c r="B18" s="26" t="n"/>
      <c r="C18" s="26" t="n"/>
      <c r="D18" s="34" t="n"/>
      <c r="E18" s="34" t="n"/>
      <c r="F18" s="25" t="n"/>
    </row>
    <row r="19">
      <c r="A19" s="22" t="n"/>
      <c r="B19" s="23" t="n"/>
      <c r="C19" s="23" t="n"/>
      <c r="D19" s="33" t="n"/>
      <c r="E19" s="33" t="n"/>
      <c r="F19" s="22" t="n"/>
    </row>
    <row r="20">
      <c r="A20" s="25" t="n"/>
      <c r="B20" s="26" t="n"/>
      <c r="C20" s="26" t="n"/>
      <c r="D20" s="34" t="n"/>
      <c r="E20" s="34" t="n"/>
      <c r="F20" s="25" t="n"/>
    </row>
    <row r="21">
      <c r="A21" s="22" t="n"/>
      <c r="B21" s="23" t="n"/>
      <c r="C21" s="23" t="n"/>
      <c r="D21" s="33" t="n"/>
      <c r="E21" s="33" t="n"/>
      <c r="F21" s="22" t="n"/>
    </row>
    <row r="22">
      <c r="A22" s="25" t="n"/>
      <c r="B22" s="26" t="n"/>
      <c r="C22" s="26" t="n"/>
      <c r="D22" s="34" t="n"/>
      <c r="E22" s="34" t="n"/>
      <c r="F22" s="25" t="n"/>
    </row>
    <row r="23">
      <c r="A23" s="22" t="n"/>
      <c r="B23" s="23" t="n"/>
      <c r="C23" s="23" t="n"/>
      <c r="D23" s="33" t="n"/>
      <c r="E23" s="33" t="n"/>
      <c r="F23" s="22" t="n"/>
    </row>
    <row r="24">
      <c r="A24" s="25" t="n"/>
      <c r="B24" s="26" t="n"/>
      <c r="C24" s="26" t="n"/>
      <c r="D24" s="34" t="n"/>
      <c r="E24" s="34" t="n"/>
      <c r="F24" s="25" t="n"/>
    </row>
    <row r="25">
      <c r="A25" s="22" t="n"/>
      <c r="B25" s="23" t="n"/>
      <c r="C25" s="23" t="n"/>
      <c r="D25" s="33" t="n"/>
      <c r="E25" s="33" t="n"/>
      <c r="F25" s="22" t="n"/>
    </row>
    <row r="26">
      <c r="A26" s="25" t="n"/>
      <c r="B26" s="26" t="n"/>
      <c r="C26" s="26" t="n"/>
      <c r="D26" s="34" t="n"/>
      <c r="E26" s="34" t="n"/>
      <c r="F26" s="25" t="n"/>
    </row>
    <row r="27">
      <c r="A27" s="22" t="n"/>
      <c r="B27" s="23" t="n"/>
      <c r="C27" s="23" t="n"/>
      <c r="D27" s="33" t="n"/>
      <c r="E27" s="33" t="n"/>
      <c r="F27" s="22" t="n"/>
    </row>
    <row r="28">
      <c r="A28" s="25" t="n"/>
      <c r="B28" s="26" t="n"/>
      <c r="C28" s="26" t="n"/>
      <c r="D28" s="34" t="n"/>
      <c r="E28" s="34" t="n"/>
      <c r="F28" s="25" t="n"/>
    </row>
    <row r="29">
      <c r="A29" s="22" t="n"/>
      <c r="B29" s="23" t="n"/>
      <c r="C29" s="23" t="n"/>
      <c r="D29" s="33" t="n"/>
      <c r="E29" s="33" t="n"/>
      <c r="F29" s="22" t="n"/>
    </row>
    <row r="30">
      <c r="A30" s="25" t="n"/>
      <c r="B30" s="26" t="n"/>
      <c r="C30" s="26" t="n"/>
      <c r="D30" s="34" t="n"/>
      <c r="E30" s="34" t="n"/>
      <c r="F30" s="25" t="n"/>
    </row>
    <row r="31">
      <c r="A31" s="22" t="n"/>
      <c r="B31" s="23" t="n"/>
      <c r="C31" s="23" t="n"/>
      <c r="D31" s="33" t="n"/>
      <c r="E31" s="33" t="n"/>
      <c r="F31" s="22" t="n"/>
    </row>
    <row r="32">
      <c r="A32" s="25" t="n"/>
      <c r="B32" s="26" t="n"/>
      <c r="C32" s="26" t="n"/>
      <c r="D32" s="34" t="n"/>
      <c r="E32" s="34" t="n"/>
      <c r="F32" s="25" t="n"/>
    </row>
    <row r="33">
      <c r="A33" s="22" t="n"/>
      <c r="B33" s="23" t="n"/>
      <c r="C33" s="23" t="n"/>
      <c r="D33" s="33" t="n"/>
      <c r="E33" s="33" t="n"/>
      <c r="F33" s="22" t="n"/>
    </row>
    <row r="34">
      <c r="A34" s="25" t="n"/>
      <c r="B34" s="26" t="n"/>
      <c r="C34" s="26" t="n"/>
      <c r="D34" s="34" t="n"/>
      <c r="E34" s="34" t="n"/>
      <c r="F34" s="25" t="n"/>
    </row>
  </sheetData>
  <mergeCells count="2">
    <mergeCell ref="A2:F2"/>
    <mergeCell ref="A1:F1"/>
  </mergeCells>
  <conditionalFormatting sqref="D5:D34">
    <cfRule type="dataBar" priority="1">
      <dataBar showValue="1">
        <cfvo type="num" val="0"/>
        <cfvo type="num" val="92000"/>
        <color rgb="00C9A86A"/>
      </dataBar>
    </cfRule>
  </conditionalFormatting>
  <dataValidations count="1">
    <dataValidation sqref="C5:C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3" customWidth="1" min="4" max="4"/>
    <col width="10" customWidth="1" min="5" max="5"/>
    <col width="11" customWidth="1" min="6" max="6"/>
    <col width="26" customWidth="1" min="7" max="7"/>
  </cols>
  <sheetData>
    <row r="1" ht="46" customHeight="1">
      <c r="A1" s="1" t="inlineStr">
        <is>
          <t xml:space="preserve">  ♻  REPURPOSING ENGINE</t>
        </is>
      </c>
    </row>
    <row r="2" ht="22" customHeight="1">
      <c r="A2" s="2" t="inlineStr">
        <is>
          <t xml:space="preserve">  One episode → ten pieces — track where each episode has been repurposed.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Episode</t>
        </is>
      </c>
      <c r="B4" s="9" t="inlineStr">
        <is>
          <t>Clips</t>
        </is>
      </c>
      <c r="C4" s="9" t="inlineStr">
        <is>
          <t>YouTube</t>
        </is>
      </c>
      <c r="D4" s="9" t="inlineStr">
        <is>
          <t>Newsletter</t>
        </is>
      </c>
      <c r="E4" s="9" t="inlineStr">
        <is>
          <t>Blog</t>
        </is>
      </c>
      <c r="F4" s="9" t="inlineStr">
        <is>
          <t>Social</t>
        </is>
      </c>
      <c r="G4" s="9" t="inlineStr">
        <is>
          <t>Notes</t>
        </is>
      </c>
    </row>
    <row r="5">
      <c r="A5" s="22" t="inlineStr">
        <is>
          <t>Ep 40: Your first $10k month</t>
        </is>
      </c>
      <c r="B5" s="23" t="inlineStr">
        <is>
          <t>Yes</t>
        </is>
      </c>
      <c r="C5" s="23" t="inlineStr">
        <is>
          <t>Yes</t>
        </is>
      </c>
      <c r="D5" s="23" t="inlineStr">
        <is>
          <t>Yes</t>
        </is>
      </c>
      <c r="E5" s="23" t="inlineStr">
        <is>
          <t>Yes</t>
        </is>
      </c>
      <c r="F5" s="23" t="inlineStr">
        <is>
          <t>Yes</t>
        </is>
      </c>
      <c r="G5" s="22" t="inlineStr">
        <is>
          <t>Best-performer everywhere</t>
        </is>
      </c>
    </row>
    <row r="6">
      <c r="A6" s="25" t="inlineStr">
        <is>
          <t>Ep 42: Building in public</t>
        </is>
      </c>
      <c r="B6" s="26" t="inlineStr">
        <is>
          <t>Yes</t>
        </is>
      </c>
      <c r="C6" s="26" t="inlineStr">
        <is>
          <t>Yes</t>
        </is>
      </c>
      <c r="D6" s="26" t="inlineStr">
        <is>
          <t>No</t>
        </is>
      </c>
      <c r="E6" s="26" t="inlineStr">
        <is>
          <t>Yes</t>
        </is>
      </c>
      <c r="F6" s="26" t="inlineStr">
        <is>
          <t>Yes</t>
        </is>
      </c>
      <c r="G6" s="25" t="inlineStr">
        <is>
          <t>YouTube full ep live</t>
        </is>
      </c>
    </row>
    <row r="7">
      <c r="A7" s="22" t="inlineStr">
        <is>
          <t>Ep 41: The burnout trap</t>
        </is>
      </c>
      <c r="B7" s="23" t="inlineStr">
        <is>
          <t>Yes</t>
        </is>
      </c>
      <c r="C7" s="23" t="inlineStr">
        <is>
          <t>No</t>
        </is>
      </c>
      <c r="D7" s="23" t="inlineStr">
        <is>
          <t>Yes</t>
        </is>
      </c>
      <c r="E7" s="23" t="inlineStr">
        <is>
          <t>Yes</t>
        </is>
      </c>
      <c r="F7" s="23" t="inlineStr">
        <is>
          <t>No</t>
        </is>
      </c>
      <c r="G7" s="22" t="inlineStr">
        <is>
          <t>Newsletter feature</t>
        </is>
      </c>
    </row>
    <row r="8">
      <c r="A8" s="25" t="inlineStr">
        <is>
          <t>Ep 43: Systems &gt; motivation</t>
        </is>
      </c>
      <c r="B8" s="26" t="inlineStr">
        <is>
          <t>No</t>
        </is>
      </c>
      <c r="C8" s="26" t="inlineStr">
        <is>
          <t>No</t>
        </is>
      </c>
      <c r="D8" s="26" t="inlineStr">
        <is>
          <t>Yes</t>
        </is>
      </c>
      <c r="E8" s="26" t="inlineStr">
        <is>
          <t>No</t>
        </is>
      </c>
      <c r="F8" s="26" t="inlineStr">
        <is>
          <t>No</t>
        </is>
      </c>
      <c r="G8" s="25" t="inlineStr">
        <is>
          <t>Clips in progress</t>
        </is>
      </c>
    </row>
    <row r="9">
      <c r="A9" s="22" t="inlineStr">
        <is>
          <t>Ep 39: Finding your niche</t>
        </is>
      </c>
      <c r="B9" s="23" t="inlineStr">
        <is>
          <t>Yes</t>
        </is>
      </c>
      <c r="C9" s="23" t="inlineStr">
        <is>
          <t>Yes</t>
        </is>
      </c>
      <c r="D9" s="23" t="inlineStr">
        <is>
          <t>Yes</t>
        </is>
      </c>
      <c r="E9" s="23" t="inlineStr">
        <is>
          <t>Yes</t>
        </is>
      </c>
      <c r="F9" s="23" t="inlineStr">
        <is>
          <t>Yes</t>
        </is>
      </c>
      <c r="G9" s="22" t="inlineStr">
        <is>
          <t>Turned into a lead magnet</t>
        </is>
      </c>
    </row>
    <row r="10">
      <c r="A10" s="25" t="n"/>
      <c r="B10" s="26" t="n"/>
      <c r="C10" s="26" t="n"/>
      <c r="D10" s="26" t="n"/>
      <c r="E10" s="26" t="n"/>
      <c r="F10" s="26" t="n"/>
      <c r="G10" s="25" t="n"/>
    </row>
    <row r="11">
      <c r="A11" s="22" t="n"/>
      <c r="B11" s="23" t="n"/>
      <c r="C11" s="23" t="n"/>
      <c r="D11" s="23" t="n"/>
      <c r="E11" s="23" t="n"/>
      <c r="F11" s="23" t="n"/>
      <c r="G11" s="22" t="n"/>
    </row>
    <row r="12">
      <c r="A12" s="25" t="n"/>
      <c r="B12" s="26" t="n"/>
      <c r="C12" s="26" t="n"/>
      <c r="D12" s="26" t="n"/>
      <c r="E12" s="26" t="n"/>
      <c r="F12" s="26" t="n"/>
      <c r="G12" s="25" t="n"/>
    </row>
    <row r="13">
      <c r="A13" s="22" t="n"/>
      <c r="B13" s="23" t="n"/>
      <c r="C13" s="23" t="n"/>
      <c r="D13" s="23" t="n"/>
      <c r="E13" s="23" t="n"/>
      <c r="F13" s="23" t="n"/>
      <c r="G13" s="22" t="n"/>
    </row>
    <row r="14">
      <c r="A14" s="25" t="n"/>
      <c r="B14" s="26" t="n"/>
      <c r="C14" s="26" t="n"/>
      <c r="D14" s="26" t="n"/>
      <c r="E14" s="26" t="n"/>
      <c r="F14" s="26" t="n"/>
      <c r="G14" s="25" t="n"/>
    </row>
    <row r="15">
      <c r="A15" s="22" t="n"/>
      <c r="B15" s="23" t="n"/>
      <c r="C15" s="23" t="n"/>
      <c r="D15" s="23" t="n"/>
      <c r="E15" s="23" t="n"/>
      <c r="F15" s="23" t="n"/>
      <c r="G15" s="22" t="n"/>
    </row>
    <row r="16">
      <c r="A16" s="25" t="n"/>
      <c r="B16" s="26" t="n"/>
      <c r="C16" s="26" t="n"/>
      <c r="D16" s="26" t="n"/>
      <c r="E16" s="26" t="n"/>
      <c r="F16" s="26" t="n"/>
      <c r="G16" s="25" t="n"/>
    </row>
    <row r="17">
      <c r="A17" s="22" t="n"/>
      <c r="B17" s="23" t="n"/>
      <c r="C17" s="23" t="n"/>
      <c r="D17" s="23" t="n"/>
      <c r="E17" s="23" t="n"/>
      <c r="F17" s="23" t="n"/>
      <c r="G17" s="22" t="n"/>
    </row>
    <row r="18">
      <c r="A18" s="25" t="n"/>
      <c r="B18" s="26" t="n"/>
      <c r="C18" s="26" t="n"/>
      <c r="D18" s="26" t="n"/>
      <c r="E18" s="26" t="n"/>
      <c r="F18" s="26" t="n"/>
      <c r="G18" s="25" t="n"/>
    </row>
    <row r="19">
      <c r="A19" s="22" t="n"/>
      <c r="B19" s="23" t="n"/>
      <c r="C19" s="23" t="n"/>
      <c r="D19" s="23" t="n"/>
      <c r="E19" s="23" t="n"/>
      <c r="F19" s="23" t="n"/>
      <c r="G19" s="22" t="n"/>
    </row>
    <row r="20">
      <c r="A20" s="25" t="n"/>
      <c r="B20" s="26" t="n"/>
      <c r="C20" s="26" t="n"/>
      <c r="D20" s="26" t="n"/>
      <c r="E20" s="26" t="n"/>
      <c r="F20" s="26" t="n"/>
      <c r="G20" s="25" t="n"/>
    </row>
    <row r="21">
      <c r="A21" s="22" t="n"/>
      <c r="B21" s="23" t="n"/>
      <c r="C21" s="23" t="n"/>
      <c r="D21" s="23" t="n"/>
      <c r="E21" s="23" t="n"/>
      <c r="F21" s="23" t="n"/>
      <c r="G21" s="22" t="n"/>
    </row>
    <row r="22">
      <c r="A22" s="25" t="n"/>
      <c r="B22" s="26" t="n"/>
      <c r="C22" s="26" t="n"/>
      <c r="D22" s="26" t="n"/>
      <c r="E22" s="26" t="n"/>
      <c r="F22" s="26" t="n"/>
      <c r="G22" s="25" t="n"/>
    </row>
    <row r="23">
      <c r="A23" s="22" t="n"/>
      <c r="B23" s="23" t="n"/>
      <c r="C23" s="23" t="n"/>
      <c r="D23" s="23" t="n"/>
      <c r="E23" s="23" t="n"/>
      <c r="F23" s="23" t="n"/>
      <c r="G23" s="22" t="n"/>
    </row>
    <row r="24">
      <c r="A24" s="25" t="n"/>
      <c r="B24" s="26" t="n"/>
      <c r="C24" s="26" t="n"/>
      <c r="D24" s="26" t="n"/>
      <c r="E24" s="26" t="n"/>
      <c r="F24" s="26" t="n"/>
      <c r="G24" s="25" t="n"/>
    </row>
    <row r="25">
      <c r="A25" s="22" t="n"/>
      <c r="B25" s="23" t="n"/>
      <c r="C25" s="23" t="n"/>
      <c r="D25" s="23" t="n"/>
      <c r="E25" s="23" t="n"/>
      <c r="F25" s="23" t="n"/>
      <c r="G25" s="22" t="n"/>
    </row>
    <row r="26">
      <c r="A26" s="25" t="n"/>
      <c r="B26" s="26" t="n"/>
      <c r="C26" s="26" t="n"/>
      <c r="D26" s="26" t="n"/>
      <c r="E26" s="26" t="n"/>
      <c r="F26" s="26" t="n"/>
      <c r="G26" s="25" t="n"/>
    </row>
    <row r="27">
      <c r="A27" s="22" t="n"/>
      <c r="B27" s="23" t="n"/>
      <c r="C27" s="23" t="n"/>
      <c r="D27" s="23" t="n"/>
      <c r="E27" s="23" t="n"/>
      <c r="F27" s="23" t="n"/>
      <c r="G27" s="22" t="n"/>
    </row>
    <row r="28">
      <c r="A28" s="25" t="n"/>
      <c r="B28" s="26" t="n"/>
      <c r="C28" s="26" t="n"/>
      <c r="D28" s="26" t="n"/>
      <c r="E28" s="26" t="n"/>
      <c r="F28" s="26" t="n"/>
      <c r="G28" s="25" t="n"/>
    </row>
    <row r="29">
      <c r="A29" s="22" t="n"/>
      <c r="B29" s="23" t="n"/>
      <c r="C29" s="23" t="n"/>
      <c r="D29" s="23" t="n"/>
      <c r="E29" s="23" t="n"/>
      <c r="F29" s="23" t="n"/>
      <c r="G29" s="22" t="n"/>
    </row>
    <row r="30">
      <c r="A30" s="25" t="n"/>
      <c r="B30" s="26" t="n"/>
      <c r="C30" s="26" t="n"/>
      <c r="D30" s="26" t="n"/>
      <c r="E30" s="26" t="n"/>
      <c r="F30" s="26" t="n"/>
      <c r="G30" s="25" t="n"/>
    </row>
    <row r="31">
      <c r="A31" s="22" t="n"/>
      <c r="B31" s="23" t="n"/>
      <c r="C31" s="23" t="n"/>
      <c r="D31" s="23" t="n"/>
      <c r="E31" s="23" t="n"/>
      <c r="F31" s="23" t="n"/>
      <c r="G31" s="22" t="n"/>
    </row>
    <row r="32">
      <c r="A32" s="25" t="n"/>
      <c r="B32" s="26" t="n"/>
      <c r="C32" s="26" t="n"/>
      <c r="D32" s="26" t="n"/>
      <c r="E32" s="26" t="n"/>
      <c r="F32" s="26" t="n"/>
      <c r="G32" s="25" t="n"/>
    </row>
    <row r="33">
      <c r="A33" s="22" t="n"/>
      <c r="B33" s="23" t="n"/>
      <c r="C33" s="23" t="n"/>
      <c r="D33" s="23" t="n"/>
      <c r="E33" s="23" t="n"/>
      <c r="F33" s="23" t="n"/>
      <c r="G33" s="22" t="n"/>
    </row>
    <row r="34">
      <c r="A34" s="25" t="n"/>
      <c r="B34" s="26" t="n"/>
      <c r="C34" s="26" t="n"/>
      <c r="D34" s="26" t="n"/>
      <c r="E34" s="26" t="n"/>
      <c r="F34" s="26" t="n"/>
      <c r="G34" s="25" t="n"/>
    </row>
  </sheetData>
  <mergeCells count="2">
    <mergeCell ref="A2:G2"/>
    <mergeCell ref="A1:G1"/>
  </mergeCells>
  <conditionalFormatting sqref="B5:B34">
    <cfRule type="cellIs" priority="1" operator="equal" dxfId="0">
      <formula>"Yes"</formula>
    </cfRule>
  </conditionalFormatting>
  <conditionalFormatting sqref="C5:C34">
    <cfRule type="cellIs" priority="2" operator="equal" dxfId="0">
      <formula>"Yes"</formula>
    </cfRule>
  </conditionalFormatting>
  <conditionalFormatting sqref="D5:D34">
    <cfRule type="cellIs" priority="3" operator="equal" dxfId="0">
      <formula>"Yes"</formula>
    </cfRule>
  </conditionalFormatting>
  <conditionalFormatting sqref="E5:E34">
    <cfRule type="cellIs" priority="4" operator="equal" dxfId="0">
      <formula>"Yes"</formula>
    </cfRule>
  </conditionalFormatting>
  <conditionalFormatting sqref="F5:F34">
    <cfRule type="cellIs" priority="5" operator="equal" dxfId="0">
      <formula>"Yes"</formula>
    </cfRule>
  </conditionalFormatting>
  <dataValidations count="5">
    <dataValidation sqref="B5:B34" showDropDown="0" showInputMessage="0" showErrorMessage="0" allowBlank="1" type="list">
      <formula1>=YesNoList</formula1>
    </dataValidation>
    <dataValidation sqref="C5:C34" showDropDown="0" showInputMessage="0" showErrorMessage="0" allowBlank="1" type="list">
      <formula1>=YesNoList</formula1>
    </dataValidation>
    <dataValidation sqref="D5:D34" showDropDown="0" showInputMessage="0" showErrorMessage="0" allowBlank="1" type="list">
      <formula1>=YesNoList</formula1>
    </dataValidation>
    <dataValidation sqref="E5:E34" showDropDown="0" showInputMessage="0" showErrorMessage="0" allowBlank="1" type="list">
      <formula1>=YesNoList</formula1>
    </dataValidation>
    <dataValidation sqref="F5:F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3" customWidth="1" min="5" max="5"/>
    <col width="22" customWidth="1" min="6" max="6"/>
    <col width="14" customWidth="1" min="7" max="7"/>
  </cols>
  <sheetData>
    <row r="1" ht="46" customHeight="1">
      <c r="A1" s="1" t="inlineStr">
        <is>
          <t xml:space="preserve">  💰  PODCAST FINANCE CENTER</t>
        </is>
      </c>
    </row>
    <row r="2" ht="22" customHeight="1">
      <c r="A2" s="2" t="inlineStr">
        <is>
          <t xml:space="preserve">  Every income &amp; expense in one place — monthly, run-rate &amp; net profit, live.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Income Source</t>
        </is>
      </c>
      <c r="B4" s="9" t="inlineStr">
        <is>
          <t>This Month</t>
        </is>
      </c>
      <c r="C4" s="9" t="inlineStr">
        <is>
          <t>Annual (est.)</t>
        </is>
      </c>
      <c r="D4" s="9" t="inlineStr">
        <is>
          <t>% of Rev</t>
        </is>
      </c>
      <c r="F4" s="4" t="inlineStr">
        <is>
          <t>MONTHLY EXPENSES</t>
        </is>
      </c>
    </row>
    <row r="5">
      <c r="A5" s="29" t="inlineStr">
        <is>
          <t>Sponsorships</t>
        </is>
      </c>
      <c r="B5" s="49" t="n">
        <v>4200</v>
      </c>
      <c r="C5" s="51">
        <f>B5*12</f>
        <v/>
      </c>
      <c r="D5" s="37">
        <f>IFERROR(B5/$B$12,0)</f>
        <v/>
      </c>
      <c r="F5" s="29" t="inlineStr">
        <is>
          <t>Hosting</t>
        </is>
      </c>
      <c r="G5" s="49" t="n">
        <v>40</v>
      </c>
    </row>
    <row r="6">
      <c r="A6" s="25" t="inlineStr">
        <is>
          <t>Memberships</t>
        </is>
      </c>
      <c r="B6" s="57">
        <f>MemberRev</f>
        <v/>
      </c>
      <c r="C6" s="48">
        <f>B6*12</f>
        <v/>
      </c>
      <c r="D6" s="28">
        <f>IFERROR(B6/$B$12,0)</f>
        <v/>
      </c>
      <c r="F6" s="25" t="inlineStr">
        <is>
          <t>Editing</t>
        </is>
      </c>
      <c r="G6" s="52" t="n">
        <v>800</v>
      </c>
    </row>
    <row r="7">
      <c r="A7" s="29" t="inlineStr">
        <is>
          <t>YouTube</t>
        </is>
      </c>
      <c r="B7" s="49" t="n">
        <v>700</v>
      </c>
      <c r="C7" s="51">
        <f>B7*12</f>
        <v/>
      </c>
      <c r="D7" s="37">
        <f>IFERROR(B7/$B$12,0)</f>
        <v/>
      </c>
      <c r="F7" s="29" t="inlineStr">
        <is>
          <t>Software</t>
        </is>
      </c>
      <c r="G7" s="49" t="n">
        <v>120</v>
      </c>
    </row>
    <row r="8">
      <c r="A8" s="25" t="inlineStr">
        <is>
          <t>Affiliate</t>
        </is>
      </c>
      <c r="B8" s="52" t="n">
        <v>500</v>
      </c>
      <c r="C8" s="48">
        <f>B8*12</f>
        <v/>
      </c>
      <c r="D8" s="28">
        <f>IFERROR(B8/$B$12,0)</f>
        <v/>
      </c>
      <c r="F8" s="25" t="inlineStr">
        <is>
          <t>Equipment</t>
        </is>
      </c>
      <c r="G8" s="52" t="n">
        <v>350</v>
      </c>
    </row>
    <row r="9">
      <c r="A9" s="29" t="inlineStr">
        <is>
          <t>Merch</t>
        </is>
      </c>
      <c r="B9" s="49" t="n">
        <v>300</v>
      </c>
      <c r="C9" s="51">
        <f>B9*12</f>
        <v/>
      </c>
      <c r="D9" s="37">
        <f>IFERROR(B9/$B$12,0)</f>
        <v/>
      </c>
      <c r="F9" s="29" t="inlineStr">
        <is>
          <t>Marketing</t>
        </is>
      </c>
      <c r="G9" s="49" t="n">
        <v>200</v>
      </c>
    </row>
    <row r="10">
      <c r="A10" s="25" t="inlineStr">
        <is>
          <t>Courses</t>
        </is>
      </c>
      <c r="B10" s="52" t="n">
        <v>600</v>
      </c>
      <c r="C10" s="48">
        <f>B10*12</f>
        <v/>
      </c>
      <c r="D10" s="28">
        <f>IFERROR(B10/$B$12,0)</f>
        <v/>
      </c>
      <c r="F10" s="25" t="inlineStr">
        <is>
          <t>Guests &amp; Travel</t>
        </is>
      </c>
      <c r="G10" s="52" t="n">
        <v>150</v>
      </c>
    </row>
    <row r="11">
      <c r="A11" s="29" t="inlineStr">
        <is>
          <t>Live &amp; Other</t>
        </is>
      </c>
      <c r="B11" s="49" t="n">
        <v>200</v>
      </c>
      <c r="C11" s="51">
        <f>B11*12</f>
        <v/>
      </c>
      <c r="D11" s="37">
        <f>IFERROR(B11/$B$12,0)</f>
        <v/>
      </c>
      <c r="F11" s="29" t="inlineStr">
        <is>
          <t>Music &amp; Licensing</t>
        </is>
      </c>
      <c r="G11" s="49" t="n">
        <v>90</v>
      </c>
    </row>
    <row r="12">
      <c r="A12" s="9" t="inlineStr">
        <is>
          <t>TOTAL REVENUE</t>
        </is>
      </c>
      <c r="B12" s="55">
        <f>SUM(B5:B11)</f>
        <v/>
      </c>
      <c r="C12" s="55">
        <f>SUM(C5:C11)</f>
        <v/>
      </c>
      <c r="F12" s="25" t="inlineStr">
        <is>
          <t>Miscellaneous</t>
        </is>
      </c>
      <c r="G12" s="52" t="n">
        <v>150</v>
      </c>
    </row>
    <row r="13">
      <c r="F13" s="9" t="inlineStr">
        <is>
          <t>TOTAL EXPENSES</t>
        </is>
      </c>
      <c r="G13" s="55">
        <f>SUM(G5:G12)</f>
        <v/>
      </c>
    </row>
    <row r="17">
      <c r="A17" s="4" t="inlineStr">
        <is>
          <t>THE BOTTOM LINE</t>
        </is>
      </c>
    </row>
    <row r="18">
      <c r="A18" s="19" t="inlineStr">
        <is>
          <t>Revenue (month)</t>
        </is>
      </c>
      <c r="B18" s="58">
        <f>RevenueTotal</f>
        <v/>
      </c>
    </row>
    <row r="19">
      <c r="A19" s="19" t="inlineStr">
        <is>
          <t>Annual run-rate</t>
        </is>
      </c>
      <c r="B19" s="58">
        <f>RevenueTotal*12</f>
        <v/>
      </c>
    </row>
    <row r="20">
      <c r="A20" s="19" t="inlineStr">
        <is>
          <t>Expenses (month)</t>
        </is>
      </c>
      <c r="B20" s="58">
        <f>ExpenseTotal</f>
        <v/>
      </c>
    </row>
    <row r="21">
      <c r="A21" s="19" t="inlineStr">
        <is>
          <t>Net profit</t>
        </is>
      </c>
      <c r="B21" s="59">
        <f>RevenueTotal-ExpenseTotal</f>
        <v/>
      </c>
    </row>
    <row r="22">
      <c r="A22" s="19" t="inlineStr">
        <is>
          <t>Profit margin</t>
        </is>
      </c>
      <c r="B22" s="60">
        <f>IFERROR((RevenueTotal-ExpenseTotal)/RevenueTotal,0)</f>
        <v/>
      </c>
    </row>
  </sheetData>
  <mergeCells count="4">
    <mergeCell ref="F4:G4"/>
    <mergeCell ref="A17:D17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2" customWidth="1" min="4" max="4"/>
    <col width="18" customWidth="1" min="5" max="5"/>
    <col width="14" customWidth="1" min="6" max="6"/>
  </cols>
  <sheetData>
    <row r="1" ht="46" customHeight="1">
      <c r="A1" s="1" t="inlineStr">
        <is>
          <t xml:space="preserve">  🧾  EXPENSES</t>
        </is>
      </c>
    </row>
    <row r="2" ht="22" customHeight="1">
      <c r="A2" s="2" t="inlineStr">
        <is>
          <t xml:space="preserve">  Every production cost tracked — because a podcast is a business.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Item</t>
        </is>
      </c>
      <c r="C4" s="9" t="inlineStr">
        <is>
          <t>Category</t>
        </is>
      </c>
      <c r="D4" s="9" t="inlineStr">
        <is>
          <t>Amount</t>
        </is>
      </c>
      <c r="E4" s="9" t="inlineStr">
        <is>
          <t>For</t>
        </is>
      </c>
      <c r="F4" s="9" t="inlineStr">
        <is>
          <t>Frequency</t>
        </is>
      </c>
    </row>
    <row r="5">
      <c r="A5" s="21" t="n">
        <v>46192</v>
      </c>
      <c r="B5" s="22" t="inlineStr">
        <is>
          <t>Transistor hosting</t>
        </is>
      </c>
      <c r="C5" s="23" t="inlineStr">
        <is>
          <t>Hosting</t>
        </is>
      </c>
      <c r="D5" s="23" t="inlineStr">
        <is>
          <t>$40</t>
        </is>
      </c>
      <c r="E5" s="22" t="inlineStr">
        <is>
          <t>RSS + analytics</t>
        </is>
      </c>
      <c r="F5" s="23" t="inlineStr">
        <is>
          <t>Monthly</t>
        </is>
      </c>
    </row>
    <row r="6">
      <c r="A6" s="24" t="n">
        <v>46196</v>
      </c>
      <c r="B6" s="25" t="inlineStr">
        <is>
          <t>Editor — Jo</t>
        </is>
      </c>
      <c r="C6" s="26" t="inlineStr">
        <is>
          <t>Editing</t>
        </is>
      </c>
      <c r="D6" s="26" t="inlineStr">
        <is>
          <t>$800</t>
        </is>
      </c>
      <c r="E6" s="25" t="inlineStr">
        <is>
          <t>4 episodes</t>
        </is>
      </c>
      <c r="F6" s="26" t="inlineStr">
        <is>
          <t>Monthly</t>
        </is>
      </c>
    </row>
    <row r="7">
      <c r="A7" s="21" t="n">
        <v>46199</v>
      </c>
      <c r="B7" s="22" t="inlineStr">
        <is>
          <t>Riverside Pro</t>
        </is>
      </c>
      <c r="C7" s="23" t="inlineStr">
        <is>
          <t>Software</t>
        </is>
      </c>
      <c r="D7" s="23" t="inlineStr">
        <is>
          <t>$24</t>
        </is>
      </c>
      <c r="E7" s="22" t="inlineStr">
        <is>
          <t>Recording</t>
        </is>
      </c>
      <c r="F7" s="23" t="inlineStr">
        <is>
          <t>Monthly</t>
        </is>
      </c>
    </row>
    <row r="8">
      <c r="A8" s="24" t="n">
        <v>46203</v>
      </c>
      <c r="B8" s="25" t="inlineStr">
        <is>
          <t>New shotgun mic</t>
        </is>
      </c>
      <c r="C8" s="26" t="inlineStr">
        <is>
          <t>Equipment</t>
        </is>
      </c>
      <c r="D8" s="26" t="inlineStr">
        <is>
          <t>$220</t>
        </is>
      </c>
      <c r="E8" s="25" t="inlineStr">
        <is>
          <t>In-person eps</t>
        </is>
      </c>
      <c r="F8" s="26" t="inlineStr">
        <is>
          <t>One-time</t>
        </is>
      </c>
    </row>
    <row r="9">
      <c r="A9" s="21" t="n">
        <v>46206</v>
      </c>
      <c r="B9" s="22" t="inlineStr">
        <is>
          <t>Ad campaign</t>
        </is>
      </c>
      <c r="C9" s="23" t="inlineStr">
        <is>
          <t>Marketing</t>
        </is>
      </c>
      <c r="D9" s="23" t="inlineStr">
        <is>
          <t>$200</t>
        </is>
      </c>
      <c r="E9" s="22" t="inlineStr">
        <is>
          <t>Promote Ep 40</t>
        </is>
      </c>
      <c r="F9" s="23" t="inlineStr">
        <is>
          <t>Test</t>
        </is>
      </c>
    </row>
    <row r="10">
      <c r="A10" s="24" t="n">
        <v>46209</v>
      </c>
      <c r="B10" s="25" t="inlineStr">
        <is>
          <t>Guest travel</t>
        </is>
      </c>
      <c r="C10" s="26" t="inlineStr">
        <is>
          <t>Guests &amp; Travel</t>
        </is>
      </c>
      <c r="D10" s="26" t="inlineStr">
        <is>
          <t>$150</t>
        </is>
      </c>
      <c r="E10" s="25" t="inlineStr">
        <is>
          <t>In-studio guest</t>
        </is>
      </c>
      <c r="F10" s="26" t="inlineStr">
        <is>
          <t>Per episode</t>
        </is>
      </c>
    </row>
    <row r="11">
      <c r="A11" s="21" t="n">
        <v>46212</v>
      </c>
      <c r="B11" s="22" t="inlineStr">
        <is>
          <t>Music license</t>
        </is>
      </c>
      <c r="C11" s="23" t="inlineStr">
        <is>
          <t>Music &amp; Licensing</t>
        </is>
      </c>
      <c r="D11" s="23" t="inlineStr">
        <is>
          <t>$90</t>
        </is>
      </c>
      <c r="E11" s="22" t="inlineStr">
        <is>
          <t>Intro/outro</t>
        </is>
      </c>
      <c r="F11" s="23" t="inlineStr">
        <is>
          <t>Annual</t>
        </is>
      </c>
    </row>
    <row r="12">
      <c r="A12" s="24" t="n"/>
      <c r="B12" s="25" t="n"/>
      <c r="C12" s="26" t="n"/>
      <c r="D12" s="26" t="n"/>
      <c r="E12" s="25" t="n"/>
      <c r="F12" s="26" t="n"/>
    </row>
    <row r="13">
      <c r="A13" s="21" t="n"/>
      <c r="B13" s="22" t="n"/>
      <c r="C13" s="23" t="n"/>
      <c r="D13" s="23" t="n"/>
      <c r="E13" s="22" t="n"/>
      <c r="F13" s="23" t="n"/>
    </row>
    <row r="14">
      <c r="A14" s="24" t="n"/>
      <c r="B14" s="25" t="n"/>
      <c r="C14" s="26" t="n"/>
      <c r="D14" s="26" t="n"/>
      <c r="E14" s="25" t="n"/>
      <c r="F14" s="26" t="n"/>
    </row>
    <row r="15">
      <c r="A15" s="21" t="n"/>
      <c r="B15" s="22" t="n"/>
      <c r="C15" s="23" t="n"/>
      <c r="D15" s="23" t="n"/>
      <c r="E15" s="22" t="n"/>
      <c r="F15" s="23" t="n"/>
    </row>
    <row r="16">
      <c r="A16" s="24" t="n"/>
      <c r="B16" s="25" t="n"/>
      <c r="C16" s="26" t="n"/>
      <c r="D16" s="26" t="n"/>
      <c r="E16" s="25" t="n"/>
      <c r="F16" s="26" t="n"/>
    </row>
    <row r="17">
      <c r="A17" s="21" t="n"/>
      <c r="B17" s="22" t="n"/>
      <c r="C17" s="23" t="n"/>
      <c r="D17" s="23" t="n"/>
      <c r="E17" s="22" t="n"/>
      <c r="F17" s="23" t="n"/>
    </row>
    <row r="18">
      <c r="A18" s="24" t="n"/>
      <c r="B18" s="25" t="n"/>
      <c r="C18" s="26" t="n"/>
      <c r="D18" s="26" t="n"/>
      <c r="E18" s="25" t="n"/>
      <c r="F18" s="26" t="n"/>
    </row>
    <row r="19">
      <c r="A19" s="21" t="n"/>
      <c r="B19" s="22" t="n"/>
      <c r="C19" s="23" t="n"/>
      <c r="D19" s="23" t="n"/>
      <c r="E19" s="22" t="n"/>
      <c r="F19" s="23" t="n"/>
    </row>
    <row r="20">
      <c r="A20" s="24" t="n"/>
      <c r="B20" s="25" t="n"/>
      <c r="C20" s="26" t="n"/>
      <c r="D20" s="26" t="n"/>
      <c r="E20" s="25" t="n"/>
      <c r="F20" s="26" t="n"/>
    </row>
    <row r="21">
      <c r="A21" s="21" t="n"/>
      <c r="B21" s="22" t="n"/>
      <c r="C21" s="23" t="n"/>
      <c r="D21" s="23" t="n"/>
      <c r="E21" s="22" t="n"/>
      <c r="F21" s="23" t="n"/>
    </row>
    <row r="22">
      <c r="A22" s="24" t="n"/>
      <c r="B22" s="25" t="n"/>
      <c r="C22" s="26" t="n"/>
      <c r="D22" s="26" t="n"/>
      <c r="E22" s="25" t="n"/>
      <c r="F22" s="26" t="n"/>
    </row>
    <row r="23">
      <c r="A23" s="21" t="n"/>
      <c r="B23" s="22" t="n"/>
      <c r="C23" s="23" t="n"/>
      <c r="D23" s="23" t="n"/>
      <c r="E23" s="22" t="n"/>
      <c r="F23" s="23" t="n"/>
    </row>
    <row r="24">
      <c r="A24" s="24" t="n"/>
      <c r="B24" s="25" t="n"/>
      <c r="C24" s="26" t="n"/>
      <c r="D24" s="26" t="n"/>
      <c r="E24" s="25" t="n"/>
      <c r="F24" s="26" t="n"/>
    </row>
    <row r="25">
      <c r="A25" s="21" t="n"/>
      <c r="B25" s="22" t="n"/>
      <c r="C25" s="23" t="n"/>
      <c r="D25" s="23" t="n"/>
      <c r="E25" s="22" t="n"/>
      <c r="F25" s="23" t="n"/>
    </row>
    <row r="26">
      <c r="A26" s="24" t="n"/>
      <c r="B26" s="25" t="n"/>
      <c r="C26" s="26" t="n"/>
      <c r="D26" s="26" t="n"/>
      <c r="E26" s="25" t="n"/>
      <c r="F26" s="26" t="n"/>
    </row>
    <row r="27">
      <c r="A27" s="21" t="n"/>
      <c r="B27" s="22" t="n"/>
      <c r="C27" s="23" t="n"/>
      <c r="D27" s="23" t="n"/>
      <c r="E27" s="22" t="n"/>
      <c r="F27" s="23" t="n"/>
    </row>
    <row r="28">
      <c r="A28" s="24" t="n"/>
      <c r="B28" s="25" t="n"/>
      <c r="C28" s="26" t="n"/>
      <c r="D28" s="26" t="n"/>
      <c r="E28" s="25" t="n"/>
      <c r="F28" s="26" t="n"/>
    </row>
    <row r="29">
      <c r="A29" s="21" t="n"/>
      <c r="B29" s="22" t="n"/>
      <c r="C29" s="23" t="n"/>
      <c r="D29" s="23" t="n"/>
      <c r="E29" s="22" t="n"/>
      <c r="F29" s="23" t="n"/>
    </row>
    <row r="30">
      <c r="A30" s="24" t="n"/>
      <c r="B30" s="25" t="n"/>
      <c r="C30" s="26" t="n"/>
      <c r="D30" s="26" t="n"/>
      <c r="E30" s="25" t="n"/>
      <c r="F30" s="26" t="n"/>
    </row>
    <row r="31">
      <c r="A31" s="21" t="n"/>
      <c r="B31" s="22" t="n"/>
      <c r="C31" s="23" t="n"/>
      <c r="D31" s="23" t="n"/>
      <c r="E31" s="22" t="n"/>
      <c r="F31" s="23" t="n"/>
    </row>
    <row r="32">
      <c r="A32" s="24" t="n"/>
      <c r="B32" s="25" t="n"/>
      <c r="C32" s="26" t="n"/>
      <c r="D32" s="26" t="n"/>
      <c r="E32" s="25" t="n"/>
      <c r="F32" s="26" t="n"/>
    </row>
    <row r="33">
      <c r="A33" s="21" t="n"/>
      <c r="B33" s="22" t="n"/>
      <c r="C33" s="23" t="n"/>
      <c r="D33" s="23" t="n"/>
      <c r="E33" s="22" t="n"/>
      <c r="F33" s="23" t="n"/>
    </row>
    <row r="34">
      <c r="A34" s="24" t="n"/>
      <c r="B34" s="25" t="n"/>
      <c r="C34" s="26" t="n"/>
      <c r="D34" s="26" t="n"/>
      <c r="E34" s="25" t="n"/>
      <c r="F34" s="26" t="n"/>
    </row>
  </sheetData>
  <mergeCells count="2">
    <mergeCell ref="A2:F2"/>
    <mergeCell ref="A1:F1"/>
  </mergeCells>
  <dataValidations count="1">
    <dataValidation sqref="C5:C34" showDropDown="0" showInputMessage="0" showErrorMessage="0" allowBlank="1" type="list">
      <formula1>=ExpCatList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 ht="46" customHeight="1">
      <c r="A1" s="1" t="inlineStr">
        <is>
          <t xml:space="preserve">  🎛  EQUIPMENT</t>
        </is>
      </c>
    </row>
    <row r="2" ht="22" customHeight="1">
      <c r="A2" s="2" t="inlineStr">
        <is>
          <t xml:space="preserve">  Your studio kit, tracked — condition &amp; what to upgrade next.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Item</t>
        </is>
      </c>
      <c r="B4" s="9" t="inlineStr">
        <is>
          <t>Type</t>
        </is>
      </c>
      <c r="C4" s="9" t="inlineStr">
        <is>
          <t>Bought</t>
        </is>
      </c>
      <c r="D4" s="9" t="inlineStr">
        <is>
          <t>Condition</t>
        </is>
      </c>
      <c r="E4" s="9" t="inlineStr">
        <is>
          <t>Notes</t>
        </is>
      </c>
      <c r="F4" s="9" t="inlineStr">
        <is>
          <t>Working?</t>
        </is>
      </c>
    </row>
    <row r="5">
      <c r="A5" s="23" t="inlineStr">
        <is>
          <t>Shure SM7B</t>
        </is>
      </c>
      <c r="B5" s="23" t="inlineStr">
        <is>
          <t>Microphone</t>
        </is>
      </c>
      <c r="C5" s="21" t="n">
        <v>45714</v>
      </c>
      <c r="D5" s="23" t="inlineStr">
        <is>
          <t>Good</t>
        </is>
      </c>
      <c r="E5" s="22" t="inlineStr">
        <is>
          <t>Host mic</t>
        </is>
      </c>
      <c r="F5" s="23" t="inlineStr">
        <is>
          <t>Yes</t>
        </is>
      </c>
    </row>
    <row r="6">
      <c r="A6" s="26" t="inlineStr">
        <is>
          <t>Cloudlifter</t>
        </is>
      </c>
      <c r="B6" s="26" t="inlineStr">
        <is>
          <t>Preamp</t>
        </is>
      </c>
      <c r="C6" s="24" t="n">
        <v>45714</v>
      </c>
      <c r="D6" s="26" t="inlineStr">
        <is>
          <t>Good</t>
        </is>
      </c>
      <c r="E6" s="25" t="inlineStr">
        <is>
          <t>Boosts SM7B</t>
        </is>
      </c>
      <c r="F6" s="26" t="inlineStr">
        <is>
          <t>Yes</t>
        </is>
      </c>
    </row>
    <row r="7">
      <c r="A7" s="23" t="inlineStr">
        <is>
          <t>RodeCaster Pro</t>
        </is>
      </c>
      <c r="B7" s="23" t="inlineStr">
        <is>
          <t>Interface</t>
        </is>
      </c>
      <c r="C7" s="21" t="n">
        <v>45814</v>
      </c>
      <c r="D7" s="23" t="inlineStr">
        <is>
          <t>Good</t>
        </is>
      </c>
      <c r="E7" s="22" t="inlineStr">
        <is>
          <t>Mixer / recorder</t>
        </is>
      </c>
      <c r="F7" s="23" t="inlineStr">
        <is>
          <t>Yes</t>
        </is>
      </c>
    </row>
    <row r="8">
      <c r="A8" s="26" t="inlineStr">
        <is>
          <t>Backup SD recorder</t>
        </is>
      </c>
      <c r="B8" s="26" t="inlineStr">
        <is>
          <t>Recorder</t>
        </is>
      </c>
      <c r="C8" s="24" t="n">
        <v>45914</v>
      </c>
      <c r="D8" s="26" t="inlineStr">
        <is>
          <t>Fair</t>
        </is>
      </c>
      <c r="E8" s="25" t="inlineStr">
        <is>
          <t>Replace card soon</t>
        </is>
      </c>
      <c r="F8" s="26" t="inlineStr">
        <is>
          <t>No</t>
        </is>
      </c>
    </row>
    <row r="9">
      <c r="A9" s="23" t="inlineStr">
        <is>
          <t>Guest mic (2nd SM7B)</t>
        </is>
      </c>
      <c r="B9" s="23" t="inlineStr">
        <is>
          <t>Microphone</t>
        </is>
      </c>
      <c r="C9" s="21" t="n">
        <v>46094</v>
      </c>
      <c r="D9" s="23" t="inlineStr">
        <is>
          <t>New</t>
        </is>
      </c>
      <c r="E9" s="22" t="inlineStr">
        <is>
          <t>In-person</t>
        </is>
      </c>
      <c r="F9" s="23" t="inlineStr">
        <is>
          <t>Yes</t>
        </is>
      </c>
    </row>
    <row r="10">
      <c r="A10" s="26" t="inlineStr">
        <is>
          <t>Closed-back headphones</t>
        </is>
      </c>
      <c r="B10" s="26" t="inlineStr">
        <is>
          <t>Monitoring</t>
        </is>
      </c>
      <c r="C10" s="24" t="n">
        <v>46014</v>
      </c>
      <c r="D10" s="26" t="inlineStr">
        <is>
          <t>Good</t>
        </is>
      </c>
      <c r="E10" s="25" t="inlineStr">
        <is>
          <t>x2</t>
        </is>
      </c>
      <c r="F10" s="26" t="inlineStr">
        <is>
          <t>Yes</t>
        </is>
      </c>
    </row>
    <row r="11">
      <c r="A11" s="23" t="inlineStr">
        <is>
          <t>Acoustic panels</t>
        </is>
      </c>
      <c r="B11" s="23" t="inlineStr">
        <is>
          <t>Treatment</t>
        </is>
      </c>
      <c r="C11" s="21" t="n">
        <v>46064</v>
      </c>
      <c r="D11" s="23" t="inlineStr">
        <is>
          <t>Good</t>
        </is>
      </c>
      <c r="E11" s="22" t="inlineStr">
        <is>
          <t>Room treatment</t>
        </is>
      </c>
      <c r="F11" s="23" t="inlineStr">
        <is>
          <t>Yes</t>
        </is>
      </c>
    </row>
    <row r="12">
      <c r="A12" s="26" t="n"/>
      <c r="B12" s="26" t="n"/>
      <c r="C12" s="24" t="n"/>
      <c r="D12" s="26" t="n"/>
      <c r="E12" s="25" t="n"/>
      <c r="F12" s="26" t="n"/>
    </row>
    <row r="13">
      <c r="A13" s="23" t="n"/>
      <c r="B13" s="23" t="n"/>
      <c r="C13" s="21" t="n"/>
      <c r="D13" s="23" t="n"/>
      <c r="E13" s="22" t="n"/>
      <c r="F13" s="23" t="n"/>
    </row>
    <row r="14">
      <c r="A14" s="26" t="n"/>
      <c r="B14" s="26" t="n"/>
      <c r="C14" s="24" t="n"/>
      <c r="D14" s="26" t="n"/>
      <c r="E14" s="25" t="n"/>
      <c r="F14" s="26" t="n"/>
    </row>
    <row r="15">
      <c r="A15" s="23" t="n"/>
      <c r="B15" s="23" t="n"/>
      <c r="C15" s="21" t="n"/>
      <c r="D15" s="23" t="n"/>
      <c r="E15" s="22" t="n"/>
      <c r="F15" s="23" t="n"/>
    </row>
    <row r="16">
      <c r="A16" s="26" t="n"/>
      <c r="B16" s="26" t="n"/>
      <c r="C16" s="24" t="n"/>
      <c r="D16" s="26" t="n"/>
      <c r="E16" s="25" t="n"/>
      <c r="F16" s="26" t="n"/>
    </row>
    <row r="17">
      <c r="A17" s="23" t="n"/>
      <c r="B17" s="23" t="n"/>
      <c r="C17" s="21" t="n"/>
      <c r="D17" s="23" t="n"/>
      <c r="E17" s="22" t="n"/>
      <c r="F17" s="23" t="n"/>
    </row>
    <row r="18">
      <c r="A18" s="26" t="n"/>
      <c r="B18" s="26" t="n"/>
      <c r="C18" s="24" t="n"/>
      <c r="D18" s="26" t="n"/>
      <c r="E18" s="25" t="n"/>
      <c r="F18" s="26" t="n"/>
    </row>
    <row r="19">
      <c r="A19" s="23" t="n"/>
      <c r="B19" s="23" t="n"/>
      <c r="C19" s="21" t="n"/>
      <c r="D19" s="23" t="n"/>
      <c r="E19" s="22" t="n"/>
      <c r="F19" s="23" t="n"/>
    </row>
    <row r="20">
      <c r="A20" s="26" t="n"/>
      <c r="B20" s="26" t="n"/>
      <c r="C20" s="24" t="n"/>
      <c r="D20" s="26" t="n"/>
      <c r="E20" s="25" t="n"/>
      <c r="F20" s="26" t="n"/>
    </row>
    <row r="21">
      <c r="A21" s="23" t="n"/>
      <c r="B21" s="23" t="n"/>
      <c r="C21" s="21" t="n"/>
      <c r="D21" s="23" t="n"/>
      <c r="E21" s="22" t="n"/>
      <c r="F21" s="23" t="n"/>
    </row>
    <row r="22">
      <c r="A22" s="26" t="n"/>
      <c r="B22" s="26" t="n"/>
      <c r="C22" s="24" t="n"/>
      <c r="D22" s="26" t="n"/>
      <c r="E22" s="25" t="n"/>
      <c r="F22" s="26" t="n"/>
    </row>
    <row r="23">
      <c r="A23" s="23" t="n"/>
      <c r="B23" s="23" t="n"/>
      <c r="C23" s="21" t="n"/>
      <c r="D23" s="23" t="n"/>
      <c r="E23" s="22" t="n"/>
      <c r="F23" s="23" t="n"/>
    </row>
    <row r="24">
      <c r="A24" s="26" t="n"/>
      <c r="B24" s="26" t="n"/>
      <c r="C24" s="24" t="n"/>
      <c r="D24" s="26" t="n"/>
      <c r="E24" s="25" t="n"/>
      <c r="F24" s="26" t="n"/>
    </row>
  </sheetData>
  <mergeCells count="2">
    <mergeCell ref="A2:F2"/>
    <mergeCell ref="A1:F1"/>
  </mergeCells>
  <conditionalFormatting sqref="F5:F24">
    <cfRule type="cellIs" priority="1" operator="equal" dxfId="1">
      <formula>"No"</formula>
    </cfRule>
  </conditionalFormatting>
  <dataValidations count="1">
    <dataValidation sqref="F5:F2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4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⭐  REVIEWS &amp; RATINGS</t>
        </is>
      </c>
    </row>
    <row r="2" ht="22" customHeight="1">
      <c r="A2" s="2" t="inlineStr">
        <is>
          <t xml:space="preserve">  Your reputation — ratings by platform and the themes listeners mention.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PLATFORM RATINGS</t>
        </is>
      </c>
    </row>
    <row r="6" ht="30" customHeight="1">
      <c r="B6" s="9" t="inlineStr">
        <is>
          <t>Platform</t>
        </is>
      </c>
      <c r="C6" s="9" t="inlineStr">
        <is>
          <t>Rating</t>
        </is>
      </c>
      <c r="D6" s="9" t="inlineStr">
        <is>
          <t>Reviews</t>
        </is>
      </c>
      <c r="E6" s="9" t="inlineStr">
        <is>
          <t>Trend</t>
        </is>
      </c>
      <c r="F6" s="9" t="inlineStr">
        <is>
          <t>Listeners Love</t>
        </is>
      </c>
    </row>
    <row r="7">
      <c r="B7" s="29" t="inlineStr">
        <is>
          <t>Apple Podcasts</t>
        </is>
      </c>
      <c r="C7" s="42" t="n">
        <v>4.8</v>
      </c>
      <c r="D7" s="30" t="n">
        <v>640</v>
      </c>
      <c r="E7" s="30" t="inlineStr">
        <is>
          <t>▲ +0.1</t>
        </is>
      </c>
      <c r="F7" s="29" t="inlineStr">
        <is>
          <t>Actionable &amp; honest</t>
        </is>
      </c>
    </row>
    <row r="8">
      <c r="B8" s="25" t="inlineStr">
        <is>
          <t>Spotify</t>
        </is>
      </c>
      <c r="C8" s="43" t="n">
        <v>4.7</v>
      </c>
      <c r="D8" s="26" t="n">
        <v>210</v>
      </c>
      <c r="E8" s="26" t="inlineStr">
        <is>
          <t>▲ +0.2</t>
        </is>
      </c>
      <c r="F8" s="25" t="inlineStr">
        <is>
          <t>Great guests</t>
        </is>
      </c>
    </row>
    <row r="9">
      <c r="B9" s="29" t="inlineStr">
        <is>
          <t>Podchaser</t>
        </is>
      </c>
      <c r="C9" s="42" t="n">
        <v>4.9</v>
      </c>
      <c r="D9" s="30" t="n">
        <v>48</v>
      </c>
      <c r="E9" s="30" t="inlineStr">
        <is>
          <t>► flat</t>
        </is>
      </c>
      <c r="F9" s="29" t="inlineStr">
        <is>
          <t>Best in the niche</t>
        </is>
      </c>
    </row>
    <row r="10">
      <c r="B10" s="25" t="inlineStr">
        <is>
          <t>Goodpods</t>
        </is>
      </c>
      <c r="C10" s="43" t="n">
        <v>4.8</v>
      </c>
      <c r="D10" s="26" t="n">
        <v>62</v>
      </c>
      <c r="E10" s="26" t="inlineStr">
        <is>
          <t>▲ +0.1</t>
        </is>
      </c>
      <c r="F10" s="25" t="inlineStr">
        <is>
          <t>Underrated gem</t>
        </is>
      </c>
    </row>
    <row r="11">
      <c r="B11" s="9" t="inlineStr">
        <is>
          <t>AVG RATING</t>
        </is>
      </c>
      <c r="C11" s="61">
        <f>AVERAGE(C7:C10)</f>
        <v/>
      </c>
      <c r="D11" s="54">
        <f>SUM(D7:D10)</f>
        <v/>
      </c>
      <c r="E11" s="56" t="n"/>
      <c r="F11" s="56" t="n"/>
    </row>
  </sheetData>
  <mergeCells count="3">
    <mergeCell ref="A2:G2"/>
    <mergeCell ref="A1:G1"/>
    <mergeCell ref="B5:F5"/>
  </mergeCells>
  <conditionalFormatting sqref="C7:C10">
    <cfRule type="dataBar" priority="1">
      <dataBar showValue="1">
        <cfvo type="num" val="0"/>
        <cfvo type="num" val="5"/>
        <color rgb="00C9A86A"/>
      </dataBar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4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🎨  BRAND KIT</t>
        </is>
      </c>
    </row>
    <row r="2" ht="22" customHeight="1">
      <c r="A2" s="2" t="inlineStr">
        <is>
          <t xml:space="preserve">  Stay recognizable — cover art, sound, voice &amp; links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SOUND &amp; VISUAL</t>
        </is>
      </c>
    </row>
    <row r="6" ht="24" customHeight="1">
      <c r="B6" s="19" t="inlineStr">
        <is>
          <t>Primary Color</t>
        </is>
      </c>
      <c r="C6" s="20" t="inlineStr">
        <is>
          <t>#1B4F48 Forest</t>
        </is>
      </c>
      <c r="E6" s="19" t="inlineStr">
        <is>
          <t>Accent Color</t>
        </is>
      </c>
      <c r="F6" s="20" t="inlineStr">
        <is>
          <t>#C9A86A Gold</t>
        </is>
      </c>
    </row>
    <row r="7" ht="24" customHeight="1">
      <c r="B7" s="19" t="inlineStr">
        <is>
          <t>Cover Art</t>
        </is>
      </c>
      <c r="C7" s="20" t="inlineStr">
        <is>
          <t>brand/miw-cover.png</t>
        </is>
      </c>
      <c r="E7" s="19" t="inlineStr">
        <is>
          <t>Intro Music</t>
        </is>
      </c>
      <c r="F7" s="20" t="inlineStr">
        <is>
          <t>'Open Road' — 8s</t>
        </is>
      </c>
    </row>
    <row r="8" ht="24" customHeight="1">
      <c r="B8" s="19" t="inlineStr">
        <is>
          <t>Outro CTA</t>
        </is>
      </c>
      <c r="C8" s="20" t="inlineStr">
        <is>
          <t>Rate, review &amp; subscribe</t>
        </is>
      </c>
      <c r="E8" s="19" t="inlineStr">
        <is>
          <t>Ad Slot</t>
        </is>
      </c>
      <c r="F8" s="20" t="inlineStr">
        <is>
          <t>Host-read, 60-90s</t>
        </is>
      </c>
    </row>
    <row r="10" ht="22" customHeight="1">
      <c r="B10" s="4" t="inlineStr">
        <is>
          <t>VOICE</t>
        </is>
      </c>
    </row>
    <row r="11" ht="24" customHeight="1">
      <c r="B11" s="19" t="inlineStr">
        <is>
          <t>Tone</t>
        </is>
      </c>
      <c r="C11" s="20" t="inlineStr">
        <is>
          <t>Warm, candid, practical</t>
        </is>
      </c>
      <c r="E11" s="19" t="inlineStr">
        <is>
          <t>We say</t>
        </is>
      </c>
      <c r="F11" s="20" t="inlineStr">
        <is>
          <t>'Let's make it work'</t>
        </is>
      </c>
    </row>
    <row r="12" ht="24" customHeight="1">
      <c r="B12" s="19" t="inlineStr">
        <is>
          <t>We avoid</t>
        </is>
      </c>
      <c r="C12" s="20" t="inlineStr">
        <is>
          <t>Hustle-porn &amp; hype</t>
        </is>
      </c>
      <c r="E12" s="19" t="inlineStr">
        <is>
          <t>Episode title style</t>
        </is>
      </c>
      <c r="F12" s="20" t="inlineStr">
        <is>
          <t>Clear promise, no clickbait</t>
        </is>
      </c>
    </row>
    <row r="13" ht="24" customHeight="1">
      <c r="B13" s="19" t="inlineStr">
        <is>
          <t>Guest ask</t>
        </is>
      </c>
      <c r="C13" s="20" t="inlineStr">
        <is>
          <t>One story + one tactic</t>
        </is>
      </c>
      <c r="E13" s="19" t="inlineStr">
        <is>
          <t>Sign-off</t>
        </is>
      </c>
      <c r="F13" s="20" t="inlineStr">
        <is>
          <t>'See you next Tuesday'</t>
        </is>
      </c>
    </row>
    <row r="15" ht="22" customHeight="1">
      <c r="B15" s="4" t="inlineStr">
        <is>
          <t>LINKS</t>
        </is>
      </c>
    </row>
    <row r="16">
      <c r="B16" s="19" t="inlineStr">
        <is>
          <t>Website</t>
        </is>
      </c>
      <c r="C16" s="20" t="inlineStr">
        <is>
          <t>makeitwork.fm</t>
        </is>
      </c>
      <c r="E16" s="19" t="inlineStr">
        <is>
          <t>Sponsor kit</t>
        </is>
      </c>
      <c r="F16" s="20" t="inlineStr">
        <is>
          <t>makeitwork.fm/sponsor</t>
        </is>
      </c>
    </row>
    <row r="17">
      <c r="B17" s="19" t="inlineStr">
        <is>
          <t>Guest form</t>
        </is>
      </c>
      <c r="C17" s="20" t="inlineStr">
        <is>
          <t>makeitwork.fm/guest</t>
        </is>
      </c>
      <c r="E17" s="19" t="inlineStr">
        <is>
          <t>Newsletter</t>
        </is>
      </c>
      <c r="F17" s="20" t="inlineStr">
        <is>
          <t>The Debrief</t>
        </is>
      </c>
    </row>
    <row r="18">
      <c r="B18" s="19" t="inlineStr">
        <is>
          <t>Membership</t>
        </is>
      </c>
      <c r="C18" s="20" t="inlineStr">
        <is>
          <t>makeitwork.fm/circle</t>
        </is>
      </c>
      <c r="E18" s="19" t="inlineStr">
        <is>
          <t>Email</t>
        </is>
      </c>
      <c r="F18" s="20" t="inlineStr">
        <is>
          <t>hi@makeitwork.fm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📸  COVER &amp; CLIP GALLERY</t>
        </is>
      </c>
    </row>
    <row r="2" ht="22" customHeight="1">
      <c r="A2" s="2" t="inlineStr">
        <is>
          <t xml:space="preserve">  Your visual archive — episode art, clip covers &amp; quote cards, captioned.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YOUR ART</t>
        </is>
      </c>
    </row>
    <row r="6" ht="26" customHeight="1">
      <c r="B6" s="62" t="inlineStr">
        <is>
          <t>Excel: Insert ▸ Pictures ▸ Place in Cell (or drag an image) into any framed box below. Google Sheets: click a box, Insert ▸ Image ▸ Image in cell, or paste =IMAGE("paste-link-here"). Caption each one underneath — episode, downloads &amp; what made it work.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63" t="inlineStr">
        <is>
          <t>🖼
Episode Art
(add art)</t>
        </is>
      </c>
      <c r="C9" s="63" t="inlineStr">
        <is>
          <t>🖼
Top Clip
(add art)</t>
        </is>
      </c>
      <c r="D9" s="63" t="inlineStr">
        <is>
          <t>🖼
Guest Promo
(add art)</t>
        </is>
      </c>
    </row>
    <row r="10"/>
    <row r="11"/>
    <row r="12"/>
    <row r="13" ht="30" customHeight="1">
      <c r="B13" s="64" t="inlineStr">
        <is>
          <t>Episode · downloads · notes…</t>
        </is>
      </c>
      <c r="C13" s="64" t="inlineStr">
        <is>
          <t>Episode · downloads · notes…</t>
        </is>
      </c>
      <c r="D13" s="64" t="inlineStr">
        <is>
          <t>Episode · downloads · notes…</t>
        </is>
      </c>
    </row>
    <row r="15" ht="120" customHeight="1">
      <c r="B15" s="63" t="inlineStr">
        <is>
          <t>🖼
Quote Card
(add art)</t>
        </is>
      </c>
      <c r="C15" s="63" t="inlineStr">
        <is>
          <t>🖼
Season Cover
(add art)</t>
        </is>
      </c>
      <c r="D15" s="63" t="inlineStr">
        <is>
          <t>🖼
Milestone
(add art)</t>
        </is>
      </c>
    </row>
    <row r="16"/>
    <row r="17"/>
    <row r="18"/>
    <row r="19" ht="30" customHeight="1">
      <c r="B19" s="64" t="inlineStr">
        <is>
          <t>Episode · downloads · notes…</t>
        </is>
      </c>
      <c r="C19" s="64" t="inlineStr">
        <is>
          <t>Episode · downloads · notes…</t>
        </is>
      </c>
      <c r="D19" s="64" t="inlineStr">
        <is>
          <t>Episode · downloads · notes…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6" customWidth="1" min="4" max="4"/>
    <col width="12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🎯  GOALS &amp; OKRs</t>
        </is>
      </c>
    </row>
    <row r="2" ht="22" customHeight="1">
      <c r="A2" s="2" t="inlineStr">
        <is>
          <t xml:space="preserve">  Run your show on objectives — measurable key results with live progress.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Objective / Key Result</t>
        </is>
      </c>
      <c r="B4" s="9" t="inlineStr">
        <is>
          <t>Category</t>
        </is>
      </c>
      <c r="C4" s="9" t="inlineStr">
        <is>
          <t>Target</t>
        </is>
      </c>
      <c r="D4" s="9" t="inlineStr">
        <is>
          <t>Current</t>
        </is>
      </c>
      <c r="E4" s="9" t="inlineStr">
        <is>
          <t>Progress</t>
        </is>
      </c>
    </row>
    <row r="5">
      <c r="A5" s="29" t="inlineStr">
        <is>
          <t>Hit 25k subscribers</t>
        </is>
      </c>
      <c r="B5" s="30" t="inlineStr">
        <is>
          <t>Subscribers</t>
        </is>
      </c>
      <c r="C5" s="30" t="inlineStr">
        <is>
          <t>25,000</t>
        </is>
      </c>
      <c r="D5" s="30" t="inlineStr">
        <is>
          <t>18,500</t>
        </is>
      </c>
      <c r="E5" s="65" t="n">
        <v>0.74</v>
      </c>
    </row>
    <row r="6">
      <c r="A6" s="25" t="inlineStr">
        <is>
          <t>$10k/mo revenue</t>
        </is>
      </c>
      <c r="B6" s="26" t="inlineStr">
        <is>
          <t>Revenue</t>
        </is>
      </c>
      <c r="C6" s="26" t="inlineStr">
        <is>
          <t>$10,000</t>
        </is>
      </c>
      <c r="D6" s="26" t="inlineStr">
        <is>
          <t>$9,130</t>
        </is>
      </c>
      <c r="E6" s="66" t="n">
        <v>0.91</v>
      </c>
    </row>
    <row r="7">
      <c r="A7" s="29" t="inlineStr">
        <is>
          <t>50k downloads / month</t>
        </is>
      </c>
      <c r="B7" s="30" t="inlineStr">
        <is>
          <t>Downloads</t>
        </is>
      </c>
      <c r="C7" s="30" t="inlineStr">
        <is>
          <t>50,000</t>
        </is>
      </c>
      <c r="D7" s="30" t="inlineStr">
        <is>
          <t>42,000</t>
        </is>
      </c>
      <c r="E7" s="65" t="n">
        <v>0.84</v>
      </c>
    </row>
    <row r="8">
      <c r="A8" s="25" t="inlineStr">
        <is>
          <t>Publish 5 episodes / month</t>
        </is>
      </c>
      <c r="B8" s="26" t="inlineStr">
        <is>
          <t>Episodes</t>
        </is>
      </c>
      <c r="C8" s="26" t="inlineStr">
        <is>
          <t>5</t>
        </is>
      </c>
      <c r="D8" s="26" t="inlineStr">
        <is>
          <t>4</t>
        </is>
      </c>
      <c r="E8" s="66" t="n">
        <v>0.8</v>
      </c>
    </row>
    <row r="9">
      <c r="A9" s="29" t="inlineStr">
        <is>
          <t>Land 4 active sponsors</t>
        </is>
      </c>
      <c r="B9" s="30" t="inlineStr">
        <is>
          <t>Sponsors</t>
        </is>
      </c>
      <c r="C9" s="30" t="inlineStr">
        <is>
          <t>4</t>
        </is>
      </c>
      <c r="D9" s="30" t="inlineStr">
        <is>
          <t>3</t>
        </is>
      </c>
      <c r="E9" s="65" t="n">
        <v>0.75</v>
      </c>
    </row>
    <row r="10">
      <c r="A10" s="25" t="inlineStr">
        <is>
          <t>300 paying members</t>
        </is>
      </c>
      <c r="B10" s="26" t="inlineStr">
        <is>
          <t>Members</t>
        </is>
      </c>
      <c r="C10" s="26" t="inlineStr">
        <is>
          <t>300</t>
        </is>
      </c>
      <c r="D10" s="26" t="inlineStr">
        <is>
          <t>260</t>
        </is>
      </c>
      <c r="E10" s="66" t="n">
        <v>0.87</v>
      </c>
    </row>
    <row r="11">
      <c r="A11" s="29" t="inlineStr">
        <is>
          <t>Lift consumption to 80%</t>
        </is>
      </c>
      <c r="B11" s="30" t="inlineStr">
        <is>
          <t>Consumption</t>
        </is>
      </c>
      <c r="C11" s="30" t="inlineStr">
        <is>
          <t>80%</t>
        </is>
      </c>
      <c r="D11" s="30" t="inlineStr">
        <is>
          <t>78%</t>
        </is>
      </c>
      <c r="E11" s="65" t="n">
        <v>0.97</v>
      </c>
    </row>
  </sheetData>
  <mergeCells count="2">
    <mergeCell ref="A2:F2"/>
    <mergeCell ref="A1:F1"/>
  </mergeCells>
  <conditionalFormatting sqref="E5:E11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B5:B11" showDropDown="0" showInputMessage="0" showErrorMessage="0" allowBlank="1" type="list">
      <formula1>=GoalCatList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4" customWidth="1" min="4" max="4"/>
    <col width="2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🌍  AUDIENCE INSIGHTS</t>
        </is>
      </c>
    </row>
    <row r="2" ht="22" customHeight="1">
      <c r="A2" s="2" t="inlineStr">
        <is>
          <t xml:space="preserve">  Know who's listening — demographics, devices &amp; what your audience wants.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WHO'S LISTENING</t>
        </is>
      </c>
      <c r="E5" s="4" t="inlineStr">
        <is>
          <t>WHEN &amp; WHAT</t>
        </is>
      </c>
    </row>
    <row r="6">
      <c r="B6" s="19" t="inlineStr">
        <is>
          <t>Age 25-34</t>
        </is>
      </c>
      <c r="C6" s="20" t="inlineStr">
        <is>
          <t>38%</t>
        </is>
      </c>
      <c r="E6" s="19" t="inlineStr">
        <is>
          <t>Best drop day</t>
        </is>
      </c>
      <c r="F6" s="20" t="inlineStr">
        <is>
          <t>Tuesday</t>
        </is>
      </c>
    </row>
    <row r="7">
      <c r="B7" s="19" t="inlineStr">
        <is>
          <t>Age 35-44</t>
        </is>
      </c>
      <c r="C7" s="20" t="inlineStr">
        <is>
          <t>34%</t>
        </is>
      </c>
      <c r="E7" s="19" t="inlineStr">
        <is>
          <t>Peak listens</t>
        </is>
      </c>
      <c r="F7" s="20" t="inlineStr">
        <is>
          <t>Commute 7-9am</t>
        </is>
      </c>
    </row>
    <row r="8">
      <c r="B8" s="19" t="inlineStr">
        <is>
          <t>Age 45-54</t>
        </is>
      </c>
      <c r="C8" s="20" t="inlineStr">
        <is>
          <t>16%</t>
        </is>
      </c>
      <c r="E8" s="19" t="inlineStr">
        <is>
          <t>2nd peak</t>
        </is>
      </c>
      <c r="F8" s="20" t="inlineStr">
        <is>
          <t>Gym 5-7pm</t>
        </is>
      </c>
    </row>
    <row r="9">
      <c r="B9" s="19" t="inlineStr">
        <is>
          <t>Men / Women</t>
        </is>
      </c>
      <c r="C9" s="20" t="inlineStr">
        <is>
          <t>54 / 46</t>
        </is>
      </c>
      <c r="E9" s="19" t="inlineStr">
        <is>
          <t>Top format</t>
        </is>
      </c>
      <c r="F9" s="20" t="inlineStr">
        <is>
          <t>Interview</t>
        </is>
      </c>
    </row>
    <row r="10">
      <c r="B10" s="19" t="inlineStr">
        <is>
          <t>Top country</t>
        </is>
      </c>
      <c r="C10" s="20" t="inlineStr">
        <is>
          <t>US 61%</t>
        </is>
      </c>
      <c r="E10" s="19" t="inlineStr">
        <is>
          <t>Most-shared</t>
        </is>
      </c>
      <c r="F10" s="20" t="inlineStr">
        <is>
          <t>Money episodes</t>
        </is>
      </c>
    </row>
    <row r="11">
      <c r="B11" s="19" t="inlineStr">
        <is>
          <t>Then</t>
        </is>
      </c>
      <c r="C11" s="20" t="inlineStr">
        <is>
          <t>UK · CA · AU</t>
        </is>
      </c>
      <c r="E11" s="19" t="inlineStr">
        <is>
          <t>Most-requested</t>
        </is>
      </c>
      <c r="F11" s="20" t="inlineStr">
        <is>
          <t>Solo deep dives</t>
        </is>
      </c>
    </row>
    <row r="12">
      <c r="B12" s="19" t="inlineStr">
        <is>
          <t>Mobile listens</t>
        </is>
      </c>
      <c r="C12" s="20" t="inlineStr">
        <is>
          <t>82%</t>
        </is>
      </c>
      <c r="E12" s="19" t="inlineStr">
        <is>
          <t>Avg listen</t>
        </is>
      </c>
      <c r="F12" s="20" t="inlineStr">
        <is>
          <t>38 of 48 min</t>
        </is>
      </c>
    </row>
    <row r="13">
      <c r="B13" s="19" t="inlineStr">
        <is>
          <t>Finish rate</t>
        </is>
      </c>
      <c r="C13" s="20" t="inlineStr">
        <is>
          <t>78%</t>
        </is>
      </c>
      <c r="E13" s="19" t="inlineStr">
        <is>
          <t>Review driver</t>
        </is>
      </c>
      <c r="F13" s="20" t="inlineStr">
        <is>
          <t>End-of-ep ask</t>
        </is>
      </c>
    </row>
  </sheetData>
  <mergeCells count="4">
    <mergeCell ref="E5:F5"/>
    <mergeCell ref="B5:C5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3" customWidth="1" min="4" max="4"/>
    <col width="13" customWidth="1" min="5" max="5"/>
    <col width="26" customWidth="1" min="6" max="6"/>
  </cols>
  <sheetData>
    <row r="1" ht="46" customHeight="1">
      <c r="A1" s="1" t="inlineStr">
        <is>
          <t xml:space="preserve">  👥  COLLABS &amp; CROSS-PROMO</t>
        </is>
      </c>
    </row>
    <row r="2" ht="22" customHeight="1">
      <c r="A2" s="2" t="inlineStr">
        <is>
          <t xml:space="preserve">  Grow through other shows — feed swaps, guest trades &amp; shout-outs, idea to done.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Show</t>
        </is>
      </c>
      <c r="B4" s="9" t="inlineStr">
        <is>
          <t>Their Reach</t>
        </is>
      </c>
      <c r="C4" s="9" t="inlineStr">
        <is>
          <t>Type</t>
        </is>
      </c>
      <c r="D4" s="9" t="inlineStr">
        <is>
          <t>Status</t>
        </is>
      </c>
      <c r="E4" s="9" t="inlineStr">
        <is>
          <t>Date</t>
        </is>
      </c>
      <c r="F4" s="9" t="inlineStr">
        <is>
          <t>Idea</t>
        </is>
      </c>
    </row>
    <row r="5">
      <c r="A5" s="23" t="inlineStr">
        <is>
          <t>The Founder Diaries</t>
        </is>
      </c>
      <c r="B5" s="33" t="n">
        <v>92000</v>
      </c>
      <c r="C5" s="23" t="inlineStr">
        <is>
          <t>Feed swap</t>
        </is>
      </c>
      <c r="D5" s="23" t="inlineStr">
        <is>
          <t>Confirmed</t>
        </is>
      </c>
      <c r="E5" s="21" t="n">
        <v>46223</v>
      </c>
      <c r="F5" s="22" t="inlineStr">
        <is>
          <t>Trade promo episodes</t>
        </is>
      </c>
    </row>
    <row r="6">
      <c r="A6" s="26" t="inlineStr">
        <is>
          <t>Creative Cents</t>
        </is>
      </c>
      <c r="B6" s="34" t="n">
        <v>54000</v>
      </c>
      <c r="C6" s="26" t="inlineStr">
        <is>
          <t>Guest swap</t>
        </is>
      </c>
      <c r="D6" s="26" t="inlineStr">
        <is>
          <t>Recorded</t>
        </is>
      </c>
      <c r="E6" s="24" t="n">
        <v>46206</v>
      </c>
      <c r="F6" s="25" t="inlineStr">
        <is>
          <t>Both host on each other</t>
        </is>
      </c>
    </row>
    <row r="7">
      <c r="A7" s="23" t="inlineStr">
        <is>
          <t>The Solo Show</t>
        </is>
      </c>
      <c r="B7" s="33" t="n">
        <v>130000</v>
      </c>
      <c r="C7" s="23" t="inlineStr">
        <is>
          <t>Feed drop</t>
        </is>
      </c>
      <c r="D7" s="23" t="inlineStr">
        <is>
          <t>Idea</t>
        </is>
      </c>
      <c r="E7" s="21" t="n">
        <v>46234</v>
      </c>
      <c r="F7" s="22" t="inlineStr">
        <is>
          <t>Ask for a feed drop</t>
        </is>
      </c>
    </row>
    <row r="8">
      <c r="A8" s="26" t="inlineStr">
        <is>
          <t>Money Talks</t>
        </is>
      </c>
      <c r="B8" s="34" t="n">
        <v>210000</v>
      </c>
      <c r="C8" s="26" t="inlineStr">
        <is>
          <t>Shout-out</t>
        </is>
      </c>
      <c r="D8" s="26" t="inlineStr">
        <is>
          <t>Confirmed</t>
        </is>
      </c>
      <c r="E8" s="24" t="n">
        <v>46218</v>
      </c>
      <c r="F8" s="25" t="inlineStr">
        <is>
          <t>Cross-mention</t>
        </is>
      </c>
    </row>
    <row r="9">
      <c r="A9" s="23" t="inlineStr">
        <is>
          <t>Build Something</t>
        </is>
      </c>
      <c r="B9" s="33" t="n">
        <v>68000</v>
      </c>
      <c r="C9" s="23" t="inlineStr">
        <is>
          <t>Bonus collab</t>
        </is>
      </c>
      <c r="D9" s="23" t="inlineStr">
        <is>
          <t>Planned</t>
        </is>
      </c>
      <c r="E9" s="21" t="n">
        <v>46229</v>
      </c>
      <c r="F9" s="22" t="inlineStr">
        <is>
          <t>Joint bonus ep</t>
        </is>
      </c>
    </row>
    <row r="10">
      <c r="A10" s="26" t="inlineStr">
        <is>
          <t>The Weekly Review</t>
        </is>
      </c>
      <c r="B10" s="34" t="n">
        <v>45000</v>
      </c>
      <c r="C10" s="26" t="inlineStr">
        <is>
          <t>Newsletter swap</t>
        </is>
      </c>
      <c r="D10" s="26" t="inlineStr">
        <is>
          <t>Idea</t>
        </is>
      </c>
      <c r="E10" s="24" t="n">
        <v>46239</v>
      </c>
      <c r="F10" s="25" t="inlineStr">
        <is>
          <t>Trade newsletter blurbs</t>
        </is>
      </c>
    </row>
    <row r="11">
      <c r="A11" s="23" t="n"/>
      <c r="B11" s="33" t="n"/>
      <c r="C11" s="23" t="n"/>
      <c r="D11" s="23" t="n"/>
      <c r="E11" s="21" t="n"/>
      <c r="F11" s="22" t="n"/>
    </row>
    <row r="12">
      <c r="A12" s="26" t="n"/>
      <c r="B12" s="34" t="n"/>
      <c r="C12" s="26" t="n"/>
      <c r="D12" s="26" t="n"/>
      <c r="E12" s="24" t="n"/>
      <c r="F12" s="25" t="n"/>
    </row>
    <row r="13">
      <c r="A13" s="23" t="n"/>
      <c r="B13" s="33" t="n"/>
      <c r="C13" s="23" t="n"/>
      <c r="D13" s="23" t="n"/>
      <c r="E13" s="21" t="n"/>
      <c r="F13" s="22" t="n"/>
    </row>
    <row r="14">
      <c r="A14" s="26" t="n"/>
      <c r="B14" s="34" t="n"/>
      <c r="C14" s="26" t="n"/>
      <c r="D14" s="26" t="n"/>
      <c r="E14" s="24" t="n"/>
      <c r="F14" s="25" t="n"/>
    </row>
    <row r="15">
      <c r="A15" s="23" t="n"/>
      <c r="B15" s="33" t="n"/>
      <c r="C15" s="23" t="n"/>
      <c r="D15" s="23" t="n"/>
      <c r="E15" s="21" t="n"/>
      <c r="F15" s="22" t="n"/>
    </row>
    <row r="16">
      <c r="A16" s="26" t="n"/>
      <c r="B16" s="34" t="n"/>
      <c r="C16" s="26" t="n"/>
      <c r="D16" s="26" t="n"/>
      <c r="E16" s="24" t="n"/>
      <c r="F16" s="25" t="n"/>
    </row>
    <row r="17">
      <c r="A17" s="23" t="n"/>
      <c r="B17" s="33" t="n"/>
      <c r="C17" s="23" t="n"/>
      <c r="D17" s="23" t="n"/>
      <c r="E17" s="21" t="n"/>
      <c r="F17" s="22" t="n"/>
    </row>
    <row r="18">
      <c r="A18" s="26" t="n"/>
      <c r="B18" s="34" t="n"/>
      <c r="C18" s="26" t="n"/>
      <c r="D18" s="26" t="n"/>
      <c r="E18" s="24" t="n"/>
      <c r="F18" s="25" t="n"/>
    </row>
    <row r="19">
      <c r="A19" s="23" t="n"/>
      <c r="B19" s="33" t="n"/>
      <c r="C19" s="23" t="n"/>
      <c r="D19" s="23" t="n"/>
      <c r="E19" s="21" t="n"/>
      <c r="F19" s="22" t="n"/>
    </row>
    <row r="20">
      <c r="A20" s="26" t="n"/>
      <c r="B20" s="34" t="n"/>
      <c r="C20" s="26" t="n"/>
      <c r="D20" s="26" t="n"/>
      <c r="E20" s="24" t="n"/>
      <c r="F20" s="25" t="n"/>
    </row>
    <row r="21">
      <c r="A21" s="23" t="n"/>
      <c r="B21" s="33" t="n"/>
      <c r="C21" s="23" t="n"/>
      <c r="D21" s="23" t="n"/>
      <c r="E21" s="21" t="n"/>
      <c r="F21" s="22" t="n"/>
    </row>
    <row r="22">
      <c r="A22" s="26" t="n"/>
      <c r="B22" s="34" t="n"/>
      <c r="C22" s="26" t="n"/>
      <c r="D22" s="26" t="n"/>
      <c r="E22" s="24" t="n"/>
      <c r="F22" s="25" t="n"/>
    </row>
    <row r="23">
      <c r="A23" s="23" t="n"/>
      <c r="B23" s="33" t="n"/>
      <c r="C23" s="23" t="n"/>
      <c r="D23" s="23" t="n"/>
      <c r="E23" s="21" t="n"/>
      <c r="F23" s="22" t="n"/>
    </row>
    <row r="24">
      <c r="A24" s="26" t="n"/>
      <c r="B24" s="34" t="n"/>
      <c r="C24" s="26" t="n"/>
      <c r="D24" s="26" t="n"/>
      <c r="E24" s="24" t="n"/>
      <c r="F24" s="25" t="n"/>
    </row>
    <row r="25">
      <c r="A25" s="23" t="n"/>
      <c r="B25" s="33" t="n"/>
      <c r="C25" s="23" t="n"/>
      <c r="D25" s="23" t="n"/>
      <c r="E25" s="21" t="n"/>
      <c r="F25" s="22" t="n"/>
    </row>
    <row r="26">
      <c r="A26" s="26" t="n"/>
      <c r="B26" s="34" t="n"/>
      <c r="C26" s="26" t="n"/>
      <c r="D26" s="26" t="n"/>
      <c r="E26" s="24" t="n"/>
      <c r="F26" s="25" t="n"/>
    </row>
    <row r="27">
      <c r="A27" s="23" t="n"/>
      <c r="B27" s="33" t="n"/>
      <c r="C27" s="23" t="n"/>
      <c r="D27" s="23" t="n"/>
      <c r="E27" s="21" t="n"/>
      <c r="F27" s="22" t="n"/>
    </row>
    <row r="28">
      <c r="A28" s="26" t="n"/>
      <c r="B28" s="34" t="n"/>
      <c r="C28" s="26" t="n"/>
      <c r="D28" s="26" t="n"/>
      <c r="E28" s="24" t="n"/>
      <c r="F28" s="25" t="n"/>
    </row>
  </sheetData>
  <mergeCells count="2">
    <mergeCell ref="A2:F2"/>
    <mergeCell ref="A1:F1"/>
  </mergeCells>
  <conditionalFormatting sqref="D5:D28">
    <cfRule type="cellIs" priority="1" operator="equal" dxfId="0">
      <formula>"Recorded"</formula>
    </cfRule>
    <cfRule type="cellIs" priority="2" operator="equal" dxfId="1">
      <formula>"Confirmed"</formula>
    </cfRule>
    <cfRule type="cellIs" priority="3" operator="equal" dxfId="2">
      <formula>"Planned"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show details &amp; targets once — every dashboard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SHOW INPUTS</t>
        </is>
      </c>
      <c r="E5" s="4" t="inlineStr">
        <is>
          <t>DROPDOWN LISTS</t>
        </is>
      </c>
    </row>
    <row r="6">
      <c r="B6" s="19" t="inlineStr">
        <is>
          <t>Show Name</t>
        </is>
      </c>
      <c r="C6" s="67" t="inlineStr">
        <is>
          <t>Make It Work</t>
        </is>
      </c>
      <c r="E6" s="9" t="inlineStr">
        <is>
          <t>Episode Format</t>
        </is>
      </c>
      <c r="F6" s="9" t="inlineStr">
        <is>
          <t>Episode Status</t>
        </is>
      </c>
      <c r="G6" s="9" t="inlineStr">
        <is>
          <t>Revenue Category</t>
        </is>
      </c>
      <c r="H6" s="9" t="inlineStr">
        <is>
          <t>Expense Category</t>
        </is>
      </c>
      <c r="I6" s="9" t="inlineStr">
        <is>
          <t>Sponsor Stage</t>
        </is>
      </c>
      <c r="J6" s="9" t="inlineStr">
        <is>
          <t>Guest Status</t>
        </is>
      </c>
      <c r="K6" s="9" t="inlineStr">
        <is>
          <t>Goal Category</t>
        </is>
      </c>
      <c r="L6" s="9" t="inlineStr">
        <is>
          <t>Priority</t>
        </is>
      </c>
    </row>
    <row r="7">
      <c r="B7" s="19" t="inlineStr">
        <is>
          <t>Host</t>
        </is>
      </c>
      <c r="C7" s="67" t="inlineStr">
        <is>
          <t>Priya Anand</t>
        </is>
      </c>
      <c r="E7" s="29" t="inlineStr">
        <is>
          <t>Interview</t>
        </is>
      </c>
      <c r="F7" s="29" t="inlineStr">
        <is>
          <t>Idea</t>
        </is>
      </c>
      <c r="G7" s="29" t="inlineStr">
        <is>
          <t>Sponsorships</t>
        </is>
      </c>
      <c r="H7" s="29" t="inlineStr">
        <is>
          <t>Hosting</t>
        </is>
      </c>
      <c r="I7" s="29" t="inlineStr">
        <is>
          <t>Lead</t>
        </is>
      </c>
      <c r="J7" s="29" t="inlineStr">
        <is>
          <t>Idea</t>
        </is>
      </c>
      <c r="K7" s="29" t="inlineStr">
        <is>
          <t>Subscribers</t>
        </is>
      </c>
      <c r="L7" s="29" t="inlineStr">
        <is>
          <t>High</t>
        </is>
      </c>
    </row>
    <row r="8">
      <c r="B8" s="19" t="inlineStr">
        <is>
          <t>Category</t>
        </is>
      </c>
      <c r="C8" s="67" t="inlineStr">
        <is>
          <t>Business &amp; creativity</t>
        </is>
      </c>
      <c r="E8" s="29" t="inlineStr">
        <is>
          <t>Solo</t>
        </is>
      </c>
      <c r="F8" s="29" t="inlineStr">
        <is>
          <t>Booked</t>
        </is>
      </c>
      <c r="G8" s="29" t="inlineStr">
        <is>
          <t>Memberships</t>
        </is>
      </c>
      <c r="H8" s="29" t="inlineStr">
        <is>
          <t>Editing</t>
        </is>
      </c>
      <c r="I8" s="29" t="inlineStr">
        <is>
          <t>Pitched</t>
        </is>
      </c>
      <c r="J8" s="29" t="inlineStr">
        <is>
          <t>Invited</t>
        </is>
      </c>
      <c r="K8" s="29" t="inlineStr">
        <is>
          <t>Downloads</t>
        </is>
      </c>
      <c r="L8" s="29" t="inlineStr">
        <is>
          <t>Medium</t>
        </is>
      </c>
    </row>
    <row r="9">
      <c r="B9" s="19" t="inlineStr">
        <is>
          <t>Monthly Revenue Goal</t>
        </is>
      </c>
      <c r="C9" s="49" t="n">
        <v>10000</v>
      </c>
      <c r="E9" s="29" t="inlineStr">
        <is>
          <t>Panel</t>
        </is>
      </c>
      <c r="F9" s="29" t="inlineStr">
        <is>
          <t>Recording</t>
        </is>
      </c>
      <c r="G9" s="29" t="inlineStr">
        <is>
          <t>YouTube</t>
        </is>
      </c>
      <c r="H9" s="29" t="inlineStr">
        <is>
          <t>Software</t>
        </is>
      </c>
      <c r="I9" s="29" t="inlineStr">
        <is>
          <t>Negotiation</t>
        </is>
      </c>
      <c r="J9" s="29" t="inlineStr">
        <is>
          <t>Booked</t>
        </is>
      </c>
      <c r="K9" s="29" t="inlineStr">
        <is>
          <t>Revenue</t>
        </is>
      </c>
      <c r="L9" s="29" t="inlineStr">
        <is>
          <t>Low</t>
        </is>
      </c>
    </row>
    <row r="10">
      <c r="B10" s="19" t="inlineStr">
        <is>
          <t>Monthly Episode Goal</t>
        </is>
      </c>
      <c r="C10" s="68" t="n">
        <v>5</v>
      </c>
      <c r="E10" s="29" t="inlineStr">
        <is>
          <t>Q&amp;A</t>
        </is>
      </c>
      <c r="F10" s="29" t="inlineStr">
        <is>
          <t>Editing</t>
        </is>
      </c>
      <c r="G10" s="29" t="inlineStr">
        <is>
          <t>Affiliate</t>
        </is>
      </c>
      <c r="H10" s="29" t="inlineStr">
        <is>
          <t>Equipment</t>
        </is>
      </c>
      <c r="I10" s="29" t="inlineStr">
        <is>
          <t>Booked</t>
        </is>
      </c>
      <c r="J10" s="29" t="inlineStr">
        <is>
          <t>Recorded</t>
        </is>
      </c>
      <c r="K10" s="29" t="inlineStr">
        <is>
          <t>Episodes</t>
        </is>
      </c>
    </row>
    <row r="11">
      <c r="B11" s="19" t="inlineStr">
        <is>
          <t>Monthly Download Goal</t>
        </is>
      </c>
      <c r="C11" s="50" t="n">
        <v>50000</v>
      </c>
      <c r="E11" s="29" t="inlineStr">
        <is>
          <t>Deep Dive</t>
        </is>
      </c>
      <c r="F11" s="29" t="inlineStr">
        <is>
          <t>Scheduled</t>
        </is>
      </c>
      <c r="G11" s="29" t="inlineStr">
        <is>
          <t>Merch</t>
        </is>
      </c>
      <c r="H11" s="29" t="inlineStr">
        <is>
          <t>Marketing</t>
        </is>
      </c>
      <c r="I11" s="29" t="inlineStr">
        <is>
          <t>Live</t>
        </is>
      </c>
      <c r="J11" s="29" t="inlineStr">
        <is>
          <t>Published</t>
        </is>
      </c>
      <c r="K11" s="29" t="inlineStr">
        <is>
          <t>Sponsors</t>
        </is>
      </c>
    </row>
    <row r="12">
      <c r="B12" s="19" t="inlineStr">
        <is>
          <t>Consumption Target</t>
        </is>
      </c>
      <c r="C12" s="65" t="n">
        <v>0.8</v>
      </c>
      <c r="E12" s="29" t="inlineStr">
        <is>
          <t>Bonus</t>
        </is>
      </c>
      <c r="F12" s="29" t="inlineStr">
        <is>
          <t>Published</t>
        </is>
      </c>
      <c r="G12" s="29" t="inlineStr">
        <is>
          <t>Courses</t>
        </is>
      </c>
      <c r="H12" s="29" t="inlineStr">
        <is>
          <t>Guests &amp; Travel</t>
        </is>
      </c>
      <c r="I12" s="29" t="inlineStr">
        <is>
          <t>Completed</t>
        </is>
      </c>
      <c r="J12" s="29" t="inlineStr">
        <is>
          <t>Declined</t>
        </is>
      </c>
      <c r="K12" s="29" t="inlineStr">
        <is>
          <t>Members</t>
        </is>
      </c>
    </row>
    <row r="13">
      <c r="B13" s="19" t="inlineStr">
        <is>
          <t>Active Sponsor Target</t>
        </is>
      </c>
      <c r="C13" s="68" t="n">
        <v>4</v>
      </c>
      <c r="E13" s="29" t="inlineStr">
        <is>
          <t>Trailer</t>
        </is>
      </c>
      <c r="F13" s="29" t="inlineStr">
        <is>
          <t>Repurposed</t>
        </is>
      </c>
      <c r="G13" s="29" t="inlineStr">
        <is>
          <t>Live &amp; Other</t>
        </is>
      </c>
      <c r="H13" s="29" t="inlineStr">
        <is>
          <t>Music &amp; Licensing</t>
        </is>
      </c>
      <c r="K13" s="29" t="inlineStr">
        <is>
          <t>Consumption</t>
        </is>
      </c>
    </row>
    <row r="14">
      <c r="B14" s="19" t="inlineStr">
        <is>
          <t>Subscriber Growth Goal (mo)</t>
        </is>
      </c>
      <c r="C14" s="50" t="n">
        <v>2000</v>
      </c>
      <c r="H14" s="29" t="inlineStr">
        <is>
          <t>Miscellaneous</t>
        </is>
      </c>
    </row>
    <row r="16">
      <c r="E16" s="9" t="inlineStr">
        <is>
          <t>Yes / No</t>
        </is>
      </c>
    </row>
    <row r="17">
      <c r="E17" s="29" t="inlineStr">
        <is>
          <t>Yes</t>
        </is>
      </c>
    </row>
    <row r="18">
      <c r="E18" s="29" t="inlineStr">
        <is>
          <t>No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2026-07-11T16:10:58Z</dcterms:created>
  <dcterms:modified xsi:type="dcterms:W3CDTF">2026-07-11T16:10:58Z</dcterms:modified>
</cp:coreProperties>
</file>