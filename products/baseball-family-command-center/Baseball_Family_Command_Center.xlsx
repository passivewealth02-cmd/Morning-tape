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layer Profile" sheetId="3" state="visible" r:id="rId3"/>
    <sheet name="Calendar" sheetId="4" state="visible" r:id="rId4"/>
    <sheet name="Game Day" sheetId="5" state="visible" r:id="rId5"/>
    <sheet name="Practice" sheetId="6" state="visible" r:id="rId6"/>
    <sheet name="Budget" sheetId="7" state="visible" r:id="rId7"/>
    <sheet name="Equipment" sheetId="8" state="visible" r:id="rId8"/>
    <sheet name="Bats" sheetId="9" state="visible" r:id="rId9"/>
    <sheet name="Gloves" sheetId="10" state="visible" r:id="rId10"/>
    <sheet name="Stats" sheetId="11" state="visible" r:id="rId11"/>
    <sheet name="Pitching" sheetId="12" state="visible" r:id="rId12"/>
    <sheet name="Tournaments" sheetId="13" state="visible" r:id="rId13"/>
    <sheet name="Travel" sheetId="14" state="visible" r:id="rId14"/>
    <sheet name="Roster" sheetId="15" state="visible" r:id="rId15"/>
    <sheet name="Volunteers" sheetId="16" state="visible" r:id="rId16"/>
    <sheet name="Development" sheetId="17" state="visible" r:id="rId17"/>
    <sheet name="Nutrition" sheetId="18" state="visible" r:id="rId18"/>
    <sheet name="Medical" sheetId="19" state="visible" r:id="rId19"/>
    <sheet name="Packing" sheetId="20" state="visible" r:id="rId20"/>
    <sheet name="Fundraising" sheetId="21" state="visible" r:id="rId21"/>
    <sheet name="Gallery" sheetId="22" state="visible" r:id="rId22"/>
    <sheet name="Goals" sheetId="23" state="visible" r:id="rId23"/>
    <sheet name="Analytics" sheetId="24" state="visible" r:id="rId24"/>
    <sheet name="Settings" sheetId="25" state="visible" r:id="rId25"/>
  </sheets>
  <definedNames>
    <definedName name="PlayerName">Settings!$C$6</definedName>
    <definedName name="TeamName">Settings!$C$7</definedName>
    <definedName name="MonthlyBudget">Settings!$C$8</definedName>
    <definedName name="SeasonStart">Settings!$C$9</definedName>
    <definedName name="SeasonEnd">Settings!$C$10</definedName>
    <definedName name="PitchLimit">Settings!$C$11</definedName>
    <definedName name="GameInnings">Settings!$C$12</definedName>
    <definedName name="HomePark">Settings!$C$13</definedName>
    <definedName name="EventTypeList">Settings!$E$7:$E$16</definedName>
    <definedName name="LeagueList">Settings!$F$7:$F$14</definedName>
    <definedName name="DivisionList">Settings!$G$7:$G$13</definedName>
    <definedName name="PositionList">Settings!$H$7:$H$17</definedName>
    <definedName name="ExpenseCatList">Settings!$I$7:$I$26</definedName>
    <definedName name="EquipTypeList">Settings!$J$7:$J$16</definedName>
    <definedName name="EquipStatusList">Settings!$K$7:$K$11</definedName>
    <definedName name="VolRoleList">Settings!$E$32:$E$39</definedName>
    <definedName name="PracticeTypeList">Settings!$F$32:$F$38</definedName>
    <definedName name="TourneyTypeList">Settings!$G$32:$G$36</definedName>
    <definedName name="SkillLevelList">Settings!$H$32:$H$35</definedName>
    <definedName name="AttendList">Settings!$I$32:$I$34</definedName>
    <definedName name="YesNoList">Settings!$J$32:$J$33</definedName>
    <definedName name="ExpenseGroupList">Settings!$K$32:$K$36</definedName>
    <definedName name="BatsList">Settings!$E$41:$E$43</definedName>
    <definedName name="ThrowsList">Settings!$F$41:$F$42</definedName>
    <definedName name="CalType">'Calendar'!$A$5:$A$74</definedName>
    <definedName name="CalEvent">'Calendar'!$B$5:$B$74</definedName>
    <definedName name="CalDate">'Calendar'!$C$5:$C$74</definedName>
    <definedName name="CalConflict">'Calendar'!$H$5:$H$74</definedName>
    <definedName name="CalCountLabels">Calendar!$J$5:$J$8</definedName>
    <definedName name="CalCountVals">Calendar!$K$5:$K$8</definedName>
    <definedName name="PracDate">'Practice'!$A$5:$A$64</definedName>
    <definedName name="PracType">'Practice'!$B$5:$B$64</definedName>
    <definedName name="PracAttend">'Practice'!$D$5:$D$64</definedName>
    <definedName name="PracHours">'Practice'!$F$5:$F$64</definedName>
    <definedName name="BudgetCat">'Budget'!$A$5:$A$24</definedName>
    <definedName name="BudgetGroup">'Budget'!$B$5:$B$24</definedName>
    <definedName name="BudgetPlanned">'Budget'!$C$5:$C$24</definedName>
    <definedName name="BudgetActual">'Budget'!$D$5:$D$24</definedName>
    <definedName name="BudgetTotalPlanned">Budget!$C$25</definedName>
    <definedName name="BudgetTotalActual">Budget!$D$25</definedName>
    <definedName name="GroupLabels">Budget!$A$29:$A$33</definedName>
    <definedName name="GroupVals">Budget!$B$29:$B$33</definedName>
    <definedName name="EquipName">'Equipment'!$A$5:$A$44</definedName>
    <definedName name="EquipPrice">'Equipment'!$E$5:$E$44</definedName>
    <definedName name="EquipCond">'Equipment'!$F$5:$F$44</definedName>
    <definedName name="EquipReplace">'Equipment'!$G$5:$G$44</definedName>
    <definedName name="StatAB">'Stats'!$C$5:$C$34</definedName>
    <definedName name="StatH">'Stats'!$D$5:$D$34</definedName>
    <definedName name="StatBB">'Stats'!$J$5:$J$34</definedName>
    <definedName name="StatGamesRange">Stats!$A$5:$A$34</definedName>
    <definedName name="StatTotLabels">Stats!$N$11:$N$14</definedName>
    <definedName name="StatTotVals">Stats!$O$11:$O$14</definedName>
    <definedName name="PitchIP">'Pitching'!$C$5:$C$29</definedName>
    <definedName name="PitchCount">'Pitching'!$D$5:$D$29</definedName>
    <definedName name="PitchER">'Pitching'!$H$5:$H$29</definedName>
    <definedName name="TravelMiles">'Travel'!$E$5:$E$44</definedName>
    <definedName name="TravelFuel">'Travel'!$F$5:$F$44</definedName>
    <definedName name="TravelLodging">'Travel'!$I$5:$I$44</definedName>
    <definedName name="VolHours">'Volunteers'!$E$5:$E$44</definedName>
    <definedName name="VolDone">'Volunteers'!$F$5:$F$44</definedName>
    <definedName name="DevSkill">'Development'!$A$5:$A$24</definedName>
    <definedName name="DevProgress">'Development'!$C$5:$C$24</definedName>
    <definedName name="FundRaised">'Fundraising'!$E$5:$E$44</definedName>
    <definedName name="GoalName">'Goals'!$A$5:$A$34</definedName>
    <definedName name="GoalProgress">'Goals'!$D$5:$D$34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yyyy-mm-dd"/>
    <numFmt numFmtId="166" formatCode="mm/dd/yyyy"/>
    <numFmt numFmtId="167" formatCode="0;[Red]-0"/>
    <numFmt numFmtId="168" formatCode="0;;"/>
    <numFmt numFmtId="169" formatCode="0.0"/>
    <numFmt numFmtId="170" formatCode="&quot;$&quot;#,##0;[Red]-&quot;$&quot;#,##0"/>
    <numFmt numFmtId="171" formatCode=".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i val="1"/>
      <color rgb="00333333"/>
      <sz val="11"/>
    </font>
    <font>
      <color rgb="00333333"/>
      <sz val="11"/>
    </font>
    <font>
      <b val="1"/>
      <color rgb="001B4F48"/>
    </font>
    <font>
      <color rgb="00937356"/>
      <sz val="12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BF8F2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10" fillId="5" borderId="2" applyAlignment="1">
      <alignment horizontal="left" vertical="top" wrapText="1" indent="1"/>
    </xf>
    <xf numFmtId="0" fontId="6" fillId="0" borderId="1" applyAlignment="1">
      <alignment horizontal="left" vertical="top" wrapText="1" indent="1"/>
    </xf>
  </cellStyleXfs>
  <cellXfs count="6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6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3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8" borderId="4" applyAlignment="1" pivotButton="0" quotePrefix="0" xfId="0">
      <alignment horizontal="center" vertical="center"/>
    </xf>
    <xf numFmtId="0" fontId="0" fillId="8" borderId="4" pivotButton="0" quotePrefix="0" xfId="0"/>
    <xf numFmtId="1" fontId="16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6" fillId="8" borderId="2" applyAlignment="1" pivotButton="0" quotePrefix="0" xfId="0">
      <alignment horizontal="center" vertical="center"/>
    </xf>
    <xf numFmtId="164" fontId="16" fillId="8" borderId="2" applyAlignment="1" pivotButton="0" quotePrefix="0" xfId="0">
      <alignment horizontal="center" vertical="center"/>
    </xf>
    <xf numFmtId="9" fontId="16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166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6" fontId="6" fillId="9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169" fontId="6" fillId="8" borderId="2" applyAlignment="1" pivotButton="0" quotePrefix="0" xfId="6">
      <alignment horizontal="center" vertical="center" wrapText="1"/>
    </xf>
    <xf numFmtId="169" fontId="6" fillId="9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70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8">
      <alignment horizontal="center" vertical="center"/>
    </xf>
    <xf numFmtId="170" fontId="6" fillId="9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170" fontId="7" fillId="0" borderId="2" applyAlignment="1" pivotButton="0" quotePrefix="0" xfId="10">
      <alignment horizontal="left" vertical="center" indent="1"/>
    </xf>
    <xf numFmtId="164" fontId="12" fillId="3" borderId="2" applyAlignment="1" pivotButton="0" quotePrefix="0" xfId="6">
      <alignment horizontal="center" vertical="center" wrapText="1"/>
    </xf>
    <xf numFmtId="9" fontId="12" fillId="3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" fontId="6" fillId="8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171" fontId="7" fillId="0" borderId="2" applyAlignment="1" pivotButton="0" quotePrefix="0" xfId="10">
      <alignment horizontal="left" vertical="center" indent="1"/>
    </xf>
    <xf numFmtId="0" fontId="12" fillId="3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169" fontId="7" fillId="0" borderId="2" applyAlignment="1" pivotButton="0" quotePrefix="0" xfId="10">
      <alignment horizontal="left" vertical="center" indent="1"/>
    </xf>
    <xf numFmtId="1" fontId="7" fillId="0" borderId="2" applyAlignment="1" pivotButton="0" quotePrefix="0" xfId="10">
      <alignment horizontal="left" vertical="center" indent="1"/>
    </xf>
    <xf numFmtId="2" fontId="7" fillId="0" borderId="2" applyAlignment="1" pivotButton="0" quotePrefix="0" xfId="10">
      <alignment horizontal="left" vertical="center" indent="1"/>
    </xf>
    <xf numFmtId="0" fontId="13" fillId="0" borderId="2" applyAlignment="1" pivotButton="0" quotePrefix="0" xfId="0">
      <alignment horizontal="center"/>
    </xf>
    <xf numFmtId="0" fontId="13" fillId="9" borderId="2" applyAlignment="1" pivotButton="0" quotePrefix="0" xfId="0">
      <alignment horizontal="center"/>
    </xf>
    <xf numFmtId="9" fontId="7" fillId="0" borderId="2" applyAlignment="1" pivotButton="0" quotePrefix="0" xfId="10">
      <alignment horizontal="left" vertical="center" indent="1"/>
    </xf>
    <xf numFmtId="0" fontId="9" fillId="4" borderId="3" applyAlignment="1" pivotButton="0" quotePrefix="0" xfId="11">
      <alignment horizontal="center" vertical="center" wrapText="1"/>
    </xf>
    <xf numFmtId="9" fontId="14" fillId="5" borderId="4" applyAlignment="1" pivotButton="0" quotePrefix="0" xfId="0">
      <alignment horizontal="center" vertical="center"/>
    </xf>
    <xf numFmtId="0" fontId="0" fillId="5" borderId="4" pivotButton="0" quotePrefix="0" xfId="0"/>
    <xf numFmtId="0" fontId="0" fillId="5" borderId="2" pivotButton="0" quotePrefix="0" xfId="0"/>
    <xf numFmtId="0" fontId="2" fillId="5" borderId="1" applyAlignment="1" pivotButton="0" quotePrefix="0" xfId="2">
      <alignment horizontal="left" vertical="center" indent="2"/>
    </xf>
    <xf numFmtId="0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prompt" xfId="12" hidden="0"/>
    <cellStyle name="body" xfId="13" hidden="0"/>
  </cellStyles>
  <dxfs count="3">
    <dxf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Baseball Spending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'Budget'!$A$29:$A$33</f>
            </numRef>
          </cat>
          <val>
            <numRef>
              <f>'Budget'!$B$29:$B$33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Games vs Practices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'Calendar'!$J$5:$J$8</f>
            </numRef>
          </cat>
          <val>
            <numRef>
              <f>'Calendar'!$K$5:$K$8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'Development'!C4</f>
            </strRef>
          </tx>
          <spPr>
            <a:ln>
              <a:prstDash val="solid"/>
            </a:ln>
          </spPr>
          <cat>
            <numRef>
              <f>'Development'!$A$5:$A$12</f>
            </numRef>
          </cat>
          <val>
            <numRef>
              <f>'Development'!$C$5:$C$12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Batting Totals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'Stats'!$N$11:$N$14</f>
            </numRef>
          </cat>
          <val>
            <numRef>
              <f>'Stats'!$O$11:$O$14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Group</a:t>
            </a:r>
          </a:p>
        </rich>
      </tx>
    </title>
    <plotArea>
      <doughnutChart>
        <varyColors val="1"/>
        <ser>
          <idx val="0"/>
          <order val="0"/>
          <tx>
            <strRef>
              <f>'Budget'!B28</f>
            </strRef>
          </tx>
          <spPr>
            <a:ln>
              <a:prstDash val="solid"/>
            </a:ln>
          </spPr>
          <cat>
            <numRef>
              <f>'Budget'!$A$29:$A$33</f>
            </numRef>
          </cat>
          <val>
            <numRef>
              <f>'Budget'!$B$29:$B$33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Pitch Count by Outing</a:t>
            </a:r>
          </a:p>
        </rich>
      </tx>
    </title>
    <plotArea>
      <lineChart>
        <grouping val="standard"/>
        <ser>
          <idx val="0"/>
          <order val="0"/>
          <tx>
            <strRef>
              <f>'Pitching'!D4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'Pitching'!$B$5:$B$7</f>
            </numRef>
          </cat>
          <val>
            <numRef>
              <f>'Pitching'!$D$5:$D$7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'Development'!C4</f>
            </strRef>
          </tx>
          <spPr>
            <a:ln>
              <a:prstDash val="solid"/>
            </a:ln>
          </spPr>
          <cat>
            <numRef>
              <f>'Development'!$A$5:$A$24</f>
            </numRef>
          </cat>
          <val>
            <numRef>
              <f>'Development'!$C$5:$C$24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Baseball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'Analytics'!G13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'Analytics'!$F$14:$F$19</f>
            </numRef>
          </cat>
          <val>
            <numRef>
              <f>'Analytics'!$G$14:$G$19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Readiness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10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16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3" customWidth="1" min="3" max="3"/>
  </cols>
  <sheetData>
    <row r="1" ht="58" customHeight="1">
      <c r="A1" s="1" t="inlineStr">
        <is>
          <t xml:space="preserve">  ⚾  BASEBALL FAMILY COMMAND CENTER™</t>
        </is>
      </c>
    </row>
    <row r="2" ht="24" customHeight="1">
      <c r="A2" s="2" t="inlineStr">
        <is>
          <t xml:space="preserve">  The ultimate baseball season operating system — your whole season in one place.</t>
        </is>
      </c>
    </row>
    <row r="3" ht="6" customHeight="1">
      <c r="A3" s="3" t="n"/>
      <c r="B3" s="3" t="n"/>
      <c r="C3" s="3" t="n"/>
    </row>
    <row r="5">
      <c r="B5" s="4" t="inlineStr">
        <is>
          <t>WELCOME TO THE SEASON</t>
        </is>
      </c>
    </row>
    <row r="6" ht="22" customHeight="1">
      <c r="B6" s="5" t="inlineStr">
        <is>
          <t>Baseball season means dozens of games and practices, tournaments, travel, equipment, fundraising and player development. Baseball Family Command Center™ brings all of it into one elegant dashboard so nothing gets missed, costs stay under control, and the whole family runs on a system instead of from memory.</t>
        </is>
      </c>
    </row>
    <row r="7" ht="22" customHeight="1"/>
    <row r="8" ht="22" customHeight="1"/>
    <row r="10">
      <c r="B10" s="6" t="inlineStr">
        <is>
          <t>HOW TO USE IT</t>
        </is>
      </c>
    </row>
    <row r="11" ht="22" customHeight="1">
      <c r="B11" s="5" t="inlineStr">
        <is>
          <t>1.  Open Settings and add your player, team, budget &amp; season dates.</t>
        </is>
      </c>
    </row>
    <row r="12" ht="22" customHeight="1">
      <c r="B12" s="5" t="inlineStr">
        <is>
          <t>2.  Fill the Player Profile, Season Calendar, and Baseball Budget.</t>
        </is>
      </c>
    </row>
    <row r="13" ht="22" customHeight="1">
      <c r="B13" s="5" t="inlineStr">
        <is>
          <t>3.  Log games, practices, batting stats &amp; pitching outings.</t>
        </is>
      </c>
    </row>
    <row r="14" ht="22" customHeight="1">
      <c r="B14" s="5" t="inlineStr">
        <is>
          <t>4.  Plan tournaments, travel &amp; the snack / volunteer schedule.</t>
        </is>
      </c>
    </row>
    <row r="15" ht="22" customHeight="1">
      <c r="B15" s="5" t="inlineStr">
        <is>
          <t>5.  Watch the Executive Baseball Dashboard update itself automatically.</t>
        </is>
      </c>
    </row>
    <row r="18" ht="26" customHeight="1">
      <c r="B18" s="7" t="inlineStr">
        <is>
          <t xml:space="preserve">  GOOD TO KNOW</t>
        </is>
      </c>
    </row>
    <row r="19" ht="22" customHeight="1">
      <c r="B19" s="8" t="inlineStr">
        <is>
          <t>Sample data is included to show how everything connects — just type over it with your own. Batting average, OBP, SLG, OPS and ERA calculate automatically. Every sheet is print-friendly and works in Excel and Google Sheets, on desktop and mobile.</t>
        </is>
      </c>
    </row>
    <row r="20" ht="22" customHeight="1">
      <c r="B20" s="9" t="n"/>
    </row>
    <row r="21" ht="22" customHeight="1">
      <c r="B21" s="9" t="n"/>
    </row>
    <row r="23">
      <c r="B23" s="4" t="inlineStr">
        <is>
          <t>One organized season, less stress, more baseball — let's play ball.</t>
        </is>
      </c>
    </row>
  </sheetData>
  <mergeCells count="13">
    <mergeCell ref="B12"/>
    <mergeCell ref="B13"/>
    <mergeCell ref="A1:C1"/>
    <mergeCell ref="B18"/>
    <mergeCell ref="A2:C2"/>
    <mergeCell ref="B15"/>
    <mergeCell ref="B11"/>
    <mergeCell ref="B10"/>
    <mergeCell ref="B19:B21"/>
    <mergeCell ref="B5"/>
    <mergeCell ref="B14"/>
    <mergeCell ref="B6:B8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⚾  BASEBALL FAMILY COMMAND CENTER™</t>
        </is>
      </c>
    </row>
    <row r="2" ht="24" customHeight="1">
      <c r="A2" s="2" t="inlineStr">
        <is>
          <t xml:space="preserve">  Schedule, budget, equipment, stats, travel &amp; development — your whole season,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DAYS TO NEXT GAME</t>
        </is>
      </c>
      <c r="C5" s="11" t="n"/>
      <c r="D5" s="10" t="inlineStr">
        <is>
          <t>GAMES / WEEK</t>
        </is>
      </c>
      <c r="E5" s="11" t="n"/>
      <c r="F5" s="10" t="inlineStr">
        <is>
          <t>PRACTICES / WEEK</t>
        </is>
      </c>
      <c r="G5" s="11" t="n"/>
      <c r="H5" s="10" t="inlineStr">
        <is>
          <t>NEXT TOURNAMENT</t>
        </is>
      </c>
      <c r="I5" s="11" t="n"/>
      <c r="J5" s="10" t="inlineStr">
        <is>
          <t>MONTHLY BUDGET</t>
        </is>
      </c>
      <c r="K5" s="11" t="n"/>
      <c r="L5" s="10" t="inlineStr">
        <is>
          <t>BUDGET LEFT</t>
        </is>
      </c>
      <c r="M5" s="11" t="n"/>
    </row>
    <row r="6" ht="40" customHeight="1">
      <c r="B6" s="12">
        <f>IF(COUNTIFS(CalType,"Game",CalDate,"&gt;="&amp;TODAY())=0,0,MINIFS(CalDate,CalType,"Game",CalDate,"&gt;="&amp;TODAY())-TODAY())</f>
        <v/>
      </c>
      <c r="C6" s="13" t="n"/>
      <c r="D6" s="14">
        <f>COUNTIFS(CalType,"Game",CalDate,"&gt;="&amp;TODAY(),CalDate,"&lt;="&amp;TODAY()+7)</f>
        <v/>
      </c>
      <c r="E6" s="13" t="n"/>
      <c r="F6" s="14">
        <f>COUNTIFS(CalType,"Practice",CalDate,"&gt;="&amp;TODAY(),CalDate,"&lt;="&amp;TODAY()+7)</f>
        <v/>
      </c>
      <c r="G6" s="13" t="n"/>
      <c r="H6" s="12">
        <f>IF(COUNTIFS(CalType,"Tournament",CalDate,"&gt;="&amp;TODAY())=0,0,MINIFS(CalDate,CalType,"Tournament",CalDate,"&gt;="&amp;TODAY())-TODAY())</f>
        <v/>
      </c>
      <c r="I6" s="13" t="n"/>
      <c r="J6" s="15">
        <f>MonthlyBudget</f>
        <v/>
      </c>
      <c r="K6" s="13" t="n"/>
      <c r="L6" s="15">
        <f>BudgetTotalPlanned-BudgetTotalActual</f>
        <v/>
      </c>
      <c r="M6" s="13" t="n"/>
    </row>
    <row r="8" ht="18" customHeight="1">
      <c r="B8" s="10" t="inlineStr">
        <is>
          <t>EQUIP. ALERTS</t>
        </is>
      </c>
      <c r="C8" s="11" t="n"/>
      <c r="D8" s="10" t="inlineStr">
        <is>
          <t>GAMES PLAYED</t>
        </is>
      </c>
      <c r="E8" s="11" t="n"/>
      <c r="F8" s="10" t="inlineStr">
        <is>
          <t>TRAVEL MILES</t>
        </is>
      </c>
      <c r="G8" s="11" t="n"/>
      <c r="H8" s="10" t="inlineStr">
        <is>
          <t>VOLUNTEER HRS</t>
        </is>
      </c>
      <c r="I8" s="11" t="n"/>
      <c r="J8" s="10" t="inlineStr">
        <is>
          <t>DEV PROGRESS</t>
        </is>
      </c>
      <c r="K8" s="11" t="n"/>
      <c r="L8" s="10" t="inlineStr">
        <is>
          <t>SEASON COMPLETE</t>
        </is>
      </c>
      <c r="M8" s="11" t="n"/>
    </row>
    <row r="9" ht="40" customHeight="1">
      <c r="B9" s="14">
        <f>SUMPRODUCT((EquipReplace&lt;&gt;"")*(EquipReplace&lt;=TODAY()+45))</f>
        <v/>
      </c>
      <c r="C9" s="13" t="n"/>
      <c r="D9" s="14">
        <f>COUNTIFS(CalType,"Game",CalDate,"&lt;"&amp;TODAY())</f>
        <v/>
      </c>
      <c r="E9" s="13" t="n"/>
      <c r="F9" s="14">
        <f>SUM(TravelMiles)</f>
        <v/>
      </c>
      <c r="G9" s="13" t="n"/>
      <c r="H9" s="14">
        <f>SUM(VolHours)</f>
        <v/>
      </c>
      <c r="I9" s="13" t="n"/>
      <c r="J9" s="16">
        <f>IFERROR(AVERAGE(DevProgress),0)</f>
        <v/>
      </c>
      <c r="K9" s="13" t="n"/>
      <c r="L9" s="16">
        <f>IFERROR(COUNTIFS(CalType,"Game",CalDate,"&lt;"&amp;TODAY())/MAX(COUNTIF(CalType,"Game"),1),0)</f>
        <v/>
      </c>
      <c r="M9" s="13" t="n"/>
    </row>
    <row r="11" ht="26" customHeight="1">
      <c r="B11" s="4" t="inlineStr">
        <is>
          <t>MONEY &amp; SEASON AT A GLANCE</t>
        </is>
      </c>
    </row>
    <row r="29" ht="26" customHeight="1">
      <c r="B29" s="4" t="inlineStr">
        <is>
          <t>DEVELOPMENT &amp; RESULTS</t>
        </is>
      </c>
    </row>
    <row r="47" ht="26" customHeight="1">
      <c r="B47" s="2" t="inlineStr">
        <is>
          <t>Baseball Family Command Center™ — your whole season, organized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6" customWidth="1" min="4" max="4"/>
    <col width="24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⚾  PLAYER PROFILE</t>
        </is>
      </c>
    </row>
    <row r="2" ht="22" customHeight="1">
      <c r="A2" s="2" t="inlineStr">
        <is>
          <t xml:space="preserve">  Everything about your player in one place — stats card, contacts &amp; medical.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PLAYER</t>
        </is>
      </c>
    </row>
    <row r="6" ht="24" customHeight="1">
      <c r="B6" s="17" t="inlineStr">
        <is>
          <t>Player Name</t>
        </is>
      </c>
      <c r="C6" s="18">
        <f>PlayerName</f>
        <v/>
      </c>
      <c r="E6" s="17" t="inlineStr">
        <is>
          <t>Date of Birth</t>
        </is>
      </c>
      <c r="F6" s="18" t="n">
        <v>41402</v>
      </c>
    </row>
    <row r="7" ht="24" customHeight="1">
      <c r="B7" s="17" t="inlineStr">
        <is>
          <t>Division</t>
        </is>
      </c>
      <c r="C7" s="18" t="inlineStr">
        <is>
          <t>12U</t>
        </is>
      </c>
      <c r="E7" s="17" t="inlineStr">
        <is>
          <t>Team</t>
        </is>
      </c>
      <c r="F7" s="18">
        <f>TeamName</f>
        <v/>
      </c>
    </row>
    <row r="8" ht="24" customHeight="1">
      <c r="B8" s="17" t="inlineStr">
        <is>
          <t>League</t>
        </is>
      </c>
      <c r="C8" s="18" t="inlineStr">
        <is>
          <t>Select</t>
        </is>
      </c>
      <c r="E8" s="17" t="inlineStr">
        <is>
          <t>Jersey Number</t>
        </is>
      </c>
      <c r="F8" s="18" t="n">
        <v>7</v>
      </c>
    </row>
    <row r="9" ht="24" customHeight="1">
      <c r="B9" s="17" t="inlineStr">
        <is>
          <t>Primary Position</t>
        </is>
      </c>
      <c r="C9" s="18" t="inlineStr">
        <is>
          <t>Shortstop</t>
        </is>
      </c>
      <c r="E9" s="17" t="inlineStr">
        <is>
          <t>Secondary Position</t>
        </is>
      </c>
      <c r="F9" s="18" t="inlineStr">
        <is>
          <t>Pitcher</t>
        </is>
      </c>
    </row>
    <row r="10" ht="24" customHeight="1">
      <c r="B10" s="17" t="inlineStr">
        <is>
          <t>Bats</t>
        </is>
      </c>
      <c r="C10" s="18" t="inlineStr">
        <is>
          <t>Right</t>
        </is>
      </c>
      <c r="E10" s="17" t="inlineStr">
        <is>
          <t>Throws</t>
        </is>
      </c>
      <c r="F10" s="18" t="inlineStr">
        <is>
          <t>Right</t>
        </is>
      </c>
    </row>
    <row r="11" ht="24" customHeight="1">
      <c r="B11" s="17" t="inlineStr">
        <is>
          <t>Height</t>
        </is>
      </c>
      <c r="C11" s="18" t="inlineStr">
        <is>
          <t>5'0"</t>
        </is>
      </c>
      <c r="E11" s="17" t="inlineStr">
        <is>
          <t>Weight</t>
        </is>
      </c>
      <c r="F11" s="18" t="inlineStr">
        <is>
          <t>92 lb</t>
        </is>
      </c>
    </row>
    <row r="13" ht="22" customHeight="1">
      <c r="B13" s="4" t="inlineStr">
        <is>
          <t>TEAM &amp; STAFF</t>
        </is>
      </c>
    </row>
    <row r="14" ht="24" customHeight="1">
      <c r="B14" s="17" t="inlineStr">
        <is>
          <t>Head Coach</t>
        </is>
      </c>
      <c r="C14" s="18" t="inlineStr">
        <is>
          <t>Coach Ramirez</t>
        </is>
      </c>
      <c r="E14" s="17" t="inlineStr">
        <is>
          <t>Assistant Coach</t>
        </is>
      </c>
      <c r="F14" s="18" t="inlineStr">
        <is>
          <t>Coach Webb</t>
        </is>
      </c>
    </row>
    <row r="15" ht="24" customHeight="1">
      <c r="B15" s="17" t="inlineStr">
        <is>
          <t>Team Manager</t>
        </is>
      </c>
      <c r="C15" s="18" t="inlineStr">
        <is>
          <t>Dana R.</t>
        </is>
      </c>
      <c r="E15" s="17" t="inlineStr">
        <is>
          <t>Home Ballpark</t>
        </is>
      </c>
      <c r="F15" s="18">
        <f>HomePark</f>
        <v/>
      </c>
    </row>
    <row r="16" ht="24" customHeight="1">
      <c r="B16" s="17" t="inlineStr">
        <is>
          <t>Practice Night</t>
        </is>
      </c>
      <c r="C16" s="18" t="inlineStr">
        <is>
          <t>Mon / Wed</t>
        </is>
      </c>
      <c r="E16" s="17" t="inlineStr">
        <is>
          <t>Team Colors</t>
        </is>
      </c>
      <c r="F16" s="18" t="inlineStr">
        <is>
          <t>Navy / Gold</t>
        </is>
      </c>
    </row>
    <row r="18" ht="22" customHeight="1">
      <c r="B18" s="4" t="inlineStr">
        <is>
          <t>MEDICAL &amp; EMERGENCY</t>
        </is>
      </c>
    </row>
    <row r="19" ht="24" customHeight="1">
      <c r="B19" s="17" t="inlineStr">
        <is>
          <t>Emergency Contact</t>
        </is>
      </c>
      <c r="C19" s="18" t="inlineStr">
        <is>
          <t>Mom — (555) 210-7788</t>
        </is>
      </c>
      <c r="E19" s="17" t="inlineStr">
        <is>
          <t>Secondary Contact</t>
        </is>
      </c>
      <c r="F19" s="18" t="inlineStr">
        <is>
          <t>Dad — (555) 210-4521</t>
        </is>
      </c>
    </row>
    <row r="20" ht="24" customHeight="1">
      <c r="B20" s="17" t="inlineStr">
        <is>
          <t>Allergies</t>
        </is>
      </c>
      <c r="C20" s="18" t="inlineStr">
        <is>
          <t>Bee stings</t>
        </is>
      </c>
      <c r="E20" s="17" t="inlineStr">
        <is>
          <t>Medical Notes</t>
        </is>
      </c>
      <c r="F20" s="18" t="inlineStr">
        <is>
          <t>Carries EpiPen</t>
        </is>
      </c>
    </row>
    <row r="21" ht="24" customHeight="1">
      <c r="B21" s="17" t="inlineStr">
        <is>
          <t>Insurance Provider</t>
        </is>
      </c>
      <c r="C21" s="18" t="inlineStr">
        <is>
          <t>____________</t>
        </is>
      </c>
      <c r="E21" s="17" t="inlineStr">
        <is>
          <t>Policy #</t>
        </is>
      </c>
      <c r="F21" s="18" t="inlineStr">
        <is>
          <t>____________</t>
        </is>
      </c>
    </row>
    <row r="23" ht="22" customHeight="1">
      <c r="B23" s="4" t="inlineStr">
        <is>
          <t>SEASON GOALS</t>
        </is>
      </c>
    </row>
    <row r="24" ht="24" customHeight="1">
      <c r="B24" s="17" t="inlineStr">
        <is>
          <t>Primary Goal</t>
        </is>
      </c>
      <c r="C24" s="18" t="inlineStr">
        <is>
          <t>Bat .350+</t>
        </is>
      </c>
      <c r="E24" s="17" t="inlineStr">
        <is>
          <t>Hitting</t>
        </is>
      </c>
      <c r="F24" s="18" t="inlineStr">
        <is>
          <t>Cut down on strikeouts</t>
        </is>
      </c>
    </row>
    <row r="25" ht="24" customHeight="1">
      <c r="B25" s="17" t="inlineStr">
        <is>
          <t>Fielding</t>
        </is>
      </c>
      <c r="C25" s="18" t="inlineStr">
        <is>
          <t>Clean up throws from SS</t>
        </is>
      </c>
      <c r="E25" s="17" t="inlineStr">
        <is>
          <t>Off-Field</t>
        </is>
      </c>
      <c r="F25" s="18" t="inlineStr">
        <is>
          <t>Make honor roll</t>
        </is>
      </c>
    </row>
  </sheetData>
  <mergeCells count="6">
    <mergeCell ref="A1:G1"/>
    <mergeCell ref="B5:F5"/>
    <mergeCell ref="A2:G2"/>
    <mergeCell ref="B23:F23"/>
    <mergeCell ref="B18:F18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K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3" customWidth="1" min="4" max="4"/>
    <col width="20" customWidth="1" min="5" max="5"/>
    <col width="24" customWidth="1" min="6" max="6"/>
    <col width="8" customWidth="1" min="7" max="7"/>
    <col width="8" customWidth="1" min="8" max="8"/>
    <col width="18" customWidth="1" min="10" max="10"/>
    <col width="10" customWidth="1" min="11" max="11"/>
  </cols>
  <sheetData>
    <row r="1" ht="46" customHeight="1">
      <c r="A1" s="1" t="inlineStr">
        <is>
          <t xml:space="preserve">  📅  MASTER SEASON CALENDAR</t>
        </is>
      </c>
    </row>
    <row r="2" ht="22" customHeight="1">
      <c r="A2" s="2" t="inlineStr">
        <is>
          <t xml:space="preserve">  Every game, practice &amp; tournament — with countdowns and conflict detection.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Type</t>
        </is>
      </c>
      <c r="B4" s="7" t="inlineStr">
        <is>
          <t>Event / Opponent</t>
        </is>
      </c>
      <c r="C4" s="7" t="inlineStr">
        <is>
          <t>Date</t>
        </is>
      </c>
      <c r="D4" s="7" t="inlineStr">
        <is>
          <t>Time</t>
        </is>
      </c>
      <c r="E4" s="7" t="inlineStr">
        <is>
          <t>Location</t>
        </is>
      </c>
      <c r="F4" s="7" t="inlineStr">
        <is>
          <t>Notes</t>
        </is>
      </c>
      <c r="G4" s="7" t="inlineStr">
        <is>
          <t>In</t>
        </is>
      </c>
      <c r="H4" s="7" t="inlineStr">
        <is>
          <t>Clash</t>
        </is>
      </c>
      <c r="J4" s="4" t="inlineStr">
        <is>
          <t>SEASON COUNTS</t>
        </is>
      </c>
    </row>
    <row r="5">
      <c r="A5" s="19" t="inlineStr">
        <is>
          <t>Practice</t>
        </is>
      </c>
      <c r="B5" s="20" t="inlineStr">
        <is>
          <t>Team practice</t>
        </is>
      </c>
      <c r="C5" s="21" t="n">
        <v>46205</v>
      </c>
      <c r="D5" s="19" t="inlineStr">
        <is>
          <t>5:30 PM</t>
        </is>
      </c>
      <c r="E5" s="20" t="inlineStr">
        <is>
          <t>Miller Field</t>
        </is>
      </c>
      <c r="F5" s="20" t="inlineStr">
        <is>
          <t>Bring full gear</t>
        </is>
      </c>
      <c r="G5" s="22">
        <f>IF(C5="","",C5-TODAY())</f>
        <v/>
      </c>
      <c r="H5" s="23">
        <f>IF(C5="","",IF(AND(COUNTIF($C$5:C5,C5)=1,COUNTIF(CalDate,C5)&gt;1),1,0))</f>
        <v/>
      </c>
      <c r="J5" s="24" t="inlineStr">
        <is>
          <t>Games</t>
        </is>
      </c>
      <c r="K5" s="25">
        <f>COUNTIF(CalType,"Game")</f>
        <v/>
      </c>
    </row>
    <row r="6">
      <c r="A6" s="26" t="inlineStr">
        <is>
          <t>Game</t>
        </is>
      </c>
      <c r="B6" s="27" t="inlineStr">
        <is>
          <t>vs Bandits</t>
        </is>
      </c>
      <c r="C6" s="28" t="n">
        <v>46206</v>
      </c>
      <c r="D6" s="26" t="inlineStr">
        <is>
          <t>6:00 PM</t>
        </is>
      </c>
      <c r="E6" s="27" t="inlineStr">
        <is>
          <t>Miller Field</t>
        </is>
      </c>
      <c r="F6" s="27" t="inlineStr">
        <is>
          <t>Home — navy</t>
        </is>
      </c>
      <c r="G6" s="29">
        <f>IF(C6="","",C6-TODAY())</f>
        <v/>
      </c>
      <c r="H6" s="30">
        <f>IF(C6="","",IF(AND(COUNTIF($C$5:C6,C6)=1,COUNTIF(CalDate,C6)&gt;1),1,0))</f>
        <v/>
      </c>
      <c r="J6" s="24" t="inlineStr">
        <is>
          <t>Practices</t>
        </is>
      </c>
      <c r="K6" s="25">
        <f>COUNTIF(CalType,"Practice")</f>
        <v/>
      </c>
    </row>
    <row r="7">
      <c r="A7" s="19" t="inlineStr">
        <is>
          <t>Practice</t>
        </is>
      </c>
      <c r="B7" s="20" t="inlineStr">
        <is>
          <t>Fielding focus</t>
        </is>
      </c>
      <c r="C7" s="21" t="n">
        <v>46207</v>
      </c>
      <c r="D7" s="19" t="inlineStr">
        <is>
          <t>5:30 PM</t>
        </is>
      </c>
      <c r="E7" s="20" t="inlineStr">
        <is>
          <t>Miller Field</t>
        </is>
      </c>
      <c r="F7" s="20" t="inlineStr"/>
      <c r="G7" s="22">
        <f>IF(C7="","",C7-TODAY())</f>
        <v/>
      </c>
      <c r="H7" s="23">
        <f>IF(C7="","",IF(AND(COUNTIF($C$5:C7,C7)=1,COUNTIF(CalDate,C7)&gt;1),1,0))</f>
        <v/>
      </c>
      <c r="J7" s="24" t="inlineStr">
        <is>
          <t>Tournaments</t>
        </is>
      </c>
      <c r="K7" s="25">
        <f>COUNTIF(CalType,"Tournament")</f>
        <v/>
      </c>
    </row>
    <row r="8">
      <c r="A8" s="26" t="inlineStr">
        <is>
          <t>Game</t>
        </is>
      </c>
      <c r="B8" s="27" t="inlineStr">
        <is>
          <t>vs Rockets</t>
        </is>
      </c>
      <c r="C8" s="28" t="n">
        <v>46209</v>
      </c>
      <c r="D8" s="26" t="inlineStr">
        <is>
          <t>11:00 AM</t>
        </is>
      </c>
      <c r="E8" s="27" t="inlineStr">
        <is>
          <t>Eastside Park</t>
        </is>
      </c>
      <c r="F8" s="27" t="inlineStr">
        <is>
          <t>Away — white</t>
        </is>
      </c>
      <c r="G8" s="29">
        <f>IF(C8="","",C8-TODAY())</f>
        <v/>
      </c>
      <c r="H8" s="30">
        <f>IF(C8="","",IF(AND(COUNTIF($C$5:C8,C8)=1,COUNTIF(CalDate,C8)&gt;1),1,0))</f>
        <v/>
      </c>
      <c r="J8" s="24" t="inlineStr">
        <is>
          <t>Other events</t>
        </is>
      </c>
      <c r="K8" s="25">
        <f>SUMPRODUCT((CalType&lt;&gt;"")*(CalType&lt;&gt;"Game")*(CalType&lt;&gt;"Practice")*(CalType&lt;&gt;"Tournament"))</f>
        <v/>
      </c>
    </row>
    <row r="9">
      <c r="A9" s="19" t="inlineStr">
        <is>
          <t>Batting Cage</t>
        </is>
      </c>
      <c r="B9" s="20" t="inlineStr">
        <is>
          <t>Cage session</t>
        </is>
      </c>
      <c r="C9" s="21" t="n">
        <v>46208</v>
      </c>
      <c r="D9" s="19" t="inlineStr">
        <is>
          <t>7:00 PM</t>
        </is>
      </c>
      <c r="E9" s="20" t="inlineStr">
        <is>
          <t>Grand Slam Cages</t>
        </is>
      </c>
      <c r="F9" s="20" t="inlineStr"/>
      <c r="G9" s="22">
        <f>IF(C9="","",C9-TODAY())</f>
        <v/>
      </c>
      <c r="H9" s="23">
        <f>IF(C9="","",IF(AND(COUNTIF($C$5:C9,C9)=1,COUNTIF(CalDate,C9)&gt;1),1,0))</f>
        <v/>
      </c>
    </row>
    <row r="10">
      <c r="A10" s="26" t="inlineStr">
        <is>
          <t>Practice</t>
        </is>
      </c>
      <c r="B10" s="27" t="inlineStr">
        <is>
          <t>Pitching + bullpen</t>
        </is>
      </c>
      <c r="C10" s="28" t="n">
        <v>46211</v>
      </c>
      <c r="D10" s="26" t="inlineStr">
        <is>
          <t>5:30 PM</t>
        </is>
      </c>
      <c r="E10" s="27" t="inlineStr">
        <is>
          <t>Miller Field</t>
        </is>
      </c>
      <c r="F10" s="27" t="inlineStr"/>
      <c r="G10" s="29">
        <f>IF(C10="","",C10-TODAY())</f>
        <v/>
      </c>
      <c r="H10" s="30">
        <f>IF(C10="","",IF(AND(COUNTIF($C$5:C10,C10)=1,COUNTIF(CalDate,C10)&gt;1),1,0))</f>
        <v/>
      </c>
    </row>
    <row r="11">
      <c r="A11" s="19" t="inlineStr">
        <is>
          <t>Game</t>
        </is>
      </c>
      <c r="B11" s="20" t="inlineStr">
        <is>
          <t>vs Cobras</t>
        </is>
      </c>
      <c r="C11" s="21" t="n">
        <v>46213</v>
      </c>
      <c r="D11" s="19" t="inlineStr">
        <is>
          <t>1:00 PM</t>
        </is>
      </c>
      <c r="E11" s="20" t="inlineStr">
        <is>
          <t>North Diamond</t>
        </is>
      </c>
      <c r="F11" s="20" t="inlineStr">
        <is>
          <t>Away</t>
        </is>
      </c>
      <c r="G11" s="22">
        <f>IF(C11="","",C11-TODAY())</f>
        <v/>
      </c>
      <c r="H11" s="23">
        <f>IF(C11="","",IF(AND(COUNTIF($C$5:C11,C11)=1,COUNTIF(CalDate,C11)&gt;1),1,0))</f>
        <v/>
      </c>
    </row>
    <row r="12">
      <c r="A12" s="26" t="inlineStr">
        <is>
          <t>Private Lesson</t>
        </is>
      </c>
      <c r="B12" s="27" t="inlineStr">
        <is>
          <t>Hitting lesson</t>
        </is>
      </c>
      <c r="C12" s="28" t="n">
        <v>46210</v>
      </c>
      <c r="D12" s="26" t="inlineStr">
        <is>
          <t>4:00 PM</t>
        </is>
      </c>
      <c r="E12" s="27" t="inlineStr">
        <is>
          <t>Pro Swing Academy</t>
        </is>
      </c>
      <c r="F12" s="27" t="inlineStr">
        <is>
          <t>Coach Webb</t>
        </is>
      </c>
      <c r="G12" s="29">
        <f>IF(C12="","",C12-TODAY())</f>
        <v/>
      </c>
      <c r="H12" s="30">
        <f>IF(C12="","",IF(AND(COUNTIF($C$5:C12,C12)=1,COUNTIF(CalDate,C12)&gt;1),1,0))</f>
        <v/>
      </c>
    </row>
    <row r="13">
      <c r="A13" s="19" t="inlineStr">
        <is>
          <t>School</t>
        </is>
      </c>
      <c r="B13" s="20" t="inlineStr">
        <is>
          <t>Science fair</t>
        </is>
      </c>
      <c r="C13" s="21" t="n">
        <v>46209</v>
      </c>
      <c r="D13" s="19" t="inlineStr">
        <is>
          <t>6:00 PM</t>
        </is>
      </c>
      <c r="E13" s="20" t="inlineStr">
        <is>
          <t>Lincoln Middle</t>
        </is>
      </c>
      <c r="F13" s="20" t="inlineStr">
        <is>
          <t>Conflict w/ game!</t>
        </is>
      </c>
      <c r="G13" s="22">
        <f>IF(C13="","",C13-TODAY())</f>
        <v/>
      </c>
      <c r="H13" s="23">
        <f>IF(C13="","",IF(AND(COUNTIF($C$5:C13,C13)=1,COUNTIF(CalDate,C13)&gt;1),1,0))</f>
        <v/>
      </c>
    </row>
    <row r="14">
      <c r="A14" s="26" t="inlineStr">
        <is>
          <t>Game</t>
        </is>
      </c>
      <c r="B14" s="27" t="inlineStr">
        <is>
          <t>vs Storm</t>
        </is>
      </c>
      <c r="C14" s="28" t="n">
        <v>46216</v>
      </c>
      <c r="D14" s="26" t="inlineStr">
        <is>
          <t>10:00 AM</t>
        </is>
      </c>
      <c r="E14" s="27" t="inlineStr">
        <is>
          <t>Miller Field</t>
        </is>
      </c>
      <c r="F14" s="27" t="inlineStr">
        <is>
          <t>Home</t>
        </is>
      </c>
      <c r="G14" s="29">
        <f>IF(C14="","",C14-TODAY())</f>
        <v/>
      </c>
      <c r="H14" s="30">
        <f>IF(C14="","",IF(AND(COUNTIF($C$5:C14,C14)=1,COUNTIF(CalDate,C14)&gt;1),1,0))</f>
        <v/>
      </c>
    </row>
    <row r="15">
      <c r="A15" s="19" t="inlineStr">
        <is>
          <t>Tournament</t>
        </is>
      </c>
      <c r="B15" s="20" t="inlineStr">
        <is>
          <t>Summer Slam</t>
        </is>
      </c>
      <c r="C15" s="21" t="n">
        <v>46218</v>
      </c>
      <c r="D15" s="19" t="inlineStr">
        <is>
          <t>All weekend</t>
        </is>
      </c>
      <c r="E15" s="20" t="inlineStr">
        <is>
          <t>Capital City</t>
        </is>
      </c>
      <c r="F15" s="20" t="inlineStr">
        <is>
          <t>3 nights</t>
        </is>
      </c>
      <c r="G15" s="22">
        <f>IF(C15="","",C15-TODAY())</f>
        <v/>
      </c>
      <c r="H15" s="23">
        <f>IF(C15="","",IF(AND(COUNTIF($C$5:C15,C15)=1,COUNTIF(CalDate,C15)&gt;1),1,0))</f>
        <v/>
      </c>
    </row>
    <row r="16">
      <c r="A16" s="26" t="inlineStr">
        <is>
          <t>Family</t>
        </is>
      </c>
      <c r="B16" s="27" t="inlineStr">
        <is>
          <t>Cousin's graduation</t>
        </is>
      </c>
      <c r="C16" s="28" t="n">
        <v>46218</v>
      </c>
      <c r="D16" s="26" t="inlineStr">
        <is>
          <t>2:00 PM</t>
        </is>
      </c>
      <c r="E16" s="27" t="inlineStr">
        <is>
          <t>Home</t>
        </is>
      </c>
      <c r="F16" s="27" t="inlineStr">
        <is>
          <t>Conflict w/ tournament</t>
        </is>
      </c>
      <c r="G16" s="29">
        <f>IF(C16="","",C16-TODAY())</f>
        <v/>
      </c>
      <c r="H16" s="30">
        <f>IF(C16="","",IF(AND(COUNTIF($C$5:C16,C16)=1,COUNTIF(CalDate,C16)&gt;1),1,0))</f>
        <v/>
      </c>
    </row>
    <row r="17">
      <c r="A17" s="19" t="inlineStr">
        <is>
          <t>Strength</t>
        </is>
      </c>
      <c r="B17" s="20" t="inlineStr">
        <is>
          <t>Speed &amp; agility</t>
        </is>
      </c>
      <c r="C17" s="21" t="n">
        <v>46212</v>
      </c>
      <c r="D17" s="19" t="inlineStr">
        <is>
          <t>4:30 PM</t>
        </is>
      </c>
      <c r="E17" s="20" t="inlineStr">
        <is>
          <t>Field House</t>
        </is>
      </c>
      <c r="F17" s="20" t="inlineStr"/>
      <c r="G17" s="22">
        <f>IF(C17="","",C17-TODAY())</f>
        <v/>
      </c>
      <c r="H17" s="23">
        <f>IF(C17="","",IF(AND(COUNTIF($C$5:C17,C17)=1,COUNTIF(CalDate,C17)&gt;1),1,0))</f>
        <v/>
      </c>
    </row>
    <row r="18">
      <c r="A18" s="26" t="inlineStr">
        <is>
          <t>Volunteer</t>
        </is>
      </c>
      <c r="B18" s="27" t="inlineStr">
        <is>
          <t>Snack duty</t>
        </is>
      </c>
      <c r="C18" s="28" t="n">
        <v>46206</v>
      </c>
      <c r="D18" s="26" t="inlineStr">
        <is>
          <t>6:00 PM</t>
        </is>
      </c>
      <c r="E18" s="27" t="inlineStr">
        <is>
          <t>Miller Field</t>
        </is>
      </c>
      <c r="F18" s="27" t="inlineStr">
        <is>
          <t>Reyes family</t>
        </is>
      </c>
      <c r="G18" s="29">
        <f>IF(C18="","",C18-TODAY())</f>
        <v/>
      </c>
      <c r="H18" s="30">
        <f>IF(C18="","",IF(AND(COUNTIF($C$5:C18,C18)=1,COUNTIF(CalDate,C18)&gt;1),1,0))</f>
        <v/>
      </c>
    </row>
    <row r="19">
      <c r="A19" s="19" t="inlineStr">
        <is>
          <t>Game</t>
        </is>
      </c>
      <c r="B19" s="20" t="inlineStr">
        <is>
          <t>vs Titans (W 8-5)</t>
        </is>
      </c>
      <c r="C19" s="21" t="n">
        <v>46201</v>
      </c>
      <c r="D19" s="19" t="inlineStr">
        <is>
          <t>6:00 PM</t>
        </is>
      </c>
      <c r="E19" s="20" t="inlineStr">
        <is>
          <t>Miller Field</t>
        </is>
      </c>
      <c r="F19" s="20" t="inlineStr">
        <is>
          <t>Home — won</t>
        </is>
      </c>
      <c r="G19" s="22">
        <f>IF(C19="","",C19-TODAY())</f>
        <v/>
      </c>
      <c r="H19" s="23">
        <f>IF(C19="","",IF(AND(COUNTIF($C$5:C19,C19)=1,COUNTIF(CalDate,C19)&gt;1),1,0))</f>
        <v/>
      </c>
    </row>
    <row r="20">
      <c r="A20" s="26" t="inlineStr">
        <is>
          <t>Game</t>
        </is>
      </c>
      <c r="B20" s="27" t="inlineStr">
        <is>
          <t>vs Rockets (L 3-6)</t>
        </is>
      </c>
      <c r="C20" s="28" t="n">
        <v>46198</v>
      </c>
      <c r="D20" s="26" t="inlineStr">
        <is>
          <t>11:00 AM</t>
        </is>
      </c>
      <c r="E20" s="27" t="inlineStr">
        <is>
          <t>Eastside Park</t>
        </is>
      </c>
      <c r="F20" s="27" t="inlineStr">
        <is>
          <t>Away</t>
        </is>
      </c>
      <c r="G20" s="29">
        <f>IF(C20="","",C20-TODAY())</f>
        <v/>
      </c>
      <c r="H20" s="30">
        <f>IF(C20="","",IF(AND(COUNTIF($C$5:C20,C20)=1,COUNTIF(CalDate,C20)&gt;1),1,0))</f>
        <v/>
      </c>
    </row>
    <row r="21">
      <c r="A21" s="19" t="inlineStr">
        <is>
          <t>Game</t>
        </is>
      </c>
      <c r="B21" s="20" t="inlineStr">
        <is>
          <t>vs Cobras (W 7-2)</t>
        </is>
      </c>
      <c r="C21" s="21" t="n">
        <v>46194</v>
      </c>
      <c r="D21" s="19" t="inlineStr">
        <is>
          <t>1:00 PM</t>
        </is>
      </c>
      <c r="E21" s="20" t="inlineStr">
        <is>
          <t>North Diamond</t>
        </is>
      </c>
      <c r="F21" s="20" t="inlineStr">
        <is>
          <t>Away — won</t>
        </is>
      </c>
      <c r="G21" s="22">
        <f>IF(C21="","",C21-TODAY())</f>
        <v/>
      </c>
      <c r="H21" s="23">
        <f>IF(C21="","",IF(AND(COUNTIF($C$5:C21,C21)=1,COUNTIF(CalDate,C21)&gt;1),1,0))</f>
        <v/>
      </c>
    </row>
    <row r="22">
      <c r="A22" s="26" t="inlineStr">
        <is>
          <t>Game</t>
        </is>
      </c>
      <c r="B22" s="27" t="inlineStr">
        <is>
          <t>vs Storm (W 5-4)</t>
        </is>
      </c>
      <c r="C22" s="28" t="n">
        <v>46191</v>
      </c>
      <c r="D22" s="26" t="inlineStr">
        <is>
          <t>10:00 AM</t>
        </is>
      </c>
      <c r="E22" s="27" t="inlineStr">
        <is>
          <t>Miller Field</t>
        </is>
      </c>
      <c r="F22" s="27" t="inlineStr">
        <is>
          <t>Home — won</t>
        </is>
      </c>
      <c r="G22" s="29">
        <f>IF(C22="","",C22-TODAY())</f>
        <v/>
      </c>
      <c r="H22" s="30">
        <f>IF(C22="","",IF(AND(COUNTIF($C$5:C22,C22)=1,COUNTIF(CalDate,C22)&gt;1),1,0))</f>
        <v/>
      </c>
    </row>
    <row r="23">
      <c r="A23" s="19" t="n"/>
      <c r="B23" s="20" t="n"/>
      <c r="C23" s="21" t="n"/>
      <c r="D23" s="19" t="n"/>
      <c r="E23" s="20" t="n"/>
      <c r="F23" s="20" t="n"/>
      <c r="G23" s="22">
        <f>IF(C23="","",C23-TODAY())</f>
        <v/>
      </c>
      <c r="H23" s="23">
        <f>IF(C23="","",IF(AND(COUNTIF($C$5:C23,C23)=1,COUNTIF(CalDate,C23)&gt;1),1,0))</f>
        <v/>
      </c>
    </row>
    <row r="24">
      <c r="A24" s="26" t="n"/>
      <c r="B24" s="27" t="n"/>
      <c r="C24" s="28" t="n"/>
      <c r="D24" s="26" t="n"/>
      <c r="E24" s="27" t="n"/>
      <c r="F24" s="27" t="n"/>
      <c r="G24" s="29">
        <f>IF(C24="","",C24-TODAY())</f>
        <v/>
      </c>
      <c r="H24" s="30">
        <f>IF(C24="","",IF(AND(COUNTIF($C$5:C24,C24)=1,COUNTIF(CalDate,C24)&gt;1),1,0))</f>
        <v/>
      </c>
    </row>
    <row r="25">
      <c r="A25" s="19" t="n"/>
      <c r="B25" s="20" t="n"/>
      <c r="C25" s="21" t="n"/>
      <c r="D25" s="19" t="n"/>
      <c r="E25" s="20" t="n"/>
      <c r="F25" s="20" t="n"/>
      <c r="G25" s="22">
        <f>IF(C25="","",C25-TODAY())</f>
        <v/>
      </c>
      <c r="H25" s="23">
        <f>IF(C25="","",IF(AND(COUNTIF($C$5:C25,C25)=1,COUNTIF(CalDate,C25)&gt;1),1,0))</f>
        <v/>
      </c>
    </row>
    <row r="26">
      <c r="A26" s="26" t="n"/>
      <c r="B26" s="27" t="n"/>
      <c r="C26" s="28" t="n"/>
      <c r="D26" s="26" t="n"/>
      <c r="E26" s="27" t="n"/>
      <c r="F26" s="27" t="n"/>
      <c r="G26" s="29">
        <f>IF(C26="","",C26-TODAY())</f>
        <v/>
      </c>
      <c r="H26" s="30">
        <f>IF(C26="","",IF(AND(COUNTIF($C$5:C26,C26)=1,COUNTIF(CalDate,C26)&gt;1),1,0))</f>
        <v/>
      </c>
    </row>
    <row r="27">
      <c r="A27" s="19" t="n"/>
      <c r="B27" s="20" t="n"/>
      <c r="C27" s="21" t="n"/>
      <c r="D27" s="19" t="n"/>
      <c r="E27" s="20" t="n"/>
      <c r="F27" s="20" t="n"/>
      <c r="G27" s="22">
        <f>IF(C27="","",C27-TODAY())</f>
        <v/>
      </c>
      <c r="H27" s="23">
        <f>IF(C27="","",IF(AND(COUNTIF($C$5:C27,C27)=1,COUNTIF(CalDate,C27)&gt;1),1,0))</f>
        <v/>
      </c>
    </row>
    <row r="28">
      <c r="A28" s="26" t="n"/>
      <c r="B28" s="27" t="n"/>
      <c r="C28" s="28" t="n"/>
      <c r="D28" s="26" t="n"/>
      <c r="E28" s="27" t="n"/>
      <c r="F28" s="27" t="n"/>
      <c r="G28" s="29">
        <f>IF(C28="","",C28-TODAY())</f>
        <v/>
      </c>
      <c r="H28" s="30">
        <f>IF(C28="","",IF(AND(COUNTIF($C$5:C28,C28)=1,COUNTIF(CalDate,C28)&gt;1),1,0))</f>
        <v/>
      </c>
    </row>
    <row r="29">
      <c r="A29" s="19" t="n"/>
      <c r="B29" s="20" t="n"/>
      <c r="C29" s="21" t="n"/>
      <c r="D29" s="19" t="n"/>
      <c r="E29" s="20" t="n"/>
      <c r="F29" s="20" t="n"/>
      <c r="G29" s="22">
        <f>IF(C29="","",C29-TODAY())</f>
        <v/>
      </c>
      <c r="H29" s="23">
        <f>IF(C29="","",IF(AND(COUNTIF($C$5:C29,C29)=1,COUNTIF(CalDate,C29)&gt;1),1,0))</f>
        <v/>
      </c>
    </row>
    <row r="30">
      <c r="A30" s="26" t="n"/>
      <c r="B30" s="27" t="n"/>
      <c r="C30" s="28" t="n"/>
      <c r="D30" s="26" t="n"/>
      <c r="E30" s="27" t="n"/>
      <c r="F30" s="27" t="n"/>
      <c r="G30" s="29">
        <f>IF(C30="","",C30-TODAY())</f>
        <v/>
      </c>
      <c r="H30" s="30">
        <f>IF(C30="","",IF(AND(COUNTIF($C$5:C30,C30)=1,COUNTIF(CalDate,C30)&gt;1),1,0))</f>
        <v/>
      </c>
    </row>
    <row r="31">
      <c r="A31" s="19" t="n"/>
      <c r="B31" s="20" t="n"/>
      <c r="C31" s="21" t="n"/>
      <c r="D31" s="19" t="n"/>
      <c r="E31" s="20" t="n"/>
      <c r="F31" s="20" t="n"/>
      <c r="G31" s="22">
        <f>IF(C31="","",C31-TODAY())</f>
        <v/>
      </c>
      <c r="H31" s="23">
        <f>IF(C31="","",IF(AND(COUNTIF($C$5:C31,C31)=1,COUNTIF(CalDate,C31)&gt;1),1,0))</f>
        <v/>
      </c>
    </row>
    <row r="32">
      <c r="A32" s="26" t="n"/>
      <c r="B32" s="27" t="n"/>
      <c r="C32" s="28" t="n"/>
      <c r="D32" s="26" t="n"/>
      <c r="E32" s="27" t="n"/>
      <c r="F32" s="27" t="n"/>
      <c r="G32" s="29">
        <f>IF(C32="","",C32-TODAY())</f>
        <v/>
      </c>
      <c r="H32" s="30">
        <f>IF(C32="","",IF(AND(COUNTIF($C$5:C32,C32)=1,COUNTIF(CalDate,C32)&gt;1),1,0))</f>
        <v/>
      </c>
    </row>
    <row r="33">
      <c r="A33" s="19" t="n"/>
      <c r="B33" s="20" t="n"/>
      <c r="C33" s="21" t="n"/>
      <c r="D33" s="19" t="n"/>
      <c r="E33" s="20" t="n"/>
      <c r="F33" s="20" t="n"/>
      <c r="G33" s="22">
        <f>IF(C33="","",C33-TODAY())</f>
        <v/>
      </c>
      <c r="H33" s="23">
        <f>IF(C33="","",IF(AND(COUNTIF($C$5:C33,C33)=1,COUNTIF(CalDate,C33)&gt;1),1,0))</f>
        <v/>
      </c>
    </row>
    <row r="34">
      <c r="A34" s="26" t="n"/>
      <c r="B34" s="27" t="n"/>
      <c r="C34" s="28" t="n"/>
      <c r="D34" s="26" t="n"/>
      <c r="E34" s="27" t="n"/>
      <c r="F34" s="27" t="n"/>
      <c r="G34" s="29">
        <f>IF(C34="","",C34-TODAY())</f>
        <v/>
      </c>
      <c r="H34" s="30">
        <f>IF(C34="","",IF(AND(COUNTIF($C$5:C34,C34)=1,COUNTIF(CalDate,C34)&gt;1),1,0))</f>
        <v/>
      </c>
    </row>
    <row r="35">
      <c r="A35" s="19" t="n"/>
      <c r="B35" s="20" t="n"/>
      <c r="C35" s="21" t="n"/>
      <c r="D35" s="19" t="n"/>
      <c r="E35" s="20" t="n"/>
      <c r="F35" s="20" t="n"/>
      <c r="G35" s="22">
        <f>IF(C35="","",C35-TODAY())</f>
        <v/>
      </c>
      <c r="H35" s="23">
        <f>IF(C35="","",IF(AND(COUNTIF($C$5:C35,C35)=1,COUNTIF(CalDate,C35)&gt;1),1,0))</f>
        <v/>
      </c>
    </row>
    <row r="36">
      <c r="A36" s="26" t="n"/>
      <c r="B36" s="27" t="n"/>
      <c r="C36" s="28" t="n"/>
      <c r="D36" s="26" t="n"/>
      <c r="E36" s="27" t="n"/>
      <c r="F36" s="27" t="n"/>
      <c r="G36" s="29">
        <f>IF(C36="","",C36-TODAY())</f>
        <v/>
      </c>
      <c r="H36" s="30">
        <f>IF(C36="","",IF(AND(COUNTIF($C$5:C36,C36)=1,COUNTIF(CalDate,C36)&gt;1),1,0))</f>
        <v/>
      </c>
    </row>
    <row r="37">
      <c r="A37" s="19" t="n"/>
      <c r="B37" s="20" t="n"/>
      <c r="C37" s="21" t="n"/>
      <c r="D37" s="19" t="n"/>
      <c r="E37" s="20" t="n"/>
      <c r="F37" s="20" t="n"/>
      <c r="G37" s="22">
        <f>IF(C37="","",C37-TODAY())</f>
        <v/>
      </c>
      <c r="H37" s="23">
        <f>IF(C37="","",IF(AND(COUNTIF($C$5:C37,C37)=1,COUNTIF(CalDate,C37)&gt;1),1,0))</f>
        <v/>
      </c>
    </row>
    <row r="38">
      <c r="A38" s="26" t="n"/>
      <c r="B38" s="27" t="n"/>
      <c r="C38" s="28" t="n"/>
      <c r="D38" s="26" t="n"/>
      <c r="E38" s="27" t="n"/>
      <c r="F38" s="27" t="n"/>
      <c r="G38" s="29">
        <f>IF(C38="","",C38-TODAY())</f>
        <v/>
      </c>
      <c r="H38" s="30">
        <f>IF(C38="","",IF(AND(COUNTIF($C$5:C38,C38)=1,COUNTIF(CalDate,C38)&gt;1),1,0))</f>
        <v/>
      </c>
    </row>
    <row r="39">
      <c r="A39" s="19" t="n"/>
      <c r="B39" s="20" t="n"/>
      <c r="C39" s="21" t="n"/>
      <c r="D39" s="19" t="n"/>
      <c r="E39" s="20" t="n"/>
      <c r="F39" s="20" t="n"/>
      <c r="G39" s="22">
        <f>IF(C39="","",C39-TODAY())</f>
        <v/>
      </c>
      <c r="H39" s="23">
        <f>IF(C39="","",IF(AND(COUNTIF($C$5:C39,C39)=1,COUNTIF(CalDate,C39)&gt;1),1,0))</f>
        <v/>
      </c>
    </row>
    <row r="40">
      <c r="A40" s="26" t="n"/>
      <c r="B40" s="27" t="n"/>
      <c r="C40" s="28" t="n"/>
      <c r="D40" s="26" t="n"/>
      <c r="E40" s="27" t="n"/>
      <c r="F40" s="27" t="n"/>
      <c r="G40" s="29">
        <f>IF(C40="","",C40-TODAY())</f>
        <v/>
      </c>
      <c r="H40" s="30">
        <f>IF(C40="","",IF(AND(COUNTIF($C$5:C40,C40)=1,COUNTIF(CalDate,C40)&gt;1),1,0))</f>
        <v/>
      </c>
    </row>
    <row r="41">
      <c r="A41" s="19" t="n"/>
      <c r="B41" s="20" t="n"/>
      <c r="C41" s="21" t="n"/>
      <c r="D41" s="19" t="n"/>
      <c r="E41" s="20" t="n"/>
      <c r="F41" s="20" t="n"/>
      <c r="G41" s="22">
        <f>IF(C41="","",C41-TODAY())</f>
        <v/>
      </c>
      <c r="H41" s="23">
        <f>IF(C41="","",IF(AND(COUNTIF($C$5:C41,C41)=1,COUNTIF(CalDate,C41)&gt;1),1,0))</f>
        <v/>
      </c>
    </row>
    <row r="42">
      <c r="A42" s="26" t="n"/>
      <c r="B42" s="27" t="n"/>
      <c r="C42" s="28" t="n"/>
      <c r="D42" s="26" t="n"/>
      <c r="E42" s="27" t="n"/>
      <c r="F42" s="27" t="n"/>
      <c r="G42" s="29">
        <f>IF(C42="","",C42-TODAY())</f>
        <v/>
      </c>
      <c r="H42" s="30">
        <f>IF(C42="","",IF(AND(COUNTIF($C$5:C42,C42)=1,COUNTIF(CalDate,C42)&gt;1),1,0))</f>
        <v/>
      </c>
    </row>
    <row r="43">
      <c r="A43" s="19" t="n"/>
      <c r="B43" s="20" t="n"/>
      <c r="C43" s="21" t="n"/>
      <c r="D43" s="19" t="n"/>
      <c r="E43" s="20" t="n"/>
      <c r="F43" s="20" t="n"/>
      <c r="G43" s="22">
        <f>IF(C43="","",C43-TODAY())</f>
        <v/>
      </c>
      <c r="H43" s="23">
        <f>IF(C43="","",IF(AND(COUNTIF($C$5:C43,C43)=1,COUNTIF(CalDate,C43)&gt;1),1,0))</f>
        <v/>
      </c>
    </row>
    <row r="44">
      <c r="A44" s="26" t="n"/>
      <c r="B44" s="27" t="n"/>
      <c r="C44" s="28" t="n"/>
      <c r="D44" s="26" t="n"/>
      <c r="E44" s="27" t="n"/>
      <c r="F44" s="27" t="n"/>
      <c r="G44" s="29">
        <f>IF(C44="","",C44-TODAY())</f>
        <v/>
      </c>
      <c r="H44" s="30">
        <f>IF(C44="","",IF(AND(COUNTIF($C$5:C44,C44)=1,COUNTIF(CalDate,C44)&gt;1),1,0))</f>
        <v/>
      </c>
    </row>
    <row r="45">
      <c r="A45" s="19" t="n"/>
      <c r="B45" s="20" t="n"/>
      <c r="C45" s="21" t="n"/>
      <c r="D45" s="19" t="n"/>
      <c r="E45" s="20" t="n"/>
      <c r="F45" s="20" t="n"/>
      <c r="G45" s="22">
        <f>IF(C45="","",C45-TODAY())</f>
        <v/>
      </c>
      <c r="H45" s="23">
        <f>IF(C45="","",IF(AND(COUNTIF($C$5:C45,C45)=1,COUNTIF(CalDate,C45)&gt;1),1,0))</f>
        <v/>
      </c>
    </row>
    <row r="46">
      <c r="A46" s="26" t="n"/>
      <c r="B46" s="27" t="n"/>
      <c r="C46" s="28" t="n"/>
      <c r="D46" s="26" t="n"/>
      <c r="E46" s="27" t="n"/>
      <c r="F46" s="27" t="n"/>
      <c r="G46" s="29">
        <f>IF(C46="","",C46-TODAY())</f>
        <v/>
      </c>
      <c r="H46" s="30">
        <f>IF(C46="","",IF(AND(COUNTIF($C$5:C46,C46)=1,COUNTIF(CalDate,C46)&gt;1),1,0))</f>
        <v/>
      </c>
    </row>
    <row r="47">
      <c r="A47" s="19" t="n"/>
      <c r="B47" s="20" t="n"/>
      <c r="C47" s="21" t="n"/>
      <c r="D47" s="19" t="n"/>
      <c r="E47" s="20" t="n"/>
      <c r="F47" s="20" t="n"/>
      <c r="G47" s="22">
        <f>IF(C47="","",C47-TODAY())</f>
        <v/>
      </c>
      <c r="H47" s="23">
        <f>IF(C47="","",IF(AND(COUNTIF($C$5:C47,C47)=1,COUNTIF(CalDate,C47)&gt;1),1,0))</f>
        <v/>
      </c>
    </row>
    <row r="48">
      <c r="A48" s="26" t="n"/>
      <c r="B48" s="27" t="n"/>
      <c r="C48" s="28" t="n"/>
      <c r="D48" s="26" t="n"/>
      <c r="E48" s="27" t="n"/>
      <c r="F48" s="27" t="n"/>
      <c r="G48" s="29">
        <f>IF(C48="","",C48-TODAY())</f>
        <v/>
      </c>
      <c r="H48" s="30">
        <f>IF(C48="","",IF(AND(COUNTIF($C$5:C48,C48)=1,COUNTIF(CalDate,C48)&gt;1),1,0))</f>
        <v/>
      </c>
    </row>
    <row r="49">
      <c r="A49" s="19" t="n"/>
      <c r="B49" s="20" t="n"/>
      <c r="C49" s="21" t="n"/>
      <c r="D49" s="19" t="n"/>
      <c r="E49" s="20" t="n"/>
      <c r="F49" s="20" t="n"/>
      <c r="G49" s="22">
        <f>IF(C49="","",C49-TODAY())</f>
        <v/>
      </c>
      <c r="H49" s="23">
        <f>IF(C49="","",IF(AND(COUNTIF($C$5:C49,C49)=1,COUNTIF(CalDate,C49)&gt;1),1,0))</f>
        <v/>
      </c>
    </row>
    <row r="50">
      <c r="A50" s="26" t="n"/>
      <c r="B50" s="27" t="n"/>
      <c r="C50" s="28" t="n"/>
      <c r="D50" s="26" t="n"/>
      <c r="E50" s="27" t="n"/>
      <c r="F50" s="27" t="n"/>
      <c r="G50" s="29">
        <f>IF(C50="","",C50-TODAY())</f>
        <v/>
      </c>
      <c r="H50" s="30">
        <f>IF(C50="","",IF(AND(COUNTIF($C$5:C50,C50)=1,COUNTIF(CalDate,C50)&gt;1),1,0))</f>
        <v/>
      </c>
    </row>
    <row r="51">
      <c r="A51" s="19" t="n"/>
      <c r="B51" s="20" t="n"/>
      <c r="C51" s="21" t="n"/>
      <c r="D51" s="19" t="n"/>
      <c r="E51" s="20" t="n"/>
      <c r="F51" s="20" t="n"/>
      <c r="G51" s="22">
        <f>IF(C51="","",C51-TODAY())</f>
        <v/>
      </c>
      <c r="H51" s="23">
        <f>IF(C51="","",IF(AND(COUNTIF($C$5:C51,C51)=1,COUNTIF(CalDate,C51)&gt;1),1,0))</f>
        <v/>
      </c>
    </row>
    <row r="52">
      <c r="A52" s="26" t="n"/>
      <c r="B52" s="27" t="n"/>
      <c r="C52" s="28" t="n"/>
      <c r="D52" s="26" t="n"/>
      <c r="E52" s="27" t="n"/>
      <c r="F52" s="27" t="n"/>
      <c r="G52" s="29">
        <f>IF(C52="","",C52-TODAY())</f>
        <v/>
      </c>
      <c r="H52" s="30">
        <f>IF(C52="","",IF(AND(COUNTIF($C$5:C52,C52)=1,COUNTIF(CalDate,C52)&gt;1),1,0))</f>
        <v/>
      </c>
    </row>
    <row r="53">
      <c r="A53" s="19" t="n"/>
      <c r="B53" s="20" t="n"/>
      <c r="C53" s="21" t="n"/>
      <c r="D53" s="19" t="n"/>
      <c r="E53" s="20" t="n"/>
      <c r="F53" s="20" t="n"/>
      <c r="G53" s="22">
        <f>IF(C53="","",C53-TODAY())</f>
        <v/>
      </c>
      <c r="H53" s="23">
        <f>IF(C53="","",IF(AND(COUNTIF($C$5:C53,C53)=1,COUNTIF(CalDate,C53)&gt;1),1,0))</f>
        <v/>
      </c>
    </row>
    <row r="54">
      <c r="A54" s="26" t="n"/>
      <c r="B54" s="27" t="n"/>
      <c r="C54" s="28" t="n"/>
      <c r="D54" s="26" t="n"/>
      <c r="E54" s="27" t="n"/>
      <c r="F54" s="27" t="n"/>
      <c r="G54" s="29">
        <f>IF(C54="","",C54-TODAY())</f>
        <v/>
      </c>
      <c r="H54" s="30">
        <f>IF(C54="","",IF(AND(COUNTIF($C$5:C54,C54)=1,COUNTIF(CalDate,C54)&gt;1),1,0))</f>
        <v/>
      </c>
    </row>
    <row r="55">
      <c r="A55" s="19" t="n"/>
      <c r="B55" s="20" t="n"/>
      <c r="C55" s="21" t="n"/>
      <c r="D55" s="19" t="n"/>
      <c r="E55" s="20" t="n"/>
      <c r="F55" s="20" t="n"/>
      <c r="G55" s="22">
        <f>IF(C55="","",C55-TODAY())</f>
        <v/>
      </c>
      <c r="H55" s="23">
        <f>IF(C55="","",IF(AND(COUNTIF($C$5:C55,C55)=1,COUNTIF(CalDate,C55)&gt;1),1,0))</f>
        <v/>
      </c>
    </row>
    <row r="56">
      <c r="A56" s="26" t="n"/>
      <c r="B56" s="27" t="n"/>
      <c r="C56" s="28" t="n"/>
      <c r="D56" s="26" t="n"/>
      <c r="E56" s="27" t="n"/>
      <c r="F56" s="27" t="n"/>
      <c r="G56" s="29">
        <f>IF(C56="","",C56-TODAY())</f>
        <v/>
      </c>
      <c r="H56" s="30">
        <f>IF(C56="","",IF(AND(COUNTIF($C$5:C56,C56)=1,COUNTIF(CalDate,C56)&gt;1),1,0))</f>
        <v/>
      </c>
    </row>
    <row r="57">
      <c r="A57" s="19" t="n"/>
      <c r="B57" s="20" t="n"/>
      <c r="C57" s="21" t="n"/>
      <c r="D57" s="19" t="n"/>
      <c r="E57" s="20" t="n"/>
      <c r="F57" s="20" t="n"/>
      <c r="G57" s="22">
        <f>IF(C57="","",C57-TODAY())</f>
        <v/>
      </c>
      <c r="H57" s="23">
        <f>IF(C57="","",IF(AND(COUNTIF($C$5:C57,C57)=1,COUNTIF(CalDate,C57)&gt;1),1,0))</f>
        <v/>
      </c>
    </row>
    <row r="58">
      <c r="A58" s="26" t="n"/>
      <c r="B58" s="27" t="n"/>
      <c r="C58" s="28" t="n"/>
      <c r="D58" s="26" t="n"/>
      <c r="E58" s="27" t="n"/>
      <c r="F58" s="27" t="n"/>
      <c r="G58" s="29">
        <f>IF(C58="","",C58-TODAY())</f>
        <v/>
      </c>
      <c r="H58" s="30">
        <f>IF(C58="","",IF(AND(COUNTIF($C$5:C58,C58)=1,COUNTIF(CalDate,C58)&gt;1),1,0))</f>
        <v/>
      </c>
    </row>
    <row r="59">
      <c r="A59" s="19" t="n"/>
      <c r="B59" s="20" t="n"/>
      <c r="C59" s="21" t="n"/>
      <c r="D59" s="19" t="n"/>
      <c r="E59" s="20" t="n"/>
      <c r="F59" s="20" t="n"/>
      <c r="G59" s="22">
        <f>IF(C59="","",C59-TODAY())</f>
        <v/>
      </c>
      <c r="H59" s="23">
        <f>IF(C59="","",IF(AND(COUNTIF($C$5:C59,C59)=1,COUNTIF(CalDate,C59)&gt;1),1,0))</f>
        <v/>
      </c>
    </row>
    <row r="60">
      <c r="A60" s="26" t="n"/>
      <c r="B60" s="27" t="n"/>
      <c r="C60" s="28" t="n"/>
      <c r="D60" s="26" t="n"/>
      <c r="E60" s="27" t="n"/>
      <c r="F60" s="27" t="n"/>
      <c r="G60" s="29">
        <f>IF(C60="","",C60-TODAY())</f>
        <v/>
      </c>
      <c r="H60" s="30">
        <f>IF(C60="","",IF(AND(COUNTIF($C$5:C60,C60)=1,COUNTIF(CalDate,C60)&gt;1),1,0))</f>
        <v/>
      </c>
    </row>
    <row r="61">
      <c r="A61" s="19" t="n"/>
      <c r="B61" s="20" t="n"/>
      <c r="C61" s="21" t="n"/>
      <c r="D61" s="19" t="n"/>
      <c r="E61" s="20" t="n"/>
      <c r="F61" s="20" t="n"/>
      <c r="G61" s="22">
        <f>IF(C61="","",C61-TODAY())</f>
        <v/>
      </c>
      <c r="H61" s="23">
        <f>IF(C61="","",IF(AND(COUNTIF($C$5:C61,C61)=1,COUNTIF(CalDate,C61)&gt;1),1,0))</f>
        <v/>
      </c>
    </row>
    <row r="62">
      <c r="A62" s="26" t="n"/>
      <c r="B62" s="27" t="n"/>
      <c r="C62" s="28" t="n"/>
      <c r="D62" s="26" t="n"/>
      <c r="E62" s="27" t="n"/>
      <c r="F62" s="27" t="n"/>
      <c r="G62" s="29">
        <f>IF(C62="","",C62-TODAY())</f>
        <v/>
      </c>
      <c r="H62" s="30">
        <f>IF(C62="","",IF(AND(COUNTIF($C$5:C62,C62)=1,COUNTIF(CalDate,C62)&gt;1),1,0))</f>
        <v/>
      </c>
    </row>
    <row r="63">
      <c r="A63" s="19" t="n"/>
      <c r="B63" s="20" t="n"/>
      <c r="C63" s="21" t="n"/>
      <c r="D63" s="19" t="n"/>
      <c r="E63" s="20" t="n"/>
      <c r="F63" s="20" t="n"/>
      <c r="G63" s="22">
        <f>IF(C63="","",C63-TODAY())</f>
        <v/>
      </c>
      <c r="H63" s="23">
        <f>IF(C63="","",IF(AND(COUNTIF($C$5:C63,C63)=1,COUNTIF(CalDate,C63)&gt;1),1,0))</f>
        <v/>
      </c>
    </row>
    <row r="64">
      <c r="A64" s="26" t="n"/>
      <c r="B64" s="27" t="n"/>
      <c r="C64" s="28" t="n"/>
      <c r="D64" s="26" t="n"/>
      <c r="E64" s="27" t="n"/>
      <c r="F64" s="27" t="n"/>
      <c r="G64" s="29">
        <f>IF(C64="","",C64-TODAY())</f>
        <v/>
      </c>
      <c r="H64" s="30">
        <f>IF(C64="","",IF(AND(COUNTIF($C$5:C64,C64)=1,COUNTIF(CalDate,C64)&gt;1),1,0))</f>
        <v/>
      </c>
    </row>
    <row r="65">
      <c r="A65" s="19" t="n"/>
      <c r="B65" s="20" t="n"/>
      <c r="C65" s="21" t="n"/>
      <c r="D65" s="19" t="n"/>
      <c r="E65" s="20" t="n"/>
      <c r="F65" s="20" t="n"/>
      <c r="G65" s="22">
        <f>IF(C65="","",C65-TODAY())</f>
        <v/>
      </c>
      <c r="H65" s="23">
        <f>IF(C65="","",IF(AND(COUNTIF($C$5:C65,C65)=1,COUNTIF(CalDate,C65)&gt;1),1,0))</f>
        <v/>
      </c>
    </row>
    <row r="66">
      <c r="A66" s="26" t="n"/>
      <c r="B66" s="27" t="n"/>
      <c r="C66" s="28" t="n"/>
      <c r="D66" s="26" t="n"/>
      <c r="E66" s="27" t="n"/>
      <c r="F66" s="27" t="n"/>
      <c r="G66" s="29">
        <f>IF(C66="","",C66-TODAY())</f>
        <v/>
      </c>
      <c r="H66" s="30">
        <f>IF(C66="","",IF(AND(COUNTIF($C$5:C66,C66)=1,COUNTIF(CalDate,C66)&gt;1),1,0))</f>
        <v/>
      </c>
    </row>
    <row r="67">
      <c r="A67" s="19" t="n"/>
      <c r="B67" s="20" t="n"/>
      <c r="C67" s="21" t="n"/>
      <c r="D67" s="19" t="n"/>
      <c r="E67" s="20" t="n"/>
      <c r="F67" s="20" t="n"/>
      <c r="G67" s="22">
        <f>IF(C67="","",C67-TODAY())</f>
        <v/>
      </c>
      <c r="H67" s="23">
        <f>IF(C67="","",IF(AND(COUNTIF($C$5:C67,C67)=1,COUNTIF(CalDate,C67)&gt;1),1,0))</f>
        <v/>
      </c>
    </row>
    <row r="68">
      <c r="A68" s="26" t="n"/>
      <c r="B68" s="27" t="n"/>
      <c r="C68" s="28" t="n"/>
      <c r="D68" s="26" t="n"/>
      <c r="E68" s="27" t="n"/>
      <c r="F68" s="27" t="n"/>
      <c r="G68" s="29">
        <f>IF(C68="","",C68-TODAY())</f>
        <v/>
      </c>
      <c r="H68" s="30">
        <f>IF(C68="","",IF(AND(COUNTIF($C$5:C68,C68)=1,COUNTIF(CalDate,C68)&gt;1),1,0))</f>
        <v/>
      </c>
    </row>
    <row r="69">
      <c r="A69" s="19" t="n"/>
      <c r="B69" s="20" t="n"/>
      <c r="C69" s="21" t="n"/>
      <c r="D69" s="19" t="n"/>
      <c r="E69" s="20" t="n"/>
      <c r="F69" s="20" t="n"/>
      <c r="G69" s="22">
        <f>IF(C69="","",C69-TODAY())</f>
        <v/>
      </c>
      <c r="H69" s="23">
        <f>IF(C69="","",IF(AND(COUNTIF($C$5:C69,C69)=1,COUNTIF(CalDate,C69)&gt;1),1,0))</f>
        <v/>
      </c>
    </row>
    <row r="70">
      <c r="A70" s="26" t="n"/>
      <c r="B70" s="27" t="n"/>
      <c r="C70" s="28" t="n"/>
      <c r="D70" s="26" t="n"/>
      <c r="E70" s="27" t="n"/>
      <c r="F70" s="27" t="n"/>
      <c r="G70" s="29">
        <f>IF(C70="","",C70-TODAY())</f>
        <v/>
      </c>
      <c r="H70" s="30">
        <f>IF(C70="","",IF(AND(COUNTIF($C$5:C70,C70)=1,COUNTIF(CalDate,C70)&gt;1),1,0))</f>
        <v/>
      </c>
    </row>
    <row r="71">
      <c r="A71" s="19" t="n"/>
      <c r="B71" s="20" t="n"/>
      <c r="C71" s="21" t="n"/>
      <c r="D71" s="19" t="n"/>
      <c r="E71" s="20" t="n"/>
      <c r="F71" s="20" t="n"/>
      <c r="G71" s="22">
        <f>IF(C71="","",C71-TODAY())</f>
        <v/>
      </c>
      <c r="H71" s="23">
        <f>IF(C71="","",IF(AND(COUNTIF($C$5:C71,C71)=1,COUNTIF(CalDate,C71)&gt;1),1,0))</f>
        <v/>
      </c>
    </row>
    <row r="72">
      <c r="A72" s="26" t="n"/>
      <c r="B72" s="27" t="n"/>
      <c r="C72" s="28" t="n"/>
      <c r="D72" s="26" t="n"/>
      <c r="E72" s="27" t="n"/>
      <c r="F72" s="27" t="n"/>
      <c r="G72" s="29">
        <f>IF(C72="","",C72-TODAY())</f>
        <v/>
      </c>
      <c r="H72" s="30">
        <f>IF(C72="","",IF(AND(COUNTIF($C$5:C72,C72)=1,COUNTIF(CalDate,C72)&gt;1),1,0))</f>
        <v/>
      </c>
    </row>
    <row r="73">
      <c r="A73" s="19" t="n"/>
      <c r="B73" s="20" t="n"/>
      <c r="C73" s="21" t="n"/>
      <c r="D73" s="19" t="n"/>
      <c r="E73" s="20" t="n"/>
      <c r="F73" s="20" t="n"/>
      <c r="G73" s="22">
        <f>IF(C73="","",C73-TODAY())</f>
        <v/>
      </c>
      <c r="H73" s="23">
        <f>IF(C73="","",IF(AND(COUNTIF($C$5:C73,C73)=1,COUNTIF(CalDate,C73)&gt;1),1,0))</f>
        <v/>
      </c>
    </row>
    <row r="74">
      <c r="A74" s="26" t="n"/>
      <c r="B74" s="27" t="n"/>
      <c r="C74" s="28" t="n"/>
      <c r="D74" s="26" t="n"/>
      <c r="E74" s="27" t="n"/>
      <c r="F74" s="27" t="n"/>
      <c r="G74" s="29">
        <f>IF(C74="","",C74-TODAY())</f>
        <v/>
      </c>
      <c r="H74" s="30">
        <f>IF(C74="","",IF(AND(COUNTIF($C$5:C74,C74)=1,COUNTIF(CalDate,C74)&gt;1),1,0))</f>
        <v/>
      </c>
    </row>
  </sheetData>
  <mergeCells count="2">
    <mergeCell ref="A2:F2"/>
    <mergeCell ref="A1:F1"/>
  </mergeCells>
  <conditionalFormatting sqref="A5:F74">
    <cfRule type="expression" priority="1" dxfId="0">
      <formula>AND($C5&lt;&gt;"",COUNTIF(CalDate,$C5)&gt;1)</formula>
    </cfRule>
    <cfRule type="expression" priority="2" dxfId="1">
      <formula>AND($A5="Game",$C5&gt;=TODAY(),$C5-TODAY()&lt;=3)</formula>
    </cfRule>
  </conditionalFormatting>
  <dataValidations count="1">
    <dataValidation sqref="A5:A74" showDropDown="0" showInputMessage="0" showErrorMessage="0" allowBlank="1" type="list">
      <formula1>=EventTypeList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8" customWidth="1" min="4" max="4"/>
    <col width="12" customWidth="1" min="5" max="5"/>
    <col width="11" customWidth="1" min="6" max="6"/>
    <col width="10" customWidth="1" min="7" max="7"/>
    <col width="9" customWidth="1" min="8" max="8"/>
    <col width="9" customWidth="1" min="9" max="9"/>
    <col width="18" customWidth="1" min="10" max="10"/>
  </cols>
  <sheetData>
    <row r="1" ht="46" customHeight="1">
      <c r="A1" s="1" t="inlineStr">
        <is>
          <t xml:space="preserve">  🏟  GAME DAY COMMAND CENTER</t>
        </is>
      </c>
    </row>
    <row r="2" ht="22" customHeight="1">
      <c r="A2" s="2" t="inlineStr">
        <is>
          <t xml:space="preserve">  Everything for game day — ballpark, times, uniform, lineup &amp; the final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Opponent</t>
        </is>
      </c>
      <c r="B4" s="7" t="inlineStr">
        <is>
          <t>Date</t>
        </is>
      </c>
      <c r="C4" s="7" t="inlineStr">
        <is>
          <t>Ballpark / Address</t>
        </is>
      </c>
      <c r="D4" s="7" t="inlineStr">
        <is>
          <t>Field</t>
        </is>
      </c>
      <c r="E4" s="7" t="inlineStr">
        <is>
          <t>Game Time</t>
        </is>
      </c>
      <c r="F4" s="7" t="inlineStr">
        <is>
          <t>Arrive By</t>
        </is>
      </c>
      <c r="G4" s="7" t="inlineStr">
        <is>
          <t>Uniform</t>
        </is>
      </c>
      <c r="H4" s="7" t="inlineStr">
        <is>
          <t>Result</t>
        </is>
      </c>
      <c r="I4" s="7" t="inlineStr">
        <is>
          <t>Score</t>
        </is>
      </c>
      <c r="J4" s="7" t="inlineStr">
        <is>
          <t>Player Notes</t>
        </is>
      </c>
    </row>
    <row r="5">
      <c r="A5" s="20" t="inlineStr">
        <is>
          <t>Bandits</t>
        </is>
      </c>
      <c r="B5" s="21" t="n">
        <v>46206</v>
      </c>
      <c r="C5" s="20" t="inlineStr">
        <is>
          <t>Miller Field (home)</t>
        </is>
      </c>
      <c r="D5" s="19" t="inlineStr">
        <is>
          <t>1</t>
        </is>
      </c>
      <c r="E5" s="19" t="inlineStr">
        <is>
          <t>6:00 PM</t>
        </is>
      </c>
      <c r="F5" s="19" t="inlineStr">
        <is>
          <t>5:00 PM</t>
        </is>
      </c>
      <c r="G5" s="19" t="inlineStr">
        <is>
          <t>Navy</t>
        </is>
      </c>
      <c r="H5" s="19" t="inlineStr">
        <is>
          <t>—</t>
        </is>
      </c>
      <c r="I5" s="19" t="inlineStr"/>
      <c r="J5" s="20" t="inlineStr"/>
    </row>
    <row r="6">
      <c r="A6" s="27" t="inlineStr">
        <is>
          <t>Rockets</t>
        </is>
      </c>
      <c r="B6" s="28" t="n">
        <v>46209</v>
      </c>
      <c r="C6" s="27" t="inlineStr">
        <is>
          <t>Eastside Park, 40 Park Rd</t>
        </is>
      </c>
      <c r="D6" s="26" t="inlineStr">
        <is>
          <t>3</t>
        </is>
      </c>
      <c r="E6" s="26" t="inlineStr">
        <is>
          <t>11:00 AM</t>
        </is>
      </c>
      <c r="F6" s="26" t="inlineStr">
        <is>
          <t>10:00 AM</t>
        </is>
      </c>
      <c r="G6" s="26" t="inlineStr">
        <is>
          <t>White</t>
        </is>
      </c>
      <c r="H6" s="26" t="inlineStr">
        <is>
          <t>—</t>
        </is>
      </c>
      <c r="I6" s="26" t="inlineStr"/>
      <c r="J6" s="27" t="inlineStr"/>
    </row>
    <row r="7">
      <c r="A7" s="20" t="inlineStr">
        <is>
          <t>Cobras</t>
        </is>
      </c>
      <c r="B7" s="21" t="n">
        <v>46213</v>
      </c>
      <c r="C7" s="20" t="inlineStr">
        <is>
          <t>North Diamond, 8 Field St</t>
        </is>
      </c>
      <c r="D7" s="19" t="inlineStr">
        <is>
          <t>2</t>
        </is>
      </c>
      <c r="E7" s="19" t="inlineStr">
        <is>
          <t>1:00 PM</t>
        </is>
      </c>
      <c r="F7" s="19" t="inlineStr">
        <is>
          <t>12:00 PM</t>
        </is>
      </c>
      <c r="G7" s="19" t="inlineStr">
        <is>
          <t>White</t>
        </is>
      </c>
      <c r="H7" s="19" t="inlineStr">
        <is>
          <t>—</t>
        </is>
      </c>
      <c r="I7" s="19" t="inlineStr"/>
      <c r="J7" s="20" t="inlineStr"/>
    </row>
    <row r="8">
      <c r="A8" s="27" t="inlineStr">
        <is>
          <t>Storm</t>
        </is>
      </c>
      <c r="B8" s="28" t="n">
        <v>46216</v>
      </c>
      <c r="C8" s="27" t="inlineStr">
        <is>
          <t>Miller Field (home)</t>
        </is>
      </c>
      <c r="D8" s="26" t="inlineStr">
        <is>
          <t>1</t>
        </is>
      </c>
      <c r="E8" s="26" t="inlineStr">
        <is>
          <t>10:00 AM</t>
        </is>
      </c>
      <c r="F8" s="26" t="inlineStr">
        <is>
          <t>9:00 AM</t>
        </is>
      </c>
      <c r="G8" s="26" t="inlineStr">
        <is>
          <t>Navy</t>
        </is>
      </c>
      <c r="H8" s="26" t="inlineStr">
        <is>
          <t>—</t>
        </is>
      </c>
      <c r="I8" s="26" t="inlineStr"/>
      <c r="J8" s="27" t="inlineStr"/>
    </row>
    <row r="9">
      <c r="A9" s="20" t="inlineStr">
        <is>
          <t>Titans</t>
        </is>
      </c>
      <c r="B9" s="21" t="n">
        <v>46201</v>
      </c>
      <c r="C9" s="20" t="inlineStr">
        <is>
          <t>Miller Field (home)</t>
        </is>
      </c>
      <c r="D9" s="19" t="inlineStr">
        <is>
          <t>1</t>
        </is>
      </c>
      <c r="E9" s="19" t="inlineStr">
        <is>
          <t>6:00 PM</t>
        </is>
      </c>
      <c r="F9" s="19" t="inlineStr">
        <is>
          <t>5:00 PM</t>
        </is>
      </c>
      <c r="G9" s="19" t="inlineStr">
        <is>
          <t>Navy</t>
        </is>
      </c>
      <c r="H9" s="19" t="inlineStr">
        <is>
          <t>W</t>
        </is>
      </c>
      <c r="I9" s="19" t="inlineStr">
        <is>
          <t>8-5</t>
        </is>
      </c>
      <c r="J9" s="20" t="inlineStr">
        <is>
          <t>2-4, 2 RBI</t>
        </is>
      </c>
    </row>
    <row r="10">
      <c r="A10" s="27" t="inlineStr">
        <is>
          <t>Storm</t>
        </is>
      </c>
      <c r="B10" s="28" t="n">
        <v>46191</v>
      </c>
      <c r="C10" s="27" t="inlineStr">
        <is>
          <t>Miller Field (home)</t>
        </is>
      </c>
      <c r="D10" s="26" t="inlineStr">
        <is>
          <t>1</t>
        </is>
      </c>
      <c r="E10" s="26" t="inlineStr">
        <is>
          <t>10:00 AM</t>
        </is>
      </c>
      <c r="F10" s="26" t="inlineStr">
        <is>
          <t>9:00 AM</t>
        </is>
      </c>
      <c r="G10" s="26" t="inlineStr">
        <is>
          <t>Navy</t>
        </is>
      </c>
      <c r="H10" s="26" t="inlineStr">
        <is>
          <t>W</t>
        </is>
      </c>
      <c r="I10" s="26" t="inlineStr">
        <is>
          <t>5-4</t>
        </is>
      </c>
      <c r="J10" s="27" t="inlineStr">
        <is>
          <t>1-3, SB</t>
        </is>
      </c>
    </row>
    <row r="11">
      <c r="A11" s="20" t="n"/>
      <c r="B11" s="21" t="n"/>
      <c r="C11" s="20" t="n"/>
      <c r="D11" s="19" t="n"/>
      <c r="E11" s="19" t="n"/>
      <c r="F11" s="19" t="n"/>
      <c r="G11" s="19" t="n"/>
      <c r="H11" s="19" t="n"/>
      <c r="I11" s="19" t="n"/>
      <c r="J11" s="20" t="n"/>
    </row>
    <row r="12">
      <c r="A12" s="27" t="n"/>
      <c r="B12" s="28" t="n"/>
      <c r="C12" s="27" t="n"/>
      <c r="D12" s="26" t="n"/>
      <c r="E12" s="26" t="n"/>
      <c r="F12" s="26" t="n"/>
      <c r="G12" s="26" t="n"/>
      <c r="H12" s="26" t="n"/>
      <c r="I12" s="26" t="n"/>
      <c r="J12" s="27" t="n"/>
    </row>
    <row r="13">
      <c r="A13" s="20" t="n"/>
      <c r="B13" s="21" t="n"/>
      <c r="C13" s="20" t="n"/>
      <c r="D13" s="19" t="n"/>
      <c r="E13" s="19" t="n"/>
      <c r="F13" s="19" t="n"/>
      <c r="G13" s="19" t="n"/>
      <c r="H13" s="19" t="n"/>
      <c r="I13" s="19" t="n"/>
      <c r="J13" s="20" t="n"/>
    </row>
    <row r="14">
      <c r="A14" s="27" t="n"/>
      <c r="B14" s="28" t="n"/>
      <c r="C14" s="27" t="n"/>
      <c r="D14" s="26" t="n"/>
      <c r="E14" s="26" t="n"/>
      <c r="F14" s="26" t="n"/>
      <c r="G14" s="26" t="n"/>
      <c r="H14" s="26" t="n"/>
      <c r="I14" s="26" t="n"/>
      <c r="J14" s="27" t="n"/>
    </row>
    <row r="15">
      <c r="A15" s="20" t="n"/>
      <c r="B15" s="21" t="n"/>
      <c r="C15" s="20" t="n"/>
      <c r="D15" s="19" t="n"/>
      <c r="E15" s="19" t="n"/>
      <c r="F15" s="19" t="n"/>
      <c r="G15" s="19" t="n"/>
      <c r="H15" s="19" t="n"/>
      <c r="I15" s="19" t="n"/>
      <c r="J15" s="20" t="n"/>
    </row>
    <row r="16">
      <c r="A16" s="27" t="n"/>
      <c r="B16" s="28" t="n"/>
      <c r="C16" s="27" t="n"/>
      <c r="D16" s="26" t="n"/>
      <c r="E16" s="26" t="n"/>
      <c r="F16" s="26" t="n"/>
      <c r="G16" s="26" t="n"/>
      <c r="H16" s="26" t="n"/>
      <c r="I16" s="26" t="n"/>
      <c r="J16" s="27" t="n"/>
    </row>
    <row r="17">
      <c r="A17" s="20" t="n"/>
      <c r="B17" s="21" t="n"/>
      <c r="C17" s="20" t="n"/>
      <c r="D17" s="19" t="n"/>
      <c r="E17" s="19" t="n"/>
      <c r="F17" s="19" t="n"/>
      <c r="G17" s="19" t="n"/>
      <c r="H17" s="19" t="n"/>
      <c r="I17" s="19" t="n"/>
      <c r="J17" s="20" t="n"/>
    </row>
    <row r="18">
      <c r="A18" s="27" t="n"/>
      <c r="B18" s="28" t="n"/>
      <c r="C18" s="27" t="n"/>
      <c r="D18" s="26" t="n"/>
      <c r="E18" s="26" t="n"/>
      <c r="F18" s="26" t="n"/>
      <c r="G18" s="26" t="n"/>
      <c r="H18" s="26" t="n"/>
      <c r="I18" s="26" t="n"/>
      <c r="J18" s="27" t="n"/>
    </row>
    <row r="19">
      <c r="A19" s="20" t="n"/>
      <c r="B19" s="21" t="n"/>
      <c r="C19" s="20" t="n"/>
      <c r="D19" s="19" t="n"/>
      <c r="E19" s="19" t="n"/>
      <c r="F19" s="19" t="n"/>
      <c r="G19" s="19" t="n"/>
      <c r="H19" s="19" t="n"/>
      <c r="I19" s="19" t="n"/>
      <c r="J19" s="20" t="n"/>
    </row>
    <row r="20">
      <c r="A20" s="27" t="n"/>
      <c r="B20" s="28" t="n"/>
      <c r="C20" s="27" t="n"/>
      <c r="D20" s="26" t="n"/>
      <c r="E20" s="26" t="n"/>
      <c r="F20" s="26" t="n"/>
      <c r="G20" s="26" t="n"/>
      <c r="H20" s="26" t="n"/>
      <c r="I20" s="26" t="n"/>
      <c r="J20" s="27" t="n"/>
    </row>
    <row r="21">
      <c r="A21" s="20" t="n"/>
      <c r="B21" s="21" t="n"/>
      <c r="C21" s="20" t="n"/>
      <c r="D21" s="19" t="n"/>
      <c r="E21" s="19" t="n"/>
      <c r="F21" s="19" t="n"/>
      <c r="G21" s="19" t="n"/>
      <c r="H21" s="19" t="n"/>
      <c r="I21" s="19" t="n"/>
      <c r="J21" s="20" t="n"/>
    </row>
    <row r="22">
      <c r="A22" s="27" t="n"/>
      <c r="B22" s="28" t="n"/>
      <c r="C22" s="27" t="n"/>
      <c r="D22" s="26" t="n"/>
      <c r="E22" s="26" t="n"/>
      <c r="F22" s="26" t="n"/>
      <c r="G22" s="26" t="n"/>
      <c r="H22" s="26" t="n"/>
      <c r="I22" s="26" t="n"/>
      <c r="J22" s="27" t="n"/>
    </row>
    <row r="23">
      <c r="A23" s="20" t="n"/>
      <c r="B23" s="21" t="n"/>
      <c r="C23" s="20" t="n"/>
      <c r="D23" s="19" t="n"/>
      <c r="E23" s="19" t="n"/>
      <c r="F23" s="19" t="n"/>
      <c r="G23" s="19" t="n"/>
      <c r="H23" s="19" t="n"/>
      <c r="I23" s="19" t="n"/>
      <c r="J23" s="20" t="n"/>
    </row>
    <row r="24">
      <c r="A24" s="27" t="n"/>
      <c r="B24" s="28" t="n"/>
      <c r="C24" s="27" t="n"/>
      <c r="D24" s="26" t="n"/>
      <c r="E24" s="26" t="n"/>
      <c r="F24" s="26" t="n"/>
      <c r="G24" s="26" t="n"/>
      <c r="H24" s="26" t="n"/>
      <c r="I24" s="26" t="n"/>
      <c r="J24" s="27" t="n"/>
    </row>
    <row r="25">
      <c r="A25" s="20" t="n"/>
      <c r="B25" s="21" t="n"/>
      <c r="C25" s="20" t="n"/>
      <c r="D25" s="19" t="n"/>
      <c r="E25" s="19" t="n"/>
      <c r="F25" s="19" t="n"/>
      <c r="G25" s="19" t="n"/>
      <c r="H25" s="19" t="n"/>
      <c r="I25" s="19" t="n"/>
      <c r="J25" s="20" t="n"/>
    </row>
    <row r="26">
      <c r="A26" s="27" t="n"/>
      <c r="B26" s="28" t="n"/>
      <c r="C26" s="27" t="n"/>
      <c r="D26" s="26" t="n"/>
      <c r="E26" s="26" t="n"/>
      <c r="F26" s="26" t="n"/>
      <c r="G26" s="26" t="n"/>
      <c r="H26" s="26" t="n"/>
      <c r="I26" s="26" t="n"/>
      <c r="J26" s="27" t="n"/>
    </row>
    <row r="27">
      <c r="A27" s="20" t="n"/>
      <c r="B27" s="21" t="n"/>
      <c r="C27" s="20" t="n"/>
      <c r="D27" s="19" t="n"/>
      <c r="E27" s="19" t="n"/>
      <c r="F27" s="19" t="n"/>
      <c r="G27" s="19" t="n"/>
      <c r="H27" s="19" t="n"/>
      <c r="I27" s="19" t="n"/>
      <c r="J27" s="20" t="n"/>
    </row>
    <row r="28">
      <c r="A28" s="27" t="n"/>
      <c r="B28" s="28" t="n"/>
      <c r="C28" s="27" t="n"/>
      <c r="D28" s="26" t="n"/>
      <c r="E28" s="26" t="n"/>
      <c r="F28" s="26" t="n"/>
      <c r="G28" s="26" t="n"/>
      <c r="H28" s="26" t="n"/>
      <c r="I28" s="26" t="n"/>
      <c r="J28" s="27" t="n"/>
    </row>
    <row r="29">
      <c r="A29" s="20" t="n"/>
      <c r="B29" s="21" t="n"/>
      <c r="C29" s="20" t="n"/>
      <c r="D29" s="19" t="n"/>
      <c r="E29" s="19" t="n"/>
      <c r="F29" s="19" t="n"/>
      <c r="G29" s="19" t="n"/>
      <c r="H29" s="19" t="n"/>
      <c r="I29" s="19" t="n"/>
      <c r="J29" s="20" t="n"/>
    </row>
    <row r="30">
      <c r="A30" s="27" t="n"/>
      <c r="B30" s="28" t="n"/>
      <c r="C30" s="27" t="n"/>
      <c r="D30" s="26" t="n"/>
      <c r="E30" s="26" t="n"/>
      <c r="F30" s="26" t="n"/>
      <c r="G30" s="26" t="n"/>
      <c r="H30" s="26" t="n"/>
      <c r="I30" s="26" t="n"/>
      <c r="J30" s="27" t="n"/>
    </row>
    <row r="31">
      <c r="A31" s="20" t="n"/>
      <c r="B31" s="21" t="n"/>
      <c r="C31" s="20" t="n"/>
      <c r="D31" s="19" t="n"/>
      <c r="E31" s="19" t="n"/>
      <c r="F31" s="19" t="n"/>
      <c r="G31" s="19" t="n"/>
      <c r="H31" s="19" t="n"/>
      <c r="I31" s="19" t="n"/>
      <c r="J31" s="20" t="n"/>
    </row>
    <row r="32">
      <c r="A32" s="27" t="n"/>
      <c r="B32" s="28" t="n"/>
      <c r="C32" s="27" t="n"/>
      <c r="D32" s="26" t="n"/>
      <c r="E32" s="26" t="n"/>
      <c r="F32" s="26" t="n"/>
      <c r="G32" s="26" t="n"/>
      <c r="H32" s="26" t="n"/>
      <c r="I32" s="26" t="n"/>
      <c r="J32" s="27" t="n"/>
    </row>
    <row r="33">
      <c r="A33" s="20" t="n"/>
      <c r="B33" s="21" t="n"/>
      <c r="C33" s="20" t="n"/>
      <c r="D33" s="19" t="n"/>
      <c r="E33" s="19" t="n"/>
      <c r="F33" s="19" t="n"/>
      <c r="G33" s="19" t="n"/>
      <c r="H33" s="19" t="n"/>
      <c r="I33" s="19" t="n"/>
      <c r="J33" s="20" t="n"/>
    </row>
    <row r="34">
      <c r="A34" s="27" t="n"/>
      <c r="B34" s="28" t="n"/>
      <c r="C34" s="27" t="n"/>
      <c r="D34" s="26" t="n"/>
      <c r="E34" s="26" t="n"/>
      <c r="F34" s="26" t="n"/>
      <c r="G34" s="26" t="n"/>
      <c r="H34" s="26" t="n"/>
      <c r="I34" s="26" t="n"/>
      <c r="J34" s="27" t="n"/>
    </row>
    <row r="35">
      <c r="A35" s="20" t="n"/>
      <c r="B35" s="21" t="n"/>
      <c r="C35" s="20" t="n"/>
      <c r="D35" s="19" t="n"/>
      <c r="E35" s="19" t="n"/>
      <c r="F35" s="19" t="n"/>
      <c r="G35" s="19" t="n"/>
      <c r="H35" s="19" t="n"/>
      <c r="I35" s="19" t="n"/>
      <c r="J35" s="20" t="n"/>
    </row>
    <row r="36">
      <c r="A36" s="27" t="n"/>
      <c r="B36" s="28" t="n"/>
      <c r="C36" s="27" t="n"/>
      <c r="D36" s="26" t="n"/>
      <c r="E36" s="26" t="n"/>
      <c r="F36" s="26" t="n"/>
      <c r="G36" s="26" t="n"/>
      <c r="H36" s="26" t="n"/>
      <c r="I36" s="26" t="n"/>
      <c r="J36" s="27" t="n"/>
    </row>
    <row r="37">
      <c r="A37" s="20" t="n"/>
      <c r="B37" s="21" t="n"/>
      <c r="C37" s="20" t="n"/>
      <c r="D37" s="19" t="n"/>
      <c r="E37" s="19" t="n"/>
      <c r="F37" s="19" t="n"/>
      <c r="G37" s="19" t="n"/>
      <c r="H37" s="19" t="n"/>
      <c r="I37" s="19" t="n"/>
      <c r="J37" s="20" t="n"/>
    </row>
    <row r="38">
      <c r="A38" s="27" t="n"/>
      <c r="B38" s="28" t="n"/>
      <c r="C38" s="27" t="n"/>
      <c r="D38" s="26" t="n"/>
      <c r="E38" s="26" t="n"/>
      <c r="F38" s="26" t="n"/>
      <c r="G38" s="26" t="n"/>
      <c r="H38" s="26" t="n"/>
      <c r="I38" s="26" t="n"/>
      <c r="J38" s="27" t="n"/>
    </row>
    <row r="39">
      <c r="A39" s="20" t="n"/>
      <c r="B39" s="21" t="n"/>
      <c r="C39" s="20" t="n"/>
      <c r="D39" s="19" t="n"/>
      <c r="E39" s="19" t="n"/>
      <c r="F39" s="19" t="n"/>
      <c r="G39" s="19" t="n"/>
      <c r="H39" s="19" t="n"/>
      <c r="I39" s="19" t="n"/>
      <c r="J39" s="20" t="n"/>
    </row>
    <row r="40">
      <c r="A40" s="27" t="n"/>
      <c r="B40" s="28" t="n"/>
      <c r="C40" s="27" t="n"/>
      <c r="D40" s="26" t="n"/>
      <c r="E40" s="26" t="n"/>
      <c r="F40" s="26" t="n"/>
      <c r="G40" s="26" t="n"/>
      <c r="H40" s="26" t="n"/>
      <c r="I40" s="26" t="n"/>
      <c r="J40" s="27" t="n"/>
    </row>
    <row r="41">
      <c r="A41" s="20" t="n"/>
      <c r="B41" s="21" t="n"/>
      <c r="C41" s="20" t="n"/>
      <c r="D41" s="19" t="n"/>
      <c r="E41" s="19" t="n"/>
      <c r="F41" s="19" t="n"/>
      <c r="G41" s="19" t="n"/>
      <c r="H41" s="19" t="n"/>
      <c r="I41" s="19" t="n"/>
      <c r="J41" s="20" t="n"/>
    </row>
    <row r="42">
      <c r="A42" s="27" t="n"/>
      <c r="B42" s="28" t="n"/>
      <c r="C42" s="27" t="n"/>
      <c r="D42" s="26" t="n"/>
      <c r="E42" s="26" t="n"/>
      <c r="F42" s="26" t="n"/>
      <c r="G42" s="26" t="n"/>
      <c r="H42" s="26" t="n"/>
      <c r="I42" s="26" t="n"/>
      <c r="J42" s="27" t="n"/>
    </row>
    <row r="43">
      <c r="A43" s="20" t="n"/>
      <c r="B43" s="21" t="n"/>
      <c r="C43" s="20" t="n"/>
      <c r="D43" s="19" t="n"/>
      <c r="E43" s="19" t="n"/>
      <c r="F43" s="19" t="n"/>
      <c r="G43" s="19" t="n"/>
      <c r="H43" s="19" t="n"/>
      <c r="I43" s="19" t="n"/>
      <c r="J43" s="20" t="n"/>
    </row>
    <row r="44">
      <c r="A44" s="27" t="n"/>
      <c r="B44" s="28" t="n"/>
      <c r="C44" s="27" t="n"/>
      <c r="D44" s="26" t="n"/>
      <c r="E44" s="26" t="n"/>
      <c r="F44" s="26" t="n"/>
      <c r="G44" s="26" t="n"/>
      <c r="H44" s="26" t="n"/>
      <c r="I44" s="26" t="n"/>
      <c r="J44" s="27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3" customWidth="1" min="4" max="4"/>
    <col width="22" customWidth="1" min="5" max="5"/>
    <col width="10" customWidth="1" min="6" max="6"/>
    <col width="22" customWidth="1" min="7" max="7"/>
  </cols>
  <sheetData>
    <row r="1" ht="46" customHeight="1">
      <c r="A1" s="1" t="inlineStr">
        <is>
          <t xml:space="preserve">  🧢  PRACTICE PLANNER</t>
        </is>
      </c>
    </row>
    <row r="2" ht="22" customHeight="1">
      <c r="A2" s="2" t="inlineStr">
        <is>
          <t xml:space="preserve">  Log every session — attendance and hours roll up to your dashboard.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Type</t>
        </is>
      </c>
      <c r="C4" s="7" t="inlineStr">
        <is>
          <t>Coach</t>
        </is>
      </c>
      <c r="D4" s="7" t="inlineStr">
        <is>
          <t>Attendance</t>
        </is>
      </c>
      <c r="E4" s="7" t="inlineStr">
        <is>
          <t>Skills Covered</t>
        </is>
      </c>
      <c r="F4" s="7" t="inlineStr">
        <is>
          <t>Hours</t>
        </is>
      </c>
      <c r="G4" s="7" t="inlineStr">
        <is>
          <t>Notes</t>
        </is>
      </c>
    </row>
    <row r="5">
      <c r="A5" s="21" t="n">
        <v>46202</v>
      </c>
      <c r="B5" s="19" t="inlineStr">
        <is>
          <t>Team Practice</t>
        </is>
      </c>
      <c r="C5" s="20" t="inlineStr">
        <is>
          <t>Coach Ramirez</t>
        </is>
      </c>
      <c r="D5" s="19" t="inlineStr">
        <is>
          <t>Present</t>
        </is>
      </c>
      <c r="E5" s="20" t="inlineStr">
        <is>
          <t>Infield + BP</t>
        </is>
      </c>
      <c r="F5" s="31" t="n">
        <v>2</v>
      </c>
      <c r="G5" s="20" t="inlineStr">
        <is>
          <t>Great energy</t>
        </is>
      </c>
    </row>
    <row r="6">
      <c r="A6" s="28" t="n">
        <v>46200</v>
      </c>
      <c r="B6" s="26" t="inlineStr">
        <is>
          <t>Batting Cage</t>
        </is>
      </c>
      <c r="C6" s="27" t="inlineStr">
        <is>
          <t>Coach Webb</t>
        </is>
      </c>
      <c r="D6" s="26" t="inlineStr">
        <is>
          <t>Present</t>
        </is>
      </c>
      <c r="E6" s="27" t="inlineStr">
        <is>
          <t>Timing &amp; contact</t>
        </is>
      </c>
      <c r="F6" s="32" t="n">
        <v>1</v>
      </c>
      <c r="G6" s="27" t="inlineStr"/>
    </row>
    <row r="7">
      <c r="A7" s="21" t="n">
        <v>46198</v>
      </c>
      <c r="B7" s="19" t="inlineStr">
        <is>
          <t>Fielding</t>
        </is>
      </c>
      <c r="C7" s="20" t="inlineStr">
        <is>
          <t>Coach Ramirez</t>
        </is>
      </c>
      <c r="D7" s="19" t="inlineStr">
        <is>
          <t>Present</t>
        </is>
      </c>
      <c r="E7" s="20" t="inlineStr">
        <is>
          <t>Double plays</t>
        </is>
      </c>
      <c r="F7" s="31" t="n">
        <v>1.5</v>
      </c>
      <c r="G7" s="20" t="inlineStr"/>
    </row>
    <row r="8">
      <c r="A8" s="28" t="n">
        <v>46196</v>
      </c>
      <c r="B8" s="26" t="inlineStr">
        <is>
          <t>Pitching</t>
        </is>
      </c>
      <c r="C8" s="27" t="inlineStr">
        <is>
          <t>Coach Ramirez</t>
        </is>
      </c>
      <c r="D8" s="26" t="inlineStr">
        <is>
          <t>Present</t>
        </is>
      </c>
      <c r="E8" s="27" t="inlineStr">
        <is>
          <t>Bullpen</t>
        </is>
      </c>
      <c r="F8" s="32" t="n">
        <v>1</v>
      </c>
      <c r="G8" s="27" t="inlineStr">
        <is>
          <t>Worked changeup</t>
        </is>
      </c>
    </row>
    <row r="9">
      <c r="A9" s="21" t="n">
        <v>46194</v>
      </c>
      <c r="B9" s="19" t="inlineStr">
        <is>
          <t>Team Practice</t>
        </is>
      </c>
      <c r="C9" s="20" t="inlineStr">
        <is>
          <t>Coach Ramirez</t>
        </is>
      </c>
      <c r="D9" s="19" t="inlineStr">
        <is>
          <t>Excused</t>
        </is>
      </c>
      <c r="E9" s="20" t="inlineStr">
        <is>
          <t>Situational</t>
        </is>
      </c>
      <c r="F9" s="31" t="n">
        <v>0</v>
      </c>
      <c r="G9" s="20" t="inlineStr">
        <is>
          <t>Family trip</t>
        </is>
      </c>
    </row>
    <row r="10">
      <c r="A10" s="28" t="n">
        <v>46192</v>
      </c>
      <c r="B10" s="26" t="inlineStr">
        <is>
          <t>Strength</t>
        </is>
      </c>
      <c r="C10" s="27" t="inlineStr">
        <is>
          <t>Coach Webb</t>
        </is>
      </c>
      <c r="D10" s="26" t="inlineStr">
        <is>
          <t>Present</t>
        </is>
      </c>
      <c r="E10" s="27" t="inlineStr">
        <is>
          <t>Speed &amp; agility</t>
        </is>
      </c>
      <c r="F10" s="32" t="n">
        <v>1</v>
      </c>
      <c r="G10" s="27" t="inlineStr"/>
    </row>
    <row r="11">
      <c r="A11" s="21" t="n">
        <v>46190</v>
      </c>
      <c r="B11" s="19" t="inlineStr">
        <is>
          <t>Scrimmage</t>
        </is>
      </c>
      <c r="C11" s="20" t="inlineStr">
        <is>
          <t>Coach Ramirez</t>
        </is>
      </c>
      <c r="D11" s="19" t="inlineStr">
        <is>
          <t>Present</t>
        </is>
      </c>
      <c r="E11" s="20" t="inlineStr">
        <is>
          <t>Live at-bats</t>
        </is>
      </c>
      <c r="F11" s="31" t="n">
        <v>2</v>
      </c>
      <c r="G11" s="20" t="inlineStr">
        <is>
          <t>2 hits</t>
        </is>
      </c>
    </row>
    <row r="12">
      <c r="A12" s="28" t="n">
        <v>46188</v>
      </c>
      <c r="B12" s="26" t="inlineStr">
        <is>
          <t>Batting Cage</t>
        </is>
      </c>
      <c r="C12" s="27" t="inlineStr">
        <is>
          <t>Coach Webb</t>
        </is>
      </c>
      <c r="D12" s="26" t="inlineStr">
        <is>
          <t>Present</t>
        </is>
      </c>
      <c r="E12" s="27" t="inlineStr">
        <is>
          <t>Opposite field</t>
        </is>
      </c>
      <c r="F12" s="32" t="n">
        <v>1</v>
      </c>
      <c r="G12" s="27" t="inlineStr"/>
    </row>
    <row r="13">
      <c r="A13" s="21" t="n">
        <v>46186</v>
      </c>
      <c r="B13" s="19" t="inlineStr">
        <is>
          <t>Team Practice</t>
        </is>
      </c>
      <c r="C13" s="20" t="inlineStr">
        <is>
          <t>Coach Ramirez</t>
        </is>
      </c>
      <c r="D13" s="19" t="inlineStr">
        <is>
          <t>Present</t>
        </is>
      </c>
      <c r="E13" s="20" t="inlineStr">
        <is>
          <t>Base running</t>
        </is>
      </c>
      <c r="F13" s="31" t="n">
        <v>1.5</v>
      </c>
      <c r="G13" s="20" t="inlineStr"/>
    </row>
    <row r="14">
      <c r="A14" s="28" t="n">
        <v>46184</v>
      </c>
      <c r="B14" s="26" t="inlineStr">
        <is>
          <t>Private Lesson</t>
        </is>
      </c>
      <c r="C14" s="27" t="inlineStr">
        <is>
          <t>Pro Swing</t>
        </is>
      </c>
      <c r="D14" s="26" t="inlineStr">
        <is>
          <t>Present</t>
        </is>
      </c>
      <c r="E14" s="27" t="inlineStr">
        <is>
          <t>Swing path</t>
        </is>
      </c>
      <c r="F14" s="32" t="n">
        <v>1</v>
      </c>
      <c r="G14" s="27" t="inlineStr">
        <is>
          <t>Great progress</t>
        </is>
      </c>
    </row>
    <row r="15">
      <c r="A15" s="21" t="n"/>
      <c r="B15" s="19" t="n"/>
      <c r="C15" s="20" t="n"/>
      <c r="D15" s="19" t="n"/>
      <c r="E15" s="20" t="n"/>
      <c r="F15" s="31" t="n"/>
      <c r="G15" s="20" t="n"/>
    </row>
    <row r="16">
      <c r="A16" s="28" t="n"/>
      <c r="B16" s="26" t="n"/>
      <c r="C16" s="27" t="n"/>
      <c r="D16" s="26" t="n"/>
      <c r="E16" s="27" t="n"/>
      <c r="F16" s="32" t="n"/>
      <c r="G16" s="27" t="n"/>
    </row>
    <row r="17">
      <c r="A17" s="21" t="n"/>
      <c r="B17" s="19" t="n"/>
      <c r="C17" s="20" t="n"/>
      <c r="D17" s="19" t="n"/>
      <c r="E17" s="20" t="n"/>
      <c r="F17" s="31" t="n"/>
      <c r="G17" s="20" t="n"/>
    </row>
    <row r="18">
      <c r="A18" s="28" t="n"/>
      <c r="B18" s="26" t="n"/>
      <c r="C18" s="27" t="n"/>
      <c r="D18" s="26" t="n"/>
      <c r="E18" s="27" t="n"/>
      <c r="F18" s="32" t="n"/>
      <c r="G18" s="27" t="n"/>
    </row>
    <row r="19">
      <c r="A19" s="21" t="n"/>
      <c r="B19" s="19" t="n"/>
      <c r="C19" s="20" t="n"/>
      <c r="D19" s="19" t="n"/>
      <c r="E19" s="20" t="n"/>
      <c r="F19" s="31" t="n"/>
      <c r="G19" s="20" t="n"/>
    </row>
    <row r="20">
      <c r="A20" s="28" t="n"/>
      <c r="B20" s="26" t="n"/>
      <c r="C20" s="27" t="n"/>
      <c r="D20" s="26" t="n"/>
      <c r="E20" s="27" t="n"/>
      <c r="F20" s="32" t="n"/>
      <c r="G20" s="27" t="n"/>
    </row>
    <row r="21">
      <c r="A21" s="21" t="n"/>
      <c r="B21" s="19" t="n"/>
      <c r="C21" s="20" t="n"/>
      <c r="D21" s="19" t="n"/>
      <c r="E21" s="20" t="n"/>
      <c r="F21" s="31" t="n"/>
      <c r="G21" s="20" t="n"/>
    </row>
    <row r="22">
      <c r="A22" s="28" t="n"/>
      <c r="B22" s="26" t="n"/>
      <c r="C22" s="27" t="n"/>
      <c r="D22" s="26" t="n"/>
      <c r="E22" s="27" t="n"/>
      <c r="F22" s="32" t="n"/>
      <c r="G22" s="27" t="n"/>
    </row>
    <row r="23">
      <c r="A23" s="21" t="n"/>
      <c r="B23" s="19" t="n"/>
      <c r="C23" s="20" t="n"/>
      <c r="D23" s="19" t="n"/>
      <c r="E23" s="20" t="n"/>
      <c r="F23" s="31" t="n"/>
      <c r="G23" s="20" t="n"/>
    </row>
    <row r="24">
      <c r="A24" s="28" t="n"/>
      <c r="B24" s="26" t="n"/>
      <c r="C24" s="27" t="n"/>
      <c r="D24" s="26" t="n"/>
      <c r="E24" s="27" t="n"/>
      <c r="F24" s="32" t="n"/>
      <c r="G24" s="27" t="n"/>
    </row>
    <row r="25">
      <c r="A25" s="21" t="n"/>
      <c r="B25" s="19" t="n"/>
      <c r="C25" s="20" t="n"/>
      <c r="D25" s="19" t="n"/>
      <c r="E25" s="20" t="n"/>
      <c r="F25" s="31" t="n"/>
      <c r="G25" s="20" t="n"/>
    </row>
    <row r="26">
      <c r="A26" s="28" t="n"/>
      <c r="B26" s="26" t="n"/>
      <c r="C26" s="27" t="n"/>
      <c r="D26" s="26" t="n"/>
      <c r="E26" s="27" t="n"/>
      <c r="F26" s="32" t="n"/>
      <c r="G26" s="27" t="n"/>
    </row>
    <row r="27">
      <c r="A27" s="21" t="n"/>
      <c r="B27" s="19" t="n"/>
      <c r="C27" s="20" t="n"/>
      <c r="D27" s="19" t="n"/>
      <c r="E27" s="20" t="n"/>
      <c r="F27" s="31" t="n"/>
      <c r="G27" s="20" t="n"/>
    </row>
    <row r="28">
      <c r="A28" s="28" t="n"/>
      <c r="B28" s="26" t="n"/>
      <c r="C28" s="27" t="n"/>
      <c r="D28" s="26" t="n"/>
      <c r="E28" s="27" t="n"/>
      <c r="F28" s="32" t="n"/>
      <c r="G28" s="27" t="n"/>
    </row>
    <row r="29">
      <c r="A29" s="21" t="n"/>
      <c r="B29" s="19" t="n"/>
      <c r="C29" s="20" t="n"/>
      <c r="D29" s="19" t="n"/>
      <c r="E29" s="20" t="n"/>
      <c r="F29" s="31" t="n"/>
      <c r="G29" s="20" t="n"/>
    </row>
    <row r="30">
      <c r="A30" s="28" t="n"/>
      <c r="B30" s="26" t="n"/>
      <c r="C30" s="27" t="n"/>
      <c r="D30" s="26" t="n"/>
      <c r="E30" s="27" t="n"/>
      <c r="F30" s="32" t="n"/>
      <c r="G30" s="27" t="n"/>
    </row>
    <row r="31">
      <c r="A31" s="21" t="n"/>
      <c r="B31" s="19" t="n"/>
      <c r="C31" s="20" t="n"/>
      <c r="D31" s="19" t="n"/>
      <c r="E31" s="20" t="n"/>
      <c r="F31" s="31" t="n"/>
      <c r="G31" s="20" t="n"/>
    </row>
    <row r="32">
      <c r="A32" s="28" t="n"/>
      <c r="B32" s="26" t="n"/>
      <c r="C32" s="27" t="n"/>
      <c r="D32" s="26" t="n"/>
      <c r="E32" s="27" t="n"/>
      <c r="F32" s="32" t="n"/>
      <c r="G32" s="27" t="n"/>
    </row>
    <row r="33">
      <c r="A33" s="21" t="n"/>
      <c r="B33" s="19" t="n"/>
      <c r="C33" s="20" t="n"/>
      <c r="D33" s="19" t="n"/>
      <c r="E33" s="20" t="n"/>
      <c r="F33" s="31" t="n"/>
      <c r="G33" s="20" t="n"/>
    </row>
    <row r="34">
      <c r="A34" s="28" t="n"/>
      <c r="B34" s="26" t="n"/>
      <c r="C34" s="27" t="n"/>
      <c r="D34" s="26" t="n"/>
      <c r="E34" s="27" t="n"/>
      <c r="F34" s="32" t="n"/>
      <c r="G34" s="27" t="n"/>
    </row>
    <row r="35">
      <c r="A35" s="21" t="n"/>
      <c r="B35" s="19" t="n"/>
      <c r="C35" s="20" t="n"/>
      <c r="D35" s="19" t="n"/>
      <c r="E35" s="20" t="n"/>
      <c r="F35" s="31" t="n"/>
      <c r="G35" s="20" t="n"/>
    </row>
    <row r="36">
      <c r="A36" s="28" t="n"/>
      <c r="B36" s="26" t="n"/>
      <c r="C36" s="27" t="n"/>
      <c r="D36" s="26" t="n"/>
      <c r="E36" s="27" t="n"/>
      <c r="F36" s="32" t="n"/>
      <c r="G36" s="27" t="n"/>
    </row>
    <row r="37">
      <c r="A37" s="21" t="n"/>
      <c r="B37" s="19" t="n"/>
      <c r="C37" s="20" t="n"/>
      <c r="D37" s="19" t="n"/>
      <c r="E37" s="20" t="n"/>
      <c r="F37" s="31" t="n"/>
      <c r="G37" s="20" t="n"/>
    </row>
    <row r="38">
      <c r="A38" s="28" t="n"/>
      <c r="B38" s="26" t="n"/>
      <c r="C38" s="27" t="n"/>
      <c r="D38" s="26" t="n"/>
      <c r="E38" s="27" t="n"/>
      <c r="F38" s="32" t="n"/>
      <c r="G38" s="27" t="n"/>
    </row>
    <row r="39">
      <c r="A39" s="21" t="n"/>
      <c r="B39" s="19" t="n"/>
      <c r="C39" s="20" t="n"/>
      <c r="D39" s="19" t="n"/>
      <c r="E39" s="20" t="n"/>
      <c r="F39" s="31" t="n"/>
      <c r="G39" s="20" t="n"/>
    </row>
    <row r="40">
      <c r="A40" s="28" t="n"/>
      <c r="B40" s="26" t="n"/>
      <c r="C40" s="27" t="n"/>
      <c r="D40" s="26" t="n"/>
      <c r="E40" s="27" t="n"/>
      <c r="F40" s="32" t="n"/>
      <c r="G40" s="27" t="n"/>
    </row>
    <row r="41">
      <c r="A41" s="21" t="n"/>
      <c r="B41" s="19" t="n"/>
      <c r="C41" s="20" t="n"/>
      <c r="D41" s="19" t="n"/>
      <c r="E41" s="20" t="n"/>
      <c r="F41" s="31" t="n"/>
      <c r="G41" s="20" t="n"/>
    </row>
    <row r="42">
      <c r="A42" s="28" t="n"/>
      <c r="B42" s="26" t="n"/>
      <c r="C42" s="27" t="n"/>
      <c r="D42" s="26" t="n"/>
      <c r="E42" s="27" t="n"/>
      <c r="F42" s="32" t="n"/>
      <c r="G42" s="27" t="n"/>
    </row>
    <row r="43">
      <c r="A43" s="21" t="n"/>
      <c r="B43" s="19" t="n"/>
      <c r="C43" s="20" t="n"/>
      <c r="D43" s="19" t="n"/>
      <c r="E43" s="20" t="n"/>
      <c r="F43" s="31" t="n"/>
      <c r="G43" s="20" t="n"/>
    </row>
    <row r="44">
      <c r="A44" s="28" t="n"/>
      <c r="B44" s="26" t="n"/>
      <c r="C44" s="27" t="n"/>
      <c r="D44" s="26" t="n"/>
      <c r="E44" s="27" t="n"/>
      <c r="F44" s="32" t="n"/>
      <c r="G44" s="27" t="n"/>
    </row>
    <row r="45">
      <c r="A45" s="21" t="n"/>
      <c r="B45" s="19" t="n"/>
      <c r="C45" s="20" t="n"/>
      <c r="D45" s="19" t="n"/>
      <c r="E45" s="20" t="n"/>
      <c r="F45" s="31" t="n"/>
      <c r="G45" s="20" t="n"/>
    </row>
    <row r="46">
      <c r="A46" s="28" t="n"/>
      <c r="B46" s="26" t="n"/>
      <c r="C46" s="27" t="n"/>
      <c r="D46" s="26" t="n"/>
      <c r="E46" s="27" t="n"/>
      <c r="F46" s="32" t="n"/>
      <c r="G46" s="27" t="n"/>
    </row>
    <row r="47">
      <c r="A47" s="21" t="n"/>
      <c r="B47" s="19" t="n"/>
      <c r="C47" s="20" t="n"/>
      <c r="D47" s="19" t="n"/>
      <c r="E47" s="20" t="n"/>
      <c r="F47" s="31" t="n"/>
      <c r="G47" s="20" t="n"/>
    </row>
    <row r="48">
      <c r="A48" s="28" t="n"/>
      <c r="B48" s="26" t="n"/>
      <c r="C48" s="27" t="n"/>
      <c r="D48" s="26" t="n"/>
      <c r="E48" s="27" t="n"/>
      <c r="F48" s="32" t="n"/>
      <c r="G48" s="27" t="n"/>
    </row>
    <row r="49">
      <c r="A49" s="21" t="n"/>
      <c r="B49" s="19" t="n"/>
      <c r="C49" s="20" t="n"/>
      <c r="D49" s="19" t="n"/>
      <c r="E49" s="20" t="n"/>
      <c r="F49" s="31" t="n"/>
      <c r="G49" s="20" t="n"/>
    </row>
    <row r="50">
      <c r="A50" s="28" t="n"/>
      <c r="B50" s="26" t="n"/>
      <c r="C50" s="27" t="n"/>
      <c r="D50" s="26" t="n"/>
      <c r="E50" s="27" t="n"/>
      <c r="F50" s="32" t="n"/>
      <c r="G50" s="27" t="n"/>
    </row>
    <row r="51">
      <c r="A51" s="21" t="n"/>
      <c r="B51" s="19" t="n"/>
      <c r="C51" s="20" t="n"/>
      <c r="D51" s="19" t="n"/>
      <c r="E51" s="20" t="n"/>
      <c r="F51" s="31" t="n"/>
      <c r="G51" s="20" t="n"/>
    </row>
    <row r="52">
      <c r="A52" s="28" t="n"/>
      <c r="B52" s="26" t="n"/>
      <c r="C52" s="27" t="n"/>
      <c r="D52" s="26" t="n"/>
      <c r="E52" s="27" t="n"/>
      <c r="F52" s="32" t="n"/>
      <c r="G52" s="27" t="n"/>
    </row>
    <row r="53">
      <c r="A53" s="21" t="n"/>
      <c r="B53" s="19" t="n"/>
      <c r="C53" s="20" t="n"/>
      <c r="D53" s="19" t="n"/>
      <c r="E53" s="20" t="n"/>
      <c r="F53" s="31" t="n"/>
      <c r="G53" s="20" t="n"/>
    </row>
    <row r="54">
      <c r="A54" s="28" t="n"/>
      <c r="B54" s="26" t="n"/>
      <c r="C54" s="27" t="n"/>
      <c r="D54" s="26" t="n"/>
      <c r="E54" s="27" t="n"/>
      <c r="F54" s="32" t="n"/>
      <c r="G54" s="27" t="n"/>
    </row>
    <row r="55">
      <c r="A55" s="21" t="n"/>
      <c r="B55" s="19" t="n"/>
      <c r="C55" s="20" t="n"/>
      <c r="D55" s="19" t="n"/>
      <c r="E55" s="20" t="n"/>
      <c r="F55" s="31" t="n"/>
      <c r="G55" s="20" t="n"/>
    </row>
    <row r="56">
      <c r="A56" s="28" t="n"/>
      <c r="B56" s="26" t="n"/>
      <c r="C56" s="27" t="n"/>
      <c r="D56" s="26" t="n"/>
      <c r="E56" s="27" t="n"/>
      <c r="F56" s="32" t="n"/>
      <c r="G56" s="27" t="n"/>
    </row>
    <row r="57">
      <c r="A57" s="21" t="n"/>
      <c r="B57" s="19" t="n"/>
      <c r="C57" s="20" t="n"/>
      <c r="D57" s="19" t="n"/>
      <c r="E57" s="20" t="n"/>
      <c r="F57" s="31" t="n"/>
      <c r="G57" s="20" t="n"/>
    </row>
    <row r="58">
      <c r="A58" s="28" t="n"/>
      <c r="B58" s="26" t="n"/>
      <c r="C58" s="27" t="n"/>
      <c r="D58" s="26" t="n"/>
      <c r="E58" s="27" t="n"/>
      <c r="F58" s="32" t="n"/>
      <c r="G58" s="27" t="n"/>
    </row>
    <row r="59">
      <c r="A59" s="21" t="n"/>
      <c r="B59" s="19" t="n"/>
      <c r="C59" s="20" t="n"/>
      <c r="D59" s="19" t="n"/>
      <c r="E59" s="20" t="n"/>
      <c r="F59" s="31" t="n"/>
      <c r="G59" s="20" t="n"/>
    </row>
    <row r="60">
      <c r="A60" s="28" t="n"/>
      <c r="B60" s="26" t="n"/>
      <c r="C60" s="27" t="n"/>
      <c r="D60" s="26" t="n"/>
      <c r="E60" s="27" t="n"/>
      <c r="F60" s="32" t="n"/>
      <c r="G60" s="27" t="n"/>
    </row>
    <row r="61">
      <c r="A61" s="21" t="n"/>
      <c r="B61" s="19" t="n"/>
      <c r="C61" s="20" t="n"/>
      <c r="D61" s="19" t="n"/>
      <c r="E61" s="20" t="n"/>
      <c r="F61" s="31" t="n"/>
      <c r="G61" s="20" t="n"/>
    </row>
    <row r="62">
      <c r="A62" s="28" t="n"/>
      <c r="B62" s="26" t="n"/>
      <c r="C62" s="27" t="n"/>
      <c r="D62" s="26" t="n"/>
      <c r="E62" s="27" t="n"/>
      <c r="F62" s="32" t="n"/>
      <c r="G62" s="27" t="n"/>
    </row>
    <row r="63">
      <c r="A63" s="21" t="n"/>
      <c r="B63" s="19" t="n"/>
      <c r="C63" s="20" t="n"/>
      <c r="D63" s="19" t="n"/>
      <c r="E63" s="20" t="n"/>
      <c r="F63" s="31" t="n"/>
      <c r="G63" s="20" t="n"/>
    </row>
    <row r="64">
      <c r="A64" s="28" t="n"/>
      <c r="B64" s="26" t="n"/>
      <c r="C64" s="27" t="n"/>
      <c r="D64" s="26" t="n"/>
      <c r="E64" s="27" t="n"/>
      <c r="F64" s="32" t="n"/>
      <c r="G64" s="27" t="n"/>
    </row>
  </sheetData>
  <mergeCells count="2">
    <mergeCell ref="A2:G2"/>
    <mergeCell ref="A1:G1"/>
  </mergeCells>
  <conditionalFormatting sqref="D5:D64">
    <cfRule type="cellIs" priority="1" operator="equal" dxfId="1">
      <formula>"Present"</formula>
    </cfRule>
    <cfRule type="cellIs" priority="2" operator="equal" dxfId="2">
      <formula>"Absent"</formula>
    </cfRule>
  </conditionalFormatting>
  <dataValidations count="2">
    <dataValidation sqref="B5:B64" showDropDown="0" showInputMessage="0" showErrorMessage="0" allowBlank="1" type="list">
      <formula1>=PracticeTypeList</formula1>
    </dataValidation>
    <dataValidation sqref="D5:D64" showDropDown="0" showInputMessage="0" showErrorMessage="0" allowBlank="1" type="list">
      <formula1>=AttendList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3" customWidth="1" min="7" max="7"/>
    <col width="20" customWidth="1" min="8" max="8"/>
    <col width="14" customWidth="1" min="9" max="9"/>
  </cols>
  <sheetData>
    <row r="1" ht="46" customHeight="1">
      <c r="A1" s="1" t="inlineStr">
        <is>
          <t xml:space="preserve">  💰  BASEBALL BUDGET</t>
        </is>
      </c>
    </row>
    <row r="2" ht="22" customHeight="1">
      <c r="A2" s="2" t="inlineStr">
        <is>
          <t xml:space="preserve">  Every season cost in one place — spending, remaining &amp; cost-per-game, automatic.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Category</t>
        </is>
      </c>
      <c r="B4" s="7" t="inlineStr">
        <is>
          <t>Group</t>
        </is>
      </c>
      <c r="C4" s="7" t="inlineStr">
        <is>
          <t>Season Budget</t>
        </is>
      </c>
      <c r="D4" s="7" t="inlineStr">
        <is>
          <t>Spent</t>
        </is>
      </c>
      <c r="E4" s="7" t="inlineStr">
        <is>
          <t>Remaining</t>
        </is>
      </c>
      <c r="F4" s="7" t="inlineStr">
        <is>
          <t>% Used</t>
        </is>
      </c>
      <c r="H4" s="4" t="inlineStr">
        <is>
          <t>SEASON TO DATE</t>
        </is>
      </c>
    </row>
    <row r="5">
      <c r="A5" s="24" t="inlineStr">
        <is>
          <t>Registration</t>
        </is>
      </c>
      <c r="B5" s="24" t="inlineStr">
        <is>
          <t>Fees &amp; Registration</t>
        </is>
      </c>
      <c r="C5" s="33" t="n">
        <v>250</v>
      </c>
      <c r="D5" s="33" t="n">
        <v>250</v>
      </c>
      <c r="E5" s="34">
        <f>C5-D5</f>
        <v/>
      </c>
      <c r="F5" s="35">
        <f>IFERROR(D5/C5,0)</f>
        <v/>
      </c>
      <c r="H5" s="17" t="inlineStr">
        <is>
          <t>Total Budget</t>
        </is>
      </c>
      <c r="I5" s="36">
        <f>BudgetTotalPlanned</f>
        <v/>
      </c>
    </row>
    <row r="6">
      <c r="A6" s="27" t="inlineStr">
        <is>
          <t>League Fees</t>
        </is>
      </c>
      <c r="B6" s="27" t="inlineStr">
        <is>
          <t>Fees &amp; Registration</t>
        </is>
      </c>
      <c r="C6" s="37" t="n">
        <v>600</v>
      </c>
      <c r="D6" s="37" t="n">
        <v>600</v>
      </c>
      <c r="E6" s="38">
        <f>C6-D6</f>
        <v/>
      </c>
      <c r="F6" s="39">
        <f>IFERROR(D6/C6,0)</f>
        <v/>
      </c>
      <c r="H6" s="17" t="inlineStr">
        <is>
          <t>Total Spent</t>
        </is>
      </c>
      <c r="I6" s="36">
        <f>BudgetTotalActual</f>
        <v/>
      </c>
    </row>
    <row r="7">
      <c r="A7" s="24" t="inlineStr">
        <is>
          <t>Uniforms</t>
        </is>
      </c>
      <c r="B7" s="24" t="inlineStr">
        <is>
          <t>Equipment</t>
        </is>
      </c>
      <c r="C7" s="33" t="n">
        <v>180</v>
      </c>
      <c r="D7" s="33" t="n">
        <v>180</v>
      </c>
      <c r="E7" s="34">
        <f>C7-D7</f>
        <v/>
      </c>
      <c r="F7" s="35">
        <f>IFERROR(D7/C7,0)</f>
        <v/>
      </c>
      <c r="H7" s="17" t="inlineStr">
        <is>
          <t>Remaining</t>
        </is>
      </c>
      <c r="I7" s="40">
        <f>BudgetTotalPlanned-BudgetTotalActual</f>
        <v/>
      </c>
    </row>
    <row r="8">
      <c r="A8" s="27" t="inlineStr">
        <is>
          <t>Cleats</t>
        </is>
      </c>
      <c r="B8" s="27" t="inlineStr">
        <is>
          <t>Equipment</t>
        </is>
      </c>
      <c r="C8" s="37" t="n">
        <v>90</v>
      </c>
      <c r="D8" s="37" t="n">
        <v>90</v>
      </c>
      <c r="E8" s="38">
        <f>C8-D8</f>
        <v/>
      </c>
      <c r="F8" s="39">
        <f>IFERROR(D8/C8,0)</f>
        <v/>
      </c>
      <c r="H8" s="17" t="inlineStr">
        <is>
          <t>Cost / Game</t>
        </is>
      </c>
      <c r="I8" s="36">
        <f>IFERROR(BudgetTotalActual/MAX(COUNTIF(CalType,"Game"),1),0)</f>
        <v/>
      </c>
    </row>
    <row r="9">
      <c r="A9" s="24" t="inlineStr">
        <is>
          <t>Gloves</t>
        </is>
      </c>
      <c r="B9" s="24" t="inlineStr">
        <is>
          <t>Equipment</t>
        </is>
      </c>
      <c r="C9" s="33" t="n">
        <v>200</v>
      </c>
      <c r="D9" s="33" t="n">
        <v>200</v>
      </c>
      <c r="E9" s="34">
        <f>C9-D9</f>
        <v/>
      </c>
      <c r="F9" s="35">
        <f>IFERROR(D9/C9,0)</f>
        <v/>
      </c>
      <c r="H9" s="17" t="inlineStr">
        <is>
          <t>Cost / Tournament</t>
        </is>
      </c>
      <c r="I9" s="36">
        <f>IFERROR(BudgetTotalActual/MAX(COUNTIF(CalType,"Tournament"),1),0)</f>
        <v/>
      </c>
    </row>
    <row r="10">
      <c r="A10" s="27" t="inlineStr">
        <is>
          <t>Bats</t>
        </is>
      </c>
      <c r="B10" s="27" t="inlineStr">
        <is>
          <t>Equipment</t>
        </is>
      </c>
      <c r="C10" s="37" t="n">
        <v>350</v>
      </c>
      <c r="D10" s="37" t="n">
        <v>200</v>
      </c>
      <c r="E10" s="38">
        <f>C10-D10</f>
        <v/>
      </c>
      <c r="F10" s="39">
        <f>IFERROR(D10/C10,0)</f>
        <v/>
      </c>
      <c r="H10" s="17" t="inlineStr">
        <is>
          <t>Cost / Practice</t>
        </is>
      </c>
      <c r="I10" s="36">
        <f>IFERROR(BudgetTotalActual/MAX(COUNTIF(CalType,"Practice"),1),0)</f>
        <v/>
      </c>
    </row>
    <row r="11">
      <c r="A11" s="24" t="inlineStr">
        <is>
          <t>Helmets</t>
        </is>
      </c>
      <c r="B11" s="24" t="inlineStr">
        <is>
          <t>Equipment</t>
        </is>
      </c>
      <c r="C11" s="33" t="n">
        <v>60</v>
      </c>
      <c r="D11" s="33" t="n">
        <v>60</v>
      </c>
      <c r="E11" s="34">
        <f>C11-D11</f>
        <v/>
      </c>
      <c r="F11" s="35">
        <f>IFERROR(D11/C11,0)</f>
        <v/>
      </c>
    </row>
    <row r="12">
      <c r="A12" s="27" t="inlineStr">
        <is>
          <t>Batting Gloves</t>
        </is>
      </c>
      <c r="B12" s="27" t="inlineStr">
        <is>
          <t>Equipment</t>
        </is>
      </c>
      <c r="C12" s="37" t="n">
        <v>60</v>
      </c>
      <c r="D12" s="37" t="n">
        <v>35</v>
      </c>
      <c r="E12" s="38">
        <f>C12-D12</f>
        <v/>
      </c>
      <c r="F12" s="39">
        <f>IFERROR(D12/C12,0)</f>
        <v/>
      </c>
    </row>
    <row r="13">
      <c r="A13" s="24" t="inlineStr">
        <is>
          <t>Bags</t>
        </is>
      </c>
      <c r="B13" s="24" t="inlineStr">
        <is>
          <t>Equipment</t>
        </is>
      </c>
      <c r="C13" s="33" t="n">
        <v>80</v>
      </c>
      <c r="D13" s="33" t="n">
        <v>80</v>
      </c>
      <c r="E13" s="34">
        <f>C13-D13</f>
        <v/>
      </c>
      <c r="F13" s="35">
        <f>IFERROR(D13/C13,0)</f>
        <v/>
      </c>
    </row>
    <row r="14">
      <c r="A14" s="27" t="inlineStr">
        <is>
          <t>Protective Gear</t>
        </is>
      </c>
      <c r="B14" s="27" t="inlineStr">
        <is>
          <t>Equipment</t>
        </is>
      </c>
      <c r="C14" s="37" t="n">
        <v>120</v>
      </c>
      <c r="D14" s="37" t="n">
        <v>0</v>
      </c>
      <c r="E14" s="38">
        <f>C14-D14</f>
        <v/>
      </c>
      <c r="F14" s="39">
        <f>IFERROR(D14/C14,0)</f>
        <v/>
      </c>
    </row>
    <row r="15">
      <c r="A15" s="24" t="inlineStr">
        <is>
          <t>Tournaments</t>
        </is>
      </c>
      <c r="B15" s="24" t="inlineStr">
        <is>
          <t>Fees &amp; Registration</t>
        </is>
      </c>
      <c r="C15" s="33" t="n">
        <v>1400</v>
      </c>
      <c r="D15" s="33" t="n">
        <v>900</v>
      </c>
      <c r="E15" s="34">
        <f>C15-D15</f>
        <v/>
      </c>
      <c r="F15" s="35">
        <f>IFERROR(D15/C15,0)</f>
        <v/>
      </c>
    </row>
    <row r="16">
      <c r="A16" s="27" t="inlineStr">
        <is>
          <t>Hotels</t>
        </is>
      </c>
      <c r="B16" s="27" t="inlineStr">
        <is>
          <t>Travel</t>
        </is>
      </c>
      <c r="C16" s="37" t="n">
        <v>1200</v>
      </c>
      <c r="D16" s="37" t="n">
        <v>720</v>
      </c>
      <c r="E16" s="38">
        <f>C16-D16</f>
        <v/>
      </c>
      <c r="F16" s="39">
        <f>IFERROR(D16/C16,0)</f>
        <v/>
      </c>
    </row>
    <row r="17">
      <c r="A17" s="24" t="inlineStr">
        <is>
          <t>Fuel</t>
        </is>
      </c>
      <c r="B17" s="24" t="inlineStr">
        <is>
          <t>Travel</t>
        </is>
      </c>
      <c r="C17" s="33" t="n">
        <v>600</v>
      </c>
      <c r="D17" s="33" t="n">
        <v>380</v>
      </c>
      <c r="E17" s="34">
        <f>C17-D17</f>
        <v/>
      </c>
      <c r="F17" s="35">
        <f>IFERROR(D17/C17,0)</f>
        <v/>
      </c>
    </row>
    <row r="18">
      <c r="A18" s="27" t="inlineStr">
        <is>
          <t>Meals</t>
        </is>
      </c>
      <c r="B18" s="27" t="inlineStr">
        <is>
          <t>Travel</t>
        </is>
      </c>
      <c r="C18" s="37" t="n">
        <v>700</v>
      </c>
      <c r="D18" s="37" t="n">
        <v>360</v>
      </c>
      <c r="E18" s="38">
        <f>C18-D18</f>
        <v/>
      </c>
      <c r="F18" s="39">
        <f>IFERROR(D18/C18,0)</f>
        <v/>
      </c>
    </row>
    <row r="19">
      <c r="A19" s="24" t="inlineStr">
        <is>
          <t>Private Lessons</t>
        </is>
      </c>
      <c r="B19" s="24" t="inlineStr">
        <is>
          <t>Training</t>
        </is>
      </c>
      <c r="C19" s="33" t="n">
        <v>800</v>
      </c>
      <c r="D19" s="33" t="n">
        <v>480</v>
      </c>
      <c r="E19" s="34">
        <f>C19-D19</f>
        <v/>
      </c>
      <c r="F19" s="35">
        <f>IFERROR(D19/C19,0)</f>
        <v/>
      </c>
    </row>
    <row r="20">
      <c r="A20" s="27" t="inlineStr">
        <is>
          <t>Batting Cage</t>
        </is>
      </c>
      <c r="B20" s="27" t="inlineStr">
        <is>
          <t>Training</t>
        </is>
      </c>
      <c r="C20" s="37" t="n">
        <v>300</v>
      </c>
      <c r="D20" s="37" t="n">
        <v>180</v>
      </c>
      <c r="E20" s="38">
        <f>C20-D20</f>
        <v/>
      </c>
      <c r="F20" s="39">
        <f>IFERROR(D20/C20,0)</f>
        <v/>
      </c>
    </row>
    <row r="21">
      <c r="A21" s="24" t="inlineStr">
        <is>
          <t>Team Apparel</t>
        </is>
      </c>
      <c r="B21" s="24" t="inlineStr">
        <is>
          <t>Extras</t>
        </is>
      </c>
      <c r="C21" s="33" t="n">
        <v>150</v>
      </c>
      <c r="D21" s="33" t="n">
        <v>150</v>
      </c>
      <c r="E21" s="34">
        <f>C21-D21</f>
        <v/>
      </c>
      <c r="F21" s="35">
        <f>IFERROR(D21/C21,0)</f>
        <v/>
      </c>
    </row>
    <row r="22">
      <c r="A22" s="27" t="inlineStr">
        <is>
          <t>Photos</t>
        </is>
      </c>
      <c r="B22" s="27" t="inlineStr">
        <is>
          <t>Extras</t>
        </is>
      </c>
      <c r="C22" s="37" t="n">
        <v>120</v>
      </c>
      <c r="D22" s="37" t="n">
        <v>0</v>
      </c>
      <c r="E22" s="38">
        <f>C22-D22</f>
        <v/>
      </c>
      <c r="F22" s="39">
        <f>IFERROR(D22/C22,0)</f>
        <v/>
      </c>
    </row>
    <row r="23">
      <c r="A23" s="24" t="inlineStr">
        <is>
          <t>Fundraising</t>
        </is>
      </c>
      <c r="B23" s="24" t="inlineStr">
        <is>
          <t>Extras</t>
        </is>
      </c>
      <c r="C23" s="33" t="n">
        <v>0</v>
      </c>
      <c r="D23" s="33" t="n">
        <v>0</v>
      </c>
      <c r="E23" s="34">
        <f>C23-D23</f>
        <v/>
      </c>
      <c r="F23" s="35">
        <f>IFERROR(D23/C23,0)</f>
        <v/>
      </c>
    </row>
    <row r="24">
      <c r="A24" s="27" t="inlineStr">
        <is>
          <t>Miscellaneous</t>
        </is>
      </c>
      <c r="B24" s="27" t="inlineStr">
        <is>
          <t>Extras</t>
        </is>
      </c>
      <c r="C24" s="37" t="n">
        <v>150</v>
      </c>
      <c r="D24" s="37" t="n">
        <v>90</v>
      </c>
      <c r="E24" s="38">
        <f>C24-D24</f>
        <v/>
      </c>
      <c r="F24" s="39">
        <f>IFERROR(D24/C24,0)</f>
        <v/>
      </c>
    </row>
    <row r="25">
      <c r="A25" s="7" t="inlineStr">
        <is>
          <t>TOTAL</t>
        </is>
      </c>
      <c r="B25" s="7" t="inlineStr"/>
      <c r="C25" s="41">
        <f>SUM(C5:C24)</f>
        <v/>
      </c>
      <c r="D25" s="41">
        <f>SUM(D5:D24)</f>
        <v/>
      </c>
      <c r="E25" s="41">
        <f>SUM(E5:E24)</f>
        <v/>
      </c>
      <c r="F25" s="42">
        <f>IFERROR(D25/C25,0)</f>
        <v/>
      </c>
    </row>
    <row r="27">
      <c r="A27" s="4" t="inlineStr">
        <is>
          <t>SPENDING BY GROUP</t>
        </is>
      </c>
    </row>
    <row r="28">
      <c r="A28" s="7" t="inlineStr">
        <is>
          <t>Group</t>
        </is>
      </c>
      <c r="B28" s="7" t="inlineStr">
        <is>
          <t>Spent</t>
        </is>
      </c>
    </row>
    <row r="29">
      <c r="A29" s="24" t="inlineStr">
        <is>
          <t>Fees &amp; Registration</t>
        </is>
      </c>
      <c r="B29" s="43">
        <f>SUMIF(BudgetGroup,A29,BudgetActual)</f>
        <v/>
      </c>
    </row>
    <row r="30">
      <c r="A30" s="24" t="inlineStr">
        <is>
          <t>Equipment</t>
        </is>
      </c>
      <c r="B30" s="43">
        <f>SUMIF(BudgetGroup,A30,BudgetActual)</f>
        <v/>
      </c>
    </row>
    <row r="31">
      <c r="A31" s="24" t="inlineStr">
        <is>
          <t>Travel</t>
        </is>
      </c>
      <c r="B31" s="43">
        <f>SUMIF(BudgetGroup,A31,BudgetActual)</f>
        <v/>
      </c>
    </row>
    <row r="32">
      <c r="A32" s="24" t="inlineStr">
        <is>
          <t>Training</t>
        </is>
      </c>
      <c r="B32" s="43">
        <f>SUMIF(BudgetGroup,A32,BudgetActual)</f>
        <v/>
      </c>
    </row>
    <row r="33">
      <c r="A33" s="24" t="inlineStr">
        <is>
          <t>Extras</t>
        </is>
      </c>
      <c r="B33" s="43">
        <f>SUMIF(BudgetGroup,A33,BudgetActual)</f>
        <v/>
      </c>
    </row>
  </sheetData>
  <mergeCells count="3">
    <mergeCell ref="A1:I1"/>
    <mergeCell ref="A2:I2"/>
    <mergeCell ref="A27:F27"/>
  </mergeCells>
  <conditionalFormatting sqref="F5:F24">
    <cfRule type="dataBar" priority="1">
      <dataBar showValue="1">
        <cfvo type="num" val="0"/>
        <cfvo type="num" val="1.2"/>
        <color rgb="001B4F48"/>
      </dataBar>
    </cfRule>
  </conditionalFormatting>
  <conditionalFormatting sqref="E5:E24">
    <cfRule type="cellIs" priority="2" operator="less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3" customWidth="1" min="4" max="4"/>
    <col width="11" customWidth="1" min="5" max="5"/>
    <col width="14" customWidth="1" min="6" max="6"/>
    <col width="13" customWidth="1" min="7" max="7"/>
    <col width="22" customWidth="1" min="8" max="8"/>
  </cols>
  <sheetData>
    <row r="1" ht="46" customHeight="1">
      <c r="A1" s="1" t="inlineStr">
        <is>
          <t xml:space="preserve">  🧤  EQUIPMENT COMMAND CENTER</t>
        </is>
      </c>
    </row>
    <row r="2" ht="22" customHeight="1">
      <c r="A2" s="2" t="inlineStr">
        <is>
          <t xml:space="preserve">  Track every piece — gear due for replacement in 45 days flags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Equipment</t>
        </is>
      </c>
      <c r="B4" s="7" t="inlineStr">
        <is>
          <t>Brand</t>
        </is>
      </c>
      <c r="C4" s="7" t="inlineStr">
        <is>
          <t>Size</t>
        </is>
      </c>
      <c r="D4" s="7" t="inlineStr">
        <is>
          <t>Purchased</t>
        </is>
      </c>
      <c r="E4" s="7" t="inlineStr">
        <is>
          <t>Price</t>
        </is>
      </c>
      <c r="F4" s="7" t="inlineStr">
        <is>
          <t>Condition</t>
        </is>
      </c>
      <c r="G4" s="7" t="inlineStr">
        <is>
          <t>Replace By</t>
        </is>
      </c>
      <c r="H4" s="7" t="inlineStr">
        <is>
          <t>Notes</t>
        </is>
      </c>
    </row>
    <row r="5">
      <c r="A5" s="20" t="inlineStr">
        <is>
          <t>Infield Glove</t>
        </is>
      </c>
      <c r="B5" s="19" t="inlineStr">
        <is>
          <t>Rawlings</t>
        </is>
      </c>
      <c r="C5" s="19" t="inlineStr">
        <is>
          <t>11.5"</t>
        </is>
      </c>
      <c r="D5" s="21" t="n">
        <v>46004</v>
      </c>
      <c r="E5" s="44" t="n">
        <v>200</v>
      </c>
      <c r="F5" s="19" t="inlineStr">
        <is>
          <t>Good</t>
        </is>
      </c>
      <c r="G5" s="21" t="n">
        <v>46604</v>
      </c>
      <c r="H5" s="20" t="inlineStr"/>
    </row>
    <row r="6">
      <c r="A6" s="27" t="inlineStr">
        <is>
          <t>Bat (BBCOR)</t>
        </is>
      </c>
      <c r="B6" s="26" t="inlineStr">
        <is>
          <t>Marucci</t>
        </is>
      </c>
      <c r="C6" s="26" t="inlineStr">
        <is>
          <t>31/28</t>
        </is>
      </c>
      <c r="D6" s="28" t="n">
        <v>46084</v>
      </c>
      <c r="E6" s="45" t="n">
        <v>350</v>
      </c>
      <c r="F6" s="26" t="inlineStr">
        <is>
          <t>Good</t>
        </is>
      </c>
      <c r="G6" s="28" t="n">
        <v>46384</v>
      </c>
      <c r="H6" s="27" t="inlineStr">
        <is>
          <t>USSSA stamp</t>
        </is>
      </c>
    </row>
    <row r="7">
      <c r="A7" s="20" t="inlineStr">
        <is>
          <t>Backup Bat</t>
        </is>
      </c>
      <c r="B7" s="19" t="inlineStr">
        <is>
          <t>Easton</t>
        </is>
      </c>
      <c r="C7" s="19" t="inlineStr">
        <is>
          <t>30/27</t>
        </is>
      </c>
      <c r="D7" s="21" t="n">
        <v>45904</v>
      </c>
      <c r="E7" s="44" t="n">
        <v>150</v>
      </c>
      <c r="F7" s="19" t="inlineStr">
        <is>
          <t>Fair</t>
        </is>
      </c>
      <c r="G7" s="21" t="n">
        <v>46244</v>
      </c>
      <c r="H7" s="20" t="inlineStr">
        <is>
          <t>Outgrowing</t>
        </is>
      </c>
    </row>
    <row r="8">
      <c r="A8" s="27" t="inlineStr">
        <is>
          <t>Cleats</t>
        </is>
      </c>
      <c r="B8" s="26" t="inlineStr">
        <is>
          <t>New Balance</t>
        </is>
      </c>
      <c r="C8" s="26" t="inlineStr">
        <is>
          <t>5.5</t>
        </is>
      </c>
      <c r="D8" s="28" t="n">
        <v>46054</v>
      </c>
      <c r="E8" s="45" t="n">
        <v>90</v>
      </c>
      <c r="F8" s="26" t="inlineStr">
        <is>
          <t>Replace Soon</t>
        </is>
      </c>
      <c r="G8" s="28" t="n">
        <v>46234</v>
      </c>
      <c r="H8" s="27" t="inlineStr">
        <is>
          <t>Feet growing</t>
        </is>
      </c>
    </row>
    <row r="9">
      <c r="A9" s="20" t="inlineStr">
        <is>
          <t>Batting Helmet</t>
        </is>
      </c>
      <c r="B9" s="19" t="inlineStr">
        <is>
          <t>Rawlings</t>
        </is>
      </c>
      <c r="C9" s="19" t="inlineStr">
        <is>
          <t>M</t>
        </is>
      </c>
      <c r="D9" s="21" t="n">
        <v>45984</v>
      </c>
      <c r="E9" s="44" t="n">
        <v>60</v>
      </c>
      <c r="F9" s="19" t="inlineStr">
        <is>
          <t>Good</t>
        </is>
      </c>
      <c r="G9" s="21" t="n">
        <v>46704</v>
      </c>
      <c r="H9" s="20" t="inlineStr"/>
    </row>
    <row r="10">
      <c r="A10" s="27" t="inlineStr">
        <is>
          <t>Catcher's Gear</t>
        </is>
      </c>
      <c r="B10" s="26" t="inlineStr">
        <is>
          <t>All-Star</t>
        </is>
      </c>
      <c r="C10" s="26" t="inlineStr">
        <is>
          <t>Youth</t>
        </is>
      </c>
      <c r="D10" s="28" t="n">
        <v>45804</v>
      </c>
      <c r="E10" s="45" t="n">
        <v>260</v>
      </c>
      <c r="F10" s="26" t="inlineStr">
        <is>
          <t>Good</t>
        </is>
      </c>
      <c r="G10" s="28" t="n">
        <v>46504</v>
      </c>
      <c r="H10" s="27" t="inlineStr">
        <is>
          <t>Backup catcher</t>
        </is>
      </c>
    </row>
    <row r="11">
      <c r="A11" s="20" t="inlineStr">
        <is>
          <t>Batting Gloves</t>
        </is>
      </c>
      <c r="B11" s="19" t="inlineStr">
        <is>
          <t>Franklin</t>
        </is>
      </c>
      <c r="C11" s="19" t="inlineStr">
        <is>
          <t>M</t>
        </is>
      </c>
      <c r="D11" s="21" t="n">
        <v>46144</v>
      </c>
      <c r="E11" s="44" t="n">
        <v>35</v>
      </c>
      <c r="F11" s="19" t="inlineStr">
        <is>
          <t>Replace Soon</t>
        </is>
      </c>
      <c r="G11" s="21" t="n">
        <v>46229</v>
      </c>
      <c r="H11" s="20" t="inlineStr">
        <is>
          <t>Worn palms</t>
        </is>
      </c>
    </row>
    <row r="12">
      <c r="A12" s="27" t="inlineStr">
        <is>
          <t>Bat Bag</t>
        </is>
      </c>
      <c r="B12" s="26" t="inlineStr">
        <is>
          <t>Boombah</t>
        </is>
      </c>
      <c r="C12" s="26" t="inlineStr">
        <is>
          <t>—</t>
        </is>
      </c>
      <c r="D12" s="28" t="n">
        <v>45904</v>
      </c>
      <c r="E12" s="45" t="n">
        <v>80</v>
      </c>
      <c r="F12" s="26" t="inlineStr">
        <is>
          <t>Good</t>
        </is>
      </c>
      <c r="G12" s="28" t="n">
        <v>46604</v>
      </c>
      <c r="H12" s="27" t="inlineStr"/>
    </row>
    <row r="13">
      <c r="A13" s="20" t="inlineStr">
        <is>
          <t>Sliding Shorts</t>
        </is>
      </c>
      <c r="B13" s="19" t="inlineStr">
        <is>
          <t>McDavid</t>
        </is>
      </c>
      <c r="C13" s="19" t="inlineStr">
        <is>
          <t>M</t>
        </is>
      </c>
      <c r="D13" s="21" t="n">
        <v>46054</v>
      </c>
      <c r="E13" s="44" t="n">
        <v>30</v>
      </c>
      <c r="F13" s="19" t="inlineStr">
        <is>
          <t>Good</t>
        </is>
      </c>
      <c r="G13" s="21" t="n">
        <v>46504</v>
      </c>
      <c r="H13" s="20" t="inlineStr"/>
    </row>
    <row r="14">
      <c r="A14" s="27" t="inlineStr">
        <is>
          <t>Turf Shoes</t>
        </is>
      </c>
      <c r="B14" s="26" t="inlineStr">
        <is>
          <t>Mizuno</t>
        </is>
      </c>
      <c r="C14" s="26" t="inlineStr">
        <is>
          <t>5.5</t>
        </is>
      </c>
      <c r="D14" s="28" t="n">
        <v>46054</v>
      </c>
      <c r="E14" s="45" t="n">
        <v>65</v>
      </c>
      <c r="F14" s="26" t="inlineStr">
        <is>
          <t>Replace Soon</t>
        </is>
      </c>
      <c r="G14" s="28" t="n">
        <v>46234</v>
      </c>
      <c r="H14" s="27" t="inlineStr">
        <is>
          <t>For cages</t>
        </is>
      </c>
    </row>
    <row r="15">
      <c r="A15" s="20" t="inlineStr">
        <is>
          <t>Baseballs (dozen)</t>
        </is>
      </c>
      <c r="B15" s="19" t="inlineStr">
        <is>
          <t>Rawlings</t>
        </is>
      </c>
      <c r="C15" s="19" t="inlineStr">
        <is>
          <t>—</t>
        </is>
      </c>
      <c r="D15" s="21" t="n">
        <v>46174</v>
      </c>
      <c r="E15" s="44" t="n">
        <v>45</v>
      </c>
      <c r="F15" s="19" t="inlineStr">
        <is>
          <t>New</t>
        </is>
      </c>
      <c r="G15" s="21" t="n">
        <v>46324</v>
      </c>
      <c r="H15" s="20" t="inlineStr">
        <is>
          <t>Practice</t>
        </is>
      </c>
    </row>
    <row r="16">
      <c r="A16" s="27" t="inlineStr">
        <is>
          <t>Sunglasses</t>
        </is>
      </c>
      <c r="B16" s="26" t="inlineStr">
        <is>
          <t>Oakley</t>
        </is>
      </c>
      <c r="C16" s="26" t="inlineStr">
        <is>
          <t>—</t>
        </is>
      </c>
      <c r="D16" s="28" t="n">
        <v>46114</v>
      </c>
      <c r="E16" s="45" t="n">
        <v>90</v>
      </c>
      <c r="F16" s="26" t="inlineStr">
        <is>
          <t>Good</t>
        </is>
      </c>
      <c r="G16" s="28" t="n">
        <v>46604</v>
      </c>
      <c r="H16" s="27" t="inlineStr"/>
    </row>
    <row r="17">
      <c r="A17" s="20" t="n"/>
      <c r="B17" s="19" t="n"/>
      <c r="C17" s="19" t="n"/>
      <c r="D17" s="21" t="n"/>
      <c r="E17" s="44" t="n"/>
      <c r="F17" s="19" t="n"/>
      <c r="G17" s="21" t="n"/>
      <c r="H17" s="20" t="n"/>
    </row>
    <row r="18">
      <c r="A18" s="27" t="n"/>
      <c r="B18" s="26" t="n"/>
      <c r="C18" s="26" t="n"/>
      <c r="D18" s="28" t="n"/>
      <c r="E18" s="45" t="n"/>
      <c r="F18" s="26" t="n"/>
      <c r="G18" s="28" t="n"/>
      <c r="H18" s="27" t="n"/>
    </row>
    <row r="19">
      <c r="A19" s="20" t="n"/>
      <c r="B19" s="19" t="n"/>
      <c r="C19" s="19" t="n"/>
      <c r="D19" s="21" t="n"/>
      <c r="E19" s="44" t="n"/>
      <c r="F19" s="19" t="n"/>
      <c r="G19" s="21" t="n"/>
      <c r="H19" s="20" t="n"/>
    </row>
    <row r="20">
      <c r="A20" s="27" t="n"/>
      <c r="B20" s="26" t="n"/>
      <c r="C20" s="26" t="n"/>
      <c r="D20" s="28" t="n"/>
      <c r="E20" s="45" t="n"/>
      <c r="F20" s="26" t="n"/>
      <c r="G20" s="28" t="n"/>
      <c r="H20" s="27" t="n"/>
    </row>
    <row r="21">
      <c r="A21" s="20" t="n"/>
      <c r="B21" s="19" t="n"/>
      <c r="C21" s="19" t="n"/>
      <c r="D21" s="21" t="n"/>
      <c r="E21" s="44" t="n"/>
      <c r="F21" s="19" t="n"/>
      <c r="G21" s="21" t="n"/>
      <c r="H21" s="20" t="n"/>
    </row>
    <row r="22">
      <c r="A22" s="27" t="n"/>
      <c r="B22" s="26" t="n"/>
      <c r="C22" s="26" t="n"/>
      <c r="D22" s="28" t="n"/>
      <c r="E22" s="45" t="n"/>
      <c r="F22" s="26" t="n"/>
      <c r="G22" s="28" t="n"/>
      <c r="H22" s="27" t="n"/>
    </row>
    <row r="23">
      <c r="A23" s="20" t="n"/>
      <c r="B23" s="19" t="n"/>
      <c r="C23" s="19" t="n"/>
      <c r="D23" s="21" t="n"/>
      <c r="E23" s="44" t="n"/>
      <c r="F23" s="19" t="n"/>
      <c r="G23" s="21" t="n"/>
      <c r="H23" s="20" t="n"/>
    </row>
    <row r="24">
      <c r="A24" s="27" t="n"/>
      <c r="B24" s="26" t="n"/>
      <c r="C24" s="26" t="n"/>
      <c r="D24" s="28" t="n"/>
      <c r="E24" s="45" t="n"/>
      <c r="F24" s="26" t="n"/>
      <c r="G24" s="28" t="n"/>
      <c r="H24" s="27" t="n"/>
    </row>
    <row r="25">
      <c r="A25" s="20" t="n"/>
      <c r="B25" s="19" t="n"/>
      <c r="C25" s="19" t="n"/>
      <c r="D25" s="21" t="n"/>
      <c r="E25" s="44" t="n"/>
      <c r="F25" s="19" t="n"/>
      <c r="G25" s="21" t="n"/>
      <c r="H25" s="20" t="n"/>
    </row>
    <row r="26">
      <c r="A26" s="27" t="n"/>
      <c r="B26" s="26" t="n"/>
      <c r="C26" s="26" t="n"/>
      <c r="D26" s="28" t="n"/>
      <c r="E26" s="45" t="n"/>
      <c r="F26" s="26" t="n"/>
      <c r="G26" s="28" t="n"/>
      <c r="H26" s="27" t="n"/>
    </row>
    <row r="27">
      <c r="A27" s="20" t="n"/>
      <c r="B27" s="19" t="n"/>
      <c r="C27" s="19" t="n"/>
      <c r="D27" s="21" t="n"/>
      <c r="E27" s="44" t="n"/>
      <c r="F27" s="19" t="n"/>
      <c r="G27" s="21" t="n"/>
      <c r="H27" s="20" t="n"/>
    </row>
    <row r="28">
      <c r="A28" s="27" t="n"/>
      <c r="B28" s="26" t="n"/>
      <c r="C28" s="26" t="n"/>
      <c r="D28" s="28" t="n"/>
      <c r="E28" s="45" t="n"/>
      <c r="F28" s="26" t="n"/>
      <c r="G28" s="28" t="n"/>
      <c r="H28" s="27" t="n"/>
    </row>
    <row r="29">
      <c r="A29" s="20" t="n"/>
      <c r="B29" s="19" t="n"/>
      <c r="C29" s="19" t="n"/>
      <c r="D29" s="21" t="n"/>
      <c r="E29" s="44" t="n"/>
      <c r="F29" s="19" t="n"/>
      <c r="G29" s="21" t="n"/>
      <c r="H29" s="20" t="n"/>
    </row>
    <row r="30">
      <c r="A30" s="27" t="n"/>
      <c r="B30" s="26" t="n"/>
      <c r="C30" s="26" t="n"/>
      <c r="D30" s="28" t="n"/>
      <c r="E30" s="45" t="n"/>
      <c r="F30" s="26" t="n"/>
      <c r="G30" s="28" t="n"/>
      <c r="H30" s="27" t="n"/>
    </row>
    <row r="31">
      <c r="A31" s="20" t="n"/>
      <c r="B31" s="19" t="n"/>
      <c r="C31" s="19" t="n"/>
      <c r="D31" s="21" t="n"/>
      <c r="E31" s="44" t="n"/>
      <c r="F31" s="19" t="n"/>
      <c r="G31" s="21" t="n"/>
      <c r="H31" s="20" t="n"/>
    </row>
    <row r="32">
      <c r="A32" s="27" t="n"/>
      <c r="B32" s="26" t="n"/>
      <c r="C32" s="26" t="n"/>
      <c r="D32" s="28" t="n"/>
      <c r="E32" s="45" t="n"/>
      <c r="F32" s="26" t="n"/>
      <c r="G32" s="28" t="n"/>
      <c r="H32" s="27" t="n"/>
    </row>
    <row r="33">
      <c r="A33" s="20" t="n"/>
      <c r="B33" s="19" t="n"/>
      <c r="C33" s="19" t="n"/>
      <c r="D33" s="21" t="n"/>
      <c r="E33" s="44" t="n"/>
      <c r="F33" s="19" t="n"/>
      <c r="G33" s="21" t="n"/>
      <c r="H33" s="20" t="n"/>
    </row>
    <row r="34">
      <c r="A34" s="27" t="n"/>
      <c r="B34" s="26" t="n"/>
      <c r="C34" s="26" t="n"/>
      <c r="D34" s="28" t="n"/>
      <c r="E34" s="45" t="n"/>
      <c r="F34" s="26" t="n"/>
      <c r="G34" s="28" t="n"/>
      <c r="H34" s="27" t="n"/>
    </row>
    <row r="35">
      <c r="A35" s="20" t="n"/>
      <c r="B35" s="19" t="n"/>
      <c r="C35" s="19" t="n"/>
      <c r="D35" s="21" t="n"/>
      <c r="E35" s="44" t="n"/>
      <c r="F35" s="19" t="n"/>
      <c r="G35" s="21" t="n"/>
      <c r="H35" s="20" t="n"/>
    </row>
    <row r="36">
      <c r="A36" s="27" t="n"/>
      <c r="B36" s="26" t="n"/>
      <c r="C36" s="26" t="n"/>
      <c r="D36" s="28" t="n"/>
      <c r="E36" s="45" t="n"/>
      <c r="F36" s="26" t="n"/>
      <c r="G36" s="28" t="n"/>
      <c r="H36" s="27" t="n"/>
    </row>
    <row r="37">
      <c r="A37" s="20" t="n"/>
      <c r="B37" s="19" t="n"/>
      <c r="C37" s="19" t="n"/>
      <c r="D37" s="21" t="n"/>
      <c r="E37" s="44" t="n"/>
      <c r="F37" s="19" t="n"/>
      <c r="G37" s="21" t="n"/>
      <c r="H37" s="20" t="n"/>
    </row>
    <row r="38">
      <c r="A38" s="27" t="n"/>
      <c r="B38" s="26" t="n"/>
      <c r="C38" s="26" t="n"/>
      <c r="D38" s="28" t="n"/>
      <c r="E38" s="45" t="n"/>
      <c r="F38" s="26" t="n"/>
      <c r="G38" s="28" t="n"/>
      <c r="H38" s="27" t="n"/>
    </row>
    <row r="39">
      <c r="A39" s="20" t="n"/>
      <c r="B39" s="19" t="n"/>
      <c r="C39" s="19" t="n"/>
      <c r="D39" s="21" t="n"/>
      <c r="E39" s="44" t="n"/>
      <c r="F39" s="19" t="n"/>
      <c r="G39" s="21" t="n"/>
      <c r="H39" s="20" t="n"/>
    </row>
    <row r="40">
      <c r="A40" s="27" t="n"/>
      <c r="B40" s="26" t="n"/>
      <c r="C40" s="26" t="n"/>
      <c r="D40" s="28" t="n"/>
      <c r="E40" s="45" t="n"/>
      <c r="F40" s="26" t="n"/>
      <c r="G40" s="28" t="n"/>
      <c r="H40" s="27" t="n"/>
    </row>
    <row r="41">
      <c r="A41" s="20" t="n"/>
      <c r="B41" s="19" t="n"/>
      <c r="C41" s="19" t="n"/>
      <c r="D41" s="21" t="n"/>
      <c r="E41" s="44" t="n"/>
      <c r="F41" s="19" t="n"/>
      <c r="G41" s="21" t="n"/>
      <c r="H41" s="20" t="n"/>
    </row>
    <row r="42">
      <c r="A42" s="27" t="n"/>
      <c r="B42" s="26" t="n"/>
      <c r="C42" s="26" t="n"/>
      <c r="D42" s="28" t="n"/>
      <c r="E42" s="45" t="n"/>
      <c r="F42" s="26" t="n"/>
      <c r="G42" s="28" t="n"/>
      <c r="H42" s="27" t="n"/>
    </row>
    <row r="43">
      <c r="A43" s="20" t="n"/>
      <c r="B43" s="19" t="n"/>
      <c r="C43" s="19" t="n"/>
      <c r="D43" s="21" t="n"/>
      <c r="E43" s="44" t="n"/>
      <c r="F43" s="19" t="n"/>
      <c r="G43" s="21" t="n"/>
      <c r="H43" s="20" t="n"/>
    </row>
    <row r="44">
      <c r="A44" s="27" t="n"/>
      <c r="B44" s="26" t="n"/>
      <c r="C44" s="26" t="n"/>
      <c r="D44" s="28" t="n"/>
      <c r="E44" s="45" t="n"/>
      <c r="F44" s="26" t="n"/>
      <c r="G44" s="28" t="n"/>
      <c r="H44" s="27" t="n"/>
    </row>
  </sheetData>
  <mergeCells count="2">
    <mergeCell ref="A2:H2"/>
    <mergeCell ref="A1:H1"/>
  </mergeCells>
  <conditionalFormatting sqref="A5:H44">
    <cfRule type="expression" priority="1" dxfId="0">
      <formula>AND($G5&lt;&gt;"",$G5&lt;=TODAY()+45)</formula>
    </cfRule>
  </conditionalFormatting>
  <conditionalFormatting sqref="F5:F44">
    <cfRule type="cellIs" priority="2" operator="equal" dxfId="2">
      <formula>"Replace Now"</formula>
    </cfRule>
    <cfRule type="cellIs" priority="3" operator="equal" dxfId="1">
      <formula>"New"</formula>
    </cfRule>
  </conditionalFormatting>
  <dataValidations count="1">
    <dataValidation sqref="F5:F44" showDropDown="0" showInputMessage="0" showErrorMessage="0" allowBlank="1" type="list">
      <formula1>=EquipStatusList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2" customWidth="1" min="10" max="10"/>
  </cols>
  <sheetData>
    <row r="1" ht="46" customHeight="1">
      <c r="A1" s="1" t="inlineStr">
        <is>
          <t xml:space="preserve">  🏏  BAT INVENTORY</t>
        </is>
      </c>
    </row>
    <row r="2" ht="22" customHeight="1">
      <c r="A2" s="2" t="inlineStr">
        <is>
          <t xml:space="preserve">  Track every bat — length, drop, certification, usage hours &amp; condition.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Brand / Model</t>
        </is>
      </c>
      <c r="B4" s="7" t="inlineStr">
        <is>
          <t>Length</t>
        </is>
      </c>
      <c r="C4" s="7" t="inlineStr">
        <is>
          <t>Weight</t>
        </is>
      </c>
      <c r="D4" s="7" t="inlineStr">
        <is>
          <t>Drop</t>
        </is>
      </c>
      <c r="E4" s="7" t="inlineStr">
        <is>
          <t>Material</t>
        </is>
      </c>
      <c r="F4" s="7" t="inlineStr">
        <is>
          <t>Purchased</t>
        </is>
      </c>
      <c r="G4" s="7" t="inlineStr">
        <is>
          <t>Cost</t>
        </is>
      </c>
      <c r="H4" s="7" t="inlineStr">
        <is>
          <t>Cert</t>
        </is>
      </c>
      <c r="I4" s="7" t="inlineStr">
        <is>
          <t>Usage Hrs</t>
        </is>
      </c>
      <c r="J4" s="7" t="inlineStr">
        <is>
          <t>Condition</t>
        </is>
      </c>
    </row>
    <row r="5">
      <c r="A5" s="20" t="inlineStr">
        <is>
          <t>Marucci CAT9</t>
        </is>
      </c>
      <c r="B5" s="19" t="inlineStr">
        <is>
          <t>31"</t>
        </is>
      </c>
      <c r="C5" s="19" t="inlineStr">
        <is>
          <t>28 oz</t>
        </is>
      </c>
      <c r="D5" s="19" t="inlineStr">
        <is>
          <t>-3</t>
        </is>
      </c>
      <c r="E5" s="19" t="inlineStr">
        <is>
          <t>Alloy</t>
        </is>
      </c>
      <c r="F5" s="21" t="n">
        <v>46084</v>
      </c>
      <c r="G5" s="44" t="n">
        <v>350</v>
      </c>
      <c r="H5" s="19" t="inlineStr">
        <is>
          <t>BBCOR</t>
        </is>
      </c>
      <c r="I5" s="46" t="n">
        <v>42</v>
      </c>
      <c r="J5" s="19" t="inlineStr">
        <is>
          <t>Good</t>
        </is>
      </c>
    </row>
    <row r="6">
      <c r="A6" s="27" t="inlineStr">
        <is>
          <t>Easton Ghost</t>
        </is>
      </c>
      <c r="B6" s="26" t="inlineStr">
        <is>
          <t>30"</t>
        </is>
      </c>
      <c r="C6" s="26" t="inlineStr">
        <is>
          <t>27 oz</t>
        </is>
      </c>
      <c r="D6" s="26" t="inlineStr">
        <is>
          <t>-3</t>
        </is>
      </c>
      <c r="E6" s="26" t="inlineStr">
        <is>
          <t>Composite</t>
        </is>
      </c>
      <c r="F6" s="28" t="n">
        <v>45904</v>
      </c>
      <c r="G6" s="45" t="n">
        <v>300</v>
      </c>
      <c r="H6" s="26" t="inlineStr">
        <is>
          <t>USSSA</t>
        </is>
      </c>
      <c r="I6" s="47" t="n">
        <v>60</v>
      </c>
      <c r="J6" s="26" t="inlineStr">
        <is>
          <t>Fair</t>
        </is>
      </c>
    </row>
    <row r="7">
      <c r="A7" s="20" t="inlineStr">
        <is>
          <t>DeMarini Voodoo</t>
        </is>
      </c>
      <c r="B7" s="19" t="inlineStr">
        <is>
          <t>31"</t>
        </is>
      </c>
      <c r="C7" s="19" t="inlineStr">
        <is>
          <t>28 oz</t>
        </is>
      </c>
      <c r="D7" s="19" t="inlineStr">
        <is>
          <t>-3</t>
        </is>
      </c>
      <c r="E7" s="19" t="inlineStr">
        <is>
          <t>Hybrid</t>
        </is>
      </c>
      <c r="F7" s="21" t="n">
        <v>46144</v>
      </c>
      <c r="G7" s="44" t="n">
        <v>320</v>
      </c>
      <c r="H7" s="19" t="inlineStr">
        <is>
          <t>BBCOR</t>
        </is>
      </c>
      <c r="I7" s="46" t="n">
        <v>12</v>
      </c>
      <c r="J7" s="19" t="inlineStr">
        <is>
          <t>Good</t>
        </is>
      </c>
    </row>
    <row r="8">
      <c r="A8" s="27" t="inlineStr">
        <is>
          <t>Louisville Solo</t>
        </is>
      </c>
      <c r="B8" s="26" t="inlineStr">
        <is>
          <t>30"</t>
        </is>
      </c>
      <c r="C8" s="26" t="inlineStr">
        <is>
          <t>20 oz</t>
        </is>
      </c>
      <c r="D8" s="26" t="inlineStr">
        <is>
          <t>-10</t>
        </is>
      </c>
      <c r="E8" s="26" t="inlineStr">
        <is>
          <t>Alloy</t>
        </is>
      </c>
      <c r="F8" s="28" t="n">
        <v>45704</v>
      </c>
      <c r="G8" s="45" t="n">
        <v>120</v>
      </c>
      <c r="H8" s="26" t="inlineStr">
        <is>
          <t>USA</t>
        </is>
      </c>
      <c r="I8" s="47" t="n">
        <v>90</v>
      </c>
      <c r="J8" s="26" t="inlineStr">
        <is>
          <t>Retired</t>
        </is>
      </c>
    </row>
    <row r="9">
      <c r="A9" s="20" t="inlineStr">
        <is>
          <t>Axe Elite (backup)</t>
        </is>
      </c>
      <c r="B9" s="19" t="inlineStr">
        <is>
          <t>31"</t>
        </is>
      </c>
      <c r="C9" s="19" t="inlineStr">
        <is>
          <t>28 oz</t>
        </is>
      </c>
      <c r="D9" s="19" t="inlineStr">
        <is>
          <t>-3</t>
        </is>
      </c>
      <c r="E9" s="19" t="inlineStr">
        <is>
          <t>Alloy</t>
        </is>
      </c>
      <c r="F9" s="21" t="n">
        <v>46004</v>
      </c>
      <c r="G9" s="44" t="n">
        <v>200</v>
      </c>
      <c r="H9" s="19" t="inlineStr">
        <is>
          <t>BBCOR</t>
        </is>
      </c>
      <c r="I9" s="46" t="n">
        <v>30</v>
      </c>
      <c r="J9" s="19" t="inlineStr">
        <is>
          <t>Good</t>
        </is>
      </c>
    </row>
    <row r="10">
      <c r="A10" s="27" t="n"/>
      <c r="B10" s="26" t="n"/>
      <c r="C10" s="26" t="n"/>
      <c r="D10" s="26" t="n"/>
      <c r="E10" s="26" t="n"/>
      <c r="F10" s="28" t="n"/>
      <c r="G10" s="45" t="n"/>
      <c r="H10" s="26" t="n"/>
      <c r="I10" s="47" t="n"/>
      <c r="J10" s="26" t="n"/>
    </row>
    <row r="11">
      <c r="A11" s="20" t="n"/>
      <c r="B11" s="19" t="n"/>
      <c r="C11" s="19" t="n"/>
      <c r="D11" s="19" t="n"/>
      <c r="E11" s="19" t="n"/>
      <c r="F11" s="21" t="n"/>
      <c r="G11" s="44" t="n"/>
      <c r="H11" s="19" t="n"/>
      <c r="I11" s="46" t="n"/>
      <c r="J11" s="19" t="n"/>
    </row>
    <row r="12">
      <c r="A12" s="27" t="n"/>
      <c r="B12" s="26" t="n"/>
      <c r="C12" s="26" t="n"/>
      <c r="D12" s="26" t="n"/>
      <c r="E12" s="26" t="n"/>
      <c r="F12" s="28" t="n"/>
      <c r="G12" s="45" t="n"/>
      <c r="H12" s="26" t="n"/>
      <c r="I12" s="47" t="n"/>
      <c r="J12" s="26" t="n"/>
    </row>
    <row r="13">
      <c r="A13" s="20" t="n"/>
      <c r="B13" s="19" t="n"/>
      <c r="C13" s="19" t="n"/>
      <c r="D13" s="19" t="n"/>
      <c r="E13" s="19" t="n"/>
      <c r="F13" s="21" t="n"/>
      <c r="G13" s="44" t="n"/>
      <c r="H13" s="19" t="n"/>
      <c r="I13" s="46" t="n"/>
      <c r="J13" s="19" t="n"/>
    </row>
    <row r="14">
      <c r="A14" s="27" t="n"/>
      <c r="B14" s="26" t="n"/>
      <c r="C14" s="26" t="n"/>
      <c r="D14" s="26" t="n"/>
      <c r="E14" s="26" t="n"/>
      <c r="F14" s="28" t="n"/>
      <c r="G14" s="45" t="n"/>
      <c r="H14" s="26" t="n"/>
      <c r="I14" s="47" t="n"/>
      <c r="J14" s="26" t="n"/>
    </row>
    <row r="15">
      <c r="A15" s="20" t="n"/>
      <c r="B15" s="19" t="n"/>
      <c r="C15" s="19" t="n"/>
      <c r="D15" s="19" t="n"/>
      <c r="E15" s="19" t="n"/>
      <c r="F15" s="21" t="n"/>
      <c r="G15" s="44" t="n"/>
      <c r="H15" s="19" t="n"/>
      <c r="I15" s="46" t="n"/>
      <c r="J15" s="19" t="n"/>
    </row>
    <row r="16">
      <c r="A16" s="27" t="n"/>
      <c r="B16" s="26" t="n"/>
      <c r="C16" s="26" t="n"/>
      <c r="D16" s="26" t="n"/>
      <c r="E16" s="26" t="n"/>
      <c r="F16" s="28" t="n"/>
      <c r="G16" s="45" t="n"/>
      <c r="H16" s="26" t="n"/>
      <c r="I16" s="47" t="n"/>
      <c r="J16" s="26" t="n"/>
    </row>
    <row r="17">
      <c r="A17" s="20" t="n"/>
      <c r="B17" s="19" t="n"/>
      <c r="C17" s="19" t="n"/>
      <c r="D17" s="19" t="n"/>
      <c r="E17" s="19" t="n"/>
      <c r="F17" s="21" t="n"/>
      <c r="G17" s="44" t="n"/>
      <c r="H17" s="19" t="n"/>
      <c r="I17" s="46" t="n"/>
      <c r="J17" s="19" t="n"/>
    </row>
    <row r="18">
      <c r="A18" s="27" t="n"/>
      <c r="B18" s="26" t="n"/>
      <c r="C18" s="26" t="n"/>
      <c r="D18" s="26" t="n"/>
      <c r="E18" s="26" t="n"/>
      <c r="F18" s="28" t="n"/>
      <c r="G18" s="45" t="n"/>
      <c r="H18" s="26" t="n"/>
      <c r="I18" s="47" t="n"/>
      <c r="J18" s="26" t="n"/>
    </row>
    <row r="19">
      <c r="A19" s="20" t="n"/>
      <c r="B19" s="19" t="n"/>
      <c r="C19" s="19" t="n"/>
      <c r="D19" s="19" t="n"/>
      <c r="E19" s="19" t="n"/>
      <c r="F19" s="21" t="n"/>
      <c r="G19" s="44" t="n"/>
      <c r="H19" s="19" t="n"/>
      <c r="I19" s="46" t="n"/>
      <c r="J19" s="19" t="n"/>
    </row>
    <row r="20">
      <c r="A20" s="27" t="n"/>
      <c r="B20" s="26" t="n"/>
      <c r="C20" s="26" t="n"/>
      <c r="D20" s="26" t="n"/>
      <c r="E20" s="26" t="n"/>
      <c r="F20" s="28" t="n"/>
      <c r="G20" s="45" t="n"/>
      <c r="H20" s="26" t="n"/>
      <c r="I20" s="47" t="n"/>
      <c r="J20" s="26" t="n"/>
    </row>
    <row r="21">
      <c r="A21" s="20" t="n"/>
      <c r="B21" s="19" t="n"/>
      <c r="C21" s="19" t="n"/>
      <c r="D21" s="19" t="n"/>
      <c r="E21" s="19" t="n"/>
      <c r="F21" s="21" t="n"/>
      <c r="G21" s="44" t="n"/>
      <c r="H21" s="19" t="n"/>
      <c r="I21" s="46" t="n"/>
      <c r="J21" s="19" t="n"/>
    </row>
    <row r="22">
      <c r="A22" s="27" t="n"/>
      <c r="B22" s="26" t="n"/>
      <c r="C22" s="26" t="n"/>
      <c r="D22" s="26" t="n"/>
      <c r="E22" s="26" t="n"/>
      <c r="F22" s="28" t="n"/>
      <c r="G22" s="45" t="n"/>
      <c r="H22" s="26" t="n"/>
      <c r="I22" s="47" t="n"/>
      <c r="J22" s="26" t="n"/>
    </row>
    <row r="23">
      <c r="A23" s="20" t="n"/>
      <c r="B23" s="19" t="n"/>
      <c r="C23" s="19" t="n"/>
      <c r="D23" s="19" t="n"/>
      <c r="E23" s="19" t="n"/>
      <c r="F23" s="21" t="n"/>
      <c r="G23" s="44" t="n"/>
      <c r="H23" s="19" t="n"/>
      <c r="I23" s="46" t="n"/>
      <c r="J23" s="19" t="n"/>
    </row>
    <row r="24">
      <c r="A24" s="27" t="n"/>
      <c r="B24" s="26" t="n"/>
      <c r="C24" s="26" t="n"/>
      <c r="D24" s="26" t="n"/>
      <c r="E24" s="26" t="n"/>
      <c r="F24" s="28" t="n"/>
      <c r="G24" s="45" t="n"/>
      <c r="H24" s="26" t="n"/>
      <c r="I24" s="47" t="n"/>
      <c r="J24" s="26" t="n"/>
    </row>
    <row r="25">
      <c r="A25" s="20" t="n"/>
      <c r="B25" s="19" t="n"/>
      <c r="C25" s="19" t="n"/>
      <c r="D25" s="19" t="n"/>
      <c r="E25" s="19" t="n"/>
      <c r="F25" s="21" t="n"/>
      <c r="G25" s="44" t="n"/>
      <c r="H25" s="19" t="n"/>
      <c r="I25" s="46" t="n"/>
      <c r="J25" s="19" t="n"/>
    </row>
    <row r="26">
      <c r="A26" s="27" t="n"/>
      <c r="B26" s="26" t="n"/>
      <c r="C26" s="26" t="n"/>
      <c r="D26" s="26" t="n"/>
      <c r="E26" s="26" t="n"/>
      <c r="F26" s="28" t="n"/>
      <c r="G26" s="45" t="n"/>
      <c r="H26" s="26" t="n"/>
      <c r="I26" s="47" t="n"/>
      <c r="J26" s="26" t="n"/>
    </row>
    <row r="27">
      <c r="A27" s="20" t="n"/>
      <c r="B27" s="19" t="n"/>
      <c r="C27" s="19" t="n"/>
      <c r="D27" s="19" t="n"/>
      <c r="E27" s="19" t="n"/>
      <c r="F27" s="21" t="n"/>
      <c r="G27" s="44" t="n"/>
      <c r="H27" s="19" t="n"/>
      <c r="I27" s="46" t="n"/>
      <c r="J27" s="19" t="n"/>
    </row>
    <row r="28">
      <c r="A28" s="27" t="n"/>
      <c r="B28" s="26" t="n"/>
      <c r="C28" s="26" t="n"/>
      <c r="D28" s="26" t="n"/>
      <c r="E28" s="26" t="n"/>
      <c r="F28" s="28" t="n"/>
      <c r="G28" s="45" t="n"/>
      <c r="H28" s="26" t="n"/>
      <c r="I28" s="47" t="n"/>
      <c r="J28" s="26" t="n"/>
    </row>
    <row r="29">
      <c r="A29" s="20" t="n"/>
      <c r="B29" s="19" t="n"/>
      <c r="C29" s="19" t="n"/>
      <c r="D29" s="19" t="n"/>
      <c r="E29" s="19" t="n"/>
      <c r="F29" s="21" t="n"/>
      <c r="G29" s="44" t="n"/>
      <c r="H29" s="19" t="n"/>
      <c r="I29" s="46" t="n"/>
      <c r="J29" s="19" t="n"/>
    </row>
    <row r="30">
      <c r="A30" s="27" t="n"/>
      <c r="B30" s="26" t="n"/>
      <c r="C30" s="26" t="n"/>
      <c r="D30" s="26" t="n"/>
      <c r="E30" s="26" t="n"/>
      <c r="F30" s="28" t="n"/>
      <c r="G30" s="45" t="n"/>
      <c r="H30" s="26" t="n"/>
      <c r="I30" s="47" t="n"/>
      <c r="J30" s="26" t="n"/>
    </row>
    <row r="31">
      <c r="A31" s="20" t="n"/>
      <c r="B31" s="19" t="n"/>
      <c r="C31" s="19" t="n"/>
      <c r="D31" s="19" t="n"/>
      <c r="E31" s="19" t="n"/>
      <c r="F31" s="21" t="n"/>
      <c r="G31" s="44" t="n"/>
      <c r="H31" s="19" t="n"/>
      <c r="I31" s="46" t="n"/>
      <c r="J31" s="19" t="n"/>
    </row>
    <row r="32">
      <c r="A32" s="27" t="n"/>
      <c r="B32" s="26" t="n"/>
      <c r="C32" s="26" t="n"/>
      <c r="D32" s="26" t="n"/>
      <c r="E32" s="26" t="n"/>
      <c r="F32" s="28" t="n"/>
      <c r="G32" s="45" t="n"/>
      <c r="H32" s="26" t="n"/>
      <c r="I32" s="47" t="n"/>
      <c r="J32" s="26" t="n"/>
    </row>
    <row r="33">
      <c r="A33" s="20" t="n"/>
      <c r="B33" s="19" t="n"/>
      <c r="C33" s="19" t="n"/>
      <c r="D33" s="19" t="n"/>
      <c r="E33" s="19" t="n"/>
      <c r="F33" s="21" t="n"/>
      <c r="G33" s="44" t="n"/>
      <c r="H33" s="19" t="n"/>
      <c r="I33" s="46" t="n"/>
      <c r="J33" s="19" t="n"/>
    </row>
    <row r="34">
      <c r="A34" s="27" t="n"/>
      <c r="B34" s="26" t="n"/>
      <c r="C34" s="26" t="n"/>
      <c r="D34" s="26" t="n"/>
      <c r="E34" s="26" t="n"/>
      <c r="F34" s="28" t="n"/>
      <c r="G34" s="45" t="n"/>
      <c r="H34" s="26" t="n"/>
      <c r="I34" s="47" t="n"/>
      <c r="J34" s="26" t="n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5" customWidth="1" min="4" max="4"/>
    <col width="11" customWidth="1" min="5" max="5"/>
    <col width="16" customWidth="1" min="6" max="6"/>
    <col width="22" customWidth="1" min="7" max="7"/>
  </cols>
  <sheetData>
    <row r="1" ht="46" customHeight="1">
      <c r="A1" s="1" t="inlineStr">
        <is>
          <t xml:space="preserve">  🧴  GLOVE CARE LOG</t>
        </is>
      </c>
    </row>
    <row r="2" ht="22" customHeight="1">
      <c r="A2" s="2" t="inlineStr">
        <is>
          <t xml:space="preserve">  Keep every glove game-ready — conditioning, re-lacing and repairs.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Brand / Model</t>
        </is>
      </c>
      <c r="B4" s="7" t="inlineStr">
        <is>
          <t>Position</t>
        </is>
      </c>
      <c r="C4" s="7" t="inlineStr">
        <is>
          <t>Purchased</t>
        </is>
      </c>
      <c r="D4" s="7" t="inlineStr">
        <is>
          <t>Last Conditioned</t>
        </is>
      </c>
      <c r="E4" s="7" t="inlineStr">
        <is>
          <t>Re-Laced</t>
        </is>
      </c>
      <c r="F4" s="7" t="inlineStr">
        <is>
          <t>Repairs</t>
        </is>
      </c>
      <c r="G4" s="7" t="inlineStr">
        <is>
          <t>Notes</t>
        </is>
      </c>
    </row>
    <row r="5">
      <c r="A5" s="20" t="inlineStr">
        <is>
          <t>Rawlings HOH</t>
        </is>
      </c>
      <c r="B5" s="19" t="inlineStr">
        <is>
          <t>Infield / SS</t>
        </is>
      </c>
      <c r="C5" s="21" t="n">
        <v>46004</v>
      </c>
      <c r="D5" s="21" t="n">
        <v>46184</v>
      </c>
      <c r="E5" s="19" t="inlineStr">
        <is>
          <t>No</t>
        </is>
      </c>
      <c r="F5" s="20" t="inlineStr">
        <is>
          <t>—</t>
        </is>
      </c>
      <c r="G5" s="20" t="inlineStr">
        <is>
          <t>Break in pocket more</t>
        </is>
      </c>
    </row>
    <row r="6">
      <c r="A6" s="27" t="inlineStr">
        <is>
          <t>Wilson A2000</t>
        </is>
      </c>
      <c r="B6" s="26" t="inlineStr">
        <is>
          <t>Outfield</t>
        </is>
      </c>
      <c r="C6" s="28" t="n">
        <v>45804</v>
      </c>
      <c r="D6" s="28" t="n">
        <v>46169</v>
      </c>
      <c r="E6" s="26" t="inlineStr">
        <is>
          <t>Yes</t>
        </is>
      </c>
      <c r="F6" s="27" t="inlineStr">
        <is>
          <t>Web re-laced</t>
        </is>
      </c>
      <c r="G6" s="27" t="inlineStr"/>
    </row>
    <row r="7">
      <c r="A7" s="20" t="inlineStr">
        <is>
          <t>Mizuno Pro</t>
        </is>
      </c>
      <c r="B7" s="19" t="inlineStr">
        <is>
          <t>Pitcher</t>
        </is>
      </c>
      <c r="C7" s="21" t="n">
        <v>45904</v>
      </c>
      <c r="D7" s="21" t="n">
        <v>46189</v>
      </c>
      <c r="E7" s="19" t="inlineStr">
        <is>
          <t>No</t>
        </is>
      </c>
      <c r="F7" s="20" t="inlineStr">
        <is>
          <t>—</t>
        </is>
      </c>
      <c r="G7" s="20" t="inlineStr">
        <is>
          <t>Closed web</t>
        </is>
      </c>
    </row>
    <row r="8">
      <c r="A8" s="27" t="inlineStr">
        <is>
          <t>Easton (backup)</t>
        </is>
      </c>
      <c r="B8" s="26" t="inlineStr">
        <is>
          <t>1B mitt</t>
        </is>
      </c>
      <c r="C8" s="28" t="n">
        <v>45704</v>
      </c>
      <c r="D8" s="28" t="n">
        <v>46144</v>
      </c>
      <c r="E8" s="26" t="inlineStr">
        <is>
          <t>No</t>
        </is>
      </c>
      <c r="F8" s="27" t="inlineStr">
        <is>
          <t>Needs oil</t>
        </is>
      </c>
      <c r="G8" s="27" t="inlineStr">
        <is>
          <t>Stiff</t>
        </is>
      </c>
    </row>
    <row r="9">
      <c r="A9" s="20" t="n"/>
      <c r="B9" s="19" t="n"/>
      <c r="C9" s="21" t="n"/>
      <c r="D9" s="21" t="n"/>
      <c r="E9" s="19" t="n"/>
      <c r="F9" s="20" t="n"/>
      <c r="G9" s="20" t="n"/>
    </row>
    <row r="10">
      <c r="A10" s="27" t="n"/>
      <c r="B10" s="26" t="n"/>
      <c r="C10" s="28" t="n"/>
      <c r="D10" s="28" t="n"/>
      <c r="E10" s="26" t="n"/>
      <c r="F10" s="27" t="n"/>
      <c r="G10" s="27" t="n"/>
    </row>
    <row r="11">
      <c r="A11" s="20" t="n"/>
      <c r="B11" s="19" t="n"/>
      <c r="C11" s="21" t="n"/>
      <c r="D11" s="21" t="n"/>
      <c r="E11" s="19" t="n"/>
      <c r="F11" s="20" t="n"/>
      <c r="G11" s="20" t="n"/>
    </row>
    <row r="12">
      <c r="A12" s="27" t="n"/>
      <c r="B12" s="26" t="n"/>
      <c r="C12" s="28" t="n"/>
      <c r="D12" s="28" t="n"/>
      <c r="E12" s="26" t="n"/>
      <c r="F12" s="27" t="n"/>
      <c r="G12" s="27" t="n"/>
    </row>
    <row r="13">
      <c r="A13" s="20" t="n"/>
      <c r="B13" s="19" t="n"/>
      <c r="C13" s="21" t="n"/>
      <c r="D13" s="21" t="n"/>
      <c r="E13" s="19" t="n"/>
      <c r="F13" s="20" t="n"/>
      <c r="G13" s="20" t="n"/>
    </row>
    <row r="14">
      <c r="A14" s="27" t="n"/>
      <c r="B14" s="26" t="n"/>
      <c r="C14" s="28" t="n"/>
      <c r="D14" s="28" t="n"/>
      <c r="E14" s="26" t="n"/>
      <c r="F14" s="27" t="n"/>
      <c r="G14" s="27" t="n"/>
    </row>
    <row r="15">
      <c r="A15" s="20" t="n"/>
      <c r="B15" s="19" t="n"/>
      <c r="C15" s="21" t="n"/>
      <c r="D15" s="21" t="n"/>
      <c r="E15" s="19" t="n"/>
      <c r="F15" s="20" t="n"/>
      <c r="G15" s="20" t="n"/>
    </row>
    <row r="16">
      <c r="A16" s="27" t="n"/>
      <c r="B16" s="26" t="n"/>
      <c r="C16" s="28" t="n"/>
      <c r="D16" s="28" t="n"/>
      <c r="E16" s="26" t="n"/>
      <c r="F16" s="27" t="n"/>
      <c r="G16" s="27" t="n"/>
    </row>
    <row r="17">
      <c r="A17" s="20" t="n"/>
      <c r="B17" s="19" t="n"/>
      <c r="C17" s="21" t="n"/>
      <c r="D17" s="21" t="n"/>
      <c r="E17" s="19" t="n"/>
      <c r="F17" s="20" t="n"/>
      <c r="G17" s="20" t="n"/>
    </row>
    <row r="18">
      <c r="A18" s="27" t="n"/>
      <c r="B18" s="26" t="n"/>
      <c r="C18" s="28" t="n"/>
      <c r="D18" s="28" t="n"/>
      <c r="E18" s="26" t="n"/>
      <c r="F18" s="27" t="n"/>
      <c r="G18" s="27" t="n"/>
    </row>
    <row r="19">
      <c r="A19" s="20" t="n"/>
      <c r="B19" s="19" t="n"/>
      <c r="C19" s="21" t="n"/>
      <c r="D19" s="21" t="n"/>
      <c r="E19" s="19" t="n"/>
      <c r="F19" s="20" t="n"/>
      <c r="G19" s="20" t="n"/>
    </row>
    <row r="20">
      <c r="A20" s="27" t="n"/>
      <c r="B20" s="26" t="n"/>
      <c r="C20" s="28" t="n"/>
      <c r="D20" s="28" t="n"/>
      <c r="E20" s="26" t="n"/>
      <c r="F20" s="27" t="n"/>
      <c r="G20" s="27" t="n"/>
    </row>
    <row r="21">
      <c r="A21" s="20" t="n"/>
      <c r="B21" s="19" t="n"/>
      <c r="C21" s="21" t="n"/>
      <c r="D21" s="21" t="n"/>
      <c r="E21" s="19" t="n"/>
      <c r="F21" s="20" t="n"/>
      <c r="G21" s="20" t="n"/>
    </row>
    <row r="22">
      <c r="A22" s="27" t="n"/>
      <c r="B22" s="26" t="n"/>
      <c r="C22" s="28" t="n"/>
      <c r="D22" s="28" t="n"/>
      <c r="E22" s="26" t="n"/>
      <c r="F22" s="27" t="n"/>
      <c r="G22" s="27" t="n"/>
    </row>
    <row r="23">
      <c r="A23" s="20" t="n"/>
      <c r="B23" s="19" t="n"/>
      <c r="C23" s="21" t="n"/>
      <c r="D23" s="21" t="n"/>
      <c r="E23" s="19" t="n"/>
      <c r="F23" s="20" t="n"/>
      <c r="G23" s="20" t="n"/>
    </row>
    <row r="24">
      <c r="A24" s="27" t="n"/>
      <c r="B24" s="26" t="n"/>
      <c r="C24" s="28" t="n"/>
      <c r="D24" s="28" t="n"/>
      <c r="E24" s="26" t="n"/>
      <c r="F24" s="27" t="n"/>
      <c r="G24" s="27" t="n"/>
    </row>
    <row r="25">
      <c r="A25" s="20" t="n"/>
      <c r="B25" s="19" t="n"/>
      <c r="C25" s="21" t="n"/>
      <c r="D25" s="21" t="n"/>
      <c r="E25" s="19" t="n"/>
      <c r="F25" s="20" t="n"/>
      <c r="G25" s="20" t="n"/>
    </row>
    <row r="26">
      <c r="A26" s="27" t="n"/>
      <c r="B26" s="26" t="n"/>
      <c r="C26" s="28" t="n"/>
      <c r="D26" s="28" t="n"/>
      <c r="E26" s="26" t="n"/>
      <c r="F26" s="27" t="n"/>
      <c r="G26" s="27" t="n"/>
    </row>
    <row r="27">
      <c r="A27" s="20" t="n"/>
      <c r="B27" s="19" t="n"/>
      <c r="C27" s="21" t="n"/>
      <c r="D27" s="21" t="n"/>
      <c r="E27" s="19" t="n"/>
      <c r="F27" s="20" t="n"/>
      <c r="G27" s="20" t="n"/>
    </row>
    <row r="28">
      <c r="A28" s="27" t="n"/>
      <c r="B28" s="26" t="n"/>
      <c r="C28" s="28" t="n"/>
      <c r="D28" s="28" t="n"/>
      <c r="E28" s="26" t="n"/>
      <c r="F28" s="27" t="n"/>
      <c r="G28" s="27" t="n"/>
    </row>
    <row r="29">
      <c r="A29" s="20" t="n"/>
      <c r="B29" s="19" t="n"/>
      <c r="C29" s="21" t="n"/>
      <c r="D29" s="21" t="n"/>
      <c r="E29" s="19" t="n"/>
      <c r="F29" s="20" t="n"/>
      <c r="G29" s="20" t="n"/>
    </row>
  </sheetData>
  <mergeCells count="2">
    <mergeCell ref="A2:G2"/>
    <mergeCell ref="A1:G1"/>
  </mergeCells>
  <dataValidations count="1">
    <dataValidation sqref="E5:E29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O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16" customWidth="1" min="14" max="14"/>
    <col width="12" customWidth="1" min="15" max="15"/>
  </cols>
  <sheetData>
    <row r="1" ht="46" customHeight="1">
      <c r="A1" s="1" t="inlineStr">
        <is>
          <t xml:space="preserve">  📊  PLAYER STATISTICS</t>
        </is>
      </c>
    </row>
    <row r="2" ht="22" customHeight="1">
      <c r="A2" s="2" t="inlineStr">
        <is>
          <t xml:space="preserve">  Log every game — AVG, OBP, SLG &amp; OPS calculate themselves all season.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30" customHeight="1">
      <c r="A4" s="7" t="inlineStr">
        <is>
          <t>Date</t>
        </is>
      </c>
      <c r="B4" s="7" t="inlineStr">
        <is>
          <t>Opponent</t>
        </is>
      </c>
      <c r="C4" s="7" t="inlineStr">
        <is>
          <t>AB</t>
        </is>
      </c>
      <c r="D4" s="7" t="inlineStr">
        <is>
          <t>H</t>
        </is>
      </c>
      <c r="E4" s="7" t="inlineStr">
        <is>
          <t>R</t>
        </is>
      </c>
      <c r="F4" s="7" t="inlineStr">
        <is>
          <t>RBI</t>
        </is>
      </c>
      <c r="G4" s="7" t="inlineStr">
        <is>
          <t>2B</t>
        </is>
      </c>
      <c r="H4" s="7" t="inlineStr">
        <is>
          <t>3B</t>
        </is>
      </c>
      <c r="I4" s="7" t="inlineStr">
        <is>
          <t>HR</t>
        </is>
      </c>
      <c r="J4" s="7" t="inlineStr">
        <is>
          <t>BB</t>
        </is>
      </c>
      <c r="K4" s="7" t="inlineStr">
        <is>
          <t>K</t>
        </is>
      </c>
      <c r="L4" s="7" t="inlineStr">
        <is>
          <t>SB</t>
        </is>
      </c>
      <c r="N4" s="4" t="inlineStr">
        <is>
          <t>SLASH LINE</t>
        </is>
      </c>
    </row>
    <row r="5">
      <c r="A5" s="21" t="n">
        <v>46191</v>
      </c>
      <c r="B5" s="20" t="inlineStr">
        <is>
          <t>Storm</t>
        </is>
      </c>
      <c r="C5" s="46" t="n">
        <v>4</v>
      </c>
      <c r="D5" s="46" t="n">
        <v>2</v>
      </c>
      <c r="E5" s="46" t="n">
        <v>1</v>
      </c>
      <c r="F5" s="46" t="n">
        <v>1</v>
      </c>
      <c r="G5" s="46" t="n">
        <v>1</v>
      </c>
      <c r="H5" s="46" t="n">
        <v>0</v>
      </c>
      <c r="I5" s="46" t="n">
        <v>0</v>
      </c>
      <c r="J5" s="46" t="n">
        <v>0</v>
      </c>
      <c r="K5" s="46" t="n">
        <v>1</v>
      </c>
      <c r="L5" s="46" t="n">
        <v>1</v>
      </c>
      <c r="N5" s="17" t="inlineStr">
        <is>
          <t>AVG</t>
        </is>
      </c>
      <c r="O5" s="48">
        <f>IFERROR(SUM(D5:D34)/SUM(C5:C34),0)</f>
        <v/>
      </c>
    </row>
    <row r="6">
      <c r="A6" s="28" t="n">
        <v>46194</v>
      </c>
      <c r="B6" s="27" t="inlineStr">
        <is>
          <t>Cobras</t>
        </is>
      </c>
      <c r="C6" s="47" t="n">
        <v>3</v>
      </c>
      <c r="D6" s="47" t="n">
        <v>1</v>
      </c>
      <c r="E6" s="47" t="n">
        <v>1</v>
      </c>
      <c r="F6" s="47" t="n">
        <v>0</v>
      </c>
      <c r="G6" s="47" t="n">
        <v>0</v>
      </c>
      <c r="H6" s="47" t="n">
        <v>0</v>
      </c>
      <c r="I6" s="47" t="n">
        <v>0</v>
      </c>
      <c r="J6" s="47" t="n">
        <v>1</v>
      </c>
      <c r="K6" s="47" t="n">
        <v>0</v>
      </c>
      <c r="L6" s="47" t="n">
        <v>0</v>
      </c>
      <c r="N6" s="17" t="inlineStr">
        <is>
          <t>OBP</t>
        </is>
      </c>
      <c r="O6" s="48">
        <f>IFERROR((SUM(D5:D34)+SUM(J5:J34))/(SUM(C5:C34)+SUM(J5:J34)),0)</f>
        <v/>
      </c>
    </row>
    <row r="7">
      <c r="A7" s="21" t="n">
        <v>46198</v>
      </c>
      <c r="B7" s="20" t="inlineStr">
        <is>
          <t>Rockets</t>
        </is>
      </c>
      <c r="C7" s="46" t="n">
        <v>4</v>
      </c>
      <c r="D7" s="46" t="n">
        <v>2</v>
      </c>
      <c r="E7" s="46" t="n">
        <v>2</v>
      </c>
      <c r="F7" s="46" t="n">
        <v>3</v>
      </c>
      <c r="G7" s="46" t="n">
        <v>0</v>
      </c>
      <c r="H7" s="46" t="n">
        <v>0</v>
      </c>
      <c r="I7" s="46" t="n">
        <v>1</v>
      </c>
      <c r="J7" s="46" t="n">
        <v>0</v>
      </c>
      <c r="K7" s="46" t="n">
        <v>1</v>
      </c>
      <c r="L7" s="46" t="n">
        <v>0</v>
      </c>
      <c r="N7" s="17" t="inlineStr">
        <is>
          <t>SLG</t>
        </is>
      </c>
      <c r="O7" s="48">
        <f>IFERROR(((SUM(D5:D34)-SUM(G5:G34)-SUM(H5:H34)-SUM(I5:I34))+2*SUM(G5:G34)+3*SUM(H5:H34)+4*SUM(I5:I34))/SUM(C5:C34),0)</f>
        <v/>
      </c>
    </row>
    <row r="8">
      <c r="A8" s="28" t="n">
        <v>46201</v>
      </c>
      <c r="B8" s="27" t="inlineStr">
        <is>
          <t>Titans</t>
        </is>
      </c>
      <c r="C8" s="47" t="n">
        <v>3</v>
      </c>
      <c r="D8" s="47" t="n">
        <v>1</v>
      </c>
      <c r="E8" s="47" t="n">
        <v>0</v>
      </c>
      <c r="F8" s="47" t="n">
        <v>1</v>
      </c>
      <c r="G8" s="47" t="n">
        <v>1</v>
      </c>
      <c r="H8" s="47" t="n">
        <v>0</v>
      </c>
      <c r="I8" s="47" t="n">
        <v>0</v>
      </c>
      <c r="J8" s="47" t="n">
        <v>1</v>
      </c>
      <c r="K8" s="47" t="n">
        <v>1</v>
      </c>
      <c r="L8" s="47" t="n">
        <v>1</v>
      </c>
      <c r="N8" s="17" t="inlineStr">
        <is>
          <t>OPS</t>
        </is>
      </c>
      <c r="O8" s="48">
        <f>O6+O7</f>
        <v/>
      </c>
    </row>
    <row r="9">
      <c r="A9" s="21" t="n"/>
      <c r="B9" s="20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</row>
    <row r="10">
      <c r="A10" s="28" t="n"/>
      <c r="B10" s="2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N10" s="4" t="inlineStr">
        <is>
          <t>KEY TOTALS</t>
        </is>
      </c>
    </row>
    <row r="11">
      <c r="A11" s="21" t="n"/>
      <c r="B11" s="20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N11" s="24" t="inlineStr">
        <is>
          <t>Hits</t>
        </is>
      </c>
      <c r="O11" s="25">
        <f>SUM(D5:D34)</f>
        <v/>
      </c>
    </row>
    <row r="12">
      <c r="A12" s="28" t="n"/>
      <c r="B12" s="2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N12" s="24" t="inlineStr">
        <is>
          <t>RBIs</t>
        </is>
      </c>
      <c r="O12" s="25">
        <f>SUM(F5:F34)</f>
        <v/>
      </c>
    </row>
    <row r="13">
      <c r="A13" s="21" t="n"/>
      <c r="B13" s="20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N13" s="24" t="inlineStr">
        <is>
          <t>Runs</t>
        </is>
      </c>
      <c r="O13" s="25">
        <f>SUM(E5:E34)</f>
        <v/>
      </c>
    </row>
    <row r="14">
      <c r="A14" s="28" t="n"/>
      <c r="B14" s="2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N14" s="24" t="inlineStr">
        <is>
          <t>SB</t>
        </is>
      </c>
      <c r="O14" s="25">
        <f>SUM(L5:L34)</f>
        <v/>
      </c>
    </row>
    <row r="15">
      <c r="A15" s="21" t="n"/>
      <c r="B15" s="20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A16" s="28" t="n"/>
      <c r="B16" s="2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  <row r="17">
      <c r="A17" s="21" t="n"/>
      <c r="B17" s="20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  <row r="18">
      <c r="A18" s="28" t="n"/>
      <c r="B18" s="2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</row>
    <row r="19">
      <c r="A19" s="21" t="n"/>
      <c r="B19" s="20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</row>
    <row r="20">
      <c r="A20" s="28" t="n"/>
      <c r="B20" s="2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</row>
    <row r="21">
      <c r="A21" s="21" t="n"/>
      <c r="B21" s="20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A22" s="28" t="n"/>
      <c r="B22" s="2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</row>
    <row r="23">
      <c r="A23" s="21" t="n"/>
      <c r="B23" s="20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</row>
    <row r="24">
      <c r="A24" s="28" t="n"/>
      <c r="B24" s="2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</row>
    <row r="25">
      <c r="A25" s="21" t="n"/>
      <c r="B25" s="20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A26" s="28" t="n"/>
      <c r="B26" s="2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</row>
    <row r="27">
      <c r="A27" s="21" t="n"/>
      <c r="B27" s="20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</row>
    <row r="28">
      <c r="A28" s="28" t="n"/>
      <c r="B28" s="2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</row>
    <row r="29">
      <c r="A29" s="21" t="n"/>
      <c r="B29" s="20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A30" s="28" t="n"/>
      <c r="B30" s="2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</row>
    <row r="31">
      <c r="A31" s="21" t="n"/>
      <c r="B31" s="20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A32" s="28" t="n"/>
      <c r="B32" s="2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</row>
    <row r="33">
      <c r="A33" s="21" t="n"/>
      <c r="B33" s="20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A34" s="28" t="n"/>
      <c r="B34" s="2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</row>
    <row r="35">
      <c r="A35" s="7" t="inlineStr">
        <is>
          <t>SEASON</t>
        </is>
      </c>
      <c r="B35" s="7" t="inlineStr">
        <is>
          <t>Totals</t>
        </is>
      </c>
      <c r="C35" s="49">
        <f>SUM(C5:C34)</f>
        <v/>
      </c>
      <c r="D35" s="49">
        <f>SUM(D5:D34)</f>
        <v/>
      </c>
      <c r="E35" s="49">
        <f>SUM(E5:E34)</f>
        <v/>
      </c>
      <c r="F35" s="49">
        <f>SUM(F5:F34)</f>
        <v/>
      </c>
      <c r="G35" s="49">
        <f>SUM(G5:G34)</f>
        <v/>
      </c>
      <c r="H35" s="49">
        <f>SUM(H5:H34)</f>
        <v/>
      </c>
      <c r="I35" s="49">
        <f>SUM(I5:I34)</f>
        <v/>
      </c>
      <c r="J35" s="49">
        <f>SUM(J5:J34)</f>
        <v/>
      </c>
      <c r="K35" s="49">
        <f>SUM(K5:K34)</f>
        <v/>
      </c>
      <c r="L35" s="49">
        <f>SUM(L5:L34)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11" customWidth="1" min="9" max="9"/>
    <col width="4" customWidth="1" min="10" max="10"/>
    <col width="16" customWidth="1" min="11" max="11"/>
    <col width="12" customWidth="1" min="12" max="12"/>
  </cols>
  <sheetData>
    <row r="1" ht="46" customHeight="1">
      <c r="A1" s="1" t="inlineStr">
        <is>
          <t xml:space="preserve">  🥎  PITCHING TRACKER</t>
        </is>
      </c>
    </row>
    <row r="2" ht="22" customHeight="1">
      <c r="A2" s="2" t="inlineStr">
        <is>
          <t xml:space="preserve">  Track outings, pitch counts &amp; ERA — with your own pitch-count limit alerts.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7" t="inlineStr">
        <is>
          <t>Date</t>
        </is>
      </c>
      <c r="B4" s="7" t="inlineStr">
        <is>
          <t>Opponent</t>
        </is>
      </c>
      <c r="C4" s="7" t="inlineStr">
        <is>
          <t>IP</t>
        </is>
      </c>
      <c r="D4" s="7" t="inlineStr">
        <is>
          <t>Pitches</t>
        </is>
      </c>
      <c r="E4" s="7" t="inlineStr">
        <is>
          <t>Strikes</t>
        </is>
      </c>
      <c r="F4" s="7" t="inlineStr">
        <is>
          <t>BB</t>
        </is>
      </c>
      <c r="G4" s="7" t="inlineStr">
        <is>
          <t>K</t>
        </is>
      </c>
      <c r="H4" s="7" t="inlineStr">
        <is>
          <t>ER</t>
        </is>
      </c>
      <c r="I4" s="7" t="inlineStr">
        <is>
          <t>Strike %</t>
        </is>
      </c>
      <c r="K4" s="4" t="inlineStr">
        <is>
          <t>SEASON</t>
        </is>
      </c>
    </row>
    <row r="5">
      <c r="A5" s="21" t="n">
        <v>46191</v>
      </c>
      <c r="B5" s="20" t="inlineStr">
        <is>
          <t>Storm</t>
        </is>
      </c>
      <c r="C5" s="31" t="n">
        <v>3</v>
      </c>
      <c r="D5" s="46" t="n">
        <v>52</v>
      </c>
      <c r="E5" s="46" t="n">
        <v>34</v>
      </c>
      <c r="F5" s="46" t="n">
        <v>1</v>
      </c>
      <c r="G5" s="46" t="n">
        <v>4</v>
      </c>
      <c r="H5" s="46" t="n">
        <v>1</v>
      </c>
      <c r="I5" s="50">
        <f>IF(D5="","",E5/D5)</f>
        <v/>
      </c>
      <c r="K5" s="17" t="inlineStr">
        <is>
          <t>Innings</t>
        </is>
      </c>
      <c r="L5" s="51">
        <f>SUM(C5:C29)</f>
        <v/>
      </c>
    </row>
    <row r="6">
      <c r="A6" s="28" t="n">
        <v>46198</v>
      </c>
      <c r="B6" s="27" t="inlineStr">
        <is>
          <t>Rockets</t>
        </is>
      </c>
      <c r="C6" s="32" t="n">
        <v>2</v>
      </c>
      <c r="D6" s="47" t="n">
        <v>41</v>
      </c>
      <c r="E6" s="47" t="n">
        <v>25</v>
      </c>
      <c r="F6" s="47" t="n">
        <v>2</v>
      </c>
      <c r="G6" s="47" t="n">
        <v>2</v>
      </c>
      <c r="H6" s="47" t="n">
        <v>2</v>
      </c>
      <c r="I6" s="39">
        <f>IF(D6="","",E6/D6)</f>
        <v/>
      </c>
      <c r="K6" s="17" t="inlineStr">
        <is>
          <t>Strikeouts</t>
        </is>
      </c>
      <c r="L6" s="52">
        <f>SUM(G5:G29)</f>
        <v/>
      </c>
    </row>
    <row r="7">
      <c r="A7" s="21" t="n">
        <v>46201</v>
      </c>
      <c r="B7" s="20" t="inlineStr">
        <is>
          <t>Titans</t>
        </is>
      </c>
      <c r="C7" s="31" t="n">
        <v>4</v>
      </c>
      <c r="D7" s="46" t="n">
        <v>68</v>
      </c>
      <c r="E7" s="46" t="n">
        <v>45</v>
      </c>
      <c r="F7" s="46" t="n">
        <v>1</v>
      </c>
      <c r="G7" s="46" t="n">
        <v>6</v>
      </c>
      <c r="H7" s="46" t="n">
        <v>1</v>
      </c>
      <c r="I7" s="50">
        <f>IF(D7="","",E7/D7)</f>
        <v/>
      </c>
      <c r="K7" s="17" t="inlineStr">
        <is>
          <t>Walks</t>
        </is>
      </c>
      <c r="L7" s="52">
        <f>SUM(F5:F29)</f>
        <v/>
      </c>
    </row>
    <row r="8">
      <c r="A8" s="28" t="n"/>
      <c r="B8" s="27" t="n"/>
      <c r="C8" s="32" t="n"/>
      <c r="D8" s="47" t="n"/>
      <c r="E8" s="47" t="n"/>
      <c r="F8" s="47" t="n"/>
      <c r="G8" s="47" t="n"/>
      <c r="H8" s="47" t="n"/>
      <c r="I8" s="39">
        <f>IF(D8="","",E8/D8)</f>
        <v/>
      </c>
      <c r="K8" s="17" t="inlineStr">
        <is>
          <t>ERA</t>
        </is>
      </c>
      <c r="L8" s="53">
        <f>IFERROR(SUM(H5:H29)/SUM(C5:C29)*GameInnings,0)</f>
        <v/>
      </c>
    </row>
    <row r="9">
      <c r="A9" s="21" t="n"/>
      <c r="B9" s="20" t="n"/>
      <c r="C9" s="31" t="n"/>
      <c r="D9" s="46" t="n"/>
      <c r="E9" s="46" t="n"/>
      <c r="F9" s="46" t="n"/>
      <c r="G9" s="46" t="n"/>
      <c r="H9" s="46" t="n"/>
      <c r="I9" s="50">
        <f>IF(D9="","",E9/D9)</f>
        <v/>
      </c>
      <c r="K9" s="17" t="inlineStr">
        <is>
          <t>Last pitch count</t>
        </is>
      </c>
      <c r="L9" s="52">
        <f>IFERROR(LOOKUP(2,1/(D5:D29&lt;&gt;""),D5:D29),0)</f>
        <v/>
      </c>
    </row>
    <row r="10">
      <c r="A10" s="28" t="n"/>
      <c r="B10" s="27" t="n"/>
      <c r="C10" s="32" t="n"/>
      <c r="D10" s="47" t="n"/>
      <c r="E10" s="47" t="n"/>
      <c r="F10" s="47" t="n"/>
      <c r="G10" s="47" t="n"/>
      <c r="H10" s="47" t="n"/>
      <c r="I10" s="39">
        <f>IF(D10="","",E10/D10)</f>
        <v/>
      </c>
    </row>
    <row r="11">
      <c r="A11" s="21" t="n"/>
      <c r="B11" s="20" t="n"/>
      <c r="C11" s="31" t="n"/>
      <c r="D11" s="46" t="n"/>
      <c r="E11" s="46" t="n"/>
      <c r="F11" s="46" t="n"/>
      <c r="G11" s="46" t="n"/>
      <c r="H11" s="46" t="n"/>
      <c r="I11" s="50">
        <f>IF(D11="","",E11/D11)</f>
        <v/>
      </c>
    </row>
    <row r="12">
      <c r="A12" s="28" t="n"/>
      <c r="B12" s="27" t="n"/>
      <c r="C12" s="32" t="n"/>
      <c r="D12" s="47" t="n"/>
      <c r="E12" s="47" t="n"/>
      <c r="F12" s="47" t="n"/>
      <c r="G12" s="47" t="n"/>
      <c r="H12" s="47" t="n"/>
      <c r="I12" s="39">
        <f>IF(D12="","",E12/D12)</f>
        <v/>
      </c>
    </row>
    <row r="13">
      <c r="A13" s="21" t="n"/>
      <c r="B13" s="20" t="n"/>
      <c r="C13" s="31" t="n"/>
      <c r="D13" s="46" t="n"/>
      <c r="E13" s="46" t="n"/>
      <c r="F13" s="46" t="n"/>
      <c r="G13" s="46" t="n"/>
      <c r="H13" s="46" t="n"/>
      <c r="I13" s="50">
        <f>IF(D13="","",E13/D13)</f>
        <v/>
      </c>
    </row>
    <row r="14">
      <c r="A14" s="28" t="n"/>
      <c r="B14" s="27" t="n"/>
      <c r="C14" s="32" t="n"/>
      <c r="D14" s="47" t="n"/>
      <c r="E14" s="47" t="n"/>
      <c r="F14" s="47" t="n"/>
      <c r="G14" s="47" t="n"/>
      <c r="H14" s="47" t="n"/>
      <c r="I14" s="39">
        <f>IF(D14="","",E14/D14)</f>
        <v/>
      </c>
    </row>
    <row r="15">
      <c r="A15" s="21" t="n"/>
      <c r="B15" s="20" t="n"/>
      <c r="C15" s="31" t="n"/>
      <c r="D15" s="46" t="n"/>
      <c r="E15" s="46" t="n"/>
      <c r="F15" s="46" t="n"/>
      <c r="G15" s="46" t="n"/>
      <c r="H15" s="46" t="n"/>
      <c r="I15" s="50">
        <f>IF(D15="","",E15/D15)</f>
        <v/>
      </c>
    </row>
    <row r="16">
      <c r="A16" s="28" t="n"/>
      <c r="B16" s="27" t="n"/>
      <c r="C16" s="32" t="n"/>
      <c r="D16" s="47" t="n"/>
      <c r="E16" s="47" t="n"/>
      <c r="F16" s="47" t="n"/>
      <c r="G16" s="47" t="n"/>
      <c r="H16" s="47" t="n"/>
      <c r="I16" s="39">
        <f>IF(D16="","",E16/D16)</f>
        <v/>
      </c>
    </row>
    <row r="17">
      <c r="A17" s="21" t="n"/>
      <c r="B17" s="20" t="n"/>
      <c r="C17" s="31" t="n"/>
      <c r="D17" s="46" t="n"/>
      <c r="E17" s="46" t="n"/>
      <c r="F17" s="46" t="n"/>
      <c r="G17" s="46" t="n"/>
      <c r="H17" s="46" t="n"/>
      <c r="I17" s="50">
        <f>IF(D17="","",E17/D17)</f>
        <v/>
      </c>
    </row>
    <row r="18">
      <c r="A18" s="28" t="n"/>
      <c r="B18" s="27" t="n"/>
      <c r="C18" s="32" t="n"/>
      <c r="D18" s="47" t="n"/>
      <c r="E18" s="47" t="n"/>
      <c r="F18" s="47" t="n"/>
      <c r="G18" s="47" t="n"/>
      <c r="H18" s="47" t="n"/>
      <c r="I18" s="39">
        <f>IF(D18="","",E18/D18)</f>
        <v/>
      </c>
    </row>
    <row r="19">
      <c r="A19" s="21" t="n"/>
      <c r="B19" s="20" t="n"/>
      <c r="C19" s="31" t="n"/>
      <c r="D19" s="46" t="n"/>
      <c r="E19" s="46" t="n"/>
      <c r="F19" s="46" t="n"/>
      <c r="G19" s="46" t="n"/>
      <c r="H19" s="46" t="n"/>
      <c r="I19" s="50">
        <f>IF(D19="","",E19/D19)</f>
        <v/>
      </c>
    </row>
    <row r="20">
      <c r="A20" s="28" t="n"/>
      <c r="B20" s="27" t="n"/>
      <c r="C20" s="32" t="n"/>
      <c r="D20" s="47" t="n"/>
      <c r="E20" s="47" t="n"/>
      <c r="F20" s="47" t="n"/>
      <c r="G20" s="47" t="n"/>
      <c r="H20" s="47" t="n"/>
      <c r="I20" s="39">
        <f>IF(D20="","",E20/D20)</f>
        <v/>
      </c>
    </row>
    <row r="21">
      <c r="A21" s="21" t="n"/>
      <c r="B21" s="20" t="n"/>
      <c r="C21" s="31" t="n"/>
      <c r="D21" s="46" t="n"/>
      <c r="E21" s="46" t="n"/>
      <c r="F21" s="46" t="n"/>
      <c r="G21" s="46" t="n"/>
      <c r="H21" s="46" t="n"/>
      <c r="I21" s="50">
        <f>IF(D21="","",E21/D21)</f>
        <v/>
      </c>
    </row>
    <row r="22">
      <c r="A22" s="28" t="n"/>
      <c r="B22" s="27" t="n"/>
      <c r="C22" s="32" t="n"/>
      <c r="D22" s="47" t="n"/>
      <c r="E22" s="47" t="n"/>
      <c r="F22" s="47" t="n"/>
      <c r="G22" s="47" t="n"/>
      <c r="H22" s="47" t="n"/>
      <c r="I22" s="39">
        <f>IF(D22="","",E22/D22)</f>
        <v/>
      </c>
    </row>
    <row r="23">
      <c r="A23" s="21" t="n"/>
      <c r="B23" s="20" t="n"/>
      <c r="C23" s="31" t="n"/>
      <c r="D23" s="46" t="n"/>
      <c r="E23" s="46" t="n"/>
      <c r="F23" s="46" t="n"/>
      <c r="G23" s="46" t="n"/>
      <c r="H23" s="46" t="n"/>
      <c r="I23" s="50">
        <f>IF(D23="","",E23/D23)</f>
        <v/>
      </c>
    </row>
    <row r="24">
      <c r="A24" s="28" t="n"/>
      <c r="B24" s="27" t="n"/>
      <c r="C24" s="32" t="n"/>
      <c r="D24" s="47" t="n"/>
      <c r="E24" s="47" t="n"/>
      <c r="F24" s="47" t="n"/>
      <c r="G24" s="47" t="n"/>
      <c r="H24" s="47" t="n"/>
      <c r="I24" s="39">
        <f>IF(D24="","",E24/D24)</f>
        <v/>
      </c>
    </row>
    <row r="25">
      <c r="A25" s="21" t="n"/>
      <c r="B25" s="20" t="n"/>
      <c r="C25" s="31" t="n"/>
      <c r="D25" s="46" t="n"/>
      <c r="E25" s="46" t="n"/>
      <c r="F25" s="46" t="n"/>
      <c r="G25" s="46" t="n"/>
      <c r="H25" s="46" t="n"/>
      <c r="I25" s="50">
        <f>IF(D25="","",E25/D25)</f>
        <v/>
      </c>
    </row>
    <row r="26">
      <c r="A26" s="28" t="n"/>
      <c r="B26" s="27" t="n"/>
      <c r="C26" s="32" t="n"/>
      <c r="D26" s="47" t="n"/>
      <c r="E26" s="47" t="n"/>
      <c r="F26" s="47" t="n"/>
      <c r="G26" s="47" t="n"/>
      <c r="H26" s="47" t="n"/>
      <c r="I26" s="39">
        <f>IF(D26="","",E26/D26)</f>
        <v/>
      </c>
    </row>
    <row r="27">
      <c r="A27" s="21" t="n"/>
      <c r="B27" s="20" t="n"/>
      <c r="C27" s="31" t="n"/>
      <c r="D27" s="46" t="n"/>
      <c r="E27" s="46" t="n"/>
      <c r="F27" s="46" t="n"/>
      <c r="G27" s="46" t="n"/>
      <c r="H27" s="46" t="n"/>
      <c r="I27" s="50">
        <f>IF(D27="","",E27/D27)</f>
        <v/>
      </c>
    </row>
    <row r="28">
      <c r="A28" s="28" t="n"/>
      <c r="B28" s="27" t="n"/>
      <c r="C28" s="32" t="n"/>
      <c r="D28" s="47" t="n"/>
      <c r="E28" s="47" t="n"/>
      <c r="F28" s="47" t="n"/>
      <c r="G28" s="47" t="n"/>
      <c r="H28" s="47" t="n"/>
      <c r="I28" s="39">
        <f>IF(D28="","",E28/D28)</f>
        <v/>
      </c>
    </row>
    <row r="29">
      <c r="A29" s="21" t="n"/>
      <c r="B29" s="20" t="n"/>
      <c r="C29" s="31" t="n"/>
      <c r="D29" s="46" t="n"/>
      <c r="E29" s="46" t="n"/>
      <c r="F29" s="46" t="n"/>
      <c r="G29" s="46" t="n"/>
      <c r="H29" s="46" t="n"/>
      <c r="I29" s="50">
        <f>IF(D29="","",E29/D29)</f>
        <v/>
      </c>
    </row>
  </sheetData>
  <mergeCells count="2">
    <mergeCell ref="A2:L2"/>
    <mergeCell ref="A1:L1"/>
  </mergeCells>
  <conditionalFormatting sqref="D5:D29">
    <cfRule type="expression" priority="1" dxfId="2">
      <formula>AND($D5&lt;&gt;"",$D5&gt;PitchLimit)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3" customWidth="1" min="4" max="4"/>
    <col width="13" customWidth="1" min="5" max="5"/>
    <col width="18" customWidth="1" min="6" max="6"/>
    <col width="11" customWidth="1" min="7" max="7"/>
    <col width="12" customWidth="1" min="8" max="8"/>
    <col width="20" customWidth="1" min="9" max="9"/>
  </cols>
  <sheetData>
    <row r="1" ht="46" customHeight="1">
      <c r="A1" s="1" t="inlineStr">
        <is>
          <t xml:space="preserve">  🏆  TOURNAMENT COMMAND CENTER</t>
        </is>
      </c>
    </row>
    <row r="2" ht="22" customHeight="1">
      <c r="A2" s="2" t="inlineStr">
        <is>
          <t xml:space="preserve">  Plan every tournament — venue, hotel, fees, schedule &amp; checklists.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Tournament</t>
        </is>
      </c>
      <c r="B4" s="7" t="inlineStr">
        <is>
          <t>Type</t>
        </is>
      </c>
      <c r="C4" s="7" t="inlineStr">
        <is>
          <t>Location</t>
        </is>
      </c>
      <c r="D4" s="7" t="inlineStr">
        <is>
          <t>Start</t>
        </is>
      </c>
      <c r="E4" s="7" t="inlineStr">
        <is>
          <t>End</t>
        </is>
      </c>
      <c r="F4" s="7" t="inlineStr">
        <is>
          <t>Hotel</t>
        </is>
      </c>
      <c r="G4" s="7" t="inlineStr">
        <is>
          <t>Entry Fee</t>
        </is>
      </c>
      <c r="H4" s="7" t="inlineStr">
        <is>
          <t>Status</t>
        </is>
      </c>
      <c r="I4" s="7" t="inlineStr">
        <is>
          <t>Notes</t>
        </is>
      </c>
    </row>
    <row r="5">
      <c r="A5" s="20" t="inlineStr">
        <is>
          <t>Summer Slam</t>
        </is>
      </c>
      <c r="B5" s="19" t="inlineStr">
        <is>
          <t>Bracket</t>
        </is>
      </c>
      <c r="C5" s="20" t="inlineStr">
        <is>
          <t>Capital City</t>
        </is>
      </c>
      <c r="D5" s="21" t="n">
        <v>46218</v>
      </c>
      <c r="E5" s="21" t="n">
        <v>46220</v>
      </c>
      <c r="F5" s="20" t="inlineStr">
        <is>
          <t>Marriott Downtown</t>
        </is>
      </c>
      <c r="G5" s="44" t="n">
        <v>450</v>
      </c>
      <c r="H5" s="19" t="inlineStr">
        <is>
          <t>Booked</t>
        </is>
      </c>
      <c r="I5" s="20" t="inlineStr">
        <is>
          <t>3 nights, 5 games</t>
        </is>
      </c>
    </row>
    <row r="6">
      <c r="A6" s="27" t="inlineStr">
        <is>
          <t>Independence Classic</t>
        </is>
      </c>
      <c r="B6" s="26" t="inlineStr">
        <is>
          <t>Pool Play</t>
        </is>
      </c>
      <c r="C6" s="27" t="inlineStr">
        <is>
          <t>Lakeside</t>
        </is>
      </c>
      <c r="D6" s="28" t="n">
        <v>46244</v>
      </c>
      <c r="E6" s="28" t="n">
        <v>46246</v>
      </c>
      <c r="F6" s="27" t="inlineStr">
        <is>
          <t>Lakeside Inn</t>
        </is>
      </c>
      <c r="G6" s="45" t="n">
        <v>400</v>
      </c>
      <c r="H6" s="26" t="inlineStr">
        <is>
          <t>Planned</t>
        </is>
      </c>
      <c r="I6" s="27" t="inlineStr">
        <is>
          <t>Need hotel</t>
        </is>
      </c>
    </row>
    <row r="7">
      <c r="A7" s="20" t="inlineStr">
        <is>
          <t>Fall Championship</t>
        </is>
      </c>
      <c r="B7" s="19" t="inlineStr">
        <is>
          <t>Championship</t>
        </is>
      </c>
      <c r="C7" s="20" t="inlineStr">
        <is>
          <t>Metro City</t>
        </is>
      </c>
      <c r="D7" s="21" t="n">
        <v>46279</v>
      </c>
      <c r="E7" s="21" t="n">
        <v>46282</v>
      </c>
      <c r="F7" s="20" t="inlineStr">
        <is>
          <t>TBD</t>
        </is>
      </c>
      <c r="G7" s="44" t="n">
        <v>500</v>
      </c>
      <c r="H7" s="19" t="inlineStr">
        <is>
          <t>Planned</t>
        </is>
      </c>
      <c r="I7" s="20" t="inlineStr"/>
    </row>
    <row r="8">
      <c r="A8" s="27" t="inlineStr">
        <is>
          <t>Labor Day Showcase</t>
        </is>
      </c>
      <c r="B8" s="26" t="inlineStr">
        <is>
          <t>Showcase</t>
        </is>
      </c>
      <c r="C8" s="27" t="inlineStr">
        <is>
          <t>Home</t>
        </is>
      </c>
      <c r="D8" s="28" t="n">
        <v>46299</v>
      </c>
      <c r="E8" s="28" t="n">
        <v>46301</v>
      </c>
      <c r="F8" s="27" t="inlineStr">
        <is>
          <t>— (home)</t>
        </is>
      </c>
      <c r="G8" s="45" t="n">
        <v>350</v>
      </c>
      <c r="H8" s="26" t="inlineStr">
        <is>
          <t>Planned</t>
        </is>
      </c>
      <c r="I8" s="27" t="inlineStr">
        <is>
          <t>No travel</t>
        </is>
      </c>
    </row>
    <row r="9">
      <c r="A9" s="20" t="n"/>
      <c r="B9" s="19" t="n"/>
      <c r="C9" s="20" t="n"/>
      <c r="D9" s="21" t="n"/>
      <c r="E9" s="21" t="n"/>
      <c r="F9" s="20" t="n"/>
      <c r="G9" s="44" t="n"/>
      <c r="H9" s="19" t="n"/>
      <c r="I9" s="20" t="n"/>
    </row>
    <row r="10">
      <c r="A10" s="27" t="n"/>
      <c r="B10" s="26" t="n"/>
      <c r="C10" s="27" t="n"/>
      <c r="D10" s="28" t="n"/>
      <c r="E10" s="28" t="n"/>
      <c r="F10" s="27" t="n"/>
      <c r="G10" s="45" t="n"/>
      <c r="H10" s="26" t="n"/>
      <c r="I10" s="27" t="n"/>
    </row>
    <row r="11">
      <c r="A11" s="20" t="n"/>
      <c r="B11" s="19" t="n"/>
      <c r="C11" s="20" t="n"/>
      <c r="D11" s="21" t="n"/>
      <c r="E11" s="21" t="n"/>
      <c r="F11" s="20" t="n"/>
      <c r="G11" s="44" t="n"/>
      <c r="H11" s="19" t="n"/>
      <c r="I11" s="20" t="n"/>
    </row>
    <row r="12">
      <c r="A12" s="27" t="n"/>
      <c r="B12" s="26" t="n"/>
      <c r="C12" s="27" t="n"/>
      <c r="D12" s="28" t="n"/>
      <c r="E12" s="28" t="n"/>
      <c r="F12" s="27" t="n"/>
      <c r="G12" s="45" t="n"/>
      <c r="H12" s="26" t="n"/>
      <c r="I12" s="27" t="n"/>
    </row>
    <row r="13">
      <c r="A13" s="20" t="n"/>
      <c r="B13" s="19" t="n"/>
      <c r="C13" s="20" t="n"/>
      <c r="D13" s="21" t="n"/>
      <c r="E13" s="21" t="n"/>
      <c r="F13" s="20" t="n"/>
      <c r="G13" s="44" t="n"/>
      <c r="H13" s="19" t="n"/>
      <c r="I13" s="20" t="n"/>
    </row>
    <row r="14">
      <c r="A14" s="27" t="n"/>
      <c r="B14" s="26" t="n"/>
      <c r="C14" s="27" t="n"/>
      <c r="D14" s="28" t="n"/>
      <c r="E14" s="28" t="n"/>
      <c r="F14" s="27" t="n"/>
      <c r="G14" s="45" t="n"/>
      <c r="H14" s="26" t="n"/>
      <c r="I14" s="27" t="n"/>
    </row>
    <row r="15">
      <c r="A15" s="20" t="n"/>
      <c r="B15" s="19" t="n"/>
      <c r="C15" s="20" t="n"/>
      <c r="D15" s="21" t="n"/>
      <c r="E15" s="21" t="n"/>
      <c r="F15" s="20" t="n"/>
      <c r="G15" s="44" t="n"/>
      <c r="H15" s="19" t="n"/>
      <c r="I15" s="20" t="n"/>
    </row>
    <row r="16">
      <c r="A16" s="27" t="n"/>
      <c r="B16" s="26" t="n"/>
      <c r="C16" s="27" t="n"/>
      <c r="D16" s="28" t="n"/>
      <c r="E16" s="28" t="n"/>
      <c r="F16" s="27" t="n"/>
      <c r="G16" s="45" t="n"/>
      <c r="H16" s="26" t="n"/>
      <c r="I16" s="27" t="n"/>
    </row>
    <row r="17">
      <c r="A17" s="20" t="n"/>
      <c r="B17" s="19" t="n"/>
      <c r="C17" s="20" t="n"/>
      <c r="D17" s="21" t="n"/>
      <c r="E17" s="21" t="n"/>
      <c r="F17" s="20" t="n"/>
      <c r="G17" s="44" t="n"/>
      <c r="H17" s="19" t="n"/>
      <c r="I17" s="20" t="n"/>
    </row>
    <row r="18">
      <c r="A18" s="27" t="n"/>
      <c r="B18" s="26" t="n"/>
      <c r="C18" s="27" t="n"/>
      <c r="D18" s="28" t="n"/>
      <c r="E18" s="28" t="n"/>
      <c r="F18" s="27" t="n"/>
      <c r="G18" s="45" t="n"/>
      <c r="H18" s="26" t="n"/>
      <c r="I18" s="27" t="n"/>
    </row>
    <row r="19">
      <c r="A19" s="20" t="n"/>
      <c r="B19" s="19" t="n"/>
      <c r="C19" s="20" t="n"/>
      <c r="D19" s="21" t="n"/>
      <c r="E19" s="21" t="n"/>
      <c r="F19" s="20" t="n"/>
      <c r="G19" s="44" t="n"/>
      <c r="H19" s="19" t="n"/>
      <c r="I19" s="20" t="n"/>
    </row>
    <row r="20">
      <c r="A20" s="27" t="n"/>
      <c r="B20" s="26" t="n"/>
      <c r="C20" s="27" t="n"/>
      <c r="D20" s="28" t="n"/>
      <c r="E20" s="28" t="n"/>
      <c r="F20" s="27" t="n"/>
      <c r="G20" s="45" t="n"/>
      <c r="H20" s="26" t="n"/>
      <c r="I20" s="27" t="n"/>
    </row>
    <row r="21">
      <c r="A21" s="20" t="n"/>
      <c r="B21" s="19" t="n"/>
      <c r="C21" s="20" t="n"/>
      <c r="D21" s="21" t="n"/>
      <c r="E21" s="21" t="n"/>
      <c r="F21" s="20" t="n"/>
      <c r="G21" s="44" t="n"/>
      <c r="H21" s="19" t="n"/>
      <c r="I21" s="20" t="n"/>
    </row>
    <row r="22">
      <c r="A22" s="27" t="n"/>
      <c r="B22" s="26" t="n"/>
      <c r="C22" s="27" t="n"/>
      <c r="D22" s="28" t="n"/>
      <c r="E22" s="28" t="n"/>
      <c r="F22" s="27" t="n"/>
      <c r="G22" s="45" t="n"/>
      <c r="H22" s="26" t="n"/>
      <c r="I22" s="27" t="n"/>
    </row>
    <row r="23">
      <c r="A23" s="20" t="n"/>
      <c r="B23" s="19" t="n"/>
      <c r="C23" s="20" t="n"/>
      <c r="D23" s="21" t="n"/>
      <c r="E23" s="21" t="n"/>
      <c r="F23" s="20" t="n"/>
      <c r="G23" s="44" t="n"/>
      <c r="H23" s="19" t="n"/>
      <c r="I23" s="20" t="n"/>
    </row>
    <row r="24">
      <c r="A24" s="27" t="n"/>
      <c r="B24" s="26" t="n"/>
      <c r="C24" s="27" t="n"/>
      <c r="D24" s="28" t="n"/>
      <c r="E24" s="28" t="n"/>
      <c r="F24" s="27" t="n"/>
      <c r="G24" s="45" t="n"/>
      <c r="H24" s="26" t="n"/>
      <c r="I24" s="27" t="n"/>
    </row>
    <row r="25">
      <c r="A25" s="20" t="n"/>
      <c r="B25" s="19" t="n"/>
      <c r="C25" s="20" t="n"/>
      <c r="D25" s="21" t="n"/>
      <c r="E25" s="21" t="n"/>
      <c r="F25" s="20" t="n"/>
      <c r="G25" s="44" t="n"/>
      <c r="H25" s="19" t="n"/>
      <c r="I25" s="20" t="n"/>
    </row>
    <row r="26">
      <c r="A26" s="27" t="n"/>
      <c r="B26" s="26" t="n"/>
      <c r="C26" s="27" t="n"/>
      <c r="D26" s="28" t="n"/>
      <c r="E26" s="28" t="n"/>
      <c r="F26" s="27" t="n"/>
      <c r="G26" s="45" t="n"/>
      <c r="H26" s="26" t="n"/>
      <c r="I26" s="27" t="n"/>
    </row>
    <row r="27">
      <c r="A27" s="20" t="n"/>
      <c r="B27" s="19" t="n"/>
      <c r="C27" s="20" t="n"/>
      <c r="D27" s="21" t="n"/>
      <c r="E27" s="21" t="n"/>
      <c r="F27" s="20" t="n"/>
      <c r="G27" s="44" t="n"/>
      <c r="H27" s="19" t="n"/>
      <c r="I27" s="20" t="n"/>
    </row>
    <row r="28">
      <c r="A28" s="27" t="n"/>
      <c r="B28" s="26" t="n"/>
      <c r="C28" s="27" t="n"/>
      <c r="D28" s="28" t="n"/>
      <c r="E28" s="28" t="n"/>
      <c r="F28" s="27" t="n"/>
      <c r="G28" s="45" t="n"/>
      <c r="H28" s="26" t="n"/>
      <c r="I28" s="27" t="n"/>
    </row>
    <row r="29">
      <c r="A29" s="20" t="n"/>
      <c r="B29" s="19" t="n"/>
      <c r="C29" s="20" t="n"/>
      <c r="D29" s="21" t="n"/>
      <c r="E29" s="21" t="n"/>
      <c r="F29" s="20" t="n"/>
      <c r="G29" s="44" t="n"/>
      <c r="H29" s="19" t="n"/>
      <c r="I29" s="20" t="n"/>
    </row>
    <row r="30">
      <c r="A30" s="27" t="n"/>
      <c r="B30" s="26" t="n"/>
      <c r="C30" s="27" t="n"/>
      <c r="D30" s="28" t="n"/>
      <c r="E30" s="28" t="n"/>
      <c r="F30" s="27" t="n"/>
      <c r="G30" s="45" t="n"/>
      <c r="H30" s="26" t="n"/>
      <c r="I30" s="27" t="n"/>
    </row>
    <row r="31">
      <c r="A31" s="20" t="n"/>
      <c r="B31" s="19" t="n"/>
      <c r="C31" s="20" t="n"/>
      <c r="D31" s="21" t="n"/>
      <c r="E31" s="21" t="n"/>
      <c r="F31" s="20" t="n"/>
      <c r="G31" s="44" t="n"/>
      <c r="H31" s="19" t="n"/>
      <c r="I31" s="20" t="n"/>
    </row>
    <row r="32">
      <c r="A32" s="27" t="n"/>
      <c r="B32" s="26" t="n"/>
      <c r="C32" s="27" t="n"/>
      <c r="D32" s="28" t="n"/>
      <c r="E32" s="28" t="n"/>
      <c r="F32" s="27" t="n"/>
      <c r="G32" s="45" t="n"/>
      <c r="H32" s="26" t="n"/>
      <c r="I32" s="27" t="n"/>
    </row>
    <row r="33">
      <c r="A33" s="20" t="n"/>
      <c r="B33" s="19" t="n"/>
      <c r="C33" s="20" t="n"/>
      <c r="D33" s="21" t="n"/>
      <c r="E33" s="21" t="n"/>
      <c r="F33" s="20" t="n"/>
      <c r="G33" s="44" t="n"/>
      <c r="H33" s="19" t="n"/>
      <c r="I33" s="20" t="n"/>
    </row>
    <row r="34">
      <c r="A34" s="27" t="n"/>
      <c r="B34" s="26" t="n"/>
      <c r="C34" s="27" t="n"/>
      <c r="D34" s="28" t="n"/>
      <c r="E34" s="28" t="n"/>
      <c r="F34" s="27" t="n"/>
      <c r="G34" s="45" t="n"/>
      <c r="H34" s="26" t="n"/>
      <c r="I34" s="27" t="n"/>
    </row>
  </sheetData>
  <mergeCells count="2">
    <mergeCell ref="A1:I1"/>
    <mergeCell ref="A2:I2"/>
  </mergeCells>
  <dataValidations count="1">
    <dataValidation sqref="B5:B34" showDropDown="0" showInputMessage="0" showErrorMessage="0" allowBlank="1" type="list">
      <formula1>=TourneyTypeList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4" customWidth="1" min="12" max="12"/>
    <col width="12" customWidth="1" min="13" max="13"/>
  </cols>
  <sheetData>
    <row r="1" ht="46" customHeight="1">
      <c r="A1" s="1" t="inlineStr">
        <is>
          <t xml:space="preserve">  ✈  TRAVEL PLANNER</t>
        </is>
      </c>
    </row>
    <row r="2" ht="22" customHeight="1">
      <c r="A2" s="2" t="inlineStr">
        <is>
          <t xml:space="preserve">  Track miles, fuel, tolls &amp; lodging for every road trip — costs total themselves.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Trip</t>
        </is>
      </c>
      <c r="B4" s="7" t="inlineStr">
        <is>
          <t>Mode</t>
        </is>
      </c>
      <c r="C4" s="7" t="inlineStr">
        <is>
          <t>Date</t>
        </is>
      </c>
      <c r="D4" s="7" t="inlineStr">
        <is>
          <t>Destination</t>
        </is>
      </c>
      <c r="E4" s="7" t="inlineStr">
        <is>
          <t>Miles</t>
        </is>
      </c>
      <c r="F4" s="7" t="inlineStr">
        <is>
          <t>Fuel</t>
        </is>
      </c>
      <c r="G4" s="7" t="inlineStr">
        <is>
          <t>Tolls</t>
        </is>
      </c>
      <c r="H4" s="7" t="inlineStr">
        <is>
          <t>Parking</t>
        </is>
      </c>
      <c r="I4" s="7" t="inlineStr">
        <is>
          <t>Lodging</t>
        </is>
      </c>
      <c r="J4" s="7" t="inlineStr">
        <is>
          <t>Status</t>
        </is>
      </c>
      <c r="L4" s="4" t="inlineStr">
        <is>
          <t>TOTALS</t>
        </is>
      </c>
    </row>
    <row r="5">
      <c r="A5" s="20" t="inlineStr">
        <is>
          <t>Summer Slam</t>
        </is>
      </c>
      <c r="B5" s="19" t="inlineStr">
        <is>
          <t>Drive</t>
        </is>
      </c>
      <c r="C5" s="21" t="n">
        <v>46218</v>
      </c>
      <c r="D5" s="20" t="inlineStr">
        <is>
          <t>Capital City</t>
        </is>
      </c>
      <c r="E5" s="46" t="n">
        <v>240</v>
      </c>
      <c r="F5" s="44" t="n">
        <v>105</v>
      </c>
      <c r="G5" s="44" t="n">
        <v>45</v>
      </c>
      <c r="H5" s="44" t="n">
        <v>20</v>
      </c>
      <c r="I5" s="44" t="n">
        <v>720</v>
      </c>
      <c r="J5" s="19" t="inlineStr">
        <is>
          <t>Booked</t>
        </is>
      </c>
      <c r="L5" s="17" t="inlineStr">
        <is>
          <t>Total miles</t>
        </is>
      </c>
      <c r="M5" s="52">
        <f>SUM(TravelMiles)</f>
        <v/>
      </c>
    </row>
    <row r="6">
      <c r="A6" s="27" t="inlineStr">
        <is>
          <t>Cobras @ North</t>
        </is>
      </c>
      <c r="B6" s="26" t="inlineStr">
        <is>
          <t>Drive</t>
        </is>
      </c>
      <c r="C6" s="28" t="n">
        <v>46213</v>
      </c>
      <c r="D6" s="27" t="inlineStr">
        <is>
          <t>North Diamond</t>
        </is>
      </c>
      <c r="E6" s="47" t="n">
        <v>55</v>
      </c>
      <c r="F6" s="45" t="n">
        <v>24</v>
      </c>
      <c r="G6" s="45" t="n">
        <v>8</v>
      </c>
      <c r="H6" s="45" t="n">
        <v>0</v>
      </c>
      <c r="I6" s="45" t="n">
        <v>0</v>
      </c>
      <c r="J6" s="26" t="inlineStr">
        <is>
          <t>Planned</t>
        </is>
      </c>
      <c r="L6" s="17" t="inlineStr">
        <is>
          <t>Fuel + tolls</t>
        </is>
      </c>
      <c r="M6" s="36">
        <f>SUM(TravelFuel)+SUM(Travel!G5:G44)</f>
        <v/>
      </c>
    </row>
    <row r="7">
      <c r="A7" s="20" t="inlineStr">
        <is>
          <t>Independence Classic</t>
        </is>
      </c>
      <c r="B7" s="19" t="inlineStr">
        <is>
          <t>Drive</t>
        </is>
      </c>
      <c r="C7" s="21" t="n">
        <v>46244</v>
      </c>
      <c r="D7" s="20" t="inlineStr">
        <is>
          <t>Lakeside</t>
        </is>
      </c>
      <c r="E7" s="46" t="n">
        <v>190</v>
      </c>
      <c r="F7" s="44" t="n">
        <v>82</v>
      </c>
      <c r="G7" s="44" t="n">
        <v>30</v>
      </c>
      <c r="H7" s="44" t="n">
        <v>15</v>
      </c>
      <c r="I7" s="44" t="n">
        <v>360</v>
      </c>
      <c r="J7" s="19" t="inlineStr">
        <is>
          <t>Planned</t>
        </is>
      </c>
      <c r="L7" s="17" t="inlineStr">
        <is>
          <t>Lodging</t>
        </is>
      </c>
      <c r="M7" s="36">
        <f>SUM(TravelLodging)</f>
        <v/>
      </c>
    </row>
    <row r="8">
      <c r="A8" s="27" t="inlineStr">
        <is>
          <t>Fall Championship</t>
        </is>
      </c>
      <c r="B8" s="26" t="inlineStr">
        <is>
          <t>Fly</t>
        </is>
      </c>
      <c r="C8" s="28" t="n">
        <v>46279</v>
      </c>
      <c r="D8" s="27" t="inlineStr">
        <is>
          <t>Metro City</t>
        </is>
      </c>
      <c r="E8" s="47" t="n">
        <v>0</v>
      </c>
      <c r="F8" s="45" t="n">
        <v>0</v>
      </c>
      <c r="G8" s="45" t="n">
        <v>55</v>
      </c>
      <c r="H8" s="45" t="n">
        <v>0</v>
      </c>
      <c r="I8" s="45" t="n">
        <v>640</v>
      </c>
      <c r="J8" s="26" t="inlineStr">
        <is>
          <t>Planned</t>
        </is>
      </c>
      <c r="L8" s="17" t="inlineStr">
        <is>
          <t>Trip cost</t>
        </is>
      </c>
      <c r="M8" s="36">
        <f>SUM(Travel!F5:I44)</f>
        <v/>
      </c>
    </row>
    <row r="9">
      <c r="A9" s="20" t="n"/>
      <c r="B9" s="19" t="n"/>
      <c r="C9" s="21" t="n"/>
      <c r="D9" s="20" t="n"/>
      <c r="E9" s="46" t="n"/>
      <c r="F9" s="44" t="n"/>
      <c r="G9" s="44" t="n"/>
      <c r="H9" s="44" t="n"/>
      <c r="I9" s="44" t="n"/>
      <c r="J9" s="19" t="n"/>
    </row>
    <row r="10">
      <c r="A10" s="27" t="n"/>
      <c r="B10" s="26" t="n"/>
      <c r="C10" s="28" t="n"/>
      <c r="D10" s="27" t="n"/>
      <c r="E10" s="47" t="n"/>
      <c r="F10" s="45" t="n"/>
      <c r="G10" s="45" t="n"/>
      <c r="H10" s="45" t="n"/>
      <c r="I10" s="45" t="n"/>
      <c r="J10" s="26" t="n"/>
    </row>
    <row r="11">
      <c r="A11" s="20" t="n"/>
      <c r="B11" s="19" t="n"/>
      <c r="C11" s="21" t="n"/>
      <c r="D11" s="20" t="n"/>
      <c r="E11" s="46" t="n"/>
      <c r="F11" s="44" t="n"/>
      <c r="G11" s="44" t="n"/>
      <c r="H11" s="44" t="n"/>
      <c r="I11" s="44" t="n"/>
      <c r="J11" s="19" t="n"/>
    </row>
    <row r="12">
      <c r="A12" s="27" t="n"/>
      <c r="B12" s="26" t="n"/>
      <c r="C12" s="28" t="n"/>
      <c r="D12" s="27" t="n"/>
      <c r="E12" s="47" t="n"/>
      <c r="F12" s="45" t="n"/>
      <c r="G12" s="45" t="n"/>
      <c r="H12" s="45" t="n"/>
      <c r="I12" s="45" t="n"/>
      <c r="J12" s="26" t="n"/>
    </row>
    <row r="13">
      <c r="A13" s="20" t="n"/>
      <c r="B13" s="19" t="n"/>
      <c r="C13" s="21" t="n"/>
      <c r="D13" s="20" t="n"/>
      <c r="E13" s="46" t="n"/>
      <c r="F13" s="44" t="n"/>
      <c r="G13" s="44" t="n"/>
      <c r="H13" s="44" t="n"/>
      <c r="I13" s="44" t="n"/>
      <c r="J13" s="19" t="n"/>
    </row>
    <row r="14">
      <c r="A14" s="27" t="n"/>
      <c r="B14" s="26" t="n"/>
      <c r="C14" s="28" t="n"/>
      <c r="D14" s="27" t="n"/>
      <c r="E14" s="47" t="n"/>
      <c r="F14" s="45" t="n"/>
      <c r="G14" s="45" t="n"/>
      <c r="H14" s="45" t="n"/>
      <c r="I14" s="45" t="n"/>
      <c r="J14" s="26" t="n"/>
    </row>
    <row r="15">
      <c r="A15" s="20" t="n"/>
      <c r="B15" s="19" t="n"/>
      <c r="C15" s="21" t="n"/>
      <c r="D15" s="20" t="n"/>
      <c r="E15" s="46" t="n"/>
      <c r="F15" s="44" t="n"/>
      <c r="G15" s="44" t="n"/>
      <c r="H15" s="44" t="n"/>
      <c r="I15" s="44" t="n"/>
      <c r="J15" s="19" t="n"/>
    </row>
    <row r="16">
      <c r="A16" s="27" t="n"/>
      <c r="B16" s="26" t="n"/>
      <c r="C16" s="28" t="n"/>
      <c r="D16" s="27" t="n"/>
      <c r="E16" s="47" t="n"/>
      <c r="F16" s="45" t="n"/>
      <c r="G16" s="45" t="n"/>
      <c r="H16" s="45" t="n"/>
      <c r="I16" s="45" t="n"/>
      <c r="J16" s="26" t="n"/>
    </row>
    <row r="17">
      <c r="A17" s="20" t="n"/>
      <c r="B17" s="19" t="n"/>
      <c r="C17" s="21" t="n"/>
      <c r="D17" s="20" t="n"/>
      <c r="E17" s="46" t="n"/>
      <c r="F17" s="44" t="n"/>
      <c r="G17" s="44" t="n"/>
      <c r="H17" s="44" t="n"/>
      <c r="I17" s="44" t="n"/>
      <c r="J17" s="19" t="n"/>
    </row>
    <row r="18">
      <c r="A18" s="27" t="n"/>
      <c r="B18" s="26" t="n"/>
      <c r="C18" s="28" t="n"/>
      <c r="D18" s="27" t="n"/>
      <c r="E18" s="47" t="n"/>
      <c r="F18" s="45" t="n"/>
      <c r="G18" s="45" t="n"/>
      <c r="H18" s="45" t="n"/>
      <c r="I18" s="45" t="n"/>
      <c r="J18" s="26" t="n"/>
    </row>
    <row r="19">
      <c r="A19" s="20" t="n"/>
      <c r="B19" s="19" t="n"/>
      <c r="C19" s="21" t="n"/>
      <c r="D19" s="20" t="n"/>
      <c r="E19" s="46" t="n"/>
      <c r="F19" s="44" t="n"/>
      <c r="G19" s="44" t="n"/>
      <c r="H19" s="44" t="n"/>
      <c r="I19" s="44" t="n"/>
      <c r="J19" s="19" t="n"/>
    </row>
    <row r="20">
      <c r="A20" s="27" t="n"/>
      <c r="B20" s="26" t="n"/>
      <c r="C20" s="28" t="n"/>
      <c r="D20" s="27" t="n"/>
      <c r="E20" s="47" t="n"/>
      <c r="F20" s="45" t="n"/>
      <c r="G20" s="45" t="n"/>
      <c r="H20" s="45" t="n"/>
      <c r="I20" s="45" t="n"/>
      <c r="J20" s="26" t="n"/>
    </row>
    <row r="21">
      <c r="A21" s="20" t="n"/>
      <c r="B21" s="19" t="n"/>
      <c r="C21" s="21" t="n"/>
      <c r="D21" s="20" t="n"/>
      <c r="E21" s="46" t="n"/>
      <c r="F21" s="44" t="n"/>
      <c r="G21" s="44" t="n"/>
      <c r="H21" s="44" t="n"/>
      <c r="I21" s="44" t="n"/>
      <c r="J21" s="19" t="n"/>
    </row>
    <row r="22">
      <c r="A22" s="27" t="n"/>
      <c r="B22" s="26" t="n"/>
      <c r="C22" s="28" t="n"/>
      <c r="D22" s="27" t="n"/>
      <c r="E22" s="47" t="n"/>
      <c r="F22" s="45" t="n"/>
      <c r="G22" s="45" t="n"/>
      <c r="H22" s="45" t="n"/>
      <c r="I22" s="45" t="n"/>
      <c r="J22" s="26" t="n"/>
    </row>
    <row r="23">
      <c r="A23" s="20" t="n"/>
      <c r="B23" s="19" t="n"/>
      <c r="C23" s="21" t="n"/>
      <c r="D23" s="20" t="n"/>
      <c r="E23" s="46" t="n"/>
      <c r="F23" s="44" t="n"/>
      <c r="G23" s="44" t="n"/>
      <c r="H23" s="44" t="n"/>
      <c r="I23" s="44" t="n"/>
      <c r="J23" s="19" t="n"/>
    </row>
    <row r="24">
      <c r="A24" s="27" t="n"/>
      <c r="B24" s="26" t="n"/>
      <c r="C24" s="28" t="n"/>
      <c r="D24" s="27" t="n"/>
      <c r="E24" s="47" t="n"/>
      <c r="F24" s="45" t="n"/>
      <c r="G24" s="45" t="n"/>
      <c r="H24" s="45" t="n"/>
      <c r="I24" s="45" t="n"/>
      <c r="J24" s="26" t="n"/>
    </row>
    <row r="25">
      <c r="A25" s="20" t="n"/>
      <c r="B25" s="19" t="n"/>
      <c r="C25" s="21" t="n"/>
      <c r="D25" s="20" t="n"/>
      <c r="E25" s="46" t="n"/>
      <c r="F25" s="44" t="n"/>
      <c r="G25" s="44" t="n"/>
      <c r="H25" s="44" t="n"/>
      <c r="I25" s="44" t="n"/>
      <c r="J25" s="19" t="n"/>
    </row>
    <row r="26">
      <c r="A26" s="27" t="n"/>
      <c r="B26" s="26" t="n"/>
      <c r="C26" s="28" t="n"/>
      <c r="D26" s="27" t="n"/>
      <c r="E26" s="47" t="n"/>
      <c r="F26" s="45" t="n"/>
      <c r="G26" s="45" t="n"/>
      <c r="H26" s="45" t="n"/>
      <c r="I26" s="45" t="n"/>
      <c r="J26" s="26" t="n"/>
    </row>
    <row r="27">
      <c r="A27" s="20" t="n"/>
      <c r="B27" s="19" t="n"/>
      <c r="C27" s="21" t="n"/>
      <c r="D27" s="20" t="n"/>
      <c r="E27" s="46" t="n"/>
      <c r="F27" s="44" t="n"/>
      <c r="G27" s="44" t="n"/>
      <c r="H27" s="44" t="n"/>
      <c r="I27" s="44" t="n"/>
      <c r="J27" s="19" t="n"/>
    </row>
    <row r="28">
      <c r="A28" s="27" t="n"/>
      <c r="B28" s="26" t="n"/>
      <c r="C28" s="28" t="n"/>
      <c r="D28" s="27" t="n"/>
      <c r="E28" s="47" t="n"/>
      <c r="F28" s="45" t="n"/>
      <c r="G28" s="45" t="n"/>
      <c r="H28" s="45" t="n"/>
      <c r="I28" s="45" t="n"/>
      <c r="J28" s="26" t="n"/>
    </row>
    <row r="29">
      <c r="A29" s="20" t="n"/>
      <c r="B29" s="19" t="n"/>
      <c r="C29" s="21" t="n"/>
      <c r="D29" s="20" t="n"/>
      <c r="E29" s="46" t="n"/>
      <c r="F29" s="44" t="n"/>
      <c r="G29" s="44" t="n"/>
      <c r="H29" s="44" t="n"/>
      <c r="I29" s="44" t="n"/>
      <c r="J29" s="19" t="n"/>
    </row>
    <row r="30">
      <c r="A30" s="27" t="n"/>
      <c r="B30" s="26" t="n"/>
      <c r="C30" s="28" t="n"/>
      <c r="D30" s="27" t="n"/>
      <c r="E30" s="47" t="n"/>
      <c r="F30" s="45" t="n"/>
      <c r="G30" s="45" t="n"/>
      <c r="H30" s="45" t="n"/>
      <c r="I30" s="45" t="n"/>
      <c r="J30" s="26" t="n"/>
    </row>
    <row r="31">
      <c r="A31" s="20" t="n"/>
      <c r="B31" s="19" t="n"/>
      <c r="C31" s="21" t="n"/>
      <c r="D31" s="20" t="n"/>
      <c r="E31" s="46" t="n"/>
      <c r="F31" s="44" t="n"/>
      <c r="G31" s="44" t="n"/>
      <c r="H31" s="44" t="n"/>
      <c r="I31" s="44" t="n"/>
      <c r="J31" s="19" t="n"/>
    </row>
    <row r="32">
      <c r="A32" s="27" t="n"/>
      <c r="B32" s="26" t="n"/>
      <c r="C32" s="28" t="n"/>
      <c r="D32" s="27" t="n"/>
      <c r="E32" s="47" t="n"/>
      <c r="F32" s="45" t="n"/>
      <c r="G32" s="45" t="n"/>
      <c r="H32" s="45" t="n"/>
      <c r="I32" s="45" t="n"/>
      <c r="J32" s="26" t="n"/>
    </row>
    <row r="33">
      <c r="A33" s="20" t="n"/>
      <c r="B33" s="19" t="n"/>
      <c r="C33" s="21" t="n"/>
      <c r="D33" s="20" t="n"/>
      <c r="E33" s="46" t="n"/>
      <c r="F33" s="44" t="n"/>
      <c r="G33" s="44" t="n"/>
      <c r="H33" s="44" t="n"/>
      <c r="I33" s="44" t="n"/>
      <c r="J33" s="19" t="n"/>
    </row>
    <row r="34">
      <c r="A34" s="27" t="n"/>
      <c r="B34" s="26" t="n"/>
      <c r="C34" s="28" t="n"/>
      <c r="D34" s="27" t="n"/>
      <c r="E34" s="47" t="n"/>
      <c r="F34" s="45" t="n"/>
      <c r="G34" s="45" t="n"/>
      <c r="H34" s="45" t="n"/>
      <c r="I34" s="45" t="n"/>
      <c r="J34" s="26" t="n"/>
    </row>
    <row r="35">
      <c r="A35" s="20" t="n"/>
      <c r="B35" s="19" t="n"/>
      <c r="C35" s="21" t="n"/>
      <c r="D35" s="20" t="n"/>
      <c r="E35" s="46" t="n"/>
      <c r="F35" s="44" t="n"/>
      <c r="G35" s="44" t="n"/>
      <c r="H35" s="44" t="n"/>
      <c r="I35" s="44" t="n"/>
      <c r="J35" s="19" t="n"/>
    </row>
    <row r="36">
      <c r="A36" s="27" t="n"/>
      <c r="B36" s="26" t="n"/>
      <c r="C36" s="28" t="n"/>
      <c r="D36" s="27" t="n"/>
      <c r="E36" s="47" t="n"/>
      <c r="F36" s="45" t="n"/>
      <c r="G36" s="45" t="n"/>
      <c r="H36" s="45" t="n"/>
      <c r="I36" s="45" t="n"/>
      <c r="J36" s="26" t="n"/>
    </row>
    <row r="37">
      <c r="A37" s="20" t="n"/>
      <c r="B37" s="19" t="n"/>
      <c r="C37" s="21" t="n"/>
      <c r="D37" s="20" t="n"/>
      <c r="E37" s="46" t="n"/>
      <c r="F37" s="44" t="n"/>
      <c r="G37" s="44" t="n"/>
      <c r="H37" s="44" t="n"/>
      <c r="I37" s="44" t="n"/>
      <c r="J37" s="19" t="n"/>
    </row>
    <row r="38">
      <c r="A38" s="27" t="n"/>
      <c r="B38" s="26" t="n"/>
      <c r="C38" s="28" t="n"/>
      <c r="D38" s="27" t="n"/>
      <c r="E38" s="47" t="n"/>
      <c r="F38" s="45" t="n"/>
      <c r="G38" s="45" t="n"/>
      <c r="H38" s="45" t="n"/>
      <c r="I38" s="45" t="n"/>
      <c r="J38" s="26" t="n"/>
    </row>
    <row r="39">
      <c r="A39" s="20" t="n"/>
      <c r="B39" s="19" t="n"/>
      <c r="C39" s="21" t="n"/>
      <c r="D39" s="20" t="n"/>
      <c r="E39" s="46" t="n"/>
      <c r="F39" s="44" t="n"/>
      <c r="G39" s="44" t="n"/>
      <c r="H39" s="44" t="n"/>
      <c r="I39" s="44" t="n"/>
      <c r="J39" s="19" t="n"/>
    </row>
    <row r="40">
      <c r="A40" s="27" t="n"/>
      <c r="B40" s="26" t="n"/>
      <c r="C40" s="28" t="n"/>
      <c r="D40" s="27" t="n"/>
      <c r="E40" s="47" t="n"/>
      <c r="F40" s="45" t="n"/>
      <c r="G40" s="45" t="n"/>
      <c r="H40" s="45" t="n"/>
      <c r="I40" s="45" t="n"/>
      <c r="J40" s="26" t="n"/>
    </row>
    <row r="41">
      <c r="A41" s="20" t="n"/>
      <c r="B41" s="19" t="n"/>
      <c r="C41" s="21" t="n"/>
      <c r="D41" s="20" t="n"/>
      <c r="E41" s="46" t="n"/>
      <c r="F41" s="44" t="n"/>
      <c r="G41" s="44" t="n"/>
      <c r="H41" s="44" t="n"/>
      <c r="I41" s="44" t="n"/>
      <c r="J41" s="19" t="n"/>
    </row>
    <row r="42">
      <c r="A42" s="27" t="n"/>
      <c r="B42" s="26" t="n"/>
      <c r="C42" s="28" t="n"/>
      <c r="D42" s="27" t="n"/>
      <c r="E42" s="47" t="n"/>
      <c r="F42" s="45" t="n"/>
      <c r="G42" s="45" t="n"/>
      <c r="H42" s="45" t="n"/>
      <c r="I42" s="45" t="n"/>
      <c r="J42" s="26" t="n"/>
    </row>
    <row r="43">
      <c r="A43" s="20" t="n"/>
      <c r="B43" s="19" t="n"/>
      <c r="C43" s="21" t="n"/>
      <c r="D43" s="20" t="n"/>
      <c r="E43" s="46" t="n"/>
      <c r="F43" s="44" t="n"/>
      <c r="G43" s="44" t="n"/>
      <c r="H43" s="44" t="n"/>
      <c r="I43" s="44" t="n"/>
      <c r="J43" s="19" t="n"/>
    </row>
    <row r="44">
      <c r="A44" s="27" t="n"/>
      <c r="B44" s="26" t="n"/>
      <c r="C44" s="28" t="n"/>
      <c r="D44" s="27" t="n"/>
      <c r="E44" s="47" t="n"/>
      <c r="F44" s="45" t="n"/>
      <c r="G44" s="45" t="n"/>
      <c r="H44" s="45" t="n"/>
      <c r="I44" s="45" t="n"/>
      <c r="J44" s="26" t="n"/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8" customWidth="1" min="4" max="4"/>
    <col width="16" customWidth="1" min="5" max="5"/>
    <col width="22" customWidth="1" min="6" max="6"/>
    <col width="13" customWidth="1" min="7" max="7"/>
    <col width="16" customWidth="1" min="8" max="8"/>
  </cols>
  <sheetData>
    <row r="1" ht="46" customHeight="1">
      <c r="A1" s="1" t="inlineStr">
        <is>
          <t xml:space="preserve">  📋  TEAM ROSTER</t>
        </is>
      </c>
    </row>
    <row r="2" ht="22" customHeight="1">
      <c r="A2" s="2" t="inlineStr">
        <is>
          <t xml:space="preserve">  The whole team in one directory — players, parents, contacts &amp; volunteer roles.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#</t>
        </is>
      </c>
      <c r="B4" s="7" t="inlineStr">
        <is>
          <t>Player</t>
        </is>
      </c>
      <c r="C4" s="7" t="inlineStr">
        <is>
          <t>Position</t>
        </is>
      </c>
      <c r="D4" s="7" t="inlineStr">
        <is>
          <t>Parent</t>
        </is>
      </c>
      <c r="E4" s="7" t="inlineStr">
        <is>
          <t>Phone</t>
        </is>
      </c>
      <c r="F4" s="7" t="inlineStr">
        <is>
          <t>Email</t>
        </is>
      </c>
      <c r="G4" s="7" t="inlineStr">
        <is>
          <t>Birthday</t>
        </is>
      </c>
      <c r="H4" s="7" t="inlineStr">
        <is>
          <t>Volunteer Role</t>
        </is>
      </c>
    </row>
    <row r="5">
      <c r="A5" s="46" t="n">
        <v>7</v>
      </c>
      <c r="B5" s="20" t="inlineStr">
        <is>
          <t>Cody Reyes</t>
        </is>
      </c>
      <c r="C5" s="19" t="inlineStr">
        <is>
          <t>SS</t>
        </is>
      </c>
      <c r="D5" s="20" t="inlineStr">
        <is>
          <t>Dana Reyes</t>
        </is>
      </c>
      <c r="E5" s="19" t="inlineStr">
        <is>
          <t>(555) 210-7788</t>
        </is>
      </c>
      <c r="F5" s="20" t="inlineStr">
        <is>
          <t>dreyes@email.com</t>
        </is>
      </c>
      <c r="G5" s="21" t="n">
        <v>41402</v>
      </c>
      <c r="H5" s="20" t="inlineStr">
        <is>
          <t>Team Parent</t>
        </is>
      </c>
    </row>
    <row r="6">
      <c r="A6" s="47" t="n">
        <v>12</v>
      </c>
      <c r="B6" s="27" t="inlineStr">
        <is>
          <t>Mason Webb</t>
        </is>
      </c>
      <c r="C6" s="26" t="inlineStr">
        <is>
          <t>P / 1B</t>
        </is>
      </c>
      <c r="D6" s="27" t="inlineStr">
        <is>
          <t>Luke Webb</t>
        </is>
      </c>
      <c r="E6" s="26" t="inlineStr">
        <is>
          <t>(555) 332-1190</t>
        </is>
      </c>
      <c r="F6" s="27" t="inlineStr">
        <is>
          <t>lwebb@email.com</t>
        </is>
      </c>
      <c r="G6" s="28" t="n">
        <v>41324</v>
      </c>
      <c r="H6" s="27" t="inlineStr">
        <is>
          <t>Pitch Count</t>
        </is>
      </c>
    </row>
    <row r="7">
      <c r="A7" s="46" t="n">
        <v>3</v>
      </c>
      <c r="B7" s="20" t="inlineStr">
        <is>
          <t>Diego Ruiz</t>
        </is>
      </c>
      <c r="C7" s="19" t="inlineStr">
        <is>
          <t>2B</t>
        </is>
      </c>
      <c r="D7" s="20" t="inlineStr">
        <is>
          <t>Ana Ruiz</t>
        </is>
      </c>
      <c r="E7" s="19" t="inlineStr">
        <is>
          <t>(555) 778-3300</t>
        </is>
      </c>
      <c r="F7" s="20" t="inlineStr">
        <is>
          <t>aruiz@email.com</t>
        </is>
      </c>
      <c r="G7" s="21" t="n">
        <v>41518</v>
      </c>
      <c r="H7" s="20" t="inlineStr">
        <is>
          <t>Scorekeeper</t>
        </is>
      </c>
    </row>
    <row r="8">
      <c r="A8" s="47" t="n">
        <v>22</v>
      </c>
      <c r="B8" s="27" t="inlineStr">
        <is>
          <t>Eli Carter</t>
        </is>
      </c>
      <c r="C8" s="26" t="inlineStr">
        <is>
          <t>C</t>
        </is>
      </c>
      <c r="D8" s="27" t="inlineStr">
        <is>
          <t>Sam Carter</t>
        </is>
      </c>
      <c r="E8" s="26" t="inlineStr">
        <is>
          <t>(555) 909-2020</t>
        </is>
      </c>
      <c r="F8" s="27" t="inlineStr">
        <is>
          <t>scarter@email.com</t>
        </is>
      </c>
      <c r="G8" s="28" t="n">
        <v>41243</v>
      </c>
      <c r="H8" s="27" t="inlineStr">
        <is>
          <t>Dugout Helper</t>
        </is>
      </c>
    </row>
    <row r="9">
      <c r="A9" s="46" t="n">
        <v>9</v>
      </c>
      <c r="B9" s="20" t="inlineStr">
        <is>
          <t>Noah Kim</t>
        </is>
      </c>
      <c r="C9" s="19" t="inlineStr">
        <is>
          <t>CF</t>
        </is>
      </c>
      <c r="D9" s="20" t="inlineStr">
        <is>
          <t>Grace Kim</t>
        </is>
      </c>
      <c r="E9" s="19" t="inlineStr">
        <is>
          <t>(555) 661-2048</t>
        </is>
      </c>
      <c r="F9" s="20" t="inlineStr">
        <is>
          <t>gkim@email.com</t>
        </is>
      </c>
      <c r="G9" s="21" t="n">
        <v>41439</v>
      </c>
      <c r="H9" s="20" t="inlineStr">
        <is>
          <t>Snack</t>
        </is>
      </c>
    </row>
    <row r="10">
      <c r="A10" s="47" t="n">
        <v>15</v>
      </c>
      <c r="B10" s="27" t="inlineStr">
        <is>
          <t>Owen Bell</t>
        </is>
      </c>
      <c r="C10" s="26" t="inlineStr">
        <is>
          <t>3B</t>
        </is>
      </c>
      <c r="D10" s="27" t="inlineStr">
        <is>
          <t>Pat Bell</t>
        </is>
      </c>
      <c r="E10" s="26" t="inlineStr">
        <is>
          <t>(555) 443-7766</t>
        </is>
      </c>
      <c r="F10" s="27" t="inlineStr">
        <is>
          <t>pbell@email.com</t>
        </is>
      </c>
      <c r="G10" s="28" t="n">
        <v>41367</v>
      </c>
      <c r="H10" s="27" t="inlineStr">
        <is>
          <t>Field Prep</t>
        </is>
      </c>
    </row>
    <row r="11">
      <c r="A11" s="46" t="n"/>
      <c r="B11" s="20" t="n"/>
      <c r="C11" s="19" t="n"/>
      <c r="D11" s="20" t="n"/>
      <c r="E11" s="19" t="n"/>
      <c r="F11" s="20" t="n"/>
      <c r="G11" s="21" t="n"/>
      <c r="H11" s="20" t="n"/>
    </row>
    <row r="12">
      <c r="A12" s="47" t="n"/>
      <c r="B12" s="27" t="n"/>
      <c r="C12" s="26" t="n"/>
      <c r="D12" s="27" t="n"/>
      <c r="E12" s="26" t="n"/>
      <c r="F12" s="27" t="n"/>
      <c r="G12" s="28" t="n"/>
      <c r="H12" s="27" t="n"/>
    </row>
    <row r="13">
      <c r="A13" s="46" t="n"/>
      <c r="B13" s="20" t="n"/>
      <c r="C13" s="19" t="n"/>
      <c r="D13" s="20" t="n"/>
      <c r="E13" s="19" t="n"/>
      <c r="F13" s="20" t="n"/>
      <c r="G13" s="21" t="n"/>
      <c r="H13" s="20" t="n"/>
    </row>
    <row r="14">
      <c r="A14" s="47" t="n"/>
      <c r="B14" s="27" t="n"/>
      <c r="C14" s="26" t="n"/>
      <c r="D14" s="27" t="n"/>
      <c r="E14" s="26" t="n"/>
      <c r="F14" s="27" t="n"/>
      <c r="G14" s="28" t="n"/>
      <c r="H14" s="27" t="n"/>
    </row>
    <row r="15">
      <c r="A15" s="46" t="n"/>
      <c r="B15" s="20" t="n"/>
      <c r="C15" s="19" t="n"/>
      <c r="D15" s="20" t="n"/>
      <c r="E15" s="19" t="n"/>
      <c r="F15" s="20" t="n"/>
      <c r="G15" s="21" t="n"/>
      <c r="H15" s="20" t="n"/>
    </row>
    <row r="16">
      <c r="A16" s="47" t="n"/>
      <c r="B16" s="27" t="n"/>
      <c r="C16" s="26" t="n"/>
      <c r="D16" s="27" t="n"/>
      <c r="E16" s="26" t="n"/>
      <c r="F16" s="27" t="n"/>
      <c r="G16" s="28" t="n"/>
      <c r="H16" s="27" t="n"/>
    </row>
    <row r="17">
      <c r="A17" s="46" t="n"/>
      <c r="B17" s="20" t="n"/>
      <c r="C17" s="19" t="n"/>
      <c r="D17" s="20" t="n"/>
      <c r="E17" s="19" t="n"/>
      <c r="F17" s="20" t="n"/>
      <c r="G17" s="21" t="n"/>
      <c r="H17" s="20" t="n"/>
    </row>
    <row r="18">
      <c r="A18" s="47" t="n"/>
      <c r="B18" s="27" t="n"/>
      <c r="C18" s="26" t="n"/>
      <c r="D18" s="27" t="n"/>
      <c r="E18" s="26" t="n"/>
      <c r="F18" s="27" t="n"/>
      <c r="G18" s="28" t="n"/>
      <c r="H18" s="27" t="n"/>
    </row>
    <row r="19">
      <c r="A19" s="46" t="n"/>
      <c r="B19" s="20" t="n"/>
      <c r="C19" s="19" t="n"/>
      <c r="D19" s="20" t="n"/>
      <c r="E19" s="19" t="n"/>
      <c r="F19" s="20" t="n"/>
      <c r="G19" s="21" t="n"/>
      <c r="H19" s="20" t="n"/>
    </row>
    <row r="20">
      <c r="A20" s="47" t="n"/>
      <c r="B20" s="27" t="n"/>
      <c r="C20" s="26" t="n"/>
      <c r="D20" s="27" t="n"/>
      <c r="E20" s="26" t="n"/>
      <c r="F20" s="27" t="n"/>
      <c r="G20" s="28" t="n"/>
      <c r="H20" s="27" t="n"/>
    </row>
    <row r="21">
      <c r="A21" s="46" t="n"/>
      <c r="B21" s="20" t="n"/>
      <c r="C21" s="19" t="n"/>
      <c r="D21" s="20" t="n"/>
      <c r="E21" s="19" t="n"/>
      <c r="F21" s="20" t="n"/>
      <c r="G21" s="21" t="n"/>
      <c r="H21" s="20" t="n"/>
    </row>
    <row r="22">
      <c r="A22" s="47" t="n"/>
      <c r="B22" s="27" t="n"/>
      <c r="C22" s="26" t="n"/>
      <c r="D22" s="27" t="n"/>
      <c r="E22" s="26" t="n"/>
      <c r="F22" s="27" t="n"/>
      <c r="G22" s="28" t="n"/>
      <c r="H22" s="27" t="n"/>
    </row>
    <row r="23">
      <c r="A23" s="46" t="n"/>
      <c r="B23" s="20" t="n"/>
      <c r="C23" s="19" t="n"/>
      <c r="D23" s="20" t="n"/>
      <c r="E23" s="19" t="n"/>
      <c r="F23" s="20" t="n"/>
      <c r="G23" s="21" t="n"/>
      <c r="H23" s="20" t="n"/>
    </row>
    <row r="24">
      <c r="A24" s="47" t="n"/>
      <c r="B24" s="27" t="n"/>
      <c r="C24" s="26" t="n"/>
      <c r="D24" s="27" t="n"/>
      <c r="E24" s="26" t="n"/>
      <c r="F24" s="27" t="n"/>
      <c r="G24" s="28" t="n"/>
      <c r="H24" s="27" t="n"/>
    </row>
    <row r="25">
      <c r="A25" s="46" t="n"/>
      <c r="B25" s="20" t="n"/>
      <c r="C25" s="19" t="n"/>
      <c r="D25" s="20" t="n"/>
      <c r="E25" s="19" t="n"/>
      <c r="F25" s="20" t="n"/>
      <c r="G25" s="21" t="n"/>
      <c r="H25" s="20" t="n"/>
    </row>
    <row r="26">
      <c r="A26" s="47" t="n"/>
      <c r="B26" s="27" t="n"/>
      <c r="C26" s="26" t="n"/>
      <c r="D26" s="27" t="n"/>
      <c r="E26" s="26" t="n"/>
      <c r="F26" s="27" t="n"/>
      <c r="G26" s="28" t="n"/>
      <c r="H26" s="27" t="n"/>
    </row>
    <row r="27">
      <c r="A27" s="46" t="n"/>
      <c r="B27" s="20" t="n"/>
      <c r="C27" s="19" t="n"/>
      <c r="D27" s="20" t="n"/>
      <c r="E27" s="19" t="n"/>
      <c r="F27" s="20" t="n"/>
      <c r="G27" s="21" t="n"/>
      <c r="H27" s="20" t="n"/>
    </row>
    <row r="28">
      <c r="A28" s="47" t="n"/>
      <c r="B28" s="27" t="n"/>
      <c r="C28" s="26" t="n"/>
      <c r="D28" s="27" t="n"/>
      <c r="E28" s="26" t="n"/>
      <c r="F28" s="27" t="n"/>
      <c r="G28" s="28" t="n"/>
      <c r="H28" s="27" t="n"/>
    </row>
    <row r="29">
      <c r="A29" s="46" t="n"/>
      <c r="B29" s="20" t="n"/>
      <c r="C29" s="19" t="n"/>
      <c r="D29" s="20" t="n"/>
      <c r="E29" s="19" t="n"/>
      <c r="F29" s="20" t="n"/>
      <c r="G29" s="21" t="n"/>
      <c r="H29" s="20" t="n"/>
    </row>
    <row r="30">
      <c r="A30" s="47" t="n"/>
      <c r="B30" s="27" t="n"/>
      <c r="C30" s="26" t="n"/>
      <c r="D30" s="27" t="n"/>
      <c r="E30" s="26" t="n"/>
      <c r="F30" s="27" t="n"/>
      <c r="G30" s="28" t="n"/>
      <c r="H30" s="27" t="n"/>
    </row>
    <row r="31">
      <c r="A31" s="46" t="n"/>
      <c r="B31" s="20" t="n"/>
      <c r="C31" s="19" t="n"/>
      <c r="D31" s="20" t="n"/>
      <c r="E31" s="19" t="n"/>
      <c r="F31" s="20" t="n"/>
      <c r="G31" s="21" t="n"/>
      <c r="H31" s="20" t="n"/>
    </row>
    <row r="32">
      <c r="A32" s="47" t="n"/>
      <c r="B32" s="27" t="n"/>
      <c r="C32" s="26" t="n"/>
      <c r="D32" s="27" t="n"/>
      <c r="E32" s="26" t="n"/>
      <c r="F32" s="27" t="n"/>
      <c r="G32" s="28" t="n"/>
      <c r="H32" s="27" t="n"/>
    </row>
    <row r="33">
      <c r="A33" s="46" t="n"/>
      <c r="B33" s="20" t="n"/>
      <c r="C33" s="19" t="n"/>
      <c r="D33" s="20" t="n"/>
      <c r="E33" s="19" t="n"/>
      <c r="F33" s="20" t="n"/>
      <c r="G33" s="21" t="n"/>
      <c r="H33" s="20" t="n"/>
    </row>
    <row r="34">
      <c r="A34" s="47" t="n"/>
      <c r="B34" s="27" t="n"/>
      <c r="C34" s="26" t="n"/>
      <c r="D34" s="27" t="n"/>
      <c r="E34" s="26" t="n"/>
      <c r="F34" s="27" t="n"/>
      <c r="G34" s="28" t="n"/>
      <c r="H34" s="27" t="n"/>
    </row>
    <row r="35">
      <c r="A35" s="46" t="n"/>
      <c r="B35" s="20" t="n"/>
      <c r="C35" s="19" t="n"/>
      <c r="D35" s="20" t="n"/>
      <c r="E35" s="19" t="n"/>
      <c r="F35" s="20" t="n"/>
      <c r="G35" s="21" t="n"/>
      <c r="H35" s="20" t="n"/>
    </row>
    <row r="36">
      <c r="A36" s="47" t="n"/>
      <c r="B36" s="27" t="n"/>
      <c r="C36" s="26" t="n"/>
      <c r="D36" s="27" t="n"/>
      <c r="E36" s="26" t="n"/>
      <c r="F36" s="27" t="n"/>
      <c r="G36" s="28" t="n"/>
      <c r="H36" s="27" t="n"/>
    </row>
    <row r="37">
      <c r="A37" s="46" t="n"/>
      <c r="B37" s="20" t="n"/>
      <c r="C37" s="19" t="n"/>
      <c r="D37" s="20" t="n"/>
      <c r="E37" s="19" t="n"/>
      <c r="F37" s="20" t="n"/>
      <c r="G37" s="21" t="n"/>
      <c r="H37" s="20" t="n"/>
    </row>
    <row r="38">
      <c r="A38" s="47" t="n"/>
      <c r="B38" s="27" t="n"/>
      <c r="C38" s="26" t="n"/>
      <c r="D38" s="27" t="n"/>
      <c r="E38" s="26" t="n"/>
      <c r="F38" s="27" t="n"/>
      <c r="G38" s="28" t="n"/>
      <c r="H38" s="27" t="n"/>
    </row>
    <row r="39">
      <c r="A39" s="46" t="n"/>
      <c r="B39" s="20" t="n"/>
      <c r="C39" s="19" t="n"/>
      <c r="D39" s="20" t="n"/>
      <c r="E39" s="19" t="n"/>
      <c r="F39" s="20" t="n"/>
      <c r="G39" s="21" t="n"/>
      <c r="H39" s="20" t="n"/>
    </row>
    <row r="40">
      <c r="A40" s="47" t="n"/>
      <c r="B40" s="27" t="n"/>
      <c r="C40" s="26" t="n"/>
      <c r="D40" s="27" t="n"/>
      <c r="E40" s="26" t="n"/>
      <c r="F40" s="27" t="n"/>
      <c r="G40" s="28" t="n"/>
      <c r="H40" s="27" t="n"/>
    </row>
    <row r="41">
      <c r="A41" s="46" t="n"/>
      <c r="B41" s="20" t="n"/>
      <c r="C41" s="19" t="n"/>
      <c r="D41" s="20" t="n"/>
      <c r="E41" s="19" t="n"/>
      <c r="F41" s="20" t="n"/>
      <c r="G41" s="21" t="n"/>
      <c r="H41" s="20" t="n"/>
    </row>
    <row r="42">
      <c r="A42" s="47" t="n"/>
      <c r="B42" s="27" t="n"/>
      <c r="C42" s="26" t="n"/>
      <c r="D42" s="27" t="n"/>
      <c r="E42" s="26" t="n"/>
      <c r="F42" s="27" t="n"/>
      <c r="G42" s="28" t="n"/>
      <c r="H42" s="27" t="n"/>
    </row>
    <row r="43">
      <c r="A43" s="46" t="n"/>
      <c r="B43" s="20" t="n"/>
      <c r="C43" s="19" t="n"/>
      <c r="D43" s="20" t="n"/>
      <c r="E43" s="19" t="n"/>
      <c r="F43" s="20" t="n"/>
      <c r="G43" s="21" t="n"/>
      <c r="H43" s="20" t="n"/>
    </row>
    <row r="44">
      <c r="A44" s="47" t="n"/>
      <c r="B44" s="27" t="n"/>
      <c r="C44" s="26" t="n"/>
      <c r="D44" s="27" t="n"/>
      <c r="E44" s="26" t="n"/>
      <c r="F44" s="27" t="n"/>
      <c r="G44" s="28" t="n"/>
      <c r="H44" s="27" t="n"/>
    </row>
  </sheetData>
  <mergeCells count="2">
    <mergeCell ref="A2:H2"/>
    <mergeCell ref="A1:H1"/>
  </mergeCells>
  <dataValidations count="2">
    <dataValidation sqref="C5:C44" showDropDown="0" showInputMessage="0" showErrorMessage="0" allowBlank="1" type="list">
      <formula1>=PositionList</formula1>
    </dataValidation>
    <dataValidation sqref="H5:H44" showDropDown="0" showInputMessage="0" showErrorMessage="0" allowBlank="1" type="list">
      <formula1>=VolRoleList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6" customWidth="1" min="4" max="4"/>
    <col width="10" customWidth="1" min="5" max="5"/>
    <col width="10" customWidth="1" min="6" max="6"/>
    <col width="24" customWidth="1" min="7" max="7"/>
    <col width="16" customWidth="1" min="9" max="9"/>
    <col width="10" customWidth="1" min="10" max="10"/>
  </cols>
  <sheetData>
    <row r="1" ht="46" customHeight="1">
      <c r="A1" s="1" t="inlineStr">
        <is>
          <t xml:space="preserve">  🙋  SNACK &amp; VOLUNTEER SCHEDULE</t>
        </is>
      </c>
    </row>
    <row r="2" ht="22" customHeight="1">
      <c r="A2" s="2" t="inlineStr">
        <is>
          <t xml:space="preserve">  Coordinate snack, scorekeeping, pitch count &amp; team-parent duties — hours roll up.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Game / Event</t>
        </is>
      </c>
      <c r="C4" s="7" t="inlineStr">
        <is>
          <t>Family</t>
        </is>
      </c>
      <c r="D4" s="7" t="inlineStr">
        <is>
          <t>Role</t>
        </is>
      </c>
      <c r="E4" s="7" t="inlineStr">
        <is>
          <t>Hours</t>
        </is>
      </c>
      <c r="F4" s="7" t="inlineStr">
        <is>
          <t>Done?</t>
        </is>
      </c>
      <c r="G4" s="7" t="inlineStr">
        <is>
          <t>Notes</t>
        </is>
      </c>
      <c r="I4" s="4" t="inlineStr">
        <is>
          <t>TOTALS</t>
        </is>
      </c>
    </row>
    <row r="5">
      <c r="A5" s="21" t="n">
        <v>46206</v>
      </c>
      <c r="B5" s="20" t="inlineStr">
        <is>
          <t>vs Bandits</t>
        </is>
      </c>
      <c r="C5" s="20" t="inlineStr">
        <is>
          <t>Reyes</t>
        </is>
      </c>
      <c r="D5" s="19" t="inlineStr">
        <is>
          <t>Snack</t>
        </is>
      </c>
      <c r="E5" s="46" t="n">
        <v>2</v>
      </c>
      <c r="F5" s="19" t="inlineStr">
        <is>
          <t>No</t>
        </is>
      </c>
      <c r="G5" s="20" t="inlineStr">
        <is>
          <t>Orange slices + water</t>
        </is>
      </c>
      <c r="I5" s="17" t="inlineStr">
        <is>
          <t>Volunteer hours</t>
        </is>
      </c>
      <c r="J5" s="18">
        <f>SUM(VolHours)</f>
        <v/>
      </c>
    </row>
    <row r="6">
      <c r="A6" s="28" t="n">
        <v>46209</v>
      </c>
      <c r="B6" s="27" t="inlineStr">
        <is>
          <t>vs Rockets</t>
        </is>
      </c>
      <c r="C6" s="27" t="inlineStr">
        <is>
          <t>Webb</t>
        </is>
      </c>
      <c r="D6" s="26" t="inlineStr">
        <is>
          <t>Scorekeeper</t>
        </is>
      </c>
      <c r="E6" s="47" t="n">
        <v>2</v>
      </c>
      <c r="F6" s="26" t="inlineStr">
        <is>
          <t>No</t>
        </is>
      </c>
      <c r="G6" s="27" t="inlineStr"/>
      <c r="I6" s="17" t="inlineStr">
        <is>
          <t>Open slots</t>
        </is>
      </c>
      <c r="J6" s="18">
        <f>COUNTIF(VolDone,"No")</f>
        <v/>
      </c>
    </row>
    <row r="7">
      <c r="A7" s="21" t="n">
        <v>46213</v>
      </c>
      <c r="B7" s="20" t="inlineStr">
        <is>
          <t>vs Cobras</t>
        </is>
      </c>
      <c r="C7" s="20" t="inlineStr">
        <is>
          <t>Ruiz</t>
        </is>
      </c>
      <c r="D7" s="19" t="inlineStr">
        <is>
          <t>Pitch Count</t>
        </is>
      </c>
      <c r="E7" s="46" t="n">
        <v>2</v>
      </c>
      <c r="F7" s="19" t="inlineStr">
        <is>
          <t>No</t>
        </is>
      </c>
      <c r="G7" s="20" t="inlineStr"/>
    </row>
    <row r="8">
      <c r="A8" s="28" t="n">
        <v>46216</v>
      </c>
      <c r="B8" s="27" t="inlineStr">
        <is>
          <t>vs Storm</t>
        </is>
      </c>
      <c r="C8" s="27" t="inlineStr">
        <is>
          <t>Kim</t>
        </is>
      </c>
      <c r="D8" s="26" t="inlineStr">
        <is>
          <t>Snack</t>
        </is>
      </c>
      <c r="E8" s="47" t="n">
        <v>2</v>
      </c>
      <c r="F8" s="26" t="inlineStr">
        <is>
          <t>No</t>
        </is>
      </c>
      <c r="G8" s="27" t="inlineStr">
        <is>
          <t>Open — sign up</t>
        </is>
      </c>
    </row>
    <row r="9">
      <c r="A9" s="21" t="n">
        <v>46218</v>
      </c>
      <c r="B9" s="20" t="inlineStr">
        <is>
          <t>Summer Slam</t>
        </is>
      </c>
      <c r="C9" s="20" t="inlineStr">
        <is>
          <t>Bell</t>
        </is>
      </c>
      <c r="D9" s="19" t="inlineStr">
        <is>
          <t>Dugout Helper</t>
        </is>
      </c>
      <c r="E9" s="46" t="n">
        <v>6</v>
      </c>
      <c r="F9" s="19" t="inlineStr">
        <is>
          <t>No</t>
        </is>
      </c>
      <c r="G9" s="20" t="inlineStr">
        <is>
          <t>Tournament</t>
        </is>
      </c>
    </row>
    <row r="10">
      <c r="A10" s="28" t="n">
        <v>46201</v>
      </c>
      <c r="B10" s="27" t="inlineStr">
        <is>
          <t>vs Titans</t>
        </is>
      </c>
      <c r="C10" s="27" t="inlineStr">
        <is>
          <t>Carter</t>
        </is>
      </c>
      <c r="D10" s="26" t="inlineStr">
        <is>
          <t>Snack</t>
        </is>
      </c>
      <c r="E10" s="47" t="n">
        <v>2</v>
      </c>
      <c r="F10" s="26" t="inlineStr">
        <is>
          <t>Yes</t>
        </is>
      </c>
      <c r="G10" s="27" t="inlineStr">
        <is>
          <t>Done</t>
        </is>
      </c>
    </row>
    <row r="11">
      <c r="A11" s="21" t="n">
        <v>46198</v>
      </c>
      <c r="B11" s="20" t="inlineStr">
        <is>
          <t>vs Rockets</t>
        </is>
      </c>
      <c r="C11" s="20" t="inlineStr">
        <is>
          <t>Reyes</t>
        </is>
      </c>
      <c r="D11" s="19" t="inlineStr">
        <is>
          <t>Field Prep</t>
        </is>
      </c>
      <c r="E11" s="46" t="n">
        <v>2</v>
      </c>
      <c r="F11" s="19" t="inlineStr">
        <is>
          <t>Yes</t>
        </is>
      </c>
      <c r="G11" s="20" t="inlineStr">
        <is>
          <t>Done</t>
        </is>
      </c>
    </row>
    <row r="12">
      <c r="A12" s="28" t="n"/>
      <c r="B12" s="27" t="n"/>
      <c r="C12" s="27" t="n"/>
      <c r="D12" s="26" t="n"/>
      <c r="E12" s="47" t="n"/>
      <c r="F12" s="26" t="n"/>
      <c r="G12" s="27" t="n"/>
    </row>
    <row r="13">
      <c r="A13" s="21" t="n"/>
      <c r="B13" s="20" t="n"/>
      <c r="C13" s="20" t="n"/>
      <c r="D13" s="19" t="n"/>
      <c r="E13" s="46" t="n"/>
      <c r="F13" s="19" t="n"/>
      <c r="G13" s="20" t="n"/>
    </row>
    <row r="14">
      <c r="A14" s="28" t="n"/>
      <c r="B14" s="27" t="n"/>
      <c r="C14" s="27" t="n"/>
      <c r="D14" s="26" t="n"/>
      <c r="E14" s="47" t="n"/>
      <c r="F14" s="26" t="n"/>
      <c r="G14" s="27" t="n"/>
    </row>
    <row r="15">
      <c r="A15" s="21" t="n"/>
      <c r="B15" s="20" t="n"/>
      <c r="C15" s="20" t="n"/>
      <c r="D15" s="19" t="n"/>
      <c r="E15" s="46" t="n"/>
      <c r="F15" s="19" t="n"/>
      <c r="G15" s="20" t="n"/>
    </row>
    <row r="16">
      <c r="A16" s="28" t="n"/>
      <c r="B16" s="27" t="n"/>
      <c r="C16" s="27" t="n"/>
      <c r="D16" s="26" t="n"/>
      <c r="E16" s="47" t="n"/>
      <c r="F16" s="26" t="n"/>
      <c r="G16" s="27" t="n"/>
    </row>
    <row r="17">
      <c r="A17" s="21" t="n"/>
      <c r="B17" s="20" t="n"/>
      <c r="C17" s="20" t="n"/>
      <c r="D17" s="19" t="n"/>
      <c r="E17" s="46" t="n"/>
      <c r="F17" s="19" t="n"/>
      <c r="G17" s="20" t="n"/>
    </row>
    <row r="18">
      <c r="A18" s="28" t="n"/>
      <c r="B18" s="27" t="n"/>
      <c r="C18" s="27" t="n"/>
      <c r="D18" s="26" t="n"/>
      <c r="E18" s="47" t="n"/>
      <c r="F18" s="26" t="n"/>
      <c r="G18" s="27" t="n"/>
    </row>
    <row r="19">
      <c r="A19" s="21" t="n"/>
      <c r="B19" s="20" t="n"/>
      <c r="C19" s="20" t="n"/>
      <c r="D19" s="19" t="n"/>
      <c r="E19" s="46" t="n"/>
      <c r="F19" s="19" t="n"/>
      <c r="G19" s="20" t="n"/>
    </row>
    <row r="20">
      <c r="A20" s="28" t="n"/>
      <c r="B20" s="27" t="n"/>
      <c r="C20" s="27" t="n"/>
      <c r="D20" s="26" t="n"/>
      <c r="E20" s="47" t="n"/>
      <c r="F20" s="26" t="n"/>
      <c r="G20" s="27" t="n"/>
    </row>
    <row r="21">
      <c r="A21" s="21" t="n"/>
      <c r="B21" s="20" t="n"/>
      <c r="C21" s="20" t="n"/>
      <c r="D21" s="19" t="n"/>
      <c r="E21" s="46" t="n"/>
      <c r="F21" s="19" t="n"/>
      <c r="G21" s="20" t="n"/>
    </row>
    <row r="22">
      <c r="A22" s="28" t="n"/>
      <c r="B22" s="27" t="n"/>
      <c r="C22" s="27" t="n"/>
      <c r="D22" s="26" t="n"/>
      <c r="E22" s="47" t="n"/>
      <c r="F22" s="26" t="n"/>
      <c r="G22" s="27" t="n"/>
    </row>
    <row r="23">
      <c r="A23" s="21" t="n"/>
      <c r="B23" s="20" t="n"/>
      <c r="C23" s="20" t="n"/>
      <c r="D23" s="19" t="n"/>
      <c r="E23" s="46" t="n"/>
      <c r="F23" s="19" t="n"/>
      <c r="G23" s="20" t="n"/>
    </row>
    <row r="24">
      <c r="A24" s="28" t="n"/>
      <c r="B24" s="27" t="n"/>
      <c r="C24" s="27" t="n"/>
      <c r="D24" s="26" t="n"/>
      <c r="E24" s="47" t="n"/>
      <c r="F24" s="26" t="n"/>
      <c r="G24" s="27" t="n"/>
    </row>
    <row r="25">
      <c r="A25" s="21" t="n"/>
      <c r="B25" s="20" t="n"/>
      <c r="C25" s="20" t="n"/>
      <c r="D25" s="19" t="n"/>
      <c r="E25" s="46" t="n"/>
      <c r="F25" s="19" t="n"/>
      <c r="G25" s="20" t="n"/>
    </row>
    <row r="26">
      <c r="A26" s="28" t="n"/>
      <c r="B26" s="27" t="n"/>
      <c r="C26" s="27" t="n"/>
      <c r="D26" s="26" t="n"/>
      <c r="E26" s="47" t="n"/>
      <c r="F26" s="26" t="n"/>
      <c r="G26" s="27" t="n"/>
    </row>
    <row r="27">
      <c r="A27" s="21" t="n"/>
      <c r="B27" s="20" t="n"/>
      <c r="C27" s="20" t="n"/>
      <c r="D27" s="19" t="n"/>
      <c r="E27" s="46" t="n"/>
      <c r="F27" s="19" t="n"/>
      <c r="G27" s="20" t="n"/>
    </row>
    <row r="28">
      <c r="A28" s="28" t="n"/>
      <c r="B28" s="27" t="n"/>
      <c r="C28" s="27" t="n"/>
      <c r="D28" s="26" t="n"/>
      <c r="E28" s="47" t="n"/>
      <c r="F28" s="26" t="n"/>
      <c r="G28" s="27" t="n"/>
    </row>
    <row r="29">
      <c r="A29" s="21" t="n"/>
      <c r="B29" s="20" t="n"/>
      <c r="C29" s="20" t="n"/>
      <c r="D29" s="19" t="n"/>
      <c r="E29" s="46" t="n"/>
      <c r="F29" s="19" t="n"/>
      <c r="G29" s="20" t="n"/>
    </row>
    <row r="30">
      <c r="A30" s="28" t="n"/>
      <c r="B30" s="27" t="n"/>
      <c r="C30" s="27" t="n"/>
      <c r="D30" s="26" t="n"/>
      <c r="E30" s="47" t="n"/>
      <c r="F30" s="26" t="n"/>
      <c r="G30" s="27" t="n"/>
    </row>
    <row r="31">
      <c r="A31" s="21" t="n"/>
      <c r="B31" s="20" t="n"/>
      <c r="C31" s="20" t="n"/>
      <c r="D31" s="19" t="n"/>
      <c r="E31" s="46" t="n"/>
      <c r="F31" s="19" t="n"/>
      <c r="G31" s="20" t="n"/>
    </row>
    <row r="32">
      <c r="A32" s="28" t="n"/>
      <c r="B32" s="27" t="n"/>
      <c r="C32" s="27" t="n"/>
      <c r="D32" s="26" t="n"/>
      <c r="E32" s="47" t="n"/>
      <c r="F32" s="26" t="n"/>
      <c r="G32" s="27" t="n"/>
    </row>
    <row r="33">
      <c r="A33" s="21" t="n"/>
      <c r="B33" s="20" t="n"/>
      <c r="C33" s="20" t="n"/>
      <c r="D33" s="19" t="n"/>
      <c r="E33" s="46" t="n"/>
      <c r="F33" s="19" t="n"/>
      <c r="G33" s="20" t="n"/>
    </row>
    <row r="34">
      <c r="A34" s="28" t="n"/>
      <c r="B34" s="27" t="n"/>
      <c r="C34" s="27" t="n"/>
      <c r="D34" s="26" t="n"/>
      <c r="E34" s="47" t="n"/>
      <c r="F34" s="26" t="n"/>
      <c r="G34" s="27" t="n"/>
    </row>
    <row r="35">
      <c r="A35" s="21" t="n"/>
      <c r="B35" s="20" t="n"/>
      <c r="C35" s="20" t="n"/>
      <c r="D35" s="19" t="n"/>
      <c r="E35" s="46" t="n"/>
      <c r="F35" s="19" t="n"/>
      <c r="G35" s="20" t="n"/>
    </row>
    <row r="36">
      <c r="A36" s="28" t="n"/>
      <c r="B36" s="27" t="n"/>
      <c r="C36" s="27" t="n"/>
      <c r="D36" s="26" t="n"/>
      <c r="E36" s="47" t="n"/>
      <c r="F36" s="26" t="n"/>
      <c r="G36" s="27" t="n"/>
    </row>
    <row r="37">
      <c r="A37" s="21" t="n"/>
      <c r="B37" s="20" t="n"/>
      <c r="C37" s="20" t="n"/>
      <c r="D37" s="19" t="n"/>
      <c r="E37" s="46" t="n"/>
      <c r="F37" s="19" t="n"/>
      <c r="G37" s="20" t="n"/>
    </row>
    <row r="38">
      <c r="A38" s="28" t="n"/>
      <c r="B38" s="27" t="n"/>
      <c r="C38" s="27" t="n"/>
      <c r="D38" s="26" t="n"/>
      <c r="E38" s="47" t="n"/>
      <c r="F38" s="26" t="n"/>
      <c r="G38" s="27" t="n"/>
    </row>
    <row r="39">
      <c r="A39" s="21" t="n"/>
      <c r="B39" s="20" t="n"/>
      <c r="C39" s="20" t="n"/>
      <c r="D39" s="19" t="n"/>
      <c r="E39" s="46" t="n"/>
      <c r="F39" s="19" t="n"/>
      <c r="G39" s="20" t="n"/>
    </row>
    <row r="40">
      <c r="A40" s="28" t="n"/>
      <c r="B40" s="27" t="n"/>
      <c r="C40" s="27" t="n"/>
      <c r="D40" s="26" t="n"/>
      <c r="E40" s="47" t="n"/>
      <c r="F40" s="26" t="n"/>
      <c r="G40" s="27" t="n"/>
    </row>
    <row r="41">
      <c r="A41" s="21" t="n"/>
      <c r="B41" s="20" t="n"/>
      <c r="C41" s="20" t="n"/>
      <c r="D41" s="19" t="n"/>
      <c r="E41" s="46" t="n"/>
      <c r="F41" s="19" t="n"/>
      <c r="G41" s="20" t="n"/>
    </row>
    <row r="42">
      <c r="A42" s="28" t="n"/>
      <c r="B42" s="27" t="n"/>
      <c r="C42" s="27" t="n"/>
      <c r="D42" s="26" t="n"/>
      <c r="E42" s="47" t="n"/>
      <c r="F42" s="26" t="n"/>
      <c r="G42" s="27" t="n"/>
    </row>
    <row r="43">
      <c r="A43" s="21" t="n"/>
      <c r="B43" s="20" t="n"/>
      <c r="C43" s="20" t="n"/>
      <c r="D43" s="19" t="n"/>
      <c r="E43" s="46" t="n"/>
      <c r="F43" s="19" t="n"/>
      <c r="G43" s="20" t="n"/>
    </row>
    <row r="44">
      <c r="A44" s="28" t="n"/>
      <c r="B44" s="27" t="n"/>
      <c r="C44" s="27" t="n"/>
      <c r="D44" s="26" t="n"/>
      <c r="E44" s="47" t="n"/>
      <c r="F44" s="26" t="n"/>
      <c r="G44" s="27" t="n"/>
    </row>
  </sheetData>
  <mergeCells count="2">
    <mergeCell ref="A2:G2"/>
    <mergeCell ref="A1:G1"/>
  </mergeCells>
  <conditionalFormatting sqref="F5:F44">
    <cfRule type="cellIs" priority="1" operator="equal" dxfId="0">
      <formula>"No"</formula>
    </cfRule>
  </conditionalFormatting>
  <dataValidations count="2">
    <dataValidation sqref="D5:D44" showDropDown="0" showInputMessage="0" showErrorMessage="0" allowBlank="1" type="list">
      <formula1>=VolRoleList</formula1>
    </dataValidation>
    <dataValidation sqref="F5:F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0" customWidth="1" min="4" max="4"/>
    <col width="28" customWidth="1" min="5" max="5"/>
  </cols>
  <sheetData>
    <row r="1" ht="46" customHeight="1">
      <c r="A1" s="1" t="inlineStr">
        <is>
          <t xml:space="preserve">  📈  PLAYER DEVELOPMENT</t>
        </is>
      </c>
    </row>
    <row r="2" ht="22" customHeight="1">
      <c r="A2" s="2" t="inlineStr">
        <is>
          <t xml:space="preserve">  Rate each skill, track progress and capture coach feedback all season.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Skill</t>
        </is>
      </c>
      <c r="B4" s="7" t="inlineStr">
        <is>
          <t>Level</t>
        </is>
      </c>
      <c r="C4" s="7" t="inlineStr">
        <is>
          <t>Progress</t>
        </is>
      </c>
      <c r="D4" s="7" t="inlineStr">
        <is>
          <t>Coach Feedback</t>
        </is>
      </c>
      <c r="E4" s="7" t="inlineStr">
        <is>
          <t>Next Focus</t>
        </is>
      </c>
    </row>
    <row r="5">
      <c r="A5" s="19" t="inlineStr">
        <is>
          <t>Hitting</t>
        </is>
      </c>
      <c r="B5" s="19" t="inlineStr">
        <is>
          <t>Strong</t>
        </is>
      </c>
      <c r="C5" s="50" t="n">
        <v>0.72</v>
      </c>
      <c r="D5" s="20" t="inlineStr">
        <is>
          <t>Great contact</t>
        </is>
      </c>
      <c r="E5" s="20" t="inlineStr">
        <is>
          <t>Drive the ball more</t>
        </is>
      </c>
    </row>
    <row r="6">
      <c r="A6" s="26" t="inlineStr">
        <is>
          <t>Fielding</t>
        </is>
      </c>
      <c r="B6" s="26" t="inlineStr">
        <is>
          <t>Strong</t>
        </is>
      </c>
      <c r="C6" s="39" t="n">
        <v>0.7</v>
      </c>
      <c r="D6" s="27" t="inlineStr">
        <is>
          <t>Soft hands at SS</t>
        </is>
      </c>
      <c r="E6" s="27" t="inlineStr">
        <is>
          <t>Quicker transfer</t>
        </is>
      </c>
    </row>
    <row r="7">
      <c r="A7" s="19" t="inlineStr">
        <is>
          <t>Throwing</t>
        </is>
      </c>
      <c r="B7" s="19" t="inlineStr">
        <is>
          <t>Average</t>
        </is>
      </c>
      <c r="C7" s="50" t="n">
        <v>0.58</v>
      </c>
      <c r="D7" s="20" t="inlineStr">
        <is>
          <t>Accurate</t>
        </is>
      </c>
      <c r="E7" s="20" t="inlineStr">
        <is>
          <t>Add arm strength</t>
        </is>
      </c>
    </row>
    <row r="8">
      <c r="A8" s="26" t="inlineStr">
        <is>
          <t>Base Running</t>
        </is>
      </c>
      <c r="B8" s="26" t="inlineStr">
        <is>
          <t>Strong</t>
        </is>
      </c>
      <c r="C8" s="39" t="n">
        <v>0.75</v>
      </c>
      <c r="D8" s="27" t="inlineStr">
        <is>
          <t>Reads pitchers well</t>
        </is>
      </c>
      <c r="E8" s="27" t="inlineStr">
        <is>
          <t>First-step quickness</t>
        </is>
      </c>
    </row>
    <row r="9">
      <c r="A9" s="19" t="inlineStr">
        <is>
          <t>Speed</t>
        </is>
      </c>
      <c r="B9" s="19" t="inlineStr">
        <is>
          <t>Average</t>
        </is>
      </c>
      <c r="C9" s="50" t="n">
        <v>0.55</v>
      </c>
      <c r="D9" s="20" t="inlineStr">
        <is>
          <t>Solid home-to-first</t>
        </is>
      </c>
      <c r="E9" s="20" t="inlineStr">
        <is>
          <t>Sprint work</t>
        </is>
      </c>
    </row>
    <row r="10">
      <c r="A10" s="26" t="inlineStr">
        <is>
          <t>Agility</t>
        </is>
      </c>
      <c r="B10" s="26" t="inlineStr">
        <is>
          <t>Average</t>
        </is>
      </c>
      <c r="C10" s="39" t="n">
        <v>0.6</v>
      </c>
      <c r="D10" s="27" t="inlineStr">
        <is>
          <t>Good lateral range</t>
        </is>
      </c>
      <c r="E10" s="27" t="inlineStr">
        <is>
          <t>Ladder drills</t>
        </is>
      </c>
    </row>
    <row r="11">
      <c r="A11" s="19" t="inlineStr">
        <is>
          <t>Strength</t>
        </is>
      </c>
      <c r="B11" s="19" t="inlineStr">
        <is>
          <t>Developing</t>
        </is>
      </c>
      <c r="C11" s="50" t="n">
        <v>0.45</v>
      </c>
      <c r="D11" s="20" t="inlineStr">
        <is>
          <t>Building core</t>
        </is>
      </c>
      <c r="E11" s="20" t="inlineStr">
        <is>
          <t>Off-season program</t>
        </is>
      </c>
    </row>
    <row r="12">
      <c r="A12" s="26" t="inlineStr">
        <is>
          <t>Baseball IQ</t>
        </is>
      </c>
      <c r="B12" s="26" t="inlineStr">
        <is>
          <t>Strong</t>
        </is>
      </c>
      <c r="C12" s="39" t="n">
        <v>0.72</v>
      </c>
      <c r="D12" s="27" t="inlineStr">
        <is>
          <t>Knows situations</t>
        </is>
      </c>
      <c r="E12" s="27" t="inlineStr">
        <is>
          <t>Study pitch counts</t>
        </is>
      </c>
    </row>
    <row r="13">
      <c r="A13" s="19" t="n"/>
      <c r="B13" s="19" t="n"/>
      <c r="C13" s="50" t="n"/>
      <c r="D13" s="20" t="n"/>
      <c r="E13" s="20" t="n"/>
    </row>
    <row r="14">
      <c r="A14" s="26" t="n"/>
      <c r="B14" s="26" t="n"/>
      <c r="C14" s="39" t="n"/>
      <c r="D14" s="27" t="n"/>
      <c r="E14" s="27" t="n"/>
    </row>
    <row r="15">
      <c r="A15" s="19" t="n"/>
      <c r="B15" s="19" t="n"/>
      <c r="C15" s="50" t="n"/>
      <c r="D15" s="20" t="n"/>
      <c r="E15" s="20" t="n"/>
    </row>
    <row r="16">
      <c r="A16" s="26" t="n"/>
      <c r="B16" s="26" t="n"/>
      <c r="C16" s="39" t="n"/>
      <c r="D16" s="27" t="n"/>
      <c r="E16" s="27" t="n"/>
    </row>
    <row r="17">
      <c r="A17" s="19" t="n"/>
      <c r="B17" s="19" t="n"/>
      <c r="C17" s="50" t="n"/>
      <c r="D17" s="20" t="n"/>
      <c r="E17" s="20" t="n"/>
    </row>
    <row r="18">
      <c r="A18" s="26" t="n"/>
      <c r="B18" s="26" t="n"/>
      <c r="C18" s="39" t="n"/>
      <c r="D18" s="27" t="n"/>
      <c r="E18" s="27" t="n"/>
    </row>
    <row r="19">
      <c r="A19" s="19" t="n"/>
      <c r="B19" s="19" t="n"/>
      <c r="C19" s="50" t="n"/>
      <c r="D19" s="20" t="n"/>
      <c r="E19" s="20" t="n"/>
    </row>
    <row r="20">
      <c r="A20" s="26" t="n"/>
      <c r="B20" s="26" t="n"/>
      <c r="C20" s="39" t="n"/>
      <c r="D20" s="27" t="n"/>
      <c r="E20" s="27" t="n"/>
    </row>
    <row r="21">
      <c r="A21" s="19" t="n"/>
      <c r="B21" s="19" t="n"/>
      <c r="C21" s="50" t="n"/>
      <c r="D21" s="20" t="n"/>
      <c r="E21" s="20" t="n"/>
    </row>
    <row r="22">
      <c r="A22" s="26" t="n"/>
      <c r="B22" s="26" t="n"/>
      <c r="C22" s="39" t="n"/>
      <c r="D22" s="27" t="n"/>
      <c r="E22" s="27" t="n"/>
    </row>
    <row r="23">
      <c r="A23" s="19" t="n"/>
      <c r="B23" s="19" t="n"/>
      <c r="C23" s="50" t="n"/>
      <c r="D23" s="20" t="n"/>
      <c r="E23" s="20" t="n"/>
    </row>
    <row r="24">
      <c r="A24" s="26" t="n"/>
      <c r="B24" s="26" t="n"/>
      <c r="C24" s="39" t="n"/>
      <c r="D24" s="27" t="n"/>
      <c r="E24" s="27" t="n"/>
    </row>
  </sheetData>
  <mergeCells count="2">
    <mergeCell ref="A2:E2"/>
    <mergeCell ref="A1:E1"/>
  </mergeCells>
  <conditionalFormatting sqref="C5:C24">
    <cfRule type="dataBar" priority="1">
      <dataBar showValue="1">
        <cfvo type="num" val="0"/>
        <cfvo type="num" val="1"/>
        <color rgb="0075E6C1"/>
      </dataBar>
    </cfRule>
  </conditionalFormatting>
  <dataValidations count="1">
    <dataValidation sqref="B5:B24" showDropDown="0" showInputMessage="0" showErrorMessage="0" allowBlank="1" type="list">
      <formula1>=SkillLevelList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4" customWidth="1" min="4" max="4"/>
    <col width="22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🥗  NUTRITION &amp; HYDRATION</t>
        </is>
      </c>
    </row>
    <row r="2" ht="22" customHeight="1">
      <c r="A2" s="2" t="inlineStr">
        <is>
          <t xml:space="preserve">  Fuel for performance — game-day, tournament &amp; recovery meals + hydration.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GAME-DAY FUEL</t>
        </is>
      </c>
      <c r="E5" s="4" t="inlineStr">
        <is>
          <t>TOURNAMENT WEEKEND</t>
        </is>
      </c>
    </row>
    <row r="6" ht="22" customHeight="1">
      <c r="B6" s="17" t="inlineStr">
        <is>
          <t>3–4 hrs before</t>
        </is>
      </c>
      <c r="C6" s="18" t="inlineStr">
        <is>
          <t>Chicken + rice + veg</t>
        </is>
      </c>
      <c r="E6" s="17" t="inlineStr">
        <is>
          <t>Cooler packing</t>
        </is>
      </c>
      <c r="F6" s="18" t="inlineStr">
        <is>
          <t>Sandwiches, fruit, water, jerky</t>
        </is>
      </c>
    </row>
    <row r="7" ht="22" customHeight="1">
      <c r="B7" s="17" t="inlineStr">
        <is>
          <t>1 hr before</t>
        </is>
      </c>
      <c r="C7" s="18" t="inlineStr">
        <is>
          <t>Banana, granola bar, water</t>
        </is>
      </c>
      <c r="E7" s="17" t="inlineStr">
        <is>
          <t>Between games</t>
        </is>
      </c>
      <c r="F7" s="18" t="inlineStr">
        <is>
          <t>Light snacks, not heavy</t>
        </is>
      </c>
    </row>
    <row r="8" ht="22" customHeight="1">
      <c r="B8" s="17" t="inlineStr">
        <is>
          <t>During game</t>
        </is>
      </c>
      <c r="C8" s="18" t="inlineStr">
        <is>
          <t>Water + electrolytes</t>
        </is>
      </c>
      <c r="E8" s="17" t="inlineStr">
        <is>
          <t>Hotel breakfast</t>
        </is>
      </c>
      <c r="F8" s="18" t="inlineStr">
        <is>
          <t>Eggs, oatmeal, fruit</t>
        </is>
      </c>
    </row>
    <row r="9" ht="22" customHeight="1">
      <c r="B9" s="17" t="inlineStr">
        <is>
          <t>After game</t>
        </is>
      </c>
      <c r="C9" s="18" t="inlineStr">
        <is>
          <t>Protein + carbs within 45 min</t>
        </is>
      </c>
      <c r="E9" s="17" t="inlineStr">
        <is>
          <t>Hydration</t>
        </is>
      </c>
      <c r="F9" s="18" t="inlineStr">
        <is>
          <t>Water bottle refilled all day</t>
        </is>
      </c>
    </row>
    <row r="13">
      <c r="B13" s="4" t="inlineStr">
        <is>
          <t>RECOVERY SNACKS</t>
        </is>
      </c>
      <c r="E13" s="4" t="inlineStr">
        <is>
          <t>HYDRATION &amp; EXTRAS</t>
        </is>
      </c>
    </row>
    <row r="14" ht="22" customHeight="1">
      <c r="B14" s="17" t="inlineStr">
        <is>
          <t>Post-practice</t>
        </is>
      </c>
      <c r="C14" s="18" t="inlineStr">
        <is>
          <t>Chocolate milk / smoothie</t>
        </is>
      </c>
      <c r="E14" s="17" t="inlineStr">
        <is>
          <t>Daily water</t>
        </is>
      </c>
      <c r="F14" s="18" t="inlineStr">
        <is>
          <t>Half body-weight in oz</t>
        </is>
      </c>
    </row>
    <row r="15" ht="22" customHeight="1">
      <c r="B15" s="17" t="inlineStr">
        <is>
          <t>High protein</t>
        </is>
      </c>
      <c r="C15" s="18" t="inlineStr">
        <is>
          <t>Greek yogurt, eggs, nut butter</t>
        </is>
      </c>
      <c r="E15" s="17" t="inlineStr">
        <is>
          <t>Hot days</t>
        </is>
      </c>
      <c r="F15" s="18" t="inlineStr">
        <is>
          <t>Add electrolytes</t>
        </is>
      </c>
    </row>
    <row r="16" ht="22" customHeight="1">
      <c r="B16" s="17" t="inlineStr">
        <is>
          <t>Quick carbs</t>
        </is>
      </c>
      <c r="C16" s="18" t="inlineStr">
        <is>
          <t>Fruit, pretzels, rice cakes</t>
        </is>
      </c>
      <c r="E16" s="17" t="inlineStr">
        <is>
          <t>Supplements</t>
        </is>
      </c>
      <c r="F16" s="18" t="inlineStr">
        <is>
          <t>Per pediatrician only</t>
        </is>
      </c>
    </row>
    <row r="17" ht="22" customHeight="1">
      <c r="B17" s="17" t="inlineStr">
        <is>
          <t>Avoid</t>
        </is>
      </c>
      <c r="C17" s="18" t="inlineStr">
        <is>
          <t>Sugary sodas &amp; fried food</t>
        </is>
      </c>
      <c r="E17" s="17" t="inlineStr">
        <is>
          <t>Grocery list</t>
        </is>
      </c>
      <c r="F17" s="18" t="inlineStr">
        <is>
          <t>See Budget / shopping</t>
        </is>
      </c>
    </row>
  </sheetData>
  <mergeCells count="6">
    <mergeCell ref="B13:C13"/>
    <mergeCell ref="A1:G1"/>
    <mergeCell ref="B5:C5"/>
    <mergeCell ref="E5:F5"/>
    <mergeCell ref="A2:G2"/>
    <mergeCell ref="E13:F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6" customWidth="1" min="4" max="4"/>
    <col width="13" customWidth="1" min="5" max="5"/>
    <col width="12" customWidth="1" min="6" max="6"/>
    <col width="11" customWidth="1" min="7" max="7"/>
    <col width="12" customWidth="1" min="8" max="8"/>
    <col width="20" customWidth="1" min="9" max="9"/>
  </cols>
  <sheetData>
    <row r="1" ht="46" customHeight="1">
      <c r="A1" s="1" t="inlineStr">
        <is>
          <t xml:space="preserve">  🏥  MEDICAL CENTER</t>
        </is>
      </c>
    </row>
    <row r="2" ht="22" customHeight="1">
      <c r="A2" s="2" t="inlineStr">
        <is>
          <t xml:space="preserve">  Injuries, appointments, recovery &amp; insurance claims — organized and private.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Date</t>
        </is>
      </c>
      <c r="B4" s="7" t="inlineStr">
        <is>
          <t>Type</t>
        </is>
      </c>
      <c r="C4" s="7" t="inlineStr">
        <is>
          <t>Issue / Visit</t>
        </is>
      </c>
      <c r="D4" s="7" t="inlineStr">
        <is>
          <t>Provider</t>
        </is>
      </c>
      <c r="E4" s="7" t="inlineStr">
        <is>
          <t>Status</t>
        </is>
      </c>
      <c r="F4" s="7" t="inlineStr">
        <is>
          <t>Follow-Up</t>
        </is>
      </c>
      <c r="G4" s="7" t="inlineStr">
        <is>
          <t>Cost</t>
        </is>
      </c>
      <c r="H4" s="7" t="inlineStr">
        <is>
          <t>Claim #</t>
        </is>
      </c>
      <c r="I4" s="7" t="inlineStr">
        <is>
          <t>Notes</t>
        </is>
      </c>
    </row>
    <row r="5">
      <c r="A5" s="21" t="n">
        <v>46154</v>
      </c>
      <c r="B5" s="19" t="inlineStr">
        <is>
          <t>Injury</t>
        </is>
      </c>
      <c r="C5" s="20" t="inlineStr">
        <is>
          <t>Jammed thumb (sliding)</t>
        </is>
      </c>
      <c r="D5" s="19" t="inlineStr">
        <is>
          <t>Dr. Lee</t>
        </is>
      </c>
      <c r="E5" s="19" t="inlineStr">
        <is>
          <t>Recovered</t>
        </is>
      </c>
      <c r="F5" s="19" t="inlineStr">
        <is>
          <t>—</t>
        </is>
      </c>
      <c r="G5" s="44" t="n">
        <v>0</v>
      </c>
      <c r="H5" s="19" t="inlineStr">
        <is>
          <t>—</t>
        </is>
      </c>
      <c r="I5" s="20" t="inlineStr">
        <is>
          <t>Iced, taped</t>
        </is>
      </c>
    </row>
    <row r="6">
      <c r="A6" s="28" t="n">
        <v>46169</v>
      </c>
      <c r="B6" s="26" t="inlineStr">
        <is>
          <t>Checkup</t>
        </is>
      </c>
      <c r="C6" s="27" t="inlineStr">
        <is>
          <t>Sports physical</t>
        </is>
      </c>
      <c r="D6" s="26" t="inlineStr">
        <is>
          <t>Dr. Lee</t>
        </is>
      </c>
      <c r="E6" s="26" t="inlineStr">
        <is>
          <t>Cleared</t>
        </is>
      </c>
      <c r="F6" s="26" t="inlineStr">
        <is>
          <t>Next yr</t>
        </is>
      </c>
      <c r="G6" s="45" t="n">
        <v>0</v>
      </c>
      <c r="H6" s="26" t="inlineStr">
        <is>
          <t>—</t>
        </is>
      </c>
      <c r="I6" s="27" t="inlineStr">
        <is>
          <t>Cleared to play</t>
        </is>
      </c>
    </row>
    <row r="7">
      <c r="A7" s="21" t="n">
        <v>46184</v>
      </c>
      <c r="B7" s="19" t="inlineStr">
        <is>
          <t>PT</t>
        </is>
      </c>
      <c r="C7" s="20" t="inlineStr">
        <is>
          <t>Shoulder maintenance</t>
        </is>
      </c>
      <c r="D7" s="19" t="inlineStr">
        <is>
          <t>PeakPhysio</t>
        </is>
      </c>
      <c r="E7" s="19" t="inlineStr">
        <is>
          <t>Ongoing</t>
        </is>
      </c>
      <c r="F7" s="19" t="inlineStr">
        <is>
          <t>Weekly</t>
        </is>
      </c>
      <c r="G7" s="44" t="n">
        <v>180</v>
      </c>
      <c r="H7" s="19" t="inlineStr">
        <is>
          <t>CLM-3310</t>
        </is>
      </c>
      <c r="I7" s="20" t="inlineStr">
        <is>
          <t>Pitching prehab</t>
        </is>
      </c>
    </row>
    <row r="8">
      <c r="A8" s="28" t="n">
        <v>46199</v>
      </c>
      <c r="B8" s="26" t="inlineStr">
        <is>
          <t>Dental</t>
        </is>
      </c>
      <c r="C8" s="27" t="inlineStr">
        <is>
          <t>Mouthguard</t>
        </is>
      </c>
      <c r="D8" s="26" t="inlineStr">
        <is>
          <t>Smile Dental</t>
        </is>
      </c>
      <c r="E8" s="26" t="inlineStr">
        <is>
          <t>Complete</t>
        </is>
      </c>
      <c r="F8" s="26" t="inlineStr">
        <is>
          <t>—</t>
        </is>
      </c>
      <c r="G8" s="45" t="n">
        <v>45</v>
      </c>
      <c r="H8" s="26" t="inlineStr">
        <is>
          <t>—</t>
        </is>
      </c>
      <c r="I8" s="27" t="inlineStr"/>
    </row>
    <row r="9">
      <c r="A9" s="21" t="n"/>
      <c r="B9" s="19" t="n"/>
      <c r="C9" s="20" t="n"/>
      <c r="D9" s="19" t="n"/>
      <c r="E9" s="19" t="n"/>
      <c r="F9" s="19" t="n"/>
      <c r="G9" s="44" t="n"/>
      <c r="H9" s="19" t="n"/>
      <c r="I9" s="20" t="n"/>
    </row>
    <row r="10">
      <c r="A10" s="28" t="n"/>
      <c r="B10" s="26" t="n"/>
      <c r="C10" s="27" t="n"/>
      <c r="D10" s="26" t="n"/>
      <c r="E10" s="26" t="n"/>
      <c r="F10" s="26" t="n"/>
      <c r="G10" s="45" t="n"/>
      <c r="H10" s="26" t="n"/>
      <c r="I10" s="27" t="n"/>
    </row>
    <row r="11">
      <c r="A11" s="21" t="n"/>
      <c r="B11" s="19" t="n"/>
      <c r="C11" s="20" t="n"/>
      <c r="D11" s="19" t="n"/>
      <c r="E11" s="19" t="n"/>
      <c r="F11" s="19" t="n"/>
      <c r="G11" s="44" t="n"/>
      <c r="H11" s="19" t="n"/>
      <c r="I11" s="20" t="n"/>
    </row>
    <row r="12">
      <c r="A12" s="28" t="n"/>
      <c r="B12" s="26" t="n"/>
      <c r="C12" s="27" t="n"/>
      <c r="D12" s="26" t="n"/>
      <c r="E12" s="26" t="n"/>
      <c r="F12" s="26" t="n"/>
      <c r="G12" s="45" t="n"/>
      <c r="H12" s="26" t="n"/>
      <c r="I12" s="27" t="n"/>
    </row>
    <row r="13">
      <c r="A13" s="21" t="n"/>
      <c r="B13" s="19" t="n"/>
      <c r="C13" s="20" t="n"/>
      <c r="D13" s="19" t="n"/>
      <c r="E13" s="19" t="n"/>
      <c r="F13" s="19" t="n"/>
      <c r="G13" s="44" t="n"/>
      <c r="H13" s="19" t="n"/>
      <c r="I13" s="20" t="n"/>
    </row>
    <row r="14">
      <c r="A14" s="28" t="n"/>
      <c r="B14" s="26" t="n"/>
      <c r="C14" s="27" t="n"/>
      <c r="D14" s="26" t="n"/>
      <c r="E14" s="26" t="n"/>
      <c r="F14" s="26" t="n"/>
      <c r="G14" s="45" t="n"/>
      <c r="H14" s="26" t="n"/>
      <c r="I14" s="27" t="n"/>
    </row>
    <row r="15">
      <c r="A15" s="21" t="n"/>
      <c r="B15" s="19" t="n"/>
      <c r="C15" s="20" t="n"/>
      <c r="D15" s="19" t="n"/>
      <c r="E15" s="19" t="n"/>
      <c r="F15" s="19" t="n"/>
      <c r="G15" s="44" t="n"/>
      <c r="H15" s="19" t="n"/>
      <c r="I15" s="20" t="n"/>
    </row>
    <row r="16">
      <c r="A16" s="28" t="n"/>
      <c r="B16" s="26" t="n"/>
      <c r="C16" s="27" t="n"/>
      <c r="D16" s="26" t="n"/>
      <c r="E16" s="26" t="n"/>
      <c r="F16" s="26" t="n"/>
      <c r="G16" s="45" t="n"/>
      <c r="H16" s="26" t="n"/>
      <c r="I16" s="27" t="n"/>
    </row>
    <row r="17">
      <c r="A17" s="21" t="n"/>
      <c r="B17" s="19" t="n"/>
      <c r="C17" s="20" t="n"/>
      <c r="D17" s="19" t="n"/>
      <c r="E17" s="19" t="n"/>
      <c r="F17" s="19" t="n"/>
      <c r="G17" s="44" t="n"/>
      <c r="H17" s="19" t="n"/>
      <c r="I17" s="20" t="n"/>
    </row>
    <row r="18">
      <c r="A18" s="28" t="n"/>
      <c r="B18" s="26" t="n"/>
      <c r="C18" s="27" t="n"/>
      <c r="D18" s="26" t="n"/>
      <c r="E18" s="26" t="n"/>
      <c r="F18" s="26" t="n"/>
      <c r="G18" s="45" t="n"/>
      <c r="H18" s="26" t="n"/>
      <c r="I18" s="27" t="n"/>
    </row>
    <row r="19">
      <c r="A19" s="21" t="n"/>
      <c r="B19" s="19" t="n"/>
      <c r="C19" s="20" t="n"/>
      <c r="D19" s="19" t="n"/>
      <c r="E19" s="19" t="n"/>
      <c r="F19" s="19" t="n"/>
      <c r="G19" s="44" t="n"/>
      <c r="H19" s="19" t="n"/>
      <c r="I19" s="20" t="n"/>
    </row>
    <row r="20">
      <c r="A20" s="28" t="n"/>
      <c r="B20" s="26" t="n"/>
      <c r="C20" s="27" t="n"/>
      <c r="D20" s="26" t="n"/>
      <c r="E20" s="26" t="n"/>
      <c r="F20" s="26" t="n"/>
      <c r="G20" s="45" t="n"/>
      <c r="H20" s="26" t="n"/>
      <c r="I20" s="27" t="n"/>
    </row>
    <row r="21">
      <c r="A21" s="21" t="n"/>
      <c r="B21" s="19" t="n"/>
      <c r="C21" s="20" t="n"/>
      <c r="D21" s="19" t="n"/>
      <c r="E21" s="19" t="n"/>
      <c r="F21" s="19" t="n"/>
      <c r="G21" s="44" t="n"/>
      <c r="H21" s="19" t="n"/>
      <c r="I21" s="20" t="n"/>
    </row>
    <row r="22">
      <c r="A22" s="28" t="n"/>
      <c r="B22" s="26" t="n"/>
      <c r="C22" s="27" t="n"/>
      <c r="D22" s="26" t="n"/>
      <c r="E22" s="26" t="n"/>
      <c r="F22" s="26" t="n"/>
      <c r="G22" s="45" t="n"/>
      <c r="H22" s="26" t="n"/>
      <c r="I22" s="27" t="n"/>
    </row>
    <row r="23">
      <c r="A23" s="21" t="n"/>
      <c r="B23" s="19" t="n"/>
      <c r="C23" s="20" t="n"/>
      <c r="D23" s="19" t="n"/>
      <c r="E23" s="19" t="n"/>
      <c r="F23" s="19" t="n"/>
      <c r="G23" s="44" t="n"/>
      <c r="H23" s="19" t="n"/>
      <c r="I23" s="20" t="n"/>
    </row>
    <row r="24">
      <c r="A24" s="28" t="n"/>
      <c r="B24" s="26" t="n"/>
      <c r="C24" s="27" t="n"/>
      <c r="D24" s="26" t="n"/>
      <c r="E24" s="26" t="n"/>
      <c r="F24" s="26" t="n"/>
      <c r="G24" s="45" t="n"/>
      <c r="H24" s="26" t="n"/>
      <c r="I24" s="27" t="n"/>
    </row>
    <row r="25">
      <c r="A25" s="21" t="n"/>
      <c r="B25" s="19" t="n"/>
      <c r="C25" s="20" t="n"/>
      <c r="D25" s="19" t="n"/>
      <c r="E25" s="19" t="n"/>
      <c r="F25" s="19" t="n"/>
      <c r="G25" s="44" t="n"/>
      <c r="H25" s="19" t="n"/>
      <c r="I25" s="20" t="n"/>
    </row>
    <row r="26">
      <c r="A26" s="28" t="n"/>
      <c r="B26" s="26" t="n"/>
      <c r="C26" s="27" t="n"/>
      <c r="D26" s="26" t="n"/>
      <c r="E26" s="26" t="n"/>
      <c r="F26" s="26" t="n"/>
      <c r="G26" s="45" t="n"/>
      <c r="H26" s="26" t="n"/>
      <c r="I26" s="27" t="n"/>
    </row>
    <row r="27">
      <c r="A27" s="21" t="n"/>
      <c r="B27" s="19" t="n"/>
      <c r="C27" s="20" t="n"/>
      <c r="D27" s="19" t="n"/>
      <c r="E27" s="19" t="n"/>
      <c r="F27" s="19" t="n"/>
      <c r="G27" s="44" t="n"/>
      <c r="H27" s="19" t="n"/>
      <c r="I27" s="20" t="n"/>
    </row>
    <row r="28">
      <c r="A28" s="28" t="n"/>
      <c r="B28" s="26" t="n"/>
      <c r="C28" s="27" t="n"/>
      <c r="D28" s="26" t="n"/>
      <c r="E28" s="26" t="n"/>
      <c r="F28" s="26" t="n"/>
      <c r="G28" s="45" t="n"/>
      <c r="H28" s="26" t="n"/>
      <c r="I28" s="27" t="n"/>
    </row>
    <row r="29">
      <c r="A29" s="21" t="n"/>
      <c r="B29" s="19" t="n"/>
      <c r="C29" s="20" t="n"/>
      <c r="D29" s="19" t="n"/>
      <c r="E29" s="19" t="n"/>
      <c r="F29" s="19" t="n"/>
      <c r="G29" s="44" t="n"/>
      <c r="H29" s="19" t="n"/>
      <c r="I29" s="20" t="n"/>
    </row>
    <row r="30">
      <c r="A30" s="28" t="n"/>
      <c r="B30" s="26" t="n"/>
      <c r="C30" s="27" t="n"/>
      <c r="D30" s="26" t="n"/>
      <c r="E30" s="26" t="n"/>
      <c r="F30" s="26" t="n"/>
      <c r="G30" s="45" t="n"/>
      <c r="H30" s="26" t="n"/>
      <c r="I30" s="27" t="n"/>
    </row>
    <row r="31">
      <c r="A31" s="21" t="n"/>
      <c r="B31" s="19" t="n"/>
      <c r="C31" s="20" t="n"/>
      <c r="D31" s="19" t="n"/>
      <c r="E31" s="19" t="n"/>
      <c r="F31" s="19" t="n"/>
      <c r="G31" s="44" t="n"/>
      <c r="H31" s="19" t="n"/>
      <c r="I31" s="20" t="n"/>
    </row>
    <row r="32">
      <c r="A32" s="28" t="n"/>
      <c r="B32" s="26" t="n"/>
      <c r="C32" s="27" t="n"/>
      <c r="D32" s="26" t="n"/>
      <c r="E32" s="26" t="n"/>
      <c r="F32" s="26" t="n"/>
      <c r="G32" s="45" t="n"/>
      <c r="H32" s="26" t="n"/>
      <c r="I32" s="27" t="n"/>
    </row>
    <row r="33">
      <c r="A33" s="21" t="n"/>
      <c r="B33" s="19" t="n"/>
      <c r="C33" s="20" t="n"/>
      <c r="D33" s="19" t="n"/>
      <c r="E33" s="19" t="n"/>
      <c r="F33" s="19" t="n"/>
      <c r="G33" s="44" t="n"/>
      <c r="H33" s="19" t="n"/>
      <c r="I33" s="20" t="n"/>
    </row>
    <row r="34">
      <c r="A34" s="28" t="n"/>
      <c r="B34" s="26" t="n"/>
      <c r="C34" s="27" t="n"/>
      <c r="D34" s="26" t="n"/>
      <c r="E34" s="26" t="n"/>
      <c r="F34" s="26" t="n"/>
      <c r="G34" s="45" t="n"/>
      <c r="H34" s="26" t="n"/>
      <c r="I34" s="27" t="n"/>
    </row>
    <row r="35">
      <c r="A35" s="21" t="n"/>
      <c r="B35" s="19" t="n"/>
      <c r="C35" s="20" t="n"/>
      <c r="D35" s="19" t="n"/>
      <c r="E35" s="19" t="n"/>
      <c r="F35" s="19" t="n"/>
      <c r="G35" s="44" t="n"/>
      <c r="H35" s="19" t="n"/>
      <c r="I35" s="20" t="n"/>
    </row>
    <row r="36">
      <c r="A36" s="28" t="n"/>
      <c r="B36" s="26" t="n"/>
      <c r="C36" s="27" t="n"/>
      <c r="D36" s="26" t="n"/>
      <c r="E36" s="26" t="n"/>
      <c r="F36" s="26" t="n"/>
      <c r="G36" s="45" t="n"/>
      <c r="H36" s="26" t="n"/>
      <c r="I36" s="27" t="n"/>
    </row>
    <row r="37">
      <c r="A37" s="21" t="n"/>
      <c r="B37" s="19" t="n"/>
      <c r="C37" s="20" t="n"/>
      <c r="D37" s="19" t="n"/>
      <c r="E37" s="19" t="n"/>
      <c r="F37" s="19" t="n"/>
      <c r="G37" s="44" t="n"/>
      <c r="H37" s="19" t="n"/>
      <c r="I37" s="20" t="n"/>
    </row>
    <row r="38">
      <c r="A38" s="28" t="n"/>
      <c r="B38" s="26" t="n"/>
      <c r="C38" s="27" t="n"/>
      <c r="D38" s="26" t="n"/>
      <c r="E38" s="26" t="n"/>
      <c r="F38" s="26" t="n"/>
      <c r="G38" s="45" t="n"/>
      <c r="H38" s="26" t="n"/>
      <c r="I38" s="27" t="n"/>
    </row>
    <row r="39">
      <c r="A39" s="21" t="n"/>
      <c r="B39" s="19" t="n"/>
      <c r="C39" s="20" t="n"/>
      <c r="D39" s="19" t="n"/>
      <c r="E39" s="19" t="n"/>
      <c r="F39" s="19" t="n"/>
      <c r="G39" s="44" t="n"/>
      <c r="H39" s="19" t="n"/>
      <c r="I39" s="20" t="n"/>
    </row>
    <row r="40">
      <c r="A40" s="28" t="n"/>
      <c r="B40" s="26" t="n"/>
      <c r="C40" s="27" t="n"/>
      <c r="D40" s="26" t="n"/>
      <c r="E40" s="26" t="n"/>
      <c r="F40" s="26" t="n"/>
      <c r="G40" s="45" t="n"/>
      <c r="H40" s="26" t="n"/>
      <c r="I40" s="27" t="n"/>
    </row>
    <row r="41">
      <c r="A41" s="21" t="n"/>
      <c r="B41" s="19" t="n"/>
      <c r="C41" s="20" t="n"/>
      <c r="D41" s="19" t="n"/>
      <c r="E41" s="19" t="n"/>
      <c r="F41" s="19" t="n"/>
      <c r="G41" s="44" t="n"/>
      <c r="H41" s="19" t="n"/>
      <c r="I41" s="20" t="n"/>
    </row>
    <row r="42">
      <c r="A42" s="28" t="n"/>
      <c r="B42" s="26" t="n"/>
      <c r="C42" s="27" t="n"/>
      <c r="D42" s="26" t="n"/>
      <c r="E42" s="26" t="n"/>
      <c r="F42" s="26" t="n"/>
      <c r="G42" s="45" t="n"/>
      <c r="H42" s="26" t="n"/>
      <c r="I42" s="27" t="n"/>
    </row>
    <row r="43">
      <c r="A43" s="21" t="n"/>
      <c r="B43" s="19" t="n"/>
      <c r="C43" s="20" t="n"/>
      <c r="D43" s="19" t="n"/>
      <c r="E43" s="19" t="n"/>
      <c r="F43" s="19" t="n"/>
      <c r="G43" s="44" t="n"/>
      <c r="H43" s="19" t="n"/>
      <c r="I43" s="20" t="n"/>
    </row>
    <row r="44">
      <c r="A44" s="28" t="n"/>
      <c r="B44" s="26" t="n"/>
      <c r="C44" s="27" t="n"/>
      <c r="D44" s="26" t="n"/>
      <c r="E44" s="26" t="n"/>
      <c r="F44" s="26" t="n"/>
      <c r="G44" s="45" t="n"/>
      <c r="H44" s="26" t="n"/>
      <c r="I44" s="27" t="n"/>
    </row>
  </sheetData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4" customWidth="1" min="4" max="4"/>
    <col width="4" customWidth="1" min="5" max="5"/>
    <col width="30" customWidth="1" min="6" max="6"/>
    <col width="4" customWidth="1" min="7" max="7"/>
    <col width="4" customWidth="1" min="8" max="8"/>
    <col width="30" customWidth="1" min="9" max="9"/>
    <col width="2" customWidth="1" min="10" max="10"/>
  </cols>
  <sheetData>
    <row r="1" ht="46" customHeight="1">
      <c r="A1" s="1" t="inlineStr">
        <is>
          <t xml:space="preserve">  🎒  PACKING CHECKLIST</t>
        </is>
      </c>
    </row>
    <row r="2" ht="22" customHeight="1">
      <c r="A2" s="2" t="inlineStr">
        <is>
          <t xml:space="preserve">  Never forget the gear again — ready-made lists for every kind of day.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22" customHeight="1">
      <c r="B5" s="4" t="inlineStr">
        <is>
          <t>GAME-DAY BAG</t>
        </is>
      </c>
      <c r="E5" s="4" t="inlineStr">
        <is>
          <t>DOUBLE HEADER / CAGE</t>
        </is>
      </c>
      <c r="H5" s="4" t="inlineStr">
        <is>
          <t>TOURNAMENT WEEKEND</t>
        </is>
      </c>
    </row>
    <row r="6">
      <c r="B6" s="54" t="inlineStr">
        <is>
          <t>☐</t>
        </is>
      </c>
      <c r="C6" s="24" t="inlineStr">
        <is>
          <t>Glove</t>
        </is>
      </c>
      <c r="E6" s="54" t="inlineStr">
        <is>
          <t>☐</t>
        </is>
      </c>
      <c r="F6" s="24" t="inlineStr">
        <is>
          <t>Everything in game bag</t>
        </is>
      </c>
      <c r="H6" s="54" t="inlineStr">
        <is>
          <t>☐</t>
        </is>
      </c>
      <c r="I6" s="24" t="inlineStr">
        <is>
          <t>Full game bag</t>
        </is>
      </c>
    </row>
    <row r="7">
      <c r="B7" s="55" t="inlineStr">
        <is>
          <t>☐</t>
        </is>
      </c>
      <c r="C7" s="27" t="inlineStr">
        <is>
          <t>Bat(s)</t>
        </is>
      </c>
      <c r="E7" s="55" t="inlineStr">
        <is>
          <t>☐</t>
        </is>
      </c>
      <c r="F7" s="27" t="inlineStr">
        <is>
          <t>2nd uniform / dry shirt</t>
        </is>
      </c>
      <c r="H7" s="55" t="inlineStr">
        <is>
          <t>☐</t>
        </is>
      </c>
      <c r="I7" s="27" t="inlineStr">
        <is>
          <t>3+ uniform sets</t>
        </is>
      </c>
    </row>
    <row r="8">
      <c r="B8" s="54" t="inlineStr">
        <is>
          <t>☐</t>
        </is>
      </c>
      <c r="C8" s="24" t="inlineStr">
        <is>
          <t>Batting helmet</t>
        </is>
      </c>
      <c r="E8" s="54" t="inlineStr">
        <is>
          <t>☐</t>
        </is>
      </c>
      <c r="F8" s="24" t="inlineStr">
        <is>
          <t>Extra socks</t>
        </is>
      </c>
      <c r="H8" s="54" t="inlineStr">
        <is>
          <t>☐</t>
        </is>
      </c>
      <c r="I8" s="24" t="inlineStr">
        <is>
          <t>Extra cleats &amp; socks</t>
        </is>
      </c>
    </row>
    <row r="9">
      <c r="B9" s="55" t="inlineStr">
        <is>
          <t>☐</t>
        </is>
      </c>
      <c r="C9" s="27" t="inlineStr">
        <is>
          <t>Batting gloves</t>
        </is>
      </c>
      <c r="E9" s="55" t="inlineStr">
        <is>
          <t>☐</t>
        </is>
      </c>
      <c r="F9" s="27" t="inlineStr">
        <is>
          <t>More water</t>
        </is>
      </c>
      <c r="H9" s="55" t="inlineStr">
        <is>
          <t>☐</t>
        </is>
      </c>
      <c r="I9" s="27" t="inlineStr">
        <is>
          <t>Cooler + meals</t>
        </is>
      </c>
    </row>
    <row r="10">
      <c r="B10" s="54" t="inlineStr">
        <is>
          <t>☐</t>
        </is>
      </c>
      <c r="C10" s="24" t="inlineStr">
        <is>
          <t>Cleats</t>
        </is>
      </c>
      <c r="E10" s="54" t="inlineStr">
        <is>
          <t>☐</t>
        </is>
      </c>
      <c r="F10" s="24" t="inlineStr">
        <is>
          <t>Cooler + lunch</t>
        </is>
      </c>
      <c r="H10" s="54" t="inlineStr">
        <is>
          <t>☐</t>
        </is>
      </c>
      <c r="I10" s="24" t="inlineStr">
        <is>
          <t>Toiletries</t>
        </is>
      </c>
    </row>
    <row r="11">
      <c r="B11" s="55" t="inlineStr">
        <is>
          <t>☐</t>
        </is>
      </c>
      <c r="C11" s="27" t="inlineStr">
        <is>
          <t>Turf shoes</t>
        </is>
      </c>
      <c r="E11" s="55" t="inlineStr">
        <is>
          <t>☐</t>
        </is>
      </c>
      <c r="F11" s="27" t="inlineStr">
        <is>
          <t>Chairs</t>
        </is>
      </c>
      <c r="H11" s="55" t="inlineStr">
        <is>
          <t>☐</t>
        </is>
      </c>
      <c r="I11" s="27" t="inlineStr">
        <is>
          <t>Hotel confirmation</t>
        </is>
      </c>
    </row>
    <row r="12">
      <c r="B12" s="54" t="inlineStr">
        <is>
          <t>☐</t>
        </is>
      </c>
      <c r="C12" s="24" t="inlineStr">
        <is>
          <t>Uniform + belt</t>
        </is>
      </c>
      <c r="E12" s="54" t="inlineStr">
        <is>
          <t>☐</t>
        </is>
      </c>
      <c r="F12" s="24" t="inlineStr">
        <is>
          <t>Bug spray</t>
        </is>
      </c>
      <c r="H12" s="54" t="inlineStr">
        <is>
          <t>☐</t>
        </is>
      </c>
      <c r="I12" s="24" t="inlineStr">
        <is>
          <t>First-aid kit</t>
        </is>
      </c>
    </row>
    <row r="13">
      <c r="B13" s="55" t="inlineStr">
        <is>
          <t>☐</t>
        </is>
      </c>
      <c r="C13" s="27" t="inlineStr">
        <is>
          <t>Hat</t>
        </is>
      </c>
      <c r="E13" s="55" t="inlineStr">
        <is>
          <t>☐</t>
        </is>
      </c>
      <c r="F13" s="27" t="inlineStr">
        <is>
          <t>Phone charger</t>
        </is>
      </c>
      <c r="H13" s="55" t="inlineStr">
        <is>
          <t>☐</t>
        </is>
      </c>
      <c r="I13" s="27" t="inlineStr">
        <is>
          <t>Team apparel</t>
        </is>
      </c>
    </row>
    <row r="14">
      <c r="B14" s="54" t="inlineStr">
        <is>
          <t>☐</t>
        </is>
      </c>
      <c r="C14" s="24" t="inlineStr">
        <is>
          <t>Water + snacks</t>
        </is>
      </c>
      <c r="E14" s="54" t="inlineStr">
        <is>
          <t>☐</t>
        </is>
      </c>
      <c r="F14" s="24" t="inlineStr">
        <is>
          <t>Cash for concessions</t>
        </is>
      </c>
      <c r="H14" s="54" t="inlineStr">
        <is>
          <t>☐</t>
        </is>
      </c>
      <c r="I14" s="24" t="inlineStr">
        <is>
          <t>Chargers</t>
        </is>
      </c>
    </row>
    <row r="15">
      <c r="B15" s="55" t="inlineStr">
        <is>
          <t>☐</t>
        </is>
      </c>
      <c r="C15" s="27" t="inlineStr">
        <is>
          <t>Sunscreen</t>
        </is>
      </c>
      <c r="H15" s="55" t="inlineStr">
        <is>
          <t>☐</t>
        </is>
      </c>
      <c r="I15" s="27" t="inlineStr">
        <is>
          <t>Schedule printout</t>
        </is>
      </c>
    </row>
    <row r="16">
      <c r="B16" s="54" t="inlineStr">
        <is>
          <t>☐</t>
        </is>
      </c>
      <c r="C16" s="24" t="inlineStr">
        <is>
          <t>Eye black</t>
        </is>
      </c>
      <c r="H16" s="54" t="inlineStr">
        <is>
          <t>☐</t>
        </is>
      </c>
      <c r="I16" s="24" t="inlineStr">
        <is>
          <t>Sunscreen + hats</t>
        </is>
      </c>
    </row>
    <row r="17">
      <c r="B17" s="55" t="inlineStr">
        <is>
          <t>☐</t>
        </is>
      </c>
      <c r="C17" s="27" t="inlineStr">
        <is>
          <t>Sunglasses</t>
        </is>
      </c>
      <c r="H17" s="55" t="inlineStr">
        <is>
          <t>☐</t>
        </is>
      </c>
      <c r="I17" s="27" t="inlineStr">
        <is>
          <t>Camping chairs</t>
        </is>
      </c>
    </row>
  </sheetData>
  <mergeCells count="5">
    <mergeCell ref="A1:J1"/>
    <mergeCell ref="B5:C5"/>
    <mergeCell ref="E5:F5"/>
    <mergeCell ref="H5:I5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1" customWidth="1" min="4" max="4"/>
    <col width="11" customWidth="1" min="5" max="5"/>
    <col width="16" customWidth="1" min="6" max="6"/>
    <col width="22" customWidth="1" min="7" max="7"/>
    <col width="16" customWidth="1" min="9" max="9"/>
    <col width="12" customWidth="1" min="10" max="10"/>
  </cols>
  <sheetData>
    <row r="1" ht="46" customHeight="1">
      <c r="A1" s="1" t="inlineStr">
        <is>
          <t xml:space="preserve">  💵  FUNDRAISING TRACKER</t>
        </is>
      </c>
    </row>
    <row r="2" ht="22" customHeight="1">
      <c r="A2" s="2" t="inlineStr">
        <is>
          <t xml:space="preserve">  Offset the season's cost — track sponsors, sales, donations &amp; volunteer hours.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Activity</t>
        </is>
      </c>
      <c r="B4" s="7" t="inlineStr">
        <is>
          <t>Type</t>
        </is>
      </c>
      <c r="C4" s="7" t="inlineStr">
        <is>
          <t>Date</t>
        </is>
      </c>
      <c r="D4" s="7" t="inlineStr">
        <is>
          <t>Cost</t>
        </is>
      </c>
      <c r="E4" s="7" t="inlineStr">
        <is>
          <t>Raised</t>
        </is>
      </c>
      <c r="F4" s="7" t="inlineStr">
        <is>
          <t>Lead</t>
        </is>
      </c>
      <c r="G4" s="7" t="inlineStr">
        <is>
          <t>Notes</t>
        </is>
      </c>
      <c r="I4" s="4" t="inlineStr">
        <is>
          <t>TOTALS</t>
        </is>
      </c>
    </row>
    <row r="5">
      <c r="A5" s="20" t="inlineStr">
        <is>
          <t>Car wash</t>
        </is>
      </c>
      <c r="B5" s="19" t="inlineStr">
        <is>
          <t>Event</t>
        </is>
      </c>
      <c r="C5" s="21" t="n">
        <v>46184</v>
      </c>
      <c r="D5" s="44" t="n">
        <v>0</v>
      </c>
      <c r="E5" s="44" t="n">
        <v>580</v>
      </c>
      <c r="F5" s="20" t="inlineStr">
        <is>
          <t>Team</t>
        </is>
      </c>
      <c r="G5" s="20" t="inlineStr">
        <is>
          <t>Great turnout</t>
        </is>
      </c>
      <c r="I5" s="17" t="inlineStr">
        <is>
          <t>Total raised</t>
        </is>
      </c>
      <c r="J5" s="36">
        <f>SUM(FundRaised)</f>
        <v/>
      </c>
    </row>
    <row r="6">
      <c r="A6" s="27" t="inlineStr">
        <is>
          <t>Local sponsor — Joe's Auto</t>
        </is>
      </c>
      <c r="B6" s="26" t="inlineStr">
        <is>
          <t>Sponsorship</t>
        </is>
      </c>
      <c r="C6" s="28" t="n">
        <v>46169</v>
      </c>
      <c r="D6" s="45" t="n">
        <v>0</v>
      </c>
      <c r="E6" s="45" t="n">
        <v>500</v>
      </c>
      <c r="F6" s="27" t="inlineStr">
        <is>
          <t>Manager</t>
        </is>
      </c>
      <c r="G6" s="27" t="inlineStr">
        <is>
          <t>Banner + patch</t>
        </is>
      </c>
      <c r="I6" s="17" t="inlineStr">
        <is>
          <t>Offsets budget</t>
        </is>
      </c>
      <c r="J6" s="56">
        <f>IFERROR(SUM(FundRaised)/BudgetTotalPlanned,0)</f>
        <v/>
      </c>
    </row>
    <row r="7">
      <c r="A7" s="20" t="inlineStr">
        <is>
          <t>Discount card sales</t>
        </is>
      </c>
      <c r="B7" s="19" t="inlineStr">
        <is>
          <t>Product Sales</t>
        </is>
      </c>
      <c r="C7" s="21" t="n">
        <v>46194</v>
      </c>
      <c r="D7" s="44" t="n">
        <v>150</v>
      </c>
      <c r="E7" s="44" t="n">
        <v>900</v>
      </c>
      <c r="F7" s="20" t="inlineStr">
        <is>
          <t>All families</t>
        </is>
      </c>
      <c r="G7" s="20" t="inlineStr">
        <is>
          <t>Sold 300 cards</t>
        </is>
      </c>
    </row>
    <row r="8">
      <c r="A8" s="27" t="inlineStr">
        <is>
          <t>Raffle night</t>
        </is>
      </c>
      <c r="B8" s="26" t="inlineStr">
        <is>
          <t>Event</t>
        </is>
      </c>
      <c r="C8" s="28" t="n">
        <v>46224</v>
      </c>
      <c r="D8" s="45" t="n">
        <v>0</v>
      </c>
      <c r="E8" s="45" t="n">
        <v>0</v>
      </c>
      <c r="F8" s="27" t="inlineStr">
        <is>
          <t>Committee</t>
        </is>
      </c>
      <c r="G8" s="27" t="inlineStr">
        <is>
          <t>Tickets printing</t>
        </is>
      </c>
    </row>
    <row r="9">
      <c r="A9" s="20" t="inlineStr">
        <is>
          <t>Restaurant night</t>
        </is>
      </c>
      <c r="B9" s="19" t="inlineStr">
        <is>
          <t>Event</t>
        </is>
      </c>
      <c r="C9" s="21" t="n">
        <v>46199</v>
      </c>
      <c r="D9" s="44" t="n">
        <v>0</v>
      </c>
      <c r="E9" s="44" t="n">
        <v>320</v>
      </c>
      <c r="F9" s="20" t="inlineStr">
        <is>
          <t>Team Parent</t>
        </is>
      </c>
      <c r="G9" s="20" t="inlineStr">
        <is>
          <t>15% of sales</t>
        </is>
      </c>
    </row>
    <row r="10">
      <c r="A10" s="27" t="inlineStr">
        <is>
          <t>Volunteer hours (concessions)</t>
        </is>
      </c>
      <c r="B10" s="26" t="inlineStr">
        <is>
          <t>Volunteer</t>
        </is>
      </c>
      <c r="C10" s="28" t="n">
        <v>46202</v>
      </c>
      <c r="D10" s="45" t="n">
        <v>0</v>
      </c>
      <c r="E10" s="45" t="n">
        <v>0</v>
      </c>
      <c r="F10" s="27" t="inlineStr">
        <is>
          <t>Reyes</t>
        </is>
      </c>
      <c r="G10" s="27" t="inlineStr">
        <is>
          <t>8 / 20 hrs done</t>
        </is>
      </c>
    </row>
    <row r="11">
      <c r="A11" s="20" t="n"/>
      <c r="B11" s="19" t="n"/>
      <c r="C11" s="21" t="n"/>
      <c r="D11" s="44" t="n"/>
      <c r="E11" s="44" t="n"/>
      <c r="F11" s="20" t="n"/>
      <c r="G11" s="20" t="n"/>
    </row>
    <row r="12">
      <c r="A12" s="27" t="n"/>
      <c r="B12" s="26" t="n"/>
      <c r="C12" s="28" t="n"/>
      <c r="D12" s="45" t="n"/>
      <c r="E12" s="45" t="n"/>
      <c r="F12" s="27" t="n"/>
      <c r="G12" s="27" t="n"/>
    </row>
    <row r="13">
      <c r="A13" s="20" t="n"/>
      <c r="B13" s="19" t="n"/>
      <c r="C13" s="21" t="n"/>
      <c r="D13" s="44" t="n"/>
      <c r="E13" s="44" t="n"/>
      <c r="F13" s="20" t="n"/>
      <c r="G13" s="20" t="n"/>
    </row>
    <row r="14">
      <c r="A14" s="27" t="n"/>
      <c r="B14" s="26" t="n"/>
      <c r="C14" s="28" t="n"/>
      <c r="D14" s="45" t="n"/>
      <c r="E14" s="45" t="n"/>
      <c r="F14" s="27" t="n"/>
      <c r="G14" s="27" t="n"/>
    </row>
    <row r="15">
      <c r="A15" s="20" t="n"/>
      <c r="B15" s="19" t="n"/>
      <c r="C15" s="21" t="n"/>
      <c r="D15" s="44" t="n"/>
      <c r="E15" s="44" t="n"/>
      <c r="F15" s="20" t="n"/>
      <c r="G15" s="20" t="n"/>
    </row>
    <row r="16">
      <c r="A16" s="27" t="n"/>
      <c r="B16" s="26" t="n"/>
      <c r="C16" s="28" t="n"/>
      <c r="D16" s="45" t="n"/>
      <c r="E16" s="45" t="n"/>
      <c r="F16" s="27" t="n"/>
      <c r="G16" s="27" t="n"/>
    </row>
    <row r="17">
      <c r="A17" s="20" t="n"/>
      <c r="B17" s="19" t="n"/>
      <c r="C17" s="21" t="n"/>
      <c r="D17" s="44" t="n"/>
      <c r="E17" s="44" t="n"/>
      <c r="F17" s="20" t="n"/>
      <c r="G17" s="20" t="n"/>
    </row>
    <row r="18">
      <c r="A18" s="27" t="n"/>
      <c r="B18" s="26" t="n"/>
      <c r="C18" s="28" t="n"/>
      <c r="D18" s="45" t="n"/>
      <c r="E18" s="45" t="n"/>
      <c r="F18" s="27" t="n"/>
      <c r="G18" s="27" t="n"/>
    </row>
    <row r="19">
      <c r="A19" s="20" t="n"/>
      <c r="B19" s="19" t="n"/>
      <c r="C19" s="21" t="n"/>
      <c r="D19" s="44" t="n"/>
      <c r="E19" s="44" t="n"/>
      <c r="F19" s="20" t="n"/>
      <c r="G19" s="20" t="n"/>
    </row>
    <row r="20">
      <c r="A20" s="27" t="n"/>
      <c r="B20" s="26" t="n"/>
      <c r="C20" s="28" t="n"/>
      <c r="D20" s="45" t="n"/>
      <c r="E20" s="45" t="n"/>
      <c r="F20" s="27" t="n"/>
      <c r="G20" s="27" t="n"/>
    </row>
    <row r="21">
      <c r="A21" s="20" t="n"/>
      <c r="B21" s="19" t="n"/>
      <c r="C21" s="21" t="n"/>
      <c r="D21" s="44" t="n"/>
      <c r="E21" s="44" t="n"/>
      <c r="F21" s="20" t="n"/>
      <c r="G21" s="20" t="n"/>
    </row>
    <row r="22">
      <c r="A22" s="27" t="n"/>
      <c r="B22" s="26" t="n"/>
      <c r="C22" s="28" t="n"/>
      <c r="D22" s="45" t="n"/>
      <c r="E22" s="45" t="n"/>
      <c r="F22" s="27" t="n"/>
      <c r="G22" s="27" t="n"/>
    </row>
    <row r="23">
      <c r="A23" s="20" t="n"/>
      <c r="B23" s="19" t="n"/>
      <c r="C23" s="21" t="n"/>
      <c r="D23" s="44" t="n"/>
      <c r="E23" s="44" t="n"/>
      <c r="F23" s="20" t="n"/>
      <c r="G23" s="20" t="n"/>
    </row>
    <row r="24">
      <c r="A24" s="27" t="n"/>
      <c r="B24" s="26" t="n"/>
      <c r="C24" s="28" t="n"/>
      <c r="D24" s="45" t="n"/>
      <c r="E24" s="45" t="n"/>
      <c r="F24" s="27" t="n"/>
      <c r="G24" s="27" t="n"/>
    </row>
    <row r="25">
      <c r="A25" s="20" t="n"/>
      <c r="B25" s="19" t="n"/>
      <c r="C25" s="21" t="n"/>
      <c r="D25" s="44" t="n"/>
      <c r="E25" s="44" t="n"/>
      <c r="F25" s="20" t="n"/>
      <c r="G25" s="20" t="n"/>
    </row>
    <row r="26">
      <c r="A26" s="27" t="n"/>
      <c r="B26" s="26" t="n"/>
      <c r="C26" s="28" t="n"/>
      <c r="D26" s="45" t="n"/>
      <c r="E26" s="45" t="n"/>
      <c r="F26" s="27" t="n"/>
      <c r="G26" s="27" t="n"/>
    </row>
    <row r="27">
      <c r="A27" s="20" t="n"/>
      <c r="B27" s="19" t="n"/>
      <c r="C27" s="21" t="n"/>
      <c r="D27" s="44" t="n"/>
      <c r="E27" s="44" t="n"/>
      <c r="F27" s="20" t="n"/>
      <c r="G27" s="20" t="n"/>
    </row>
    <row r="28">
      <c r="A28" s="27" t="n"/>
      <c r="B28" s="26" t="n"/>
      <c r="C28" s="28" t="n"/>
      <c r="D28" s="45" t="n"/>
      <c r="E28" s="45" t="n"/>
      <c r="F28" s="27" t="n"/>
      <c r="G28" s="27" t="n"/>
    </row>
    <row r="29">
      <c r="A29" s="20" t="n"/>
      <c r="B29" s="19" t="n"/>
      <c r="C29" s="21" t="n"/>
      <c r="D29" s="44" t="n"/>
      <c r="E29" s="44" t="n"/>
      <c r="F29" s="20" t="n"/>
      <c r="G29" s="20" t="n"/>
    </row>
    <row r="30">
      <c r="A30" s="27" t="n"/>
      <c r="B30" s="26" t="n"/>
      <c r="C30" s="28" t="n"/>
      <c r="D30" s="45" t="n"/>
      <c r="E30" s="45" t="n"/>
      <c r="F30" s="27" t="n"/>
      <c r="G30" s="27" t="n"/>
    </row>
    <row r="31">
      <c r="A31" s="20" t="n"/>
      <c r="B31" s="19" t="n"/>
      <c r="C31" s="21" t="n"/>
      <c r="D31" s="44" t="n"/>
      <c r="E31" s="44" t="n"/>
      <c r="F31" s="20" t="n"/>
      <c r="G31" s="20" t="n"/>
    </row>
    <row r="32">
      <c r="A32" s="27" t="n"/>
      <c r="B32" s="26" t="n"/>
      <c r="C32" s="28" t="n"/>
      <c r="D32" s="45" t="n"/>
      <c r="E32" s="45" t="n"/>
      <c r="F32" s="27" t="n"/>
      <c r="G32" s="27" t="n"/>
    </row>
    <row r="33">
      <c r="A33" s="20" t="n"/>
      <c r="B33" s="19" t="n"/>
      <c r="C33" s="21" t="n"/>
      <c r="D33" s="44" t="n"/>
      <c r="E33" s="44" t="n"/>
      <c r="F33" s="20" t="n"/>
      <c r="G33" s="20" t="n"/>
    </row>
    <row r="34">
      <c r="A34" s="27" t="n"/>
      <c r="B34" s="26" t="n"/>
      <c r="C34" s="28" t="n"/>
      <c r="D34" s="45" t="n"/>
      <c r="E34" s="45" t="n"/>
      <c r="F34" s="27" t="n"/>
      <c r="G34" s="27" t="n"/>
    </row>
    <row r="35">
      <c r="A35" s="20" t="n"/>
      <c r="B35" s="19" t="n"/>
      <c r="C35" s="21" t="n"/>
      <c r="D35" s="44" t="n"/>
      <c r="E35" s="44" t="n"/>
      <c r="F35" s="20" t="n"/>
      <c r="G35" s="20" t="n"/>
    </row>
    <row r="36">
      <c r="A36" s="27" t="n"/>
      <c r="B36" s="26" t="n"/>
      <c r="C36" s="28" t="n"/>
      <c r="D36" s="45" t="n"/>
      <c r="E36" s="45" t="n"/>
      <c r="F36" s="27" t="n"/>
      <c r="G36" s="27" t="n"/>
    </row>
    <row r="37">
      <c r="A37" s="20" t="n"/>
      <c r="B37" s="19" t="n"/>
      <c r="C37" s="21" t="n"/>
      <c r="D37" s="44" t="n"/>
      <c r="E37" s="44" t="n"/>
      <c r="F37" s="20" t="n"/>
      <c r="G37" s="20" t="n"/>
    </row>
    <row r="38">
      <c r="A38" s="27" t="n"/>
      <c r="B38" s="26" t="n"/>
      <c r="C38" s="28" t="n"/>
      <c r="D38" s="45" t="n"/>
      <c r="E38" s="45" t="n"/>
      <c r="F38" s="27" t="n"/>
      <c r="G38" s="27" t="n"/>
    </row>
    <row r="39">
      <c r="A39" s="20" t="n"/>
      <c r="B39" s="19" t="n"/>
      <c r="C39" s="21" t="n"/>
      <c r="D39" s="44" t="n"/>
      <c r="E39" s="44" t="n"/>
      <c r="F39" s="20" t="n"/>
      <c r="G39" s="20" t="n"/>
    </row>
    <row r="40">
      <c r="A40" s="27" t="n"/>
      <c r="B40" s="26" t="n"/>
      <c r="C40" s="28" t="n"/>
      <c r="D40" s="45" t="n"/>
      <c r="E40" s="45" t="n"/>
      <c r="F40" s="27" t="n"/>
      <c r="G40" s="27" t="n"/>
    </row>
    <row r="41">
      <c r="A41" s="20" t="n"/>
      <c r="B41" s="19" t="n"/>
      <c r="C41" s="21" t="n"/>
      <c r="D41" s="44" t="n"/>
      <c r="E41" s="44" t="n"/>
      <c r="F41" s="20" t="n"/>
      <c r="G41" s="20" t="n"/>
    </row>
    <row r="42">
      <c r="A42" s="27" t="n"/>
      <c r="B42" s="26" t="n"/>
      <c r="C42" s="28" t="n"/>
      <c r="D42" s="45" t="n"/>
      <c r="E42" s="45" t="n"/>
      <c r="F42" s="27" t="n"/>
      <c r="G42" s="27" t="n"/>
    </row>
    <row r="43">
      <c r="A43" s="20" t="n"/>
      <c r="B43" s="19" t="n"/>
      <c r="C43" s="21" t="n"/>
      <c r="D43" s="44" t="n"/>
      <c r="E43" s="44" t="n"/>
      <c r="F43" s="20" t="n"/>
      <c r="G43" s="20" t="n"/>
    </row>
    <row r="44">
      <c r="A44" s="27" t="n"/>
      <c r="B44" s="26" t="n"/>
      <c r="C44" s="28" t="n"/>
      <c r="D44" s="45" t="n"/>
      <c r="E44" s="45" t="n"/>
      <c r="F44" s="27" t="n"/>
      <c r="G44" s="27" t="n"/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37356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MEMORY GALLERY</t>
        </is>
      </c>
    </row>
    <row r="2" ht="22" customHeight="1">
      <c r="A2" s="2" t="inlineStr">
        <is>
          <t xml:space="preserve">  Keep the season's best moments — paste photos with captions &amp; dates.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Team Photo</t>
        </is>
      </c>
      <c r="F5" s="7" t="inlineStr">
        <is>
          <t xml:space="preserve">  Action Shot</t>
        </is>
      </c>
    </row>
    <row r="6" ht="24" customHeight="1">
      <c r="B6" s="57" t="inlineStr">
        <is>
          <t>📷
Paste photo here
(Insert ▸ Picture)</t>
        </is>
      </c>
      <c r="F6" s="57" t="inlineStr">
        <is>
          <t>📷
Paste photo here
(Insert ▸ Picture)</t>
        </is>
      </c>
    </row>
    <row r="7" ht="24" customHeight="1"/>
    <row r="8" ht="24" customHeight="1"/>
    <row r="9" ht="24" customHeight="1"/>
    <row r="10" ht="24" customHeight="1"/>
    <row r="11">
      <c r="B11" s="17" t="inlineStr">
        <is>
          <t>Caption</t>
        </is>
      </c>
      <c r="C11" s="18" t="inlineStr"/>
      <c r="F11" s="17" t="inlineStr">
        <is>
          <t>Caption</t>
        </is>
      </c>
      <c r="G11" s="18" t="inlineStr"/>
    </row>
    <row r="12">
      <c r="B12" s="17" t="inlineStr">
        <is>
          <t>Date / Event</t>
        </is>
      </c>
      <c r="C12" s="18" t="inlineStr"/>
      <c r="F12" s="17" t="inlineStr">
        <is>
          <t>Date / Event</t>
        </is>
      </c>
      <c r="G12" s="18" t="inlineStr"/>
    </row>
    <row r="14" ht="22" customHeight="1">
      <c r="B14" s="7" t="inlineStr">
        <is>
          <t xml:space="preserve">  Tournament Win</t>
        </is>
      </c>
      <c r="F14" s="7" t="inlineStr">
        <is>
          <t xml:space="preserve">  Player Award</t>
        </is>
      </c>
    </row>
    <row r="15" ht="24" customHeight="1">
      <c r="B15" s="57" t="inlineStr">
        <is>
          <t>📷
Paste photo here
(Insert ▸ Picture)</t>
        </is>
      </c>
      <c r="F15" s="57" t="inlineStr">
        <is>
          <t>📷
Paste photo here
(Insert ▸ Picture)</t>
        </is>
      </c>
    </row>
    <row r="16" ht="24" customHeight="1"/>
    <row r="17" ht="24" customHeight="1"/>
    <row r="18" ht="24" customHeight="1"/>
    <row r="19" ht="24" customHeight="1"/>
    <row r="20">
      <c r="B20" s="17" t="inlineStr">
        <is>
          <t>Caption</t>
        </is>
      </c>
      <c r="C20" s="18" t="inlineStr"/>
      <c r="F20" s="17" t="inlineStr">
        <is>
          <t>Caption</t>
        </is>
      </c>
      <c r="G20" s="18" t="inlineStr"/>
    </row>
    <row r="21">
      <c r="B21" s="17" t="inlineStr">
        <is>
          <t>Date / Event</t>
        </is>
      </c>
      <c r="C21" s="18" t="inlineStr"/>
      <c r="F21" s="17" t="inlineStr">
        <is>
          <t>Date / Event</t>
        </is>
      </c>
      <c r="G21" s="18" t="inlineStr"/>
    </row>
    <row r="23" ht="22" customHeight="1">
      <c r="B23" s="7" t="inlineStr">
        <is>
          <t xml:space="preserve">  Championship</t>
        </is>
      </c>
      <c r="F23" s="7" t="inlineStr">
        <is>
          <t xml:space="preserve">  Family Memory</t>
        </is>
      </c>
    </row>
    <row r="24" ht="24" customHeight="1">
      <c r="B24" s="57" t="inlineStr">
        <is>
          <t>📷
Paste photo here
(Insert ▸ Picture)</t>
        </is>
      </c>
      <c r="F24" s="57" t="inlineStr">
        <is>
          <t>📷
Paste photo here
(Insert ▸ Picture)</t>
        </is>
      </c>
    </row>
    <row r="25" ht="24" customHeight="1"/>
    <row r="26" ht="24" customHeight="1"/>
    <row r="27" ht="24" customHeight="1"/>
    <row r="28" ht="24" customHeight="1"/>
    <row r="29">
      <c r="B29" s="17" t="inlineStr">
        <is>
          <t>Caption</t>
        </is>
      </c>
      <c r="C29" s="18" t="inlineStr"/>
      <c r="F29" s="17" t="inlineStr">
        <is>
          <t>Caption</t>
        </is>
      </c>
      <c r="G29" s="18" t="inlineStr"/>
    </row>
    <row r="30">
      <c r="B30" s="17" t="inlineStr">
        <is>
          <t>Date / Event</t>
        </is>
      </c>
      <c r="C30" s="18" t="inlineStr"/>
      <c r="F30" s="17" t="inlineStr">
        <is>
          <t>Date / Event</t>
        </is>
      </c>
      <c r="G30" s="18" t="inlineStr"/>
    </row>
  </sheetData>
  <mergeCells count="26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24:H28"/>
    <mergeCell ref="F23:H23"/>
    <mergeCell ref="C20:D20"/>
    <mergeCell ref="A2:I2"/>
    <mergeCell ref="C29:D29"/>
    <mergeCell ref="C12:D12"/>
    <mergeCell ref="B15:D19"/>
    <mergeCell ref="B5:D5"/>
    <mergeCell ref="B6:D10"/>
    <mergeCell ref="C21:D21"/>
    <mergeCell ref="F14:H14"/>
    <mergeCell ref="G30:H30"/>
    <mergeCell ref="C11:D11"/>
    <mergeCell ref="B24:D28"/>
    <mergeCell ref="G29:H29"/>
    <mergeCell ref="G20:H20"/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5E6C1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4" customWidth="1" min="5" max="5"/>
    <col width="24" customWidth="1" min="6" max="6"/>
  </cols>
  <sheetData>
    <row r="1" ht="46" customHeight="1">
      <c r="A1" s="1" t="inlineStr">
        <is>
          <t xml:space="preserve">  🎯  BASEBALL GOALS</t>
        </is>
      </c>
    </row>
    <row r="2" ht="22" customHeight="1">
      <c r="A2" s="2" t="inlineStr">
        <is>
          <t xml:space="preserve">  Season, skill, fitness &amp; academic goals — progress bars keep them in view.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 Date</t>
        </is>
      </c>
      <c r="D4" s="7" t="inlineStr">
        <is>
          <t>Progress</t>
        </is>
      </c>
      <c r="E4" s="7" t="inlineStr">
        <is>
          <t>Status</t>
        </is>
      </c>
      <c r="F4" s="7" t="inlineStr">
        <is>
          <t>Notes</t>
        </is>
      </c>
    </row>
    <row r="5">
      <c r="A5" s="20" t="inlineStr">
        <is>
          <t>Bat .350+ this season</t>
        </is>
      </c>
      <c r="B5" s="19" t="inlineStr">
        <is>
          <t>Season</t>
        </is>
      </c>
      <c r="C5" s="21" t="n">
        <v>46324</v>
      </c>
      <c r="D5" s="50" t="n">
        <v>0.55</v>
      </c>
      <c r="E5" s="19" t="inlineStr">
        <is>
          <t>On Track</t>
        </is>
      </c>
      <c r="F5" s="20" t="inlineStr">
        <is>
          <t>Currently .429</t>
        </is>
      </c>
    </row>
    <row r="6">
      <c r="A6" s="27" t="inlineStr">
        <is>
          <t>Cut strikeouts in half</t>
        </is>
      </c>
      <c r="B6" s="26" t="inlineStr">
        <is>
          <t>Skill</t>
        </is>
      </c>
      <c r="C6" s="28" t="n">
        <v>46264</v>
      </c>
      <c r="D6" s="39" t="n">
        <v>0.5</v>
      </c>
      <c r="E6" s="26" t="inlineStr">
        <is>
          <t>On Track</t>
        </is>
      </c>
      <c r="F6" s="27" t="inlineStr"/>
    </row>
    <row r="7">
      <c r="A7" s="20" t="inlineStr">
        <is>
          <t>Clean up SS throws</t>
        </is>
      </c>
      <c r="B7" s="19" t="inlineStr">
        <is>
          <t>Skill</t>
        </is>
      </c>
      <c r="C7" s="21" t="n">
        <v>46249</v>
      </c>
      <c r="D7" s="50" t="n">
        <v>0.6</v>
      </c>
      <c r="E7" s="19" t="inlineStr">
        <is>
          <t>On Track</t>
        </is>
      </c>
      <c r="F7" s="20" t="inlineStr"/>
    </row>
    <row r="8">
      <c r="A8" s="27" t="inlineStr">
        <is>
          <t>Sub-7.0 sixty time</t>
        </is>
      </c>
      <c r="B8" s="26" t="inlineStr">
        <is>
          <t>Fitness</t>
        </is>
      </c>
      <c r="C8" s="28" t="n">
        <v>46294</v>
      </c>
      <c r="D8" s="39" t="n">
        <v>0.4</v>
      </c>
      <c r="E8" s="26" t="inlineStr">
        <is>
          <t>On Track</t>
        </is>
      </c>
      <c r="F8" s="27" t="inlineStr">
        <is>
          <t>Sprint work</t>
        </is>
      </c>
    </row>
    <row r="9">
      <c r="A9" s="20" t="inlineStr">
        <is>
          <t>Make the all-star team</t>
        </is>
      </c>
      <c r="B9" s="19" t="inlineStr">
        <is>
          <t>Team</t>
        </is>
      </c>
      <c r="C9" s="21" t="n">
        <v>46279</v>
      </c>
      <c r="D9" s="50" t="n">
        <v>0.5</v>
      </c>
      <c r="E9" s="19" t="inlineStr">
        <is>
          <t>On Track</t>
        </is>
      </c>
      <c r="F9" s="20" t="inlineStr"/>
    </row>
    <row r="10">
      <c r="A10" s="27" t="inlineStr">
        <is>
          <t>Honor roll all year</t>
        </is>
      </c>
      <c r="B10" s="26" t="inlineStr">
        <is>
          <t>Academic</t>
        </is>
      </c>
      <c r="C10" s="28" t="n">
        <v>46324</v>
      </c>
      <c r="D10" s="39" t="n">
        <v>0.8</v>
      </c>
      <c r="E10" s="26" t="inlineStr">
        <is>
          <t>On Track</t>
        </is>
      </c>
      <c r="F10" s="27" t="inlineStr">
        <is>
          <t>Balance school</t>
        </is>
      </c>
    </row>
    <row r="11">
      <c r="A11" s="20" t="inlineStr">
        <is>
          <t>Be a great teammate</t>
        </is>
      </c>
      <c r="B11" s="19" t="inlineStr">
        <is>
          <t>Personal</t>
        </is>
      </c>
      <c r="C11" s="21" t="n">
        <v>46324</v>
      </c>
      <c r="D11" s="50" t="n">
        <v>0.85</v>
      </c>
      <c r="E11" s="19" t="inlineStr">
        <is>
          <t>On Track</t>
        </is>
      </c>
      <c r="F11" s="20" t="inlineStr"/>
    </row>
    <row r="12">
      <c r="A12" s="27" t="n"/>
      <c r="B12" s="26" t="n"/>
      <c r="C12" s="28" t="n"/>
      <c r="D12" s="39" t="n"/>
      <c r="E12" s="26" t="n"/>
      <c r="F12" s="27" t="n"/>
    </row>
    <row r="13">
      <c r="A13" s="20" t="n"/>
      <c r="B13" s="19" t="n"/>
      <c r="C13" s="21" t="n"/>
      <c r="D13" s="50" t="n"/>
      <c r="E13" s="19" t="n"/>
      <c r="F13" s="20" t="n"/>
    </row>
    <row r="14">
      <c r="A14" s="27" t="n"/>
      <c r="B14" s="26" t="n"/>
      <c r="C14" s="28" t="n"/>
      <c r="D14" s="39" t="n"/>
      <c r="E14" s="26" t="n"/>
      <c r="F14" s="27" t="n"/>
    </row>
    <row r="15">
      <c r="A15" s="20" t="n"/>
      <c r="B15" s="19" t="n"/>
      <c r="C15" s="21" t="n"/>
      <c r="D15" s="50" t="n"/>
      <c r="E15" s="19" t="n"/>
      <c r="F15" s="20" t="n"/>
    </row>
    <row r="16">
      <c r="A16" s="27" t="n"/>
      <c r="B16" s="26" t="n"/>
      <c r="C16" s="28" t="n"/>
      <c r="D16" s="39" t="n"/>
      <c r="E16" s="26" t="n"/>
      <c r="F16" s="27" t="n"/>
    </row>
    <row r="17">
      <c r="A17" s="20" t="n"/>
      <c r="B17" s="19" t="n"/>
      <c r="C17" s="21" t="n"/>
      <c r="D17" s="50" t="n"/>
      <c r="E17" s="19" t="n"/>
      <c r="F17" s="20" t="n"/>
    </row>
    <row r="18">
      <c r="A18" s="27" t="n"/>
      <c r="B18" s="26" t="n"/>
      <c r="C18" s="28" t="n"/>
      <c r="D18" s="39" t="n"/>
      <c r="E18" s="26" t="n"/>
      <c r="F18" s="27" t="n"/>
    </row>
    <row r="19">
      <c r="A19" s="20" t="n"/>
      <c r="B19" s="19" t="n"/>
      <c r="C19" s="21" t="n"/>
      <c r="D19" s="50" t="n"/>
      <c r="E19" s="19" t="n"/>
      <c r="F19" s="20" t="n"/>
    </row>
    <row r="20">
      <c r="A20" s="27" t="n"/>
      <c r="B20" s="26" t="n"/>
      <c r="C20" s="28" t="n"/>
      <c r="D20" s="39" t="n"/>
      <c r="E20" s="26" t="n"/>
      <c r="F20" s="27" t="n"/>
    </row>
    <row r="21">
      <c r="A21" s="20" t="n"/>
      <c r="B21" s="19" t="n"/>
      <c r="C21" s="21" t="n"/>
      <c r="D21" s="50" t="n"/>
      <c r="E21" s="19" t="n"/>
      <c r="F21" s="20" t="n"/>
    </row>
    <row r="22">
      <c r="A22" s="27" t="n"/>
      <c r="B22" s="26" t="n"/>
      <c r="C22" s="28" t="n"/>
      <c r="D22" s="39" t="n"/>
      <c r="E22" s="26" t="n"/>
      <c r="F22" s="27" t="n"/>
    </row>
    <row r="23">
      <c r="A23" s="20" t="n"/>
      <c r="B23" s="19" t="n"/>
      <c r="C23" s="21" t="n"/>
      <c r="D23" s="50" t="n"/>
      <c r="E23" s="19" t="n"/>
      <c r="F23" s="20" t="n"/>
    </row>
    <row r="24">
      <c r="A24" s="27" t="n"/>
      <c r="B24" s="26" t="n"/>
      <c r="C24" s="28" t="n"/>
      <c r="D24" s="39" t="n"/>
      <c r="E24" s="26" t="n"/>
      <c r="F24" s="27" t="n"/>
    </row>
    <row r="25">
      <c r="A25" s="20" t="n"/>
      <c r="B25" s="19" t="n"/>
      <c r="C25" s="21" t="n"/>
      <c r="D25" s="50" t="n"/>
      <c r="E25" s="19" t="n"/>
      <c r="F25" s="20" t="n"/>
    </row>
    <row r="26">
      <c r="A26" s="27" t="n"/>
      <c r="B26" s="26" t="n"/>
      <c r="C26" s="28" t="n"/>
      <c r="D26" s="39" t="n"/>
      <c r="E26" s="26" t="n"/>
      <c r="F26" s="27" t="n"/>
    </row>
    <row r="27">
      <c r="A27" s="20" t="n"/>
      <c r="B27" s="19" t="n"/>
      <c r="C27" s="21" t="n"/>
      <c r="D27" s="50" t="n"/>
      <c r="E27" s="19" t="n"/>
      <c r="F27" s="20" t="n"/>
    </row>
    <row r="28">
      <c r="A28" s="27" t="n"/>
      <c r="B28" s="26" t="n"/>
      <c r="C28" s="28" t="n"/>
      <c r="D28" s="39" t="n"/>
      <c r="E28" s="26" t="n"/>
      <c r="F28" s="27" t="n"/>
    </row>
    <row r="29">
      <c r="A29" s="20" t="n"/>
      <c r="B29" s="19" t="n"/>
      <c r="C29" s="21" t="n"/>
      <c r="D29" s="50" t="n"/>
      <c r="E29" s="19" t="n"/>
      <c r="F29" s="20" t="n"/>
    </row>
    <row r="30">
      <c r="A30" s="27" t="n"/>
      <c r="B30" s="26" t="n"/>
      <c r="C30" s="28" t="n"/>
      <c r="D30" s="39" t="n"/>
      <c r="E30" s="26" t="n"/>
      <c r="F30" s="27" t="n"/>
    </row>
    <row r="31">
      <c r="A31" s="20" t="n"/>
      <c r="B31" s="19" t="n"/>
      <c r="C31" s="21" t="n"/>
      <c r="D31" s="50" t="n"/>
      <c r="E31" s="19" t="n"/>
      <c r="F31" s="20" t="n"/>
    </row>
    <row r="32">
      <c r="A32" s="27" t="n"/>
      <c r="B32" s="26" t="n"/>
      <c r="C32" s="28" t="n"/>
      <c r="D32" s="39" t="n"/>
      <c r="E32" s="26" t="n"/>
      <c r="F32" s="27" t="n"/>
    </row>
    <row r="33">
      <c r="A33" s="20" t="n"/>
      <c r="B33" s="19" t="n"/>
      <c r="C33" s="21" t="n"/>
      <c r="D33" s="50" t="n"/>
      <c r="E33" s="19" t="n"/>
      <c r="F33" s="20" t="n"/>
    </row>
    <row r="34">
      <c r="A34" s="27" t="n"/>
      <c r="B34" s="26" t="n"/>
      <c r="C34" s="28" t="n"/>
      <c r="D34" s="39" t="n"/>
      <c r="E34" s="26" t="n"/>
      <c r="F34" s="27" t="n"/>
    </row>
  </sheetData>
  <mergeCells count="2">
    <mergeCell ref="A2:F2"/>
    <mergeCell ref="A1:F1"/>
  </mergeCells>
  <conditionalFormatting sqref="D5:D34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5D3BA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" customWidth="1" min="12" max="12"/>
  </cols>
  <sheetData>
    <row r="1" ht="46" customHeight="1">
      <c r="A1" s="1" t="inlineStr">
        <is>
          <t xml:space="preserve">  📈  ANALYTICS DASHBOARD</t>
        </is>
      </c>
    </row>
    <row r="2" ht="22" customHeight="1">
      <c r="A2" s="2" t="inlineStr">
        <is>
          <t xml:space="preserve">  The season by the numbers — readiness scores, costs &amp; a Baseball Readiness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FAMILY READINESS SCORES</t>
        </is>
      </c>
      <c r="F5" s="4" t="inlineStr">
        <is>
          <t>BASEBALL READINESS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58">
        <f>IFERROR(AVERAGE(C7:C12),0)</f>
        <v/>
      </c>
      <c r="G6" s="59" t="n"/>
      <c r="H6" s="59" t="n"/>
    </row>
    <row r="7">
      <c r="B7" s="24" t="inlineStr">
        <is>
          <t>Budget Health</t>
        </is>
      </c>
      <c r="C7" s="35">
        <f>IFERROR(1-BudgetTotalActual/BudgetTotalPlanned,0)</f>
        <v/>
      </c>
      <c r="D7" s="25">
        <f>IF(C7&gt;=0.75,"Great",IF(C7&gt;=0.4,"On Track","Needs Work"))</f>
        <v/>
      </c>
      <c r="F7" s="60" t="n"/>
      <c r="G7" s="60" t="n"/>
      <c r="H7" s="60" t="n"/>
    </row>
    <row r="8">
      <c r="B8" s="27" t="inlineStr">
        <is>
          <t>Attendance</t>
        </is>
      </c>
      <c r="C8" s="39">
        <f>IFERROR(COUNTIF(PracAttend,"Present")/MAX(COUNTA(PracDate),1),0)</f>
        <v/>
      </c>
      <c r="D8" s="26">
        <f>IF(C8&gt;=0.75,"Great",IF(C8&gt;=0.4,"On Track","Needs Work"))</f>
        <v/>
      </c>
      <c r="F8" s="60" t="n"/>
      <c r="G8" s="60" t="n"/>
      <c r="H8" s="60" t="n"/>
    </row>
    <row r="9">
      <c r="B9" s="24" t="inlineStr">
        <is>
          <t>Equipment Ready</t>
        </is>
      </c>
      <c r="C9" s="35">
        <f>IFERROR(1-SUMPRODUCT((EquipReplace&lt;&gt;"")*(EquipReplace&lt;=TODAY()+45))/MAX(COUNTA(EquipName),1),0)</f>
        <v/>
      </c>
      <c r="D9" s="25">
        <f>IF(C9&gt;=0.75,"Great",IF(C9&gt;=0.4,"On Track","Needs Work"))</f>
        <v/>
      </c>
      <c r="F9" s="60" t="n"/>
      <c r="G9" s="60" t="n"/>
      <c r="H9" s="60" t="n"/>
    </row>
    <row r="10">
      <c r="B10" s="27" t="inlineStr">
        <is>
          <t>Skill Progress</t>
        </is>
      </c>
      <c r="C10" s="39">
        <f>IFERROR(AVERAGE(DevProgress),0)</f>
        <v/>
      </c>
      <c r="D10" s="26">
        <f>IF(C10&gt;=0.75,"Great",IF(C10&gt;=0.4,"On Track","Needs Work"))</f>
        <v/>
      </c>
      <c r="F10" s="61" t="inlineStr">
        <is>
          <t>A blend of budget, attendance, gear, skills &amp; schedule.</t>
        </is>
      </c>
    </row>
    <row r="11">
      <c r="B11" s="24" t="inlineStr">
        <is>
          <t>Goal Progress</t>
        </is>
      </c>
      <c r="C11" s="35">
        <f>IFERROR(AVERAGE(GoalProgress),0)</f>
        <v/>
      </c>
      <c r="D11" s="25">
        <f>IF(C11&gt;=0.75,"Great",IF(C11&gt;=0.4,"On Track","Needs Work"))</f>
        <v/>
      </c>
    </row>
    <row r="12">
      <c r="B12" s="27" t="inlineStr">
        <is>
          <t>Season Complete</t>
        </is>
      </c>
      <c r="C12" s="39">
        <f>IFERROR(COUNTIFS(CalType,"Game",CalDate,"&lt;"&amp;TODAY())/MAX(COUNTIF(CalType,"Game"),1),0)</f>
        <v/>
      </c>
      <c r="D12" s="26">
        <f>IF(C12&gt;=0.75,"Great",IF(C12&gt;=0.4,"On Track","Needs Work"))</f>
        <v/>
      </c>
      <c r="F12" s="6" t="inlineStr">
        <is>
          <t>MONTHLY EXPENSES ($)</t>
        </is>
      </c>
    </row>
    <row r="13">
      <c r="F13" s="7" t="inlineStr">
        <is>
          <t>Month</t>
        </is>
      </c>
      <c r="G13" s="7" t="inlineStr">
        <is>
          <t>Spent</t>
        </is>
      </c>
    </row>
    <row r="14">
      <c r="F14" s="24" t="inlineStr">
        <is>
          <t>Mar</t>
        </is>
      </c>
      <c r="G14" s="43" t="n">
        <v>820</v>
      </c>
    </row>
    <row r="15">
      <c r="F15" s="24" t="inlineStr">
        <is>
          <t>Apr</t>
        </is>
      </c>
      <c r="G15" s="43" t="n">
        <v>1140</v>
      </c>
    </row>
    <row r="16">
      <c r="F16" s="24" t="inlineStr">
        <is>
          <t>May</t>
        </is>
      </c>
      <c r="G16" s="43" t="n">
        <v>980</v>
      </c>
    </row>
    <row r="17">
      <c r="F17" s="24" t="inlineStr">
        <is>
          <t>Jun</t>
        </is>
      </c>
      <c r="G17" s="43" t="n">
        <v>760</v>
      </c>
    </row>
    <row r="18">
      <c r="F18" s="24" t="inlineStr">
        <is>
          <t>Jul</t>
        </is>
      </c>
      <c r="G18" s="43" t="n">
        <v>1020</v>
      </c>
    </row>
    <row r="19">
      <c r="F19" s="24" t="inlineStr">
        <is>
          <t>Aug</t>
        </is>
      </c>
      <c r="G19" s="43" t="n">
        <v>235</v>
      </c>
    </row>
  </sheetData>
  <mergeCells count="7">
    <mergeCell ref="A2:L2"/>
    <mergeCell ref="F10:H10"/>
    <mergeCell ref="B5:D5"/>
    <mergeCell ref="F5:H5"/>
    <mergeCell ref="A1:L1"/>
    <mergeCell ref="F12:H12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rgb="00E5D3BA"/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season inputs once — every dashboard follows. Edit the lists to fit your program.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B5" s="6" t="inlineStr">
        <is>
          <t>SEASON INPUTS</t>
        </is>
      </c>
      <c r="E5" s="4" t="inlineStr">
        <is>
          <t>DROPDOWN LISTS</t>
        </is>
      </c>
    </row>
    <row r="6">
      <c r="B6" s="17" t="inlineStr">
        <is>
          <t>Player Name</t>
        </is>
      </c>
      <c r="C6" s="62" t="inlineStr">
        <is>
          <t>Cody Reyes</t>
        </is>
      </c>
      <c r="E6" s="7" t="inlineStr">
        <is>
          <t>Event Type</t>
        </is>
      </c>
      <c r="F6" s="7" t="inlineStr">
        <is>
          <t>League</t>
        </is>
      </c>
      <c r="G6" s="7" t="inlineStr">
        <is>
          <t>Division</t>
        </is>
      </c>
      <c r="H6" s="7" t="inlineStr">
        <is>
          <t>Position</t>
        </is>
      </c>
      <c r="I6" s="7" t="inlineStr">
        <is>
          <t>Expense Category</t>
        </is>
      </c>
      <c r="J6" s="7" t="inlineStr">
        <is>
          <t>Equipment Type</t>
        </is>
      </c>
      <c r="K6" s="7" t="inlineStr">
        <is>
          <t>Equipment Status</t>
        </is>
      </c>
    </row>
    <row r="7">
      <c r="B7" s="17" t="inlineStr">
        <is>
          <t>Team</t>
        </is>
      </c>
      <c r="C7" s="62" t="inlineStr">
        <is>
          <t>Bandits 12U Select</t>
        </is>
      </c>
      <c r="E7" s="24" t="inlineStr">
        <is>
          <t>Game</t>
        </is>
      </c>
      <c r="F7" s="24" t="inlineStr">
        <is>
          <t>Little League</t>
        </is>
      </c>
      <c r="G7" s="24" t="inlineStr">
        <is>
          <t>6U</t>
        </is>
      </c>
      <c r="H7" s="24" t="inlineStr">
        <is>
          <t>Pitcher</t>
        </is>
      </c>
      <c r="I7" s="24" t="inlineStr">
        <is>
          <t>Registration</t>
        </is>
      </c>
      <c r="J7" s="24" t="inlineStr">
        <is>
          <t>Glove</t>
        </is>
      </c>
      <c r="K7" s="24" t="inlineStr">
        <is>
          <t>New</t>
        </is>
      </c>
    </row>
    <row r="8">
      <c r="B8" s="17" t="inlineStr">
        <is>
          <t>Monthly Baseball Budget</t>
        </is>
      </c>
      <c r="C8" s="33" t="n">
        <v>900</v>
      </c>
      <c r="E8" s="24" t="inlineStr">
        <is>
          <t>Practice</t>
        </is>
      </c>
      <c r="F8" s="24" t="inlineStr">
        <is>
          <t>Travel</t>
        </is>
      </c>
      <c r="G8" s="24" t="inlineStr">
        <is>
          <t>8U</t>
        </is>
      </c>
      <c r="H8" s="24" t="inlineStr">
        <is>
          <t>Catcher</t>
        </is>
      </c>
      <c r="I8" s="24" t="inlineStr">
        <is>
          <t>League Fees</t>
        </is>
      </c>
      <c r="J8" s="24" t="inlineStr">
        <is>
          <t>Bat</t>
        </is>
      </c>
      <c r="K8" s="24" t="inlineStr">
        <is>
          <t>Good</t>
        </is>
      </c>
    </row>
    <row r="9">
      <c r="B9" s="17" t="inlineStr">
        <is>
          <t>Season Start</t>
        </is>
      </c>
      <c r="C9" s="63" t="n">
        <v>46159</v>
      </c>
      <c r="E9" s="24" t="inlineStr">
        <is>
          <t>Tournament</t>
        </is>
      </c>
      <c r="F9" s="24" t="inlineStr">
        <is>
          <t>Select</t>
        </is>
      </c>
      <c r="G9" s="24" t="inlineStr">
        <is>
          <t>10U</t>
        </is>
      </c>
      <c r="H9" s="24" t="inlineStr">
        <is>
          <t>1B</t>
        </is>
      </c>
      <c r="I9" s="24" t="inlineStr">
        <is>
          <t>Uniforms</t>
        </is>
      </c>
      <c r="J9" s="24" t="inlineStr">
        <is>
          <t>Cleats</t>
        </is>
      </c>
      <c r="K9" s="24" t="inlineStr">
        <is>
          <t>Fair</t>
        </is>
      </c>
    </row>
    <row r="10">
      <c r="B10" s="17" t="inlineStr">
        <is>
          <t>Season End</t>
        </is>
      </c>
      <c r="C10" s="63" t="n">
        <v>46324</v>
      </c>
      <c r="E10" s="24" t="inlineStr">
        <is>
          <t>Batting Cage</t>
        </is>
      </c>
      <c r="F10" s="24" t="inlineStr">
        <is>
          <t>Club</t>
        </is>
      </c>
      <c r="G10" s="24" t="inlineStr">
        <is>
          <t>12U</t>
        </is>
      </c>
      <c r="H10" s="24" t="inlineStr">
        <is>
          <t>2B</t>
        </is>
      </c>
      <c r="I10" s="24" t="inlineStr">
        <is>
          <t>Cleats</t>
        </is>
      </c>
      <c r="J10" s="24" t="inlineStr">
        <is>
          <t>Helmet</t>
        </is>
      </c>
      <c r="K10" s="24" t="inlineStr">
        <is>
          <t>Replace Soon</t>
        </is>
      </c>
    </row>
    <row r="11">
      <c r="B11" s="17" t="inlineStr">
        <is>
          <t>Pitch Count Limit</t>
        </is>
      </c>
      <c r="C11" s="64" t="n">
        <v>75</v>
      </c>
      <c r="E11" s="24" t="inlineStr">
        <is>
          <t>Strength</t>
        </is>
      </c>
      <c r="F11" s="24" t="inlineStr">
        <is>
          <t>Pony</t>
        </is>
      </c>
      <c r="G11" s="24" t="inlineStr">
        <is>
          <t>14U</t>
        </is>
      </c>
      <c r="H11" s="24" t="inlineStr">
        <is>
          <t>3B</t>
        </is>
      </c>
      <c r="I11" s="24" t="inlineStr">
        <is>
          <t>Gloves</t>
        </is>
      </c>
      <c r="J11" s="24" t="inlineStr">
        <is>
          <t>Catcher's Gear</t>
        </is>
      </c>
      <c r="K11" s="24" t="inlineStr">
        <is>
          <t>Replace Now</t>
        </is>
      </c>
    </row>
    <row r="12">
      <c r="B12" s="17" t="inlineStr">
        <is>
          <t>Innings / Game</t>
        </is>
      </c>
      <c r="C12" s="64" t="n">
        <v>7</v>
      </c>
      <c r="E12" s="24" t="inlineStr">
        <is>
          <t>Private Lesson</t>
        </is>
      </c>
      <c r="F12" s="24" t="inlineStr">
        <is>
          <t>Cal Ripken</t>
        </is>
      </c>
      <c r="G12" s="24" t="inlineStr">
        <is>
          <t>16U</t>
        </is>
      </c>
      <c r="H12" s="24" t="inlineStr">
        <is>
          <t>SS</t>
        </is>
      </c>
      <c r="I12" s="24" t="inlineStr">
        <is>
          <t>Bats</t>
        </is>
      </c>
      <c r="J12" s="24" t="inlineStr">
        <is>
          <t>Batting Gloves</t>
        </is>
      </c>
    </row>
    <row r="13">
      <c r="B13" s="17" t="inlineStr">
        <is>
          <t>Home Ballpark</t>
        </is>
      </c>
      <c r="C13" s="62" t="inlineStr">
        <is>
          <t>Miller Field</t>
        </is>
      </c>
      <c r="E13" s="24" t="inlineStr">
        <is>
          <t>Team Meeting</t>
        </is>
      </c>
      <c r="F13" s="24" t="inlineStr">
        <is>
          <t>AAU</t>
        </is>
      </c>
      <c r="G13" s="24" t="inlineStr">
        <is>
          <t>18U</t>
        </is>
      </c>
      <c r="H13" s="24" t="inlineStr">
        <is>
          <t>LF</t>
        </is>
      </c>
      <c r="I13" s="24" t="inlineStr">
        <is>
          <t>Helmets</t>
        </is>
      </c>
      <c r="J13" s="24" t="inlineStr">
        <is>
          <t>Bat Bag</t>
        </is>
      </c>
    </row>
    <row r="14">
      <c r="E14" s="24" t="inlineStr">
        <is>
          <t>School</t>
        </is>
      </c>
      <c r="F14" s="24" t="inlineStr">
        <is>
          <t>Rec</t>
        </is>
      </c>
      <c r="H14" s="24" t="inlineStr">
        <is>
          <t>CF</t>
        </is>
      </c>
      <c r="I14" s="24" t="inlineStr">
        <is>
          <t>Batting Gloves</t>
        </is>
      </c>
      <c r="J14" s="24" t="inlineStr">
        <is>
          <t>Baseballs</t>
        </is>
      </c>
    </row>
    <row r="15">
      <c r="E15" s="24" t="inlineStr">
        <is>
          <t>Family</t>
        </is>
      </c>
      <c r="H15" s="24" t="inlineStr">
        <is>
          <t>RF</t>
        </is>
      </c>
      <c r="I15" s="24" t="inlineStr">
        <is>
          <t>Bags</t>
        </is>
      </c>
      <c r="J15" s="24" t="inlineStr">
        <is>
          <t>Training Aid</t>
        </is>
      </c>
    </row>
    <row r="16">
      <c r="E16" s="24" t="inlineStr">
        <is>
          <t>Volunteer</t>
        </is>
      </c>
      <c r="H16" s="24" t="inlineStr">
        <is>
          <t>DH</t>
        </is>
      </c>
      <c r="I16" s="24" t="inlineStr">
        <is>
          <t>Protective Gear</t>
        </is>
      </c>
      <c r="J16" s="24" t="inlineStr">
        <is>
          <t>Protective</t>
        </is>
      </c>
    </row>
    <row r="17">
      <c r="H17" s="24" t="inlineStr">
        <is>
          <t>Utility</t>
        </is>
      </c>
      <c r="I17" s="24" t="inlineStr">
        <is>
          <t>Tournaments</t>
        </is>
      </c>
    </row>
    <row r="18">
      <c r="I18" s="24" t="inlineStr">
        <is>
          <t>Hotels</t>
        </is>
      </c>
    </row>
    <row r="19">
      <c r="I19" s="24" t="inlineStr">
        <is>
          <t>Fuel</t>
        </is>
      </c>
    </row>
    <row r="20">
      <c r="I20" s="24" t="inlineStr">
        <is>
          <t>Meals</t>
        </is>
      </c>
    </row>
    <row r="21">
      <c r="I21" s="24" t="inlineStr">
        <is>
          <t>Private Lessons</t>
        </is>
      </c>
    </row>
    <row r="22">
      <c r="I22" s="24" t="inlineStr">
        <is>
          <t>Batting Cage</t>
        </is>
      </c>
    </row>
    <row r="23">
      <c r="I23" s="24" t="inlineStr">
        <is>
          <t>Team Apparel</t>
        </is>
      </c>
    </row>
    <row r="24">
      <c r="I24" s="24" t="inlineStr">
        <is>
          <t>Photos</t>
        </is>
      </c>
    </row>
    <row r="25">
      <c r="I25" s="24" t="inlineStr">
        <is>
          <t>Fundraising</t>
        </is>
      </c>
    </row>
    <row r="26">
      <c r="I26" s="24" t="inlineStr">
        <is>
          <t>Miscellaneous</t>
        </is>
      </c>
    </row>
    <row r="30">
      <c r="E30" s="4" t="inlineStr">
        <is>
          <t>DROPDOWN LISTS</t>
        </is>
      </c>
    </row>
    <row r="31">
      <c r="E31" s="7" t="inlineStr">
        <is>
          <t>Volunteer Role</t>
        </is>
      </c>
      <c r="F31" s="7" t="inlineStr">
        <is>
          <t>Practice Type</t>
        </is>
      </c>
      <c r="G31" s="7" t="inlineStr">
        <is>
          <t>Tournament Type</t>
        </is>
      </c>
      <c r="H31" s="7" t="inlineStr">
        <is>
          <t>Skill Level</t>
        </is>
      </c>
      <c r="I31" s="7" t="inlineStr">
        <is>
          <t>Attendance</t>
        </is>
      </c>
      <c r="J31" s="7" t="inlineStr">
        <is>
          <t>Yes / No</t>
        </is>
      </c>
      <c r="K31" s="7" t="inlineStr">
        <is>
          <t>Expense Group</t>
        </is>
      </c>
    </row>
    <row r="32">
      <c r="E32" s="24" t="inlineStr">
        <is>
          <t>Snack</t>
        </is>
      </c>
      <c r="F32" s="24" t="inlineStr">
        <is>
          <t>Team Practice</t>
        </is>
      </c>
      <c r="G32" s="24" t="inlineStr">
        <is>
          <t>Pool Play</t>
        </is>
      </c>
      <c r="H32" s="24" t="inlineStr">
        <is>
          <t>Developing</t>
        </is>
      </c>
      <c r="I32" s="24" t="inlineStr">
        <is>
          <t>Present</t>
        </is>
      </c>
      <c r="J32" s="24" t="inlineStr">
        <is>
          <t>Yes</t>
        </is>
      </c>
      <c r="K32" s="24" t="inlineStr">
        <is>
          <t>Fees &amp; Registration</t>
        </is>
      </c>
    </row>
    <row r="33">
      <c r="E33" s="24" t="inlineStr">
        <is>
          <t>Dugout Helper</t>
        </is>
      </c>
      <c r="F33" s="24" t="inlineStr">
        <is>
          <t>Batting Cage</t>
        </is>
      </c>
      <c r="G33" s="24" t="inlineStr">
        <is>
          <t>Bracket</t>
        </is>
      </c>
      <c r="H33" s="24" t="inlineStr">
        <is>
          <t>Average</t>
        </is>
      </c>
      <c r="I33" s="24" t="inlineStr">
        <is>
          <t>Absent</t>
        </is>
      </c>
      <c r="J33" s="24" t="inlineStr">
        <is>
          <t>No</t>
        </is>
      </c>
      <c r="K33" s="24" t="inlineStr">
        <is>
          <t>Equipment</t>
        </is>
      </c>
    </row>
    <row r="34">
      <c r="E34" s="24" t="inlineStr">
        <is>
          <t>Scorekeeper</t>
        </is>
      </c>
      <c r="F34" s="24" t="inlineStr">
        <is>
          <t>Fielding</t>
        </is>
      </c>
      <c r="G34" s="24" t="inlineStr">
        <is>
          <t>Showcase</t>
        </is>
      </c>
      <c r="H34" s="24" t="inlineStr">
        <is>
          <t>Strong</t>
        </is>
      </c>
      <c r="I34" s="24" t="inlineStr">
        <is>
          <t>Excused</t>
        </is>
      </c>
      <c r="K34" s="24" t="inlineStr">
        <is>
          <t>Travel</t>
        </is>
      </c>
    </row>
    <row r="35">
      <c r="E35" s="24" t="inlineStr">
        <is>
          <t>Pitch Count</t>
        </is>
      </c>
      <c r="F35" s="24" t="inlineStr">
        <is>
          <t>Pitching</t>
        </is>
      </c>
      <c r="G35" s="24" t="inlineStr">
        <is>
          <t>Championship</t>
        </is>
      </c>
      <c r="H35" s="24" t="inlineStr">
        <is>
          <t>Elite</t>
        </is>
      </c>
      <c r="K35" s="24" t="inlineStr">
        <is>
          <t>Training</t>
        </is>
      </c>
    </row>
    <row r="36">
      <c r="E36" s="24" t="inlineStr">
        <is>
          <t>Team Parent</t>
        </is>
      </c>
      <c r="F36" s="24" t="inlineStr">
        <is>
          <t>Strength</t>
        </is>
      </c>
      <c r="G36" s="24" t="inlineStr">
        <is>
          <t>Friendly</t>
        </is>
      </c>
      <c r="K36" s="24" t="inlineStr">
        <is>
          <t>Extras</t>
        </is>
      </c>
    </row>
    <row r="37">
      <c r="E37" s="24" t="inlineStr">
        <is>
          <t>Fundraising</t>
        </is>
      </c>
      <c r="F37" s="24" t="inlineStr">
        <is>
          <t>Private Lesson</t>
        </is>
      </c>
    </row>
    <row r="38">
      <c r="E38" s="24" t="inlineStr">
        <is>
          <t>Field Prep</t>
        </is>
      </c>
      <c r="F38" s="24" t="inlineStr">
        <is>
          <t>Scrimmage</t>
        </is>
      </c>
    </row>
    <row r="39">
      <c r="E39" s="24" t="inlineStr">
        <is>
          <t>Concessions</t>
        </is>
      </c>
    </row>
    <row r="40">
      <c r="E40" s="7" t="inlineStr">
        <is>
          <t>Bats</t>
        </is>
      </c>
      <c r="F40" s="7" t="inlineStr">
        <is>
          <t>Throws</t>
        </is>
      </c>
    </row>
    <row r="41">
      <c r="E41" s="24" t="inlineStr">
        <is>
          <t>Left</t>
        </is>
      </c>
      <c r="F41" s="24" t="inlineStr">
        <is>
          <t>Left</t>
        </is>
      </c>
    </row>
    <row r="42">
      <c r="E42" s="24" t="inlineStr">
        <is>
          <t>Right</t>
        </is>
      </c>
      <c r="F42" s="24" t="inlineStr">
        <is>
          <t>Right</t>
        </is>
      </c>
    </row>
    <row r="43">
      <c r="E43" s="24" t="inlineStr">
        <is>
          <t>Switch</t>
        </is>
      </c>
    </row>
  </sheetData>
  <mergeCells count="5">
    <mergeCell ref="E5:K5"/>
    <mergeCell ref="B5:C5"/>
    <mergeCell ref="E30:K3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2026-07-01T05:58:24Z</dcterms:created>
  <dcterms:modified xsi:type="dcterms:W3CDTF">2026-07-01T05:58:25Z</dcterms:modified>
</cp:coreProperties>
</file>