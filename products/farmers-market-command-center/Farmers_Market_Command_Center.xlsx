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Market Day" sheetId="3" state="visible" r:id="rId3"/>
    <sheet name="Products" sheetId="4" state="visible" r:id="rId4"/>
    <sheet name="Ingredient Costs" sheetId="5" state="visible" r:id="rId5"/>
    <sheet name="Bake Plan" sheetId="6" state="visible" r:id="rId6"/>
    <sheet name="Markets" sheetId="7" state="visible" r:id="rId7"/>
    <sheet name="Booth Costs" sheetId="8" state="visible" r:id="rId8"/>
    <sheet name="Packaging" sheetId="9" state="visible" r:id="rId9"/>
    <sheet name="Customers" sheetId="10" state="visible" r:id="rId10"/>
    <sheet name="Waste Log" sheetId="11" state="visible" r:id="rId11"/>
    <sheet name="Income &amp; Expenses" sheetId="12" state="visible" r:id="rId12"/>
    <sheet name="Monthly Summary" sheetId="13" state="visible" r:id="rId13"/>
    <sheet name="Settings" sheetId="14" state="visible" r:id="rId14"/>
  </sheets>
  <definedNames>
    <definedName name="Business">Settings!$C$6</definedName>
    <definedName name="Owner">Settings!$C$7</definedName>
    <definedName name="TargetCOGS">Settings!$C$8</definedName>
    <definedName name="MarginGoal">Settings!$C$9</definedName>
    <definedName name="SalesGoal">Settings!$C$10</definedName>
    <definedName name="ProfitGoal">Settings!$C$11</definedName>
    <definedName name="WasteLimit">Settings!$C$12</definedName>
    <definedName name="Currency">Settings!$C$13</definedName>
    <definedName name="UnitList">Settings!$E$7:$E$14</definedName>
    <definedName name="CategoryList">Settings!$F$7:$F$12</definedName>
    <definedName name="CTypeList">Settings!$G$7:$G$10</definedName>
    <definedName name="YesNoList">Settings!$H$7:$H$8</definedName>
    <definedName name="ProductName">'Products'!$B$5:$B$12</definedName>
    <definedName name="ProductCost">'Products'!$C$5:$C$12</definedName>
    <definedName name="ProductPrice">'Products'!$D$5:$D$12</definedName>
    <definedName name="Customers">'Market Day'!$F$5</definedName>
    <definedName name="DayProduct">'Market Day'!$B$8:$B$15</definedName>
    <definedName name="DaySoldRng">'Market Day'!$C$8:$C$15</definedName>
    <definedName name="DayRev">'Market Day'!$E$8:$E$15</definedName>
    <definedName name="DayLineCost">'Market Day'!$F$8:$F$15</definedName>
    <definedName name="DayUnits">'Market Day'!$C$16</definedName>
    <definedName name="DaySales">'Market Day'!$E$16</definedName>
    <definedName name="DayCOGS">'Market Day'!$F$16</definedName>
    <definedName name="BoothItems">'Market Day'!$F$19:$F$23</definedName>
    <definedName name="BoothCosts">'Market Day'!$F$24</definedName>
    <definedName name="MarketHours">'Market Day'!$F$25</definedName>
    <definedName name="BoothNet">'Market Day'!$F$27</definedName>
    <definedName name="NetHour">'Market Day'!$F$28</definedName>
    <definedName name="COGSPct">'Market Day'!$F$30</definedName>
    <definedName name="NetMarginPct">'Market Day'!$F$31</definedName>
    <definedName name="AvgBasket">'Market Day'!$F$32</definedName>
    <definedName name="TopSeller">'Market Day'!$F$33</definedName>
    <definedName name="MarketSales">'Markets'!$D$5:$D$8</definedName>
    <definedName name="MonthlySales">'Markets'!$D$9</definedName>
    <definedName name="MarketCount">'Markets'!$D$11</definedName>
    <definedName name="WasteCost">'Waste Log'!$D$5:$D$28</definedName>
    <definedName name="WasteTotal">'Waste Log'!$D$29</definedName>
    <definedName name="TotalIncome">'Income &amp; Expenses'!$C$6</definedName>
    <definedName name="ExpAmt">'Income &amp; Expenses'!$C$10:$C$15</definedName>
    <definedName name="ExpTotal">'Income &amp; Expenses'!$C$16</definedName>
    <definedName name="NetProfit">'Income &amp; Expenses'!$C$18</definedName>
    <definedName name="MonthSales">'Monthly Summary'!$C$5:$C$10</definedName>
    <definedName name="HealthRange">'Dashboard'!$C$13:$C$18</definedName>
  </definedNames>
  <calcPr calcId="124519" fullCalcOnLoad="1"/>
</workbook>
</file>

<file path=xl/styles.xml><?xml version="1.0" encoding="utf-8"?>
<styleSheet xmlns="http://schemas.openxmlformats.org/spreadsheetml/2006/main">
  <numFmts count="3">
    <numFmt numFmtId="164" formatCode="&quot;$&quot;#,##0"/>
    <numFmt numFmtId="165" formatCode="&quot;$&quot;#,##0.00"/>
    <numFmt numFmtId="166" formatCode="0.0"/>
  </numFmts>
  <fonts count="16">
    <font>
      <name val="Calibri"/>
      <family val="2"/>
      <color theme="1"/>
      <sz val="11"/>
      <scheme val="minor"/>
    </font>
    <font>
      <name val="Calibri"/>
      <b val="1"/>
      <color rgb="00FFFFFF"/>
      <sz val="24"/>
    </font>
    <font>
      <name val="Calibri"/>
      <i val="1"/>
      <color rgb="00E5D3BA"/>
      <sz val="11"/>
    </font>
    <font>
      <name val="Calibri"/>
      <b val="1"/>
      <color rgb="001B4F48"/>
      <sz val="12"/>
    </font>
    <font>
      <name val="Calibri"/>
      <b val="1"/>
      <color rgb="00937356"/>
      <sz val="12"/>
    </font>
    <font>
      <name val="Calibri"/>
      <b val="1"/>
      <color rgb="00FFFFFF"/>
      <sz val="11"/>
    </font>
    <font>
      <name val="Calibri"/>
      <color rgb="00333333"/>
      <sz val="11"/>
    </font>
    <font>
      <name val="Calibri"/>
      <b val="1"/>
      <color rgb="001B4F48"/>
      <sz val="11"/>
    </font>
    <font>
      <name val="Calibri"/>
      <b val="1"/>
      <color rgb="00937356"/>
      <sz val="10"/>
    </font>
    <font>
      <color rgb="00333333"/>
      <sz val="11"/>
    </font>
    <font>
      <b val="1"/>
      <color rgb="001B4F48"/>
    </font>
    <font>
      <b val="1"/>
      <color rgb="00C94C4C"/>
    </font>
    <font>
      <b val="1"/>
      <color rgb="001B4F48"/>
      <sz val="13"/>
    </font>
    <font>
      <b val="1"/>
      <color rgb="001B4F48"/>
      <sz val="12"/>
    </font>
    <font>
      <b val="1"/>
      <color rgb="00937356"/>
      <sz val="9"/>
    </font>
    <font>
      <b val="1"/>
      <color rgb="001B4F48"/>
      <sz val="18"/>
    </font>
  </fonts>
  <fills count="10">
    <fill>
      <patternFill/>
    </fill>
    <fill>
      <patternFill patternType="gray125"/>
    </fill>
    <fill>
      <patternFill patternType="solid">
        <fgColor rgb="001B4F48"/>
      </patternFill>
    </fill>
    <fill>
      <patternFill patternType="solid">
        <fgColor rgb="00E5D3BA"/>
      </patternFill>
    </fill>
    <fill>
      <patternFill patternType="solid">
        <fgColor rgb="00FAF7F1"/>
      </patternFill>
    </fill>
    <fill>
      <patternFill patternType="solid">
        <fgColor rgb="00C9A86A"/>
      </patternFill>
    </fill>
    <fill>
      <patternFill patternType="solid">
        <fgColor rgb="00E3F8EF"/>
      </patternFill>
    </fill>
    <fill>
      <patternFill patternType="solid">
        <fgColor rgb="00FBF0E2"/>
      </patternFill>
    </fill>
    <fill>
      <patternFill patternType="solid">
        <fgColor rgb="00F4ECDE"/>
      </patternFill>
    </fill>
    <fill>
      <patternFill patternType="solid">
        <fgColor rgb="00FFFFFF"/>
      </patternFill>
    </fill>
  </fills>
  <borders count="4">
    <border>
      <left/>
      <right/>
      <top/>
      <bottom/>
      <diagonal/>
    </border>
    <border/>
    <border>
      <left style="thin">
        <color rgb="00D6D2C8"/>
      </left>
      <right style="thin">
        <color rgb="00D6D2C8"/>
      </right>
      <top style="thin">
        <color rgb="00D6D2C8"/>
      </top>
      <bottom style="thin">
        <color rgb="00D6D2C8"/>
      </bottom>
    </border>
    <border>
      <left style="thin">
        <color rgb="00D6D2C8"/>
      </left>
      <right style="thin">
        <color rgb="00D6D2C8"/>
      </right>
      <top style="medium">
        <color rgb="00C9A86A"/>
      </top>
      <bottom style="thin">
        <color rgb="00D6D2C8"/>
      </bottom>
    </border>
  </borders>
  <cellStyleXfs count="12">
    <xf numFmtId="0" fontId="0" fillId="0" borderId="0"/>
    <xf numFmtId="0" fontId="1" fillId="2" borderId="1" applyAlignment="1">
      <alignment horizontal="left" vertical="center" indent="2"/>
    </xf>
    <xf numFmtId="0" fontId="2" fillId="2" borderId="1" applyAlignment="1">
      <alignment horizontal="left" vertical="center" indent="2"/>
    </xf>
    <xf numFmtId="0" fontId="3" fillId="0" borderId="1" applyAlignment="1">
      <alignment horizontal="left" vertical="center"/>
    </xf>
    <xf numFmtId="0" fontId="4" fillId="0" borderId="1" applyAlignment="1">
      <alignment horizontal="left" vertical="center"/>
    </xf>
    <xf numFmtId="0" fontId="5" fillId="2" borderId="2" applyAlignment="1">
      <alignment horizontal="center" vertical="center" wrapText="1"/>
    </xf>
    <xf numFmtId="0" fontId="6" fillId="0" borderId="2" applyAlignment="1">
      <alignment horizontal="center" vertical="center" wrapText="1"/>
    </xf>
    <xf numFmtId="0" fontId="6" fillId="0" borderId="2" applyAlignment="1">
      <alignment horizontal="left" vertical="center" wrapText="1" indent="1"/>
    </xf>
    <xf numFmtId="0" fontId="7" fillId="3" borderId="2" applyAlignment="1">
      <alignment horizontal="center" vertical="center"/>
    </xf>
    <xf numFmtId="0" fontId="8" fillId="4" borderId="2" applyAlignment="1">
      <alignment horizontal="left" vertical="center" indent="1"/>
    </xf>
    <xf numFmtId="0" fontId="7" fillId="0" borderId="2" applyAlignment="1">
      <alignment horizontal="left" vertical="center" indent="1"/>
    </xf>
    <xf numFmtId="0" fontId="6" fillId="0" borderId="1" applyAlignment="1">
      <alignment horizontal="left" vertical="top" wrapText="1" indent="1"/>
    </xf>
  </cellStyleXfs>
  <cellXfs count="63">
    <xf numFmtId="0" fontId="0" fillId="0" borderId="0" pivotButton="0" quotePrefix="0" xfId="0"/>
    <xf numFmtId="0" fontId="1" fillId="2" borderId="1" applyAlignment="1" pivotButton="0" quotePrefix="0" xfId="1">
      <alignment horizontal="left" vertical="center" indent="2"/>
    </xf>
    <xf numFmtId="0" fontId="2" fillId="2" borderId="1" applyAlignment="1" pivotButton="0" quotePrefix="0" xfId="2">
      <alignment horizontal="left" vertical="center" indent="2"/>
    </xf>
    <xf numFmtId="0" fontId="0" fillId="5" borderId="0" pivotButton="0" quotePrefix="0" xfId="0"/>
    <xf numFmtId="0" fontId="4" fillId="0" borderId="1" applyAlignment="1" pivotButton="0" quotePrefix="0" xfId="4">
      <alignment horizontal="left" vertical="center"/>
    </xf>
    <xf numFmtId="0" fontId="6" fillId="6" borderId="2" applyAlignment="1" pivotButton="0" quotePrefix="0" xfId="11">
      <alignment horizontal="left" vertical="top" wrapText="1" indent="1"/>
    </xf>
    <xf numFmtId="0" fontId="0" fillId="6" borderId="0" pivotButton="0" quotePrefix="0" xfId="0"/>
    <xf numFmtId="0" fontId="3" fillId="0" borderId="1" applyAlignment="1" pivotButton="0" quotePrefix="0" xfId="3">
      <alignment horizontal="left" vertical="center"/>
    </xf>
    <xf numFmtId="0" fontId="6" fillId="0" borderId="1" applyAlignment="1" pivotButton="0" quotePrefix="0" xfId="11">
      <alignment horizontal="left" vertical="top" wrapText="1" indent="1"/>
    </xf>
    <xf numFmtId="0" fontId="5" fillId="2" borderId="2" applyAlignment="1" pivotButton="0" quotePrefix="0" xfId="5">
      <alignment horizontal="center" vertical="center" wrapText="1"/>
    </xf>
    <xf numFmtId="0" fontId="9" fillId="7" borderId="2" applyAlignment="1" pivotButton="0" quotePrefix="0" xfId="0">
      <alignment horizontal="left" vertical="top" wrapText="1" indent="1"/>
    </xf>
    <xf numFmtId="0" fontId="0" fillId="7" borderId="0" pivotButton="0" quotePrefix="0" xfId="0"/>
    <xf numFmtId="0" fontId="14" fillId="9" borderId="3" applyAlignment="1" pivotButton="0" quotePrefix="0" xfId="0">
      <alignment horizontal="center" vertical="center"/>
    </xf>
    <xf numFmtId="0" fontId="0" fillId="9" borderId="3" pivotButton="0" quotePrefix="0" xfId="0"/>
    <xf numFmtId="3" fontId="15" fillId="9" borderId="2" applyAlignment="1" pivotButton="0" quotePrefix="0" xfId="0">
      <alignment horizontal="center" vertical="center"/>
    </xf>
    <xf numFmtId="0" fontId="0" fillId="9" borderId="2" pivotButton="0" quotePrefix="0" xfId="0"/>
    <xf numFmtId="164" fontId="15" fillId="9" borderId="2" applyAlignment="1" pivotButton="0" quotePrefix="0" xfId="0">
      <alignment horizontal="center" vertical="center"/>
    </xf>
    <xf numFmtId="9" fontId="15" fillId="9" borderId="2" applyAlignment="1" pivotButton="0" quotePrefix="0" xfId="0">
      <alignment horizontal="center" vertical="center"/>
    </xf>
    <xf numFmtId="165" fontId="15" fillId="9" borderId="2" applyAlignment="1" pivotButton="0" quotePrefix="0" xfId="0">
      <alignment horizontal="center" vertical="center"/>
    </xf>
    <xf numFmtId="0" fontId="13" fillId="9" borderId="2" applyAlignment="1" pivotButton="0" quotePrefix="0" xfId="0">
      <alignment horizontal="center" vertical="center"/>
    </xf>
    <xf numFmtId="0" fontId="6" fillId="0" borderId="2" applyAlignment="1" pivotButton="0" quotePrefix="0" xfId="7">
      <alignment horizontal="left" vertical="center" wrapText="1" indent="1"/>
    </xf>
    <xf numFmtId="9" fontId="6" fillId="0" borderId="2" applyAlignment="1" pivotButton="0" quotePrefix="0" xfId="6">
      <alignment horizontal="center" vertical="center" wrapText="1"/>
    </xf>
    <xf numFmtId="0" fontId="6" fillId="0" borderId="2" applyAlignment="1" pivotButton="0" quotePrefix="0" xfId="6">
      <alignment horizontal="center" vertical="center" wrapText="1"/>
    </xf>
    <xf numFmtId="0" fontId="6" fillId="8" borderId="2" applyAlignment="1" pivotButton="0" quotePrefix="0" xfId="7">
      <alignment horizontal="left" vertical="center" wrapText="1" indent="1"/>
    </xf>
    <xf numFmtId="9" fontId="6" fillId="8" borderId="2" applyAlignment="1" pivotButton="0" quotePrefix="0" xfId="6">
      <alignment horizontal="center" vertical="center" wrapText="1"/>
    </xf>
    <xf numFmtId="0" fontId="6" fillId="8" borderId="2" applyAlignment="1" pivotButton="0" quotePrefix="0" xfId="6">
      <alignment horizontal="center" vertical="center" wrapText="1"/>
    </xf>
    <xf numFmtId="0" fontId="10" fillId="0" borderId="0" pivotButton="0" quotePrefix="0" xfId="0"/>
    <xf numFmtId="0" fontId="8" fillId="4" borderId="2" applyAlignment="1" pivotButton="0" quotePrefix="0" xfId="9">
      <alignment horizontal="left" vertical="center" indent="1"/>
    </xf>
    <xf numFmtId="3" fontId="7" fillId="3" borderId="2" applyAlignment="1" pivotButton="0" quotePrefix="0" xfId="8">
      <alignment horizontal="center" vertical="center"/>
    </xf>
    <xf numFmtId="164" fontId="6" fillId="0" borderId="2" applyAlignment="1" pivotButton="0" quotePrefix="0" xfId="6">
      <alignment horizontal="center" vertical="center" wrapText="1"/>
    </xf>
    <xf numFmtId="164" fontId="10" fillId="0" borderId="2" applyAlignment="1" pivotButton="0" quotePrefix="0" xfId="6">
      <alignment horizontal="center" vertical="center" wrapText="1"/>
    </xf>
    <xf numFmtId="165" fontId="6" fillId="0" borderId="2" applyAlignment="1" pivotButton="0" quotePrefix="0" xfId="6">
      <alignment horizontal="center" vertical="center" wrapText="1"/>
    </xf>
    <xf numFmtId="3" fontId="7" fillId="8" borderId="2" applyAlignment="1" pivotButton="0" quotePrefix="0" xfId="8">
      <alignment horizontal="center" vertical="center"/>
    </xf>
    <xf numFmtId="164" fontId="6" fillId="8" borderId="2" applyAlignment="1" pivotButton="0" quotePrefix="0" xfId="6">
      <alignment horizontal="center" vertical="center" wrapText="1"/>
    </xf>
    <xf numFmtId="164" fontId="10" fillId="8" borderId="2" applyAlignment="1" pivotButton="0" quotePrefix="0" xfId="6">
      <alignment horizontal="center" vertical="center" wrapText="1"/>
    </xf>
    <xf numFmtId="165" fontId="6" fillId="8" borderId="2" applyAlignment="1" pivotButton="0" quotePrefix="0" xfId="6">
      <alignment horizontal="center" vertical="center" wrapText="1"/>
    </xf>
    <xf numFmtId="3" fontId="10" fillId="3" borderId="2" applyAlignment="1" pivotButton="0" quotePrefix="0" xfId="6">
      <alignment horizontal="center" vertical="center" wrapText="1"/>
    </xf>
    <xf numFmtId="0" fontId="6" fillId="3" borderId="2" applyAlignment="1" pivotButton="0" quotePrefix="0" xfId="6">
      <alignment horizontal="center" vertical="center" wrapText="1"/>
    </xf>
    <xf numFmtId="164" fontId="10" fillId="6" borderId="2" applyAlignment="1" pivotButton="0" quotePrefix="0" xfId="6">
      <alignment horizontal="center" vertical="center" wrapText="1"/>
    </xf>
    <xf numFmtId="164" fontId="10" fillId="3" borderId="2" applyAlignment="1" pivotButton="0" quotePrefix="0" xfId="6">
      <alignment horizontal="center" vertical="center" wrapText="1"/>
    </xf>
    <xf numFmtId="164" fontId="7" fillId="3" borderId="2" applyAlignment="1" pivotButton="0" quotePrefix="0" xfId="8">
      <alignment horizontal="center" vertical="center"/>
    </xf>
    <xf numFmtId="164" fontId="11" fillId="3" borderId="2" applyAlignment="1" pivotButton="0" quotePrefix="0" xfId="6">
      <alignment horizontal="center" vertical="center" wrapText="1"/>
    </xf>
    <xf numFmtId="166" fontId="7" fillId="3" borderId="2" applyAlignment="1" pivotButton="0" quotePrefix="0" xfId="8">
      <alignment horizontal="center" vertical="center"/>
    </xf>
    <xf numFmtId="164" fontId="12" fillId="6" borderId="2" applyAlignment="1" pivotButton="0" quotePrefix="0" xfId="6">
      <alignment horizontal="center" vertical="center" wrapText="1"/>
    </xf>
    <xf numFmtId="165" fontId="13" fillId="6" borderId="2" applyAlignment="1" pivotButton="0" quotePrefix="0" xfId="6">
      <alignment horizontal="center" vertical="center" wrapText="1"/>
    </xf>
    <xf numFmtId="9" fontId="7" fillId="6" borderId="2" applyAlignment="1" pivotButton="0" quotePrefix="0" xfId="10">
      <alignment horizontal="left" vertical="center" indent="1"/>
    </xf>
    <xf numFmtId="165" fontId="7" fillId="6" borderId="2" applyAlignment="1" pivotButton="0" quotePrefix="0" xfId="10">
      <alignment horizontal="left" vertical="center" indent="1"/>
    </xf>
    <xf numFmtId="0" fontId="7" fillId="6" borderId="2" applyAlignment="1" pivotButton="0" quotePrefix="0" xfId="10">
      <alignment horizontal="left" vertical="center" indent="1"/>
    </xf>
    <xf numFmtId="165" fontId="7" fillId="3" borderId="2" applyAlignment="1" pivotButton="0" quotePrefix="0" xfId="8">
      <alignment horizontal="center" vertical="center"/>
    </xf>
    <xf numFmtId="165" fontId="10" fillId="0" borderId="2" applyAlignment="1" pivotButton="0" quotePrefix="0" xfId="6">
      <alignment horizontal="center" vertical="center" wrapText="1"/>
    </xf>
    <xf numFmtId="165" fontId="7" fillId="8" borderId="2" applyAlignment="1" pivotButton="0" quotePrefix="0" xfId="8">
      <alignment horizontal="center" vertical="center"/>
    </xf>
    <xf numFmtId="164" fontId="7" fillId="8" borderId="2" applyAlignment="1" pivotButton="0" quotePrefix="0" xfId="8">
      <alignment horizontal="center" vertical="center"/>
    </xf>
    <xf numFmtId="165" fontId="10" fillId="8" borderId="2" applyAlignment="1" pivotButton="0" quotePrefix="0" xfId="6">
      <alignment horizontal="center" vertical="center" wrapText="1"/>
    </xf>
    <xf numFmtId="0" fontId="6" fillId="9" borderId="2" applyAlignment="1" pivotButton="0" quotePrefix="0" xfId="7">
      <alignment horizontal="left" vertical="center" wrapText="1" indent="1"/>
    </xf>
    <xf numFmtId="165" fontId="6" fillId="9" borderId="2" applyAlignment="1" pivotButton="0" quotePrefix="0" xfId="6">
      <alignment horizontal="center" vertical="center" wrapText="1"/>
    </xf>
    <xf numFmtId="0" fontId="6" fillId="9" borderId="2" applyAlignment="1" pivotButton="0" quotePrefix="0" xfId="6">
      <alignment horizontal="center" vertical="center" wrapText="1"/>
    </xf>
    <xf numFmtId="166" fontId="6" fillId="0" borderId="2" applyAlignment="1" pivotButton="0" quotePrefix="0" xfId="6">
      <alignment horizontal="center" vertical="center" wrapText="1"/>
    </xf>
    <xf numFmtId="166" fontId="6" fillId="8" borderId="2" applyAlignment="1" pivotButton="0" quotePrefix="0" xfId="6">
      <alignment horizontal="center" vertical="center" wrapText="1"/>
    </xf>
    <xf numFmtId="166" fontId="10" fillId="3" borderId="2" applyAlignment="1" pivotButton="0" quotePrefix="0" xfId="6">
      <alignment horizontal="center" vertical="center" wrapText="1"/>
    </xf>
    <xf numFmtId="3" fontId="7" fillId="6" borderId="2" applyAlignment="1" pivotButton="0" quotePrefix="0" xfId="10">
      <alignment horizontal="left" vertical="center" indent="1"/>
    </xf>
    <xf numFmtId="165" fontId="11" fillId="3" borderId="2" applyAlignment="1" pivotButton="0" quotePrefix="0" xfId="6">
      <alignment horizontal="center" vertical="center" wrapText="1"/>
    </xf>
    <xf numFmtId="0" fontId="7" fillId="3" borderId="2" applyAlignment="1" pivotButton="0" quotePrefix="0" xfId="8">
      <alignment horizontal="center" vertical="center"/>
    </xf>
    <xf numFmtId="9" fontId="7" fillId="3" borderId="2" applyAlignment="1" pivotButton="0" quotePrefix="0" xfId="8">
      <alignment horizontal="center" vertical="center"/>
    </xf>
  </cellXfs>
  <cellStyles count="12">
    <cellStyle name="Normal" xfId="0" builtinId="0" hidden="0"/>
    <cellStyle name="title" xfId="1" hidden="0"/>
    <cellStyle name="subtitle" xfId="2" hidden="0"/>
    <cellStyle name="section" xfId="3" hidden="0"/>
    <cellStyle name="section_gold" xfId="4" hidden="0"/>
    <cellStyle name="th" xfId="5" hidden="0"/>
    <cellStyle name="td" xfId="6" hidden="0"/>
    <cellStyle name="td_left" xfId="7" hidden="0"/>
    <cellStyle name="input" xfId="8" hidden="0"/>
    <cellStyle name="field_label" xfId="9" hidden="0"/>
    <cellStyle name="field_value" xfId="10" hidden="0"/>
    <cellStyle name="body" xfId="1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Sales by Month</a:t>
            </a:r>
          </a:p>
        </rich>
      </tx>
    </title>
    <plotArea>
      <barChart>
        <barDir val="col"/>
        <grouping val="clustered"/>
        <ser>
          <idx val="0"/>
          <order val="0"/>
          <spPr>
            <a:ln>
              <a:prstDash val="solid"/>
            </a:ln>
          </spPr>
          <cat>
            <numRef>
              <f>'Monthly Summary'!$B$5:$B$10</f>
            </numRef>
          </cat>
          <val>
            <numRef>
              <f>'Monthly Summary'!$C$5:$C$10</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Sales by Month</a:t>
            </a:r>
          </a:p>
        </rich>
      </tx>
    </title>
    <plotArea>
      <barChart>
        <barDir val="col"/>
        <grouping val="clustered"/>
        <ser>
          <idx val="0"/>
          <order val="0"/>
          <spPr>
            <a:ln>
              <a:prstDash val="solid"/>
            </a:ln>
          </spPr>
          <cat>
            <numRef>
              <f>'Monthly Summary'!$B$5:$B$10</f>
            </numRef>
          </cat>
          <val>
            <numRef>
              <f>'Monthly Summary'!$C$5:$C$10</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12</row>
      <rowOff>0</rowOff>
    </from>
    <ext cx="3096000" cy="2664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4320000" cy="2664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1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3" customWidth="1" min="1" max="1"/>
    <col width="84" customWidth="1" min="2" max="2"/>
    <col width="3" customWidth="1" min="3" max="3"/>
  </cols>
  <sheetData>
    <row r="1" ht="58" customHeight="1">
      <c r="A1" s="1" t="inlineStr">
        <is>
          <t xml:space="preserve">  🧺  FARMERS MARKET VENDOR COMMAND CENTER™</t>
        </is>
      </c>
    </row>
    <row r="2" ht="24" customHeight="1">
      <c r="A2" s="2" t="inlineStr">
        <is>
          <t xml:space="preserve">  Cost every product, and know if the market day paid.</t>
        </is>
      </c>
    </row>
    <row r="3" ht="6" customHeight="1">
      <c r="A3" s="3" t="n"/>
      <c r="B3" s="3" t="n"/>
      <c r="C3" s="3" t="n"/>
    </row>
    <row r="5">
      <c r="B5" s="4" t="inlineStr">
        <is>
          <t>YOUR WHOLE MARKET STALL, IN ONE PLACE</t>
        </is>
      </c>
    </row>
    <row r="6" ht="22" customHeight="1">
      <c r="B6" s="5" t="inlineStr">
        <is>
          <t>A market stall lives or dies on two numbers: the margin on each product, and whether a whole market day actually paid after the stall fee, fuel and hired help. This makes both visible: a product price &amp; margin list, and a per-market booth P&amp;L that takes what you sold, subtracts your cost of goods and your booth costs, and tells you the booth net and what you made per hour. Plan your bake, track ingredient and packaging costs, keep your regulars and CSA subscribers, and run income &amp; expenses — all in ONE premium Google Sheets &amp; Excel system built for market vendors.</t>
        </is>
      </c>
    </row>
    <row r="7" ht="22" customHeight="1">
      <c r="B7" s="6" t="n"/>
    </row>
    <row r="8" ht="22" customHeight="1">
      <c r="B8" s="6" t="n"/>
    </row>
    <row r="9" ht="22" customHeight="1">
      <c r="B9" s="6" t="n"/>
    </row>
    <row r="11">
      <c r="B11" s="7" t="inlineStr">
        <is>
          <t>START HERE — 6 QUICK STEPS</t>
        </is>
      </c>
    </row>
    <row r="12" ht="22" customHeight="1">
      <c r="B12" s="8" t="inlineStr">
        <is>
          <t>1.  Open Settings — set your target COGS % &amp; monthly sales goal.</t>
        </is>
      </c>
    </row>
    <row r="13" ht="22" customHeight="1">
      <c r="B13" s="8" t="inlineStr">
        <is>
          <t>2.  Price your Products — cost, price and the margin calculates live.</t>
        </is>
      </c>
    </row>
    <row r="14" ht="22" customHeight="1">
      <c r="B14" s="8" t="inlineStr">
        <is>
          <t>3.  After a market, enter what you sold in Market Day.</t>
        </is>
      </c>
    </row>
    <row r="15" ht="22" customHeight="1">
      <c r="B15" s="8" t="inlineStr">
        <is>
          <t>4.  Add your booth costs; the booth net &amp; net-per-hour appear.</t>
        </is>
      </c>
    </row>
    <row r="16" ht="22" customHeight="1">
      <c r="B16" s="8" t="inlineStr">
        <is>
          <t>5.  Plan your bake, track ingredients, packaging &amp; customers.</t>
        </is>
      </c>
    </row>
    <row r="17" ht="22" customHeight="1">
      <c r="B17" s="8" t="inlineStr">
        <is>
          <t>6.  Check the Dashboard: sales, profit &amp; a Vendor Score.</t>
        </is>
      </c>
    </row>
    <row r="20" ht="26" customHeight="1">
      <c r="B20" s="9" t="inlineStr">
        <is>
          <t xml:space="preserve">  GOOD TO KNOW</t>
        </is>
      </c>
    </row>
    <row r="21" ht="22" customHeight="1">
      <c r="B21" s="10" t="inlineStr">
        <is>
          <t>Sample data for a fictional market stall (Harvest Lane Market Co.) is included so you can see how it all connects — just type over it with your own products and sales. Product margin and the booth net per market day are the two numbers that decide whether a stall pays, and they roll into a live Vendor Score. Twelve matching printable pages (booth P&amp;L, product price list, bake plan, market checklist &amp; more) are included. This is a business tool, not financial, legal or food-safety advice — follow your local cottage-food and market rules and confirm figures with your own advisors.</t>
        </is>
      </c>
    </row>
    <row r="22" ht="22" customHeight="1">
      <c r="B22" s="11" t="n"/>
    </row>
    <row r="23" ht="22" customHeight="1">
      <c r="B23" s="11" t="n"/>
    </row>
    <row r="25">
      <c r="B25" s="4" t="inlineStr">
        <is>
          <t>Margin per product × a booth day that pays = a stall that's worth it.</t>
        </is>
      </c>
    </row>
  </sheetData>
  <mergeCells count="14">
    <mergeCell ref="B17"/>
    <mergeCell ref="B12"/>
    <mergeCell ref="B13"/>
    <mergeCell ref="A1:C1"/>
    <mergeCell ref="B15"/>
    <mergeCell ref="B11"/>
    <mergeCell ref="B21:B23"/>
    <mergeCell ref="B6:B9"/>
    <mergeCell ref="B16"/>
    <mergeCell ref="B20"/>
    <mergeCell ref="B25"/>
    <mergeCell ref="B5"/>
    <mergeCell ref="B1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 customWidth="1" min="14" max="14"/>
  </cols>
  <sheetData>
    <row r="1" ht="56" customHeight="1">
      <c r="A1" s="1" t="inlineStr">
        <is>
          <t xml:space="preserve">  🧺  FARMERS MARKET VENDOR COMMAND CENTER™</t>
        </is>
      </c>
    </row>
    <row r="2" ht="24" customHeight="1">
      <c r="A2" s="2" t="inlineStr">
        <is>
          <t xml:space="preserve">  Product margin, booth net per market, monthly sales &amp; a Vendor Score — at a glance.</t>
        </is>
      </c>
    </row>
    <row r="3" ht="6" customHeight="1">
      <c r="A3" s="3" t="n"/>
      <c r="B3" s="3" t="n"/>
      <c r="C3" s="3" t="n"/>
      <c r="D3" s="3" t="n"/>
      <c r="E3" s="3" t="n"/>
      <c r="F3" s="3" t="n"/>
      <c r="G3" s="3" t="n"/>
      <c r="H3" s="3" t="n"/>
      <c r="I3" s="3" t="n"/>
      <c r="J3" s="3" t="n"/>
      <c r="K3" s="3" t="n"/>
      <c r="L3" s="3" t="n"/>
      <c r="M3" s="3" t="n"/>
      <c r="N3" s="3" t="n"/>
    </row>
    <row r="5" ht="18" customHeight="1">
      <c r="B5" s="12" t="inlineStr">
        <is>
          <t>UNITS SOLD</t>
        </is>
      </c>
      <c r="C5" s="13" t="n"/>
      <c r="D5" s="12" t="inlineStr">
        <is>
          <t>MARKET SALES</t>
        </is>
      </c>
      <c r="E5" s="13" t="n"/>
      <c r="F5" s="12" t="inlineStr">
        <is>
          <t>COGS %</t>
        </is>
      </c>
      <c r="G5" s="13" t="n"/>
      <c r="H5" s="12" t="inlineStr">
        <is>
          <t>BOOTH NET</t>
        </is>
      </c>
      <c r="I5" s="13" t="n"/>
      <c r="J5" s="12" t="inlineStr">
        <is>
          <t>NET / HOUR</t>
        </is>
      </c>
      <c r="K5" s="13" t="n"/>
      <c r="L5" s="12" t="inlineStr">
        <is>
          <t>TOP SELLER</t>
        </is>
      </c>
      <c r="M5" s="13" t="n"/>
    </row>
    <row r="6" ht="40" customHeight="1">
      <c r="B6" s="14">
        <f>DayUnits</f>
        <v/>
      </c>
      <c r="C6" s="15" t="n"/>
      <c r="D6" s="16">
        <f>DaySales</f>
        <v/>
      </c>
      <c r="E6" s="15" t="n"/>
      <c r="F6" s="17">
        <f>COGSPct</f>
        <v/>
      </c>
      <c r="G6" s="15" t="n"/>
      <c r="H6" s="16">
        <f>BoothNet</f>
        <v/>
      </c>
      <c r="I6" s="15" t="n"/>
      <c r="J6" s="18">
        <f>NetHour</f>
        <v/>
      </c>
      <c r="K6" s="15" t="n"/>
      <c r="L6" s="19">
        <f>TopSeller</f>
        <v/>
      </c>
      <c r="M6" s="15" t="n"/>
    </row>
    <row r="8" ht="18" customHeight="1">
      <c r="B8" s="12" t="inlineStr">
        <is>
          <t>AVG BASKET</t>
        </is>
      </c>
      <c r="C8" s="13" t="n"/>
      <c r="D8" s="12" t="inlineStr">
        <is>
          <t>MONTHLY SALES</t>
        </is>
      </c>
      <c r="E8" s="13" t="n"/>
      <c r="F8" s="12" t="inlineStr">
        <is>
          <t>MARKETS / MO</t>
        </is>
      </c>
      <c r="G8" s="13" t="n"/>
      <c r="H8" s="12" t="inlineStr">
        <is>
          <t>MONTHLY PROFIT</t>
        </is>
      </c>
      <c r="I8" s="13" t="n"/>
      <c r="J8" s="12" t="inlineStr">
        <is>
          <t>WASTE %</t>
        </is>
      </c>
      <c r="K8" s="13" t="n"/>
      <c r="L8" s="12" t="inlineStr">
        <is>
          <t>VENDOR SCORE</t>
        </is>
      </c>
      <c r="M8" s="13" t="n"/>
    </row>
    <row r="9" ht="40" customHeight="1">
      <c r="B9" s="18">
        <f>AvgBasket</f>
        <v/>
      </c>
      <c r="C9" s="15" t="n"/>
      <c r="D9" s="16">
        <f>MonthlySales</f>
        <v/>
      </c>
      <c r="E9" s="15" t="n"/>
      <c r="F9" s="14">
        <f>MarketCount</f>
        <v/>
      </c>
      <c r="G9" s="15" t="n"/>
      <c r="H9" s="16">
        <f>NetProfit</f>
        <v/>
      </c>
      <c r="I9" s="15" t="n"/>
      <c r="J9" s="17">
        <f>IFERROR(WasteTotal/MonthlySales,0)</f>
        <v/>
      </c>
      <c r="K9" s="15" t="n"/>
      <c r="L9" s="17">
        <f>IFERROR(AVERAGE(HealthRange),0)</f>
        <v/>
      </c>
      <c r="M9" s="15" t="n"/>
    </row>
    <row r="11" ht="26" customHeight="1">
      <c r="B11" s="4" t="inlineStr">
        <is>
          <t>VENDOR HEALTH</t>
        </is>
      </c>
      <c r="H11" s="4" t="inlineStr">
        <is>
          <t>SALES BY MONTH</t>
        </is>
      </c>
    </row>
    <row r="12" ht="30" customHeight="1">
      <c r="B12" s="9" t="inlineStr">
        <is>
          <t>Check</t>
        </is>
      </c>
      <c r="C12" s="9" t="inlineStr">
        <is>
          <t>Score</t>
        </is>
      </c>
      <c r="D12" s="9" t="inlineStr">
        <is>
          <t>Status</t>
        </is>
      </c>
    </row>
    <row r="13">
      <c r="B13" s="20" t="inlineStr">
        <is>
          <t>COGS on target</t>
        </is>
      </c>
      <c r="C13" s="21">
        <f>IFERROR(MIN(TargetCOGS/COGSPct,1),0)</f>
        <v/>
      </c>
      <c r="D13" s="22">
        <f>IF(C13&gt;=0.85,"Strong",IF(C13&gt;=0.6,"OK","Watch"))</f>
        <v/>
      </c>
    </row>
    <row r="14">
      <c r="B14" s="23" t="inlineStr">
        <is>
          <t>Margin healthy</t>
        </is>
      </c>
      <c r="C14" s="24">
        <f>IFERROR(MIN(NetMarginPct/MarginGoal,1),0)</f>
        <v/>
      </c>
      <c r="D14" s="25">
        <f>IF(C14&gt;=0.85,"Strong",IF(C14&gt;=0.6,"OK","Watch"))</f>
        <v/>
      </c>
    </row>
    <row r="15">
      <c r="B15" s="20" t="inlineStr">
        <is>
          <t>Products priced</t>
        </is>
      </c>
      <c r="C15" s="21">
        <f>IFERROR(COUNTIF(ProductPrice,"&gt;0")/COUNTA(ProductName),0)</f>
        <v/>
      </c>
      <c r="D15" s="22">
        <f>IF(C15&gt;=0.85,"Strong",IF(C15&gt;=0.6,"OK","Watch"))</f>
        <v/>
      </c>
    </row>
    <row r="16">
      <c r="B16" s="23" t="inlineStr">
        <is>
          <t>Sales vs goal</t>
        </is>
      </c>
      <c r="C16" s="24">
        <f>IFERROR(MIN(MonthlySales/SalesGoal,1),0)</f>
        <v/>
      </c>
      <c r="D16" s="25">
        <f>IF(C16&gt;=0.85,"Strong",IF(C16&gt;=0.6,"OK","Watch"))</f>
        <v/>
      </c>
    </row>
    <row r="17">
      <c r="B17" s="20" t="inlineStr">
        <is>
          <t>Profitable</t>
        </is>
      </c>
      <c r="C17" s="21">
        <f>IFERROR(MIN(NetProfit/ProfitGoal,1),0)</f>
        <v/>
      </c>
      <c r="D17" s="22">
        <f>IF(C17&gt;=0.85,"Strong",IF(C17&gt;=0.6,"OK","Watch"))</f>
        <v/>
      </c>
    </row>
    <row r="18">
      <c r="B18" s="23" t="inlineStr">
        <is>
          <t>Waste low</t>
        </is>
      </c>
      <c r="C18" s="24">
        <f>IFERROR(1-MIN((WasteTotal/MonthlySales)/WasteLimit,1),0)</f>
        <v/>
      </c>
      <c r="D18" s="25">
        <f>IF(C18&gt;=0.85,"Strong",IF(C18&gt;=0.6,"OK","Watch"))</f>
        <v/>
      </c>
    </row>
    <row r="21" ht="26" customHeight="1">
      <c r="B21" s="2" t="inlineStr">
        <is>
          <t>Farmers Market Vendor Command Center™ — cost every product, and know if the market day paid.</t>
        </is>
      </c>
    </row>
  </sheetData>
  <mergeCells count="29">
    <mergeCell ref="J5:K5"/>
    <mergeCell ref="F6:G6"/>
    <mergeCell ref="H11:M11"/>
    <mergeCell ref="H9:I9"/>
    <mergeCell ref="A1:N1"/>
    <mergeCell ref="J9:K9"/>
    <mergeCell ref="D6:E6"/>
    <mergeCell ref="H6:I6"/>
    <mergeCell ref="J6:K6"/>
    <mergeCell ref="B21:M21"/>
    <mergeCell ref="F5:G5"/>
    <mergeCell ref="L5:M5"/>
    <mergeCell ref="L8:M8"/>
    <mergeCell ref="B8:C8"/>
    <mergeCell ref="F8:G8"/>
    <mergeCell ref="A2:N2"/>
    <mergeCell ref="B9:C9"/>
    <mergeCell ref="D9:E9"/>
    <mergeCell ref="F9:G9"/>
    <mergeCell ref="L9:M9"/>
    <mergeCell ref="D8:E8"/>
    <mergeCell ref="B6:C6"/>
    <mergeCell ref="L6:M6"/>
    <mergeCell ref="B5:C5"/>
    <mergeCell ref="D5:E5"/>
    <mergeCell ref="H5:I5"/>
    <mergeCell ref="H8:I8"/>
    <mergeCell ref="J8:K8"/>
    <mergeCell ref="B11:G11"/>
  </mergeCells>
  <conditionalFormatting sqref="C13:C18">
    <cfRule type="colorScale" priority="1">
      <colorScale>
        <cfvo type="num" val="0"/>
        <cfvo type="num" val="0.5"/>
        <cfvo type="num" val="1"/>
        <color rgb="FFFBF0E2"/>
        <color rgb="FFFFF3CD"/>
        <color rgb="FF75E6C1"/>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33"/>
  <sheetViews>
    <sheetView showGridLines="0" workbookViewId="0">
      <selection activeCell="A1" sqref="A1"/>
    </sheetView>
  </sheetViews>
  <sheetFormatPr baseColWidth="8" defaultRowHeight="15"/>
  <cols>
    <col width="2" customWidth="1" min="1" max="1"/>
    <col width="26" customWidth="1" min="2" max="2"/>
    <col width="10" customWidth="1" min="3" max="3"/>
    <col width="12" customWidth="1" min="4" max="4"/>
    <col width="14" customWidth="1" min="5" max="5"/>
    <col width="14" customWidth="1" min="6" max="6"/>
    <col width="2" customWidth="1" min="7" max="7"/>
  </cols>
  <sheetData>
    <row r="1" ht="46" customHeight="1">
      <c r="A1" s="1" t="inlineStr">
        <is>
          <t xml:space="preserve">  🧺  MARKET DAY</t>
        </is>
      </c>
    </row>
    <row r="2" ht="22" customHeight="1">
      <c r="A2" s="2" t="inlineStr">
        <is>
          <t xml:space="preserve">  Enter what you sold — the booth P&amp;L tells you if this market day actually paid.</t>
        </is>
      </c>
    </row>
    <row r="3" ht="6" customHeight="1">
      <c r="A3" s="3" t="n"/>
      <c r="B3" s="3" t="n"/>
      <c r="C3" s="3" t="n"/>
      <c r="D3" s="3" t="n"/>
      <c r="E3" s="3" t="n"/>
      <c r="F3" s="3" t="n"/>
    </row>
    <row r="5">
      <c r="B5" s="4" t="inlineStr">
        <is>
          <t>MARKET</t>
        </is>
      </c>
      <c r="C5" s="26" t="inlineStr">
        <is>
          <t>Saturday Market</t>
        </is>
      </c>
      <c r="E5" s="27" t="inlineStr">
        <is>
          <t>Customers</t>
        </is>
      </c>
      <c r="F5" s="28" t="n">
        <v>64</v>
      </c>
    </row>
    <row r="7" ht="30" customHeight="1">
      <c r="B7" s="9" t="inlineStr">
        <is>
          <t>Product</t>
        </is>
      </c>
      <c r="C7" s="9" t="inlineStr">
        <is>
          <t>Sold</t>
        </is>
      </c>
      <c r="D7" s="9" t="inlineStr">
        <is>
          <t>Price</t>
        </is>
      </c>
      <c r="E7" s="9" t="inlineStr">
        <is>
          <t>Revenue</t>
        </is>
      </c>
      <c r="F7" s="9" t="inlineStr">
        <is>
          <t>Line Cost</t>
        </is>
      </c>
    </row>
    <row r="8">
      <c r="B8" s="20" t="inlineStr">
        <is>
          <t>Sourdough Loaf</t>
        </is>
      </c>
      <c r="C8" s="28" t="n">
        <v>22</v>
      </c>
      <c r="D8" s="29">
        <f>IFERROR(INDEX(ProductPrice,MATCH(B8,ProductName,0)),0)</f>
        <v/>
      </c>
      <c r="E8" s="30">
        <f>C8*D8</f>
        <v/>
      </c>
      <c r="F8" s="31">
        <f>C8*IFERROR(INDEX(ProductCost,MATCH(B8,ProductName,0)),0)</f>
        <v/>
      </c>
    </row>
    <row r="9">
      <c r="B9" s="23" t="inlineStr">
        <is>
          <t>Cinnamon Rolls (6)</t>
        </is>
      </c>
      <c r="C9" s="32" t="n">
        <v>10</v>
      </c>
      <c r="D9" s="33">
        <f>IFERROR(INDEX(ProductPrice,MATCH(B9,ProductName,0)),0)</f>
        <v/>
      </c>
      <c r="E9" s="34">
        <f>C9*D9</f>
        <v/>
      </c>
      <c r="F9" s="35">
        <f>C9*IFERROR(INDEX(ProductCost,MATCH(B9,ProductName,0)),0)</f>
        <v/>
      </c>
    </row>
    <row r="10">
      <c r="B10" s="20" t="inlineStr">
        <is>
          <t>Baguette</t>
        </is>
      </c>
      <c r="C10" s="28" t="n">
        <v>18</v>
      </c>
      <c r="D10" s="29">
        <f>IFERROR(INDEX(ProductPrice,MATCH(B10,ProductName,0)),0)</f>
        <v/>
      </c>
      <c r="E10" s="30">
        <f>C10*D10</f>
        <v/>
      </c>
      <c r="F10" s="31">
        <f>C10*IFERROR(INDEX(ProductCost,MATCH(B10,ProductName,0)),0)</f>
        <v/>
      </c>
    </row>
    <row r="11">
      <c r="B11" s="23" t="inlineStr">
        <is>
          <t>Focaccia</t>
        </is>
      </c>
      <c r="C11" s="32" t="n">
        <v>12</v>
      </c>
      <c r="D11" s="33">
        <f>IFERROR(INDEX(ProductPrice,MATCH(B11,ProductName,0)),0)</f>
        <v/>
      </c>
      <c r="E11" s="34">
        <f>C11*D11</f>
        <v/>
      </c>
      <c r="F11" s="35">
        <f>C11*IFERROR(INDEX(ProductCost,MATCH(B11,ProductName,0)),0)</f>
        <v/>
      </c>
    </row>
    <row r="12">
      <c r="B12" s="20" t="inlineStr">
        <is>
          <t>Cookies (dz)</t>
        </is>
      </c>
      <c r="C12" s="28" t="n">
        <v>9</v>
      </c>
      <c r="D12" s="29">
        <f>IFERROR(INDEX(ProductPrice,MATCH(B12,ProductName,0)),0)</f>
        <v/>
      </c>
      <c r="E12" s="30">
        <f>C12*D12</f>
        <v/>
      </c>
      <c r="F12" s="31">
        <f>C12*IFERROR(INDEX(ProductCost,MATCH(B12,ProductName,0)),0)</f>
        <v/>
      </c>
    </row>
    <row r="13">
      <c r="B13" s="23" t="inlineStr">
        <is>
          <t>Jam (jar)</t>
        </is>
      </c>
      <c r="C13" s="32" t="n">
        <v>8</v>
      </c>
      <c r="D13" s="33">
        <f>IFERROR(INDEX(ProductPrice,MATCH(B13,ProductName,0)),0)</f>
        <v/>
      </c>
      <c r="E13" s="34">
        <f>C13*D13</f>
        <v/>
      </c>
      <c r="F13" s="35">
        <f>C13*IFERROR(INDEX(ProductCost,MATCH(B13,ProductName,0)),0)</f>
        <v/>
      </c>
    </row>
    <row r="14">
      <c r="B14" s="20" t="inlineStr">
        <is>
          <t>Granola (bag)</t>
        </is>
      </c>
      <c r="C14" s="28" t="n">
        <v>6</v>
      </c>
      <c r="D14" s="29">
        <f>IFERROR(INDEX(ProductPrice,MATCH(B14,ProductName,0)),0)</f>
        <v/>
      </c>
      <c r="E14" s="30">
        <f>C14*D14</f>
        <v/>
      </c>
      <c r="F14" s="31">
        <f>C14*IFERROR(INDEX(ProductCost,MATCH(B14,ProductName,0)),0)</f>
        <v/>
      </c>
    </row>
    <row r="15">
      <c r="B15" s="23" t="inlineStr">
        <is>
          <t>Honey (jar)</t>
        </is>
      </c>
      <c r="C15" s="32" t="n">
        <v>5</v>
      </c>
      <c r="D15" s="33">
        <f>IFERROR(INDEX(ProductPrice,MATCH(B15,ProductName,0)),0)</f>
        <v/>
      </c>
      <c r="E15" s="34">
        <f>C15*D15</f>
        <v/>
      </c>
      <c r="F15" s="35">
        <f>C15*IFERROR(INDEX(ProductCost,MATCH(B15,ProductName,0)),0)</f>
        <v/>
      </c>
    </row>
    <row r="16">
      <c r="B16" s="9" t="inlineStr">
        <is>
          <t>MARKET TOTALS</t>
        </is>
      </c>
      <c r="C16" s="36">
        <f>SUM(DaySoldRng)</f>
        <v/>
      </c>
      <c r="D16" s="37" t="n"/>
      <c r="E16" s="38">
        <f>SUM(DayRev)</f>
        <v/>
      </c>
      <c r="F16" s="39">
        <f>SUM(DayLineCost)</f>
        <v/>
      </c>
    </row>
    <row r="18">
      <c r="B18" s="4" t="inlineStr">
        <is>
          <t>BOOTH COSTS (THIS DAY)</t>
        </is>
      </c>
    </row>
    <row r="19">
      <c r="B19" s="27" t="inlineStr">
        <is>
          <t>Stall / space fee</t>
        </is>
      </c>
      <c r="F19" s="40" t="n">
        <v>45</v>
      </c>
    </row>
    <row r="20">
      <c r="B20" s="27" t="inlineStr">
        <is>
          <t>Fuel &amp; travel</t>
        </is>
      </c>
      <c r="F20" s="40" t="n">
        <v>18</v>
      </c>
    </row>
    <row r="21">
      <c r="B21" s="27" t="inlineStr">
        <is>
          <t>Hired help</t>
        </is>
      </c>
      <c r="F21" s="40" t="n">
        <v>60</v>
      </c>
    </row>
    <row r="22">
      <c r="B22" s="27" t="inlineStr">
        <is>
          <t>Bags &amp; supplies</t>
        </is>
      </c>
      <c r="F22" s="40" t="n">
        <v>12</v>
      </c>
    </row>
    <row r="23">
      <c r="B23" s="27" t="inlineStr">
        <is>
          <t>Samples</t>
        </is>
      </c>
      <c r="F23" s="40" t="n">
        <v>8</v>
      </c>
    </row>
    <row r="24">
      <c r="B24" s="9" t="inlineStr">
        <is>
          <t>TOTAL BOOTH COSTS</t>
        </is>
      </c>
      <c r="F24" s="41">
        <f>SUM(BoothItems)</f>
        <v/>
      </c>
    </row>
    <row r="25">
      <c r="B25" s="27" t="inlineStr">
        <is>
          <t>Hours (setup + market + pack-down)</t>
        </is>
      </c>
      <c r="F25" s="42" t="n">
        <v>8</v>
      </c>
    </row>
    <row r="27">
      <c r="B27" s="9">
        <f> BOOTH NET (sales − COGS − booth costs)</f>
        <v/>
      </c>
      <c r="F27" s="43">
        <f>DaySales-DayCOGS-BoothCosts</f>
        <v/>
      </c>
    </row>
    <row r="28">
      <c r="B28" s="9">
        <f> NET PER HOUR</f>
        <v/>
      </c>
      <c r="F28" s="44">
        <f>IFERROR(BoothNet/MarketHours,0)</f>
        <v/>
      </c>
    </row>
    <row r="30">
      <c r="B30" s="27" t="inlineStr">
        <is>
          <t>COGS % (of sales)</t>
        </is>
      </c>
      <c r="F30" s="45">
        <f>IFERROR(DayCOGS/DaySales,0)</f>
        <v/>
      </c>
    </row>
    <row r="31">
      <c r="B31" s="27" t="inlineStr">
        <is>
          <t>Net margin % (booth net ÷ sales)</t>
        </is>
      </c>
      <c r="F31" s="45">
        <f>IFERROR(BoothNet/DaySales,0)</f>
        <v/>
      </c>
    </row>
    <row r="32">
      <c r="B32" s="27" t="inlineStr">
        <is>
          <t>Average basket (sales ÷ customers)</t>
        </is>
      </c>
      <c r="F32" s="46">
        <f>IFERROR(DaySales/Customers,0)</f>
        <v/>
      </c>
    </row>
    <row r="33">
      <c r="B33" s="27" t="inlineStr">
        <is>
          <t>Top seller (by revenue)</t>
        </is>
      </c>
      <c r="F33" s="47">
        <f>IFERROR(INDEX(DayProduct,MATCH(MAX(DayRev),DayRev,0)),"")</f>
        <v/>
      </c>
    </row>
  </sheetData>
  <mergeCells count="2">
    <mergeCell ref="A2:F2"/>
    <mergeCell ref="A1:F1"/>
  </mergeCells>
  <dataValidations count="8">
    <dataValidation sqref="B8" showDropDown="0" showInputMessage="0" showErrorMessage="0" allowBlank="1" type="list">
      <formula1>=ProductName</formula1>
    </dataValidation>
    <dataValidation sqref="B9" showDropDown="0" showInputMessage="0" showErrorMessage="0" allowBlank="1" type="list">
      <formula1>=ProductName</formula1>
    </dataValidation>
    <dataValidation sqref="B10" showDropDown="0" showInputMessage="0" showErrorMessage="0" allowBlank="1" type="list">
      <formula1>=ProductName</formula1>
    </dataValidation>
    <dataValidation sqref="B11" showDropDown="0" showInputMessage="0" showErrorMessage="0" allowBlank="1" type="list">
      <formula1>=ProductName</formula1>
    </dataValidation>
    <dataValidation sqref="B12" showDropDown="0" showInputMessage="0" showErrorMessage="0" allowBlank="1" type="list">
      <formula1>=ProductName</formula1>
    </dataValidation>
    <dataValidation sqref="B13" showDropDown="0" showInputMessage="0" showErrorMessage="0" allowBlank="1" type="list">
      <formula1>=ProductName</formula1>
    </dataValidation>
    <dataValidation sqref="B14" showDropDown="0" showInputMessage="0" showErrorMessage="0" allowBlank="1" type="list">
      <formula1>=ProductName</formula1>
    </dataValidation>
    <dataValidation sqref="B15" showDropDown="0" showInputMessage="0" showErrorMessage="0" allowBlank="1" type="list">
      <formula1>=ProductName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14" customWidth="1" min="3" max="3"/>
    <col width="12" customWidth="1" min="4" max="4"/>
    <col width="14" customWidth="1" min="5" max="5"/>
    <col width="12" customWidth="1" min="6" max="6"/>
    <col width="2" customWidth="1" min="7" max="7"/>
  </cols>
  <sheetData>
    <row r="1" ht="46" customHeight="1">
      <c r="A1" s="1" t="inlineStr">
        <is>
          <t xml:space="preserve">  🥖  PRODUCTS</t>
        </is>
      </c>
    </row>
    <row r="2" ht="22" customHeight="1">
      <c r="A2" s="2" t="inlineStr">
        <is>
          <t xml:space="preserve">  Your stall's price list — cost, price and the margin on every product you sell.</t>
        </is>
      </c>
    </row>
    <row r="3" ht="6" customHeight="1">
      <c r="A3" s="3" t="n"/>
      <c r="B3" s="3" t="n"/>
      <c r="C3" s="3" t="n"/>
      <c r="D3" s="3" t="n"/>
      <c r="E3" s="3" t="n"/>
      <c r="F3" s="3" t="n"/>
    </row>
    <row r="4" ht="30" customHeight="1">
      <c r="B4" s="9" t="inlineStr">
        <is>
          <t>Product</t>
        </is>
      </c>
      <c r="C4" s="9" t="inlineStr">
        <is>
          <t>Cost</t>
        </is>
      </c>
      <c r="D4" s="9" t="inlineStr">
        <is>
          <t>Price</t>
        </is>
      </c>
      <c r="E4" s="9" t="inlineStr">
        <is>
          <t>Margin</t>
        </is>
      </c>
      <c r="F4" s="9" t="inlineStr">
        <is>
          <t>Margin %</t>
        </is>
      </c>
    </row>
    <row r="5">
      <c r="B5" s="20" t="inlineStr">
        <is>
          <t>Sourdough Loaf</t>
        </is>
      </c>
      <c r="C5" s="48" t="n">
        <v>1.85</v>
      </c>
      <c r="D5" s="40" t="n">
        <v>8</v>
      </c>
      <c r="E5" s="49">
        <f>D5-C5</f>
        <v/>
      </c>
      <c r="F5" s="21">
        <f>IFERROR((D5-C5)/D5,0)</f>
        <v/>
      </c>
    </row>
    <row r="6">
      <c r="B6" s="23" t="inlineStr">
        <is>
          <t>Cinnamon Rolls (6)</t>
        </is>
      </c>
      <c r="C6" s="50" t="n">
        <v>2.4</v>
      </c>
      <c r="D6" s="51" t="n">
        <v>12</v>
      </c>
      <c r="E6" s="52">
        <f>D6-C6</f>
        <v/>
      </c>
      <c r="F6" s="24">
        <f>IFERROR((D6-C6)/D6,0)</f>
        <v/>
      </c>
    </row>
    <row r="7">
      <c r="B7" s="20" t="inlineStr">
        <is>
          <t>Baguette</t>
        </is>
      </c>
      <c r="C7" s="48" t="n">
        <v>1.1</v>
      </c>
      <c r="D7" s="40" t="n">
        <v>5</v>
      </c>
      <c r="E7" s="49">
        <f>D7-C7</f>
        <v/>
      </c>
      <c r="F7" s="21">
        <f>IFERROR((D7-C7)/D7,0)</f>
        <v/>
      </c>
    </row>
    <row r="8">
      <c r="B8" s="23" t="inlineStr">
        <is>
          <t>Focaccia</t>
        </is>
      </c>
      <c r="C8" s="50" t="n">
        <v>1.6</v>
      </c>
      <c r="D8" s="51" t="n">
        <v>7</v>
      </c>
      <c r="E8" s="52">
        <f>D8-C8</f>
        <v/>
      </c>
      <c r="F8" s="24">
        <f>IFERROR((D8-C8)/D8,0)</f>
        <v/>
      </c>
    </row>
    <row r="9">
      <c r="B9" s="20" t="inlineStr">
        <is>
          <t>Cookies (dz)</t>
        </is>
      </c>
      <c r="C9" s="48" t="n">
        <v>2.2</v>
      </c>
      <c r="D9" s="40" t="n">
        <v>10</v>
      </c>
      <c r="E9" s="49">
        <f>D9-C9</f>
        <v/>
      </c>
      <c r="F9" s="21">
        <f>IFERROR((D9-C9)/D9,0)</f>
        <v/>
      </c>
    </row>
    <row r="10">
      <c r="B10" s="23" t="inlineStr">
        <is>
          <t>Jam (jar)</t>
        </is>
      </c>
      <c r="C10" s="50" t="n">
        <v>2.8</v>
      </c>
      <c r="D10" s="51" t="n">
        <v>9</v>
      </c>
      <c r="E10" s="52">
        <f>D10-C10</f>
        <v/>
      </c>
      <c r="F10" s="24">
        <f>IFERROR((D10-C10)/D10,0)</f>
        <v/>
      </c>
    </row>
    <row r="11">
      <c r="B11" s="20" t="inlineStr">
        <is>
          <t>Granola (bag)</t>
        </is>
      </c>
      <c r="C11" s="48" t="n">
        <v>3.1</v>
      </c>
      <c r="D11" s="40" t="n">
        <v>11</v>
      </c>
      <c r="E11" s="49">
        <f>D11-C11</f>
        <v/>
      </c>
      <c r="F11" s="21">
        <f>IFERROR((D11-C11)/D11,0)</f>
        <v/>
      </c>
    </row>
    <row r="12">
      <c r="B12" s="23" t="inlineStr">
        <is>
          <t>Honey (jar)</t>
        </is>
      </c>
      <c r="C12" s="50" t="n">
        <v>4.5</v>
      </c>
      <c r="D12" s="51" t="n">
        <v>14</v>
      </c>
      <c r="E12" s="52">
        <f>D12-C12</f>
        <v/>
      </c>
      <c r="F12" s="24">
        <f>IFERROR((D12-C12)/D12,0)</f>
        <v/>
      </c>
    </row>
  </sheetData>
  <mergeCells count="2">
    <mergeCell ref="A2:F2"/>
    <mergeCell ref="A1:F1"/>
  </mergeCells>
  <conditionalFormatting sqref="F5:F12">
    <cfRule type="colorScale" priority="1">
      <colorScale>
        <cfvo type="num" val="0.4"/>
        <cfvo type="num" val="0.6"/>
        <cfvo type="num" val="0.8"/>
        <color rgb="FFFBE6E6"/>
        <color rgb="FFFFF3CD"/>
        <color rgb="FF75E6C1"/>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2" customWidth="1" min="1" max="1"/>
    <col width="22" customWidth="1" min="2" max="2"/>
    <col width="14" customWidth="1" min="3" max="3"/>
    <col width="14" customWidth="1" min="4" max="4"/>
    <col width="12" customWidth="1" min="5" max="5"/>
    <col width="2" customWidth="1" min="6" max="6"/>
  </cols>
  <sheetData>
    <row r="1" ht="46" customHeight="1">
      <c r="A1" s="1" t="inlineStr">
        <is>
          <t xml:space="preserve">  🌾  INGREDIENT COSTS</t>
        </is>
      </c>
    </row>
    <row r="2" ht="22" customHeight="1">
      <c r="A2" s="2" t="inlineStr">
        <is>
          <t xml:space="preserve">  Your buying list — what each ingredient costs, so product costing stays accurate.</t>
        </is>
      </c>
    </row>
    <row r="3" ht="6" customHeight="1">
      <c r="A3" s="3" t="n"/>
      <c r="B3" s="3" t="n"/>
      <c r="C3" s="3" t="n"/>
      <c r="D3" s="3" t="n"/>
      <c r="E3" s="3" t="n"/>
    </row>
    <row r="4" ht="30" customHeight="1">
      <c r="B4" s="9" t="inlineStr">
        <is>
          <t>Ingredient</t>
        </is>
      </c>
      <c r="C4" s="9" t="inlineStr">
        <is>
          <t>Pack Price</t>
        </is>
      </c>
      <c r="D4" s="9" t="inlineStr">
        <is>
          <t>Pack Size</t>
        </is>
      </c>
      <c r="E4" s="9" t="inlineStr">
        <is>
          <t>Unit</t>
        </is>
      </c>
    </row>
    <row r="5">
      <c r="B5" s="53" t="inlineStr">
        <is>
          <t>Flour</t>
        </is>
      </c>
      <c r="C5" s="54" t="n">
        <v>0.85</v>
      </c>
      <c r="D5" s="53" t="inlineStr">
        <is>
          <t>1 lb</t>
        </is>
      </c>
      <c r="E5" s="55" t="inlineStr">
        <is>
          <t>lb</t>
        </is>
      </c>
    </row>
    <row r="6">
      <c r="B6" s="23" t="inlineStr">
        <is>
          <t>Butter</t>
        </is>
      </c>
      <c r="C6" s="35" t="n">
        <v>4.2</v>
      </c>
      <c r="D6" s="23" t="inlineStr">
        <is>
          <t>1 lb</t>
        </is>
      </c>
      <c r="E6" s="25" t="inlineStr">
        <is>
          <t>lb</t>
        </is>
      </c>
    </row>
    <row r="7">
      <c r="B7" s="53" t="inlineStr">
        <is>
          <t>Sugar</t>
        </is>
      </c>
      <c r="C7" s="54" t="n">
        <v>0.7</v>
      </c>
      <c r="D7" s="53" t="inlineStr">
        <is>
          <t>1 lb</t>
        </is>
      </c>
      <c r="E7" s="55" t="inlineStr">
        <is>
          <t>lb</t>
        </is>
      </c>
    </row>
    <row r="8">
      <c r="B8" s="23" t="inlineStr">
        <is>
          <t>Eggs</t>
        </is>
      </c>
      <c r="C8" s="35" t="n">
        <v>3.6</v>
      </c>
      <c r="D8" s="23" t="inlineStr">
        <is>
          <t>dozen</t>
        </is>
      </c>
      <c r="E8" s="25" t="inlineStr">
        <is>
          <t>each</t>
        </is>
      </c>
    </row>
    <row r="9">
      <c r="B9" s="53" t="inlineStr">
        <is>
          <t>Yeast</t>
        </is>
      </c>
      <c r="C9" s="54" t="n">
        <v>0.15</v>
      </c>
      <c r="D9" s="53" t="inlineStr">
        <is>
          <t>packet</t>
        </is>
      </c>
      <c r="E9" s="55" t="inlineStr">
        <is>
          <t>each</t>
        </is>
      </c>
    </row>
    <row r="10">
      <c r="B10" s="23" t="inlineStr">
        <is>
          <t>Oats</t>
        </is>
      </c>
      <c r="C10" s="35" t="n">
        <v>1.1</v>
      </c>
      <c r="D10" s="23" t="inlineStr">
        <is>
          <t>1 lb</t>
        </is>
      </c>
      <c r="E10" s="25" t="inlineStr">
        <is>
          <t>lb</t>
        </is>
      </c>
    </row>
    <row r="11">
      <c r="B11" s="53" t="inlineStr">
        <is>
          <t>Fruit (jam)</t>
        </is>
      </c>
      <c r="C11" s="54" t="n">
        <v>2.4</v>
      </c>
      <c r="D11" s="53" t="inlineStr">
        <is>
          <t>1 lb</t>
        </is>
      </c>
      <c r="E11" s="55" t="inlineStr">
        <is>
          <t>lb</t>
        </is>
      </c>
    </row>
    <row r="12">
      <c r="B12" s="23" t="inlineStr">
        <is>
          <t>Jars &amp; lids</t>
        </is>
      </c>
      <c r="C12" s="35" t="n">
        <v>0.55</v>
      </c>
      <c r="D12" s="23" t="inlineStr">
        <is>
          <t>each</t>
        </is>
      </c>
      <c r="E12" s="25" t="inlineStr">
        <is>
          <t>each</t>
        </is>
      </c>
    </row>
    <row r="13">
      <c r="B13" s="53" t="n"/>
      <c r="C13" s="54" t="n"/>
      <c r="D13" s="53" t="n"/>
      <c r="E13" s="55" t="n"/>
    </row>
    <row r="14">
      <c r="B14" s="23" t="n"/>
      <c r="C14" s="35" t="n"/>
      <c r="D14" s="23" t="n"/>
      <c r="E14" s="25" t="n"/>
    </row>
    <row r="15">
      <c r="B15" s="53" t="n"/>
      <c r="C15" s="54" t="n"/>
      <c r="D15" s="53" t="n"/>
      <c r="E15" s="55" t="n"/>
    </row>
    <row r="16">
      <c r="B16" s="23" t="n"/>
      <c r="C16" s="35" t="n"/>
      <c r="D16" s="23" t="n"/>
      <c r="E16" s="25" t="n"/>
    </row>
    <row r="17">
      <c r="B17" s="53" t="n"/>
      <c r="C17" s="54" t="n"/>
      <c r="D17" s="53" t="n"/>
      <c r="E17" s="55" t="n"/>
    </row>
    <row r="18">
      <c r="B18" s="23" t="n"/>
      <c r="C18" s="35" t="n"/>
      <c r="D18" s="23" t="n"/>
      <c r="E18" s="25" t="n"/>
    </row>
    <row r="19">
      <c r="B19" s="53" t="n"/>
      <c r="C19" s="54" t="n"/>
      <c r="D19" s="53" t="n"/>
      <c r="E19" s="55" t="n"/>
    </row>
    <row r="20">
      <c r="B20" s="23" t="n"/>
      <c r="C20" s="35" t="n"/>
      <c r="D20" s="23" t="n"/>
      <c r="E20" s="25" t="n"/>
    </row>
    <row r="21">
      <c r="B21" s="53" t="n"/>
      <c r="C21" s="54" t="n"/>
      <c r="D21" s="53" t="n"/>
      <c r="E21" s="55" t="n"/>
    </row>
    <row r="22">
      <c r="B22" s="23" t="n"/>
      <c r="C22" s="35" t="n"/>
      <c r="D22" s="23" t="n"/>
      <c r="E22" s="25" t="n"/>
    </row>
    <row r="23">
      <c r="B23" s="53" t="n"/>
      <c r="C23" s="54" t="n"/>
      <c r="D23" s="53" t="n"/>
      <c r="E23" s="55" t="n"/>
    </row>
    <row r="24">
      <c r="B24" s="23" t="n"/>
      <c r="C24" s="35" t="n"/>
      <c r="D24" s="23" t="n"/>
      <c r="E24" s="25" t="n"/>
    </row>
    <row r="25">
      <c r="B25" s="53" t="n"/>
      <c r="C25" s="54" t="n"/>
      <c r="D25" s="53" t="n"/>
      <c r="E25" s="55" t="n"/>
    </row>
    <row r="26">
      <c r="B26" s="23" t="n"/>
      <c r="C26" s="35" t="n"/>
      <c r="D26" s="23" t="n"/>
      <c r="E26" s="25" t="n"/>
    </row>
    <row r="27">
      <c r="B27" s="53" t="n"/>
      <c r="C27" s="54" t="n"/>
      <c r="D27" s="53" t="n"/>
      <c r="E27" s="55" t="n"/>
    </row>
    <row r="28">
      <c r="B28" s="23" t="n"/>
      <c r="C28" s="35" t="n"/>
      <c r="D28" s="23" t="n"/>
      <c r="E28" s="25" t="n"/>
    </row>
  </sheetData>
  <mergeCells count="2">
    <mergeCell ref="A2:E2"/>
    <mergeCell ref="A1:E1"/>
  </mergeCells>
  <dataValidations count="1">
    <dataValidation sqref="E5:E28" showDropDown="0" showInputMessage="0" showErrorMessage="0" allowBlank="1" type="list">
      <formula1>=UnitList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12" customWidth="1" min="3" max="3"/>
    <col width="14" customWidth="1" min="4" max="4"/>
    <col width="14" customWidth="1" min="5" max="5"/>
    <col width="2" customWidth="1" min="6" max="6"/>
  </cols>
  <sheetData>
    <row r="1" ht="46" customHeight="1">
      <c r="A1" s="1" t="inlineStr">
        <is>
          <t xml:space="preserve">  👩‍🍳  BAKE PLAN</t>
        </is>
      </c>
    </row>
    <row r="2" ht="22" customHeight="1">
      <c r="A2" s="2" t="inlineStr">
        <is>
          <t xml:space="preserve">  What to make for the market — quantities and the prep time it takes.</t>
        </is>
      </c>
    </row>
    <row r="3" ht="6" customHeight="1">
      <c r="A3" s="3" t="n"/>
      <c r="B3" s="3" t="n"/>
      <c r="C3" s="3" t="n"/>
      <c r="D3" s="3" t="n"/>
      <c r="E3" s="3" t="n"/>
    </row>
    <row r="4" ht="30" customHeight="1">
      <c r="B4" s="9" t="inlineStr">
        <is>
          <t>Product</t>
        </is>
      </c>
      <c r="C4" s="9" t="inlineStr">
        <is>
          <t>Make Qty</t>
        </is>
      </c>
      <c r="D4" s="9" t="inlineStr">
        <is>
          <t>Prep (min)</t>
        </is>
      </c>
      <c r="E4" s="9" t="inlineStr">
        <is>
          <t>Prep (hrs)</t>
        </is>
      </c>
    </row>
    <row r="5">
      <c r="B5" s="20" t="inlineStr">
        <is>
          <t>Sourdough Loaf</t>
        </is>
      </c>
      <c r="C5" s="28" t="n">
        <v>26</v>
      </c>
      <c r="D5" s="28" t="n">
        <v>40</v>
      </c>
      <c r="E5" s="56">
        <f>D5/60</f>
        <v/>
      </c>
    </row>
    <row r="6">
      <c r="B6" s="23" t="inlineStr">
        <is>
          <t>Cinnamon Rolls (6)</t>
        </is>
      </c>
      <c r="C6" s="32" t="n">
        <v>12</v>
      </c>
      <c r="D6" s="32" t="n">
        <v>35</v>
      </c>
      <c r="E6" s="57">
        <f>D6/60</f>
        <v/>
      </c>
    </row>
    <row r="7">
      <c r="B7" s="20" t="inlineStr">
        <is>
          <t>Baguette</t>
        </is>
      </c>
      <c r="C7" s="28" t="n">
        <v>22</v>
      </c>
      <c r="D7" s="28" t="n">
        <v>30</v>
      </c>
      <c r="E7" s="56">
        <f>D7/60</f>
        <v/>
      </c>
    </row>
    <row r="8">
      <c r="B8" s="23" t="inlineStr">
        <is>
          <t>Focaccia</t>
        </is>
      </c>
      <c r="C8" s="32" t="n">
        <v>14</v>
      </c>
      <c r="D8" s="32" t="n">
        <v>25</v>
      </c>
      <c r="E8" s="57">
        <f>D8/60</f>
        <v/>
      </c>
    </row>
    <row r="9">
      <c r="B9" s="20" t="inlineStr">
        <is>
          <t>Cookies (dz)</t>
        </is>
      </c>
      <c r="C9" s="28" t="n">
        <v>12</v>
      </c>
      <c r="D9" s="28" t="n">
        <v>30</v>
      </c>
      <c r="E9" s="56">
        <f>D9/60</f>
        <v/>
      </c>
    </row>
    <row r="10">
      <c r="B10" s="23" t="inlineStr">
        <is>
          <t>Jam (jar)</t>
        </is>
      </c>
      <c r="C10" s="32" t="n">
        <v>10</v>
      </c>
      <c r="D10" s="32" t="n">
        <v>20</v>
      </c>
      <c r="E10" s="57">
        <f>D10/60</f>
        <v/>
      </c>
    </row>
    <row r="11">
      <c r="B11" s="9" t="inlineStr">
        <is>
          <t>MARKET TOTAL</t>
        </is>
      </c>
      <c r="C11" s="36">
        <f>SUM(C5:C10)</f>
        <v/>
      </c>
      <c r="D11" s="36">
        <f>SUM(D5:D10)</f>
        <v/>
      </c>
      <c r="E11" s="58">
        <f>SUM(E5:E10)</f>
        <v/>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showGridLines="0" workbookViewId="0">
      <pane ySplit="4" topLeftCell="A5" activePane="bottomLeft" state="frozen"/>
      <selection pane="bottomLeft" activeCell="A1" sqref="A1"/>
    </sheetView>
  </sheetViews>
  <sheetFormatPr baseColWidth="8" defaultRowHeight="15"/>
  <cols>
    <col width="2" customWidth="1" min="1" max="1"/>
    <col width="16" customWidth="1" min="2" max="2"/>
    <col width="24" customWidth="1" min="3" max="3"/>
    <col width="16" customWidth="1" min="4" max="4"/>
    <col width="2" customWidth="1" min="5" max="5"/>
  </cols>
  <sheetData>
    <row r="1" ht="46" customHeight="1">
      <c r="A1" s="1" t="inlineStr">
        <is>
          <t xml:space="preserve">  📅  MARKETS</t>
        </is>
      </c>
    </row>
    <row r="2" ht="22" customHeight="1">
      <c r="A2" s="2" t="inlineStr">
        <is>
          <t xml:space="preserve">  Every market day this month — where you sold and the day's sales, so monthly sales roll up.</t>
        </is>
      </c>
    </row>
    <row r="3" ht="6" customHeight="1">
      <c r="A3" s="3" t="n"/>
      <c r="B3" s="3" t="n"/>
      <c r="C3" s="3" t="n"/>
      <c r="D3" s="3" t="n"/>
    </row>
    <row r="4" ht="30" customHeight="1">
      <c r="B4" s="9" t="inlineStr">
        <is>
          <t>Date</t>
        </is>
      </c>
      <c r="C4" s="9" t="inlineStr">
        <is>
          <t>Market</t>
        </is>
      </c>
      <c r="D4" s="9" t="inlineStr">
        <is>
          <t>Day Sales</t>
        </is>
      </c>
    </row>
    <row r="5">
      <c r="B5" s="20" t="inlineStr">
        <is>
          <t>Sat · wk 1</t>
        </is>
      </c>
      <c r="C5" s="20" t="inlineStr">
        <is>
          <t>Downtown Market</t>
        </is>
      </c>
      <c r="D5" s="40" t="n">
        <v>768</v>
      </c>
    </row>
    <row r="6">
      <c r="B6" s="23" t="inlineStr">
        <is>
          <t>Sat · wk 2</t>
        </is>
      </c>
      <c r="C6" s="23" t="inlineStr">
        <is>
          <t>Downtown Market</t>
        </is>
      </c>
      <c r="D6" s="51" t="n">
        <v>690</v>
      </c>
    </row>
    <row r="7">
      <c r="B7" s="20" t="inlineStr">
        <is>
          <t>Sat · wk 3</t>
        </is>
      </c>
      <c r="C7" s="20" t="inlineStr">
        <is>
          <t>Riverside Market</t>
        </is>
      </c>
      <c r="D7" s="40" t="n">
        <v>815</v>
      </c>
    </row>
    <row r="8">
      <c r="B8" s="23" t="inlineStr">
        <is>
          <t>Sat · wk 4</t>
        </is>
      </c>
      <c r="C8" s="23" t="inlineStr">
        <is>
          <t>Downtown Market</t>
        </is>
      </c>
      <c r="D8" s="51" t="n">
        <v>727</v>
      </c>
    </row>
    <row r="9">
      <c r="B9" s="9" t="inlineStr">
        <is>
          <t>THIS MONTH</t>
        </is>
      </c>
      <c r="C9" s="37" t="n"/>
      <c r="D9" s="38">
        <f>SUM(MarketSales)</f>
        <v/>
      </c>
    </row>
    <row r="11">
      <c r="B11" s="27" t="inlineStr">
        <is>
          <t>Markets this month</t>
        </is>
      </c>
      <c r="D11" s="59">
        <f>COUNTA(MarketSales)</f>
        <v/>
      </c>
    </row>
  </sheetData>
  <mergeCells count="2">
    <mergeCell ref="A1:D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8"/>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14" customWidth="1" min="3" max="3"/>
    <col width="24" customWidth="1" min="4" max="4"/>
    <col width="2" customWidth="1" min="5" max="5"/>
  </cols>
  <sheetData>
    <row r="1" ht="46" customHeight="1">
      <c r="A1" s="1" t="inlineStr">
        <is>
          <t xml:space="preserve">  ⛺  BOOTH COSTS</t>
        </is>
      </c>
    </row>
    <row r="2" ht="22" customHeight="1">
      <c r="A2" s="2" t="inlineStr">
        <is>
          <t xml:space="preserve">  Your stall fees by market — what a space costs before you sell a thing.</t>
        </is>
      </c>
    </row>
    <row r="3" ht="6" customHeight="1">
      <c r="A3" s="3" t="n"/>
      <c r="B3" s="3" t="n"/>
      <c r="C3" s="3" t="n"/>
      <c r="D3" s="3" t="n"/>
    </row>
    <row r="4" ht="30" customHeight="1">
      <c r="B4" s="9" t="inlineStr">
        <is>
          <t>Market</t>
        </is>
      </c>
      <c r="C4" s="9" t="inlineStr">
        <is>
          <t>Stall Fee</t>
        </is>
      </c>
      <c r="D4" s="9" t="inlineStr">
        <is>
          <t>Notes</t>
        </is>
      </c>
    </row>
    <row r="5">
      <c r="B5" s="53" t="inlineStr">
        <is>
          <t>Downtown Market</t>
        </is>
      </c>
      <c r="C5" s="54" t="n">
        <v>45</v>
      </c>
      <c r="D5" s="53" t="inlineStr">
        <is>
          <t>Weekly · reserved</t>
        </is>
      </c>
    </row>
    <row r="6">
      <c r="B6" s="23" t="inlineStr">
        <is>
          <t>Riverside Market</t>
        </is>
      </c>
      <c r="C6" s="35" t="n">
        <v>60</v>
      </c>
      <c r="D6" s="23" t="inlineStr">
        <is>
          <t>Premium spot</t>
        </is>
      </c>
    </row>
    <row r="7">
      <c r="B7" s="53" t="inlineStr">
        <is>
          <t>Winter Indoor Market</t>
        </is>
      </c>
      <c r="C7" s="54" t="n">
        <v>35</v>
      </c>
      <c r="D7" s="53" t="inlineStr">
        <is>
          <t>Nov–Mar</t>
        </is>
      </c>
    </row>
    <row r="8">
      <c r="B8" s="23" t="inlineStr">
        <is>
          <t>Sunday Craft Fair</t>
        </is>
      </c>
      <c r="C8" s="35" t="n">
        <v>50</v>
      </c>
      <c r="D8" s="23" t="inlineStr">
        <is>
          <t>Occasional</t>
        </is>
      </c>
    </row>
    <row r="9">
      <c r="B9" s="53" t="n"/>
      <c r="C9" s="54" t="n"/>
      <c r="D9" s="53" t="n"/>
    </row>
    <row r="10">
      <c r="B10" s="23" t="n"/>
      <c r="C10" s="35" t="n"/>
      <c r="D10" s="23" t="n"/>
    </row>
    <row r="11">
      <c r="B11" s="53" t="n"/>
      <c r="C11" s="54" t="n"/>
      <c r="D11" s="53" t="n"/>
    </row>
    <row r="12">
      <c r="B12" s="23" t="n"/>
      <c r="C12" s="35" t="n"/>
      <c r="D12" s="23" t="n"/>
    </row>
    <row r="13">
      <c r="B13" s="53" t="n"/>
      <c r="C13" s="54" t="n"/>
      <c r="D13" s="53" t="n"/>
    </row>
    <row r="14">
      <c r="B14" s="23" t="n"/>
      <c r="C14" s="35" t="n"/>
      <c r="D14" s="23" t="n"/>
    </row>
    <row r="15">
      <c r="B15" s="53" t="n"/>
      <c r="C15" s="54" t="n"/>
      <c r="D15" s="53" t="n"/>
    </row>
    <row r="16">
      <c r="B16" s="23" t="n"/>
      <c r="C16" s="35" t="n"/>
      <c r="D16" s="23" t="n"/>
    </row>
    <row r="17">
      <c r="B17" s="53" t="n"/>
      <c r="C17" s="54" t="n"/>
      <c r="D17" s="53" t="n"/>
    </row>
    <row r="18">
      <c r="B18" s="23" t="n"/>
      <c r="C18" s="35" t="n"/>
      <c r="D18" s="23" t="n"/>
    </row>
    <row r="19">
      <c r="B19" s="53" t="n"/>
      <c r="C19" s="54" t="n"/>
      <c r="D19" s="53" t="n"/>
    </row>
    <row r="20">
      <c r="B20" s="23" t="n"/>
      <c r="C20" s="35" t="n"/>
      <c r="D20" s="23" t="n"/>
    </row>
    <row r="21">
      <c r="B21" s="53" t="n"/>
      <c r="C21" s="54" t="n"/>
      <c r="D21" s="53" t="n"/>
    </row>
    <row r="22">
      <c r="B22" s="23" t="n"/>
      <c r="C22" s="35" t="n"/>
      <c r="D22" s="23" t="n"/>
    </row>
    <row r="23">
      <c r="B23" s="53" t="n"/>
      <c r="C23" s="54" t="n"/>
      <c r="D23" s="53" t="n"/>
    </row>
    <row r="24">
      <c r="B24" s="23" t="n"/>
      <c r="C24" s="35" t="n"/>
      <c r="D24" s="23" t="n"/>
    </row>
    <row r="25">
      <c r="B25" s="53" t="n"/>
      <c r="C25" s="54" t="n"/>
      <c r="D25" s="53" t="n"/>
    </row>
    <row r="26">
      <c r="B26" s="23" t="n"/>
      <c r="C26" s="35" t="n"/>
      <c r="D26" s="23" t="n"/>
    </row>
    <row r="27">
      <c r="B27" s="53" t="n"/>
      <c r="C27" s="54" t="n"/>
      <c r="D27" s="53" t="n"/>
    </row>
    <row r="28">
      <c r="B28" s="23" t="n"/>
      <c r="C28" s="35" t="n"/>
      <c r="D28" s="23" t="n"/>
    </row>
  </sheetData>
  <mergeCells count="2">
    <mergeCell ref="A1:D1"/>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8"/>
  <sheetViews>
    <sheetView showGridLines="0" workbookViewId="0">
      <pane ySplit="4" topLeftCell="A5" activePane="bottomLeft" state="frozen"/>
      <selection pane="bottomLeft" activeCell="A1" sqref="A1"/>
    </sheetView>
  </sheetViews>
  <sheetFormatPr baseColWidth="8" defaultRowHeight="15"/>
  <cols>
    <col width="2" customWidth="1" min="1" max="1"/>
    <col width="24" customWidth="1" min="2" max="2"/>
    <col width="14" customWidth="1" min="3" max="3"/>
    <col width="24" customWidth="1" min="4" max="4"/>
    <col width="2" customWidth="1" min="5" max="5"/>
  </cols>
  <sheetData>
    <row r="1" ht="46" customHeight="1">
      <c r="A1" s="1" t="inlineStr">
        <is>
          <t xml:space="preserve">  🛍  PACKAGING &amp; SUPPLIES</t>
        </is>
      </c>
    </row>
    <row r="2" ht="22" customHeight="1">
      <c r="A2" s="2" t="inlineStr">
        <is>
          <t xml:space="preserve">  Bags, boxes &amp; labels — the small costs that quietly eat your margin.</t>
        </is>
      </c>
    </row>
    <row r="3" ht="6" customHeight="1">
      <c r="A3" s="3" t="n"/>
      <c r="B3" s="3" t="n"/>
      <c r="C3" s="3" t="n"/>
      <c r="D3" s="3" t="n"/>
    </row>
    <row r="4" ht="30" customHeight="1">
      <c r="B4" s="9" t="inlineStr">
        <is>
          <t>Item</t>
        </is>
      </c>
      <c r="C4" s="9" t="inlineStr">
        <is>
          <t>Cost</t>
        </is>
      </c>
      <c r="D4" s="9" t="inlineStr">
        <is>
          <t>Notes</t>
        </is>
      </c>
    </row>
    <row r="5">
      <c r="B5" s="53" t="inlineStr">
        <is>
          <t>Kraft bags</t>
        </is>
      </c>
      <c r="C5" s="54" t="n">
        <v>0.1</v>
      </c>
      <c r="D5" s="53" t="inlineStr">
        <is>
          <t>Per loaf</t>
        </is>
      </c>
    </row>
    <row r="6">
      <c r="B6" s="23" t="inlineStr">
        <is>
          <t>Bakery boxes</t>
        </is>
      </c>
      <c r="C6" s="35" t="n">
        <v>0.45</v>
      </c>
      <c r="D6" s="23" t="inlineStr">
        <is>
          <t>Rolls &amp; pastries</t>
        </is>
      </c>
    </row>
    <row r="7">
      <c r="B7" s="53" t="inlineStr">
        <is>
          <t>Jam labels</t>
        </is>
      </c>
      <c r="C7" s="54" t="n">
        <v>0.06</v>
      </c>
      <c r="D7" s="53" t="inlineStr">
        <is>
          <t>Printed</t>
        </is>
      </c>
    </row>
    <row r="8">
      <c r="B8" s="23" t="inlineStr">
        <is>
          <t>Twine &amp; tags</t>
        </is>
      </c>
      <c r="C8" s="35" t="n">
        <v>0.04</v>
      </c>
      <c r="D8" s="23" t="inlineStr">
        <is>
          <t>Finishing</t>
        </is>
      </c>
    </row>
    <row r="9">
      <c r="B9" s="53" t="inlineStr">
        <is>
          <t>Tent &amp; table</t>
        </is>
      </c>
      <c r="C9" s="54" t="n">
        <v>0</v>
      </c>
      <c r="D9" s="53" t="inlineStr">
        <is>
          <t>Owned</t>
        </is>
      </c>
    </row>
    <row r="10">
      <c r="B10" s="23" t="inlineStr">
        <is>
          <t>Card reader fees</t>
        </is>
      </c>
      <c r="C10" s="35" t="n">
        <v>0.03</v>
      </c>
      <c r="D10" s="23" t="inlineStr">
        <is>
          <t>Per $1 sold</t>
        </is>
      </c>
    </row>
    <row r="11">
      <c r="B11" s="53" t="n"/>
      <c r="C11" s="54" t="n"/>
      <c r="D11" s="53" t="n"/>
    </row>
    <row r="12">
      <c r="B12" s="23" t="n"/>
      <c r="C12" s="35" t="n"/>
      <c r="D12" s="23" t="n"/>
    </row>
    <row r="13">
      <c r="B13" s="53" t="n"/>
      <c r="C13" s="54" t="n"/>
      <c r="D13" s="53" t="n"/>
    </row>
    <row r="14">
      <c r="B14" s="23" t="n"/>
      <c r="C14" s="35" t="n"/>
      <c r="D14" s="23" t="n"/>
    </row>
    <row r="15">
      <c r="B15" s="53" t="n"/>
      <c r="C15" s="54" t="n"/>
      <c r="D15" s="53" t="n"/>
    </row>
    <row r="16">
      <c r="B16" s="23" t="n"/>
      <c r="C16" s="35" t="n"/>
      <c r="D16" s="23" t="n"/>
    </row>
    <row r="17">
      <c r="B17" s="53" t="n"/>
      <c r="C17" s="54" t="n"/>
      <c r="D17" s="53" t="n"/>
    </row>
    <row r="18">
      <c r="B18" s="23" t="n"/>
      <c r="C18" s="35" t="n"/>
      <c r="D18" s="23" t="n"/>
    </row>
    <row r="19">
      <c r="B19" s="53" t="n"/>
      <c r="C19" s="54" t="n"/>
      <c r="D19" s="53" t="n"/>
    </row>
    <row r="20">
      <c r="B20" s="23" t="n"/>
      <c r="C20" s="35" t="n"/>
      <c r="D20" s="23" t="n"/>
    </row>
    <row r="21">
      <c r="B21" s="53" t="n"/>
      <c r="C21" s="54" t="n"/>
      <c r="D21" s="53" t="n"/>
    </row>
    <row r="22">
      <c r="B22" s="23" t="n"/>
      <c r="C22" s="35" t="n"/>
      <c r="D22" s="23" t="n"/>
    </row>
    <row r="23">
      <c r="B23" s="53" t="n"/>
      <c r="C23" s="54" t="n"/>
      <c r="D23" s="53" t="n"/>
    </row>
    <row r="24">
      <c r="B24" s="23" t="n"/>
      <c r="C24" s="35" t="n"/>
      <c r="D24" s="23" t="n"/>
    </row>
    <row r="25">
      <c r="B25" s="53" t="n"/>
      <c r="C25" s="54" t="n"/>
      <c r="D25" s="53" t="n"/>
    </row>
    <row r="26">
      <c r="B26" s="23" t="n"/>
      <c r="C26" s="35" t="n"/>
      <c r="D26" s="23" t="n"/>
    </row>
    <row r="27">
      <c r="B27" s="53" t="n"/>
      <c r="C27" s="54" t="n"/>
      <c r="D27" s="53" t="n"/>
    </row>
    <row r="28">
      <c r="B28" s="23" t="n"/>
      <c r="C28" s="35" t="n"/>
      <c r="D28" s="23" t="n"/>
    </row>
  </sheetData>
  <mergeCells count="2">
    <mergeCell ref="A1:D1"/>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8"/>
  <sheetViews>
    <sheetView showGridLines="0" workbookViewId="0">
      <pane ySplit="4" topLeftCell="A5" activePane="bottomLeft" state="frozen"/>
      <selection pane="bottomLeft" activeCell="A1" sqref="A1"/>
    </sheetView>
  </sheetViews>
  <sheetFormatPr baseColWidth="8" defaultRowHeight="15"/>
  <cols>
    <col width="2" customWidth="1" min="1" max="1"/>
    <col width="24" customWidth="1" min="2" max="2"/>
    <col width="20" customWidth="1" min="3" max="3"/>
    <col width="26" customWidth="1" min="4" max="4"/>
    <col width="2" customWidth="1" min="5" max="5"/>
  </cols>
  <sheetData>
    <row r="1" ht="46" customHeight="1">
      <c r="A1" s="1" t="inlineStr">
        <is>
          <t xml:space="preserve">  🤝  CUSTOMERS</t>
        </is>
      </c>
    </row>
    <row r="2" ht="22" customHeight="1">
      <c r="A2" s="2" t="inlineStr">
        <is>
          <t xml:space="preserve">  Your regulars, CSA subscribers &amp; wholesale accounts — the base that comes back.</t>
        </is>
      </c>
    </row>
    <row r="3" ht="6" customHeight="1">
      <c r="A3" s="3" t="n"/>
      <c r="B3" s="3" t="n"/>
      <c r="C3" s="3" t="n"/>
      <c r="D3" s="3" t="n"/>
    </row>
    <row r="4" ht="30" customHeight="1">
      <c r="B4" s="9" t="inlineStr">
        <is>
          <t>Name</t>
        </is>
      </c>
      <c r="C4" s="9" t="inlineStr">
        <is>
          <t>Type</t>
        </is>
      </c>
      <c r="D4" s="9" t="inlineStr">
        <is>
          <t>Notes</t>
        </is>
      </c>
    </row>
    <row r="5">
      <c r="B5" s="53" t="inlineStr">
        <is>
          <t>The Halls</t>
        </is>
      </c>
      <c r="C5" s="55" t="inlineStr">
        <is>
          <t>CSA / subscriber</t>
        </is>
      </c>
      <c r="D5" s="53" t="inlineStr">
        <is>
          <t>Weekly bread share</t>
        </is>
      </c>
    </row>
    <row r="6">
      <c r="B6" s="23" t="inlineStr">
        <is>
          <t>Cafe on 5th</t>
        </is>
      </c>
      <c r="C6" s="25" t="inlineStr">
        <is>
          <t>Wholesale</t>
        </is>
      </c>
      <c r="D6" s="23" t="inlineStr">
        <is>
          <t>12 loaves/wk</t>
        </is>
      </c>
    </row>
    <row r="7">
      <c r="B7" s="53" t="inlineStr">
        <is>
          <t>Marta R.</t>
        </is>
      </c>
      <c r="C7" s="55" t="inlineStr">
        <is>
          <t>Regular</t>
        </is>
      </c>
      <c r="D7" s="53" t="inlineStr">
        <is>
          <t>Always cinnamon rolls</t>
        </is>
      </c>
    </row>
    <row r="8">
      <c r="B8" s="23" t="inlineStr">
        <is>
          <t>Devi &amp; Sam</t>
        </is>
      </c>
      <c r="C8" s="25" t="inlineStr">
        <is>
          <t>CSA / subscriber</t>
        </is>
      </c>
      <c r="D8" s="23" t="inlineStr">
        <is>
          <t>Bread + jam</t>
        </is>
      </c>
    </row>
    <row r="9">
      <c r="B9" s="53" t="inlineStr">
        <is>
          <t>Inn on Main</t>
        </is>
      </c>
      <c r="C9" s="55" t="inlineStr">
        <is>
          <t>Wholesale</t>
        </is>
      </c>
      <c r="D9" s="53" t="inlineStr">
        <is>
          <t>Focaccia Fridays</t>
        </is>
      </c>
    </row>
    <row r="10">
      <c r="B10" s="23" t="n"/>
      <c r="C10" s="25" t="n"/>
      <c r="D10" s="23" t="n"/>
    </row>
    <row r="11">
      <c r="B11" s="53" t="n"/>
      <c r="C11" s="55" t="n"/>
      <c r="D11" s="53" t="n"/>
    </row>
    <row r="12">
      <c r="B12" s="23" t="n"/>
      <c r="C12" s="25" t="n"/>
      <c r="D12" s="23" t="n"/>
    </row>
    <row r="13">
      <c r="B13" s="53" t="n"/>
      <c r="C13" s="55" t="n"/>
      <c r="D13" s="53" t="n"/>
    </row>
    <row r="14">
      <c r="B14" s="23" t="n"/>
      <c r="C14" s="25" t="n"/>
      <c r="D14" s="23" t="n"/>
    </row>
    <row r="15">
      <c r="B15" s="53" t="n"/>
      <c r="C15" s="55" t="n"/>
      <c r="D15" s="53" t="n"/>
    </row>
    <row r="16">
      <c r="B16" s="23" t="n"/>
      <c r="C16" s="25" t="n"/>
      <c r="D16" s="23" t="n"/>
    </row>
    <row r="17">
      <c r="B17" s="53" t="n"/>
      <c r="C17" s="55" t="n"/>
      <c r="D17" s="53" t="n"/>
    </row>
    <row r="18">
      <c r="B18" s="23" t="n"/>
      <c r="C18" s="25" t="n"/>
      <c r="D18" s="23" t="n"/>
    </row>
    <row r="19">
      <c r="B19" s="53" t="n"/>
      <c r="C19" s="55" t="n"/>
      <c r="D19" s="53" t="n"/>
    </row>
    <row r="20">
      <c r="B20" s="23" t="n"/>
      <c r="C20" s="25" t="n"/>
      <c r="D20" s="23" t="n"/>
    </row>
    <row r="21">
      <c r="B21" s="53" t="n"/>
      <c r="C21" s="55" t="n"/>
      <c r="D21" s="53" t="n"/>
    </row>
    <row r="22">
      <c r="B22" s="23" t="n"/>
      <c r="C22" s="25" t="n"/>
      <c r="D22" s="23" t="n"/>
    </row>
    <row r="23">
      <c r="B23" s="53" t="n"/>
      <c r="C23" s="55" t="n"/>
      <c r="D23" s="53" t="n"/>
    </row>
    <row r="24">
      <c r="B24" s="23" t="n"/>
      <c r="C24" s="25" t="n"/>
      <c r="D24" s="23" t="n"/>
    </row>
    <row r="25">
      <c r="B25" s="53" t="n"/>
      <c r="C25" s="55" t="n"/>
      <c r="D25" s="53" t="n"/>
    </row>
    <row r="26">
      <c r="B26" s="23" t="n"/>
      <c r="C26" s="25" t="n"/>
      <c r="D26" s="23" t="n"/>
    </row>
    <row r="27">
      <c r="B27" s="53" t="n"/>
      <c r="C27" s="55" t="n"/>
      <c r="D27" s="53" t="n"/>
    </row>
    <row r="28">
      <c r="B28" s="23" t="n"/>
      <c r="C28" s="25" t="n"/>
      <c r="D28" s="23" t="n"/>
    </row>
  </sheetData>
  <mergeCells count="2">
    <mergeCell ref="A1:D1"/>
    <mergeCell ref="A2:D2"/>
  </mergeCells>
  <dataValidations count="1">
    <dataValidation sqref="C5:C28" showDropDown="0" showInputMessage="0" showErrorMessage="0" allowBlank="1" type="list">
      <formula1>=CTypeList</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9"/>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24" customWidth="1" min="3" max="3"/>
    <col width="14" customWidth="1" min="4" max="4"/>
    <col width="2" customWidth="1" min="5" max="5"/>
  </cols>
  <sheetData>
    <row r="1" ht="46" customHeight="1">
      <c r="A1" s="1" t="inlineStr">
        <is>
          <t xml:space="preserve">  🗑  WASTE LOG</t>
        </is>
      </c>
    </row>
    <row r="2" ht="22" customHeight="1">
      <c r="A2" s="2" t="inlineStr">
        <is>
          <t xml:space="preserve">  Unsold stock, over-bake &amp; spoilage — the leaks that eat your booth net.</t>
        </is>
      </c>
    </row>
    <row r="3" ht="6" customHeight="1">
      <c r="A3" s="3" t="n"/>
      <c r="B3" s="3" t="n"/>
      <c r="C3" s="3" t="n"/>
      <c r="D3" s="3" t="n"/>
    </row>
    <row r="4" ht="30" customHeight="1">
      <c r="B4" s="9" t="inlineStr">
        <is>
          <t>Item</t>
        </is>
      </c>
      <c r="C4" s="9" t="inlineStr">
        <is>
          <t>Reason</t>
        </is>
      </c>
      <c r="D4" s="9" t="inlineStr">
        <is>
          <t>Cost</t>
        </is>
      </c>
    </row>
    <row r="5">
      <c r="B5" s="53" t="inlineStr">
        <is>
          <t>Unsold bread</t>
        </is>
      </c>
      <c r="C5" s="53" t="inlineStr">
        <is>
          <t>End of market</t>
        </is>
      </c>
      <c r="D5" s="54" t="n">
        <v>32</v>
      </c>
    </row>
    <row r="6">
      <c r="B6" s="23" t="inlineStr">
        <is>
          <t>Over-bake</t>
        </is>
      </c>
      <c r="C6" s="23" t="inlineStr">
        <is>
          <t>Slow day</t>
        </is>
      </c>
      <c r="D6" s="35" t="n">
        <v>24</v>
      </c>
    </row>
    <row r="7">
      <c r="B7" s="53" t="inlineStr">
        <is>
          <t>Spoiled fruit</t>
        </is>
      </c>
      <c r="C7" s="53" t="inlineStr">
        <is>
          <t>Jam batch</t>
        </is>
      </c>
      <c r="D7" s="54" t="n">
        <v>16</v>
      </c>
    </row>
    <row r="8">
      <c r="B8" s="23" t="n"/>
      <c r="C8" s="23" t="n"/>
      <c r="D8" s="35" t="n"/>
    </row>
    <row r="9">
      <c r="B9" s="53" t="n"/>
      <c r="C9" s="53" t="n"/>
      <c r="D9" s="54" t="n"/>
    </row>
    <row r="10">
      <c r="B10" s="23" t="n"/>
      <c r="C10" s="23" t="n"/>
      <c r="D10" s="35" t="n"/>
    </row>
    <row r="11">
      <c r="B11" s="53" t="n"/>
      <c r="C11" s="53" t="n"/>
      <c r="D11" s="54" t="n"/>
    </row>
    <row r="12">
      <c r="B12" s="23" t="n"/>
      <c r="C12" s="23" t="n"/>
      <c r="D12" s="35" t="n"/>
    </row>
    <row r="13">
      <c r="B13" s="53" t="n"/>
      <c r="C13" s="53" t="n"/>
      <c r="D13" s="54" t="n"/>
    </row>
    <row r="14">
      <c r="B14" s="23" t="n"/>
      <c r="C14" s="23" t="n"/>
      <c r="D14" s="35" t="n"/>
    </row>
    <row r="15">
      <c r="B15" s="53" t="n"/>
      <c r="C15" s="53" t="n"/>
      <c r="D15" s="54" t="n"/>
    </row>
    <row r="16">
      <c r="B16" s="23" t="n"/>
      <c r="C16" s="23" t="n"/>
      <c r="D16" s="35" t="n"/>
    </row>
    <row r="17">
      <c r="B17" s="53" t="n"/>
      <c r="C17" s="53" t="n"/>
      <c r="D17" s="54" t="n"/>
    </row>
    <row r="18">
      <c r="B18" s="23" t="n"/>
      <c r="C18" s="23" t="n"/>
      <c r="D18" s="35" t="n"/>
    </row>
    <row r="19">
      <c r="B19" s="53" t="n"/>
      <c r="C19" s="53" t="n"/>
      <c r="D19" s="54" t="n"/>
    </row>
    <row r="20">
      <c r="B20" s="23" t="n"/>
      <c r="C20" s="23" t="n"/>
      <c r="D20" s="35" t="n"/>
    </row>
    <row r="21">
      <c r="B21" s="53" t="n"/>
      <c r="C21" s="53" t="n"/>
      <c r="D21" s="54" t="n"/>
    </row>
    <row r="22">
      <c r="B22" s="23" t="n"/>
      <c r="C22" s="23" t="n"/>
      <c r="D22" s="35" t="n"/>
    </row>
    <row r="23">
      <c r="B23" s="53" t="n"/>
      <c r="C23" s="53" t="n"/>
      <c r="D23" s="54" t="n"/>
    </row>
    <row r="24">
      <c r="B24" s="23" t="n"/>
      <c r="C24" s="23" t="n"/>
      <c r="D24" s="35" t="n"/>
    </row>
    <row r="25">
      <c r="B25" s="53" t="n"/>
      <c r="C25" s="53" t="n"/>
      <c r="D25" s="54" t="n"/>
    </row>
    <row r="26">
      <c r="B26" s="23" t="n"/>
      <c r="C26" s="23" t="n"/>
      <c r="D26" s="35" t="n"/>
    </row>
    <row r="27">
      <c r="B27" s="53" t="n"/>
      <c r="C27" s="53" t="n"/>
      <c r="D27" s="54" t="n"/>
    </row>
    <row r="28">
      <c r="B28" s="23" t="n"/>
      <c r="C28" s="23" t="n"/>
      <c r="D28" s="35" t="n"/>
    </row>
    <row r="29">
      <c r="B29" s="9" t="inlineStr">
        <is>
          <t>TOTAL WASTE</t>
        </is>
      </c>
      <c r="C29" s="37" t="n"/>
      <c r="D29" s="60">
        <f>SUM(WasteCost)</f>
        <v/>
      </c>
    </row>
  </sheetData>
  <mergeCells count="2">
    <mergeCell ref="A1:D1"/>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2" customWidth="1" min="1" max="1"/>
    <col width="30" customWidth="1" min="2" max="2"/>
    <col width="16" customWidth="1" min="3" max="3"/>
    <col width="2" customWidth="1" min="4" max="4"/>
  </cols>
  <sheetData>
    <row r="1" ht="46" customHeight="1">
      <c r="A1" s="1" t="inlineStr">
        <is>
          <t xml:space="preserve">  💰  INCOME &amp; EXPENSES</t>
        </is>
      </c>
    </row>
    <row r="2" ht="22" customHeight="1">
      <c r="A2" s="2" t="inlineStr">
        <is>
          <t xml:space="preserve">  Monthly books — market sales in, costs out, and the profit that's really yours.</t>
        </is>
      </c>
    </row>
    <row r="3" ht="6" customHeight="1">
      <c r="A3" s="3" t="n"/>
      <c r="B3" s="3" t="n"/>
      <c r="C3" s="3" t="n"/>
    </row>
    <row r="5">
      <c r="B5" s="4" t="inlineStr">
        <is>
          <t>INCOME</t>
        </is>
      </c>
    </row>
    <row r="6">
      <c r="B6" s="20" t="inlineStr">
        <is>
          <t>Monthly market sales</t>
        </is>
      </c>
      <c r="C6" s="38">
        <f>MonthlySales</f>
        <v/>
      </c>
    </row>
    <row r="8">
      <c r="B8" s="4" t="inlineStr">
        <is>
          <t>EXPENSES</t>
        </is>
      </c>
    </row>
    <row r="9" ht="30" customHeight="1">
      <c r="B9" s="9" t="inlineStr">
        <is>
          <t>Expense</t>
        </is>
      </c>
      <c r="C9" s="9" t="inlineStr">
        <is>
          <t>Amount</t>
        </is>
      </c>
    </row>
    <row r="10">
      <c r="B10" s="20" t="inlineStr">
        <is>
          <t>Ingredients</t>
        </is>
      </c>
      <c r="C10" s="40" t="n">
        <v>735</v>
      </c>
    </row>
    <row r="11">
      <c r="B11" s="23" t="inlineStr">
        <is>
          <t>Booth &amp; stall fees</t>
        </is>
      </c>
      <c r="C11" s="51" t="n">
        <v>180</v>
      </c>
    </row>
    <row r="12">
      <c r="B12" s="20" t="inlineStr">
        <is>
          <t>Fuel &amp; travel</t>
        </is>
      </c>
      <c r="C12" s="40" t="n">
        <v>75</v>
      </c>
    </row>
    <row r="13">
      <c r="B13" s="23" t="inlineStr">
        <is>
          <t>Hired help</t>
        </is>
      </c>
      <c r="C13" s="51" t="n">
        <v>240</v>
      </c>
    </row>
    <row r="14">
      <c r="B14" s="20" t="inlineStr">
        <is>
          <t>Packaging &amp; supplies</t>
        </is>
      </c>
      <c r="C14" s="40" t="n">
        <v>95</v>
      </c>
    </row>
    <row r="15">
      <c r="B15" s="23" t="inlineStr">
        <is>
          <t>Market &amp; insurance fees</t>
        </is>
      </c>
      <c r="C15" s="51" t="n">
        <v>80</v>
      </c>
    </row>
    <row r="16">
      <c r="B16" s="9" t="inlineStr">
        <is>
          <t>TOTAL EXPENSES</t>
        </is>
      </c>
      <c r="C16" s="41">
        <f>SUM(ExpAmt)</f>
        <v/>
      </c>
    </row>
    <row r="18">
      <c r="B18" s="9">
        <f> MONTHLY PROFIT</f>
        <v/>
      </c>
      <c r="C18" s="43">
        <f>TotalIncome-ExpTotal</f>
        <v/>
      </c>
    </row>
  </sheetData>
  <mergeCells count="2">
    <mergeCell ref="A1:C1"/>
    <mergeCell ref="A2:C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2" customWidth="1" min="1" max="1"/>
    <col width="16" customWidth="1" min="2" max="2"/>
    <col width="16" customWidth="1" min="3" max="3"/>
    <col width="16" customWidth="1" min="4" max="4"/>
    <col width="14" customWidth="1" min="5" max="5"/>
    <col width="2" customWidth="1" min="6" max="6"/>
  </cols>
  <sheetData>
    <row r="1" ht="46" customHeight="1">
      <c r="A1" s="1" t="inlineStr">
        <is>
          <t xml:space="preserve">  📈  MONTHLY SUMMARY</t>
        </is>
      </c>
    </row>
    <row r="2" ht="22" customHeight="1">
      <c r="A2" s="2" t="inlineStr">
        <is>
          <t xml:space="preserve">  Sales, expenses &amp; profit by month — watch the season swing.</t>
        </is>
      </c>
    </row>
    <row r="3" ht="6" customHeight="1">
      <c r="A3" s="3" t="n"/>
      <c r="B3" s="3" t="n"/>
      <c r="C3" s="3" t="n"/>
      <c r="D3" s="3" t="n"/>
      <c r="E3" s="3" t="n"/>
    </row>
    <row r="4" ht="30" customHeight="1">
      <c r="B4" s="9" t="inlineStr">
        <is>
          <t>Month</t>
        </is>
      </c>
      <c r="C4" s="9" t="inlineStr">
        <is>
          <t>Sales</t>
        </is>
      </c>
      <c r="D4" s="9" t="inlineStr">
        <is>
          <t>Expenses</t>
        </is>
      </c>
      <c r="E4" s="9" t="inlineStr">
        <is>
          <t>Profit</t>
        </is>
      </c>
    </row>
    <row r="5">
      <c r="B5" s="20" t="inlineStr">
        <is>
          <t>Jul</t>
        </is>
      </c>
      <c r="C5" s="40" t="n">
        <v>3000</v>
      </c>
      <c r="D5" s="40" t="n">
        <v>1405</v>
      </c>
      <c r="E5" s="30">
        <f>C5-D5</f>
        <v/>
      </c>
    </row>
    <row r="6">
      <c r="B6" s="23" t="inlineStr">
        <is>
          <t>Aug</t>
        </is>
      </c>
      <c r="C6" s="51" t="n">
        <v>3200</v>
      </c>
      <c r="D6" s="51" t="n">
        <v>1470</v>
      </c>
      <c r="E6" s="34">
        <f>C6-D6</f>
        <v/>
      </c>
    </row>
    <row r="7">
      <c r="B7" s="20" t="inlineStr">
        <is>
          <t>Sep</t>
        </is>
      </c>
      <c r="C7" s="40" t="n">
        <v>3450</v>
      </c>
      <c r="D7" s="40" t="n">
        <v>1560</v>
      </c>
      <c r="E7" s="30">
        <f>C7-D7</f>
        <v/>
      </c>
    </row>
    <row r="8">
      <c r="B8" s="23" t="inlineStr">
        <is>
          <t>Oct</t>
        </is>
      </c>
      <c r="C8" s="51" t="n">
        <v>3100</v>
      </c>
      <c r="D8" s="51" t="n">
        <v>1440</v>
      </c>
      <c r="E8" s="34">
        <f>C8-D8</f>
        <v/>
      </c>
    </row>
    <row r="9">
      <c r="B9" s="20" t="inlineStr">
        <is>
          <t>Nov</t>
        </is>
      </c>
      <c r="C9" s="40" t="n">
        <v>2600</v>
      </c>
      <c r="D9" s="40" t="n">
        <v>1290</v>
      </c>
      <c r="E9" s="30">
        <f>C9-D9</f>
        <v/>
      </c>
    </row>
    <row r="10">
      <c r="B10" s="23" t="inlineStr">
        <is>
          <t>Dec</t>
        </is>
      </c>
      <c r="C10" s="51" t="n">
        <v>3600</v>
      </c>
      <c r="D10" s="51" t="n">
        <v>1650</v>
      </c>
      <c r="E10" s="34">
        <f>C10-D10</f>
        <v/>
      </c>
    </row>
  </sheetData>
  <mergeCells count="2">
    <mergeCell ref="A2:E2"/>
    <mergeCell ref="A1:E1"/>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J14"/>
  <sheetViews>
    <sheetView showGridLines="0" workbookViewId="0">
      <selection activeCell="A1" sqref="A1"/>
    </sheetView>
  </sheetViews>
  <sheetFormatPr baseColWidth="8" defaultRowHeight="15"/>
  <cols>
    <col width="2" customWidth="1" min="1" max="1"/>
    <col width="28" customWidth="1" min="2" max="2"/>
    <col width="20" customWidth="1" min="3" max="3"/>
    <col width="3" customWidth="1" min="4" max="4"/>
    <col width="16" customWidth="1" min="5" max="5"/>
    <col width="16" customWidth="1" min="6" max="6"/>
    <col width="16" customWidth="1" min="7" max="7"/>
    <col width="16" customWidth="1" min="8" max="8"/>
    <col width="16" customWidth="1" min="9" max="9"/>
    <col width="16" customWidth="1" min="10" max="10"/>
  </cols>
  <sheetData>
    <row r="1" ht="46" customHeight="1">
      <c r="A1" s="1" t="inlineStr">
        <is>
          <t xml:space="preserve">  ⚙  SETTINGS</t>
        </is>
      </c>
    </row>
    <row r="2" ht="22" customHeight="1">
      <c r="A2" s="2" t="inlineStr">
        <is>
          <t xml:space="preserve">  Set your targets &amp; lists once — every tab follows.</t>
        </is>
      </c>
    </row>
    <row r="3" ht="6" customHeight="1">
      <c r="A3" s="3" t="n"/>
      <c r="B3" s="3" t="n"/>
      <c r="C3" s="3" t="n"/>
      <c r="D3" s="3" t="n"/>
      <c r="E3" s="3" t="n"/>
      <c r="F3" s="3" t="n"/>
      <c r="G3" s="3" t="n"/>
      <c r="H3" s="3" t="n"/>
      <c r="I3" s="3" t="n"/>
      <c r="J3" s="3" t="n"/>
    </row>
    <row r="5">
      <c r="B5" s="7" t="inlineStr">
        <is>
          <t>YOUR TARGETS</t>
        </is>
      </c>
      <c r="E5" s="4" t="inlineStr">
        <is>
          <t>DROPDOWN LISTS</t>
        </is>
      </c>
    </row>
    <row r="6">
      <c r="B6" s="27" t="inlineStr">
        <is>
          <t>Business name</t>
        </is>
      </c>
      <c r="C6" s="61" t="inlineStr">
        <is>
          <t>Harvest Lane Market Co.</t>
        </is>
      </c>
      <c r="E6" s="9" t="inlineStr">
        <is>
          <t>Unit</t>
        </is>
      </c>
      <c r="F6" s="9" t="inlineStr">
        <is>
          <t>Category</t>
        </is>
      </c>
      <c r="G6" s="9" t="inlineStr">
        <is>
          <t>Cust. type</t>
        </is>
      </c>
      <c r="H6" s="9" t="inlineStr">
        <is>
          <t>Yes / No</t>
        </is>
      </c>
    </row>
    <row r="7">
      <c r="B7" s="27" t="inlineStr">
        <is>
          <t>Owner</t>
        </is>
      </c>
      <c r="C7" s="61" t="inlineStr">
        <is>
          <t>Sage</t>
        </is>
      </c>
      <c r="E7" s="20" t="inlineStr">
        <is>
          <t>each</t>
        </is>
      </c>
      <c r="F7" s="20" t="inlineStr">
        <is>
          <t>Bread</t>
        </is>
      </c>
      <c r="G7" s="20" t="inlineStr">
        <is>
          <t>Regular</t>
        </is>
      </c>
      <c r="H7" s="20" t="inlineStr">
        <is>
          <t>Yes</t>
        </is>
      </c>
    </row>
    <row r="8">
      <c r="B8" s="27" t="inlineStr">
        <is>
          <t>Target COGS %</t>
        </is>
      </c>
      <c r="C8" s="62" t="n">
        <v>0.3</v>
      </c>
      <c r="E8" s="20" t="inlineStr">
        <is>
          <t>lb</t>
        </is>
      </c>
      <c r="F8" s="20" t="inlineStr">
        <is>
          <t>Pastry</t>
        </is>
      </c>
      <c r="G8" s="20" t="inlineStr">
        <is>
          <t>CSA / subscriber</t>
        </is>
      </c>
      <c r="H8" s="20" t="inlineStr">
        <is>
          <t>No</t>
        </is>
      </c>
    </row>
    <row r="9">
      <c r="B9" s="27" t="inlineStr">
        <is>
          <t>Net-margin goal %</t>
        </is>
      </c>
      <c r="C9" s="62" t="n">
        <v>0.45</v>
      </c>
      <c r="E9" s="20" t="inlineStr">
        <is>
          <t>oz</t>
        </is>
      </c>
      <c r="F9" s="20" t="inlineStr">
        <is>
          <t>Preserves</t>
        </is>
      </c>
      <c r="G9" s="20" t="inlineStr">
        <is>
          <t>Wholesale</t>
        </is>
      </c>
    </row>
    <row r="10">
      <c r="B10" s="27" t="inlineStr">
        <is>
          <t>Monthly sales goal</t>
        </is>
      </c>
      <c r="C10" s="40" t="n">
        <v>3000</v>
      </c>
      <c r="E10" s="20" t="inlineStr">
        <is>
          <t>loaf</t>
        </is>
      </c>
      <c r="F10" s="20" t="inlineStr">
        <is>
          <t>Pantry</t>
        </is>
      </c>
      <c r="G10" s="20" t="inlineStr">
        <is>
          <t>New</t>
        </is>
      </c>
    </row>
    <row r="11">
      <c r="B11" s="27" t="inlineStr">
        <is>
          <t>Monthly profit goal</t>
        </is>
      </c>
      <c r="C11" s="40" t="n">
        <v>1500</v>
      </c>
      <c r="E11" s="20" t="inlineStr">
        <is>
          <t>jar</t>
        </is>
      </c>
      <c r="F11" s="20" t="inlineStr">
        <is>
          <t>Produce</t>
        </is>
      </c>
    </row>
    <row r="12">
      <c r="B12" s="27" t="inlineStr">
        <is>
          <t>Waste limit %</t>
        </is>
      </c>
      <c r="C12" s="62" t="n">
        <v>0.04</v>
      </c>
      <c r="E12" s="20" t="inlineStr">
        <is>
          <t>bag</t>
        </is>
      </c>
      <c r="F12" s="20" t="inlineStr">
        <is>
          <t>Other</t>
        </is>
      </c>
    </row>
    <row r="13">
      <c r="B13" s="27" t="inlineStr">
        <is>
          <t>Currency</t>
        </is>
      </c>
      <c r="C13" s="61" t="inlineStr">
        <is>
          <t>USD ($)</t>
        </is>
      </c>
      <c r="E13" s="20" t="inlineStr">
        <is>
          <t>dozen</t>
        </is>
      </c>
    </row>
    <row r="14">
      <c r="E14" s="20" t="inlineStr">
        <is>
          <t>bunch</t>
        </is>
      </c>
    </row>
  </sheetData>
  <mergeCells count="4">
    <mergeCell ref="A1:J1"/>
    <mergeCell ref="B5:C5"/>
    <mergeCell ref="E5:J5"/>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2026-07-23T17:42:16Z</dcterms:created>
  <dcterms:modified xsi:type="dcterms:W3CDTF">2026-07-23T17:42:16Z</dcterms:modified>
</cp:coreProperties>
</file>