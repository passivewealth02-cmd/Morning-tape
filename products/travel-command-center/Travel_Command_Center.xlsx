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Trip Profile" sheetId="3" state="visible" r:id="rId3"/>
    <sheet name="Itinerary" sheetId="4" state="visible" r:id="rId4"/>
    <sheet name="Budget" sheetId="5" state="visible" r:id="rId5"/>
    <sheet name="Expenses" sheetId="6" state="visible" r:id="rId6"/>
    <sheet name="Flights" sheetId="7" state="visible" r:id="rId7"/>
    <sheet name="Hotels" sheetId="8" state="visible" r:id="rId8"/>
    <sheet name="Transport" sheetId="9" state="visible" r:id="rId9"/>
    <sheet name="Activities" sheetId="10" state="visible" r:id="rId10"/>
    <sheet name="Restaurants" sheetId="11" state="visible" r:id="rId11"/>
    <sheet name="Packing" sheetId="12" state="visible" r:id="rId12"/>
    <sheet name="Documents" sheetId="13" state="visible" r:id="rId13"/>
    <sheet name="Currency" sheetId="14" state="visible" r:id="rId14"/>
    <sheet name="Savings" sheetId="15" state="visible" r:id="rId15"/>
    <sheet name="Road Trip" sheetId="16" state="visible" r:id="rId16"/>
    <sheet name="Group Travel" sheetId="17" state="visible" r:id="rId17"/>
    <sheet name="Checklists" sheetId="18" state="visible" r:id="rId18"/>
    <sheet name="Memories" sheetId="19" state="visible" r:id="rId19"/>
    <sheet name="Journal" sheetId="20" state="visible" r:id="rId20"/>
    <sheet name="Analytics" sheetId="21" state="visible" r:id="rId21"/>
    <sheet name="Settings" sheetId="22" state="visible" r:id="rId22"/>
  </sheets>
  <definedNames>
    <definedName name="TripName">Settings!$C$6</definedName>
    <definedName name="DepartDate">Settings!$C$7</definedName>
    <definedName name="ReturnDate">Settings!$C$8</definedName>
    <definedName name="Travelers">Settings!$C$9</definedName>
    <definedName name="HomeCurr">Settings!$C$10</definedName>
    <definedName name="DestCurr">Settings!$C$11</definedName>
    <definedName name="ExchRate">Settings!$C$12</definedName>
    <definedName name="SavingsSaved">Settings!$C$13</definedName>
    <definedName name="TripDays">Settings!$C$15</definedName>
    <definedName name="ExpenseCatList">Settings!$E$7:$E$22</definedName>
    <definedName name="CurrencyList">Settings!$F$7:$F$14</definedName>
    <definedName name="TransportList">Settings!$G$7:$G$14</definedName>
    <definedName name="AccomList">Settings!$H$7:$H$12</definedName>
    <definedName name="StyleList">Settings!$I$7:$I$14</definedName>
    <definedName name="ActivityCatList">Settings!$J$7:$J$14</definedName>
    <definedName name="PackCatList">Settings!$K$7:$K$14</definedName>
    <definedName name="StatusList">Settings!$E$25:$E$29</definedName>
    <definedName name="YesNoList">Settings!$F$25:$F$26</definedName>
    <definedName name="TripCountries">'Trip Profile'!$B$15:$B$20</definedName>
    <definedName name="ItinDate">'Itinerary'!$B$5:$B$24</definedName>
    <definedName name="ItinCity">'Itinerary'!$C$5:$C$24</definedName>
    <definedName name="ExpDate">'Expenses'!$A$5:$A$64</definedName>
    <definedName name="ExpCat">'Expenses'!$B$5:$B$64</definedName>
    <definedName name="ExpAmount">'Expenses'!$E$5:$E$64</definedName>
    <definedName name="BudgetCat">'Budget'!$A$5:$A$20</definedName>
    <definedName name="BudgetActual">'Budget'!$C$5:$C$20</definedName>
    <definedName name="BudgetTotalPlanned">Budget!$B$21</definedName>
    <definedName name="BudgetTotalActual">Budget!$C$21</definedName>
    <definedName name="FlightAirline">'Flights'!$A$5:$A$24</definedName>
    <definedName name="HotelName">'Hotels'!$A$5:$A$24</definedName>
    <definedName name="ActStatus">'Activities'!$H$5:$H$34</definedName>
    <definedName name="PackDone">'Packing'!$J$5:$J$30</definedName>
    <definedName name="DocName">'Documents'!$A$5:$A$34</definedName>
    <definedName name="DocReady">'Documents'!$F$5:$F$34</definedName>
    <definedName name="SavProgress">Savings!$C$9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/dd/yyyy"/>
    <numFmt numFmtId="166" formatCode="0.000"/>
    <numFmt numFmtId="167" formatCode="&quot;$&quot;#,##0"/>
    <numFmt numFmtId="168" formatCode="&quot;$&quot;#,##0;[Red]-&quot;$&quot;#,##0"/>
    <numFmt numFmtId="169" formatCode="&quot;$&quot;#,##0.00"/>
    <numFmt numFmtId="170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1B4F48"/>
      <sz val="20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6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5" fillId="7" borderId="4" applyAlignment="1" pivotButton="0" quotePrefix="0" xfId="0">
      <alignment horizontal="center" vertical="center"/>
    </xf>
    <xf numFmtId="0" fontId="0" fillId="7" borderId="4" pivotButton="0" quotePrefix="0" xfId="0"/>
    <xf numFmtId="1" fontId="16" fillId="7" borderId="2" applyAlignment="1" pivotButton="0" quotePrefix="0" xfId="0">
      <alignment horizontal="center" vertical="center"/>
    </xf>
    <xf numFmtId="0" fontId="0" fillId="7" borderId="2" pivotButton="0" quotePrefix="0" xfId="0"/>
    <xf numFmtId="167" fontId="16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9" fontId="16" fillId="7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5" fontId="7" fillId="0" borderId="2" applyAlignment="1" pivotButton="0" quotePrefix="0" xfId="10">
      <alignment horizontal="left" vertical="center" indent="1"/>
    </xf>
    <xf numFmtId="0" fontId="6" fillId="0" borderId="2" applyAlignment="1" pivotButton="0" quotePrefix="0" xfId="7">
      <alignment horizontal="left" vertical="center" wrapText="1" indent="1"/>
    </xf>
    <xf numFmtId="1" fontId="6" fillId="7" borderId="2" applyAlignment="1" pivotButton="0" quotePrefix="0" xfId="6">
      <alignment horizontal="center" vertical="center" wrapText="1"/>
    </xf>
    <xf numFmtId="165" fontId="6" fillId="7" borderId="2" applyAlignment="1" pivotButton="0" quotePrefix="0" xfId="6">
      <alignment horizontal="center" vertical="center" wrapText="1"/>
    </xf>
    <xf numFmtId="0" fontId="6" fillId="7" borderId="2" applyAlignment="1" pivotButton="0" quotePrefix="0" xfId="7">
      <alignment horizontal="left" vertical="center" wrapText="1" indent="1"/>
    </xf>
    <xf numFmtId="1" fontId="6" fillId="8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167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8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10">
      <alignment horizontal="left" vertical="center" indent="1"/>
    </xf>
    <xf numFmtId="167" fontId="7" fillId="8" borderId="2" applyAlignment="1" pivotButton="0" quotePrefix="0" xfId="8">
      <alignment horizontal="center" vertical="center"/>
    </xf>
    <xf numFmtId="167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68" fontId="7" fillId="0" borderId="2" applyAlignment="1" pivotButton="0" quotePrefix="0" xfId="10">
      <alignment horizontal="left" vertical="center" indent="1"/>
    </xf>
    <xf numFmtId="167" fontId="11" fillId="3" borderId="2" applyAlignment="1" pivotButton="0" quotePrefix="0" xfId="6">
      <alignment horizontal="center" vertical="center" wrapText="1"/>
    </xf>
    <xf numFmtId="9" fontId="11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6">
      <alignment horizontal="center" vertical="center" wrapText="1"/>
    </xf>
    <xf numFmtId="167" fontId="6" fillId="7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9" fontId="12" fillId="0" borderId="0" applyAlignment="1" pivotButton="0" quotePrefix="0" xfId="0">
      <alignment horizontal="center"/>
    </xf>
    <xf numFmtId="0" fontId="7" fillId="3" borderId="2" applyAlignment="1" pivotButton="0" quotePrefix="0" xfId="8">
      <alignment horizontal="center" vertical="center"/>
    </xf>
    <xf numFmtId="4" fontId="7" fillId="0" borderId="2" applyAlignment="1" pivotButton="0" quotePrefix="0" xfId="10">
      <alignment horizontal="left" vertical="center" indent="1"/>
    </xf>
    <xf numFmtId="166" fontId="7" fillId="0" borderId="2" applyAlignment="1" pivotButton="0" quotePrefix="0" xfId="10">
      <alignment horizontal="left" vertical="center" indent="1"/>
    </xf>
    <xf numFmtId="3" fontId="7" fillId="3" borderId="2" applyAlignment="1" pivotButton="0" quotePrefix="0" xfId="8">
      <alignment horizontal="center" vertical="center"/>
    </xf>
    <xf numFmtId="3" fontId="7" fillId="0" borderId="2" applyAlignment="1" pivotButton="0" quotePrefix="0" xfId="10">
      <alignment horizontal="left" vertical="center" indent="1"/>
    </xf>
    <xf numFmtId="169" fontId="7" fillId="0" borderId="2" applyAlignment="1" pivotButton="0" quotePrefix="0" xfId="10">
      <alignment horizontal="left" vertical="center" indent="1"/>
    </xf>
    <xf numFmtId="9" fontId="7" fillId="9" borderId="2" applyAlignment="1" pivotButton="0" quotePrefix="0" xfId="10">
      <alignment horizontal="left" vertical="center" indent="1"/>
    </xf>
    <xf numFmtId="170" fontId="7" fillId="0" borderId="2" applyAlignment="1" pivotButton="0" quotePrefix="0" xfId="10">
      <alignment horizontal="left" vertical="center" indent="1"/>
    </xf>
    <xf numFmtId="167" fontId="0" fillId="0" borderId="0" pivotButton="0" quotePrefix="0" xfId="0"/>
    <xf numFmtId="0" fontId="13" fillId="0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9" fillId="4" borderId="3" applyAlignment="1" pivotButton="0" quotePrefix="0" xfId="11">
      <alignment horizontal="center" vertical="center" wrapText="1"/>
    </xf>
    <xf numFmtId="9" fontId="14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6" fillId="0" borderId="2" applyAlignment="1" pivotButton="0" quotePrefix="0" xfId="6">
      <alignment horizontal="center" vertical="center" wrapText="1"/>
    </xf>
    <xf numFmtId="0" fontId="0" fillId="10" borderId="2" pivotButton="0" quotePrefix="0" xfId="0"/>
    <xf numFmtId="0" fontId="2" fillId="10" borderId="1" applyAlignment="1" pivotButton="0" quotePrefix="0" xfId="2">
      <alignment horizontal="left" vertical="center" indent="2"/>
    </xf>
    <xf numFmtId="165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" fontId="7" fillId="0" borderId="2" applyAlignment="1" pivotButton="0" quotePrefix="0" xfId="10">
      <alignment horizontal="left" vertical="center" indent="1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3">
    <dxf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'Budget'!$A$5:$A$20</f>
            </numRef>
          </cat>
          <val>
            <numRef>
              <f>'Budget'!$C$5:$C$20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'Budget'!$A$5:$A$12</f>
            </numRef>
          </cat>
          <val>
            <numRef>
              <f>'Budget'!$B$5:$B$12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'Budget'!$A$5:$A$12</f>
            </numRef>
          </cat>
          <val>
            <numRef>
              <f>'Budget'!$C$5:$C$12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Trip Readiness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Progress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'Savings'!$E$12:$E$13</f>
            </numRef>
          </cat>
          <val>
            <numRef>
              <f>'Savings'!$F$12:$F$13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'Budget'!$A$5:$A$20</f>
            </numRef>
          </cat>
          <val>
            <numRef>
              <f>'Budget'!$C$5:$C$20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Readiness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10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6" customWidth="1" min="2" max="2"/>
    <col width="3" customWidth="1" min="3" max="3"/>
  </cols>
  <sheetData>
    <row r="1" ht="58" customHeight="1">
      <c r="A1" s="1" t="inlineStr">
        <is>
          <t xml:space="preserve">  ✈  TRAVEL COMMAND CENTER™</t>
        </is>
      </c>
    </row>
    <row r="2" ht="24" customHeight="1">
      <c r="A2" s="2" t="inlineStr">
        <is>
          <t xml:space="preserve">  The ultimate travel budget &amp; trip planning system — your whole journey in one place.</t>
        </is>
      </c>
    </row>
    <row r="3" ht="6" customHeight="1">
      <c r="A3" s="3" t="n"/>
      <c r="B3" s="3" t="n"/>
      <c r="C3" s="3" t="n"/>
    </row>
    <row r="5">
      <c r="B5" s="4" t="inlineStr">
        <is>
          <t>PACK YOUR BAGS — WE'VE GOT THE PLANNING</t>
        </is>
      </c>
    </row>
    <row r="6" ht="22" customHeight="1">
      <c r="B6" s="5" t="inlineStr">
        <is>
          <t>From a weekend getaway to a multi-country adventure, Travel Command Center™ brings budgeting, itinerary, flights, hotels, activities, packing, documents, currency and memories into one beautifully organized dashboard — so you can plan with confidence, spend with clarity, and actually relax when you get there.</t>
        </is>
      </c>
    </row>
    <row r="7" ht="22" customHeight="1"/>
    <row r="8" ht="22" customHeight="1"/>
    <row r="10">
      <c r="B10" s="6" t="inlineStr">
        <is>
          <t>START HERE</t>
        </is>
      </c>
    </row>
    <row r="11" ht="22" customHeight="1">
      <c r="B11" s="5" t="inlineStr">
        <is>
          <t>1.  Open Settings and add your trip name, dates, travelers &amp; currency.</t>
        </is>
      </c>
    </row>
    <row r="12" ht="22" customHeight="1">
      <c r="B12" s="5" t="inlineStr">
        <is>
          <t>2.  Set your budget in the Budget Command Center (16 categories).</t>
        </is>
      </c>
    </row>
    <row r="13" ht="22" customHeight="1">
      <c r="B13" s="5" t="inlineStr">
        <is>
          <t>3.  Add flights, hotels &amp; activities as you book them.</t>
        </is>
      </c>
    </row>
    <row r="14" ht="22" customHeight="1">
      <c r="B14" s="5" t="inlineStr">
        <is>
          <t>4.  Log expenses — your budget actuals update automatically.</t>
        </is>
      </c>
    </row>
    <row r="15" ht="22" customHeight="1">
      <c r="B15" s="5" t="inlineStr">
        <is>
          <t>5.  Watch the Executive Travel Dashboard track your countdown &amp; readiness.</t>
        </is>
      </c>
    </row>
    <row r="18" ht="26" customHeight="1">
      <c r="B18" s="7" t="inlineStr">
        <is>
          <t xml:space="preserve">  GOOD TO KNOW</t>
        </is>
      </c>
    </row>
    <row r="19" ht="22" customHeight="1">
      <c r="B19" s="8" t="inlineStr">
        <is>
          <t>Sample data (a 14-day Europe trip) is included to show how everything connects — just type over it with your own. Countdowns, budgets, packing % and the readiness score all update automatically. Every sheet is print-friendly and works in Excel and Google Sheets, on desktop and mobile.</t>
        </is>
      </c>
    </row>
    <row r="20" ht="22" customHeight="1">
      <c r="B20" s="9" t="n"/>
    </row>
    <row r="21" ht="22" customHeight="1">
      <c r="B21" s="9" t="n"/>
    </row>
    <row r="23">
      <c r="B23" s="4" t="inlineStr">
        <is>
          <t>One organized workbook, zero planning stress — bon voyage!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10"/>
    <mergeCell ref="B19:B21"/>
    <mergeCell ref="B5"/>
    <mergeCell ref="B14"/>
    <mergeCell ref="B6:B8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✈  TRAVEL COMMAND CENTER™</t>
        </is>
      </c>
    </row>
    <row r="2" ht="24" customHeight="1">
      <c r="A2" s="2" t="inlineStr">
        <is>
          <t xml:space="preserve">  Budget, itinerary, bookings, packing &amp; readiness — your whole trip,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DAYS TO DEPARTURE</t>
        </is>
      </c>
      <c r="C5" s="11" t="n"/>
      <c r="D5" s="10" t="inlineStr">
        <is>
          <t>TOTAL BUDGET</t>
        </is>
      </c>
      <c r="E5" s="11" t="n"/>
      <c r="F5" s="10" t="inlineStr">
        <is>
          <t>BUDGET LEFT</t>
        </is>
      </c>
      <c r="G5" s="11" t="n"/>
      <c r="H5" s="10" t="inlineStr">
        <is>
          <t>SPENT SO FAR</t>
        </is>
      </c>
      <c r="I5" s="11" t="n"/>
      <c r="J5" s="10" t="inlineStr">
        <is>
          <t>FLIGHTS BOOKED</t>
        </is>
      </c>
      <c r="K5" s="11" t="n"/>
      <c r="L5" s="10" t="inlineStr">
        <is>
          <t>HOTELS CONFIRMED</t>
        </is>
      </c>
      <c r="M5" s="11" t="n"/>
    </row>
    <row r="6" ht="40" customHeight="1">
      <c r="B6" s="12">
        <f>MAX(DepartDate-TODAY(),0)</f>
        <v/>
      </c>
      <c r="C6" s="13" t="n"/>
      <c r="D6" s="14">
        <f>BudgetTotalPlanned</f>
        <v/>
      </c>
      <c r="E6" s="13" t="n"/>
      <c r="F6" s="14">
        <f>BudgetTotalPlanned-BudgetTotalActual</f>
        <v/>
      </c>
      <c r="G6" s="13" t="n"/>
      <c r="H6" s="14">
        <f>BudgetTotalActual</f>
        <v/>
      </c>
      <c r="I6" s="13" t="n"/>
      <c r="J6" s="15">
        <f>COUNTA(FlightAirline)</f>
        <v/>
      </c>
      <c r="K6" s="13" t="n"/>
      <c r="L6" s="15">
        <f>COUNTA(HotelName)</f>
        <v/>
      </c>
      <c r="M6" s="13" t="n"/>
    </row>
    <row r="8" ht="18" customHeight="1">
      <c r="B8" s="10" t="inlineStr">
        <is>
          <t>ACTIVITIES BOOKED</t>
        </is>
      </c>
      <c r="C8" s="11" t="n"/>
      <c r="D8" s="10" t="inlineStr">
        <is>
          <t>COUNTRIES</t>
        </is>
      </c>
      <c r="E8" s="11" t="n"/>
      <c r="F8" s="10" t="inlineStr">
        <is>
          <t>DOCS READY</t>
        </is>
      </c>
      <c r="G8" s="11" t="n"/>
      <c r="H8" s="10" t="inlineStr">
        <is>
          <t>PACKING</t>
        </is>
      </c>
      <c r="I8" s="11" t="n"/>
      <c r="J8" s="10" t="inlineStr">
        <is>
          <t>SAVINGS GOAL</t>
        </is>
      </c>
      <c r="K8" s="11" t="n"/>
      <c r="L8" s="10" t="inlineStr">
        <is>
          <t>READINESS</t>
        </is>
      </c>
      <c r="M8" s="11" t="n"/>
    </row>
    <row r="9" ht="40" customHeight="1">
      <c r="B9" s="15">
        <f>COUNTIF(ActStatus,"Booked")</f>
        <v/>
      </c>
      <c r="C9" s="13" t="n"/>
      <c r="D9" s="15">
        <f>COUNTA(TripCountries)</f>
        <v/>
      </c>
      <c r="E9" s="13" t="n"/>
      <c r="F9" s="16">
        <f>IFERROR(COUNTIF(DocReady,"Yes")/MAX(COUNTA(DocName),1),0)</f>
        <v/>
      </c>
      <c r="G9" s="13" t="n"/>
      <c r="H9" s="16">
        <f>IFERROR(COUNTIF(PackDone,"Yes")/MAX(COUNTA(PackDone),1),0)</f>
        <v/>
      </c>
      <c r="I9" s="13" t="n"/>
      <c r="J9" s="16">
        <f>SavProgress</f>
        <v/>
      </c>
      <c r="K9" s="13" t="n"/>
      <c r="L9" s="16">
        <f>IFERROR(AVERAGE(Analytics!C7:C11),0)</f>
        <v/>
      </c>
      <c r="M9" s="13" t="n"/>
    </row>
    <row r="11" ht="26" customHeight="1">
      <c r="B11" s="4" t="inlineStr">
        <is>
          <t>BUDGET &amp; SPENDING</t>
        </is>
      </c>
    </row>
    <row r="29" ht="26" customHeight="1">
      <c r="B29" s="4" t="inlineStr">
        <is>
          <t>READINESS</t>
        </is>
      </c>
    </row>
    <row r="47" ht="26" customHeight="1">
      <c r="B47" s="2" t="inlineStr">
        <is>
          <t>Travel Command Center™ — your whole trip, organized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6" customWidth="1" min="4" max="4"/>
    <col width="22" customWidth="1" min="5" max="5"/>
    <col width="20" customWidth="1" min="6" max="6"/>
    <col width="2" customWidth="1" min="7" max="7"/>
  </cols>
  <sheetData>
    <row r="1" ht="46" customHeight="1">
      <c r="A1" s="1" t="inlineStr">
        <is>
          <t xml:space="preserve">  🌍  TRIP PROFILE</t>
        </is>
      </c>
    </row>
    <row r="2" ht="22" customHeight="1">
      <c r="A2" s="2" t="inlineStr">
        <is>
          <t xml:space="preserve">  Your trip at a glance — the essentials, all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TRIP</t>
        </is>
      </c>
    </row>
    <row r="6" ht="24" customHeight="1">
      <c r="B6" s="17" t="inlineStr">
        <is>
          <t>Trip Name</t>
        </is>
      </c>
      <c r="C6" s="18">
        <f>TripName</f>
        <v/>
      </c>
      <c r="E6" s="17" t="inlineStr">
        <is>
          <t>Departure</t>
        </is>
      </c>
      <c r="F6" s="19">
        <f>DepartDate</f>
        <v/>
      </c>
    </row>
    <row r="7" ht="24" customHeight="1">
      <c r="B7" s="17" t="inlineStr">
        <is>
          <t>Return</t>
        </is>
      </c>
      <c r="C7" s="19">
        <f>ReturnDate</f>
        <v/>
      </c>
      <c r="E7" s="17" t="inlineStr">
        <is>
          <t>Trip Days</t>
        </is>
      </c>
      <c r="F7" s="18">
        <f>TripDays</f>
        <v/>
      </c>
    </row>
    <row r="8" ht="24" customHeight="1">
      <c r="B8" s="17" t="inlineStr">
        <is>
          <t>Travelers</t>
        </is>
      </c>
      <c r="C8" s="18">
        <f>Travelers</f>
        <v/>
      </c>
      <c r="E8" s="17" t="inlineStr">
        <is>
          <t>Travel Style</t>
        </is>
      </c>
      <c r="F8" s="18" t="inlineStr">
        <is>
          <t>Mid-range</t>
        </is>
      </c>
    </row>
    <row r="10" ht="22" customHeight="1">
      <c r="B10" s="4" t="inlineStr">
        <is>
          <t>LOGISTICS</t>
        </is>
      </c>
    </row>
    <row r="11" ht="24" customHeight="1">
      <c r="B11" s="17" t="inlineStr">
        <is>
          <t>Primary Airline</t>
        </is>
      </c>
      <c r="C11" s="18" t="inlineStr">
        <is>
          <t>SkyEurope</t>
        </is>
      </c>
      <c r="E11" s="17" t="inlineStr">
        <is>
          <t>Home Airport</t>
        </is>
      </c>
      <c r="F11" s="18" t="inlineStr">
        <is>
          <t>JFK</t>
        </is>
      </c>
    </row>
    <row r="12" ht="24" customHeight="1">
      <c r="B12" s="17" t="inlineStr">
        <is>
          <t>Passport Expiry</t>
        </is>
      </c>
      <c r="C12" s="19" t="n">
        <v>47104</v>
      </c>
      <c r="E12" s="17" t="inlineStr">
        <is>
          <t>Travel Insurance</t>
        </is>
      </c>
      <c r="F12" s="18" t="inlineStr">
        <is>
          <t>SafeTrip #TR-2210</t>
        </is>
      </c>
    </row>
    <row r="13" ht="24" customHeight="1">
      <c r="B13" s="17" t="inlineStr">
        <is>
          <t>Emergency Contact</t>
        </is>
      </c>
      <c r="C13" s="18" t="inlineStr">
        <is>
          <t>Mom — (555) 210-4521</t>
        </is>
      </c>
      <c r="E13" s="17" t="inlineStr">
        <is>
          <t>Embassy / Consulate</t>
        </is>
      </c>
      <c r="F13" s="18" t="inlineStr">
        <is>
          <t>See Documents</t>
        </is>
      </c>
    </row>
    <row r="14">
      <c r="B14" s="4" t="inlineStr">
        <is>
          <t>COUNTRIES ON THIS TRIP</t>
        </is>
      </c>
    </row>
    <row r="15">
      <c r="B15" s="20" t="inlineStr">
        <is>
          <t>France</t>
        </is>
      </c>
      <c r="C15" s="20" t="inlineStr">
        <is>
          <t>Paris</t>
        </is>
      </c>
    </row>
    <row r="16">
      <c r="B16" s="20" t="inlineStr">
        <is>
          <t>Italy</t>
        </is>
      </c>
      <c r="C16" s="20" t="inlineStr">
        <is>
          <t>Rome</t>
        </is>
      </c>
    </row>
    <row r="17">
      <c r="B17" s="20" t="inlineStr">
        <is>
          <t>Spain</t>
        </is>
      </c>
      <c r="C17" s="20" t="inlineStr">
        <is>
          <t>Barcelona</t>
        </is>
      </c>
    </row>
  </sheetData>
  <mergeCells count="5">
    <mergeCell ref="A1:G1"/>
    <mergeCell ref="B10:F10"/>
    <mergeCell ref="B5:F5"/>
    <mergeCell ref="B14:C1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8" customWidth="1" min="4" max="4"/>
    <col width="16" customWidth="1" min="5" max="5"/>
    <col width="24" customWidth="1" min="6" max="6"/>
    <col width="22" customWidth="1" min="7" max="7"/>
  </cols>
  <sheetData>
    <row r="1" ht="46" customHeight="1">
      <c r="A1" s="1" t="inlineStr">
        <is>
          <t xml:space="preserve">  🗺  MASTER ITINERARY</t>
        </is>
      </c>
    </row>
    <row r="2" ht="22" customHeight="1">
      <c r="A2" s="2" t="inlineStr">
        <is>
          <t xml:space="preserve">  Day-by-day plan with automatic day numbering — your whole trip mapped out.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Day</t>
        </is>
      </c>
      <c r="B4" s="7" t="inlineStr">
        <is>
          <t>Date</t>
        </is>
      </c>
      <c r="C4" s="7" t="inlineStr">
        <is>
          <t>City</t>
        </is>
      </c>
      <c r="D4" s="7" t="inlineStr">
        <is>
          <t>Hotel</t>
        </is>
      </c>
      <c r="E4" s="7" t="inlineStr">
        <is>
          <t>Transport</t>
        </is>
      </c>
      <c r="F4" s="7" t="inlineStr">
        <is>
          <t>Activities</t>
        </is>
      </c>
      <c r="G4" s="7" t="inlineStr">
        <is>
          <t>Notes</t>
        </is>
      </c>
    </row>
    <row r="5">
      <c r="A5" s="21">
        <f>IF(B5="","",B5-DepartDate+1)</f>
        <v/>
      </c>
      <c r="B5" s="22" t="n">
        <v>46249</v>
      </c>
      <c r="C5" s="23" t="inlineStr">
        <is>
          <t>Paris</t>
        </is>
      </c>
      <c r="D5" s="23" t="inlineStr">
        <is>
          <t>Le Marais Hotel</t>
        </is>
      </c>
      <c r="E5" s="23" t="inlineStr">
        <is>
          <t>Arrive / flight</t>
        </is>
      </c>
      <c r="F5" s="23" t="inlineStr">
        <is>
          <t>Check in, Seine walk</t>
        </is>
      </c>
      <c r="G5" s="23" t="inlineStr"/>
    </row>
    <row r="6">
      <c r="A6" s="24">
        <f>IF(B6="","",B6-DepartDate+1)</f>
        <v/>
      </c>
      <c r="B6" s="25" t="n">
        <v>46250</v>
      </c>
      <c r="C6" s="26" t="inlineStr">
        <is>
          <t>Paris</t>
        </is>
      </c>
      <c r="D6" s="26" t="inlineStr">
        <is>
          <t>Le Marais Hotel</t>
        </is>
      </c>
      <c r="E6" s="26" t="inlineStr">
        <is>
          <t>Metro</t>
        </is>
      </c>
      <c r="F6" s="26" t="inlineStr">
        <is>
          <t>Louvre + Tuileries</t>
        </is>
      </c>
      <c r="G6" s="26" t="inlineStr">
        <is>
          <t>Book timed entry</t>
        </is>
      </c>
    </row>
    <row r="7">
      <c r="A7" s="21">
        <f>IF(B7="","",B7-DepartDate+1)</f>
        <v/>
      </c>
      <c r="B7" s="22" t="n">
        <v>46251</v>
      </c>
      <c r="C7" s="23" t="inlineStr">
        <is>
          <t>Paris</t>
        </is>
      </c>
      <c r="D7" s="23" t="inlineStr">
        <is>
          <t>Le Marais Hotel</t>
        </is>
      </c>
      <c r="E7" s="23" t="inlineStr">
        <is>
          <t>Walk</t>
        </is>
      </c>
      <c r="F7" s="23" t="inlineStr">
        <is>
          <t>Eiffel Tower, Montmartre</t>
        </is>
      </c>
      <c r="G7" s="23" t="inlineStr"/>
    </row>
    <row r="8">
      <c r="A8" s="24">
        <f>IF(B8="","",B8-DepartDate+1)</f>
        <v/>
      </c>
      <c r="B8" s="25" t="n">
        <v>46252</v>
      </c>
      <c r="C8" s="26" t="inlineStr">
        <is>
          <t>Paris</t>
        </is>
      </c>
      <c r="D8" s="26" t="inlineStr">
        <is>
          <t>Le Marais Hotel</t>
        </is>
      </c>
      <c r="E8" s="26" t="inlineStr">
        <is>
          <t>Train to Rome</t>
        </is>
      </c>
      <c r="F8" s="26" t="inlineStr">
        <is>
          <t>Travel day</t>
        </is>
      </c>
      <c r="G8" s="26" t="inlineStr">
        <is>
          <t>Early train</t>
        </is>
      </c>
    </row>
    <row r="9">
      <c r="A9" s="21">
        <f>IF(B9="","",B9-DepartDate+1)</f>
        <v/>
      </c>
      <c r="B9" s="22" t="n">
        <v>46253</v>
      </c>
      <c r="C9" s="23" t="inlineStr">
        <is>
          <t>Rome</t>
        </is>
      </c>
      <c r="D9" s="23" t="inlineStr">
        <is>
          <t>Trastevere Suites</t>
        </is>
      </c>
      <c r="E9" s="23" t="inlineStr">
        <is>
          <t>—</t>
        </is>
      </c>
      <c r="F9" s="23" t="inlineStr">
        <is>
          <t>Colosseum + Forum</t>
        </is>
      </c>
      <c r="G9" s="23" t="inlineStr">
        <is>
          <t>Guided tour booked</t>
        </is>
      </c>
    </row>
    <row r="10">
      <c r="A10" s="24">
        <f>IF(B10="","",B10-DepartDate+1)</f>
        <v/>
      </c>
      <c r="B10" s="25" t="n">
        <v>46254</v>
      </c>
      <c r="C10" s="26" t="inlineStr">
        <is>
          <t>Rome</t>
        </is>
      </c>
      <c r="D10" s="26" t="inlineStr">
        <is>
          <t>Trastevere Suites</t>
        </is>
      </c>
      <c r="E10" s="26" t="inlineStr">
        <is>
          <t>Walk</t>
        </is>
      </c>
      <c r="F10" s="26" t="inlineStr">
        <is>
          <t>Vatican Museums</t>
        </is>
      </c>
      <c r="G10" s="26" t="inlineStr">
        <is>
          <t>Book skip-the-line</t>
        </is>
      </c>
    </row>
    <row r="11">
      <c r="A11" s="21">
        <f>IF(B11="","",B11-DepartDate+1)</f>
        <v/>
      </c>
      <c r="B11" s="22" t="n">
        <v>46255</v>
      </c>
      <c r="C11" s="23" t="inlineStr">
        <is>
          <t>Rome</t>
        </is>
      </c>
      <c r="D11" s="23" t="inlineStr">
        <is>
          <t>Trastevere Suites</t>
        </is>
      </c>
      <c r="E11" s="23" t="inlineStr">
        <is>
          <t>Walk</t>
        </is>
      </c>
      <c r="F11" s="23" t="inlineStr">
        <is>
          <t>Trevi, Pantheon, gelato</t>
        </is>
      </c>
      <c r="G11" s="23" t="inlineStr"/>
    </row>
    <row r="12">
      <c r="A12" s="24">
        <f>IF(B12="","",B12-DepartDate+1)</f>
        <v/>
      </c>
      <c r="B12" s="25" t="n">
        <v>46256</v>
      </c>
      <c r="C12" s="26" t="inlineStr">
        <is>
          <t>Rome</t>
        </is>
      </c>
      <c r="D12" s="26" t="inlineStr">
        <is>
          <t>Trastevere Suites</t>
        </is>
      </c>
      <c r="E12" s="26" t="inlineStr">
        <is>
          <t>Flight to BCN</t>
        </is>
      </c>
      <c r="F12" s="26" t="inlineStr">
        <is>
          <t>Travel day</t>
        </is>
      </c>
      <c r="G12" s="26" t="inlineStr"/>
    </row>
    <row r="13">
      <c r="A13" s="21">
        <f>IF(B13="","",B13-DepartDate+1)</f>
        <v/>
      </c>
      <c r="B13" s="22" t="n">
        <v>46257</v>
      </c>
      <c r="C13" s="23" t="inlineStr">
        <is>
          <t>Barcelona</t>
        </is>
      </c>
      <c r="D13" s="23" t="inlineStr">
        <is>
          <t>Eixample Loft</t>
        </is>
      </c>
      <c r="E13" s="23" t="inlineStr">
        <is>
          <t>—</t>
        </is>
      </c>
      <c r="F13" s="23" t="inlineStr">
        <is>
          <t>Sagrada Família</t>
        </is>
      </c>
      <c r="G13" s="23" t="inlineStr">
        <is>
          <t>Tickets booked</t>
        </is>
      </c>
    </row>
    <row r="14">
      <c r="A14" s="24">
        <f>IF(B14="","",B14-DepartDate+1)</f>
        <v/>
      </c>
      <c r="B14" s="25" t="n">
        <v>46258</v>
      </c>
      <c r="C14" s="26" t="inlineStr">
        <is>
          <t>Barcelona</t>
        </is>
      </c>
      <c r="D14" s="26" t="inlineStr">
        <is>
          <t>Eixample Loft</t>
        </is>
      </c>
      <c r="E14" s="26" t="inlineStr">
        <is>
          <t>Metro</t>
        </is>
      </c>
      <c r="F14" s="26" t="inlineStr">
        <is>
          <t>Park Güell + Gothic Qtr</t>
        </is>
      </c>
      <c r="G14" s="26" t="inlineStr"/>
    </row>
    <row r="15">
      <c r="A15" s="21">
        <f>IF(B15="","",B15-DepartDate+1)</f>
        <v/>
      </c>
      <c r="B15" s="22" t="n">
        <v>46259</v>
      </c>
      <c r="C15" s="23" t="inlineStr">
        <is>
          <t>Barcelona</t>
        </is>
      </c>
      <c r="D15" s="23" t="inlineStr">
        <is>
          <t>Eixample Loft</t>
        </is>
      </c>
      <c r="E15" s="23" t="inlineStr">
        <is>
          <t>Walk</t>
        </is>
      </c>
      <c r="F15" s="23" t="inlineStr">
        <is>
          <t>Beach + tapas crawl</t>
        </is>
      </c>
      <c r="G15" s="23" t="inlineStr"/>
    </row>
    <row r="16">
      <c r="A16" s="24">
        <f>IF(B16="","",B16-DepartDate+1)</f>
        <v/>
      </c>
      <c r="B16" s="25" t="n">
        <v>46260</v>
      </c>
      <c r="C16" s="26" t="inlineStr">
        <is>
          <t>Barcelona</t>
        </is>
      </c>
      <c r="D16" s="26" t="inlineStr">
        <is>
          <t>Eixample Loft</t>
        </is>
      </c>
      <c r="E16" s="26" t="inlineStr">
        <is>
          <t>—</t>
        </is>
      </c>
      <c r="F16" s="26" t="inlineStr">
        <is>
          <t>Day trip: Montserrat</t>
        </is>
      </c>
      <c r="G16" s="26" t="inlineStr">
        <is>
          <t>Train</t>
        </is>
      </c>
    </row>
    <row r="17">
      <c r="A17" s="21">
        <f>IF(B17="","",B17-DepartDate+1)</f>
        <v/>
      </c>
      <c r="B17" s="22" t="n">
        <v>46261</v>
      </c>
      <c r="C17" s="23" t="inlineStr">
        <is>
          <t>Barcelona</t>
        </is>
      </c>
      <c r="D17" s="23" t="inlineStr">
        <is>
          <t>Eixample Loft</t>
        </is>
      </c>
      <c r="E17" s="23" t="inlineStr">
        <is>
          <t>—</t>
        </is>
      </c>
      <c r="F17" s="23" t="inlineStr">
        <is>
          <t>Free day / shopping</t>
        </is>
      </c>
      <c r="G17" s="23" t="inlineStr"/>
    </row>
    <row r="18">
      <c r="A18" s="24">
        <f>IF(B18="","",B18-DepartDate+1)</f>
        <v/>
      </c>
      <c r="B18" s="25" t="n">
        <v>46262</v>
      </c>
      <c r="C18" s="26" t="inlineStr">
        <is>
          <t>Barcelona</t>
        </is>
      </c>
      <c r="D18" s="26" t="inlineStr">
        <is>
          <t>Eixample Loft</t>
        </is>
      </c>
      <c r="E18" s="26" t="inlineStr">
        <is>
          <t>Flight home</t>
        </is>
      </c>
      <c r="F18" s="26" t="inlineStr">
        <is>
          <t>Depart</t>
        </is>
      </c>
      <c r="G18" s="26" t="inlineStr">
        <is>
          <t>Airport 3h early</t>
        </is>
      </c>
    </row>
    <row r="19">
      <c r="A19" s="21" t="n"/>
      <c r="B19" s="22" t="n"/>
      <c r="C19" s="23" t="n"/>
      <c r="D19" s="23" t="n"/>
      <c r="E19" s="23" t="n"/>
      <c r="F19" s="23" t="n"/>
      <c r="G19" s="23" t="n"/>
    </row>
    <row r="20">
      <c r="A20" s="24" t="n"/>
      <c r="B20" s="25" t="n"/>
      <c r="C20" s="26" t="n"/>
      <c r="D20" s="26" t="n"/>
      <c r="E20" s="26" t="n"/>
      <c r="F20" s="26" t="n"/>
      <c r="G20" s="26" t="n"/>
    </row>
    <row r="21">
      <c r="A21" s="21" t="n"/>
      <c r="B21" s="22" t="n"/>
      <c r="C21" s="23" t="n"/>
      <c r="D21" s="23" t="n"/>
      <c r="E21" s="23" t="n"/>
      <c r="F21" s="23" t="n"/>
      <c r="G21" s="23" t="n"/>
    </row>
    <row r="22">
      <c r="A22" s="24" t="n"/>
      <c r="B22" s="25" t="n"/>
      <c r="C22" s="26" t="n"/>
      <c r="D22" s="26" t="n"/>
      <c r="E22" s="26" t="n"/>
      <c r="F22" s="26" t="n"/>
      <c r="G22" s="26" t="n"/>
    </row>
    <row r="23">
      <c r="A23" s="21" t="n"/>
      <c r="B23" s="22" t="n"/>
      <c r="C23" s="23" t="n"/>
      <c r="D23" s="23" t="n"/>
      <c r="E23" s="23" t="n"/>
      <c r="F23" s="23" t="n"/>
      <c r="G23" s="23" t="n"/>
    </row>
    <row r="24">
      <c r="A24" s="24" t="n"/>
      <c r="B24" s="25" t="n"/>
      <c r="C24" s="26" t="n"/>
      <c r="D24" s="26" t="n"/>
      <c r="E24" s="26" t="n"/>
      <c r="F24" s="26" t="n"/>
      <c r="G24" s="26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4" customWidth="1" min="8" max="8"/>
  </cols>
  <sheetData>
    <row r="1" ht="46" customHeight="1">
      <c r="A1" s="1" t="inlineStr">
        <is>
          <t xml:space="preserve">  💰  TRAVEL BUDGET COMMAND CENTER</t>
        </is>
      </c>
    </row>
    <row r="2" ht="22" customHeight="1">
      <c r="A2" s="2" t="inlineStr">
        <is>
          <t xml:space="preserve">  16 categories, plan vs actual — actuals pull from your Expense Tracker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Category</t>
        </is>
      </c>
      <c r="B4" s="7" t="inlineStr">
        <is>
          <t>Budget</t>
        </is>
      </c>
      <c r="C4" s="7" t="inlineStr">
        <is>
          <t>Actual</t>
        </is>
      </c>
      <c r="D4" s="7" t="inlineStr">
        <is>
          <t>Remaining</t>
        </is>
      </c>
      <c r="E4" s="7" t="inlineStr">
        <is>
          <t>% Used</t>
        </is>
      </c>
      <c r="G4" s="4" t="inlineStr">
        <is>
          <t>TRIP MATH</t>
        </is>
      </c>
    </row>
    <row r="5">
      <c r="A5" s="20" t="inlineStr">
        <is>
          <t>Flights</t>
        </is>
      </c>
      <c r="B5" s="27" t="n">
        <v>2200</v>
      </c>
      <c r="C5" s="28">
        <f>IFERROR(SUMIF(ExpCat,A5,ExpAmount),0)</f>
        <v/>
      </c>
      <c r="D5" s="29">
        <f>B5-C5</f>
        <v/>
      </c>
      <c r="E5" s="30">
        <f>IFERROR(C5/B5,0)</f>
        <v/>
      </c>
      <c r="G5" s="17" t="inlineStr">
        <is>
          <t>Total budget</t>
        </is>
      </c>
      <c r="H5" s="31">
        <f>BudgetTotalPlanned</f>
        <v/>
      </c>
    </row>
    <row r="6">
      <c r="A6" s="26" t="inlineStr">
        <is>
          <t>Hotels</t>
        </is>
      </c>
      <c r="B6" s="32" t="n">
        <v>2000</v>
      </c>
      <c r="C6" s="33">
        <f>IFERROR(SUMIF(ExpCat,A6,ExpAmount),0)</f>
        <v/>
      </c>
      <c r="D6" s="34">
        <f>B6-C6</f>
        <v/>
      </c>
      <c r="E6" s="35">
        <f>IFERROR(C6/B6,0)</f>
        <v/>
      </c>
      <c r="G6" s="17" t="inlineStr">
        <is>
          <t>Spent so far</t>
        </is>
      </c>
      <c r="H6" s="31">
        <f>BudgetTotalActual</f>
        <v/>
      </c>
    </row>
    <row r="7">
      <c r="A7" s="20" t="inlineStr">
        <is>
          <t>Vacation Rentals</t>
        </is>
      </c>
      <c r="B7" s="27" t="n">
        <v>300</v>
      </c>
      <c r="C7" s="28">
        <f>IFERROR(SUMIF(ExpCat,A7,ExpAmount),0)</f>
        <v/>
      </c>
      <c r="D7" s="29">
        <f>B7-C7</f>
        <v/>
      </c>
      <c r="E7" s="30">
        <f>IFERROR(C7/B7,0)</f>
        <v/>
      </c>
      <c r="G7" s="17" t="inlineStr">
        <is>
          <t>Remaining</t>
        </is>
      </c>
      <c r="H7" s="36">
        <f>BudgetTotalPlanned-BudgetTotalActual</f>
        <v/>
      </c>
    </row>
    <row r="8">
      <c r="A8" s="26" t="inlineStr">
        <is>
          <t>Transportation</t>
        </is>
      </c>
      <c r="B8" s="32" t="n">
        <v>400</v>
      </c>
      <c r="C8" s="33">
        <f>IFERROR(SUMIF(ExpCat,A8,ExpAmount),0)</f>
        <v/>
      </c>
      <c r="D8" s="34">
        <f>B8-C8</f>
        <v/>
      </c>
      <c r="E8" s="35">
        <f>IFERROR(C8/B8,0)</f>
        <v/>
      </c>
      <c r="G8" s="17" t="inlineStr">
        <is>
          <t>Budget / day</t>
        </is>
      </c>
      <c r="H8" s="31">
        <f>IFERROR(BudgetTotalPlanned/TripDays,0)</f>
        <v/>
      </c>
    </row>
    <row r="9">
      <c r="A9" s="20" t="inlineStr">
        <is>
          <t>Fuel</t>
        </is>
      </c>
      <c r="B9" s="27" t="n">
        <v>0</v>
      </c>
      <c r="C9" s="28">
        <f>IFERROR(SUMIF(ExpCat,A9,ExpAmount),0)</f>
        <v/>
      </c>
      <c r="D9" s="29">
        <f>B9-C9</f>
        <v/>
      </c>
      <c r="E9" s="30">
        <f>IFERROR(C9/B9,0)</f>
        <v/>
      </c>
      <c r="G9" s="17" t="inlineStr">
        <is>
          <t>Cost / traveler</t>
        </is>
      </c>
      <c r="H9" s="31">
        <f>IFERROR(BudgetTotalPlanned/Travelers,0)</f>
        <v/>
      </c>
    </row>
    <row r="10">
      <c r="A10" s="26" t="inlineStr">
        <is>
          <t>Food</t>
        </is>
      </c>
      <c r="B10" s="32" t="n">
        <v>900</v>
      </c>
      <c r="C10" s="33">
        <f>IFERROR(SUMIF(ExpCat,A10,ExpAmount),0)</f>
        <v/>
      </c>
      <c r="D10" s="34">
        <f>B10-C10</f>
        <v/>
      </c>
      <c r="E10" s="35">
        <f>IFERROR(C10/B10,0)</f>
        <v/>
      </c>
    </row>
    <row r="11">
      <c r="A11" s="20" t="inlineStr">
        <is>
          <t>Drinks</t>
        </is>
      </c>
      <c r="B11" s="27" t="n">
        <v>250</v>
      </c>
      <c r="C11" s="28">
        <f>IFERROR(SUMIF(ExpCat,A11,ExpAmount),0)</f>
        <v/>
      </c>
      <c r="D11" s="29">
        <f>B11-C11</f>
        <v/>
      </c>
      <c r="E11" s="30">
        <f>IFERROR(C11/B11,0)</f>
        <v/>
      </c>
    </row>
    <row r="12">
      <c r="A12" s="26" t="inlineStr">
        <is>
          <t>Activities</t>
        </is>
      </c>
      <c r="B12" s="32" t="n">
        <v>700</v>
      </c>
      <c r="C12" s="33">
        <f>IFERROR(SUMIF(ExpCat,A12,ExpAmount),0)</f>
        <v/>
      </c>
      <c r="D12" s="34">
        <f>B12-C12</f>
        <v/>
      </c>
      <c r="E12" s="35">
        <f>IFERROR(C12/B12,0)</f>
        <v/>
      </c>
    </row>
    <row r="13">
      <c r="A13" s="20" t="inlineStr">
        <is>
          <t>Shopping</t>
        </is>
      </c>
      <c r="B13" s="27" t="n">
        <v>400</v>
      </c>
      <c r="C13" s="28">
        <f>IFERROR(SUMIF(ExpCat,A13,ExpAmount),0)</f>
        <v/>
      </c>
      <c r="D13" s="29">
        <f>B13-C13</f>
        <v/>
      </c>
      <c r="E13" s="30">
        <f>IFERROR(C13/B13,0)</f>
        <v/>
      </c>
    </row>
    <row r="14">
      <c r="A14" s="26" t="inlineStr">
        <is>
          <t>Entertainment</t>
        </is>
      </c>
      <c r="B14" s="32" t="n">
        <v>200</v>
      </c>
      <c r="C14" s="33">
        <f>IFERROR(SUMIF(ExpCat,A14,ExpAmount),0)</f>
        <v/>
      </c>
      <c r="D14" s="34">
        <f>B14-C14</f>
        <v/>
      </c>
      <c r="E14" s="35">
        <f>IFERROR(C14/B14,0)</f>
        <v/>
      </c>
    </row>
    <row r="15">
      <c r="A15" s="20" t="inlineStr">
        <is>
          <t>Travel Insurance</t>
        </is>
      </c>
      <c r="B15" s="27" t="n">
        <v>180</v>
      </c>
      <c r="C15" s="28">
        <f>IFERROR(SUMIF(ExpCat,A15,ExpAmount),0)</f>
        <v/>
      </c>
      <c r="D15" s="29">
        <f>B15-C15</f>
        <v/>
      </c>
      <c r="E15" s="30">
        <f>IFERROR(C15/B15,0)</f>
        <v/>
      </c>
    </row>
    <row r="16">
      <c r="A16" s="26" t="inlineStr">
        <is>
          <t>Visas</t>
        </is>
      </c>
      <c r="B16" s="32" t="n">
        <v>0</v>
      </c>
      <c r="C16" s="33">
        <f>IFERROR(SUMIF(ExpCat,A16,ExpAmount),0)</f>
        <v/>
      </c>
      <c r="D16" s="34">
        <f>B16-C16</f>
        <v/>
      </c>
      <c r="E16" s="35">
        <f>IFERROR(C16/B16,0)</f>
        <v/>
      </c>
    </row>
    <row r="17">
      <c r="A17" s="20" t="inlineStr">
        <is>
          <t>Souvenirs</t>
        </is>
      </c>
      <c r="B17" s="27" t="n">
        <v>200</v>
      </c>
      <c r="C17" s="28">
        <f>IFERROR(SUMIF(ExpCat,A17,ExpAmount),0)</f>
        <v/>
      </c>
      <c r="D17" s="29">
        <f>B17-C17</f>
        <v/>
      </c>
      <c r="E17" s="30">
        <f>IFERROR(C17/B17,0)</f>
        <v/>
      </c>
    </row>
    <row r="18">
      <c r="A18" s="26" t="inlineStr">
        <is>
          <t>Phone / Data</t>
        </is>
      </c>
      <c r="B18" s="32" t="n">
        <v>80</v>
      </c>
      <c r="C18" s="33">
        <f>IFERROR(SUMIF(ExpCat,A18,ExpAmount),0)</f>
        <v/>
      </c>
      <c r="D18" s="34">
        <f>B18-C18</f>
        <v/>
      </c>
      <c r="E18" s="35">
        <f>IFERROR(C18/B18,0)</f>
        <v/>
      </c>
    </row>
    <row r="19">
      <c r="A19" s="20" t="inlineStr">
        <is>
          <t>Tips</t>
        </is>
      </c>
      <c r="B19" s="27" t="n">
        <v>150</v>
      </c>
      <c r="C19" s="28">
        <f>IFERROR(SUMIF(ExpCat,A19,ExpAmount),0)</f>
        <v/>
      </c>
      <c r="D19" s="29">
        <f>B19-C19</f>
        <v/>
      </c>
      <c r="E19" s="30">
        <f>IFERROR(C19/B19,0)</f>
        <v/>
      </c>
    </row>
    <row r="20">
      <c r="A20" s="26" t="inlineStr">
        <is>
          <t>Miscellaneous</t>
        </is>
      </c>
      <c r="B20" s="32" t="n">
        <v>240</v>
      </c>
      <c r="C20" s="33">
        <f>IFERROR(SUMIF(ExpCat,A20,ExpAmount),0)</f>
        <v/>
      </c>
      <c r="D20" s="34">
        <f>B20-C20</f>
        <v/>
      </c>
      <c r="E20" s="35">
        <f>IFERROR(C20/B20,0)</f>
        <v/>
      </c>
    </row>
    <row r="21">
      <c r="A21" s="7" t="inlineStr">
        <is>
          <t>TOTAL</t>
        </is>
      </c>
      <c r="B21" s="37">
        <f>SUM(B5:B20)</f>
        <v/>
      </c>
      <c r="C21" s="37">
        <f>SUM(C5:C20)</f>
        <v/>
      </c>
      <c r="D21" s="37">
        <f>SUM(D5:D20)</f>
        <v/>
      </c>
      <c r="E21" s="38">
        <f>IFERROR(C21/B21,0)</f>
        <v/>
      </c>
    </row>
  </sheetData>
  <mergeCells count="2">
    <mergeCell ref="A2:H2"/>
    <mergeCell ref="A1:H1"/>
  </mergeCells>
  <conditionalFormatting sqref="E5:E20">
    <cfRule type="dataBar" priority="1">
      <dataBar showValue="1">
        <cfvo type="num" val="0"/>
        <cfvo type="num" val="1.2"/>
        <color rgb="001B4F48"/>
      </dataBar>
    </cfRule>
  </conditionalFormatting>
  <conditionalFormatting sqref="D5:D20">
    <cfRule type="cellIs" priority="2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46" customHeight="1">
      <c r="A1" s="1" t="inlineStr">
        <is>
          <t xml:space="preserve">  🧾  EXPENSE TRACKER</t>
        </is>
      </c>
    </row>
    <row r="2" ht="22" customHeight="1">
      <c r="A2" s="2" t="inlineStr">
        <is>
          <t xml:space="preserve">  Log every purchase — your budget actuals update automatically by category.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Currency</t>
        </is>
      </c>
      <c r="E4" s="7" t="inlineStr">
        <is>
          <t>Amount</t>
        </is>
      </c>
      <c r="F4" s="7" t="inlineStr">
        <is>
          <t>Method</t>
        </is>
      </c>
      <c r="G4" s="7" t="inlineStr">
        <is>
          <t>Traveler</t>
        </is>
      </c>
    </row>
    <row r="5">
      <c r="A5" s="22" t="n">
        <v>46174</v>
      </c>
      <c r="B5" s="39" t="inlineStr">
        <is>
          <t>Flights</t>
        </is>
      </c>
      <c r="C5" s="23" t="inlineStr">
        <is>
          <t>Round-trip flights (x2)</t>
        </is>
      </c>
      <c r="D5" s="39" t="inlineStr">
        <is>
          <t>USD</t>
        </is>
      </c>
      <c r="E5" s="40" t="n">
        <v>1200</v>
      </c>
      <c r="F5" s="39" t="inlineStr">
        <is>
          <t>Card</t>
        </is>
      </c>
      <c r="G5" s="39" t="inlineStr">
        <is>
          <t>Me</t>
        </is>
      </c>
    </row>
    <row r="6">
      <c r="A6" s="25" t="n">
        <v>46174</v>
      </c>
      <c r="B6" s="41" t="inlineStr">
        <is>
          <t>Flights</t>
        </is>
      </c>
      <c r="C6" s="26" t="inlineStr">
        <is>
          <t>Intra-Europe segments</t>
        </is>
      </c>
      <c r="D6" s="41" t="inlineStr">
        <is>
          <t>USD</t>
        </is>
      </c>
      <c r="E6" s="33" t="n">
        <v>1000</v>
      </c>
      <c r="F6" s="41" t="inlineStr">
        <is>
          <t>Card</t>
        </is>
      </c>
      <c r="G6" s="41" t="inlineStr">
        <is>
          <t>Me</t>
        </is>
      </c>
    </row>
    <row r="7">
      <c r="A7" s="22" t="n">
        <v>46179</v>
      </c>
      <c r="B7" s="39" t="inlineStr">
        <is>
          <t>Hotels</t>
        </is>
      </c>
      <c r="C7" s="23" t="inlineStr">
        <is>
          <t>Paris + Rome deposits</t>
        </is>
      </c>
      <c r="D7" s="39" t="inlineStr">
        <is>
          <t>USD</t>
        </is>
      </c>
      <c r="E7" s="40" t="n">
        <v>1400</v>
      </c>
      <c r="F7" s="39" t="inlineStr">
        <is>
          <t>Card</t>
        </is>
      </c>
      <c r="G7" s="39" t="inlineStr">
        <is>
          <t>Me</t>
        </is>
      </c>
    </row>
    <row r="8">
      <c r="A8" s="25" t="n">
        <v>46182</v>
      </c>
      <c r="B8" s="41" t="inlineStr">
        <is>
          <t>Vacation Rentals</t>
        </is>
      </c>
      <c r="C8" s="26" t="inlineStr">
        <is>
          <t>Barcelona loft (prepaid)</t>
        </is>
      </c>
      <c r="D8" s="41" t="inlineStr">
        <is>
          <t>USD</t>
        </is>
      </c>
      <c r="E8" s="33" t="n">
        <v>300</v>
      </c>
      <c r="F8" s="41" t="inlineStr">
        <is>
          <t>Card</t>
        </is>
      </c>
      <c r="G8" s="41" t="inlineStr">
        <is>
          <t>Partner</t>
        </is>
      </c>
    </row>
    <row r="9">
      <c r="A9" s="22" t="n">
        <v>46184</v>
      </c>
      <c r="B9" s="39" t="inlineStr">
        <is>
          <t>Travel Insurance</t>
        </is>
      </c>
      <c r="C9" s="23" t="inlineStr">
        <is>
          <t>SafeTrip policy (x2)</t>
        </is>
      </c>
      <c r="D9" s="39" t="inlineStr">
        <is>
          <t>USD</t>
        </is>
      </c>
      <c r="E9" s="40" t="n">
        <v>180</v>
      </c>
      <c r="F9" s="39" t="inlineStr">
        <is>
          <t>Card</t>
        </is>
      </c>
      <c r="G9" s="39" t="inlineStr">
        <is>
          <t>Me</t>
        </is>
      </c>
    </row>
    <row r="10">
      <c r="A10" s="25" t="n">
        <v>46189</v>
      </c>
      <c r="B10" s="41" t="inlineStr">
        <is>
          <t>Activities</t>
        </is>
      </c>
      <c r="C10" s="26" t="inlineStr">
        <is>
          <t>Vatican skip-the-line (x2)</t>
        </is>
      </c>
      <c r="D10" s="41" t="inlineStr">
        <is>
          <t>USD</t>
        </is>
      </c>
      <c r="E10" s="33" t="n">
        <v>220</v>
      </c>
      <c r="F10" s="41" t="inlineStr">
        <is>
          <t>Card</t>
        </is>
      </c>
      <c r="G10" s="41" t="inlineStr">
        <is>
          <t>Me</t>
        </is>
      </c>
    </row>
    <row r="11">
      <c r="A11" s="22" t="n">
        <v>46192</v>
      </c>
      <c r="B11" s="39" t="inlineStr">
        <is>
          <t>Activities</t>
        </is>
      </c>
      <c r="C11" s="23" t="inlineStr">
        <is>
          <t>Sagrada Família tickets</t>
        </is>
      </c>
      <c r="D11" s="39" t="inlineStr">
        <is>
          <t>USD</t>
        </is>
      </c>
      <c r="E11" s="40" t="n">
        <v>200</v>
      </c>
      <c r="F11" s="39" t="inlineStr">
        <is>
          <t>Card</t>
        </is>
      </c>
      <c r="G11" s="39" t="inlineStr">
        <is>
          <t>Partner</t>
        </is>
      </c>
    </row>
    <row r="12">
      <c r="A12" s="25" t="n">
        <v>46196</v>
      </c>
      <c r="B12" s="41" t="inlineStr">
        <is>
          <t>Phone / Data</t>
        </is>
      </c>
      <c r="C12" s="26" t="inlineStr">
        <is>
          <t>eSIM data plans (x2)</t>
        </is>
      </c>
      <c r="D12" s="41" t="inlineStr">
        <is>
          <t>USD</t>
        </is>
      </c>
      <c r="E12" s="33" t="n">
        <v>60</v>
      </c>
      <c r="F12" s="41" t="inlineStr">
        <is>
          <t>Card</t>
        </is>
      </c>
      <c r="G12" s="41" t="inlineStr">
        <is>
          <t>Me</t>
        </is>
      </c>
    </row>
    <row r="13">
      <c r="A13" s="22" t="n">
        <v>46199</v>
      </c>
      <c r="B13" s="39" t="inlineStr">
        <is>
          <t>Transportation</t>
        </is>
      </c>
      <c r="C13" s="23" t="inlineStr">
        <is>
          <t>Rome↔airport transfers</t>
        </is>
      </c>
      <c r="D13" s="39" t="inlineStr">
        <is>
          <t>USD</t>
        </is>
      </c>
      <c r="E13" s="40" t="n">
        <v>120</v>
      </c>
      <c r="F13" s="39" t="inlineStr">
        <is>
          <t>Card</t>
        </is>
      </c>
      <c r="G13" s="39" t="inlineStr">
        <is>
          <t>Me</t>
        </is>
      </c>
    </row>
    <row r="14">
      <c r="A14" s="25" t="n">
        <v>46202</v>
      </c>
      <c r="B14" s="41" t="inlineStr">
        <is>
          <t>Miscellaneous</t>
        </is>
      </c>
      <c r="C14" s="26" t="inlineStr">
        <is>
          <t>Packing cubes &amp; adapters</t>
        </is>
      </c>
      <c r="D14" s="41" t="inlineStr">
        <is>
          <t>USD</t>
        </is>
      </c>
      <c r="E14" s="33" t="n">
        <v>40</v>
      </c>
      <c r="F14" s="41" t="inlineStr">
        <is>
          <t>Card</t>
        </is>
      </c>
      <c r="G14" s="41" t="inlineStr">
        <is>
          <t>Me</t>
        </is>
      </c>
    </row>
    <row r="15">
      <c r="A15" s="22" t="n"/>
      <c r="B15" s="39" t="n"/>
      <c r="C15" s="23" t="n"/>
      <c r="D15" s="39" t="n"/>
      <c r="E15" s="40" t="n"/>
      <c r="F15" s="39" t="n"/>
      <c r="G15" s="39" t="n"/>
    </row>
    <row r="16">
      <c r="A16" s="25" t="n"/>
      <c r="B16" s="41" t="n"/>
      <c r="C16" s="26" t="n"/>
      <c r="D16" s="41" t="n"/>
      <c r="E16" s="33" t="n"/>
      <c r="F16" s="41" t="n"/>
      <c r="G16" s="41" t="n"/>
    </row>
    <row r="17">
      <c r="A17" s="22" t="n"/>
      <c r="B17" s="39" t="n"/>
      <c r="C17" s="23" t="n"/>
      <c r="D17" s="39" t="n"/>
      <c r="E17" s="40" t="n"/>
      <c r="F17" s="39" t="n"/>
      <c r="G17" s="39" t="n"/>
    </row>
    <row r="18">
      <c r="A18" s="25" t="n"/>
      <c r="B18" s="41" t="n"/>
      <c r="C18" s="26" t="n"/>
      <c r="D18" s="41" t="n"/>
      <c r="E18" s="33" t="n"/>
      <c r="F18" s="41" t="n"/>
      <c r="G18" s="41" t="n"/>
    </row>
    <row r="19">
      <c r="A19" s="22" t="n"/>
      <c r="B19" s="39" t="n"/>
      <c r="C19" s="23" t="n"/>
      <c r="D19" s="39" t="n"/>
      <c r="E19" s="40" t="n"/>
      <c r="F19" s="39" t="n"/>
      <c r="G19" s="39" t="n"/>
    </row>
    <row r="20">
      <c r="A20" s="25" t="n"/>
      <c r="B20" s="41" t="n"/>
      <c r="C20" s="26" t="n"/>
      <c r="D20" s="41" t="n"/>
      <c r="E20" s="33" t="n"/>
      <c r="F20" s="41" t="n"/>
      <c r="G20" s="41" t="n"/>
    </row>
    <row r="21">
      <c r="A21" s="22" t="n"/>
      <c r="B21" s="39" t="n"/>
      <c r="C21" s="23" t="n"/>
      <c r="D21" s="39" t="n"/>
      <c r="E21" s="40" t="n"/>
      <c r="F21" s="39" t="n"/>
      <c r="G21" s="39" t="n"/>
    </row>
    <row r="22">
      <c r="A22" s="25" t="n"/>
      <c r="B22" s="41" t="n"/>
      <c r="C22" s="26" t="n"/>
      <c r="D22" s="41" t="n"/>
      <c r="E22" s="33" t="n"/>
      <c r="F22" s="41" t="n"/>
      <c r="G22" s="41" t="n"/>
    </row>
    <row r="23">
      <c r="A23" s="22" t="n"/>
      <c r="B23" s="39" t="n"/>
      <c r="C23" s="23" t="n"/>
      <c r="D23" s="39" t="n"/>
      <c r="E23" s="40" t="n"/>
      <c r="F23" s="39" t="n"/>
      <c r="G23" s="39" t="n"/>
    </row>
    <row r="24">
      <c r="A24" s="25" t="n"/>
      <c r="B24" s="41" t="n"/>
      <c r="C24" s="26" t="n"/>
      <c r="D24" s="41" t="n"/>
      <c r="E24" s="33" t="n"/>
      <c r="F24" s="41" t="n"/>
      <c r="G24" s="41" t="n"/>
    </row>
    <row r="25">
      <c r="A25" s="22" t="n"/>
      <c r="B25" s="39" t="n"/>
      <c r="C25" s="23" t="n"/>
      <c r="D25" s="39" t="n"/>
      <c r="E25" s="40" t="n"/>
      <c r="F25" s="39" t="n"/>
      <c r="G25" s="39" t="n"/>
    </row>
    <row r="26">
      <c r="A26" s="25" t="n"/>
      <c r="B26" s="41" t="n"/>
      <c r="C26" s="26" t="n"/>
      <c r="D26" s="41" t="n"/>
      <c r="E26" s="33" t="n"/>
      <c r="F26" s="41" t="n"/>
      <c r="G26" s="41" t="n"/>
    </row>
    <row r="27">
      <c r="A27" s="22" t="n"/>
      <c r="B27" s="39" t="n"/>
      <c r="C27" s="23" t="n"/>
      <c r="D27" s="39" t="n"/>
      <c r="E27" s="40" t="n"/>
      <c r="F27" s="39" t="n"/>
      <c r="G27" s="39" t="n"/>
    </row>
    <row r="28">
      <c r="A28" s="25" t="n"/>
      <c r="B28" s="41" t="n"/>
      <c r="C28" s="26" t="n"/>
      <c r="D28" s="41" t="n"/>
      <c r="E28" s="33" t="n"/>
      <c r="F28" s="41" t="n"/>
      <c r="G28" s="41" t="n"/>
    </row>
    <row r="29">
      <c r="A29" s="22" t="n"/>
      <c r="B29" s="39" t="n"/>
      <c r="C29" s="23" t="n"/>
      <c r="D29" s="39" t="n"/>
      <c r="E29" s="40" t="n"/>
      <c r="F29" s="39" t="n"/>
      <c r="G29" s="39" t="n"/>
    </row>
    <row r="30">
      <c r="A30" s="25" t="n"/>
      <c r="B30" s="41" t="n"/>
      <c r="C30" s="26" t="n"/>
      <c r="D30" s="41" t="n"/>
      <c r="E30" s="33" t="n"/>
      <c r="F30" s="41" t="n"/>
      <c r="G30" s="41" t="n"/>
    </row>
    <row r="31">
      <c r="A31" s="22" t="n"/>
      <c r="B31" s="39" t="n"/>
      <c r="C31" s="23" t="n"/>
      <c r="D31" s="39" t="n"/>
      <c r="E31" s="40" t="n"/>
      <c r="F31" s="39" t="n"/>
      <c r="G31" s="39" t="n"/>
    </row>
    <row r="32">
      <c r="A32" s="25" t="n"/>
      <c r="B32" s="41" t="n"/>
      <c r="C32" s="26" t="n"/>
      <c r="D32" s="41" t="n"/>
      <c r="E32" s="33" t="n"/>
      <c r="F32" s="41" t="n"/>
      <c r="G32" s="41" t="n"/>
    </row>
    <row r="33">
      <c r="A33" s="22" t="n"/>
      <c r="B33" s="39" t="n"/>
      <c r="C33" s="23" t="n"/>
      <c r="D33" s="39" t="n"/>
      <c r="E33" s="40" t="n"/>
      <c r="F33" s="39" t="n"/>
      <c r="G33" s="39" t="n"/>
    </row>
    <row r="34">
      <c r="A34" s="25" t="n"/>
      <c r="B34" s="41" t="n"/>
      <c r="C34" s="26" t="n"/>
      <c r="D34" s="41" t="n"/>
      <c r="E34" s="33" t="n"/>
      <c r="F34" s="41" t="n"/>
      <c r="G34" s="41" t="n"/>
    </row>
    <row r="35">
      <c r="A35" s="22" t="n"/>
      <c r="B35" s="39" t="n"/>
      <c r="C35" s="23" t="n"/>
      <c r="D35" s="39" t="n"/>
      <c r="E35" s="40" t="n"/>
      <c r="F35" s="39" t="n"/>
      <c r="G35" s="39" t="n"/>
    </row>
    <row r="36">
      <c r="A36" s="25" t="n"/>
      <c r="B36" s="41" t="n"/>
      <c r="C36" s="26" t="n"/>
      <c r="D36" s="41" t="n"/>
      <c r="E36" s="33" t="n"/>
      <c r="F36" s="41" t="n"/>
      <c r="G36" s="41" t="n"/>
    </row>
    <row r="37">
      <c r="A37" s="22" t="n"/>
      <c r="B37" s="39" t="n"/>
      <c r="C37" s="23" t="n"/>
      <c r="D37" s="39" t="n"/>
      <c r="E37" s="40" t="n"/>
      <c r="F37" s="39" t="n"/>
      <c r="G37" s="39" t="n"/>
    </row>
    <row r="38">
      <c r="A38" s="25" t="n"/>
      <c r="B38" s="41" t="n"/>
      <c r="C38" s="26" t="n"/>
      <c r="D38" s="41" t="n"/>
      <c r="E38" s="33" t="n"/>
      <c r="F38" s="41" t="n"/>
      <c r="G38" s="41" t="n"/>
    </row>
    <row r="39">
      <c r="A39" s="22" t="n"/>
      <c r="B39" s="39" t="n"/>
      <c r="C39" s="23" t="n"/>
      <c r="D39" s="39" t="n"/>
      <c r="E39" s="40" t="n"/>
      <c r="F39" s="39" t="n"/>
      <c r="G39" s="39" t="n"/>
    </row>
    <row r="40">
      <c r="A40" s="25" t="n"/>
      <c r="B40" s="41" t="n"/>
      <c r="C40" s="26" t="n"/>
      <c r="D40" s="41" t="n"/>
      <c r="E40" s="33" t="n"/>
      <c r="F40" s="41" t="n"/>
      <c r="G40" s="41" t="n"/>
    </row>
    <row r="41">
      <c r="A41" s="22" t="n"/>
      <c r="B41" s="39" t="n"/>
      <c r="C41" s="23" t="n"/>
      <c r="D41" s="39" t="n"/>
      <c r="E41" s="40" t="n"/>
      <c r="F41" s="39" t="n"/>
      <c r="G41" s="39" t="n"/>
    </row>
    <row r="42">
      <c r="A42" s="25" t="n"/>
      <c r="B42" s="41" t="n"/>
      <c r="C42" s="26" t="n"/>
      <c r="D42" s="41" t="n"/>
      <c r="E42" s="33" t="n"/>
      <c r="F42" s="41" t="n"/>
      <c r="G42" s="41" t="n"/>
    </row>
    <row r="43">
      <c r="A43" s="22" t="n"/>
      <c r="B43" s="39" t="n"/>
      <c r="C43" s="23" t="n"/>
      <c r="D43" s="39" t="n"/>
      <c r="E43" s="40" t="n"/>
      <c r="F43" s="39" t="n"/>
      <c r="G43" s="39" t="n"/>
    </row>
    <row r="44">
      <c r="A44" s="25" t="n"/>
      <c r="B44" s="41" t="n"/>
      <c r="C44" s="26" t="n"/>
      <c r="D44" s="41" t="n"/>
      <c r="E44" s="33" t="n"/>
      <c r="F44" s="41" t="n"/>
      <c r="G44" s="41" t="n"/>
    </row>
    <row r="45">
      <c r="A45" s="22" t="n"/>
      <c r="B45" s="39" t="n"/>
      <c r="C45" s="23" t="n"/>
      <c r="D45" s="39" t="n"/>
      <c r="E45" s="40" t="n"/>
      <c r="F45" s="39" t="n"/>
      <c r="G45" s="39" t="n"/>
    </row>
    <row r="46">
      <c r="A46" s="25" t="n"/>
      <c r="B46" s="41" t="n"/>
      <c r="C46" s="26" t="n"/>
      <c r="D46" s="41" t="n"/>
      <c r="E46" s="33" t="n"/>
      <c r="F46" s="41" t="n"/>
      <c r="G46" s="41" t="n"/>
    </row>
    <row r="47">
      <c r="A47" s="22" t="n"/>
      <c r="B47" s="39" t="n"/>
      <c r="C47" s="23" t="n"/>
      <c r="D47" s="39" t="n"/>
      <c r="E47" s="40" t="n"/>
      <c r="F47" s="39" t="n"/>
      <c r="G47" s="39" t="n"/>
    </row>
    <row r="48">
      <c r="A48" s="25" t="n"/>
      <c r="B48" s="41" t="n"/>
      <c r="C48" s="26" t="n"/>
      <c r="D48" s="41" t="n"/>
      <c r="E48" s="33" t="n"/>
      <c r="F48" s="41" t="n"/>
      <c r="G48" s="41" t="n"/>
    </row>
    <row r="49">
      <c r="A49" s="22" t="n"/>
      <c r="B49" s="39" t="n"/>
      <c r="C49" s="23" t="n"/>
      <c r="D49" s="39" t="n"/>
      <c r="E49" s="40" t="n"/>
      <c r="F49" s="39" t="n"/>
      <c r="G49" s="39" t="n"/>
    </row>
    <row r="50">
      <c r="A50" s="25" t="n"/>
      <c r="B50" s="41" t="n"/>
      <c r="C50" s="26" t="n"/>
      <c r="D50" s="41" t="n"/>
      <c r="E50" s="33" t="n"/>
      <c r="F50" s="41" t="n"/>
      <c r="G50" s="41" t="n"/>
    </row>
    <row r="51">
      <c r="A51" s="22" t="n"/>
      <c r="B51" s="39" t="n"/>
      <c r="C51" s="23" t="n"/>
      <c r="D51" s="39" t="n"/>
      <c r="E51" s="40" t="n"/>
      <c r="F51" s="39" t="n"/>
      <c r="G51" s="39" t="n"/>
    </row>
    <row r="52">
      <c r="A52" s="25" t="n"/>
      <c r="B52" s="41" t="n"/>
      <c r="C52" s="26" t="n"/>
      <c r="D52" s="41" t="n"/>
      <c r="E52" s="33" t="n"/>
      <c r="F52" s="41" t="n"/>
      <c r="G52" s="41" t="n"/>
    </row>
    <row r="53">
      <c r="A53" s="22" t="n"/>
      <c r="B53" s="39" t="n"/>
      <c r="C53" s="23" t="n"/>
      <c r="D53" s="39" t="n"/>
      <c r="E53" s="40" t="n"/>
      <c r="F53" s="39" t="n"/>
      <c r="G53" s="39" t="n"/>
    </row>
    <row r="54">
      <c r="A54" s="25" t="n"/>
      <c r="B54" s="41" t="n"/>
      <c r="C54" s="26" t="n"/>
      <c r="D54" s="41" t="n"/>
      <c r="E54" s="33" t="n"/>
      <c r="F54" s="41" t="n"/>
      <c r="G54" s="41" t="n"/>
    </row>
    <row r="55">
      <c r="A55" s="22" t="n"/>
      <c r="B55" s="39" t="n"/>
      <c r="C55" s="23" t="n"/>
      <c r="D55" s="39" t="n"/>
      <c r="E55" s="40" t="n"/>
      <c r="F55" s="39" t="n"/>
      <c r="G55" s="39" t="n"/>
    </row>
    <row r="56">
      <c r="A56" s="25" t="n"/>
      <c r="B56" s="41" t="n"/>
      <c r="C56" s="26" t="n"/>
      <c r="D56" s="41" t="n"/>
      <c r="E56" s="33" t="n"/>
      <c r="F56" s="41" t="n"/>
      <c r="G56" s="41" t="n"/>
    </row>
    <row r="57">
      <c r="A57" s="22" t="n"/>
      <c r="B57" s="39" t="n"/>
      <c r="C57" s="23" t="n"/>
      <c r="D57" s="39" t="n"/>
      <c r="E57" s="40" t="n"/>
      <c r="F57" s="39" t="n"/>
      <c r="G57" s="39" t="n"/>
    </row>
    <row r="58">
      <c r="A58" s="25" t="n"/>
      <c r="B58" s="41" t="n"/>
      <c r="C58" s="26" t="n"/>
      <c r="D58" s="41" t="n"/>
      <c r="E58" s="33" t="n"/>
      <c r="F58" s="41" t="n"/>
      <c r="G58" s="41" t="n"/>
    </row>
    <row r="59">
      <c r="A59" s="22" t="n"/>
      <c r="B59" s="39" t="n"/>
      <c r="C59" s="23" t="n"/>
      <c r="D59" s="39" t="n"/>
      <c r="E59" s="40" t="n"/>
      <c r="F59" s="39" t="n"/>
      <c r="G59" s="39" t="n"/>
    </row>
    <row r="60">
      <c r="A60" s="25" t="n"/>
      <c r="B60" s="41" t="n"/>
      <c r="C60" s="26" t="n"/>
      <c r="D60" s="41" t="n"/>
      <c r="E60" s="33" t="n"/>
      <c r="F60" s="41" t="n"/>
      <c r="G60" s="41" t="n"/>
    </row>
    <row r="61">
      <c r="A61" s="22" t="n"/>
      <c r="B61" s="39" t="n"/>
      <c r="C61" s="23" t="n"/>
      <c r="D61" s="39" t="n"/>
      <c r="E61" s="40" t="n"/>
      <c r="F61" s="39" t="n"/>
      <c r="G61" s="39" t="n"/>
    </row>
    <row r="62">
      <c r="A62" s="25" t="n"/>
      <c r="B62" s="41" t="n"/>
      <c r="C62" s="26" t="n"/>
      <c r="D62" s="41" t="n"/>
      <c r="E62" s="33" t="n"/>
      <c r="F62" s="41" t="n"/>
      <c r="G62" s="41" t="n"/>
    </row>
    <row r="63">
      <c r="A63" s="22" t="n"/>
      <c r="B63" s="39" t="n"/>
      <c r="C63" s="23" t="n"/>
      <c r="D63" s="39" t="n"/>
      <c r="E63" s="40" t="n"/>
      <c r="F63" s="39" t="n"/>
      <c r="G63" s="39" t="n"/>
    </row>
    <row r="64">
      <c r="A64" s="25" t="n"/>
      <c r="B64" s="41" t="n"/>
      <c r="C64" s="26" t="n"/>
      <c r="D64" s="41" t="n"/>
      <c r="E64" s="33" t="n"/>
      <c r="F64" s="41" t="n"/>
      <c r="G64" s="41" t="n"/>
    </row>
  </sheetData>
  <mergeCells count="2">
    <mergeCell ref="A2:G2"/>
    <mergeCell ref="A1:G1"/>
  </mergeCells>
  <dataValidations count="2">
    <dataValidation sqref="B5:B64" showDropDown="0" showInputMessage="0" showErrorMessage="0" allowBlank="1" type="list">
      <formula1>=ExpenseCatList</formula1>
    </dataValidation>
    <dataValidation sqref="D5:D64" showDropDown="0" showInputMessage="0" showErrorMessage="0" allowBlank="1" type="list">
      <formula1>=CurrencyList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3" customWidth="1" min="4" max="4"/>
    <col width="13" customWidth="1" min="5" max="5"/>
    <col width="14" customWidth="1" min="6" max="6"/>
    <col width="8" customWidth="1" min="7" max="7"/>
    <col width="12" customWidth="1" min="8" max="8"/>
    <col width="10" customWidth="1" min="9" max="9"/>
  </cols>
  <sheetData>
    <row r="1" ht="46" customHeight="1">
      <c r="A1" s="1" t="inlineStr">
        <is>
          <t xml:space="preserve">  🛫  FLIGHT MANAGER</t>
        </is>
      </c>
    </row>
    <row r="2" ht="22" customHeight="1">
      <c r="A2" s="2" t="inlineStr">
        <is>
          <t xml:space="preserve">  Every flight in one place — confirmations, seats, times &amp; baggage.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Airline</t>
        </is>
      </c>
      <c r="B4" s="7" t="inlineStr">
        <is>
          <t>Flight #</t>
        </is>
      </c>
      <c r="C4" s="7" t="inlineStr">
        <is>
          <t>From → To</t>
        </is>
      </c>
      <c r="D4" s="7" t="inlineStr">
        <is>
          <t>Depart</t>
        </is>
      </c>
      <c r="E4" s="7" t="inlineStr">
        <is>
          <t>Arrive</t>
        </is>
      </c>
      <c r="F4" s="7" t="inlineStr">
        <is>
          <t>Confirmation</t>
        </is>
      </c>
      <c r="G4" s="7" t="inlineStr">
        <is>
          <t>Seat</t>
        </is>
      </c>
      <c r="H4" s="7" t="inlineStr">
        <is>
          <t>Baggage</t>
        </is>
      </c>
      <c r="I4" s="7" t="inlineStr">
        <is>
          <t>Cost</t>
        </is>
      </c>
    </row>
    <row r="5">
      <c r="A5" s="39" t="inlineStr">
        <is>
          <t>SkyEurope</t>
        </is>
      </c>
      <c r="B5" s="39" t="inlineStr">
        <is>
          <t>SE 108</t>
        </is>
      </c>
      <c r="C5" s="23" t="inlineStr">
        <is>
          <t>JFK → CDG</t>
        </is>
      </c>
      <c r="D5" s="22" t="n">
        <v>46249</v>
      </c>
      <c r="E5" s="22" t="n">
        <v>46250</v>
      </c>
      <c r="F5" s="39" t="inlineStr">
        <is>
          <t>SKY-88231</t>
        </is>
      </c>
      <c r="G5" s="39" t="inlineStr">
        <is>
          <t>22A</t>
        </is>
      </c>
      <c r="H5" s="39" t="inlineStr">
        <is>
          <t>1 checked</t>
        </is>
      </c>
      <c r="I5" s="40" t="n">
        <v>620</v>
      </c>
    </row>
    <row r="6">
      <c r="A6" s="41" t="inlineStr">
        <is>
          <t>SkyEurope</t>
        </is>
      </c>
      <c r="B6" s="41" t="inlineStr">
        <is>
          <t>SE 412</t>
        </is>
      </c>
      <c r="C6" s="26" t="inlineStr">
        <is>
          <t>CDG → FCO</t>
        </is>
      </c>
      <c r="D6" s="25" t="n">
        <v>46253</v>
      </c>
      <c r="E6" s="25" t="n">
        <v>46253</v>
      </c>
      <c r="F6" s="41" t="inlineStr">
        <is>
          <t>SKY-88232</t>
        </is>
      </c>
      <c r="G6" s="41" t="inlineStr">
        <is>
          <t>14C</t>
        </is>
      </c>
      <c r="H6" s="41" t="inlineStr">
        <is>
          <t>1 checked</t>
        </is>
      </c>
      <c r="I6" s="33" t="n">
        <v>180</v>
      </c>
    </row>
    <row r="7">
      <c r="A7" s="39" t="inlineStr">
        <is>
          <t>IberFly</t>
        </is>
      </c>
      <c r="B7" s="39" t="inlineStr">
        <is>
          <t>IB 621</t>
        </is>
      </c>
      <c r="C7" s="23" t="inlineStr">
        <is>
          <t>FCO → BCN</t>
        </is>
      </c>
      <c r="D7" s="22" t="n">
        <v>46257</v>
      </c>
      <c r="E7" s="22" t="n">
        <v>46257</v>
      </c>
      <c r="F7" s="39" t="inlineStr">
        <is>
          <t>IBR-55120</t>
        </is>
      </c>
      <c r="G7" s="39" t="inlineStr">
        <is>
          <t>9F</t>
        </is>
      </c>
      <c r="H7" s="39" t="inlineStr">
        <is>
          <t>1 checked</t>
        </is>
      </c>
      <c r="I7" s="40" t="n">
        <v>160</v>
      </c>
    </row>
    <row r="8">
      <c r="A8" s="41" t="inlineStr">
        <is>
          <t>SkyEurope</t>
        </is>
      </c>
      <c r="B8" s="41" t="inlineStr">
        <is>
          <t>SE 109</t>
        </is>
      </c>
      <c r="C8" s="26" t="inlineStr">
        <is>
          <t>BCN → JFK</t>
        </is>
      </c>
      <c r="D8" s="25" t="n">
        <v>46263</v>
      </c>
      <c r="E8" s="25" t="n">
        <v>46263</v>
      </c>
      <c r="F8" s="41" t="inlineStr">
        <is>
          <t>SKY-88240</t>
        </is>
      </c>
      <c r="G8" s="41" t="inlineStr">
        <is>
          <t>18B</t>
        </is>
      </c>
      <c r="H8" s="41" t="inlineStr">
        <is>
          <t>1 checked</t>
        </is>
      </c>
      <c r="I8" s="33" t="n">
        <v>640</v>
      </c>
    </row>
    <row r="9">
      <c r="A9" s="39" t="n"/>
      <c r="B9" s="39" t="n"/>
      <c r="C9" s="23" t="n"/>
      <c r="D9" s="22" t="n"/>
      <c r="E9" s="22" t="n"/>
      <c r="F9" s="39" t="n"/>
      <c r="G9" s="39" t="n"/>
      <c r="H9" s="39" t="n"/>
      <c r="I9" s="40" t="n"/>
    </row>
    <row r="10">
      <c r="A10" s="41" t="n"/>
      <c r="B10" s="41" t="n"/>
      <c r="C10" s="26" t="n"/>
      <c r="D10" s="25" t="n"/>
      <c r="E10" s="25" t="n"/>
      <c r="F10" s="41" t="n"/>
      <c r="G10" s="41" t="n"/>
      <c r="H10" s="41" t="n"/>
      <c r="I10" s="33" t="n"/>
    </row>
    <row r="11">
      <c r="A11" s="39" t="n"/>
      <c r="B11" s="39" t="n"/>
      <c r="C11" s="23" t="n"/>
      <c r="D11" s="22" t="n"/>
      <c r="E11" s="22" t="n"/>
      <c r="F11" s="39" t="n"/>
      <c r="G11" s="39" t="n"/>
      <c r="H11" s="39" t="n"/>
      <c r="I11" s="40" t="n"/>
    </row>
    <row r="12">
      <c r="A12" s="41" t="n"/>
      <c r="B12" s="41" t="n"/>
      <c r="C12" s="26" t="n"/>
      <c r="D12" s="25" t="n"/>
      <c r="E12" s="25" t="n"/>
      <c r="F12" s="41" t="n"/>
      <c r="G12" s="41" t="n"/>
      <c r="H12" s="41" t="n"/>
      <c r="I12" s="33" t="n"/>
    </row>
    <row r="13">
      <c r="A13" s="39" t="n"/>
      <c r="B13" s="39" t="n"/>
      <c r="C13" s="23" t="n"/>
      <c r="D13" s="22" t="n"/>
      <c r="E13" s="22" t="n"/>
      <c r="F13" s="39" t="n"/>
      <c r="G13" s="39" t="n"/>
      <c r="H13" s="39" t="n"/>
      <c r="I13" s="40" t="n"/>
    </row>
    <row r="14">
      <c r="A14" s="41" t="n"/>
      <c r="B14" s="41" t="n"/>
      <c r="C14" s="26" t="n"/>
      <c r="D14" s="25" t="n"/>
      <c r="E14" s="25" t="n"/>
      <c r="F14" s="41" t="n"/>
      <c r="G14" s="41" t="n"/>
      <c r="H14" s="41" t="n"/>
      <c r="I14" s="33" t="n"/>
    </row>
    <row r="15">
      <c r="A15" s="39" t="n"/>
      <c r="B15" s="39" t="n"/>
      <c r="C15" s="23" t="n"/>
      <c r="D15" s="22" t="n"/>
      <c r="E15" s="22" t="n"/>
      <c r="F15" s="39" t="n"/>
      <c r="G15" s="39" t="n"/>
      <c r="H15" s="39" t="n"/>
      <c r="I15" s="40" t="n"/>
    </row>
    <row r="16">
      <c r="A16" s="41" t="n"/>
      <c r="B16" s="41" t="n"/>
      <c r="C16" s="26" t="n"/>
      <c r="D16" s="25" t="n"/>
      <c r="E16" s="25" t="n"/>
      <c r="F16" s="41" t="n"/>
      <c r="G16" s="41" t="n"/>
      <c r="H16" s="41" t="n"/>
      <c r="I16" s="33" t="n"/>
    </row>
    <row r="17">
      <c r="A17" s="39" t="n"/>
      <c r="B17" s="39" t="n"/>
      <c r="C17" s="23" t="n"/>
      <c r="D17" s="22" t="n"/>
      <c r="E17" s="22" t="n"/>
      <c r="F17" s="39" t="n"/>
      <c r="G17" s="39" t="n"/>
      <c r="H17" s="39" t="n"/>
      <c r="I17" s="40" t="n"/>
    </row>
    <row r="18">
      <c r="A18" s="41" t="n"/>
      <c r="B18" s="41" t="n"/>
      <c r="C18" s="26" t="n"/>
      <c r="D18" s="25" t="n"/>
      <c r="E18" s="25" t="n"/>
      <c r="F18" s="41" t="n"/>
      <c r="G18" s="41" t="n"/>
      <c r="H18" s="41" t="n"/>
      <c r="I18" s="33" t="n"/>
    </row>
    <row r="19">
      <c r="A19" s="39" t="n"/>
      <c r="B19" s="39" t="n"/>
      <c r="C19" s="23" t="n"/>
      <c r="D19" s="22" t="n"/>
      <c r="E19" s="22" t="n"/>
      <c r="F19" s="39" t="n"/>
      <c r="G19" s="39" t="n"/>
      <c r="H19" s="39" t="n"/>
      <c r="I19" s="40" t="n"/>
    </row>
    <row r="20">
      <c r="A20" s="41" t="n"/>
      <c r="B20" s="41" t="n"/>
      <c r="C20" s="26" t="n"/>
      <c r="D20" s="25" t="n"/>
      <c r="E20" s="25" t="n"/>
      <c r="F20" s="41" t="n"/>
      <c r="G20" s="41" t="n"/>
      <c r="H20" s="41" t="n"/>
      <c r="I20" s="33" t="n"/>
    </row>
    <row r="21">
      <c r="A21" s="39" t="n"/>
      <c r="B21" s="39" t="n"/>
      <c r="C21" s="23" t="n"/>
      <c r="D21" s="22" t="n"/>
      <c r="E21" s="22" t="n"/>
      <c r="F21" s="39" t="n"/>
      <c r="G21" s="39" t="n"/>
      <c r="H21" s="39" t="n"/>
      <c r="I21" s="40" t="n"/>
    </row>
    <row r="22">
      <c r="A22" s="41" t="n"/>
      <c r="B22" s="41" t="n"/>
      <c r="C22" s="26" t="n"/>
      <c r="D22" s="25" t="n"/>
      <c r="E22" s="25" t="n"/>
      <c r="F22" s="41" t="n"/>
      <c r="G22" s="41" t="n"/>
      <c r="H22" s="41" t="n"/>
      <c r="I22" s="33" t="n"/>
    </row>
    <row r="23">
      <c r="A23" s="39" t="n"/>
      <c r="B23" s="39" t="n"/>
      <c r="C23" s="23" t="n"/>
      <c r="D23" s="22" t="n"/>
      <c r="E23" s="22" t="n"/>
      <c r="F23" s="39" t="n"/>
      <c r="G23" s="39" t="n"/>
      <c r="H23" s="39" t="n"/>
      <c r="I23" s="40" t="n"/>
    </row>
    <row r="24">
      <c r="A24" s="41" t="n"/>
      <c r="B24" s="41" t="n"/>
      <c r="C24" s="26" t="n"/>
      <c r="D24" s="25" t="n"/>
      <c r="E24" s="25" t="n"/>
      <c r="F24" s="41" t="n"/>
      <c r="G24" s="41" t="n"/>
      <c r="H24" s="41" t="n"/>
      <c r="I24" s="33" t="n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3" customWidth="1" min="4" max="4"/>
    <col width="13" customWidth="1" min="5" max="5"/>
    <col width="14" customWidth="1" min="6" max="6"/>
    <col width="10" customWidth="1" min="7" max="7"/>
    <col width="22" customWidth="1" min="8" max="8"/>
  </cols>
  <sheetData>
    <row r="1" ht="46" customHeight="1">
      <c r="A1" s="1" t="inlineStr">
        <is>
          <t xml:space="preserve">  🏨  ACCOMMODATION MANAGER</t>
        </is>
      </c>
    </row>
    <row r="2" ht="22" customHeight="1">
      <c r="A2" s="2" t="inlineStr">
        <is>
          <t xml:space="preserve">  Hotels &amp; rentals — confirmations, dates, cost &amp; amenities in one view.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Property</t>
        </is>
      </c>
      <c r="B4" s="7" t="inlineStr">
        <is>
          <t>Type</t>
        </is>
      </c>
      <c r="C4" s="7" t="inlineStr">
        <is>
          <t>City</t>
        </is>
      </c>
      <c r="D4" s="7" t="inlineStr">
        <is>
          <t>Check-In</t>
        </is>
      </c>
      <c r="E4" s="7" t="inlineStr">
        <is>
          <t>Check-Out</t>
        </is>
      </c>
      <c r="F4" s="7" t="inlineStr">
        <is>
          <t>Confirmation</t>
        </is>
      </c>
      <c r="G4" s="7" t="inlineStr">
        <is>
          <t>Cost</t>
        </is>
      </c>
      <c r="H4" s="7" t="inlineStr">
        <is>
          <t>Amenities</t>
        </is>
      </c>
    </row>
    <row r="5">
      <c r="A5" s="23" t="inlineStr">
        <is>
          <t>Le Marais Hotel</t>
        </is>
      </c>
      <c r="B5" s="39" t="inlineStr">
        <is>
          <t>Hotel</t>
        </is>
      </c>
      <c r="C5" s="39" t="inlineStr">
        <is>
          <t>Paris</t>
        </is>
      </c>
      <c r="D5" s="22" t="n">
        <v>46249</v>
      </c>
      <c r="E5" s="22" t="n">
        <v>46253</v>
      </c>
      <c r="F5" s="39" t="inlineStr">
        <is>
          <t>LMH-3021</t>
        </is>
      </c>
      <c r="G5" s="40" t="n">
        <v>720</v>
      </c>
      <c r="H5" s="23" t="inlineStr">
        <is>
          <t>Breakfast, WiFi</t>
        </is>
      </c>
    </row>
    <row r="6">
      <c r="A6" s="26" t="inlineStr">
        <is>
          <t>Trastevere Suites</t>
        </is>
      </c>
      <c r="B6" s="41" t="inlineStr">
        <is>
          <t>Vacation Rental</t>
        </is>
      </c>
      <c r="C6" s="41" t="inlineStr">
        <is>
          <t>Rome</t>
        </is>
      </c>
      <c r="D6" s="25" t="n">
        <v>46253</v>
      </c>
      <c r="E6" s="25" t="n">
        <v>46257</v>
      </c>
      <c r="F6" s="41" t="inlineStr">
        <is>
          <t>TRS-8890</t>
        </is>
      </c>
      <c r="G6" s="33" t="n">
        <v>560</v>
      </c>
      <c r="H6" s="26" t="inlineStr">
        <is>
          <t>Kitchen, AC</t>
        </is>
      </c>
    </row>
    <row r="7">
      <c r="A7" s="23" t="inlineStr">
        <is>
          <t>Eixample Loft</t>
        </is>
      </c>
      <c r="B7" s="39" t="inlineStr">
        <is>
          <t>Vacation Rental</t>
        </is>
      </c>
      <c r="C7" s="39" t="inlineStr">
        <is>
          <t>Barcelona</t>
        </is>
      </c>
      <c r="D7" s="22" t="n">
        <v>46257</v>
      </c>
      <c r="E7" s="22" t="n">
        <v>46263</v>
      </c>
      <c r="F7" s="39" t="inlineStr">
        <is>
          <t>EXL-1180</t>
        </is>
      </c>
      <c r="G7" s="40" t="n">
        <v>300</v>
      </c>
      <c r="H7" s="23" t="inlineStr">
        <is>
          <t>Balcony, WiFi</t>
        </is>
      </c>
    </row>
    <row r="8">
      <c r="A8" s="26" t="n"/>
      <c r="B8" s="41" t="n"/>
      <c r="C8" s="41" t="n"/>
      <c r="D8" s="25" t="n"/>
      <c r="E8" s="25" t="n"/>
      <c r="F8" s="41" t="n"/>
      <c r="G8" s="33" t="n"/>
      <c r="H8" s="26" t="n"/>
    </row>
    <row r="9">
      <c r="A9" s="23" t="n"/>
      <c r="B9" s="39" t="n"/>
      <c r="C9" s="39" t="n"/>
      <c r="D9" s="22" t="n"/>
      <c r="E9" s="22" t="n"/>
      <c r="F9" s="39" t="n"/>
      <c r="G9" s="40" t="n"/>
      <c r="H9" s="23" t="n"/>
    </row>
    <row r="10">
      <c r="A10" s="26" t="n"/>
      <c r="B10" s="41" t="n"/>
      <c r="C10" s="41" t="n"/>
      <c r="D10" s="25" t="n"/>
      <c r="E10" s="25" t="n"/>
      <c r="F10" s="41" t="n"/>
      <c r="G10" s="33" t="n"/>
      <c r="H10" s="26" t="n"/>
    </row>
    <row r="11">
      <c r="A11" s="23" t="n"/>
      <c r="B11" s="39" t="n"/>
      <c r="C11" s="39" t="n"/>
      <c r="D11" s="22" t="n"/>
      <c r="E11" s="22" t="n"/>
      <c r="F11" s="39" t="n"/>
      <c r="G11" s="40" t="n"/>
      <c r="H11" s="23" t="n"/>
    </row>
    <row r="12">
      <c r="A12" s="26" t="n"/>
      <c r="B12" s="41" t="n"/>
      <c r="C12" s="41" t="n"/>
      <c r="D12" s="25" t="n"/>
      <c r="E12" s="25" t="n"/>
      <c r="F12" s="41" t="n"/>
      <c r="G12" s="33" t="n"/>
      <c r="H12" s="26" t="n"/>
    </row>
    <row r="13">
      <c r="A13" s="23" t="n"/>
      <c r="B13" s="39" t="n"/>
      <c r="C13" s="39" t="n"/>
      <c r="D13" s="22" t="n"/>
      <c r="E13" s="22" t="n"/>
      <c r="F13" s="39" t="n"/>
      <c r="G13" s="40" t="n"/>
      <c r="H13" s="23" t="n"/>
    </row>
    <row r="14">
      <c r="A14" s="26" t="n"/>
      <c r="B14" s="41" t="n"/>
      <c r="C14" s="41" t="n"/>
      <c r="D14" s="25" t="n"/>
      <c r="E14" s="25" t="n"/>
      <c r="F14" s="41" t="n"/>
      <c r="G14" s="33" t="n"/>
      <c r="H14" s="26" t="n"/>
    </row>
    <row r="15">
      <c r="A15" s="23" t="n"/>
      <c r="B15" s="39" t="n"/>
      <c r="C15" s="39" t="n"/>
      <c r="D15" s="22" t="n"/>
      <c r="E15" s="22" t="n"/>
      <c r="F15" s="39" t="n"/>
      <c r="G15" s="40" t="n"/>
      <c r="H15" s="23" t="n"/>
    </row>
    <row r="16">
      <c r="A16" s="26" t="n"/>
      <c r="B16" s="41" t="n"/>
      <c r="C16" s="41" t="n"/>
      <c r="D16" s="25" t="n"/>
      <c r="E16" s="25" t="n"/>
      <c r="F16" s="41" t="n"/>
      <c r="G16" s="33" t="n"/>
      <c r="H16" s="26" t="n"/>
    </row>
    <row r="17">
      <c r="A17" s="23" t="n"/>
      <c r="B17" s="39" t="n"/>
      <c r="C17" s="39" t="n"/>
      <c r="D17" s="22" t="n"/>
      <c r="E17" s="22" t="n"/>
      <c r="F17" s="39" t="n"/>
      <c r="G17" s="40" t="n"/>
      <c r="H17" s="23" t="n"/>
    </row>
    <row r="18">
      <c r="A18" s="26" t="n"/>
      <c r="B18" s="41" t="n"/>
      <c r="C18" s="41" t="n"/>
      <c r="D18" s="25" t="n"/>
      <c r="E18" s="25" t="n"/>
      <c r="F18" s="41" t="n"/>
      <c r="G18" s="33" t="n"/>
      <c r="H18" s="26" t="n"/>
    </row>
    <row r="19">
      <c r="A19" s="23" t="n"/>
      <c r="B19" s="39" t="n"/>
      <c r="C19" s="39" t="n"/>
      <c r="D19" s="22" t="n"/>
      <c r="E19" s="22" t="n"/>
      <c r="F19" s="39" t="n"/>
      <c r="G19" s="40" t="n"/>
      <c r="H19" s="23" t="n"/>
    </row>
    <row r="20">
      <c r="A20" s="26" t="n"/>
      <c r="B20" s="41" t="n"/>
      <c r="C20" s="41" t="n"/>
      <c r="D20" s="25" t="n"/>
      <c r="E20" s="25" t="n"/>
      <c r="F20" s="41" t="n"/>
      <c r="G20" s="33" t="n"/>
      <c r="H20" s="26" t="n"/>
    </row>
    <row r="21">
      <c r="A21" s="23" t="n"/>
      <c r="B21" s="39" t="n"/>
      <c r="C21" s="39" t="n"/>
      <c r="D21" s="22" t="n"/>
      <c r="E21" s="22" t="n"/>
      <c r="F21" s="39" t="n"/>
      <c r="G21" s="40" t="n"/>
      <c r="H21" s="23" t="n"/>
    </row>
    <row r="22">
      <c r="A22" s="26" t="n"/>
      <c r="B22" s="41" t="n"/>
      <c r="C22" s="41" t="n"/>
      <c r="D22" s="25" t="n"/>
      <c r="E22" s="25" t="n"/>
      <c r="F22" s="41" t="n"/>
      <c r="G22" s="33" t="n"/>
      <c r="H22" s="26" t="n"/>
    </row>
    <row r="23">
      <c r="A23" s="23" t="n"/>
      <c r="B23" s="39" t="n"/>
      <c r="C23" s="39" t="n"/>
      <c r="D23" s="22" t="n"/>
      <c r="E23" s="22" t="n"/>
      <c r="F23" s="39" t="n"/>
      <c r="G23" s="40" t="n"/>
      <c r="H23" s="23" t="n"/>
    </row>
    <row r="24">
      <c r="A24" s="26" t="n"/>
      <c r="B24" s="41" t="n"/>
      <c r="C24" s="41" t="n"/>
      <c r="D24" s="25" t="n"/>
      <c r="E24" s="25" t="n"/>
      <c r="F24" s="41" t="n"/>
      <c r="G24" s="33" t="n"/>
      <c r="H24" s="26" t="n"/>
    </row>
  </sheetData>
  <mergeCells count="2">
    <mergeCell ref="A2:H2"/>
    <mergeCell ref="A1:H1"/>
  </mergeCells>
  <dataValidations count="1">
    <dataValidation sqref="B5:B24" showDropDown="0" showInputMessage="0" showErrorMessage="0" allowBlank="1" type="list">
      <formula1>=AccomList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6" customHeight="1">
      <c r="A1" s="1" t="inlineStr">
        <is>
          <t xml:space="preserve">  🚆  TRANSPORTATION PLANNER</t>
        </is>
      </c>
    </row>
    <row r="2" ht="22" customHeight="1">
      <c r="A2" s="2" t="inlineStr">
        <is>
          <t xml:space="preserve">  Trains, transfers, rentals &amp; rides — every leg between the big flights.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Type</t>
        </is>
      </c>
      <c r="B4" s="7" t="inlineStr">
        <is>
          <t>From → To</t>
        </is>
      </c>
      <c r="C4" s="7" t="inlineStr">
        <is>
          <t>Date</t>
        </is>
      </c>
      <c r="D4" s="7" t="inlineStr">
        <is>
          <t>Provider</t>
        </is>
      </c>
      <c r="E4" s="7" t="inlineStr">
        <is>
          <t>Confirmation</t>
        </is>
      </c>
      <c r="F4" s="7" t="inlineStr">
        <is>
          <t>Cost</t>
        </is>
      </c>
      <c r="G4" s="7" t="inlineStr">
        <is>
          <t>Notes</t>
        </is>
      </c>
    </row>
    <row r="5">
      <c r="A5" s="39" t="inlineStr">
        <is>
          <t>Train</t>
        </is>
      </c>
      <c r="B5" s="23" t="inlineStr">
        <is>
          <t>Paris → Rome</t>
        </is>
      </c>
      <c r="C5" s="22" t="n">
        <v>46252</v>
      </c>
      <c r="D5" s="39" t="inlineStr">
        <is>
          <t>EuroRail</t>
        </is>
      </c>
      <c r="E5" s="39" t="inlineStr">
        <is>
          <t>ER-2201</t>
        </is>
      </c>
      <c r="F5" s="40" t="n">
        <v>180</v>
      </c>
      <c r="G5" s="23" t="inlineStr">
        <is>
          <t>High-speed</t>
        </is>
      </c>
    </row>
    <row r="6">
      <c r="A6" s="41" t="inlineStr">
        <is>
          <t>Airport Transfer</t>
        </is>
      </c>
      <c r="B6" s="26" t="inlineStr">
        <is>
          <t>Rome hotel ↔ FCO</t>
        </is>
      </c>
      <c r="C6" s="25" t="n">
        <v>46257</v>
      </c>
      <c r="D6" s="41" t="inlineStr">
        <is>
          <t>Local</t>
        </is>
      </c>
      <c r="E6" s="41" t="inlineStr">
        <is>
          <t>—</t>
        </is>
      </c>
      <c r="F6" s="33" t="n">
        <v>120</v>
      </c>
      <c r="G6" s="26" t="inlineStr">
        <is>
          <t>Both ways</t>
        </is>
      </c>
    </row>
    <row r="7">
      <c r="A7" s="39" t="inlineStr">
        <is>
          <t>Metro Pass</t>
        </is>
      </c>
      <c r="B7" s="23" t="inlineStr">
        <is>
          <t>Paris (5-day)</t>
        </is>
      </c>
      <c r="C7" s="22" t="n">
        <v>46249</v>
      </c>
      <c r="D7" s="39" t="inlineStr">
        <is>
          <t>RATP</t>
        </is>
      </c>
      <c r="E7" s="39" t="inlineStr">
        <is>
          <t>—</t>
        </is>
      </c>
      <c r="F7" s="40" t="n">
        <v>60</v>
      </c>
      <c r="G7" s="23" t="inlineStr">
        <is>
          <t>x2</t>
        </is>
      </c>
    </row>
    <row r="8">
      <c r="A8" s="41" t="inlineStr">
        <is>
          <t>Metro Pass</t>
        </is>
      </c>
      <c r="B8" s="26" t="inlineStr">
        <is>
          <t>Barcelona (4-day)</t>
        </is>
      </c>
      <c r="C8" s="25" t="n">
        <v>46257</v>
      </c>
      <c r="D8" s="41" t="inlineStr">
        <is>
          <t>TMB</t>
        </is>
      </c>
      <c r="E8" s="41" t="inlineStr">
        <is>
          <t>—</t>
        </is>
      </c>
      <c r="F8" s="33" t="n">
        <v>45</v>
      </c>
      <c r="G8" s="26" t="inlineStr">
        <is>
          <t>x2</t>
        </is>
      </c>
    </row>
    <row r="9">
      <c r="A9" s="39" t="inlineStr">
        <is>
          <t>Day-trip Train</t>
        </is>
      </c>
      <c r="B9" s="23" t="inlineStr">
        <is>
          <t>BCN → Montserrat</t>
        </is>
      </c>
      <c r="C9" s="22" t="n">
        <v>46261</v>
      </c>
      <c r="D9" s="39" t="inlineStr">
        <is>
          <t>FGC</t>
        </is>
      </c>
      <c r="E9" s="39" t="inlineStr">
        <is>
          <t>—</t>
        </is>
      </c>
      <c r="F9" s="40" t="n">
        <v>40</v>
      </c>
      <c r="G9" s="23" t="inlineStr">
        <is>
          <t>Round trip x2</t>
        </is>
      </c>
    </row>
    <row r="10">
      <c r="A10" s="41" t="n"/>
      <c r="B10" s="26" t="n"/>
      <c r="C10" s="25" t="n"/>
      <c r="D10" s="41" t="n"/>
      <c r="E10" s="41" t="n"/>
      <c r="F10" s="33" t="n"/>
      <c r="G10" s="26" t="n"/>
    </row>
    <row r="11">
      <c r="A11" s="39" t="n"/>
      <c r="B11" s="23" t="n"/>
      <c r="C11" s="22" t="n"/>
      <c r="D11" s="39" t="n"/>
      <c r="E11" s="39" t="n"/>
      <c r="F11" s="40" t="n"/>
      <c r="G11" s="23" t="n"/>
    </row>
    <row r="12">
      <c r="A12" s="41" t="n"/>
      <c r="B12" s="26" t="n"/>
      <c r="C12" s="25" t="n"/>
      <c r="D12" s="41" t="n"/>
      <c r="E12" s="41" t="n"/>
      <c r="F12" s="33" t="n"/>
      <c r="G12" s="26" t="n"/>
    </row>
    <row r="13">
      <c r="A13" s="39" t="n"/>
      <c r="B13" s="23" t="n"/>
      <c r="C13" s="22" t="n"/>
      <c r="D13" s="39" t="n"/>
      <c r="E13" s="39" t="n"/>
      <c r="F13" s="40" t="n"/>
      <c r="G13" s="23" t="n"/>
    </row>
    <row r="14">
      <c r="A14" s="41" t="n"/>
      <c r="B14" s="26" t="n"/>
      <c r="C14" s="25" t="n"/>
      <c r="D14" s="41" t="n"/>
      <c r="E14" s="41" t="n"/>
      <c r="F14" s="33" t="n"/>
      <c r="G14" s="26" t="n"/>
    </row>
    <row r="15">
      <c r="A15" s="39" t="n"/>
      <c r="B15" s="23" t="n"/>
      <c r="C15" s="22" t="n"/>
      <c r="D15" s="39" t="n"/>
      <c r="E15" s="39" t="n"/>
      <c r="F15" s="40" t="n"/>
      <c r="G15" s="23" t="n"/>
    </row>
    <row r="16">
      <c r="A16" s="41" t="n"/>
      <c r="B16" s="26" t="n"/>
      <c r="C16" s="25" t="n"/>
      <c r="D16" s="41" t="n"/>
      <c r="E16" s="41" t="n"/>
      <c r="F16" s="33" t="n"/>
      <c r="G16" s="26" t="n"/>
    </row>
    <row r="17">
      <c r="A17" s="39" t="n"/>
      <c r="B17" s="23" t="n"/>
      <c r="C17" s="22" t="n"/>
      <c r="D17" s="39" t="n"/>
      <c r="E17" s="39" t="n"/>
      <c r="F17" s="40" t="n"/>
      <c r="G17" s="23" t="n"/>
    </row>
    <row r="18">
      <c r="A18" s="41" t="n"/>
      <c r="B18" s="26" t="n"/>
      <c r="C18" s="25" t="n"/>
      <c r="D18" s="41" t="n"/>
      <c r="E18" s="41" t="n"/>
      <c r="F18" s="33" t="n"/>
      <c r="G18" s="26" t="n"/>
    </row>
    <row r="19">
      <c r="A19" s="39" t="n"/>
      <c r="B19" s="23" t="n"/>
      <c r="C19" s="22" t="n"/>
      <c r="D19" s="39" t="n"/>
      <c r="E19" s="39" t="n"/>
      <c r="F19" s="40" t="n"/>
      <c r="G19" s="23" t="n"/>
    </row>
    <row r="20">
      <c r="A20" s="41" t="n"/>
      <c r="B20" s="26" t="n"/>
      <c r="C20" s="25" t="n"/>
      <c r="D20" s="41" t="n"/>
      <c r="E20" s="41" t="n"/>
      <c r="F20" s="33" t="n"/>
      <c r="G20" s="26" t="n"/>
    </row>
    <row r="21">
      <c r="A21" s="39" t="n"/>
      <c r="B21" s="23" t="n"/>
      <c r="C21" s="22" t="n"/>
      <c r="D21" s="39" t="n"/>
      <c r="E21" s="39" t="n"/>
      <c r="F21" s="40" t="n"/>
      <c r="G21" s="23" t="n"/>
    </row>
    <row r="22">
      <c r="A22" s="41" t="n"/>
      <c r="B22" s="26" t="n"/>
      <c r="C22" s="25" t="n"/>
      <c r="D22" s="41" t="n"/>
      <c r="E22" s="41" t="n"/>
      <c r="F22" s="33" t="n"/>
      <c r="G22" s="26" t="n"/>
    </row>
    <row r="23">
      <c r="A23" s="39" t="n"/>
      <c r="B23" s="23" t="n"/>
      <c r="C23" s="22" t="n"/>
      <c r="D23" s="39" t="n"/>
      <c r="E23" s="39" t="n"/>
      <c r="F23" s="40" t="n"/>
      <c r="G23" s="23" t="n"/>
    </row>
    <row r="24">
      <c r="A24" s="41" t="n"/>
      <c r="B24" s="26" t="n"/>
      <c r="C24" s="25" t="n"/>
      <c r="D24" s="41" t="n"/>
      <c r="E24" s="41" t="n"/>
      <c r="F24" s="33" t="n"/>
      <c r="G24" s="26" t="n"/>
    </row>
    <row r="25">
      <c r="A25" s="39" t="n"/>
      <c r="B25" s="23" t="n"/>
      <c r="C25" s="22" t="n"/>
      <c r="D25" s="39" t="n"/>
      <c r="E25" s="39" t="n"/>
      <c r="F25" s="40" t="n"/>
      <c r="G25" s="23" t="n"/>
    </row>
    <row r="26">
      <c r="A26" s="41" t="n"/>
      <c r="B26" s="26" t="n"/>
      <c r="C26" s="25" t="n"/>
      <c r="D26" s="41" t="n"/>
      <c r="E26" s="41" t="n"/>
      <c r="F26" s="33" t="n"/>
      <c r="G26" s="26" t="n"/>
    </row>
    <row r="27">
      <c r="A27" s="39" t="n"/>
      <c r="B27" s="23" t="n"/>
      <c r="C27" s="22" t="n"/>
      <c r="D27" s="39" t="n"/>
      <c r="E27" s="39" t="n"/>
      <c r="F27" s="40" t="n"/>
      <c r="G27" s="23" t="n"/>
    </row>
    <row r="28">
      <c r="A28" s="41" t="n"/>
      <c r="B28" s="26" t="n"/>
      <c r="C28" s="25" t="n"/>
      <c r="D28" s="41" t="n"/>
      <c r="E28" s="41" t="n"/>
      <c r="F28" s="33" t="n"/>
      <c r="G28" s="26" t="n"/>
    </row>
    <row r="29">
      <c r="A29" s="39" t="n"/>
      <c r="B29" s="23" t="n"/>
      <c r="C29" s="22" t="n"/>
      <c r="D29" s="39" t="n"/>
      <c r="E29" s="39" t="n"/>
      <c r="F29" s="40" t="n"/>
      <c r="G29" s="23" t="n"/>
    </row>
    <row r="30">
      <c r="A30" s="41" t="n"/>
      <c r="B30" s="26" t="n"/>
      <c r="C30" s="25" t="n"/>
      <c r="D30" s="41" t="n"/>
      <c r="E30" s="41" t="n"/>
      <c r="F30" s="33" t="n"/>
      <c r="G30" s="26" t="n"/>
    </row>
    <row r="31">
      <c r="A31" s="39" t="n"/>
      <c r="B31" s="23" t="n"/>
      <c r="C31" s="22" t="n"/>
      <c r="D31" s="39" t="n"/>
      <c r="E31" s="39" t="n"/>
      <c r="F31" s="40" t="n"/>
      <c r="G31" s="23" t="n"/>
    </row>
    <row r="32">
      <c r="A32" s="41" t="n"/>
      <c r="B32" s="26" t="n"/>
      <c r="C32" s="25" t="n"/>
      <c r="D32" s="41" t="n"/>
      <c r="E32" s="41" t="n"/>
      <c r="F32" s="33" t="n"/>
      <c r="G32" s="26" t="n"/>
    </row>
    <row r="33">
      <c r="A33" s="39" t="n"/>
      <c r="B33" s="23" t="n"/>
      <c r="C33" s="22" t="n"/>
      <c r="D33" s="39" t="n"/>
      <c r="E33" s="39" t="n"/>
      <c r="F33" s="40" t="n"/>
      <c r="G33" s="23" t="n"/>
    </row>
    <row r="34">
      <c r="A34" s="41" t="n"/>
      <c r="B34" s="26" t="n"/>
      <c r="C34" s="25" t="n"/>
      <c r="D34" s="41" t="n"/>
      <c r="E34" s="41" t="n"/>
      <c r="F34" s="33" t="n"/>
      <c r="G34" s="26" t="n"/>
    </row>
  </sheetData>
  <mergeCells count="2">
    <mergeCell ref="A2:G2"/>
    <mergeCell ref="A1:G1"/>
  </mergeCells>
  <dataValidations count="1">
    <dataValidation sqref="A5:A34" showDropDown="0" showInputMessage="0" showErrorMessage="0" allowBlank="1" type="list">
      <formula1>=TransportList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9" customWidth="1" min="5" max="5"/>
    <col width="10" customWidth="1" min="6" max="6"/>
    <col width="14" customWidth="1" min="7" max="7"/>
    <col width="12" customWidth="1" min="8" max="8"/>
  </cols>
  <sheetData>
    <row r="1" ht="46" customHeight="1">
      <c r="A1" s="1" t="inlineStr">
        <is>
          <t xml:space="preserve">  🎟  ACTIVITY PLANNER</t>
        </is>
      </c>
    </row>
    <row r="2" ht="22" customHeight="1">
      <c r="A2" s="2" t="inlineStr">
        <is>
          <t xml:space="preserve">  Attractions &amp; tours — tickets, cost &amp; booking status, so nothing sells out on you.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Attraction</t>
        </is>
      </c>
      <c r="B4" s="7" t="inlineStr">
        <is>
          <t>City</t>
        </is>
      </c>
      <c r="C4" s="7" t="inlineStr">
        <is>
          <t>Date</t>
        </is>
      </c>
      <c r="D4" s="7" t="inlineStr">
        <is>
          <t>Category</t>
        </is>
      </c>
      <c r="E4" s="7" t="inlineStr">
        <is>
          <t>Tickets</t>
        </is>
      </c>
      <c r="F4" s="7" t="inlineStr">
        <is>
          <t>Cost</t>
        </is>
      </c>
      <c r="G4" s="7" t="inlineStr">
        <is>
          <t>Confirmation</t>
        </is>
      </c>
      <c r="H4" s="7" t="inlineStr">
        <is>
          <t>Status</t>
        </is>
      </c>
    </row>
    <row r="5">
      <c r="A5" s="23" t="inlineStr">
        <is>
          <t>Louvre Museum</t>
        </is>
      </c>
      <c r="B5" s="39" t="inlineStr">
        <is>
          <t>Paris</t>
        </is>
      </c>
      <c r="C5" s="22" t="n">
        <v>46250</v>
      </c>
      <c r="D5" s="39" t="inlineStr">
        <is>
          <t>Museum</t>
        </is>
      </c>
      <c r="E5" s="21" t="inlineStr">
        <is>
          <t>2</t>
        </is>
      </c>
      <c r="F5" s="40" t="n">
        <v>40</v>
      </c>
      <c r="G5" s="39" t="inlineStr">
        <is>
          <t>LV-2211</t>
        </is>
      </c>
      <c r="H5" s="39" t="inlineStr">
        <is>
          <t>Booked</t>
        </is>
      </c>
    </row>
    <row r="6">
      <c r="A6" s="26" t="inlineStr">
        <is>
          <t>Eiffel Tower summit</t>
        </is>
      </c>
      <c r="B6" s="41" t="inlineStr">
        <is>
          <t>Paris</t>
        </is>
      </c>
      <c r="C6" s="25" t="n">
        <v>46251</v>
      </c>
      <c r="D6" s="41" t="inlineStr">
        <is>
          <t>Sightseeing</t>
        </is>
      </c>
      <c r="E6" s="24" t="inlineStr">
        <is>
          <t>2</t>
        </is>
      </c>
      <c r="F6" s="33" t="n">
        <v>78</v>
      </c>
      <c r="G6" s="41" t="inlineStr">
        <is>
          <t>ET-9930</t>
        </is>
      </c>
      <c r="H6" s="41" t="inlineStr">
        <is>
          <t>Booked</t>
        </is>
      </c>
    </row>
    <row r="7">
      <c r="A7" s="23" t="inlineStr">
        <is>
          <t>Colosseum guided tour</t>
        </is>
      </c>
      <c r="B7" s="39" t="inlineStr">
        <is>
          <t>Rome</t>
        </is>
      </c>
      <c r="C7" s="22" t="n">
        <v>46254</v>
      </c>
      <c r="D7" s="39" t="inlineStr">
        <is>
          <t>Tour</t>
        </is>
      </c>
      <c r="E7" s="21" t="inlineStr">
        <is>
          <t>2</t>
        </is>
      </c>
      <c r="F7" s="40" t="n">
        <v>120</v>
      </c>
      <c r="G7" s="39" t="inlineStr">
        <is>
          <t>CL-4420</t>
        </is>
      </c>
      <c r="H7" s="39" t="inlineStr">
        <is>
          <t>Booked</t>
        </is>
      </c>
    </row>
    <row r="8">
      <c r="A8" s="26" t="inlineStr">
        <is>
          <t>Vatican Museums</t>
        </is>
      </c>
      <c r="B8" s="41" t="inlineStr">
        <is>
          <t>Rome</t>
        </is>
      </c>
      <c r="C8" s="25" t="n">
        <v>46255</v>
      </c>
      <c r="D8" s="41" t="inlineStr">
        <is>
          <t>Museum</t>
        </is>
      </c>
      <c r="E8" s="24" t="inlineStr">
        <is>
          <t>2</t>
        </is>
      </c>
      <c r="F8" s="33" t="n">
        <v>100</v>
      </c>
      <c r="G8" s="41" t="inlineStr">
        <is>
          <t>VT-7781</t>
        </is>
      </c>
      <c r="H8" s="41" t="inlineStr">
        <is>
          <t>Booked</t>
        </is>
      </c>
    </row>
    <row r="9">
      <c r="A9" s="23" t="inlineStr">
        <is>
          <t>Sagrada Família</t>
        </is>
      </c>
      <c r="B9" s="39" t="inlineStr">
        <is>
          <t>Barcelona</t>
        </is>
      </c>
      <c r="C9" s="22" t="n">
        <v>46258</v>
      </c>
      <c r="D9" s="39" t="inlineStr">
        <is>
          <t>Sightseeing</t>
        </is>
      </c>
      <c r="E9" s="21" t="inlineStr">
        <is>
          <t>2</t>
        </is>
      </c>
      <c r="F9" s="40" t="n">
        <v>90</v>
      </c>
      <c r="G9" s="39" t="inlineStr">
        <is>
          <t>SF-1102</t>
        </is>
      </c>
      <c r="H9" s="39" t="inlineStr">
        <is>
          <t>Booked</t>
        </is>
      </c>
    </row>
    <row r="10">
      <c r="A10" s="26" t="inlineStr">
        <is>
          <t>Montserrat day trip</t>
        </is>
      </c>
      <c r="B10" s="41" t="inlineStr">
        <is>
          <t>Barcelona</t>
        </is>
      </c>
      <c r="C10" s="25" t="n">
        <v>46261</v>
      </c>
      <c r="D10" s="41" t="inlineStr">
        <is>
          <t>Adventure</t>
        </is>
      </c>
      <c r="E10" s="24" t="inlineStr">
        <is>
          <t>2</t>
        </is>
      </c>
      <c r="F10" s="33" t="n">
        <v>130</v>
      </c>
      <c r="G10" s="41" t="inlineStr">
        <is>
          <t>—</t>
        </is>
      </c>
      <c r="H10" s="41" t="inlineStr">
        <is>
          <t>Planned</t>
        </is>
      </c>
    </row>
    <row r="11">
      <c r="A11" s="23" t="n"/>
      <c r="B11" s="39" t="n"/>
      <c r="C11" s="22" t="n"/>
      <c r="D11" s="39" t="n"/>
      <c r="E11" s="21" t="n"/>
      <c r="F11" s="40" t="n"/>
      <c r="G11" s="39" t="n"/>
      <c r="H11" s="39" t="n"/>
    </row>
    <row r="12">
      <c r="A12" s="26" t="n"/>
      <c r="B12" s="41" t="n"/>
      <c r="C12" s="25" t="n"/>
      <c r="D12" s="41" t="n"/>
      <c r="E12" s="24" t="n"/>
      <c r="F12" s="33" t="n"/>
      <c r="G12" s="41" t="n"/>
      <c r="H12" s="41" t="n"/>
    </row>
    <row r="13">
      <c r="A13" s="23" t="n"/>
      <c r="B13" s="39" t="n"/>
      <c r="C13" s="22" t="n"/>
      <c r="D13" s="39" t="n"/>
      <c r="E13" s="21" t="n"/>
      <c r="F13" s="40" t="n"/>
      <c r="G13" s="39" t="n"/>
      <c r="H13" s="39" t="n"/>
    </row>
    <row r="14">
      <c r="A14" s="26" t="n"/>
      <c r="B14" s="41" t="n"/>
      <c r="C14" s="25" t="n"/>
      <c r="D14" s="41" t="n"/>
      <c r="E14" s="24" t="n"/>
      <c r="F14" s="33" t="n"/>
      <c r="G14" s="41" t="n"/>
      <c r="H14" s="41" t="n"/>
    </row>
    <row r="15">
      <c r="A15" s="23" t="n"/>
      <c r="B15" s="39" t="n"/>
      <c r="C15" s="22" t="n"/>
      <c r="D15" s="39" t="n"/>
      <c r="E15" s="21" t="n"/>
      <c r="F15" s="40" t="n"/>
      <c r="G15" s="39" t="n"/>
      <c r="H15" s="39" t="n"/>
    </row>
    <row r="16">
      <c r="A16" s="26" t="n"/>
      <c r="B16" s="41" t="n"/>
      <c r="C16" s="25" t="n"/>
      <c r="D16" s="41" t="n"/>
      <c r="E16" s="24" t="n"/>
      <c r="F16" s="33" t="n"/>
      <c r="G16" s="41" t="n"/>
      <c r="H16" s="41" t="n"/>
    </row>
    <row r="17">
      <c r="A17" s="23" t="n"/>
      <c r="B17" s="39" t="n"/>
      <c r="C17" s="22" t="n"/>
      <c r="D17" s="39" t="n"/>
      <c r="E17" s="21" t="n"/>
      <c r="F17" s="40" t="n"/>
      <c r="G17" s="39" t="n"/>
      <c r="H17" s="39" t="n"/>
    </row>
    <row r="18">
      <c r="A18" s="26" t="n"/>
      <c r="B18" s="41" t="n"/>
      <c r="C18" s="25" t="n"/>
      <c r="D18" s="41" t="n"/>
      <c r="E18" s="24" t="n"/>
      <c r="F18" s="33" t="n"/>
      <c r="G18" s="41" t="n"/>
      <c r="H18" s="41" t="n"/>
    </row>
    <row r="19">
      <c r="A19" s="23" t="n"/>
      <c r="B19" s="39" t="n"/>
      <c r="C19" s="22" t="n"/>
      <c r="D19" s="39" t="n"/>
      <c r="E19" s="21" t="n"/>
      <c r="F19" s="40" t="n"/>
      <c r="G19" s="39" t="n"/>
      <c r="H19" s="39" t="n"/>
    </row>
    <row r="20">
      <c r="A20" s="26" t="n"/>
      <c r="B20" s="41" t="n"/>
      <c r="C20" s="25" t="n"/>
      <c r="D20" s="41" t="n"/>
      <c r="E20" s="24" t="n"/>
      <c r="F20" s="33" t="n"/>
      <c r="G20" s="41" t="n"/>
      <c r="H20" s="41" t="n"/>
    </row>
    <row r="21">
      <c r="A21" s="23" t="n"/>
      <c r="B21" s="39" t="n"/>
      <c r="C21" s="22" t="n"/>
      <c r="D21" s="39" t="n"/>
      <c r="E21" s="21" t="n"/>
      <c r="F21" s="40" t="n"/>
      <c r="G21" s="39" t="n"/>
      <c r="H21" s="39" t="n"/>
    </row>
    <row r="22">
      <c r="A22" s="26" t="n"/>
      <c r="B22" s="41" t="n"/>
      <c r="C22" s="25" t="n"/>
      <c r="D22" s="41" t="n"/>
      <c r="E22" s="24" t="n"/>
      <c r="F22" s="33" t="n"/>
      <c r="G22" s="41" t="n"/>
      <c r="H22" s="41" t="n"/>
    </row>
    <row r="23">
      <c r="A23" s="23" t="n"/>
      <c r="B23" s="39" t="n"/>
      <c r="C23" s="22" t="n"/>
      <c r="D23" s="39" t="n"/>
      <c r="E23" s="21" t="n"/>
      <c r="F23" s="40" t="n"/>
      <c r="G23" s="39" t="n"/>
      <c r="H23" s="39" t="n"/>
    </row>
    <row r="24">
      <c r="A24" s="26" t="n"/>
      <c r="B24" s="41" t="n"/>
      <c r="C24" s="25" t="n"/>
      <c r="D24" s="41" t="n"/>
      <c r="E24" s="24" t="n"/>
      <c r="F24" s="33" t="n"/>
      <c r="G24" s="41" t="n"/>
      <c r="H24" s="41" t="n"/>
    </row>
    <row r="25">
      <c r="A25" s="23" t="n"/>
      <c r="B25" s="39" t="n"/>
      <c r="C25" s="22" t="n"/>
      <c r="D25" s="39" t="n"/>
      <c r="E25" s="21" t="n"/>
      <c r="F25" s="40" t="n"/>
      <c r="G25" s="39" t="n"/>
      <c r="H25" s="39" t="n"/>
    </row>
    <row r="26">
      <c r="A26" s="26" t="n"/>
      <c r="B26" s="41" t="n"/>
      <c r="C26" s="25" t="n"/>
      <c r="D26" s="41" t="n"/>
      <c r="E26" s="24" t="n"/>
      <c r="F26" s="33" t="n"/>
      <c r="G26" s="41" t="n"/>
      <c r="H26" s="41" t="n"/>
    </row>
    <row r="27">
      <c r="A27" s="23" t="n"/>
      <c r="B27" s="39" t="n"/>
      <c r="C27" s="22" t="n"/>
      <c r="D27" s="39" t="n"/>
      <c r="E27" s="21" t="n"/>
      <c r="F27" s="40" t="n"/>
      <c r="G27" s="39" t="n"/>
      <c r="H27" s="39" t="n"/>
    </row>
    <row r="28">
      <c r="A28" s="26" t="n"/>
      <c r="B28" s="41" t="n"/>
      <c r="C28" s="25" t="n"/>
      <c r="D28" s="41" t="n"/>
      <c r="E28" s="24" t="n"/>
      <c r="F28" s="33" t="n"/>
      <c r="G28" s="41" t="n"/>
      <c r="H28" s="41" t="n"/>
    </row>
    <row r="29">
      <c r="A29" s="23" t="n"/>
      <c r="B29" s="39" t="n"/>
      <c r="C29" s="22" t="n"/>
      <c r="D29" s="39" t="n"/>
      <c r="E29" s="21" t="n"/>
      <c r="F29" s="40" t="n"/>
      <c r="G29" s="39" t="n"/>
      <c r="H29" s="39" t="n"/>
    </row>
    <row r="30">
      <c r="A30" s="26" t="n"/>
      <c r="B30" s="41" t="n"/>
      <c r="C30" s="25" t="n"/>
      <c r="D30" s="41" t="n"/>
      <c r="E30" s="24" t="n"/>
      <c r="F30" s="33" t="n"/>
      <c r="G30" s="41" t="n"/>
      <c r="H30" s="41" t="n"/>
    </row>
    <row r="31">
      <c r="A31" s="23" t="n"/>
      <c r="B31" s="39" t="n"/>
      <c r="C31" s="22" t="n"/>
      <c r="D31" s="39" t="n"/>
      <c r="E31" s="21" t="n"/>
      <c r="F31" s="40" t="n"/>
      <c r="G31" s="39" t="n"/>
      <c r="H31" s="39" t="n"/>
    </row>
    <row r="32">
      <c r="A32" s="26" t="n"/>
      <c r="B32" s="41" t="n"/>
      <c r="C32" s="25" t="n"/>
      <c r="D32" s="41" t="n"/>
      <c r="E32" s="24" t="n"/>
      <c r="F32" s="33" t="n"/>
      <c r="G32" s="41" t="n"/>
      <c r="H32" s="41" t="n"/>
    </row>
    <row r="33">
      <c r="A33" s="23" t="n"/>
      <c r="B33" s="39" t="n"/>
      <c r="C33" s="22" t="n"/>
      <c r="D33" s="39" t="n"/>
      <c r="E33" s="21" t="n"/>
      <c r="F33" s="40" t="n"/>
      <c r="G33" s="39" t="n"/>
      <c r="H33" s="39" t="n"/>
    </row>
    <row r="34">
      <c r="A34" s="26" t="n"/>
      <c r="B34" s="41" t="n"/>
      <c r="C34" s="25" t="n"/>
      <c r="D34" s="41" t="n"/>
      <c r="E34" s="24" t="n"/>
      <c r="F34" s="33" t="n"/>
      <c r="G34" s="41" t="n"/>
      <c r="H34" s="41" t="n"/>
    </row>
  </sheetData>
  <mergeCells count="2">
    <mergeCell ref="A2:H2"/>
    <mergeCell ref="A1:H1"/>
  </mergeCells>
  <conditionalFormatting sqref="H5:H34">
    <cfRule type="cellIs" priority="1" operator="equal" dxfId="1">
      <formula>"Booked"</formula>
    </cfRule>
  </conditionalFormatting>
  <dataValidations count="2">
    <dataValidation sqref="D5:D34" showDropDown="0" showInputMessage="0" showErrorMessage="0" allowBlank="1" type="list">
      <formula1>=ActivityCatList</formula1>
    </dataValidation>
    <dataValidation sqref="H5:H3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1" customWidth="1" min="5" max="5"/>
    <col width="12" customWidth="1" min="6" max="6"/>
    <col width="18" customWidth="1" min="7" max="7"/>
    <col width="18" customWidth="1" min="8" max="8"/>
  </cols>
  <sheetData>
    <row r="1" ht="46" customHeight="1">
      <c r="A1" s="1" t="inlineStr">
        <is>
          <t xml:space="preserve">  🍽  RESTAURANT &amp; FOOD PLANNER</t>
        </is>
      </c>
    </row>
    <row r="2" ht="22" customHeight="1">
      <c r="A2" s="2" t="inlineStr">
        <is>
          <t xml:space="preserve">  Where to eat — reservations, must-try dishes &amp; estimated cost.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Restaurant</t>
        </is>
      </c>
      <c r="B4" s="7" t="inlineStr">
        <is>
          <t>City</t>
        </is>
      </c>
      <c r="C4" s="7" t="inlineStr">
        <is>
          <t>Cuisine</t>
        </is>
      </c>
      <c r="D4" s="7" t="inlineStr">
        <is>
          <t>Reservation</t>
        </is>
      </c>
      <c r="E4" s="7" t="inlineStr">
        <is>
          <t>Est. Cost</t>
        </is>
      </c>
      <c r="F4" s="7" t="inlineStr">
        <is>
          <t>Rating</t>
        </is>
      </c>
      <c r="G4" s="7" t="inlineStr">
        <is>
          <t>Must-Try</t>
        </is>
      </c>
      <c r="H4" s="7" t="inlineStr">
        <is>
          <t>Notes</t>
        </is>
      </c>
    </row>
    <row r="5">
      <c r="A5" s="23" t="inlineStr">
        <is>
          <t>Le Comptoir</t>
        </is>
      </c>
      <c r="B5" s="39" t="inlineStr">
        <is>
          <t>Paris</t>
        </is>
      </c>
      <c r="C5" s="39" t="inlineStr">
        <is>
          <t>French</t>
        </is>
      </c>
      <c r="D5" s="22" t="n">
        <v>46250</v>
      </c>
      <c r="E5" s="40" t="n">
        <v>90</v>
      </c>
      <c r="F5" s="39" t="inlineStr">
        <is>
          <t>★★★★★</t>
        </is>
      </c>
      <c r="G5" s="23" t="inlineStr">
        <is>
          <t>Duck confit</t>
        </is>
      </c>
      <c r="H5" s="23" t="inlineStr">
        <is>
          <t>Book ahead</t>
        </is>
      </c>
    </row>
    <row r="6">
      <c r="A6" s="26" t="inlineStr">
        <is>
          <t>Da Enzo</t>
        </is>
      </c>
      <c r="B6" s="41" t="inlineStr">
        <is>
          <t>Rome</t>
        </is>
      </c>
      <c r="C6" s="41" t="inlineStr">
        <is>
          <t>Italian</t>
        </is>
      </c>
      <c r="D6" s="25" t="n">
        <v>46254</v>
      </c>
      <c r="E6" s="33" t="n">
        <v>70</v>
      </c>
      <c r="F6" s="41" t="inlineStr">
        <is>
          <t>★★★★★</t>
        </is>
      </c>
      <c r="G6" s="26" t="inlineStr">
        <is>
          <t>Cacio e pepe</t>
        </is>
      </c>
      <c r="H6" s="26" t="inlineStr">
        <is>
          <t>Cash only</t>
        </is>
      </c>
    </row>
    <row r="7">
      <c r="A7" s="23" t="inlineStr">
        <is>
          <t>Cervecería Catalana</t>
        </is>
      </c>
      <c r="B7" s="39" t="inlineStr">
        <is>
          <t>Barcelona</t>
        </is>
      </c>
      <c r="C7" s="39" t="inlineStr">
        <is>
          <t>Tapas</t>
        </is>
      </c>
      <c r="D7" s="22" t="inlineStr">
        <is>
          <t>Walk-in</t>
        </is>
      </c>
      <c r="E7" s="40" t="n">
        <v>60</v>
      </c>
      <c r="F7" s="39" t="inlineStr">
        <is>
          <t>★★★★☆</t>
        </is>
      </c>
      <c r="G7" s="23" t="inlineStr">
        <is>
          <t>Patatas bravas</t>
        </is>
      </c>
      <c r="H7" s="23" t="inlineStr">
        <is>
          <t>Go early</t>
        </is>
      </c>
    </row>
    <row r="8">
      <c r="A8" s="26" t="inlineStr">
        <is>
          <t>Bar del Pla</t>
        </is>
      </c>
      <c r="B8" s="41" t="inlineStr">
        <is>
          <t>Barcelona</t>
        </is>
      </c>
      <c r="C8" s="41" t="inlineStr">
        <is>
          <t>Tapas</t>
        </is>
      </c>
      <c r="D8" s="25" t="n">
        <v>46259</v>
      </c>
      <c r="E8" s="33" t="n">
        <v>75</v>
      </c>
      <c r="F8" s="41" t="inlineStr">
        <is>
          <t>★★★★★</t>
        </is>
      </c>
      <c r="G8" s="26" t="inlineStr">
        <is>
          <t>Ham croquettes</t>
        </is>
      </c>
      <c r="H8" s="26" t="inlineStr"/>
    </row>
    <row r="9">
      <c r="A9" s="23" t="inlineStr">
        <is>
          <t>Gelateria del Teatro</t>
        </is>
      </c>
      <c r="B9" s="39" t="inlineStr">
        <is>
          <t>Rome</t>
        </is>
      </c>
      <c r="C9" s="39" t="inlineStr">
        <is>
          <t>Gelato</t>
        </is>
      </c>
      <c r="D9" s="22" t="inlineStr">
        <is>
          <t>Walk-in</t>
        </is>
      </c>
      <c r="E9" s="40" t="n">
        <v>15</v>
      </c>
      <c r="F9" s="39" t="inlineStr">
        <is>
          <t>★★★★★</t>
        </is>
      </c>
      <c r="G9" s="23" t="inlineStr">
        <is>
          <t>Pistachio</t>
        </is>
      </c>
      <c r="H9" s="23" t="inlineStr"/>
    </row>
    <row r="10">
      <c r="A10" s="26" t="n"/>
      <c r="B10" s="41" t="n"/>
      <c r="C10" s="41" t="n"/>
      <c r="D10" s="25" t="n"/>
      <c r="E10" s="33" t="n"/>
      <c r="F10" s="41" t="n"/>
      <c r="G10" s="26" t="n"/>
      <c r="H10" s="26" t="n"/>
    </row>
    <row r="11">
      <c r="A11" s="23" t="n"/>
      <c r="B11" s="39" t="n"/>
      <c r="C11" s="39" t="n"/>
      <c r="D11" s="22" t="n"/>
      <c r="E11" s="40" t="n"/>
      <c r="F11" s="39" t="n"/>
      <c r="G11" s="23" t="n"/>
      <c r="H11" s="23" t="n"/>
    </row>
    <row r="12">
      <c r="A12" s="26" t="n"/>
      <c r="B12" s="41" t="n"/>
      <c r="C12" s="41" t="n"/>
      <c r="D12" s="25" t="n"/>
      <c r="E12" s="33" t="n"/>
      <c r="F12" s="41" t="n"/>
      <c r="G12" s="26" t="n"/>
      <c r="H12" s="26" t="n"/>
    </row>
    <row r="13">
      <c r="A13" s="23" t="n"/>
      <c r="B13" s="39" t="n"/>
      <c r="C13" s="39" t="n"/>
      <c r="D13" s="22" t="n"/>
      <c r="E13" s="40" t="n"/>
      <c r="F13" s="39" t="n"/>
      <c r="G13" s="23" t="n"/>
      <c r="H13" s="23" t="n"/>
    </row>
    <row r="14">
      <c r="A14" s="26" t="n"/>
      <c r="B14" s="41" t="n"/>
      <c r="C14" s="41" t="n"/>
      <c r="D14" s="25" t="n"/>
      <c r="E14" s="33" t="n"/>
      <c r="F14" s="41" t="n"/>
      <c r="G14" s="26" t="n"/>
      <c r="H14" s="26" t="n"/>
    </row>
    <row r="15">
      <c r="A15" s="23" t="n"/>
      <c r="B15" s="39" t="n"/>
      <c r="C15" s="39" t="n"/>
      <c r="D15" s="22" t="n"/>
      <c r="E15" s="40" t="n"/>
      <c r="F15" s="39" t="n"/>
      <c r="G15" s="23" t="n"/>
      <c r="H15" s="23" t="n"/>
    </row>
    <row r="16">
      <c r="A16" s="26" t="n"/>
      <c r="B16" s="41" t="n"/>
      <c r="C16" s="41" t="n"/>
      <c r="D16" s="25" t="n"/>
      <c r="E16" s="33" t="n"/>
      <c r="F16" s="41" t="n"/>
      <c r="G16" s="26" t="n"/>
      <c r="H16" s="26" t="n"/>
    </row>
    <row r="17">
      <c r="A17" s="23" t="n"/>
      <c r="B17" s="39" t="n"/>
      <c r="C17" s="39" t="n"/>
      <c r="D17" s="22" t="n"/>
      <c r="E17" s="40" t="n"/>
      <c r="F17" s="39" t="n"/>
      <c r="G17" s="23" t="n"/>
      <c r="H17" s="23" t="n"/>
    </row>
    <row r="18">
      <c r="A18" s="26" t="n"/>
      <c r="B18" s="41" t="n"/>
      <c r="C18" s="41" t="n"/>
      <c r="D18" s="25" t="n"/>
      <c r="E18" s="33" t="n"/>
      <c r="F18" s="41" t="n"/>
      <c r="G18" s="26" t="n"/>
      <c r="H18" s="26" t="n"/>
    </row>
    <row r="19">
      <c r="A19" s="23" t="n"/>
      <c r="B19" s="39" t="n"/>
      <c r="C19" s="39" t="n"/>
      <c r="D19" s="22" t="n"/>
      <c r="E19" s="40" t="n"/>
      <c r="F19" s="39" t="n"/>
      <c r="G19" s="23" t="n"/>
      <c r="H19" s="23" t="n"/>
    </row>
    <row r="20">
      <c r="A20" s="26" t="n"/>
      <c r="B20" s="41" t="n"/>
      <c r="C20" s="41" t="n"/>
      <c r="D20" s="25" t="n"/>
      <c r="E20" s="33" t="n"/>
      <c r="F20" s="41" t="n"/>
      <c r="G20" s="26" t="n"/>
      <c r="H20" s="26" t="n"/>
    </row>
    <row r="21">
      <c r="A21" s="23" t="n"/>
      <c r="B21" s="39" t="n"/>
      <c r="C21" s="39" t="n"/>
      <c r="D21" s="22" t="n"/>
      <c r="E21" s="40" t="n"/>
      <c r="F21" s="39" t="n"/>
      <c r="G21" s="23" t="n"/>
      <c r="H21" s="23" t="n"/>
    </row>
    <row r="22">
      <c r="A22" s="26" t="n"/>
      <c r="B22" s="41" t="n"/>
      <c r="C22" s="41" t="n"/>
      <c r="D22" s="25" t="n"/>
      <c r="E22" s="33" t="n"/>
      <c r="F22" s="41" t="n"/>
      <c r="G22" s="26" t="n"/>
      <c r="H22" s="26" t="n"/>
    </row>
    <row r="23">
      <c r="A23" s="23" t="n"/>
      <c r="B23" s="39" t="n"/>
      <c r="C23" s="39" t="n"/>
      <c r="D23" s="22" t="n"/>
      <c r="E23" s="40" t="n"/>
      <c r="F23" s="39" t="n"/>
      <c r="G23" s="23" t="n"/>
      <c r="H23" s="23" t="n"/>
    </row>
    <row r="24">
      <c r="A24" s="26" t="n"/>
      <c r="B24" s="41" t="n"/>
      <c r="C24" s="41" t="n"/>
      <c r="D24" s="25" t="n"/>
      <c r="E24" s="33" t="n"/>
      <c r="F24" s="41" t="n"/>
      <c r="G24" s="26" t="n"/>
      <c r="H24" s="26" t="n"/>
    </row>
    <row r="25">
      <c r="A25" s="23" t="n"/>
      <c r="B25" s="39" t="n"/>
      <c r="C25" s="39" t="n"/>
      <c r="D25" s="22" t="n"/>
      <c r="E25" s="40" t="n"/>
      <c r="F25" s="39" t="n"/>
      <c r="G25" s="23" t="n"/>
      <c r="H25" s="23" t="n"/>
    </row>
    <row r="26">
      <c r="A26" s="26" t="n"/>
      <c r="B26" s="41" t="n"/>
      <c r="C26" s="41" t="n"/>
      <c r="D26" s="25" t="n"/>
      <c r="E26" s="33" t="n"/>
      <c r="F26" s="41" t="n"/>
      <c r="G26" s="26" t="n"/>
      <c r="H26" s="26" t="n"/>
    </row>
    <row r="27">
      <c r="A27" s="23" t="n"/>
      <c r="B27" s="39" t="n"/>
      <c r="C27" s="39" t="n"/>
      <c r="D27" s="22" t="n"/>
      <c r="E27" s="40" t="n"/>
      <c r="F27" s="39" t="n"/>
      <c r="G27" s="23" t="n"/>
      <c r="H27" s="23" t="n"/>
    </row>
    <row r="28">
      <c r="A28" s="26" t="n"/>
      <c r="B28" s="41" t="n"/>
      <c r="C28" s="41" t="n"/>
      <c r="D28" s="25" t="n"/>
      <c r="E28" s="33" t="n"/>
      <c r="F28" s="41" t="n"/>
      <c r="G28" s="26" t="n"/>
      <c r="H28" s="26" t="n"/>
    </row>
    <row r="29">
      <c r="A29" s="23" t="n"/>
      <c r="B29" s="39" t="n"/>
      <c r="C29" s="39" t="n"/>
      <c r="D29" s="22" t="n"/>
      <c r="E29" s="40" t="n"/>
      <c r="F29" s="39" t="n"/>
      <c r="G29" s="23" t="n"/>
      <c r="H29" s="23" t="n"/>
    </row>
    <row r="30">
      <c r="A30" s="26" t="n"/>
      <c r="B30" s="41" t="n"/>
      <c r="C30" s="41" t="n"/>
      <c r="D30" s="25" t="n"/>
      <c r="E30" s="33" t="n"/>
      <c r="F30" s="41" t="n"/>
      <c r="G30" s="26" t="n"/>
      <c r="H30" s="26" t="n"/>
    </row>
    <row r="31">
      <c r="A31" s="23" t="n"/>
      <c r="B31" s="39" t="n"/>
      <c r="C31" s="39" t="n"/>
      <c r="D31" s="22" t="n"/>
      <c r="E31" s="40" t="n"/>
      <c r="F31" s="39" t="n"/>
      <c r="G31" s="23" t="n"/>
      <c r="H31" s="23" t="n"/>
    </row>
    <row r="32">
      <c r="A32" s="26" t="n"/>
      <c r="B32" s="41" t="n"/>
      <c r="C32" s="41" t="n"/>
      <c r="D32" s="25" t="n"/>
      <c r="E32" s="33" t="n"/>
      <c r="F32" s="41" t="n"/>
      <c r="G32" s="26" t="n"/>
      <c r="H32" s="26" t="n"/>
    </row>
    <row r="33">
      <c r="A33" s="23" t="n"/>
      <c r="B33" s="39" t="n"/>
      <c r="C33" s="39" t="n"/>
      <c r="D33" s="22" t="n"/>
      <c r="E33" s="40" t="n"/>
      <c r="F33" s="39" t="n"/>
      <c r="G33" s="23" t="n"/>
      <c r="H33" s="23" t="n"/>
    </row>
    <row r="34">
      <c r="A34" s="26" t="n"/>
      <c r="B34" s="41" t="n"/>
      <c r="C34" s="41" t="n"/>
      <c r="D34" s="25" t="n"/>
      <c r="E34" s="33" t="n"/>
      <c r="F34" s="41" t="n"/>
      <c r="G34" s="26" t="n"/>
      <c r="H34" s="26" t="n"/>
    </row>
    <row r="35">
      <c r="A35" s="23" t="n"/>
      <c r="B35" s="39" t="n"/>
      <c r="C35" s="39" t="n"/>
      <c r="D35" s="22" t="n"/>
      <c r="E35" s="40" t="n"/>
      <c r="F35" s="39" t="n"/>
      <c r="G35" s="23" t="n"/>
      <c r="H35" s="23" t="n"/>
    </row>
    <row r="36">
      <c r="A36" s="26" t="n"/>
      <c r="B36" s="41" t="n"/>
      <c r="C36" s="41" t="n"/>
      <c r="D36" s="25" t="n"/>
      <c r="E36" s="33" t="n"/>
      <c r="F36" s="41" t="n"/>
      <c r="G36" s="26" t="n"/>
      <c r="H36" s="26" t="n"/>
    </row>
    <row r="37">
      <c r="A37" s="23" t="n"/>
      <c r="B37" s="39" t="n"/>
      <c r="C37" s="39" t="n"/>
      <c r="D37" s="22" t="n"/>
      <c r="E37" s="40" t="n"/>
      <c r="F37" s="39" t="n"/>
      <c r="G37" s="23" t="n"/>
      <c r="H37" s="23" t="n"/>
    </row>
    <row r="38">
      <c r="A38" s="26" t="n"/>
      <c r="B38" s="41" t="n"/>
      <c r="C38" s="41" t="n"/>
      <c r="D38" s="25" t="n"/>
      <c r="E38" s="33" t="n"/>
      <c r="F38" s="41" t="n"/>
      <c r="G38" s="26" t="n"/>
      <c r="H38" s="26" t="n"/>
    </row>
    <row r="39">
      <c r="A39" s="23" t="n"/>
      <c r="B39" s="39" t="n"/>
      <c r="C39" s="39" t="n"/>
      <c r="D39" s="22" t="n"/>
      <c r="E39" s="40" t="n"/>
      <c r="F39" s="39" t="n"/>
      <c r="G39" s="23" t="n"/>
      <c r="H39" s="23" t="n"/>
    </row>
    <row r="40">
      <c r="A40" s="26" t="n"/>
      <c r="B40" s="41" t="n"/>
      <c r="C40" s="41" t="n"/>
      <c r="D40" s="25" t="n"/>
      <c r="E40" s="33" t="n"/>
      <c r="F40" s="41" t="n"/>
      <c r="G40" s="26" t="n"/>
      <c r="H40" s="26" t="n"/>
    </row>
    <row r="41">
      <c r="A41" s="23" t="n"/>
      <c r="B41" s="39" t="n"/>
      <c r="C41" s="39" t="n"/>
      <c r="D41" s="22" t="n"/>
      <c r="E41" s="40" t="n"/>
      <c r="F41" s="39" t="n"/>
      <c r="G41" s="23" t="n"/>
      <c r="H41" s="23" t="n"/>
    </row>
    <row r="42">
      <c r="A42" s="26" t="n"/>
      <c r="B42" s="41" t="n"/>
      <c r="C42" s="41" t="n"/>
      <c r="D42" s="25" t="n"/>
      <c r="E42" s="33" t="n"/>
      <c r="F42" s="41" t="n"/>
      <c r="G42" s="26" t="n"/>
      <c r="H42" s="26" t="n"/>
    </row>
    <row r="43">
      <c r="A43" s="23" t="n"/>
      <c r="B43" s="39" t="n"/>
      <c r="C43" s="39" t="n"/>
      <c r="D43" s="22" t="n"/>
      <c r="E43" s="40" t="n"/>
      <c r="F43" s="39" t="n"/>
      <c r="G43" s="23" t="n"/>
      <c r="H43" s="23" t="n"/>
    </row>
    <row r="44">
      <c r="A44" s="26" t="n"/>
      <c r="B44" s="41" t="n"/>
      <c r="C44" s="41" t="n"/>
      <c r="D44" s="25" t="n"/>
      <c r="E44" s="33" t="n"/>
      <c r="F44" s="41" t="n"/>
      <c r="G44" s="26" t="n"/>
      <c r="H44" s="26" t="n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" customWidth="1" min="3" max="3"/>
    <col width="22" customWidth="1" min="4" max="4"/>
    <col width="3" customWidth="1" min="5" max="5"/>
    <col width="20" customWidth="1" min="6" max="6"/>
    <col width="8" customWidth="1" min="7" max="7"/>
    <col width="22" customWidth="1" min="8" max="8"/>
    <col width="3" customWidth="1" min="9" max="9"/>
    <col width="14" customWidth="1" min="10" max="10"/>
    <col width="10" customWidth="1" min="11" max="11"/>
  </cols>
  <sheetData>
    <row r="1" ht="46" customHeight="1">
      <c r="A1" s="1" t="inlineStr">
        <is>
          <t xml:space="preserve">  🧳  PACKING COMMAND CENTER</t>
        </is>
      </c>
    </row>
    <row r="2" ht="22" customHeight="1">
      <c r="A2" s="2" t="inlineStr">
        <is>
          <t xml:space="preserve">  Category checklists with automatic completion — pack smart, forget nothing.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K4" s="4" t="inlineStr">
        <is>
          <t>DONE</t>
        </is>
      </c>
    </row>
    <row r="5" ht="22" customHeight="1">
      <c r="B5" s="4" t="inlineStr">
        <is>
          <t>CLOTHING</t>
        </is>
      </c>
      <c r="F5" s="4" t="inlineStr">
        <is>
          <t>TOILETRIES</t>
        </is>
      </c>
      <c r="J5">
        <f>B6</f>
        <v/>
      </c>
      <c r="K5" s="42">
        <f>IFERROR(COUNTIF(PackDone,"Yes")/MAX(COUNTA(PackDone),1),0)</f>
        <v/>
      </c>
    </row>
    <row r="6">
      <c r="B6" s="43" t="inlineStr">
        <is>
          <t>Yes</t>
        </is>
      </c>
      <c r="C6" s="20" t="inlineStr">
        <is>
          <t>Tops x7</t>
        </is>
      </c>
      <c r="F6" s="43" t="inlineStr">
        <is>
          <t>No</t>
        </is>
      </c>
      <c r="G6" s="20" t="inlineStr">
        <is>
          <t>Toothbrush + paste</t>
        </is>
      </c>
      <c r="J6">
        <f>B7</f>
        <v/>
      </c>
    </row>
    <row r="7">
      <c r="B7" s="43" t="inlineStr">
        <is>
          <t>Yes</t>
        </is>
      </c>
      <c r="C7" s="26" t="inlineStr">
        <is>
          <t>Bottoms x4</t>
        </is>
      </c>
      <c r="F7" s="43" t="inlineStr">
        <is>
          <t>No</t>
        </is>
      </c>
      <c r="G7" s="26" t="inlineStr">
        <is>
          <t>Deodorant</t>
        </is>
      </c>
      <c r="J7">
        <f>B8</f>
        <v/>
      </c>
    </row>
    <row r="8">
      <c r="B8" s="43" t="inlineStr">
        <is>
          <t>Yes</t>
        </is>
      </c>
      <c r="C8" s="20" t="inlineStr">
        <is>
          <t>Dresses x2</t>
        </is>
      </c>
      <c r="F8" s="43" t="inlineStr">
        <is>
          <t>Yes</t>
        </is>
      </c>
      <c r="G8" s="20" t="inlineStr">
        <is>
          <t>Skincare</t>
        </is>
      </c>
      <c r="J8">
        <f>B9</f>
        <v/>
      </c>
    </row>
    <row r="9">
      <c r="B9" s="43" t="inlineStr">
        <is>
          <t>No</t>
        </is>
      </c>
      <c r="C9" s="26" t="inlineStr">
        <is>
          <t>Jacket</t>
        </is>
      </c>
      <c r="F9" s="43" t="inlineStr">
        <is>
          <t>Yes</t>
        </is>
      </c>
      <c r="G9" s="26" t="inlineStr">
        <is>
          <t>Sunscreen</t>
        </is>
      </c>
      <c r="J9">
        <f>B10</f>
        <v/>
      </c>
    </row>
    <row r="10">
      <c r="B10" s="43" t="inlineStr">
        <is>
          <t>No</t>
        </is>
      </c>
      <c r="C10" s="20" t="inlineStr">
        <is>
          <t>Sleepwear</t>
        </is>
      </c>
      <c r="F10" s="43" t="inlineStr">
        <is>
          <t>Yes</t>
        </is>
      </c>
      <c r="G10" s="20" t="inlineStr">
        <is>
          <t>Meds</t>
        </is>
      </c>
      <c r="J10">
        <f>B11</f>
        <v/>
      </c>
    </row>
    <row r="11">
      <c r="B11" s="43" t="inlineStr">
        <is>
          <t>No</t>
        </is>
      </c>
      <c r="C11" s="26" t="inlineStr">
        <is>
          <t>Underwear x8</t>
        </is>
      </c>
      <c r="F11" s="43" t="inlineStr">
        <is>
          <t>No</t>
        </is>
      </c>
      <c r="G11" s="26" t="inlineStr">
        <is>
          <t>Razor</t>
        </is>
      </c>
      <c r="J11">
        <f>B12</f>
        <v/>
      </c>
    </row>
    <row r="12">
      <c r="B12" s="43" t="inlineStr">
        <is>
          <t>No</t>
        </is>
      </c>
      <c r="C12" s="20" t="inlineStr">
        <is>
          <t>Socks x8</t>
        </is>
      </c>
      <c r="F12" s="43" t="inlineStr">
        <is>
          <t>No</t>
        </is>
      </c>
      <c r="G12" s="20" t="inlineStr">
        <is>
          <t>Hairbrush</t>
        </is>
      </c>
      <c r="J12">
        <f>B13</f>
        <v/>
      </c>
    </row>
    <row r="13">
      <c r="B13" s="43" t="inlineStr">
        <is>
          <t>No</t>
        </is>
      </c>
      <c r="C13" s="26" t="inlineStr">
        <is>
          <t>Swimwear</t>
        </is>
      </c>
      <c r="J13">
        <f>F6</f>
        <v/>
      </c>
    </row>
    <row r="14">
      <c r="J14">
        <f>F7</f>
        <v/>
      </c>
    </row>
    <row r="15">
      <c r="J15">
        <f>F8</f>
        <v/>
      </c>
    </row>
    <row r="16">
      <c r="J16">
        <f>F9</f>
        <v/>
      </c>
    </row>
    <row r="17">
      <c r="J17">
        <f>F10</f>
        <v/>
      </c>
    </row>
    <row r="18" ht="22" customHeight="1">
      <c r="B18" s="4" t="inlineStr">
        <is>
          <t>ELECTRONICS</t>
        </is>
      </c>
      <c r="F18" s="4" t="inlineStr">
        <is>
          <t>DOCUMENTS</t>
        </is>
      </c>
      <c r="J18">
        <f>F11</f>
        <v/>
      </c>
    </row>
    <row r="19">
      <c r="B19" s="43" t="inlineStr">
        <is>
          <t>No</t>
        </is>
      </c>
      <c r="C19" s="20" t="inlineStr">
        <is>
          <t>Phone + charger</t>
        </is>
      </c>
      <c r="F19" s="43" t="inlineStr">
        <is>
          <t>Yes</t>
        </is>
      </c>
      <c r="G19" s="20" t="inlineStr">
        <is>
          <t>Passports x2</t>
        </is>
      </c>
      <c r="J19">
        <f>F12</f>
        <v/>
      </c>
    </row>
    <row r="20">
      <c r="B20" s="43" t="inlineStr">
        <is>
          <t>No</t>
        </is>
      </c>
      <c r="C20" s="26" t="inlineStr">
        <is>
          <t>EU adapters x2</t>
        </is>
      </c>
      <c r="F20" s="43" t="inlineStr">
        <is>
          <t>Yes</t>
        </is>
      </c>
      <c r="G20" s="26" t="inlineStr">
        <is>
          <t>Boarding passes</t>
        </is>
      </c>
      <c r="J20">
        <f>B19</f>
        <v/>
      </c>
    </row>
    <row r="21">
      <c r="B21" s="43" t="inlineStr">
        <is>
          <t>No</t>
        </is>
      </c>
      <c r="C21" s="20" t="inlineStr">
        <is>
          <t>Power bank</t>
        </is>
      </c>
      <c r="F21" s="43" t="inlineStr">
        <is>
          <t>No</t>
        </is>
      </c>
      <c r="G21" s="20" t="inlineStr">
        <is>
          <t>Hotel confirmations</t>
        </is>
      </c>
      <c r="J21">
        <f>B20</f>
        <v/>
      </c>
    </row>
    <row r="22">
      <c r="B22" s="43" t="inlineStr">
        <is>
          <t>No</t>
        </is>
      </c>
      <c r="C22" s="26" t="inlineStr">
        <is>
          <t>Headphones</t>
        </is>
      </c>
      <c r="F22" s="43" t="inlineStr">
        <is>
          <t>No</t>
        </is>
      </c>
      <c r="G22" s="26" t="inlineStr">
        <is>
          <t>Insurance card</t>
        </is>
      </c>
      <c r="J22">
        <f>B21</f>
        <v/>
      </c>
    </row>
    <row r="23">
      <c r="B23" s="43" t="inlineStr">
        <is>
          <t>No</t>
        </is>
      </c>
      <c r="C23" s="20" t="inlineStr">
        <is>
          <t>Camera + charger</t>
        </is>
      </c>
      <c r="F23" s="43" t="inlineStr">
        <is>
          <t>No</t>
        </is>
      </c>
      <c r="G23" s="20" t="inlineStr">
        <is>
          <t>Copies (digital)</t>
        </is>
      </c>
      <c r="J23">
        <f>B22</f>
        <v/>
      </c>
    </row>
    <row r="24">
      <c r="B24" s="43" t="inlineStr">
        <is>
          <t>Yes</t>
        </is>
      </c>
      <c r="C24" s="26" t="inlineStr">
        <is>
          <t>eSIM active</t>
        </is>
      </c>
      <c r="J24">
        <f>B23</f>
        <v/>
      </c>
    </row>
    <row r="25">
      <c r="J25">
        <f>B24</f>
        <v/>
      </c>
    </row>
    <row r="26">
      <c r="J26">
        <f>F19</f>
        <v/>
      </c>
    </row>
    <row r="27">
      <c r="J27">
        <f>F20</f>
        <v/>
      </c>
    </row>
    <row r="28">
      <c r="J28">
        <f>F21</f>
        <v/>
      </c>
    </row>
    <row r="29">
      <c r="J29">
        <f>F22</f>
        <v/>
      </c>
    </row>
    <row r="30">
      <c r="J30">
        <f>F23</f>
        <v/>
      </c>
    </row>
  </sheetData>
  <mergeCells count="32">
    <mergeCell ref="C23"/>
    <mergeCell ref="C8"/>
    <mergeCell ref="G20"/>
    <mergeCell ref="C7"/>
    <mergeCell ref="B18:C18"/>
    <mergeCell ref="A1:K1"/>
    <mergeCell ref="C13"/>
    <mergeCell ref="C19"/>
    <mergeCell ref="G22"/>
    <mergeCell ref="G9"/>
    <mergeCell ref="G12"/>
    <mergeCell ref="F5:G5"/>
    <mergeCell ref="F18:G18"/>
    <mergeCell ref="G21"/>
    <mergeCell ref="C6"/>
    <mergeCell ref="G11"/>
    <mergeCell ref="C24"/>
    <mergeCell ref="G23"/>
    <mergeCell ref="G8"/>
    <mergeCell ref="C20"/>
    <mergeCell ref="G7"/>
    <mergeCell ref="A2:K2"/>
    <mergeCell ref="C10"/>
    <mergeCell ref="G19"/>
    <mergeCell ref="G10"/>
    <mergeCell ref="C22"/>
    <mergeCell ref="G6"/>
    <mergeCell ref="C9"/>
    <mergeCell ref="C12"/>
    <mergeCell ref="B5:C5"/>
    <mergeCell ref="C21"/>
    <mergeCell ref="C11"/>
  </mergeCells>
  <dataValidations count="26">
    <dataValidation sqref="B6" showDropDown="0" showInputMessage="0" showErrorMessage="0" allowBlank="1" type="list">
      <formula1>=YesNoList</formula1>
    </dataValidation>
    <dataValidation sqref="B7" showDropDown="0" showInputMessage="0" showErrorMessage="0" allowBlank="1" type="list">
      <formula1>=YesNoList</formula1>
    </dataValidation>
    <dataValidation sqref="B8" showDropDown="0" showInputMessage="0" showErrorMessage="0" allowBlank="1" type="list">
      <formula1>=YesNoList</formula1>
    </dataValidation>
    <dataValidation sqref="B9" showDropDown="0" showInputMessage="0" showErrorMessage="0" allowBlank="1" type="list">
      <formula1>=YesNoList</formula1>
    </dataValidation>
    <dataValidation sqref="B10" showDropDown="0" showInputMessage="0" showErrorMessage="0" allowBlank="1" type="list">
      <formula1>=YesNoList</formula1>
    </dataValidation>
    <dataValidation sqref="B11" showDropDown="0" showInputMessage="0" showErrorMessage="0" allowBlank="1" type="list">
      <formula1>=YesNoList</formula1>
    </dataValidation>
    <dataValidation sqref="B12" showDropDown="0" showInputMessage="0" showErrorMessage="0" allowBlank="1" type="list">
      <formula1>=YesNoList</formula1>
    </dataValidation>
    <dataValidation sqref="B13" showDropDown="0" showInputMessage="0" showErrorMessage="0" allowBlank="1" type="list">
      <formula1>=YesNoList</formula1>
    </dataValidation>
    <dataValidation sqref="F6" showDropDown="0" showInputMessage="0" showErrorMessage="0" allowBlank="1" type="list">
      <formula1>=YesNoList</formula1>
    </dataValidation>
    <dataValidation sqref="F7" showDropDown="0" showInputMessage="0" showErrorMessage="0" allowBlank="1" type="list">
      <formula1>=YesNoList</formula1>
    </dataValidation>
    <dataValidation sqref="F8" showDropDown="0" showInputMessage="0" showErrorMessage="0" allowBlank="1" type="list">
      <formula1>=YesNoList</formula1>
    </dataValidation>
    <dataValidation sqref="F9" showDropDown="0" showInputMessage="0" showErrorMessage="0" allowBlank="1" type="list">
      <formula1>=YesNoList</formula1>
    </dataValidation>
    <dataValidation sqref="F10" showDropDown="0" showInputMessage="0" showErrorMessage="0" allowBlank="1" type="list">
      <formula1>=YesNoList</formula1>
    </dataValidation>
    <dataValidation sqref="F11" showDropDown="0" showInputMessage="0" showErrorMessage="0" allowBlank="1" type="list">
      <formula1>=YesNoList</formula1>
    </dataValidation>
    <dataValidation sqref="F12" showDropDown="0" showInputMessage="0" showErrorMessage="0" allowBlank="1" type="list">
      <formula1>=YesNoList</formula1>
    </dataValidation>
    <dataValidation sqref="B19" showDropDown="0" showInputMessage="0" showErrorMessage="0" allowBlank="1" type="list">
      <formula1>=YesNoList</formula1>
    </dataValidation>
    <dataValidation sqref="B20" showDropDown="0" showInputMessage="0" showErrorMessage="0" allowBlank="1" type="list">
      <formula1>=YesNoList</formula1>
    </dataValidation>
    <dataValidation sqref="B21" showDropDown="0" showInputMessage="0" showErrorMessage="0" allowBlank="1" type="list">
      <formula1>=YesNoList</formula1>
    </dataValidation>
    <dataValidation sqref="B22" showDropDown="0" showInputMessage="0" showErrorMessage="0" allowBlank="1" type="list">
      <formula1>=YesNoList</formula1>
    </dataValidation>
    <dataValidation sqref="B23" showDropDown="0" showInputMessage="0" showErrorMessage="0" allowBlank="1" type="list">
      <formula1>=YesNoList</formula1>
    </dataValidation>
    <dataValidation sqref="B24" showDropDown="0" showInputMessage="0" showErrorMessage="0" allowBlank="1" type="list">
      <formula1>=YesNoList</formula1>
    </dataValidation>
    <dataValidation sqref="F19" showDropDown="0" showInputMessage="0" showErrorMessage="0" allowBlank="1" type="list">
      <formula1>=YesNoList</formula1>
    </dataValidation>
    <dataValidation sqref="F20" showDropDown="0" showInputMessage="0" showErrorMessage="0" allowBlank="1" type="list">
      <formula1>=YesNoList</formula1>
    </dataValidation>
    <dataValidation sqref="F21" showDropDown="0" showInputMessage="0" showErrorMessage="0" allowBlank="1" type="list">
      <formula1>=YesNoList</formula1>
    </dataValidation>
    <dataValidation sqref="F22" showDropDown="0" showInputMessage="0" showErrorMessage="0" allowBlank="1" type="list">
      <formula1>=YesNoList</formula1>
    </dataValidation>
    <dataValidation sqref="F23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6" customWidth="1" min="4" max="4"/>
    <col width="13" customWidth="1" min="5" max="5"/>
    <col width="11" customWidth="1" min="6" max="6"/>
    <col width="20" customWidth="1" min="7" max="7"/>
  </cols>
  <sheetData>
    <row r="1" ht="46" customHeight="1">
      <c r="A1" s="1" t="inlineStr">
        <is>
          <t xml:space="preserve">  🗂  DOCUMENT VAULT INDEX</t>
        </is>
      </c>
    </row>
    <row r="2" ht="22" customHeight="1">
      <c r="A2" s="2" t="inlineStr">
        <is>
          <t xml:space="preserve">  Every travel document tracked — expiry, where it lives &amp; whether it's ready.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Document</t>
        </is>
      </c>
      <c r="B4" s="7" t="inlineStr">
        <is>
          <t>For Whom</t>
        </is>
      </c>
      <c r="C4" s="7" t="inlineStr">
        <is>
          <t>Expiry</t>
        </is>
      </c>
      <c r="D4" s="7" t="inlineStr">
        <is>
          <t>Storage</t>
        </is>
      </c>
      <c r="E4" s="7" t="inlineStr">
        <is>
          <t>Digital Copy?</t>
        </is>
      </c>
      <c r="F4" s="7" t="inlineStr">
        <is>
          <t>Ready?</t>
        </is>
      </c>
      <c r="G4" s="7" t="inlineStr">
        <is>
          <t>Notes</t>
        </is>
      </c>
    </row>
    <row r="5">
      <c r="A5" s="23" t="inlineStr">
        <is>
          <t>Passport</t>
        </is>
      </c>
      <c r="B5" s="39" t="inlineStr">
        <is>
          <t>Me</t>
        </is>
      </c>
      <c r="C5" s="22" t="n">
        <v>47104</v>
      </c>
      <c r="D5" s="39" t="inlineStr">
        <is>
          <t>Wallet + safe</t>
        </is>
      </c>
      <c r="E5" s="39" t="inlineStr">
        <is>
          <t>Yes</t>
        </is>
      </c>
      <c r="F5" s="39" t="inlineStr">
        <is>
          <t>Yes</t>
        </is>
      </c>
      <c r="G5" s="23" t="inlineStr"/>
    </row>
    <row r="6">
      <c r="A6" s="26" t="inlineStr">
        <is>
          <t>Passport</t>
        </is>
      </c>
      <c r="B6" s="41" t="inlineStr">
        <is>
          <t>Partner</t>
        </is>
      </c>
      <c r="C6" s="25" t="n">
        <v>46904</v>
      </c>
      <c r="D6" s="41" t="inlineStr">
        <is>
          <t>Wallet + safe</t>
        </is>
      </c>
      <c r="E6" s="41" t="inlineStr">
        <is>
          <t>Yes</t>
        </is>
      </c>
      <c r="F6" s="41" t="inlineStr">
        <is>
          <t>Yes</t>
        </is>
      </c>
      <c r="G6" s="26" t="inlineStr"/>
    </row>
    <row r="7">
      <c r="A7" s="23" t="inlineStr">
        <is>
          <t>Travel Insurance</t>
        </is>
      </c>
      <c r="B7" s="39" t="inlineStr">
        <is>
          <t>Both</t>
        </is>
      </c>
      <c r="C7" s="22" t="n">
        <v>46264</v>
      </c>
      <c r="D7" s="39" t="inlineStr">
        <is>
          <t>Email + app</t>
        </is>
      </c>
      <c r="E7" s="39" t="inlineStr">
        <is>
          <t>Yes</t>
        </is>
      </c>
      <c r="F7" s="39" t="inlineStr">
        <is>
          <t>Yes</t>
        </is>
      </c>
      <c r="G7" s="23" t="inlineStr">
        <is>
          <t>SafeTrip</t>
        </is>
      </c>
    </row>
    <row r="8">
      <c r="A8" s="26" t="inlineStr">
        <is>
          <t>Boarding Passes</t>
        </is>
      </c>
      <c r="B8" s="41" t="inlineStr">
        <is>
          <t>Both</t>
        </is>
      </c>
      <c r="C8" s="25" t="inlineStr"/>
      <c r="D8" s="41" t="inlineStr">
        <is>
          <t>Airline app</t>
        </is>
      </c>
      <c r="E8" s="41" t="inlineStr">
        <is>
          <t>Yes</t>
        </is>
      </c>
      <c r="F8" s="41" t="inlineStr">
        <is>
          <t>Yes</t>
        </is>
      </c>
      <c r="G8" s="26" t="inlineStr">
        <is>
          <t>Check-in 24h prior</t>
        </is>
      </c>
    </row>
    <row r="9">
      <c r="A9" s="23" t="inlineStr">
        <is>
          <t>Hotel Confirmations</t>
        </is>
      </c>
      <c r="B9" s="39" t="inlineStr">
        <is>
          <t>Both</t>
        </is>
      </c>
      <c r="C9" s="22" t="inlineStr"/>
      <c r="D9" s="39" t="inlineStr">
        <is>
          <t>Email folder</t>
        </is>
      </c>
      <c r="E9" s="39" t="inlineStr">
        <is>
          <t>Yes</t>
        </is>
      </c>
      <c r="F9" s="39" t="inlineStr">
        <is>
          <t>Yes</t>
        </is>
      </c>
      <c r="G9" s="23" t="inlineStr"/>
    </row>
    <row r="10">
      <c r="A10" s="26" t="inlineStr">
        <is>
          <t>Activity Tickets</t>
        </is>
      </c>
      <c r="B10" s="41" t="inlineStr">
        <is>
          <t>Both</t>
        </is>
      </c>
      <c r="C10" s="25" t="inlineStr"/>
      <c r="D10" s="41" t="inlineStr">
        <is>
          <t>Email + wallet</t>
        </is>
      </c>
      <c r="E10" s="41" t="inlineStr">
        <is>
          <t>Yes</t>
        </is>
      </c>
      <c r="F10" s="41" t="inlineStr">
        <is>
          <t>Yes</t>
        </is>
      </c>
      <c r="G10" s="26" t="inlineStr"/>
    </row>
    <row r="11">
      <c r="A11" s="23" t="inlineStr">
        <is>
          <t>Driver's License</t>
        </is>
      </c>
      <c r="B11" s="39" t="inlineStr">
        <is>
          <t>Me</t>
        </is>
      </c>
      <c r="C11" s="22" t="n">
        <v>46704</v>
      </c>
      <c r="D11" s="39" t="inlineStr">
        <is>
          <t>Wallet</t>
        </is>
      </c>
      <c r="E11" s="39" t="inlineStr">
        <is>
          <t>Yes</t>
        </is>
      </c>
      <c r="F11" s="39" t="inlineStr">
        <is>
          <t>Yes</t>
        </is>
      </c>
      <c r="G11" s="23" t="inlineStr">
        <is>
          <t>For any driving</t>
        </is>
      </c>
    </row>
    <row r="12">
      <c r="A12" s="26" t="inlineStr">
        <is>
          <t>EU Entry / ETIAS</t>
        </is>
      </c>
      <c r="B12" s="41" t="inlineStr">
        <is>
          <t>Both</t>
        </is>
      </c>
      <c r="C12" s="25" t="inlineStr"/>
      <c r="D12" s="41" t="inlineStr">
        <is>
          <t>—</t>
        </is>
      </c>
      <c r="E12" s="41" t="inlineStr">
        <is>
          <t>No</t>
        </is>
      </c>
      <c r="F12" s="41" t="inlineStr">
        <is>
          <t>No</t>
        </is>
      </c>
      <c r="G12" s="26" t="inlineStr">
        <is>
          <t>Check if required</t>
        </is>
      </c>
    </row>
    <row r="13">
      <c r="A13" s="23" t="n"/>
      <c r="B13" s="39" t="n"/>
      <c r="C13" s="22" t="n"/>
      <c r="D13" s="39" t="n"/>
      <c r="E13" s="39" t="n"/>
      <c r="F13" s="39" t="n"/>
      <c r="G13" s="23" t="n"/>
    </row>
    <row r="14">
      <c r="A14" s="26" t="n"/>
      <c r="B14" s="41" t="n"/>
      <c r="C14" s="25" t="n"/>
      <c r="D14" s="41" t="n"/>
      <c r="E14" s="41" t="n"/>
      <c r="F14" s="41" t="n"/>
      <c r="G14" s="26" t="n"/>
    </row>
    <row r="15">
      <c r="A15" s="23" t="n"/>
      <c r="B15" s="39" t="n"/>
      <c r="C15" s="22" t="n"/>
      <c r="D15" s="39" t="n"/>
      <c r="E15" s="39" t="n"/>
      <c r="F15" s="39" t="n"/>
      <c r="G15" s="23" t="n"/>
    </row>
    <row r="16">
      <c r="A16" s="26" t="n"/>
      <c r="B16" s="41" t="n"/>
      <c r="C16" s="25" t="n"/>
      <c r="D16" s="41" t="n"/>
      <c r="E16" s="41" t="n"/>
      <c r="F16" s="41" t="n"/>
      <c r="G16" s="26" t="n"/>
    </row>
    <row r="17">
      <c r="A17" s="23" t="n"/>
      <c r="B17" s="39" t="n"/>
      <c r="C17" s="22" t="n"/>
      <c r="D17" s="39" t="n"/>
      <c r="E17" s="39" t="n"/>
      <c r="F17" s="39" t="n"/>
      <c r="G17" s="23" t="n"/>
    </row>
    <row r="18">
      <c r="A18" s="26" t="n"/>
      <c r="B18" s="41" t="n"/>
      <c r="C18" s="25" t="n"/>
      <c r="D18" s="41" t="n"/>
      <c r="E18" s="41" t="n"/>
      <c r="F18" s="41" t="n"/>
      <c r="G18" s="26" t="n"/>
    </row>
    <row r="19">
      <c r="A19" s="23" t="n"/>
      <c r="B19" s="39" t="n"/>
      <c r="C19" s="22" t="n"/>
      <c r="D19" s="39" t="n"/>
      <c r="E19" s="39" t="n"/>
      <c r="F19" s="39" t="n"/>
      <c r="G19" s="23" t="n"/>
    </row>
    <row r="20">
      <c r="A20" s="26" t="n"/>
      <c r="B20" s="41" t="n"/>
      <c r="C20" s="25" t="n"/>
      <c r="D20" s="41" t="n"/>
      <c r="E20" s="41" t="n"/>
      <c r="F20" s="41" t="n"/>
      <c r="G20" s="26" t="n"/>
    </row>
    <row r="21">
      <c r="A21" s="23" t="n"/>
      <c r="B21" s="39" t="n"/>
      <c r="C21" s="22" t="n"/>
      <c r="D21" s="39" t="n"/>
      <c r="E21" s="39" t="n"/>
      <c r="F21" s="39" t="n"/>
      <c r="G21" s="23" t="n"/>
    </row>
    <row r="22">
      <c r="A22" s="26" t="n"/>
      <c r="B22" s="41" t="n"/>
      <c r="C22" s="25" t="n"/>
      <c r="D22" s="41" t="n"/>
      <c r="E22" s="41" t="n"/>
      <c r="F22" s="41" t="n"/>
      <c r="G22" s="26" t="n"/>
    </row>
    <row r="23">
      <c r="A23" s="23" t="n"/>
      <c r="B23" s="39" t="n"/>
      <c r="C23" s="22" t="n"/>
      <c r="D23" s="39" t="n"/>
      <c r="E23" s="39" t="n"/>
      <c r="F23" s="39" t="n"/>
      <c r="G23" s="23" t="n"/>
    </row>
    <row r="24">
      <c r="A24" s="26" t="n"/>
      <c r="B24" s="41" t="n"/>
      <c r="C24" s="25" t="n"/>
      <c r="D24" s="41" t="n"/>
      <c r="E24" s="41" t="n"/>
      <c r="F24" s="41" t="n"/>
      <c r="G24" s="26" t="n"/>
    </row>
    <row r="25">
      <c r="A25" s="23" t="n"/>
      <c r="B25" s="39" t="n"/>
      <c r="C25" s="22" t="n"/>
      <c r="D25" s="39" t="n"/>
      <c r="E25" s="39" t="n"/>
      <c r="F25" s="39" t="n"/>
      <c r="G25" s="23" t="n"/>
    </row>
    <row r="26">
      <c r="A26" s="26" t="n"/>
      <c r="B26" s="41" t="n"/>
      <c r="C26" s="25" t="n"/>
      <c r="D26" s="41" t="n"/>
      <c r="E26" s="41" t="n"/>
      <c r="F26" s="41" t="n"/>
      <c r="G26" s="26" t="n"/>
    </row>
    <row r="27">
      <c r="A27" s="23" t="n"/>
      <c r="B27" s="39" t="n"/>
      <c r="C27" s="22" t="n"/>
      <c r="D27" s="39" t="n"/>
      <c r="E27" s="39" t="n"/>
      <c r="F27" s="39" t="n"/>
      <c r="G27" s="23" t="n"/>
    </row>
    <row r="28">
      <c r="A28" s="26" t="n"/>
      <c r="B28" s="41" t="n"/>
      <c r="C28" s="25" t="n"/>
      <c r="D28" s="41" t="n"/>
      <c r="E28" s="41" t="n"/>
      <c r="F28" s="41" t="n"/>
      <c r="G28" s="26" t="n"/>
    </row>
    <row r="29">
      <c r="A29" s="23" t="n"/>
      <c r="B29" s="39" t="n"/>
      <c r="C29" s="22" t="n"/>
      <c r="D29" s="39" t="n"/>
      <c r="E29" s="39" t="n"/>
      <c r="F29" s="39" t="n"/>
      <c r="G29" s="23" t="n"/>
    </row>
    <row r="30">
      <c r="A30" s="26" t="n"/>
      <c r="B30" s="41" t="n"/>
      <c r="C30" s="25" t="n"/>
      <c r="D30" s="41" t="n"/>
      <c r="E30" s="41" t="n"/>
      <c r="F30" s="41" t="n"/>
      <c r="G30" s="26" t="n"/>
    </row>
    <row r="31">
      <c r="A31" s="23" t="n"/>
      <c r="B31" s="39" t="n"/>
      <c r="C31" s="22" t="n"/>
      <c r="D31" s="39" t="n"/>
      <c r="E31" s="39" t="n"/>
      <c r="F31" s="39" t="n"/>
      <c r="G31" s="23" t="n"/>
    </row>
    <row r="32">
      <c r="A32" s="26" t="n"/>
      <c r="B32" s="41" t="n"/>
      <c r="C32" s="25" t="n"/>
      <c r="D32" s="41" t="n"/>
      <c r="E32" s="41" t="n"/>
      <c r="F32" s="41" t="n"/>
      <c r="G32" s="26" t="n"/>
    </row>
    <row r="33">
      <c r="A33" s="23" t="n"/>
      <c r="B33" s="39" t="n"/>
      <c r="C33" s="22" t="n"/>
      <c r="D33" s="39" t="n"/>
      <c r="E33" s="39" t="n"/>
      <c r="F33" s="39" t="n"/>
      <c r="G33" s="23" t="n"/>
    </row>
    <row r="34">
      <c r="A34" s="26" t="n"/>
      <c r="B34" s="41" t="n"/>
      <c r="C34" s="25" t="n"/>
      <c r="D34" s="41" t="n"/>
      <c r="E34" s="41" t="n"/>
      <c r="F34" s="41" t="n"/>
      <c r="G34" s="26" t="n"/>
    </row>
  </sheetData>
  <mergeCells count="2">
    <mergeCell ref="A2:G2"/>
    <mergeCell ref="A1:G1"/>
  </mergeCells>
  <conditionalFormatting sqref="F5:F34">
    <cfRule type="cellIs" priority="1" operator="equal" dxfId="1">
      <formula>"Yes"</formula>
    </cfRule>
    <cfRule type="cellIs" priority="2" operator="equal" dxfId="2">
      <formula>"No"</formula>
    </cfRule>
  </conditionalFormatting>
  <dataValidations count="2"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4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💱  CURRENCY &amp; EXCHANGE TRACKER</t>
        </is>
      </c>
    </row>
    <row r="2" ht="22" customHeight="1">
      <c r="A2" s="2" t="inlineStr">
        <is>
          <t xml:space="preserve">  Home vs destination currency — quick conversions &amp; spend summaries.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EXCHANGE</t>
        </is>
      </c>
      <c r="E5" s="4" t="inlineStr">
        <is>
          <t>QUICK CONVERTER</t>
        </is>
      </c>
    </row>
    <row r="6">
      <c r="B6" s="17" t="inlineStr">
        <is>
          <t>Home currency</t>
        </is>
      </c>
      <c r="C6" s="18">
        <f>HomeCurr</f>
        <v/>
      </c>
      <c r="E6" s="17" t="inlineStr">
        <is>
          <t>Amount (home)</t>
        </is>
      </c>
      <c r="F6" s="27" t="n">
        <v>100</v>
      </c>
    </row>
    <row r="7">
      <c r="B7" s="17" t="inlineStr">
        <is>
          <t>Destination currency</t>
        </is>
      </c>
      <c r="C7" s="18">
        <f>DestCurr</f>
        <v/>
      </c>
      <c r="E7" s="17">
        <f> in destination</f>
        <v/>
      </c>
      <c r="F7" s="44">
        <f>F6*ExchRate</f>
        <v/>
      </c>
    </row>
    <row r="8">
      <c r="B8" s="17" t="inlineStr">
        <is>
          <t>Exchange rate (1 home =)</t>
        </is>
      </c>
      <c r="C8" s="45">
        <f>ExchRate</f>
        <v/>
      </c>
    </row>
    <row r="9">
      <c r="B9" s="17" t="inlineStr">
        <is>
          <t>Total spent (home)</t>
        </is>
      </c>
      <c r="C9" s="31">
        <f>BudgetTotalActual</f>
        <v/>
      </c>
      <c r="E9" s="17" t="inlineStr">
        <is>
          <t>Amount (dest)</t>
        </is>
      </c>
      <c r="F9" s="46" t="n">
        <v>50</v>
      </c>
    </row>
    <row r="10">
      <c r="B10" s="17" t="inlineStr">
        <is>
          <t>Total spent (dest)</t>
        </is>
      </c>
      <c r="C10" s="47">
        <f>BudgetTotalActual*ExchRate</f>
        <v/>
      </c>
      <c r="E10" s="17">
        <f> in home</f>
        <v/>
      </c>
      <c r="F10" s="48">
        <f>IFERROR(F9/ExchRate,0)</f>
        <v/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4" customWidth="1" min="4" max="4"/>
    <col width="22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🐷  SAVINGS PLANNER</t>
        </is>
      </c>
    </row>
    <row r="2" ht="22" customHeight="1">
      <c r="A2" s="2" t="inlineStr">
        <is>
          <t xml:space="preserve">  Fund the trip stress-free — track progress toward your target budget.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SAVINGS GOAL</t>
        </is>
      </c>
      <c r="E5" s="4" t="inlineStr">
        <is>
          <t>CONTRIBUTION PLAN</t>
        </is>
      </c>
    </row>
    <row r="6">
      <c r="B6" s="17" t="inlineStr">
        <is>
          <t>Target (trip budget)</t>
        </is>
      </c>
      <c r="C6" s="31">
        <f>BudgetTotalPlanned</f>
        <v/>
      </c>
      <c r="E6" s="7" t="inlineStr">
        <is>
          <t>Month</t>
        </is>
      </c>
      <c r="F6" s="7" t="inlineStr">
        <is>
          <t>Added</t>
        </is>
      </c>
    </row>
    <row r="7">
      <c r="B7" s="17" t="inlineStr">
        <is>
          <t>Saved so far</t>
        </is>
      </c>
      <c r="C7" s="31">
        <f>SavingsSaved</f>
        <v/>
      </c>
      <c r="E7" s="20" t="inlineStr">
        <is>
          <t>Jan</t>
        </is>
      </c>
      <c r="F7" s="28" t="n">
        <v>1500</v>
      </c>
    </row>
    <row r="8">
      <c r="B8" s="17" t="inlineStr">
        <is>
          <t>Still to save</t>
        </is>
      </c>
      <c r="C8" s="31">
        <f>MAX(BudgetTotalPlanned-SavingsSaved,0)</f>
        <v/>
      </c>
      <c r="E8" s="20" t="inlineStr">
        <is>
          <t>Feb</t>
        </is>
      </c>
      <c r="F8" s="28" t="n">
        <v>1500</v>
      </c>
    </row>
    <row r="9">
      <c r="B9" s="17" t="inlineStr">
        <is>
          <t>Progress</t>
        </is>
      </c>
      <c r="C9" s="49">
        <f>IFERROR(SavingsSaved/BudgetTotalPlanned,0)</f>
        <v/>
      </c>
      <c r="E9" s="20" t="inlineStr">
        <is>
          <t>Mar</t>
        </is>
      </c>
      <c r="F9" s="28" t="n">
        <v>1500</v>
      </c>
    </row>
    <row r="10">
      <c r="B10" s="17" t="inlineStr">
        <is>
          <t>Months to departure</t>
        </is>
      </c>
      <c r="C10" s="50">
        <f>MAX(ROUND((DepartDate-TODAY())/30,1),0)</f>
        <v/>
      </c>
      <c r="E10" s="20" t="inlineStr">
        <is>
          <t>Apr</t>
        </is>
      </c>
      <c r="F10" s="28" t="n">
        <v>1500</v>
      </c>
    </row>
    <row r="11">
      <c r="B11" s="17" t="inlineStr">
        <is>
          <t>Monthly needed</t>
        </is>
      </c>
      <c r="C11" s="31">
        <f>IFERROR(MAX(BudgetTotalPlanned-SavingsSaved,0)/MAX((DepartDate-TODAY())/30,1),0)</f>
        <v/>
      </c>
    </row>
    <row r="12">
      <c r="E12" t="inlineStr">
        <is>
          <t>Saved</t>
        </is>
      </c>
      <c r="F12" s="51">
        <f>SavingsSaved</f>
        <v/>
      </c>
    </row>
    <row r="13">
      <c r="E13" t="inlineStr">
        <is>
          <t>To go</t>
        </is>
      </c>
      <c r="F13" s="51">
        <f>MAX(BudgetTotalPlanned-SavingsSaved,0)</f>
        <v/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1" customWidth="1" min="5" max="5"/>
    <col width="14" customWidth="1" min="6" max="6"/>
    <col width="11" customWidth="1" min="7" max="7"/>
    <col width="18" customWidth="1" min="8" max="8"/>
  </cols>
  <sheetData>
    <row r="1" ht="46" customHeight="1">
      <c r="A1" s="1" t="inlineStr">
        <is>
          <t xml:space="preserve">  🚗  ROAD TRIP PLANNER</t>
        </is>
      </c>
    </row>
    <row r="2" ht="22" customHeight="1">
      <c r="A2" s="2" t="inlineStr">
        <is>
          <t xml:space="preserve">  For the driving legs — routes, fuel &amp; hotel stops, distance &amp; drive time.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Leg</t>
        </is>
      </c>
      <c r="B4" s="7" t="inlineStr">
        <is>
          <t>From → To</t>
        </is>
      </c>
      <c r="C4" s="7" t="inlineStr">
        <is>
          <t>Distance</t>
        </is>
      </c>
      <c r="D4" s="7" t="inlineStr">
        <is>
          <t>Drive Time</t>
        </is>
      </c>
      <c r="E4" s="7" t="inlineStr">
        <is>
          <t>Fuel Stops</t>
        </is>
      </c>
      <c r="F4" s="7" t="inlineStr">
        <is>
          <t>Hotel Stop</t>
        </is>
      </c>
      <c r="G4" s="7" t="inlineStr">
        <is>
          <t>Est. Fuel</t>
        </is>
      </c>
      <c r="H4" s="7" t="inlineStr">
        <is>
          <t>Notes</t>
        </is>
      </c>
    </row>
    <row r="5">
      <c r="A5" s="39" t="inlineStr">
        <is>
          <t>Optional</t>
        </is>
      </c>
      <c r="B5" s="23" t="inlineStr">
        <is>
          <t>Rome → Florence</t>
        </is>
      </c>
      <c r="C5" s="39" t="inlineStr">
        <is>
          <t>170 mi</t>
        </is>
      </c>
      <c r="D5" s="39" t="inlineStr">
        <is>
          <t>3h</t>
        </is>
      </c>
      <c r="E5" s="39" t="inlineStr">
        <is>
          <t>1</t>
        </is>
      </c>
      <c r="F5" s="39" t="inlineStr">
        <is>
          <t>—</t>
        </is>
      </c>
      <c r="G5" s="40" t="n">
        <v>40</v>
      </c>
      <c r="H5" s="23" t="inlineStr">
        <is>
          <t>If time allows</t>
        </is>
      </c>
    </row>
    <row r="6">
      <c r="A6" s="41" t="inlineStr">
        <is>
          <t>Optional</t>
        </is>
      </c>
      <c r="B6" s="26" t="inlineStr">
        <is>
          <t>BCN → Costa Brava</t>
        </is>
      </c>
      <c r="C6" s="41" t="inlineStr">
        <is>
          <t>60 mi</t>
        </is>
      </c>
      <c r="D6" s="41" t="inlineStr">
        <is>
          <t>1.5h</t>
        </is>
      </c>
      <c r="E6" s="41" t="inlineStr">
        <is>
          <t>0</t>
        </is>
      </c>
      <c r="F6" s="41" t="inlineStr">
        <is>
          <t>—</t>
        </is>
      </c>
      <c r="G6" s="33" t="n">
        <v>20</v>
      </c>
      <c r="H6" s="26" t="inlineStr">
        <is>
          <t>Beach day</t>
        </is>
      </c>
    </row>
    <row r="7">
      <c r="A7" s="39" t="n"/>
      <c r="B7" s="23" t="n"/>
      <c r="C7" s="39" t="n"/>
      <c r="D7" s="39" t="n"/>
      <c r="E7" s="39" t="n"/>
      <c r="F7" s="39" t="n"/>
      <c r="G7" s="40" t="n"/>
      <c r="H7" s="23" t="n"/>
    </row>
    <row r="8">
      <c r="A8" s="41" t="n"/>
      <c r="B8" s="26" t="n"/>
      <c r="C8" s="41" t="n"/>
      <c r="D8" s="41" t="n"/>
      <c r="E8" s="41" t="n"/>
      <c r="F8" s="41" t="n"/>
      <c r="G8" s="33" t="n"/>
      <c r="H8" s="26" t="n"/>
    </row>
    <row r="9">
      <c r="A9" s="39" t="n"/>
      <c r="B9" s="23" t="n"/>
      <c r="C9" s="39" t="n"/>
      <c r="D9" s="39" t="n"/>
      <c r="E9" s="39" t="n"/>
      <c r="F9" s="39" t="n"/>
      <c r="G9" s="40" t="n"/>
      <c r="H9" s="23" t="n"/>
    </row>
    <row r="10">
      <c r="A10" s="41" t="n"/>
      <c r="B10" s="26" t="n"/>
      <c r="C10" s="41" t="n"/>
      <c r="D10" s="41" t="n"/>
      <c r="E10" s="41" t="n"/>
      <c r="F10" s="41" t="n"/>
      <c r="G10" s="33" t="n"/>
      <c r="H10" s="26" t="n"/>
    </row>
    <row r="11">
      <c r="A11" s="39" t="n"/>
      <c r="B11" s="23" t="n"/>
      <c r="C11" s="39" t="n"/>
      <c r="D11" s="39" t="n"/>
      <c r="E11" s="39" t="n"/>
      <c r="F11" s="39" t="n"/>
      <c r="G11" s="40" t="n"/>
      <c r="H11" s="23" t="n"/>
    </row>
    <row r="12">
      <c r="A12" s="41" t="n"/>
      <c r="B12" s="26" t="n"/>
      <c r="C12" s="41" t="n"/>
      <c r="D12" s="41" t="n"/>
      <c r="E12" s="41" t="n"/>
      <c r="F12" s="41" t="n"/>
      <c r="G12" s="33" t="n"/>
      <c r="H12" s="26" t="n"/>
    </row>
    <row r="13">
      <c r="A13" s="39" t="n"/>
      <c r="B13" s="23" t="n"/>
      <c r="C13" s="39" t="n"/>
      <c r="D13" s="39" t="n"/>
      <c r="E13" s="39" t="n"/>
      <c r="F13" s="39" t="n"/>
      <c r="G13" s="40" t="n"/>
      <c r="H13" s="23" t="n"/>
    </row>
    <row r="14">
      <c r="A14" s="41" t="n"/>
      <c r="B14" s="26" t="n"/>
      <c r="C14" s="41" t="n"/>
      <c r="D14" s="41" t="n"/>
      <c r="E14" s="41" t="n"/>
      <c r="F14" s="41" t="n"/>
      <c r="G14" s="33" t="n"/>
      <c r="H14" s="26" t="n"/>
    </row>
    <row r="15">
      <c r="A15" s="39" t="n"/>
      <c r="B15" s="23" t="n"/>
      <c r="C15" s="39" t="n"/>
      <c r="D15" s="39" t="n"/>
      <c r="E15" s="39" t="n"/>
      <c r="F15" s="39" t="n"/>
      <c r="G15" s="40" t="n"/>
      <c r="H15" s="23" t="n"/>
    </row>
    <row r="16">
      <c r="A16" s="41" t="n"/>
      <c r="B16" s="26" t="n"/>
      <c r="C16" s="41" t="n"/>
      <c r="D16" s="41" t="n"/>
      <c r="E16" s="41" t="n"/>
      <c r="F16" s="41" t="n"/>
      <c r="G16" s="33" t="n"/>
      <c r="H16" s="26" t="n"/>
    </row>
    <row r="17">
      <c r="A17" s="39" t="n"/>
      <c r="B17" s="23" t="n"/>
      <c r="C17" s="39" t="n"/>
      <c r="D17" s="39" t="n"/>
      <c r="E17" s="39" t="n"/>
      <c r="F17" s="39" t="n"/>
      <c r="G17" s="40" t="n"/>
      <c r="H17" s="23" t="n"/>
    </row>
    <row r="18">
      <c r="A18" s="41" t="n"/>
      <c r="B18" s="26" t="n"/>
      <c r="C18" s="41" t="n"/>
      <c r="D18" s="41" t="n"/>
      <c r="E18" s="41" t="n"/>
      <c r="F18" s="41" t="n"/>
      <c r="G18" s="33" t="n"/>
      <c r="H18" s="26" t="n"/>
    </row>
    <row r="19">
      <c r="A19" s="39" t="n"/>
      <c r="B19" s="23" t="n"/>
      <c r="C19" s="39" t="n"/>
      <c r="D19" s="39" t="n"/>
      <c r="E19" s="39" t="n"/>
      <c r="F19" s="39" t="n"/>
      <c r="G19" s="40" t="n"/>
      <c r="H19" s="23" t="n"/>
    </row>
    <row r="20">
      <c r="A20" s="41" t="n"/>
      <c r="B20" s="26" t="n"/>
      <c r="C20" s="41" t="n"/>
      <c r="D20" s="41" t="n"/>
      <c r="E20" s="41" t="n"/>
      <c r="F20" s="41" t="n"/>
      <c r="G20" s="33" t="n"/>
      <c r="H20" s="26" t="n"/>
    </row>
    <row r="21">
      <c r="A21" s="39" t="n"/>
      <c r="B21" s="23" t="n"/>
      <c r="C21" s="39" t="n"/>
      <c r="D21" s="39" t="n"/>
      <c r="E21" s="39" t="n"/>
      <c r="F21" s="39" t="n"/>
      <c r="G21" s="40" t="n"/>
      <c r="H21" s="23" t="n"/>
    </row>
    <row r="22">
      <c r="A22" s="41" t="n"/>
      <c r="B22" s="26" t="n"/>
      <c r="C22" s="41" t="n"/>
      <c r="D22" s="41" t="n"/>
      <c r="E22" s="41" t="n"/>
      <c r="F22" s="41" t="n"/>
      <c r="G22" s="33" t="n"/>
      <c r="H22" s="26" t="n"/>
    </row>
    <row r="23">
      <c r="A23" s="39" t="n"/>
      <c r="B23" s="23" t="n"/>
      <c r="C23" s="39" t="n"/>
      <c r="D23" s="39" t="n"/>
      <c r="E23" s="39" t="n"/>
      <c r="F23" s="39" t="n"/>
      <c r="G23" s="40" t="n"/>
      <c r="H23" s="23" t="n"/>
    </row>
    <row r="24">
      <c r="A24" s="41" t="n"/>
      <c r="B24" s="26" t="n"/>
      <c r="C24" s="41" t="n"/>
      <c r="D24" s="41" t="n"/>
      <c r="E24" s="41" t="n"/>
      <c r="F24" s="41" t="n"/>
      <c r="G24" s="33" t="n"/>
      <c r="H24" s="26" t="n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3" customWidth="1" min="5" max="5"/>
    <col width="13" customWidth="1" min="6" max="6"/>
    <col width="18" customWidth="1" min="7" max="7"/>
  </cols>
  <sheetData>
    <row r="1" ht="46" customHeight="1">
      <c r="A1" s="1" t="inlineStr">
        <is>
          <t xml:space="preserve">  👥  GROUP TRAVEL MANAGER</t>
        </is>
      </c>
    </row>
    <row r="2" ht="22" customHeight="1">
      <c r="A2" s="2" t="inlineStr">
        <is>
          <t xml:space="preserve">  Traveling together — who paid what, shared expenses &amp; who owes whom.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Traveler</t>
        </is>
      </c>
      <c r="B4" s="7" t="inlineStr">
        <is>
          <t>Paid For</t>
        </is>
      </c>
      <c r="C4" s="7" t="inlineStr">
        <is>
          <t>Amount</t>
        </is>
      </c>
      <c r="D4" s="7" t="inlineStr">
        <is>
          <t>Split</t>
        </is>
      </c>
      <c r="E4" s="7" t="inlineStr">
        <is>
          <t>Their Share</t>
        </is>
      </c>
      <c r="F4" s="7" t="inlineStr">
        <is>
          <t>Owes / Owed</t>
        </is>
      </c>
      <c r="G4" s="7" t="inlineStr">
        <is>
          <t>Notes</t>
        </is>
      </c>
    </row>
    <row r="5">
      <c r="A5" s="39" t="inlineStr">
        <is>
          <t>Me</t>
        </is>
      </c>
      <c r="B5" s="23" t="inlineStr">
        <is>
          <t>Flights (x2)</t>
        </is>
      </c>
      <c r="C5" s="40" t="n">
        <v>1200</v>
      </c>
      <c r="D5" s="39" t="inlineStr">
        <is>
          <t>50/50</t>
        </is>
      </c>
      <c r="E5" s="40" t="n">
        <v>600</v>
      </c>
      <c r="F5" s="23" t="inlineStr">
        <is>
          <t>+$600</t>
        </is>
      </c>
      <c r="G5" s="23" t="inlineStr">
        <is>
          <t>Partner owes</t>
        </is>
      </c>
    </row>
    <row r="6">
      <c r="A6" s="41" t="inlineStr">
        <is>
          <t>Partner</t>
        </is>
      </c>
      <c r="B6" s="26" t="inlineStr">
        <is>
          <t>Barcelona loft</t>
        </is>
      </c>
      <c r="C6" s="33" t="n">
        <v>300</v>
      </c>
      <c r="D6" s="41" t="inlineStr">
        <is>
          <t>50/50</t>
        </is>
      </c>
      <c r="E6" s="33" t="n">
        <v>150</v>
      </c>
      <c r="F6" s="26" t="inlineStr">
        <is>
          <t>-$150</t>
        </is>
      </c>
      <c r="G6" s="26" t="inlineStr">
        <is>
          <t>I owe</t>
        </is>
      </c>
    </row>
    <row r="7">
      <c r="A7" s="39" t="inlineStr">
        <is>
          <t>Me</t>
        </is>
      </c>
      <c r="B7" s="23" t="inlineStr">
        <is>
          <t>Activities (x2)</t>
        </is>
      </c>
      <c r="C7" s="40" t="n">
        <v>420</v>
      </c>
      <c r="D7" s="39" t="inlineStr">
        <is>
          <t>50/50</t>
        </is>
      </c>
      <c r="E7" s="40" t="n">
        <v>210</v>
      </c>
      <c r="F7" s="23" t="inlineStr">
        <is>
          <t>+$210</t>
        </is>
      </c>
      <c r="G7" s="23" t="inlineStr"/>
    </row>
    <row r="8">
      <c r="A8" s="41" t="inlineStr">
        <is>
          <t>Partner</t>
        </is>
      </c>
      <c r="B8" s="26" t="inlineStr">
        <is>
          <t>Insurance</t>
        </is>
      </c>
      <c r="C8" s="33" t="n">
        <v>180</v>
      </c>
      <c r="D8" s="41" t="inlineStr">
        <is>
          <t>50/50</t>
        </is>
      </c>
      <c r="E8" s="33" t="n">
        <v>90</v>
      </c>
      <c r="F8" s="26" t="inlineStr">
        <is>
          <t>-$90</t>
        </is>
      </c>
      <c r="G8" s="26" t="inlineStr"/>
    </row>
    <row r="9">
      <c r="A9" s="39" t="n"/>
      <c r="B9" s="23" t="n"/>
      <c r="C9" s="40" t="n"/>
      <c r="D9" s="39" t="n"/>
      <c r="E9" s="40" t="n"/>
      <c r="F9" s="23" t="n"/>
      <c r="G9" s="23" t="n"/>
    </row>
    <row r="10">
      <c r="A10" s="41" t="n"/>
      <c r="B10" s="26" t="n"/>
      <c r="C10" s="33" t="n"/>
      <c r="D10" s="41" t="n"/>
      <c r="E10" s="33" t="n"/>
      <c r="F10" s="26" t="n"/>
      <c r="G10" s="26" t="n"/>
    </row>
    <row r="11">
      <c r="A11" s="39" t="n"/>
      <c r="B11" s="23" t="n"/>
      <c r="C11" s="40" t="n"/>
      <c r="D11" s="39" t="n"/>
      <c r="E11" s="40" t="n"/>
      <c r="F11" s="23" t="n"/>
      <c r="G11" s="23" t="n"/>
    </row>
    <row r="12">
      <c r="A12" s="41" t="n"/>
      <c r="B12" s="26" t="n"/>
      <c r="C12" s="33" t="n"/>
      <c r="D12" s="41" t="n"/>
      <c r="E12" s="33" t="n"/>
      <c r="F12" s="26" t="n"/>
      <c r="G12" s="26" t="n"/>
    </row>
    <row r="13">
      <c r="A13" s="39" t="n"/>
      <c r="B13" s="23" t="n"/>
      <c r="C13" s="40" t="n"/>
      <c r="D13" s="39" t="n"/>
      <c r="E13" s="40" t="n"/>
      <c r="F13" s="23" t="n"/>
      <c r="G13" s="23" t="n"/>
    </row>
    <row r="14">
      <c r="A14" s="41" t="n"/>
      <c r="B14" s="26" t="n"/>
      <c r="C14" s="33" t="n"/>
      <c r="D14" s="41" t="n"/>
      <c r="E14" s="33" t="n"/>
      <c r="F14" s="26" t="n"/>
      <c r="G14" s="26" t="n"/>
    </row>
    <row r="15">
      <c r="A15" s="39" t="n"/>
      <c r="B15" s="23" t="n"/>
      <c r="C15" s="40" t="n"/>
      <c r="D15" s="39" t="n"/>
      <c r="E15" s="40" t="n"/>
      <c r="F15" s="23" t="n"/>
      <c r="G15" s="23" t="n"/>
    </row>
    <row r="16">
      <c r="A16" s="41" t="n"/>
      <c r="B16" s="26" t="n"/>
      <c r="C16" s="33" t="n"/>
      <c r="D16" s="41" t="n"/>
      <c r="E16" s="33" t="n"/>
      <c r="F16" s="26" t="n"/>
      <c r="G16" s="26" t="n"/>
    </row>
    <row r="17">
      <c r="A17" s="39" t="n"/>
      <c r="B17" s="23" t="n"/>
      <c r="C17" s="40" t="n"/>
      <c r="D17" s="39" t="n"/>
      <c r="E17" s="40" t="n"/>
      <c r="F17" s="23" t="n"/>
      <c r="G17" s="23" t="n"/>
    </row>
    <row r="18">
      <c r="A18" s="41" t="n"/>
      <c r="B18" s="26" t="n"/>
      <c r="C18" s="33" t="n"/>
      <c r="D18" s="41" t="n"/>
      <c r="E18" s="33" t="n"/>
      <c r="F18" s="26" t="n"/>
      <c r="G18" s="26" t="n"/>
    </row>
    <row r="19">
      <c r="A19" s="39" t="n"/>
      <c r="B19" s="23" t="n"/>
      <c r="C19" s="40" t="n"/>
      <c r="D19" s="39" t="n"/>
      <c r="E19" s="40" t="n"/>
      <c r="F19" s="23" t="n"/>
      <c r="G19" s="23" t="n"/>
    </row>
    <row r="20">
      <c r="A20" s="41" t="n"/>
      <c r="B20" s="26" t="n"/>
      <c r="C20" s="33" t="n"/>
      <c r="D20" s="41" t="n"/>
      <c r="E20" s="33" t="n"/>
      <c r="F20" s="26" t="n"/>
      <c r="G20" s="26" t="n"/>
    </row>
    <row r="21">
      <c r="A21" s="39" t="n"/>
      <c r="B21" s="23" t="n"/>
      <c r="C21" s="40" t="n"/>
      <c r="D21" s="39" t="n"/>
      <c r="E21" s="40" t="n"/>
      <c r="F21" s="23" t="n"/>
      <c r="G21" s="23" t="n"/>
    </row>
    <row r="22">
      <c r="A22" s="41" t="n"/>
      <c r="B22" s="26" t="n"/>
      <c r="C22" s="33" t="n"/>
      <c r="D22" s="41" t="n"/>
      <c r="E22" s="33" t="n"/>
      <c r="F22" s="26" t="n"/>
      <c r="G22" s="26" t="n"/>
    </row>
    <row r="23">
      <c r="A23" s="39" t="n"/>
      <c r="B23" s="23" t="n"/>
      <c r="C23" s="40" t="n"/>
      <c r="D23" s="39" t="n"/>
      <c r="E23" s="40" t="n"/>
      <c r="F23" s="23" t="n"/>
      <c r="G23" s="23" t="n"/>
    </row>
    <row r="24">
      <c r="A24" s="41" t="n"/>
      <c r="B24" s="26" t="n"/>
      <c r="C24" s="33" t="n"/>
      <c r="D24" s="41" t="n"/>
      <c r="E24" s="33" t="n"/>
      <c r="F24" s="26" t="n"/>
      <c r="G24" s="26" t="n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4" customWidth="1" min="4" max="4"/>
    <col width="4" customWidth="1" min="5" max="5"/>
    <col width="28" customWidth="1" min="6" max="6"/>
    <col width="2" customWidth="1" min="7" max="7"/>
  </cols>
  <sheetData>
    <row r="1" ht="46" customHeight="1">
      <c r="A1" s="1" t="inlineStr">
        <is>
          <t xml:space="preserve">  ✅  CHECKLIST COMMAND CENTER</t>
        </is>
      </c>
    </row>
    <row r="2" ht="22" customHeight="1">
      <c r="A2" s="2" t="inlineStr">
        <is>
          <t xml:space="preserve">  The little things that make travel smooth — ticked off at every stage.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BEFORE DEPARTURE</t>
        </is>
      </c>
      <c r="E5" s="4" t="inlineStr">
        <is>
          <t>AIRPORT &amp; FLIGHT</t>
        </is>
      </c>
    </row>
    <row r="6">
      <c r="B6" s="52" t="inlineStr">
        <is>
          <t>☐</t>
        </is>
      </c>
      <c r="C6" s="20" t="inlineStr">
        <is>
          <t>Check passport expiry</t>
        </is>
      </c>
      <c r="E6" s="52" t="inlineStr">
        <is>
          <t>☐</t>
        </is>
      </c>
      <c r="F6" s="20" t="inlineStr">
        <is>
          <t>Check in online (24h)</t>
        </is>
      </c>
    </row>
    <row r="7">
      <c r="B7" s="53" t="inlineStr">
        <is>
          <t>☐</t>
        </is>
      </c>
      <c r="C7" s="26" t="inlineStr">
        <is>
          <t>Notify bank of travel</t>
        </is>
      </c>
      <c r="E7" s="53" t="inlineStr">
        <is>
          <t>☐</t>
        </is>
      </c>
      <c r="F7" s="26" t="inlineStr">
        <is>
          <t>Weigh bags</t>
        </is>
      </c>
    </row>
    <row r="8">
      <c r="B8" s="52" t="inlineStr">
        <is>
          <t>☐</t>
        </is>
      </c>
      <c r="C8" s="20" t="inlineStr">
        <is>
          <t>Buy travel insurance</t>
        </is>
      </c>
      <c r="E8" s="52" t="inlineStr">
        <is>
          <t>☐</t>
        </is>
      </c>
      <c r="F8" s="20" t="inlineStr">
        <is>
          <t>Passport + boarding pass out</t>
        </is>
      </c>
    </row>
    <row r="9">
      <c r="B9" s="53" t="inlineStr">
        <is>
          <t>☐</t>
        </is>
      </c>
      <c r="C9" s="26" t="inlineStr">
        <is>
          <t>Download offline maps</t>
        </is>
      </c>
      <c r="E9" s="53" t="inlineStr">
        <is>
          <t>☐</t>
        </is>
      </c>
      <c r="F9" s="26" t="inlineStr">
        <is>
          <t>Snacks + water bottle</t>
        </is>
      </c>
    </row>
    <row r="10">
      <c r="B10" s="52" t="inlineStr">
        <is>
          <t>☐</t>
        </is>
      </c>
      <c r="C10" s="20" t="inlineStr">
        <is>
          <t>Set up eSIM / roaming</t>
        </is>
      </c>
      <c r="E10" s="52" t="inlineStr">
        <is>
          <t>☐</t>
        </is>
      </c>
      <c r="F10" s="20" t="inlineStr">
        <is>
          <t>Neck pillow &amp; meds</t>
        </is>
      </c>
    </row>
    <row r="11">
      <c r="B11" s="53" t="inlineStr">
        <is>
          <t>☐</t>
        </is>
      </c>
      <c r="C11" s="26" t="inlineStr">
        <is>
          <t>Arrange pet / plant care</t>
        </is>
      </c>
      <c r="E11" s="53" t="inlineStr">
        <is>
          <t>☐</t>
        </is>
      </c>
      <c r="F11" s="26" t="inlineStr">
        <is>
          <t>Screenshot confirmations</t>
        </is>
      </c>
    </row>
    <row r="12">
      <c r="B12" s="52" t="inlineStr">
        <is>
          <t>☐</t>
        </is>
      </c>
      <c r="C12" s="20" t="inlineStr">
        <is>
          <t>Hold mail / packages</t>
        </is>
      </c>
    </row>
    <row r="13">
      <c r="B13" s="53" t="inlineStr">
        <is>
          <t>☐</t>
        </is>
      </c>
      <c r="C13" s="26" t="inlineStr">
        <is>
          <t>Charge all devices</t>
        </is>
      </c>
    </row>
    <row r="15" ht="22" customHeight="1">
      <c r="B15" s="4" t="inlineStr">
        <is>
          <t>HOTEL CHECK-IN</t>
        </is>
      </c>
      <c r="E15" s="4" t="inlineStr">
        <is>
          <t>RETURN HOME</t>
        </is>
      </c>
    </row>
    <row r="16">
      <c r="B16" s="52" t="inlineStr">
        <is>
          <t>☐</t>
        </is>
      </c>
      <c r="C16" s="20" t="inlineStr">
        <is>
          <t>Confirm reservation</t>
        </is>
      </c>
      <c r="E16" s="52" t="inlineStr">
        <is>
          <t>☐</t>
        </is>
      </c>
      <c r="F16" s="20" t="inlineStr">
        <is>
          <t>Charge phone for travel</t>
        </is>
      </c>
    </row>
    <row r="17">
      <c r="B17" s="53" t="inlineStr">
        <is>
          <t>☐</t>
        </is>
      </c>
      <c r="C17" s="26" t="inlineStr">
        <is>
          <t>Photo of room condition</t>
        </is>
      </c>
      <c r="E17" s="53" t="inlineStr">
        <is>
          <t>☐</t>
        </is>
      </c>
      <c r="F17" s="26" t="inlineStr">
        <is>
          <t>Check under beds &amp; drawers</t>
        </is>
      </c>
    </row>
    <row r="18">
      <c r="B18" s="52" t="inlineStr">
        <is>
          <t>☐</t>
        </is>
      </c>
      <c r="C18" s="20" t="inlineStr">
        <is>
          <t>Find nearest pharmacy</t>
        </is>
      </c>
      <c r="E18" s="52" t="inlineStr">
        <is>
          <t>☐</t>
        </is>
      </c>
      <c r="F18" s="20" t="inlineStr">
        <is>
          <t>Keep receipts for taxes</t>
        </is>
      </c>
    </row>
    <row r="19">
      <c r="B19" s="53" t="inlineStr">
        <is>
          <t>☐</t>
        </is>
      </c>
      <c r="C19" s="26" t="inlineStr">
        <is>
          <t>Save hotel address (offline)</t>
        </is>
      </c>
      <c r="E19" s="53" t="inlineStr">
        <is>
          <t>☐</t>
        </is>
      </c>
      <c r="F19" s="26" t="inlineStr">
        <is>
          <t>Back up photos</t>
        </is>
      </c>
    </row>
    <row r="20">
      <c r="B20" s="52" t="inlineStr">
        <is>
          <t>☐</t>
        </is>
      </c>
      <c r="C20" s="20" t="inlineStr">
        <is>
          <t>Note checkout time</t>
        </is>
      </c>
      <c r="E20" s="52" t="inlineStr">
        <is>
          <t>☐</t>
        </is>
      </c>
      <c r="F20" s="20" t="inlineStr">
        <is>
          <t>Leave a review</t>
        </is>
      </c>
    </row>
    <row r="21">
      <c r="E21" s="53" t="inlineStr">
        <is>
          <t>☐</t>
        </is>
      </c>
      <c r="F21" s="26" t="inlineStr">
        <is>
          <t>Unpack + laundry</t>
        </is>
      </c>
    </row>
  </sheetData>
  <mergeCells count="6">
    <mergeCell ref="A1:G1"/>
    <mergeCell ref="B15:C15"/>
    <mergeCell ref="E15:F15"/>
    <mergeCell ref="B5:C5"/>
    <mergeCell ref="E5:F5"/>
    <mergeCell ref="A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MEMORY GALLERY</t>
        </is>
      </c>
    </row>
    <row r="2" ht="22" customHeight="1">
      <c r="A2" s="2" t="inlineStr">
        <is>
          <t xml:space="preserve">  The trip you'll relive for years — paste photos with the story behind each.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Destination Highlight</t>
        </is>
      </c>
      <c r="F5" s="7" t="inlineStr">
        <is>
          <t xml:space="preserve">  Landmark</t>
        </is>
      </c>
    </row>
    <row r="6" ht="24" customHeight="1">
      <c r="B6" s="54" t="inlineStr">
        <is>
          <t>📷
Paste photo here
(Insert ▸ Picture)</t>
        </is>
      </c>
      <c r="F6" s="54" t="inlineStr">
        <is>
          <t>📷
Paste photo here
(Insert ▸ Picture)</t>
        </is>
      </c>
    </row>
    <row r="7" ht="24" customHeight="1"/>
    <row r="8" ht="24" customHeight="1"/>
    <row r="9" ht="24" customHeight="1"/>
    <row r="10" ht="24" customHeight="1"/>
    <row r="11">
      <c r="B11" s="17" t="inlineStr">
        <is>
          <t>Location / Date</t>
        </is>
      </c>
      <c r="C11" s="18" t="inlineStr"/>
      <c r="F11" s="17" t="inlineStr">
        <is>
          <t>Location / Date</t>
        </is>
      </c>
      <c r="G11" s="18" t="inlineStr"/>
    </row>
    <row r="12">
      <c r="B12" s="17" t="inlineStr">
        <is>
          <t>Caption</t>
        </is>
      </c>
      <c r="C12" s="18" t="inlineStr"/>
      <c r="F12" s="17" t="inlineStr">
        <is>
          <t>Caption</t>
        </is>
      </c>
      <c r="G12" s="18" t="inlineStr"/>
    </row>
    <row r="14" ht="22" customHeight="1">
      <c r="B14" s="7" t="inlineStr">
        <is>
          <t xml:space="preserve">  Best Meal</t>
        </is>
      </c>
      <c r="F14" s="7" t="inlineStr">
        <is>
          <t xml:space="preserve">  Adventure</t>
        </is>
      </c>
    </row>
    <row r="15" ht="24" customHeight="1">
      <c r="B15" s="54" t="inlineStr">
        <is>
          <t>📷
Paste photo here
(Insert ▸ Picture)</t>
        </is>
      </c>
      <c r="F15" s="54" t="inlineStr">
        <is>
          <t>📷
Paste photo here
(Insert ▸ Picture)</t>
        </is>
      </c>
    </row>
    <row r="16" ht="24" customHeight="1"/>
    <row r="17" ht="24" customHeight="1"/>
    <row r="18" ht="24" customHeight="1"/>
    <row r="19" ht="24" customHeight="1"/>
    <row r="20">
      <c r="B20" s="17" t="inlineStr">
        <is>
          <t>Location / Date</t>
        </is>
      </c>
      <c r="C20" s="18" t="inlineStr"/>
      <c r="F20" s="17" t="inlineStr">
        <is>
          <t>Location / Date</t>
        </is>
      </c>
      <c r="G20" s="18" t="inlineStr"/>
    </row>
    <row r="21">
      <c r="B21" s="17" t="inlineStr">
        <is>
          <t>Caption</t>
        </is>
      </c>
      <c r="C21" s="18" t="inlineStr"/>
      <c r="F21" s="17" t="inlineStr">
        <is>
          <t>Caption</t>
        </is>
      </c>
      <c r="G21" s="18" t="inlineStr"/>
    </row>
    <row r="23" ht="22" customHeight="1">
      <c r="B23" s="7" t="inlineStr">
        <is>
          <t xml:space="preserve">  Us / Family</t>
        </is>
      </c>
      <c r="F23" s="7" t="inlineStr">
        <is>
          <t xml:space="preserve">  Souvenir</t>
        </is>
      </c>
    </row>
    <row r="24" ht="24" customHeight="1">
      <c r="B24" s="54" t="inlineStr">
        <is>
          <t>📷
Paste photo here
(Insert ▸ Picture)</t>
        </is>
      </c>
      <c r="F24" s="54" t="inlineStr">
        <is>
          <t>📷
Paste photo here
(Insert ▸ Picture)</t>
        </is>
      </c>
    </row>
    <row r="25" ht="24" customHeight="1"/>
    <row r="26" ht="24" customHeight="1"/>
    <row r="27" ht="24" customHeight="1"/>
    <row r="28" ht="24" customHeight="1"/>
    <row r="29">
      <c r="B29" s="17" t="inlineStr">
        <is>
          <t>Location / Date</t>
        </is>
      </c>
      <c r="C29" s="18" t="inlineStr"/>
      <c r="F29" s="17" t="inlineStr">
        <is>
          <t>Location / Date</t>
        </is>
      </c>
      <c r="G29" s="18" t="inlineStr"/>
    </row>
    <row r="30">
      <c r="B30" s="17" t="inlineStr">
        <is>
          <t>Caption</t>
        </is>
      </c>
      <c r="C30" s="18" t="inlineStr"/>
      <c r="F30" s="17" t="inlineStr">
        <is>
          <t>Caption</t>
        </is>
      </c>
      <c r="G30" s="18" t="inlineStr"/>
    </row>
    <row r="32" ht="22" customHeight="1">
      <c r="B32" s="7" t="inlineStr">
        <is>
          <t xml:space="preserve">  Favorite Moment</t>
        </is>
      </c>
      <c r="F32" s="7" t="inlineStr">
        <is>
          <t xml:space="preserve">  Sunset / View</t>
        </is>
      </c>
    </row>
    <row r="33" ht="24" customHeight="1">
      <c r="B33" s="54" t="inlineStr">
        <is>
          <t>📷
Paste photo here
(Insert ▸ Picture)</t>
        </is>
      </c>
      <c r="F33" s="54" t="inlineStr">
        <is>
          <t>📷
Paste photo here
(Insert ▸ Picture)</t>
        </is>
      </c>
    </row>
    <row r="34" ht="24" customHeight="1"/>
    <row r="35" ht="24" customHeight="1"/>
    <row r="36" ht="24" customHeight="1"/>
    <row r="37" ht="24" customHeight="1"/>
    <row r="38">
      <c r="B38" s="17" t="inlineStr">
        <is>
          <t>Location / Date</t>
        </is>
      </c>
      <c r="C38" s="18" t="inlineStr"/>
      <c r="F38" s="17" t="inlineStr">
        <is>
          <t>Location / Date</t>
        </is>
      </c>
      <c r="G38" s="18" t="inlineStr"/>
    </row>
    <row r="39">
      <c r="B39" s="17" t="inlineStr">
        <is>
          <t>Caption</t>
        </is>
      </c>
      <c r="C39" s="18" t="inlineStr"/>
      <c r="F39" s="17" t="inlineStr">
        <is>
          <t>Caption</t>
        </is>
      </c>
      <c r="G39" s="18" t="inlineStr"/>
    </row>
  </sheetData>
  <mergeCells count="34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32:H32"/>
    <mergeCell ref="F24:H28"/>
    <mergeCell ref="G39:H39"/>
    <mergeCell ref="F23:H23"/>
    <mergeCell ref="C20:D20"/>
    <mergeCell ref="A2:I2"/>
    <mergeCell ref="C29:D29"/>
    <mergeCell ref="F33:H37"/>
    <mergeCell ref="G38:H38"/>
    <mergeCell ref="C12:D12"/>
    <mergeCell ref="B15:D19"/>
    <mergeCell ref="B5:D5"/>
    <mergeCell ref="B6:D10"/>
    <mergeCell ref="C21:D21"/>
    <mergeCell ref="F14:H14"/>
    <mergeCell ref="G30:H30"/>
    <mergeCell ref="C11:D11"/>
    <mergeCell ref="B32:D32"/>
    <mergeCell ref="B24:D28"/>
    <mergeCell ref="B33:D37"/>
    <mergeCell ref="C39:D39"/>
    <mergeCell ref="G29:H29"/>
    <mergeCell ref="G20:H20"/>
    <mergeCell ref="C38:D38"/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2" customWidth="1" min="4" max="4"/>
    <col width="12" customWidth="1" min="5" max="5"/>
    <col width="10" customWidth="1" min="6" max="6"/>
    <col width="24" customWidth="1" min="7" max="7"/>
  </cols>
  <sheetData>
    <row r="1" ht="46" customHeight="1">
      <c r="A1" s="1" t="inlineStr">
        <is>
          <t xml:space="preserve">  📓  TRAVEL JOURNAL</t>
        </is>
      </c>
    </row>
    <row r="2" ht="22" customHeight="1">
      <c r="A2" s="2" t="inlineStr">
        <is>
          <t xml:space="preserve">  The trip you'll want to remember — a few lines a day is all it takes.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Location</t>
        </is>
      </c>
      <c r="C4" s="7" t="inlineStr">
        <is>
          <t>Highlight</t>
        </is>
      </c>
      <c r="D4" s="7" t="inlineStr">
        <is>
          <t>Favorite Moment</t>
        </is>
      </c>
      <c r="E4" s="7" t="inlineStr">
        <is>
          <t>Weather</t>
        </is>
      </c>
      <c r="F4" s="7" t="inlineStr">
        <is>
          <t>Spent</t>
        </is>
      </c>
      <c r="G4" s="7" t="inlineStr">
        <is>
          <t>Reflections</t>
        </is>
      </c>
    </row>
    <row r="5">
      <c r="A5" s="22" t="n">
        <v>46249</v>
      </c>
      <c r="B5" s="39" t="inlineStr">
        <is>
          <t>Paris</t>
        </is>
      </c>
      <c r="C5" s="23" t="inlineStr">
        <is>
          <t>Landed &amp; Seine sunset</t>
        </is>
      </c>
      <c r="D5" s="23" t="inlineStr">
        <is>
          <t>First croissant!</t>
        </is>
      </c>
      <c r="E5" s="39" t="inlineStr">
        <is>
          <t>Sunny 68°</t>
        </is>
      </c>
      <c r="F5" s="40" t="n">
        <v>45</v>
      </c>
      <c r="G5" s="23" t="inlineStr"/>
    </row>
    <row r="6">
      <c r="A6" s="25" t="n">
        <v>46250</v>
      </c>
      <c r="B6" s="41" t="inlineStr">
        <is>
          <t>Paris</t>
        </is>
      </c>
      <c r="C6" s="26" t="inlineStr">
        <is>
          <t>Louvre + climbed Eiffel</t>
        </is>
      </c>
      <c r="D6" s="26" t="inlineStr">
        <is>
          <t>Top at golden hour</t>
        </is>
      </c>
      <c r="E6" s="41" t="inlineStr">
        <is>
          <t>Clear 70°</t>
        </is>
      </c>
      <c r="F6" s="33" t="n">
        <v>120</v>
      </c>
      <c r="G6" s="26" t="inlineStr"/>
    </row>
    <row r="7">
      <c r="A7" s="22" t="n"/>
      <c r="B7" s="39" t="n"/>
      <c r="C7" s="23" t="n"/>
      <c r="D7" s="23" t="n"/>
      <c r="E7" s="39" t="n"/>
      <c r="F7" s="40" t="n"/>
      <c r="G7" s="23" t="n"/>
    </row>
    <row r="8">
      <c r="A8" s="25" t="n"/>
      <c r="B8" s="41" t="n"/>
      <c r="C8" s="26" t="n"/>
      <c r="D8" s="26" t="n"/>
      <c r="E8" s="41" t="n"/>
      <c r="F8" s="33" t="n"/>
      <c r="G8" s="26" t="n"/>
    </row>
    <row r="9">
      <c r="A9" s="22" t="n"/>
      <c r="B9" s="39" t="n"/>
      <c r="C9" s="23" t="n"/>
      <c r="D9" s="23" t="n"/>
      <c r="E9" s="39" t="n"/>
      <c r="F9" s="40" t="n"/>
      <c r="G9" s="23" t="n"/>
    </row>
    <row r="10">
      <c r="A10" s="25" t="n"/>
      <c r="B10" s="41" t="n"/>
      <c r="C10" s="26" t="n"/>
      <c r="D10" s="26" t="n"/>
      <c r="E10" s="41" t="n"/>
      <c r="F10" s="33" t="n"/>
      <c r="G10" s="26" t="n"/>
    </row>
    <row r="11">
      <c r="A11" s="22" t="n"/>
      <c r="B11" s="39" t="n"/>
      <c r="C11" s="23" t="n"/>
      <c r="D11" s="23" t="n"/>
      <c r="E11" s="39" t="n"/>
      <c r="F11" s="40" t="n"/>
      <c r="G11" s="23" t="n"/>
    </row>
    <row r="12">
      <c r="A12" s="25" t="n"/>
      <c r="B12" s="41" t="n"/>
      <c r="C12" s="26" t="n"/>
      <c r="D12" s="26" t="n"/>
      <c r="E12" s="41" t="n"/>
      <c r="F12" s="33" t="n"/>
      <c r="G12" s="26" t="n"/>
    </row>
    <row r="13">
      <c r="A13" s="22" t="n"/>
      <c r="B13" s="39" t="n"/>
      <c r="C13" s="23" t="n"/>
      <c r="D13" s="23" t="n"/>
      <c r="E13" s="39" t="n"/>
      <c r="F13" s="40" t="n"/>
      <c r="G13" s="23" t="n"/>
    </row>
    <row r="14">
      <c r="A14" s="25" t="n"/>
      <c r="B14" s="41" t="n"/>
      <c r="C14" s="26" t="n"/>
      <c r="D14" s="26" t="n"/>
      <c r="E14" s="41" t="n"/>
      <c r="F14" s="33" t="n"/>
      <c r="G14" s="26" t="n"/>
    </row>
    <row r="15">
      <c r="A15" s="22" t="n"/>
      <c r="B15" s="39" t="n"/>
      <c r="C15" s="23" t="n"/>
      <c r="D15" s="23" t="n"/>
      <c r="E15" s="39" t="n"/>
      <c r="F15" s="40" t="n"/>
      <c r="G15" s="23" t="n"/>
    </row>
    <row r="16">
      <c r="A16" s="25" t="n"/>
      <c r="B16" s="41" t="n"/>
      <c r="C16" s="26" t="n"/>
      <c r="D16" s="26" t="n"/>
      <c r="E16" s="41" t="n"/>
      <c r="F16" s="33" t="n"/>
      <c r="G16" s="26" t="n"/>
    </row>
    <row r="17">
      <c r="A17" s="22" t="n"/>
      <c r="B17" s="39" t="n"/>
      <c r="C17" s="23" t="n"/>
      <c r="D17" s="23" t="n"/>
      <c r="E17" s="39" t="n"/>
      <c r="F17" s="40" t="n"/>
      <c r="G17" s="23" t="n"/>
    </row>
    <row r="18">
      <c r="A18" s="25" t="n"/>
      <c r="B18" s="41" t="n"/>
      <c r="C18" s="26" t="n"/>
      <c r="D18" s="26" t="n"/>
      <c r="E18" s="41" t="n"/>
      <c r="F18" s="33" t="n"/>
      <c r="G18" s="26" t="n"/>
    </row>
    <row r="19">
      <c r="A19" s="22" t="n"/>
      <c r="B19" s="39" t="n"/>
      <c r="C19" s="23" t="n"/>
      <c r="D19" s="23" t="n"/>
      <c r="E19" s="39" t="n"/>
      <c r="F19" s="40" t="n"/>
      <c r="G19" s="23" t="n"/>
    </row>
    <row r="20">
      <c r="A20" s="25" t="n"/>
      <c r="B20" s="41" t="n"/>
      <c r="C20" s="26" t="n"/>
      <c r="D20" s="26" t="n"/>
      <c r="E20" s="41" t="n"/>
      <c r="F20" s="33" t="n"/>
      <c r="G20" s="26" t="n"/>
    </row>
    <row r="21">
      <c r="A21" s="22" t="n"/>
      <c r="B21" s="39" t="n"/>
      <c r="C21" s="23" t="n"/>
      <c r="D21" s="23" t="n"/>
      <c r="E21" s="39" t="n"/>
      <c r="F21" s="40" t="n"/>
      <c r="G21" s="23" t="n"/>
    </row>
    <row r="22">
      <c r="A22" s="25" t="n"/>
      <c r="B22" s="41" t="n"/>
      <c r="C22" s="26" t="n"/>
      <c r="D22" s="26" t="n"/>
      <c r="E22" s="41" t="n"/>
      <c r="F22" s="33" t="n"/>
      <c r="G22" s="26" t="n"/>
    </row>
    <row r="23">
      <c r="A23" s="22" t="n"/>
      <c r="B23" s="39" t="n"/>
      <c r="C23" s="23" t="n"/>
      <c r="D23" s="23" t="n"/>
      <c r="E23" s="39" t="n"/>
      <c r="F23" s="40" t="n"/>
      <c r="G23" s="23" t="n"/>
    </row>
    <row r="24">
      <c r="A24" s="25" t="n"/>
      <c r="B24" s="41" t="n"/>
      <c r="C24" s="26" t="n"/>
      <c r="D24" s="26" t="n"/>
      <c r="E24" s="41" t="n"/>
      <c r="F24" s="33" t="n"/>
      <c r="G24" s="26" t="n"/>
    </row>
    <row r="25">
      <c r="A25" s="22" t="n"/>
      <c r="B25" s="39" t="n"/>
      <c r="C25" s="23" t="n"/>
      <c r="D25" s="23" t="n"/>
      <c r="E25" s="39" t="n"/>
      <c r="F25" s="40" t="n"/>
      <c r="G25" s="23" t="n"/>
    </row>
    <row r="26">
      <c r="A26" s="25" t="n"/>
      <c r="B26" s="41" t="n"/>
      <c r="C26" s="26" t="n"/>
      <c r="D26" s="26" t="n"/>
      <c r="E26" s="41" t="n"/>
      <c r="F26" s="33" t="n"/>
      <c r="G26" s="26" t="n"/>
    </row>
    <row r="27">
      <c r="A27" s="22" t="n"/>
      <c r="B27" s="39" t="n"/>
      <c r="C27" s="23" t="n"/>
      <c r="D27" s="23" t="n"/>
      <c r="E27" s="39" t="n"/>
      <c r="F27" s="40" t="n"/>
      <c r="G27" s="23" t="n"/>
    </row>
    <row r="28">
      <c r="A28" s="25" t="n"/>
      <c r="B28" s="41" t="n"/>
      <c r="C28" s="26" t="n"/>
      <c r="D28" s="26" t="n"/>
      <c r="E28" s="41" t="n"/>
      <c r="F28" s="33" t="n"/>
      <c r="G28" s="26" t="n"/>
    </row>
    <row r="29">
      <c r="A29" s="22" t="n"/>
      <c r="B29" s="39" t="n"/>
      <c r="C29" s="23" t="n"/>
      <c r="D29" s="23" t="n"/>
      <c r="E29" s="39" t="n"/>
      <c r="F29" s="40" t="n"/>
      <c r="G29" s="23" t="n"/>
    </row>
    <row r="30">
      <c r="A30" s="25" t="n"/>
      <c r="B30" s="41" t="n"/>
      <c r="C30" s="26" t="n"/>
      <c r="D30" s="26" t="n"/>
      <c r="E30" s="41" t="n"/>
      <c r="F30" s="33" t="n"/>
      <c r="G30" s="26" t="n"/>
    </row>
    <row r="31">
      <c r="A31" s="22" t="n"/>
      <c r="B31" s="39" t="n"/>
      <c r="C31" s="23" t="n"/>
      <c r="D31" s="23" t="n"/>
      <c r="E31" s="39" t="n"/>
      <c r="F31" s="40" t="n"/>
      <c r="G31" s="23" t="n"/>
    </row>
    <row r="32">
      <c r="A32" s="25" t="n"/>
      <c r="B32" s="41" t="n"/>
      <c r="C32" s="26" t="n"/>
      <c r="D32" s="26" t="n"/>
      <c r="E32" s="41" t="n"/>
      <c r="F32" s="33" t="n"/>
      <c r="G32" s="26" t="n"/>
    </row>
    <row r="33">
      <c r="A33" s="22" t="n"/>
      <c r="B33" s="39" t="n"/>
      <c r="C33" s="23" t="n"/>
      <c r="D33" s="23" t="n"/>
      <c r="E33" s="39" t="n"/>
      <c r="F33" s="40" t="n"/>
      <c r="G33" s="23" t="n"/>
    </row>
    <row r="34">
      <c r="A34" s="25" t="n"/>
      <c r="B34" s="41" t="n"/>
      <c r="C34" s="26" t="n"/>
      <c r="D34" s="26" t="n"/>
      <c r="E34" s="41" t="n"/>
      <c r="F34" s="33" t="n"/>
      <c r="G34" s="26" t="n"/>
    </row>
    <row r="35">
      <c r="A35" s="22" t="n"/>
      <c r="B35" s="39" t="n"/>
      <c r="C35" s="23" t="n"/>
      <c r="D35" s="23" t="n"/>
      <c r="E35" s="39" t="n"/>
      <c r="F35" s="40" t="n"/>
      <c r="G35" s="23" t="n"/>
    </row>
    <row r="36">
      <c r="A36" s="25" t="n"/>
      <c r="B36" s="41" t="n"/>
      <c r="C36" s="26" t="n"/>
      <c r="D36" s="26" t="n"/>
      <c r="E36" s="41" t="n"/>
      <c r="F36" s="33" t="n"/>
      <c r="G36" s="26" t="n"/>
    </row>
    <row r="37">
      <c r="A37" s="22" t="n"/>
      <c r="B37" s="39" t="n"/>
      <c r="C37" s="23" t="n"/>
      <c r="D37" s="23" t="n"/>
      <c r="E37" s="39" t="n"/>
      <c r="F37" s="40" t="n"/>
      <c r="G37" s="23" t="n"/>
    </row>
    <row r="38">
      <c r="A38" s="25" t="n"/>
      <c r="B38" s="41" t="n"/>
      <c r="C38" s="26" t="n"/>
      <c r="D38" s="26" t="n"/>
      <c r="E38" s="41" t="n"/>
      <c r="F38" s="33" t="n"/>
      <c r="G38" s="26" t="n"/>
    </row>
    <row r="39">
      <c r="A39" s="22" t="n"/>
      <c r="B39" s="39" t="n"/>
      <c r="C39" s="23" t="n"/>
      <c r="D39" s="23" t="n"/>
      <c r="E39" s="39" t="n"/>
      <c r="F39" s="40" t="n"/>
      <c r="G39" s="23" t="n"/>
    </row>
    <row r="40">
      <c r="A40" s="25" t="n"/>
      <c r="B40" s="41" t="n"/>
      <c r="C40" s="26" t="n"/>
      <c r="D40" s="26" t="n"/>
      <c r="E40" s="41" t="n"/>
      <c r="F40" s="33" t="n"/>
      <c r="G40" s="26" t="n"/>
    </row>
    <row r="41">
      <c r="A41" s="22" t="n"/>
      <c r="B41" s="39" t="n"/>
      <c r="C41" s="23" t="n"/>
      <c r="D41" s="23" t="n"/>
      <c r="E41" s="39" t="n"/>
      <c r="F41" s="40" t="n"/>
      <c r="G41" s="23" t="n"/>
    </row>
    <row r="42">
      <c r="A42" s="25" t="n"/>
      <c r="B42" s="41" t="n"/>
      <c r="C42" s="26" t="n"/>
      <c r="D42" s="26" t="n"/>
      <c r="E42" s="41" t="n"/>
      <c r="F42" s="33" t="n"/>
      <c r="G42" s="26" t="n"/>
    </row>
    <row r="43">
      <c r="A43" s="22" t="n"/>
      <c r="B43" s="39" t="n"/>
      <c r="C43" s="23" t="n"/>
      <c r="D43" s="23" t="n"/>
      <c r="E43" s="39" t="n"/>
      <c r="F43" s="40" t="n"/>
      <c r="G43" s="23" t="n"/>
    </row>
    <row r="44">
      <c r="A44" s="25" t="n"/>
      <c r="B44" s="41" t="n"/>
      <c r="C44" s="26" t="n"/>
      <c r="D44" s="26" t="n"/>
      <c r="E44" s="41" t="n"/>
      <c r="F44" s="33" t="n"/>
      <c r="G44" s="26" t="n"/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" customWidth="1" min="12" max="12"/>
  </cols>
  <sheetData>
    <row r="1" ht="46" customHeight="1">
      <c r="A1" s="1" t="inlineStr">
        <is>
          <t xml:space="preserve">  📈  ANALYTICS DASHBOARD</t>
        </is>
      </c>
    </row>
    <row r="2" ht="22" customHeight="1">
      <c r="A2" s="2" t="inlineStr">
        <is>
          <t xml:space="preserve">  Your trip by the numbers — budget health, readiness &amp; a Trip Readiness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TRIP READINESS SCORES</t>
        </is>
      </c>
      <c r="F5" s="4" t="inlineStr">
        <is>
          <t>TRIP READINESS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55">
        <f>IFERROR(AVERAGE(C7:C11),0)</f>
        <v/>
      </c>
      <c r="G6" s="56" t="n"/>
      <c r="H6" s="56" t="n"/>
    </row>
    <row r="7">
      <c r="B7" s="20" t="inlineStr">
        <is>
          <t>Documents ready</t>
        </is>
      </c>
      <c r="C7" s="30">
        <f>IFERROR(COUNTIF(DocReady,"Yes")/MAX(COUNTA(DocName),1),0)</f>
        <v/>
      </c>
      <c r="D7" s="57">
        <f>IF(C7&gt;=0.75,"Ready",IF(C7&gt;=0.4,"Getting There","To Do"))</f>
        <v/>
      </c>
      <c r="F7" s="58" t="n"/>
      <c r="G7" s="58" t="n"/>
      <c r="H7" s="58" t="n"/>
    </row>
    <row r="8">
      <c r="B8" s="26" t="inlineStr">
        <is>
          <t>Packing complete</t>
        </is>
      </c>
      <c r="C8" s="35">
        <f>IFERROR(COUNTIF(PackDone,"Yes")/MAX(COUNTA(PackDone),1),0)</f>
        <v/>
      </c>
      <c r="D8" s="41">
        <f>IF(C8&gt;=0.75,"Ready",IF(C8&gt;=0.4,"Getting There","To Do"))</f>
        <v/>
      </c>
      <c r="F8" s="58" t="n"/>
      <c r="G8" s="58" t="n"/>
      <c r="H8" s="58" t="n"/>
    </row>
    <row r="9">
      <c r="B9" s="20" t="inlineStr">
        <is>
          <t>Savings funded</t>
        </is>
      </c>
      <c r="C9" s="30">
        <f>SavProgress</f>
        <v/>
      </c>
      <c r="D9" s="57">
        <f>IF(C9&gt;=0.75,"Ready",IF(C9&gt;=0.4,"Getting There","To Do"))</f>
        <v/>
      </c>
      <c r="F9" s="58" t="n"/>
      <c r="G9" s="58" t="n"/>
      <c r="H9" s="58" t="n"/>
    </row>
    <row r="10">
      <c r="B10" s="26" t="inlineStr">
        <is>
          <t>Activities booked</t>
        </is>
      </c>
      <c r="C10" s="35">
        <f>IFERROR(COUNTIF(ActStatus,"Booked")/MAX(COUNTA(ActStatus),1),0)</f>
        <v/>
      </c>
      <c r="D10" s="41">
        <f>IF(C10&gt;=0.75,"Ready",IF(C10&gt;=0.4,"Getting There","To Do"))</f>
        <v/>
      </c>
      <c r="F10" s="59" t="inlineStr">
        <is>
          <t>A blend of documents, packing, savings, bookings &amp; itinerary.</t>
        </is>
      </c>
    </row>
    <row r="11">
      <c r="B11" s="20" t="inlineStr">
        <is>
          <t>Itinerary planned</t>
        </is>
      </c>
      <c r="C11" s="30">
        <f>IFERROR(COUNTA(ItinCity)/MAX(TripDays,1),0)</f>
        <v/>
      </c>
      <c r="D11" s="57">
        <f>IF(C11&gt;=0.75,"Ready",IF(C11&gt;=0.4,"Getting There","To Do"))</f>
        <v/>
      </c>
    </row>
    <row r="12">
      <c r="B12" s="26" t="inlineStr">
        <is>
          <t>On budget</t>
        </is>
      </c>
      <c r="C12" s="35">
        <f>IFERROR(1-BudgetTotalActual/BudgetTotalPlanned,0)</f>
        <v/>
      </c>
      <c r="D12" s="41">
        <f>IF(C12&gt;=0.75,"Ready",IF(C12&gt;=0.4,"Getting There","To Do"))</f>
        <v/>
      </c>
    </row>
  </sheetData>
  <mergeCells count="6">
    <mergeCell ref="A2:L2"/>
    <mergeCell ref="F10:H10"/>
    <mergeCell ref="B5:D5"/>
    <mergeCell ref="F5:H5"/>
    <mergeCell ref="A1:L1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E5D3BA"/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trip details once — every dashboard follows. Edit the lists to fit any journey.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6" t="inlineStr">
        <is>
          <t>TRIP INPUTS</t>
        </is>
      </c>
      <c r="E5" s="4" t="inlineStr">
        <is>
          <t>DROPDOWN LISTS</t>
        </is>
      </c>
    </row>
    <row r="6">
      <c r="B6" s="17" t="inlineStr">
        <is>
          <t>Trip Name</t>
        </is>
      </c>
      <c r="C6" s="43" t="inlineStr">
        <is>
          <t>Europe Grand Tour</t>
        </is>
      </c>
      <c r="E6" s="7" t="inlineStr">
        <is>
          <t>Expense Category</t>
        </is>
      </c>
      <c r="F6" s="7" t="inlineStr">
        <is>
          <t>Currency</t>
        </is>
      </c>
      <c r="G6" s="7" t="inlineStr">
        <is>
          <t>Transport Type</t>
        </is>
      </c>
      <c r="H6" s="7" t="inlineStr">
        <is>
          <t>Accommodation</t>
        </is>
      </c>
      <c r="I6" s="7" t="inlineStr">
        <is>
          <t>Travel Style</t>
        </is>
      </c>
      <c r="J6" s="7" t="inlineStr">
        <is>
          <t>Activity Category</t>
        </is>
      </c>
      <c r="K6" s="7" t="inlineStr">
        <is>
          <t>Packing Category</t>
        </is>
      </c>
    </row>
    <row r="7">
      <c r="B7" s="17" t="inlineStr">
        <is>
          <t>Departure Date</t>
        </is>
      </c>
      <c r="C7" s="60" t="n">
        <v>46249</v>
      </c>
      <c r="E7" s="20" t="inlineStr">
        <is>
          <t>Flights</t>
        </is>
      </c>
      <c r="F7" s="20" t="inlineStr">
        <is>
          <t>USD</t>
        </is>
      </c>
      <c r="G7" s="20" t="inlineStr">
        <is>
          <t>Flight</t>
        </is>
      </c>
      <c r="H7" s="20" t="inlineStr">
        <is>
          <t>Hotel</t>
        </is>
      </c>
      <c r="I7" s="20" t="inlineStr">
        <is>
          <t>Budget</t>
        </is>
      </c>
      <c r="J7" s="20" t="inlineStr">
        <is>
          <t>Sightseeing</t>
        </is>
      </c>
      <c r="K7" s="20" t="inlineStr">
        <is>
          <t>Clothing</t>
        </is>
      </c>
    </row>
    <row r="8">
      <c r="B8" s="17" t="inlineStr">
        <is>
          <t>Return Date</t>
        </is>
      </c>
      <c r="C8" s="60" t="n">
        <v>46263</v>
      </c>
      <c r="E8" s="20" t="inlineStr">
        <is>
          <t>Hotels</t>
        </is>
      </c>
      <c r="F8" s="20" t="inlineStr">
        <is>
          <t>EUR</t>
        </is>
      </c>
      <c r="G8" s="20" t="inlineStr">
        <is>
          <t>Train</t>
        </is>
      </c>
      <c r="H8" s="20" t="inlineStr">
        <is>
          <t>Vacation Rental</t>
        </is>
      </c>
      <c r="I8" s="20" t="inlineStr">
        <is>
          <t>Mid-range</t>
        </is>
      </c>
      <c r="J8" s="20" t="inlineStr">
        <is>
          <t>Tour</t>
        </is>
      </c>
      <c r="K8" s="20" t="inlineStr">
        <is>
          <t>Shoes</t>
        </is>
      </c>
    </row>
    <row r="9">
      <c r="B9" s="17" t="inlineStr">
        <is>
          <t>Travelers</t>
        </is>
      </c>
      <c r="C9" s="61" t="n">
        <v>2</v>
      </c>
      <c r="E9" s="20" t="inlineStr">
        <is>
          <t>Vacation Rentals</t>
        </is>
      </c>
      <c r="F9" s="20" t="inlineStr">
        <is>
          <t>GBP</t>
        </is>
      </c>
      <c r="G9" s="20" t="inlineStr">
        <is>
          <t>Bus</t>
        </is>
      </c>
      <c r="H9" s="20" t="inlineStr">
        <is>
          <t>Hostel</t>
        </is>
      </c>
      <c r="I9" s="20" t="inlineStr">
        <is>
          <t>Luxury</t>
        </is>
      </c>
      <c r="J9" s="20" t="inlineStr">
        <is>
          <t>Museum</t>
        </is>
      </c>
      <c r="K9" s="20" t="inlineStr">
        <is>
          <t>Toiletries</t>
        </is>
      </c>
    </row>
    <row r="10">
      <c r="B10" s="17" t="inlineStr">
        <is>
          <t>Home Currency</t>
        </is>
      </c>
      <c r="C10" s="43" t="inlineStr">
        <is>
          <t>USD</t>
        </is>
      </c>
      <c r="E10" s="20" t="inlineStr">
        <is>
          <t>Transportation</t>
        </is>
      </c>
      <c r="F10" s="20" t="inlineStr">
        <is>
          <t>JPY</t>
        </is>
      </c>
      <c r="G10" s="20" t="inlineStr">
        <is>
          <t>Ferry</t>
        </is>
      </c>
      <c r="H10" s="20" t="inlineStr">
        <is>
          <t>Resort</t>
        </is>
      </c>
      <c r="I10" s="20" t="inlineStr">
        <is>
          <t>Backpacking</t>
        </is>
      </c>
      <c r="J10" s="20" t="inlineStr">
        <is>
          <t>Adventure</t>
        </is>
      </c>
      <c r="K10" s="20" t="inlineStr">
        <is>
          <t>Electronics</t>
        </is>
      </c>
    </row>
    <row r="11">
      <c r="B11" s="17" t="inlineStr">
        <is>
          <t>Destination Currency</t>
        </is>
      </c>
      <c r="C11" s="43" t="inlineStr">
        <is>
          <t>EUR</t>
        </is>
      </c>
      <c r="E11" s="20" t="inlineStr">
        <is>
          <t>Fuel</t>
        </is>
      </c>
      <c r="F11" s="20" t="inlineStr">
        <is>
          <t>CAD</t>
        </is>
      </c>
      <c r="G11" s="20" t="inlineStr">
        <is>
          <t>Rental Car</t>
        </is>
      </c>
      <c r="H11" s="20" t="inlineStr">
        <is>
          <t>B&amp;B</t>
        </is>
      </c>
      <c r="I11" s="20" t="inlineStr">
        <is>
          <t>Business</t>
        </is>
      </c>
      <c r="J11" s="20" t="inlineStr">
        <is>
          <t>Food</t>
        </is>
      </c>
      <c r="K11" s="20" t="inlineStr">
        <is>
          <t>Documents</t>
        </is>
      </c>
    </row>
    <row r="12">
      <c r="B12" s="17" t="inlineStr">
        <is>
          <t>Exchange Rate (1 home =)</t>
        </is>
      </c>
      <c r="C12" s="62" t="n">
        <v>0.92</v>
      </c>
      <c r="E12" s="20" t="inlineStr">
        <is>
          <t>Food</t>
        </is>
      </c>
      <c r="F12" s="20" t="inlineStr">
        <is>
          <t>AUD</t>
        </is>
      </c>
      <c r="G12" s="20" t="inlineStr">
        <is>
          <t>Ride Share</t>
        </is>
      </c>
      <c r="H12" s="20" t="inlineStr">
        <is>
          <t>Cruise</t>
        </is>
      </c>
      <c r="I12" s="20" t="inlineStr">
        <is>
          <t>Family</t>
        </is>
      </c>
      <c r="J12" s="20" t="inlineStr">
        <is>
          <t>Show</t>
        </is>
      </c>
      <c r="K12" s="20" t="inlineStr">
        <is>
          <t>Medication</t>
        </is>
      </c>
    </row>
    <row r="13">
      <c r="B13" s="17" t="inlineStr">
        <is>
          <t>Savings Saved So Far</t>
        </is>
      </c>
      <c r="C13" s="27" t="n">
        <v>6000</v>
      </c>
      <c r="E13" s="20" t="inlineStr">
        <is>
          <t>Drinks</t>
        </is>
      </c>
      <c r="F13" s="20" t="inlineStr">
        <is>
          <t>MXN</t>
        </is>
      </c>
      <c r="G13" s="20" t="inlineStr">
        <is>
          <t>Metro</t>
        </is>
      </c>
      <c r="I13" s="20" t="inlineStr">
        <is>
          <t>Solo</t>
        </is>
      </c>
      <c r="J13" s="20" t="inlineStr">
        <is>
          <t>Beach</t>
        </is>
      </c>
      <c r="K13" s="20" t="inlineStr">
        <is>
          <t>Camera Gear</t>
        </is>
      </c>
    </row>
    <row r="14">
      <c r="E14" s="20" t="inlineStr">
        <is>
          <t>Activities</t>
        </is>
      </c>
      <c r="F14" s="20" t="inlineStr">
        <is>
          <t>THB</t>
        </is>
      </c>
      <c r="G14" s="20" t="inlineStr">
        <is>
          <t>Taxi</t>
        </is>
      </c>
      <c r="I14" s="20" t="inlineStr">
        <is>
          <t>Couple</t>
        </is>
      </c>
      <c r="J14" s="20" t="inlineStr">
        <is>
          <t>Nightlife</t>
        </is>
      </c>
      <c r="K14" s="20" t="inlineStr">
        <is>
          <t>Beach Gear</t>
        </is>
      </c>
    </row>
    <row r="15">
      <c r="B15" s="17" t="inlineStr">
        <is>
          <t>Trip Days</t>
        </is>
      </c>
      <c r="C15" s="63">
        <f>ReturnDate-DepartDate+1</f>
        <v/>
      </c>
      <c r="E15" s="20" t="inlineStr">
        <is>
          <t>Shopping</t>
        </is>
      </c>
    </row>
    <row r="16">
      <c r="E16" s="20" t="inlineStr">
        <is>
          <t>Entertainment</t>
        </is>
      </c>
    </row>
    <row r="17">
      <c r="E17" s="20" t="inlineStr">
        <is>
          <t>Travel Insurance</t>
        </is>
      </c>
    </row>
    <row r="18">
      <c r="E18" s="20" t="inlineStr">
        <is>
          <t>Visas</t>
        </is>
      </c>
    </row>
    <row r="19">
      <c r="E19" s="20" t="inlineStr">
        <is>
          <t>Souvenirs</t>
        </is>
      </c>
    </row>
    <row r="20">
      <c r="E20" s="20" t="inlineStr">
        <is>
          <t>Phone / Data</t>
        </is>
      </c>
    </row>
    <row r="21">
      <c r="E21" s="20" t="inlineStr">
        <is>
          <t>Tips</t>
        </is>
      </c>
    </row>
    <row r="22">
      <c r="E22" s="20" t="inlineStr">
        <is>
          <t>Miscellaneous</t>
        </is>
      </c>
    </row>
    <row r="24">
      <c r="E24" s="7" t="inlineStr">
        <is>
          <t>Booking Status</t>
        </is>
      </c>
      <c r="F24" s="7" t="inlineStr">
        <is>
          <t>Yes / No</t>
        </is>
      </c>
    </row>
    <row r="25">
      <c r="E25" s="20" t="inlineStr">
        <is>
          <t>Booked</t>
        </is>
      </c>
      <c r="F25" s="20" t="inlineStr">
        <is>
          <t>Yes</t>
        </is>
      </c>
    </row>
    <row r="26">
      <c r="E26" s="20" t="inlineStr">
        <is>
          <t>Planned</t>
        </is>
      </c>
      <c r="F26" s="20" t="inlineStr">
        <is>
          <t>No</t>
        </is>
      </c>
    </row>
    <row r="27">
      <c r="E27" s="20" t="inlineStr">
        <is>
          <t>Confirmed</t>
        </is>
      </c>
    </row>
    <row r="28">
      <c r="E28" s="20" t="inlineStr">
        <is>
          <t>Waitlist</t>
        </is>
      </c>
    </row>
    <row r="29">
      <c r="E29" s="20" t="inlineStr">
        <is>
          <t>Cancelled</t>
        </is>
      </c>
    </row>
  </sheetData>
  <mergeCells count="4">
    <mergeCell ref="A2:K2"/>
    <mergeCell ref="B5:C5"/>
    <mergeCell ref="A1:K1"/>
    <mergeCell ref="E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2026-07-01T22:26:51Z</dcterms:created>
  <dcterms:modified xsi:type="dcterms:W3CDTF">2026-07-01T22:26:51Z</dcterms:modified>
</cp:coreProperties>
</file>