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Profile" sheetId="3" state="visible" r:id="rId3"/>
    <sheet name="Calendar" sheetId="4" state="visible" r:id="rId4"/>
    <sheet name="Grid Planner" sheetId="5" state="visible" r:id="rId5"/>
    <sheet name="Pipeline" sheetId="6" state="visible" r:id="rId6"/>
    <sheet name="Ideas" sheetId="7" state="visible" r:id="rId7"/>
    <sheet name="Captions" sheetId="8" state="visible" r:id="rId8"/>
    <sheet name="Reels" sheetId="9" state="visible" r:id="rId9"/>
    <sheet name="Stories" sheetId="10" state="visible" r:id="rId10"/>
    <sheet name="Hashtags" sheetId="11" state="visible" r:id="rId11"/>
    <sheet name="Analytics" sheetId="12" state="visible" r:id="rId12"/>
    <sheet name="Community" sheetId="13" state="visible" r:id="rId13"/>
    <sheet name="Shop" sheetId="14" state="visible" r:id="rId14"/>
    <sheet name="Affiliate" sheetId="15" state="visible" r:id="rId15"/>
    <sheet name="Brand Deals" sheetId="16" state="visible" r:id="rId16"/>
    <sheet name="Finance" sheetId="17" state="visible" r:id="rId17"/>
    <sheet name="Expenses" sheetId="18" state="visible" r:id="rId18"/>
    <sheet name="Equipment" sheetId="19" state="visible" r:id="rId19"/>
    <sheet name="Repurposing" sheetId="20" state="visible" r:id="rId20"/>
    <sheet name="Brand Kit" sheetId="21" state="visible" r:id="rId21"/>
    <sheet name="Gallery" sheetId="22" state="visible" r:id="rId22"/>
    <sheet name="Goals" sheetId="23" state="visible" r:id="rId23"/>
    <sheet name="Audience" sheetId="24" state="visible" r:id="rId24"/>
    <sheet name="Settings" sheetId="25" state="visible" r:id="rId25"/>
  </sheets>
  <definedNames>
    <definedName name="Handle">Settings!$C$6</definedName>
    <definedName name="CreatorName">Settings!$C$7</definedName>
    <definedName name="Niche">Settings!$C$8</definedName>
    <definedName name="RevenueGoal">Settings!$C$9</definedName>
    <definedName name="PostGoal">Settings!$C$10</definedName>
    <definedName name="DealTarget">Settings!$C$11</definedName>
    <definedName name="RetTarget">Settings!$C$12</definedName>
    <definedName name="GrowthGoal">Settings!$C$13</definedName>
    <definedName name="PillarList">Settings!$E$7:$E$13</definedName>
    <definedName name="PostTypeList">Settings!$F$7:$F$13</definedName>
    <definedName name="StatusList">Settings!$G$7:$G$13</definedName>
    <definedName name="RevCatList">Settings!$H$7:$H$13</definedName>
    <definedName name="ExpCatList">Settings!$I$7:$I$13</definedName>
    <definedName name="CaptionTypeList">Settings!$J$7:$J$13</definedName>
    <definedName name="GoalCatList">Settings!$K$7:$K$13</definedName>
    <definedName name="SponStageList">Settings!$L$7:$L$12</definedName>
    <definedName name="PriorityList">Settings!$E$17:$E$19</definedName>
    <definedName name="YesNoList">Settings!$F$17:$F$18</definedName>
    <definedName name="CalDate">'Calendar'!$A$5:$A$64</definedName>
    <definedName name="CalStatus">'Calendar'!$F$5:$F$64</definedName>
    <definedName name="PipeProgress">'Pipeline'!$C$5:$C$44</definedName>
    <definedName name="ReelTitle">'Reels'!$B$5:$B$10</definedName>
    <definedName name="ReelPlays">'Reels'!$C$5:$C$10</definedName>
    <definedName name="FollowerNow">'Analytics'!$C$6</definedName>
    <definedName name="FollowerGrowth">'Analytics'!$C$7</definedName>
    <definedName name="Reach28">'Analytics'!$C$8</definedName>
    <definedName name="EngRate">'Analytics'!$C$9</definedName>
    <definedName name="Saves28">'Analytics'!$C$10</definedName>
    <definedName name="Shares28">'Analytics'!$C$11</definedName>
    <definedName name="Completion">'Analytics'!$C$12</definedName>
    <definedName name="LinkClicks">'Analytics'!$C$13</definedName>
    <definedName name="HealthRange">'Analytics'!$F$7:$F$12</definedName>
    <definedName name="PostTitle">'Analytics'!$B$17:$B$22</definedName>
    <definedName name="PostReach">'Analytics'!$C$17:$C$22</definedName>
    <definedName name="FollowMonth">'Analytics'!$B$27:$B$32</definedName>
    <definedName name="FollowVal">'Analytics'!$C$27:$C$32</definedName>
    <definedName name="ShopGMV">'Shop'!$F$13</definedName>
    <definedName name="ShopEarn">'Shop'!$G$13</definedName>
    <definedName name="SponRate">'Brand Deals'!$D$5:$D$34</definedName>
    <definedName name="SponStage">'Brand Deals'!$E$5:$E$34</definedName>
    <definedName name="RevSource">'Finance'!$A$5:$A$11</definedName>
    <definedName name="RevMonthly">'Finance'!$B$5:$B$11</definedName>
    <definedName name="RevenueTotal">'Finance'!$B$12</definedName>
    <definedName name="ExpCat">'Finance'!$F$5:$F$11</definedName>
    <definedName name="ExpMonthly">'Finance'!$G$5:$G$11</definedName>
    <definedName name="ExpenseTotal">'Finance'!$G$12</definedName>
    <definedName name="GoalCategory">'Goals'!$B$5:$B$11</definedName>
    <definedName name="GoalProgress">'Goals'!$E$5:$E$11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yyyy-mm-dd"/>
    <numFmt numFmtId="166" formatCode="mm/dd/yyyy"/>
    <numFmt numFmtId="167" formatCode="0.0"/>
    <numFmt numFmtId="168" formatCode="0.0%"/>
    <numFmt numFmtId="169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6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4" fillId="8" borderId="2" applyAlignment="1" pivotButton="0" quotePrefix="0" xfId="0">
      <alignment horizontal="center" vertical="center"/>
    </xf>
    <xf numFmtId="0" fontId="0" fillId="8" borderId="2" pivotButton="0" quotePrefix="0" xfId="0"/>
    <xf numFmtId="168" fontId="14" fillId="8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9" fontId="14" fillId="8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6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3" fontId="6" fillId="0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3" fontId="7" fillId="6" borderId="2" applyAlignment="1" pivotButton="0" quotePrefix="0" xfId="10">
      <alignment horizontal="left" vertical="center" indent="1"/>
    </xf>
    <xf numFmtId="3" fontId="7" fillId="0" borderId="2" applyAlignment="1" pivotButton="0" quotePrefix="0" xfId="10">
      <alignment horizontal="left" vertical="center" indent="1"/>
    </xf>
    <xf numFmtId="168" fontId="7" fillId="0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168" fontId="6" fillId="0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1" fontId="6" fillId="0" borderId="2" applyAlignment="1" pivotButton="0" quotePrefix="0" xfId="6">
      <alignment horizontal="center" vertical="center" wrapText="1"/>
    </xf>
    <xf numFmtId="1" fontId="6" fillId="9" borderId="2" applyAlignment="1" pivotButton="0" quotePrefix="0" xfId="6">
      <alignment horizontal="center" vertical="center" wrapText="1"/>
    </xf>
    <xf numFmtId="169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9" fontId="7" fillId="9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3" fontId="7" fillId="9" borderId="2" applyAlignment="1" pivotButton="0" quotePrefix="0" xfId="8">
      <alignment horizontal="center" vertical="center"/>
    </xf>
    <xf numFmtId="164" fontId="6" fillId="9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7" fillId="9" borderId="2" applyAlignment="1" pivotButton="0" quotePrefix="0" xfId="8">
      <alignment horizontal="center" vertical="center"/>
    </xf>
    <xf numFmtId="164" fontId="7" fillId="9" borderId="2" applyAlignment="1" pivotButton="0" quotePrefix="0" xfId="10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5">
    <dxf>
      <fill>
        <patternFill patternType="solid">
          <fgColor rgb="0075E6C1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AF7F1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Follower Growth (K)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'Analytics'!$B$27:$B$32</f>
            </numRef>
          </cat>
          <val>
            <numRef>
              <f>'Analytics'!$C$27:$C$32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Source</a:t>
            </a:r>
          </a:p>
        </rich>
      </tx>
    </title>
    <plotArea>
      <doughnutChart>
        <varyColors val="1"/>
        <ser>
          <idx val="0"/>
          <order val="0"/>
          <tx>
            <strRef>
              <f>'Finance'!B4</f>
            </strRef>
          </tx>
          <spPr>
            <a:ln>
              <a:prstDash val="solid"/>
            </a:ln>
          </spPr>
          <cat>
            <numRef>
              <f>'Finance'!$A$5:$A$11</f>
            </numRef>
          </cat>
          <val>
            <numRef>
              <f>'Finance'!$B$5:$B$11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Posts by Reach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cat>
            <numRef>
              <f>'Analytics'!$B$17:$B$22</f>
            </numRef>
          </cat>
          <val>
            <numRef>
              <f>'Analytics'!$C$17:$C$22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'Finance'!G4</f>
            </strRef>
          </tx>
          <spPr>
            <a:ln>
              <a:prstDash val="solid"/>
            </a:ln>
          </spPr>
          <cat>
            <numRef>
              <f>'Finance'!$F$5:$F$11</f>
            </numRef>
          </cat>
          <val>
            <numRef>
              <f>'Finance'!$G$5:$G$11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📸  INSTAGRAM COMMAND CENTER™</t>
        </is>
      </c>
    </row>
    <row r="2" ht="24" customHeight="1">
      <c r="A2" s="2" t="inlineStr">
        <is>
          <t xml:space="preserve">  The ultimate Instagram creator business system.</t>
        </is>
      </c>
    </row>
    <row r="3" ht="6" customHeight="1">
      <c r="A3" s="3" t="n"/>
      <c r="B3" s="3" t="n"/>
      <c r="C3" s="3" t="n"/>
    </row>
    <row r="5">
      <c r="B5" s="4" t="inlineStr">
        <is>
          <t>RUN YOUR ENTIRE INSTAGRAM BUSINESS FROM ONE FILE</t>
        </is>
      </c>
    </row>
    <row r="6" ht="22" customHeight="1">
      <c r="B6" s="5" t="inlineStr">
        <is>
          <t>From grid to growth — Instagram Command Center™ manages ideas, captions, your posting calendar, feed grid, reels, stories, hashtags, analytics, community, IG Shop, affiliate, brand deals and finances in ONE premium Excel &amp; Google Sheets system. Post a cohesive feed, grow reach, land brand deals and turn saves into real income — all with creator-grade automation. This isn't a content planner — it's your complete Instagram Operating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handle, niche &amp; monthly goals.</t>
        </is>
      </c>
    </row>
    <row r="13" ht="22" customHeight="1">
      <c r="B13" s="8" t="inlineStr">
        <is>
          <t>2.  Plan the Content Calendar &amp; Grid — see your feed before you post.</t>
        </is>
      </c>
    </row>
    <row r="14" ht="22" customHeight="1">
      <c r="B14" s="8" t="inlineStr">
        <is>
          <t>3.  Bank Ideas &amp; Captions; track Reels &amp; Stories performance.</t>
        </is>
      </c>
    </row>
    <row r="15" ht="22" customHeight="1">
      <c r="B15" s="8" t="inlineStr">
        <is>
          <t>4.  Log Analytics, IG Shop &amp; Affiliate — revenue &amp; net profit update live.</t>
        </is>
      </c>
    </row>
    <row r="16" ht="22" customHeight="1">
      <c r="B16" s="8" t="inlineStr">
        <is>
          <t>5.  Work Brand Deals from lead → paid in the UGC CRM.</t>
        </is>
      </c>
    </row>
    <row r="17" ht="22" customHeight="1">
      <c r="B17" s="8" t="inlineStr">
        <is>
          <t>6.  Watch the Dashboard track followers, revenue &amp; a Creator Health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Realistic sample data (@studiofern, a 148k-follower plant &amp; home creator earning ~$8,100/mo) is included so you can see how everything connects — just type over it with your own. Followers, revenue, net profit, engagement, posting consistency, the brand-deal pipeline and the Creator Health Score all update automatically. Every sheet is print-friendly and works in Excel and Google Sheets, on desktop and mobile.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more time to create — let's grow your account.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📸  INSTAGRAM COMMAND CENTER™</t>
        </is>
      </c>
    </row>
    <row r="2" ht="24" customHeight="1">
      <c r="A2" s="2" t="inlineStr">
        <is>
          <t xml:space="preserve">  Followers, reach, revenue &amp; brand deals — your whole Instagram business,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FOLLOWERS</t>
        </is>
      </c>
      <c r="C5" s="13" t="n"/>
      <c r="D5" s="12" t="inlineStr">
        <is>
          <t>REACH (28D)</t>
        </is>
      </c>
      <c r="E5" s="13" t="n"/>
      <c r="F5" s="12" t="inlineStr">
        <is>
          <t>ENGAGEMENT RATE</t>
        </is>
      </c>
      <c r="G5" s="13" t="n"/>
      <c r="H5" s="12" t="inlineStr">
        <is>
          <t>SAVES (28D)</t>
        </is>
      </c>
      <c r="I5" s="13" t="n"/>
      <c r="J5" s="12" t="inlineStr">
        <is>
          <t>POSTED (28D)</t>
        </is>
      </c>
      <c r="K5" s="13" t="n"/>
      <c r="L5" s="12" t="inlineStr">
        <is>
          <t>MONTHLY REVENUE</t>
        </is>
      </c>
      <c r="M5" s="13" t="n"/>
    </row>
    <row r="6" ht="40" customHeight="1">
      <c r="B6" s="14">
        <f>FollowerNow</f>
        <v/>
      </c>
      <c r="C6" s="15" t="n"/>
      <c r="D6" s="14">
        <f>Reach28</f>
        <v/>
      </c>
      <c r="E6" s="15" t="n"/>
      <c r="F6" s="16">
        <f>EngRate</f>
        <v/>
      </c>
      <c r="G6" s="15" t="n"/>
      <c r="H6" s="14">
        <f>Saves28</f>
        <v/>
      </c>
      <c r="I6" s="15" t="n"/>
      <c r="J6" s="14">
        <f>COUNTIFS(CalDate,"&gt;="&amp;TODAY()-28,CalStatus,"Posted")+COUNTIFS(CalDate,"&gt;="&amp;TODAY()-28,CalStatus,"Boosted")</f>
        <v/>
      </c>
      <c r="K6" s="15" t="n"/>
      <c r="L6" s="17">
        <f>RevenueTotal</f>
        <v/>
      </c>
      <c r="M6" s="15" t="n"/>
    </row>
    <row r="8" ht="18" customHeight="1">
      <c r="B8" s="12" t="inlineStr">
        <is>
          <t>NET PROFIT</t>
        </is>
      </c>
      <c r="C8" s="13" t="n"/>
      <c r="D8" s="12" t="inlineStr">
        <is>
          <t>SHOP SALES (GMV)</t>
        </is>
      </c>
      <c r="E8" s="13" t="n"/>
      <c r="F8" s="12" t="inlineStr">
        <is>
          <t>BRAND DEALS</t>
        </is>
      </c>
      <c r="G8" s="13" t="n"/>
      <c r="H8" s="12" t="inlineStr">
        <is>
          <t>FOLLOWER GROWTH</t>
        </is>
      </c>
      <c r="I8" s="13" t="n"/>
      <c r="J8" s="12" t="inlineStr">
        <is>
          <t>POSTING CONSISTENCY</t>
        </is>
      </c>
      <c r="K8" s="13" t="n"/>
      <c r="L8" s="12" t="inlineStr">
        <is>
          <t>CREATOR HEALTH</t>
        </is>
      </c>
      <c r="M8" s="13" t="n"/>
    </row>
    <row r="9" ht="40" customHeight="1">
      <c r="B9" s="17">
        <f>RevenueTotal-ExpenseTotal</f>
        <v/>
      </c>
      <c r="C9" s="15" t="n"/>
      <c r="D9" s="17">
        <f>ShopGMV</f>
        <v/>
      </c>
      <c r="E9" s="15" t="n"/>
      <c r="F9" s="14">
        <f>COUNTIF(SponStage,"Signed")+COUNTIF(SponStage,"Delivered")+COUNTIF(SponStage,"Negotiation")</f>
        <v/>
      </c>
      <c r="G9" s="15" t="n"/>
      <c r="H9" s="14">
        <f>FollowerGrowth</f>
        <v/>
      </c>
      <c r="I9" s="15" t="n"/>
      <c r="J9" s="18">
        <f>IFERROR(MIN((COUNTIFS(CalDate,"&gt;="&amp;TODAY()-28,CalStatus,"Posted")+COUNTIFS(CalDate,"&gt;="&amp;TODAY()-28,CalStatus,"Boosted"))/PostGoal,1),0)</f>
        <v/>
      </c>
      <c r="K9" s="15" t="n"/>
      <c r="L9" s="18">
        <f>IFERROR(AVERAGE(HealthRange),0)</f>
        <v/>
      </c>
      <c r="M9" s="15" t="n"/>
    </row>
    <row r="11" ht="26" customHeight="1">
      <c r="B11" s="4" t="inlineStr">
        <is>
          <t>GROWTH &amp; REVENUE</t>
        </is>
      </c>
    </row>
    <row r="29" ht="26" customHeight="1">
      <c r="B29" s="4" t="inlineStr">
        <is>
          <t>CONTENT &amp; PROFIT</t>
        </is>
      </c>
    </row>
    <row r="47" ht="26" customHeight="1">
      <c r="B47" s="2" t="inlineStr">
        <is>
          <t>Instagram Command Center™ — from grid to growth, all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👤  CREATOR PROFILE</t>
        </is>
      </c>
    </row>
    <row r="2" ht="22" customHeight="1">
      <c r="A2" s="2" t="inlineStr">
        <is>
          <t xml:space="preserve">  Your account, defined — the identity every post flows from.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ACCOUNT</t>
        </is>
      </c>
    </row>
    <row r="6" ht="24" customHeight="1">
      <c r="B6" s="19" t="inlineStr">
        <is>
          <t>Handle</t>
        </is>
      </c>
      <c r="C6" s="20">
        <f>Handle</f>
        <v/>
      </c>
      <c r="E6" s="19" t="inlineStr">
        <is>
          <t>Creator</t>
        </is>
      </c>
      <c r="F6" s="20">
        <f>CreatorName</f>
        <v/>
      </c>
    </row>
    <row r="7" ht="24" customHeight="1">
      <c r="B7" s="19" t="inlineStr">
        <is>
          <t>Niche</t>
        </is>
      </c>
      <c r="C7" s="20">
        <f>Niche</f>
        <v/>
      </c>
      <c r="E7" s="19" t="inlineStr">
        <is>
          <t>Posting Schedule</t>
        </is>
      </c>
      <c r="F7" s="20" t="inlineStr">
        <is>
          <t>Reels M/W/F · Stories daily</t>
        </is>
      </c>
    </row>
    <row r="8" ht="24" customHeight="1">
      <c r="B8" s="19" t="inlineStr">
        <is>
          <t>Started</t>
        </is>
      </c>
      <c r="C8" s="20" t="inlineStr">
        <is>
          <t>2021</t>
        </is>
      </c>
      <c r="E8" s="19" t="inlineStr">
        <is>
          <t>Business Email</t>
        </is>
      </c>
      <c r="F8" s="20" t="inlineStr">
        <is>
          <t>hi@studiofern.co</t>
        </is>
      </c>
    </row>
    <row r="10" ht="22" customHeight="1">
      <c r="B10" s="4" t="inlineStr">
        <is>
          <t>STRATEGY</t>
        </is>
      </c>
    </row>
    <row r="11" ht="24" customHeight="1">
      <c r="B11" s="19" t="inlineStr">
        <is>
          <t>Mission</t>
        </is>
      </c>
      <c r="C11" s="20" t="inlineStr">
        <is>
          <t>Make plant parenthood easy</t>
        </is>
      </c>
      <c r="E11" s="19" t="inlineStr">
        <is>
          <t>Target Audience</t>
        </is>
      </c>
      <c r="F11" s="20" t="inlineStr">
        <is>
          <t>Women 25-40, renters &amp; homeowners</t>
        </is>
      </c>
    </row>
    <row r="12" ht="24" customHeight="1">
      <c r="B12" s="19" t="inlineStr">
        <is>
          <t>Content Pillars</t>
        </is>
      </c>
      <c r="C12" s="20" t="inlineStr">
        <is>
          <t>Plants · Home · Styling</t>
        </is>
      </c>
      <c r="E12" s="19" t="inlineStr">
        <is>
          <t>Manager</t>
        </is>
      </c>
      <c r="F12" s="20" t="inlineStr">
        <is>
          <t>Self-managed</t>
        </is>
      </c>
    </row>
    <row r="13" ht="24" customHeight="1">
      <c r="B13" s="19" t="inlineStr">
        <is>
          <t>Media Kit</t>
        </is>
      </c>
      <c r="C13" s="20" t="inlineStr">
        <is>
          <t>studiofern.co/kit</t>
        </is>
      </c>
      <c r="E13" s="19" t="inlineStr">
        <is>
          <t>Rate Card</t>
        </is>
      </c>
      <c r="F13" s="20" t="inlineStr">
        <is>
          <t>$1.5k / in-feed reel</t>
        </is>
      </c>
    </row>
    <row r="15" ht="22" customHeight="1">
      <c r="B15" s="4" t="inlineStr">
        <is>
          <t>PLATFORMS &amp; LINK IN BIO</t>
        </is>
      </c>
    </row>
    <row r="16">
      <c r="B16" s="19" t="inlineStr">
        <is>
          <t>Instagram</t>
        </is>
      </c>
      <c r="C16" s="20" t="inlineStr">
        <is>
          <t>@studiofern</t>
        </is>
      </c>
      <c r="E16" s="19" t="inlineStr">
        <is>
          <t>TikTok</t>
        </is>
      </c>
      <c r="F16" s="20" t="inlineStr">
        <is>
          <t>@studiofern</t>
        </is>
      </c>
    </row>
    <row r="17">
      <c r="B17" s="19" t="inlineStr">
        <is>
          <t>Pinterest</t>
        </is>
      </c>
      <c r="C17" s="20" t="inlineStr">
        <is>
          <t>@studiofern</t>
        </is>
      </c>
      <c r="E17" s="19" t="inlineStr">
        <is>
          <t>YouTube</t>
        </is>
      </c>
      <c r="F17" s="20" t="inlineStr">
        <is>
          <t>Studio Fern</t>
        </is>
      </c>
    </row>
    <row r="18">
      <c r="B18" s="19" t="inlineStr">
        <is>
          <t>Shop</t>
        </is>
      </c>
      <c r="C18" s="20" t="inlineStr">
        <is>
          <t>studiofern.co/shop</t>
        </is>
      </c>
      <c r="E18" s="19" t="inlineStr">
        <is>
          <t>Newsletter</t>
        </is>
      </c>
      <c r="F18" s="20" t="inlineStr">
        <is>
          <t>The Repot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6" customWidth="1" min="3" max="3"/>
    <col width="12" customWidth="1" min="4" max="4"/>
    <col width="11" customWidth="1" min="5" max="5"/>
    <col width="13" customWidth="1" min="6" max="6"/>
  </cols>
  <sheetData>
    <row r="1" ht="46" customHeight="1">
      <c r="A1" s="1" t="inlineStr">
        <is>
          <t xml:space="preserve">  🗓  CONTENT CALENDAR</t>
        </is>
      </c>
    </row>
    <row r="2" ht="22" customHeight="1">
      <c r="A2" s="2" t="inlineStr">
        <is>
          <t xml:space="preserve">  Plan every post in one view — posting status calculates itself.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Caption / Concept</t>
        </is>
      </c>
      <c r="C4" s="9" t="inlineStr">
        <is>
          <t>Pillar</t>
        </is>
      </c>
      <c r="D4" s="9" t="inlineStr">
        <is>
          <t>Type</t>
        </is>
      </c>
      <c r="E4" s="9" t="inlineStr">
        <is>
          <t>Priority</t>
        </is>
      </c>
      <c r="F4" s="9" t="inlineStr">
        <is>
          <t>Status</t>
        </is>
      </c>
    </row>
    <row r="5">
      <c r="A5" s="21" t="n">
        <v>46213</v>
      </c>
      <c r="B5" s="22" t="inlineStr">
        <is>
          <t>5 unkillable plants for renters</t>
        </is>
      </c>
      <c r="C5" s="23" t="inlineStr">
        <is>
          <t>Home</t>
        </is>
      </c>
      <c r="D5" s="23" t="inlineStr">
        <is>
          <t>Reel</t>
        </is>
      </c>
      <c r="E5" s="23" t="inlineStr">
        <is>
          <t>High</t>
        </is>
      </c>
      <c r="F5" s="23" t="inlineStr">
        <is>
          <t>Boosted</t>
        </is>
      </c>
    </row>
    <row r="6">
      <c r="A6" s="24" t="n">
        <v>46212</v>
      </c>
      <c r="B6" s="25" t="inlineStr">
        <is>
          <t>Styling a shelfie in 60s</t>
        </is>
      </c>
      <c r="C6" s="26" t="inlineStr">
        <is>
          <t>Plants</t>
        </is>
      </c>
      <c r="D6" s="26" t="inlineStr">
        <is>
          <t>Carousel</t>
        </is>
      </c>
      <c r="E6" s="26" t="inlineStr">
        <is>
          <t>High</t>
        </is>
      </c>
      <c r="F6" s="26" t="inlineStr">
        <is>
          <t>Posted</t>
        </is>
      </c>
    </row>
    <row r="7">
      <c r="A7" s="21" t="n">
        <v>46210</v>
      </c>
      <c r="B7" s="22" t="inlineStr">
        <is>
          <t>Repotting a monstera</t>
        </is>
      </c>
      <c r="C7" s="23" t="inlineStr">
        <is>
          <t>Styling</t>
        </is>
      </c>
      <c r="D7" s="23" t="inlineStr">
        <is>
          <t>Story</t>
        </is>
      </c>
      <c r="E7" s="23" t="inlineStr">
        <is>
          <t>High</t>
        </is>
      </c>
      <c r="F7" s="23" t="inlineStr">
        <is>
          <t>Posted</t>
        </is>
      </c>
    </row>
    <row r="8">
      <c r="A8" s="24" t="n">
        <v>46209</v>
      </c>
      <c r="B8" s="25" t="inlineStr">
        <is>
          <t>My $40 plant corner</t>
        </is>
      </c>
      <c r="C8" s="26" t="inlineStr">
        <is>
          <t>DIY</t>
        </is>
      </c>
      <c r="D8" s="26" t="inlineStr">
        <is>
          <t>Static</t>
        </is>
      </c>
      <c r="E8" s="26" t="inlineStr">
        <is>
          <t>High</t>
        </is>
      </c>
      <c r="F8" s="26" t="inlineStr">
        <is>
          <t>Posted</t>
        </is>
      </c>
    </row>
    <row r="9">
      <c r="A9" s="21" t="n">
        <v>46207</v>
      </c>
      <c r="B9" s="22" t="inlineStr">
        <is>
          <t>Carousel: plant care basics</t>
        </is>
      </c>
      <c r="C9" s="23" t="inlineStr">
        <is>
          <t>Lifestyle</t>
        </is>
      </c>
      <c r="D9" s="23" t="inlineStr">
        <is>
          <t>LIVE</t>
        </is>
      </c>
      <c r="E9" s="23" t="inlineStr">
        <is>
          <t>High</t>
        </is>
      </c>
      <c r="F9" s="23" t="inlineStr">
        <is>
          <t>Posted</t>
        </is>
      </c>
    </row>
    <row r="10">
      <c r="A10" s="24" t="n">
        <v>46206</v>
      </c>
      <c r="B10" s="25" t="inlineStr">
        <is>
          <t>GRWM: plant shop haul</t>
        </is>
      </c>
      <c r="C10" s="26" t="inlineStr">
        <is>
          <t>Home</t>
        </is>
      </c>
      <c r="D10" s="26" t="inlineStr">
        <is>
          <t>Guide</t>
        </is>
      </c>
      <c r="E10" s="26" t="inlineStr">
        <is>
          <t>High</t>
        </is>
      </c>
      <c r="F10" s="26" t="inlineStr">
        <is>
          <t>Posted</t>
        </is>
      </c>
    </row>
    <row r="11">
      <c r="A11" s="21" t="n">
        <v>46204</v>
      </c>
      <c r="B11" s="22" t="inlineStr">
        <is>
          <t>Propagation station tour</t>
        </is>
      </c>
      <c r="C11" s="23" t="inlineStr">
        <is>
          <t>Plants</t>
        </is>
      </c>
      <c r="D11" s="23" t="inlineStr">
        <is>
          <t>Collab</t>
        </is>
      </c>
      <c r="E11" s="23" t="inlineStr">
        <is>
          <t>High</t>
        </is>
      </c>
      <c r="F11" s="23" t="inlineStr">
        <is>
          <t>Posted</t>
        </is>
      </c>
    </row>
    <row r="12">
      <c r="A12" s="24" t="n">
        <v>46203</v>
      </c>
      <c r="B12" s="25" t="inlineStr">
        <is>
          <t>Thrifted pot makeover</t>
        </is>
      </c>
      <c r="C12" s="26" t="inlineStr">
        <is>
          <t>Styling</t>
        </is>
      </c>
      <c r="D12" s="26" t="inlineStr">
        <is>
          <t>Reel</t>
        </is>
      </c>
      <c r="E12" s="26" t="inlineStr">
        <is>
          <t>High</t>
        </is>
      </c>
      <c r="F12" s="26" t="inlineStr">
        <is>
          <t>Posted</t>
        </is>
      </c>
    </row>
    <row r="13">
      <c r="A13" s="21" t="n">
        <v>46201</v>
      </c>
      <c r="B13" s="22" t="inlineStr">
        <is>
          <t>Reel: watering myths</t>
        </is>
      </c>
      <c r="C13" s="23" t="inlineStr">
        <is>
          <t>DIY</t>
        </is>
      </c>
      <c r="D13" s="23" t="inlineStr">
        <is>
          <t>Carousel</t>
        </is>
      </c>
      <c r="E13" s="23" t="inlineStr">
        <is>
          <t>High</t>
        </is>
      </c>
      <c r="F13" s="23" t="inlineStr">
        <is>
          <t>Boosted</t>
        </is>
      </c>
    </row>
    <row r="14">
      <c r="A14" s="24" t="n">
        <v>46200</v>
      </c>
      <c r="B14" s="25" t="inlineStr">
        <is>
          <t>Small-space plant styling</t>
        </is>
      </c>
      <c r="C14" s="26" t="inlineStr">
        <is>
          <t>Lifestyle</t>
        </is>
      </c>
      <c r="D14" s="26" t="inlineStr">
        <is>
          <t>Story</t>
        </is>
      </c>
      <c r="E14" s="26" t="inlineStr">
        <is>
          <t>High</t>
        </is>
      </c>
      <c r="F14" s="26" t="inlineStr">
        <is>
          <t>Posted</t>
        </is>
      </c>
    </row>
    <row r="15">
      <c r="A15" s="21" t="n">
        <v>46199</v>
      </c>
      <c r="B15" s="22" t="inlineStr">
        <is>
          <t>Behind my content setup</t>
        </is>
      </c>
      <c r="C15" s="23" t="inlineStr">
        <is>
          <t>Home</t>
        </is>
      </c>
      <c r="D15" s="23" t="inlineStr">
        <is>
          <t>Static</t>
        </is>
      </c>
      <c r="E15" s="23" t="inlineStr">
        <is>
          <t>High</t>
        </is>
      </c>
      <c r="F15" s="23" t="inlineStr">
        <is>
          <t>Posted</t>
        </is>
      </c>
    </row>
    <row r="16">
      <c r="A16" s="24" t="n">
        <v>46197</v>
      </c>
      <c r="B16" s="25" t="inlineStr">
        <is>
          <t>3 trending home finds</t>
        </is>
      </c>
      <c r="C16" s="26" t="inlineStr">
        <is>
          <t>Plants</t>
        </is>
      </c>
      <c r="D16" s="26" t="inlineStr">
        <is>
          <t>LIVE</t>
        </is>
      </c>
      <c r="E16" s="26" t="inlineStr">
        <is>
          <t>High</t>
        </is>
      </c>
      <c r="F16" s="26" t="inlineStr">
        <is>
          <t>Posted</t>
        </is>
      </c>
    </row>
    <row r="17">
      <c r="A17" s="21" t="n">
        <v>46196</v>
      </c>
      <c r="B17" s="22" t="inlineStr">
        <is>
          <t>How I style open shelves</t>
        </is>
      </c>
      <c r="C17" s="23" t="inlineStr">
        <is>
          <t>Styling</t>
        </is>
      </c>
      <c r="D17" s="23" t="inlineStr">
        <is>
          <t>Guide</t>
        </is>
      </c>
      <c r="E17" s="23" t="inlineStr">
        <is>
          <t>High</t>
        </is>
      </c>
      <c r="F17" s="23" t="inlineStr">
        <is>
          <t>Posted</t>
        </is>
      </c>
    </row>
    <row r="18">
      <c r="A18" s="24" t="n">
        <v>46194</v>
      </c>
      <c r="B18" s="25" t="inlineStr">
        <is>
          <t>Reader Q&amp;A: yellow leaves</t>
        </is>
      </c>
      <c r="C18" s="26" t="inlineStr">
        <is>
          <t>DIY</t>
        </is>
      </c>
      <c r="D18" s="26" t="inlineStr">
        <is>
          <t>Collab</t>
        </is>
      </c>
      <c r="E18" s="26" t="inlineStr">
        <is>
          <t>High</t>
        </is>
      </c>
      <c r="F18" s="26" t="inlineStr">
        <is>
          <t>Posted</t>
        </is>
      </c>
    </row>
    <row r="19">
      <c r="A19" s="21" t="n">
        <v>46193</v>
      </c>
      <c r="B19" s="22" t="inlineStr">
        <is>
          <t>Cozy corner reveal</t>
        </is>
      </c>
      <c r="C19" s="23" t="inlineStr">
        <is>
          <t>Lifestyle</t>
        </is>
      </c>
      <c r="D19" s="23" t="inlineStr">
        <is>
          <t>Reel</t>
        </is>
      </c>
      <c r="E19" s="23" t="inlineStr">
        <is>
          <t>High</t>
        </is>
      </c>
      <c r="F19" s="23" t="inlineStr">
        <is>
          <t>Posted</t>
        </is>
      </c>
    </row>
    <row r="20">
      <c r="A20" s="24" t="n">
        <v>46192</v>
      </c>
      <c r="B20" s="25" t="inlineStr">
        <is>
          <t>Plant-shopping with me</t>
        </is>
      </c>
      <c r="C20" s="26" t="inlineStr">
        <is>
          <t>Home</t>
        </is>
      </c>
      <c r="D20" s="26" t="inlineStr">
        <is>
          <t>Carousel</t>
        </is>
      </c>
      <c r="E20" s="26" t="inlineStr">
        <is>
          <t>High</t>
        </is>
      </c>
      <c r="F20" s="26" t="inlineStr">
        <is>
          <t>Posted</t>
        </is>
      </c>
    </row>
    <row r="21">
      <c r="A21" s="21" t="n">
        <v>46190</v>
      </c>
      <c r="B21" s="22" t="inlineStr">
        <is>
          <t>Macrame hanger DIY</t>
        </is>
      </c>
      <c r="C21" s="23" t="inlineStr">
        <is>
          <t>Plants</t>
        </is>
      </c>
      <c r="D21" s="23" t="inlineStr">
        <is>
          <t>Story</t>
        </is>
      </c>
      <c r="E21" s="23" t="inlineStr">
        <is>
          <t>High</t>
        </is>
      </c>
      <c r="F21" s="23" t="inlineStr">
        <is>
          <t>Posted</t>
        </is>
      </c>
    </row>
    <row r="22">
      <c r="A22" s="24" t="n">
        <v>46189</v>
      </c>
      <c r="B22" s="25" t="inlineStr">
        <is>
          <t>My grow-light setup</t>
        </is>
      </c>
      <c r="C22" s="26" t="inlineStr">
        <is>
          <t>Styling</t>
        </is>
      </c>
      <c r="D22" s="26" t="inlineStr">
        <is>
          <t>Static</t>
        </is>
      </c>
      <c r="E22" s="26" t="inlineStr">
        <is>
          <t>High</t>
        </is>
      </c>
      <c r="F22" s="26" t="inlineStr">
        <is>
          <t>Posted</t>
        </is>
      </c>
    </row>
    <row r="23">
      <c r="A23" s="21" t="n">
        <v>46215</v>
      </c>
      <c r="B23" s="22" t="inlineStr">
        <is>
          <t>Before/after: living room</t>
        </is>
      </c>
      <c r="C23" s="23" t="inlineStr">
        <is>
          <t>DIY</t>
        </is>
      </c>
      <c r="D23" s="23" t="inlineStr">
        <is>
          <t>LIVE</t>
        </is>
      </c>
      <c r="E23" s="23" t="inlineStr">
        <is>
          <t>High</t>
        </is>
      </c>
      <c r="F23" s="23" t="inlineStr">
        <is>
          <t>Scheduled</t>
        </is>
      </c>
    </row>
    <row r="24">
      <c r="A24" s="24" t="n">
        <v>46216</v>
      </c>
      <c r="B24" s="25" t="inlineStr">
        <is>
          <t>Fiddle leaf survival guide</t>
        </is>
      </c>
      <c r="C24" s="26" t="inlineStr">
        <is>
          <t>Lifestyle</t>
        </is>
      </c>
      <c r="D24" s="26" t="inlineStr">
        <is>
          <t>Guide</t>
        </is>
      </c>
      <c r="E24" s="26" t="inlineStr">
        <is>
          <t>High</t>
        </is>
      </c>
      <c r="F24" s="26" t="inlineStr">
        <is>
          <t>Scheduled</t>
        </is>
      </c>
    </row>
    <row r="25">
      <c r="A25" s="21" t="n">
        <v>46217</v>
      </c>
      <c r="B25" s="22" t="inlineStr">
        <is>
          <t>Weekend plant reset</t>
        </is>
      </c>
      <c r="C25" s="23" t="inlineStr">
        <is>
          <t>Home</t>
        </is>
      </c>
      <c r="D25" s="23" t="inlineStr">
        <is>
          <t>Collab</t>
        </is>
      </c>
      <c r="E25" s="23" t="inlineStr">
        <is>
          <t>Medium</t>
        </is>
      </c>
      <c r="F25" s="23" t="inlineStr">
        <is>
          <t>Editing</t>
        </is>
      </c>
    </row>
    <row r="26">
      <c r="A26" s="24" t="n">
        <v>46219</v>
      </c>
      <c r="B26" s="25" t="inlineStr">
        <is>
          <t>Carousel: 7 low-light plants</t>
        </is>
      </c>
      <c r="C26" s="26" t="inlineStr">
        <is>
          <t>Plants</t>
        </is>
      </c>
      <c r="D26" s="26" t="inlineStr">
        <is>
          <t>Reel</t>
        </is>
      </c>
      <c r="E26" s="26" t="inlineStr">
        <is>
          <t>Medium</t>
        </is>
      </c>
      <c r="F26" s="26" t="inlineStr">
        <is>
          <t>Idea</t>
        </is>
      </c>
    </row>
    <row r="27">
      <c r="A27" s="21" t="n">
        <v>46220</v>
      </c>
      <c r="B27" s="22" t="inlineStr">
        <is>
          <t>Faux vs real plants</t>
        </is>
      </c>
      <c r="C27" s="23" t="inlineStr">
        <is>
          <t>Styling</t>
        </is>
      </c>
      <c r="D27" s="23" t="inlineStr">
        <is>
          <t>Carousel</t>
        </is>
      </c>
      <c r="E27" s="23" t="inlineStr">
        <is>
          <t>Medium</t>
        </is>
      </c>
      <c r="F27" s="23" t="inlineStr">
        <is>
          <t>Idea</t>
        </is>
      </c>
    </row>
    <row r="28">
      <c r="A28" s="24" t="n"/>
      <c r="B28" s="25" t="n"/>
      <c r="C28" s="26" t="n"/>
      <c r="D28" s="26" t="n"/>
      <c r="E28" s="26" t="n"/>
      <c r="F28" s="26" t="n"/>
    </row>
    <row r="29">
      <c r="A29" s="21" t="n"/>
      <c r="B29" s="22" t="n"/>
      <c r="C29" s="23" t="n"/>
      <c r="D29" s="23" t="n"/>
      <c r="E29" s="23" t="n"/>
      <c r="F29" s="23" t="n"/>
    </row>
    <row r="30">
      <c r="A30" s="24" t="n"/>
      <c r="B30" s="25" t="n"/>
      <c r="C30" s="26" t="n"/>
      <c r="D30" s="26" t="n"/>
      <c r="E30" s="26" t="n"/>
      <c r="F30" s="26" t="n"/>
    </row>
    <row r="31">
      <c r="A31" s="21" t="n"/>
      <c r="B31" s="22" t="n"/>
      <c r="C31" s="23" t="n"/>
      <c r="D31" s="23" t="n"/>
      <c r="E31" s="23" t="n"/>
      <c r="F31" s="23" t="n"/>
    </row>
    <row r="32">
      <c r="A32" s="24" t="n"/>
      <c r="B32" s="25" t="n"/>
      <c r="C32" s="26" t="n"/>
      <c r="D32" s="26" t="n"/>
      <c r="E32" s="26" t="n"/>
      <c r="F32" s="26" t="n"/>
    </row>
    <row r="33">
      <c r="A33" s="21" t="n"/>
      <c r="B33" s="22" t="n"/>
      <c r="C33" s="23" t="n"/>
      <c r="D33" s="23" t="n"/>
      <c r="E33" s="23" t="n"/>
      <c r="F33" s="23" t="n"/>
    </row>
    <row r="34">
      <c r="A34" s="24" t="n"/>
      <c r="B34" s="25" t="n"/>
      <c r="C34" s="26" t="n"/>
      <c r="D34" s="26" t="n"/>
      <c r="E34" s="26" t="n"/>
      <c r="F34" s="26" t="n"/>
    </row>
    <row r="35">
      <c r="A35" s="21" t="n"/>
      <c r="B35" s="22" t="n"/>
      <c r="C35" s="23" t="n"/>
      <c r="D35" s="23" t="n"/>
      <c r="E35" s="23" t="n"/>
      <c r="F35" s="23" t="n"/>
    </row>
    <row r="36">
      <c r="A36" s="24" t="n"/>
      <c r="B36" s="25" t="n"/>
      <c r="C36" s="26" t="n"/>
      <c r="D36" s="26" t="n"/>
      <c r="E36" s="26" t="n"/>
      <c r="F36" s="26" t="n"/>
    </row>
    <row r="37">
      <c r="A37" s="21" t="n"/>
      <c r="B37" s="22" t="n"/>
      <c r="C37" s="23" t="n"/>
      <c r="D37" s="23" t="n"/>
      <c r="E37" s="23" t="n"/>
      <c r="F37" s="23" t="n"/>
    </row>
    <row r="38">
      <c r="A38" s="24" t="n"/>
      <c r="B38" s="25" t="n"/>
      <c r="C38" s="26" t="n"/>
      <c r="D38" s="26" t="n"/>
      <c r="E38" s="26" t="n"/>
      <c r="F38" s="26" t="n"/>
    </row>
    <row r="39">
      <c r="A39" s="21" t="n"/>
      <c r="B39" s="22" t="n"/>
      <c r="C39" s="23" t="n"/>
      <c r="D39" s="23" t="n"/>
      <c r="E39" s="23" t="n"/>
      <c r="F39" s="23" t="n"/>
    </row>
    <row r="40">
      <c r="A40" s="24" t="n"/>
      <c r="B40" s="25" t="n"/>
      <c r="C40" s="26" t="n"/>
      <c r="D40" s="26" t="n"/>
      <c r="E40" s="26" t="n"/>
      <c r="F40" s="26" t="n"/>
    </row>
    <row r="41">
      <c r="A41" s="21" t="n"/>
      <c r="B41" s="22" t="n"/>
      <c r="C41" s="23" t="n"/>
      <c r="D41" s="23" t="n"/>
      <c r="E41" s="23" t="n"/>
      <c r="F41" s="23" t="n"/>
    </row>
    <row r="42">
      <c r="A42" s="24" t="n"/>
      <c r="B42" s="25" t="n"/>
      <c r="C42" s="26" t="n"/>
      <c r="D42" s="26" t="n"/>
      <c r="E42" s="26" t="n"/>
      <c r="F42" s="26" t="n"/>
    </row>
    <row r="43">
      <c r="A43" s="21" t="n"/>
      <c r="B43" s="22" t="n"/>
      <c r="C43" s="23" t="n"/>
      <c r="D43" s="23" t="n"/>
      <c r="E43" s="23" t="n"/>
      <c r="F43" s="23" t="n"/>
    </row>
    <row r="44">
      <c r="A44" s="24" t="n"/>
      <c r="B44" s="25" t="n"/>
      <c r="C44" s="26" t="n"/>
      <c r="D44" s="26" t="n"/>
      <c r="E44" s="26" t="n"/>
      <c r="F44" s="26" t="n"/>
    </row>
    <row r="45">
      <c r="A45" s="21" t="n"/>
      <c r="B45" s="22" t="n"/>
      <c r="C45" s="23" t="n"/>
      <c r="D45" s="23" t="n"/>
      <c r="E45" s="23" t="n"/>
      <c r="F45" s="23" t="n"/>
    </row>
    <row r="46">
      <c r="A46" s="24" t="n"/>
      <c r="B46" s="25" t="n"/>
      <c r="C46" s="26" t="n"/>
      <c r="D46" s="26" t="n"/>
      <c r="E46" s="26" t="n"/>
      <c r="F46" s="26" t="n"/>
    </row>
    <row r="47">
      <c r="A47" s="21" t="n"/>
      <c r="B47" s="22" t="n"/>
      <c r="C47" s="23" t="n"/>
      <c r="D47" s="23" t="n"/>
      <c r="E47" s="23" t="n"/>
      <c r="F47" s="23" t="n"/>
    </row>
    <row r="48">
      <c r="A48" s="24" t="n"/>
      <c r="B48" s="25" t="n"/>
      <c r="C48" s="26" t="n"/>
      <c r="D48" s="26" t="n"/>
      <c r="E48" s="26" t="n"/>
      <c r="F48" s="26" t="n"/>
    </row>
    <row r="49">
      <c r="A49" s="21" t="n"/>
      <c r="B49" s="22" t="n"/>
      <c r="C49" s="23" t="n"/>
      <c r="D49" s="23" t="n"/>
      <c r="E49" s="23" t="n"/>
      <c r="F49" s="23" t="n"/>
    </row>
    <row r="50">
      <c r="A50" s="24" t="n"/>
      <c r="B50" s="25" t="n"/>
      <c r="C50" s="26" t="n"/>
      <c r="D50" s="26" t="n"/>
      <c r="E50" s="26" t="n"/>
      <c r="F50" s="26" t="n"/>
    </row>
    <row r="51">
      <c r="A51" s="21" t="n"/>
      <c r="B51" s="22" t="n"/>
      <c r="C51" s="23" t="n"/>
      <c r="D51" s="23" t="n"/>
      <c r="E51" s="23" t="n"/>
      <c r="F51" s="23" t="n"/>
    </row>
    <row r="52">
      <c r="A52" s="24" t="n"/>
      <c r="B52" s="25" t="n"/>
      <c r="C52" s="26" t="n"/>
      <c r="D52" s="26" t="n"/>
      <c r="E52" s="26" t="n"/>
      <c r="F52" s="26" t="n"/>
    </row>
    <row r="53">
      <c r="A53" s="21" t="n"/>
      <c r="B53" s="22" t="n"/>
      <c r="C53" s="23" t="n"/>
      <c r="D53" s="23" t="n"/>
      <c r="E53" s="23" t="n"/>
      <c r="F53" s="23" t="n"/>
    </row>
    <row r="54">
      <c r="A54" s="24" t="n"/>
      <c r="B54" s="25" t="n"/>
      <c r="C54" s="26" t="n"/>
      <c r="D54" s="26" t="n"/>
      <c r="E54" s="26" t="n"/>
      <c r="F54" s="26" t="n"/>
    </row>
    <row r="55">
      <c r="A55" s="21" t="n"/>
      <c r="B55" s="22" t="n"/>
      <c r="C55" s="23" t="n"/>
      <c r="D55" s="23" t="n"/>
      <c r="E55" s="23" t="n"/>
      <c r="F55" s="23" t="n"/>
    </row>
    <row r="56">
      <c r="A56" s="24" t="n"/>
      <c r="B56" s="25" t="n"/>
      <c r="C56" s="26" t="n"/>
      <c r="D56" s="26" t="n"/>
      <c r="E56" s="26" t="n"/>
      <c r="F56" s="26" t="n"/>
    </row>
    <row r="57">
      <c r="A57" s="21" t="n"/>
      <c r="B57" s="22" t="n"/>
      <c r="C57" s="23" t="n"/>
      <c r="D57" s="23" t="n"/>
      <c r="E57" s="23" t="n"/>
      <c r="F57" s="23" t="n"/>
    </row>
    <row r="58">
      <c r="A58" s="24" t="n"/>
      <c r="B58" s="25" t="n"/>
      <c r="C58" s="26" t="n"/>
      <c r="D58" s="26" t="n"/>
      <c r="E58" s="26" t="n"/>
      <c r="F58" s="26" t="n"/>
    </row>
    <row r="59">
      <c r="A59" s="21" t="n"/>
      <c r="B59" s="22" t="n"/>
      <c r="C59" s="23" t="n"/>
      <c r="D59" s="23" t="n"/>
      <c r="E59" s="23" t="n"/>
      <c r="F59" s="23" t="n"/>
    </row>
    <row r="60">
      <c r="A60" s="24" t="n"/>
      <c r="B60" s="25" t="n"/>
      <c r="C60" s="26" t="n"/>
      <c r="D60" s="26" t="n"/>
      <c r="E60" s="26" t="n"/>
      <c r="F60" s="26" t="n"/>
    </row>
    <row r="61">
      <c r="A61" s="21" t="n"/>
      <c r="B61" s="22" t="n"/>
      <c r="C61" s="23" t="n"/>
      <c r="D61" s="23" t="n"/>
      <c r="E61" s="23" t="n"/>
      <c r="F61" s="23" t="n"/>
    </row>
    <row r="62">
      <c r="A62" s="24" t="n"/>
      <c r="B62" s="25" t="n"/>
      <c r="C62" s="26" t="n"/>
      <c r="D62" s="26" t="n"/>
      <c r="E62" s="26" t="n"/>
      <c r="F62" s="26" t="n"/>
    </row>
    <row r="63">
      <c r="A63" s="21" t="n"/>
      <c r="B63" s="22" t="n"/>
      <c r="C63" s="23" t="n"/>
      <c r="D63" s="23" t="n"/>
      <c r="E63" s="23" t="n"/>
      <c r="F63" s="23" t="n"/>
    </row>
    <row r="64">
      <c r="A64" s="24" t="n"/>
      <c r="B64" s="25" t="n"/>
      <c r="C64" s="26" t="n"/>
      <c r="D64" s="26" t="n"/>
      <c r="E64" s="26" t="n"/>
      <c r="F64" s="26" t="n"/>
    </row>
  </sheetData>
  <mergeCells count="2">
    <mergeCell ref="A2:F2"/>
    <mergeCell ref="A1:F1"/>
  </mergeCells>
  <conditionalFormatting sqref="F5:F64">
    <cfRule type="cellIs" priority="1" operator="equal" dxfId="0">
      <formula>"Boosted"</formula>
    </cfRule>
    <cfRule type="cellIs" priority="2" operator="equal" dxfId="1">
      <formula>"Posted"</formula>
    </cfRule>
    <cfRule type="cellIs" priority="3" operator="equal" dxfId="2">
      <formula>"Scheduled"</formula>
    </cfRule>
    <cfRule type="cellIs" priority="4" operator="equal" dxfId="3">
      <formula>"Editing"</formula>
    </cfRule>
    <cfRule type="cellIs" priority="5" operator="equal" dxfId="3">
      <formula>"Filming"</formula>
    </cfRule>
    <cfRule type="cellIs" priority="6" operator="equal" dxfId="4">
      <formula>"Idea"</formula>
    </cfRule>
  </conditionalFormatting>
  <dataValidations count="4">
    <dataValidation sqref="C5:C64" showDropDown="0" showInputMessage="0" showErrorMessage="0" allowBlank="1" type="list">
      <formula1>=PillarList</formula1>
    </dataValidation>
    <dataValidation sqref="D5:D64" showDropDown="0" showInputMessage="0" showErrorMessage="0" allowBlank="1" type="list">
      <formula1>=PostTypeList</formula1>
    </dataValidation>
    <dataValidation sqref="E5:E64" showDropDown="0" showInputMessage="0" showErrorMessage="0" allowBlank="1" type="list">
      <formula1>=PriorityList</formula1>
    </dataValidation>
    <dataValidation sqref="F5:F6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🔲  GRID PLANNER</t>
        </is>
      </c>
    </row>
    <row r="2" ht="22" customHeight="1">
      <c r="A2" s="2" t="inlineStr">
        <is>
          <t xml:space="preserve">  See your feed before you post — plan the next 9 for a cohesive aesthetic.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PLAN YOUR GRID</t>
        </is>
      </c>
    </row>
    <row r="6" ht="26" customHeight="1">
      <c r="B6" s="27" t="inlineStr">
        <is>
          <t>Drop a cover into each cell (Excel: Insert ▸ Pictures ▸ Place in Cell · Sheets: Insert ▸ Image in cell or =IMAGE("link")) to preview your 3×3 grid. Note the pillar &amp; post type under each so colours, subjects and types alternate for a balanced feed.</t>
        </is>
      </c>
      <c r="C6" s="11" t="n"/>
      <c r="D6" s="11" t="n"/>
    </row>
    <row r="7" ht="26" customHeight="1">
      <c r="B7" s="11" t="n"/>
      <c r="C7" s="11" t="n"/>
      <c r="D7" s="11" t="n"/>
    </row>
    <row r="9" ht="118" customHeight="1">
      <c r="B9" s="28" t="inlineStr">
        <is>
          <t>🖼
Post 1
(add cover)</t>
        </is>
      </c>
      <c r="C9" s="28" t="inlineStr">
        <is>
          <t>🖼
Post 2
(add cover)</t>
        </is>
      </c>
      <c r="D9" s="28" t="inlineStr">
        <is>
          <t>🖼
Post 3
(add cover)</t>
        </is>
      </c>
    </row>
    <row r="10"/>
    <row r="11"/>
    <row r="12"/>
    <row r="13" ht="28" customHeight="1">
      <c r="B13" s="29" t="inlineStr">
        <is>
          <t>Reel · Plants</t>
        </is>
      </c>
      <c r="C13" s="29" t="inlineStr">
        <is>
          <t>Carousel · Styling</t>
        </is>
      </c>
      <c r="D13" s="29" t="inlineStr">
        <is>
          <t>Static · Home</t>
        </is>
      </c>
    </row>
    <row r="15" ht="118" customHeight="1">
      <c r="B15" s="28" t="inlineStr">
        <is>
          <t>🖼
Post 4
(add cover)</t>
        </is>
      </c>
      <c r="C15" s="28" t="inlineStr">
        <is>
          <t>🖼
Post 5
(add cover)</t>
        </is>
      </c>
      <c r="D15" s="28" t="inlineStr">
        <is>
          <t>🖼
Post 6
(add cover)</t>
        </is>
      </c>
    </row>
    <row r="16"/>
    <row r="17"/>
    <row r="18"/>
    <row r="19" ht="28" customHeight="1">
      <c r="B19" s="29" t="inlineStr">
        <is>
          <t>Reel · DIY</t>
        </is>
      </c>
      <c r="C19" s="29" t="inlineStr">
        <is>
          <t>Static · Plants</t>
        </is>
      </c>
      <c r="D19" s="29" t="inlineStr">
        <is>
          <t>Carousel · Shopping</t>
        </is>
      </c>
    </row>
    <row r="21" ht="118" customHeight="1">
      <c r="B21" s="28" t="inlineStr">
        <is>
          <t>🖼
Post 7
(add cover)</t>
        </is>
      </c>
      <c r="C21" s="28" t="inlineStr">
        <is>
          <t>🖼
Post 8
(add cover)</t>
        </is>
      </c>
      <c r="D21" s="28" t="inlineStr">
        <is>
          <t>🖼
Post 9
(add cover)</t>
        </is>
      </c>
    </row>
    <row r="22"/>
    <row r="23"/>
    <row r="24"/>
    <row r="25" ht="28" customHeight="1">
      <c r="B25" s="29" t="inlineStr">
        <is>
          <t>Reel · Lifestyle</t>
        </is>
      </c>
      <c r="C25" s="29" t="inlineStr">
        <is>
          <t>Static · Home</t>
        </is>
      </c>
      <c r="D25" s="29" t="inlineStr">
        <is>
          <t>Carousel · Plants</t>
        </is>
      </c>
    </row>
  </sheetData>
  <mergeCells count="13">
    <mergeCell ref="D9:D12"/>
    <mergeCell ref="B5:D5"/>
    <mergeCell ref="B6:D7"/>
    <mergeCell ref="C9:C12"/>
    <mergeCell ref="B9:B12"/>
    <mergeCell ref="A2:E2"/>
    <mergeCell ref="D15:D18"/>
    <mergeCell ref="B21:B24"/>
    <mergeCell ref="A1:E1"/>
    <mergeCell ref="B15:B18"/>
    <mergeCell ref="C21:C24"/>
    <mergeCell ref="D21:D24"/>
    <mergeCell ref="C15:C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13" customWidth="1" min="5" max="5"/>
    <col width="24" customWidth="1" min="6" max="6"/>
  </cols>
  <sheetData>
    <row r="1" ht="46" customHeight="1">
      <c r="A1" s="1" t="inlineStr">
        <is>
          <t xml:space="preserve">  🎬  CONTENT PIPELINE</t>
        </is>
      </c>
    </row>
    <row r="2" ht="22" customHeight="1">
      <c r="A2" s="2" t="inlineStr">
        <is>
          <t xml:space="preserve">  Every post, every stage — from idea to posted, with live progress %.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Title</t>
        </is>
      </c>
      <c r="B4" s="9" t="inlineStr">
        <is>
          <t>Stage</t>
        </is>
      </c>
      <c r="C4" s="9" t="inlineStr">
        <is>
          <t>Progress</t>
        </is>
      </c>
      <c r="D4" s="9" t="inlineStr">
        <is>
          <t>Owner</t>
        </is>
      </c>
      <c r="E4" s="9" t="inlineStr">
        <is>
          <t>Due</t>
        </is>
      </c>
      <c r="F4" s="9" t="inlineStr">
        <is>
          <t>Notes</t>
        </is>
      </c>
    </row>
    <row r="5">
      <c r="A5" s="22" t="inlineStr">
        <is>
          <t>Repotting a monstera</t>
        </is>
      </c>
      <c r="B5" s="23" t="inlineStr">
        <is>
          <t>Editing</t>
        </is>
      </c>
      <c r="C5" s="30" t="n">
        <v>0.8</v>
      </c>
      <c r="D5" s="22" t="inlineStr">
        <is>
          <t>Fern</t>
        </is>
      </c>
      <c r="E5" s="21" t="n">
        <v>46215</v>
      </c>
      <c r="F5" s="22" t="inlineStr">
        <is>
          <t>Add captions + trending audio</t>
        </is>
      </c>
    </row>
    <row r="6">
      <c r="A6" s="25" t="inlineStr">
        <is>
          <t>Carousel: 7 low-light plants</t>
        </is>
      </c>
      <c r="B6" s="26" t="inlineStr">
        <is>
          <t>Design</t>
        </is>
      </c>
      <c r="C6" s="31" t="n">
        <v>0.55</v>
      </c>
      <c r="D6" s="25" t="inlineStr">
        <is>
          <t>Fern</t>
        </is>
      </c>
      <c r="E6" s="24" t="n">
        <v>46217</v>
      </c>
      <c r="F6" s="25" t="inlineStr">
        <is>
          <t>3 of 7 slides done</t>
        </is>
      </c>
    </row>
    <row r="7">
      <c r="A7" s="22" t="inlineStr">
        <is>
          <t>Balcony jungle reveal</t>
        </is>
      </c>
      <c r="B7" s="23" t="inlineStr">
        <is>
          <t>Script</t>
        </is>
      </c>
      <c r="C7" s="30" t="n">
        <v>0.35</v>
      </c>
      <c r="D7" s="22" t="inlineStr">
        <is>
          <t>Fern</t>
        </is>
      </c>
      <c r="E7" s="21" t="n">
        <v>46219</v>
      </c>
      <c r="F7" s="22" t="inlineStr">
        <is>
          <t>Hook drafted</t>
        </is>
      </c>
    </row>
    <row r="8">
      <c r="A8" s="25" t="inlineStr">
        <is>
          <t>Weekend plant reset</t>
        </is>
      </c>
      <c r="B8" s="26" t="inlineStr">
        <is>
          <t>Outline</t>
        </is>
      </c>
      <c r="C8" s="31" t="n">
        <v>0.2</v>
      </c>
      <c r="D8" s="25" t="inlineStr">
        <is>
          <t>Fern</t>
        </is>
      </c>
      <c r="E8" s="24" t="n">
        <v>46220</v>
      </c>
      <c r="F8" s="25" t="inlineStr">
        <is>
          <t>Shot list</t>
        </is>
      </c>
    </row>
    <row r="9">
      <c r="A9" s="22" t="inlineStr">
        <is>
          <t>Thrifted pot makeover</t>
        </is>
      </c>
      <c r="B9" s="23" t="inlineStr">
        <is>
          <t>Idea</t>
        </is>
      </c>
      <c r="C9" s="30" t="n">
        <v>0.1</v>
      </c>
      <c r="D9" s="22" t="inlineStr">
        <is>
          <t>Fern</t>
        </is>
      </c>
      <c r="E9" s="21" t="n">
        <v>46222</v>
      </c>
      <c r="F9" s="22" t="inlineStr">
        <is>
          <t>Sourcing pots</t>
        </is>
      </c>
    </row>
    <row r="10">
      <c r="A10" s="25" t="inlineStr">
        <is>
          <t>Reel: watering myths</t>
        </is>
      </c>
      <c r="B10" s="26" t="inlineStr">
        <is>
          <t>Editing</t>
        </is>
      </c>
      <c r="C10" s="31" t="n">
        <v>0.7</v>
      </c>
      <c r="D10" s="25" t="inlineStr">
        <is>
          <t>Editor — Rae</t>
        </is>
      </c>
      <c r="E10" s="24" t="n">
        <v>46216</v>
      </c>
      <c r="F10" s="25" t="inlineStr">
        <is>
          <t>Trim to 22s</t>
        </is>
      </c>
    </row>
    <row r="11">
      <c r="A11" s="22" t="inlineStr">
        <is>
          <t>Cozy corner reveal</t>
        </is>
      </c>
      <c r="B11" s="23" t="inlineStr">
        <is>
          <t>Cover</t>
        </is>
      </c>
      <c r="C11" s="30" t="n">
        <v>0.9</v>
      </c>
      <c r="D11" s="22" t="inlineStr">
        <is>
          <t>Fern</t>
        </is>
      </c>
      <c r="E11" s="21" t="n">
        <v>46215</v>
      </c>
      <c r="F11" s="22" t="inlineStr">
        <is>
          <t>Grid cover chosen</t>
        </is>
      </c>
    </row>
    <row r="12">
      <c r="A12" s="25" t="inlineStr">
        <is>
          <t>My grow-light setup</t>
        </is>
      </c>
      <c r="B12" s="26" t="inlineStr">
        <is>
          <t>Filming</t>
        </is>
      </c>
      <c r="C12" s="31" t="n">
        <v>0.5</v>
      </c>
      <c r="D12" s="25" t="inlineStr">
        <is>
          <t>Fern</t>
        </is>
      </c>
      <c r="E12" s="24" t="n">
        <v>46218</v>
      </c>
      <c r="F12" s="25" t="inlineStr">
        <is>
          <t>Half filmed</t>
        </is>
      </c>
    </row>
    <row r="13">
      <c r="A13" s="22" t="n"/>
      <c r="B13" s="23" t="n"/>
      <c r="C13" s="30" t="n"/>
      <c r="D13" s="22" t="n"/>
      <c r="E13" s="21" t="n"/>
      <c r="F13" s="22" t="n"/>
    </row>
    <row r="14">
      <c r="A14" s="25" t="n"/>
      <c r="B14" s="26" t="n"/>
      <c r="C14" s="31" t="n"/>
      <c r="D14" s="25" t="n"/>
      <c r="E14" s="24" t="n"/>
      <c r="F14" s="25" t="n"/>
    </row>
    <row r="15">
      <c r="A15" s="22" t="n"/>
      <c r="B15" s="23" t="n"/>
      <c r="C15" s="30" t="n"/>
      <c r="D15" s="22" t="n"/>
      <c r="E15" s="21" t="n"/>
      <c r="F15" s="22" t="n"/>
    </row>
    <row r="16">
      <c r="A16" s="25" t="n"/>
      <c r="B16" s="26" t="n"/>
      <c r="C16" s="31" t="n"/>
      <c r="D16" s="25" t="n"/>
      <c r="E16" s="24" t="n"/>
      <c r="F16" s="25" t="n"/>
    </row>
    <row r="17">
      <c r="A17" s="22" t="n"/>
      <c r="B17" s="23" t="n"/>
      <c r="C17" s="30" t="n"/>
      <c r="D17" s="22" t="n"/>
      <c r="E17" s="21" t="n"/>
      <c r="F17" s="22" t="n"/>
    </row>
    <row r="18">
      <c r="A18" s="25" t="n"/>
      <c r="B18" s="26" t="n"/>
      <c r="C18" s="31" t="n"/>
      <c r="D18" s="25" t="n"/>
      <c r="E18" s="24" t="n"/>
      <c r="F18" s="25" t="n"/>
    </row>
    <row r="19">
      <c r="A19" s="22" t="n"/>
      <c r="B19" s="23" t="n"/>
      <c r="C19" s="30" t="n"/>
      <c r="D19" s="22" t="n"/>
      <c r="E19" s="21" t="n"/>
      <c r="F19" s="22" t="n"/>
    </row>
    <row r="20">
      <c r="A20" s="25" t="n"/>
      <c r="B20" s="26" t="n"/>
      <c r="C20" s="31" t="n"/>
      <c r="D20" s="25" t="n"/>
      <c r="E20" s="24" t="n"/>
      <c r="F20" s="25" t="n"/>
    </row>
    <row r="21">
      <c r="A21" s="22" t="n"/>
      <c r="B21" s="23" t="n"/>
      <c r="C21" s="30" t="n"/>
      <c r="D21" s="22" t="n"/>
      <c r="E21" s="21" t="n"/>
      <c r="F21" s="22" t="n"/>
    </row>
    <row r="22">
      <c r="A22" s="25" t="n"/>
      <c r="B22" s="26" t="n"/>
      <c r="C22" s="31" t="n"/>
      <c r="D22" s="25" t="n"/>
      <c r="E22" s="24" t="n"/>
      <c r="F22" s="25" t="n"/>
    </row>
    <row r="23">
      <c r="A23" s="22" t="n"/>
      <c r="B23" s="23" t="n"/>
      <c r="C23" s="30" t="n"/>
      <c r="D23" s="22" t="n"/>
      <c r="E23" s="21" t="n"/>
      <c r="F23" s="22" t="n"/>
    </row>
    <row r="24">
      <c r="A24" s="25" t="n"/>
      <c r="B24" s="26" t="n"/>
      <c r="C24" s="31" t="n"/>
      <c r="D24" s="25" t="n"/>
      <c r="E24" s="24" t="n"/>
      <c r="F24" s="25" t="n"/>
    </row>
    <row r="25">
      <c r="A25" s="22" t="n"/>
      <c r="B25" s="23" t="n"/>
      <c r="C25" s="30" t="n"/>
      <c r="D25" s="22" t="n"/>
      <c r="E25" s="21" t="n"/>
      <c r="F25" s="22" t="n"/>
    </row>
    <row r="26">
      <c r="A26" s="25" t="n"/>
      <c r="B26" s="26" t="n"/>
      <c r="C26" s="31" t="n"/>
      <c r="D26" s="25" t="n"/>
      <c r="E26" s="24" t="n"/>
      <c r="F26" s="25" t="n"/>
    </row>
    <row r="27">
      <c r="A27" s="22" t="n"/>
      <c r="B27" s="23" t="n"/>
      <c r="C27" s="30" t="n"/>
      <c r="D27" s="22" t="n"/>
      <c r="E27" s="21" t="n"/>
      <c r="F27" s="22" t="n"/>
    </row>
    <row r="28">
      <c r="A28" s="25" t="n"/>
      <c r="B28" s="26" t="n"/>
      <c r="C28" s="31" t="n"/>
      <c r="D28" s="25" t="n"/>
      <c r="E28" s="24" t="n"/>
      <c r="F28" s="25" t="n"/>
    </row>
    <row r="29">
      <c r="A29" s="22" t="n"/>
      <c r="B29" s="23" t="n"/>
      <c r="C29" s="30" t="n"/>
      <c r="D29" s="22" t="n"/>
      <c r="E29" s="21" t="n"/>
      <c r="F29" s="22" t="n"/>
    </row>
    <row r="30">
      <c r="A30" s="25" t="n"/>
      <c r="B30" s="26" t="n"/>
      <c r="C30" s="31" t="n"/>
      <c r="D30" s="25" t="n"/>
      <c r="E30" s="24" t="n"/>
      <c r="F30" s="25" t="n"/>
    </row>
    <row r="31">
      <c r="A31" s="22" t="n"/>
      <c r="B31" s="23" t="n"/>
      <c r="C31" s="30" t="n"/>
      <c r="D31" s="22" t="n"/>
      <c r="E31" s="21" t="n"/>
      <c r="F31" s="22" t="n"/>
    </row>
    <row r="32">
      <c r="A32" s="25" t="n"/>
      <c r="B32" s="26" t="n"/>
      <c r="C32" s="31" t="n"/>
      <c r="D32" s="25" t="n"/>
      <c r="E32" s="24" t="n"/>
      <c r="F32" s="25" t="n"/>
    </row>
    <row r="33">
      <c r="A33" s="22" t="n"/>
      <c r="B33" s="23" t="n"/>
      <c r="C33" s="30" t="n"/>
      <c r="D33" s="22" t="n"/>
      <c r="E33" s="21" t="n"/>
      <c r="F33" s="22" t="n"/>
    </row>
    <row r="34">
      <c r="A34" s="25" t="n"/>
      <c r="B34" s="26" t="n"/>
      <c r="C34" s="31" t="n"/>
      <c r="D34" s="25" t="n"/>
      <c r="E34" s="24" t="n"/>
      <c r="F34" s="25" t="n"/>
    </row>
    <row r="35">
      <c r="A35" s="22" t="n"/>
      <c r="B35" s="23" t="n"/>
      <c r="C35" s="30" t="n"/>
      <c r="D35" s="22" t="n"/>
      <c r="E35" s="21" t="n"/>
      <c r="F35" s="22" t="n"/>
    </row>
    <row r="36">
      <c r="A36" s="25" t="n"/>
      <c r="B36" s="26" t="n"/>
      <c r="C36" s="31" t="n"/>
      <c r="D36" s="25" t="n"/>
      <c r="E36" s="24" t="n"/>
      <c r="F36" s="25" t="n"/>
    </row>
    <row r="37">
      <c r="A37" s="22" t="n"/>
      <c r="B37" s="23" t="n"/>
      <c r="C37" s="30" t="n"/>
      <c r="D37" s="22" t="n"/>
      <c r="E37" s="21" t="n"/>
      <c r="F37" s="22" t="n"/>
    </row>
    <row r="38">
      <c r="A38" s="25" t="n"/>
      <c r="B38" s="26" t="n"/>
      <c r="C38" s="31" t="n"/>
      <c r="D38" s="25" t="n"/>
      <c r="E38" s="24" t="n"/>
      <c r="F38" s="25" t="n"/>
    </row>
    <row r="39">
      <c r="A39" s="22" t="n"/>
      <c r="B39" s="23" t="n"/>
      <c r="C39" s="30" t="n"/>
      <c r="D39" s="22" t="n"/>
      <c r="E39" s="21" t="n"/>
      <c r="F39" s="22" t="n"/>
    </row>
    <row r="40">
      <c r="A40" s="25" t="n"/>
      <c r="B40" s="26" t="n"/>
      <c r="C40" s="31" t="n"/>
      <c r="D40" s="25" t="n"/>
      <c r="E40" s="24" t="n"/>
      <c r="F40" s="25" t="n"/>
    </row>
    <row r="41">
      <c r="A41" s="22" t="n"/>
      <c r="B41" s="23" t="n"/>
      <c r="C41" s="30" t="n"/>
      <c r="D41" s="22" t="n"/>
      <c r="E41" s="21" t="n"/>
      <c r="F41" s="22" t="n"/>
    </row>
    <row r="42">
      <c r="A42" s="25" t="n"/>
      <c r="B42" s="26" t="n"/>
      <c r="C42" s="31" t="n"/>
      <c r="D42" s="25" t="n"/>
      <c r="E42" s="24" t="n"/>
      <c r="F42" s="25" t="n"/>
    </row>
    <row r="43">
      <c r="A43" s="22" t="n"/>
      <c r="B43" s="23" t="n"/>
      <c r="C43" s="30" t="n"/>
      <c r="D43" s="22" t="n"/>
      <c r="E43" s="21" t="n"/>
      <c r="F43" s="22" t="n"/>
    </row>
    <row r="44">
      <c r="A44" s="25" t="n"/>
      <c r="B44" s="26" t="n"/>
      <c r="C44" s="31" t="n"/>
      <c r="D44" s="25" t="n"/>
      <c r="E44" s="24" t="n"/>
      <c r="F44" s="25" t="n"/>
    </row>
  </sheetData>
  <mergeCells count="2">
    <mergeCell ref="A2:F2"/>
    <mergeCell ref="A1:F1"/>
  </mergeCells>
  <conditionalFormatting sqref="C5:C44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 ht="46" customHeight="1">
      <c r="A1" s="1" t="inlineStr">
        <is>
          <t xml:space="preserve">  💡  IDEA VAULT</t>
        </is>
      </c>
    </row>
    <row r="2" ht="22" customHeight="1">
      <c r="A2" s="2" t="inlineStr">
        <is>
          <t xml:space="preserve">  Never run dry — capture ideas and let an AI Opportunity Score (reach ÷ difficulty) rank them.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Idea</t>
        </is>
      </c>
      <c r="B4" s="9" t="inlineStr">
        <is>
          <t>Pillar</t>
        </is>
      </c>
      <c r="C4" s="9" t="inlineStr">
        <is>
          <t>Keyword</t>
        </is>
      </c>
      <c r="D4" s="9" t="inlineStr">
        <is>
          <t>Hook</t>
        </is>
      </c>
      <c r="E4" s="9" t="inlineStr">
        <is>
          <t>Est. Reach</t>
        </is>
      </c>
      <c r="F4" s="9" t="inlineStr">
        <is>
          <t>Diff.</t>
        </is>
      </c>
      <c r="G4" s="9" t="inlineStr">
        <is>
          <t>AI Score</t>
        </is>
      </c>
      <c r="H4" s="9" t="inlineStr">
        <is>
          <t>Status</t>
        </is>
      </c>
    </row>
    <row r="5">
      <c r="A5" s="32" t="inlineStr">
        <is>
          <t>Renter-friendly plant wall</t>
        </is>
      </c>
      <c r="B5" s="33" t="inlineStr">
        <is>
          <t>Home</t>
        </is>
      </c>
      <c r="C5" s="32" t="inlineStr">
        <is>
          <t>renter plants</t>
        </is>
      </c>
      <c r="D5" s="32" t="inlineStr">
        <is>
          <t>My landlord approved THIS</t>
        </is>
      </c>
      <c r="E5" s="34" t="n">
        <v>420000</v>
      </c>
      <c r="F5" s="33" t="n">
        <v>6</v>
      </c>
      <c r="G5" s="34">
        <f>IFERROR(ROUND(E5/1000/F5,0),0)</f>
        <v/>
      </c>
      <c r="H5" s="33" t="inlineStr">
        <is>
          <t>Planned</t>
        </is>
      </c>
    </row>
    <row r="6">
      <c r="A6" s="25" t="inlineStr">
        <is>
          <t>Plants that survived me</t>
        </is>
      </c>
      <c r="B6" s="26" t="inlineStr">
        <is>
          <t>Plants</t>
        </is>
      </c>
      <c r="C6" s="25" t="inlineStr">
        <is>
          <t>hard to kill</t>
        </is>
      </c>
      <c r="D6" s="25" t="inlineStr">
        <is>
          <t>I neglected these for a month</t>
        </is>
      </c>
      <c r="E6" s="35" t="n">
        <v>680000</v>
      </c>
      <c r="F6" s="26" t="n">
        <v>3</v>
      </c>
      <c r="G6" s="35">
        <f>IFERROR(ROUND(E6/1000/F6,0),0)</f>
        <v/>
      </c>
      <c r="H6" s="26" t="inlineStr">
        <is>
          <t>Idea</t>
        </is>
      </c>
    </row>
    <row r="7">
      <c r="A7" s="32" t="inlineStr">
        <is>
          <t>$50 plant corner makeover</t>
        </is>
      </c>
      <c r="B7" s="33" t="inlineStr">
        <is>
          <t>Styling</t>
        </is>
      </c>
      <c r="C7" s="32" t="inlineStr">
        <is>
          <t>plant corner</t>
        </is>
      </c>
      <c r="D7" s="32" t="inlineStr">
        <is>
          <t>$50 glow-up</t>
        </is>
      </c>
      <c r="E7" s="34" t="n">
        <v>550000</v>
      </c>
      <c r="F7" s="33" t="n">
        <v>5</v>
      </c>
      <c r="G7" s="34">
        <f>IFERROR(ROUND(E7/1000/F7,0),0)</f>
        <v/>
      </c>
      <c r="H7" s="33" t="inlineStr">
        <is>
          <t>Planned</t>
        </is>
      </c>
    </row>
    <row r="8">
      <c r="A8" s="25" t="inlineStr">
        <is>
          <t>Propagation for beginners</t>
        </is>
      </c>
      <c r="B8" s="26" t="inlineStr">
        <is>
          <t>Plants</t>
        </is>
      </c>
      <c r="C8" s="25" t="inlineStr">
        <is>
          <t>propagation</t>
        </is>
      </c>
      <c r="D8" s="25" t="inlineStr">
        <is>
          <t>Free plants forever</t>
        </is>
      </c>
      <c r="E8" s="35" t="n">
        <v>610000</v>
      </c>
      <c r="F8" s="26" t="n">
        <v>4</v>
      </c>
      <c r="G8" s="35">
        <f>IFERROR(ROUND(E8/1000/F8,0),0)</f>
        <v/>
      </c>
      <c r="H8" s="26" t="inlineStr">
        <is>
          <t>Idea</t>
        </is>
      </c>
    </row>
    <row r="9">
      <c r="A9" s="32" t="inlineStr">
        <is>
          <t>Styling books + plants</t>
        </is>
      </c>
      <c r="B9" s="33" t="inlineStr">
        <is>
          <t>Styling</t>
        </is>
      </c>
      <c r="C9" s="32" t="inlineStr">
        <is>
          <t>shelf styling</t>
        </is>
      </c>
      <c r="D9" s="32" t="inlineStr">
        <is>
          <t>Shelfie in 60 seconds</t>
        </is>
      </c>
      <c r="E9" s="34" t="n">
        <v>480000</v>
      </c>
      <c r="F9" s="33" t="n">
        <v>5</v>
      </c>
      <c r="G9" s="34">
        <f>IFERROR(ROUND(E9/1000/F9,0),0)</f>
        <v/>
      </c>
      <c r="H9" s="33" t="inlineStr">
        <is>
          <t>Idea</t>
        </is>
      </c>
    </row>
    <row r="10">
      <c r="A10" s="25" t="inlineStr">
        <is>
          <t>Thrift with me: pots</t>
        </is>
      </c>
      <c r="B10" s="26" t="inlineStr">
        <is>
          <t>Shopping</t>
        </is>
      </c>
      <c r="C10" s="25" t="inlineStr">
        <is>
          <t>thrift pots</t>
        </is>
      </c>
      <c r="D10" s="25" t="inlineStr">
        <is>
          <t>$3 pots that look $30</t>
        </is>
      </c>
      <c r="E10" s="35" t="n">
        <v>520000</v>
      </c>
      <c r="F10" s="26" t="n">
        <v>4</v>
      </c>
      <c r="G10" s="35">
        <f>IFERROR(ROUND(E10/1000/F10,0),0)</f>
        <v/>
      </c>
      <c r="H10" s="26" t="inlineStr">
        <is>
          <t>Planned</t>
        </is>
      </c>
    </row>
    <row r="11">
      <c r="A11" s="32" t="inlineStr">
        <is>
          <t>Low-light plant guide</t>
        </is>
      </c>
      <c r="B11" s="33" t="inlineStr">
        <is>
          <t>Plants</t>
        </is>
      </c>
      <c r="C11" s="32" t="inlineStr">
        <is>
          <t>low light plants</t>
        </is>
      </c>
      <c r="D11" s="32" t="inlineStr">
        <is>
          <t>No window? No problem</t>
        </is>
      </c>
      <c r="E11" s="34" t="n">
        <v>460000</v>
      </c>
      <c r="F11" s="33" t="n">
        <v>5</v>
      </c>
      <c r="G11" s="34">
        <f>IFERROR(ROUND(E11/1000/F11,0),0)</f>
        <v/>
      </c>
      <c r="H11" s="33" t="inlineStr">
        <is>
          <t>Idea</t>
        </is>
      </c>
    </row>
    <row r="12">
      <c r="A12" s="25" t="inlineStr">
        <is>
          <t>Behind my content days</t>
        </is>
      </c>
      <c r="B12" s="26" t="inlineStr">
        <is>
          <t>Behind-the-scenes</t>
        </is>
      </c>
      <c r="C12" s="25" t="inlineStr">
        <is>
          <t>creator day</t>
        </is>
      </c>
      <c r="D12" s="25" t="inlineStr">
        <is>
          <t>A realistic filming day</t>
        </is>
      </c>
      <c r="E12" s="35" t="n">
        <v>300000</v>
      </c>
      <c r="F12" s="26" t="n">
        <v>3</v>
      </c>
      <c r="G12" s="35">
        <f>IFERROR(ROUND(E12/1000/F12,0),0)</f>
        <v/>
      </c>
      <c r="H12" s="26" t="inlineStr">
        <is>
          <t>Idea</t>
        </is>
      </c>
    </row>
    <row r="13">
      <c r="A13" s="32" t="inlineStr">
        <is>
          <t>Faux vs real debate</t>
        </is>
      </c>
      <c r="B13" s="33" t="inlineStr">
        <is>
          <t>Home</t>
        </is>
      </c>
      <c r="C13" s="32" t="inlineStr">
        <is>
          <t>faux plants</t>
        </is>
      </c>
      <c r="D13" s="32" t="inlineStr">
        <is>
          <t>Would you notice?</t>
        </is>
      </c>
      <c r="E13" s="34" t="n">
        <v>720000</v>
      </c>
      <c r="F13" s="33" t="n">
        <v>4</v>
      </c>
      <c r="G13" s="34">
        <f>IFERROR(ROUND(E13/1000/F13,0),0)</f>
        <v/>
      </c>
      <c r="H13" s="33" t="inlineStr">
        <is>
          <t>Idea</t>
        </is>
      </c>
    </row>
    <row r="14">
      <c r="A14" s="25" t="inlineStr">
        <is>
          <t>Best plant shops (haul)</t>
        </is>
      </c>
      <c r="B14" s="26" t="inlineStr">
        <is>
          <t>Shopping</t>
        </is>
      </c>
      <c r="C14" s="25" t="inlineStr">
        <is>
          <t>plant haul</t>
        </is>
      </c>
      <c r="D14" s="25" t="inlineStr">
        <is>
          <t>I spent way too much</t>
        </is>
      </c>
      <c r="E14" s="35" t="n">
        <v>640000</v>
      </c>
      <c r="F14" s="26" t="n">
        <v>5</v>
      </c>
      <c r="G14" s="35">
        <f>IFERROR(ROUND(E14/1000/F14,0),0)</f>
        <v/>
      </c>
      <c r="H14" s="26" t="inlineStr">
        <is>
          <t>Idea</t>
        </is>
      </c>
    </row>
    <row r="15">
      <c r="A15" s="22" t="n"/>
      <c r="B15" s="23" t="n"/>
      <c r="C15" s="22" t="n"/>
      <c r="D15" s="22" t="n"/>
      <c r="E15" s="23" t="n"/>
      <c r="F15" s="23" t="n"/>
      <c r="G15" s="36">
        <f>IFERROR(ROUND(E15/1000/F15,0),0)</f>
        <v/>
      </c>
      <c r="H15" s="23" t="n"/>
    </row>
    <row r="16">
      <c r="A16" s="25" t="n"/>
      <c r="B16" s="26" t="n"/>
      <c r="C16" s="25" t="n"/>
      <c r="D16" s="25" t="n"/>
      <c r="E16" s="26" t="n"/>
      <c r="F16" s="26" t="n"/>
      <c r="G16" s="35">
        <f>IFERROR(ROUND(E16/1000/F16,0),0)</f>
        <v/>
      </c>
      <c r="H16" s="26" t="n"/>
    </row>
    <row r="17">
      <c r="A17" s="22" t="n"/>
      <c r="B17" s="23" t="n"/>
      <c r="C17" s="22" t="n"/>
      <c r="D17" s="22" t="n"/>
      <c r="E17" s="23" t="n"/>
      <c r="F17" s="23" t="n"/>
      <c r="G17" s="36">
        <f>IFERROR(ROUND(E17/1000/F17,0),0)</f>
        <v/>
      </c>
      <c r="H17" s="23" t="n"/>
    </row>
    <row r="18">
      <c r="A18" s="25" t="n"/>
      <c r="B18" s="26" t="n"/>
      <c r="C18" s="25" t="n"/>
      <c r="D18" s="25" t="n"/>
      <c r="E18" s="26" t="n"/>
      <c r="F18" s="26" t="n"/>
      <c r="G18" s="35">
        <f>IFERROR(ROUND(E18/1000/F18,0),0)</f>
        <v/>
      </c>
      <c r="H18" s="26" t="n"/>
    </row>
    <row r="19">
      <c r="A19" s="22" t="n"/>
      <c r="B19" s="23" t="n"/>
      <c r="C19" s="22" t="n"/>
      <c r="D19" s="22" t="n"/>
      <c r="E19" s="23" t="n"/>
      <c r="F19" s="23" t="n"/>
      <c r="G19" s="36">
        <f>IFERROR(ROUND(E19/1000/F19,0),0)</f>
        <v/>
      </c>
      <c r="H19" s="23" t="n"/>
    </row>
    <row r="20">
      <c r="A20" s="25" t="n"/>
      <c r="B20" s="26" t="n"/>
      <c r="C20" s="25" t="n"/>
      <c r="D20" s="25" t="n"/>
      <c r="E20" s="26" t="n"/>
      <c r="F20" s="26" t="n"/>
      <c r="G20" s="35">
        <f>IFERROR(ROUND(E20/1000/F20,0),0)</f>
        <v/>
      </c>
      <c r="H20" s="26" t="n"/>
    </row>
    <row r="21">
      <c r="A21" s="22" t="n"/>
      <c r="B21" s="23" t="n"/>
      <c r="C21" s="22" t="n"/>
      <c r="D21" s="22" t="n"/>
      <c r="E21" s="23" t="n"/>
      <c r="F21" s="23" t="n"/>
      <c r="G21" s="36">
        <f>IFERROR(ROUND(E21/1000/F21,0),0)</f>
        <v/>
      </c>
      <c r="H21" s="23" t="n"/>
    </row>
    <row r="22">
      <c r="A22" s="25" t="n"/>
      <c r="B22" s="26" t="n"/>
      <c r="C22" s="25" t="n"/>
      <c r="D22" s="25" t="n"/>
      <c r="E22" s="26" t="n"/>
      <c r="F22" s="26" t="n"/>
      <c r="G22" s="35">
        <f>IFERROR(ROUND(E22/1000/F22,0),0)</f>
        <v/>
      </c>
      <c r="H22" s="26" t="n"/>
    </row>
    <row r="23">
      <c r="A23" s="22" t="n"/>
      <c r="B23" s="23" t="n"/>
      <c r="C23" s="22" t="n"/>
      <c r="D23" s="22" t="n"/>
      <c r="E23" s="23" t="n"/>
      <c r="F23" s="23" t="n"/>
      <c r="G23" s="36">
        <f>IFERROR(ROUND(E23/1000/F23,0),0)</f>
        <v/>
      </c>
      <c r="H23" s="23" t="n"/>
    </row>
    <row r="24">
      <c r="A24" s="25" t="n"/>
      <c r="B24" s="26" t="n"/>
      <c r="C24" s="25" t="n"/>
      <c r="D24" s="25" t="n"/>
      <c r="E24" s="26" t="n"/>
      <c r="F24" s="26" t="n"/>
      <c r="G24" s="35">
        <f>IFERROR(ROUND(E24/1000/F24,0),0)</f>
        <v/>
      </c>
      <c r="H24" s="26" t="n"/>
    </row>
    <row r="25">
      <c r="A25" s="22" t="n"/>
      <c r="B25" s="23" t="n"/>
      <c r="C25" s="22" t="n"/>
      <c r="D25" s="22" t="n"/>
      <c r="E25" s="23" t="n"/>
      <c r="F25" s="23" t="n"/>
      <c r="G25" s="36">
        <f>IFERROR(ROUND(E25/1000/F25,0),0)</f>
        <v/>
      </c>
      <c r="H25" s="23" t="n"/>
    </row>
    <row r="26">
      <c r="A26" s="25" t="n"/>
      <c r="B26" s="26" t="n"/>
      <c r="C26" s="25" t="n"/>
      <c r="D26" s="25" t="n"/>
      <c r="E26" s="26" t="n"/>
      <c r="F26" s="26" t="n"/>
      <c r="G26" s="35">
        <f>IFERROR(ROUND(E26/1000/F26,0),0)</f>
        <v/>
      </c>
      <c r="H26" s="26" t="n"/>
    </row>
    <row r="27">
      <c r="A27" s="22" t="n"/>
      <c r="B27" s="23" t="n"/>
      <c r="C27" s="22" t="n"/>
      <c r="D27" s="22" t="n"/>
      <c r="E27" s="23" t="n"/>
      <c r="F27" s="23" t="n"/>
      <c r="G27" s="36">
        <f>IFERROR(ROUND(E27/1000/F27,0),0)</f>
        <v/>
      </c>
      <c r="H27" s="23" t="n"/>
    </row>
    <row r="28">
      <c r="A28" s="25" t="n"/>
      <c r="B28" s="26" t="n"/>
      <c r="C28" s="25" t="n"/>
      <c r="D28" s="25" t="n"/>
      <c r="E28" s="26" t="n"/>
      <c r="F28" s="26" t="n"/>
      <c r="G28" s="35">
        <f>IFERROR(ROUND(E28/1000/F28,0),0)</f>
        <v/>
      </c>
      <c r="H28" s="26" t="n"/>
    </row>
    <row r="29">
      <c r="A29" s="22" t="n"/>
      <c r="B29" s="23" t="n"/>
      <c r="C29" s="22" t="n"/>
      <c r="D29" s="22" t="n"/>
      <c r="E29" s="23" t="n"/>
      <c r="F29" s="23" t="n"/>
      <c r="G29" s="36">
        <f>IFERROR(ROUND(E29/1000/F29,0),0)</f>
        <v/>
      </c>
      <c r="H29" s="23" t="n"/>
    </row>
    <row r="30">
      <c r="A30" s="25" t="n"/>
      <c r="B30" s="26" t="n"/>
      <c r="C30" s="25" t="n"/>
      <c r="D30" s="25" t="n"/>
      <c r="E30" s="26" t="n"/>
      <c r="F30" s="26" t="n"/>
      <c r="G30" s="35">
        <f>IFERROR(ROUND(E30/1000/F30,0),0)</f>
        <v/>
      </c>
      <c r="H30" s="26" t="n"/>
    </row>
    <row r="31">
      <c r="A31" s="22" t="n"/>
      <c r="B31" s="23" t="n"/>
      <c r="C31" s="22" t="n"/>
      <c r="D31" s="22" t="n"/>
      <c r="E31" s="23" t="n"/>
      <c r="F31" s="23" t="n"/>
      <c r="G31" s="36">
        <f>IFERROR(ROUND(E31/1000/F31,0),0)</f>
        <v/>
      </c>
      <c r="H31" s="23" t="n"/>
    </row>
    <row r="32">
      <c r="A32" s="25" t="n"/>
      <c r="B32" s="26" t="n"/>
      <c r="C32" s="25" t="n"/>
      <c r="D32" s="25" t="n"/>
      <c r="E32" s="26" t="n"/>
      <c r="F32" s="26" t="n"/>
      <c r="G32" s="35">
        <f>IFERROR(ROUND(E32/1000/F32,0),0)</f>
        <v/>
      </c>
      <c r="H32" s="26" t="n"/>
    </row>
    <row r="33">
      <c r="A33" s="22" t="n"/>
      <c r="B33" s="23" t="n"/>
      <c r="C33" s="22" t="n"/>
      <c r="D33" s="22" t="n"/>
      <c r="E33" s="23" t="n"/>
      <c r="F33" s="23" t="n"/>
      <c r="G33" s="36">
        <f>IFERROR(ROUND(E33/1000/F33,0),0)</f>
        <v/>
      </c>
      <c r="H33" s="23" t="n"/>
    </row>
    <row r="34">
      <c r="A34" s="25" t="n"/>
      <c r="B34" s="26" t="n"/>
      <c r="C34" s="25" t="n"/>
      <c r="D34" s="25" t="n"/>
      <c r="E34" s="26" t="n"/>
      <c r="F34" s="26" t="n"/>
      <c r="G34" s="35">
        <f>IFERROR(ROUND(E34/1000/F34,0),0)</f>
        <v/>
      </c>
      <c r="H34" s="26" t="n"/>
    </row>
    <row r="35">
      <c r="A35" s="22" t="n"/>
      <c r="B35" s="23" t="n"/>
      <c r="C35" s="22" t="n"/>
      <c r="D35" s="22" t="n"/>
      <c r="E35" s="23" t="n"/>
      <c r="F35" s="23" t="n"/>
      <c r="G35" s="36">
        <f>IFERROR(ROUND(E35/1000/F35,0),0)</f>
        <v/>
      </c>
      <c r="H35" s="23" t="n"/>
    </row>
    <row r="36">
      <c r="A36" s="25" t="n"/>
      <c r="B36" s="26" t="n"/>
      <c r="C36" s="25" t="n"/>
      <c r="D36" s="25" t="n"/>
      <c r="E36" s="26" t="n"/>
      <c r="F36" s="26" t="n"/>
      <c r="G36" s="35">
        <f>IFERROR(ROUND(E36/1000/F36,0),0)</f>
        <v/>
      </c>
      <c r="H36" s="26" t="n"/>
    </row>
    <row r="37">
      <c r="A37" s="22" t="n"/>
      <c r="B37" s="23" t="n"/>
      <c r="C37" s="22" t="n"/>
      <c r="D37" s="22" t="n"/>
      <c r="E37" s="23" t="n"/>
      <c r="F37" s="23" t="n"/>
      <c r="G37" s="36">
        <f>IFERROR(ROUND(E37/1000/F37,0),0)</f>
        <v/>
      </c>
      <c r="H37" s="23" t="n"/>
    </row>
    <row r="38">
      <c r="A38" s="25" t="n"/>
      <c r="B38" s="26" t="n"/>
      <c r="C38" s="25" t="n"/>
      <c r="D38" s="25" t="n"/>
      <c r="E38" s="26" t="n"/>
      <c r="F38" s="26" t="n"/>
      <c r="G38" s="35">
        <f>IFERROR(ROUND(E38/1000/F38,0),0)</f>
        <v/>
      </c>
      <c r="H38" s="26" t="n"/>
    </row>
    <row r="39">
      <c r="A39" s="22" t="n"/>
      <c r="B39" s="23" t="n"/>
      <c r="C39" s="22" t="n"/>
      <c r="D39" s="22" t="n"/>
      <c r="E39" s="23" t="n"/>
      <c r="F39" s="23" t="n"/>
      <c r="G39" s="36">
        <f>IFERROR(ROUND(E39/1000/F39,0),0)</f>
        <v/>
      </c>
      <c r="H39" s="23" t="n"/>
    </row>
    <row r="40">
      <c r="A40" s="25" t="n"/>
      <c r="B40" s="26" t="n"/>
      <c r="C40" s="25" t="n"/>
      <c r="D40" s="25" t="n"/>
      <c r="E40" s="26" t="n"/>
      <c r="F40" s="26" t="n"/>
      <c r="G40" s="35">
        <f>IFERROR(ROUND(E40/1000/F40,0),0)</f>
        <v/>
      </c>
      <c r="H40" s="26" t="n"/>
    </row>
    <row r="41">
      <c r="A41" s="22" t="n"/>
      <c r="B41" s="23" t="n"/>
      <c r="C41" s="22" t="n"/>
      <c r="D41" s="22" t="n"/>
      <c r="E41" s="23" t="n"/>
      <c r="F41" s="23" t="n"/>
      <c r="G41" s="36">
        <f>IFERROR(ROUND(E41/1000/F41,0),0)</f>
        <v/>
      </c>
      <c r="H41" s="23" t="n"/>
    </row>
    <row r="42">
      <c r="A42" s="25" t="n"/>
      <c r="B42" s="26" t="n"/>
      <c r="C42" s="25" t="n"/>
      <c r="D42" s="25" t="n"/>
      <c r="E42" s="26" t="n"/>
      <c r="F42" s="26" t="n"/>
      <c r="G42" s="35">
        <f>IFERROR(ROUND(E42/1000/F42,0),0)</f>
        <v/>
      </c>
      <c r="H42" s="26" t="n"/>
    </row>
    <row r="43">
      <c r="A43" s="22" t="n"/>
      <c r="B43" s="23" t="n"/>
      <c r="C43" s="22" t="n"/>
      <c r="D43" s="22" t="n"/>
      <c r="E43" s="23" t="n"/>
      <c r="F43" s="23" t="n"/>
      <c r="G43" s="36">
        <f>IFERROR(ROUND(E43/1000/F43,0),0)</f>
        <v/>
      </c>
      <c r="H43" s="23" t="n"/>
    </row>
    <row r="44">
      <c r="A44" s="25" t="n"/>
      <c r="B44" s="26" t="n"/>
      <c r="C44" s="25" t="n"/>
      <c r="D44" s="25" t="n"/>
      <c r="E44" s="26" t="n"/>
      <c r="F44" s="26" t="n"/>
      <c r="G44" s="35">
        <f>IFERROR(ROUND(E44/1000/F44,0),0)</f>
        <v/>
      </c>
      <c r="H44" s="26" t="n"/>
    </row>
    <row r="45">
      <c r="A45" s="22" t="n"/>
      <c r="B45" s="23" t="n"/>
      <c r="C45" s="22" t="n"/>
      <c r="D45" s="22" t="n"/>
      <c r="E45" s="23" t="n"/>
      <c r="F45" s="23" t="n"/>
      <c r="G45" s="36">
        <f>IFERROR(ROUND(E45/1000/F45,0),0)</f>
        <v/>
      </c>
      <c r="H45" s="23" t="n"/>
    </row>
    <row r="46">
      <c r="A46" s="25" t="n"/>
      <c r="B46" s="26" t="n"/>
      <c r="C46" s="25" t="n"/>
      <c r="D46" s="25" t="n"/>
      <c r="E46" s="26" t="n"/>
      <c r="F46" s="26" t="n"/>
      <c r="G46" s="35">
        <f>IFERROR(ROUND(E46/1000/F46,0),0)</f>
        <v/>
      </c>
      <c r="H46" s="26" t="n"/>
    </row>
    <row r="47">
      <c r="A47" s="22" t="n"/>
      <c r="B47" s="23" t="n"/>
      <c r="C47" s="22" t="n"/>
      <c r="D47" s="22" t="n"/>
      <c r="E47" s="23" t="n"/>
      <c r="F47" s="23" t="n"/>
      <c r="G47" s="36">
        <f>IFERROR(ROUND(E47/1000/F47,0),0)</f>
        <v/>
      </c>
      <c r="H47" s="23" t="n"/>
    </row>
    <row r="48">
      <c r="A48" s="25" t="n"/>
      <c r="B48" s="26" t="n"/>
      <c r="C48" s="25" t="n"/>
      <c r="D48" s="25" t="n"/>
      <c r="E48" s="26" t="n"/>
      <c r="F48" s="26" t="n"/>
      <c r="G48" s="35">
        <f>IFERROR(ROUND(E48/1000/F48,0),0)</f>
        <v/>
      </c>
      <c r="H48" s="26" t="n"/>
    </row>
    <row r="49">
      <c r="A49" s="22" t="n"/>
      <c r="B49" s="23" t="n"/>
      <c r="C49" s="22" t="n"/>
      <c r="D49" s="22" t="n"/>
      <c r="E49" s="23" t="n"/>
      <c r="F49" s="23" t="n"/>
      <c r="G49" s="36">
        <f>IFERROR(ROUND(E49/1000/F49,0),0)</f>
        <v/>
      </c>
      <c r="H49" s="23" t="n"/>
    </row>
    <row r="50">
      <c r="A50" s="25" t="n"/>
      <c r="B50" s="26" t="n"/>
      <c r="C50" s="25" t="n"/>
      <c r="D50" s="25" t="n"/>
      <c r="E50" s="26" t="n"/>
      <c r="F50" s="26" t="n"/>
      <c r="G50" s="35">
        <f>IFERROR(ROUND(E50/1000/F50,0),0)</f>
        <v/>
      </c>
      <c r="H50" s="26" t="n"/>
    </row>
    <row r="51">
      <c r="A51" s="22" t="n"/>
      <c r="B51" s="23" t="n"/>
      <c r="C51" s="22" t="n"/>
      <c r="D51" s="22" t="n"/>
      <c r="E51" s="23" t="n"/>
      <c r="F51" s="23" t="n"/>
      <c r="G51" s="36">
        <f>IFERROR(ROUND(E51/1000/F51,0),0)</f>
        <v/>
      </c>
      <c r="H51" s="23" t="n"/>
    </row>
    <row r="52">
      <c r="A52" s="25" t="n"/>
      <c r="B52" s="26" t="n"/>
      <c r="C52" s="25" t="n"/>
      <c r="D52" s="25" t="n"/>
      <c r="E52" s="26" t="n"/>
      <c r="F52" s="26" t="n"/>
      <c r="G52" s="35">
        <f>IFERROR(ROUND(E52/1000/F52,0),0)</f>
        <v/>
      </c>
      <c r="H52" s="26" t="n"/>
    </row>
    <row r="53">
      <c r="A53" s="22" t="n"/>
      <c r="B53" s="23" t="n"/>
      <c r="C53" s="22" t="n"/>
      <c r="D53" s="22" t="n"/>
      <c r="E53" s="23" t="n"/>
      <c r="F53" s="23" t="n"/>
      <c r="G53" s="36">
        <f>IFERROR(ROUND(E53/1000/F53,0),0)</f>
        <v/>
      </c>
      <c r="H53" s="23" t="n"/>
    </row>
    <row r="54">
      <c r="A54" s="25" t="n"/>
      <c r="B54" s="26" t="n"/>
      <c r="C54" s="25" t="n"/>
      <c r="D54" s="25" t="n"/>
      <c r="E54" s="26" t="n"/>
      <c r="F54" s="26" t="n"/>
      <c r="G54" s="35">
        <f>IFERROR(ROUND(E54/1000/F54,0),0)</f>
        <v/>
      </c>
      <c r="H54" s="26" t="n"/>
    </row>
  </sheetData>
  <mergeCells count="2">
    <mergeCell ref="A2:H2"/>
    <mergeCell ref="A1:H1"/>
  </mergeCells>
  <conditionalFormatting sqref="G5:G14">
    <cfRule type="colorScale" priority="1">
      <colorScale>
        <cfvo type="num" val="60"/>
        <cfvo type="num" val="200"/>
        <color rgb="FFFBF0E2"/>
        <color rgb="FF75E6C1"/>
      </colorScale>
    </cfRule>
  </conditionalFormatting>
  <dataValidations count="2">
    <dataValidation sqref="B5:B54" showDropDown="0" showInputMessage="0" showErrorMessage="0" allowBlank="1" type="list">
      <formula1>=PillarList</formula1>
    </dataValidation>
    <dataValidation sqref="H5:H5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2" customWidth="1" min="4" max="4"/>
    <col width="10" customWidth="1" min="5" max="5"/>
    <col width="26" customWidth="1" min="6" max="6"/>
  </cols>
  <sheetData>
    <row r="1" ht="46" customHeight="1">
      <c r="A1" s="1" t="inlineStr">
        <is>
          <t xml:space="preserve">  ✍  CAPTIONS &amp; HOOKS</t>
        </is>
      </c>
    </row>
    <row r="2" ht="22" customHeight="1">
      <c r="A2" s="2" t="inlineStr">
        <is>
          <t xml:space="preserve">  Win the first line &amp; the CTA — bank captions that earn saves, shares &amp; comments.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Caption / Hook</t>
        </is>
      </c>
      <c r="B4" s="9" t="inlineStr">
        <is>
          <t>Type</t>
        </is>
      </c>
      <c r="C4" s="9" t="inlineStr">
        <is>
          <t>Best For</t>
        </is>
      </c>
      <c r="D4" s="9" t="inlineStr">
        <is>
          <t>Reusable?</t>
        </is>
      </c>
      <c r="E4" s="9" t="inlineStr">
        <is>
          <t>Score</t>
        </is>
      </c>
      <c r="F4" s="9" t="inlineStr">
        <is>
          <t>Why It Works</t>
        </is>
      </c>
    </row>
    <row r="5">
      <c r="A5" s="22" t="inlineStr">
        <is>
          <t>Save this for your next repot 🌱</t>
        </is>
      </c>
      <c r="B5" s="23" t="inlineStr">
        <is>
          <t>CTA</t>
        </is>
      </c>
      <c r="C5" s="22" t="inlineStr">
        <is>
          <t>Repotting reels</t>
        </is>
      </c>
      <c r="D5" s="23" t="inlineStr">
        <is>
          <t>Yes</t>
        </is>
      </c>
      <c r="E5" s="37" t="n">
        <v>9.199999999999999</v>
      </c>
      <c r="F5" s="22" t="inlineStr">
        <is>
          <t>Drives saves — the IG signal</t>
        </is>
      </c>
    </row>
    <row r="6">
      <c r="A6" s="25" t="inlineStr">
        <is>
          <t>You're overwatering. Here's proof.</t>
        </is>
      </c>
      <c r="B6" s="26" t="inlineStr">
        <is>
          <t>Bold Claim</t>
        </is>
      </c>
      <c r="C6" s="25" t="inlineStr">
        <is>
          <t>Care myths</t>
        </is>
      </c>
      <c r="D6" s="26" t="inlineStr">
        <is>
          <t>Yes</t>
        </is>
      </c>
      <c r="E6" s="38" t="n">
        <v>9</v>
      </c>
      <c r="F6" s="25" t="inlineStr">
        <is>
          <t>Curiosity + correction</t>
        </is>
      </c>
    </row>
    <row r="7">
      <c r="A7" s="22" t="inlineStr">
        <is>
          <t>POV: your first plant corner</t>
        </is>
      </c>
      <c r="B7" s="23" t="inlineStr">
        <is>
          <t>Story</t>
        </is>
      </c>
      <c r="C7" s="22" t="inlineStr">
        <is>
          <t>Styling</t>
        </is>
      </c>
      <c r="D7" s="23" t="inlineStr">
        <is>
          <t>Yes</t>
        </is>
      </c>
      <c r="E7" s="37" t="n">
        <v>8.699999999999999</v>
      </c>
      <c r="F7" s="22" t="inlineStr">
        <is>
          <t>Aspirational + relatable</t>
        </is>
      </c>
    </row>
    <row r="8">
      <c r="A8" s="25" t="inlineStr">
        <is>
          <t>7 plants that survive low light 👇</t>
        </is>
      </c>
      <c r="B8" s="26" t="inlineStr">
        <is>
          <t>Listicle</t>
        </is>
      </c>
      <c r="C8" s="25" t="inlineStr">
        <is>
          <t>Carousels</t>
        </is>
      </c>
      <c r="D8" s="26" t="inlineStr">
        <is>
          <t>Yes</t>
        </is>
      </c>
      <c r="E8" s="38" t="n">
        <v>8.9</v>
      </c>
      <c r="F8" s="25" t="inlineStr">
        <is>
          <t>Number + clear promise</t>
        </is>
      </c>
    </row>
    <row r="9">
      <c r="A9" s="22" t="inlineStr">
        <is>
          <t>Which one would you pick?</t>
        </is>
      </c>
      <c r="B9" s="23" t="inlineStr">
        <is>
          <t>Question</t>
        </is>
      </c>
      <c r="C9" s="22" t="inlineStr">
        <is>
          <t>Hauls</t>
        </is>
      </c>
      <c r="D9" s="23" t="inlineStr">
        <is>
          <t>No</t>
        </is>
      </c>
      <c r="E9" s="37" t="n">
        <v>8.1</v>
      </c>
      <c r="F9" s="22" t="inlineStr">
        <is>
          <t>Drives comments</t>
        </is>
      </c>
    </row>
    <row r="10">
      <c r="A10" s="25" t="inlineStr">
        <is>
          <t>The $3 pot that looks $30</t>
        </is>
      </c>
      <c r="B10" s="26" t="inlineStr">
        <is>
          <t>Bold Claim</t>
        </is>
      </c>
      <c r="C10" s="25" t="inlineStr">
        <is>
          <t>Thrift</t>
        </is>
      </c>
      <c r="D10" s="26" t="inlineStr">
        <is>
          <t>Yes</t>
        </is>
      </c>
      <c r="E10" s="38" t="n">
        <v>8.6</v>
      </c>
      <c r="F10" s="25" t="inlineStr">
        <is>
          <t>Specific $ beats vague</t>
        </is>
      </c>
    </row>
    <row r="11">
      <c r="A11" s="22" t="inlineStr">
        <is>
          <t>Comment PLANT for the list</t>
        </is>
      </c>
      <c r="B11" s="23" t="inlineStr">
        <is>
          <t>CTA</t>
        </is>
      </c>
      <c r="C11" s="22" t="inlineStr">
        <is>
          <t>Lead magnet</t>
        </is>
      </c>
      <c r="D11" s="23" t="inlineStr">
        <is>
          <t>Yes</t>
        </is>
      </c>
      <c r="E11" s="37" t="n">
        <v>8.800000000000001</v>
      </c>
      <c r="F11" s="22" t="inlineStr">
        <is>
          <t>DM automation trigger</t>
        </is>
      </c>
    </row>
    <row r="12">
      <c r="A12" s="25" t="inlineStr">
        <is>
          <t>How I styled this in 60 seconds</t>
        </is>
      </c>
      <c r="B12" s="26" t="inlineStr">
        <is>
          <t>Tutorial</t>
        </is>
      </c>
      <c r="C12" s="25" t="inlineStr">
        <is>
          <t>Reels</t>
        </is>
      </c>
      <c r="D12" s="26" t="inlineStr">
        <is>
          <t>No</t>
        </is>
      </c>
      <c r="E12" s="38" t="n">
        <v>8.300000000000001</v>
      </c>
      <c r="F12" s="25" t="inlineStr">
        <is>
          <t>Time promise = watch</t>
        </is>
      </c>
    </row>
    <row r="13">
      <c r="A13" s="22" t="n"/>
      <c r="B13" s="23" t="n"/>
      <c r="C13" s="22" t="n"/>
      <c r="D13" s="23" t="n"/>
      <c r="E13" s="37" t="n"/>
      <c r="F13" s="22" t="n"/>
    </row>
    <row r="14">
      <c r="A14" s="25" t="n"/>
      <c r="B14" s="26" t="n"/>
      <c r="C14" s="25" t="n"/>
      <c r="D14" s="26" t="n"/>
      <c r="E14" s="38" t="n"/>
      <c r="F14" s="25" t="n"/>
    </row>
    <row r="15">
      <c r="A15" s="22" t="n"/>
      <c r="B15" s="23" t="n"/>
      <c r="C15" s="22" t="n"/>
      <c r="D15" s="23" t="n"/>
      <c r="E15" s="37" t="n"/>
      <c r="F15" s="22" t="n"/>
    </row>
    <row r="16">
      <c r="A16" s="25" t="n"/>
      <c r="B16" s="26" t="n"/>
      <c r="C16" s="25" t="n"/>
      <c r="D16" s="26" t="n"/>
      <c r="E16" s="38" t="n"/>
      <c r="F16" s="25" t="n"/>
    </row>
    <row r="17">
      <c r="A17" s="22" t="n"/>
      <c r="B17" s="23" t="n"/>
      <c r="C17" s="22" t="n"/>
      <c r="D17" s="23" t="n"/>
      <c r="E17" s="37" t="n"/>
      <c r="F17" s="22" t="n"/>
    </row>
    <row r="18">
      <c r="A18" s="25" t="n"/>
      <c r="B18" s="26" t="n"/>
      <c r="C18" s="25" t="n"/>
      <c r="D18" s="26" t="n"/>
      <c r="E18" s="38" t="n"/>
      <c r="F18" s="25" t="n"/>
    </row>
    <row r="19">
      <c r="A19" s="22" t="n"/>
      <c r="B19" s="23" t="n"/>
      <c r="C19" s="22" t="n"/>
      <c r="D19" s="23" t="n"/>
      <c r="E19" s="37" t="n"/>
      <c r="F19" s="22" t="n"/>
    </row>
    <row r="20">
      <c r="A20" s="25" t="n"/>
      <c r="B20" s="26" t="n"/>
      <c r="C20" s="25" t="n"/>
      <c r="D20" s="26" t="n"/>
      <c r="E20" s="38" t="n"/>
      <c r="F20" s="25" t="n"/>
    </row>
    <row r="21">
      <c r="A21" s="22" t="n"/>
      <c r="B21" s="23" t="n"/>
      <c r="C21" s="22" t="n"/>
      <c r="D21" s="23" t="n"/>
      <c r="E21" s="37" t="n"/>
      <c r="F21" s="22" t="n"/>
    </row>
    <row r="22">
      <c r="A22" s="25" t="n"/>
      <c r="B22" s="26" t="n"/>
      <c r="C22" s="25" t="n"/>
      <c r="D22" s="26" t="n"/>
      <c r="E22" s="38" t="n"/>
      <c r="F22" s="25" t="n"/>
    </row>
    <row r="23">
      <c r="A23" s="22" t="n"/>
      <c r="B23" s="23" t="n"/>
      <c r="C23" s="22" t="n"/>
      <c r="D23" s="23" t="n"/>
      <c r="E23" s="37" t="n"/>
      <c r="F23" s="22" t="n"/>
    </row>
    <row r="24">
      <c r="A24" s="25" t="n"/>
      <c r="B24" s="26" t="n"/>
      <c r="C24" s="25" t="n"/>
      <c r="D24" s="26" t="n"/>
      <c r="E24" s="38" t="n"/>
      <c r="F24" s="25" t="n"/>
    </row>
    <row r="25">
      <c r="A25" s="22" t="n"/>
      <c r="B25" s="23" t="n"/>
      <c r="C25" s="22" t="n"/>
      <c r="D25" s="23" t="n"/>
      <c r="E25" s="37" t="n"/>
      <c r="F25" s="22" t="n"/>
    </row>
    <row r="26">
      <c r="A26" s="25" t="n"/>
      <c r="B26" s="26" t="n"/>
      <c r="C26" s="25" t="n"/>
      <c r="D26" s="26" t="n"/>
      <c r="E26" s="38" t="n"/>
      <c r="F26" s="25" t="n"/>
    </row>
    <row r="27">
      <c r="A27" s="22" t="n"/>
      <c r="B27" s="23" t="n"/>
      <c r="C27" s="22" t="n"/>
      <c r="D27" s="23" t="n"/>
      <c r="E27" s="37" t="n"/>
      <c r="F27" s="22" t="n"/>
    </row>
    <row r="28">
      <c r="A28" s="25" t="n"/>
      <c r="B28" s="26" t="n"/>
      <c r="C28" s="25" t="n"/>
      <c r="D28" s="26" t="n"/>
      <c r="E28" s="38" t="n"/>
      <c r="F28" s="25" t="n"/>
    </row>
    <row r="29">
      <c r="A29" s="22" t="n"/>
      <c r="B29" s="23" t="n"/>
      <c r="C29" s="22" t="n"/>
      <c r="D29" s="23" t="n"/>
      <c r="E29" s="37" t="n"/>
      <c r="F29" s="22" t="n"/>
    </row>
    <row r="30">
      <c r="A30" s="25" t="n"/>
      <c r="B30" s="26" t="n"/>
      <c r="C30" s="25" t="n"/>
      <c r="D30" s="26" t="n"/>
      <c r="E30" s="38" t="n"/>
      <c r="F30" s="25" t="n"/>
    </row>
    <row r="31">
      <c r="A31" s="22" t="n"/>
      <c r="B31" s="23" t="n"/>
      <c r="C31" s="22" t="n"/>
      <c r="D31" s="23" t="n"/>
      <c r="E31" s="37" t="n"/>
      <c r="F31" s="22" t="n"/>
    </row>
    <row r="32">
      <c r="A32" s="25" t="n"/>
      <c r="B32" s="26" t="n"/>
      <c r="C32" s="25" t="n"/>
      <c r="D32" s="26" t="n"/>
      <c r="E32" s="38" t="n"/>
      <c r="F32" s="25" t="n"/>
    </row>
    <row r="33">
      <c r="A33" s="22" t="n"/>
      <c r="B33" s="23" t="n"/>
      <c r="C33" s="22" t="n"/>
      <c r="D33" s="23" t="n"/>
      <c r="E33" s="37" t="n"/>
      <c r="F33" s="22" t="n"/>
    </row>
    <row r="34">
      <c r="A34" s="25" t="n"/>
      <c r="B34" s="26" t="n"/>
      <c r="C34" s="25" t="n"/>
      <c r="D34" s="26" t="n"/>
      <c r="E34" s="38" t="n"/>
      <c r="F34" s="25" t="n"/>
    </row>
    <row r="35">
      <c r="A35" s="22" t="n"/>
      <c r="B35" s="23" t="n"/>
      <c r="C35" s="22" t="n"/>
      <c r="D35" s="23" t="n"/>
      <c r="E35" s="37" t="n"/>
      <c r="F35" s="22" t="n"/>
    </row>
    <row r="36">
      <c r="A36" s="25" t="n"/>
      <c r="B36" s="26" t="n"/>
      <c r="C36" s="25" t="n"/>
      <c r="D36" s="26" t="n"/>
      <c r="E36" s="38" t="n"/>
      <c r="F36" s="25" t="n"/>
    </row>
    <row r="37">
      <c r="A37" s="22" t="n"/>
      <c r="B37" s="23" t="n"/>
      <c r="C37" s="22" t="n"/>
      <c r="D37" s="23" t="n"/>
      <c r="E37" s="37" t="n"/>
      <c r="F37" s="22" t="n"/>
    </row>
    <row r="38">
      <c r="A38" s="25" t="n"/>
      <c r="B38" s="26" t="n"/>
      <c r="C38" s="25" t="n"/>
      <c r="D38" s="26" t="n"/>
      <c r="E38" s="38" t="n"/>
      <c r="F38" s="25" t="n"/>
    </row>
    <row r="39">
      <c r="A39" s="22" t="n"/>
      <c r="B39" s="23" t="n"/>
      <c r="C39" s="22" t="n"/>
      <c r="D39" s="23" t="n"/>
      <c r="E39" s="37" t="n"/>
      <c r="F39" s="22" t="n"/>
    </row>
    <row r="40">
      <c r="A40" s="25" t="n"/>
      <c r="B40" s="26" t="n"/>
      <c r="C40" s="25" t="n"/>
      <c r="D40" s="26" t="n"/>
      <c r="E40" s="38" t="n"/>
      <c r="F40" s="25" t="n"/>
    </row>
    <row r="41">
      <c r="A41" s="22" t="n"/>
      <c r="B41" s="23" t="n"/>
      <c r="C41" s="22" t="n"/>
      <c r="D41" s="23" t="n"/>
      <c r="E41" s="37" t="n"/>
      <c r="F41" s="22" t="n"/>
    </row>
    <row r="42">
      <c r="A42" s="25" t="n"/>
      <c r="B42" s="26" t="n"/>
      <c r="C42" s="25" t="n"/>
      <c r="D42" s="26" t="n"/>
      <c r="E42" s="38" t="n"/>
      <c r="F42" s="25" t="n"/>
    </row>
    <row r="43">
      <c r="A43" s="22" t="n"/>
      <c r="B43" s="23" t="n"/>
      <c r="C43" s="22" t="n"/>
      <c r="D43" s="23" t="n"/>
      <c r="E43" s="37" t="n"/>
      <c r="F43" s="22" t="n"/>
    </row>
    <row r="44">
      <c r="A44" s="25" t="n"/>
      <c r="B44" s="26" t="n"/>
      <c r="C44" s="25" t="n"/>
      <c r="D44" s="26" t="n"/>
      <c r="E44" s="38" t="n"/>
      <c r="F44" s="25" t="n"/>
    </row>
  </sheetData>
  <mergeCells count="2">
    <mergeCell ref="A2:F2"/>
    <mergeCell ref="A1:F1"/>
  </mergeCells>
  <conditionalFormatting sqref="E5:E44">
    <cfRule type="dataBar" priority="1">
      <dataBar showValue="1">
        <cfvo type="num" val="0"/>
        <cfvo type="num" val="10"/>
        <color rgb="00C9A86A"/>
      </dataBar>
    </cfRule>
  </conditionalFormatting>
  <dataValidations count="2">
    <dataValidation sqref="B5:B44" showDropDown="0" showInputMessage="0" showErrorMessage="0" allowBlank="1" type="list">
      <formula1>=CaptionTypeList</formula1>
    </dataValidation>
    <dataValidation sqref="D5:D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🎬  REELS ANALYTICS</t>
        </is>
      </c>
    </row>
    <row r="2" ht="22" customHeight="1">
      <c r="A2" s="2" t="inlineStr">
        <is>
          <t xml:space="preserve">  Your growth engine — plays, reach, watch-through, saves, shares &amp; follows per reel.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B4" s="9" t="inlineStr">
        <is>
          <t>Reel</t>
        </is>
      </c>
      <c r="C4" s="9" t="inlineStr">
        <is>
          <t>Plays</t>
        </is>
      </c>
      <c r="D4" s="9" t="inlineStr">
        <is>
          <t>Reach</t>
        </is>
      </c>
      <c r="E4" s="9" t="inlineStr">
        <is>
          <t>Watch %</t>
        </is>
      </c>
      <c r="F4" s="9" t="inlineStr">
        <is>
          <t>Saves</t>
        </is>
      </c>
      <c r="G4" s="9" t="inlineStr">
        <is>
          <t>Shares</t>
        </is>
      </c>
      <c r="H4" s="9" t="inlineStr">
        <is>
          <t>Follows +</t>
        </is>
      </c>
    </row>
    <row r="5">
      <c r="B5" s="32" t="inlineStr">
        <is>
          <t>5 unkillable plants for renters</t>
        </is>
      </c>
      <c r="C5" s="34" t="n">
        <v>620000</v>
      </c>
      <c r="D5" s="34" t="n">
        <v>540000</v>
      </c>
      <c r="E5" s="39" t="n">
        <v>0.61</v>
      </c>
      <c r="F5" s="34" t="n">
        <v>24000</v>
      </c>
      <c r="G5" s="34" t="n">
        <v>12000</v>
      </c>
      <c r="H5" s="34" t="n">
        <v>3200</v>
      </c>
    </row>
    <row r="6">
      <c r="B6" s="25" t="inlineStr">
        <is>
          <t>Repotting a monstera</t>
        </is>
      </c>
      <c r="C6" s="35" t="n">
        <v>410000</v>
      </c>
      <c r="D6" s="35" t="n">
        <v>360000</v>
      </c>
      <c r="E6" s="31" t="n">
        <v>0.58</v>
      </c>
      <c r="F6" s="35" t="n">
        <v>15000</v>
      </c>
      <c r="G6" s="35" t="n">
        <v>8100</v>
      </c>
      <c r="H6" s="35" t="n">
        <v>2100</v>
      </c>
    </row>
    <row r="7">
      <c r="B7" s="32" t="inlineStr">
        <is>
          <t>Styling a shelfie in 60s</t>
        </is>
      </c>
      <c r="C7" s="34" t="n">
        <v>350000</v>
      </c>
      <c r="D7" s="34" t="n">
        <v>310000</v>
      </c>
      <c r="E7" s="39" t="n">
        <v>0.55</v>
      </c>
      <c r="F7" s="34" t="n">
        <v>13000</v>
      </c>
      <c r="G7" s="34" t="n">
        <v>6400</v>
      </c>
      <c r="H7" s="34" t="n">
        <v>1800</v>
      </c>
    </row>
    <row r="8">
      <c r="B8" s="25" t="inlineStr">
        <is>
          <t>$40 plant corner</t>
        </is>
      </c>
      <c r="C8" s="35" t="n">
        <v>280000</v>
      </c>
      <c r="D8" s="35" t="n">
        <v>250000</v>
      </c>
      <c r="E8" s="31" t="n">
        <v>0.52</v>
      </c>
      <c r="F8" s="35" t="n">
        <v>9800</v>
      </c>
      <c r="G8" s="35" t="n">
        <v>4200</v>
      </c>
      <c r="H8" s="35" t="n">
        <v>1400</v>
      </c>
    </row>
    <row r="9">
      <c r="B9" s="32" t="inlineStr">
        <is>
          <t>Watering myths</t>
        </is>
      </c>
      <c r="C9" s="34" t="n">
        <v>190000</v>
      </c>
      <c r="D9" s="34" t="n">
        <v>170000</v>
      </c>
      <c r="E9" s="39" t="n">
        <v>0.47</v>
      </c>
      <c r="F9" s="34" t="n">
        <v>6100</v>
      </c>
      <c r="G9" s="34" t="n">
        <v>2600</v>
      </c>
      <c r="H9" s="34" t="n">
        <v>700</v>
      </c>
    </row>
    <row r="10">
      <c r="B10" s="25" t="inlineStr">
        <is>
          <t>Propagation station tour</t>
        </is>
      </c>
      <c r="C10" s="35" t="n">
        <v>140000</v>
      </c>
      <c r="D10" s="35" t="n">
        <v>120000</v>
      </c>
      <c r="E10" s="31" t="n">
        <v>0.44</v>
      </c>
      <c r="F10" s="35" t="n">
        <v>4300</v>
      </c>
      <c r="G10" s="35" t="n">
        <v>1500</v>
      </c>
      <c r="H10" s="35" t="n">
        <v>420</v>
      </c>
    </row>
  </sheetData>
  <mergeCells count="2">
    <mergeCell ref="A1:I1"/>
    <mergeCell ref="A2:I2"/>
  </mergeCells>
  <conditionalFormatting sqref="C5:C10">
    <cfRule type="dataBar" priority="1">
      <dataBar showValue="1">
        <cfvo type="num" val="0"/>
        <cfvo type="num" val="620000"/>
        <color rgb="001B4F48"/>
      </dataBar>
    </cfRule>
  </conditionalFormatting>
  <conditionalFormatting sqref="E5:E10">
    <cfRule type="colorScale" priority="2">
      <colorScale>
        <cfvo type="num" val="0.4"/>
        <cfvo type="num" val="0.65"/>
        <color rgb="FFFBF0E2"/>
        <color rgb="FF75E6C1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20" customWidth="1" min="4" max="4"/>
    <col width="12" customWidth="1" min="5" max="5"/>
    <col width="26" customWidth="1" min="6" max="6"/>
  </cols>
  <sheetData>
    <row r="1" ht="46" customHeight="1">
      <c r="A1" s="1" t="inlineStr">
        <is>
          <t xml:space="preserve">  📱  STORIES PLANNER</t>
        </is>
      </c>
    </row>
    <row r="2" ht="22" customHeight="1">
      <c r="A2" s="2" t="inlineStr">
        <is>
          <t xml:space="preserve">  Plan daily stories with intent — frames, interactive stickers, links &amp; purpose.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Frame / Idea</t>
        </is>
      </c>
      <c r="C4" s="9" t="inlineStr">
        <is>
          <t>Pillar</t>
        </is>
      </c>
      <c r="D4" s="9" t="inlineStr">
        <is>
          <t>Sticker</t>
        </is>
      </c>
      <c r="E4" s="9" t="inlineStr">
        <is>
          <t>Link</t>
        </is>
      </c>
      <c r="F4" s="9" t="inlineStr">
        <is>
          <t>Purpose</t>
        </is>
      </c>
    </row>
    <row r="5">
      <c r="A5" s="21" t="n">
        <v>46214</v>
      </c>
      <c r="B5" s="22" t="inlineStr">
        <is>
          <t>Morning plant check</t>
        </is>
      </c>
      <c r="C5" s="23" t="inlineStr">
        <is>
          <t>Behind-the-scenes</t>
        </is>
      </c>
      <c r="D5" s="22" t="inlineStr">
        <is>
          <t>Poll: over/underwater?</t>
        </is>
      </c>
      <c r="E5" s="23" t="inlineStr">
        <is>
          <t>None</t>
        </is>
      </c>
      <c r="F5" s="22" t="inlineStr">
        <is>
          <t>Warm-up + engagement</t>
        </is>
      </c>
    </row>
    <row r="6">
      <c r="A6" s="24" t="n">
        <v>46214</v>
      </c>
      <c r="B6" s="25" t="inlineStr">
        <is>
          <t>New arrival unboxing</t>
        </is>
      </c>
      <c r="C6" s="26" t="inlineStr">
        <is>
          <t>Shopping</t>
        </is>
      </c>
      <c r="D6" s="25" t="inlineStr">
        <is>
          <t>Link sticker</t>
        </is>
      </c>
      <c r="E6" s="26" t="inlineStr">
        <is>
          <t>Shop</t>
        </is>
      </c>
      <c r="F6" s="25" t="inlineStr">
        <is>
          <t>Drives clicks</t>
        </is>
      </c>
    </row>
    <row r="7">
      <c r="A7" s="21" t="n">
        <v>46213</v>
      </c>
      <c r="B7" s="22" t="inlineStr">
        <is>
          <t>Repot in progress</t>
        </is>
      </c>
      <c r="C7" s="23" t="inlineStr">
        <is>
          <t>Plants</t>
        </is>
      </c>
      <c r="D7" s="22" t="inlineStr">
        <is>
          <t>Question box</t>
        </is>
      </c>
      <c r="E7" s="23" t="inlineStr">
        <is>
          <t>None</t>
        </is>
      </c>
      <c r="F7" s="22" t="inlineStr">
        <is>
          <t>Save the how-to for a reel</t>
        </is>
      </c>
    </row>
    <row r="8">
      <c r="A8" s="24" t="n">
        <v>46213</v>
      </c>
      <c r="B8" s="25" t="inlineStr">
        <is>
          <t>Shelf styling before/after</t>
        </is>
      </c>
      <c r="C8" s="26" t="inlineStr">
        <is>
          <t>Styling</t>
        </is>
      </c>
      <c r="D8" s="25" t="inlineStr">
        <is>
          <t>Slider: rate it</t>
        </is>
      </c>
      <c r="E8" s="26" t="inlineStr">
        <is>
          <t>None</t>
        </is>
      </c>
      <c r="F8" s="25" t="inlineStr">
        <is>
          <t>Fun + feedback</t>
        </is>
      </c>
    </row>
    <row r="9">
      <c r="A9" s="21" t="n">
        <v>46212</v>
      </c>
      <c r="B9" s="22" t="inlineStr">
        <is>
          <t>This or that plant pots</t>
        </is>
      </c>
      <c r="C9" s="23" t="inlineStr">
        <is>
          <t>Home</t>
        </is>
      </c>
      <c r="D9" s="22" t="inlineStr">
        <is>
          <t>Poll</t>
        </is>
      </c>
      <c r="E9" s="23" t="inlineStr">
        <is>
          <t>Shop</t>
        </is>
      </c>
      <c r="F9" s="22" t="inlineStr">
        <is>
          <t>Product research</t>
        </is>
      </c>
    </row>
    <row r="10">
      <c r="A10" s="24" t="n">
        <v>46212</v>
      </c>
      <c r="B10" s="25" t="inlineStr">
        <is>
          <t>Reader question answered</t>
        </is>
      </c>
      <c r="C10" s="26" t="inlineStr">
        <is>
          <t>Plants</t>
        </is>
      </c>
      <c r="D10" s="25" t="inlineStr">
        <is>
          <t>Question box</t>
        </is>
      </c>
      <c r="E10" s="26" t="inlineStr">
        <is>
          <t>None</t>
        </is>
      </c>
      <c r="F10" s="25" t="inlineStr">
        <is>
          <t>Repurpose top Qs</t>
        </is>
      </c>
    </row>
    <row r="11">
      <c r="A11" s="21" t="n">
        <v>46211</v>
      </c>
      <c r="B11" s="22" t="inlineStr">
        <is>
          <t>Weekend haul recap</t>
        </is>
      </c>
      <c r="C11" s="23" t="inlineStr">
        <is>
          <t>Shopping</t>
        </is>
      </c>
      <c r="D11" s="22" t="inlineStr">
        <is>
          <t>Link sticker</t>
        </is>
      </c>
      <c r="E11" s="23" t="inlineStr">
        <is>
          <t>Affiliate</t>
        </is>
      </c>
      <c r="F11" s="22" t="inlineStr">
        <is>
          <t>LTK link</t>
        </is>
      </c>
    </row>
    <row r="12">
      <c r="A12" s="24" t="n"/>
      <c r="B12" s="25" t="n"/>
      <c r="C12" s="26" t="n"/>
      <c r="D12" s="25" t="n"/>
      <c r="E12" s="26" t="n"/>
      <c r="F12" s="25" t="n"/>
    </row>
    <row r="13">
      <c r="A13" s="21" t="n"/>
      <c r="B13" s="22" t="n"/>
      <c r="C13" s="23" t="n"/>
      <c r="D13" s="22" t="n"/>
      <c r="E13" s="23" t="n"/>
      <c r="F13" s="22" t="n"/>
    </row>
    <row r="14">
      <c r="A14" s="24" t="n"/>
      <c r="B14" s="25" t="n"/>
      <c r="C14" s="26" t="n"/>
      <c r="D14" s="25" t="n"/>
      <c r="E14" s="26" t="n"/>
      <c r="F14" s="25" t="n"/>
    </row>
    <row r="15">
      <c r="A15" s="21" t="n"/>
      <c r="B15" s="22" t="n"/>
      <c r="C15" s="23" t="n"/>
      <c r="D15" s="22" t="n"/>
      <c r="E15" s="23" t="n"/>
      <c r="F15" s="22" t="n"/>
    </row>
    <row r="16">
      <c r="A16" s="24" t="n"/>
      <c r="B16" s="25" t="n"/>
      <c r="C16" s="26" t="n"/>
      <c r="D16" s="25" t="n"/>
      <c r="E16" s="26" t="n"/>
      <c r="F16" s="25" t="n"/>
    </row>
    <row r="17">
      <c r="A17" s="21" t="n"/>
      <c r="B17" s="22" t="n"/>
      <c r="C17" s="23" t="n"/>
      <c r="D17" s="22" t="n"/>
      <c r="E17" s="23" t="n"/>
      <c r="F17" s="22" t="n"/>
    </row>
    <row r="18">
      <c r="A18" s="24" t="n"/>
      <c r="B18" s="25" t="n"/>
      <c r="C18" s="26" t="n"/>
      <c r="D18" s="25" t="n"/>
      <c r="E18" s="26" t="n"/>
      <c r="F18" s="25" t="n"/>
    </row>
    <row r="19">
      <c r="A19" s="21" t="n"/>
      <c r="B19" s="22" t="n"/>
      <c r="C19" s="23" t="n"/>
      <c r="D19" s="22" t="n"/>
      <c r="E19" s="23" t="n"/>
      <c r="F19" s="22" t="n"/>
    </row>
    <row r="20">
      <c r="A20" s="24" t="n"/>
      <c r="B20" s="25" t="n"/>
      <c r="C20" s="26" t="n"/>
      <c r="D20" s="25" t="n"/>
      <c r="E20" s="26" t="n"/>
      <c r="F20" s="25" t="n"/>
    </row>
    <row r="21">
      <c r="A21" s="21" t="n"/>
      <c r="B21" s="22" t="n"/>
      <c r="C21" s="23" t="n"/>
      <c r="D21" s="22" t="n"/>
      <c r="E21" s="23" t="n"/>
      <c r="F21" s="22" t="n"/>
    </row>
    <row r="22">
      <c r="A22" s="24" t="n"/>
      <c r="B22" s="25" t="n"/>
      <c r="C22" s="26" t="n"/>
      <c r="D22" s="25" t="n"/>
      <c r="E22" s="26" t="n"/>
      <c r="F22" s="25" t="n"/>
    </row>
    <row r="23">
      <c r="A23" s="21" t="n"/>
      <c r="B23" s="22" t="n"/>
      <c r="C23" s="23" t="n"/>
      <c r="D23" s="22" t="n"/>
      <c r="E23" s="23" t="n"/>
      <c r="F23" s="22" t="n"/>
    </row>
    <row r="24">
      <c r="A24" s="24" t="n"/>
      <c r="B24" s="25" t="n"/>
      <c r="C24" s="26" t="n"/>
      <c r="D24" s="25" t="n"/>
      <c r="E24" s="26" t="n"/>
      <c r="F24" s="25" t="n"/>
    </row>
    <row r="25">
      <c r="A25" s="21" t="n"/>
      <c r="B25" s="22" t="n"/>
      <c r="C25" s="23" t="n"/>
      <c r="D25" s="22" t="n"/>
      <c r="E25" s="23" t="n"/>
      <c r="F25" s="22" t="n"/>
    </row>
    <row r="26">
      <c r="A26" s="24" t="n"/>
      <c r="B26" s="25" t="n"/>
      <c r="C26" s="26" t="n"/>
      <c r="D26" s="25" t="n"/>
      <c r="E26" s="26" t="n"/>
      <c r="F26" s="25" t="n"/>
    </row>
    <row r="27">
      <c r="A27" s="21" t="n"/>
      <c r="B27" s="22" t="n"/>
      <c r="C27" s="23" t="n"/>
      <c r="D27" s="22" t="n"/>
      <c r="E27" s="23" t="n"/>
      <c r="F27" s="22" t="n"/>
    </row>
    <row r="28">
      <c r="A28" s="24" t="n"/>
      <c r="B28" s="25" t="n"/>
      <c r="C28" s="26" t="n"/>
      <c r="D28" s="25" t="n"/>
      <c r="E28" s="26" t="n"/>
      <c r="F28" s="25" t="n"/>
    </row>
    <row r="29">
      <c r="A29" s="21" t="n"/>
      <c r="B29" s="22" t="n"/>
      <c r="C29" s="23" t="n"/>
      <c r="D29" s="22" t="n"/>
      <c r="E29" s="23" t="n"/>
      <c r="F29" s="22" t="n"/>
    </row>
    <row r="30">
      <c r="A30" s="24" t="n"/>
      <c r="B30" s="25" t="n"/>
      <c r="C30" s="26" t="n"/>
      <c r="D30" s="25" t="n"/>
      <c r="E30" s="26" t="n"/>
      <c r="F30" s="25" t="n"/>
    </row>
    <row r="31">
      <c r="A31" s="21" t="n"/>
      <c r="B31" s="22" t="n"/>
      <c r="C31" s="23" t="n"/>
      <c r="D31" s="22" t="n"/>
      <c r="E31" s="23" t="n"/>
      <c r="F31" s="22" t="n"/>
    </row>
    <row r="32">
      <c r="A32" s="24" t="n"/>
      <c r="B32" s="25" t="n"/>
      <c r="C32" s="26" t="n"/>
      <c r="D32" s="25" t="n"/>
      <c r="E32" s="26" t="n"/>
      <c r="F32" s="25" t="n"/>
    </row>
    <row r="33">
      <c r="A33" s="21" t="n"/>
      <c r="B33" s="22" t="n"/>
      <c r="C33" s="23" t="n"/>
      <c r="D33" s="22" t="n"/>
      <c r="E33" s="23" t="n"/>
      <c r="F33" s="22" t="n"/>
    </row>
    <row r="34">
      <c r="A34" s="24" t="n"/>
      <c r="B34" s="25" t="n"/>
      <c r="C34" s="26" t="n"/>
      <c r="D34" s="25" t="n"/>
      <c r="E34" s="26" t="n"/>
      <c r="F34" s="25" t="n"/>
    </row>
  </sheetData>
  <mergeCells count="2">
    <mergeCell ref="A2:F2"/>
    <mergeCell ref="A1:F1"/>
  </mergeCells>
  <conditionalFormatting sqref="E5:E34">
    <cfRule type="cellIs" priority="1" operator="equal" dxfId="1">
      <formula>"Shop"</formula>
    </cfRule>
    <cfRule type="cellIs" priority="2" operator="equal" dxfId="2">
      <formula>"Affiliate"</formula>
    </cfRule>
  </conditionalFormatting>
  <dataValidations count="1">
    <dataValidation sqref="C5:C34" showDropDown="0" showInputMessage="0" showErrorMessage="0" allowBlank="1" type="list">
      <formula1>=PillarList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14" customWidth="1" min="4" max="4"/>
    <col width="24" customWidth="1" min="5" max="5"/>
  </cols>
  <sheetData>
    <row r="1" ht="46" customHeight="1">
      <c r="A1" s="1" t="inlineStr">
        <is>
          <t xml:space="preserve">  #️⃣  HASHTAGS &amp; SEO</t>
        </is>
      </c>
    </row>
    <row r="2" ht="22" customHeight="1">
      <c r="A2" s="2" t="inlineStr">
        <is>
          <t xml:space="preserve">  Get discovered — pre-built hashtag sets + keyword SEO for captions, alt text &amp; your name field.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Set</t>
        </is>
      </c>
      <c r="B4" s="9" t="inlineStr">
        <is>
          <t>Hashtags / Keywords</t>
        </is>
      </c>
      <c r="C4" s="9" t="inlineStr">
        <is>
          <t>Pillar</t>
        </is>
      </c>
      <c r="D4" s="9" t="inlineStr">
        <is>
          <t>Competition</t>
        </is>
      </c>
      <c r="E4" s="9" t="inlineStr">
        <is>
          <t>Notes</t>
        </is>
      </c>
    </row>
    <row r="5">
      <c r="A5" s="23" t="inlineStr">
        <is>
          <t>Plant set</t>
        </is>
      </c>
      <c r="B5" s="22" t="inlineStr">
        <is>
          <t>#plantsofinstagram #houseplants #plantcare #plantmom #urbanjungle</t>
        </is>
      </c>
      <c r="C5" s="23" t="inlineStr">
        <is>
          <t>Plants</t>
        </is>
      </c>
      <c r="D5" s="23" t="inlineStr">
        <is>
          <t>High</t>
        </is>
      </c>
      <c r="E5" s="22" t="inlineStr">
        <is>
          <t>Core niche</t>
        </is>
      </c>
    </row>
    <row r="6">
      <c r="A6" s="26" t="inlineStr">
        <is>
          <t>Renter set</t>
        </is>
      </c>
      <c r="B6" s="25" t="inlineStr">
        <is>
          <t>#renterfriendly #rentersofinstagram #smallspaces #apartmenttherapy</t>
        </is>
      </c>
      <c r="C6" s="26" t="inlineStr">
        <is>
          <t>Home</t>
        </is>
      </c>
      <c r="D6" s="26" t="inlineStr">
        <is>
          <t>Low</t>
        </is>
      </c>
      <c r="E6" s="25" t="inlineStr">
        <is>
          <t>High intent</t>
        </is>
      </c>
    </row>
    <row r="7">
      <c r="A7" s="23" t="inlineStr">
        <is>
          <t>Styling set</t>
        </is>
      </c>
      <c r="B7" s="22" t="inlineStr">
        <is>
          <t>#shelfie #homestyling #cozyhome #homedecor</t>
        </is>
      </c>
      <c r="C7" s="23" t="inlineStr">
        <is>
          <t>Styling</t>
        </is>
      </c>
      <c r="D7" s="23" t="inlineStr">
        <is>
          <t>Medium</t>
        </is>
      </c>
      <c r="E7" s="22" t="inlineStr">
        <is>
          <t>Aesthetic reach</t>
        </is>
      </c>
    </row>
    <row r="8">
      <c r="A8" s="26" t="inlineStr">
        <is>
          <t>Reels set</t>
        </is>
      </c>
      <c r="B8" s="25" t="inlineStr">
        <is>
          <t>#reels #reelsinstagram #plantreels #satisfying</t>
        </is>
      </c>
      <c r="C8" s="26" t="inlineStr">
        <is>
          <t>Plants</t>
        </is>
      </c>
      <c r="D8" s="26" t="inlineStr">
        <is>
          <t>High</t>
        </is>
      </c>
      <c r="E8" s="25" t="inlineStr">
        <is>
          <t>Boosts discovery</t>
        </is>
      </c>
    </row>
    <row r="9">
      <c r="A9" s="23" t="inlineStr">
        <is>
          <t>Budget set</t>
        </is>
      </c>
      <c r="B9" s="22" t="inlineStr">
        <is>
          <t>#thrifted #budgetdecor #diyhome #upcycle</t>
        </is>
      </c>
      <c r="C9" s="23" t="inlineStr">
        <is>
          <t>Shopping</t>
        </is>
      </c>
      <c r="D9" s="23" t="inlineStr">
        <is>
          <t>Low</t>
        </is>
      </c>
      <c r="E9" s="22" t="inlineStr">
        <is>
          <t>Great reach:comp</t>
        </is>
      </c>
    </row>
    <row r="10">
      <c r="A10" s="26" t="inlineStr">
        <is>
          <t>Keyword SEO</t>
        </is>
      </c>
      <c r="B10" s="25" t="inlineStr">
        <is>
          <t>plant care · low light plants · renter decor · shelf styling</t>
        </is>
      </c>
      <c r="C10" s="26" t="inlineStr">
        <is>
          <t>Home</t>
        </is>
      </c>
      <c r="D10" s="26" t="inlineStr">
        <is>
          <t>—</t>
        </is>
      </c>
      <c r="E10" s="25" t="inlineStr">
        <is>
          <t>Put keywords in caption + name</t>
        </is>
      </c>
    </row>
    <row r="11">
      <c r="A11" s="23" t="n"/>
      <c r="B11" s="22" t="n"/>
      <c r="C11" s="23" t="n"/>
      <c r="D11" s="23" t="n"/>
      <c r="E11" s="22" t="n"/>
    </row>
    <row r="12">
      <c r="A12" s="26" t="n"/>
      <c r="B12" s="25" t="n"/>
      <c r="C12" s="26" t="n"/>
      <c r="D12" s="26" t="n"/>
      <c r="E12" s="25" t="n"/>
    </row>
    <row r="13">
      <c r="A13" s="23" t="n"/>
      <c r="B13" s="22" t="n"/>
      <c r="C13" s="23" t="n"/>
      <c r="D13" s="23" t="n"/>
      <c r="E13" s="22" t="n"/>
    </row>
    <row r="14">
      <c r="A14" s="26" t="n"/>
      <c r="B14" s="25" t="n"/>
      <c r="C14" s="26" t="n"/>
      <c r="D14" s="26" t="n"/>
      <c r="E14" s="25" t="n"/>
    </row>
    <row r="15">
      <c r="A15" s="23" t="n"/>
      <c r="B15" s="22" t="n"/>
      <c r="C15" s="23" t="n"/>
      <c r="D15" s="23" t="n"/>
      <c r="E15" s="22" t="n"/>
    </row>
    <row r="16">
      <c r="A16" s="26" t="n"/>
      <c r="B16" s="25" t="n"/>
      <c r="C16" s="26" t="n"/>
      <c r="D16" s="26" t="n"/>
      <c r="E16" s="25" t="n"/>
    </row>
    <row r="17">
      <c r="A17" s="23" t="n"/>
      <c r="B17" s="22" t="n"/>
      <c r="C17" s="23" t="n"/>
      <c r="D17" s="23" t="n"/>
      <c r="E17" s="22" t="n"/>
    </row>
    <row r="18">
      <c r="A18" s="26" t="n"/>
      <c r="B18" s="25" t="n"/>
      <c r="C18" s="26" t="n"/>
      <c r="D18" s="26" t="n"/>
      <c r="E18" s="25" t="n"/>
    </row>
    <row r="19">
      <c r="A19" s="23" t="n"/>
      <c r="B19" s="22" t="n"/>
      <c r="C19" s="23" t="n"/>
      <c r="D19" s="23" t="n"/>
      <c r="E19" s="22" t="n"/>
    </row>
    <row r="20">
      <c r="A20" s="26" t="n"/>
      <c r="B20" s="25" t="n"/>
      <c r="C20" s="26" t="n"/>
      <c r="D20" s="26" t="n"/>
      <c r="E20" s="25" t="n"/>
    </row>
    <row r="21">
      <c r="A21" s="23" t="n"/>
      <c r="B21" s="22" t="n"/>
      <c r="C21" s="23" t="n"/>
      <c r="D21" s="23" t="n"/>
      <c r="E21" s="22" t="n"/>
    </row>
    <row r="22">
      <c r="A22" s="26" t="n"/>
      <c r="B22" s="25" t="n"/>
      <c r="C22" s="26" t="n"/>
      <c r="D22" s="26" t="n"/>
      <c r="E22" s="25" t="n"/>
    </row>
    <row r="23">
      <c r="A23" s="23" t="n"/>
      <c r="B23" s="22" t="n"/>
      <c r="C23" s="23" t="n"/>
      <c r="D23" s="23" t="n"/>
      <c r="E23" s="22" t="n"/>
    </row>
    <row r="24">
      <c r="A24" s="26" t="n"/>
      <c r="B24" s="25" t="n"/>
      <c r="C24" s="26" t="n"/>
      <c r="D24" s="26" t="n"/>
      <c r="E24" s="25" t="n"/>
    </row>
  </sheetData>
  <mergeCells count="2">
    <mergeCell ref="A2:E2"/>
    <mergeCell ref="A1:E1"/>
  </mergeCells>
  <dataValidations count="1">
    <dataValidation sqref="C5:C24" showDropDown="0" showInputMessage="0" showErrorMessage="0" allowBlank="1" type="list">
      <formula1>=PillarList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3" customWidth="1" min="4" max="4"/>
    <col width="18" customWidth="1" min="5" max="5"/>
    <col width="12" customWidth="1" min="6" max="6"/>
    <col width="12" customWidth="1" min="7" max="7"/>
    <col width="2" customWidth="1" min="8" max="8"/>
  </cols>
  <sheetData>
    <row r="1" ht="46" customHeight="1">
      <c r="A1" s="1" t="inlineStr">
        <is>
          <t xml:space="preserve">  📊  ANALYTICS COMMAND CENTER</t>
        </is>
      </c>
    </row>
    <row r="2" ht="22" customHeight="1">
      <c r="A2" s="2" t="inlineStr">
        <is>
          <t xml:space="preserve">  Your account by the numbers — a live snapshot, health dimensions &amp; the Creator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7" t="inlineStr">
        <is>
          <t>SNAPSHOT (28 DAYS)</t>
        </is>
      </c>
      <c r="E5" s="4" t="inlineStr">
        <is>
          <t>CREATOR HEALTH</t>
        </is>
      </c>
    </row>
    <row r="6" ht="30" customHeight="1">
      <c r="B6" s="19" t="inlineStr">
        <is>
          <t>Followers</t>
        </is>
      </c>
      <c r="C6" s="40" t="n">
        <v>148000</v>
      </c>
      <c r="E6" s="9" t="inlineStr">
        <is>
          <t>Dimension</t>
        </is>
      </c>
      <c r="F6" s="9" t="inlineStr">
        <is>
          <t>Score</t>
        </is>
      </c>
      <c r="G6" s="9" t="inlineStr">
        <is>
          <t>Status</t>
        </is>
      </c>
    </row>
    <row r="7">
      <c r="B7" s="19" t="inlineStr">
        <is>
          <t>Followers gained</t>
        </is>
      </c>
      <c r="C7" s="41" t="n">
        <v>9200</v>
      </c>
      <c r="E7" s="32" t="inlineStr">
        <is>
          <t>Revenue vs goal</t>
        </is>
      </c>
      <c r="F7" s="39">
        <f>IFERROR(MIN(RevenueTotal/RevenueGoal,1),0)</f>
        <v/>
      </c>
      <c r="G7" s="33">
        <f>IF(F7&gt;=0.75,"Strong",IF(F7&gt;=0.5,"Growing","Focus"))</f>
        <v/>
      </c>
    </row>
    <row r="8">
      <c r="B8" s="19" t="inlineStr">
        <is>
          <t>Reach</t>
        </is>
      </c>
      <c r="C8" s="41" t="n">
        <v>1150000</v>
      </c>
      <c r="E8" s="25" t="inlineStr">
        <is>
          <t>Posting consistency</t>
        </is>
      </c>
      <c r="F8" s="31">
        <f>IFERROR(MIN((COUNTIFS(CalDate,"&gt;="&amp;TODAY()-28,CalStatus,"Posted")+COUNTIFS(CalDate,"&gt;="&amp;TODAY()-28,CalStatus,"Boosted"))/PostGoal,1),0)</f>
        <v/>
      </c>
      <c r="G8" s="26">
        <f>IF(F8&gt;=0.75,"Strong",IF(F8&gt;=0.5,"Growing","Focus"))</f>
        <v/>
      </c>
    </row>
    <row r="9">
      <c r="B9" s="19" t="inlineStr">
        <is>
          <t>Engagement rate</t>
        </is>
      </c>
      <c r="C9" s="42" t="n">
        <v>0.064</v>
      </c>
      <c r="E9" s="32" t="inlineStr">
        <is>
          <t>Engagement</t>
        </is>
      </c>
      <c r="F9" s="39">
        <f>IFERROR(MIN(EngRate/0.07,1),0)</f>
        <v/>
      </c>
      <c r="G9" s="33">
        <f>IF(F9&gt;=0.75,"Strong",IF(F9&gt;=0.5,"Growing","Focus"))</f>
        <v/>
      </c>
    </row>
    <row r="10">
      <c r="B10" s="19" t="inlineStr">
        <is>
          <t>Saves</t>
        </is>
      </c>
      <c r="C10" s="40" t="n">
        <v>42000</v>
      </c>
      <c r="E10" s="25" t="inlineStr">
        <is>
          <t>Reel retention</t>
        </is>
      </c>
      <c r="F10" s="31">
        <f>IFERROR(MIN(Completion/RetTarget,1),0)</f>
        <v/>
      </c>
      <c r="G10" s="26">
        <f>IF(F10&gt;=0.75,"Strong",IF(F10&gt;=0.5,"Growing","Focus"))</f>
        <v/>
      </c>
    </row>
    <row r="11">
      <c r="B11" s="19" t="inlineStr">
        <is>
          <t>Shares</t>
        </is>
      </c>
      <c r="C11" s="41" t="n">
        <v>28000</v>
      </c>
      <c r="E11" s="32" t="inlineStr">
        <is>
          <t>Brand pipeline</t>
        </is>
      </c>
      <c r="F11" s="39">
        <f>IFERROR(MIN((COUNTIF(SponStage,"Signed")+COUNTIF(SponStage,"Delivered")+COUNTIF(SponStage,"Negotiation"))/DealTarget,1),0)</f>
        <v/>
      </c>
      <c r="G11" s="33">
        <f>IF(F11&gt;=0.75,"Strong",IF(F11&gt;=0.5,"Growing","Focus"))</f>
        <v/>
      </c>
    </row>
    <row r="12">
      <c r="B12" s="19" t="inlineStr">
        <is>
          <t>Reel retention</t>
        </is>
      </c>
      <c r="C12" s="43" t="n">
        <v>0.52</v>
      </c>
      <c r="E12" s="25" t="inlineStr">
        <is>
          <t>Follower growth</t>
        </is>
      </c>
      <c r="F12" s="31">
        <f>IFERROR(MIN(FollowerGrowth/GrowthGoal,1),0)</f>
        <v/>
      </c>
      <c r="G12" s="26">
        <f>IF(F12&gt;=0.75,"Strong",IF(F12&gt;=0.5,"Growing","Focus"))</f>
        <v/>
      </c>
    </row>
    <row r="13">
      <c r="B13" s="19" t="inlineStr">
        <is>
          <t>Link clicks</t>
        </is>
      </c>
      <c r="C13" s="41" t="n">
        <v>14000</v>
      </c>
    </row>
    <row r="15" ht="22" customHeight="1">
      <c r="B15" s="4" t="inlineStr">
        <is>
          <t>TOP POSTS (28 DAYS)</t>
        </is>
      </c>
    </row>
    <row r="16" ht="30" customHeight="1">
      <c r="B16" s="9" t="inlineStr">
        <is>
          <t>Post</t>
        </is>
      </c>
      <c r="C16" s="9" t="inlineStr">
        <is>
          <t>Reach</t>
        </is>
      </c>
      <c r="D16" s="9" t="inlineStr">
        <is>
          <t>Eng. Rate</t>
        </is>
      </c>
      <c r="E16" s="9" t="inlineStr">
        <is>
          <t>Watch %</t>
        </is>
      </c>
      <c r="F16" s="9" t="inlineStr">
        <is>
          <t>Follows +</t>
        </is>
      </c>
      <c r="G16" s="9" t="inlineStr">
        <is>
          <t>Saves</t>
        </is>
      </c>
    </row>
    <row r="17">
      <c r="B17" s="32" t="inlineStr">
        <is>
          <t>5 unkillable plants for renters</t>
        </is>
      </c>
      <c r="C17" s="34" t="n">
        <v>540000</v>
      </c>
      <c r="D17" s="44" t="n">
        <v>0.128</v>
      </c>
      <c r="E17" s="39" t="n">
        <v>0.61</v>
      </c>
      <c r="F17" s="34" t="n">
        <v>3200</v>
      </c>
      <c r="G17" s="34" t="n">
        <v>24000</v>
      </c>
    </row>
    <row r="18">
      <c r="B18" s="25" t="inlineStr">
        <is>
          <t>Repotting a monstera</t>
        </is>
      </c>
      <c r="C18" s="35" t="n">
        <v>360000</v>
      </c>
      <c r="D18" s="45" t="n">
        <v>0.104</v>
      </c>
      <c r="E18" s="31" t="n">
        <v>0.58</v>
      </c>
      <c r="F18" s="35" t="n">
        <v>2100</v>
      </c>
      <c r="G18" s="35" t="n">
        <v>15000</v>
      </c>
    </row>
    <row r="19">
      <c r="B19" s="32" t="inlineStr">
        <is>
          <t>Styling a shelfie in 60s</t>
        </is>
      </c>
      <c r="C19" s="34" t="n">
        <v>310000</v>
      </c>
      <c r="D19" s="44" t="n">
        <v>0.112</v>
      </c>
      <c r="E19" s="39" t="n">
        <v>0.55</v>
      </c>
      <c r="F19" s="34" t="n">
        <v>1800</v>
      </c>
      <c r="G19" s="34" t="n">
        <v>13000</v>
      </c>
    </row>
    <row r="20">
      <c r="B20" s="25" t="inlineStr">
        <is>
          <t>$40 plant corner</t>
        </is>
      </c>
      <c r="C20" s="35" t="n">
        <v>250000</v>
      </c>
      <c r="D20" s="45" t="n">
        <v>0.096</v>
      </c>
      <c r="E20" s="31" t="n">
        <v>0.52</v>
      </c>
      <c r="F20" s="35" t="n">
        <v>1400</v>
      </c>
      <c r="G20" s="35" t="n">
        <v>9800</v>
      </c>
    </row>
    <row r="21">
      <c r="B21" s="32" t="inlineStr">
        <is>
          <t>Carousel: plant care basics</t>
        </is>
      </c>
      <c r="C21" s="34" t="n">
        <v>180000</v>
      </c>
      <c r="D21" s="44" t="n">
        <v>0.142</v>
      </c>
      <c r="E21" s="39" t="n">
        <v>0</v>
      </c>
      <c r="F21" s="34" t="n">
        <v>1200</v>
      </c>
      <c r="G21" s="34" t="n">
        <v>21000</v>
      </c>
    </row>
    <row r="22">
      <c r="B22" s="25" t="inlineStr">
        <is>
          <t>Watering myths</t>
        </is>
      </c>
      <c r="C22" s="35" t="n">
        <v>170000</v>
      </c>
      <c r="D22" s="45" t="n">
        <v>0.081</v>
      </c>
      <c r="E22" s="31" t="n">
        <v>0.47</v>
      </c>
      <c r="F22" s="35" t="n">
        <v>700</v>
      </c>
      <c r="G22" s="35" t="n">
        <v>6100</v>
      </c>
    </row>
    <row r="25">
      <c r="B25" s="7" t="inlineStr">
        <is>
          <t>FOLLOWER GROWTH (K) — 6 MONTHS</t>
        </is>
      </c>
    </row>
    <row r="26">
      <c r="B26" s="9" t="inlineStr">
        <is>
          <t>Month</t>
        </is>
      </c>
      <c r="C26" s="9" t="inlineStr">
        <is>
          <t>Followers (K)</t>
        </is>
      </c>
    </row>
    <row r="27">
      <c r="B27" s="32" t="inlineStr">
        <is>
          <t>Feb</t>
        </is>
      </c>
      <c r="C27" s="46" t="n">
        <v>98</v>
      </c>
    </row>
    <row r="28">
      <c r="B28" s="25" t="inlineStr">
        <is>
          <t>Mar</t>
        </is>
      </c>
      <c r="C28" s="47" t="n">
        <v>110</v>
      </c>
    </row>
    <row r="29">
      <c r="B29" s="32" t="inlineStr">
        <is>
          <t>Apr</t>
        </is>
      </c>
      <c r="C29" s="46" t="n">
        <v>121</v>
      </c>
    </row>
    <row r="30">
      <c r="B30" s="25" t="inlineStr">
        <is>
          <t>May</t>
        </is>
      </c>
      <c r="C30" s="47" t="n">
        <v>131</v>
      </c>
    </row>
    <row r="31">
      <c r="B31" s="32" t="inlineStr">
        <is>
          <t>Jun</t>
        </is>
      </c>
      <c r="C31" s="46" t="n">
        <v>139</v>
      </c>
    </row>
    <row r="32">
      <c r="B32" s="25" t="inlineStr">
        <is>
          <t>Jul</t>
        </is>
      </c>
      <c r="C32" s="47" t="n">
        <v>148</v>
      </c>
    </row>
  </sheetData>
  <mergeCells count="6">
    <mergeCell ref="A1:G1"/>
    <mergeCell ref="B25:C25"/>
    <mergeCell ref="E5:G5"/>
    <mergeCell ref="B5:C5"/>
    <mergeCell ref="A2:G2"/>
    <mergeCell ref="B15:G15"/>
  </mergeCells>
  <conditionalFormatting sqref="F7:F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conditionalFormatting sqref="C17:C22">
    <cfRule type="dataBar" priority="2">
      <dataBar showValue="1">
        <cfvo type="num" val="0"/>
        <cfvo type="num" val="540000"/>
        <color rgb="001B4F48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4" customWidth="1" min="3" max="3"/>
    <col width="14" customWidth="1" min="4" max="4"/>
    <col width="12" customWidth="1" min="5" max="5"/>
  </cols>
  <sheetData>
    <row r="1" ht="46" customHeight="1">
      <c r="A1" s="1" t="inlineStr">
        <is>
          <t xml:space="preserve">  💬  COMMUNITY &amp; DMs</t>
        </is>
      </c>
    </row>
    <row r="2" ht="22" customHeight="1">
      <c r="A2" s="2" t="inlineStr">
        <is>
          <t xml:space="preserve">  Turn comments &amp; DMs into connection — saved replies, FAQs &amp; automation triggers.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Trigger / Question</t>
        </is>
      </c>
      <c r="B4" s="9" t="inlineStr">
        <is>
          <t>Type</t>
        </is>
      </c>
      <c r="C4" s="9" t="inlineStr">
        <is>
          <t>Response</t>
        </is>
      </c>
      <c r="D4" s="9" t="inlineStr">
        <is>
          <t>Handling</t>
        </is>
      </c>
      <c r="E4" s="9" t="inlineStr">
        <is>
          <t>Priority</t>
        </is>
      </c>
    </row>
    <row r="5">
      <c r="A5" s="22" t="inlineStr">
        <is>
          <t>Yellow leaves = ?</t>
        </is>
      </c>
      <c r="B5" s="23" t="inlineStr">
        <is>
          <t>FAQ</t>
        </is>
      </c>
      <c r="C5" s="22" t="inlineStr">
        <is>
          <t>Usually overwatering — let it dry out &amp; check drainage.</t>
        </is>
      </c>
      <c r="D5" s="23" t="inlineStr">
        <is>
          <t>Saved reply</t>
        </is>
      </c>
      <c r="E5" s="23" t="inlineStr">
        <is>
          <t>High</t>
        </is>
      </c>
    </row>
    <row r="6">
      <c r="A6" s="25" t="inlineStr">
        <is>
          <t>Where's that pot from?</t>
        </is>
      </c>
      <c r="B6" s="26" t="inlineStr">
        <is>
          <t>FAQ</t>
        </is>
      </c>
      <c r="C6" s="25" t="inlineStr">
        <is>
          <t>Linked in my shop — studiofern.co/shop 🌱</t>
        </is>
      </c>
      <c r="D6" s="26" t="inlineStr">
        <is>
          <t>Saved reply</t>
        </is>
      </c>
      <c r="E6" s="26" t="inlineStr">
        <is>
          <t>High</t>
        </is>
      </c>
    </row>
    <row r="7">
      <c r="A7" s="22" t="inlineStr">
        <is>
          <t>Comment PLANT</t>
        </is>
      </c>
      <c r="B7" s="23" t="inlineStr">
        <is>
          <t>DM automation</t>
        </is>
      </c>
      <c r="C7" s="22" t="inlineStr">
        <is>
          <t>Auto-DM the low-light plant guide link</t>
        </is>
      </c>
      <c r="D7" s="23" t="inlineStr">
        <is>
          <t>Automated</t>
        </is>
      </c>
      <c r="E7" s="23" t="inlineStr">
        <is>
          <t>High</t>
        </is>
      </c>
    </row>
    <row r="8">
      <c r="A8" s="25" t="inlineStr">
        <is>
          <t>Collab request</t>
        </is>
      </c>
      <c r="B8" s="26" t="inlineStr">
        <is>
          <t>DM</t>
        </is>
      </c>
      <c r="C8" s="25" t="inlineStr">
        <is>
          <t>Send media kit + rate card</t>
        </is>
      </c>
      <c r="D8" s="26" t="inlineStr">
        <is>
          <t>Manual</t>
        </is>
      </c>
      <c r="E8" s="26" t="inlineStr">
        <is>
          <t>Medium</t>
        </is>
      </c>
    </row>
    <row r="9">
      <c r="A9" s="22" t="inlineStr">
        <is>
          <t>Negative comment</t>
        </is>
      </c>
      <c r="B9" s="23" t="inlineStr">
        <is>
          <t>Comment</t>
        </is>
      </c>
      <c r="C9" s="22" t="inlineStr">
        <is>
          <t>Kill with kindness or hide — never argue</t>
        </is>
      </c>
      <c r="D9" s="23" t="inlineStr">
        <is>
          <t>Policy</t>
        </is>
      </c>
      <c r="E9" s="23" t="inlineStr">
        <is>
          <t>Low</t>
        </is>
      </c>
    </row>
    <row r="10">
      <c r="A10" s="25" t="inlineStr">
        <is>
          <t>Superfan shout-out</t>
        </is>
      </c>
      <c r="B10" s="26" t="inlineStr">
        <is>
          <t>Engagement</t>
        </is>
      </c>
      <c r="C10" s="25" t="inlineStr">
        <is>
          <t>Reply + save to Close Friends list</t>
        </is>
      </c>
      <c r="D10" s="26" t="inlineStr">
        <is>
          <t>Manual</t>
        </is>
      </c>
      <c r="E10" s="26" t="inlineStr">
        <is>
          <t>Medium</t>
        </is>
      </c>
    </row>
    <row r="11">
      <c r="A11" s="22" t="inlineStr">
        <is>
          <t>Product question</t>
        </is>
      </c>
      <c r="B11" s="23" t="inlineStr">
        <is>
          <t>DM</t>
        </is>
      </c>
      <c r="C11" s="22" t="inlineStr">
        <is>
          <t>Answer + soft CTA to shop</t>
        </is>
      </c>
      <c r="D11" s="23" t="inlineStr">
        <is>
          <t>Manual</t>
        </is>
      </c>
      <c r="E11" s="23" t="inlineStr">
        <is>
          <t>High</t>
        </is>
      </c>
    </row>
    <row r="12">
      <c r="A12" s="25" t="n"/>
      <c r="B12" s="26" t="n"/>
      <c r="C12" s="25" t="n"/>
      <c r="D12" s="26" t="n"/>
      <c r="E12" s="26" t="n"/>
    </row>
    <row r="13">
      <c r="A13" s="22" t="n"/>
      <c r="B13" s="23" t="n"/>
      <c r="C13" s="22" t="n"/>
      <c r="D13" s="23" t="n"/>
      <c r="E13" s="23" t="n"/>
    </row>
    <row r="14">
      <c r="A14" s="25" t="n"/>
      <c r="B14" s="26" t="n"/>
      <c r="C14" s="25" t="n"/>
      <c r="D14" s="26" t="n"/>
      <c r="E14" s="26" t="n"/>
    </row>
    <row r="15">
      <c r="A15" s="22" t="n"/>
      <c r="B15" s="23" t="n"/>
      <c r="C15" s="22" t="n"/>
      <c r="D15" s="23" t="n"/>
      <c r="E15" s="23" t="n"/>
    </row>
    <row r="16">
      <c r="A16" s="25" t="n"/>
      <c r="B16" s="26" t="n"/>
      <c r="C16" s="25" t="n"/>
      <c r="D16" s="26" t="n"/>
      <c r="E16" s="26" t="n"/>
    </row>
    <row r="17">
      <c r="A17" s="22" t="n"/>
      <c r="B17" s="23" t="n"/>
      <c r="C17" s="22" t="n"/>
      <c r="D17" s="23" t="n"/>
      <c r="E17" s="23" t="n"/>
    </row>
    <row r="18">
      <c r="A18" s="25" t="n"/>
      <c r="B18" s="26" t="n"/>
      <c r="C18" s="25" t="n"/>
      <c r="D18" s="26" t="n"/>
      <c r="E18" s="26" t="n"/>
    </row>
    <row r="19">
      <c r="A19" s="22" t="n"/>
      <c r="B19" s="23" t="n"/>
      <c r="C19" s="22" t="n"/>
      <c r="D19" s="23" t="n"/>
      <c r="E19" s="23" t="n"/>
    </row>
    <row r="20">
      <c r="A20" s="25" t="n"/>
      <c r="B20" s="26" t="n"/>
      <c r="C20" s="25" t="n"/>
      <c r="D20" s="26" t="n"/>
      <c r="E20" s="26" t="n"/>
    </row>
    <row r="21">
      <c r="A21" s="22" t="n"/>
      <c r="B21" s="23" t="n"/>
      <c r="C21" s="22" t="n"/>
      <c r="D21" s="23" t="n"/>
      <c r="E21" s="23" t="n"/>
    </row>
    <row r="22">
      <c r="A22" s="25" t="n"/>
      <c r="B22" s="26" t="n"/>
      <c r="C22" s="25" t="n"/>
      <c r="D22" s="26" t="n"/>
      <c r="E22" s="26" t="n"/>
    </row>
    <row r="23">
      <c r="A23" s="22" t="n"/>
      <c r="B23" s="23" t="n"/>
      <c r="C23" s="22" t="n"/>
      <c r="D23" s="23" t="n"/>
      <c r="E23" s="23" t="n"/>
    </row>
    <row r="24">
      <c r="A24" s="25" t="n"/>
      <c r="B24" s="26" t="n"/>
      <c r="C24" s="25" t="n"/>
      <c r="D24" s="26" t="n"/>
      <c r="E24" s="26" t="n"/>
    </row>
    <row r="25">
      <c r="A25" s="22" t="n"/>
      <c r="B25" s="23" t="n"/>
      <c r="C25" s="22" t="n"/>
      <c r="D25" s="23" t="n"/>
      <c r="E25" s="23" t="n"/>
    </row>
    <row r="26">
      <c r="A26" s="25" t="n"/>
      <c r="B26" s="26" t="n"/>
      <c r="C26" s="25" t="n"/>
      <c r="D26" s="26" t="n"/>
      <c r="E26" s="26" t="n"/>
    </row>
    <row r="27">
      <c r="A27" s="22" t="n"/>
      <c r="B27" s="23" t="n"/>
      <c r="C27" s="22" t="n"/>
      <c r="D27" s="23" t="n"/>
      <c r="E27" s="23" t="n"/>
    </row>
    <row r="28">
      <c r="A28" s="25" t="n"/>
      <c r="B28" s="26" t="n"/>
      <c r="C28" s="25" t="n"/>
      <c r="D28" s="26" t="n"/>
      <c r="E28" s="26" t="n"/>
    </row>
  </sheetData>
  <mergeCells count="2">
    <mergeCell ref="A2:E2"/>
    <mergeCell ref="A1:E1"/>
  </mergeCells>
  <conditionalFormatting sqref="E5:E28">
    <cfRule type="cellIs" priority="1" operator="equal" dxfId="1">
      <formula>"High"</formula>
    </cfRule>
  </conditionalFormatting>
  <dataValidations count="1">
    <dataValidation sqref="E5:E28" showDropDown="0" showInputMessage="0" showErrorMessage="0" allowBlank="1" type="list">
      <formula1>=PriorityList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1" customWidth="1" min="5" max="5"/>
    <col width="13" customWidth="1" min="6" max="6"/>
    <col width="13" customWidth="1" min="7" max="7"/>
  </cols>
  <sheetData>
    <row r="1" ht="46" customHeight="1">
      <c r="A1" s="1" t="inlineStr">
        <is>
          <t xml:space="preserve">  🛍  INSTAGRAM SHOP</t>
        </is>
      </c>
    </row>
    <row r="2" ht="22" customHeight="1">
      <c r="A2" s="2" t="inlineStr">
        <is>
          <t xml:space="preserve">  Turn saves into sales — units, GMV and your commission, per product.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Product</t>
        </is>
      </c>
      <c r="B4" s="9" t="inlineStr">
        <is>
          <t>Pillar</t>
        </is>
      </c>
      <c r="C4" s="9" t="inlineStr">
        <is>
          <t>Price</t>
        </is>
      </c>
      <c r="D4" s="9" t="inlineStr">
        <is>
          <t>Comm. %</t>
        </is>
      </c>
      <c r="E4" s="9" t="inlineStr">
        <is>
          <t>Units</t>
        </is>
      </c>
      <c r="F4" s="9" t="inlineStr">
        <is>
          <t>GMV</t>
        </is>
      </c>
      <c r="G4" s="9" t="inlineStr">
        <is>
          <t>Your Earnings</t>
        </is>
      </c>
    </row>
    <row r="5">
      <c r="A5" s="32" t="inlineStr">
        <is>
          <t>Ceramic planter set</t>
        </is>
      </c>
      <c r="B5" s="33" t="inlineStr">
        <is>
          <t>Home</t>
        </is>
      </c>
      <c r="C5" s="48" t="n">
        <v>48</v>
      </c>
      <c r="D5" s="49" t="n">
        <v>0.12</v>
      </c>
      <c r="E5" s="50" t="n">
        <v>40</v>
      </c>
      <c r="F5" s="51">
        <f>C5*E5</f>
        <v/>
      </c>
      <c r="G5" s="51">
        <f>F5*D5</f>
        <v/>
      </c>
    </row>
    <row r="6">
      <c r="A6" s="25" t="inlineStr">
        <is>
          <t>Full-spectrum grow light</t>
        </is>
      </c>
      <c r="B6" s="26" t="inlineStr">
        <is>
          <t>Plants</t>
        </is>
      </c>
      <c r="C6" s="52" t="n">
        <v>65</v>
      </c>
      <c r="D6" s="53" t="n">
        <v>0.15</v>
      </c>
      <c r="E6" s="54" t="n">
        <v>18</v>
      </c>
      <c r="F6" s="55">
        <f>C6*E6</f>
        <v/>
      </c>
      <c r="G6" s="55">
        <f>F6*D6</f>
        <v/>
      </c>
    </row>
    <row r="7">
      <c r="A7" s="32" t="inlineStr">
        <is>
          <t>Macrame plant hanger</t>
        </is>
      </c>
      <c r="B7" s="33" t="inlineStr">
        <is>
          <t>Home</t>
        </is>
      </c>
      <c r="C7" s="48" t="n">
        <v>28</v>
      </c>
      <c r="D7" s="49" t="n">
        <v>0.1</v>
      </c>
      <c r="E7" s="50" t="n">
        <v>55</v>
      </c>
      <c r="F7" s="51">
        <f>C7*E7</f>
        <v/>
      </c>
      <c r="G7" s="51">
        <f>F7*D7</f>
        <v/>
      </c>
    </row>
    <row r="8">
      <c r="A8" s="25" t="inlineStr">
        <is>
          <t>Copper watering can</t>
        </is>
      </c>
      <c r="B8" s="26" t="inlineStr">
        <is>
          <t>Home</t>
        </is>
      </c>
      <c r="C8" s="52" t="n">
        <v>34</v>
      </c>
      <c r="D8" s="53" t="n">
        <v>0.12</v>
      </c>
      <c r="E8" s="54" t="n">
        <v>30</v>
      </c>
      <c r="F8" s="55">
        <f>C8*E8</f>
        <v/>
      </c>
      <c r="G8" s="55">
        <f>F8*D8</f>
        <v/>
      </c>
    </row>
    <row r="9">
      <c r="A9" s="32" t="inlineStr">
        <is>
          <t>Linen curtains</t>
        </is>
      </c>
      <c r="B9" s="33" t="inlineStr">
        <is>
          <t>Home</t>
        </is>
      </c>
      <c r="C9" s="48" t="n">
        <v>80</v>
      </c>
      <c r="D9" s="49" t="n">
        <v>0.1</v>
      </c>
      <c r="E9" s="50" t="n">
        <v>12</v>
      </c>
      <c r="F9" s="51">
        <f>C9*E9</f>
        <v/>
      </c>
      <c r="G9" s="51">
        <f>F9*D9</f>
        <v/>
      </c>
    </row>
    <row r="10">
      <c r="A10" s="25" t="inlineStr">
        <is>
          <t>Brass shelf brackets</t>
        </is>
      </c>
      <c r="B10" s="26" t="inlineStr">
        <is>
          <t>Home</t>
        </is>
      </c>
      <c r="C10" s="52" t="n">
        <v>22</v>
      </c>
      <c r="D10" s="53" t="n">
        <v>0.1</v>
      </c>
      <c r="E10" s="54" t="n">
        <v>44</v>
      </c>
      <c r="F10" s="55">
        <f>C10*E10</f>
        <v/>
      </c>
      <c r="G10" s="55">
        <f>F10*D10</f>
        <v/>
      </c>
    </row>
    <row r="11">
      <c r="A11" s="32" t="inlineStr">
        <is>
          <t>Moisture meter</t>
        </is>
      </c>
      <c r="B11" s="33" t="inlineStr">
        <is>
          <t>Plants</t>
        </is>
      </c>
      <c r="C11" s="48" t="n">
        <v>16</v>
      </c>
      <c r="D11" s="49" t="n">
        <v>0.15</v>
      </c>
      <c r="E11" s="50" t="n">
        <v>68</v>
      </c>
      <c r="F11" s="51">
        <f>C11*E11</f>
        <v/>
      </c>
      <c r="G11" s="51">
        <f>F11*D11</f>
        <v/>
      </c>
    </row>
    <row r="12">
      <c r="A12" s="25" t="inlineStr">
        <is>
          <t>Woven basket set</t>
        </is>
      </c>
      <c r="B12" s="26" t="inlineStr">
        <is>
          <t>Home</t>
        </is>
      </c>
      <c r="C12" s="52" t="n">
        <v>42</v>
      </c>
      <c r="D12" s="53" t="n">
        <v>0.12</v>
      </c>
      <c r="E12" s="54" t="n">
        <v>26</v>
      </c>
      <c r="F12" s="55">
        <f>C12*E12</f>
        <v/>
      </c>
      <c r="G12" s="55">
        <f>F12*D12</f>
        <v/>
      </c>
    </row>
    <row r="13">
      <c r="A13" s="9" t="inlineStr">
        <is>
          <t>TOTAL</t>
        </is>
      </c>
      <c r="B13" s="9" t="n"/>
      <c r="C13" s="9" t="n"/>
      <c r="D13" s="9" t="n"/>
      <c r="E13" s="9" t="n"/>
      <c r="F13" s="56">
        <f>SUM(F5:F12)</f>
        <v/>
      </c>
      <c r="G13" s="56">
        <f>SUM(G5:G12)</f>
        <v/>
      </c>
    </row>
  </sheetData>
  <mergeCells count="2">
    <mergeCell ref="A2:G2"/>
    <mergeCell ref="A1:G1"/>
  </mergeCells>
  <conditionalFormatting sqref="F5:F12">
    <cfRule type="dataBar" priority="1">
      <dataBar showValue="1">
        <cfvo type="num" val="0"/>
        <cfvo type="num" val="2000"/>
        <color rgb="001B4F48"/>
      </dataBar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0" customWidth="1" min="5" max="5"/>
    <col width="12" customWidth="1" min="6" max="6"/>
    <col width="24" customWidth="1" min="7" max="7"/>
  </cols>
  <sheetData>
    <row r="1" ht="46" customHeight="1">
      <c r="A1" s="1" t="inlineStr">
        <is>
          <t xml:space="preserve">  🔗  AFFILIATE TRACKER</t>
        </is>
      </c>
    </row>
    <row r="2" ht="22" customHeight="1">
      <c r="A2" s="2" t="inlineStr">
        <is>
          <t xml:space="preserve">  Every link working for you — clicks, conversions &amp; payouts by program.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Program</t>
        </is>
      </c>
      <c r="B4" s="9" t="inlineStr">
        <is>
          <t>Network</t>
        </is>
      </c>
      <c r="C4" s="9" t="inlineStr">
        <is>
          <t>Link</t>
        </is>
      </c>
      <c r="D4" s="9" t="inlineStr">
        <is>
          <t>Clicks</t>
        </is>
      </c>
      <c r="E4" s="9" t="inlineStr">
        <is>
          <t>Sales</t>
        </is>
      </c>
      <c r="F4" s="9" t="inlineStr">
        <is>
          <t>Payout</t>
        </is>
      </c>
      <c r="G4" s="9" t="inlineStr">
        <is>
          <t>Notes</t>
        </is>
      </c>
    </row>
    <row r="5">
      <c r="A5" s="23" t="inlineStr">
        <is>
          <t>LTK</t>
        </is>
      </c>
      <c r="B5" s="23" t="inlineStr">
        <is>
          <t>LTK</t>
        </is>
      </c>
      <c r="C5" s="22" t="inlineStr">
        <is>
          <t>ltk.to/studiofern</t>
        </is>
      </c>
      <c r="D5" s="36" t="n">
        <v>9800</v>
      </c>
      <c r="E5" s="36" t="n">
        <v>480</v>
      </c>
      <c r="F5" s="23" t="inlineStr">
        <is>
          <t>$780</t>
        </is>
      </c>
      <c r="G5" s="22" t="inlineStr">
        <is>
          <t>Home + decor links</t>
        </is>
      </c>
    </row>
    <row r="6">
      <c r="A6" s="26" t="inlineStr">
        <is>
          <t>Amazon Storefront</t>
        </is>
      </c>
      <c r="B6" s="26" t="inlineStr">
        <is>
          <t>Amazon</t>
        </is>
      </c>
      <c r="C6" s="25" t="inlineStr">
        <is>
          <t>amzn.to/fern</t>
        </is>
      </c>
      <c r="D6" s="35" t="n">
        <v>6400</v>
      </c>
      <c r="E6" s="35" t="n">
        <v>320</v>
      </c>
      <c r="F6" s="26" t="inlineStr">
        <is>
          <t>$540</t>
        </is>
      </c>
      <c r="G6" s="25" t="inlineStr">
        <is>
          <t>Plant tools bundle</t>
        </is>
      </c>
    </row>
    <row r="7">
      <c r="A7" s="23" t="inlineStr">
        <is>
          <t>Etsy Creator</t>
        </is>
      </c>
      <c r="B7" s="23" t="inlineStr">
        <is>
          <t>Etsy</t>
        </is>
      </c>
      <c r="C7" s="22" t="inlineStr">
        <is>
          <t>etsy.me/fern</t>
        </is>
      </c>
      <c r="D7" s="36" t="n">
        <v>2200</v>
      </c>
      <c r="E7" s="36" t="n">
        <v>88</v>
      </c>
      <c r="F7" s="23" t="inlineStr">
        <is>
          <t>$210</t>
        </is>
      </c>
      <c r="G7" s="22" t="inlineStr">
        <is>
          <t>Handmade pots</t>
        </is>
      </c>
    </row>
    <row r="8">
      <c r="A8" s="26" t="inlineStr">
        <is>
          <t>Bloomscape</t>
        </is>
      </c>
      <c r="B8" s="26" t="inlineStr">
        <is>
          <t>Impact</t>
        </is>
      </c>
      <c r="C8" s="25" t="inlineStr">
        <is>
          <t>bloom.co/fern</t>
        </is>
      </c>
      <c r="D8" s="35" t="n">
        <v>1600</v>
      </c>
      <c r="E8" s="35" t="n">
        <v>42</v>
      </c>
      <c r="F8" s="26" t="inlineStr">
        <is>
          <t>$180</t>
        </is>
      </c>
      <c r="G8" s="25" t="inlineStr">
        <is>
          <t>Live plants</t>
        </is>
      </c>
    </row>
    <row r="9">
      <c r="A9" s="23" t="inlineStr">
        <is>
          <t>Skillshare</t>
        </is>
      </c>
      <c r="B9" s="23" t="inlineStr">
        <is>
          <t>Impact</t>
        </is>
      </c>
      <c r="C9" s="22" t="inlineStr">
        <is>
          <t>skl.sh/fern</t>
        </is>
      </c>
      <c r="D9" s="36" t="n">
        <v>2000</v>
      </c>
      <c r="E9" s="36" t="n">
        <v>30</v>
      </c>
      <c r="F9" s="23" t="inlineStr">
        <is>
          <t>$220</t>
        </is>
      </c>
      <c r="G9" s="22" t="inlineStr">
        <is>
          <t>Plant styling class</t>
        </is>
      </c>
    </row>
    <row r="10">
      <c r="A10" s="26" t="n"/>
      <c r="B10" s="26" t="n"/>
      <c r="C10" s="25" t="n"/>
      <c r="D10" s="35" t="n"/>
      <c r="E10" s="35" t="n"/>
      <c r="F10" s="26" t="n"/>
      <c r="G10" s="25" t="n"/>
    </row>
    <row r="11">
      <c r="A11" s="23" t="n"/>
      <c r="B11" s="23" t="n"/>
      <c r="C11" s="22" t="n"/>
      <c r="D11" s="36" t="n"/>
      <c r="E11" s="36" t="n"/>
      <c r="F11" s="23" t="n"/>
      <c r="G11" s="22" t="n"/>
    </row>
    <row r="12">
      <c r="A12" s="26" t="n"/>
      <c r="B12" s="26" t="n"/>
      <c r="C12" s="25" t="n"/>
      <c r="D12" s="35" t="n"/>
      <c r="E12" s="35" t="n"/>
      <c r="F12" s="26" t="n"/>
      <c r="G12" s="25" t="n"/>
    </row>
    <row r="13">
      <c r="A13" s="23" t="n"/>
      <c r="B13" s="23" t="n"/>
      <c r="C13" s="22" t="n"/>
      <c r="D13" s="36" t="n"/>
      <c r="E13" s="36" t="n"/>
      <c r="F13" s="23" t="n"/>
      <c r="G13" s="22" t="n"/>
    </row>
    <row r="14">
      <c r="A14" s="26" t="n"/>
      <c r="B14" s="26" t="n"/>
      <c r="C14" s="25" t="n"/>
      <c r="D14" s="35" t="n"/>
      <c r="E14" s="35" t="n"/>
      <c r="F14" s="26" t="n"/>
      <c r="G14" s="25" t="n"/>
    </row>
    <row r="15">
      <c r="A15" s="23" t="n"/>
      <c r="B15" s="23" t="n"/>
      <c r="C15" s="22" t="n"/>
      <c r="D15" s="36" t="n"/>
      <c r="E15" s="36" t="n"/>
      <c r="F15" s="23" t="n"/>
      <c r="G15" s="22" t="n"/>
    </row>
    <row r="16">
      <c r="A16" s="26" t="n"/>
      <c r="B16" s="26" t="n"/>
      <c r="C16" s="25" t="n"/>
      <c r="D16" s="35" t="n"/>
      <c r="E16" s="35" t="n"/>
      <c r="F16" s="26" t="n"/>
      <c r="G16" s="25" t="n"/>
    </row>
    <row r="17">
      <c r="A17" s="23" t="n"/>
      <c r="B17" s="23" t="n"/>
      <c r="C17" s="22" t="n"/>
      <c r="D17" s="36" t="n"/>
      <c r="E17" s="36" t="n"/>
      <c r="F17" s="23" t="n"/>
      <c r="G17" s="22" t="n"/>
    </row>
    <row r="18">
      <c r="A18" s="26" t="n"/>
      <c r="B18" s="26" t="n"/>
      <c r="C18" s="25" t="n"/>
      <c r="D18" s="35" t="n"/>
      <c r="E18" s="35" t="n"/>
      <c r="F18" s="26" t="n"/>
      <c r="G18" s="25" t="n"/>
    </row>
    <row r="19">
      <c r="A19" s="23" t="n"/>
      <c r="B19" s="23" t="n"/>
      <c r="C19" s="22" t="n"/>
      <c r="D19" s="36" t="n"/>
      <c r="E19" s="36" t="n"/>
      <c r="F19" s="23" t="n"/>
      <c r="G19" s="22" t="n"/>
    </row>
    <row r="20">
      <c r="A20" s="26" t="n"/>
      <c r="B20" s="26" t="n"/>
      <c r="C20" s="25" t="n"/>
      <c r="D20" s="35" t="n"/>
      <c r="E20" s="35" t="n"/>
      <c r="F20" s="26" t="n"/>
      <c r="G20" s="25" t="n"/>
    </row>
    <row r="21">
      <c r="A21" s="23" t="n"/>
      <c r="B21" s="23" t="n"/>
      <c r="C21" s="22" t="n"/>
      <c r="D21" s="36" t="n"/>
      <c r="E21" s="36" t="n"/>
      <c r="F21" s="23" t="n"/>
      <c r="G21" s="22" t="n"/>
    </row>
    <row r="22">
      <c r="A22" s="26" t="n"/>
      <c r="B22" s="26" t="n"/>
      <c r="C22" s="25" t="n"/>
      <c r="D22" s="35" t="n"/>
      <c r="E22" s="35" t="n"/>
      <c r="F22" s="26" t="n"/>
      <c r="G22" s="25" t="n"/>
    </row>
    <row r="23">
      <c r="A23" s="23" t="n"/>
      <c r="B23" s="23" t="n"/>
      <c r="C23" s="22" t="n"/>
      <c r="D23" s="36" t="n"/>
      <c r="E23" s="36" t="n"/>
      <c r="F23" s="23" t="n"/>
      <c r="G23" s="22" t="n"/>
    </row>
    <row r="24">
      <c r="A24" s="26" t="n"/>
      <c r="B24" s="26" t="n"/>
      <c r="C24" s="25" t="n"/>
      <c r="D24" s="35" t="n"/>
      <c r="E24" s="35" t="n"/>
      <c r="F24" s="26" t="n"/>
      <c r="G24" s="25" t="n"/>
    </row>
  </sheetData>
  <mergeCells count="2">
    <mergeCell ref="A2:G2"/>
    <mergeCell ref="A1:G1"/>
  </mergeCells>
  <conditionalFormatting sqref="D5:D24">
    <cfRule type="dataBar" priority="1">
      <dataBar showValue="1">
        <cfvo type="num" val="0"/>
        <cfvo type="num" val="10000"/>
        <color rgb="00C9A86A"/>
      </dataBar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2" customWidth="1" min="4" max="4"/>
    <col width="14" customWidth="1" min="5" max="5"/>
    <col width="20" customWidth="1" min="6" max="6"/>
    <col width="13" customWidth="1" min="7" max="7"/>
  </cols>
  <sheetData>
    <row r="1" ht="46" customHeight="1">
      <c r="A1" s="1" t="inlineStr">
        <is>
          <t xml:space="preserve">  🤝  BRAND DEALS · UGC CRM</t>
        </is>
      </c>
    </row>
    <row r="2" ht="22" customHeight="1">
      <c r="A2" s="2" t="inlineStr">
        <is>
          <t xml:space="preserve">  Turn your audience into income — lead to paid, with rates &amp; deliverables.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Brand</t>
        </is>
      </c>
      <c r="B4" s="9" t="inlineStr">
        <is>
          <t>Contact</t>
        </is>
      </c>
      <c r="C4" s="9" t="inlineStr">
        <is>
          <t>Campaign</t>
        </is>
      </c>
      <c r="D4" s="9" t="inlineStr">
        <is>
          <t>Rate</t>
        </is>
      </c>
      <c r="E4" s="9" t="inlineStr">
        <is>
          <t>Stage</t>
        </is>
      </c>
      <c r="F4" s="9" t="inlineStr">
        <is>
          <t>Deliverables</t>
        </is>
      </c>
      <c r="G4" s="9" t="inlineStr">
        <is>
          <t>Due / Paid</t>
        </is>
      </c>
    </row>
    <row r="5">
      <c r="A5" s="23" t="inlineStr">
        <is>
          <t>Bloomscape</t>
        </is>
      </c>
      <c r="B5" s="22" t="inlineStr">
        <is>
          <t>Mara D.</t>
        </is>
      </c>
      <c r="C5" s="22" t="inlineStr">
        <is>
          <t>Spring plant drop</t>
        </is>
      </c>
      <c r="D5" s="57" t="n">
        <v>2400</v>
      </c>
      <c r="E5" s="23" t="inlineStr">
        <is>
          <t>Signed</t>
        </is>
      </c>
      <c r="F5" s="22" t="inlineStr">
        <is>
          <t>1 reel + 3 stories</t>
        </is>
      </c>
      <c r="G5" s="21" t="n">
        <v>46226</v>
      </c>
    </row>
    <row r="6">
      <c r="A6" s="26" t="inlineStr">
        <is>
          <t>West Elm</t>
        </is>
      </c>
      <c r="B6" s="25" t="inlineStr">
        <is>
          <t>Rep</t>
        </is>
      </c>
      <c r="C6" s="25" t="inlineStr">
        <is>
          <t>Home refresh</t>
        </is>
      </c>
      <c r="D6" s="55" t="n">
        <v>3200</v>
      </c>
      <c r="E6" s="26" t="inlineStr">
        <is>
          <t>Negotiation</t>
        </is>
      </c>
      <c r="F6" s="25" t="inlineStr">
        <is>
          <t>1 reel + carousel</t>
        </is>
      </c>
      <c r="G6" s="24" t="n">
        <v>46244</v>
      </c>
    </row>
    <row r="7">
      <c r="A7" s="23" t="inlineStr">
        <is>
          <t>The Sill</t>
        </is>
      </c>
      <c r="B7" s="22" t="inlineStr">
        <is>
          <t>Lena R.</t>
        </is>
      </c>
      <c r="C7" s="22" t="inlineStr">
        <is>
          <t>Care guide collab</t>
        </is>
      </c>
      <c r="D7" s="57" t="n">
        <v>2000</v>
      </c>
      <c r="E7" s="23" t="inlineStr">
        <is>
          <t>Delivered</t>
        </is>
      </c>
      <c r="F7" s="22" t="inlineStr">
        <is>
          <t>1 carousel</t>
        </is>
      </c>
      <c r="G7" s="21" t="n">
        <v>46209</v>
      </c>
    </row>
    <row r="8">
      <c r="A8" s="26" t="inlineStr">
        <is>
          <t>Our Place</t>
        </is>
      </c>
      <c r="B8" s="25" t="inlineStr">
        <is>
          <t>Ivy T.</t>
        </is>
      </c>
      <c r="C8" s="25" t="inlineStr">
        <is>
          <t>Kitchen styling</t>
        </is>
      </c>
      <c r="D8" s="55" t="n">
        <v>1600</v>
      </c>
      <c r="E8" s="26" t="inlineStr">
        <is>
          <t>Paid</t>
        </is>
      </c>
      <c r="F8" s="25" t="inlineStr">
        <is>
          <t>1 reel</t>
        </is>
      </c>
      <c r="G8" s="24" t="n">
        <v>46189</v>
      </c>
    </row>
    <row r="9">
      <c r="A9" s="23" t="inlineStr">
        <is>
          <t>Ruggable</t>
        </is>
      </c>
      <c r="B9" s="22" t="inlineStr">
        <is>
          <t>Priya S.</t>
        </is>
      </c>
      <c r="C9" s="22" t="inlineStr">
        <is>
          <t>Rug reveal</t>
        </is>
      </c>
      <c r="D9" s="57" t="n">
        <v>2200</v>
      </c>
      <c r="E9" s="23" t="inlineStr">
        <is>
          <t>Outreach</t>
        </is>
      </c>
      <c r="F9" s="22" t="inlineStr">
        <is>
          <t>TBD</t>
        </is>
      </c>
      <c r="G9" s="21" t="n">
        <v>46274</v>
      </c>
    </row>
    <row r="10">
      <c r="A10" s="26" t="inlineStr">
        <is>
          <t>Article</t>
        </is>
      </c>
      <c r="B10" s="25" t="inlineStr">
        <is>
          <t>Owen B.</t>
        </is>
      </c>
      <c r="C10" s="25" t="inlineStr">
        <is>
          <t>Shelf styling</t>
        </is>
      </c>
      <c r="D10" s="55" t="n">
        <v>1900</v>
      </c>
      <c r="E10" s="26" t="inlineStr">
        <is>
          <t>Signed</t>
        </is>
      </c>
      <c r="F10" s="25" t="inlineStr">
        <is>
          <t>1 carousel</t>
        </is>
      </c>
      <c r="G10" s="24" t="n">
        <v>46232</v>
      </c>
    </row>
    <row r="11">
      <c r="A11" s="23" t="inlineStr">
        <is>
          <t>HelloFresh</t>
        </is>
      </c>
      <c r="B11" s="22" t="inlineStr">
        <is>
          <t>Sam W.</t>
        </is>
      </c>
      <c r="C11" s="22" t="inlineStr">
        <is>
          <t>Weeknight dinner</t>
        </is>
      </c>
      <c r="D11" s="57" t="n">
        <v>1100</v>
      </c>
      <c r="E11" s="23" t="inlineStr">
        <is>
          <t>Lead</t>
        </is>
      </c>
      <c r="F11" s="22" t="inlineStr">
        <is>
          <t>TBD</t>
        </is>
      </c>
      <c r="G11" s="21" t="n">
        <v>46289</v>
      </c>
    </row>
    <row r="12">
      <c r="A12" s="26" t="inlineStr">
        <is>
          <t>Anthropologie</t>
        </is>
      </c>
      <c r="B12" s="25" t="inlineStr">
        <is>
          <t>Chris N.</t>
        </is>
      </c>
      <c r="C12" s="25" t="inlineStr">
        <is>
          <t>Home haul</t>
        </is>
      </c>
      <c r="D12" s="55" t="n">
        <v>2800</v>
      </c>
      <c r="E12" s="26" t="inlineStr">
        <is>
          <t>Paid</t>
        </is>
      </c>
      <c r="F12" s="25" t="inlineStr">
        <is>
          <t>1 reel + stories</t>
        </is>
      </c>
      <c r="G12" s="24" t="n">
        <v>46174</v>
      </c>
    </row>
    <row r="13">
      <c r="A13" s="23" t="n"/>
      <c r="B13" s="22" t="n"/>
      <c r="C13" s="22" t="n"/>
      <c r="D13" s="57" t="n"/>
      <c r="E13" s="23" t="n"/>
      <c r="F13" s="22" t="n"/>
      <c r="G13" s="21" t="n"/>
    </row>
    <row r="14">
      <c r="A14" s="26" t="n"/>
      <c r="B14" s="25" t="n"/>
      <c r="C14" s="25" t="n"/>
      <c r="D14" s="55" t="n"/>
      <c r="E14" s="26" t="n"/>
      <c r="F14" s="25" t="n"/>
      <c r="G14" s="24" t="n"/>
    </row>
    <row r="15">
      <c r="A15" s="23" t="n"/>
      <c r="B15" s="22" t="n"/>
      <c r="C15" s="22" t="n"/>
      <c r="D15" s="57" t="n"/>
      <c r="E15" s="23" t="n"/>
      <c r="F15" s="22" t="n"/>
      <c r="G15" s="21" t="n"/>
    </row>
    <row r="16">
      <c r="A16" s="26" t="n"/>
      <c r="B16" s="25" t="n"/>
      <c r="C16" s="25" t="n"/>
      <c r="D16" s="55" t="n"/>
      <c r="E16" s="26" t="n"/>
      <c r="F16" s="25" t="n"/>
      <c r="G16" s="24" t="n"/>
    </row>
    <row r="17">
      <c r="A17" s="23" t="n"/>
      <c r="B17" s="22" t="n"/>
      <c r="C17" s="22" t="n"/>
      <c r="D17" s="57" t="n"/>
      <c r="E17" s="23" t="n"/>
      <c r="F17" s="22" t="n"/>
      <c r="G17" s="21" t="n"/>
    </row>
    <row r="18">
      <c r="A18" s="26" t="n"/>
      <c r="B18" s="25" t="n"/>
      <c r="C18" s="25" t="n"/>
      <c r="D18" s="55" t="n"/>
      <c r="E18" s="26" t="n"/>
      <c r="F18" s="25" t="n"/>
      <c r="G18" s="24" t="n"/>
    </row>
    <row r="19">
      <c r="A19" s="23" t="n"/>
      <c r="B19" s="22" t="n"/>
      <c r="C19" s="22" t="n"/>
      <c r="D19" s="57" t="n"/>
      <c r="E19" s="23" t="n"/>
      <c r="F19" s="22" t="n"/>
      <c r="G19" s="21" t="n"/>
    </row>
    <row r="20">
      <c r="A20" s="26" t="n"/>
      <c r="B20" s="25" t="n"/>
      <c r="C20" s="25" t="n"/>
      <c r="D20" s="55" t="n"/>
      <c r="E20" s="26" t="n"/>
      <c r="F20" s="25" t="n"/>
      <c r="G20" s="24" t="n"/>
    </row>
    <row r="21">
      <c r="A21" s="23" t="n"/>
      <c r="B21" s="22" t="n"/>
      <c r="C21" s="22" t="n"/>
      <c r="D21" s="57" t="n"/>
      <c r="E21" s="23" t="n"/>
      <c r="F21" s="22" t="n"/>
      <c r="G21" s="21" t="n"/>
    </row>
    <row r="22">
      <c r="A22" s="26" t="n"/>
      <c r="B22" s="25" t="n"/>
      <c r="C22" s="25" t="n"/>
      <c r="D22" s="55" t="n"/>
      <c r="E22" s="26" t="n"/>
      <c r="F22" s="25" t="n"/>
      <c r="G22" s="24" t="n"/>
    </row>
    <row r="23">
      <c r="A23" s="23" t="n"/>
      <c r="B23" s="22" t="n"/>
      <c r="C23" s="22" t="n"/>
      <c r="D23" s="57" t="n"/>
      <c r="E23" s="23" t="n"/>
      <c r="F23" s="22" t="n"/>
      <c r="G23" s="21" t="n"/>
    </row>
    <row r="24">
      <c r="A24" s="26" t="n"/>
      <c r="B24" s="25" t="n"/>
      <c r="C24" s="25" t="n"/>
      <c r="D24" s="55" t="n"/>
      <c r="E24" s="26" t="n"/>
      <c r="F24" s="25" t="n"/>
      <c r="G24" s="24" t="n"/>
    </row>
    <row r="25">
      <c r="A25" s="23" t="n"/>
      <c r="B25" s="22" t="n"/>
      <c r="C25" s="22" t="n"/>
      <c r="D25" s="57" t="n"/>
      <c r="E25" s="23" t="n"/>
      <c r="F25" s="22" t="n"/>
      <c r="G25" s="21" t="n"/>
    </row>
    <row r="26">
      <c r="A26" s="26" t="n"/>
      <c r="B26" s="25" t="n"/>
      <c r="C26" s="25" t="n"/>
      <c r="D26" s="55" t="n"/>
      <c r="E26" s="26" t="n"/>
      <c r="F26" s="25" t="n"/>
      <c r="G26" s="24" t="n"/>
    </row>
    <row r="27">
      <c r="A27" s="23" t="n"/>
      <c r="B27" s="22" t="n"/>
      <c r="C27" s="22" t="n"/>
      <c r="D27" s="57" t="n"/>
      <c r="E27" s="23" t="n"/>
      <c r="F27" s="22" t="n"/>
      <c r="G27" s="21" t="n"/>
    </row>
    <row r="28">
      <c r="A28" s="26" t="n"/>
      <c r="B28" s="25" t="n"/>
      <c r="C28" s="25" t="n"/>
      <c r="D28" s="55" t="n"/>
      <c r="E28" s="26" t="n"/>
      <c r="F28" s="25" t="n"/>
      <c r="G28" s="24" t="n"/>
    </row>
    <row r="29">
      <c r="A29" s="23" t="n"/>
      <c r="B29" s="22" t="n"/>
      <c r="C29" s="22" t="n"/>
      <c r="D29" s="57" t="n"/>
      <c r="E29" s="23" t="n"/>
      <c r="F29" s="22" t="n"/>
      <c r="G29" s="21" t="n"/>
    </row>
    <row r="30">
      <c r="A30" s="26" t="n"/>
      <c r="B30" s="25" t="n"/>
      <c r="C30" s="25" t="n"/>
      <c r="D30" s="55" t="n"/>
      <c r="E30" s="26" t="n"/>
      <c r="F30" s="25" t="n"/>
      <c r="G30" s="24" t="n"/>
    </row>
    <row r="31">
      <c r="A31" s="23" t="n"/>
      <c r="B31" s="22" t="n"/>
      <c r="C31" s="22" t="n"/>
      <c r="D31" s="57" t="n"/>
      <c r="E31" s="23" t="n"/>
      <c r="F31" s="22" t="n"/>
      <c r="G31" s="21" t="n"/>
    </row>
    <row r="32">
      <c r="A32" s="26" t="n"/>
      <c r="B32" s="25" t="n"/>
      <c r="C32" s="25" t="n"/>
      <c r="D32" s="55" t="n"/>
      <c r="E32" s="26" t="n"/>
      <c r="F32" s="25" t="n"/>
      <c r="G32" s="24" t="n"/>
    </row>
    <row r="33">
      <c r="A33" s="23" t="n"/>
      <c r="B33" s="22" t="n"/>
      <c r="C33" s="22" t="n"/>
      <c r="D33" s="57" t="n"/>
      <c r="E33" s="23" t="n"/>
      <c r="F33" s="22" t="n"/>
      <c r="G33" s="21" t="n"/>
    </row>
    <row r="34">
      <c r="A34" s="26" t="n"/>
      <c r="B34" s="25" t="n"/>
      <c r="C34" s="25" t="n"/>
      <c r="D34" s="55" t="n"/>
      <c r="E34" s="26" t="n"/>
      <c r="F34" s="25" t="n"/>
      <c r="G34" s="24" t="n"/>
    </row>
  </sheetData>
  <mergeCells count="2">
    <mergeCell ref="A2:G2"/>
    <mergeCell ref="A1:G1"/>
  </mergeCells>
  <conditionalFormatting sqref="E5:E34">
    <cfRule type="cellIs" priority="1" operator="equal" dxfId="1">
      <formula>"Paid"</formula>
    </cfRule>
    <cfRule type="cellIs" priority="2" operator="equal" dxfId="2">
      <formula>"Signed"</formula>
    </cfRule>
    <cfRule type="cellIs" priority="3" operator="equal" dxfId="3">
      <formula>"Delivered"</formula>
    </cfRule>
    <cfRule type="cellIs" priority="4" operator="equal" dxfId="4">
      <formula>"Lead"</formula>
    </cfRule>
  </conditionalFormatting>
  <dataValidations count="1">
    <dataValidation sqref="E5:E34" showDropDown="0" showInputMessage="0" showErrorMessage="0" allowBlank="1" type="list">
      <formula1>=SponStageList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3" customWidth="1" min="5" max="5"/>
    <col width="22" customWidth="1" min="6" max="6"/>
    <col width="14" customWidth="1" min="7" max="7"/>
  </cols>
  <sheetData>
    <row r="1" ht="46" customHeight="1">
      <c r="A1" s="1" t="inlineStr">
        <is>
          <t xml:space="preserve">  💰  CREATOR FINANCE CENTER</t>
        </is>
      </c>
    </row>
    <row r="2" ht="22" customHeight="1">
      <c r="A2" s="2" t="inlineStr">
        <is>
          <t xml:space="preserve">  Every income &amp; expense in one place — monthly, run-rate &amp; net profit,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Income Source</t>
        </is>
      </c>
      <c r="B4" s="9" t="inlineStr">
        <is>
          <t>This Month</t>
        </is>
      </c>
      <c r="C4" s="9" t="inlineStr">
        <is>
          <t>Annual (est.)</t>
        </is>
      </c>
      <c r="D4" s="9" t="inlineStr">
        <is>
          <t>% of Rev</t>
        </is>
      </c>
      <c r="F4" s="4" t="inlineStr">
        <is>
          <t>MONTHLY EXPENSES</t>
        </is>
      </c>
    </row>
    <row r="5">
      <c r="A5" s="32" t="inlineStr">
        <is>
          <t>Brand Deals</t>
        </is>
      </c>
      <c r="B5" s="58" t="n">
        <v>3600</v>
      </c>
      <c r="C5" s="51">
        <f>B5*12</f>
        <v/>
      </c>
      <c r="D5" s="39">
        <f>IFERROR(B5/$B$12,0)</f>
        <v/>
      </c>
      <c r="F5" s="32" t="inlineStr">
        <is>
          <t>Software</t>
        </is>
      </c>
      <c r="G5" s="58" t="n">
        <v>160</v>
      </c>
    </row>
    <row r="6">
      <c r="A6" s="25" t="inlineStr">
        <is>
          <t>Affiliate</t>
        </is>
      </c>
      <c r="B6" s="59" t="n">
        <v>1400</v>
      </c>
      <c r="C6" s="55">
        <f>B6*12</f>
        <v/>
      </c>
      <c r="D6" s="31">
        <f>IFERROR(B6/$B$12,0)</f>
        <v/>
      </c>
      <c r="F6" s="25" t="inlineStr">
        <is>
          <t>Equipment</t>
        </is>
      </c>
      <c r="G6" s="59" t="n">
        <v>450</v>
      </c>
    </row>
    <row r="7">
      <c r="A7" s="32" t="inlineStr">
        <is>
          <t>Digital Products</t>
        </is>
      </c>
      <c r="B7" s="58" t="n">
        <v>1100</v>
      </c>
      <c r="C7" s="51">
        <f>B7*12</f>
        <v/>
      </c>
      <c r="D7" s="39">
        <f>IFERROR(B7/$B$12,0)</f>
        <v/>
      </c>
      <c r="F7" s="32" t="inlineStr">
        <is>
          <t>Props &amp; Materials</t>
        </is>
      </c>
      <c r="G7" s="58" t="n">
        <v>380</v>
      </c>
    </row>
    <row r="8">
      <c r="A8" s="25" t="inlineStr">
        <is>
          <t>Instagram Shop</t>
        </is>
      </c>
      <c r="B8" s="60">
        <f>ShopEarn</f>
        <v/>
      </c>
      <c r="C8" s="55">
        <f>B8*12</f>
        <v/>
      </c>
      <c r="D8" s="31">
        <f>IFERROR(B8/$B$12,0)</f>
        <v/>
      </c>
      <c r="F8" s="25" t="inlineStr">
        <is>
          <t>Contractors</t>
        </is>
      </c>
      <c r="G8" s="59" t="n">
        <v>450</v>
      </c>
    </row>
    <row r="9">
      <c r="A9" s="32" t="inlineStr">
        <is>
          <t>Coaching</t>
        </is>
      </c>
      <c r="B9" s="58" t="n">
        <v>500</v>
      </c>
      <c r="C9" s="51">
        <f>B9*12</f>
        <v/>
      </c>
      <c r="D9" s="39">
        <f>IFERROR(B9/$B$12,0)</f>
        <v/>
      </c>
      <c r="F9" s="32" t="inlineStr">
        <is>
          <t>Marketing</t>
        </is>
      </c>
      <c r="G9" s="58" t="n">
        <v>100</v>
      </c>
    </row>
    <row r="10">
      <c r="A10" s="25" t="inlineStr">
        <is>
          <t>Subscriptions</t>
        </is>
      </c>
      <c r="B10" s="59" t="n">
        <v>200</v>
      </c>
      <c r="C10" s="55">
        <f>B10*12</f>
        <v/>
      </c>
      <c r="D10" s="31">
        <f>IFERROR(B10/$B$12,0)</f>
        <v/>
      </c>
      <c r="F10" s="25" t="inlineStr">
        <is>
          <t>Education</t>
        </is>
      </c>
      <c r="G10" s="59" t="n">
        <v>60</v>
      </c>
    </row>
    <row r="11">
      <c r="A11" s="32" t="inlineStr">
        <is>
          <t>Other</t>
        </is>
      </c>
      <c r="B11" s="58" t="n">
        <v>100</v>
      </c>
      <c r="C11" s="51">
        <f>B11*12</f>
        <v/>
      </c>
      <c r="D11" s="39">
        <f>IFERROR(B11/$B$12,0)</f>
        <v/>
      </c>
      <c r="F11" s="32" t="inlineStr">
        <is>
          <t>Miscellaneous</t>
        </is>
      </c>
      <c r="G11" s="58" t="n">
        <v>50</v>
      </c>
    </row>
    <row r="12">
      <c r="A12" s="9" t="inlineStr">
        <is>
          <t>TOTAL REVENUE</t>
        </is>
      </c>
      <c r="B12" s="56">
        <f>SUM(B5:B11)</f>
        <v/>
      </c>
      <c r="C12" s="56">
        <f>SUM(C5:C11)</f>
        <v/>
      </c>
      <c r="F12" s="9" t="inlineStr">
        <is>
          <t>TOTAL EXPENSES</t>
        </is>
      </c>
      <c r="G12" s="56">
        <f>SUM(G5:G11)</f>
        <v/>
      </c>
    </row>
    <row r="16">
      <c r="A16" s="4" t="inlineStr">
        <is>
          <t>THE BOTTOM LINE</t>
        </is>
      </c>
    </row>
    <row r="17">
      <c r="A17" s="19" t="inlineStr">
        <is>
          <t>Revenue (month)</t>
        </is>
      </c>
      <c r="B17" s="61">
        <f>RevenueTotal</f>
        <v/>
      </c>
    </row>
    <row r="18">
      <c r="A18" s="19" t="inlineStr">
        <is>
          <t>Annual run-rate</t>
        </is>
      </c>
      <c r="B18" s="61">
        <f>RevenueTotal*12</f>
        <v/>
      </c>
    </row>
    <row r="19">
      <c r="A19" s="19" t="inlineStr">
        <is>
          <t>Expenses (month)</t>
        </is>
      </c>
      <c r="B19" s="61">
        <f>ExpenseTotal</f>
        <v/>
      </c>
    </row>
    <row r="20">
      <c r="A20" s="19" t="inlineStr">
        <is>
          <t>Net profit</t>
        </is>
      </c>
      <c r="B20" s="62">
        <f>RevenueTotal-ExpenseTotal</f>
        <v/>
      </c>
    </row>
    <row r="21">
      <c r="A21" s="19" t="inlineStr">
        <is>
          <t>Profit margin</t>
        </is>
      </c>
      <c r="B21" s="63">
        <f>IFERROR((RevenueTotal-ExpenseTotal)/RevenueTotal,0)</f>
        <v/>
      </c>
    </row>
  </sheetData>
  <mergeCells count="4">
    <mergeCell ref="F4:G4"/>
    <mergeCell ref="A2:G2"/>
    <mergeCell ref="A1:G1"/>
    <mergeCell ref="A16:D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2" customWidth="1" min="4" max="4"/>
    <col width="18" customWidth="1" min="5" max="5"/>
    <col width="14" customWidth="1" min="6" max="6"/>
  </cols>
  <sheetData>
    <row r="1" ht="46" customHeight="1">
      <c r="A1" s="1" t="inlineStr">
        <is>
          <t xml:space="preserve">  🧾  EXPENSES</t>
        </is>
      </c>
    </row>
    <row r="2" ht="22" customHeight="1">
      <c r="A2" s="2" t="inlineStr">
        <is>
          <t xml:space="preserve">  Every business cost tracked — because creator income is a business.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Item</t>
        </is>
      </c>
      <c r="C4" s="9" t="inlineStr">
        <is>
          <t>Category</t>
        </is>
      </c>
      <c r="D4" s="9" t="inlineStr">
        <is>
          <t>Amount</t>
        </is>
      </c>
      <c r="E4" s="9" t="inlineStr">
        <is>
          <t>For</t>
        </is>
      </c>
      <c r="F4" s="9" t="inlineStr">
        <is>
          <t>Frequency</t>
        </is>
      </c>
    </row>
    <row r="5">
      <c r="A5" s="21" t="n">
        <v>46194</v>
      </c>
      <c r="B5" s="22" t="inlineStr">
        <is>
          <t>Later + Canva Pro</t>
        </is>
      </c>
      <c r="C5" s="23" t="inlineStr">
        <is>
          <t>Software</t>
        </is>
      </c>
      <c r="D5" s="23" t="inlineStr">
        <is>
          <t>$40</t>
        </is>
      </c>
      <c r="E5" s="22" t="inlineStr">
        <is>
          <t>Scheduling &amp; design</t>
        </is>
      </c>
      <c r="F5" s="23" t="inlineStr">
        <is>
          <t>Monthly</t>
        </is>
      </c>
    </row>
    <row r="6">
      <c r="A6" s="24" t="n">
        <v>46198</v>
      </c>
      <c r="B6" s="25" t="inlineStr">
        <is>
          <t>Lens + tripod</t>
        </is>
      </c>
      <c r="C6" s="26" t="inlineStr">
        <is>
          <t>Equipment</t>
        </is>
      </c>
      <c r="D6" s="26" t="inlineStr">
        <is>
          <t>$220</t>
        </is>
      </c>
      <c r="E6" s="25" t="inlineStr">
        <is>
          <t>Reels gear</t>
        </is>
      </c>
      <c r="F6" s="26" t="inlineStr">
        <is>
          <t>One-time</t>
        </is>
      </c>
    </row>
    <row r="7">
      <c r="A7" s="21" t="n">
        <v>46202</v>
      </c>
      <c r="B7" s="22" t="inlineStr">
        <is>
          <t>Plants &amp; pots (content)</t>
        </is>
      </c>
      <c r="C7" s="23" t="inlineStr">
        <is>
          <t>Props &amp; Materials</t>
        </is>
      </c>
      <c r="D7" s="23" t="inlineStr">
        <is>
          <t>$180</t>
        </is>
      </c>
      <c r="E7" s="22" t="inlineStr">
        <is>
          <t>B-roll</t>
        </is>
      </c>
      <c r="F7" s="23" t="inlineStr">
        <is>
          <t>Ongoing</t>
        </is>
      </c>
    </row>
    <row r="8">
      <c r="A8" s="24" t="n">
        <v>46205</v>
      </c>
      <c r="B8" s="25" t="inlineStr">
        <is>
          <t>Editor — Rae</t>
        </is>
      </c>
      <c r="C8" s="26" t="inlineStr">
        <is>
          <t>Contractors</t>
        </is>
      </c>
      <c r="D8" s="26" t="inlineStr">
        <is>
          <t>$450</t>
        </is>
      </c>
      <c r="E8" s="25" t="inlineStr">
        <is>
          <t>8 reels</t>
        </is>
      </c>
      <c r="F8" s="26" t="inlineStr">
        <is>
          <t>Monthly</t>
        </is>
      </c>
    </row>
    <row r="9">
      <c r="A9" s="21" t="n">
        <v>46208</v>
      </c>
      <c r="B9" s="22" t="inlineStr">
        <is>
          <t>Props haul</t>
        </is>
      </c>
      <c r="C9" s="23" t="inlineStr">
        <is>
          <t>Props &amp; Materials</t>
        </is>
      </c>
      <c r="D9" s="23" t="inlineStr">
        <is>
          <t>$120</t>
        </is>
      </c>
      <c r="E9" s="22" t="inlineStr">
        <is>
          <t>Styling</t>
        </is>
      </c>
      <c r="F9" s="23" t="inlineStr">
        <is>
          <t>Ongoing</t>
        </is>
      </c>
    </row>
    <row r="10">
      <c r="A10" s="24" t="n">
        <v>46210</v>
      </c>
      <c r="B10" s="25" t="inlineStr">
        <is>
          <t>Boost — top reel</t>
        </is>
      </c>
      <c r="C10" s="26" t="inlineStr">
        <is>
          <t>Marketing</t>
        </is>
      </c>
      <c r="D10" s="26" t="inlineStr">
        <is>
          <t>$100</t>
        </is>
      </c>
      <c r="E10" s="25" t="inlineStr">
        <is>
          <t>Promote</t>
        </is>
      </c>
      <c r="F10" s="26" t="inlineStr">
        <is>
          <t>Test</t>
        </is>
      </c>
    </row>
    <row r="11">
      <c r="A11" s="21" t="n">
        <v>46212</v>
      </c>
      <c r="B11" s="22" t="inlineStr">
        <is>
          <t>Styling course</t>
        </is>
      </c>
      <c r="C11" s="23" t="inlineStr">
        <is>
          <t>Education</t>
        </is>
      </c>
      <c r="D11" s="23" t="inlineStr">
        <is>
          <t>$60</t>
        </is>
      </c>
      <c r="E11" s="22" t="inlineStr">
        <is>
          <t>Skill-up</t>
        </is>
      </c>
      <c r="F11" s="23" t="inlineStr">
        <is>
          <t>One-time</t>
        </is>
      </c>
    </row>
    <row r="12">
      <c r="A12" s="24" t="n"/>
      <c r="B12" s="25" t="n"/>
      <c r="C12" s="26" t="n"/>
      <c r="D12" s="26" t="n"/>
      <c r="E12" s="25" t="n"/>
      <c r="F12" s="26" t="n"/>
    </row>
    <row r="13">
      <c r="A13" s="21" t="n"/>
      <c r="B13" s="22" t="n"/>
      <c r="C13" s="23" t="n"/>
      <c r="D13" s="23" t="n"/>
      <c r="E13" s="22" t="n"/>
      <c r="F13" s="23" t="n"/>
    </row>
    <row r="14">
      <c r="A14" s="24" t="n"/>
      <c r="B14" s="25" t="n"/>
      <c r="C14" s="26" t="n"/>
      <c r="D14" s="26" t="n"/>
      <c r="E14" s="25" t="n"/>
      <c r="F14" s="26" t="n"/>
    </row>
    <row r="15">
      <c r="A15" s="21" t="n"/>
      <c r="B15" s="22" t="n"/>
      <c r="C15" s="23" t="n"/>
      <c r="D15" s="23" t="n"/>
      <c r="E15" s="22" t="n"/>
      <c r="F15" s="23" t="n"/>
    </row>
    <row r="16">
      <c r="A16" s="24" t="n"/>
      <c r="B16" s="25" t="n"/>
      <c r="C16" s="26" t="n"/>
      <c r="D16" s="26" t="n"/>
      <c r="E16" s="25" t="n"/>
      <c r="F16" s="26" t="n"/>
    </row>
    <row r="17">
      <c r="A17" s="21" t="n"/>
      <c r="B17" s="22" t="n"/>
      <c r="C17" s="23" t="n"/>
      <c r="D17" s="23" t="n"/>
      <c r="E17" s="22" t="n"/>
      <c r="F17" s="23" t="n"/>
    </row>
    <row r="18">
      <c r="A18" s="24" t="n"/>
      <c r="B18" s="25" t="n"/>
      <c r="C18" s="26" t="n"/>
      <c r="D18" s="26" t="n"/>
      <c r="E18" s="25" t="n"/>
      <c r="F18" s="26" t="n"/>
    </row>
    <row r="19">
      <c r="A19" s="21" t="n"/>
      <c r="B19" s="22" t="n"/>
      <c r="C19" s="23" t="n"/>
      <c r="D19" s="23" t="n"/>
      <c r="E19" s="22" t="n"/>
      <c r="F19" s="23" t="n"/>
    </row>
    <row r="20">
      <c r="A20" s="24" t="n"/>
      <c r="B20" s="25" t="n"/>
      <c r="C20" s="26" t="n"/>
      <c r="D20" s="26" t="n"/>
      <c r="E20" s="25" t="n"/>
      <c r="F20" s="26" t="n"/>
    </row>
    <row r="21">
      <c r="A21" s="21" t="n"/>
      <c r="B21" s="22" t="n"/>
      <c r="C21" s="23" t="n"/>
      <c r="D21" s="23" t="n"/>
      <c r="E21" s="22" t="n"/>
      <c r="F21" s="23" t="n"/>
    </row>
    <row r="22">
      <c r="A22" s="24" t="n"/>
      <c r="B22" s="25" t="n"/>
      <c r="C22" s="26" t="n"/>
      <c r="D22" s="26" t="n"/>
      <c r="E22" s="25" t="n"/>
      <c r="F22" s="26" t="n"/>
    </row>
    <row r="23">
      <c r="A23" s="21" t="n"/>
      <c r="B23" s="22" t="n"/>
      <c r="C23" s="23" t="n"/>
      <c r="D23" s="23" t="n"/>
      <c r="E23" s="22" t="n"/>
      <c r="F23" s="23" t="n"/>
    </row>
    <row r="24">
      <c r="A24" s="24" t="n"/>
      <c r="B24" s="25" t="n"/>
      <c r="C24" s="26" t="n"/>
      <c r="D24" s="26" t="n"/>
      <c r="E24" s="25" t="n"/>
      <c r="F24" s="26" t="n"/>
    </row>
    <row r="25">
      <c r="A25" s="21" t="n"/>
      <c r="B25" s="22" t="n"/>
      <c r="C25" s="23" t="n"/>
      <c r="D25" s="23" t="n"/>
      <c r="E25" s="22" t="n"/>
      <c r="F25" s="23" t="n"/>
    </row>
    <row r="26">
      <c r="A26" s="24" t="n"/>
      <c r="B26" s="25" t="n"/>
      <c r="C26" s="26" t="n"/>
      <c r="D26" s="26" t="n"/>
      <c r="E26" s="25" t="n"/>
      <c r="F26" s="26" t="n"/>
    </row>
    <row r="27">
      <c r="A27" s="21" t="n"/>
      <c r="B27" s="22" t="n"/>
      <c r="C27" s="23" t="n"/>
      <c r="D27" s="23" t="n"/>
      <c r="E27" s="22" t="n"/>
      <c r="F27" s="23" t="n"/>
    </row>
    <row r="28">
      <c r="A28" s="24" t="n"/>
      <c r="B28" s="25" t="n"/>
      <c r="C28" s="26" t="n"/>
      <c r="D28" s="26" t="n"/>
      <c r="E28" s="25" t="n"/>
      <c r="F28" s="26" t="n"/>
    </row>
    <row r="29">
      <c r="A29" s="21" t="n"/>
      <c r="B29" s="22" t="n"/>
      <c r="C29" s="23" t="n"/>
      <c r="D29" s="23" t="n"/>
      <c r="E29" s="22" t="n"/>
      <c r="F29" s="23" t="n"/>
    </row>
    <row r="30">
      <c r="A30" s="24" t="n"/>
      <c r="B30" s="25" t="n"/>
      <c r="C30" s="26" t="n"/>
      <c r="D30" s="26" t="n"/>
      <c r="E30" s="25" t="n"/>
      <c r="F30" s="26" t="n"/>
    </row>
    <row r="31">
      <c r="A31" s="21" t="n"/>
      <c r="B31" s="22" t="n"/>
      <c r="C31" s="23" t="n"/>
      <c r="D31" s="23" t="n"/>
      <c r="E31" s="22" t="n"/>
      <c r="F31" s="23" t="n"/>
    </row>
    <row r="32">
      <c r="A32" s="24" t="n"/>
      <c r="B32" s="25" t="n"/>
      <c r="C32" s="26" t="n"/>
      <c r="D32" s="26" t="n"/>
      <c r="E32" s="25" t="n"/>
      <c r="F32" s="26" t="n"/>
    </row>
    <row r="33">
      <c r="A33" s="21" t="n"/>
      <c r="B33" s="22" t="n"/>
      <c r="C33" s="23" t="n"/>
      <c r="D33" s="23" t="n"/>
      <c r="E33" s="22" t="n"/>
      <c r="F33" s="23" t="n"/>
    </row>
    <row r="34">
      <c r="A34" s="24" t="n"/>
      <c r="B34" s="25" t="n"/>
      <c r="C34" s="26" t="n"/>
      <c r="D34" s="26" t="n"/>
      <c r="E34" s="25" t="n"/>
      <c r="F34" s="26" t="n"/>
    </row>
  </sheetData>
  <mergeCells count="2">
    <mergeCell ref="A2:F2"/>
    <mergeCell ref="A1:F1"/>
  </mergeCells>
  <dataValidations count="1">
    <dataValidation sqref="C5:C34" showDropDown="0" showInputMessage="0" showErrorMessage="0" allowBlank="1" type="list">
      <formula1>=ExpCatList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 ht="46" customHeight="1">
      <c r="A1" s="1" t="inlineStr">
        <is>
          <t xml:space="preserve">  🎥  EQUIPMENT</t>
        </is>
      </c>
    </row>
    <row r="2" ht="22" customHeight="1">
      <c r="A2" s="2" t="inlineStr">
        <is>
          <t xml:space="preserve">  Your kit, tracked — condition &amp; what to upgrade next.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Item</t>
        </is>
      </c>
      <c r="B4" s="9" t="inlineStr">
        <is>
          <t>Type</t>
        </is>
      </c>
      <c r="C4" s="9" t="inlineStr">
        <is>
          <t>Bought</t>
        </is>
      </c>
      <c r="D4" s="9" t="inlineStr">
        <is>
          <t>Condition</t>
        </is>
      </c>
      <c r="E4" s="9" t="inlineStr">
        <is>
          <t>Notes</t>
        </is>
      </c>
      <c r="F4" s="9" t="inlineStr">
        <is>
          <t>Working?</t>
        </is>
      </c>
    </row>
    <row r="5">
      <c r="A5" s="23" t="inlineStr">
        <is>
          <t>iPhone 15 Pro</t>
        </is>
      </c>
      <c r="B5" s="23" t="inlineStr">
        <is>
          <t>Camera</t>
        </is>
      </c>
      <c r="C5" s="21" t="n">
        <v>45914</v>
      </c>
      <c r="D5" s="23" t="inlineStr">
        <is>
          <t>Good</t>
        </is>
      </c>
      <c r="E5" s="22" t="inlineStr">
        <is>
          <t>Main camera</t>
        </is>
      </c>
      <c r="F5" s="23" t="inlineStr">
        <is>
          <t>Yes</t>
        </is>
      </c>
    </row>
    <row r="6">
      <c r="A6" s="26" t="inlineStr">
        <is>
          <t>Ring light 18"</t>
        </is>
      </c>
      <c r="B6" s="26" t="inlineStr">
        <is>
          <t>Lighting</t>
        </is>
      </c>
      <c r="C6" s="24" t="n">
        <v>46014</v>
      </c>
      <c r="D6" s="26" t="inlineStr">
        <is>
          <t>Good</t>
        </is>
      </c>
      <c r="E6" s="25" t="inlineStr">
        <is>
          <t>Key light</t>
        </is>
      </c>
      <c r="F6" s="26" t="inlineStr">
        <is>
          <t>Yes</t>
        </is>
      </c>
    </row>
    <row r="7">
      <c r="A7" s="23" t="inlineStr">
        <is>
          <t>Clip-on lens</t>
        </is>
      </c>
      <c r="B7" s="23" t="inlineStr">
        <is>
          <t>Camera</t>
        </is>
      </c>
      <c r="C7" s="21" t="n">
        <v>46124</v>
      </c>
      <c r="D7" s="23" t="inlineStr">
        <is>
          <t>New</t>
        </is>
      </c>
      <c r="E7" s="22" t="inlineStr">
        <is>
          <t>Wide reels</t>
        </is>
      </c>
      <c r="F7" s="23" t="inlineStr">
        <is>
          <t>Yes</t>
        </is>
      </c>
    </row>
    <row r="8">
      <c r="A8" s="26" t="inlineStr">
        <is>
          <t>Tripod + mount</t>
        </is>
      </c>
      <c r="B8" s="26" t="inlineStr">
        <is>
          <t>Support</t>
        </is>
      </c>
      <c r="C8" s="24" t="n">
        <v>45814</v>
      </c>
      <c r="D8" s="26" t="inlineStr">
        <is>
          <t>Fair</t>
        </is>
      </c>
      <c r="E8" s="25" t="inlineStr">
        <is>
          <t>Replace mount</t>
        </is>
      </c>
      <c r="F8" s="26" t="inlineStr">
        <is>
          <t>No</t>
        </is>
      </c>
    </row>
    <row r="9">
      <c r="A9" s="23" t="inlineStr">
        <is>
          <t>Softbox kit</t>
        </is>
      </c>
      <c r="B9" s="23" t="inlineStr">
        <is>
          <t>Lighting</t>
        </is>
      </c>
      <c r="C9" s="21" t="n">
        <v>46094</v>
      </c>
      <c r="D9" s="23" t="inlineStr">
        <is>
          <t>Good</t>
        </is>
      </c>
      <c r="E9" s="22" t="inlineStr">
        <is>
          <t>Product shots</t>
        </is>
      </c>
      <c r="F9" s="23" t="inlineStr">
        <is>
          <t>Yes</t>
        </is>
      </c>
    </row>
    <row r="10">
      <c r="A10" s="26" t="inlineStr">
        <is>
          <t>MacBook Air</t>
        </is>
      </c>
      <c r="B10" s="26" t="inlineStr">
        <is>
          <t>Editing</t>
        </is>
      </c>
      <c r="C10" s="24" t="n">
        <v>45714</v>
      </c>
      <c r="D10" s="26" t="inlineStr">
        <is>
          <t>Good</t>
        </is>
      </c>
      <c r="E10" s="25" t="inlineStr">
        <is>
          <t>Editing</t>
        </is>
      </c>
      <c r="F10" s="26" t="inlineStr">
        <is>
          <t>Yes</t>
        </is>
      </c>
    </row>
    <row r="11">
      <c r="A11" s="23" t="inlineStr">
        <is>
          <t>Backdrop rolls</t>
        </is>
      </c>
      <c r="B11" s="23" t="inlineStr">
        <is>
          <t>Set</t>
        </is>
      </c>
      <c r="C11" s="21" t="n">
        <v>46154</v>
      </c>
      <c r="D11" s="23" t="inlineStr">
        <is>
          <t>New</t>
        </is>
      </c>
      <c r="E11" s="22" t="inlineStr">
        <is>
          <t>Flat lays</t>
        </is>
      </c>
      <c r="F11" s="23" t="inlineStr">
        <is>
          <t>Yes</t>
        </is>
      </c>
    </row>
    <row r="12">
      <c r="A12" s="26" t="n"/>
      <c r="B12" s="26" t="n"/>
      <c r="C12" s="24" t="n"/>
      <c r="D12" s="26" t="n"/>
      <c r="E12" s="25" t="n"/>
      <c r="F12" s="26" t="n"/>
    </row>
    <row r="13">
      <c r="A13" s="23" t="n"/>
      <c r="B13" s="23" t="n"/>
      <c r="C13" s="21" t="n"/>
      <c r="D13" s="23" t="n"/>
      <c r="E13" s="22" t="n"/>
      <c r="F13" s="23" t="n"/>
    </row>
    <row r="14">
      <c r="A14" s="26" t="n"/>
      <c r="B14" s="26" t="n"/>
      <c r="C14" s="24" t="n"/>
      <c r="D14" s="26" t="n"/>
      <c r="E14" s="25" t="n"/>
      <c r="F14" s="26" t="n"/>
    </row>
    <row r="15">
      <c r="A15" s="23" t="n"/>
      <c r="B15" s="23" t="n"/>
      <c r="C15" s="21" t="n"/>
      <c r="D15" s="23" t="n"/>
      <c r="E15" s="22" t="n"/>
      <c r="F15" s="23" t="n"/>
    </row>
    <row r="16">
      <c r="A16" s="26" t="n"/>
      <c r="B16" s="26" t="n"/>
      <c r="C16" s="24" t="n"/>
      <c r="D16" s="26" t="n"/>
      <c r="E16" s="25" t="n"/>
      <c r="F16" s="26" t="n"/>
    </row>
    <row r="17">
      <c r="A17" s="23" t="n"/>
      <c r="B17" s="23" t="n"/>
      <c r="C17" s="21" t="n"/>
      <c r="D17" s="23" t="n"/>
      <c r="E17" s="22" t="n"/>
      <c r="F17" s="23" t="n"/>
    </row>
    <row r="18">
      <c r="A18" s="26" t="n"/>
      <c r="B18" s="26" t="n"/>
      <c r="C18" s="24" t="n"/>
      <c r="D18" s="26" t="n"/>
      <c r="E18" s="25" t="n"/>
      <c r="F18" s="26" t="n"/>
    </row>
    <row r="19">
      <c r="A19" s="23" t="n"/>
      <c r="B19" s="23" t="n"/>
      <c r="C19" s="21" t="n"/>
      <c r="D19" s="23" t="n"/>
      <c r="E19" s="22" t="n"/>
      <c r="F19" s="23" t="n"/>
    </row>
    <row r="20">
      <c r="A20" s="26" t="n"/>
      <c r="B20" s="26" t="n"/>
      <c r="C20" s="24" t="n"/>
      <c r="D20" s="26" t="n"/>
      <c r="E20" s="25" t="n"/>
      <c r="F20" s="26" t="n"/>
    </row>
    <row r="21">
      <c r="A21" s="23" t="n"/>
      <c r="B21" s="23" t="n"/>
      <c r="C21" s="21" t="n"/>
      <c r="D21" s="23" t="n"/>
      <c r="E21" s="22" t="n"/>
      <c r="F21" s="23" t="n"/>
    </row>
    <row r="22">
      <c r="A22" s="26" t="n"/>
      <c r="B22" s="26" t="n"/>
      <c r="C22" s="24" t="n"/>
      <c r="D22" s="26" t="n"/>
      <c r="E22" s="25" t="n"/>
      <c r="F22" s="26" t="n"/>
    </row>
    <row r="23">
      <c r="A23" s="23" t="n"/>
      <c r="B23" s="23" t="n"/>
      <c r="C23" s="21" t="n"/>
      <c r="D23" s="23" t="n"/>
      <c r="E23" s="22" t="n"/>
      <c r="F23" s="23" t="n"/>
    </row>
    <row r="24">
      <c r="A24" s="26" t="n"/>
      <c r="B24" s="26" t="n"/>
      <c r="C24" s="24" t="n"/>
      <c r="D24" s="26" t="n"/>
      <c r="E24" s="25" t="n"/>
      <c r="F24" s="26" t="n"/>
    </row>
  </sheetData>
  <mergeCells count="2">
    <mergeCell ref="A2:F2"/>
    <mergeCell ref="A1:F1"/>
  </mergeCells>
  <conditionalFormatting sqref="F5:F24">
    <cfRule type="cellIs" priority="1" operator="equal" dxfId="2">
      <formula>"No"</formula>
    </cfRule>
  </conditionalFormatting>
  <dataValidations count="1">
    <dataValidation sqref="F5:F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2" customWidth="1" min="4" max="4"/>
    <col width="10" customWidth="1" min="5" max="5"/>
    <col width="13" customWidth="1" min="6" max="6"/>
    <col width="26" customWidth="1" min="7" max="7"/>
  </cols>
  <sheetData>
    <row r="1" ht="46" customHeight="1">
      <c r="A1" s="1" t="inlineStr">
        <is>
          <t xml:space="preserve">  ♻  REPURPOSING ENGINE</t>
        </is>
      </c>
    </row>
    <row r="2" ht="22" customHeight="1">
      <c r="A2" s="2" t="inlineStr">
        <is>
          <t xml:space="preserve">  One post → ten — track where each piece of content has been repurposed.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Original Post</t>
        </is>
      </c>
      <c r="B4" s="9" t="inlineStr">
        <is>
          <t>TikTok</t>
        </is>
      </c>
      <c r="C4" s="9" t="inlineStr">
        <is>
          <t>YouTube</t>
        </is>
      </c>
      <c r="D4" s="9" t="inlineStr">
        <is>
          <t>Pinterest</t>
        </is>
      </c>
      <c r="E4" s="9" t="inlineStr">
        <is>
          <t>Story</t>
        </is>
      </c>
      <c r="F4" s="9" t="inlineStr">
        <is>
          <t>Newsletter</t>
        </is>
      </c>
      <c r="G4" s="9" t="inlineStr">
        <is>
          <t>Notes</t>
        </is>
      </c>
    </row>
    <row r="5">
      <c r="A5" s="22" t="inlineStr">
        <is>
          <t>5 unkillable plants for renters</t>
        </is>
      </c>
      <c r="B5" s="23" t="inlineStr">
        <is>
          <t>Yes</t>
        </is>
      </c>
      <c r="C5" s="23" t="inlineStr">
        <is>
          <t>Yes</t>
        </is>
      </c>
      <c r="D5" s="23" t="inlineStr">
        <is>
          <t>Yes</t>
        </is>
      </c>
      <c r="E5" s="23" t="inlineStr">
        <is>
          <t>Yes</t>
        </is>
      </c>
      <c r="F5" s="23" t="inlineStr">
        <is>
          <t>No</t>
        </is>
      </c>
      <c r="G5" s="22" t="inlineStr">
        <is>
          <t>Top reel — push everywhere</t>
        </is>
      </c>
    </row>
    <row r="6">
      <c r="A6" s="25" t="inlineStr">
        <is>
          <t>Repotting a monstera</t>
        </is>
      </c>
      <c r="B6" s="26" t="inlineStr">
        <is>
          <t>Yes</t>
        </is>
      </c>
      <c r="C6" s="26" t="inlineStr">
        <is>
          <t>Yes</t>
        </is>
      </c>
      <c r="D6" s="26" t="inlineStr">
        <is>
          <t>No</t>
        </is>
      </c>
      <c r="E6" s="26" t="inlineStr">
        <is>
          <t>Yes</t>
        </is>
      </c>
      <c r="F6" s="26" t="inlineStr">
        <is>
          <t>Yes</t>
        </is>
      </c>
      <c r="G6" s="25" t="inlineStr">
        <is>
          <t>Blog + email how-to</t>
        </is>
      </c>
    </row>
    <row r="7">
      <c r="A7" s="22" t="inlineStr">
        <is>
          <t>Styling a shelfie in 60s</t>
        </is>
      </c>
      <c r="B7" s="23" t="inlineStr">
        <is>
          <t>Yes</t>
        </is>
      </c>
      <c r="C7" s="23" t="inlineStr">
        <is>
          <t>No</t>
        </is>
      </c>
      <c r="D7" s="23" t="inlineStr">
        <is>
          <t>Yes</t>
        </is>
      </c>
      <c r="E7" s="23" t="inlineStr">
        <is>
          <t>No</t>
        </is>
      </c>
      <c r="F7" s="23" t="inlineStr">
        <is>
          <t>No</t>
        </is>
      </c>
      <c r="G7" s="22" t="inlineStr">
        <is>
          <t>Carousel next</t>
        </is>
      </c>
    </row>
    <row r="8">
      <c r="A8" s="25" t="inlineStr">
        <is>
          <t>$40 plant corner</t>
        </is>
      </c>
      <c r="B8" s="26" t="inlineStr">
        <is>
          <t>Yes</t>
        </is>
      </c>
      <c r="C8" s="26" t="inlineStr">
        <is>
          <t>Yes</t>
        </is>
      </c>
      <c r="D8" s="26" t="inlineStr">
        <is>
          <t>Yes</t>
        </is>
      </c>
      <c r="E8" s="26" t="inlineStr">
        <is>
          <t>No</t>
        </is>
      </c>
      <c r="F8" s="26" t="inlineStr">
        <is>
          <t>Yes</t>
        </is>
      </c>
      <c r="G8" s="25" t="inlineStr">
        <is>
          <t>Pinterest pin ready</t>
        </is>
      </c>
    </row>
    <row r="9">
      <c r="A9" s="22" t="inlineStr">
        <is>
          <t>Carousel: plant care basics</t>
        </is>
      </c>
      <c r="B9" s="23" t="inlineStr">
        <is>
          <t>No</t>
        </is>
      </c>
      <c r="C9" s="23" t="inlineStr">
        <is>
          <t>No</t>
        </is>
      </c>
      <c r="D9" s="23" t="inlineStr">
        <is>
          <t>Yes</t>
        </is>
      </c>
      <c r="E9" s="23" t="inlineStr">
        <is>
          <t>Yes</t>
        </is>
      </c>
      <c r="F9" s="23" t="inlineStr">
        <is>
          <t>Yes</t>
        </is>
      </c>
      <c r="G9" s="22" t="inlineStr">
        <is>
          <t>Turn into a Reel</t>
        </is>
      </c>
    </row>
    <row r="10">
      <c r="A10" s="25" t="n"/>
      <c r="B10" s="26" t="n"/>
      <c r="C10" s="26" t="n"/>
      <c r="D10" s="26" t="n"/>
      <c r="E10" s="26" t="n"/>
      <c r="F10" s="26" t="n"/>
      <c r="G10" s="25" t="n"/>
    </row>
    <row r="11">
      <c r="A11" s="22" t="n"/>
      <c r="B11" s="23" t="n"/>
      <c r="C11" s="23" t="n"/>
      <c r="D11" s="23" t="n"/>
      <c r="E11" s="23" t="n"/>
      <c r="F11" s="23" t="n"/>
      <c r="G11" s="22" t="n"/>
    </row>
    <row r="12">
      <c r="A12" s="25" t="n"/>
      <c r="B12" s="26" t="n"/>
      <c r="C12" s="26" t="n"/>
      <c r="D12" s="26" t="n"/>
      <c r="E12" s="26" t="n"/>
      <c r="F12" s="26" t="n"/>
      <c r="G12" s="25" t="n"/>
    </row>
    <row r="13">
      <c r="A13" s="22" t="n"/>
      <c r="B13" s="23" t="n"/>
      <c r="C13" s="23" t="n"/>
      <c r="D13" s="23" t="n"/>
      <c r="E13" s="23" t="n"/>
      <c r="F13" s="23" t="n"/>
      <c r="G13" s="22" t="n"/>
    </row>
    <row r="14">
      <c r="A14" s="25" t="n"/>
      <c r="B14" s="26" t="n"/>
      <c r="C14" s="26" t="n"/>
      <c r="D14" s="26" t="n"/>
      <c r="E14" s="26" t="n"/>
      <c r="F14" s="26" t="n"/>
      <c r="G14" s="25" t="n"/>
    </row>
    <row r="15">
      <c r="A15" s="22" t="n"/>
      <c r="B15" s="23" t="n"/>
      <c r="C15" s="23" t="n"/>
      <c r="D15" s="23" t="n"/>
      <c r="E15" s="23" t="n"/>
      <c r="F15" s="23" t="n"/>
      <c r="G15" s="22" t="n"/>
    </row>
    <row r="16">
      <c r="A16" s="25" t="n"/>
      <c r="B16" s="26" t="n"/>
      <c r="C16" s="26" t="n"/>
      <c r="D16" s="26" t="n"/>
      <c r="E16" s="26" t="n"/>
      <c r="F16" s="26" t="n"/>
      <c r="G16" s="25" t="n"/>
    </row>
    <row r="17">
      <c r="A17" s="22" t="n"/>
      <c r="B17" s="23" t="n"/>
      <c r="C17" s="23" t="n"/>
      <c r="D17" s="23" t="n"/>
      <c r="E17" s="23" t="n"/>
      <c r="F17" s="23" t="n"/>
      <c r="G17" s="22" t="n"/>
    </row>
    <row r="18">
      <c r="A18" s="25" t="n"/>
      <c r="B18" s="26" t="n"/>
      <c r="C18" s="26" t="n"/>
      <c r="D18" s="26" t="n"/>
      <c r="E18" s="26" t="n"/>
      <c r="F18" s="26" t="n"/>
      <c r="G18" s="25" t="n"/>
    </row>
    <row r="19">
      <c r="A19" s="22" t="n"/>
      <c r="B19" s="23" t="n"/>
      <c r="C19" s="23" t="n"/>
      <c r="D19" s="23" t="n"/>
      <c r="E19" s="23" t="n"/>
      <c r="F19" s="23" t="n"/>
      <c r="G19" s="22" t="n"/>
    </row>
    <row r="20">
      <c r="A20" s="25" t="n"/>
      <c r="B20" s="26" t="n"/>
      <c r="C20" s="26" t="n"/>
      <c r="D20" s="26" t="n"/>
      <c r="E20" s="26" t="n"/>
      <c r="F20" s="26" t="n"/>
      <c r="G20" s="25" t="n"/>
    </row>
    <row r="21">
      <c r="A21" s="22" t="n"/>
      <c r="B21" s="23" t="n"/>
      <c r="C21" s="23" t="n"/>
      <c r="D21" s="23" t="n"/>
      <c r="E21" s="23" t="n"/>
      <c r="F21" s="23" t="n"/>
      <c r="G21" s="22" t="n"/>
    </row>
    <row r="22">
      <c r="A22" s="25" t="n"/>
      <c r="B22" s="26" t="n"/>
      <c r="C22" s="26" t="n"/>
      <c r="D22" s="26" t="n"/>
      <c r="E22" s="26" t="n"/>
      <c r="F22" s="26" t="n"/>
      <c r="G22" s="25" t="n"/>
    </row>
    <row r="23">
      <c r="A23" s="22" t="n"/>
      <c r="B23" s="23" t="n"/>
      <c r="C23" s="23" t="n"/>
      <c r="D23" s="23" t="n"/>
      <c r="E23" s="23" t="n"/>
      <c r="F23" s="23" t="n"/>
      <c r="G23" s="22" t="n"/>
    </row>
    <row r="24">
      <c r="A24" s="25" t="n"/>
      <c r="B24" s="26" t="n"/>
      <c r="C24" s="26" t="n"/>
      <c r="D24" s="26" t="n"/>
      <c r="E24" s="26" t="n"/>
      <c r="F24" s="26" t="n"/>
      <c r="G24" s="25" t="n"/>
    </row>
    <row r="25">
      <c r="A25" s="22" t="n"/>
      <c r="B25" s="23" t="n"/>
      <c r="C25" s="23" t="n"/>
      <c r="D25" s="23" t="n"/>
      <c r="E25" s="23" t="n"/>
      <c r="F25" s="23" t="n"/>
      <c r="G25" s="22" t="n"/>
    </row>
    <row r="26">
      <c r="A26" s="25" t="n"/>
      <c r="B26" s="26" t="n"/>
      <c r="C26" s="26" t="n"/>
      <c r="D26" s="26" t="n"/>
      <c r="E26" s="26" t="n"/>
      <c r="F26" s="26" t="n"/>
      <c r="G26" s="25" t="n"/>
    </row>
    <row r="27">
      <c r="A27" s="22" t="n"/>
      <c r="B27" s="23" t="n"/>
      <c r="C27" s="23" t="n"/>
      <c r="D27" s="23" t="n"/>
      <c r="E27" s="23" t="n"/>
      <c r="F27" s="23" t="n"/>
      <c r="G27" s="22" t="n"/>
    </row>
    <row r="28">
      <c r="A28" s="25" t="n"/>
      <c r="B28" s="26" t="n"/>
      <c r="C28" s="26" t="n"/>
      <c r="D28" s="26" t="n"/>
      <c r="E28" s="26" t="n"/>
      <c r="F28" s="26" t="n"/>
      <c r="G28" s="25" t="n"/>
    </row>
    <row r="29">
      <c r="A29" s="22" t="n"/>
      <c r="B29" s="23" t="n"/>
      <c r="C29" s="23" t="n"/>
      <c r="D29" s="23" t="n"/>
      <c r="E29" s="23" t="n"/>
      <c r="F29" s="23" t="n"/>
      <c r="G29" s="22" t="n"/>
    </row>
    <row r="30">
      <c r="A30" s="25" t="n"/>
      <c r="B30" s="26" t="n"/>
      <c r="C30" s="26" t="n"/>
      <c r="D30" s="26" t="n"/>
      <c r="E30" s="26" t="n"/>
      <c r="F30" s="26" t="n"/>
      <c r="G30" s="25" t="n"/>
    </row>
    <row r="31">
      <c r="A31" s="22" t="n"/>
      <c r="B31" s="23" t="n"/>
      <c r="C31" s="23" t="n"/>
      <c r="D31" s="23" t="n"/>
      <c r="E31" s="23" t="n"/>
      <c r="F31" s="23" t="n"/>
      <c r="G31" s="22" t="n"/>
    </row>
    <row r="32">
      <c r="A32" s="25" t="n"/>
      <c r="B32" s="26" t="n"/>
      <c r="C32" s="26" t="n"/>
      <c r="D32" s="26" t="n"/>
      <c r="E32" s="26" t="n"/>
      <c r="F32" s="26" t="n"/>
      <c r="G32" s="25" t="n"/>
    </row>
    <row r="33">
      <c r="A33" s="22" t="n"/>
      <c r="B33" s="23" t="n"/>
      <c r="C33" s="23" t="n"/>
      <c r="D33" s="23" t="n"/>
      <c r="E33" s="23" t="n"/>
      <c r="F33" s="23" t="n"/>
      <c r="G33" s="22" t="n"/>
    </row>
    <row r="34">
      <c r="A34" s="25" t="n"/>
      <c r="B34" s="26" t="n"/>
      <c r="C34" s="26" t="n"/>
      <c r="D34" s="26" t="n"/>
      <c r="E34" s="26" t="n"/>
      <c r="F34" s="26" t="n"/>
      <c r="G34" s="25" t="n"/>
    </row>
  </sheetData>
  <mergeCells count="2">
    <mergeCell ref="A2:G2"/>
    <mergeCell ref="A1:G1"/>
  </mergeCells>
  <conditionalFormatting sqref="B5:B34">
    <cfRule type="cellIs" priority="1" operator="equal" dxfId="1">
      <formula>"Yes"</formula>
    </cfRule>
  </conditionalFormatting>
  <conditionalFormatting sqref="C5:C34">
    <cfRule type="cellIs" priority="2" operator="equal" dxfId="1">
      <formula>"Yes"</formula>
    </cfRule>
  </conditionalFormatting>
  <conditionalFormatting sqref="D5:D34">
    <cfRule type="cellIs" priority="3" operator="equal" dxfId="1">
      <formula>"Yes"</formula>
    </cfRule>
  </conditionalFormatting>
  <conditionalFormatting sqref="E5:E34">
    <cfRule type="cellIs" priority="4" operator="equal" dxfId="1">
      <formula>"Yes"</formula>
    </cfRule>
  </conditionalFormatting>
  <conditionalFormatting sqref="F5:F34">
    <cfRule type="cellIs" priority="5" operator="equal" dxfId="1">
      <formula>"Yes"</formula>
    </cfRule>
  </conditionalFormatting>
  <dataValidations count="5">
    <dataValidation sqref="B5:B34" showDropDown="0" showInputMessage="0" showErrorMessage="0" allowBlank="1" type="list">
      <formula1>=YesNoList</formula1>
    </dataValidation>
    <dataValidation sqref="C5:C34" showDropDown="0" showInputMessage="0" showErrorMessage="0" allowBlank="1" type="list">
      <formula1>=YesNoList</formula1>
    </dataValidation>
    <dataValidation sqref="D5:D34" showDropDown="0" showInputMessage="0" showErrorMessage="0" allowBlank="1" type="list">
      <formula1>=YesNoList</formula1>
    </dataValidation>
    <dataValidation sqref="E5:E34" showDropDown="0" showInputMessage="0" showErrorMessage="0" allowBlank="1" type="list">
      <formula1>=YesNoList</formula1>
    </dataValidation>
    <dataValidation sqref="F5:F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4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🎨  BRAND KIT</t>
        </is>
      </c>
    </row>
    <row r="2" ht="22" customHeight="1">
      <c r="A2" s="2" t="inlineStr">
        <is>
          <t xml:space="preserve">  Stay recognizable — your colours, fonts, voice &amp; feed aesthetic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VISUAL</t>
        </is>
      </c>
    </row>
    <row r="6" ht="24" customHeight="1">
      <c r="B6" s="19" t="inlineStr">
        <is>
          <t>Primary Color</t>
        </is>
      </c>
      <c r="C6" s="20" t="inlineStr">
        <is>
          <t>#1B4F48 Forest</t>
        </is>
      </c>
      <c r="E6" s="19" t="inlineStr">
        <is>
          <t>Accent Color</t>
        </is>
      </c>
      <c r="F6" s="20" t="inlineStr">
        <is>
          <t>#C9A86A Gold</t>
        </is>
      </c>
    </row>
    <row r="7" ht="24" customHeight="1">
      <c r="B7" s="19" t="inlineStr">
        <is>
          <t>Feed Aesthetic</t>
        </is>
      </c>
      <c r="C7" s="20" t="inlineStr">
        <is>
          <t>Warm, earthy, light-filled</t>
        </is>
      </c>
      <c r="E7" s="19" t="inlineStr">
        <is>
          <t>Preset</t>
        </is>
      </c>
      <c r="F7" s="20" t="inlineStr">
        <is>
          <t>SF-01 (warm matte)</t>
        </is>
      </c>
    </row>
    <row r="8" ht="24" customHeight="1">
      <c r="B8" s="19" t="inlineStr">
        <is>
          <t>Logo File</t>
        </is>
      </c>
      <c r="C8" s="20" t="inlineStr">
        <is>
          <t>brand/studiofern.png</t>
        </is>
      </c>
      <c r="E8" s="19" t="inlineStr">
        <is>
          <t>Watermark</t>
        </is>
      </c>
      <c r="F8" s="20" t="inlineStr">
        <is>
          <t>@studiofern</t>
        </is>
      </c>
    </row>
    <row r="10" ht="22" customHeight="1">
      <c r="B10" s="4" t="inlineStr">
        <is>
          <t>VOICE</t>
        </is>
      </c>
    </row>
    <row r="11" ht="24" customHeight="1">
      <c r="B11" s="19" t="inlineStr">
        <is>
          <t>Tone</t>
        </is>
      </c>
      <c r="C11" s="20" t="inlineStr">
        <is>
          <t>Warm, calm, encouraging</t>
        </is>
      </c>
      <c r="E11" s="19" t="inlineStr">
        <is>
          <t>We say</t>
        </is>
      </c>
      <c r="F11" s="20" t="inlineStr">
        <is>
          <t>'You can keep this alive'</t>
        </is>
      </c>
    </row>
    <row r="12" ht="24" customHeight="1">
      <c r="B12" s="19" t="inlineStr">
        <is>
          <t>We avoid</t>
        </is>
      </c>
      <c r="C12" s="20" t="inlineStr">
        <is>
          <t>Plant-snob gatekeeping</t>
        </is>
      </c>
      <c r="E12" s="19" t="inlineStr">
        <is>
          <t>Signature sign-off</t>
        </is>
      </c>
      <c r="F12" s="20" t="inlineStr">
        <is>
          <t>'Go water something'</t>
        </is>
      </c>
    </row>
    <row r="13" ht="24" customHeight="1">
      <c r="B13" s="19" t="inlineStr">
        <is>
          <t>Emoji set</t>
        </is>
      </c>
      <c r="C13" s="20" t="inlineStr">
        <is>
          <t>🌱 🪴 ✨</t>
        </is>
      </c>
      <c r="E13" s="19" t="inlineStr">
        <is>
          <t>Caption style</t>
        </is>
      </c>
      <c r="F13" s="20" t="inlineStr">
        <is>
          <t>Hook · value · save CTA</t>
        </is>
      </c>
    </row>
    <row r="15" ht="22" customHeight="1">
      <c r="B15" s="4" t="inlineStr">
        <is>
          <t>LINK IN BIO</t>
        </is>
      </c>
    </row>
    <row r="16">
      <c r="B16" s="19" t="inlineStr">
        <is>
          <t>Shop</t>
        </is>
      </c>
      <c r="C16" s="20" t="inlineStr">
        <is>
          <t>studiofern.co/shop</t>
        </is>
      </c>
      <c r="E16" s="19" t="inlineStr">
        <is>
          <t>LTK</t>
        </is>
      </c>
      <c r="F16" s="20" t="inlineStr">
        <is>
          <t>ltk.to/studiofern</t>
        </is>
      </c>
    </row>
    <row r="17">
      <c r="B17" s="19" t="inlineStr">
        <is>
          <t>Newsletter</t>
        </is>
      </c>
      <c r="C17" s="20" t="inlineStr">
        <is>
          <t>The Repot</t>
        </is>
      </c>
      <c r="E17" s="19" t="inlineStr">
        <is>
          <t>Care guide</t>
        </is>
      </c>
      <c r="F17" s="20" t="inlineStr">
        <is>
          <t>studiofern.co/guide</t>
        </is>
      </c>
    </row>
    <row r="18">
      <c r="B18" s="19" t="inlineStr">
        <is>
          <t>Media Kit</t>
        </is>
      </c>
      <c r="C18" s="20" t="inlineStr">
        <is>
          <t>studiofern.co/kit</t>
        </is>
      </c>
      <c r="E18" s="19" t="inlineStr">
        <is>
          <t>Email</t>
        </is>
      </c>
      <c r="F18" s="20" t="inlineStr">
        <is>
          <t>hi@studiofern.co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📸  CONTENT GALLERY</t>
        </is>
      </c>
    </row>
    <row r="2" ht="22" customHeight="1">
      <c r="A2" s="2" t="inlineStr">
        <is>
          <t xml:space="preserve">  Your visual archive — drop in covers &amp; stills and caption your best posts.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YOUR COVERS</t>
        </is>
      </c>
    </row>
    <row r="6" ht="26" customHeight="1">
      <c r="B6" s="27" t="inlineStr">
        <is>
          <t>Excel: Insert ▸ Pictures ▸ Place in Cell (or drag an image) into any framed box below. Google Sheets: click a box, Insert ▸ Image ▸ Image in cell, or paste =IMAGE("paste-link-here"). Caption each one underneath — hook, reach, and what made it work.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28" t="inlineStr">
        <is>
          <t>🖼
Top Reel
(add cover)</t>
        </is>
      </c>
      <c r="C9" s="28" t="inlineStr">
        <is>
          <t>🖼
Viral Carousel
(add cover)</t>
        </is>
      </c>
      <c r="D9" s="28" t="inlineStr">
        <is>
          <t>🖼
Brand Deal
(add cover)</t>
        </is>
      </c>
    </row>
    <row r="10"/>
    <row r="11"/>
    <row r="12"/>
    <row r="13" ht="30" customHeight="1">
      <c r="B13" s="29" t="inlineStr">
        <is>
          <t>Hook · reach · why it worked…</t>
        </is>
      </c>
      <c r="C13" s="29" t="inlineStr">
        <is>
          <t>Hook · reach · why it worked…</t>
        </is>
      </c>
      <c r="D13" s="29" t="inlineStr">
        <is>
          <t>Hook · reach · why it worked…</t>
        </is>
      </c>
    </row>
    <row r="15" ht="120" customHeight="1">
      <c r="B15" s="28" t="inlineStr">
        <is>
          <t>🖼
Grid Highlight
(add cover)</t>
        </is>
      </c>
      <c r="C15" s="28" t="inlineStr">
        <is>
          <t>🖼
Before/After
(add cover)</t>
        </is>
      </c>
      <c r="D15" s="28" t="inlineStr">
        <is>
          <t>🖼
Save Magnet
(add cover)</t>
        </is>
      </c>
    </row>
    <row r="16"/>
    <row r="17"/>
    <row r="18"/>
    <row r="19" ht="30" customHeight="1">
      <c r="B19" s="29" t="inlineStr">
        <is>
          <t>Hook · reach · why it worked…</t>
        </is>
      </c>
      <c r="C19" s="29" t="inlineStr">
        <is>
          <t>Hook · reach · why it worked…</t>
        </is>
      </c>
      <c r="D19" s="29" t="inlineStr">
        <is>
          <t>Hook · reach · why it worked…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6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🎯  GOALS &amp; OKRs</t>
        </is>
      </c>
    </row>
    <row r="2" ht="22" customHeight="1">
      <c r="A2" s="2" t="inlineStr">
        <is>
          <t xml:space="preserve">  Run your account on objectives — measurable key results with live progress.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Objective / Key Result</t>
        </is>
      </c>
      <c r="B4" s="9" t="inlineStr">
        <is>
          <t>Category</t>
        </is>
      </c>
      <c r="C4" s="9" t="inlineStr">
        <is>
          <t>Target</t>
        </is>
      </c>
      <c r="D4" s="9" t="inlineStr">
        <is>
          <t>Current</t>
        </is>
      </c>
      <c r="E4" s="9" t="inlineStr">
        <is>
          <t>Progress</t>
        </is>
      </c>
    </row>
    <row r="5">
      <c r="A5" s="32" t="inlineStr">
        <is>
          <t>Hit 200k followers</t>
        </is>
      </c>
      <c r="B5" s="33" t="inlineStr">
        <is>
          <t>Followers</t>
        </is>
      </c>
      <c r="C5" s="33" t="inlineStr">
        <is>
          <t>200,000</t>
        </is>
      </c>
      <c r="D5" s="33" t="inlineStr">
        <is>
          <t>148,000</t>
        </is>
      </c>
      <c r="E5" s="49" t="n">
        <v>0.74</v>
      </c>
    </row>
    <row r="6">
      <c r="A6" s="25" t="inlineStr">
        <is>
          <t>$9k/mo revenue</t>
        </is>
      </c>
      <c r="B6" s="26" t="inlineStr">
        <is>
          <t>Revenue</t>
        </is>
      </c>
      <c r="C6" s="26" t="inlineStr">
        <is>
          <t>$9,000</t>
        </is>
      </c>
      <c r="D6" s="26" t="inlineStr">
        <is>
          <t>$7,800</t>
        </is>
      </c>
      <c r="E6" s="53" t="n">
        <v>0.87</v>
      </c>
    </row>
    <row r="7">
      <c r="A7" s="32" t="inlineStr">
        <is>
          <t>Post 20 times / month</t>
        </is>
      </c>
      <c r="B7" s="33" t="inlineStr">
        <is>
          <t>Posting</t>
        </is>
      </c>
      <c r="C7" s="33" t="inlineStr">
        <is>
          <t>20</t>
        </is>
      </c>
      <c r="D7" s="33" t="inlineStr">
        <is>
          <t>18</t>
        </is>
      </c>
      <c r="E7" s="49" t="n">
        <v>0.9</v>
      </c>
    </row>
    <row r="8">
      <c r="A8" s="25" t="inlineStr">
        <is>
          <t>Grow 12k followers / mo</t>
        </is>
      </c>
      <c r="B8" s="26" t="inlineStr">
        <is>
          <t>Followers</t>
        </is>
      </c>
      <c r="C8" s="26" t="inlineStr">
        <is>
          <t>12,000</t>
        </is>
      </c>
      <c r="D8" s="26" t="inlineStr">
        <is>
          <t>9,200</t>
        </is>
      </c>
      <c r="E8" s="53" t="n">
        <v>0.77</v>
      </c>
    </row>
    <row r="9">
      <c r="A9" s="32" t="inlineStr">
        <is>
          <t>Land 5 active brand deals</t>
        </is>
      </c>
      <c r="B9" s="33" t="inlineStr">
        <is>
          <t>Brand Deals</t>
        </is>
      </c>
      <c r="C9" s="33" t="inlineStr">
        <is>
          <t>5</t>
        </is>
      </c>
      <c r="D9" s="33" t="inlineStr">
        <is>
          <t>4</t>
        </is>
      </c>
      <c r="E9" s="49" t="n">
        <v>0.8</v>
      </c>
    </row>
    <row r="10">
      <c r="A10" s="25" t="inlineStr">
        <is>
          <t>$1.5k/mo Shop + affiliate</t>
        </is>
      </c>
      <c r="B10" s="26" t="inlineStr">
        <is>
          <t>Shop</t>
        </is>
      </c>
      <c r="C10" s="26" t="inlineStr">
        <is>
          <t>$1,500</t>
        </is>
      </c>
      <c r="D10" s="26" t="inlineStr">
        <is>
          <t>$1,275</t>
        </is>
      </c>
      <c r="E10" s="53" t="n">
        <v>0.85</v>
      </c>
    </row>
    <row r="11">
      <c r="A11" s="32" t="inlineStr">
        <is>
          <t>Lift reel retention to 55%</t>
        </is>
      </c>
      <c r="B11" s="33" t="inlineStr">
        <is>
          <t>Engagement</t>
        </is>
      </c>
      <c r="C11" s="33" t="inlineStr">
        <is>
          <t>55%</t>
        </is>
      </c>
      <c r="D11" s="33" t="inlineStr">
        <is>
          <t>52%</t>
        </is>
      </c>
      <c r="E11" s="49" t="n">
        <v>0.95</v>
      </c>
    </row>
  </sheetData>
  <mergeCells count="2">
    <mergeCell ref="A2:F2"/>
    <mergeCell ref="A1:F1"/>
  </mergeCells>
  <conditionalFormatting sqref="E5:E11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11" showDropDown="0" showInputMessage="0" showErrorMessage="0" allowBlank="1" type="list">
      <formula1>=GoalCatList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4" customWidth="1" min="4" max="4"/>
    <col width="2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🌍  AUDIENCE INSIGHTS</t>
        </is>
      </c>
    </row>
    <row r="2" ht="22" customHeight="1">
      <c r="A2" s="2" t="inlineStr">
        <is>
          <t xml:space="preserve">  Know who's watching — demographics, timing &amp; what your audience loves.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WHO'S FOLLOWING</t>
        </is>
      </c>
      <c r="E5" s="4" t="inlineStr">
        <is>
          <t>WHEN &amp; WHAT</t>
        </is>
      </c>
    </row>
    <row r="6">
      <c r="B6" s="19" t="inlineStr">
        <is>
          <t>Women</t>
        </is>
      </c>
      <c r="C6" s="20" t="inlineStr">
        <is>
          <t>82%</t>
        </is>
      </c>
      <c r="E6" s="19" t="inlineStr">
        <is>
          <t>Best days</t>
        </is>
      </c>
      <c r="F6" s="20" t="inlineStr">
        <is>
          <t>Sun, Tue, Thu</t>
        </is>
      </c>
    </row>
    <row r="7">
      <c r="B7" s="19" t="inlineStr">
        <is>
          <t>Age 25-34</t>
        </is>
      </c>
      <c r="C7" s="20" t="inlineStr">
        <is>
          <t>46%</t>
        </is>
      </c>
      <c r="E7" s="19" t="inlineStr">
        <is>
          <t>Best times</t>
        </is>
      </c>
      <c r="F7" s="20" t="inlineStr">
        <is>
          <t>11am &amp; 7pm</t>
        </is>
      </c>
    </row>
    <row r="8">
      <c r="B8" s="19" t="inlineStr">
        <is>
          <t>Age 35-44</t>
        </is>
      </c>
      <c r="C8" s="20" t="inlineStr">
        <is>
          <t>27%</t>
        </is>
      </c>
      <c r="E8" s="19" t="inlineStr">
        <is>
          <t>Peak activity</t>
        </is>
      </c>
      <c r="F8" s="20" t="inlineStr">
        <is>
          <t>Sun 7pm</t>
        </is>
      </c>
    </row>
    <row r="9">
      <c r="B9" s="19" t="inlineStr">
        <is>
          <t>Age 18-24</t>
        </is>
      </c>
      <c r="C9" s="20" t="inlineStr">
        <is>
          <t>17%</t>
        </is>
      </c>
      <c r="E9" s="19" t="inlineStr">
        <is>
          <t>Top pillar</t>
        </is>
      </c>
      <c r="F9" s="20" t="inlineStr">
        <is>
          <t>Plants</t>
        </is>
      </c>
    </row>
    <row r="10">
      <c r="B10" s="19" t="inlineStr">
        <is>
          <t>Top city</t>
        </is>
      </c>
      <c r="C10" s="20" t="inlineStr">
        <is>
          <t>Los Angeles</t>
        </is>
      </c>
      <c r="E10" s="19" t="inlineStr">
        <is>
          <t>Most saved</t>
        </is>
      </c>
      <c r="F10" s="20" t="inlineStr">
        <is>
          <t>Care carousels</t>
        </is>
      </c>
    </row>
    <row r="11">
      <c r="B11" s="19" t="inlineStr">
        <is>
          <t>Top country</t>
        </is>
      </c>
      <c r="C11" s="20" t="inlineStr">
        <is>
          <t>US 58%</t>
        </is>
      </c>
      <c r="E11" s="19" t="inlineStr">
        <is>
          <t>Most shared</t>
        </is>
      </c>
      <c r="F11" s="20" t="inlineStr">
        <is>
          <t>Renter reels</t>
        </is>
      </c>
    </row>
    <row r="12">
      <c r="B12" s="19" t="inlineStr">
        <is>
          <t>Followers reached</t>
        </is>
      </c>
      <c r="C12" s="20" t="inlineStr">
        <is>
          <t>68%</t>
        </is>
      </c>
      <c r="E12" s="19" t="inlineStr">
        <is>
          <t>Top format</t>
        </is>
      </c>
      <c r="F12" s="20" t="inlineStr">
        <is>
          <t>Reels</t>
        </is>
      </c>
    </row>
    <row r="13">
      <c r="B13" s="19" t="inlineStr">
        <is>
          <t>Non-followers reached</t>
        </is>
      </c>
      <c r="C13" s="20" t="inlineStr">
        <is>
          <t>54%</t>
        </is>
      </c>
      <c r="E13" s="19" t="inlineStr">
        <is>
          <t>Save driver</t>
        </is>
      </c>
      <c r="F13" s="20" t="inlineStr">
        <is>
          <t>'Save this for later'</t>
        </is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account details &amp; targets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CREATOR INPUTS</t>
        </is>
      </c>
      <c r="E5" s="4" t="inlineStr">
        <is>
          <t>DROPDOWN LISTS</t>
        </is>
      </c>
    </row>
    <row r="6">
      <c r="B6" s="19" t="inlineStr">
        <is>
          <t>Creator / Handle</t>
        </is>
      </c>
      <c r="C6" s="64" t="inlineStr">
        <is>
          <t>@studiofern</t>
        </is>
      </c>
      <c r="E6" s="9" t="inlineStr">
        <is>
          <t>Content Pillar</t>
        </is>
      </c>
      <c r="F6" s="9" t="inlineStr">
        <is>
          <t>Post Type</t>
        </is>
      </c>
      <c r="G6" s="9" t="inlineStr">
        <is>
          <t>Status</t>
        </is>
      </c>
      <c r="H6" s="9" t="inlineStr">
        <is>
          <t>Revenue Category</t>
        </is>
      </c>
      <c r="I6" s="9" t="inlineStr">
        <is>
          <t>Expense Category</t>
        </is>
      </c>
      <c r="J6" s="9" t="inlineStr">
        <is>
          <t>Caption Type</t>
        </is>
      </c>
      <c r="K6" s="9" t="inlineStr">
        <is>
          <t>Goal Category</t>
        </is>
      </c>
      <c r="L6" s="9" t="inlineStr">
        <is>
          <t>Deal Stage</t>
        </is>
      </c>
    </row>
    <row r="7">
      <c r="B7" s="19" t="inlineStr">
        <is>
          <t>Creator Name</t>
        </is>
      </c>
      <c r="C7" s="64" t="inlineStr">
        <is>
          <t>Fern Alvarez</t>
        </is>
      </c>
      <c r="E7" s="32" t="inlineStr">
        <is>
          <t>Home</t>
        </is>
      </c>
      <c r="F7" s="32" t="inlineStr">
        <is>
          <t>Reel</t>
        </is>
      </c>
      <c r="G7" s="32" t="inlineStr">
        <is>
          <t>Idea</t>
        </is>
      </c>
      <c r="H7" s="32" t="inlineStr">
        <is>
          <t>Brand Deals</t>
        </is>
      </c>
      <c r="I7" s="32" t="inlineStr">
        <is>
          <t>Software</t>
        </is>
      </c>
      <c r="J7" s="32" t="inlineStr">
        <is>
          <t>Question</t>
        </is>
      </c>
      <c r="K7" s="32" t="inlineStr">
        <is>
          <t>Followers</t>
        </is>
      </c>
      <c r="L7" s="32" t="inlineStr">
        <is>
          <t>Lead</t>
        </is>
      </c>
    </row>
    <row r="8">
      <c r="B8" s="19" t="inlineStr">
        <is>
          <t>Niche</t>
        </is>
      </c>
      <c r="C8" s="64" t="inlineStr">
        <is>
          <t>Plants, home &amp; styling</t>
        </is>
      </c>
      <c r="E8" s="32" t="inlineStr">
        <is>
          <t>Plants</t>
        </is>
      </c>
      <c r="F8" s="32" t="inlineStr">
        <is>
          <t>Carousel</t>
        </is>
      </c>
      <c r="G8" s="32" t="inlineStr">
        <is>
          <t>Filming</t>
        </is>
      </c>
      <c r="H8" s="32" t="inlineStr">
        <is>
          <t>Affiliate</t>
        </is>
      </c>
      <c r="I8" s="32" t="inlineStr">
        <is>
          <t>Equipment</t>
        </is>
      </c>
      <c r="J8" s="32" t="inlineStr">
        <is>
          <t>Bold Claim</t>
        </is>
      </c>
      <c r="K8" s="32" t="inlineStr">
        <is>
          <t>Reach</t>
        </is>
      </c>
      <c r="L8" s="32" t="inlineStr">
        <is>
          <t>Outreach</t>
        </is>
      </c>
    </row>
    <row r="9">
      <c r="B9" s="19" t="inlineStr">
        <is>
          <t>Monthly Revenue Goal</t>
        </is>
      </c>
      <c r="C9" s="58" t="n">
        <v>9000</v>
      </c>
      <c r="E9" s="32" t="inlineStr">
        <is>
          <t>Styling</t>
        </is>
      </c>
      <c r="F9" s="32" t="inlineStr">
        <is>
          <t>Story</t>
        </is>
      </c>
      <c r="G9" s="32" t="inlineStr">
        <is>
          <t>Editing</t>
        </is>
      </c>
      <c r="H9" s="32" t="inlineStr">
        <is>
          <t>Digital Products</t>
        </is>
      </c>
      <c r="I9" s="32" t="inlineStr">
        <is>
          <t>Props &amp; Materials</t>
        </is>
      </c>
      <c r="J9" s="32" t="inlineStr">
        <is>
          <t>Listicle</t>
        </is>
      </c>
      <c r="K9" s="32" t="inlineStr">
        <is>
          <t>Revenue</t>
        </is>
      </c>
      <c r="L9" s="32" t="inlineStr">
        <is>
          <t>Negotiation</t>
        </is>
      </c>
    </row>
    <row r="10">
      <c r="B10" s="19" t="inlineStr">
        <is>
          <t>Monthly Post Goal</t>
        </is>
      </c>
      <c r="C10" s="65" t="n">
        <v>20</v>
      </c>
      <c r="E10" s="32" t="inlineStr">
        <is>
          <t>DIY</t>
        </is>
      </c>
      <c r="F10" s="32" t="inlineStr">
        <is>
          <t>Static</t>
        </is>
      </c>
      <c r="G10" s="32" t="inlineStr">
        <is>
          <t>Scheduled</t>
        </is>
      </c>
      <c r="H10" s="32" t="inlineStr">
        <is>
          <t>Instagram Shop</t>
        </is>
      </c>
      <c r="I10" s="32" t="inlineStr">
        <is>
          <t>Contractors</t>
        </is>
      </c>
      <c r="J10" s="32" t="inlineStr">
        <is>
          <t>Story</t>
        </is>
      </c>
      <c r="K10" s="32" t="inlineStr">
        <is>
          <t>Posting</t>
        </is>
      </c>
      <c r="L10" s="32" t="inlineStr">
        <is>
          <t>Signed</t>
        </is>
      </c>
    </row>
    <row r="11">
      <c r="B11" s="19" t="inlineStr">
        <is>
          <t>Active Deal Target</t>
        </is>
      </c>
      <c r="C11" s="65" t="n">
        <v>5</v>
      </c>
      <c r="E11" s="32" t="inlineStr">
        <is>
          <t>Lifestyle</t>
        </is>
      </c>
      <c r="F11" s="32" t="inlineStr">
        <is>
          <t>LIVE</t>
        </is>
      </c>
      <c r="G11" s="32" t="inlineStr">
        <is>
          <t>Posted</t>
        </is>
      </c>
      <c r="H11" s="32" t="inlineStr">
        <is>
          <t>Coaching</t>
        </is>
      </c>
      <c r="I11" s="32" t="inlineStr">
        <is>
          <t>Marketing</t>
        </is>
      </c>
      <c r="J11" s="32" t="inlineStr">
        <is>
          <t>Tutorial</t>
        </is>
      </c>
      <c r="K11" s="32" t="inlineStr">
        <is>
          <t>Brand Deals</t>
        </is>
      </c>
      <c r="L11" s="32" t="inlineStr">
        <is>
          <t>Delivered</t>
        </is>
      </c>
    </row>
    <row r="12">
      <c r="B12" s="19" t="inlineStr">
        <is>
          <t>Reel Retention Target</t>
        </is>
      </c>
      <c r="C12" s="49" t="n">
        <v>0.55</v>
      </c>
      <c r="E12" s="32" t="inlineStr">
        <is>
          <t>Behind-the-scenes</t>
        </is>
      </c>
      <c r="F12" s="32" t="inlineStr">
        <is>
          <t>Guide</t>
        </is>
      </c>
      <c r="G12" s="32" t="inlineStr">
        <is>
          <t>Boosted</t>
        </is>
      </c>
      <c r="H12" s="32" t="inlineStr">
        <is>
          <t>Subscriptions</t>
        </is>
      </c>
      <c r="I12" s="32" t="inlineStr">
        <is>
          <t>Education</t>
        </is>
      </c>
      <c r="J12" s="32" t="inlineStr">
        <is>
          <t>Relatable</t>
        </is>
      </c>
      <c r="K12" s="32" t="inlineStr">
        <is>
          <t>Shop</t>
        </is>
      </c>
      <c r="L12" s="32" t="inlineStr">
        <is>
          <t>Paid</t>
        </is>
      </c>
    </row>
    <row r="13">
      <c r="B13" s="19" t="inlineStr">
        <is>
          <t>Follower Growth Goal (mo)</t>
        </is>
      </c>
      <c r="C13" s="50" t="n">
        <v>12000</v>
      </c>
      <c r="E13" s="32" t="inlineStr">
        <is>
          <t>Shopping</t>
        </is>
      </c>
      <c r="F13" s="32" t="inlineStr">
        <is>
          <t>Collab</t>
        </is>
      </c>
      <c r="G13" s="32" t="inlineStr">
        <is>
          <t>Repurposed</t>
        </is>
      </c>
      <c r="H13" s="32" t="inlineStr">
        <is>
          <t>Other</t>
        </is>
      </c>
      <c r="I13" s="32" t="inlineStr">
        <is>
          <t>Miscellaneous</t>
        </is>
      </c>
      <c r="J13" s="32" t="inlineStr">
        <is>
          <t>CTA</t>
        </is>
      </c>
      <c r="K13" s="32" t="inlineStr">
        <is>
          <t>Engagement</t>
        </is>
      </c>
    </row>
    <row r="16">
      <c r="E16" s="9" t="inlineStr">
        <is>
          <t>Priority</t>
        </is>
      </c>
      <c r="F16" s="9" t="inlineStr">
        <is>
          <t>Yes / No</t>
        </is>
      </c>
    </row>
    <row r="17">
      <c r="E17" s="32" t="inlineStr">
        <is>
          <t>High</t>
        </is>
      </c>
      <c r="F17" s="32" t="inlineStr">
        <is>
          <t>Yes</t>
        </is>
      </c>
    </row>
    <row r="18">
      <c r="E18" s="32" t="inlineStr">
        <is>
          <t>Medium</t>
        </is>
      </c>
      <c r="F18" s="32" t="inlineStr">
        <is>
          <t>No</t>
        </is>
      </c>
    </row>
    <row r="19">
      <c r="E19" s="32" t="inlineStr">
        <is>
          <t>Low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2026-07-11T14:57:43Z</dcterms:created>
  <dcterms:modified xsi:type="dcterms:W3CDTF">2026-07-11T14:57:43Z</dcterms:modified>
</cp:coreProperties>
</file>