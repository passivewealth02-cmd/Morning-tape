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Applicant Profile" sheetId="3" state="visible" r:id="rId3"/>
    <sheet name="College List" sheetId="4" state="visible" r:id="rId4"/>
    <sheet name="Essays" sheetId="5" state="visible" r:id="rId5"/>
    <sheet name="Recommendations" sheetId="6" state="visible" r:id="rId6"/>
    <sheet name="Test Scores" sheetId="7" state="visible" r:id="rId7"/>
    <sheet name="Activities" sheetId="8" state="visible" r:id="rId8"/>
    <sheet name="Scholarships" sheetId="9" state="visible" r:id="rId9"/>
    <sheet name="Net Price" sheetId="10" state="visible" r:id="rId10"/>
    <sheet name="Visits" sheetId="11" state="visible" r:id="rId11"/>
    <sheet name="Decisions" sheetId="12" state="visible" r:id="rId12"/>
    <sheet name="To-Do" sheetId="13" state="visible" r:id="rId13"/>
    <sheet name="Deadlines" sheetId="14" state="visible" r:id="rId14"/>
    <sheet name="Settings" sheetId="15" state="visible" r:id="rId15"/>
  </sheets>
  <definedNames>
    <definedName name="Applicant">Settings!$C$6</definedName>
    <definedName name="ClassOf">Settings!$C$7</definedName>
    <definedName name="GPAW">Settings!$C$8</definedName>
    <definedName name="BestSAT">Settings!$C$9</definedName>
    <definedName name="BestACT">Settings!$C$10</definedName>
    <definedName name="Major">Settings!$C$11</definedName>
    <definedName name="SchGoal">Settings!$C$12</definedName>
    <definedName name="TypeList">Settings!$E$7:$E$9</definedName>
    <definedName name="YesNoList">Settings!$F$7:$F$8</definedName>
    <definedName name="EssayList">Settings!$G$7:$G$10</definedName>
    <definedName name="DecisionList">Settings!$H$7:$H$11</definedName>
    <definedName name="SchList">Settings!$I$7:$I$10</definedName>
    <definedName name="RecList">Settings!$J$7:$J$11</definedName>
    <definedName name="AppList">Settings!$K$7:$K$10</definedName>
    <definedName name="CollegeName">'College List'!$B$5:$B$12</definedName>
    <definedName name="CollegeType">'College List'!$C$5:$C$12</definedName>
    <definedName name="CollegeDeadline">'College List'!$D$5:$D$12</definedName>
    <definedName name="CollegeSubmitted">'College List'!$H$5:$H$12</definedName>
    <definedName name="CollegeProg">'College List'!$I$5:$I$12</definedName>
    <definedName name="EssayStatus">'Essays'!$D$5:$D$44</definedName>
    <definedName name="RecSubmitted">'Recommendations'!$D$5:$D$20</definedName>
    <definedName name="SchName">'Scholarships'!$A$5:$A$34</definedName>
    <definedName name="SchAmount">'Scholarships'!$B$5:$B$34</definedName>
    <definedName name="SchStatus">'Scholarships'!$D$5:$D$34</definedName>
    <definedName name="AidAwarded">'Scholarships'!$B$35</definedName>
    <definedName name="NetPrice">'Net Price'!$E$5:$E$10</definedName>
    <definedName name="Decision">'Decisions'!$B$5:$B$24</definedName>
    <definedName name="TaskName">'To-Do'!$A$5:$A$44</definedName>
    <definedName name="TaskDone">'To-Do'!$B$5:$B$44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"/>
    <numFmt numFmtId="167" formatCode="mmm 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47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0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2" fillId="9" borderId="4" applyAlignment="1" pivotButton="0" quotePrefix="0" xfId="0">
      <alignment horizontal="center" vertical="center"/>
    </xf>
    <xf numFmtId="0" fontId="0" fillId="9" borderId="4" pivotButton="0" quotePrefix="0" xfId="0"/>
    <xf numFmtId="3" fontId="13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3" fillId="9" borderId="2" applyAlignment="1" pivotButton="0" quotePrefix="0" xfId="0">
      <alignment horizontal="center" vertical="center"/>
    </xf>
    <xf numFmtId="166" fontId="13" fillId="9" borderId="2" applyAlignment="1" pivotButton="0" quotePrefix="0" xfId="0">
      <alignment horizontal="center" vertical="center"/>
    </xf>
    <xf numFmtId="167" fontId="13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1" fontId="0" fillId="0" borderId="0" pivotButton="0" quotePrefix="0" xfId="0"/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5" fontId="6" fillId="0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65" fontId="6" fillId="8" borderId="2" applyAlignment="1" pivotButton="0" quotePrefix="0" xfId="6">
      <alignment horizontal="center" vertical="center" wrapText="1"/>
    </xf>
    <xf numFmtId="0" fontId="7" fillId="8" borderId="2" applyAlignment="1" pivotButton="0" quotePrefix="0" xfId="8">
      <alignment horizontal="center" vertical="center"/>
    </xf>
    <xf numFmtId="0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6" fontId="11" fillId="3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6" fontId="7" fillId="3" borderId="2" applyAlignment="1" pivotButton="0" quotePrefix="0" xfId="8">
      <alignment horizontal="center" vertical="center"/>
    </xf>
    <xf numFmtId="166" fontId="11" fillId="0" borderId="2" applyAlignment="1" pivotButton="0" quotePrefix="0" xfId="6">
      <alignment horizontal="center" vertical="center" wrapText="1"/>
    </xf>
    <xf numFmtId="166" fontId="7" fillId="8" borderId="2" applyAlignment="1" pivotButton="0" quotePrefix="0" xfId="8">
      <alignment horizontal="center" vertical="center"/>
    </xf>
    <xf numFmtId="166" fontId="11" fillId="8" borderId="2" applyAlignment="1" pivotButton="0" quotePrefix="0" xfId="6">
      <alignment horizontal="center" vertical="center" wrapText="1"/>
    </xf>
    <xf numFmtId="2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5">
    <dxf>
      <fill>
        <patternFill patternType="solid">
          <fgColor rgb="00FBF0E2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AF7F1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Reach · Match · Safety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'Dashboard'!$H$20:$H$22</f>
            </numRef>
          </cat>
          <val>
            <numRef>
              <f>'Dashboard'!$I$20:$I$22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24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🎓  COLLEGE APPLICATION COMMAND CENTER™</t>
        </is>
      </c>
    </row>
    <row r="2" ht="24" customHeight="1">
      <c r="A2" s="2" t="inlineStr">
        <is>
          <t xml:space="preserve">  Apply smart, hit every deadline, compare offers — the whole admissions season, organized.</t>
        </is>
      </c>
    </row>
    <row r="3" ht="6" customHeight="1">
      <c r="A3" s="3" t="n"/>
      <c r="B3" s="3" t="n"/>
      <c r="C3" s="3" t="n"/>
    </row>
    <row r="5">
      <c r="B5" s="4" t="inlineStr">
        <is>
          <t>YOUR WHOLE APPLICATION SEASON, IN ONE PLACE</t>
        </is>
      </c>
    </row>
    <row r="6" ht="22" customHeight="1">
      <c r="B6" s="5" t="inlineStr">
        <is>
          <t>A balanced college list (reach / match / safety) with per-school progress, an essay &amp; supplement tracker, recommendations, test scores, an activities résumé, scholarships, a financial-aid &amp; net-price comparison, visits &amp; interviews, a decisions tracker, a master to-do list and a deadlines calendar — all in ONE premium Google Sheets &amp; Excel system. See exactly what's left on every application, never miss a deadline, and compare offers apples-to-apples when they roll in.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name, class year, GPA &amp; test scores.</t>
        </is>
      </c>
    </row>
    <row r="13" ht="22" customHeight="1">
      <c r="B13" s="8" t="inlineStr">
        <is>
          <t>2.  Build your College List — mark each Reach, Match or Safety with its deadline.</t>
        </is>
      </c>
    </row>
    <row r="14" ht="22" customHeight="1">
      <c r="B14" s="8" t="inlineStr">
        <is>
          <t>3.  For each school, check off essays, recs, the form &amp; submission — progress calculates itself.</t>
        </is>
      </c>
    </row>
    <row r="15" ht="22" customHeight="1">
      <c r="B15" s="8" t="inlineStr">
        <is>
          <t>4.  Track essays &amp; supplements, secure recommendations, and apply for scholarships.</t>
        </is>
      </c>
    </row>
    <row r="16" ht="22" customHeight="1">
      <c r="B16" s="8" t="inlineStr">
        <is>
          <t>5.  Log visits &amp; interviews, and record each decision as it arrives.</t>
        </is>
      </c>
    </row>
    <row r="17" ht="22" customHeight="1">
      <c r="B17" s="8" t="inlineStr">
        <is>
          <t>6.  Watch the Dashboard track apps submitted, deadlines, aid &amp; a Ready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applicant (Ella, Class of 2027) is included so you can see how it all connects — just type over it with your own. Your college list, essays, recs, scholarships and decisions roll up into a live Ready Score and a deadlines view. Twelve matching printable pages (college list, essay tracker, rec tracker, scholarship log, net-price compare &amp; more) are included to print and keep. This is an organizing tool — confirm every deadline, fee and requirement directly with each college.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Apply smart, breathe easier — you've got a plan for every school.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🎓  COLLEGE APPLICATION COMMAND CENTER™</t>
        </is>
      </c>
    </row>
    <row r="2" ht="24" customHeight="1">
      <c r="A2" s="2" t="inlineStr">
        <is>
          <t xml:space="preserve">  Apps, essays, deadlines &amp; aid — your whole admissions season,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COLLEGES</t>
        </is>
      </c>
      <c r="C5" s="13" t="n"/>
      <c r="D5" s="12" t="inlineStr">
        <is>
          <t>APPS SUBMITTED</t>
        </is>
      </c>
      <c r="E5" s="13" t="n"/>
      <c r="F5" s="12" t="inlineStr">
        <is>
          <t>AVG PROGRESS</t>
        </is>
      </c>
      <c r="G5" s="13" t="n"/>
      <c r="H5" s="12" t="inlineStr">
        <is>
          <t>ESSAYS DONE</t>
        </is>
      </c>
      <c r="I5" s="13" t="n"/>
      <c r="J5" s="12" t="inlineStr">
        <is>
          <t>RECS SECURED</t>
        </is>
      </c>
      <c r="K5" s="13" t="n"/>
      <c r="L5" s="12" t="inlineStr">
        <is>
          <t>SCHOLARSHIPS</t>
        </is>
      </c>
      <c r="M5" s="13" t="n"/>
    </row>
    <row r="6" ht="40" customHeight="1">
      <c r="B6" s="14">
        <f>COUNTA(CollegeName)</f>
        <v/>
      </c>
      <c r="C6" s="15" t="n"/>
      <c r="D6" s="14">
        <f>COUNTIF(CollegeSubmitted,"Yes")</f>
        <v/>
      </c>
      <c r="E6" s="15" t="n"/>
      <c r="F6" s="16">
        <f>IFERROR(AVERAGE(CollegeProg),0)</f>
        <v/>
      </c>
      <c r="G6" s="15" t="n"/>
      <c r="H6" s="16">
        <f>IFERROR(COUNTIF(EssayStatus,"Final")/COUNTA(EssayStatus),0)</f>
        <v/>
      </c>
      <c r="I6" s="15" t="n"/>
      <c r="J6" s="14">
        <f>COUNTIF(RecSubmitted,"Yes")</f>
        <v/>
      </c>
      <c r="K6" s="15" t="n"/>
      <c r="L6" s="14">
        <f>COUNTIF(SchStatus,"Applied")+COUNTIF(SchStatus,"Awarded")</f>
        <v/>
      </c>
      <c r="M6" s="15" t="n"/>
    </row>
    <row r="8" ht="18" customHeight="1">
      <c r="B8" s="12" t="inlineStr">
        <is>
          <t>AID AWARDED</t>
        </is>
      </c>
      <c r="C8" s="13" t="n"/>
      <c r="D8" s="12" t="inlineStr">
        <is>
          <t>NEXT DEADLINE</t>
        </is>
      </c>
      <c r="E8" s="13" t="n"/>
      <c r="F8" s="12" t="inlineStr">
        <is>
          <t>ACCEPTANCES</t>
        </is>
      </c>
      <c r="G8" s="13" t="n"/>
      <c r="H8" s="12" t="inlineStr">
        <is>
          <t>BEST NET PRICE</t>
        </is>
      </c>
      <c r="I8" s="13" t="n"/>
      <c r="J8" s="12" t="inlineStr">
        <is>
          <t>TASKS DONE</t>
        </is>
      </c>
      <c r="K8" s="13" t="n"/>
      <c r="L8" s="12" t="inlineStr">
        <is>
          <t>READY SCORE</t>
        </is>
      </c>
      <c r="M8" s="13" t="n"/>
    </row>
    <row r="9" ht="40" customHeight="1">
      <c r="B9" s="17">
        <f>AidAwarded</f>
        <v/>
      </c>
      <c r="C9" s="15" t="n"/>
      <c r="D9" s="18">
        <f>IFERROR(MINIFS(CollegeDeadline,CollegeSubmitted,"No"),"")</f>
        <v/>
      </c>
      <c r="E9" s="15" t="n"/>
      <c r="F9" s="14">
        <f>COUNTIF(Decision,"Accepted")</f>
        <v/>
      </c>
      <c r="G9" s="15" t="n"/>
      <c r="H9" s="17">
        <f>IFERROR(MIN(NetPrice),0)</f>
        <v/>
      </c>
      <c r="I9" s="15" t="n"/>
      <c r="J9" s="16">
        <f>IFERROR(COUNTIF(TaskDone,"Yes")/COUNTA(TaskName),0)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ARE WE ON TRACK?</t>
        </is>
      </c>
      <c r="H11" s="4" t="inlineStr">
        <is>
          <t>COLLEGE LIST BALANCE</t>
        </is>
      </c>
    </row>
    <row r="12" ht="30" customHeight="1">
      <c r="B12" s="9" t="inlineStr">
        <is>
          <t>Area</t>
        </is>
      </c>
      <c r="C12" s="9" t="inlineStr">
        <is>
          <t>Progress</t>
        </is>
      </c>
      <c r="D12" s="9" t="inlineStr">
        <is>
          <t>Status</t>
        </is>
      </c>
    </row>
    <row r="13">
      <c r="B13" s="19" t="inlineStr">
        <is>
          <t>Application progress</t>
        </is>
      </c>
      <c r="C13" s="20">
        <f>IFERROR(AVERAGE(CollegeProg),0)</f>
        <v/>
      </c>
      <c r="D13" s="21">
        <f>IF(C13&gt;=0.85,"On track",IF(C13&gt;=0.6,"Going well","Focus"))</f>
        <v/>
      </c>
    </row>
    <row r="14">
      <c r="B14" s="22" t="inlineStr">
        <is>
          <t>Apps submitted</t>
        </is>
      </c>
      <c r="C14" s="23">
        <f>IFERROR(COUNTIF(CollegeSubmitted,"Yes")/COUNTA(CollegeName),0)</f>
        <v/>
      </c>
      <c r="D14" s="24">
        <f>IF(C14&gt;=0.85,"On track",IF(C14&gt;=0.6,"Going well","Focus"))</f>
        <v/>
      </c>
    </row>
    <row r="15">
      <c r="B15" s="19" t="inlineStr">
        <is>
          <t>Essays final</t>
        </is>
      </c>
      <c r="C15" s="20">
        <f>IFERROR(COUNTIF(EssayStatus,"Final")/COUNTA(EssayStatus),0)</f>
        <v/>
      </c>
      <c r="D15" s="21">
        <f>IF(C15&gt;=0.85,"On track",IF(C15&gt;=0.6,"Going well","Focus"))</f>
        <v/>
      </c>
    </row>
    <row r="16">
      <c r="B16" s="22" t="inlineStr">
        <is>
          <t>Recs secured</t>
        </is>
      </c>
      <c r="C16" s="23">
        <f>IFERROR(COUNTIF(RecSubmitted,"Yes")/COUNTA(RecSubmitted),0)</f>
        <v/>
      </c>
      <c r="D16" s="24">
        <f>IF(C16&gt;=0.85,"On track",IF(C16&gt;=0.6,"Going well","Focus"))</f>
        <v/>
      </c>
    </row>
    <row r="17">
      <c r="B17" s="19" t="inlineStr">
        <is>
          <t>Scholarships applied</t>
        </is>
      </c>
      <c r="C17" s="20">
        <f>IFERROR((COUNTIF(SchStatus,"Applied")+COUNTIF(SchStatus,"Awarded"))/SchGoal,0)</f>
        <v/>
      </c>
      <c r="D17" s="21">
        <f>IF(C17&gt;=0.85,"On track",IF(C17&gt;=0.6,"Going well","Focus"))</f>
        <v/>
      </c>
    </row>
    <row r="18">
      <c r="B18" s="22" t="inlineStr">
        <is>
          <t>Tasks done</t>
        </is>
      </c>
      <c r="C18" s="23">
        <f>IFERROR(COUNTIF(TaskDone,"Yes")/COUNTA(TaskName),0)</f>
        <v/>
      </c>
      <c r="D18" s="24">
        <f>IF(C18&gt;=0.85,"On track",IF(C18&gt;=0.6,"Going well","Focus"))</f>
        <v/>
      </c>
    </row>
    <row r="20">
      <c r="H20" s="19" t="inlineStr">
        <is>
          <t>Reach</t>
        </is>
      </c>
      <c r="I20" s="25">
        <f>COUNTIF(CollegeType,"Reach")</f>
        <v/>
      </c>
    </row>
    <row r="21" ht="26" customHeight="1">
      <c r="B21" s="2" t="inlineStr">
        <is>
          <t>College Application Command Center™ — apply smart, hit every deadline, compare offers. Confirm details with each college.</t>
        </is>
      </c>
    </row>
    <row r="22">
      <c r="H22" s="19" t="inlineStr">
        <is>
          <t>Safety</t>
        </is>
      </c>
      <c r="I22" s="25">
        <f>COUNTIF(CollegeType,"Safety")</f>
        <v/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2" customWidth="1" min="3" max="3"/>
    <col width="4" customWidth="1" min="4" max="4"/>
    <col width="22" customWidth="1" min="5" max="5"/>
    <col width="22" customWidth="1" min="6" max="6"/>
    <col width="2" customWidth="1" min="7" max="7"/>
  </cols>
  <sheetData>
    <row r="1" ht="46" customHeight="1">
      <c r="A1" s="1" t="inlineStr">
        <is>
          <t xml:space="preserve">  🧑‍🎓  APPLICANT PROFILE</t>
        </is>
      </c>
    </row>
    <row r="2" ht="22" customHeight="1">
      <c r="A2" s="2" t="inlineStr">
        <is>
          <t xml:space="preserve">  Your stats at a glance — the snapshot that shapes your whole college list.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 ht="22" customHeight="1">
      <c r="B5" s="4" t="inlineStr">
        <is>
          <t>Ella Bennett · Class of 2027</t>
        </is>
      </c>
    </row>
    <row r="6" ht="24" customHeight="1">
      <c r="B6" s="26" t="inlineStr">
        <is>
          <t>Weighted GPA</t>
        </is>
      </c>
      <c r="C6" s="27" t="inlineStr">
        <is>
          <t>4.06</t>
        </is>
      </c>
      <c r="E6" s="26" t="inlineStr">
        <is>
          <t>Unweighted GPA</t>
        </is>
      </c>
      <c r="F6" s="27" t="inlineStr">
        <is>
          <t>3.81</t>
        </is>
      </c>
    </row>
    <row r="7" ht="24" customHeight="1">
      <c r="B7" s="26" t="inlineStr">
        <is>
          <t>Best SAT</t>
        </is>
      </c>
      <c r="C7" s="27" t="inlineStr">
        <is>
          <t>1380</t>
        </is>
      </c>
      <c r="E7" s="26" t="inlineStr">
        <is>
          <t>Best ACT</t>
        </is>
      </c>
      <c r="F7" s="27" t="inlineStr">
        <is>
          <t>30</t>
        </is>
      </c>
    </row>
    <row r="8" ht="24" customHeight="1">
      <c r="B8" s="26" t="inlineStr">
        <is>
          <t>Class Rank</t>
        </is>
      </c>
      <c r="C8" s="27" t="inlineStr">
        <is>
          <t>Top 10%</t>
        </is>
      </c>
      <c r="E8" s="26" t="inlineStr">
        <is>
          <t>Intended Major</t>
        </is>
      </c>
      <c r="F8" s="27" t="inlineStr">
        <is>
          <t>Environmental Science</t>
        </is>
      </c>
    </row>
    <row r="9" ht="24" customHeight="1">
      <c r="B9" s="26" t="inlineStr">
        <is>
          <t>Second Major / Interest</t>
        </is>
      </c>
      <c r="C9" s="27" t="inlineStr">
        <is>
          <t>Policy</t>
        </is>
      </c>
      <c r="E9" s="26" t="inlineStr">
        <is>
          <t>Recommenders</t>
        </is>
      </c>
      <c r="F9" s="27" t="inlineStr">
        <is>
          <t>See Recs tab</t>
        </is>
      </c>
    </row>
    <row r="10" ht="24" customHeight="1">
      <c r="B10" s="26" t="inlineStr">
        <is>
          <t>Hooks / spikes</t>
        </is>
      </c>
      <c r="C10" s="27" t="inlineStr">
        <is>
          <t>Environmental leadership</t>
        </is>
      </c>
      <c r="E10" s="26" t="inlineStr">
        <is>
          <t>Fee waiver eligible?</t>
        </is>
      </c>
      <c r="F10" s="27" t="inlineStr">
        <is>
          <t>—</t>
        </is>
      </c>
    </row>
    <row r="11" ht="24" customHeight="1">
      <c r="B11" s="26" t="inlineStr">
        <is>
          <t>FAFSA submitted?</t>
        </is>
      </c>
      <c r="C11" s="27" t="inlineStr">
        <is>
          <t>Yes</t>
        </is>
      </c>
      <c r="E11" s="26" t="inlineStr">
        <is>
          <t>Notes</t>
        </is>
      </c>
      <c r="F11" s="27" t="inlineStr">
        <is>
          <t>Loves field research</t>
        </is>
      </c>
    </row>
  </sheetData>
  <mergeCells count="3">
    <mergeCell ref="A2:F2"/>
    <mergeCell ref="A1:F1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4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2" customWidth="1" min="10" max="10"/>
  </cols>
  <sheetData>
    <row r="1" ht="46" customHeight="1">
      <c r="A1" s="1" t="inlineStr">
        <is>
          <t xml:space="preserve">  🏫  COLLEGE LIST</t>
        </is>
      </c>
    </row>
    <row r="2" ht="22" customHeight="1">
      <c r="A2" s="2" t="inlineStr">
        <is>
          <t xml:space="preserve">  A balanced list — reach, match &amp; safety — with per-school progress that calculates itself.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B4" s="9" t="inlineStr">
        <is>
          <t>College</t>
        </is>
      </c>
      <c r="C4" s="9" t="inlineStr">
        <is>
          <t>Type</t>
        </is>
      </c>
      <c r="D4" s="9" t="inlineStr">
        <is>
          <t>Deadline</t>
        </is>
      </c>
      <c r="E4" s="9" t="inlineStr">
        <is>
          <t>Essays</t>
        </is>
      </c>
      <c r="F4" s="9" t="inlineStr">
        <is>
          <t>Recs</t>
        </is>
      </c>
      <c r="G4" s="9" t="inlineStr">
        <is>
          <t>Form</t>
        </is>
      </c>
      <c r="H4" s="9" t="inlineStr">
        <is>
          <t>Submitted</t>
        </is>
      </c>
      <c r="I4" s="9" t="inlineStr">
        <is>
          <t>Progress</t>
        </is>
      </c>
    </row>
    <row r="5">
      <c r="B5" s="19" t="inlineStr">
        <is>
          <t>Riverside State</t>
        </is>
      </c>
      <c r="C5" s="21" t="inlineStr">
        <is>
          <t>Safety</t>
        </is>
      </c>
      <c r="D5" s="28" t="n">
        <v>46206</v>
      </c>
      <c r="E5" s="29" t="inlineStr">
        <is>
          <t>Yes</t>
        </is>
      </c>
      <c r="F5" s="29" t="inlineStr">
        <is>
          <t>Yes</t>
        </is>
      </c>
      <c r="G5" s="29" t="inlineStr">
        <is>
          <t>Yes</t>
        </is>
      </c>
      <c r="H5" s="29" t="inlineStr">
        <is>
          <t>Yes</t>
        </is>
      </c>
      <c r="I5" s="20">
        <f>IFERROR(COUNTIF(E5:H5,"Yes")/4,0)</f>
        <v/>
      </c>
    </row>
    <row r="6">
      <c r="B6" s="22" t="inlineStr">
        <is>
          <t>State Flagship (EA)</t>
        </is>
      </c>
      <c r="C6" s="24" t="inlineStr">
        <is>
          <t>Match</t>
        </is>
      </c>
      <c r="D6" s="30" t="n">
        <v>46219</v>
      </c>
      <c r="E6" s="31" t="inlineStr">
        <is>
          <t>Yes</t>
        </is>
      </c>
      <c r="F6" s="31" t="inlineStr">
        <is>
          <t>Yes</t>
        </is>
      </c>
      <c r="G6" s="31" t="inlineStr">
        <is>
          <t>Yes</t>
        </is>
      </c>
      <c r="H6" s="31" t="inlineStr">
        <is>
          <t>Yes</t>
        </is>
      </c>
      <c r="I6" s="23">
        <f>IFERROR(COUNTIF(E6:H6,"Yes")/4,0)</f>
        <v/>
      </c>
    </row>
    <row r="7">
      <c r="B7" s="19" t="inlineStr">
        <is>
          <t>Community Honors</t>
        </is>
      </c>
      <c r="C7" s="21" t="inlineStr">
        <is>
          <t>Safety</t>
        </is>
      </c>
      <c r="D7" s="28" t="n">
        <v>46264</v>
      </c>
      <c r="E7" s="29" t="inlineStr">
        <is>
          <t>Yes</t>
        </is>
      </c>
      <c r="F7" s="29" t="inlineStr">
        <is>
          <t>Yes</t>
        </is>
      </c>
      <c r="G7" s="29" t="inlineStr">
        <is>
          <t>Yes</t>
        </is>
      </c>
      <c r="H7" s="29" t="inlineStr">
        <is>
          <t>Yes</t>
        </is>
      </c>
      <c r="I7" s="20">
        <f>IFERROR(COUNTIF(E7:H7,"Yes")/4,0)</f>
        <v/>
      </c>
    </row>
    <row r="8">
      <c r="B8" s="22" t="inlineStr">
        <is>
          <t>Lakeside College</t>
        </is>
      </c>
      <c r="C8" s="24" t="inlineStr">
        <is>
          <t>Match</t>
        </is>
      </c>
      <c r="D8" s="30" t="n">
        <v>46234</v>
      </c>
      <c r="E8" s="31" t="inlineStr">
        <is>
          <t>Yes</t>
        </is>
      </c>
      <c r="F8" s="31" t="inlineStr">
        <is>
          <t>Yes</t>
        </is>
      </c>
      <c r="G8" s="31" t="inlineStr">
        <is>
          <t>Yes</t>
        </is>
      </c>
      <c r="H8" s="31" t="inlineStr">
        <is>
          <t>Yes</t>
        </is>
      </c>
      <c r="I8" s="23">
        <f>IFERROR(COUNTIF(E8:H8,"Yes")/4,0)</f>
        <v/>
      </c>
    </row>
    <row r="9">
      <c r="B9" s="19" t="inlineStr">
        <is>
          <t>Hillcrest University</t>
        </is>
      </c>
      <c r="C9" s="21" t="inlineStr">
        <is>
          <t>Match</t>
        </is>
      </c>
      <c r="D9" s="28" t="n">
        <v>46244</v>
      </c>
      <c r="E9" s="29" t="inlineStr">
        <is>
          <t>Yes</t>
        </is>
      </c>
      <c r="F9" s="29" t="inlineStr">
        <is>
          <t>Yes</t>
        </is>
      </c>
      <c r="G9" s="29" t="inlineStr">
        <is>
          <t>Yes</t>
        </is>
      </c>
      <c r="H9" s="29" t="inlineStr">
        <is>
          <t>No</t>
        </is>
      </c>
      <c r="I9" s="20">
        <f>IFERROR(COUNTIF(E9:H9,"Yes")/4,0)</f>
        <v/>
      </c>
    </row>
    <row r="10">
      <c r="B10" s="22" t="inlineStr">
        <is>
          <t>Coastal U</t>
        </is>
      </c>
      <c r="C10" s="24" t="inlineStr">
        <is>
          <t>Reach</t>
        </is>
      </c>
      <c r="D10" s="30" t="n">
        <v>46248</v>
      </c>
      <c r="E10" s="31" t="inlineStr">
        <is>
          <t>Yes</t>
        </is>
      </c>
      <c r="F10" s="31" t="inlineStr">
        <is>
          <t>Yes</t>
        </is>
      </c>
      <c r="G10" s="31" t="inlineStr">
        <is>
          <t>No</t>
        </is>
      </c>
      <c r="H10" s="31" t="inlineStr">
        <is>
          <t>No</t>
        </is>
      </c>
      <c r="I10" s="23">
        <f>IFERROR(COUNTIF(E10:H10,"Yes")/4,0)</f>
        <v/>
      </c>
    </row>
    <row r="11">
      <c r="B11" s="19" t="inlineStr">
        <is>
          <t>Northwood University</t>
        </is>
      </c>
      <c r="C11" s="21" t="inlineStr">
        <is>
          <t>Reach</t>
        </is>
      </c>
      <c r="D11" s="28" t="n">
        <v>46254</v>
      </c>
      <c r="E11" s="29" t="inlineStr">
        <is>
          <t>Yes</t>
        </is>
      </c>
      <c r="F11" s="29" t="inlineStr">
        <is>
          <t>No</t>
        </is>
      </c>
      <c r="G11" s="29" t="inlineStr">
        <is>
          <t>No</t>
        </is>
      </c>
      <c r="H11" s="29" t="inlineStr">
        <is>
          <t>No</t>
        </is>
      </c>
      <c r="I11" s="20">
        <f>IFERROR(COUNTIF(E11:H11,"Yes")/4,0)</f>
        <v/>
      </c>
    </row>
    <row r="12">
      <c r="B12" s="22" t="inlineStr">
        <is>
          <t>Valley Tech</t>
        </is>
      </c>
      <c r="C12" s="24" t="inlineStr">
        <is>
          <t>Reach</t>
        </is>
      </c>
      <c r="D12" s="30" t="n">
        <v>46254</v>
      </c>
      <c r="E12" s="31" t="inlineStr">
        <is>
          <t>No</t>
        </is>
      </c>
      <c r="F12" s="31" t="inlineStr">
        <is>
          <t>No</t>
        </is>
      </c>
      <c r="G12" s="31" t="inlineStr">
        <is>
          <t>No</t>
        </is>
      </c>
      <c r="H12" s="31" t="inlineStr">
        <is>
          <t>No</t>
        </is>
      </c>
      <c r="I12" s="23">
        <f>IFERROR(COUNTIF(E12:H12,"Yes")/4,0)</f>
        <v/>
      </c>
    </row>
  </sheetData>
  <mergeCells count="2">
    <mergeCell ref="A1:I1"/>
    <mergeCell ref="A2:I2"/>
  </mergeCells>
  <conditionalFormatting sqref="C5:C12">
    <cfRule type="cellIs" priority="1" operator="equal" dxfId="0">
      <formula>"Reach"</formula>
    </cfRule>
    <cfRule type="cellIs" priority="2" operator="equal" dxfId="1">
      <formula>"Match"</formula>
    </cfRule>
    <cfRule type="cellIs" priority="3" operator="equal" dxfId="2">
      <formula>"Safety"</formula>
    </cfRule>
  </conditionalFormatting>
  <conditionalFormatting sqref="E5:E12">
    <cfRule type="cellIs" priority="4" operator="equal" dxfId="1">
      <formula>"Yes"</formula>
    </cfRule>
  </conditionalFormatting>
  <conditionalFormatting sqref="F5:F12">
    <cfRule type="cellIs" priority="5" operator="equal" dxfId="1">
      <formula>"Yes"</formula>
    </cfRule>
  </conditionalFormatting>
  <conditionalFormatting sqref="G5:G12">
    <cfRule type="cellIs" priority="6" operator="equal" dxfId="1">
      <formula>"Yes"</formula>
    </cfRule>
  </conditionalFormatting>
  <conditionalFormatting sqref="H5:H12">
    <cfRule type="cellIs" priority="7" operator="equal" dxfId="1">
      <formula>"Yes"</formula>
    </cfRule>
  </conditionalFormatting>
  <conditionalFormatting sqref="I5:I12">
    <cfRule type="dataBar" priority="8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</cols>
  <sheetData>
    <row r="1" ht="46" customHeight="1">
      <c r="A1" s="1" t="inlineStr">
        <is>
          <t xml:space="preserve">  ✍  ESSAYS &amp; SUPPLEMENTS</t>
        </is>
      </c>
    </row>
    <row r="2" ht="22" customHeight="1">
      <c r="A2" s="2" t="inlineStr">
        <is>
          <t xml:space="preserve">  Every prompt, its word limit &amp; where the draft stands — from blank page to final.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School</t>
        </is>
      </c>
      <c r="B4" s="9" t="inlineStr">
        <is>
          <t>Prompt</t>
        </is>
      </c>
      <c r="C4" s="9" t="inlineStr">
        <is>
          <t>Word Limit</t>
        </is>
      </c>
      <c r="D4" s="9" t="inlineStr">
        <is>
          <t>Status</t>
        </is>
      </c>
    </row>
    <row r="5">
      <c r="A5" s="32" t="inlineStr">
        <is>
          <t>Common App</t>
        </is>
      </c>
      <c r="B5" s="33" t="inlineStr">
        <is>
          <t>Personal statement</t>
        </is>
      </c>
      <c r="C5" s="34" t="n">
        <v>650</v>
      </c>
      <c r="D5" s="32" t="inlineStr">
        <is>
          <t>Final</t>
        </is>
      </c>
    </row>
    <row r="6">
      <c r="A6" s="24" t="inlineStr">
        <is>
          <t>State Flagship</t>
        </is>
      </c>
      <c r="B6" s="22" t="inlineStr">
        <is>
          <t>Why us? (supplement)</t>
        </is>
      </c>
      <c r="C6" s="35" t="n">
        <v>300</v>
      </c>
      <c r="D6" s="24" t="inlineStr">
        <is>
          <t>Final</t>
        </is>
      </c>
    </row>
    <row r="7">
      <c r="A7" s="32" t="inlineStr">
        <is>
          <t>Lakeside College</t>
        </is>
      </c>
      <c r="B7" s="33" t="inlineStr">
        <is>
          <t>Community &amp; you</t>
        </is>
      </c>
      <c r="C7" s="34" t="n">
        <v>250</v>
      </c>
      <c r="D7" s="32" t="inlineStr">
        <is>
          <t>Final</t>
        </is>
      </c>
    </row>
    <row r="8">
      <c r="A8" s="24" t="inlineStr">
        <is>
          <t>Hillcrest University</t>
        </is>
      </c>
      <c r="B8" s="22" t="inlineStr">
        <is>
          <t>Academic interest</t>
        </is>
      </c>
      <c r="C8" s="35" t="n">
        <v>400</v>
      </c>
      <c r="D8" s="24" t="inlineStr">
        <is>
          <t>Final</t>
        </is>
      </c>
    </row>
    <row r="9">
      <c r="A9" s="32" t="inlineStr">
        <is>
          <t>Coastal U</t>
        </is>
      </c>
      <c r="B9" s="33" t="inlineStr">
        <is>
          <t>Why this major?</t>
        </is>
      </c>
      <c r="C9" s="34" t="n">
        <v>350</v>
      </c>
      <c r="D9" s="32" t="inlineStr">
        <is>
          <t>Revising</t>
        </is>
      </c>
    </row>
    <row r="10">
      <c r="A10" s="24" t="inlineStr">
        <is>
          <t>Coastal U</t>
        </is>
      </c>
      <c r="B10" s="22" t="inlineStr">
        <is>
          <t>Short answer: activity</t>
        </is>
      </c>
      <c r="C10" s="35" t="n">
        <v>150</v>
      </c>
      <c r="D10" s="24" t="inlineStr">
        <is>
          <t>Final</t>
        </is>
      </c>
    </row>
    <row r="11">
      <c r="A11" s="32" t="inlineStr">
        <is>
          <t>Northwood University</t>
        </is>
      </c>
      <c r="B11" s="33" t="inlineStr">
        <is>
          <t>Intellectual curiosity</t>
        </is>
      </c>
      <c r="C11" s="34" t="n">
        <v>500</v>
      </c>
      <c r="D11" s="32" t="inlineStr">
        <is>
          <t>Revising</t>
        </is>
      </c>
    </row>
    <row r="12">
      <c r="A12" s="24" t="inlineStr">
        <is>
          <t>Northwood University</t>
        </is>
      </c>
      <c r="B12" s="22" t="inlineStr">
        <is>
          <t>Community contribution</t>
        </is>
      </c>
      <c r="C12" s="35" t="n">
        <v>250</v>
      </c>
      <c r="D12" s="24" t="inlineStr">
        <is>
          <t>Drafting</t>
        </is>
      </c>
    </row>
    <row r="13">
      <c r="A13" s="32" t="inlineStr">
        <is>
          <t>Valley Tech</t>
        </is>
      </c>
      <c r="B13" s="33" t="inlineStr">
        <is>
          <t>Engineering interest</t>
        </is>
      </c>
      <c r="C13" s="34" t="n">
        <v>400</v>
      </c>
      <c r="D13" s="32" t="inlineStr">
        <is>
          <t>Drafting</t>
        </is>
      </c>
    </row>
    <row r="14">
      <c r="A14" s="24" t="inlineStr">
        <is>
          <t>Valley Tech</t>
        </is>
      </c>
      <c r="B14" s="22" t="inlineStr">
        <is>
          <t>Short answer: challenge</t>
        </is>
      </c>
      <c r="C14" s="35" t="n">
        <v>200</v>
      </c>
      <c r="D14" s="24" t="inlineStr">
        <is>
          <t>Not Started</t>
        </is>
      </c>
    </row>
    <row r="15">
      <c r="A15" s="32" t="n"/>
      <c r="B15" s="33" t="n"/>
      <c r="C15" s="34" t="n"/>
      <c r="D15" s="32" t="n"/>
    </row>
    <row r="16">
      <c r="A16" s="24" t="n"/>
      <c r="B16" s="22" t="n"/>
      <c r="C16" s="35" t="n"/>
      <c r="D16" s="24" t="n"/>
    </row>
    <row r="17">
      <c r="A17" s="32" t="n"/>
      <c r="B17" s="33" t="n"/>
      <c r="C17" s="34" t="n"/>
      <c r="D17" s="32" t="n"/>
    </row>
    <row r="18">
      <c r="A18" s="24" t="n"/>
      <c r="B18" s="22" t="n"/>
      <c r="C18" s="35" t="n"/>
      <c r="D18" s="24" t="n"/>
    </row>
    <row r="19">
      <c r="A19" s="32" t="n"/>
      <c r="B19" s="33" t="n"/>
      <c r="C19" s="34" t="n"/>
      <c r="D19" s="32" t="n"/>
    </row>
    <row r="20">
      <c r="A20" s="24" t="n"/>
      <c r="B20" s="22" t="n"/>
      <c r="C20" s="35" t="n"/>
      <c r="D20" s="24" t="n"/>
    </row>
    <row r="21">
      <c r="A21" s="32" t="n"/>
      <c r="B21" s="33" t="n"/>
      <c r="C21" s="34" t="n"/>
      <c r="D21" s="32" t="n"/>
    </row>
    <row r="22">
      <c r="A22" s="24" t="n"/>
      <c r="B22" s="22" t="n"/>
      <c r="C22" s="35" t="n"/>
      <c r="D22" s="24" t="n"/>
    </row>
    <row r="23">
      <c r="A23" s="32" t="n"/>
      <c r="B23" s="33" t="n"/>
      <c r="C23" s="34" t="n"/>
      <c r="D23" s="32" t="n"/>
    </row>
    <row r="24">
      <c r="A24" s="24" t="n"/>
      <c r="B24" s="22" t="n"/>
      <c r="C24" s="35" t="n"/>
      <c r="D24" s="24" t="n"/>
    </row>
    <row r="25">
      <c r="A25" s="32" t="n"/>
      <c r="B25" s="33" t="n"/>
      <c r="C25" s="34" t="n"/>
      <c r="D25" s="32" t="n"/>
    </row>
    <row r="26">
      <c r="A26" s="24" t="n"/>
      <c r="B26" s="22" t="n"/>
      <c r="C26" s="35" t="n"/>
      <c r="D26" s="24" t="n"/>
    </row>
    <row r="27">
      <c r="A27" s="32" t="n"/>
      <c r="B27" s="33" t="n"/>
      <c r="C27" s="34" t="n"/>
      <c r="D27" s="32" t="n"/>
    </row>
    <row r="28">
      <c r="A28" s="24" t="n"/>
      <c r="B28" s="22" t="n"/>
      <c r="C28" s="35" t="n"/>
      <c r="D28" s="24" t="n"/>
    </row>
    <row r="29">
      <c r="A29" s="32" t="n"/>
      <c r="B29" s="33" t="n"/>
      <c r="C29" s="34" t="n"/>
      <c r="D29" s="32" t="n"/>
    </row>
    <row r="30">
      <c r="A30" s="24" t="n"/>
      <c r="B30" s="22" t="n"/>
      <c r="C30" s="35" t="n"/>
      <c r="D30" s="24" t="n"/>
    </row>
    <row r="31">
      <c r="A31" s="32" t="n"/>
      <c r="B31" s="33" t="n"/>
      <c r="C31" s="34" t="n"/>
      <c r="D31" s="32" t="n"/>
    </row>
    <row r="32">
      <c r="A32" s="24" t="n"/>
      <c r="B32" s="22" t="n"/>
      <c r="C32" s="35" t="n"/>
      <c r="D32" s="24" t="n"/>
    </row>
    <row r="33">
      <c r="A33" s="32" t="n"/>
      <c r="B33" s="33" t="n"/>
      <c r="C33" s="34" t="n"/>
      <c r="D33" s="32" t="n"/>
    </row>
    <row r="34">
      <c r="A34" s="24" t="n"/>
      <c r="B34" s="22" t="n"/>
      <c r="C34" s="35" t="n"/>
      <c r="D34" s="24" t="n"/>
    </row>
    <row r="35">
      <c r="A35" s="32" t="n"/>
      <c r="B35" s="33" t="n"/>
      <c r="C35" s="34" t="n"/>
      <c r="D35" s="32" t="n"/>
    </row>
    <row r="36">
      <c r="A36" s="24" t="n"/>
      <c r="B36" s="22" t="n"/>
      <c r="C36" s="35" t="n"/>
      <c r="D36" s="24" t="n"/>
    </row>
    <row r="37">
      <c r="A37" s="32" t="n"/>
      <c r="B37" s="33" t="n"/>
      <c r="C37" s="34" t="n"/>
      <c r="D37" s="32" t="n"/>
    </row>
    <row r="38">
      <c r="A38" s="24" t="n"/>
      <c r="B38" s="22" t="n"/>
      <c r="C38" s="35" t="n"/>
      <c r="D38" s="24" t="n"/>
    </row>
    <row r="39">
      <c r="A39" s="32" t="n"/>
      <c r="B39" s="33" t="n"/>
      <c r="C39" s="34" t="n"/>
      <c r="D39" s="32" t="n"/>
    </row>
    <row r="40">
      <c r="A40" s="24" t="n"/>
      <c r="B40" s="22" t="n"/>
      <c r="C40" s="35" t="n"/>
      <c r="D40" s="24" t="n"/>
    </row>
    <row r="41">
      <c r="A41" s="32" t="n"/>
      <c r="B41" s="33" t="n"/>
      <c r="C41" s="34" t="n"/>
      <c r="D41" s="32" t="n"/>
    </row>
    <row r="42">
      <c r="A42" s="24" t="n"/>
      <c r="B42" s="22" t="n"/>
      <c r="C42" s="35" t="n"/>
      <c r="D42" s="24" t="n"/>
    </row>
    <row r="43">
      <c r="A43" s="32" t="n"/>
      <c r="B43" s="33" t="n"/>
      <c r="C43" s="34" t="n"/>
      <c r="D43" s="32" t="n"/>
    </row>
    <row r="44">
      <c r="A44" s="24" t="n"/>
      <c r="B44" s="22" t="n"/>
      <c r="C44" s="35" t="n"/>
      <c r="D44" s="24" t="n"/>
    </row>
  </sheetData>
  <mergeCells count="2">
    <mergeCell ref="A1:D1"/>
    <mergeCell ref="A2:D2"/>
  </mergeCells>
  <conditionalFormatting sqref="D5:D44">
    <cfRule type="cellIs" priority="1" operator="equal" dxfId="1">
      <formula>"Final"</formula>
    </cfRule>
    <cfRule type="cellIs" priority="2" operator="equal" dxfId="0">
      <formula>"Revising"</formula>
    </cfRule>
    <cfRule type="cellIs" priority="3" operator="equal" dxfId="2">
      <formula>"Drafting"</formula>
    </cfRule>
    <cfRule type="cellIs" priority="4" operator="equal" dxfId="3">
      <formula>"Not Started"</formula>
    </cfRule>
  </conditionalFormatting>
  <dataValidations count="1">
    <dataValidation sqref="D5:D44" showDropDown="0" showInputMessage="0" showErrorMessage="0" allowBlank="1" type="list">
      <formula1>=EssayList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</cols>
  <sheetData>
    <row r="1" ht="46" customHeight="1">
      <c r="A1" s="1" t="inlineStr">
        <is>
          <t xml:space="preserve">  📨  RECOMMENDATIONS</t>
        </is>
      </c>
    </row>
    <row r="2" ht="22" customHeight="1">
      <c r="A2" s="2" t="inlineStr">
        <is>
          <t xml:space="preserve">  Who's writing, whether you've asked &amp; whether it's in — chase the stragglers early.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Recommender</t>
        </is>
      </c>
      <c r="B4" s="9" t="inlineStr">
        <is>
          <t>Role</t>
        </is>
      </c>
      <c r="C4" s="9" t="inlineStr">
        <is>
          <t>Requested?</t>
        </is>
      </c>
      <c r="D4" s="9" t="inlineStr">
        <is>
          <t>Submitted?</t>
        </is>
      </c>
    </row>
    <row r="5">
      <c r="A5" s="33" t="inlineStr">
        <is>
          <t>Ms. Alvarez</t>
        </is>
      </c>
      <c r="B5" s="32" t="inlineStr">
        <is>
          <t>Counselor</t>
        </is>
      </c>
      <c r="C5" s="32" t="inlineStr">
        <is>
          <t>Yes</t>
        </is>
      </c>
      <c r="D5" s="32" t="inlineStr">
        <is>
          <t>Yes</t>
        </is>
      </c>
    </row>
    <row r="6">
      <c r="A6" s="22" t="inlineStr">
        <is>
          <t>Mr. Chen (Biology)</t>
        </is>
      </c>
      <c r="B6" s="24" t="inlineStr">
        <is>
          <t>Teacher — Core</t>
        </is>
      </c>
      <c r="C6" s="24" t="inlineStr">
        <is>
          <t>Yes</t>
        </is>
      </c>
      <c r="D6" s="24" t="inlineStr">
        <is>
          <t>Yes</t>
        </is>
      </c>
    </row>
    <row r="7">
      <c r="A7" s="33" t="inlineStr">
        <is>
          <t>Ms. Patel (English)</t>
        </is>
      </c>
      <c r="B7" s="32" t="inlineStr">
        <is>
          <t>Teacher — Core</t>
        </is>
      </c>
      <c r="C7" s="32" t="inlineStr">
        <is>
          <t>Yes</t>
        </is>
      </c>
      <c r="D7" s="32" t="inlineStr">
        <is>
          <t>Yes</t>
        </is>
      </c>
    </row>
    <row r="8">
      <c r="A8" s="22" t="inlineStr">
        <is>
          <t>Coach Rivera</t>
        </is>
      </c>
      <c r="B8" s="24" t="inlineStr">
        <is>
          <t>Coach / Mentor</t>
        </is>
      </c>
      <c r="C8" s="24" t="inlineStr">
        <is>
          <t>Yes</t>
        </is>
      </c>
      <c r="D8" s="24" t="inlineStr">
        <is>
          <t>No</t>
        </is>
      </c>
    </row>
    <row r="9">
      <c r="A9" s="33" t="n"/>
      <c r="B9" s="32" t="n"/>
      <c r="C9" s="32" t="n"/>
      <c r="D9" s="32" t="n"/>
    </row>
    <row r="10">
      <c r="A10" s="22" t="n"/>
      <c r="B10" s="24" t="n"/>
      <c r="C10" s="24" t="n"/>
      <c r="D10" s="24" t="n"/>
    </row>
    <row r="11">
      <c r="A11" s="33" t="n"/>
      <c r="B11" s="32" t="n"/>
      <c r="C11" s="32" t="n"/>
      <c r="D11" s="32" t="n"/>
    </row>
    <row r="12">
      <c r="A12" s="22" t="n"/>
      <c r="B12" s="24" t="n"/>
      <c r="C12" s="24" t="n"/>
      <c r="D12" s="24" t="n"/>
    </row>
    <row r="13">
      <c r="A13" s="33" t="n"/>
      <c r="B13" s="32" t="n"/>
      <c r="C13" s="32" t="n"/>
      <c r="D13" s="32" t="n"/>
    </row>
    <row r="14">
      <c r="A14" s="22" t="n"/>
      <c r="B14" s="24" t="n"/>
      <c r="C14" s="24" t="n"/>
      <c r="D14" s="24" t="n"/>
    </row>
    <row r="15">
      <c r="A15" s="33" t="n"/>
      <c r="B15" s="32" t="n"/>
      <c r="C15" s="32" t="n"/>
      <c r="D15" s="32" t="n"/>
    </row>
    <row r="16">
      <c r="A16" s="22" t="n"/>
      <c r="B16" s="24" t="n"/>
      <c r="C16" s="24" t="n"/>
      <c r="D16" s="24" t="n"/>
    </row>
    <row r="17">
      <c r="A17" s="33" t="n"/>
      <c r="B17" s="32" t="n"/>
      <c r="C17" s="32" t="n"/>
      <c r="D17" s="32" t="n"/>
    </row>
    <row r="18">
      <c r="A18" s="22" t="n"/>
      <c r="B18" s="24" t="n"/>
      <c r="C18" s="24" t="n"/>
      <c r="D18" s="24" t="n"/>
    </row>
    <row r="19">
      <c r="A19" s="33" t="n"/>
      <c r="B19" s="32" t="n"/>
      <c r="C19" s="32" t="n"/>
      <c r="D19" s="32" t="n"/>
    </row>
    <row r="20">
      <c r="A20" s="22" t="n"/>
      <c r="B20" s="24" t="n"/>
      <c r="C20" s="24" t="n"/>
      <c r="D20" s="24" t="n"/>
    </row>
  </sheetData>
  <mergeCells count="2">
    <mergeCell ref="A1:D1"/>
    <mergeCell ref="A2:D2"/>
  </mergeCells>
  <conditionalFormatting sqref="C5:C20">
    <cfRule type="cellIs" priority="1" operator="equal" dxfId="1">
      <formula>"Yes"</formula>
    </cfRule>
    <cfRule type="cellIs" priority="2" operator="equal" dxfId="0">
      <formula>"No"</formula>
    </cfRule>
  </conditionalFormatting>
  <conditionalFormatting sqref="D5:D20">
    <cfRule type="cellIs" priority="3" operator="equal" dxfId="1">
      <formula>"Yes"</formula>
    </cfRule>
    <cfRule type="cellIs" priority="4" operator="equal" dxfId="0">
      <formula>"No"</formula>
    </cfRule>
  </conditionalFormatting>
  <dataValidations count="3">
    <dataValidation sqref="B5:B20" showDropDown="0" showInputMessage="0" showErrorMessage="0" allowBlank="1" type="list">
      <formula1>=RecList</formula1>
    </dataValidation>
    <dataValidation sqref="C5:C20" showDropDown="0" showInputMessage="0" showErrorMessage="0" allowBlank="1" type="list">
      <formula1>=YesNoList</formula1>
    </dataValidation>
    <dataValidation sqref="D5:D20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6" customWidth="1" min="4" max="4"/>
  </cols>
  <sheetData>
    <row r="1" ht="46" customHeight="1">
      <c r="A1" s="1" t="inlineStr">
        <is>
          <t xml:space="preserve">  📊  TEST SCORES</t>
        </is>
      </c>
    </row>
    <row r="2" ht="22" customHeight="1">
      <c r="A2" s="2" t="inlineStr">
        <is>
          <t xml:space="preserve">  SAT, ACT, AP &amp; more — the scores you'll send, in one place.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Test</t>
        </is>
      </c>
      <c r="B4" s="9" t="inlineStr">
        <is>
          <t>Date</t>
        </is>
      </c>
      <c r="C4" s="9" t="inlineStr">
        <is>
          <t>Score</t>
        </is>
      </c>
      <c r="D4" s="9" t="inlineStr">
        <is>
          <t>Detail</t>
        </is>
      </c>
    </row>
    <row r="5">
      <c r="A5" s="32" t="inlineStr">
        <is>
          <t>SAT</t>
        </is>
      </c>
      <c r="B5" s="32" t="inlineStr">
        <is>
          <t>Mar 2026</t>
        </is>
      </c>
      <c r="C5" s="32" t="inlineStr">
        <is>
          <t>1380</t>
        </is>
      </c>
      <c r="D5" s="33" t="inlineStr">
        <is>
          <t>EBRW 690 · Math 690</t>
        </is>
      </c>
    </row>
    <row r="6">
      <c r="A6" s="24" t="inlineStr">
        <is>
          <t>ACT</t>
        </is>
      </c>
      <c r="B6" s="24" t="inlineStr">
        <is>
          <t>Apr 2026</t>
        </is>
      </c>
      <c r="C6" s="24" t="inlineStr">
        <is>
          <t>30</t>
        </is>
      </c>
      <c r="D6" s="22" t="inlineStr">
        <is>
          <t>Composite</t>
        </is>
      </c>
    </row>
    <row r="7">
      <c r="A7" s="32" t="inlineStr">
        <is>
          <t>AP Environmental Sci</t>
        </is>
      </c>
      <c r="B7" s="32" t="inlineStr">
        <is>
          <t>May 2026</t>
        </is>
      </c>
      <c r="C7" s="32" t="inlineStr">
        <is>
          <t>4</t>
        </is>
      </c>
      <c r="D7" s="33" t="inlineStr">
        <is>
          <t>Qualified</t>
        </is>
      </c>
    </row>
    <row r="8">
      <c r="A8" s="24" t="inlineStr">
        <is>
          <t>AP US Government</t>
        </is>
      </c>
      <c r="B8" s="24" t="inlineStr">
        <is>
          <t>May 2026</t>
        </is>
      </c>
      <c r="C8" s="24" t="inlineStr">
        <is>
          <t>4</t>
        </is>
      </c>
      <c r="D8" s="22" t="inlineStr">
        <is>
          <t>Qualified</t>
        </is>
      </c>
    </row>
    <row r="9">
      <c r="A9" s="32" t="inlineStr">
        <is>
          <t>TOEFL / other</t>
        </is>
      </c>
      <c r="B9" s="32" t="inlineStr">
        <is>
          <t>—</t>
        </is>
      </c>
      <c r="C9" s="32" t="inlineStr">
        <is>
          <t>—</t>
        </is>
      </c>
      <c r="D9" s="33" t="inlineStr">
        <is>
          <t>N/A</t>
        </is>
      </c>
    </row>
    <row r="10">
      <c r="A10" s="24" t="n"/>
      <c r="B10" s="24" t="n"/>
      <c r="C10" s="24" t="n"/>
      <c r="D10" s="22" t="n"/>
    </row>
    <row r="11">
      <c r="A11" s="32" t="n"/>
      <c r="B11" s="32" t="n"/>
      <c r="C11" s="32" t="n"/>
      <c r="D11" s="33" t="n"/>
    </row>
    <row r="12">
      <c r="A12" s="24" t="n"/>
      <c r="B12" s="24" t="n"/>
      <c r="C12" s="24" t="n"/>
      <c r="D12" s="22" t="n"/>
    </row>
    <row r="13">
      <c r="A13" s="32" t="n"/>
      <c r="B13" s="32" t="n"/>
      <c r="C13" s="32" t="n"/>
      <c r="D13" s="33" t="n"/>
    </row>
    <row r="14">
      <c r="A14" s="24" t="n"/>
      <c r="B14" s="24" t="n"/>
      <c r="C14" s="24" t="n"/>
      <c r="D14" s="22" t="n"/>
    </row>
    <row r="15">
      <c r="A15" s="32" t="n"/>
      <c r="B15" s="32" t="n"/>
      <c r="C15" s="32" t="n"/>
      <c r="D15" s="33" t="n"/>
    </row>
    <row r="16">
      <c r="A16" s="24" t="n"/>
      <c r="B16" s="24" t="n"/>
      <c r="C16" s="24" t="n"/>
      <c r="D16" s="22" t="n"/>
    </row>
    <row r="17">
      <c r="A17" s="32" t="n"/>
      <c r="B17" s="32" t="n"/>
      <c r="C17" s="32" t="n"/>
      <c r="D17" s="33" t="n"/>
    </row>
    <row r="18">
      <c r="A18" s="24" t="n"/>
      <c r="B18" s="24" t="n"/>
      <c r="C18" s="24" t="n"/>
      <c r="D18" s="22" t="n"/>
    </row>
    <row r="19">
      <c r="A19" s="32" t="n"/>
      <c r="B19" s="32" t="n"/>
      <c r="C19" s="32" t="n"/>
      <c r="D19" s="33" t="n"/>
    </row>
    <row r="20">
      <c r="A20" s="24" t="n"/>
      <c r="B20" s="24" t="n"/>
      <c r="C20" s="24" t="n"/>
      <c r="D20" s="22" t="n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</cols>
  <sheetData>
    <row r="1" ht="46" customHeight="1">
      <c r="A1" s="1" t="inlineStr">
        <is>
          <t xml:space="preserve">  🏅  ACTIVITIES &amp; AWARDS</t>
        </is>
      </c>
    </row>
    <row r="2" ht="22" customHeight="1">
      <c r="A2" s="2" t="inlineStr">
        <is>
          <t xml:space="preserve">  Your résumé for the application — activity, role &amp; years, plus honors.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Activity / Award</t>
        </is>
      </c>
      <c r="B4" s="9" t="inlineStr">
        <is>
          <t>Role</t>
        </is>
      </c>
      <c r="C4" s="9" t="inlineStr">
        <is>
          <t>Years</t>
        </is>
      </c>
    </row>
    <row r="5">
      <c r="A5" s="33" t="inlineStr">
        <is>
          <t>Environmental Club</t>
        </is>
      </c>
      <c r="B5" s="33" t="inlineStr">
        <is>
          <t>President</t>
        </is>
      </c>
      <c r="C5" s="32" t="inlineStr">
        <is>
          <t>3 yrs</t>
        </is>
      </c>
    </row>
    <row r="6">
      <c r="A6" s="22" t="inlineStr">
        <is>
          <t>Varsity Cross Country</t>
        </is>
      </c>
      <c r="B6" s="22" t="inlineStr">
        <is>
          <t>Captain</t>
        </is>
      </c>
      <c r="C6" s="24" t="inlineStr">
        <is>
          <t>4 yrs</t>
        </is>
      </c>
    </row>
    <row r="7">
      <c r="A7" s="33" t="inlineStr">
        <is>
          <t>Science Olympiad</t>
        </is>
      </c>
      <c r="B7" s="33" t="inlineStr">
        <is>
          <t>Team lead</t>
        </is>
      </c>
      <c r="C7" s="32" t="inlineStr">
        <is>
          <t>2 yrs</t>
        </is>
      </c>
    </row>
    <row r="8">
      <c r="A8" s="22" t="inlineStr">
        <is>
          <t>Local River Cleanup</t>
        </is>
      </c>
      <c r="B8" s="22" t="inlineStr">
        <is>
          <t>Volunteer organizer</t>
        </is>
      </c>
      <c r="C8" s="24" t="inlineStr">
        <is>
          <t>3 yrs</t>
        </is>
      </c>
    </row>
    <row r="9">
      <c r="A9" s="33" t="inlineStr">
        <is>
          <t>National Honor Society</t>
        </is>
      </c>
      <c r="B9" s="33" t="inlineStr">
        <is>
          <t>Member</t>
        </is>
      </c>
      <c r="C9" s="32" t="inlineStr">
        <is>
          <t>2 yrs</t>
        </is>
      </c>
    </row>
    <row r="10">
      <c r="A10" s="22" t="inlineStr">
        <is>
          <t>Part-time job — nursery</t>
        </is>
      </c>
      <c r="B10" s="22" t="inlineStr">
        <is>
          <t>Associate</t>
        </is>
      </c>
      <c r="C10" s="24" t="inlineStr">
        <is>
          <t>2 yrs</t>
        </is>
      </c>
    </row>
    <row r="11">
      <c r="A11" s="33" t="inlineStr">
        <is>
          <t>AP Scholar Award</t>
        </is>
      </c>
      <c r="B11" s="33" t="inlineStr">
        <is>
          <t>Honor</t>
        </is>
      </c>
      <c r="C11" s="32" t="inlineStr">
        <is>
          <t>2026</t>
        </is>
      </c>
    </row>
    <row r="12">
      <c r="A12" s="22" t="inlineStr">
        <is>
          <t>Regional Science Fair — 1st</t>
        </is>
      </c>
      <c r="B12" s="22" t="inlineStr">
        <is>
          <t>Award</t>
        </is>
      </c>
      <c r="C12" s="24" t="inlineStr">
        <is>
          <t>2026</t>
        </is>
      </c>
    </row>
    <row r="13">
      <c r="A13" s="33" t="n"/>
      <c r="B13" s="33" t="n"/>
      <c r="C13" s="32" t="n"/>
    </row>
    <row r="14">
      <c r="A14" s="22" t="n"/>
      <c r="B14" s="22" t="n"/>
      <c r="C14" s="24" t="n"/>
    </row>
    <row r="15">
      <c r="A15" s="33" t="n"/>
      <c r="B15" s="33" t="n"/>
      <c r="C15" s="32" t="n"/>
    </row>
    <row r="16">
      <c r="A16" s="22" t="n"/>
      <c r="B16" s="22" t="n"/>
      <c r="C16" s="24" t="n"/>
    </row>
    <row r="17">
      <c r="A17" s="33" t="n"/>
      <c r="B17" s="33" t="n"/>
      <c r="C17" s="32" t="n"/>
    </row>
    <row r="18">
      <c r="A18" s="22" t="n"/>
      <c r="B18" s="22" t="n"/>
      <c r="C18" s="24" t="n"/>
    </row>
    <row r="19">
      <c r="A19" s="33" t="n"/>
      <c r="B19" s="33" t="n"/>
      <c r="C19" s="32" t="n"/>
    </row>
    <row r="20">
      <c r="A20" s="22" t="n"/>
      <c r="B20" s="22" t="n"/>
      <c r="C20" s="24" t="n"/>
    </row>
    <row r="21">
      <c r="A21" s="33" t="n"/>
      <c r="B21" s="33" t="n"/>
      <c r="C21" s="32" t="n"/>
    </row>
    <row r="22">
      <c r="A22" s="22" t="n"/>
      <c r="B22" s="22" t="n"/>
      <c r="C22" s="24" t="n"/>
    </row>
    <row r="23">
      <c r="A23" s="33" t="n"/>
      <c r="B23" s="33" t="n"/>
      <c r="C23" s="32" t="n"/>
    </row>
    <row r="24">
      <c r="A24" s="22" t="n"/>
      <c r="B24" s="22" t="n"/>
      <c r="C24" s="24" t="n"/>
    </row>
    <row r="25">
      <c r="A25" s="33" t="n"/>
      <c r="B25" s="33" t="n"/>
      <c r="C25" s="32" t="n"/>
    </row>
    <row r="26">
      <c r="A26" s="22" t="n"/>
      <c r="B26" s="22" t="n"/>
      <c r="C26" s="24" t="n"/>
    </row>
    <row r="27">
      <c r="A27" s="33" t="n"/>
      <c r="B27" s="33" t="n"/>
      <c r="C27" s="32" t="n"/>
    </row>
    <row r="28">
      <c r="A28" s="22" t="n"/>
      <c r="B28" s="22" t="n"/>
      <c r="C28" s="24" t="n"/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</cols>
  <sheetData>
    <row r="1" ht="46" customHeight="1">
      <c r="A1" s="1" t="inlineStr">
        <is>
          <t xml:space="preserve">  💰  SCHOLARSHIPS &amp; AID</t>
        </is>
      </c>
    </row>
    <row r="2" ht="22" customHeight="1">
      <c r="A2" s="2" t="inlineStr">
        <is>
          <t xml:space="preserve">  Every scholarship — amount, deadline &amp; status. Free money is worth the extra essays.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Scholarship</t>
        </is>
      </c>
      <c r="B4" s="9" t="inlineStr">
        <is>
          <t>Amount</t>
        </is>
      </c>
      <c r="C4" s="9" t="inlineStr">
        <is>
          <t>Deadline</t>
        </is>
      </c>
      <c r="D4" s="9" t="inlineStr">
        <is>
          <t>Status</t>
        </is>
      </c>
    </row>
    <row r="5">
      <c r="A5" s="33" t="inlineStr">
        <is>
          <t>State Merit Scholarship</t>
        </is>
      </c>
      <c r="B5" s="36" t="n">
        <v>8000</v>
      </c>
      <c r="C5" s="37" t="n">
        <v>46204</v>
      </c>
      <c r="D5" s="32" t="inlineStr">
        <is>
          <t>Awarded</t>
        </is>
      </c>
    </row>
    <row r="6">
      <c r="A6" s="22" t="inlineStr">
        <is>
          <t>Green Future Environmental</t>
        </is>
      </c>
      <c r="B6" s="38" t="n">
        <v>4000</v>
      </c>
      <c r="C6" s="30" t="n">
        <v>46212</v>
      </c>
      <c r="D6" s="24" t="inlineStr">
        <is>
          <t>Awarded</t>
        </is>
      </c>
    </row>
    <row r="7">
      <c r="A7" s="33" t="inlineStr">
        <is>
          <t>Community Foundation</t>
        </is>
      </c>
      <c r="B7" s="36" t="n">
        <v>2500</v>
      </c>
      <c r="C7" s="37" t="n">
        <v>46239</v>
      </c>
      <c r="D7" s="32" t="inlineStr">
        <is>
          <t>Applied</t>
        </is>
      </c>
    </row>
    <row r="8">
      <c r="A8" s="22" t="inlineStr">
        <is>
          <t>Rotary Club Local</t>
        </is>
      </c>
      <c r="B8" s="38" t="n">
        <v>1500</v>
      </c>
      <c r="C8" s="30" t="n">
        <v>46246</v>
      </c>
      <c r="D8" s="24" t="inlineStr">
        <is>
          <t>Applied</t>
        </is>
      </c>
    </row>
    <row r="9">
      <c r="A9" s="33" t="inlineStr">
        <is>
          <t>First-Gen STEM Grant</t>
        </is>
      </c>
      <c r="B9" s="36" t="n">
        <v>5000</v>
      </c>
      <c r="C9" s="37" t="n">
        <v>46254</v>
      </c>
      <c r="D9" s="32" t="inlineStr">
        <is>
          <t>Applied</t>
        </is>
      </c>
    </row>
    <row r="10">
      <c r="A10" s="22" t="inlineStr">
        <is>
          <t>Coca-Cola Scholars</t>
        </is>
      </c>
      <c r="B10" s="38" t="n">
        <v>20000</v>
      </c>
      <c r="C10" s="30" t="n">
        <v>46184</v>
      </c>
      <c r="D10" s="24" t="inlineStr">
        <is>
          <t>Denied</t>
        </is>
      </c>
    </row>
    <row r="11">
      <c r="A11" s="33" t="inlineStr">
        <is>
          <t>Athletic Booster Award</t>
        </is>
      </c>
      <c r="B11" s="36" t="n">
        <v>1000</v>
      </c>
      <c r="C11" s="37" t="n">
        <v>46242</v>
      </c>
      <c r="D11" s="32" t="inlineStr">
        <is>
          <t>Applied</t>
        </is>
      </c>
    </row>
    <row r="12">
      <c r="A12" s="22" t="inlineStr">
        <is>
          <t>National Merit</t>
        </is>
      </c>
      <c r="B12" s="38" t="n">
        <v>2500</v>
      </c>
      <c r="C12" s="30" t="n">
        <v>46269</v>
      </c>
      <c r="D12" s="24" t="inlineStr">
        <is>
          <t>Researching</t>
        </is>
      </c>
    </row>
    <row r="13">
      <c r="A13" s="33" t="n"/>
      <c r="B13" s="36" t="n"/>
      <c r="C13" s="37" t="n"/>
      <c r="D13" s="32" t="n"/>
    </row>
    <row r="14">
      <c r="A14" s="22" t="n"/>
      <c r="B14" s="38" t="n"/>
      <c r="C14" s="30" t="n"/>
      <c r="D14" s="24" t="n"/>
    </row>
    <row r="15">
      <c r="A15" s="33" t="n"/>
      <c r="B15" s="36" t="n"/>
      <c r="C15" s="37" t="n"/>
      <c r="D15" s="32" t="n"/>
    </row>
    <row r="16">
      <c r="A16" s="22" t="n"/>
      <c r="B16" s="38" t="n"/>
      <c r="C16" s="30" t="n"/>
      <c r="D16" s="24" t="n"/>
    </row>
    <row r="17">
      <c r="A17" s="33" t="n"/>
      <c r="B17" s="36" t="n"/>
      <c r="C17" s="37" t="n"/>
      <c r="D17" s="32" t="n"/>
    </row>
    <row r="18">
      <c r="A18" s="22" t="n"/>
      <c r="B18" s="38" t="n"/>
      <c r="C18" s="30" t="n"/>
      <c r="D18" s="24" t="n"/>
    </row>
    <row r="19">
      <c r="A19" s="33" t="n"/>
      <c r="B19" s="36" t="n"/>
      <c r="C19" s="37" t="n"/>
      <c r="D19" s="32" t="n"/>
    </row>
    <row r="20">
      <c r="A20" s="22" t="n"/>
      <c r="B20" s="38" t="n"/>
      <c r="C20" s="30" t="n"/>
      <c r="D20" s="24" t="n"/>
    </row>
    <row r="21">
      <c r="A21" s="33" t="n"/>
      <c r="B21" s="36" t="n"/>
      <c r="C21" s="37" t="n"/>
      <c r="D21" s="32" t="n"/>
    </row>
    <row r="22">
      <c r="A22" s="22" t="n"/>
      <c r="B22" s="38" t="n"/>
      <c r="C22" s="30" t="n"/>
      <c r="D22" s="24" t="n"/>
    </row>
    <row r="23">
      <c r="A23" s="33" t="n"/>
      <c r="B23" s="36" t="n"/>
      <c r="C23" s="37" t="n"/>
      <c r="D23" s="32" t="n"/>
    </row>
    <row r="24">
      <c r="A24" s="22" t="n"/>
      <c r="B24" s="38" t="n"/>
      <c r="C24" s="30" t="n"/>
      <c r="D24" s="24" t="n"/>
    </row>
    <row r="25">
      <c r="A25" s="33" t="n"/>
      <c r="B25" s="36" t="n"/>
      <c r="C25" s="37" t="n"/>
      <c r="D25" s="32" t="n"/>
    </row>
    <row r="26">
      <c r="A26" s="22" t="n"/>
      <c r="B26" s="38" t="n"/>
      <c r="C26" s="30" t="n"/>
      <c r="D26" s="24" t="n"/>
    </row>
    <row r="27">
      <c r="A27" s="33" t="n"/>
      <c r="B27" s="36" t="n"/>
      <c r="C27" s="37" t="n"/>
      <c r="D27" s="32" t="n"/>
    </row>
    <row r="28">
      <c r="A28" s="22" t="n"/>
      <c r="B28" s="38" t="n"/>
      <c r="C28" s="30" t="n"/>
      <c r="D28" s="24" t="n"/>
    </row>
    <row r="29">
      <c r="A29" s="33" t="n"/>
      <c r="B29" s="36" t="n"/>
      <c r="C29" s="37" t="n"/>
      <c r="D29" s="32" t="n"/>
    </row>
    <row r="30">
      <c r="A30" s="22" t="n"/>
      <c r="B30" s="38" t="n"/>
      <c r="C30" s="30" t="n"/>
      <c r="D30" s="24" t="n"/>
    </row>
    <row r="31">
      <c r="A31" s="33" t="n"/>
      <c r="B31" s="36" t="n"/>
      <c r="C31" s="37" t="n"/>
      <c r="D31" s="32" t="n"/>
    </row>
    <row r="32">
      <c r="A32" s="22" t="n"/>
      <c r="B32" s="38" t="n"/>
      <c r="C32" s="30" t="n"/>
      <c r="D32" s="24" t="n"/>
    </row>
    <row r="33">
      <c r="A33" s="33" t="n"/>
      <c r="B33" s="36" t="n"/>
      <c r="C33" s="37" t="n"/>
      <c r="D33" s="32" t="n"/>
    </row>
    <row r="34">
      <c r="A34" s="22" t="n"/>
      <c r="B34" s="38" t="n"/>
      <c r="C34" s="30" t="n"/>
      <c r="D34" s="24" t="n"/>
    </row>
    <row r="35">
      <c r="A35" s="9" t="inlineStr">
        <is>
          <t>AWARDED TO DATE</t>
        </is>
      </c>
      <c r="B35" s="39">
        <f>SUMIF(SchStatus,"Awarded",SchAmount)</f>
        <v/>
      </c>
      <c r="C35" s="40" t="n"/>
      <c r="D35" s="40" t="n"/>
    </row>
  </sheetData>
  <mergeCells count="2">
    <mergeCell ref="A1:D1"/>
    <mergeCell ref="A2:D2"/>
  </mergeCells>
  <conditionalFormatting sqref="D5:D34">
    <cfRule type="cellIs" priority="1" operator="equal" dxfId="1">
      <formula>"Awarded"</formula>
    </cfRule>
    <cfRule type="cellIs" priority="2" operator="equal" dxfId="0">
      <formula>"Applied"</formula>
    </cfRule>
    <cfRule type="cellIs" priority="3" operator="equal" dxfId="2">
      <formula>"Researching"</formula>
    </cfRule>
    <cfRule type="cellIs" priority="4" operator="equal" dxfId="3">
      <formula>"Denied"</formula>
    </cfRule>
  </conditionalFormatting>
  <dataValidations count="1">
    <dataValidation sqref="D5:D34" showDropDown="0" showInputMessage="0" showErrorMessage="0" allowBlank="1" type="list">
      <formula1>=SchList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🧾  FINANCIAL AID — NET PRICE</t>
        </is>
      </c>
    </row>
    <row r="2" ht="22" customHeight="1">
      <c r="A2" s="2" t="inlineStr">
        <is>
          <t xml:space="preserve">  Sticker price is a myth — compare what each school actually costs after grants &amp; aid.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College</t>
        </is>
      </c>
      <c r="C4" s="9" t="inlineStr">
        <is>
          <t>Sticker / Year</t>
        </is>
      </c>
      <c r="D4" s="9" t="inlineStr">
        <is>
          <t>Grants &amp; Aid</t>
        </is>
      </c>
      <c r="E4" s="9" t="inlineStr">
        <is>
          <t>Net Price</t>
        </is>
      </c>
    </row>
    <row r="5">
      <c r="B5" s="19" t="inlineStr">
        <is>
          <t>Riverside State</t>
        </is>
      </c>
      <c r="C5" s="41" t="n">
        <v>24000</v>
      </c>
      <c r="D5" s="41" t="n">
        <v>12000</v>
      </c>
      <c r="E5" s="42">
        <f>C5-D5</f>
        <v/>
      </c>
    </row>
    <row r="6">
      <c r="B6" s="22" t="inlineStr">
        <is>
          <t>State Flagship</t>
        </is>
      </c>
      <c r="C6" s="43" t="n">
        <v>28000</v>
      </c>
      <c r="D6" s="43" t="n">
        <v>9500</v>
      </c>
      <c r="E6" s="44">
        <f>C6-D6</f>
        <v/>
      </c>
    </row>
    <row r="7">
      <c r="B7" s="19" t="inlineStr">
        <is>
          <t>Community Honors</t>
        </is>
      </c>
      <c r="C7" s="41" t="n">
        <v>8000</v>
      </c>
      <c r="D7" s="41" t="n">
        <v>6000</v>
      </c>
      <c r="E7" s="42">
        <f>C7-D7</f>
        <v/>
      </c>
    </row>
    <row r="8">
      <c r="B8" s="22" t="inlineStr">
        <is>
          <t>Lakeside College</t>
        </is>
      </c>
      <c r="C8" s="43" t="n">
        <v>54000</v>
      </c>
      <c r="D8" s="43" t="n">
        <v>34000</v>
      </c>
      <c r="E8" s="44">
        <f>C8-D8</f>
        <v/>
      </c>
    </row>
    <row r="9">
      <c r="B9" s="19" t="inlineStr">
        <is>
          <t>Hillcrest University</t>
        </is>
      </c>
      <c r="C9" s="41" t="n">
        <v>48000</v>
      </c>
      <c r="D9" s="41" t="n">
        <v>26000</v>
      </c>
      <c r="E9" s="42">
        <f>C9-D9</f>
        <v/>
      </c>
    </row>
    <row r="10">
      <c r="B10" s="22" t="inlineStr">
        <is>
          <t>Coastal U</t>
        </is>
      </c>
      <c r="C10" s="43" t="n">
        <v>62000</v>
      </c>
      <c r="D10" s="43" t="n">
        <v>30000</v>
      </c>
      <c r="E10" s="44">
        <f>C10-D10</f>
        <v/>
      </c>
    </row>
    <row r="12">
      <c r="B12" s="4" t="inlineStr">
        <is>
          <t>Lowest net price is highlighted green. Compare true cost — not the sticker — when you decide.</t>
        </is>
      </c>
    </row>
  </sheetData>
  <mergeCells count="3">
    <mergeCell ref="A2:E2"/>
    <mergeCell ref="B12:E12"/>
    <mergeCell ref="A1:E1"/>
  </mergeCells>
  <conditionalFormatting sqref="E5:E10">
    <cfRule type="colorScale" priority="1">
      <colorScale>
        <cfvo type="min"/>
        <cfvo type="max"/>
        <color rgb="FF75E6C1"/>
        <color rgb="FFFBE6E6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32" customWidth="1" min="4" max="4"/>
  </cols>
  <sheetData>
    <row r="1" ht="46" customHeight="1">
      <c r="A1" s="1" t="inlineStr">
        <is>
          <t xml:space="preserve">  🚗  VISITS &amp; INTERVIEWS</t>
        </is>
      </c>
    </row>
    <row r="2" ht="22" customHeight="1">
      <c r="A2" s="2" t="inlineStr">
        <is>
          <t xml:space="preserve">  Tours, info sessions &amp; interviews — with your impressions while they're fresh.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Date</t>
        </is>
      </c>
      <c r="B4" s="9" t="inlineStr">
        <is>
          <t>School</t>
        </is>
      </c>
      <c r="C4" s="9" t="inlineStr">
        <is>
          <t>Type</t>
        </is>
      </c>
      <c r="D4" s="9" t="inlineStr">
        <is>
          <t>Notes / Impression</t>
        </is>
      </c>
    </row>
    <row r="5">
      <c r="A5" s="37" t="n">
        <v>46164</v>
      </c>
      <c r="B5" s="33" t="inlineStr">
        <is>
          <t>State Flagship</t>
        </is>
      </c>
      <c r="C5" s="32" t="inlineStr">
        <is>
          <t>Campus tour</t>
        </is>
      </c>
      <c r="D5" s="33" t="inlineStr">
        <is>
          <t>Loved the sustainability program</t>
        </is>
      </c>
    </row>
    <row r="6">
      <c r="A6" s="30" t="n">
        <v>46179</v>
      </c>
      <c r="B6" s="22" t="inlineStr">
        <is>
          <t>Lakeside College</t>
        </is>
      </c>
      <c r="C6" s="24" t="inlineStr">
        <is>
          <t>Info session</t>
        </is>
      </c>
      <c r="D6" s="22" t="inlineStr">
        <is>
          <t>Small classes, strong advising</t>
        </is>
      </c>
    </row>
    <row r="7">
      <c r="A7" s="37" t="n">
        <v>46194</v>
      </c>
      <c r="B7" s="33" t="inlineStr">
        <is>
          <t>Riverside State</t>
        </is>
      </c>
      <c r="C7" s="32" t="inlineStr">
        <is>
          <t>Virtual tour</t>
        </is>
      </c>
      <c r="D7" s="33" t="inlineStr">
        <is>
          <t>Great value, close to home</t>
        </is>
      </c>
    </row>
    <row r="8">
      <c r="A8" s="30" t="n">
        <v>46236</v>
      </c>
      <c r="B8" s="22" t="inlineStr">
        <is>
          <t>Coastal U</t>
        </is>
      </c>
      <c r="C8" s="24" t="inlineStr">
        <is>
          <t>Alumni interview</t>
        </is>
      </c>
      <c r="D8" s="22" t="inlineStr">
        <is>
          <t>Prep: why this major</t>
        </is>
      </c>
    </row>
    <row r="9">
      <c r="A9" s="37" t="n">
        <v>46242</v>
      </c>
      <c r="B9" s="33" t="inlineStr">
        <is>
          <t>Hillcrest University</t>
        </is>
      </c>
      <c r="C9" s="32" t="inlineStr">
        <is>
          <t>Campus visit</t>
        </is>
      </c>
      <c r="D9" s="33" t="inlineStr">
        <is>
          <t>Scheduled</t>
        </is>
      </c>
    </row>
    <row r="10">
      <c r="A10" s="30" t="n"/>
      <c r="B10" s="22" t="n"/>
      <c r="C10" s="24" t="n"/>
      <c r="D10" s="22" t="n"/>
    </row>
    <row r="11">
      <c r="A11" s="37" t="n"/>
      <c r="B11" s="33" t="n"/>
      <c r="C11" s="32" t="n"/>
      <c r="D11" s="33" t="n"/>
    </row>
    <row r="12">
      <c r="A12" s="30" t="n"/>
      <c r="B12" s="22" t="n"/>
      <c r="C12" s="24" t="n"/>
      <c r="D12" s="22" t="n"/>
    </row>
    <row r="13">
      <c r="A13" s="37" t="n"/>
      <c r="B13" s="33" t="n"/>
      <c r="C13" s="32" t="n"/>
      <c r="D13" s="33" t="n"/>
    </row>
    <row r="14">
      <c r="A14" s="30" t="n"/>
      <c r="B14" s="22" t="n"/>
      <c r="C14" s="24" t="n"/>
      <c r="D14" s="22" t="n"/>
    </row>
    <row r="15">
      <c r="A15" s="37" t="n"/>
      <c r="B15" s="33" t="n"/>
      <c r="C15" s="32" t="n"/>
      <c r="D15" s="33" t="n"/>
    </row>
    <row r="16">
      <c r="A16" s="30" t="n"/>
      <c r="B16" s="22" t="n"/>
      <c r="C16" s="24" t="n"/>
      <c r="D16" s="22" t="n"/>
    </row>
    <row r="17">
      <c r="A17" s="37" t="n"/>
      <c r="B17" s="33" t="n"/>
      <c r="C17" s="32" t="n"/>
      <c r="D17" s="33" t="n"/>
    </row>
    <row r="18">
      <c r="A18" s="30" t="n"/>
      <c r="B18" s="22" t="n"/>
      <c r="C18" s="24" t="n"/>
      <c r="D18" s="22" t="n"/>
    </row>
    <row r="19">
      <c r="A19" s="37" t="n"/>
      <c r="B19" s="33" t="n"/>
      <c r="C19" s="32" t="n"/>
      <c r="D19" s="33" t="n"/>
    </row>
    <row r="20">
      <c r="A20" s="30" t="n"/>
      <c r="B20" s="22" t="n"/>
      <c r="C20" s="24" t="n"/>
      <c r="D20" s="22" t="n"/>
    </row>
    <row r="21">
      <c r="A21" s="37" t="n"/>
      <c r="B21" s="33" t="n"/>
      <c r="C21" s="32" t="n"/>
      <c r="D21" s="33" t="n"/>
    </row>
    <row r="22">
      <c r="A22" s="30" t="n"/>
      <c r="B22" s="22" t="n"/>
      <c r="C22" s="24" t="n"/>
      <c r="D22" s="22" t="n"/>
    </row>
    <row r="23">
      <c r="A23" s="37" t="n"/>
      <c r="B23" s="33" t="n"/>
      <c r="C23" s="32" t="n"/>
      <c r="D23" s="33" t="n"/>
    </row>
    <row r="24">
      <c r="A24" s="30" t="n"/>
      <c r="B24" s="22" t="n"/>
      <c r="C24" s="24" t="n"/>
      <c r="D24" s="22" t="n"/>
    </row>
    <row r="25">
      <c r="A25" s="37" t="n"/>
      <c r="B25" s="33" t="n"/>
      <c r="C25" s="32" t="n"/>
      <c r="D25" s="33" t="n"/>
    </row>
    <row r="26">
      <c r="A26" s="30" t="n"/>
      <c r="B26" s="22" t="n"/>
      <c r="C26" s="24" t="n"/>
      <c r="D26" s="22" t="n"/>
    </row>
    <row r="27">
      <c r="A27" s="37" t="n"/>
      <c r="B27" s="33" t="n"/>
      <c r="C27" s="32" t="n"/>
      <c r="D27" s="33" t="n"/>
    </row>
    <row r="28">
      <c r="A28" s="30" t="n"/>
      <c r="B28" s="22" t="n"/>
      <c r="C28" s="24" t="n"/>
      <c r="D28" s="22" t="n"/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 ht="46" customHeight="1">
      <c r="A1" s="1" t="inlineStr">
        <is>
          <t xml:space="preserve">  🎉  DECISIONS &amp; COMPARISON</t>
        </is>
      </c>
    </row>
    <row r="2" ht="22" customHeight="1">
      <c r="A2" s="2" t="inlineStr">
        <is>
          <t xml:space="preserve">  Every result as it arrives — accepted, waitlist or deferred — so you can compare &amp; choose.</t>
        </is>
      </c>
    </row>
    <row r="3" ht="6" customHeight="1">
      <c r="A3" s="3" t="n"/>
      <c r="B3" s="3" t="n"/>
      <c r="C3" s="3" t="n"/>
    </row>
    <row r="4" ht="30" customHeight="1">
      <c r="A4" s="9" t="inlineStr">
        <is>
          <t>College</t>
        </is>
      </c>
      <c r="B4" s="9" t="inlineStr">
        <is>
          <t>Decision</t>
        </is>
      </c>
      <c r="C4" s="9" t="inlineStr">
        <is>
          <t>Date / Notify</t>
        </is>
      </c>
    </row>
    <row r="5">
      <c r="A5" s="33" t="inlineStr">
        <is>
          <t>Riverside State</t>
        </is>
      </c>
      <c r="B5" s="32" t="inlineStr">
        <is>
          <t>Accepted</t>
        </is>
      </c>
      <c r="C5" s="37" t="n">
        <v>46214</v>
      </c>
    </row>
    <row r="6">
      <c r="A6" s="22" t="inlineStr">
        <is>
          <t>Community Honors</t>
        </is>
      </c>
      <c r="B6" s="24" t="inlineStr">
        <is>
          <t>Accepted</t>
        </is>
      </c>
      <c r="C6" s="30" t="n">
        <v>46218</v>
      </c>
    </row>
    <row r="7">
      <c r="A7" s="33" t="inlineStr">
        <is>
          <t>State Flagship (EA)</t>
        </is>
      </c>
      <c r="B7" s="32" t="inlineStr">
        <is>
          <t>Deferred</t>
        </is>
      </c>
      <c r="C7" s="37" t="n">
        <v>46221</v>
      </c>
    </row>
    <row r="8">
      <c r="A8" s="22" t="inlineStr">
        <is>
          <t>Lakeside College</t>
        </is>
      </c>
      <c r="B8" s="24" t="inlineStr">
        <is>
          <t>Waiting</t>
        </is>
      </c>
      <c r="C8" s="30" t="n">
        <v>46254</v>
      </c>
    </row>
    <row r="9">
      <c r="A9" s="33" t="inlineStr">
        <is>
          <t>Hillcrest University</t>
        </is>
      </c>
      <c r="B9" s="32" t="inlineStr">
        <is>
          <t>Waiting</t>
        </is>
      </c>
      <c r="C9" s="37" t="n">
        <v>46269</v>
      </c>
    </row>
    <row r="10">
      <c r="A10" s="22" t="n"/>
      <c r="B10" s="24" t="n"/>
      <c r="C10" s="30" t="n"/>
    </row>
    <row r="11">
      <c r="A11" s="33" t="n"/>
      <c r="B11" s="32" t="n"/>
      <c r="C11" s="37" t="n"/>
    </row>
    <row r="12">
      <c r="A12" s="22" t="n"/>
      <c r="B12" s="24" t="n"/>
      <c r="C12" s="30" t="n"/>
    </row>
    <row r="13">
      <c r="A13" s="33" t="n"/>
      <c r="B13" s="32" t="n"/>
      <c r="C13" s="37" t="n"/>
    </row>
    <row r="14">
      <c r="A14" s="22" t="n"/>
      <c r="B14" s="24" t="n"/>
      <c r="C14" s="30" t="n"/>
    </row>
    <row r="15">
      <c r="A15" s="33" t="n"/>
      <c r="B15" s="32" t="n"/>
      <c r="C15" s="37" t="n"/>
    </row>
    <row r="16">
      <c r="A16" s="22" t="n"/>
      <c r="B16" s="24" t="n"/>
      <c r="C16" s="30" t="n"/>
    </row>
    <row r="17">
      <c r="A17" s="33" t="n"/>
      <c r="B17" s="32" t="n"/>
      <c r="C17" s="37" t="n"/>
    </row>
    <row r="18">
      <c r="A18" s="22" t="n"/>
      <c r="B18" s="24" t="n"/>
      <c r="C18" s="30" t="n"/>
    </row>
    <row r="19">
      <c r="A19" s="33" t="n"/>
      <c r="B19" s="32" t="n"/>
      <c r="C19" s="37" t="n"/>
    </row>
    <row r="20">
      <c r="A20" s="22" t="n"/>
      <c r="B20" s="24" t="n"/>
      <c r="C20" s="30" t="n"/>
    </row>
    <row r="21">
      <c r="A21" s="33" t="n"/>
      <c r="B21" s="32" t="n"/>
      <c r="C21" s="37" t="n"/>
    </row>
    <row r="22">
      <c r="A22" s="22" t="n"/>
      <c r="B22" s="24" t="n"/>
      <c r="C22" s="30" t="n"/>
    </row>
    <row r="23">
      <c r="A23" s="33" t="n"/>
      <c r="B23" s="32" t="n"/>
      <c r="C23" s="37" t="n"/>
    </row>
    <row r="24">
      <c r="A24" s="22" t="n"/>
      <c r="B24" s="24" t="n"/>
      <c r="C24" s="30" t="n"/>
    </row>
  </sheetData>
  <mergeCells count="2">
    <mergeCell ref="A1:C1"/>
    <mergeCell ref="A2:C2"/>
  </mergeCells>
  <conditionalFormatting sqref="B5:B24">
    <cfRule type="cellIs" priority="1" operator="equal" dxfId="1">
      <formula>"Accepted"</formula>
    </cfRule>
    <cfRule type="cellIs" priority="2" operator="equal" dxfId="0">
      <formula>"Waitlist"</formula>
    </cfRule>
    <cfRule type="cellIs" priority="3" operator="equal" dxfId="2">
      <formula>"Deferred"</formula>
    </cfRule>
    <cfRule type="cellIs" priority="4" operator="equal" dxfId="3">
      <formula>"Denied"</formula>
    </cfRule>
    <cfRule type="cellIs" priority="5" operator="equal" dxfId="4">
      <formula>"Waiting"</formula>
    </cfRule>
  </conditionalFormatting>
  <dataValidations count="1">
    <dataValidation sqref="B5:B24" showDropDown="0" showInputMessage="0" showErrorMessage="0" allowBlank="1" type="list">
      <formula1>=DecisionList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</cols>
  <sheetData>
    <row r="1" ht="46" customHeight="1">
      <c r="A1" s="1" t="inlineStr">
        <is>
          <t xml:space="preserve">  ✅  MASTER TO-DO LIST</t>
        </is>
      </c>
    </row>
    <row r="2" ht="22" customHeight="1">
      <c r="A2" s="2" t="inlineStr">
        <is>
          <t xml:space="preserve">  Everything that has to happen this season — check it off &amp; watch the finish line get closer.</t>
        </is>
      </c>
    </row>
    <row r="3" ht="6" customHeight="1">
      <c r="A3" s="3" t="n"/>
      <c r="B3" s="3" t="n"/>
    </row>
    <row r="4" ht="30" customHeight="1">
      <c r="A4" s="9" t="inlineStr">
        <is>
          <t>Task</t>
        </is>
      </c>
      <c r="B4" s="9" t="inlineStr">
        <is>
          <t>Done?</t>
        </is>
      </c>
    </row>
    <row r="5">
      <c r="A5" s="33" t="inlineStr">
        <is>
          <t>Finalize Common App personal statement</t>
        </is>
      </c>
      <c r="B5" s="32" t="inlineStr">
        <is>
          <t>Yes</t>
        </is>
      </c>
    </row>
    <row r="6">
      <c r="A6" s="22" t="inlineStr">
        <is>
          <t>Submit State Flagship EA</t>
        </is>
      </c>
      <c r="B6" s="24" t="inlineStr">
        <is>
          <t>Yes</t>
        </is>
      </c>
    </row>
    <row r="7">
      <c r="A7" s="33" t="inlineStr">
        <is>
          <t>Request all recommendation letters</t>
        </is>
      </c>
      <c r="B7" s="32" t="inlineStr">
        <is>
          <t>Yes</t>
        </is>
      </c>
    </row>
    <row r="8">
      <c r="A8" s="22" t="inlineStr">
        <is>
          <t>Send official test scores</t>
        </is>
      </c>
      <c r="B8" s="24" t="inlineStr">
        <is>
          <t>Yes</t>
        </is>
      </c>
    </row>
    <row r="9">
      <c r="A9" s="33" t="inlineStr">
        <is>
          <t>Submit FAFSA</t>
        </is>
      </c>
      <c r="B9" s="32" t="inlineStr">
        <is>
          <t>Yes</t>
        </is>
      </c>
    </row>
    <row r="10">
      <c r="A10" s="22" t="inlineStr">
        <is>
          <t>Finish Coastal U 'why major' essay</t>
        </is>
      </c>
      <c r="B10" s="24" t="inlineStr">
        <is>
          <t>Yes</t>
        </is>
      </c>
    </row>
    <row r="11">
      <c r="A11" s="33" t="inlineStr">
        <is>
          <t>Submit Riverside State</t>
        </is>
      </c>
      <c r="B11" s="32" t="inlineStr">
        <is>
          <t>Yes</t>
        </is>
      </c>
    </row>
    <row r="12">
      <c r="A12" s="22" t="inlineStr">
        <is>
          <t>Submit Community Honors</t>
        </is>
      </c>
      <c r="B12" s="24" t="inlineStr">
        <is>
          <t>Yes</t>
        </is>
      </c>
    </row>
    <row r="13">
      <c r="A13" s="33" t="inlineStr">
        <is>
          <t>Draft Northwood community essay</t>
        </is>
      </c>
      <c r="B13" s="32" t="inlineStr">
        <is>
          <t>Yes</t>
        </is>
      </c>
    </row>
    <row r="14">
      <c r="A14" s="22" t="inlineStr">
        <is>
          <t>Submit Lakeside College</t>
        </is>
      </c>
      <c r="B14" s="24" t="inlineStr">
        <is>
          <t>Yes</t>
        </is>
      </c>
    </row>
    <row r="15">
      <c r="A15" s="33" t="inlineStr">
        <is>
          <t>Follow up with Coach Rivera on rec</t>
        </is>
      </c>
      <c r="B15" s="32" t="inlineStr">
        <is>
          <t>No</t>
        </is>
      </c>
    </row>
    <row r="16">
      <c r="A16" s="22" t="inlineStr">
        <is>
          <t>Submit Hillcrest University</t>
        </is>
      </c>
      <c r="B16" s="24" t="inlineStr">
        <is>
          <t>No</t>
        </is>
      </c>
    </row>
    <row r="17">
      <c r="A17" s="33" t="inlineStr">
        <is>
          <t>Finish Valley Tech essays</t>
        </is>
      </c>
      <c r="B17" s="32" t="inlineStr">
        <is>
          <t>No</t>
        </is>
      </c>
    </row>
    <row r="18">
      <c r="A18" s="22" t="inlineStr">
        <is>
          <t>Submit Coastal U</t>
        </is>
      </c>
      <c r="B18" s="24" t="inlineStr">
        <is>
          <t>No</t>
        </is>
      </c>
    </row>
    <row r="19">
      <c r="A19" s="33" t="inlineStr">
        <is>
          <t>Apply: Community Foundation scholarship</t>
        </is>
      </c>
      <c r="B19" s="32" t="inlineStr">
        <is>
          <t>Yes</t>
        </is>
      </c>
    </row>
    <row r="20">
      <c r="A20" s="22" t="inlineStr">
        <is>
          <t>Apply: Rotary scholarship</t>
        </is>
      </c>
      <c r="B20" s="24" t="inlineStr">
        <is>
          <t>Yes</t>
        </is>
      </c>
    </row>
    <row r="21">
      <c r="A21" s="33" t="inlineStr">
        <is>
          <t>Compare aid offers (net price)</t>
        </is>
      </c>
      <c r="B21" s="32" t="inlineStr">
        <is>
          <t>No</t>
        </is>
      </c>
    </row>
    <row r="22">
      <c r="A22" s="22" t="inlineStr">
        <is>
          <t>Submit Northwood University</t>
        </is>
      </c>
      <c r="B22" s="24" t="inlineStr">
        <is>
          <t>No</t>
        </is>
      </c>
    </row>
    <row r="23">
      <c r="A23" s="33" t="inlineStr">
        <is>
          <t>Submit Valley Tech</t>
        </is>
      </c>
      <c r="B23" s="32" t="inlineStr">
        <is>
          <t>No</t>
        </is>
      </c>
    </row>
    <row r="24">
      <c r="A24" s="22" t="inlineStr">
        <is>
          <t>Send thank-you notes to recommenders</t>
        </is>
      </c>
      <c r="B24" s="24" t="inlineStr">
        <is>
          <t>No</t>
        </is>
      </c>
    </row>
    <row r="25">
      <c r="A25" s="33" t="n"/>
      <c r="B25" s="32" t="n"/>
    </row>
    <row r="26">
      <c r="A26" s="22" t="n"/>
      <c r="B26" s="24" t="n"/>
    </row>
    <row r="27">
      <c r="A27" s="33" t="n"/>
      <c r="B27" s="32" t="n"/>
    </row>
    <row r="28">
      <c r="A28" s="22" t="n"/>
      <c r="B28" s="24" t="n"/>
    </row>
    <row r="29">
      <c r="A29" s="33" t="n"/>
      <c r="B29" s="32" t="n"/>
    </row>
    <row r="30">
      <c r="A30" s="22" t="n"/>
      <c r="B30" s="24" t="n"/>
    </row>
    <row r="31">
      <c r="A31" s="33" t="n"/>
      <c r="B31" s="32" t="n"/>
    </row>
    <row r="32">
      <c r="A32" s="22" t="n"/>
      <c r="B32" s="24" t="n"/>
    </row>
    <row r="33">
      <c r="A33" s="33" t="n"/>
      <c r="B33" s="32" t="n"/>
    </row>
    <row r="34">
      <c r="A34" s="22" t="n"/>
      <c r="B34" s="24" t="n"/>
    </row>
    <row r="35">
      <c r="A35" s="33" t="n"/>
      <c r="B35" s="32" t="n"/>
    </row>
    <row r="36">
      <c r="A36" s="22" t="n"/>
      <c r="B36" s="24" t="n"/>
    </row>
    <row r="37">
      <c r="A37" s="33" t="n"/>
      <c r="B37" s="32" t="n"/>
    </row>
    <row r="38">
      <c r="A38" s="22" t="n"/>
      <c r="B38" s="24" t="n"/>
    </row>
    <row r="39">
      <c r="A39" s="33" t="n"/>
      <c r="B39" s="32" t="n"/>
    </row>
    <row r="40">
      <c r="A40" s="22" t="n"/>
      <c r="B40" s="24" t="n"/>
    </row>
    <row r="41">
      <c r="A41" s="33" t="n"/>
      <c r="B41" s="32" t="n"/>
    </row>
    <row r="42">
      <c r="A42" s="22" t="n"/>
      <c r="B42" s="24" t="n"/>
    </row>
    <row r="43">
      <c r="A43" s="33" t="n"/>
      <c r="B43" s="32" t="n"/>
    </row>
    <row r="44">
      <c r="A44" s="22" t="n"/>
      <c r="B44" s="24" t="n"/>
    </row>
  </sheetData>
  <mergeCells count="2">
    <mergeCell ref="A2:B2"/>
    <mergeCell ref="A1:B1"/>
  </mergeCells>
  <conditionalFormatting sqref="B5:B44">
    <cfRule type="cellIs" priority="1" operator="equal" dxfId="1">
      <formula>"Yes"</formula>
    </cfRule>
    <cfRule type="cellIs" priority="2" operator="equal" dxfId="0">
      <formula>"No"</formula>
    </cfRule>
  </conditionalFormatting>
  <dataValidations count="1">
    <dataValidation sqref="B5:B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0" customWidth="1" min="4" max="4"/>
    <col width="2" customWidth="1" min="5" max="5"/>
  </cols>
  <sheetData>
    <row r="1" ht="46" customHeight="1">
      <c r="A1" s="1" t="inlineStr">
        <is>
          <t xml:space="preserve">  🗓  DEADLINES CALENDAR</t>
        </is>
      </c>
    </row>
    <row r="2" ht="22" customHeight="1">
      <c r="A2" s="2" t="inlineStr">
        <is>
          <t xml:space="preserve">  The dates that matter, in order — applications, scholarships, aid &amp; decisions.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What's Due</t>
        </is>
      </c>
      <c r="C4" s="9" t="inlineStr">
        <is>
          <t>Date</t>
        </is>
      </c>
      <c r="D4" s="9" t="inlineStr">
        <is>
          <t>Type</t>
        </is>
      </c>
    </row>
    <row r="5">
      <c r="B5" s="19" t="inlineStr">
        <is>
          <t>Riverside State</t>
        </is>
      </c>
      <c r="C5" s="28" t="n">
        <v>46206</v>
      </c>
      <c r="D5" s="21" t="inlineStr">
        <is>
          <t>Application</t>
        </is>
      </c>
    </row>
    <row r="6">
      <c r="B6" s="22" t="inlineStr">
        <is>
          <t>State Flagship — EA</t>
        </is>
      </c>
      <c r="C6" s="30" t="n">
        <v>46219</v>
      </c>
      <c r="D6" s="24" t="inlineStr">
        <is>
          <t>Application</t>
        </is>
      </c>
    </row>
    <row r="7">
      <c r="B7" s="19" t="inlineStr">
        <is>
          <t>Lakeside College</t>
        </is>
      </c>
      <c r="C7" s="28" t="n">
        <v>46234</v>
      </c>
      <c r="D7" s="21" t="inlineStr">
        <is>
          <t>Application</t>
        </is>
      </c>
    </row>
    <row r="8">
      <c r="B8" s="22" t="inlineStr">
        <is>
          <t>Community Foundation scholarship</t>
        </is>
      </c>
      <c r="C8" s="30" t="n">
        <v>46239</v>
      </c>
      <c r="D8" s="24" t="inlineStr">
        <is>
          <t>Scholarship</t>
        </is>
      </c>
    </row>
    <row r="9">
      <c r="B9" s="19" t="inlineStr">
        <is>
          <t>Athletic Booster scholarship</t>
        </is>
      </c>
      <c r="C9" s="28" t="n">
        <v>46242</v>
      </c>
      <c r="D9" s="21" t="inlineStr">
        <is>
          <t>Scholarship</t>
        </is>
      </c>
    </row>
    <row r="10">
      <c r="B10" s="22" t="inlineStr">
        <is>
          <t>Hillcrest University</t>
        </is>
      </c>
      <c r="C10" s="30" t="n">
        <v>46244</v>
      </c>
      <c r="D10" s="24" t="inlineStr">
        <is>
          <t>Application</t>
        </is>
      </c>
    </row>
    <row r="11">
      <c r="B11" s="19" t="inlineStr">
        <is>
          <t>Rotary scholarship</t>
        </is>
      </c>
      <c r="C11" s="28" t="n">
        <v>46246</v>
      </c>
      <c r="D11" s="21" t="inlineStr">
        <is>
          <t>Scholarship</t>
        </is>
      </c>
    </row>
    <row r="12">
      <c r="B12" s="22" t="inlineStr">
        <is>
          <t>Coastal U</t>
        </is>
      </c>
      <c r="C12" s="30" t="n">
        <v>46248</v>
      </c>
      <c r="D12" s="24" t="inlineStr">
        <is>
          <t>Application</t>
        </is>
      </c>
    </row>
    <row r="13">
      <c r="B13" s="19" t="inlineStr">
        <is>
          <t>Northwood University</t>
        </is>
      </c>
      <c r="C13" s="28" t="n">
        <v>46254</v>
      </c>
      <c r="D13" s="21" t="inlineStr">
        <is>
          <t>Application</t>
        </is>
      </c>
    </row>
    <row r="14">
      <c r="B14" s="22" t="inlineStr">
        <is>
          <t>Valley Tech</t>
        </is>
      </c>
      <c r="C14" s="30" t="n">
        <v>46254</v>
      </c>
      <c r="D14" s="24" t="inlineStr">
        <is>
          <t>Application</t>
        </is>
      </c>
    </row>
    <row r="15">
      <c r="B15" s="19" t="inlineStr">
        <is>
          <t>First-Gen STEM grant</t>
        </is>
      </c>
      <c r="C15" s="28" t="n">
        <v>46254</v>
      </c>
      <c r="D15" s="21" t="inlineStr">
        <is>
          <t>Scholarship</t>
        </is>
      </c>
    </row>
    <row r="16">
      <c r="B16" s="22" t="inlineStr">
        <is>
          <t>Community Honors (rolling)</t>
        </is>
      </c>
      <c r="C16" s="30" t="n">
        <v>46264</v>
      </c>
      <c r="D16" s="24" t="inlineStr">
        <is>
          <t>Application</t>
        </is>
      </c>
    </row>
    <row r="17">
      <c r="B17" s="19" t="inlineStr">
        <is>
          <t>National Merit</t>
        </is>
      </c>
      <c r="C17" s="28" t="n">
        <v>46269</v>
      </c>
      <c r="D17" s="21" t="inlineStr">
        <is>
          <t>Scholarship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applicant details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APPLICANT</t>
        </is>
      </c>
      <c r="E5" s="4" t="inlineStr">
        <is>
          <t>DROPDOWN LISTS</t>
        </is>
      </c>
    </row>
    <row r="6">
      <c r="B6" s="26" t="inlineStr">
        <is>
          <t>Applicant Name</t>
        </is>
      </c>
      <c r="C6" s="29" t="inlineStr">
        <is>
          <t>Ella Bennett</t>
        </is>
      </c>
      <c r="E6" s="9" t="inlineStr">
        <is>
          <t>Type</t>
        </is>
      </c>
      <c r="F6" s="9" t="inlineStr">
        <is>
          <t>Yes / No</t>
        </is>
      </c>
      <c r="G6" s="9" t="inlineStr">
        <is>
          <t>Essay</t>
        </is>
      </c>
      <c r="H6" s="9" t="inlineStr">
        <is>
          <t>Decision</t>
        </is>
      </c>
      <c r="I6" s="9" t="inlineStr">
        <is>
          <t>Scholarship</t>
        </is>
      </c>
      <c r="J6" s="9" t="inlineStr">
        <is>
          <t>Rec Role</t>
        </is>
      </c>
      <c r="K6" s="9" t="inlineStr">
        <is>
          <t>App Type</t>
        </is>
      </c>
    </row>
    <row r="7">
      <c r="B7" s="26" t="inlineStr">
        <is>
          <t>Class Of</t>
        </is>
      </c>
      <c r="C7" s="29" t="inlineStr">
        <is>
          <t>2027</t>
        </is>
      </c>
      <c r="E7" s="19" t="inlineStr">
        <is>
          <t>Reach</t>
        </is>
      </c>
      <c r="F7" s="19" t="inlineStr">
        <is>
          <t>Yes</t>
        </is>
      </c>
      <c r="G7" s="19" t="inlineStr">
        <is>
          <t>Not Started</t>
        </is>
      </c>
      <c r="H7" s="19" t="inlineStr">
        <is>
          <t>Waiting</t>
        </is>
      </c>
      <c r="I7" s="19" t="inlineStr">
        <is>
          <t>Researching</t>
        </is>
      </c>
      <c r="J7" s="19" t="inlineStr">
        <is>
          <t>Counselor</t>
        </is>
      </c>
      <c r="K7" s="19" t="inlineStr">
        <is>
          <t>Common App</t>
        </is>
      </c>
    </row>
    <row r="8">
      <c r="B8" s="26" t="inlineStr">
        <is>
          <t>Weighted GPA</t>
        </is>
      </c>
      <c r="C8" s="45" t="n">
        <v>4.06</v>
      </c>
      <c r="E8" s="19" t="inlineStr">
        <is>
          <t>Match</t>
        </is>
      </c>
      <c r="F8" s="19" t="inlineStr">
        <is>
          <t>No</t>
        </is>
      </c>
      <c r="G8" s="19" t="inlineStr">
        <is>
          <t>Drafting</t>
        </is>
      </c>
      <c r="H8" s="19" t="inlineStr">
        <is>
          <t>Accepted</t>
        </is>
      </c>
      <c r="I8" s="19" t="inlineStr">
        <is>
          <t>Applied</t>
        </is>
      </c>
      <c r="J8" s="19" t="inlineStr">
        <is>
          <t>Teacher — Core</t>
        </is>
      </c>
      <c r="K8" s="19" t="inlineStr">
        <is>
          <t>Coalition</t>
        </is>
      </c>
    </row>
    <row r="9">
      <c r="B9" s="26" t="inlineStr">
        <is>
          <t>Best SAT</t>
        </is>
      </c>
      <c r="C9" s="46" t="n">
        <v>1380</v>
      </c>
      <c r="E9" s="19" t="inlineStr">
        <is>
          <t>Safety</t>
        </is>
      </c>
      <c r="G9" s="19" t="inlineStr">
        <is>
          <t>Revising</t>
        </is>
      </c>
      <c r="H9" s="19" t="inlineStr">
        <is>
          <t>Waitlist</t>
        </is>
      </c>
      <c r="I9" s="19" t="inlineStr">
        <is>
          <t>Awarded</t>
        </is>
      </c>
      <c r="J9" s="19" t="inlineStr">
        <is>
          <t>Teacher — Elective</t>
        </is>
      </c>
      <c r="K9" s="19" t="inlineStr">
        <is>
          <t>Direct</t>
        </is>
      </c>
    </row>
    <row r="10">
      <c r="B10" s="26" t="inlineStr">
        <is>
          <t>Best ACT</t>
        </is>
      </c>
      <c r="C10" s="46" t="n">
        <v>30</v>
      </c>
      <c r="G10" s="19" t="inlineStr">
        <is>
          <t>Final</t>
        </is>
      </c>
      <c r="H10" s="19" t="inlineStr">
        <is>
          <t>Denied</t>
        </is>
      </c>
      <c r="I10" s="19" t="inlineStr">
        <is>
          <t>Denied</t>
        </is>
      </c>
      <c r="J10" s="19" t="inlineStr">
        <is>
          <t>Coach / Mentor</t>
        </is>
      </c>
      <c r="K10" s="19" t="inlineStr">
        <is>
          <t>UC App</t>
        </is>
      </c>
    </row>
    <row r="11">
      <c r="B11" s="26" t="inlineStr">
        <is>
          <t>Intended Major</t>
        </is>
      </c>
      <c r="C11" s="29" t="inlineStr">
        <is>
          <t>Environmental Science</t>
        </is>
      </c>
      <c r="H11" s="19" t="inlineStr">
        <is>
          <t>Deferred</t>
        </is>
      </c>
      <c r="J11" s="19" t="inlineStr">
        <is>
          <t>Other</t>
        </is>
      </c>
    </row>
    <row r="12">
      <c r="B12" s="26" t="inlineStr">
        <is>
          <t>Scholarship Goal (# applied)</t>
        </is>
      </c>
      <c r="C12" s="46" t="n">
        <v>8</v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2026-07-21T07:37:01Z</dcterms:created>
  <dcterms:modified xsi:type="dcterms:W3CDTF">2026-07-21T07:37:01Z</dcterms:modified>
</cp:coreProperties>
</file>