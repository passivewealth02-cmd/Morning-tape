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4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Family Directory" sheetId="3" state="visible" r:id="rId3"/>
    <sheet name="Calendar" sheetId="4" state="visible" r:id="rId4"/>
    <sheet name="Daily" sheetId="5" state="visible" r:id="rId5"/>
    <sheet name="Budget" sheetId="6" state="visible" r:id="rId6"/>
    <sheet name="Bills" sheetId="7" state="visible" r:id="rId7"/>
    <sheet name="Grocery" sheetId="8" state="visible" r:id="rId8"/>
    <sheet name="Pantry" sheetId="9" state="visible" r:id="rId9"/>
    <sheet name="Fridge &amp; Freezer" sheetId="10" state="visible" r:id="rId10"/>
    <sheet name="Meal Planner" sheetId="11" state="visible" r:id="rId11"/>
    <sheet name="Recipes" sheetId="12" state="visible" r:id="rId12"/>
    <sheet name="Cleaning" sheetId="13" state="visible" r:id="rId13"/>
    <sheet name="Chores" sheetId="14" state="visible" r:id="rId14"/>
    <sheet name="Maintenance" sheetId="15" state="visible" r:id="rId15"/>
    <sheet name="Home Inventory" sheetId="16" state="visible" r:id="rId16"/>
    <sheet name="Subscriptions" sheetId="17" state="visible" r:id="rId17"/>
    <sheet name="Family Goals" sheetId="18" state="visible" r:id="rId18"/>
    <sheet name="Savings" sheetId="19" state="visible" r:id="rId19"/>
    <sheet name="Holidays &amp; Events" sheetId="20" state="visible" r:id="rId20"/>
    <sheet name="Travel" sheetId="21" state="visible" r:id="rId21"/>
    <sheet name="Children's Hub" sheetId="22" state="visible" r:id="rId22"/>
    <sheet name="Pet Care" sheetId="23" state="visible" r:id="rId23"/>
    <sheet name="Wellness" sheetId="24" state="visible" r:id="rId24"/>
    <sheet name="Projects" sheetId="25" state="visible" r:id="rId25"/>
    <sheet name="Documents" sheetId="26" state="visible" r:id="rId26"/>
    <sheet name="Analytics" sheetId="27" state="visible" r:id="rId27"/>
    <sheet name="Inspiration" sheetId="28" state="visible" r:id="rId28"/>
    <sheet name="Settings" sheetId="29" state="visible" r:id="rId29"/>
  </sheets>
  <definedNames>
    <definedName name="HouseholdName">Settings!$C$6</definedName>
    <definedName name="MonthlyIncome">Settings!$C$7</definedName>
    <definedName name="MonthlyBudget">Settings!$C$8</definedName>
    <definedName name="WeekStart">Settings!$C$9</definedName>
    <definedName name="FamilyList">Settings!$E$7:$E$11</definedName>
    <definedName name="ExpenseCatList">Settings!$F$7:$F$24</definedName>
    <definedName name="GroceryCatList">Settings!$G$7:$G$16</definedName>
    <definedName name="PantryCatList">Settings!$H$7:$H$14</definedName>
    <definedName name="CleanFreqList">Settings!$I$7:$I$11</definedName>
    <definedName name="ChoreFreqList">Settings!$J$7:$J$10</definedName>
    <definedName name="MaintCatList">Settings!$K$7:$K$15</definedName>
    <definedName name="GoalCatList">Settings!$E$26:$E$31</definedName>
    <definedName name="MealTypeList">Settings!$F$26:$F$30</definedName>
    <definedName name="StatusList">Settings!$G$26:$G$28</definedName>
    <definedName name="PriorityList">Settings!$H$26:$H$28</definedName>
    <definedName name="CalCatList">Settings!$I$26:$I$35</definedName>
    <definedName name="StoreList">Settings!$J$26:$J$32</definedName>
    <definedName name="YesNoList">Settings!$K$26:$K$27</definedName>
    <definedName name="CalDate">'Calendar'!$C$5:$C$64</definedName>
    <definedName name="CalEvent">'Calendar'!$A$5:$A$64</definedName>
    <definedName name="BudgetCat">'Budget'!$A$5:$A$22</definedName>
    <definedName name="BudgetActual">'Budget'!$C$5:$C$22</definedName>
    <definedName name="BudgetTotalPlanned">Budget!$B$23</definedName>
    <definedName name="BudgetTotalActual">Budget!$C$23</definedName>
    <definedName name="BillName">'Bills'!$A$5:$A$44</definedName>
    <definedName name="BillAmount">'Bills'!$C$5:$C$44</definedName>
    <definedName name="BillDue">'Bills'!$D$5:$D$44</definedName>
    <definedName name="BillPaid">'Bills'!$F$5:$F$44</definedName>
    <definedName name="GrocCat">'Grocery'!$B$5:$B$64</definedName>
    <definedName name="GrocEst">'Grocery'!$E$5:$E$64</definedName>
    <definedName name="GrocActual">'Grocery'!$G$5:$G$64</definedName>
    <definedName name="GrocBought">'Grocery'!$F$5:$F$64</definedName>
    <definedName name="PantryName">'Pantry'!$A$5:$A$64</definedName>
    <definedName name="PantryCat">'Pantry'!$B$5:$B$64</definedName>
    <definedName name="PantryQty">'Pantry'!$C$5:$C$64</definedName>
    <definedName name="PantryReorder">'Pantry'!$D$5:$D$64</definedName>
    <definedName name="PantryCatLabels">Pantry!$I$6:$I$13</definedName>
    <definedName name="PantryCatVals">Pantry!$J$6:$J$13</definedName>
    <definedName name="MealWeek">'Meal Planner'!$B$6:$H$10</definedName>
    <definedName name="CleanTask">'Cleaning'!$A$5:$A$54</definedName>
    <definedName name="CleanFreq">'Cleaning'!$C$5:$C$54</definedName>
    <definedName name="CleanStatus">'Cleaning'!$E$5:$E$54</definedName>
    <definedName name="CleanFreqLabels">Cleaning!$H$6:$H$10</definedName>
    <definedName name="CleanFreqPct">Cleaning!$J$6:$J$10</definedName>
    <definedName name="ChoreAssigned">'Chores'!$B$5:$B$44</definedName>
    <definedName name="ChoreStatus">'Chores'!$D$5:$D$44</definedName>
    <definedName name="ChorePct">'Chores'!$F$5:$F$44</definedName>
    <definedName name="ChoreMembers">Chores!$H$6:$H$10</definedName>
    <definedName name="ChoreMemberPct">Chores!$I$6:$I$10</definedName>
    <definedName name="MaintTask">'Maintenance'!$A$5:$A$54</definedName>
    <definedName name="MaintNext">'Maintenance'!$E$5:$E$54</definedName>
    <definedName name="SubMonthly">'Subscriptions'!$D$5:$D$44</definedName>
    <definedName name="SubAnnual">'Subscriptions'!$E$5:$E$44</definedName>
    <definedName name="GoalName">'Family Goals'!$A$5:$A$44</definedName>
    <definedName name="GoalProgress">'Family Goals'!$D$5:$D$44</definedName>
    <definedName name="GoalStatus">'Family Goals'!$E$5:$E$44</definedName>
    <definedName name="SavName">'Savings'!$A$5:$A$10</definedName>
    <definedName name="SavTarget">'Savings'!$B$5:$B$10</definedName>
    <definedName name="SavCurrent">'Savings'!$C$5:$C$10</definedName>
    <definedName name="SavFunded">'Savings'!$F$5:$F$10</definedName>
    <definedName name="WellSleep">'Wellness'!$B$6:$B$12</definedName>
    <definedName name="WellWater">'Wellness'!$C$6:$C$12</definedName>
    <definedName name="ProjName">'Projects'!$A$5:$A$16</definedName>
    <definedName name="ProjStatus">'Projects'!$H$5:$H$16</definedName>
    <definedName name="ProjBudget">'Projects'!$B$5:$B$16</definedName>
    <definedName name="ProjSpent">'Projects'!$C$5:$C$16</definedName>
    <definedName name="HealthScores">'Analytics'!$C$7:$C$14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yyyy-mm-dd"/>
    <numFmt numFmtId="166" formatCode="mm/dd/yyyy"/>
    <numFmt numFmtId="167" formatCode="0;[Red]-0"/>
    <numFmt numFmtId="168" formatCode="&quot;$&quot;#,##0;[Red]-&quot;$&quot;#,##0"/>
    <numFmt numFmtId="169" formatCode="0.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i val="1"/>
      <color rgb="00333333"/>
      <sz val="11"/>
    </font>
    <font>
      <name val="Calibri"/>
      <b val="1"/>
      <i val="1"/>
      <color rgb="00937356"/>
      <sz val="11"/>
    </font>
    <font>
      <color rgb="00333333"/>
      <sz val="11"/>
    </font>
    <font>
      <color rgb="00937356"/>
      <sz val="12"/>
    </font>
    <font>
      <color rgb="0075E6C1"/>
      <sz val="14"/>
    </font>
    <font>
      <b val="1"/>
      <color rgb="001B4F48"/>
    </font>
    <font>
      <b val="1"/>
      <color rgb="00C9A86A"/>
    </font>
    <font>
      <b val="1"/>
      <color rgb="0075E6C1"/>
    </font>
    <font>
      <b val="1"/>
      <color rgb="001B4F48"/>
      <sz val="48"/>
    </font>
    <font>
      <b val="1"/>
      <color rgb="00937356"/>
      <sz val="9"/>
    </font>
    <font>
      <b val="1"/>
      <color rgb="001B4F48"/>
      <sz val="20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FBF8F2"/>
      </patternFill>
    </fill>
    <fill>
      <patternFill patternType="solid">
        <fgColor rgb="00C9A86A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9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/>
      <right/>
      <top style="thin">
        <color rgb="00D6D2C8"/>
      </top>
      <bottom/>
      <diagonal/>
    </border>
    <border>
      <left/>
      <right style="thin">
        <color rgb="00D6D2C8"/>
      </right>
      <top style="thin">
        <color rgb="00D6D2C8"/>
      </top>
      <bottom/>
      <diagonal/>
    </border>
    <border>
      <left/>
      <right style="thin">
        <color rgb="00D6D2C8"/>
      </right>
      <top style="thin">
        <color rgb="00D6D2C8"/>
      </top>
      <bottom style="thin">
        <color rgb="00D6D2C8"/>
      </bottom>
      <diagonal/>
    </border>
    <border>
      <left/>
      <right/>
      <top style="thin">
        <color rgb="00D6D2C8"/>
      </top>
      <bottom style="thin">
        <color rgb="00D6D2C8"/>
      </bottom>
      <diagonal/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5" borderId="2" applyAlignment="1">
      <alignment horizontal="left" vertical="top" wrapText="1" indent="1"/>
    </xf>
    <xf numFmtId="0" fontId="10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</cellStyleXfs>
  <cellXfs count="66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6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0" borderId="1" applyAlignment="1" pivotButton="0" quotePrefix="0" xfId="13">
      <alignment horizontal="left" vertical="top" wrapText="1" indent="1"/>
    </xf>
    <xf numFmtId="0" fontId="3" fillId="0" borderId="1" applyAlignment="1" pivotButton="0" quotePrefix="0" xfId="3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11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8" fillId="8" borderId="8" applyAlignment="1" pivotButton="0" quotePrefix="0" xfId="0">
      <alignment horizontal="center" vertical="center"/>
    </xf>
    <xf numFmtId="0" fontId="0" fillId="8" borderId="8" pivotButton="0" quotePrefix="0" xfId="0"/>
    <xf numFmtId="164" fontId="19" fillId="8" borderId="2" applyAlignment="1" pivotButton="0" quotePrefix="0" xfId="0">
      <alignment horizontal="center" vertical="center"/>
    </xf>
    <xf numFmtId="0" fontId="0" fillId="8" borderId="2" pivotButton="0" quotePrefix="0" xfId="0"/>
    <xf numFmtId="0" fontId="19" fillId="8" borderId="2" applyAlignment="1" pivotButton="0" quotePrefix="0" xfId="0">
      <alignment horizontal="center" vertical="center"/>
    </xf>
    <xf numFmtId="9" fontId="19" fillId="8" borderId="2" applyAlignment="1" pivotButton="0" quotePrefix="0" xfId="0">
      <alignment horizontal="center" vertical="center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" fontId="7" fillId="0" borderId="2" applyAlignment="1" pivotButton="0" quotePrefix="0" xfId="10">
      <alignment horizontal="left" vertical="center" indent="1"/>
    </xf>
    <xf numFmtId="167" fontId="6" fillId="9" borderId="2" applyAlignment="1" pivotButton="0" quotePrefix="0" xfId="6">
      <alignment horizontal="center" vertical="center" wrapText="1"/>
    </xf>
    <xf numFmtId="0" fontId="12" fillId="0" borderId="2" applyAlignment="1" pivotButton="0" quotePrefix="0" xfId="0">
      <alignment horizontal="center"/>
    </xf>
    <xf numFmtId="0" fontId="6" fillId="0" borderId="2" applyAlignment="1" pivotButton="0" quotePrefix="0" xfId="7">
      <alignment horizontal="left" vertical="center" wrapText="1" indent="1"/>
    </xf>
    <xf numFmtId="0" fontId="0" fillId="0" borderId="2" pivotButton="0" quotePrefix="0" xfId="0"/>
    <xf numFmtId="0" fontId="7" fillId="3" borderId="2" applyAlignment="1" pivotButton="0" quotePrefix="0" xfId="8">
      <alignment horizontal="center" vertical="center"/>
    </xf>
    <xf numFmtId="0" fontId="7" fillId="0" borderId="2" applyAlignment="1" pivotButton="0" quotePrefix="0" xfId="10">
      <alignment horizontal="left" vertical="center" indent="1"/>
    </xf>
    <xf numFmtId="0" fontId="13" fillId="0" borderId="2" applyAlignment="1" pivotButton="0" quotePrefix="0" xfId="0">
      <alignment horizontal="center"/>
    </xf>
    <xf numFmtId="0" fontId="9" fillId="5" borderId="2" applyAlignment="1" pivotButton="0" quotePrefix="0" xfId="11">
      <alignment horizontal="left" vertical="top" wrapText="1" indent="1"/>
    </xf>
    <xf numFmtId="164" fontId="7" fillId="3" borderId="2" applyAlignment="1" pivotButton="0" quotePrefix="0" xfId="8">
      <alignment horizontal="center" vertical="center"/>
    </xf>
    <xf numFmtId="168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164" fontId="7" fillId="0" borderId="2" applyAlignment="1" pivotButton="0" quotePrefix="0" xfId="10">
      <alignment horizontal="left" vertical="center" indent="1"/>
    </xf>
    <xf numFmtId="164" fontId="7" fillId="9" borderId="2" applyAlignment="1" pivotButton="0" quotePrefix="0" xfId="8">
      <alignment horizontal="center" vertical="center"/>
    </xf>
    <xf numFmtId="168" fontId="6" fillId="9" borderId="2" applyAlignment="1" pivotButton="0" quotePrefix="0" xfId="6">
      <alignment horizontal="center" vertical="center" wrapText="1"/>
    </xf>
    <xf numFmtId="9" fontId="6" fillId="9" borderId="2" applyAlignment="1" pivotButton="0" quotePrefix="0" xfId="6">
      <alignment horizontal="center" vertical="center" wrapText="1"/>
    </xf>
    <xf numFmtId="168" fontId="7" fillId="0" borderId="2" applyAlignment="1" pivotButton="0" quotePrefix="0" xfId="10">
      <alignment horizontal="left" vertical="center" indent="1"/>
    </xf>
    <xf numFmtId="9" fontId="7" fillId="0" borderId="2" applyAlignment="1" pivotButton="0" quotePrefix="0" xfId="10">
      <alignment horizontal="left" vertical="center" indent="1"/>
    </xf>
    <xf numFmtId="164" fontId="14" fillId="3" borderId="2" applyAlignment="1" pivotButton="0" quotePrefix="0" xfId="6">
      <alignment horizontal="center" vertical="center" wrapText="1"/>
    </xf>
    <xf numFmtId="9" fontId="14" fillId="3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1" fontId="6" fillId="8" borderId="2" applyAlignment="1" pivotButton="0" quotePrefix="0" xfId="6">
      <alignment horizontal="center" vertical="center" wrapText="1"/>
    </xf>
    <xf numFmtId="1" fontId="6" fillId="9" borderId="2" applyAlignment="1" pivotButton="0" quotePrefix="0" xfId="6">
      <alignment horizontal="center" vertical="center" wrapText="1"/>
    </xf>
    <xf numFmtId="0" fontId="15" fillId="0" borderId="0" applyAlignment="1" pivotButton="0" quotePrefix="0" xfId="0">
      <alignment horizontal="center"/>
    </xf>
    <xf numFmtId="0" fontId="0" fillId="0" borderId="7" pivotButton="0" quotePrefix="0" xfId="0"/>
    <xf numFmtId="0" fontId="0" fillId="0" borderId="6" pivotButton="0" quotePrefix="0" xfId="0"/>
    <xf numFmtId="9" fontId="6" fillId="8" borderId="2" applyAlignment="1" pivotButton="0" quotePrefix="0" xfId="6">
      <alignment horizontal="center" vertical="center" wrapText="1"/>
    </xf>
    <xf numFmtId="164" fontId="6" fillId="0" borderId="2" applyAlignment="1" pivotButton="0" quotePrefix="0" xfId="6">
      <alignment horizontal="center" vertical="center" wrapText="1"/>
    </xf>
    <xf numFmtId="166" fontId="6" fillId="0" borderId="2" applyAlignment="1" pivotButton="0" quotePrefix="0" xfId="6">
      <alignment horizontal="center" vertical="center" wrapText="1"/>
    </xf>
    <xf numFmtId="0" fontId="12" fillId="9" borderId="2" applyAlignment="1" pivotButton="0" quotePrefix="0" xfId="0">
      <alignment horizontal="center"/>
    </xf>
    <xf numFmtId="165" fontId="6" fillId="8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9" fontId="7" fillId="0" borderId="2" applyAlignment="1" pivotButton="0" quotePrefix="0" xfId="10">
      <alignment horizontal="left" vertical="center" indent="1"/>
    </xf>
    <xf numFmtId="0" fontId="16" fillId="0" borderId="0" applyAlignment="1" pivotButton="0" quotePrefix="0" xfId="0">
      <alignment horizontal="center"/>
    </xf>
    <xf numFmtId="0" fontId="10" fillId="4" borderId="3" applyAlignment="1" pivotButton="0" quotePrefix="0" xfId="12">
      <alignment horizontal="center" vertical="center" wrapText="1"/>
    </xf>
    <xf numFmtId="9" fontId="17" fillId="5" borderId="8" applyAlignment="1" pivotButton="0" quotePrefix="0" xfId="0">
      <alignment horizontal="center" vertical="center"/>
    </xf>
    <xf numFmtId="0" fontId="0" fillId="5" borderId="8" pivotButton="0" quotePrefix="0" xfId="0"/>
    <xf numFmtId="0" fontId="0" fillId="5" borderId="2" pivotButton="0" quotePrefix="0" xfId="0"/>
    <xf numFmtId="0" fontId="2" fillId="5" borderId="1" applyAlignment="1" pivotButton="0" quotePrefix="0" xfId="2">
      <alignment horizontal="left" vertical="center" indent="2"/>
    </xf>
    <xf numFmtId="166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prompt" xfId="11" hidden="0"/>
    <cellStyle name="imgbox" xfId="12" hidden="0"/>
    <cellStyle name="body" xfId="13" hidden="0"/>
  </cellStyles>
  <dxfs count="3">
    <dxf>
      <fill>
        <patternFill patternType="solid">
          <fgColor rgb="00E3F8EF"/>
        </patternFill>
      </fill>
    </dxf>
    <dxf>
      <fill>
        <patternFill patternType="solid">
          <fgColor rgb="00FBE6E6"/>
        </patternFill>
      </fill>
    </dxf>
    <dxf>
      <fill>
        <patternFill patternType="solid">
          <fgColor rgb="00FBF0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Spending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'Budget'!$A$5:$A$22</f>
            </numRef>
          </cat>
          <val>
            <numRef>
              <f>'Budget'!$C$5:$C$22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Bill Payment Status</a:t>
            </a:r>
          </a:p>
        </rich>
      </tx>
    </title>
    <plotArea>
      <doughnutChart>
        <varyColors val="1"/>
        <ser>
          <idx val="0"/>
          <order val="0"/>
          <tx>
            <strRef>
              <f>'Bills'!K4</f>
            </strRef>
          </tx>
          <spPr>
            <a:ln>
              <a:prstDash val="solid"/>
            </a:ln>
          </spPr>
          <cat>
            <numRef>
              <f>'Bills'!$J$5:$J$6</f>
            </numRef>
          </cat>
          <val>
            <numRef>
              <f>'Bills'!$K$5:$K$6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Cleaning Progress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'Cleaning'!J5</f>
            </strRef>
          </tx>
          <spPr>
            <a:ln>
              <a:prstDash val="solid"/>
            </a:ln>
          </spPr>
          <cat>
            <numRef>
              <f>'Cleaning'!$H$6:$H$10</f>
            </numRef>
          </cat>
          <val>
            <numRef>
              <f>'Cleaning'!$J$6:$J$10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Chore Completion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'Chores'!I5</f>
            </strRef>
          </tx>
          <spPr>
            <a:ln>
              <a:prstDash val="solid"/>
            </a:ln>
          </spPr>
          <cat>
            <numRef>
              <f>'Chores'!$H$6:$H$10</f>
            </numRef>
          </cat>
          <val>
            <numRef>
              <f>'Chores'!$I$6:$I$10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Pantry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'Pantry'!J5</f>
            </strRef>
          </tx>
          <spPr>
            <a:ln>
              <a:prstDash val="solid"/>
            </a:ln>
          </spPr>
          <cat>
            <numRef>
              <f>'Pantry'!$I$6:$I$13</f>
            </numRef>
          </cat>
          <val>
            <numRef>
              <f>'Pantry'!$J$6:$J$13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Household Goals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'Family Goals'!D4</f>
            </strRef>
          </tx>
          <spPr>
            <a:ln>
              <a:prstDash val="solid"/>
            </a:ln>
          </spPr>
          <cat>
            <numRef>
              <f>'Family Goals'!$A$5:$A$12</f>
            </numRef>
          </cat>
          <val>
            <numRef>
              <f>'Family Goals'!$D$5:$D$12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Spending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'Budget'!$A$5:$A$22</f>
            </numRef>
          </cat>
          <val>
            <numRef>
              <f>'Budget'!$C$5:$C$22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Savings Progress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'Savings'!F4</f>
            </strRef>
          </tx>
          <spPr>
            <a:ln>
              <a:prstDash val="solid"/>
            </a:ln>
          </spPr>
          <cat>
            <numRef>
              <f>'Savings'!$A$5:$A$10</f>
            </numRef>
          </cat>
          <val>
            <numRef>
              <f>'Savings'!$F$5:$F$10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Grocery Spending (6 wks)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'Analytics'!G13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'Analytics'!$F$14:$F$19</f>
            </numRef>
          </cat>
          <val>
            <numRef>
              <f>'Analytics'!$G$14:$G$19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Health by Dimension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'Analytics'!$B$7:$B$14</f>
            </numRef>
          </cat>
          <val>
            <numRef>
              <f>'Analytics'!$C$7:$C$14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47</row>
      <rowOff>0</rowOff>
    </from>
    <ext cx="4140000" cy="2951999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7</col>
      <colOff>0</colOff>
      <row>47</row>
      <rowOff>0</rowOff>
    </from>
    <ext cx="4140000" cy="2951999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11</row>
      <rowOff>0</rowOff>
    </from>
    <ext cx="4500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6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20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16</row>
      <rowOff>0</rowOff>
    </from>
    <ext cx="46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4" customWidth="1" min="2" max="2"/>
    <col width="3" customWidth="1" min="3" max="3"/>
  </cols>
  <sheetData>
    <row r="1" ht="58" customHeight="1">
      <c r="A1" s="1" t="inlineStr">
        <is>
          <t xml:space="preserve">  🏡  HOME COMMAND CENTER™</t>
        </is>
      </c>
    </row>
    <row r="2" ht="24" customHeight="1">
      <c r="A2" s="2" t="inlineStr">
        <is>
          <t xml:space="preserve">  The ultimate household operating system — your whole home in one place.</t>
        </is>
      </c>
    </row>
    <row r="3" ht="6" customHeight="1">
      <c r="A3" s="3" t="n"/>
      <c r="B3" s="3" t="n"/>
      <c r="C3" s="3" t="n"/>
    </row>
    <row r="5">
      <c r="B5" s="4" t="inlineStr">
        <is>
          <t>WELCOME HOME</t>
        </is>
      </c>
    </row>
    <row r="6" ht="22" customHeight="1">
      <c r="B6" s="5" t="inlineStr">
        <is>
          <t>Running a household means juggling finances, schedules, meals, cleaning, maintenance, and a hundred small details. Home Command Center™ brings all of it into one elegant dashboard so your family runs on a system — not on memory. Less mental load, more calm, every single day.</t>
        </is>
      </c>
    </row>
    <row r="7" ht="22" customHeight="1"/>
    <row r="8" ht="22" customHeight="1"/>
    <row r="10">
      <c r="B10" s="6" t="inlineStr">
        <is>
          <t>HOW TO USE IT</t>
        </is>
      </c>
    </row>
    <row r="11" ht="22" customHeight="1">
      <c r="B11" s="5" t="inlineStr">
        <is>
          <t>1.  Open Settings and add your household name, income &amp; monthly budget.</t>
        </is>
      </c>
    </row>
    <row r="12" ht="22" customHeight="1">
      <c r="B12" s="5" t="inlineStr">
        <is>
          <t>2.  Fill the Family Directory, Budget, Bills, and the Master Calendar.</t>
        </is>
      </c>
    </row>
    <row r="13" ht="22" customHeight="1">
      <c r="B13" s="5" t="inlineStr">
        <is>
          <t>3.  Plan meals, build your grocery list, and track the pantry &amp; fridge.</t>
        </is>
      </c>
    </row>
    <row r="14" ht="22" customHeight="1">
      <c r="B14" s="5" t="inlineStr">
        <is>
          <t>4.  Assign chores, schedule cleaning, and log home maintenance.</t>
        </is>
      </c>
    </row>
    <row r="15" ht="22" customHeight="1">
      <c r="B15" s="5" t="inlineStr">
        <is>
          <t>5.  Watch the Executive Home Dashboard update itself automatically.</t>
        </is>
      </c>
    </row>
    <row r="18" ht="26" customHeight="1">
      <c r="B18" s="7" t="inlineStr">
        <is>
          <t xml:space="preserve">  GOOD TO KNOW</t>
        </is>
      </c>
    </row>
    <row r="19" ht="22" customHeight="1">
      <c r="B19" s="8" t="inlineStr">
        <is>
          <t>Home Command Center™ is an organizational and planning tool. Sample data is included to show you how everything connects — just type over it with your own. Every sheet is print-friendly and works in Excel and Google Sheets, on desktop and mobile.</t>
        </is>
      </c>
    </row>
    <row r="20" ht="22" customHeight="1">
      <c r="B20" s="9" t="n"/>
    </row>
    <row r="21" ht="22" customHeight="1">
      <c r="B21" s="9" t="n"/>
    </row>
    <row r="23">
      <c r="B23" s="4" t="inlineStr">
        <is>
          <t>One organized home, one calm command center — let's begin.</t>
        </is>
      </c>
    </row>
  </sheetData>
  <mergeCells count="13">
    <mergeCell ref="B12"/>
    <mergeCell ref="B13"/>
    <mergeCell ref="A1:C1"/>
    <mergeCell ref="B18"/>
    <mergeCell ref="A2:C2"/>
    <mergeCell ref="B15"/>
    <mergeCell ref="B11"/>
    <mergeCell ref="B10"/>
    <mergeCell ref="B19:B21"/>
    <mergeCell ref="B5"/>
    <mergeCell ref="B14"/>
    <mergeCell ref="B6:B8"/>
    <mergeCell ref="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48"/>
    <outlinePr summaryBelow="1" summaryRight="1"/>
    <pageSetUpPr/>
  </sheetPr>
  <dimension ref="A1:N6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🏡  HOME COMMAND CENTER™</t>
        </is>
      </c>
    </row>
    <row r="2" ht="24" customHeight="1">
      <c r="A2" s="2" t="inlineStr">
        <is>
          <t xml:space="preserve">  Finances, schedules, meals, cleaning, maintenance &amp; goals — your whole home,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20" customHeight="1">
      <c r="B5" s="10" t="inlineStr">
        <is>
          <t>BUDGET LEFT</t>
        </is>
      </c>
      <c r="C5" s="11" t="n"/>
      <c r="D5" s="10" t="inlineStr">
        <is>
          <t>BILLS PAID</t>
        </is>
      </c>
      <c r="E5" s="11" t="n"/>
      <c r="F5" s="10" t="inlineStr">
        <is>
          <t>CLEANING DONE</t>
        </is>
      </c>
      <c r="G5" s="11" t="n"/>
      <c r="H5" s="10" t="inlineStr">
        <is>
          <t>PANTRY STOCK</t>
        </is>
      </c>
      <c r="I5" s="11" t="n"/>
      <c r="J5" s="10" t="inlineStr">
        <is>
          <t>EVENTS / WEEK</t>
        </is>
      </c>
      <c r="K5" s="11" t="n"/>
    </row>
    <row r="6" ht="44" customHeight="1">
      <c r="B6" s="12">
        <f>BudgetTotalPlanned-BudgetTotalActual</f>
        <v/>
      </c>
      <c r="C6" s="13" t="n"/>
      <c r="D6" s="14">
        <f>COUNTIF(BillPaid,"Yes")</f>
        <v/>
      </c>
      <c r="E6" s="13" t="n"/>
      <c r="F6" s="14">
        <f>COUNTIF(CleanStatus,"Done")</f>
        <v/>
      </c>
      <c r="G6" s="13" t="n"/>
      <c r="H6" s="15">
        <f>IFERROR(SUMPRODUCT((PantryName&lt;&gt;"")*(PantryQty&gt;PantryReorder))/MAX(COUNTA(PantryName),1),0)</f>
        <v/>
      </c>
      <c r="I6" s="13" t="n"/>
      <c r="J6" s="14">
        <f>SUMPRODUCT((CalDate&lt;&gt;"")*(CalDate&gt;=TODAY())*(CalDate&lt;=TODAY()+7))</f>
        <v/>
      </c>
      <c r="K6" s="13" t="n"/>
    </row>
    <row r="8" ht="20" customHeight="1">
      <c r="B8" s="10" t="inlineStr">
        <is>
          <t>MEAL PLAN</t>
        </is>
      </c>
      <c r="C8" s="11" t="n"/>
      <c r="D8" s="10" t="inlineStr">
        <is>
          <t>SAVINGS GOAL</t>
        </is>
      </c>
      <c r="E8" s="11" t="n"/>
      <c r="F8" s="10" t="inlineStr">
        <is>
          <t>PROJECTS ACTIVE</t>
        </is>
      </c>
      <c r="G8" s="11" t="n"/>
      <c r="H8" s="10" t="inlineStr">
        <is>
          <t>MAINT. DUE</t>
        </is>
      </c>
      <c r="I8" s="11" t="n"/>
      <c r="J8" s="10" t="inlineStr">
        <is>
          <t>ROUTINE SCORE</t>
        </is>
      </c>
      <c r="K8" s="11" t="n"/>
    </row>
    <row r="9" ht="44" customHeight="1">
      <c r="B9" s="15">
        <f>IFERROR((COUNTIF(MealWeek,"&lt;&gt;"&amp;"")-COUNTIF(MealWeek,"—"))/35,0)</f>
        <v/>
      </c>
      <c r="C9" s="13" t="n"/>
      <c r="D9" s="15">
        <f>IFERROR(SUM(SavCurrent)/SUM(SavTarget),0)</f>
        <v/>
      </c>
      <c r="E9" s="13" t="n"/>
      <c r="F9" s="14">
        <f>COUNTIF(ProjStatus,"In Progress")</f>
        <v/>
      </c>
      <c r="G9" s="13" t="n"/>
      <c r="H9" s="14">
        <f>SUMPRODUCT((MaintNext&lt;&gt;"")*(MaintNext&lt;=TODAY()+30))</f>
        <v/>
      </c>
      <c r="I9" s="13" t="n"/>
      <c r="J9" s="15">
        <f>IFERROR(AVERAGE(ChorePct),0)</f>
        <v/>
      </c>
      <c r="K9" s="13" t="n"/>
    </row>
    <row r="11" ht="26" customHeight="1">
      <c r="B11" s="4" t="inlineStr">
        <is>
          <t>MONEY &amp; HOME AT A GLANCE</t>
        </is>
      </c>
    </row>
    <row r="29" ht="26" customHeight="1">
      <c r="B29" s="4" t="inlineStr">
        <is>
          <t>ROUTINES &amp; PROGRESS</t>
        </is>
      </c>
    </row>
    <row r="47" ht="26" customHeight="1">
      <c r="B47" s="4" t="inlineStr">
        <is>
          <t>PANTRY &amp; GOALS</t>
        </is>
      </c>
    </row>
    <row r="66" ht="26" customHeight="1">
      <c r="B66" s="2" t="inlineStr">
        <is>
          <t>Home Command Center™ — your whole household, organized in one place. Edit anything in Settings.</t>
        </is>
      </c>
    </row>
  </sheetData>
  <mergeCells count="26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B8:C8"/>
    <mergeCell ref="F8:G8"/>
    <mergeCell ref="A2:N2"/>
    <mergeCell ref="B9:C9"/>
    <mergeCell ref="D9:E9"/>
    <mergeCell ref="F9:G9"/>
    <mergeCell ref="D8:E8"/>
    <mergeCell ref="B47:M47"/>
    <mergeCell ref="B6:C6"/>
    <mergeCell ref="B5:C5"/>
    <mergeCell ref="D5:E5"/>
    <mergeCell ref="B66:M66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H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20" customWidth="1" min="5" max="5"/>
    <col width="22" customWidth="1" min="6" max="6"/>
    <col width="22" customWidth="1" min="7" max="7"/>
    <col width="24" customWidth="1" min="8" max="8"/>
  </cols>
  <sheetData>
    <row r="1" ht="46" customHeight="1">
      <c r="A1" s="1" t="inlineStr">
        <is>
          <t xml:space="preserve">  👨‍👩‍👧‍👦  FAMILY DIRECTORY</t>
        </is>
      </c>
    </row>
    <row r="2" ht="22" customHeight="1">
      <c r="A2" s="2" t="inlineStr">
        <is>
          <t xml:space="preserve">  Everyone who matters, all in one secure place — people, providers &amp; pets.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FAMILY MEMBERS</t>
        </is>
      </c>
    </row>
    <row r="5" ht="30" customHeight="1">
      <c r="A5" s="7" t="inlineStr">
        <is>
          <t>Name</t>
        </is>
      </c>
      <c r="B5" s="7" t="inlineStr">
        <is>
          <t>Relationship</t>
        </is>
      </c>
      <c r="C5" s="7" t="inlineStr">
        <is>
          <t>Birthday</t>
        </is>
      </c>
      <c r="D5" s="7" t="inlineStr">
        <is>
          <t>Blood Type</t>
        </is>
      </c>
      <c r="E5" s="7" t="inlineStr">
        <is>
          <t>Allergies</t>
        </is>
      </c>
      <c r="F5" s="7" t="inlineStr">
        <is>
          <t>Medications</t>
        </is>
      </c>
      <c r="G5" s="7" t="inlineStr">
        <is>
          <t>Doctor</t>
        </is>
      </c>
      <c r="H5" s="7" t="inlineStr">
        <is>
          <t>Notes</t>
        </is>
      </c>
    </row>
    <row r="6">
      <c r="A6" s="16" t="inlineStr">
        <is>
          <t>Sarah Anderson</t>
        </is>
      </c>
      <c r="B6" s="17" t="inlineStr">
        <is>
          <t>Mom</t>
        </is>
      </c>
      <c r="C6" s="18" t="n">
        <v>32245</v>
      </c>
      <c r="D6" s="17" t="inlineStr">
        <is>
          <t>O+</t>
        </is>
      </c>
      <c r="E6" s="16" t="inlineStr">
        <is>
          <t>None</t>
        </is>
      </c>
      <c r="F6" s="16" t="inlineStr">
        <is>
          <t>—</t>
        </is>
      </c>
      <c r="G6" s="16" t="inlineStr">
        <is>
          <t>Dr. Lee</t>
        </is>
      </c>
      <c r="H6" s="16" t="inlineStr">
        <is>
          <t>Primary calendar owner</t>
        </is>
      </c>
    </row>
    <row r="7">
      <c r="A7" s="19" t="inlineStr">
        <is>
          <t>Mike Anderson</t>
        </is>
      </c>
      <c r="B7" s="20" t="inlineStr">
        <is>
          <t>Dad</t>
        </is>
      </c>
      <c r="C7" s="21" t="n">
        <v>31658</v>
      </c>
      <c r="D7" s="20" t="inlineStr">
        <is>
          <t>A+</t>
        </is>
      </c>
      <c r="E7" s="19" t="inlineStr">
        <is>
          <t>Penicillin</t>
        </is>
      </c>
      <c r="F7" s="19" t="inlineStr">
        <is>
          <t>—</t>
        </is>
      </c>
      <c r="G7" s="19" t="inlineStr">
        <is>
          <t>Dr. Lee</t>
        </is>
      </c>
      <c r="H7" s="19" t="inlineStr"/>
    </row>
    <row r="8">
      <c r="A8" s="16" t="inlineStr">
        <is>
          <t>Emma Anderson</t>
        </is>
      </c>
      <c r="B8" s="17" t="inlineStr">
        <is>
          <t>Daughter</t>
        </is>
      </c>
      <c r="C8" s="18" t="n">
        <v>41811</v>
      </c>
      <c r="D8" s="17" t="inlineStr">
        <is>
          <t>O+</t>
        </is>
      </c>
      <c r="E8" s="16" t="inlineStr">
        <is>
          <t>Peanuts</t>
        </is>
      </c>
      <c r="F8" s="16" t="inlineStr">
        <is>
          <t>EpiPen</t>
        </is>
      </c>
      <c r="G8" s="16" t="inlineStr">
        <is>
          <t>Dr. Patel</t>
        </is>
      </c>
      <c r="H8" s="16" t="inlineStr">
        <is>
          <t>Grade 4</t>
        </is>
      </c>
    </row>
    <row r="9">
      <c r="A9" s="19" t="inlineStr">
        <is>
          <t>Liam Anderson</t>
        </is>
      </c>
      <c r="B9" s="20" t="inlineStr">
        <is>
          <t>Son</t>
        </is>
      </c>
      <c r="C9" s="21" t="n">
        <v>42744</v>
      </c>
      <c r="D9" s="20" t="inlineStr">
        <is>
          <t>A+</t>
        </is>
      </c>
      <c r="E9" s="19" t="inlineStr">
        <is>
          <t>None</t>
        </is>
      </c>
      <c r="F9" s="19" t="inlineStr">
        <is>
          <t>Inhaler</t>
        </is>
      </c>
      <c r="G9" s="19" t="inlineStr">
        <is>
          <t>Dr. Patel</t>
        </is>
      </c>
      <c r="H9" s="19" t="inlineStr">
        <is>
          <t>Grade 1</t>
        </is>
      </c>
    </row>
    <row r="10">
      <c r="A10" s="16" t="inlineStr">
        <is>
          <t>Grace Miller</t>
        </is>
      </c>
      <c r="B10" s="17" t="inlineStr">
        <is>
          <t>Grandma</t>
        </is>
      </c>
      <c r="C10" s="18" t="n">
        <v>21154</v>
      </c>
      <c r="D10" s="17" t="inlineStr">
        <is>
          <t>B+</t>
        </is>
      </c>
      <c r="E10" s="16" t="inlineStr">
        <is>
          <t>Sulfa</t>
        </is>
      </c>
      <c r="F10" s="16" t="inlineStr">
        <is>
          <t>BP meds</t>
        </is>
      </c>
      <c r="G10" s="16" t="inlineStr">
        <is>
          <t>Dr. Cohen</t>
        </is>
      </c>
      <c r="H10" s="16" t="inlineStr">
        <is>
          <t>Emergency contact</t>
        </is>
      </c>
    </row>
    <row r="11">
      <c r="A11" s="19" t="n"/>
      <c r="B11" s="20" t="n"/>
      <c r="C11" s="21" t="n"/>
      <c r="D11" s="20" t="n"/>
      <c r="E11" s="19" t="n"/>
      <c r="F11" s="19" t="n"/>
      <c r="G11" s="19" t="n"/>
      <c r="H11" s="19" t="n"/>
    </row>
    <row r="12">
      <c r="A12" s="16" t="n"/>
      <c r="B12" s="17" t="n"/>
      <c r="C12" s="18" t="n"/>
      <c r="D12" s="17" t="n"/>
      <c r="E12" s="16" t="n"/>
      <c r="F12" s="16" t="n"/>
      <c r="G12" s="16" t="n"/>
      <c r="H12" s="16" t="n"/>
    </row>
    <row r="13">
      <c r="A13" s="19" t="n"/>
      <c r="B13" s="20" t="n"/>
      <c r="C13" s="21" t="n"/>
      <c r="D13" s="20" t="n"/>
      <c r="E13" s="19" t="n"/>
      <c r="F13" s="19" t="n"/>
      <c r="G13" s="19" t="n"/>
      <c r="H13" s="19" t="n"/>
    </row>
    <row r="15">
      <c r="A15" s="4" t="inlineStr">
        <is>
          <t>KEY PROVIDERS &amp; EMERGENCY CONTACTS</t>
        </is>
      </c>
    </row>
    <row r="16" ht="30" customHeight="1">
      <c r="A16" s="7" t="inlineStr">
        <is>
          <t>Type</t>
        </is>
      </c>
      <c r="B16" s="7" t="inlineStr">
        <is>
          <t>Name / Practice</t>
        </is>
      </c>
      <c r="C16" s="7" t="inlineStr">
        <is>
          <t>Phone</t>
        </is>
      </c>
      <c r="D16" s="7" t="inlineStr">
        <is>
          <t>For Whom</t>
        </is>
      </c>
      <c r="E16" s="7" t="inlineStr">
        <is>
          <t>Account / Policy #</t>
        </is>
      </c>
      <c r="F16" s="7" t="inlineStr">
        <is>
          <t>Address</t>
        </is>
      </c>
      <c r="G16" s="7" t="inlineStr">
        <is>
          <t>Email</t>
        </is>
      </c>
      <c r="H16" s="7" t="inlineStr">
        <is>
          <t>Notes</t>
        </is>
      </c>
    </row>
    <row r="17">
      <c r="A17" s="17" t="inlineStr">
        <is>
          <t>Pediatrician</t>
        </is>
      </c>
      <c r="B17" s="16" t="inlineStr">
        <is>
          <t>Bright Kids Peds — Dr. Patel</t>
        </is>
      </c>
      <c r="C17" s="17" t="inlineStr">
        <is>
          <t>(555) 210-7788</t>
        </is>
      </c>
      <c r="D17" s="17" t="inlineStr">
        <is>
          <t>Emma, Liam</t>
        </is>
      </c>
      <c r="E17" s="16" t="inlineStr">
        <is>
          <t>—</t>
        </is>
      </c>
      <c r="F17" s="16" t="inlineStr">
        <is>
          <t>12 Oak Ave</t>
        </is>
      </c>
      <c r="G17" s="16" t="inlineStr"/>
      <c r="H17" s="16" t="inlineStr"/>
    </row>
    <row r="18">
      <c r="A18" s="20" t="inlineStr">
        <is>
          <t>Family Doctor</t>
        </is>
      </c>
      <c r="B18" s="19" t="inlineStr">
        <is>
          <t>Anderson Family Med — Dr. Lee</t>
        </is>
      </c>
      <c r="C18" s="20" t="inlineStr">
        <is>
          <t>(555) 210-4521</t>
        </is>
      </c>
      <c r="D18" s="20" t="inlineStr">
        <is>
          <t>Mom, Dad</t>
        </is>
      </c>
      <c r="E18" s="19" t="inlineStr">
        <is>
          <t>—</t>
        </is>
      </c>
      <c r="F18" s="19" t="inlineStr">
        <is>
          <t>4 Main St</t>
        </is>
      </c>
      <c r="G18" s="19" t="inlineStr"/>
      <c r="H18" s="19" t="inlineStr"/>
    </row>
    <row r="19">
      <c r="A19" s="17" t="inlineStr">
        <is>
          <t>Dentist</t>
        </is>
      </c>
      <c r="B19" s="16" t="inlineStr">
        <is>
          <t>Smile Dental</t>
        </is>
      </c>
      <c r="C19" s="17" t="inlineStr">
        <is>
          <t>(555) 332-1190</t>
        </is>
      </c>
      <c r="D19" s="17" t="inlineStr">
        <is>
          <t>All</t>
        </is>
      </c>
      <c r="E19" s="16" t="inlineStr">
        <is>
          <t>—</t>
        </is>
      </c>
      <c r="F19" s="16" t="inlineStr">
        <is>
          <t>88 Elm St</t>
        </is>
      </c>
      <c r="G19" s="16" t="inlineStr"/>
      <c r="H19" s="16" t="inlineStr">
        <is>
          <t>6-mo cleanings</t>
        </is>
      </c>
    </row>
    <row r="20">
      <c r="A20" s="20" t="inlineStr">
        <is>
          <t>School</t>
        </is>
      </c>
      <c r="B20" s="19" t="inlineStr">
        <is>
          <t>Maple Elementary</t>
        </is>
      </c>
      <c r="C20" s="20" t="inlineStr">
        <is>
          <t>(555) 778-3300</t>
        </is>
      </c>
      <c r="D20" s="20" t="inlineStr">
        <is>
          <t>Emma, Liam</t>
        </is>
      </c>
      <c r="E20" s="19" t="inlineStr">
        <is>
          <t>Student IDs in Children's Hub</t>
        </is>
      </c>
      <c r="F20" s="19" t="inlineStr"/>
      <c r="G20" s="19" t="inlineStr"/>
      <c r="H20" s="19" t="inlineStr"/>
    </row>
    <row r="21">
      <c r="A21" s="17" t="inlineStr">
        <is>
          <t>Home Insurance</t>
        </is>
      </c>
      <c r="B21" s="16" t="inlineStr">
        <is>
          <t>SafeGuard Insurance</t>
        </is>
      </c>
      <c r="C21" s="17" t="inlineStr">
        <is>
          <t>(555) 909-2020</t>
        </is>
      </c>
      <c r="D21" s="17" t="inlineStr">
        <is>
          <t>Household</t>
        </is>
      </c>
      <c r="E21" s="16" t="inlineStr">
        <is>
          <t>POL-44821</t>
        </is>
      </c>
      <c r="F21" s="16" t="inlineStr"/>
      <c r="G21" s="16" t="inlineStr"/>
      <c r="H21" s="16" t="inlineStr">
        <is>
          <t>Renews Mar</t>
        </is>
      </c>
    </row>
    <row r="22">
      <c r="A22" s="20" t="inlineStr">
        <is>
          <t>Auto Insurance</t>
        </is>
      </c>
      <c r="B22" s="19" t="inlineStr">
        <is>
          <t>DriveWell</t>
        </is>
      </c>
      <c r="C22" s="20" t="inlineStr">
        <is>
          <t>(555) 909-4545</t>
        </is>
      </c>
      <c r="D22" s="20" t="inlineStr">
        <is>
          <t>Vehicles</t>
        </is>
      </c>
      <c r="E22" s="19" t="inlineStr">
        <is>
          <t>AUT-91022</t>
        </is>
      </c>
      <c r="F22" s="19" t="inlineStr"/>
      <c r="G22" s="19" t="inlineStr"/>
      <c r="H22" s="19" t="inlineStr"/>
    </row>
    <row r="23">
      <c r="A23" s="17" t="inlineStr">
        <is>
          <t>Emergency</t>
        </is>
      </c>
      <c r="B23" s="16" t="inlineStr">
        <is>
          <t>Grace Miller (Grandma)</t>
        </is>
      </c>
      <c r="C23" s="17" t="inlineStr">
        <is>
          <t>(555) 661-2048</t>
        </is>
      </c>
      <c r="D23" s="17" t="inlineStr">
        <is>
          <t>Children</t>
        </is>
      </c>
      <c r="E23" s="16" t="inlineStr">
        <is>
          <t>—</t>
        </is>
      </c>
      <c r="F23" s="16" t="inlineStr"/>
      <c r="G23" s="16" t="inlineStr"/>
      <c r="H23" s="16" t="inlineStr">
        <is>
          <t>If parents unreachable</t>
        </is>
      </c>
    </row>
    <row r="24">
      <c r="A24" s="20" t="inlineStr">
        <is>
          <t>Vet</t>
        </is>
      </c>
      <c r="B24" s="19" t="inlineStr">
        <is>
          <t>Paws &amp; Claws Vet</t>
        </is>
      </c>
      <c r="C24" s="20" t="inlineStr">
        <is>
          <t>(555) 443-7766</t>
        </is>
      </c>
      <c r="D24" s="20" t="inlineStr">
        <is>
          <t>Pets</t>
        </is>
      </c>
      <c r="E24" s="19" t="inlineStr">
        <is>
          <t>—</t>
        </is>
      </c>
      <c r="F24" s="19" t="inlineStr"/>
      <c r="G24" s="19" t="inlineStr"/>
      <c r="H24" s="19" t="inlineStr">
        <is>
          <t>See Pet Care</t>
        </is>
      </c>
    </row>
    <row r="25">
      <c r="A25" s="17" t="n"/>
      <c r="B25" s="16" t="n"/>
      <c r="C25" s="17" t="n"/>
      <c r="D25" s="17" t="n"/>
      <c r="E25" s="16" t="n"/>
      <c r="F25" s="16" t="n"/>
      <c r="G25" s="16" t="n"/>
      <c r="H25" s="16" t="n"/>
    </row>
    <row r="26">
      <c r="A26" s="20" t="n"/>
      <c r="B26" s="19" t="n"/>
      <c r="C26" s="20" t="n"/>
      <c r="D26" s="20" t="n"/>
      <c r="E26" s="19" t="n"/>
      <c r="F26" s="19" t="n"/>
      <c r="G26" s="19" t="n"/>
      <c r="H26" s="19" t="n"/>
    </row>
  </sheetData>
  <mergeCells count="4">
    <mergeCell ref="A15:H15"/>
    <mergeCell ref="A4:H4"/>
    <mergeCell ref="A2:H2"/>
    <mergeCell ref="A1:H1"/>
  </mergeCells>
  <dataValidations count="1">
    <dataValidation sqref="B6:B13" showDropDown="0" showInputMessage="0" showErrorMessage="0" allowBlank="1" type="list">
      <formula1>=FamilyList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K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  <col width="22" customWidth="1" min="7" max="7"/>
    <col width="8" customWidth="1" min="8" max="8"/>
    <col width="20" customWidth="1" min="10" max="10"/>
    <col width="12" customWidth="1" min="11" max="11"/>
  </cols>
  <sheetData>
    <row r="1" ht="46" customHeight="1">
      <c r="A1" s="1" t="inlineStr">
        <is>
          <t xml:space="preserve">  📆  MASTER FAMILY CALENDAR</t>
        </is>
      </c>
    </row>
    <row r="2" ht="22" customHeight="1">
      <c r="A2" s="2" t="inlineStr">
        <is>
          <t xml:space="preserve">  Every event in one shared calendar — with automatic week &amp; month summaries.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Event</t>
        </is>
      </c>
      <c r="B4" s="7" t="inlineStr">
        <is>
          <t>Category</t>
        </is>
      </c>
      <c r="C4" s="7" t="inlineStr">
        <is>
          <t>Date</t>
        </is>
      </c>
      <c r="D4" s="7" t="inlineStr">
        <is>
          <t>Time</t>
        </is>
      </c>
      <c r="E4" s="7" t="inlineStr">
        <is>
          <t>Who</t>
        </is>
      </c>
      <c r="F4" s="7" t="inlineStr">
        <is>
          <t>Location</t>
        </is>
      </c>
      <c r="G4" s="7" t="inlineStr">
        <is>
          <t>Notes</t>
        </is>
      </c>
      <c r="H4" s="7" t="inlineStr">
        <is>
          <t>In</t>
        </is>
      </c>
      <c r="J4" s="4" t="inlineStr">
        <is>
          <t>THIS WEEK</t>
        </is>
      </c>
    </row>
    <row r="5">
      <c r="A5" s="16" t="inlineStr">
        <is>
          <t>Soccer practice</t>
        </is>
      </c>
      <c r="B5" s="17" t="inlineStr">
        <is>
          <t>Sports</t>
        </is>
      </c>
      <c r="C5" s="18" t="n">
        <v>46204</v>
      </c>
      <c r="D5" s="17" t="inlineStr">
        <is>
          <t>4:00 PM</t>
        </is>
      </c>
      <c r="E5" s="17" t="inlineStr">
        <is>
          <t>Emma</t>
        </is>
      </c>
      <c r="F5" s="16" t="inlineStr">
        <is>
          <t>Field 3</t>
        </is>
      </c>
      <c r="G5" s="16" t="inlineStr"/>
      <c r="H5" s="22">
        <f>IF(C5="","",C5-TODAY())</f>
        <v/>
      </c>
      <c r="J5" s="23" t="inlineStr">
        <is>
          <t>Events this week</t>
        </is>
      </c>
      <c r="K5" s="24">
        <f>SUMPRODUCT((CalDate&lt;&gt;"")*(CalDate&gt;=TODAY())*(CalDate&lt;=TODAY()+7))</f>
        <v/>
      </c>
    </row>
    <row r="6">
      <c r="A6" s="19" t="inlineStr">
        <is>
          <t>Mortgage due</t>
        </is>
      </c>
      <c r="B6" s="20" t="inlineStr">
        <is>
          <t>Bill Due</t>
        </is>
      </c>
      <c r="C6" s="21" t="n">
        <v>46205</v>
      </c>
      <c r="D6" s="20" t="inlineStr">
        <is>
          <t>—</t>
        </is>
      </c>
      <c r="E6" s="20" t="inlineStr">
        <is>
          <t>Household</t>
        </is>
      </c>
      <c r="F6" s="19" t="inlineStr">
        <is>
          <t>Auto-pay</t>
        </is>
      </c>
      <c r="G6" s="19" t="inlineStr"/>
      <c r="H6" s="25">
        <f>IF(C6="","",C6-TODAY())</f>
        <v/>
      </c>
      <c r="J6" s="23" t="inlineStr">
        <is>
          <t>Events this month</t>
        </is>
      </c>
      <c r="K6" s="24">
        <f>SUMPRODUCT((CalDate&lt;&gt;"")*(CalDate&gt;=TODAY())*(CalDate&lt;=TODAY()+30))</f>
        <v/>
      </c>
    </row>
    <row r="7">
      <c r="A7" s="16" t="inlineStr">
        <is>
          <t>Dentist — all</t>
        </is>
      </c>
      <c r="B7" s="17" t="inlineStr">
        <is>
          <t>Appointment</t>
        </is>
      </c>
      <c r="C7" s="18" t="n">
        <v>46206</v>
      </c>
      <c r="D7" s="17" t="inlineStr">
        <is>
          <t>9:00 AM</t>
        </is>
      </c>
      <c r="E7" s="17" t="inlineStr">
        <is>
          <t>All</t>
        </is>
      </c>
      <c r="F7" s="16" t="inlineStr">
        <is>
          <t>Smile Dental</t>
        </is>
      </c>
      <c r="G7" s="16" t="inlineStr">
        <is>
          <t>Cleanings</t>
        </is>
      </c>
      <c r="H7" s="22">
        <f>IF(C7="","",C7-TODAY())</f>
        <v/>
      </c>
      <c r="J7" s="23" t="inlineStr">
        <is>
          <t>Total upcoming</t>
        </is>
      </c>
      <c r="K7" s="24">
        <f>SUMPRODUCT((CalDate&lt;&gt;"")*(CalDate&gt;=TODAY()))</f>
        <v/>
      </c>
    </row>
    <row r="8">
      <c r="A8" s="19" t="inlineStr">
        <is>
          <t>Liam reading night</t>
        </is>
      </c>
      <c r="B8" s="20" t="inlineStr">
        <is>
          <t>School</t>
        </is>
      </c>
      <c r="C8" s="21" t="n">
        <v>46207</v>
      </c>
      <c r="D8" s="20" t="inlineStr">
        <is>
          <t>6:00 PM</t>
        </is>
      </c>
      <c r="E8" s="20" t="inlineStr">
        <is>
          <t>Liam</t>
        </is>
      </c>
      <c r="F8" s="19" t="inlineStr">
        <is>
          <t>School</t>
        </is>
      </c>
      <c r="G8" s="19" t="inlineStr"/>
      <c r="H8" s="25">
        <f>IF(C8="","",C8-TODAY())</f>
        <v/>
      </c>
      <c r="J8" s="23" t="inlineStr">
        <is>
          <t>Next event in (days)</t>
        </is>
      </c>
      <c r="K8" s="24">
        <f>IFERROR(SMALL(IF(CalDate&gt;=TODAY(),CalDate-TODAY()),1),0)</f>
        <v/>
      </c>
    </row>
    <row r="9">
      <c r="A9" s="16" t="inlineStr">
        <is>
          <t>Grandma's birthday</t>
        </is>
      </c>
      <c r="B9" s="17" t="inlineStr">
        <is>
          <t>Birthday</t>
        </is>
      </c>
      <c r="C9" s="18" t="n">
        <v>46209</v>
      </c>
      <c r="D9" s="17" t="inlineStr">
        <is>
          <t>—</t>
        </is>
      </c>
      <c r="E9" s="17" t="inlineStr">
        <is>
          <t>Grace</t>
        </is>
      </c>
      <c r="F9" s="16" t="inlineStr">
        <is>
          <t>Home</t>
        </is>
      </c>
      <c r="G9" s="16" t="inlineStr">
        <is>
          <t>Cake + gift</t>
        </is>
      </c>
      <c r="H9" s="22">
        <f>IF(C9="","",C9-TODAY())</f>
        <v/>
      </c>
    </row>
    <row r="10">
      <c r="A10" s="19" t="inlineStr">
        <is>
          <t>HVAC filter change</t>
        </is>
      </c>
      <c r="B10" s="20" t="inlineStr">
        <is>
          <t>Maintenance</t>
        </is>
      </c>
      <c r="C10" s="21" t="n">
        <v>46212</v>
      </c>
      <c r="D10" s="20" t="inlineStr">
        <is>
          <t>—</t>
        </is>
      </c>
      <c r="E10" s="20" t="inlineStr">
        <is>
          <t>Dad</t>
        </is>
      </c>
      <c r="F10" s="19" t="inlineStr">
        <is>
          <t>Home</t>
        </is>
      </c>
      <c r="G10" s="19" t="inlineStr"/>
      <c r="H10" s="25">
        <f>IF(C10="","",C10-TODAY())</f>
        <v/>
      </c>
    </row>
    <row r="11">
      <c r="A11" s="16" t="inlineStr">
        <is>
          <t>Family movie night</t>
        </is>
      </c>
      <c r="B11" s="17" t="inlineStr">
        <is>
          <t>Family</t>
        </is>
      </c>
      <c r="C11" s="18" t="n">
        <v>46208</v>
      </c>
      <c r="D11" s="17" t="inlineStr">
        <is>
          <t>7:30 PM</t>
        </is>
      </c>
      <c r="E11" s="17" t="inlineStr">
        <is>
          <t>All</t>
        </is>
      </c>
      <c r="F11" s="16" t="inlineStr">
        <is>
          <t>Living room</t>
        </is>
      </c>
      <c r="G11" s="16" t="inlineStr"/>
      <c r="H11" s="22">
        <f>IF(C11="","",C11-TODAY())</f>
        <v/>
      </c>
    </row>
    <row r="12">
      <c r="A12" s="19" t="inlineStr">
        <is>
          <t>Parent-teacher conf.</t>
        </is>
      </c>
      <c r="B12" s="20" t="inlineStr">
        <is>
          <t>School</t>
        </is>
      </c>
      <c r="C12" s="21" t="n">
        <v>46215</v>
      </c>
      <c r="D12" s="20" t="inlineStr">
        <is>
          <t>3:30 PM</t>
        </is>
      </c>
      <c r="E12" s="20" t="inlineStr">
        <is>
          <t>Emma</t>
        </is>
      </c>
      <c r="F12" s="19" t="inlineStr">
        <is>
          <t>Maple Elem.</t>
        </is>
      </c>
      <c r="G12" s="19" t="inlineStr"/>
      <c r="H12" s="25">
        <f>IF(C12="","",C12-TODAY())</f>
        <v/>
      </c>
    </row>
    <row r="13">
      <c r="A13" s="16" t="inlineStr">
        <is>
          <t>Internet bill due</t>
        </is>
      </c>
      <c r="B13" s="17" t="inlineStr">
        <is>
          <t>Bill Due</t>
        </is>
      </c>
      <c r="C13" s="18" t="n">
        <v>46211</v>
      </c>
      <c r="D13" s="17" t="inlineStr">
        <is>
          <t>—</t>
        </is>
      </c>
      <c r="E13" s="17" t="inlineStr">
        <is>
          <t>Household</t>
        </is>
      </c>
      <c r="F13" s="16" t="inlineStr">
        <is>
          <t>Auto-pay</t>
        </is>
      </c>
      <c r="G13" s="16" t="inlineStr"/>
      <c r="H13" s="22">
        <f>IF(C13="","",C13-TODAY())</f>
        <v/>
      </c>
    </row>
    <row r="14">
      <c r="A14" s="19" t="inlineStr">
        <is>
          <t>Weekend trip</t>
        </is>
      </c>
      <c r="B14" s="20" t="inlineStr">
        <is>
          <t>Vacation</t>
        </is>
      </c>
      <c r="C14" s="21" t="n">
        <v>46223</v>
      </c>
      <c r="D14" s="20" t="inlineStr">
        <is>
          <t>—</t>
        </is>
      </c>
      <c r="E14" s="20" t="inlineStr">
        <is>
          <t>All</t>
        </is>
      </c>
      <c r="F14" s="19" t="inlineStr">
        <is>
          <t>Lakeside</t>
        </is>
      </c>
      <c r="G14" s="19" t="inlineStr">
        <is>
          <t>Pack Fri</t>
        </is>
      </c>
      <c r="H14" s="25">
        <f>IF(C14="","",C14-TODAY())</f>
        <v/>
      </c>
    </row>
    <row r="15">
      <c r="A15" s="16" t="inlineStr">
        <is>
          <t>Soccer game</t>
        </is>
      </c>
      <c r="B15" s="17" t="inlineStr">
        <is>
          <t>Sports</t>
        </is>
      </c>
      <c r="C15" s="18" t="n">
        <v>46218</v>
      </c>
      <c r="D15" s="17" t="inlineStr">
        <is>
          <t>10:00 AM</t>
        </is>
      </c>
      <c r="E15" s="17" t="inlineStr">
        <is>
          <t>Emma</t>
        </is>
      </c>
      <c r="F15" s="16" t="inlineStr">
        <is>
          <t>Central Park</t>
        </is>
      </c>
      <c r="G15" s="16" t="inlineStr"/>
      <c r="H15" s="22">
        <f>IF(C15="","",C15-TODAY())</f>
        <v/>
      </c>
    </row>
    <row r="16">
      <c r="A16" s="19" t="inlineStr">
        <is>
          <t>Car oil change</t>
        </is>
      </c>
      <c r="B16" s="20" t="inlineStr">
        <is>
          <t>Maintenance</t>
        </is>
      </c>
      <c r="C16" s="21" t="n">
        <v>46221</v>
      </c>
      <c r="D16" s="20" t="inlineStr">
        <is>
          <t>8:00 AM</t>
        </is>
      </c>
      <c r="E16" s="20" t="inlineStr">
        <is>
          <t>Dad</t>
        </is>
      </c>
      <c r="F16" s="19" t="inlineStr">
        <is>
          <t>DriveWell</t>
        </is>
      </c>
      <c r="G16" s="19" t="inlineStr"/>
      <c r="H16" s="25">
        <f>IF(C16="","",C16-TODAY())</f>
        <v/>
      </c>
    </row>
    <row r="17">
      <c r="A17" s="16" t="n"/>
      <c r="B17" s="17" t="n"/>
      <c r="C17" s="18" t="n"/>
      <c r="D17" s="17" t="n"/>
      <c r="E17" s="17" t="n"/>
      <c r="F17" s="16" t="n"/>
      <c r="G17" s="16" t="n"/>
      <c r="H17" s="22">
        <f>IF(C17="","",C17-TODAY())</f>
        <v/>
      </c>
    </row>
    <row r="18">
      <c r="A18" s="19" t="n"/>
      <c r="B18" s="20" t="n"/>
      <c r="C18" s="21" t="n"/>
      <c r="D18" s="20" t="n"/>
      <c r="E18" s="20" t="n"/>
      <c r="F18" s="19" t="n"/>
      <c r="G18" s="19" t="n"/>
      <c r="H18" s="25">
        <f>IF(C18="","",C18-TODAY())</f>
        <v/>
      </c>
    </row>
    <row r="19">
      <c r="A19" s="16" t="n"/>
      <c r="B19" s="17" t="n"/>
      <c r="C19" s="18" t="n"/>
      <c r="D19" s="17" t="n"/>
      <c r="E19" s="17" t="n"/>
      <c r="F19" s="16" t="n"/>
      <c r="G19" s="16" t="n"/>
      <c r="H19" s="22">
        <f>IF(C19="","",C19-TODAY())</f>
        <v/>
      </c>
    </row>
    <row r="20">
      <c r="A20" s="19" t="n"/>
      <c r="B20" s="20" t="n"/>
      <c r="C20" s="21" t="n"/>
      <c r="D20" s="20" t="n"/>
      <c r="E20" s="20" t="n"/>
      <c r="F20" s="19" t="n"/>
      <c r="G20" s="19" t="n"/>
      <c r="H20" s="25">
        <f>IF(C20="","",C20-TODAY())</f>
        <v/>
      </c>
    </row>
    <row r="21">
      <c r="A21" s="16" t="n"/>
      <c r="B21" s="17" t="n"/>
      <c r="C21" s="18" t="n"/>
      <c r="D21" s="17" t="n"/>
      <c r="E21" s="17" t="n"/>
      <c r="F21" s="16" t="n"/>
      <c r="G21" s="16" t="n"/>
      <c r="H21" s="22">
        <f>IF(C21="","",C21-TODAY())</f>
        <v/>
      </c>
    </row>
    <row r="22">
      <c r="A22" s="19" t="n"/>
      <c r="B22" s="20" t="n"/>
      <c r="C22" s="21" t="n"/>
      <c r="D22" s="20" t="n"/>
      <c r="E22" s="20" t="n"/>
      <c r="F22" s="19" t="n"/>
      <c r="G22" s="19" t="n"/>
      <c r="H22" s="25">
        <f>IF(C22="","",C22-TODAY())</f>
        <v/>
      </c>
    </row>
    <row r="23">
      <c r="A23" s="16" t="n"/>
      <c r="B23" s="17" t="n"/>
      <c r="C23" s="18" t="n"/>
      <c r="D23" s="17" t="n"/>
      <c r="E23" s="17" t="n"/>
      <c r="F23" s="16" t="n"/>
      <c r="G23" s="16" t="n"/>
      <c r="H23" s="22">
        <f>IF(C23="","",C23-TODAY())</f>
        <v/>
      </c>
    </row>
    <row r="24">
      <c r="A24" s="19" t="n"/>
      <c r="B24" s="20" t="n"/>
      <c r="C24" s="21" t="n"/>
      <c r="D24" s="20" t="n"/>
      <c r="E24" s="20" t="n"/>
      <c r="F24" s="19" t="n"/>
      <c r="G24" s="19" t="n"/>
      <c r="H24" s="25">
        <f>IF(C24="","",C24-TODAY())</f>
        <v/>
      </c>
    </row>
    <row r="25">
      <c r="A25" s="16" t="n"/>
      <c r="B25" s="17" t="n"/>
      <c r="C25" s="18" t="n"/>
      <c r="D25" s="17" t="n"/>
      <c r="E25" s="17" t="n"/>
      <c r="F25" s="16" t="n"/>
      <c r="G25" s="16" t="n"/>
      <c r="H25" s="22">
        <f>IF(C25="","",C25-TODAY())</f>
        <v/>
      </c>
    </row>
    <row r="26">
      <c r="A26" s="19" t="n"/>
      <c r="B26" s="20" t="n"/>
      <c r="C26" s="21" t="n"/>
      <c r="D26" s="20" t="n"/>
      <c r="E26" s="20" t="n"/>
      <c r="F26" s="19" t="n"/>
      <c r="G26" s="19" t="n"/>
      <c r="H26" s="25">
        <f>IF(C26="","",C26-TODAY())</f>
        <v/>
      </c>
    </row>
    <row r="27">
      <c r="A27" s="16" t="n"/>
      <c r="B27" s="17" t="n"/>
      <c r="C27" s="18" t="n"/>
      <c r="D27" s="17" t="n"/>
      <c r="E27" s="17" t="n"/>
      <c r="F27" s="16" t="n"/>
      <c r="G27" s="16" t="n"/>
      <c r="H27" s="22">
        <f>IF(C27="","",C27-TODAY())</f>
        <v/>
      </c>
    </row>
    <row r="28">
      <c r="A28" s="19" t="n"/>
      <c r="B28" s="20" t="n"/>
      <c r="C28" s="21" t="n"/>
      <c r="D28" s="20" t="n"/>
      <c r="E28" s="20" t="n"/>
      <c r="F28" s="19" t="n"/>
      <c r="G28" s="19" t="n"/>
      <c r="H28" s="25">
        <f>IF(C28="","",C28-TODAY())</f>
        <v/>
      </c>
    </row>
    <row r="29">
      <c r="A29" s="16" t="n"/>
      <c r="B29" s="17" t="n"/>
      <c r="C29" s="18" t="n"/>
      <c r="D29" s="17" t="n"/>
      <c r="E29" s="17" t="n"/>
      <c r="F29" s="16" t="n"/>
      <c r="G29" s="16" t="n"/>
      <c r="H29" s="22">
        <f>IF(C29="","",C29-TODAY())</f>
        <v/>
      </c>
    </row>
    <row r="30">
      <c r="A30" s="19" t="n"/>
      <c r="B30" s="20" t="n"/>
      <c r="C30" s="21" t="n"/>
      <c r="D30" s="20" t="n"/>
      <c r="E30" s="20" t="n"/>
      <c r="F30" s="19" t="n"/>
      <c r="G30" s="19" t="n"/>
      <c r="H30" s="25">
        <f>IF(C30="","",C30-TODAY())</f>
        <v/>
      </c>
    </row>
    <row r="31">
      <c r="A31" s="16" t="n"/>
      <c r="B31" s="17" t="n"/>
      <c r="C31" s="18" t="n"/>
      <c r="D31" s="17" t="n"/>
      <c r="E31" s="17" t="n"/>
      <c r="F31" s="16" t="n"/>
      <c r="G31" s="16" t="n"/>
      <c r="H31" s="22">
        <f>IF(C31="","",C31-TODAY())</f>
        <v/>
      </c>
    </row>
    <row r="32">
      <c r="A32" s="19" t="n"/>
      <c r="B32" s="20" t="n"/>
      <c r="C32" s="21" t="n"/>
      <c r="D32" s="20" t="n"/>
      <c r="E32" s="20" t="n"/>
      <c r="F32" s="19" t="n"/>
      <c r="G32" s="19" t="n"/>
      <c r="H32" s="25">
        <f>IF(C32="","",C32-TODAY())</f>
        <v/>
      </c>
    </row>
    <row r="33">
      <c r="A33" s="16" t="n"/>
      <c r="B33" s="17" t="n"/>
      <c r="C33" s="18" t="n"/>
      <c r="D33" s="17" t="n"/>
      <c r="E33" s="17" t="n"/>
      <c r="F33" s="16" t="n"/>
      <c r="G33" s="16" t="n"/>
      <c r="H33" s="22">
        <f>IF(C33="","",C33-TODAY())</f>
        <v/>
      </c>
    </row>
    <row r="34">
      <c r="A34" s="19" t="n"/>
      <c r="B34" s="20" t="n"/>
      <c r="C34" s="21" t="n"/>
      <c r="D34" s="20" t="n"/>
      <c r="E34" s="20" t="n"/>
      <c r="F34" s="19" t="n"/>
      <c r="G34" s="19" t="n"/>
      <c r="H34" s="25">
        <f>IF(C34="","",C34-TODAY())</f>
        <v/>
      </c>
    </row>
    <row r="35">
      <c r="A35" s="16" t="n"/>
      <c r="B35" s="17" t="n"/>
      <c r="C35" s="18" t="n"/>
      <c r="D35" s="17" t="n"/>
      <c r="E35" s="17" t="n"/>
      <c r="F35" s="16" t="n"/>
      <c r="G35" s="16" t="n"/>
      <c r="H35" s="22">
        <f>IF(C35="","",C35-TODAY())</f>
        <v/>
      </c>
    </row>
    <row r="36">
      <c r="A36" s="19" t="n"/>
      <c r="B36" s="20" t="n"/>
      <c r="C36" s="21" t="n"/>
      <c r="D36" s="20" t="n"/>
      <c r="E36" s="20" t="n"/>
      <c r="F36" s="19" t="n"/>
      <c r="G36" s="19" t="n"/>
      <c r="H36" s="25">
        <f>IF(C36="","",C36-TODAY())</f>
        <v/>
      </c>
    </row>
    <row r="37">
      <c r="A37" s="16" t="n"/>
      <c r="B37" s="17" t="n"/>
      <c r="C37" s="18" t="n"/>
      <c r="D37" s="17" t="n"/>
      <c r="E37" s="17" t="n"/>
      <c r="F37" s="16" t="n"/>
      <c r="G37" s="16" t="n"/>
      <c r="H37" s="22">
        <f>IF(C37="","",C37-TODAY())</f>
        <v/>
      </c>
    </row>
    <row r="38">
      <c r="A38" s="19" t="n"/>
      <c r="B38" s="20" t="n"/>
      <c r="C38" s="21" t="n"/>
      <c r="D38" s="20" t="n"/>
      <c r="E38" s="20" t="n"/>
      <c r="F38" s="19" t="n"/>
      <c r="G38" s="19" t="n"/>
      <c r="H38" s="25">
        <f>IF(C38="","",C38-TODAY())</f>
        <v/>
      </c>
    </row>
    <row r="39">
      <c r="A39" s="16" t="n"/>
      <c r="B39" s="17" t="n"/>
      <c r="C39" s="18" t="n"/>
      <c r="D39" s="17" t="n"/>
      <c r="E39" s="17" t="n"/>
      <c r="F39" s="16" t="n"/>
      <c r="G39" s="16" t="n"/>
      <c r="H39" s="22">
        <f>IF(C39="","",C39-TODAY())</f>
        <v/>
      </c>
    </row>
    <row r="40">
      <c r="A40" s="19" t="n"/>
      <c r="B40" s="20" t="n"/>
      <c r="C40" s="21" t="n"/>
      <c r="D40" s="20" t="n"/>
      <c r="E40" s="20" t="n"/>
      <c r="F40" s="19" t="n"/>
      <c r="G40" s="19" t="n"/>
      <c r="H40" s="25">
        <f>IF(C40="","",C40-TODAY())</f>
        <v/>
      </c>
    </row>
    <row r="41">
      <c r="A41" s="16" t="n"/>
      <c r="B41" s="17" t="n"/>
      <c r="C41" s="18" t="n"/>
      <c r="D41" s="17" t="n"/>
      <c r="E41" s="17" t="n"/>
      <c r="F41" s="16" t="n"/>
      <c r="G41" s="16" t="n"/>
      <c r="H41" s="22">
        <f>IF(C41="","",C41-TODAY())</f>
        <v/>
      </c>
    </row>
    <row r="42">
      <c r="A42" s="19" t="n"/>
      <c r="B42" s="20" t="n"/>
      <c r="C42" s="21" t="n"/>
      <c r="D42" s="20" t="n"/>
      <c r="E42" s="20" t="n"/>
      <c r="F42" s="19" t="n"/>
      <c r="G42" s="19" t="n"/>
      <c r="H42" s="25">
        <f>IF(C42="","",C42-TODAY())</f>
        <v/>
      </c>
    </row>
    <row r="43">
      <c r="A43" s="16" t="n"/>
      <c r="B43" s="17" t="n"/>
      <c r="C43" s="18" t="n"/>
      <c r="D43" s="17" t="n"/>
      <c r="E43" s="17" t="n"/>
      <c r="F43" s="16" t="n"/>
      <c r="G43" s="16" t="n"/>
      <c r="H43" s="22">
        <f>IF(C43="","",C43-TODAY())</f>
        <v/>
      </c>
    </row>
    <row r="44">
      <c r="A44" s="19" t="n"/>
      <c r="B44" s="20" t="n"/>
      <c r="C44" s="21" t="n"/>
      <c r="D44" s="20" t="n"/>
      <c r="E44" s="20" t="n"/>
      <c r="F44" s="19" t="n"/>
      <c r="G44" s="19" t="n"/>
      <c r="H44" s="25">
        <f>IF(C44="","",C44-TODAY())</f>
        <v/>
      </c>
    </row>
    <row r="45">
      <c r="A45" s="16" t="n"/>
      <c r="B45" s="17" t="n"/>
      <c r="C45" s="18" t="n"/>
      <c r="D45" s="17" t="n"/>
      <c r="E45" s="17" t="n"/>
      <c r="F45" s="16" t="n"/>
      <c r="G45" s="16" t="n"/>
      <c r="H45" s="22">
        <f>IF(C45="","",C45-TODAY())</f>
        <v/>
      </c>
    </row>
    <row r="46">
      <c r="A46" s="19" t="n"/>
      <c r="B46" s="20" t="n"/>
      <c r="C46" s="21" t="n"/>
      <c r="D46" s="20" t="n"/>
      <c r="E46" s="20" t="n"/>
      <c r="F46" s="19" t="n"/>
      <c r="G46" s="19" t="n"/>
      <c r="H46" s="25">
        <f>IF(C46="","",C46-TODAY())</f>
        <v/>
      </c>
    </row>
    <row r="47">
      <c r="A47" s="16" t="n"/>
      <c r="B47" s="17" t="n"/>
      <c r="C47" s="18" t="n"/>
      <c r="D47" s="17" t="n"/>
      <c r="E47" s="17" t="n"/>
      <c r="F47" s="16" t="n"/>
      <c r="G47" s="16" t="n"/>
      <c r="H47" s="22">
        <f>IF(C47="","",C47-TODAY())</f>
        <v/>
      </c>
    </row>
    <row r="48">
      <c r="A48" s="19" t="n"/>
      <c r="B48" s="20" t="n"/>
      <c r="C48" s="21" t="n"/>
      <c r="D48" s="20" t="n"/>
      <c r="E48" s="20" t="n"/>
      <c r="F48" s="19" t="n"/>
      <c r="G48" s="19" t="n"/>
      <c r="H48" s="25">
        <f>IF(C48="","",C48-TODAY())</f>
        <v/>
      </c>
    </row>
    <row r="49">
      <c r="A49" s="16" t="n"/>
      <c r="B49" s="17" t="n"/>
      <c r="C49" s="18" t="n"/>
      <c r="D49" s="17" t="n"/>
      <c r="E49" s="17" t="n"/>
      <c r="F49" s="16" t="n"/>
      <c r="G49" s="16" t="n"/>
      <c r="H49" s="22">
        <f>IF(C49="","",C49-TODAY())</f>
        <v/>
      </c>
    </row>
    <row r="50">
      <c r="A50" s="19" t="n"/>
      <c r="B50" s="20" t="n"/>
      <c r="C50" s="21" t="n"/>
      <c r="D50" s="20" t="n"/>
      <c r="E50" s="20" t="n"/>
      <c r="F50" s="19" t="n"/>
      <c r="G50" s="19" t="n"/>
      <c r="H50" s="25">
        <f>IF(C50="","",C50-TODAY())</f>
        <v/>
      </c>
    </row>
    <row r="51">
      <c r="A51" s="16" t="n"/>
      <c r="B51" s="17" t="n"/>
      <c r="C51" s="18" t="n"/>
      <c r="D51" s="17" t="n"/>
      <c r="E51" s="17" t="n"/>
      <c r="F51" s="16" t="n"/>
      <c r="G51" s="16" t="n"/>
      <c r="H51" s="22">
        <f>IF(C51="","",C51-TODAY())</f>
        <v/>
      </c>
    </row>
    <row r="52">
      <c r="A52" s="19" t="n"/>
      <c r="B52" s="20" t="n"/>
      <c r="C52" s="21" t="n"/>
      <c r="D52" s="20" t="n"/>
      <c r="E52" s="20" t="n"/>
      <c r="F52" s="19" t="n"/>
      <c r="G52" s="19" t="n"/>
      <c r="H52" s="25">
        <f>IF(C52="","",C52-TODAY())</f>
        <v/>
      </c>
    </row>
    <row r="53">
      <c r="A53" s="16" t="n"/>
      <c r="B53" s="17" t="n"/>
      <c r="C53" s="18" t="n"/>
      <c r="D53" s="17" t="n"/>
      <c r="E53" s="17" t="n"/>
      <c r="F53" s="16" t="n"/>
      <c r="G53" s="16" t="n"/>
      <c r="H53" s="22">
        <f>IF(C53="","",C53-TODAY())</f>
        <v/>
      </c>
    </row>
    <row r="54">
      <c r="A54" s="19" t="n"/>
      <c r="B54" s="20" t="n"/>
      <c r="C54" s="21" t="n"/>
      <c r="D54" s="20" t="n"/>
      <c r="E54" s="20" t="n"/>
      <c r="F54" s="19" t="n"/>
      <c r="G54" s="19" t="n"/>
      <c r="H54" s="25">
        <f>IF(C54="","",C54-TODAY())</f>
        <v/>
      </c>
    </row>
    <row r="55">
      <c r="A55" s="16" t="n"/>
      <c r="B55" s="17" t="n"/>
      <c r="C55" s="18" t="n"/>
      <c r="D55" s="17" t="n"/>
      <c r="E55" s="17" t="n"/>
      <c r="F55" s="16" t="n"/>
      <c r="G55" s="16" t="n"/>
      <c r="H55" s="22">
        <f>IF(C55="","",C55-TODAY())</f>
        <v/>
      </c>
    </row>
    <row r="56">
      <c r="A56" s="19" t="n"/>
      <c r="B56" s="20" t="n"/>
      <c r="C56" s="21" t="n"/>
      <c r="D56" s="20" t="n"/>
      <c r="E56" s="20" t="n"/>
      <c r="F56" s="19" t="n"/>
      <c r="G56" s="19" t="n"/>
      <c r="H56" s="25">
        <f>IF(C56="","",C56-TODAY())</f>
        <v/>
      </c>
    </row>
    <row r="57">
      <c r="A57" s="16" t="n"/>
      <c r="B57" s="17" t="n"/>
      <c r="C57" s="18" t="n"/>
      <c r="D57" s="17" t="n"/>
      <c r="E57" s="17" t="n"/>
      <c r="F57" s="16" t="n"/>
      <c r="G57" s="16" t="n"/>
      <c r="H57" s="22">
        <f>IF(C57="","",C57-TODAY())</f>
        <v/>
      </c>
    </row>
    <row r="58">
      <c r="A58" s="19" t="n"/>
      <c r="B58" s="20" t="n"/>
      <c r="C58" s="21" t="n"/>
      <c r="D58" s="20" t="n"/>
      <c r="E58" s="20" t="n"/>
      <c r="F58" s="19" t="n"/>
      <c r="G58" s="19" t="n"/>
      <c r="H58" s="25">
        <f>IF(C58="","",C58-TODAY())</f>
        <v/>
      </c>
    </row>
    <row r="59">
      <c r="A59" s="16" t="n"/>
      <c r="B59" s="17" t="n"/>
      <c r="C59" s="18" t="n"/>
      <c r="D59" s="17" t="n"/>
      <c r="E59" s="17" t="n"/>
      <c r="F59" s="16" t="n"/>
      <c r="G59" s="16" t="n"/>
      <c r="H59" s="22">
        <f>IF(C59="","",C59-TODAY())</f>
        <v/>
      </c>
    </row>
    <row r="60">
      <c r="A60" s="19" t="n"/>
      <c r="B60" s="20" t="n"/>
      <c r="C60" s="21" t="n"/>
      <c r="D60" s="20" t="n"/>
      <c r="E60" s="20" t="n"/>
      <c r="F60" s="19" t="n"/>
      <c r="G60" s="19" t="n"/>
      <c r="H60" s="25">
        <f>IF(C60="","",C60-TODAY())</f>
        <v/>
      </c>
    </row>
    <row r="61">
      <c r="A61" s="16" t="n"/>
      <c r="B61" s="17" t="n"/>
      <c r="C61" s="18" t="n"/>
      <c r="D61" s="17" t="n"/>
      <c r="E61" s="17" t="n"/>
      <c r="F61" s="16" t="n"/>
      <c r="G61" s="16" t="n"/>
      <c r="H61" s="22">
        <f>IF(C61="","",C61-TODAY())</f>
        <v/>
      </c>
    </row>
    <row r="62">
      <c r="A62" s="19" t="n"/>
      <c r="B62" s="20" t="n"/>
      <c r="C62" s="21" t="n"/>
      <c r="D62" s="20" t="n"/>
      <c r="E62" s="20" t="n"/>
      <c r="F62" s="19" t="n"/>
      <c r="G62" s="19" t="n"/>
      <c r="H62" s="25">
        <f>IF(C62="","",C62-TODAY())</f>
        <v/>
      </c>
    </row>
    <row r="63">
      <c r="A63" s="16" t="n"/>
      <c r="B63" s="17" t="n"/>
      <c r="C63" s="18" t="n"/>
      <c r="D63" s="17" t="n"/>
      <c r="E63" s="17" t="n"/>
      <c r="F63" s="16" t="n"/>
      <c r="G63" s="16" t="n"/>
      <c r="H63" s="22">
        <f>IF(C63="","",C63-TODAY())</f>
        <v/>
      </c>
    </row>
    <row r="64">
      <c r="A64" s="19" t="n"/>
      <c r="B64" s="20" t="n"/>
      <c r="C64" s="21" t="n"/>
      <c r="D64" s="20" t="n"/>
      <c r="E64" s="20" t="n"/>
      <c r="F64" s="19" t="n"/>
      <c r="G64" s="19" t="n"/>
      <c r="H64" s="25">
        <f>IF(C64="","",C64-TODAY())</f>
        <v/>
      </c>
    </row>
  </sheetData>
  <mergeCells count="2">
    <mergeCell ref="A2:G2"/>
    <mergeCell ref="A1:G1"/>
  </mergeCells>
  <conditionalFormatting sqref="A5:H64">
    <cfRule type="expression" priority="1" dxfId="0">
      <formula>AND($C5&lt;&gt;"",$C5-TODAY()&gt;=0,$C5-TODAY()&lt;=7)</formula>
    </cfRule>
  </conditionalFormatting>
  <dataValidations count="2">
    <dataValidation sqref="B5:B64" showDropDown="0" showInputMessage="0" showErrorMessage="0" allowBlank="1" type="list">
      <formula1>=CalCatList</formula1>
    </dataValidation>
    <dataValidation sqref="E5:E64" showDropDown="0" showInputMessage="0" showErrorMessage="0" allowBlank="1" type="list">
      <formula1>=FamilyList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0" customWidth="1" min="3" max="3"/>
    <col width="18" customWidth="1" min="4" max="4"/>
    <col width="3" customWidth="1" min="5" max="5"/>
    <col width="4" customWidth="1" min="6" max="6"/>
    <col width="30" customWidth="1" min="7" max="7"/>
    <col width="18" customWidth="1" min="8" max="8"/>
    <col width="2" customWidth="1" min="9" max="9"/>
  </cols>
  <sheetData>
    <row r="1" ht="46" customHeight="1">
      <c r="A1" s="1" t="inlineStr">
        <is>
          <t xml:space="preserve">  ☀  DAILY COMMAND CENTER</t>
        </is>
      </c>
    </row>
    <row r="2" ht="22" customHeight="1">
      <c r="A2" s="2" t="inlineStr">
        <is>
          <t xml:space="preserve">  Your one-page daily driver — routines, priorities, and wins.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2" customHeight="1">
      <c r="C5" s="4" t="inlineStr">
        <is>
          <t>MORNING ROUTINE</t>
        </is>
      </c>
      <c r="G5" s="4" t="inlineStr">
        <is>
          <t>EVENING ROUTINE</t>
        </is>
      </c>
    </row>
    <row r="6">
      <c r="B6" s="26" t="inlineStr">
        <is>
          <t>☐</t>
        </is>
      </c>
      <c r="C6" s="27" t="inlineStr">
        <is>
          <t>Make beds</t>
        </is>
      </c>
      <c r="D6" s="28" t="n"/>
      <c r="F6" s="26" t="inlineStr">
        <is>
          <t>☐</t>
        </is>
      </c>
      <c r="G6" s="27" t="inlineStr">
        <is>
          <t>Tidy main living areas</t>
        </is>
      </c>
      <c r="H6" s="28" t="n"/>
    </row>
    <row r="7">
      <c r="B7" s="26" t="inlineStr">
        <is>
          <t>☐</t>
        </is>
      </c>
      <c r="C7" s="27" t="inlineStr">
        <is>
          <t>Breakfast &amp; lunches</t>
        </is>
      </c>
      <c r="D7" s="28" t="n"/>
      <c r="F7" s="26" t="inlineStr">
        <is>
          <t>☐</t>
        </is>
      </c>
      <c r="G7" s="27" t="inlineStr">
        <is>
          <t>Prep tomorrow's bags</t>
        </is>
      </c>
      <c r="H7" s="28" t="n"/>
    </row>
    <row r="8">
      <c r="B8" s="26" t="inlineStr">
        <is>
          <t>☐</t>
        </is>
      </c>
      <c r="C8" s="27" t="inlineStr">
        <is>
          <t>Start a load of laundry</t>
        </is>
      </c>
      <c r="D8" s="28" t="n"/>
      <c r="F8" s="26" t="inlineStr">
        <is>
          <t>☐</t>
        </is>
      </c>
      <c r="G8" s="27" t="inlineStr">
        <is>
          <t>Dishes &amp; wipe counters</t>
        </is>
      </c>
      <c r="H8" s="28" t="n"/>
    </row>
    <row r="9">
      <c r="B9" s="26" t="inlineStr">
        <is>
          <t>☐</t>
        </is>
      </c>
      <c r="C9" s="27" t="inlineStr">
        <is>
          <t>Quick kitchen reset</t>
        </is>
      </c>
      <c r="D9" s="28" t="n"/>
      <c r="F9" s="26" t="inlineStr">
        <is>
          <t>☐</t>
        </is>
      </c>
      <c r="G9" s="27" t="inlineStr">
        <is>
          <t>Set out clothes</t>
        </is>
      </c>
      <c r="H9" s="28" t="n"/>
    </row>
    <row r="10">
      <c r="B10" s="26" t="inlineStr">
        <is>
          <t>☐</t>
        </is>
      </c>
      <c r="C10" s="27" t="inlineStr">
        <is>
          <t>Check today's calendar</t>
        </is>
      </c>
      <c r="D10" s="28" t="n"/>
      <c r="F10" s="26" t="inlineStr">
        <is>
          <t>☐</t>
        </is>
      </c>
      <c r="G10" s="27" t="inlineStr">
        <is>
          <t>Plan tomorrow's dinner</t>
        </is>
      </c>
      <c r="H10" s="28" t="n"/>
    </row>
    <row r="11">
      <c r="B11" s="26" t="inlineStr">
        <is>
          <t>☐</t>
        </is>
      </c>
      <c r="C11" s="27" t="inlineStr">
        <is>
          <t>Vitamins &amp; meds</t>
        </is>
      </c>
      <c r="D11" s="28" t="n"/>
      <c r="F11" s="26" t="inlineStr">
        <is>
          <t>☐</t>
        </is>
      </c>
      <c r="G11" s="27" t="inlineStr">
        <is>
          <t>Lights &amp; doors check</t>
        </is>
      </c>
      <c r="H11" s="28" t="n"/>
    </row>
    <row r="13">
      <c r="B13" s="6" t="inlineStr">
        <is>
          <t>TOP 3 PRIORITIES</t>
        </is>
      </c>
      <c r="F13" s="6" t="inlineStr">
        <is>
          <t>APPOINTMENTS &amp; ERRANDS</t>
        </is>
      </c>
    </row>
    <row r="14">
      <c r="B14" s="29" t="n">
        <v>1</v>
      </c>
      <c r="C14" s="30" t="inlineStr"/>
      <c r="D14" s="28" t="n"/>
      <c r="F14" s="27" t="inlineStr">
        <is>
          <t>8:30  School drop-off</t>
        </is>
      </c>
      <c r="G14" s="28" t="n"/>
      <c r="H14" s="28" t="n"/>
    </row>
    <row r="15">
      <c r="B15" s="29" t="n">
        <v>2</v>
      </c>
      <c r="C15" s="30" t="inlineStr"/>
      <c r="D15" s="28" t="n"/>
      <c r="F15" s="27" t="inlineStr">
        <is>
          <t>12:00  Grocery pickup</t>
        </is>
      </c>
      <c r="G15" s="28" t="n"/>
      <c r="H15" s="28" t="n"/>
    </row>
    <row r="16">
      <c r="B16" s="29" t="n">
        <v>3</v>
      </c>
      <c r="C16" s="30" t="inlineStr"/>
      <c r="D16" s="28" t="n"/>
      <c r="F16" s="27" t="inlineStr">
        <is>
          <t>3:30  Emma soccer</t>
        </is>
      </c>
      <c r="G16" s="28" t="n"/>
      <c r="H16" s="28" t="n"/>
    </row>
    <row r="17">
      <c r="F17" s="27" t="inlineStr">
        <is>
          <t>6:00  Family dinner</t>
        </is>
      </c>
      <c r="G17" s="28" t="n"/>
      <c r="H17" s="28" t="n"/>
    </row>
    <row r="19">
      <c r="B19" s="4" t="inlineStr">
        <is>
          <t>WATER  (8 glasses)</t>
        </is>
      </c>
      <c r="F19" s="4" t="inlineStr">
        <is>
          <t>MOVEMENT / EXERCISE</t>
        </is>
      </c>
    </row>
    <row r="20">
      <c r="B20" s="31" t="inlineStr">
        <is>
          <t>○</t>
        </is>
      </c>
      <c r="C20" s="31" t="inlineStr">
        <is>
          <t>○</t>
        </is>
      </c>
      <c r="D20" s="31" t="inlineStr">
        <is>
          <t>○</t>
        </is>
      </c>
      <c r="E20" s="31" t="inlineStr">
        <is>
          <t>○</t>
        </is>
      </c>
      <c r="F20" s="30" t="inlineStr">
        <is>
          <t>30-min walk + stretch</t>
        </is>
      </c>
      <c r="G20" s="28" t="n"/>
      <c r="H20" s="28" t="n"/>
      <c r="I20" s="31" t="inlineStr">
        <is>
          <t>○</t>
        </is>
      </c>
    </row>
    <row r="22">
      <c r="B22" s="6" t="inlineStr">
        <is>
          <t>NOTES</t>
        </is>
      </c>
      <c r="F22" s="4" t="inlineStr">
        <is>
          <t>TODAY'S WINS  ★</t>
        </is>
      </c>
    </row>
    <row r="23">
      <c r="B23" s="32" t="inlineStr">
        <is>
          <t>Anything on your mind...</t>
        </is>
      </c>
      <c r="C23" s="28" t="n"/>
      <c r="D23" s="28" t="n"/>
      <c r="F23" s="32" t="inlineStr">
        <is>
          <t>Three things that went right today...</t>
        </is>
      </c>
      <c r="G23" s="28" t="n"/>
      <c r="H23" s="28" t="n"/>
    </row>
    <row r="24">
      <c r="B24" s="28" t="n"/>
      <c r="C24" s="28" t="n"/>
      <c r="D24" s="28" t="n"/>
      <c r="F24" s="28" t="n"/>
      <c r="G24" s="28" t="n"/>
      <c r="H24" s="28" t="n"/>
    </row>
    <row r="25">
      <c r="B25" s="28" t="n"/>
      <c r="C25" s="28" t="n"/>
      <c r="D25" s="28" t="n"/>
      <c r="F25" s="28" t="n"/>
      <c r="G25" s="28" t="n"/>
      <c r="H25" s="28" t="n"/>
    </row>
    <row r="26">
      <c r="B26" s="28" t="n"/>
      <c r="C26" s="28" t="n"/>
      <c r="D26" s="28" t="n"/>
      <c r="F26" s="28" t="n"/>
      <c r="G26" s="28" t="n"/>
      <c r="H26" s="28" t="n"/>
    </row>
    <row r="27">
      <c r="B27" s="28" t="n"/>
      <c r="C27" s="28" t="n"/>
      <c r="D27" s="28" t="n"/>
      <c r="F27" s="28" t="n"/>
      <c r="G27" s="28" t="n"/>
      <c r="H27" s="28" t="n"/>
    </row>
  </sheetData>
  <mergeCells count="32">
    <mergeCell ref="F20:H20"/>
    <mergeCell ref="C6:D6"/>
    <mergeCell ref="C15:D15"/>
    <mergeCell ref="G11:H11"/>
    <mergeCell ref="C5:D5"/>
    <mergeCell ref="B13:D13"/>
    <mergeCell ref="C14:D14"/>
    <mergeCell ref="F17:H17"/>
    <mergeCell ref="G8:H8"/>
    <mergeCell ref="B19:D19"/>
    <mergeCell ref="A2:I2"/>
    <mergeCell ref="C10:D10"/>
    <mergeCell ref="C16:D16"/>
    <mergeCell ref="G7:H7"/>
    <mergeCell ref="F13:H13"/>
    <mergeCell ref="B23:D27"/>
    <mergeCell ref="F22:H22"/>
    <mergeCell ref="G10:H10"/>
    <mergeCell ref="G6:H6"/>
    <mergeCell ref="C9:D9"/>
    <mergeCell ref="F23:H27"/>
    <mergeCell ref="F14:H14"/>
    <mergeCell ref="C11:D11"/>
    <mergeCell ref="G5:H5"/>
    <mergeCell ref="C8:D8"/>
    <mergeCell ref="F16:H16"/>
    <mergeCell ref="C7:D7"/>
    <mergeCell ref="F19:H19"/>
    <mergeCell ref="B22:D22"/>
    <mergeCell ref="A1:I1"/>
    <mergeCell ref="G9:H9"/>
    <mergeCell ref="F15:H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3" customWidth="1" min="6" max="6"/>
    <col width="22" customWidth="1" min="7" max="7"/>
    <col width="16" customWidth="1" min="8" max="8"/>
  </cols>
  <sheetData>
    <row r="1" ht="46" customHeight="1">
      <c r="A1" s="1" t="inlineStr">
        <is>
          <t xml:space="preserve">  💵  HOUSEHOLD BUDGET</t>
        </is>
      </c>
    </row>
    <row r="2" ht="22" customHeight="1">
      <c r="A2" s="2" t="inlineStr">
        <is>
          <t xml:space="preserve">  Plan vs actual by category — cash flow, savings rate &amp; remaining,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Category</t>
        </is>
      </c>
      <c r="B4" s="7" t="inlineStr">
        <is>
          <t>Planned</t>
        </is>
      </c>
      <c r="C4" s="7" t="inlineStr">
        <is>
          <t>Actual</t>
        </is>
      </c>
      <c r="D4" s="7" t="inlineStr">
        <is>
          <t>Remaining</t>
        </is>
      </c>
      <c r="E4" s="7" t="inlineStr">
        <is>
          <t>% Used</t>
        </is>
      </c>
      <c r="G4" s="4" t="inlineStr">
        <is>
          <t>THIS MONTH</t>
        </is>
      </c>
    </row>
    <row r="5">
      <c r="A5" s="27" t="inlineStr">
        <is>
          <t>Mortgage/Rent</t>
        </is>
      </c>
      <c r="B5" s="33" t="n">
        <v>1850</v>
      </c>
      <c r="C5" s="33" t="n">
        <v>1850</v>
      </c>
      <c r="D5" s="34">
        <f>B5-C5</f>
        <v/>
      </c>
      <c r="E5" s="35">
        <f>IFERROR(C5/B5,0)</f>
        <v/>
      </c>
      <c r="G5" s="23" t="inlineStr">
        <is>
          <t>Income</t>
        </is>
      </c>
      <c r="H5" s="36">
        <f>MonthlyIncome</f>
        <v/>
      </c>
    </row>
    <row r="6">
      <c r="A6" s="19" t="inlineStr">
        <is>
          <t>Utilities</t>
        </is>
      </c>
      <c r="B6" s="37" t="n">
        <v>300</v>
      </c>
      <c r="C6" s="37" t="n">
        <v>318</v>
      </c>
      <c r="D6" s="38">
        <f>B6-C6</f>
        <v/>
      </c>
      <c r="E6" s="39">
        <f>IFERROR(C6/B6,0)</f>
        <v/>
      </c>
      <c r="G6" s="23" t="inlineStr">
        <is>
          <t>Total Spent</t>
        </is>
      </c>
      <c r="H6" s="36">
        <f>BudgetTotalActual</f>
        <v/>
      </c>
    </row>
    <row r="7">
      <c r="A7" s="27" t="inlineStr">
        <is>
          <t>Internet</t>
        </is>
      </c>
      <c r="B7" s="33" t="n">
        <v>75</v>
      </c>
      <c r="C7" s="33" t="n">
        <v>75</v>
      </c>
      <c r="D7" s="34">
        <f>B7-C7</f>
        <v/>
      </c>
      <c r="E7" s="35">
        <f>IFERROR(C7/B7,0)</f>
        <v/>
      </c>
      <c r="G7" s="23" t="inlineStr">
        <is>
          <t>Remaining</t>
        </is>
      </c>
      <c r="H7" s="40">
        <f>BudgetTotalPlanned-BudgetTotalActual</f>
        <v/>
      </c>
    </row>
    <row r="8">
      <c r="A8" s="19" t="inlineStr">
        <is>
          <t>Phones</t>
        </is>
      </c>
      <c r="B8" s="37" t="n">
        <v>140</v>
      </c>
      <c r="C8" s="37" t="n">
        <v>140</v>
      </c>
      <c r="D8" s="38">
        <f>B8-C8</f>
        <v/>
      </c>
      <c r="E8" s="39">
        <f>IFERROR(C8/B8,0)</f>
        <v/>
      </c>
      <c r="G8" s="23" t="inlineStr">
        <is>
          <t>Cash Flow</t>
        </is>
      </c>
      <c r="H8" s="40">
        <f>MonthlyIncome-BudgetTotalActual</f>
        <v/>
      </c>
    </row>
    <row r="9">
      <c r="A9" s="27" t="inlineStr">
        <is>
          <t>Insurance</t>
        </is>
      </c>
      <c r="B9" s="33" t="n">
        <v>360</v>
      </c>
      <c r="C9" s="33" t="n">
        <v>360</v>
      </c>
      <c r="D9" s="34">
        <f>B9-C9</f>
        <v/>
      </c>
      <c r="E9" s="35">
        <f>IFERROR(C9/B9,0)</f>
        <v/>
      </c>
      <c r="G9" s="23" t="inlineStr">
        <is>
          <t>Savings Rate</t>
        </is>
      </c>
      <c r="H9" s="41">
        <f>IFERROR(SUMIF(BudgetCat,"Savings",BudgetActual)/MonthlyIncome,0)</f>
        <v/>
      </c>
    </row>
    <row r="10">
      <c r="A10" s="19" t="inlineStr">
        <is>
          <t>Groceries</t>
        </is>
      </c>
      <c r="B10" s="37" t="n">
        <v>850</v>
      </c>
      <c r="C10" s="37" t="n">
        <v>902</v>
      </c>
      <c r="D10" s="38">
        <f>B10-C10</f>
        <v/>
      </c>
      <c r="E10" s="39">
        <f>IFERROR(C10/B10,0)</f>
        <v/>
      </c>
    </row>
    <row r="11">
      <c r="A11" s="27" t="inlineStr">
        <is>
          <t>Fuel</t>
        </is>
      </c>
      <c r="B11" s="33" t="n">
        <v>220</v>
      </c>
      <c r="C11" s="33" t="n">
        <v>205</v>
      </c>
      <c r="D11" s="34">
        <f>B11-C11</f>
        <v/>
      </c>
      <c r="E11" s="35">
        <f>IFERROR(C11/B11,0)</f>
        <v/>
      </c>
    </row>
    <row r="12">
      <c r="A12" s="19" t="inlineStr">
        <is>
          <t>Transportation</t>
        </is>
      </c>
      <c r="B12" s="37" t="n">
        <v>180</v>
      </c>
      <c r="C12" s="37" t="n">
        <v>165</v>
      </c>
      <c r="D12" s="38">
        <f>B12-C12</f>
        <v/>
      </c>
      <c r="E12" s="39">
        <f>IFERROR(C12/B12,0)</f>
        <v/>
      </c>
    </row>
    <row r="13">
      <c r="A13" s="27" t="inlineStr">
        <is>
          <t>Childcare</t>
        </is>
      </c>
      <c r="B13" s="33" t="n">
        <v>600</v>
      </c>
      <c r="C13" s="33" t="n">
        <v>600</v>
      </c>
      <c r="D13" s="34">
        <f>B13-C13</f>
        <v/>
      </c>
      <c r="E13" s="35">
        <f>IFERROR(C13/B13,0)</f>
        <v/>
      </c>
    </row>
    <row r="14">
      <c r="A14" s="19" t="inlineStr">
        <is>
          <t>Clothing</t>
        </is>
      </c>
      <c r="B14" s="37" t="n">
        <v>150</v>
      </c>
      <c r="C14" s="37" t="n">
        <v>88</v>
      </c>
      <c r="D14" s="38">
        <f>B14-C14</f>
        <v/>
      </c>
      <c r="E14" s="39">
        <f>IFERROR(C14/B14,0)</f>
        <v/>
      </c>
    </row>
    <row r="15">
      <c r="A15" s="27" t="inlineStr">
        <is>
          <t>Entertainment</t>
        </is>
      </c>
      <c r="B15" s="33" t="n">
        <v>200</v>
      </c>
      <c r="C15" s="33" t="n">
        <v>175</v>
      </c>
      <c r="D15" s="34">
        <f>B15-C15</f>
        <v/>
      </c>
      <c r="E15" s="35">
        <f>IFERROR(C15/B15,0)</f>
        <v/>
      </c>
    </row>
    <row r="16">
      <c r="A16" s="19" t="inlineStr">
        <is>
          <t>Medical</t>
        </is>
      </c>
      <c r="B16" s="37" t="n">
        <v>160</v>
      </c>
      <c r="C16" s="37" t="n">
        <v>60</v>
      </c>
      <c r="D16" s="38">
        <f>B16-C16</f>
        <v/>
      </c>
      <c r="E16" s="39">
        <f>IFERROR(C16/B16,0)</f>
        <v/>
      </c>
    </row>
    <row r="17">
      <c r="A17" s="27" t="inlineStr">
        <is>
          <t>Savings</t>
        </is>
      </c>
      <c r="B17" s="33" t="n">
        <v>600</v>
      </c>
      <c r="C17" s="33" t="n">
        <v>600</v>
      </c>
      <c r="D17" s="34">
        <f>B17-C17</f>
        <v/>
      </c>
      <c r="E17" s="35">
        <f>IFERROR(C17/B17,0)</f>
        <v/>
      </c>
    </row>
    <row r="18">
      <c r="A18" s="19" t="inlineStr">
        <is>
          <t>Subscriptions</t>
        </is>
      </c>
      <c r="B18" s="37" t="n">
        <v>90</v>
      </c>
      <c r="C18" s="37" t="n">
        <v>96</v>
      </c>
      <c r="D18" s="38">
        <f>B18-C18</f>
        <v/>
      </c>
      <c r="E18" s="39">
        <f>IFERROR(C18/B18,0)</f>
        <v/>
      </c>
    </row>
    <row r="19">
      <c r="A19" s="27" t="inlineStr">
        <is>
          <t>Dining Out</t>
        </is>
      </c>
      <c r="B19" s="33" t="n">
        <v>240</v>
      </c>
      <c r="C19" s="33" t="n">
        <v>268</v>
      </c>
      <c r="D19" s="34">
        <f>B19-C19</f>
        <v/>
      </c>
      <c r="E19" s="35">
        <f>IFERROR(C19/B19,0)</f>
        <v/>
      </c>
    </row>
    <row r="20">
      <c r="A20" s="19" t="inlineStr">
        <is>
          <t>Home Improvement</t>
        </is>
      </c>
      <c r="B20" s="37" t="n">
        <v>200</v>
      </c>
      <c r="C20" s="37" t="n">
        <v>120</v>
      </c>
      <c r="D20" s="38">
        <f>B20-C20</f>
        <v/>
      </c>
      <c r="E20" s="39">
        <f>IFERROR(C20/B20,0)</f>
        <v/>
      </c>
    </row>
    <row r="21">
      <c r="A21" s="27" t="inlineStr">
        <is>
          <t>Pets</t>
        </is>
      </c>
      <c r="B21" s="33" t="n">
        <v>95</v>
      </c>
      <c r="C21" s="33" t="n">
        <v>110</v>
      </c>
      <c r="D21" s="34">
        <f>B21-C21</f>
        <v/>
      </c>
      <c r="E21" s="35">
        <f>IFERROR(C21/B21,0)</f>
        <v/>
      </c>
    </row>
    <row r="22">
      <c r="A22" s="19" t="inlineStr">
        <is>
          <t>Miscellaneous</t>
        </is>
      </c>
      <c r="B22" s="37" t="n">
        <v>140</v>
      </c>
      <c r="C22" s="37" t="n">
        <v>95</v>
      </c>
      <c r="D22" s="38">
        <f>B22-C22</f>
        <v/>
      </c>
      <c r="E22" s="39">
        <f>IFERROR(C22/B22,0)</f>
        <v/>
      </c>
    </row>
    <row r="23">
      <c r="A23" s="7" t="inlineStr">
        <is>
          <t>TOTAL</t>
        </is>
      </c>
      <c r="B23" s="42">
        <f>SUM(B5:B22)</f>
        <v/>
      </c>
      <c r="C23" s="42">
        <f>SUM(C5:C22)</f>
        <v/>
      </c>
      <c r="D23" s="42">
        <f>SUM(D5:D22)</f>
        <v/>
      </c>
      <c r="E23" s="43">
        <f>IFERROR(C23/B23,0)</f>
        <v/>
      </c>
    </row>
  </sheetData>
  <mergeCells count="2">
    <mergeCell ref="A2:H2"/>
    <mergeCell ref="A1:H1"/>
  </mergeCells>
  <conditionalFormatting sqref="E5:E22">
    <cfRule type="dataBar" priority="1">
      <dataBar showValue="1">
        <cfvo type="num" val="0"/>
        <cfvo type="num" val="1.2"/>
        <color rgb="001B4F48"/>
      </dataBar>
    </cfRule>
  </conditionalFormatting>
  <conditionalFormatting sqref="D5:D22"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K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4" customWidth="1" min="4" max="4"/>
    <col width="11" customWidth="1" min="5" max="5"/>
    <col width="10" customWidth="1" min="6" max="6"/>
    <col width="16" customWidth="1" min="7" max="7"/>
    <col width="14" customWidth="1" min="8" max="8"/>
    <col width="16" customWidth="1" min="10" max="10"/>
    <col width="12" customWidth="1" min="11" max="11"/>
  </cols>
  <sheetData>
    <row r="1" ht="46" customHeight="1">
      <c r="A1" s="1" t="inlineStr">
        <is>
          <t xml:space="preserve">  📬  BILL COMMAND CENTER</t>
        </is>
      </c>
    </row>
    <row r="2" ht="22" customHeight="1">
      <c r="A2" s="2" t="inlineStr">
        <is>
          <t xml:space="preserve">  Never miss a due date — overdue bills flag themselves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Company</t>
        </is>
      </c>
      <c r="B4" s="7" t="inlineStr">
        <is>
          <t>Category</t>
        </is>
      </c>
      <c r="C4" s="7" t="inlineStr">
        <is>
          <t>Amount</t>
        </is>
      </c>
      <c r="D4" s="7" t="inlineStr">
        <is>
          <t>Due Date</t>
        </is>
      </c>
      <c r="E4" s="7" t="inlineStr">
        <is>
          <t>Auto Pay</t>
        </is>
      </c>
      <c r="F4" s="7" t="inlineStr">
        <is>
          <t>Paid</t>
        </is>
      </c>
      <c r="G4" s="7" t="inlineStr">
        <is>
          <t>Confirmation #</t>
        </is>
      </c>
      <c r="H4" s="7" t="inlineStr">
        <is>
          <t>Renewal Date</t>
        </is>
      </c>
      <c r="J4" s="4" t="inlineStr">
        <is>
          <t>STATUS</t>
        </is>
      </c>
    </row>
    <row r="5">
      <c r="A5" s="16" t="inlineStr">
        <is>
          <t>Mortgage</t>
        </is>
      </c>
      <c r="B5" s="17" t="inlineStr">
        <is>
          <t>Mortgage/Rent</t>
        </is>
      </c>
      <c r="C5" s="44" t="n">
        <v>1850</v>
      </c>
      <c r="D5" s="18" t="n">
        <v>46205</v>
      </c>
      <c r="E5" s="17" t="inlineStr">
        <is>
          <t>Yes</t>
        </is>
      </c>
      <c r="F5" s="17" t="inlineStr">
        <is>
          <t>Yes</t>
        </is>
      </c>
      <c r="G5" s="16" t="inlineStr">
        <is>
          <t>CONF-10231</t>
        </is>
      </c>
      <c r="H5" s="18" t="n">
        <v>46538</v>
      </c>
      <c r="J5" s="27" t="inlineStr">
        <is>
          <t>Paid</t>
        </is>
      </c>
      <c r="K5" s="45">
        <f>COUNTIF(BillPaid,"Yes")</f>
        <v/>
      </c>
    </row>
    <row r="6">
      <c r="A6" s="19" t="inlineStr">
        <is>
          <t>Electric</t>
        </is>
      </c>
      <c r="B6" s="20" t="inlineStr">
        <is>
          <t>Utilities</t>
        </is>
      </c>
      <c r="C6" s="46" t="n">
        <v>165</v>
      </c>
      <c r="D6" s="21" t="n">
        <v>46209</v>
      </c>
      <c r="E6" s="20" t="inlineStr">
        <is>
          <t>No</t>
        </is>
      </c>
      <c r="F6" s="20" t="inlineStr">
        <is>
          <t>Yes</t>
        </is>
      </c>
      <c r="G6" s="19" t="inlineStr">
        <is>
          <t>CONF-44120</t>
        </is>
      </c>
      <c r="H6" s="21" t="inlineStr"/>
      <c r="J6" s="27" t="inlineStr">
        <is>
          <t>Unpaid</t>
        </is>
      </c>
      <c r="K6" s="45">
        <f>COUNTIF(BillPaid,"No")</f>
        <v/>
      </c>
    </row>
    <row r="7">
      <c r="A7" s="16" t="inlineStr">
        <is>
          <t>Water/Sewer</t>
        </is>
      </c>
      <c r="B7" s="17" t="inlineStr">
        <is>
          <t>Utilities</t>
        </is>
      </c>
      <c r="C7" s="44" t="n">
        <v>78</v>
      </c>
      <c r="D7" s="18" t="n">
        <v>46214</v>
      </c>
      <c r="E7" s="17" t="inlineStr">
        <is>
          <t>No</t>
        </is>
      </c>
      <c r="F7" s="17" t="inlineStr">
        <is>
          <t>No</t>
        </is>
      </c>
      <c r="G7" s="16" t="inlineStr"/>
      <c r="H7" s="18" t="inlineStr"/>
    </row>
    <row r="8">
      <c r="A8" s="19" t="inlineStr">
        <is>
          <t>Internet</t>
        </is>
      </c>
      <c r="B8" s="20" t="inlineStr">
        <is>
          <t>Internet</t>
        </is>
      </c>
      <c r="C8" s="46" t="n">
        <v>75</v>
      </c>
      <c r="D8" s="21" t="n">
        <v>46211</v>
      </c>
      <c r="E8" s="20" t="inlineStr">
        <is>
          <t>Yes</t>
        </is>
      </c>
      <c r="F8" s="20" t="inlineStr">
        <is>
          <t>Yes</t>
        </is>
      </c>
      <c r="G8" s="19" t="inlineStr">
        <is>
          <t>CONF-90021</t>
        </is>
      </c>
      <c r="H8" s="21" t="inlineStr"/>
      <c r="J8" s="23" t="inlineStr">
        <is>
          <t>Due this month</t>
        </is>
      </c>
      <c r="K8" s="30">
        <f>SUMPRODUCT((BillDue&lt;&gt;"")*(BillDue&lt;=TODAY()+30)*BillAmount)</f>
        <v/>
      </c>
    </row>
    <row r="9">
      <c r="A9" s="16" t="inlineStr">
        <is>
          <t>Cell Phones</t>
        </is>
      </c>
      <c r="B9" s="17" t="inlineStr">
        <is>
          <t>Phones</t>
        </is>
      </c>
      <c r="C9" s="44" t="n">
        <v>140</v>
      </c>
      <c r="D9" s="18" t="n">
        <v>46217</v>
      </c>
      <c r="E9" s="17" t="inlineStr">
        <is>
          <t>Yes</t>
        </is>
      </c>
      <c r="F9" s="17" t="inlineStr">
        <is>
          <t>Yes</t>
        </is>
      </c>
      <c r="G9" s="16" t="inlineStr">
        <is>
          <t>CONF-77410</t>
        </is>
      </c>
      <c r="H9" s="18" t="inlineStr"/>
    </row>
    <row r="10">
      <c r="A10" s="19" t="inlineStr">
        <is>
          <t>Home Insurance</t>
        </is>
      </c>
      <c r="B10" s="20" t="inlineStr">
        <is>
          <t>Insurance</t>
        </is>
      </c>
      <c r="C10" s="46" t="n">
        <v>180</v>
      </c>
      <c r="D10" s="21" t="n">
        <v>46223</v>
      </c>
      <c r="E10" s="20" t="inlineStr">
        <is>
          <t>Yes</t>
        </is>
      </c>
      <c r="F10" s="20" t="inlineStr">
        <is>
          <t>Yes</t>
        </is>
      </c>
      <c r="G10" s="19" t="inlineStr">
        <is>
          <t>CONF-22018</t>
        </is>
      </c>
      <c r="H10" s="21" t="n">
        <v>46323</v>
      </c>
    </row>
    <row r="11">
      <c r="A11" s="16" t="inlineStr">
        <is>
          <t>Auto Insurance</t>
        </is>
      </c>
      <c r="B11" s="17" t="inlineStr">
        <is>
          <t>Insurance</t>
        </is>
      </c>
      <c r="C11" s="44" t="n">
        <v>180</v>
      </c>
      <c r="D11" s="18" t="n">
        <v>46223</v>
      </c>
      <c r="E11" s="17" t="inlineStr">
        <is>
          <t>Yes</t>
        </is>
      </c>
      <c r="F11" s="17" t="inlineStr">
        <is>
          <t>Yes</t>
        </is>
      </c>
      <c r="G11" s="16" t="inlineStr">
        <is>
          <t>CONF-22019</t>
        </is>
      </c>
      <c r="H11" s="18" t="n">
        <v>46298</v>
      </c>
    </row>
    <row r="12">
      <c r="A12" s="19" t="inlineStr">
        <is>
          <t>Childcare</t>
        </is>
      </c>
      <c r="B12" s="20" t="inlineStr">
        <is>
          <t>Childcare</t>
        </is>
      </c>
      <c r="C12" s="46" t="n">
        <v>600</v>
      </c>
      <c r="D12" s="21" t="n">
        <v>46204</v>
      </c>
      <c r="E12" s="20" t="inlineStr">
        <is>
          <t>No</t>
        </is>
      </c>
      <c r="F12" s="20" t="inlineStr">
        <is>
          <t>No</t>
        </is>
      </c>
      <c r="G12" s="19" t="inlineStr"/>
      <c r="H12" s="21" t="inlineStr"/>
    </row>
    <row r="13">
      <c r="A13" s="16" t="inlineStr">
        <is>
          <t>Trash Service</t>
        </is>
      </c>
      <c r="B13" s="17" t="inlineStr">
        <is>
          <t>Utilities</t>
        </is>
      </c>
      <c r="C13" s="44" t="n">
        <v>38</v>
      </c>
      <c r="D13" s="18" t="n">
        <v>46201</v>
      </c>
      <c r="E13" s="17" t="inlineStr">
        <is>
          <t>No</t>
        </is>
      </c>
      <c r="F13" s="17" t="inlineStr">
        <is>
          <t>No</t>
        </is>
      </c>
      <c r="G13" s="16" t="inlineStr"/>
      <c r="H13" s="18" t="inlineStr"/>
    </row>
    <row r="14">
      <c r="A14" s="19" t="inlineStr">
        <is>
          <t>Gym Membership</t>
        </is>
      </c>
      <c r="B14" s="20" t="inlineStr">
        <is>
          <t>Subscriptions</t>
        </is>
      </c>
      <c r="C14" s="46" t="n">
        <v>45</v>
      </c>
      <c r="D14" s="21" t="n">
        <v>46219</v>
      </c>
      <c r="E14" s="20" t="inlineStr">
        <is>
          <t>Yes</t>
        </is>
      </c>
      <c r="F14" s="20" t="inlineStr">
        <is>
          <t>Yes</t>
        </is>
      </c>
      <c r="G14" s="19" t="inlineStr">
        <is>
          <t>AUTH-7781</t>
        </is>
      </c>
      <c r="H14" s="21" t="n">
        <v>46399</v>
      </c>
    </row>
    <row r="15">
      <c r="A15" s="16" t="inlineStr">
        <is>
          <t>Streaming Bundle</t>
        </is>
      </c>
      <c r="B15" s="17" t="inlineStr">
        <is>
          <t>Subscriptions</t>
        </is>
      </c>
      <c r="C15" s="44" t="n">
        <v>38</v>
      </c>
      <c r="D15" s="18" t="n">
        <v>46212</v>
      </c>
      <c r="E15" s="17" t="inlineStr">
        <is>
          <t>Yes</t>
        </is>
      </c>
      <c r="F15" s="17" t="inlineStr">
        <is>
          <t>Yes</t>
        </is>
      </c>
      <c r="G15" s="16" t="inlineStr"/>
      <c r="H15" s="18" t="inlineStr"/>
    </row>
    <row r="16">
      <c r="A16" s="19" t="inlineStr">
        <is>
          <t>Credit Card</t>
        </is>
      </c>
      <c r="B16" s="20" t="inlineStr">
        <is>
          <t>Miscellaneous</t>
        </is>
      </c>
      <c r="C16" s="46" t="n">
        <v>420</v>
      </c>
      <c r="D16" s="21" t="n">
        <v>46207</v>
      </c>
      <c r="E16" s="20" t="inlineStr">
        <is>
          <t>No</t>
        </is>
      </c>
      <c r="F16" s="20" t="inlineStr">
        <is>
          <t>No</t>
        </is>
      </c>
      <c r="G16" s="19" t="inlineStr"/>
      <c r="H16" s="21" t="inlineStr"/>
    </row>
    <row r="17">
      <c r="A17" s="16" t="n"/>
      <c r="B17" s="17" t="n"/>
      <c r="C17" s="44" t="n"/>
      <c r="D17" s="18" t="n"/>
      <c r="E17" s="17" t="n"/>
      <c r="F17" s="17" t="n"/>
      <c r="G17" s="16" t="n"/>
      <c r="H17" s="18" t="n"/>
    </row>
    <row r="18">
      <c r="A18" s="19" t="n"/>
      <c r="B18" s="20" t="n"/>
      <c r="C18" s="46" t="n"/>
      <c r="D18" s="21" t="n"/>
      <c r="E18" s="20" t="n"/>
      <c r="F18" s="20" t="n"/>
      <c r="G18" s="19" t="n"/>
      <c r="H18" s="21" t="n"/>
    </row>
    <row r="19">
      <c r="A19" s="16" t="n"/>
      <c r="B19" s="17" t="n"/>
      <c r="C19" s="44" t="n"/>
      <c r="D19" s="18" t="n"/>
      <c r="E19" s="17" t="n"/>
      <c r="F19" s="17" t="n"/>
      <c r="G19" s="16" t="n"/>
      <c r="H19" s="18" t="n"/>
    </row>
    <row r="20">
      <c r="A20" s="19" t="n"/>
      <c r="B20" s="20" t="n"/>
      <c r="C20" s="46" t="n"/>
      <c r="D20" s="21" t="n"/>
      <c r="E20" s="20" t="n"/>
      <c r="F20" s="20" t="n"/>
      <c r="G20" s="19" t="n"/>
      <c r="H20" s="21" t="n"/>
    </row>
    <row r="21">
      <c r="A21" s="16" t="n"/>
      <c r="B21" s="17" t="n"/>
      <c r="C21" s="44" t="n"/>
      <c r="D21" s="18" t="n"/>
      <c r="E21" s="17" t="n"/>
      <c r="F21" s="17" t="n"/>
      <c r="G21" s="16" t="n"/>
      <c r="H21" s="18" t="n"/>
    </row>
    <row r="22">
      <c r="A22" s="19" t="n"/>
      <c r="B22" s="20" t="n"/>
      <c r="C22" s="46" t="n"/>
      <c r="D22" s="21" t="n"/>
      <c r="E22" s="20" t="n"/>
      <c r="F22" s="20" t="n"/>
      <c r="G22" s="19" t="n"/>
      <c r="H22" s="21" t="n"/>
    </row>
    <row r="23">
      <c r="A23" s="16" t="n"/>
      <c r="B23" s="17" t="n"/>
      <c r="C23" s="44" t="n"/>
      <c r="D23" s="18" t="n"/>
      <c r="E23" s="17" t="n"/>
      <c r="F23" s="17" t="n"/>
      <c r="G23" s="16" t="n"/>
      <c r="H23" s="18" t="n"/>
    </row>
    <row r="24">
      <c r="A24" s="19" t="n"/>
      <c r="B24" s="20" t="n"/>
      <c r="C24" s="46" t="n"/>
      <c r="D24" s="21" t="n"/>
      <c r="E24" s="20" t="n"/>
      <c r="F24" s="20" t="n"/>
      <c r="G24" s="19" t="n"/>
      <c r="H24" s="21" t="n"/>
    </row>
    <row r="25">
      <c r="A25" s="16" t="n"/>
      <c r="B25" s="17" t="n"/>
      <c r="C25" s="44" t="n"/>
      <c r="D25" s="18" t="n"/>
      <c r="E25" s="17" t="n"/>
      <c r="F25" s="17" t="n"/>
      <c r="G25" s="16" t="n"/>
      <c r="H25" s="18" t="n"/>
    </row>
    <row r="26">
      <c r="A26" s="19" t="n"/>
      <c r="B26" s="20" t="n"/>
      <c r="C26" s="46" t="n"/>
      <c r="D26" s="21" t="n"/>
      <c r="E26" s="20" t="n"/>
      <c r="F26" s="20" t="n"/>
      <c r="G26" s="19" t="n"/>
      <c r="H26" s="21" t="n"/>
    </row>
    <row r="27">
      <c r="A27" s="16" t="n"/>
      <c r="B27" s="17" t="n"/>
      <c r="C27" s="44" t="n"/>
      <c r="D27" s="18" t="n"/>
      <c r="E27" s="17" t="n"/>
      <c r="F27" s="17" t="n"/>
      <c r="G27" s="16" t="n"/>
      <c r="H27" s="18" t="n"/>
    </row>
    <row r="28">
      <c r="A28" s="19" t="n"/>
      <c r="B28" s="20" t="n"/>
      <c r="C28" s="46" t="n"/>
      <c r="D28" s="21" t="n"/>
      <c r="E28" s="20" t="n"/>
      <c r="F28" s="20" t="n"/>
      <c r="G28" s="19" t="n"/>
      <c r="H28" s="21" t="n"/>
    </row>
    <row r="29">
      <c r="A29" s="16" t="n"/>
      <c r="B29" s="17" t="n"/>
      <c r="C29" s="44" t="n"/>
      <c r="D29" s="18" t="n"/>
      <c r="E29" s="17" t="n"/>
      <c r="F29" s="17" t="n"/>
      <c r="G29" s="16" t="n"/>
      <c r="H29" s="18" t="n"/>
    </row>
    <row r="30">
      <c r="A30" s="19" t="n"/>
      <c r="B30" s="20" t="n"/>
      <c r="C30" s="46" t="n"/>
      <c r="D30" s="21" t="n"/>
      <c r="E30" s="20" t="n"/>
      <c r="F30" s="20" t="n"/>
      <c r="G30" s="19" t="n"/>
      <c r="H30" s="21" t="n"/>
    </row>
    <row r="31">
      <c r="A31" s="16" t="n"/>
      <c r="B31" s="17" t="n"/>
      <c r="C31" s="44" t="n"/>
      <c r="D31" s="18" t="n"/>
      <c r="E31" s="17" t="n"/>
      <c r="F31" s="17" t="n"/>
      <c r="G31" s="16" t="n"/>
      <c r="H31" s="18" t="n"/>
    </row>
    <row r="32">
      <c r="A32" s="19" t="n"/>
      <c r="B32" s="20" t="n"/>
      <c r="C32" s="46" t="n"/>
      <c r="D32" s="21" t="n"/>
      <c r="E32" s="20" t="n"/>
      <c r="F32" s="20" t="n"/>
      <c r="G32" s="19" t="n"/>
      <c r="H32" s="21" t="n"/>
    </row>
    <row r="33">
      <c r="A33" s="16" t="n"/>
      <c r="B33" s="17" t="n"/>
      <c r="C33" s="44" t="n"/>
      <c r="D33" s="18" t="n"/>
      <c r="E33" s="17" t="n"/>
      <c r="F33" s="17" t="n"/>
      <c r="G33" s="16" t="n"/>
      <c r="H33" s="18" t="n"/>
    </row>
    <row r="34">
      <c r="A34" s="19" t="n"/>
      <c r="B34" s="20" t="n"/>
      <c r="C34" s="46" t="n"/>
      <c r="D34" s="21" t="n"/>
      <c r="E34" s="20" t="n"/>
      <c r="F34" s="20" t="n"/>
      <c r="G34" s="19" t="n"/>
      <c r="H34" s="21" t="n"/>
    </row>
    <row r="35">
      <c r="A35" s="16" t="n"/>
      <c r="B35" s="17" t="n"/>
      <c r="C35" s="44" t="n"/>
      <c r="D35" s="18" t="n"/>
      <c r="E35" s="17" t="n"/>
      <c r="F35" s="17" t="n"/>
      <c r="G35" s="16" t="n"/>
      <c r="H35" s="18" t="n"/>
    </row>
    <row r="36">
      <c r="A36" s="19" t="n"/>
      <c r="B36" s="20" t="n"/>
      <c r="C36" s="46" t="n"/>
      <c r="D36" s="21" t="n"/>
      <c r="E36" s="20" t="n"/>
      <c r="F36" s="20" t="n"/>
      <c r="G36" s="19" t="n"/>
      <c r="H36" s="21" t="n"/>
    </row>
    <row r="37">
      <c r="A37" s="16" t="n"/>
      <c r="B37" s="17" t="n"/>
      <c r="C37" s="44" t="n"/>
      <c r="D37" s="18" t="n"/>
      <c r="E37" s="17" t="n"/>
      <c r="F37" s="17" t="n"/>
      <c r="G37" s="16" t="n"/>
      <c r="H37" s="18" t="n"/>
    </row>
    <row r="38">
      <c r="A38" s="19" t="n"/>
      <c r="B38" s="20" t="n"/>
      <c r="C38" s="46" t="n"/>
      <c r="D38" s="21" t="n"/>
      <c r="E38" s="20" t="n"/>
      <c r="F38" s="20" t="n"/>
      <c r="G38" s="19" t="n"/>
      <c r="H38" s="21" t="n"/>
    </row>
    <row r="39">
      <c r="A39" s="16" t="n"/>
      <c r="B39" s="17" t="n"/>
      <c r="C39" s="44" t="n"/>
      <c r="D39" s="18" t="n"/>
      <c r="E39" s="17" t="n"/>
      <c r="F39" s="17" t="n"/>
      <c r="G39" s="16" t="n"/>
      <c r="H39" s="18" t="n"/>
    </row>
    <row r="40">
      <c r="A40" s="19" t="n"/>
      <c r="B40" s="20" t="n"/>
      <c r="C40" s="46" t="n"/>
      <c r="D40" s="21" t="n"/>
      <c r="E40" s="20" t="n"/>
      <c r="F40" s="20" t="n"/>
      <c r="G40" s="19" t="n"/>
      <c r="H40" s="21" t="n"/>
    </row>
    <row r="41">
      <c r="A41" s="16" t="n"/>
      <c r="B41" s="17" t="n"/>
      <c r="C41" s="44" t="n"/>
      <c r="D41" s="18" t="n"/>
      <c r="E41" s="17" t="n"/>
      <c r="F41" s="17" t="n"/>
      <c r="G41" s="16" t="n"/>
      <c r="H41" s="18" t="n"/>
    </row>
    <row r="42">
      <c r="A42" s="19" t="n"/>
      <c r="B42" s="20" t="n"/>
      <c r="C42" s="46" t="n"/>
      <c r="D42" s="21" t="n"/>
      <c r="E42" s="20" t="n"/>
      <c r="F42" s="20" t="n"/>
      <c r="G42" s="19" t="n"/>
      <c r="H42" s="21" t="n"/>
    </row>
    <row r="43">
      <c r="A43" s="16" t="n"/>
      <c r="B43" s="17" t="n"/>
      <c r="C43" s="44" t="n"/>
      <c r="D43" s="18" t="n"/>
      <c r="E43" s="17" t="n"/>
      <c r="F43" s="17" t="n"/>
      <c r="G43" s="16" t="n"/>
      <c r="H43" s="18" t="n"/>
    </row>
    <row r="44">
      <c r="A44" s="19" t="n"/>
      <c r="B44" s="20" t="n"/>
      <c r="C44" s="46" t="n"/>
      <c r="D44" s="21" t="n"/>
      <c r="E44" s="20" t="n"/>
      <c r="F44" s="20" t="n"/>
      <c r="G44" s="19" t="n"/>
      <c r="H44" s="21" t="n"/>
    </row>
  </sheetData>
  <mergeCells count="2">
    <mergeCell ref="A2:H2"/>
    <mergeCell ref="A1:H1"/>
  </mergeCells>
  <conditionalFormatting sqref="F5:F44">
    <cfRule type="cellIs" priority="1" operator="equal" dxfId="0">
      <formula>"Yes"</formula>
    </cfRule>
  </conditionalFormatting>
  <conditionalFormatting sqref="A5:H44">
    <cfRule type="expression" priority="2" dxfId="1">
      <formula>AND($D5&lt;&gt;"",$D5&lt;TODAY(),$F5&lt;&gt;"Yes")</formula>
    </cfRule>
  </conditionalFormatting>
  <dataValidations count="3">
    <dataValidation sqref="B5:B44" showDropDown="0" showInputMessage="0" showErrorMessage="0" allowBlank="1" type="list">
      <formula1>=ExpenseCatList</formula1>
    </dataValidation>
    <dataValidation sqref="E5:E44" showDropDown="0" showInputMessage="0" showErrorMessage="0" allowBlank="1" type="list">
      <formula1>=YesNoList</formula1>
    </dataValidation>
    <dataValidation sqref="F5:F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J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6" customWidth="1" min="4" max="4"/>
    <col width="13" customWidth="1" min="5" max="5"/>
    <col width="11" customWidth="1" min="6" max="6"/>
    <col width="13" customWidth="1" min="7" max="7"/>
    <col width="16" customWidth="1" min="9" max="9"/>
    <col width="12" customWidth="1" min="10" max="10"/>
  </cols>
  <sheetData>
    <row r="1" ht="46" customHeight="1">
      <c r="A1" s="1" t="inlineStr">
        <is>
          <t xml:space="preserve">  🛒  GROCERY PLANNER</t>
        </is>
      </c>
    </row>
    <row r="2" ht="22" customHeight="1">
      <c r="A2" s="2" t="inlineStr">
        <is>
          <t xml:space="preserve">  Build your list by category &amp; store — estimated vs actual cost totals itself.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Item</t>
        </is>
      </c>
      <c r="B4" s="7" t="inlineStr">
        <is>
          <t>Category</t>
        </is>
      </c>
      <c r="C4" s="7" t="inlineStr">
        <is>
          <t>Qty</t>
        </is>
      </c>
      <c r="D4" s="7" t="inlineStr">
        <is>
          <t>Store</t>
        </is>
      </c>
      <c r="E4" s="7" t="inlineStr">
        <is>
          <t>Est. Cost</t>
        </is>
      </c>
      <c r="F4" s="7" t="inlineStr">
        <is>
          <t>Bought?</t>
        </is>
      </c>
      <c r="G4" s="7" t="inlineStr">
        <is>
          <t>Actual Cost</t>
        </is>
      </c>
      <c r="I4" s="4" t="inlineStr">
        <is>
          <t>TOTALS</t>
        </is>
      </c>
    </row>
    <row r="5">
      <c r="A5" s="16" t="inlineStr">
        <is>
          <t>Bananas</t>
        </is>
      </c>
      <c r="B5" s="17" t="inlineStr">
        <is>
          <t>Produce</t>
        </is>
      </c>
      <c r="C5" s="47" t="n">
        <v>2</v>
      </c>
      <c r="D5" s="17" t="inlineStr">
        <is>
          <t>Kroger</t>
        </is>
      </c>
      <c r="E5" s="44" t="n">
        <v>2</v>
      </c>
      <c r="F5" s="17" t="inlineStr">
        <is>
          <t>No</t>
        </is>
      </c>
      <c r="G5" s="44" t="inlineStr"/>
      <c r="I5" s="23" t="inlineStr">
        <is>
          <t>Est. total</t>
        </is>
      </c>
      <c r="J5" s="36">
        <f>SUM(GrocEst)</f>
        <v/>
      </c>
    </row>
    <row r="6">
      <c r="A6" s="19" t="inlineStr">
        <is>
          <t>Spinach</t>
        </is>
      </c>
      <c r="B6" s="20" t="inlineStr">
        <is>
          <t>Produce</t>
        </is>
      </c>
      <c r="C6" s="48" t="n">
        <v>1</v>
      </c>
      <c r="D6" s="20" t="inlineStr">
        <is>
          <t>Kroger</t>
        </is>
      </c>
      <c r="E6" s="46" t="n">
        <v>3.5</v>
      </c>
      <c r="F6" s="20" t="inlineStr">
        <is>
          <t>No</t>
        </is>
      </c>
      <c r="G6" s="46" t="inlineStr"/>
      <c r="I6" s="23" t="inlineStr">
        <is>
          <t>Actual total</t>
        </is>
      </c>
      <c r="J6" s="36">
        <f>SUM(GrocActual)</f>
        <v/>
      </c>
    </row>
    <row r="7">
      <c r="A7" s="16" t="inlineStr">
        <is>
          <t>Chicken breast</t>
        </is>
      </c>
      <c r="B7" s="17" t="inlineStr">
        <is>
          <t>Meat &amp; Seafood</t>
        </is>
      </c>
      <c r="C7" s="47" t="n">
        <v>3</v>
      </c>
      <c r="D7" s="17" t="inlineStr">
        <is>
          <t>Costco</t>
        </is>
      </c>
      <c r="E7" s="44" t="n">
        <v>18</v>
      </c>
      <c r="F7" s="17" t="inlineStr">
        <is>
          <t>No</t>
        </is>
      </c>
      <c r="G7" s="44" t="inlineStr"/>
      <c r="I7" s="23" t="inlineStr">
        <is>
          <t>Items bought</t>
        </is>
      </c>
      <c r="J7" s="24">
        <f>COUNTIF(GrocBought,"Yes")</f>
        <v/>
      </c>
    </row>
    <row r="8">
      <c r="A8" s="19" t="inlineStr">
        <is>
          <t>Ground beef</t>
        </is>
      </c>
      <c r="B8" s="20" t="inlineStr">
        <is>
          <t>Meat &amp; Seafood</t>
        </is>
      </c>
      <c r="C8" s="48" t="n">
        <v>2</v>
      </c>
      <c r="D8" s="20" t="inlineStr">
        <is>
          <t>Costco</t>
        </is>
      </c>
      <c r="E8" s="46" t="n">
        <v>12</v>
      </c>
      <c r="F8" s="20" t="inlineStr">
        <is>
          <t>No</t>
        </is>
      </c>
      <c r="G8" s="46" t="inlineStr"/>
      <c r="I8" s="23" t="inlineStr">
        <is>
          <t>Items left</t>
        </is>
      </c>
      <c r="J8" s="24">
        <f>COUNTIF(GrocBought,"No")</f>
        <v/>
      </c>
    </row>
    <row r="9">
      <c r="A9" s="16" t="inlineStr">
        <is>
          <t>Milk</t>
        </is>
      </c>
      <c r="B9" s="17" t="inlineStr">
        <is>
          <t>Dairy</t>
        </is>
      </c>
      <c r="C9" s="47" t="n">
        <v>2</v>
      </c>
      <c r="D9" s="17" t="inlineStr">
        <is>
          <t>Kroger</t>
        </is>
      </c>
      <c r="E9" s="44" t="n">
        <v>6</v>
      </c>
      <c r="F9" s="17" t="inlineStr">
        <is>
          <t>Yes</t>
        </is>
      </c>
      <c r="G9" s="44" t="inlineStr">
        <is>
          <t>3.05</t>
        </is>
      </c>
    </row>
    <row r="10">
      <c r="A10" s="19" t="inlineStr">
        <is>
          <t>Eggs</t>
        </is>
      </c>
      <c r="B10" s="20" t="inlineStr">
        <is>
          <t>Dairy</t>
        </is>
      </c>
      <c r="C10" s="48" t="n">
        <v>1</v>
      </c>
      <c r="D10" s="20" t="inlineStr">
        <is>
          <t>Kroger</t>
        </is>
      </c>
      <c r="E10" s="46" t="n">
        <v>4.5</v>
      </c>
      <c r="F10" s="20" t="inlineStr">
        <is>
          <t>Yes</t>
        </is>
      </c>
      <c r="G10" s="46" t="inlineStr">
        <is>
          <t>4.20</t>
        </is>
      </c>
    </row>
    <row r="11">
      <c r="A11" s="16" t="inlineStr">
        <is>
          <t>Bread</t>
        </is>
      </c>
      <c r="B11" s="17" t="inlineStr">
        <is>
          <t>Bakery</t>
        </is>
      </c>
      <c r="C11" s="47" t="n">
        <v>2</v>
      </c>
      <c r="D11" s="17" t="inlineStr">
        <is>
          <t>Trader Joe's</t>
        </is>
      </c>
      <c r="E11" s="44" t="n">
        <v>5</v>
      </c>
      <c r="F11" s="17" t="inlineStr">
        <is>
          <t>No</t>
        </is>
      </c>
      <c r="G11" s="44" t="inlineStr"/>
    </row>
    <row r="12">
      <c r="A12" s="19" t="inlineStr">
        <is>
          <t>Frozen veggies</t>
        </is>
      </c>
      <c r="B12" s="20" t="inlineStr">
        <is>
          <t>Frozen</t>
        </is>
      </c>
      <c r="C12" s="48" t="n">
        <v>3</v>
      </c>
      <c r="D12" s="20" t="inlineStr">
        <is>
          <t>Costco</t>
        </is>
      </c>
      <c r="E12" s="46" t="n">
        <v>9</v>
      </c>
      <c r="F12" s="20" t="inlineStr">
        <is>
          <t>No</t>
        </is>
      </c>
      <c r="G12" s="46" t="inlineStr"/>
    </row>
    <row r="13">
      <c r="A13" s="16" t="inlineStr">
        <is>
          <t>Pasta</t>
        </is>
      </c>
      <c r="B13" s="17" t="inlineStr">
        <is>
          <t>Pantry</t>
        </is>
      </c>
      <c r="C13" s="47" t="n">
        <v>4</v>
      </c>
      <c r="D13" s="17" t="inlineStr">
        <is>
          <t>Kroger</t>
        </is>
      </c>
      <c r="E13" s="44" t="n">
        <v>6</v>
      </c>
      <c r="F13" s="17" t="inlineStr">
        <is>
          <t>No</t>
        </is>
      </c>
      <c r="G13" s="44" t="inlineStr"/>
    </row>
    <row r="14">
      <c r="A14" s="19" t="inlineStr">
        <is>
          <t>Dish soap</t>
        </is>
      </c>
      <c r="B14" s="20" t="inlineStr">
        <is>
          <t>Cleaning</t>
        </is>
      </c>
      <c r="C14" s="48" t="n">
        <v>1</v>
      </c>
      <c r="D14" s="20" t="inlineStr">
        <is>
          <t>Target</t>
        </is>
      </c>
      <c r="E14" s="46" t="n">
        <v>4</v>
      </c>
      <c r="F14" s="20" t="inlineStr">
        <is>
          <t>No</t>
        </is>
      </c>
      <c r="G14" s="46" t="inlineStr"/>
    </row>
    <row r="15">
      <c r="A15" s="16" t="inlineStr">
        <is>
          <t>Toothpaste</t>
        </is>
      </c>
      <c r="B15" s="17" t="inlineStr">
        <is>
          <t>Toiletries</t>
        </is>
      </c>
      <c r="C15" s="47" t="n">
        <v>2</v>
      </c>
      <c r="D15" s="17" t="inlineStr">
        <is>
          <t>Target</t>
        </is>
      </c>
      <c r="E15" s="44" t="n">
        <v>6.5</v>
      </c>
      <c r="F15" s="17" t="inlineStr">
        <is>
          <t>No</t>
        </is>
      </c>
      <c r="G15" s="44" t="inlineStr"/>
    </row>
    <row r="16">
      <c r="A16" s="19" t="inlineStr">
        <is>
          <t>Diapers</t>
        </is>
      </c>
      <c r="B16" s="20" t="inlineStr">
        <is>
          <t>Baby</t>
        </is>
      </c>
      <c r="C16" s="48" t="n">
        <v>1</v>
      </c>
      <c r="D16" s="20" t="inlineStr">
        <is>
          <t>Amazon</t>
        </is>
      </c>
      <c r="E16" s="46" t="n">
        <v>24</v>
      </c>
      <c r="F16" s="20" t="inlineStr">
        <is>
          <t>Yes</t>
        </is>
      </c>
      <c r="G16" s="46" t="inlineStr">
        <is>
          <t>23.10</t>
        </is>
      </c>
    </row>
    <row r="17">
      <c r="A17" s="16" t="inlineStr">
        <is>
          <t>Dog food</t>
        </is>
      </c>
      <c r="B17" s="17" t="inlineStr">
        <is>
          <t>Pet Supplies</t>
        </is>
      </c>
      <c r="C17" s="47" t="n">
        <v>1</v>
      </c>
      <c r="D17" s="17" t="inlineStr">
        <is>
          <t>Amazon</t>
        </is>
      </c>
      <c r="E17" s="44" t="n">
        <v>32</v>
      </c>
      <c r="F17" s="17" t="inlineStr">
        <is>
          <t>No</t>
        </is>
      </c>
      <c r="G17" s="44" t="inlineStr"/>
    </row>
    <row r="18">
      <c r="A18" s="19" t="n"/>
      <c r="B18" s="20" t="n"/>
      <c r="C18" s="48" t="n"/>
      <c r="D18" s="20" t="n"/>
      <c r="E18" s="46" t="n"/>
      <c r="F18" s="20" t="n"/>
      <c r="G18" s="46" t="n"/>
    </row>
    <row r="19">
      <c r="A19" s="16" t="n"/>
      <c r="B19" s="17" t="n"/>
      <c r="C19" s="47" t="n"/>
      <c r="D19" s="17" t="n"/>
      <c r="E19" s="44" t="n"/>
      <c r="F19" s="17" t="n"/>
      <c r="G19" s="44" t="n"/>
    </row>
    <row r="20">
      <c r="A20" s="19" t="n"/>
      <c r="B20" s="20" t="n"/>
      <c r="C20" s="48" t="n"/>
      <c r="D20" s="20" t="n"/>
      <c r="E20" s="46" t="n"/>
      <c r="F20" s="20" t="n"/>
      <c r="G20" s="46" t="n"/>
    </row>
    <row r="21">
      <c r="A21" s="16" t="n"/>
      <c r="B21" s="17" t="n"/>
      <c r="C21" s="47" t="n"/>
      <c r="D21" s="17" t="n"/>
      <c r="E21" s="44" t="n"/>
      <c r="F21" s="17" t="n"/>
      <c r="G21" s="44" t="n"/>
    </row>
    <row r="22">
      <c r="A22" s="19" t="n"/>
      <c r="B22" s="20" t="n"/>
      <c r="C22" s="48" t="n"/>
      <c r="D22" s="20" t="n"/>
      <c r="E22" s="46" t="n"/>
      <c r="F22" s="20" t="n"/>
      <c r="G22" s="46" t="n"/>
    </row>
    <row r="23">
      <c r="A23" s="16" t="n"/>
      <c r="B23" s="17" t="n"/>
      <c r="C23" s="47" t="n"/>
      <c r="D23" s="17" t="n"/>
      <c r="E23" s="44" t="n"/>
      <c r="F23" s="17" t="n"/>
      <c r="G23" s="44" t="n"/>
    </row>
    <row r="24">
      <c r="A24" s="19" t="n"/>
      <c r="B24" s="20" t="n"/>
      <c r="C24" s="48" t="n"/>
      <c r="D24" s="20" t="n"/>
      <c r="E24" s="46" t="n"/>
      <c r="F24" s="20" t="n"/>
      <c r="G24" s="46" t="n"/>
    </row>
    <row r="25">
      <c r="A25" s="16" t="n"/>
      <c r="B25" s="17" t="n"/>
      <c r="C25" s="47" t="n"/>
      <c r="D25" s="17" t="n"/>
      <c r="E25" s="44" t="n"/>
      <c r="F25" s="17" t="n"/>
      <c r="G25" s="44" t="n"/>
    </row>
    <row r="26">
      <c r="A26" s="19" t="n"/>
      <c r="B26" s="20" t="n"/>
      <c r="C26" s="48" t="n"/>
      <c r="D26" s="20" t="n"/>
      <c r="E26" s="46" t="n"/>
      <c r="F26" s="20" t="n"/>
      <c r="G26" s="46" t="n"/>
    </row>
    <row r="27">
      <c r="A27" s="16" t="n"/>
      <c r="B27" s="17" t="n"/>
      <c r="C27" s="47" t="n"/>
      <c r="D27" s="17" t="n"/>
      <c r="E27" s="44" t="n"/>
      <c r="F27" s="17" t="n"/>
      <c r="G27" s="44" t="n"/>
    </row>
    <row r="28">
      <c r="A28" s="19" t="n"/>
      <c r="B28" s="20" t="n"/>
      <c r="C28" s="48" t="n"/>
      <c r="D28" s="20" t="n"/>
      <c r="E28" s="46" t="n"/>
      <c r="F28" s="20" t="n"/>
      <c r="G28" s="46" t="n"/>
    </row>
    <row r="29">
      <c r="A29" s="16" t="n"/>
      <c r="B29" s="17" t="n"/>
      <c r="C29" s="47" t="n"/>
      <c r="D29" s="17" t="n"/>
      <c r="E29" s="44" t="n"/>
      <c r="F29" s="17" t="n"/>
      <c r="G29" s="44" t="n"/>
    </row>
    <row r="30">
      <c r="A30" s="19" t="n"/>
      <c r="B30" s="20" t="n"/>
      <c r="C30" s="48" t="n"/>
      <c r="D30" s="20" t="n"/>
      <c r="E30" s="46" t="n"/>
      <c r="F30" s="20" t="n"/>
      <c r="G30" s="46" t="n"/>
    </row>
    <row r="31">
      <c r="A31" s="16" t="n"/>
      <c r="B31" s="17" t="n"/>
      <c r="C31" s="47" t="n"/>
      <c r="D31" s="17" t="n"/>
      <c r="E31" s="44" t="n"/>
      <c r="F31" s="17" t="n"/>
      <c r="G31" s="44" t="n"/>
    </row>
    <row r="32">
      <c r="A32" s="19" t="n"/>
      <c r="B32" s="20" t="n"/>
      <c r="C32" s="48" t="n"/>
      <c r="D32" s="20" t="n"/>
      <c r="E32" s="46" t="n"/>
      <c r="F32" s="20" t="n"/>
      <c r="G32" s="46" t="n"/>
    </row>
    <row r="33">
      <c r="A33" s="16" t="n"/>
      <c r="B33" s="17" t="n"/>
      <c r="C33" s="47" t="n"/>
      <c r="D33" s="17" t="n"/>
      <c r="E33" s="44" t="n"/>
      <c r="F33" s="17" t="n"/>
      <c r="G33" s="44" t="n"/>
    </row>
    <row r="34">
      <c r="A34" s="19" t="n"/>
      <c r="B34" s="20" t="n"/>
      <c r="C34" s="48" t="n"/>
      <c r="D34" s="20" t="n"/>
      <c r="E34" s="46" t="n"/>
      <c r="F34" s="20" t="n"/>
      <c r="G34" s="46" t="n"/>
    </row>
    <row r="35">
      <c r="A35" s="16" t="n"/>
      <c r="B35" s="17" t="n"/>
      <c r="C35" s="47" t="n"/>
      <c r="D35" s="17" t="n"/>
      <c r="E35" s="44" t="n"/>
      <c r="F35" s="17" t="n"/>
      <c r="G35" s="44" t="n"/>
    </row>
    <row r="36">
      <c r="A36" s="19" t="n"/>
      <c r="B36" s="20" t="n"/>
      <c r="C36" s="48" t="n"/>
      <c r="D36" s="20" t="n"/>
      <c r="E36" s="46" t="n"/>
      <c r="F36" s="20" t="n"/>
      <c r="G36" s="46" t="n"/>
    </row>
    <row r="37">
      <c r="A37" s="16" t="n"/>
      <c r="B37" s="17" t="n"/>
      <c r="C37" s="47" t="n"/>
      <c r="D37" s="17" t="n"/>
      <c r="E37" s="44" t="n"/>
      <c r="F37" s="17" t="n"/>
      <c r="G37" s="44" t="n"/>
    </row>
    <row r="38">
      <c r="A38" s="19" t="n"/>
      <c r="B38" s="20" t="n"/>
      <c r="C38" s="48" t="n"/>
      <c r="D38" s="20" t="n"/>
      <c r="E38" s="46" t="n"/>
      <c r="F38" s="20" t="n"/>
      <c r="G38" s="46" t="n"/>
    </row>
    <row r="39">
      <c r="A39" s="16" t="n"/>
      <c r="B39" s="17" t="n"/>
      <c r="C39" s="47" t="n"/>
      <c r="D39" s="17" t="n"/>
      <c r="E39" s="44" t="n"/>
      <c r="F39" s="17" t="n"/>
      <c r="G39" s="44" t="n"/>
    </row>
    <row r="40">
      <c r="A40" s="19" t="n"/>
      <c r="B40" s="20" t="n"/>
      <c r="C40" s="48" t="n"/>
      <c r="D40" s="20" t="n"/>
      <c r="E40" s="46" t="n"/>
      <c r="F40" s="20" t="n"/>
      <c r="G40" s="46" t="n"/>
    </row>
    <row r="41">
      <c r="A41" s="16" t="n"/>
      <c r="B41" s="17" t="n"/>
      <c r="C41" s="47" t="n"/>
      <c r="D41" s="17" t="n"/>
      <c r="E41" s="44" t="n"/>
      <c r="F41" s="17" t="n"/>
      <c r="G41" s="44" t="n"/>
    </row>
    <row r="42">
      <c r="A42" s="19" t="n"/>
      <c r="B42" s="20" t="n"/>
      <c r="C42" s="48" t="n"/>
      <c r="D42" s="20" t="n"/>
      <c r="E42" s="46" t="n"/>
      <c r="F42" s="20" t="n"/>
      <c r="G42" s="46" t="n"/>
    </row>
    <row r="43">
      <c r="A43" s="16" t="n"/>
      <c r="B43" s="17" t="n"/>
      <c r="C43" s="47" t="n"/>
      <c r="D43" s="17" t="n"/>
      <c r="E43" s="44" t="n"/>
      <c r="F43" s="17" t="n"/>
      <c r="G43" s="44" t="n"/>
    </row>
    <row r="44">
      <c r="A44" s="19" t="n"/>
      <c r="B44" s="20" t="n"/>
      <c r="C44" s="48" t="n"/>
      <c r="D44" s="20" t="n"/>
      <c r="E44" s="46" t="n"/>
      <c r="F44" s="20" t="n"/>
      <c r="G44" s="46" t="n"/>
    </row>
    <row r="45">
      <c r="A45" s="16" t="n"/>
      <c r="B45" s="17" t="n"/>
      <c r="C45" s="47" t="n"/>
      <c r="D45" s="17" t="n"/>
      <c r="E45" s="44" t="n"/>
      <c r="F45" s="17" t="n"/>
      <c r="G45" s="44" t="n"/>
    </row>
    <row r="46">
      <c r="A46" s="19" t="n"/>
      <c r="B46" s="20" t="n"/>
      <c r="C46" s="48" t="n"/>
      <c r="D46" s="20" t="n"/>
      <c r="E46" s="46" t="n"/>
      <c r="F46" s="20" t="n"/>
      <c r="G46" s="46" t="n"/>
    </row>
    <row r="47">
      <c r="A47" s="16" t="n"/>
      <c r="B47" s="17" t="n"/>
      <c r="C47" s="47" t="n"/>
      <c r="D47" s="17" t="n"/>
      <c r="E47" s="44" t="n"/>
      <c r="F47" s="17" t="n"/>
      <c r="G47" s="44" t="n"/>
    </row>
    <row r="48">
      <c r="A48" s="19" t="n"/>
      <c r="B48" s="20" t="n"/>
      <c r="C48" s="48" t="n"/>
      <c r="D48" s="20" t="n"/>
      <c r="E48" s="46" t="n"/>
      <c r="F48" s="20" t="n"/>
      <c r="G48" s="46" t="n"/>
    </row>
    <row r="49">
      <c r="A49" s="16" t="n"/>
      <c r="B49" s="17" t="n"/>
      <c r="C49" s="47" t="n"/>
      <c r="D49" s="17" t="n"/>
      <c r="E49" s="44" t="n"/>
      <c r="F49" s="17" t="n"/>
      <c r="G49" s="44" t="n"/>
    </row>
    <row r="50">
      <c r="A50" s="19" t="n"/>
      <c r="B50" s="20" t="n"/>
      <c r="C50" s="48" t="n"/>
      <c r="D50" s="20" t="n"/>
      <c r="E50" s="46" t="n"/>
      <c r="F50" s="20" t="n"/>
      <c r="G50" s="46" t="n"/>
    </row>
    <row r="51">
      <c r="A51" s="16" t="n"/>
      <c r="B51" s="17" t="n"/>
      <c r="C51" s="47" t="n"/>
      <c r="D51" s="17" t="n"/>
      <c r="E51" s="44" t="n"/>
      <c r="F51" s="17" t="n"/>
      <c r="G51" s="44" t="n"/>
    </row>
    <row r="52">
      <c r="A52" s="19" t="n"/>
      <c r="B52" s="20" t="n"/>
      <c r="C52" s="48" t="n"/>
      <c r="D52" s="20" t="n"/>
      <c r="E52" s="46" t="n"/>
      <c r="F52" s="20" t="n"/>
      <c r="G52" s="46" t="n"/>
    </row>
    <row r="53">
      <c r="A53" s="16" t="n"/>
      <c r="B53" s="17" t="n"/>
      <c r="C53" s="47" t="n"/>
      <c r="D53" s="17" t="n"/>
      <c r="E53" s="44" t="n"/>
      <c r="F53" s="17" t="n"/>
      <c r="G53" s="44" t="n"/>
    </row>
    <row r="54">
      <c r="A54" s="19" t="n"/>
      <c r="B54" s="20" t="n"/>
      <c r="C54" s="48" t="n"/>
      <c r="D54" s="20" t="n"/>
      <c r="E54" s="46" t="n"/>
      <c r="F54" s="20" t="n"/>
      <c r="G54" s="46" t="n"/>
    </row>
    <row r="55">
      <c r="A55" s="16" t="n"/>
      <c r="B55" s="17" t="n"/>
      <c r="C55" s="47" t="n"/>
      <c r="D55" s="17" t="n"/>
      <c r="E55" s="44" t="n"/>
      <c r="F55" s="17" t="n"/>
      <c r="G55" s="44" t="n"/>
    </row>
    <row r="56">
      <c r="A56" s="19" t="n"/>
      <c r="B56" s="20" t="n"/>
      <c r="C56" s="48" t="n"/>
      <c r="D56" s="20" t="n"/>
      <c r="E56" s="46" t="n"/>
      <c r="F56" s="20" t="n"/>
      <c r="G56" s="46" t="n"/>
    </row>
    <row r="57">
      <c r="A57" s="16" t="n"/>
      <c r="B57" s="17" t="n"/>
      <c r="C57" s="47" t="n"/>
      <c r="D57" s="17" t="n"/>
      <c r="E57" s="44" t="n"/>
      <c r="F57" s="17" t="n"/>
      <c r="G57" s="44" t="n"/>
    </row>
    <row r="58">
      <c r="A58" s="19" t="n"/>
      <c r="B58" s="20" t="n"/>
      <c r="C58" s="48" t="n"/>
      <c r="D58" s="20" t="n"/>
      <c r="E58" s="46" t="n"/>
      <c r="F58" s="20" t="n"/>
      <c r="G58" s="46" t="n"/>
    </row>
    <row r="59">
      <c r="A59" s="16" t="n"/>
      <c r="B59" s="17" t="n"/>
      <c r="C59" s="47" t="n"/>
      <c r="D59" s="17" t="n"/>
      <c r="E59" s="44" t="n"/>
      <c r="F59" s="17" t="n"/>
      <c r="G59" s="44" t="n"/>
    </row>
    <row r="60">
      <c r="A60" s="19" t="n"/>
      <c r="B60" s="20" t="n"/>
      <c r="C60" s="48" t="n"/>
      <c r="D60" s="20" t="n"/>
      <c r="E60" s="46" t="n"/>
      <c r="F60" s="20" t="n"/>
      <c r="G60" s="46" t="n"/>
    </row>
    <row r="61">
      <c r="A61" s="16" t="n"/>
      <c r="B61" s="17" t="n"/>
      <c r="C61" s="47" t="n"/>
      <c r="D61" s="17" t="n"/>
      <c r="E61" s="44" t="n"/>
      <c r="F61" s="17" t="n"/>
      <c r="G61" s="44" t="n"/>
    </row>
    <row r="62">
      <c r="A62" s="19" t="n"/>
      <c r="B62" s="20" t="n"/>
      <c r="C62" s="48" t="n"/>
      <c r="D62" s="20" t="n"/>
      <c r="E62" s="46" t="n"/>
      <c r="F62" s="20" t="n"/>
      <c r="G62" s="46" t="n"/>
    </row>
    <row r="63">
      <c r="A63" s="16" t="n"/>
      <c r="B63" s="17" t="n"/>
      <c r="C63" s="47" t="n"/>
      <c r="D63" s="17" t="n"/>
      <c r="E63" s="44" t="n"/>
      <c r="F63" s="17" t="n"/>
      <c r="G63" s="44" t="n"/>
    </row>
    <row r="64">
      <c r="A64" s="19" t="n"/>
      <c r="B64" s="20" t="n"/>
      <c r="C64" s="48" t="n"/>
      <c r="D64" s="20" t="n"/>
      <c r="E64" s="46" t="n"/>
      <c r="F64" s="20" t="n"/>
      <c r="G64" s="46" t="n"/>
    </row>
  </sheetData>
  <mergeCells count="2">
    <mergeCell ref="A2:G2"/>
    <mergeCell ref="A1:G1"/>
  </mergeCells>
  <conditionalFormatting sqref="F5:F64">
    <cfRule type="cellIs" priority="1" operator="equal" dxfId="0">
      <formula>"Yes"</formula>
    </cfRule>
  </conditionalFormatting>
  <dataValidations count="3">
    <dataValidation sqref="B5:B64" showDropDown="0" showInputMessage="0" showErrorMessage="0" allowBlank="1" type="list">
      <formula1>=GroceryCatList</formula1>
    </dataValidation>
    <dataValidation sqref="D5:D64" showDropDown="0" showInputMessage="0" showErrorMessage="0" allowBlank="1" type="list">
      <formula1>=StoreList</formula1>
    </dataValidation>
    <dataValidation sqref="F5:F6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J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2" customWidth="1" min="4" max="4"/>
    <col width="13" customWidth="1" min="5" max="5"/>
    <col width="18" customWidth="1" min="6" max="6"/>
    <col width="22" customWidth="1" min="7" max="7"/>
    <col width="18" customWidth="1" min="9" max="9"/>
    <col width="10" customWidth="1" min="10" max="10"/>
  </cols>
  <sheetData>
    <row r="1" ht="46" customHeight="1">
      <c r="A1" s="1" t="inlineStr">
        <is>
          <t xml:space="preserve">  🥫  PANTRY INVENTORY</t>
        </is>
      </c>
    </row>
    <row r="2" ht="22" customHeight="1">
      <c r="A2" s="2" t="inlineStr">
        <is>
          <t xml:space="preserve">  Track stock &amp; expiration — items at or below their reorder point flag in red.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Food Item</t>
        </is>
      </c>
      <c r="B4" s="7" t="inlineStr">
        <is>
          <t>Category</t>
        </is>
      </c>
      <c r="C4" s="7" t="inlineStr">
        <is>
          <t>Qty</t>
        </is>
      </c>
      <c r="D4" s="7" t="inlineStr">
        <is>
          <t>Reorder At</t>
        </is>
      </c>
      <c r="E4" s="7" t="inlineStr">
        <is>
          <t>Expires</t>
        </is>
      </c>
      <c r="F4" s="7" t="inlineStr">
        <is>
          <t>Location</t>
        </is>
      </c>
      <c r="G4" s="7" t="inlineStr">
        <is>
          <t>Notes</t>
        </is>
      </c>
      <c r="I4" s="4" t="inlineStr">
        <is>
          <t>BY CATEGORY</t>
        </is>
      </c>
    </row>
    <row r="5">
      <c r="A5" s="16" t="inlineStr">
        <is>
          <t>Rice (5 lb)</t>
        </is>
      </c>
      <c r="B5" s="17" t="inlineStr">
        <is>
          <t>Grains &amp; Pasta</t>
        </is>
      </c>
      <c r="C5" s="47" t="n">
        <v>2</v>
      </c>
      <c r="D5" s="47" t="n">
        <v>1</v>
      </c>
      <c r="E5" s="18" t="n">
        <v>46503</v>
      </c>
      <c r="F5" s="16" t="inlineStr">
        <is>
          <t>Pantry shelf 1</t>
        </is>
      </c>
      <c r="G5" s="16" t="inlineStr"/>
      <c r="I5" s="7" t="inlineStr">
        <is>
          <t>Category</t>
        </is>
      </c>
      <c r="J5" s="7" t="inlineStr">
        <is>
          <t>Items</t>
        </is>
      </c>
    </row>
    <row r="6">
      <c r="A6" s="19" t="inlineStr">
        <is>
          <t>Pasta</t>
        </is>
      </c>
      <c r="B6" s="20" t="inlineStr">
        <is>
          <t>Grains &amp; Pasta</t>
        </is>
      </c>
      <c r="C6" s="48" t="n">
        <v>1</v>
      </c>
      <c r="D6" s="48" t="n">
        <v>3</v>
      </c>
      <c r="E6" s="21" t="n">
        <v>46483</v>
      </c>
      <c r="F6" s="19" t="inlineStr">
        <is>
          <t>Pantry shelf 1</t>
        </is>
      </c>
      <c r="G6" s="19" t="inlineStr">
        <is>
          <t>Low — reorder</t>
        </is>
      </c>
      <c r="I6" s="27" t="inlineStr">
        <is>
          <t>Grains &amp; Pasta</t>
        </is>
      </c>
      <c r="J6" s="45">
        <f>COUNTIF(PantryCat,I6)</f>
        <v/>
      </c>
    </row>
    <row r="7">
      <c r="A7" s="16" t="inlineStr">
        <is>
          <t>Canned tomatoes</t>
        </is>
      </c>
      <c r="B7" s="17" t="inlineStr">
        <is>
          <t>Canned Goods</t>
        </is>
      </c>
      <c r="C7" s="47" t="n">
        <v>6</v>
      </c>
      <c r="D7" s="47" t="n">
        <v>4</v>
      </c>
      <c r="E7" s="18" t="n">
        <v>46603</v>
      </c>
      <c r="F7" s="16" t="inlineStr">
        <is>
          <t>Pantry shelf 2</t>
        </is>
      </c>
      <c r="G7" s="16" t="inlineStr"/>
      <c r="I7" s="27" t="inlineStr">
        <is>
          <t>Canned Goods</t>
        </is>
      </c>
      <c r="J7" s="45">
        <f>COUNTIF(PantryCat,I7)</f>
        <v/>
      </c>
    </row>
    <row r="8">
      <c r="A8" s="19" t="inlineStr">
        <is>
          <t>Black beans</t>
        </is>
      </c>
      <c r="B8" s="20" t="inlineStr">
        <is>
          <t>Canned Goods</t>
        </is>
      </c>
      <c r="C8" s="48" t="n">
        <v>2</v>
      </c>
      <c r="D8" s="48" t="n">
        <v>4</v>
      </c>
      <c r="E8" s="21" t="n">
        <v>46583</v>
      </c>
      <c r="F8" s="19" t="inlineStr">
        <is>
          <t>Pantry shelf 2</t>
        </is>
      </c>
      <c r="G8" s="19" t="inlineStr">
        <is>
          <t>Low — reorder</t>
        </is>
      </c>
      <c r="I8" s="27" t="inlineStr">
        <is>
          <t>Baking</t>
        </is>
      </c>
      <c r="J8" s="45">
        <f>COUNTIF(PantryCat,I8)</f>
        <v/>
      </c>
    </row>
    <row r="9">
      <c r="A9" s="16" t="inlineStr">
        <is>
          <t>Flour</t>
        </is>
      </c>
      <c r="B9" s="17" t="inlineStr">
        <is>
          <t>Baking</t>
        </is>
      </c>
      <c r="C9" s="47" t="n">
        <v>1</v>
      </c>
      <c r="D9" s="47" t="n">
        <v>1</v>
      </c>
      <c r="E9" s="18" t="n">
        <v>46323</v>
      </c>
      <c r="F9" s="16" t="inlineStr">
        <is>
          <t>Baking bin</t>
        </is>
      </c>
      <c r="G9" s="16" t="inlineStr"/>
      <c r="I9" s="27" t="inlineStr">
        <is>
          <t>Snacks</t>
        </is>
      </c>
      <c r="J9" s="45">
        <f>COUNTIF(PantryCat,I9)</f>
        <v/>
      </c>
    </row>
    <row r="10">
      <c r="A10" s="19" t="inlineStr">
        <is>
          <t>Sugar</t>
        </is>
      </c>
      <c r="B10" s="20" t="inlineStr">
        <is>
          <t>Baking</t>
        </is>
      </c>
      <c r="C10" s="48" t="n">
        <v>2</v>
      </c>
      <c r="D10" s="48" t="n">
        <v>1</v>
      </c>
      <c r="E10" s="21" t="n">
        <v>46403</v>
      </c>
      <c r="F10" s="19" t="inlineStr">
        <is>
          <t>Baking bin</t>
        </is>
      </c>
      <c r="G10" s="19" t="inlineStr"/>
      <c r="I10" s="27" t="inlineStr">
        <is>
          <t>Breakfast</t>
        </is>
      </c>
      <c r="J10" s="45">
        <f>COUNTIF(PantryCat,I10)</f>
        <v/>
      </c>
    </row>
    <row r="11">
      <c r="A11" s="16" t="inlineStr">
        <is>
          <t>Granola bars</t>
        </is>
      </c>
      <c r="B11" s="17" t="inlineStr">
        <is>
          <t>Snacks</t>
        </is>
      </c>
      <c r="C11" s="47" t="n">
        <v>1</v>
      </c>
      <c r="D11" s="47" t="n">
        <v>2</v>
      </c>
      <c r="E11" s="18" t="n">
        <v>46293</v>
      </c>
      <c r="F11" s="16" t="inlineStr">
        <is>
          <t>Snack drawer</t>
        </is>
      </c>
      <c r="G11" s="16" t="inlineStr">
        <is>
          <t>Low — reorder</t>
        </is>
      </c>
      <c r="I11" s="27" t="inlineStr">
        <is>
          <t>Spices &amp; Oils</t>
        </is>
      </c>
      <c r="J11" s="45">
        <f>COUNTIF(PantryCat,I11)</f>
        <v/>
      </c>
    </row>
    <row r="12">
      <c r="A12" s="19" t="inlineStr">
        <is>
          <t>Cereal</t>
        </is>
      </c>
      <c r="B12" s="20" t="inlineStr">
        <is>
          <t>Breakfast</t>
        </is>
      </c>
      <c r="C12" s="48" t="n">
        <v>3</v>
      </c>
      <c r="D12" s="48" t="n">
        <v>2</v>
      </c>
      <c r="E12" s="21" t="n">
        <v>46353</v>
      </c>
      <c r="F12" s="19" t="inlineStr">
        <is>
          <t>Pantry shelf 3</t>
        </is>
      </c>
      <c r="G12" s="19" t="inlineStr"/>
      <c r="I12" s="27" t="inlineStr">
        <is>
          <t>Beverages</t>
        </is>
      </c>
      <c r="J12" s="45">
        <f>COUNTIF(PantryCat,I12)</f>
        <v/>
      </c>
    </row>
    <row r="13">
      <c r="A13" s="16" t="inlineStr">
        <is>
          <t>Olive oil</t>
        </is>
      </c>
      <c r="B13" s="17" t="inlineStr">
        <is>
          <t>Spices &amp; Oils</t>
        </is>
      </c>
      <c r="C13" s="47" t="n">
        <v>1</v>
      </c>
      <c r="D13" s="47" t="n">
        <v>1</v>
      </c>
      <c r="E13" s="18" t="n">
        <v>46423</v>
      </c>
      <c r="F13" s="16" t="inlineStr">
        <is>
          <t>Counter</t>
        </is>
      </c>
      <c r="G13" s="16" t="inlineStr"/>
      <c r="I13" s="27" t="inlineStr">
        <is>
          <t>Other</t>
        </is>
      </c>
      <c r="J13" s="45">
        <f>COUNTIF(PantryCat,I13)</f>
        <v/>
      </c>
    </row>
    <row r="14">
      <c r="A14" s="19" t="inlineStr">
        <is>
          <t>Coffee</t>
        </is>
      </c>
      <c r="B14" s="20" t="inlineStr">
        <is>
          <t>Beverages</t>
        </is>
      </c>
      <c r="C14" s="48" t="n">
        <v>2</v>
      </c>
      <c r="D14" s="48" t="n">
        <v>1</v>
      </c>
      <c r="E14" s="21" t="n">
        <v>46343</v>
      </c>
      <c r="F14" s="19" t="inlineStr">
        <is>
          <t>Counter</t>
        </is>
      </c>
      <c r="G14" s="19" t="inlineStr"/>
    </row>
    <row r="15">
      <c r="A15" s="16" t="inlineStr">
        <is>
          <t>Peanut butter</t>
        </is>
      </c>
      <c r="B15" s="17" t="inlineStr">
        <is>
          <t>Other</t>
        </is>
      </c>
      <c r="C15" s="47" t="n">
        <v>1</v>
      </c>
      <c r="D15" s="47" t="n">
        <v>1</v>
      </c>
      <c r="E15" s="18" t="n">
        <v>46363</v>
      </c>
      <c r="F15" s="16" t="inlineStr">
        <is>
          <t>Pantry shelf 2</t>
        </is>
      </c>
      <c r="G15" s="16" t="inlineStr"/>
    </row>
    <row r="16">
      <c r="A16" s="19" t="inlineStr">
        <is>
          <t>Chicken broth</t>
        </is>
      </c>
      <c r="B16" s="20" t="inlineStr">
        <is>
          <t>Canned Goods</t>
        </is>
      </c>
      <c r="C16" s="48" t="n">
        <v>5</v>
      </c>
      <c r="D16" s="48" t="n">
        <v>3</v>
      </c>
      <c r="E16" s="21" t="n">
        <v>46463</v>
      </c>
      <c r="F16" s="19" t="inlineStr">
        <is>
          <t>Pantry shelf 2</t>
        </is>
      </c>
      <c r="G16" s="19" t="inlineStr"/>
    </row>
    <row r="17">
      <c r="A17" s="16" t="n"/>
      <c r="B17" s="17" t="n"/>
      <c r="C17" s="47" t="n"/>
      <c r="D17" s="47" t="n"/>
      <c r="E17" s="18" t="n"/>
      <c r="F17" s="16" t="n"/>
      <c r="G17" s="16" t="n"/>
    </row>
    <row r="18">
      <c r="A18" s="19" t="n"/>
      <c r="B18" s="20" t="n"/>
      <c r="C18" s="48" t="n"/>
      <c r="D18" s="48" t="n"/>
      <c r="E18" s="21" t="n"/>
      <c r="F18" s="19" t="n"/>
      <c r="G18" s="19" t="n"/>
    </row>
    <row r="19">
      <c r="A19" s="16" t="n"/>
      <c r="B19" s="17" t="n"/>
      <c r="C19" s="47" t="n"/>
      <c r="D19" s="47" t="n"/>
      <c r="E19" s="18" t="n"/>
      <c r="F19" s="16" t="n"/>
      <c r="G19" s="16" t="n"/>
    </row>
    <row r="20">
      <c r="A20" s="19" t="n"/>
      <c r="B20" s="20" t="n"/>
      <c r="C20" s="48" t="n"/>
      <c r="D20" s="48" t="n"/>
      <c r="E20" s="21" t="n"/>
      <c r="F20" s="19" t="n"/>
      <c r="G20" s="19" t="n"/>
    </row>
    <row r="21">
      <c r="A21" s="16" t="n"/>
      <c r="B21" s="17" t="n"/>
      <c r="C21" s="47" t="n"/>
      <c r="D21" s="47" t="n"/>
      <c r="E21" s="18" t="n"/>
      <c r="F21" s="16" t="n"/>
      <c r="G21" s="16" t="n"/>
    </row>
    <row r="22">
      <c r="A22" s="19" t="n"/>
      <c r="B22" s="20" t="n"/>
      <c r="C22" s="48" t="n"/>
      <c r="D22" s="48" t="n"/>
      <c r="E22" s="21" t="n"/>
      <c r="F22" s="19" t="n"/>
      <c r="G22" s="19" t="n"/>
    </row>
    <row r="23">
      <c r="A23" s="16" t="n"/>
      <c r="B23" s="17" t="n"/>
      <c r="C23" s="47" t="n"/>
      <c r="D23" s="47" t="n"/>
      <c r="E23" s="18" t="n"/>
      <c r="F23" s="16" t="n"/>
      <c r="G23" s="16" t="n"/>
    </row>
    <row r="24">
      <c r="A24" s="19" t="n"/>
      <c r="B24" s="20" t="n"/>
      <c r="C24" s="48" t="n"/>
      <c r="D24" s="48" t="n"/>
      <c r="E24" s="21" t="n"/>
      <c r="F24" s="19" t="n"/>
      <c r="G24" s="19" t="n"/>
    </row>
    <row r="25">
      <c r="A25" s="16" t="n"/>
      <c r="B25" s="17" t="n"/>
      <c r="C25" s="47" t="n"/>
      <c r="D25" s="47" t="n"/>
      <c r="E25" s="18" t="n"/>
      <c r="F25" s="16" t="n"/>
      <c r="G25" s="16" t="n"/>
    </row>
    <row r="26">
      <c r="A26" s="19" t="n"/>
      <c r="B26" s="20" t="n"/>
      <c r="C26" s="48" t="n"/>
      <c r="D26" s="48" t="n"/>
      <c r="E26" s="21" t="n"/>
      <c r="F26" s="19" t="n"/>
      <c r="G26" s="19" t="n"/>
    </row>
    <row r="27">
      <c r="A27" s="16" t="n"/>
      <c r="B27" s="17" t="n"/>
      <c r="C27" s="47" t="n"/>
      <c r="D27" s="47" t="n"/>
      <c r="E27" s="18" t="n"/>
      <c r="F27" s="16" t="n"/>
      <c r="G27" s="16" t="n"/>
    </row>
    <row r="28">
      <c r="A28" s="19" t="n"/>
      <c r="B28" s="20" t="n"/>
      <c r="C28" s="48" t="n"/>
      <c r="D28" s="48" t="n"/>
      <c r="E28" s="21" t="n"/>
      <c r="F28" s="19" t="n"/>
      <c r="G28" s="19" t="n"/>
    </row>
    <row r="29">
      <c r="A29" s="16" t="n"/>
      <c r="B29" s="17" t="n"/>
      <c r="C29" s="47" t="n"/>
      <c r="D29" s="47" t="n"/>
      <c r="E29" s="18" t="n"/>
      <c r="F29" s="16" t="n"/>
      <c r="G29" s="16" t="n"/>
    </row>
    <row r="30">
      <c r="A30" s="19" t="n"/>
      <c r="B30" s="20" t="n"/>
      <c r="C30" s="48" t="n"/>
      <c r="D30" s="48" t="n"/>
      <c r="E30" s="21" t="n"/>
      <c r="F30" s="19" t="n"/>
      <c r="G30" s="19" t="n"/>
    </row>
    <row r="31">
      <c r="A31" s="16" t="n"/>
      <c r="B31" s="17" t="n"/>
      <c r="C31" s="47" t="n"/>
      <c r="D31" s="47" t="n"/>
      <c r="E31" s="18" t="n"/>
      <c r="F31" s="16" t="n"/>
      <c r="G31" s="16" t="n"/>
    </row>
    <row r="32">
      <c r="A32" s="19" t="n"/>
      <c r="B32" s="20" t="n"/>
      <c r="C32" s="48" t="n"/>
      <c r="D32" s="48" t="n"/>
      <c r="E32" s="21" t="n"/>
      <c r="F32" s="19" t="n"/>
      <c r="G32" s="19" t="n"/>
    </row>
    <row r="33">
      <c r="A33" s="16" t="n"/>
      <c r="B33" s="17" t="n"/>
      <c r="C33" s="47" t="n"/>
      <c r="D33" s="47" t="n"/>
      <c r="E33" s="18" t="n"/>
      <c r="F33" s="16" t="n"/>
      <c r="G33" s="16" t="n"/>
    </row>
    <row r="34">
      <c r="A34" s="19" t="n"/>
      <c r="B34" s="20" t="n"/>
      <c r="C34" s="48" t="n"/>
      <c r="D34" s="48" t="n"/>
      <c r="E34" s="21" t="n"/>
      <c r="F34" s="19" t="n"/>
      <c r="G34" s="19" t="n"/>
    </row>
    <row r="35">
      <c r="A35" s="16" t="n"/>
      <c r="B35" s="17" t="n"/>
      <c r="C35" s="47" t="n"/>
      <c r="D35" s="47" t="n"/>
      <c r="E35" s="18" t="n"/>
      <c r="F35" s="16" t="n"/>
      <c r="G35" s="16" t="n"/>
    </row>
    <row r="36">
      <c r="A36" s="19" t="n"/>
      <c r="B36" s="20" t="n"/>
      <c r="C36" s="48" t="n"/>
      <c r="D36" s="48" t="n"/>
      <c r="E36" s="21" t="n"/>
      <c r="F36" s="19" t="n"/>
      <c r="G36" s="19" t="n"/>
    </row>
    <row r="37">
      <c r="A37" s="16" t="n"/>
      <c r="B37" s="17" t="n"/>
      <c r="C37" s="47" t="n"/>
      <c r="D37" s="47" t="n"/>
      <c r="E37" s="18" t="n"/>
      <c r="F37" s="16" t="n"/>
      <c r="G37" s="16" t="n"/>
    </row>
    <row r="38">
      <c r="A38" s="19" t="n"/>
      <c r="B38" s="20" t="n"/>
      <c r="C38" s="48" t="n"/>
      <c r="D38" s="48" t="n"/>
      <c r="E38" s="21" t="n"/>
      <c r="F38" s="19" t="n"/>
      <c r="G38" s="19" t="n"/>
    </row>
    <row r="39">
      <c r="A39" s="16" t="n"/>
      <c r="B39" s="17" t="n"/>
      <c r="C39" s="47" t="n"/>
      <c r="D39" s="47" t="n"/>
      <c r="E39" s="18" t="n"/>
      <c r="F39" s="16" t="n"/>
      <c r="G39" s="16" t="n"/>
    </row>
    <row r="40">
      <c r="A40" s="19" t="n"/>
      <c r="B40" s="20" t="n"/>
      <c r="C40" s="48" t="n"/>
      <c r="D40" s="48" t="n"/>
      <c r="E40" s="21" t="n"/>
      <c r="F40" s="19" t="n"/>
      <c r="G40" s="19" t="n"/>
    </row>
    <row r="41">
      <c r="A41" s="16" t="n"/>
      <c r="B41" s="17" t="n"/>
      <c r="C41" s="47" t="n"/>
      <c r="D41" s="47" t="n"/>
      <c r="E41" s="18" t="n"/>
      <c r="F41" s="16" t="n"/>
      <c r="G41" s="16" t="n"/>
    </row>
    <row r="42">
      <c r="A42" s="19" t="n"/>
      <c r="B42" s="20" t="n"/>
      <c r="C42" s="48" t="n"/>
      <c r="D42" s="48" t="n"/>
      <c r="E42" s="21" t="n"/>
      <c r="F42" s="19" t="n"/>
      <c r="G42" s="19" t="n"/>
    </row>
    <row r="43">
      <c r="A43" s="16" t="n"/>
      <c r="B43" s="17" t="n"/>
      <c r="C43" s="47" t="n"/>
      <c r="D43" s="47" t="n"/>
      <c r="E43" s="18" t="n"/>
      <c r="F43" s="16" t="n"/>
      <c r="G43" s="16" t="n"/>
    </row>
    <row r="44">
      <c r="A44" s="19" t="n"/>
      <c r="B44" s="20" t="n"/>
      <c r="C44" s="48" t="n"/>
      <c r="D44" s="48" t="n"/>
      <c r="E44" s="21" t="n"/>
      <c r="F44" s="19" t="n"/>
      <c r="G44" s="19" t="n"/>
    </row>
    <row r="45">
      <c r="A45" s="16" t="n"/>
      <c r="B45" s="17" t="n"/>
      <c r="C45" s="47" t="n"/>
      <c r="D45" s="47" t="n"/>
      <c r="E45" s="18" t="n"/>
      <c r="F45" s="16" t="n"/>
      <c r="G45" s="16" t="n"/>
    </row>
    <row r="46">
      <c r="A46" s="19" t="n"/>
      <c r="B46" s="20" t="n"/>
      <c r="C46" s="48" t="n"/>
      <c r="D46" s="48" t="n"/>
      <c r="E46" s="21" t="n"/>
      <c r="F46" s="19" t="n"/>
      <c r="G46" s="19" t="n"/>
    </row>
    <row r="47">
      <c r="A47" s="16" t="n"/>
      <c r="B47" s="17" t="n"/>
      <c r="C47" s="47" t="n"/>
      <c r="D47" s="47" t="n"/>
      <c r="E47" s="18" t="n"/>
      <c r="F47" s="16" t="n"/>
      <c r="G47" s="16" t="n"/>
    </row>
    <row r="48">
      <c r="A48" s="19" t="n"/>
      <c r="B48" s="20" t="n"/>
      <c r="C48" s="48" t="n"/>
      <c r="D48" s="48" t="n"/>
      <c r="E48" s="21" t="n"/>
      <c r="F48" s="19" t="n"/>
      <c r="G48" s="19" t="n"/>
    </row>
    <row r="49">
      <c r="A49" s="16" t="n"/>
      <c r="B49" s="17" t="n"/>
      <c r="C49" s="47" t="n"/>
      <c r="D49" s="47" t="n"/>
      <c r="E49" s="18" t="n"/>
      <c r="F49" s="16" t="n"/>
      <c r="G49" s="16" t="n"/>
    </row>
    <row r="50">
      <c r="A50" s="19" t="n"/>
      <c r="B50" s="20" t="n"/>
      <c r="C50" s="48" t="n"/>
      <c r="D50" s="48" t="n"/>
      <c r="E50" s="21" t="n"/>
      <c r="F50" s="19" t="n"/>
      <c r="G50" s="19" t="n"/>
    </row>
    <row r="51">
      <c r="A51" s="16" t="n"/>
      <c r="B51" s="17" t="n"/>
      <c r="C51" s="47" t="n"/>
      <c r="D51" s="47" t="n"/>
      <c r="E51" s="18" t="n"/>
      <c r="F51" s="16" t="n"/>
      <c r="G51" s="16" t="n"/>
    </row>
    <row r="52">
      <c r="A52" s="19" t="n"/>
      <c r="B52" s="20" t="n"/>
      <c r="C52" s="48" t="n"/>
      <c r="D52" s="48" t="n"/>
      <c r="E52" s="21" t="n"/>
      <c r="F52" s="19" t="n"/>
      <c r="G52" s="19" t="n"/>
    </row>
    <row r="53">
      <c r="A53" s="16" t="n"/>
      <c r="B53" s="17" t="n"/>
      <c r="C53" s="47" t="n"/>
      <c r="D53" s="47" t="n"/>
      <c r="E53" s="18" t="n"/>
      <c r="F53" s="16" t="n"/>
      <c r="G53" s="16" t="n"/>
    </row>
    <row r="54">
      <c r="A54" s="19" t="n"/>
      <c r="B54" s="20" t="n"/>
      <c r="C54" s="48" t="n"/>
      <c r="D54" s="48" t="n"/>
      <c r="E54" s="21" t="n"/>
      <c r="F54" s="19" t="n"/>
      <c r="G54" s="19" t="n"/>
    </row>
    <row r="55">
      <c r="A55" s="16" t="n"/>
      <c r="B55" s="17" t="n"/>
      <c r="C55" s="47" t="n"/>
      <c r="D55" s="47" t="n"/>
      <c r="E55" s="18" t="n"/>
      <c r="F55" s="16" t="n"/>
      <c r="G55" s="16" t="n"/>
    </row>
    <row r="56">
      <c r="A56" s="19" t="n"/>
      <c r="B56" s="20" t="n"/>
      <c r="C56" s="48" t="n"/>
      <c r="D56" s="48" t="n"/>
      <c r="E56" s="21" t="n"/>
      <c r="F56" s="19" t="n"/>
      <c r="G56" s="19" t="n"/>
    </row>
    <row r="57">
      <c r="A57" s="16" t="n"/>
      <c r="B57" s="17" t="n"/>
      <c r="C57" s="47" t="n"/>
      <c r="D57" s="47" t="n"/>
      <c r="E57" s="18" t="n"/>
      <c r="F57" s="16" t="n"/>
      <c r="G57" s="16" t="n"/>
    </row>
    <row r="58">
      <c r="A58" s="19" t="n"/>
      <c r="B58" s="20" t="n"/>
      <c r="C58" s="48" t="n"/>
      <c r="D58" s="48" t="n"/>
      <c r="E58" s="21" t="n"/>
      <c r="F58" s="19" t="n"/>
      <c r="G58" s="19" t="n"/>
    </row>
    <row r="59">
      <c r="A59" s="16" t="n"/>
      <c r="B59" s="17" t="n"/>
      <c r="C59" s="47" t="n"/>
      <c r="D59" s="47" t="n"/>
      <c r="E59" s="18" t="n"/>
      <c r="F59" s="16" t="n"/>
      <c r="G59" s="16" t="n"/>
    </row>
    <row r="60">
      <c r="A60" s="19" t="n"/>
      <c r="B60" s="20" t="n"/>
      <c r="C60" s="48" t="n"/>
      <c r="D60" s="48" t="n"/>
      <c r="E60" s="21" t="n"/>
      <c r="F60" s="19" t="n"/>
      <c r="G60" s="19" t="n"/>
    </row>
    <row r="61">
      <c r="A61" s="16" t="n"/>
      <c r="B61" s="17" t="n"/>
      <c r="C61" s="47" t="n"/>
      <c r="D61" s="47" t="n"/>
      <c r="E61" s="18" t="n"/>
      <c r="F61" s="16" t="n"/>
      <c r="G61" s="16" t="n"/>
    </row>
    <row r="62">
      <c r="A62" s="19" t="n"/>
      <c r="B62" s="20" t="n"/>
      <c r="C62" s="48" t="n"/>
      <c r="D62" s="48" t="n"/>
      <c r="E62" s="21" t="n"/>
      <c r="F62" s="19" t="n"/>
      <c r="G62" s="19" t="n"/>
    </row>
    <row r="63">
      <c r="A63" s="16" t="n"/>
      <c r="B63" s="17" t="n"/>
      <c r="C63" s="47" t="n"/>
      <c r="D63" s="47" t="n"/>
      <c r="E63" s="18" t="n"/>
      <c r="F63" s="16" t="n"/>
      <c r="G63" s="16" t="n"/>
    </row>
    <row r="64">
      <c r="A64" s="19" t="n"/>
      <c r="B64" s="20" t="n"/>
      <c r="C64" s="48" t="n"/>
      <c r="D64" s="48" t="n"/>
      <c r="E64" s="21" t="n"/>
      <c r="F64" s="19" t="n"/>
      <c r="G64" s="19" t="n"/>
    </row>
  </sheetData>
  <mergeCells count="2">
    <mergeCell ref="A2:G2"/>
    <mergeCell ref="A1:G1"/>
  </mergeCells>
  <conditionalFormatting sqref="A5:G64">
    <cfRule type="expression" priority="1" dxfId="1">
      <formula>AND($A5&lt;&gt;"",$C5&lt;=$D5)</formula>
    </cfRule>
  </conditionalFormatting>
  <conditionalFormatting sqref="E5:E64">
    <cfRule type="expression" priority="2" dxfId="2">
      <formula>AND($E5&lt;&gt;"",$E5&lt;=TODAY()+14)</formula>
    </cfRule>
  </conditionalFormatting>
  <dataValidations count="1">
    <dataValidation sqref="B5:B64" showDropDown="0" showInputMessage="0" showErrorMessage="0" allowBlank="1" type="list">
      <formula1>=PantryCatList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G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4" customWidth="1" min="4" max="4"/>
    <col width="16" customWidth="1" min="5" max="5"/>
    <col width="16" customWidth="1" min="6" max="6"/>
    <col width="20" customWidth="1" min="7" max="7"/>
  </cols>
  <sheetData>
    <row r="1" ht="46" customHeight="1">
      <c r="A1" s="1" t="inlineStr">
        <is>
          <t xml:space="preserve">  🧊  REFRIGERATOR &amp; FREEZER INVENTORY</t>
        </is>
      </c>
    </row>
    <row r="2" ht="22" customHeight="1">
      <c r="A2" s="2" t="inlineStr">
        <is>
          <t xml:space="preserve">  Know what's chilled or frozen — and use it before it's wasted.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Item</t>
        </is>
      </c>
      <c r="B4" s="7" t="inlineStr">
        <is>
          <t>Location</t>
        </is>
      </c>
      <c r="C4" s="7" t="inlineStr">
        <is>
          <t>Qty</t>
        </is>
      </c>
      <c r="D4" s="7" t="inlineStr">
        <is>
          <t>Purchased</t>
        </is>
      </c>
      <c r="E4" s="7" t="inlineStr">
        <is>
          <t>Use / Freeze By</t>
        </is>
      </c>
      <c r="F4" s="7" t="inlineStr">
        <is>
          <t>Planned Meal</t>
        </is>
      </c>
      <c r="G4" s="7" t="inlineStr">
        <is>
          <t>Notes</t>
        </is>
      </c>
    </row>
    <row r="5">
      <c r="A5" s="16" t="inlineStr">
        <is>
          <t>Leftover chili</t>
        </is>
      </c>
      <c r="B5" s="17" t="inlineStr">
        <is>
          <t>Fridge</t>
        </is>
      </c>
      <c r="C5" s="47" t="n">
        <v>1</v>
      </c>
      <c r="D5" s="18" t="n">
        <v>46201</v>
      </c>
      <c r="E5" s="18" t="n">
        <v>46205</v>
      </c>
      <c r="F5" s="16" t="inlineStr">
        <is>
          <t>Lunch</t>
        </is>
      </c>
      <c r="G5" s="16" t="inlineStr"/>
    </row>
    <row r="6">
      <c r="A6" s="19" t="inlineStr">
        <is>
          <t>Chicken breast</t>
        </is>
      </c>
      <c r="B6" s="20" t="inlineStr">
        <is>
          <t>Freezer</t>
        </is>
      </c>
      <c r="C6" s="48" t="n">
        <v>4</v>
      </c>
      <c r="D6" s="21" t="n">
        <v>46198</v>
      </c>
      <c r="E6" s="21" t="n">
        <v>46263</v>
      </c>
      <c r="F6" s="19" t="inlineStr">
        <is>
          <t>Tue dinner</t>
        </is>
      </c>
      <c r="G6" s="19" t="inlineStr"/>
    </row>
    <row r="7">
      <c r="A7" s="16" t="inlineStr">
        <is>
          <t>Ground beef</t>
        </is>
      </c>
      <c r="B7" s="17" t="inlineStr">
        <is>
          <t>Freezer</t>
        </is>
      </c>
      <c r="C7" s="47" t="n">
        <v>2</v>
      </c>
      <c r="D7" s="18" t="n">
        <v>46198</v>
      </c>
      <c r="E7" s="18" t="n">
        <v>46263</v>
      </c>
      <c r="F7" s="16" t="inlineStr">
        <is>
          <t>Tacos</t>
        </is>
      </c>
      <c r="G7" s="16" t="inlineStr"/>
    </row>
    <row r="8">
      <c r="A8" s="19" t="inlineStr">
        <is>
          <t>Milk</t>
        </is>
      </c>
      <c r="B8" s="20" t="inlineStr">
        <is>
          <t>Fridge</t>
        </is>
      </c>
      <c r="C8" s="48" t="n">
        <v>2</v>
      </c>
      <c r="D8" s="21" t="n">
        <v>46202</v>
      </c>
      <c r="E8" s="21" t="n">
        <v>46210</v>
      </c>
      <c r="F8" s="19" t="inlineStr">
        <is>
          <t>—</t>
        </is>
      </c>
      <c r="G8" s="19" t="inlineStr"/>
    </row>
    <row r="9">
      <c r="A9" s="16" t="inlineStr">
        <is>
          <t>Yogurt</t>
        </is>
      </c>
      <c r="B9" s="17" t="inlineStr">
        <is>
          <t>Fridge</t>
        </is>
      </c>
      <c r="C9" s="47" t="n">
        <v>6</v>
      </c>
      <c r="D9" s="18" t="n">
        <v>46200</v>
      </c>
      <c r="E9" s="18" t="n">
        <v>46213</v>
      </c>
      <c r="F9" s="16" t="inlineStr">
        <is>
          <t>Snacks</t>
        </is>
      </c>
      <c r="G9" s="16" t="inlineStr"/>
    </row>
    <row r="10">
      <c r="A10" s="19" t="inlineStr">
        <is>
          <t>Frozen berries</t>
        </is>
      </c>
      <c r="B10" s="20" t="inlineStr">
        <is>
          <t>Freezer</t>
        </is>
      </c>
      <c r="C10" s="48" t="n">
        <v>2</v>
      </c>
      <c r="D10" s="21" t="n">
        <v>46183</v>
      </c>
      <c r="E10" s="21" t="n">
        <v>46383</v>
      </c>
      <c r="F10" s="19" t="inlineStr">
        <is>
          <t>Smoothies</t>
        </is>
      </c>
      <c r="G10" s="19" t="inlineStr"/>
    </row>
    <row r="11">
      <c r="A11" s="16" t="inlineStr">
        <is>
          <t>Salmon fillets</t>
        </is>
      </c>
      <c r="B11" s="17" t="inlineStr">
        <is>
          <t>Freezer</t>
        </is>
      </c>
      <c r="C11" s="47" t="n">
        <v>3</v>
      </c>
      <c r="D11" s="18" t="n">
        <v>46196</v>
      </c>
      <c r="E11" s="18" t="n">
        <v>46248</v>
      </c>
      <c r="F11" s="16" t="inlineStr">
        <is>
          <t>Fri dinner</t>
        </is>
      </c>
      <c r="G11" s="16" t="inlineStr"/>
    </row>
    <row r="12">
      <c r="A12" s="19" t="inlineStr">
        <is>
          <t>Shredded cheese</t>
        </is>
      </c>
      <c r="B12" s="20" t="inlineStr">
        <is>
          <t>Fridge</t>
        </is>
      </c>
      <c r="C12" s="48" t="n">
        <v>1</v>
      </c>
      <c r="D12" s="21" t="n">
        <v>46199</v>
      </c>
      <c r="E12" s="21" t="n">
        <v>46223</v>
      </c>
      <c r="F12" s="19" t="inlineStr">
        <is>
          <t>Pizza</t>
        </is>
      </c>
      <c r="G12" s="19" t="inlineStr"/>
    </row>
    <row r="13">
      <c r="A13" s="16" t="inlineStr">
        <is>
          <t>Bread (backup)</t>
        </is>
      </c>
      <c r="B13" s="17" t="inlineStr">
        <is>
          <t>Freezer</t>
        </is>
      </c>
      <c r="C13" s="47" t="n">
        <v>1</v>
      </c>
      <c r="D13" s="18" t="n">
        <v>46193</v>
      </c>
      <c r="E13" s="18" t="n">
        <v>46263</v>
      </c>
      <c r="F13" s="16" t="inlineStr">
        <is>
          <t>Toast</t>
        </is>
      </c>
      <c r="G13" s="16" t="inlineStr"/>
    </row>
    <row r="14">
      <c r="A14" s="19" t="n"/>
      <c r="B14" s="20" t="n"/>
      <c r="C14" s="48" t="n"/>
      <c r="D14" s="21" t="n"/>
      <c r="E14" s="21" t="n"/>
      <c r="F14" s="19" t="n"/>
      <c r="G14" s="19" t="n"/>
    </row>
    <row r="15">
      <c r="A15" s="16" t="n"/>
      <c r="B15" s="17" t="n"/>
      <c r="C15" s="47" t="n"/>
      <c r="D15" s="18" t="n"/>
      <c r="E15" s="18" t="n"/>
      <c r="F15" s="16" t="n"/>
      <c r="G15" s="16" t="n"/>
    </row>
    <row r="16">
      <c r="A16" s="19" t="n"/>
      <c r="B16" s="20" t="n"/>
      <c r="C16" s="48" t="n"/>
      <c r="D16" s="21" t="n"/>
      <c r="E16" s="21" t="n"/>
      <c r="F16" s="19" t="n"/>
      <c r="G16" s="19" t="n"/>
    </row>
    <row r="17">
      <c r="A17" s="16" t="n"/>
      <c r="B17" s="17" t="n"/>
      <c r="C17" s="47" t="n"/>
      <c r="D17" s="18" t="n"/>
      <c r="E17" s="18" t="n"/>
      <c r="F17" s="16" t="n"/>
      <c r="G17" s="16" t="n"/>
    </row>
    <row r="18">
      <c r="A18" s="19" t="n"/>
      <c r="B18" s="20" t="n"/>
      <c r="C18" s="48" t="n"/>
      <c r="D18" s="21" t="n"/>
      <c r="E18" s="21" t="n"/>
      <c r="F18" s="19" t="n"/>
      <c r="G18" s="19" t="n"/>
    </row>
    <row r="19">
      <c r="A19" s="16" t="n"/>
      <c r="B19" s="17" t="n"/>
      <c r="C19" s="47" t="n"/>
      <c r="D19" s="18" t="n"/>
      <c r="E19" s="18" t="n"/>
      <c r="F19" s="16" t="n"/>
      <c r="G19" s="16" t="n"/>
    </row>
    <row r="20">
      <c r="A20" s="19" t="n"/>
      <c r="B20" s="20" t="n"/>
      <c r="C20" s="48" t="n"/>
      <c r="D20" s="21" t="n"/>
      <c r="E20" s="21" t="n"/>
      <c r="F20" s="19" t="n"/>
      <c r="G20" s="19" t="n"/>
    </row>
    <row r="21">
      <c r="A21" s="16" t="n"/>
      <c r="B21" s="17" t="n"/>
      <c r="C21" s="47" t="n"/>
      <c r="D21" s="18" t="n"/>
      <c r="E21" s="18" t="n"/>
      <c r="F21" s="16" t="n"/>
      <c r="G21" s="16" t="n"/>
    </row>
    <row r="22">
      <c r="A22" s="19" t="n"/>
      <c r="B22" s="20" t="n"/>
      <c r="C22" s="48" t="n"/>
      <c r="D22" s="21" t="n"/>
      <c r="E22" s="21" t="n"/>
      <c r="F22" s="19" t="n"/>
      <c r="G22" s="19" t="n"/>
    </row>
    <row r="23">
      <c r="A23" s="16" t="n"/>
      <c r="B23" s="17" t="n"/>
      <c r="C23" s="47" t="n"/>
      <c r="D23" s="18" t="n"/>
      <c r="E23" s="18" t="n"/>
      <c r="F23" s="16" t="n"/>
      <c r="G23" s="16" t="n"/>
    </row>
    <row r="24">
      <c r="A24" s="19" t="n"/>
      <c r="B24" s="20" t="n"/>
      <c r="C24" s="48" t="n"/>
      <c r="D24" s="21" t="n"/>
      <c r="E24" s="21" t="n"/>
      <c r="F24" s="19" t="n"/>
      <c r="G24" s="19" t="n"/>
    </row>
    <row r="25">
      <c r="A25" s="16" t="n"/>
      <c r="B25" s="17" t="n"/>
      <c r="C25" s="47" t="n"/>
      <c r="D25" s="18" t="n"/>
      <c r="E25" s="18" t="n"/>
      <c r="F25" s="16" t="n"/>
      <c r="G25" s="16" t="n"/>
    </row>
    <row r="26">
      <c r="A26" s="19" t="n"/>
      <c r="B26" s="20" t="n"/>
      <c r="C26" s="48" t="n"/>
      <c r="D26" s="21" t="n"/>
      <c r="E26" s="21" t="n"/>
      <c r="F26" s="19" t="n"/>
      <c r="G26" s="19" t="n"/>
    </row>
    <row r="27">
      <c r="A27" s="16" t="n"/>
      <c r="B27" s="17" t="n"/>
      <c r="C27" s="47" t="n"/>
      <c r="D27" s="18" t="n"/>
      <c r="E27" s="18" t="n"/>
      <c r="F27" s="16" t="n"/>
      <c r="G27" s="16" t="n"/>
    </row>
    <row r="28">
      <c r="A28" s="19" t="n"/>
      <c r="B28" s="20" t="n"/>
      <c r="C28" s="48" t="n"/>
      <c r="D28" s="21" t="n"/>
      <c r="E28" s="21" t="n"/>
      <c r="F28" s="19" t="n"/>
      <c r="G28" s="19" t="n"/>
    </row>
    <row r="29">
      <c r="A29" s="16" t="n"/>
      <c r="B29" s="17" t="n"/>
      <c r="C29" s="47" t="n"/>
      <c r="D29" s="18" t="n"/>
      <c r="E29" s="18" t="n"/>
      <c r="F29" s="16" t="n"/>
      <c r="G29" s="16" t="n"/>
    </row>
    <row r="30">
      <c r="A30" s="19" t="n"/>
      <c r="B30" s="20" t="n"/>
      <c r="C30" s="48" t="n"/>
      <c r="D30" s="21" t="n"/>
      <c r="E30" s="21" t="n"/>
      <c r="F30" s="19" t="n"/>
      <c r="G30" s="19" t="n"/>
    </row>
    <row r="31">
      <c r="A31" s="16" t="n"/>
      <c r="B31" s="17" t="n"/>
      <c r="C31" s="47" t="n"/>
      <c r="D31" s="18" t="n"/>
      <c r="E31" s="18" t="n"/>
      <c r="F31" s="16" t="n"/>
      <c r="G31" s="16" t="n"/>
    </row>
    <row r="32">
      <c r="A32" s="19" t="n"/>
      <c r="B32" s="20" t="n"/>
      <c r="C32" s="48" t="n"/>
      <c r="D32" s="21" t="n"/>
      <c r="E32" s="21" t="n"/>
      <c r="F32" s="19" t="n"/>
      <c r="G32" s="19" t="n"/>
    </row>
    <row r="33">
      <c r="A33" s="16" t="n"/>
      <c r="B33" s="17" t="n"/>
      <c r="C33" s="47" t="n"/>
      <c r="D33" s="18" t="n"/>
      <c r="E33" s="18" t="n"/>
      <c r="F33" s="16" t="n"/>
      <c r="G33" s="16" t="n"/>
    </row>
    <row r="34">
      <c r="A34" s="19" t="n"/>
      <c r="B34" s="20" t="n"/>
      <c r="C34" s="48" t="n"/>
      <c r="D34" s="21" t="n"/>
      <c r="E34" s="21" t="n"/>
      <c r="F34" s="19" t="n"/>
      <c r="G34" s="19" t="n"/>
    </row>
    <row r="35">
      <c r="A35" s="16" t="n"/>
      <c r="B35" s="17" t="n"/>
      <c r="C35" s="47" t="n"/>
      <c r="D35" s="18" t="n"/>
      <c r="E35" s="18" t="n"/>
      <c r="F35" s="16" t="n"/>
      <c r="G35" s="16" t="n"/>
    </row>
    <row r="36">
      <c r="A36" s="19" t="n"/>
      <c r="B36" s="20" t="n"/>
      <c r="C36" s="48" t="n"/>
      <c r="D36" s="21" t="n"/>
      <c r="E36" s="21" t="n"/>
      <c r="F36" s="19" t="n"/>
      <c r="G36" s="19" t="n"/>
    </row>
    <row r="37">
      <c r="A37" s="16" t="n"/>
      <c r="B37" s="17" t="n"/>
      <c r="C37" s="47" t="n"/>
      <c r="D37" s="18" t="n"/>
      <c r="E37" s="18" t="n"/>
      <c r="F37" s="16" t="n"/>
      <c r="G37" s="16" t="n"/>
    </row>
    <row r="38">
      <c r="A38" s="19" t="n"/>
      <c r="B38" s="20" t="n"/>
      <c r="C38" s="48" t="n"/>
      <c r="D38" s="21" t="n"/>
      <c r="E38" s="21" t="n"/>
      <c r="F38" s="19" t="n"/>
      <c r="G38" s="19" t="n"/>
    </row>
    <row r="39">
      <c r="A39" s="16" t="n"/>
      <c r="B39" s="17" t="n"/>
      <c r="C39" s="47" t="n"/>
      <c r="D39" s="18" t="n"/>
      <c r="E39" s="18" t="n"/>
      <c r="F39" s="16" t="n"/>
      <c r="G39" s="16" t="n"/>
    </row>
    <row r="40">
      <c r="A40" s="19" t="n"/>
      <c r="B40" s="20" t="n"/>
      <c r="C40" s="48" t="n"/>
      <c r="D40" s="21" t="n"/>
      <c r="E40" s="21" t="n"/>
      <c r="F40" s="19" t="n"/>
      <c r="G40" s="19" t="n"/>
    </row>
    <row r="41">
      <c r="A41" s="16" t="n"/>
      <c r="B41" s="17" t="n"/>
      <c r="C41" s="47" t="n"/>
      <c r="D41" s="18" t="n"/>
      <c r="E41" s="18" t="n"/>
      <c r="F41" s="16" t="n"/>
      <c r="G41" s="16" t="n"/>
    </row>
    <row r="42">
      <c r="A42" s="19" t="n"/>
      <c r="B42" s="20" t="n"/>
      <c r="C42" s="48" t="n"/>
      <c r="D42" s="21" t="n"/>
      <c r="E42" s="21" t="n"/>
      <c r="F42" s="19" t="n"/>
      <c r="G42" s="19" t="n"/>
    </row>
    <row r="43">
      <c r="A43" s="16" t="n"/>
      <c r="B43" s="17" t="n"/>
      <c r="C43" s="47" t="n"/>
      <c r="D43" s="18" t="n"/>
      <c r="E43" s="18" t="n"/>
      <c r="F43" s="16" t="n"/>
      <c r="G43" s="16" t="n"/>
    </row>
    <row r="44">
      <c r="A44" s="19" t="n"/>
      <c r="B44" s="20" t="n"/>
      <c r="C44" s="48" t="n"/>
      <c r="D44" s="21" t="n"/>
      <c r="E44" s="21" t="n"/>
      <c r="F44" s="19" t="n"/>
      <c r="G44" s="19" t="n"/>
    </row>
    <row r="45">
      <c r="A45" s="16" t="n"/>
      <c r="B45" s="17" t="n"/>
      <c r="C45" s="47" t="n"/>
      <c r="D45" s="18" t="n"/>
      <c r="E45" s="18" t="n"/>
      <c r="F45" s="16" t="n"/>
      <c r="G45" s="16" t="n"/>
    </row>
    <row r="46">
      <c r="A46" s="19" t="n"/>
      <c r="B46" s="20" t="n"/>
      <c r="C46" s="48" t="n"/>
      <c r="D46" s="21" t="n"/>
      <c r="E46" s="21" t="n"/>
      <c r="F46" s="19" t="n"/>
      <c r="G46" s="19" t="n"/>
    </row>
    <row r="47">
      <c r="A47" s="16" t="n"/>
      <c r="B47" s="17" t="n"/>
      <c r="C47" s="47" t="n"/>
      <c r="D47" s="18" t="n"/>
      <c r="E47" s="18" t="n"/>
      <c r="F47" s="16" t="n"/>
      <c r="G47" s="16" t="n"/>
    </row>
    <row r="48">
      <c r="A48" s="19" t="n"/>
      <c r="B48" s="20" t="n"/>
      <c r="C48" s="48" t="n"/>
      <c r="D48" s="21" t="n"/>
      <c r="E48" s="21" t="n"/>
      <c r="F48" s="19" t="n"/>
      <c r="G48" s="19" t="n"/>
    </row>
    <row r="49">
      <c r="A49" s="16" t="n"/>
      <c r="B49" s="17" t="n"/>
      <c r="C49" s="47" t="n"/>
      <c r="D49" s="18" t="n"/>
      <c r="E49" s="18" t="n"/>
      <c r="F49" s="16" t="n"/>
      <c r="G49" s="16" t="n"/>
    </row>
    <row r="50">
      <c r="A50" s="19" t="n"/>
      <c r="B50" s="20" t="n"/>
      <c r="C50" s="48" t="n"/>
      <c r="D50" s="21" t="n"/>
      <c r="E50" s="21" t="n"/>
      <c r="F50" s="19" t="n"/>
      <c r="G50" s="19" t="n"/>
    </row>
    <row r="51">
      <c r="A51" s="16" t="n"/>
      <c r="B51" s="17" t="n"/>
      <c r="C51" s="47" t="n"/>
      <c r="D51" s="18" t="n"/>
      <c r="E51" s="18" t="n"/>
      <c r="F51" s="16" t="n"/>
      <c r="G51" s="16" t="n"/>
    </row>
    <row r="52">
      <c r="A52" s="19" t="n"/>
      <c r="B52" s="20" t="n"/>
      <c r="C52" s="48" t="n"/>
      <c r="D52" s="21" t="n"/>
      <c r="E52" s="21" t="n"/>
      <c r="F52" s="19" t="n"/>
      <c r="G52" s="19" t="n"/>
    </row>
    <row r="53">
      <c r="A53" s="16" t="n"/>
      <c r="B53" s="17" t="n"/>
      <c r="C53" s="47" t="n"/>
      <c r="D53" s="18" t="n"/>
      <c r="E53" s="18" t="n"/>
      <c r="F53" s="16" t="n"/>
      <c r="G53" s="16" t="n"/>
    </row>
    <row r="54">
      <c r="A54" s="19" t="n"/>
      <c r="B54" s="20" t="n"/>
      <c r="C54" s="48" t="n"/>
      <c r="D54" s="21" t="n"/>
      <c r="E54" s="21" t="n"/>
      <c r="F54" s="19" t="n"/>
      <c r="G54" s="19" t="n"/>
    </row>
  </sheetData>
  <mergeCells count="2">
    <mergeCell ref="A2:G2"/>
    <mergeCell ref="A1:G1"/>
  </mergeCells>
  <conditionalFormatting sqref="E5:E54">
    <cfRule type="expression" priority="1" dxfId="2">
      <formula>AND($E5&lt;&gt;"",$E5&lt;=TODAY()+3)</formula>
    </cfRule>
  </conditionalFormatting>
  <dataValidations count="1">
    <dataValidation sqref="B5:B5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" customWidth="1" min="9" max="9"/>
    <col width="22" customWidth="1" min="10" max="10"/>
    <col width="12" customWidth="1" min="11" max="11"/>
  </cols>
  <sheetData>
    <row r="1" ht="46" customHeight="1">
      <c r="A1" s="1" t="inlineStr">
        <is>
          <t xml:space="preserve">  🍽  MEAL PLANNER</t>
        </is>
      </c>
    </row>
    <row r="2" ht="22" customHeight="1">
      <c r="A2" s="2" t="inlineStr">
        <is>
          <t xml:space="preserve">  Plan the week's menu — completion feeds your dashboard, leftovers feed your grocery list.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4" t="inlineStr">
        <is>
          <t>WEEKLY MENU</t>
        </is>
      </c>
      <c r="J4" s="4" t="inlineStr">
        <is>
          <t>PLANNING</t>
        </is>
      </c>
    </row>
    <row r="5">
      <c r="A5" s="7" t="inlineStr">
        <is>
          <t>Meal</t>
        </is>
      </c>
      <c r="B5" s="7" t="inlineStr">
        <is>
          <t>Monday</t>
        </is>
      </c>
      <c r="C5" s="7" t="inlineStr">
        <is>
          <t>Tuesday</t>
        </is>
      </c>
      <c r="D5" s="7" t="inlineStr">
        <is>
          <t>Wednesday</t>
        </is>
      </c>
      <c r="E5" s="7" t="inlineStr">
        <is>
          <t>Thursday</t>
        </is>
      </c>
      <c r="F5" s="7" t="inlineStr">
        <is>
          <t>Friday</t>
        </is>
      </c>
      <c r="G5" s="7" t="inlineStr">
        <is>
          <t>Saturday</t>
        </is>
      </c>
      <c r="H5" s="7" t="inlineStr">
        <is>
          <t>Sunday</t>
        </is>
      </c>
      <c r="J5" s="23" t="inlineStr">
        <is>
          <t>Meals planned</t>
        </is>
      </c>
      <c r="K5" s="30">
        <f>COUNTIF(MealWeek,"&lt;&gt;"&amp;"")-COUNTIF(MealWeek,"—")</f>
        <v/>
      </c>
    </row>
    <row r="6" ht="22" customHeight="1">
      <c r="A6" s="23" t="inlineStr">
        <is>
          <t>Breakfast</t>
        </is>
      </c>
      <c r="B6" s="16" t="inlineStr">
        <is>
          <t>Oatmeal</t>
        </is>
      </c>
      <c r="C6" s="16" t="inlineStr">
        <is>
          <t>Eggs &amp; toast</t>
        </is>
      </c>
      <c r="D6" s="16" t="inlineStr">
        <is>
          <t>Smoothies</t>
        </is>
      </c>
      <c r="E6" s="16" t="inlineStr">
        <is>
          <t>Pancakes</t>
        </is>
      </c>
      <c r="F6" s="16" t="inlineStr">
        <is>
          <t>Yogurt bowls</t>
        </is>
      </c>
      <c r="G6" s="16" t="inlineStr">
        <is>
          <t>Waffles</t>
        </is>
      </c>
      <c r="H6" s="16" t="inlineStr">
        <is>
          <t>Bagels</t>
        </is>
      </c>
      <c r="J6" s="23" t="inlineStr">
        <is>
          <t>Plan complete</t>
        </is>
      </c>
      <c r="K6" s="41">
        <f>IFERROR((COUNTIF(MealWeek,"&lt;&gt;"&amp;"")-COUNTIF(MealWeek,"—"))/35,0)</f>
        <v/>
      </c>
    </row>
    <row r="7" ht="22" customHeight="1">
      <c r="A7" s="23" t="inlineStr">
        <is>
          <t>Lunch</t>
        </is>
      </c>
      <c r="B7" s="19" t="inlineStr">
        <is>
          <t>Turkey wraps</t>
        </is>
      </c>
      <c r="C7" s="19" t="inlineStr">
        <is>
          <t>Leftover chili</t>
        </is>
      </c>
      <c r="D7" s="19" t="inlineStr">
        <is>
          <t>Pasta salad</t>
        </is>
      </c>
      <c r="E7" s="19" t="inlineStr">
        <is>
          <t>Grilled cheese</t>
        </is>
      </c>
      <c r="F7" s="19" t="inlineStr">
        <is>
          <t>Bento boxes</t>
        </is>
      </c>
      <c r="G7" s="19" t="inlineStr">
        <is>
          <t>Soup</t>
        </is>
      </c>
      <c r="H7" s="19" t="inlineStr">
        <is>
          <t>Tacos</t>
        </is>
      </c>
    </row>
    <row r="8" ht="22" customHeight="1">
      <c r="A8" s="23" t="inlineStr">
        <is>
          <t>Dinner</t>
        </is>
      </c>
      <c r="B8" s="16" t="inlineStr">
        <is>
          <t>Sheet-pan chicken</t>
        </is>
      </c>
      <c r="C8" s="16" t="inlineStr">
        <is>
          <t>Taco night</t>
        </is>
      </c>
      <c r="D8" s="16" t="inlineStr">
        <is>
          <t>Spaghetti</t>
        </is>
      </c>
      <c r="E8" s="16" t="inlineStr">
        <is>
          <t>Salmon &amp; rice</t>
        </is>
      </c>
      <c r="F8" s="16" t="inlineStr">
        <is>
          <t>Homemade pizza</t>
        </is>
      </c>
      <c r="G8" s="16" t="inlineStr">
        <is>
          <t>Stir-fry</t>
        </is>
      </c>
      <c r="H8" s="16" t="inlineStr">
        <is>
          <t>Pot roast</t>
        </is>
      </c>
    </row>
    <row r="9" ht="22" customHeight="1">
      <c r="A9" s="23" t="inlineStr">
        <is>
          <t>Snack</t>
        </is>
      </c>
      <c r="B9" s="19" t="inlineStr">
        <is>
          <t>Apples</t>
        </is>
      </c>
      <c r="C9" s="19" t="inlineStr">
        <is>
          <t>Granola bars</t>
        </is>
      </c>
      <c r="D9" s="19" t="inlineStr">
        <is>
          <t>Cheese &amp; crackers</t>
        </is>
      </c>
      <c r="E9" s="19" t="inlineStr">
        <is>
          <t>Veggies &amp; dip</t>
        </is>
      </c>
      <c r="F9" s="19" t="inlineStr">
        <is>
          <t>Popcorn</t>
        </is>
      </c>
      <c r="G9" s="19" t="inlineStr">
        <is>
          <t>Fruit</t>
        </is>
      </c>
      <c r="H9" s="19" t="inlineStr">
        <is>
          <t>Trail mix</t>
        </is>
      </c>
    </row>
    <row r="10" ht="22" customHeight="1">
      <c r="A10" s="23" t="inlineStr">
        <is>
          <t>Dessert</t>
        </is>
      </c>
      <c r="B10" s="16" t="inlineStr">
        <is>
          <t>—</t>
        </is>
      </c>
      <c r="C10" s="16" t="inlineStr">
        <is>
          <t>Ice cream</t>
        </is>
      </c>
      <c r="D10" s="16" t="inlineStr">
        <is>
          <t>—</t>
        </is>
      </c>
      <c r="E10" s="16" t="inlineStr">
        <is>
          <t>Cookies</t>
        </is>
      </c>
      <c r="F10" s="16" t="inlineStr">
        <is>
          <t>Movie treats</t>
        </is>
      </c>
      <c r="G10" s="16" t="inlineStr">
        <is>
          <t>Brownies</t>
        </is>
      </c>
      <c r="H10" s="16" t="inlineStr">
        <is>
          <t>—</t>
        </is>
      </c>
    </row>
    <row r="12">
      <c r="A12" s="6" t="inlineStr">
        <is>
          <t>FAMILY FAVORITES</t>
        </is>
      </c>
    </row>
    <row r="13">
      <c r="A13" s="49" t="inlineStr">
        <is>
          <t>★</t>
        </is>
      </c>
      <c r="B13" s="27" t="inlineStr">
        <is>
          <t>Taco night</t>
        </is>
      </c>
      <c r="C13" s="50" t="n"/>
      <c r="D13" s="51" t="n"/>
      <c r="E13" s="49" t="inlineStr">
        <is>
          <t>★</t>
        </is>
      </c>
      <c r="F13" s="27" t="inlineStr">
        <is>
          <t>Homemade pizza</t>
        </is>
      </c>
      <c r="G13" s="50" t="n"/>
      <c r="H13" s="51" t="n"/>
    </row>
    <row r="14">
      <c r="A14" s="49" t="inlineStr">
        <is>
          <t>★</t>
        </is>
      </c>
      <c r="B14" s="27" t="inlineStr">
        <is>
          <t>Sheet-pan chicken</t>
        </is>
      </c>
      <c r="C14" s="50" t="n"/>
      <c r="D14" s="51" t="n"/>
      <c r="E14" s="49" t="inlineStr">
        <is>
          <t>★</t>
        </is>
      </c>
      <c r="F14" s="27" t="inlineStr">
        <is>
          <t>Spaghetti &amp; meatballs</t>
        </is>
      </c>
      <c r="G14" s="50" t="n"/>
      <c r="H14" s="51" t="n"/>
    </row>
    <row r="15">
      <c r="A15" s="49" t="inlineStr">
        <is>
          <t>★</t>
        </is>
      </c>
      <c r="B15" s="27" t="inlineStr">
        <is>
          <t>Pancake breakfast-for-dinner</t>
        </is>
      </c>
      <c r="C15" s="50" t="n"/>
      <c r="D15" s="51" t="n"/>
      <c r="E15" s="49" t="inlineStr">
        <is>
          <t>★</t>
        </is>
      </c>
      <c r="F15" s="27" t="inlineStr">
        <is>
          <t>Grandma's pot roast</t>
        </is>
      </c>
      <c r="G15" s="50" t="n"/>
      <c r="H15" s="51" t="n"/>
    </row>
  </sheetData>
  <mergeCells count="11">
    <mergeCell ref="A12:H12"/>
    <mergeCell ref="A4:H4"/>
    <mergeCell ref="J4:K4"/>
    <mergeCell ref="B14:D14"/>
    <mergeCell ref="F14:H14"/>
    <mergeCell ref="F13:H13"/>
    <mergeCell ref="A2:K2"/>
    <mergeCell ref="B13:D13"/>
    <mergeCell ref="B15:D15"/>
    <mergeCell ref="F15:H15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9" customWidth="1" min="4" max="4"/>
    <col width="8" customWidth="1" min="5" max="5"/>
    <col width="9" customWidth="1" min="6" max="6"/>
    <col width="11" customWidth="1" min="7" max="7"/>
    <col width="18" customWidth="1" min="8" max="8"/>
    <col width="20" customWidth="1" min="9" max="9"/>
  </cols>
  <sheetData>
    <row r="1" ht="46" customHeight="1">
      <c r="A1" s="1" t="inlineStr">
        <is>
          <t xml:space="preserve">  📖  RECIPE LIBRARY</t>
        </is>
      </c>
    </row>
    <row r="2" ht="22" customHeight="1">
      <c r="A2" s="2" t="inlineStr">
        <is>
          <t xml:space="preserve">  Your family cookbook — searchable, rated, and ready for meal planning.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7" t="inlineStr">
        <is>
          <t>Recipe</t>
        </is>
      </c>
      <c r="B4" s="7" t="inlineStr">
        <is>
          <t>Category</t>
        </is>
      </c>
      <c r="C4" s="7" t="inlineStr">
        <is>
          <t>Prep</t>
        </is>
      </c>
      <c r="D4" s="7" t="inlineStr">
        <is>
          <t>Cook</t>
        </is>
      </c>
      <c r="E4" s="7" t="inlineStr">
        <is>
          <t>Serves</t>
        </is>
      </c>
      <c r="F4" s="7" t="inlineStr">
        <is>
          <t>Rating</t>
        </is>
      </c>
      <c r="G4" s="7" t="inlineStr">
        <is>
          <t>Favorite</t>
        </is>
      </c>
      <c r="H4" s="7" t="inlineStr">
        <is>
          <t>Link / Source</t>
        </is>
      </c>
      <c r="I4" s="7" t="inlineStr">
        <is>
          <t>Notes</t>
        </is>
      </c>
    </row>
    <row r="5">
      <c r="A5" s="16" t="inlineStr">
        <is>
          <t>Sheet-Pan Chicken</t>
        </is>
      </c>
      <c r="B5" s="17" t="inlineStr">
        <is>
          <t>Dinner</t>
        </is>
      </c>
      <c r="C5" s="17" t="inlineStr">
        <is>
          <t>15 min</t>
        </is>
      </c>
      <c r="D5" s="17" t="inlineStr">
        <is>
          <t>35 min</t>
        </is>
      </c>
      <c r="E5" s="47" t="n">
        <v>5</v>
      </c>
      <c r="F5" s="47" t="n">
        <v>5</v>
      </c>
      <c r="G5" s="17" t="inlineStr">
        <is>
          <t>Yes</t>
        </is>
      </c>
      <c r="H5" s="16" t="inlineStr">
        <is>
          <t>Family recipe</t>
        </is>
      </c>
      <c r="I5" s="16" t="inlineStr">
        <is>
          <t>Kid-approved</t>
        </is>
      </c>
    </row>
    <row r="6">
      <c r="A6" s="19" t="inlineStr">
        <is>
          <t>Taco Night</t>
        </is>
      </c>
      <c r="B6" s="20" t="inlineStr">
        <is>
          <t>Dinner</t>
        </is>
      </c>
      <c r="C6" s="20" t="inlineStr">
        <is>
          <t>20 min</t>
        </is>
      </c>
      <c r="D6" s="20" t="inlineStr">
        <is>
          <t>15 min</t>
        </is>
      </c>
      <c r="E6" s="48" t="n">
        <v>5</v>
      </c>
      <c r="F6" s="48" t="n">
        <v>5</v>
      </c>
      <c r="G6" s="20" t="inlineStr">
        <is>
          <t>Yes</t>
        </is>
      </c>
      <c r="H6" s="19" t="inlineStr">
        <is>
          <t>—</t>
        </is>
      </c>
      <c r="I6" s="19" t="inlineStr">
        <is>
          <t>Build-your-own</t>
        </is>
      </c>
    </row>
    <row r="7">
      <c r="A7" s="16" t="inlineStr">
        <is>
          <t>Homemade Pizza</t>
        </is>
      </c>
      <c r="B7" s="17" t="inlineStr">
        <is>
          <t>Dinner</t>
        </is>
      </c>
      <c r="C7" s="17" t="inlineStr">
        <is>
          <t>30 min</t>
        </is>
      </c>
      <c r="D7" s="17" t="inlineStr">
        <is>
          <t>12 min</t>
        </is>
      </c>
      <c r="E7" s="47" t="n">
        <v>6</v>
      </c>
      <c r="F7" s="47" t="n">
        <v>5</v>
      </c>
      <c r="G7" s="17" t="inlineStr">
        <is>
          <t>Yes</t>
        </is>
      </c>
      <c r="H7" s="16" t="inlineStr">
        <is>
          <t>—</t>
        </is>
      </c>
      <c r="I7" s="16" t="inlineStr">
        <is>
          <t>Friday tradition</t>
        </is>
      </c>
    </row>
    <row r="8">
      <c r="A8" s="19" t="inlineStr">
        <is>
          <t>Banana Pancakes</t>
        </is>
      </c>
      <c r="B8" s="20" t="inlineStr">
        <is>
          <t>Breakfast</t>
        </is>
      </c>
      <c r="C8" s="20" t="inlineStr">
        <is>
          <t>10 min</t>
        </is>
      </c>
      <c r="D8" s="20" t="inlineStr">
        <is>
          <t>15 min</t>
        </is>
      </c>
      <c r="E8" s="48" t="n">
        <v>4</v>
      </c>
      <c r="F8" s="48" t="n">
        <v>4</v>
      </c>
      <c r="G8" s="20" t="inlineStr">
        <is>
          <t>No</t>
        </is>
      </c>
      <c r="H8" s="19" t="inlineStr">
        <is>
          <t>—</t>
        </is>
      </c>
      <c r="I8" s="19" t="inlineStr"/>
    </row>
    <row r="9">
      <c r="A9" s="16" t="inlineStr">
        <is>
          <t>Veggie Stir-Fry</t>
        </is>
      </c>
      <c r="B9" s="17" t="inlineStr">
        <is>
          <t>Dinner</t>
        </is>
      </c>
      <c r="C9" s="17" t="inlineStr">
        <is>
          <t>15 min</t>
        </is>
      </c>
      <c r="D9" s="17" t="inlineStr">
        <is>
          <t>12 min</t>
        </is>
      </c>
      <c r="E9" s="47" t="n">
        <v>4</v>
      </c>
      <c r="F9" s="47" t="n">
        <v>4</v>
      </c>
      <c r="G9" s="17" t="inlineStr">
        <is>
          <t>No</t>
        </is>
      </c>
      <c r="H9" s="16" t="inlineStr">
        <is>
          <t>—</t>
        </is>
      </c>
      <c r="I9" s="16" t="inlineStr">
        <is>
          <t>Uses leftovers</t>
        </is>
      </c>
    </row>
    <row r="10">
      <c r="A10" s="19" t="inlineStr">
        <is>
          <t>Pot Roast</t>
        </is>
      </c>
      <c r="B10" s="20" t="inlineStr">
        <is>
          <t>Dinner</t>
        </is>
      </c>
      <c r="C10" s="20" t="inlineStr">
        <is>
          <t>20 min</t>
        </is>
      </c>
      <c r="D10" s="20" t="inlineStr">
        <is>
          <t>4 hr</t>
        </is>
      </c>
      <c r="E10" s="48" t="n">
        <v>6</v>
      </c>
      <c r="F10" s="48" t="n">
        <v>5</v>
      </c>
      <c r="G10" s="20" t="inlineStr">
        <is>
          <t>Yes</t>
        </is>
      </c>
      <c r="H10" s="19" t="inlineStr">
        <is>
          <t>Grandma</t>
        </is>
      </c>
      <c r="I10" s="19" t="inlineStr">
        <is>
          <t>Sunday dinner</t>
        </is>
      </c>
    </row>
    <row r="11">
      <c r="A11" s="16" t="inlineStr">
        <is>
          <t>Overnight Oats</t>
        </is>
      </c>
      <c r="B11" s="17" t="inlineStr">
        <is>
          <t>Breakfast</t>
        </is>
      </c>
      <c r="C11" s="17" t="inlineStr">
        <is>
          <t>5 min</t>
        </is>
      </c>
      <c r="D11" s="17" t="inlineStr">
        <is>
          <t>—</t>
        </is>
      </c>
      <c r="E11" s="47" t="n">
        <v>2</v>
      </c>
      <c r="F11" s="47" t="n">
        <v>4</v>
      </c>
      <c r="G11" s="17" t="inlineStr">
        <is>
          <t>No</t>
        </is>
      </c>
      <c r="H11" s="16" t="inlineStr">
        <is>
          <t>—</t>
        </is>
      </c>
      <c r="I11" s="16" t="inlineStr">
        <is>
          <t>Make ahead</t>
        </is>
      </c>
    </row>
    <row r="12">
      <c r="A12" s="19" t="inlineStr">
        <is>
          <t>Chocolate Chip Cookies</t>
        </is>
      </c>
      <c r="B12" s="20" t="inlineStr">
        <is>
          <t>Dessert</t>
        </is>
      </c>
      <c r="C12" s="20" t="inlineStr">
        <is>
          <t>15 min</t>
        </is>
      </c>
      <c r="D12" s="20" t="inlineStr">
        <is>
          <t>11 min</t>
        </is>
      </c>
      <c r="E12" s="48" t="n">
        <v>24</v>
      </c>
      <c r="F12" s="48" t="n">
        <v>5</v>
      </c>
      <c r="G12" s="20" t="inlineStr">
        <is>
          <t>Yes</t>
        </is>
      </c>
      <c r="H12" s="19" t="inlineStr">
        <is>
          <t>—</t>
        </is>
      </c>
      <c r="I12" s="19" t="inlineStr"/>
    </row>
    <row r="13">
      <c r="A13" s="16" t="n"/>
      <c r="B13" s="17" t="n"/>
      <c r="C13" s="17" t="n"/>
      <c r="D13" s="17" t="n"/>
      <c r="E13" s="47" t="n"/>
      <c r="F13" s="47" t="n"/>
      <c r="G13" s="17" t="n"/>
      <c r="H13" s="16" t="n"/>
      <c r="I13" s="16" t="n"/>
    </row>
    <row r="14">
      <c r="A14" s="19" t="n"/>
      <c r="B14" s="20" t="n"/>
      <c r="C14" s="20" t="n"/>
      <c r="D14" s="20" t="n"/>
      <c r="E14" s="48" t="n"/>
      <c r="F14" s="48" t="n"/>
      <c r="G14" s="20" t="n"/>
      <c r="H14" s="19" t="n"/>
      <c r="I14" s="19" t="n"/>
    </row>
    <row r="15">
      <c r="A15" s="16" t="n"/>
      <c r="B15" s="17" t="n"/>
      <c r="C15" s="17" t="n"/>
      <c r="D15" s="17" t="n"/>
      <c r="E15" s="47" t="n"/>
      <c r="F15" s="47" t="n"/>
      <c r="G15" s="17" t="n"/>
      <c r="H15" s="16" t="n"/>
      <c r="I15" s="16" t="n"/>
    </row>
    <row r="16">
      <c r="A16" s="19" t="n"/>
      <c r="B16" s="20" t="n"/>
      <c r="C16" s="20" t="n"/>
      <c r="D16" s="20" t="n"/>
      <c r="E16" s="48" t="n"/>
      <c r="F16" s="48" t="n"/>
      <c r="G16" s="20" t="n"/>
      <c r="H16" s="19" t="n"/>
      <c r="I16" s="19" t="n"/>
    </row>
    <row r="17">
      <c r="A17" s="16" t="n"/>
      <c r="B17" s="17" t="n"/>
      <c r="C17" s="17" t="n"/>
      <c r="D17" s="17" t="n"/>
      <c r="E17" s="47" t="n"/>
      <c r="F17" s="47" t="n"/>
      <c r="G17" s="17" t="n"/>
      <c r="H17" s="16" t="n"/>
      <c r="I17" s="16" t="n"/>
    </row>
    <row r="18">
      <c r="A18" s="19" t="n"/>
      <c r="B18" s="20" t="n"/>
      <c r="C18" s="20" t="n"/>
      <c r="D18" s="20" t="n"/>
      <c r="E18" s="48" t="n"/>
      <c r="F18" s="48" t="n"/>
      <c r="G18" s="20" t="n"/>
      <c r="H18" s="19" t="n"/>
      <c r="I18" s="19" t="n"/>
    </row>
    <row r="19">
      <c r="A19" s="16" t="n"/>
      <c r="B19" s="17" t="n"/>
      <c r="C19" s="17" t="n"/>
      <c r="D19" s="17" t="n"/>
      <c r="E19" s="47" t="n"/>
      <c r="F19" s="47" t="n"/>
      <c r="G19" s="17" t="n"/>
      <c r="H19" s="16" t="n"/>
      <c r="I19" s="16" t="n"/>
    </row>
    <row r="20">
      <c r="A20" s="19" t="n"/>
      <c r="B20" s="20" t="n"/>
      <c r="C20" s="20" t="n"/>
      <c r="D20" s="20" t="n"/>
      <c r="E20" s="48" t="n"/>
      <c r="F20" s="48" t="n"/>
      <c r="G20" s="20" t="n"/>
      <c r="H20" s="19" t="n"/>
      <c r="I20" s="19" t="n"/>
    </row>
    <row r="21">
      <c r="A21" s="16" t="n"/>
      <c r="B21" s="17" t="n"/>
      <c r="C21" s="17" t="n"/>
      <c r="D21" s="17" t="n"/>
      <c r="E21" s="47" t="n"/>
      <c r="F21" s="47" t="n"/>
      <c r="G21" s="17" t="n"/>
      <c r="H21" s="16" t="n"/>
      <c r="I21" s="16" t="n"/>
    </row>
    <row r="22">
      <c r="A22" s="19" t="n"/>
      <c r="B22" s="20" t="n"/>
      <c r="C22" s="20" t="n"/>
      <c r="D22" s="20" t="n"/>
      <c r="E22" s="48" t="n"/>
      <c r="F22" s="48" t="n"/>
      <c r="G22" s="20" t="n"/>
      <c r="H22" s="19" t="n"/>
      <c r="I22" s="19" t="n"/>
    </row>
    <row r="23">
      <c r="A23" s="16" t="n"/>
      <c r="B23" s="17" t="n"/>
      <c r="C23" s="17" t="n"/>
      <c r="D23" s="17" t="n"/>
      <c r="E23" s="47" t="n"/>
      <c r="F23" s="47" t="n"/>
      <c r="G23" s="17" t="n"/>
      <c r="H23" s="16" t="n"/>
      <c r="I23" s="16" t="n"/>
    </row>
    <row r="24">
      <c r="A24" s="19" t="n"/>
      <c r="B24" s="20" t="n"/>
      <c r="C24" s="20" t="n"/>
      <c r="D24" s="20" t="n"/>
      <c r="E24" s="48" t="n"/>
      <c r="F24" s="48" t="n"/>
      <c r="G24" s="20" t="n"/>
      <c r="H24" s="19" t="n"/>
      <c r="I24" s="19" t="n"/>
    </row>
    <row r="25">
      <c r="A25" s="16" t="n"/>
      <c r="B25" s="17" t="n"/>
      <c r="C25" s="17" t="n"/>
      <c r="D25" s="17" t="n"/>
      <c r="E25" s="47" t="n"/>
      <c r="F25" s="47" t="n"/>
      <c r="G25" s="17" t="n"/>
      <c r="H25" s="16" t="n"/>
      <c r="I25" s="16" t="n"/>
    </row>
    <row r="26">
      <c r="A26" s="19" t="n"/>
      <c r="B26" s="20" t="n"/>
      <c r="C26" s="20" t="n"/>
      <c r="D26" s="20" t="n"/>
      <c r="E26" s="48" t="n"/>
      <c r="F26" s="48" t="n"/>
      <c r="G26" s="20" t="n"/>
      <c r="H26" s="19" t="n"/>
      <c r="I26" s="19" t="n"/>
    </row>
    <row r="27">
      <c r="A27" s="16" t="n"/>
      <c r="B27" s="17" t="n"/>
      <c r="C27" s="17" t="n"/>
      <c r="D27" s="17" t="n"/>
      <c r="E27" s="47" t="n"/>
      <c r="F27" s="47" t="n"/>
      <c r="G27" s="17" t="n"/>
      <c r="H27" s="16" t="n"/>
      <c r="I27" s="16" t="n"/>
    </row>
    <row r="28">
      <c r="A28" s="19" t="n"/>
      <c r="B28" s="20" t="n"/>
      <c r="C28" s="20" t="n"/>
      <c r="D28" s="20" t="n"/>
      <c r="E28" s="48" t="n"/>
      <c r="F28" s="48" t="n"/>
      <c r="G28" s="20" t="n"/>
      <c r="H28" s="19" t="n"/>
      <c r="I28" s="19" t="n"/>
    </row>
    <row r="29">
      <c r="A29" s="16" t="n"/>
      <c r="B29" s="17" t="n"/>
      <c r="C29" s="17" t="n"/>
      <c r="D29" s="17" t="n"/>
      <c r="E29" s="47" t="n"/>
      <c r="F29" s="47" t="n"/>
      <c r="G29" s="17" t="n"/>
      <c r="H29" s="16" t="n"/>
      <c r="I29" s="16" t="n"/>
    </row>
    <row r="30">
      <c r="A30" s="19" t="n"/>
      <c r="B30" s="20" t="n"/>
      <c r="C30" s="20" t="n"/>
      <c r="D30" s="20" t="n"/>
      <c r="E30" s="48" t="n"/>
      <c r="F30" s="48" t="n"/>
      <c r="G30" s="20" t="n"/>
      <c r="H30" s="19" t="n"/>
      <c r="I30" s="19" t="n"/>
    </row>
    <row r="31">
      <c r="A31" s="16" t="n"/>
      <c r="B31" s="17" t="n"/>
      <c r="C31" s="17" t="n"/>
      <c r="D31" s="17" t="n"/>
      <c r="E31" s="47" t="n"/>
      <c r="F31" s="47" t="n"/>
      <c r="G31" s="17" t="n"/>
      <c r="H31" s="16" t="n"/>
      <c r="I31" s="16" t="n"/>
    </row>
    <row r="32">
      <c r="A32" s="19" t="n"/>
      <c r="B32" s="20" t="n"/>
      <c r="C32" s="20" t="n"/>
      <c r="D32" s="20" t="n"/>
      <c r="E32" s="48" t="n"/>
      <c r="F32" s="48" t="n"/>
      <c r="G32" s="20" t="n"/>
      <c r="H32" s="19" t="n"/>
      <c r="I32" s="19" t="n"/>
    </row>
    <row r="33">
      <c r="A33" s="16" t="n"/>
      <c r="B33" s="17" t="n"/>
      <c r="C33" s="17" t="n"/>
      <c r="D33" s="17" t="n"/>
      <c r="E33" s="47" t="n"/>
      <c r="F33" s="47" t="n"/>
      <c r="G33" s="17" t="n"/>
      <c r="H33" s="16" t="n"/>
      <c r="I33" s="16" t="n"/>
    </row>
    <row r="34">
      <c r="A34" s="19" t="n"/>
      <c r="B34" s="20" t="n"/>
      <c r="C34" s="20" t="n"/>
      <c r="D34" s="20" t="n"/>
      <c r="E34" s="48" t="n"/>
      <c r="F34" s="48" t="n"/>
      <c r="G34" s="20" t="n"/>
      <c r="H34" s="19" t="n"/>
      <c r="I34" s="19" t="n"/>
    </row>
    <row r="35">
      <c r="A35" s="16" t="n"/>
      <c r="B35" s="17" t="n"/>
      <c r="C35" s="17" t="n"/>
      <c r="D35" s="17" t="n"/>
      <c r="E35" s="47" t="n"/>
      <c r="F35" s="47" t="n"/>
      <c r="G35" s="17" t="n"/>
      <c r="H35" s="16" t="n"/>
      <c r="I35" s="16" t="n"/>
    </row>
    <row r="36">
      <c r="A36" s="19" t="n"/>
      <c r="B36" s="20" t="n"/>
      <c r="C36" s="20" t="n"/>
      <c r="D36" s="20" t="n"/>
      <c r="E36" s="48" t="n"/>
      <c r="F36" s="48" t="n"/>
      <c r="G36" s="20" t="n"/>
      <c r="H36" s="19" t="n"/>
      <c r="I36" s="19" t="n"/>
    </row>
    <row r="37">
      <c r="A37" s="16" t="n"/>
      <c r="B37" s="17" t="n"/>
      <c r="C37" s="17" t="n"/>
      <c r="D37" s="17" t="n"/>
      <c r="E37" s="47" t="n"/>
      <c r="F37" s="47" t="n"/>
      <c r="G37" s="17" t="n"/>
      <c r="H37" s="16" t="n"/>
      <c r="I37" s="16" t="n"/>
    </row>
    <row r="38">
      <c r="A38" s="19" t="n"/>
      <c r="B38" s="20" t="n"/>
      <c r="C38" s="20" t="n"/>
      <c r="D38" s="20" t="n"/>
      <c r="E38" s="48" t="n"/>
      <c r="F38" s="48" t="n"/>
      <c r="G38" s="20" t="n"/>
      <c r="H38" s="19" t="n"/>
      <c r="I38" s="19" t="n"/>
    </row>
    <row r="39">
      <c r="A39" s="16" t="n"/>
      <c r="B39" s="17" t="n"/>
      <c r="C39" s="17" t="n"/>
      <c r="D39" s="17" t="n"/>
      <c r="E39" s="47" t="n"/>
      <c r="F39" s="47" t="n"/>
      <c r="G39" s="17" t="n"/>
      <c r="H39" s="16" t="n"/>
      <c r="I39" s="16" t="n"/>
    </row>
    <row r="40">
      <c r="A40" s="19" t="n"/>
      <c r="B40" s="20" t="n"/>
      <c r="C40" s="20" t="n"/>
      <c r="D40" s="20" t="n"/>
      <c r="E40" s="48" t="n"/>
      <c r="F40" s="48" t="n"/>
      <c r="G40" s="20" t="n"/>
      <c r="H40" s="19" t="n"/>
      <c r="I40" s="19" t="n"/>
    </row>
    <row r="41">
      <c r="A41" s="16" t="n"/>
      <c r="B41" s="17" t="n"/>
      <c r="C41" s="17" t="n"/>
      <c r="D41" s="17" t="n"/>
      <c r="E41" s="47" t="n"/>
      <c r="F41" s="47" t="n"/>
      <c r="G41" s="17" t="n"/>
      <c r="H41" s="16" t="n"/>
      <c r="I41" s="16" t="n"/>
    </row>
    <row r="42">
      <c r="A42" s="19" t="n"/>
      <c r="B42" s="20" t="n"/>
      <c r="C42" s="20" t="n"/>
      <c r="D42" s="20" t="n"/>
      <c r="E42" s="48" t="n"/>
      <c r="F42" s="48" t="n"/>
      <c r="G42" s="20" t="n"/>
      <c r="H42" s="19" t="n"/>
      <c r="I42" s="19" t="n"/>
    </row>
    <row r="43">
      <c r="A43" s="16" t="n"/>
      <c r="B43" s="17" t="n"/>
      <c r="C43" s="17" t="n"/>
      <c r="D43" s="17" t="n"/>
      <c r="E43" s="47" t="n"/>
      <c r="F43" s="47" t="n"/>
      <c r="G43" s="17" t="n"/>
      <c r="H43" s="16" t="n"/>
      <c r="I43" s="16" t="n"/>
    </row>
    <row r="44">
      <c r="A44" s="19" t="n"/>
      <c r="B44" s="20" t="n"/>
      <c r="C44" s="20" t="n"/>
      <c r="D44" s="20" t="n"/>
      <c r="E44" s="48" t="n"/>
      <c r="F44" s="48" t="n"/>
      <c r="G44" s="20" t="n"/>
      <c r="H44" s="19" t="n"/>
      <c r="I44" s="19" t="n"/>
    </row>
    <row r="45">
      <c r="A45" s="16" t="n"/>
      <c r="B45" s="17" t="n"/>
      <c r="C45" s="17" t="n"/>
      <c r="D45" s="17" t="n"/>
      <c r="E45" s="47" t="n"/>
      <c r="F45" s="47" t="n"/>
      <c r="G45" s="17" t="n"/>
      <c r="H45" s="16" t="n"/>
      <c r="I45" s="16" t="n"/>
    </row>
    <row r="46">
      <c r="A46" s="19" t="n"/>
      <c r="B46" s="20" t="n"/>
      <c r="C46" s="20" t="n"/>
      <c r="D46" s="20" t="n"/>
      <c r="E46" s="48" t="n"/>
      <c r="F46" s="48" t="n"/>
      <c r="G46" s="20" t="n"/>
      <c r="H46" s="19" t="n"/>
      <c r="I46" s="19" t="n"/>
    </row>
    <row r="47">
      <c r="A47" s="16" t="n"/>
      <c r="B47" s="17" t="n"/>
      <c r="C47" s="17" t="n"/>
      <c r="D47" s="17" t="n"/>
      <c r="E47" s="47" t="n"/>
      <c r="F47" s="47" t="n"/>
      <c r="G47" s="17" t="n"/>
      <c r="H47" s="16" t="n"/>
      <c r="I47" s="16" t="n"/>
    </row>
    <row r="48">
      <c r="A48" s="19" t="n"/>
      <c r="B48" s="20" t="n"/>
      <c r="C48" s="20" t="n"/>
      <c r="D48" s="20" t="n"/>
      <c r="E48" s="48" t="n"/>
      <c r="F48" s="48" t="n"/>
      <c r="G48" s="20" t="n"/>
      <c r="H48" s="19" t="n"/>
      <c r="I48" s="19" t="n"/>
    </row>
    <row r="49">
      <c r="A49" s="16" t="n"/>
      <c r="B49" s="17" t="n"/>
      <c r="C49" s="17" t="n"/>
      <c r="D49" s="17" t="n"/>
      <c r="E49" s="47" t="n"/>
      <c r="F49" s="47" t="n"/>
      <c r="G49" s="17" t="n"/>
      <c r="H49" s="16" t="n"/>
      <c r="I49" s="16" t="n"/>
    </row>
    <row r="50">
      <c r="A50" s="19" t="n"/>
      <c r="B50" s="20" t="n"/>
      <c r="C50" s="20" t="n"/>
      <c r="D50" s="20" t="n"/>
      <c r="E50" s="48" t="n"/>
      <c r="F50" s="48" t="n"/>
      <c r="G50" s="20" t="n"/>
      <c r="H50" s="19" t="n"/>
      <c r="I50" s="19" t="n"/>
    </row>
    <row r="51">
      <c r="A51" s="16" t="n"/>
      <c r="B51" s="17" t="n"/>
      <c r="C51" s="17" t="n"/>
      <c r="D51" s="17" t="n"/>
      <c r="E51" s="47" t="n"/>
      <c r="F51" s="47" t="n"/>
      <c r="G51" s="17" t="n"/>
      <c r="H51" s="16" t="n"/>
      <c r="I51" s="16" t="n"/>
    </row>
    <row r="52">
      <c r="A52" s="19" t="n"/>
      <c r="B52" s="20" t="n"/>
      <c r="C52" s="20" t="n"/>
      <c r="D52" s="20" t="n"/>
      <c r="E52" s="48" t="n"/>
      <c r="F52" s="48" t="n"/>
      <c r="G52" s="20" t="n"/>
      <c r="H52" s="19" t="n"/>
      <c r="I52" s="19" t="n"/>
    </row>
    <row r="53">
      <c r="A53" s="16" t="n"/>
      <c r="B53" s="17" t="n"/>
      <c r="C53" s="17" t="n"/>
      <c r="D53" s="17" t="n"/>
      <c r="E53" s="47" t="n"/>
      <c r="F53" s="47" t="n"/>
      <c r="G53" s="17" t="n"/>
      <c r="H53" s="16" t="n"/>
      <c r="I53" s="16" t="n"/>
    </row>
    <row r="54">
      <c r="A54" s="19" t="n"/>
      <c r="B54" s="20" t="n"/>
      <c r="C54" s="20" t="n"/>
      <c r="D54" s="20" t="n"/>
      <c r="E54" s="48" t="n"/>
      <c r="F54" s="48" t="n"/>
      <c r="G54" s="20" t="n"/>
      <c r="H54" s="19" t="n"/>
      <c r="I54" s="19" t="n"/>
    </row>
  </sheetData>
  <mergeCells count="2">
    <mergeCell ref="A1:I1"/>
    <mergeCell ref="A2:I2"/>
  </mergeCells>
  <conditionalFormatting sqref="G5:G54">
    <cfRule type="cellIs" priority="1" operator="equal" dxfId="0">
      <formula>"Yes"</formula>
    </cfRule>
  </conditionalFormatting>
  <dataValidations count="2">
    <dataValidation sqref="B5:B54" showDropDown="0" showInputMessage="0" showErrorMessage="0" allowBlank="1" type="list">
      <formula1>=MealTypeList</formula1>
    </dataValidation>
    <dataValidation sqref="G5:G5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J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8" max="8"/>
    <col width="9" customWidth="1" min="9" max="9"/>
    <col width="10" customWidth="1" min="10" max="10"/>
  </cols>
  <sheetData>
    <row r="1" ht="46" customHeight="1">
      <c r="A1" s="1" t="inlineStr">
        <is>
          <t xml:space="preserve">  🧹  CLEANING COMMAND CENTER</t>
        </is>
      </c>
    </row>
    <row r="2" ht="22" customHeight="1">
      <c r="A2" s="2" t="inlineStr">
        <is>
          <t xml:space="preserve">  Daily, weekly, monthly, seasonal &amp; deep cleaning — completion auto-calculates.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Task</t>
        </is>
      </c>
      <c r="B4" s="7" t="inlineStr">
        <is>
          <t>Area / Room</t>
        </is>
      </c>
      <c r="C4" s="7" t="inlineStr">
        <is>
          <t>Frequency</t>
        </is>
      </c>
      <c r="D4" s="7" t="inlineStr">
        <is>
          <t>Assigned To</t>
        </is>
      </c>
      <c r="E4" s="7" t="inlineStr">
        <is>
          <t>Status</t>
        </is>
      </c>
      <c r="F4" s="7" t="inlineStr">
        <is>
          <t>Last Done</t>
        </is>
      </c>
      <c r="H4" s="4" t="inlineStr">
        <is>
          <t>COMPLETION</t>
        </is>
      </c>
    </row>
    <row r="5">
      <c r="A5" s="16" t="inlineStr">
        <is>
          <t>Make beds</t>
        </is>
      </c>
      <c r="B5" s="16" t="inlineStr">
        <is>
          <t>Bedrooms</t>
        </is>
      </c>
      <c r="C5" s="17" t="inlineStr">
        <is>
          <t>Daily</t>
        </is>
      </c>
      <c r="D5" s="17" t="inlineStr">
        <is>
          <t>All</t>
        </is>
      </c>
      <c r="E5" s="17" t="inlineStr">
        <is>
          <t>Done</t>
        </is>
      </c>
      <c r="F5" s="18" t="n">
        <v>46203</v>
      </c>
      <c r="H5" s="7" t="inlineStr">
        <is>
          <t>Frequency</t>
        </is>
      </c>
      <c r="I5" s="7" t="inlineStr">
        <is>
          <t>Done</t>
        </is>
      </c>
      <c r="J5" s="7" t="inlineStr">
        <is>
          <t>%</t>
        </is>
      </c>
    </row>
    <row r="6">
      <c r="A6" s="19" t="inlineStr">
        <is>
          <t>Kitchen reset</t>
        </is>
      </c>
      <c r="B6" s="19" t="inlineStr">
        <is>
          <t>Kitchen</t>
        </is>
      </c>
      <c r="C6" s="20" t="inlineStr">
        <is>
          <t>Daily</t>
        </is>
      </c>
      <c r="D6" s="20" t="inlineStr">
        <is>
          <t>Mom</t>
        </is>
      </c>
      <c r="E6" s="20" t="inlineStr">
        <is>
          <t>Done</t>
        </is>
      </c>
      <c r="F6" s="21" t="n">
        <v>46203</v>
      </c>
      <c r="H6" s="27" t="inlineStr">
        <is>
          <t>Daily</t>
        </is>
      </c>
      <c r="I6" s="45">
        <f>COUNTIFS(CleanFreq,H6,CleanStatus,"Done")</f>
        <v/>
      </c>
      <c r="J6" s="35">
        <f>IFERROR(COUNTIFS(CleanFreq,H6,CleanStatus,"Done")/MAX(COUNTIF(CleanFreq,H6),1),0)</f>
        <v/>
      </c>
    </row>
    <row r="7">
      <c r="A7" s="16" t="inlineStr">
        <is>
          <t>Wipe counters</t>
        </is>
      </c>
      <c r="B7" s="16" t="inlineStr">
        <is>
          <t>Kitchen</t>
        </is>
      </c>
      <c r="C7" s="17" t="inlineStr">
        <is>
          <t>Daily</t>
        </is>
      </c>
      <c r="D7" s="17" t="inlineStr">
        <is>
          <t>Dad</t>
        </is>
      </c>
      <c r="E7" s="17" t="inlineStr">
        <is>
          <t>Done</t>
        </is>
      </c>
      <c r="F7" s="18" t="n">
        <v>46203</v>
      </c>
      <c r="H7" s="27" t="inlineStr">
        <is>
          <t>Weekly</t>
        </is>
      </c>
      <c r="I7" s="45">
        <f>COUNTIFS(CleanFreq,H7,CleanStatus,"Done")</f>
        <v/>
      </c>
      <c r="J7" s="35">
        <f>IFERROR(COUNTIFS(CleanFreq,H7,CleanStatus,"Done")/MAX(COUNTIF(CleanFreq,H7),1),0)</f>
        <v/>
      </c>
    </row>
    <row r="8">
      <c r="A8" s="19" t="inlineStr">
        <is>
          <t>Quick tidy living room</t>
        </is>
      </c>
      <c r="B8" s="19" t="inlineStr">
        <is>
          <t>Living Room</t>
        </is>
      </c>
      <c r="C8" s="20" t="inlineStr">
        <is>
          <t>Daily</t>
        </is>
      </c>
      <c r="D8" s="20" t="inlineStr">
        <is>
          <t>Kids</t>
        </is>
      </c>
      <c r="E8" s="20" t="inlineStr">
        <is>
          <t>In Progress</t>
        </is>
      </c>
      <c r="F8" s="21" t="n">
        <v>46202</v>
      </c>
      <c r="H8" s="27" t="inlineStr">
        <is>
          <t>Monthly</t>
        </is>
      </c>
      <c r="I8" s="45">
        <f>COUNTIFS(CleanFreq,H8,CleanStatus,"Done")</f>
        <v/>
      </c>
      <c r="J8" s="35">
        <f>IFERROR(COUNTIFS(CleanFreq,H8,CleanStatus,"Done")/MAX(COUNTIF(CleanFreq,H8),1),0)</f>
        <v/>
      </c>
    </row>
    <row r="9">
      <c r="A9" s="16" t="inlineStr">
        <is>
          <t>Vacuum main floor</t>
        </is>
      </c>
      <c r="B9" s="16" t="inlineStr">
        <is>
          <t>Whole Home</t>
        </is>
      </c>
      <c r="C9" s="17" t="inlineStr">
        <is>
          <t>Weekly</t>
        </is>
      </c>
      <c r="D9" s="17" t="inlineStr">
        <is>
          <t>Dad</t>
        </is>
      </c>
      <c r="E9" s="17" t="inlineStr">
        <is>
          <t>Done</t>
        </is>
      </c>
      <c r="F9" s="18" t="n">
        <v>46200</v>
      </c>
      <c r="H9" s="27" t="inlineStr">
        <is>
          <t>Seasonal</t>
        </is>
      </c>
      <c r="I9" s="45">
        <f>COUNTIFS(CleanFreq,H9,CleanStatus,"Done")</f>
        <v/>
      </c>
      <c r="J9" s="35">
        <f>IFERROR(COUNTIFS(CleanFreq,H9,CleanStatus,"Done")/MAX(COUNTIF(CleanFreq,H9),1),0)</f>
        <v/>
      </c>
    </row>
    <row r="10">
      <c r="A10" s="19" t="inlineStr">
        <is>
          <t>Bathrooms deep wipe</t>
        </is>
      </c>
      <c r="B10" s="19" t="inlineStr">
        <is>
          <t>Bathrooms</t>
        </is>
      </c>
      <c r="C10" s="20" t="inlineStr">
        <is>
          <t>Weekly</t>
        </is>
      </c>
      <c r="D10" s="20" t="inlineStr">
        <is>
          <t>Mom</t>
        </is>
      </c>
      <c r="E10" s="20" t="inlineStr">
        <is>
          <t>Not Started</t>
        </is>
      </c>
      <c r="F10" s="21" t="n">
        <v>46195</v>
      </c>
      <c r="H10" s="27" t="inlineStr">
        <is>
          <t>Deep Clean</t>
        </is>
      </c>
      <c r="I10" s="45">
        <f>COUNTIFS(CleanFreq,H10,CleanStatus,"Done")</f>
        <v/>
      </c>
      <c r="J10" s="35">
        <f>IFERROR(COUNTIFS(CleanFreq,H10,CleanStatus,"Done")/MAX(COUNTIF(CleanFreq,H10),1),0)</f>
        <v/>
      </c>
    </row>
    <row r="11">
      <c r="A11" s="16" t="inlineStr">
        <is>
          <t>Mop floors</t>
        </is>
      </c>
      <c r="B11" s="16" t="inlineStr">
        <is>
          <t>Kitchen</t>
        </is>
      </c>
      <c r="C11" s="17" t="inlineStr">
        <is>
          <t>Weekly</t>
        </is>
      </c>
      <c r="D11" s="17" t="inlineStr">
        <is>
          <t>Dad</t>
        </is>
      </c>
      <c r="E11" s="17" t="inlineStr">
        <is>
          <t>Not Started</t>
        </is>
      </c>
      <c r="F11" s="18" t="n">
        <v>46194</v>
      </c>
    </row>
    <row r="12">
      <c r="A12" s="19" t="inlineStr">
        <is>
          <t>Change bed sheets</t>
        </is>
      </c>
      <c r="B12" s="19" t="inlineStr">
        <is>
          <t>Bedrooms</t>
        </is>
      </c>
      <c r="C12" s="20" t="inlineStr">
        <is>
          <t>Weekly</t>
        </is>
      </c>
      <c r="D12" s="20" t="inlineStr">
        <is>
          <t>All</t>
        </is>
      </c>
      <c r="E12" s="20" t="inlineStr">
        <is>
          <t>Done</t>
        </is>
      </c>
      <c r="F12" s="21" t="n">
        <v>46201</v>
      </c>
    </row>
    <row r="13">
      <c r="A13" s="16" t="inlineStr">
        <is>
          <t>Dust surfaces</t>
        </is>
      </c>
      <c r="B13" s="16" t="inlineStr">
        <is>
          <t>Whole Home</t>
        </is>
      </c>
      <c r="C13" s="17" t="inlineStr">
        <is>
          <t>Weekly</t>
        </is>
      </c>
      <c r="D13" s="17" t="inlineStr">
        <is>
          <t>Emma</t>
        </is>
      </c>
      <c r="E13" s="17" t="inlineStr">
        <is>
          <t>Not Started</t>
        </is>
      </c>
      <c r="F13" s="18" t="n">
        <v>46193</v>
      </c>
    </row>
    <row r="14">
      <c r="A14" s="19" t="inlineStr">
        <is>
          <t>Clean fridge</t>
        </is>
      </c>
      <c r="B14" s="19" t="inlineStr">
        <is>
          <t>Kitchen</t>
        </is>
      </c>
      <c r="C14" s="20" t="inlineStr">
        <is>
          <t>Monthly</t>
        </is>
      </c>
      <c r="D14" s="20" t="inlineStr">
        <is>
          <t>Mom</t>
        </is>
      </c>
      <c r="E14" s="20" t="inlineStr">
        <is>
          <t>Not Started</t>
        </is>
      </c>
      <c r="F14" s="21" t="n">
        <v>46183</v>
      </c>
    </row>
    <row r="15">
      <c r="A15" s="16" t="inlineStr">
        <is>
          <t>Wipe baseboards</t>
        </is>
      </c>
      <c r="B15" s="16" t="inlineStr">
        <is>
          <t>Whole Home</t>
        </is>
      </c>
      <c r="C15" s="17" t="inlineStr">
        <is>
          <t>Monthly</t>
        </is>
      </c>
      <c r="D15" s="17" t="inlineStr">
        <is>
          <t>Dad</t>
        </is>
      </c>
      <c r="E15" s="17" t="inlineStr">
        <is>
          <t>Not Started</t>
        </is>
      </c>
      <c r="F15" s="18" t="n">
        <v>46178</v>
      </c>
    </row>
    <row r="16">
      <c r="A16" s="19" t="inlineStr">
        <is>
          <t>Wash windows</t>
        </is>
      </c>
      <c r="B16" s="19" t="inlineStr">
        <is>
          <t>Whole Home</t>
        </is>
      </c>
      <c r="C16" s="20" t="inlineStr">
        <is>
          <t>Seasonal</t>
        </is>
      </c>
      <c r="D16" s="20" t="inlineStr">
        <is>
          <t>Dad</t>
        </is>
      </c>
      <c r="E16" s="20" t="inlineStr">
        <is>
          <t>Not Started</t>
        </is>
      </c>
      <c r="F16" s="21" t="n">
        <v>46123</v>
      </c>
    </row>
    <row r="17">
      <c r="A17" s="16" t="inlineStr">
        <is>
          <t>Clean gutters</t>
        </is>
      </c>
      <c r="B17" s="16" t="inlineStr">
        <is>
          <t>Exterior</t>
        </is>
      </c>
      <c r="C17" s="17" t="inlineStr">
        <is>
          <t>Seasonal</t>
        </is>
      </c>
      <c r="D17" s="17" t="inlineStr">
        <is>
          <t>Dad</t>
        </is>
      </c>
      <c r="E17" s="17" t="inlineStr">
        <is>
          <t>Not Started</t>
        </is>
      </c>
      <c r="F17" s="18" t="n">
        <v>46108</v>
      </c>
    </row>
    <row r="18">
      <c r="A18" s="19" t="inlineStr">
        <is>
          <t>Carpet shampoo</t>
        </is>
      </c>
      <c r="B18" s="19" t="inlineStr">
        <is>
          <t>Whole Home</t>
        </is>
      </c>
      <c r="C18" s="20" t="inlineStr">
        <is>
          <t>Deep Clean</t>
        </is>
      </c>
      <c r="D18" s="20" t="inlineStr">
        <is>
          <t>Hired</t>
        </is>
      </c>
      <c r="E18" s="20" t="inlineStr">
        <is>
          <t>Not Started</t>
        </is>
      </c>
      <c r="F18" s="21" t="n">
        <v>46023</v>
      </c>
    </row>
    <row r="19">
      <c r="A19" s="16" t="inlineStr">
        <is>
          <t>Garage clear-out</t>
        </is>
      </c>
      <c r="B19" s="16" t="inlineStr">
        <is>
          <t>Garage</t>
        </is>
      </c>
      <c r="C19" s="17" t="inlineStr">
        <is>
          <t>Deep Clean</t>
        </is>
      </c>
      <c r="D19" s="17" t="inlineStr">
        <is>
          <t>All</t>
        </is>
      </c>
      <c r="E19" s="17" t="inlineStr">
        <is>
          <t>Not Started</t>
        </is>
      </c>
      <c r="F19" s="18" t="n">
        <v>46043</v>
      </c>
    </row>
    <row r="20">
      <c r="A20" s="19" t="n"/>
      <c r="B20" s="19" t="n"/>
      <c r="C20" s="20" t="n"/>
      <c r="D20" s="20" t="n"/>
      <c r="E20" s="20" t="n"/>
      <c r="F20" s="21" t="n"/>
    </row>
    <row r="21">
      <c r="A21" s="16" t="n"/>
      <c r="B21" s="16" t="n"/>
      <c r="C21" s="17" t="n"/>
      <c r="D21" s="17" t="n"/>
      <c r="E21" s="17" t="n"/>
      <c r="F21" s="18" t="n"/>
    </row>
    <row r="22">
      <c r="A22" s="19" t="n"/>
      <c r="B22" s="19" t="n"/>
      <c r="C22" s="20" t="n"/>
      <c r="D22" s="20" t="n"/>
      <c r="E22" s="20" t="n"/>
      <c r="F22" s="21" t="n"/>
    </row>
    <row r="23">
      <c r="A23" s="16" t="n"/>
      <c r="B23" s="16" t="n"/>
      <c r="C23" s="17" t="n"/>
      <c r="D23" s="17" t="n"/>
      <c r="E23" s="17" t="n"/>
      <c r="F23" s="18" t="n"/>
    </row>
    <row r="24">
      <c r="A24" s="19" t="n"/>
      <c r="B24" s="19" t="n"/>
      <c r="C24" s="20" t="n"/>
      <c r="D24" s="20" t="n"/>
      <c r="E24" s="20" t="n"/>
      <c r="F24" s="21" t="n"/>
    </row>
    <row r="25">
      <c r="A25" s="16" t="n"/>
      <c r="B25" s="16" t="n"/>
      <c r="C25" s="17" t="n"/>
      <c r="D25" s="17" t="n"/>
      <c r="E25" s="17" t="n"/>
      <c r="F25" s="18" t="n"/>
    </row>
    <row r="26">
      <c r="A26" s="19" t="n"/>
      <c r="B26" s="19" t="n"/>
      <c r="C26" s="20" t="n"/>
      <c r="D26" s="20" t="n"/>
      <c r="E26" s="20" t="n"/>
      <c r="F26" s="21" t="n"/>
    </row>
    <row r="27">
      <c r="A27" s="16" t="n"/>
      <c r="B27" s="16" t="n"/>
      <c r="C27" s="17" t="n"/>
      <c r="D27" s="17" t="n"/>
      <c r="E27" s="17" t="n"/>
      <c r="F27" s="18" t="n"/>
    </row>
    <row r="28">
      <c r="A28" s="19" t="n"/>
      <c r="B28" s="19" t="n"/>
      <c r="C28" s="20" t="n"/>
      <c r="D28" s="20" t="n"/>
      <c r="E28" s="20" t="n"/>
      <c r="F28" s="21" t="n"/>
    </row>
    <row r="29">
      <c r="A29" s="16" t="n"/>
      <c r="B29" s="16" t="n"/>
      <c r="C29" s="17" t="n"/>
      <c r="D29" s="17" t="n"/>
      <c r="E29" s="17" t="n"/>
      <c r="F29" s="18" t="n"/>
    </row>
    <row r="30">
      <c r="A30" s="19" t="n"/>
      <c r="B30" s="19" t="n"/>
      <c r="C30" s="20" t="n"/>
      <c r="D30" s="20" t="n"/>
      <c r="E30" s="20" t="n"/>
      <c r="F30" s="21" t="n"/>
    </row>
    <row r="31">
      <c r="A31" s="16" t="n"/>
      <c r="B31" s="16" t="n"/>
      <c r="C31" s="17" t="n"/>
      <c r="D31" s="17" t="n"/>
      <c r="E31" s="17" t="n"/>
      <c r="F31" s="18" t="n"/>
    </row>
    <row r="32">
      <c r="A32" s="19" t="n"/>
      <c r="B32" s="19" t="n"/>
      <c r="C32" s="20" t="n"/>
      <c r="D32" s="20" t="n"/>
      <c r="E32" s="20" t="n"/>
      <c r="F32" s="21" t="n"/>
    </row>
    <row r="33">
      <c r="A33" s="16" t="n"/>
      <c r="B33" s="16" t="n"/>
      <c r="C33" s="17" t="n"/>
      <c r="D33" s="17" t="n"/>
      <c r="E33" s="17" t="n"/>
      <c r="F33" s="18" t="n"/>
    </row>
    <row r="34">
      <c r="A34" s="19" t="n"/>
      <c r="B34" s="19" t="n"/>
      <c r="C34" s="20" t="n"/>
      <c r="D34" s="20" t="n"/>
      <c r="E34" s="20" t="n"/>
      <c r="F34" s="21" t="n"/>
    </row>
    <row r="35">
      <c r="A35" s="16" t="n"/>
      <c r="B35" s="16" t="n"/>
      <c r="C35" s="17" t="n"/>
      <c r="D35" s="17" t="n"/>
      <c r="E35" s="17" t="n"/>
      <c r="F35" s="18" t="n"/>
    </row>
    <row r="36">
      <c r="A36" s="19" t="n"/>
      <c r="B36" s="19" t="n"/>
      <c r="C36" s="20" t="n"/>
      <c r="D36" s="20" t="n"/>
      <c r="E36" s="20" t="n"/>
      <c r="F36" s="21" t="n"/>
    </row>
    <row r="37">
      <c r="A37" s="16" t="n"/>
      <c r="B37" s="16" t="n"/>
      <c r="C37" s="17" t="n"/>
      <c r="D37" s="17" t="n"/>
      <c r="E37" s="17" t="n"/>
      <c r="F37" s="18" t="n"/>
    </row>
    <row r="38">
      <c r="A38" s="19" t="n"/>
      <c r="B38" s="19" t="n"/>
      <c r="C38" s="20" t="n"/>
      <c r="D38" s="20" t="n"/>
      <c r="E38" s="20" t="n"/>
      <c r="F38" s="21" t="n"/>
    </row>
    <row r="39">
      <c r="A39" s="16" t="n"/>
      <c r="B39" s="16" t="n"/>
      <c r="C39" s="17" t="n"/>
      <c r="D39" s="17" t="n"/>
      <c r="E39" s="17" t="n"/>
      <c r="F39" s="18" t="n"/>
    </row>
    <row r="40">
      <c r="A40" s="19" t="n"/>
      <c r="B40" s="19" t="n"/>
      <c r="C40" s="20" t="n"/>
      <c r="D40" s="20" t="n"/>
      <c r="E40" s="20" t="n"/>
      <c r="F40" s="21" t="n"/>
    </row>
    <row r="41">
      <c r="A41" s="16" t="n"/>
      <c r="B41" s="16" t="n"/>
      <c r="C41" s="17" t="n"/>
      <c r="D41" s="17" t="n"/>
      <c r="E41" s="17" t="n"/>
      <c r="F41" s="18" t="n"/>
    </row>
    <row r="42">
      <c r="A42" s="19" t="n"/>
      <c r="B42" s="19" t="n"/>
      <c r="C42" s="20" t="n"/>
      <c r="D42" s="20" t="n"/>
      <c r="E42" s="20" t="n"/>
      <c r="F42" s="21" t="n"/>
    </row>
    <row r="43">
      <c r="A43" s="16" t="n"/>
      <c r="B43" s="16" t="n"/>
      <c r="C43" s="17" t="n"/>
      <c r="D43" s="17" t="n"/>
      <c r="E43" s="17" t="n"/>
      <c r="F43" s="18" t="n"/>
    </row>
    <row r="44">
      <c r="A44" s="19" t="n"/>
      <c r="B44" s="19" t="n"/>
      <c r="C44" s="20" t="n"/>
      <c r="D44" s="20" t="n"/>
      <c r="E44" s="20" t="n"/>
      <c r="F44" s="21" t="n"/>
    </row>
    <row r="45">
      <c r="A45" s="16" t="n"/>
      <c r="B45" s="16" t="n"/>
      <c r="C45" s="17" t="n"/>
      <c r="D45" s="17" t="n"/>
      <c r="E45" s="17" t="n"/>
      <c r="F45" s="18" t="n"/>
    </row>
    <row r="46">
      <c r="A46" s="19" t="n"/>
      <c r="B46" s="19" t="n"/>
      <c r="C46" s="20" t="n"/>
      <c r="D46" s="20" t="n"/>
      <c r="E46" s="20" t="n"/>
      <c r="F46" s="21" t="n"/>
    </row>
    <row r="47">
      <c r="A47" s="16" t="n"/>
      <c r="B47" s="16" t="n"/>
      <c r="C47" s="17" t="n"/>
      <c r="D47" s="17" t="n"/>
      <c r="E47" s="17" t="n"/>
      <c r="F47" s="18" t="n"/>
    </row>
    <row r="48">
      <c r="A48" s="19" t="n"/>
      <c r="B48" s="19" t="n"/>
      <c r="C48" s="20" t="n"/>
      <c r="D48" s="20" t="n"/>
      <c r="E48" s="20" t="n"/>
      <c r="F48" s="21" t="n"/>
    </row>
    <row r="49">
      <c r="A49" s="16" t="n"/>
      <c r="B49" s="16" t="n"/>
      <c r="C49" s="17" t="n"/>
      <c r="D49" s="17" t="n"/>
      <c r="E49" s="17" t="n"/>
      <c r="F49" s="18" t="n"/>
    </row>
    <row r="50">
      <c r="A50" s="19" t="n"/>
      <c r="B50" s="19" t="n"/>
      <c r="C50" s="20" t="n"/>
      <c r="D50" s="20" t="n"/>
      <c r="E50" s="20" t="n"/>
      <c r="F50" s="21" t="n"/>
    </row>
    <row r="51">
      <c r="A51" s="16" t="n"/>
      <c r="B51" s="16" t="n"/>
      <c r="C51" s="17" t="n"/>
      <c r="D51" s="17" t="n"/>
      <c r="E51" s="17" t="n"/>
      <c r="F51" s="18" t="n"/>
    </row>
    <row r="52">
      <c r="A52" s="19" t="n"/>
      <c r="B52" s="19" t="n"/>
      <c r="C52" s="20" t="n"/>
      <c r="D52" s="20" t="n"/>
      <c r="E52" s="20" t="n"/>
      <c r="F52" s="21" t="n"/>
    </row>
    <row r="53">
      <c r="A53" s="16" t="n"/>
      <c r="B53" s="16" t="n"/>
      <c r="C53" s="17" t="n"/>
      <c r="D53" s="17" t="n"/>
      <c r="E53" s="17" t="n"/>
      <c r="F53" s="18" t="n"/>
    </row>
    <row r="54">
      <c r="A54" s="19" t="n"/>
      <c r="B54" s="19" t="n"/>
      <c r="C54" s="20" t="n"/>
      <c r="D54" s="20" t="n"/>
      <c r="E54" s="20" t="n"/>
      <c r="F54" s="21" t="n"/>
    </row>
  </sheetData>
  <mergeCells count="2">
    <mergeCell ref="A2:F2"/>
    <mergeCell ref="A1:F1"/>
  </mergeCells>
  <conditionalFormatting sqref="E5:E54">
    <cfRule type="cellIs" priority="1" operator="equal" dxfId="0">
      <formula>"Done"</formula>
    </cfRule>
  </conditionalFormatting>
  <dataValidations count="3">
    <dataValidation sqref="C5:C54" showDropDown="0" showInputMessage="0" showErrorMessage="0" allowBlank="1" type="list">
      <formula1>=CleanFreqList</formula1>
    </dataValidation>
    <dataValidation sqref="D5:D54" showDropDown="0" showInputMessage="0" showErrorMessage="0" allowBlank="1" type="list">
      <formula1>=FamilyList</formula1>
    </dataValidation>
    <dataValidation sqref="E5:E5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8" max="8"/>
    <col width="10" customWidth="1" min="9" max="9"/>
  </cols>
  <sheetData>
    <row r="1" ht="46" customHeight="1">
      <c r="A1" s="1" t="inlineStr">
        <is>
          <t xml:space="preserve">  🧽  CHORE MANAGER</t>
        </is>
      </c>
    </row>
    <row r="2" ht="22" customHeight="1">
      <c r="A2" s="2" t="inlineStr">
        <is>
          <t xml:space="preserve">  Assign chores by family member — completion rolls into your Family Routine Score.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Chore</t>
        </is>
      </c>
      <c r="B4" s="7" t="inlineStr">
        <is>
          <t>Assigned To</t>
        </is>
      </c>
      <c r="C4" s="7" t="inlineStr">
        <is>
          <t>Frequency</t>
        </is>
      </c>
      <c r="D4" s="7" t="inlineStr">
        <is>
          <t>Status</t>
        </is>
      </c>
      <c r="E4" s="7" t="inlineStr">
        <is>
          <t>Reward</t>
        </is>
      </c>
      <c r="F4" s="7" t="inlineStr">
        <is>
          <t>Completion %</t>
        </is>
      </c>
      <c r="H4" s="4" t="inlineStr">
        <is>
          <t>BY MEMBER</t>
        </is>
      </c>
    </row>
    <row r="5">
      <c r="A5" s="16" t="inlineStr">
        <is>
          <t>Set / clear table</t>
        </is>
      </c>
      <c r="B5" s="17" t="inlineStr">
        <is>
          <t>Emma</t>
        </is>
      </c>
      <c r="C5" s="17" t="inlineStr">
        <is>
          <t>Daily</t>
        </is>
      </c>
      <c r="D5" s="17" t="inlineStr">
        <is>
          <t>In Progress</t>
        </is>
      </c>
      <c r="E5" s="16" t="inlineStr">
        <is>
          <t>Screen time</t>
        </is>
      </c>
      <c r="F5" s="52" t="n">
        <v>0.7</v>
      </c>
      <c r="H5" s="7" t="inlineStr">
        <is>
          <t>Member</t>
        </is>
      </c>
      <c r="I5" s="7" t="inlineStr">
        <is>
          <t>Avg %</t>
        </is>
      </c>
    </row>
    <row r="6">
      <c r="A6" s="19" t="inlineStr">
        <is>
          <t>Feed the dog</t>
        </is>
      </c>
      <c r="B6" s="20" t="inlineStr">
        <is>
          <t>Liam</t>
        </is>
      </c>
      <c r="C6" s="20" t="inlineStr">
        <is>
          <t>Daily</t>
        </is>
      </c>
      <c r="D6" s="20" t="inlineStr">
        <is>
          <t>Done</t>
        </is>
      </c>
      <c r="E6" s="19" t="inlineStr">
        <is>
          <t>Sticker</t>
        </is>
      </c>
      <c r="F6" s="39" t="n">
        <v>1</v>
      </c>
      <c r="H6" s="27" t="inlineStr">
        <is>
          <t>Mom</t>
        </is>
      </c>
      <c r="I6" s="35">
        <f>IFERROR(AVERAGEIFS(ChorePct,ChoreAssigned,H6),0)</f>
        <v/>
      </c>
    </row>
    <row r="7">
      <c r="A7" s="16" t="inlineStr">
        <is>
          <t>Take out trash</t>
        </is>
      </c>
      <c r="B7" s="17" t="inlineStr">
        <is>
          <t>Dad</t>
        </is>
      </c>
      <c r="C7" s="17" t="inlineStr">
        <is>
          <t>Weekly</t>
        </is>
      </c>
      <c r="D7" s="17" t="inlineStr">
        <is>
          <t>Done</t>
        </is>
      </c>
      <c r="E7" s="16" t="inlineStr">
        <is>
          <t>—</t>
        </is>
      </c>
      <c r="F7" s="52" t="n">
        <v>1</v>
      </c>
      <c r="H7" s="27" t="inlineStr">
        <is>
          <t>Dad</t>
        </is>
      </c>
      <c r="I7" s="35">
        <f>IFERROR(AVERAGEIFS(ChorePct,ChoreAssigned,H7),0)</f>
        <v/>
      </c>
    </row>
    <row r="8">
      <c r="A8" s="19" t="inlineStr">
        <is>
          <t>Tidy bedroom</t>
        </is>
      </c>
      <c r="B8" s="20" t="inlineStr">
        <is>
          <t>Emma</t>
        </is>
      </c>
      <c r="C8" s="20" t="inlineStr">
        <is>
          <t>Daily</t>
        </is>
      </c>
      <c r="D8" s="20" t="inlineStr">
        <is>
          <t>Done</t>
        </is>
      </c>
      <c r="E8" s="19" t="inlineStr">
        <is>
          <t>Allowance</t>
        </is>
      </c>
      <c r="F8" s="39" t="n">
        <v>0.85</v>
      </c>
      <c r="H8" s="27" t="inlineStr">
        <is>
          <t>Emma</t>
        </is>
      </c>
      <c r="I8" s="35">
        <f>IFERROR(AVERAGEIFS(ChorePct,ChoreAssigned,H8),0)</f>
        <v/>
      </c>
    </row>
    <row r="9">
      <c r="A9" s="16" t="inlineStr">
        <is>
          <t>Load dishwasher</t>
        </is>
      </c>
      <c r="B9" s="17" t="inlineStr">
        <is>
          <t>Mom</t>
        </is>
      </c>
      <c r="C9" s="17" t="inlineStr">
        <is>
          <t>Daily</t>
        </is>
      </c>
      <c r="D9" s="17" t="inlineStr">
        <is>
          <t>Done</t>
        </is>
      </c>
      <c r="E9" s="16" t="inlineStr">
        <is>
          <t>—</t>
        </is>
      </c>
      <c r="F9" s="52" t="n">
        <v>1</v>
      </c>
      <c r="H9" s="27" t="inlineStr">
        <is>
          <t>Liam</t>
        </is>
      </c>
      <c r="I9" s="35">
        <f>IFERROR(AVERAGEIFS(ChorePct,ChoreAssigned,H9),0)</f>
        <v/>
      </c>
    </row>
    <row r="10">
      <c r="A10" s="19" t="inlineStr">
        <is>
          <t>Water plants</t>
        </is>
      </c>
      <c r="B10" s="20" t="inlineStr">
        <is>
          <t>Liam</t>
        </is>
      </c>
      <c r="C10" s="20" t="inlineStr">
        <is>
          <t>Weekly</t>
        </is>
      </c>
      <c r="D10" s="20" t="inlineStr">
        <is>
          <t>Not Started</t>
        </is>
      </c>
      <c r="E10" s="19" t="inlineStr">
        <is>
          <t>Sticker</t>
        </is>
      </c>
      <c r="F10" s="39" t="n">
        <v>0.4</v>
      </c>
      <c r="H10" s="27" t="inlineStr">
        <is>
          <t>Grandma</t>
        </is>
      </c>
      <c r="I10" s="35">
        <f>IFERROR(AVERAGEIFS(ChorePct,ChoreAssigned,H10),0)</f>
        <v/>
      </c>
    </row>
    <row r="11">
      <c r="A11" s="16" t="inlineStr">
        <is>
          <t>Fold laundry</t>
        </is>
      </c>
      <c r="B11" s="17" t="inlineStr">
        <is>
          <t>Emma</t>
        </is>
      </c>
      <c r="C11" s="17" t="inlineStr">
        <is>
          <t>Weekly</t>
        </is>
      </c>
      <c r="D11" s="17" t="inlineStr">
        <is>
          <t>In Progress</t>
        </is>
      </c>
      <c r="E11" s="16" t="inlineStr">
        <is>
          <t>Allowance</t>
        </is>
      </c>
      <c r="F11" s="52" t="n">
        <v>0.6</v>
      </c>
    </row>
    <row r="12">
      <c r="A12" s="19" t="inlineStr">
        <is>
          <t>Wipe bathroom sink</t>
        </is>
      </c>
      <c r="B12" s="20" t="inlineStr">
        <is>
          <t>Liam</t>
        </is>
      </c>
      <c r="C12" s="20" t="inlineStr">
        <is>
          <t>Weekly</t>
        </is>
      </c>
      <c r="D12" s="20" t="inlineStr">
        <is>
          <t>Not Started</t>
        </is>
      </c>
      <c r="E12" s="19" t="inlineStr">
        <is>
          <t>Screen time</t>
        </is>
      </c>
      <c r="F12" s="39" t="n">
        <v>0.3</v>
      </c>
    </row>
    <row r="13">
      <c r="A13" s="16" t="inlineStr">
        <is>
          <t>Vacuum room</t>
        </is>
      </c>
      <c r="B13" s="17" t="inlineStr">
        <is>
          <t>Emma</t>
        </is>
      </c>
      <c r="C13" s="17" t="inlineStr">
        <is>
          <t>Weekly</t>
        </is>
      </c>
      <c r="D13" s="17" t="inlineStr">
        <is>
          <t>Done</t>
        </is>
      </c>
      <c r="E13" s="16" t="inlineStr">
        <is>
          <t>Allowance</t>
        </is>
      </c>
      <c r="F13" s="52" t="n">
        <v>0.9</v>
      </c>
    </row>
    <row r="14">
      <c r="A14" s="19" t="inlineStr">
        <is>
          <t>Help with groceries</t>
        </is>
      </c>
      <c r="B14" s="20" t="inlineStr">
        <is>
          <t>Dad</t>
        </is>
      </c>
      <c r="C14" s="20" t="inlineStr">
        <is>
          <t>Weekly</t>
        </is>
      </c>
      <c r="D14" s="20" t="inlineStr">
        <is>
          <t>Done</t>
        </is>
      </c>
      <c r="E14" s="19" t="inlineStr">
        <is>
          <t>—</t>
        </is>
      </c>
      <c r="F14" s="39" t="n">
        <v>1</v>
      </c>
    </row>
    <row r="15">
      <c r="A15" s="16" t="n"/>
      <c r="B15" s="17" t="n"/>
      <c r="C15" s="17" t="n"/>
      <c r="D15" s="17" t="n"/>
      <c r="E15" s="16" t="n"/>
      <c r="F15" s="52" t="n"/>
    </row>
    <row r="16">
      <c r="A16" s="19" t="n"/>
      <c r="B16" s="20" t="n"/>
      <c r="C16" s="20" t="n"/>
      <c r="D16" s="20" t="n"/>
      <c r="E16" s="19" t="n"/>
      <c r="F16" s="39" t="n"/>
    </row>
    <row r="17">
      <c r="A17" s="16" t="n"/>
      <c r="B17" s="17" t="n"/>
      <c r="C17" s="17" t="n"/>
      <c r="D17" s="17" t="n"/>
      <c r="E17" s="16" t="n"/>
      <c r="F17" s="52" t="n"/>
    </row>
    <row r="18">
      <c r="A18" s="19" t="n"/>
      <c r="B18" s="20" t="n"/>
      <c r="C18" s="20" t="n"/>
      <c r="D18" s="20" t="n"/>
      <c r="E18" s="19" t="n"/>
      <c r="F18" s="39" t="n"/>
    </row>
    <row r="19">
      <c r="A19" s="16" t="n"/>
      <c r="B19" s="17" t="n"/>
      <c r="C19" s="17" t="n"/>
      <c r="D19" s="17" t="n"/>
      <c r="E19" s="16" t="n"/>
      <c r="F19" s="52" t="n"/>
    </row>
    <row r="20">
      <c r="A20" s="19" t="n"/>
      <c r="B20" s="20" t="n"/>
      <c r="C20" s="20" t="n"/>
      <c r="D20" s="20" t="n"/>
      <c r="E20" s="19" t="n"/>
      <c r="F20" s="39" t="n"/>
    </row>
    <row r="21">
      <c r="A21" s="16" t="n"/>
      <c r="B21" s="17" t="n"/>
      <c r="C21" s="17" t="n"/>
      <c r="D21" s="17" t="n"/>
      <c r="E21" s="16" t="n"/>
      <c r="F21" s="52" t="n"/>
    </row>
    <row r="22">
      <c r="A22" s="19" t="n"/>
      <c r="B22" s="20" t="n"/>
      <c r="C22" s="20" t="n"/>
      <c r="D22" s="20" t="n"/>
      <c r="E22" s="19" t="n"/>
      <c r="F22" s="39" t="n"/>
    </row>
    <row r="23">
      <c r="A23" s="16" t="n"/>
      <c r="B23" s="17" t="n"/>
      <c r="C23" s="17" t="n"/>
      <c r="D23" s="17" t="n"/>
      <c r="E23" s="16" t="n"/>
      <c r="F23" s="52" t="n"/>
    </row>
    <row r="24">
      <c r="A24" s="19" t="n"/>
      <c r="B24" s="20" t="n"/>
      <c r="C24" s="20" t="n"/>
      <c r="D24" s="20" t="n"/>
      <c r="E24" s="19" t="n"/>
      <c r="F24" s="39" t="n"/>
    </row>
    <row r="25">
      <c r="A25" s="16" t="n"/>
      <c r="B25" s="17" t="n"/>
      <c r="C25" s="17" t="n"/>
      <c r="D25" s="17" t="n"/>
      <c r="E25" s="16" t="n"/>
      <c r="F25" s="52" t="n"/>
    </row>
    <row r="26">
      <c r="A26" s="19" t="n"/>
      <c r="B26" s="20" t="n"/>
      <c r="C26" s="20" t="n"/>
      <c r="D26" s="20" t="n"/>
      <c r="E26" s="19" t="n"/>
      <c r="F26" s="39" t="n"/>
    </row>
    <row r="27">
      <c r="A27" s="16" t="n"/>
      <c r="B27" s="17" t="n"/>
      <c r="C27" s="17" t="n"/>
      <c r="D27" s="17" t="n"/>
      <c r="E27" s="16" t="n"/>
      <c r="F27" s="52" t="n"/>
    </row>
    <row r="28">
      <c r="A28" s="19" t="n"/>
      <c r="B28" s="20" t="n"/>
      <c r="C28" s="20" t="n"/>
      <c r="D28" s="20" t="n"/>
      <c r="E28" s="19" t="n"/>
      <c r="F28" s="39" t="n"/>
    </row>
    <row r="29">
      <c r="A29" s="16" t="n"/>
      <c r="B29" s="17" t="n"/>
      <c r="C29" s="17" t="n"/>
      <c r="D29" s="17" t="n"/>
      <c r="E29" s="16" t="n"/>
      <c r="F29" s="52" t="n"/>
    </row>
    <row r="30">
      <c r="A30" s="19" t="n"/>
      <c r="B30" s="20" t="n"/>
      <c r="C30" s="20" t="n"/>
      <c r="D30" s="20" t="n"/>
      <c r="E30" s="19" t="n"/>
      <c r="F30" s="39" t="n"/>
    </row>
    <row r="31">
      <c r="A31" s="16" t="n"/>
      <c r="B31" s="17" t="n"/>
      <c r="C31" s="17" t="n"/>
      <c r="D31" s="17" t="n"/>
      <c r="E31" s="16" t="n"/>
      <c r="F31" s="52" t="n"/>
    </row>
    <row r="32">
      <c r="A32" s="19" t="n"/>
      <c r="B32" s="20" t="n"/>
      <c r="C32" s="20" t="n"/>
      <c r="D32" s="20" t="n"/>
      <c r="E32" s="19" t="n"/>
      <c r="F32" s="39" t="n"/>
    </row>
    <row r="33">
      <c r="A33" s="16" t="n"/>
      <c r="B33" s="17" t="n"/>
      <c r="C33" s="17" t="n"/>
      <c r="D33" s="17" t="n"/>
      <c r="E33" s="16" t="n"/>
      <c r="F33" s="52" t="n"/>
    </row>
    <row r="34">
      <c r="A34" s="19" t="n"/>
      <c r="B34" s="20" t="n"/>
      <c r="C34" s="20" t="n"/>
      <c r="D34" s="20" t="n"/>
      <c r="E34" s="19" t="n"/>
      <c r="F34" s="39" t="n"/>
    </row>
    <row r="35">
      <c r="A35" s="16" t="n"/>
      <c r="B35" s="17" t="n"/>
      <c r="C35" s="17" t="n"/>
      <c r="D35" s="17" t="n"/>
      <c r="E35" s="16" t="n"/>
      <c r="F35" s="52" t="n"/>
    </row>
    <row r="36">
      <c r="A36" s="19" t="n"/>
      <c r="B36" s="20" t="n"/>
      <c r="C36" s="20" t="n"/>
      <c r="D36" s="20" t="n"/>
      <c r="E36" s="19" t="n"/>
      <c r="F36" s="39" t="n"/>
    </row>
    <row r="37">
      <c r="A37" s="16" t="n"/>
      <c r="B37" s="17" t="n"/>
      <c r="C37" s="17" t="n"/>
      <c r="D37" s="17" t="n"/>
      <c r="E37" s="16" t="n"/>
      <c r="F37" s="52" t="n"/>
    </row>
    <row r="38">
      <c r="A38" s="19" t="n"/>
      <c r="B38" s="20" t="n"/>
      <c r="C38" s="20" t="n"/>
      <c r="D38" s="20" t="n"/>
      <c r="E38" s="19" t="n"/>
      <c r="F38" s="39" t="n"/>
    </row>
    <row r="39">
      <c r="A39" s="16" t="n"/>
      <c r="B39" s="17" t="n"/>
      <c r="C39" s="17" t="n"/>
      <c r="D39" s="17" t="n"/>
      <c r="E39" s="16" t="n"/>
      <c r="F39" s="52" t="n"/>
    </row>
    <row r="40">
      <c r="A40" s="19" t="n"/>
      <c r="B40" s="20" t="n"/>
      <c r="C40" s="20" t="n"/>
      <c r="D40" s="20" t="n"/>
      <c r="E40" s="19" t="n"/>
      <c r="F40" s="39" t="n"/>
    </row>
    <row r="41">
      <c r="A41" s="16" t="n"/>
      <c r="B41" s="17" t="n"/>
      <c r="C41" s="17" t="n"/>
      <c r="D41" s="17" t="n"/>
      <c r="E41" s="16" t="n"/>
      <c r="F41" s="52" t="n"/>
    </row>
    <row r="42">
      <c r="A42" s="19" t="n"/>
      <c r="B42" s="20" t="n"/>
      <c r="C42" s="20" t="n"/>
      <c r="D42" s="20" t="n"/>
      <c r="E42" s="19" t="n"/>
      <c r="F42" s="39" t="n"/>
    </row>
    <row r="43">
      <c r="A43" s="16" t="n"/>
      <c r="B43" s="17" t="n"/>
      <c r="C43" s="17" t="n"/>
      <c r="D43" s="17" t="n"/>
      <c r="E43" s="16" t="n"/>
      <c r="F43" s="52" t="n"/>
    </row>
    <row r="44">
      <c r="A44" s="19" t="n"/>
      <c r="B44" s="20" t="n"/>
      <c r="C44" s="20" t="n"/>
      <c r="D44" s="20" t="n"/>
      <c r="E44" s="19" t="n"/>
      <c r="F44" s="39" t="n"/>
    </row>
  </sheetData>
  <mergeCells count="2">
    <mergeCell ref="A2:F2"/>
    <mergeCell ref="A1:F1"/>
  </mergeCells>
  <conditionalFormatting sqref="F5:F44">
    <cfRule type="dataBar" priority="1">
      <dataBar showValue="1">
        <cfvo type="num" val="0"/>
        <cfvo type="num" val="1"/>
        <color rgb="0075E6C1"/>
      </dataBar>
    </cfRule>
  </conditionalFormatting>
  <conditionalFormatting sqref="D5:D44">
    <cfRule type="cellIs" priority="2" operator="equal" dxfId="0">
      <formula>"Done"</formula>
    </cfRule>
  </conditionalFormatting>
  <dataValidations count="3">
    <dataValidation sqref="B5:B44" showDropDown="0" showInputMessage="0" showErrorMessage="0" allowBlank="1" type="list">
      <formula1>=FamilyList</formula1>
    </dataValidation>
    <dataValidation sqref="C5:C44" showDropDown="0" showInputMessage="0" showErrorMessage="0" allowBlank="1" type="list">
      <formula1>=ChoreFreqList</formula1>
    </dataValidation>
    <dataValidation sqref="D5:D4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5E6C1"/>
    <outlinePr summaryBelow="1" summaryRight="1"/>
    <pageSetUpPr/>
  </sheetPr>
  <dimension ref="A1:G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 ht="46" customHeight="1">
      <c r="A1" s="1" t="inlineStr">
        <is>
          <t xml:space="preserve">  🛠  HOME MAINTENANCE</t>
        </is>
      </c>
    </row>
    <row r="2" ht="22" customHeight="1">
      <c r="A2" s="2" t="inlineStr">
        <is>
          <t xml:space="preserve">  Every system on a schedule — anything due in the next 30 days flags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Task</t>
        </is>
      </c>
      <c r="B4" s="7" t="inlineStr">
        <is>
          <t>Category</t>
        </is>
      </c>
      <c r="C4" s="7" t="inlineStr">
        <is>
          <t>Frequency</t>
        </is>
      </c>
      <c r="D4" s="7" t="inlineStr">
        <is>
          <t>Last Done</t>
        </is>
      </c>
      <c r="E4" s="7" t="inlineStr">
        <is>
          <t>Next Due</t>
        </is>
      </c>
      <c r="F4" s="7" t="inlineStr">
        <is>
          <t>Est. Cost</t>
        </is>
      </c>
      <c r="G4" s="7" t="inlineStr">
        <is>
          <t>Notes</t>
        </is>
      </c>
    </row>
    <row r="5">
      <c r="A5" s="16" t="inlineStr">
        <is>
          <t>HVAC service</t>
        </is>
      </c>
      <c r="B5" s="17" t="inlineStr">
        <is>
          <t>HVAC</t>
        </is>
      </c>
      <c r="C5" s="16" t="inlineStr">
        <is>
          <t>Twice a year</t>
        </is>
      </c>
      <c r="D5" s="18" t="n">
        <v>46083</v>
      </c>
      <c r="E5" s="18" t="n">
        <v>46263</v>
      </c>
      <c r="F5" s="44" t="n">
        <v>120</v>
      </c>
      <c r="G5" s="16" t="inlineStr">
        <is>
          <t>Spring &amp; fall</t>
        </is>
      </c>
    </row>
    <row r="6">
      <c r="A6" s="19" t="inlineStr">
        <is>
          <t>Replace HVAC filter</t>
        </is>
      </c>
      <c r="B6" s="20" t="inlineStr">
        <is>
          <t>HVAC</t>
        </is>
      </c>
      <c r="C6" s="19" t="inlineStr">
        <is>
          <t>Monthly</t>
        </is>
      </c>
      <c r="D6" s="21" t="n">
        <v>46198</v>
      </c>
      <c r="E6" s="21" t="n">
        <v>46228</v>
      </c>
      <c r="F6" s="46" t="n">
        <v>18</v>
      </c>
      <c r="G6" s="19" t="inlineStr">
        <is>
          <t>20x25x1</t>
        </is>
      </c>
    </row>
    <row r="7">
      <c r="A7" s="16" t="inlineStr">
        <is>
          <t>Test smoke detectors</t>
        </is>
      </c>
      <c r="B7" s="17" t="inlineStr">
        <is>
          <t>Safety</t>
        </is>
      </c>
      <c r="C7" s="16" t="inlineStr">
        <is>
          <t>Monthly</t>
        </is>
      </c>
      <c r="D7" s="18" t="n">
        <v>46193</v>
      </c>
      <c r="E7" s="18" t="n">
        <v>46223</v>
      </c>
      <c r="F7" s="44" t="n">
        <v>0</v>
      </c>
      <c r="G7" s="16" t="inlineStr">
        <is>
          <t>Replace batteries 2x/yr</t>
        </is>
      </c>
    </row>
    <row r="8">
      <c r="A8" s="19" t="inlineStr">
        <is>
          <t>Flush water heater</t>
        </is>
      </c>
      <c r="B8" s="20" t="inlineStr">
        <is>
          <t>Plumbing</t>
        </is>
      </c>
      <c r="C8" s="19" t="inlineStr">
        <is>
          <t>Yearly</t>
        </is>
      </c>
      <c r="D8" s="21" t="n">
        <v>45903</v>
      </c>
      <c r="E8" s="21" t="n">
        <v>46268</v>
      </c>
      <c r="F8" s="46" t="n">
        <v>0</v>
      </c>
      <c r="G8" s="19" t="inlineStr"/>
    </row>
    <row r="9">
      <c r="A9" s="16" t="inlineStr">
        <is>
          <t>Roof inspection</t>
        </is>
      </c>
      <c r="B9" s="17" t="inlineStr">
        <is>
          <t>Exterior</t>
        </is>
      </c>
      <c r="C9" s="16" t="inlineStr">
        <is>
          <t>Yearly</t>
        </is>
      </c>
      <c r="D9" s="18" t="n">
        <v>45923</v>
      </c>
      <c r="E9" s="18" t="n">
        <v>46288</v>
      </c>
      <c r="F9" s="44" t="n">
        <v>0</v>
      </c>
      <c r="G9" s="16" t="inlineStr">
        <is>
          <t>After winter</t>
        </is>
      </c>
    </row>
    <row r="10">
      <c r="A10" s="19" t="inlineStr">
        <is>
          <t>Gutter cleaning</t>
        </is>
      </c>
      <c r="B10" s="20" t="inlineStr">
        <is>
          <t>Exterior</t>
        </is>
      </c>
      <c r="C10" s="19" t="inlineStr">
        <is>
          <t>Twice a year</t>
        </is>
      </c>
      <c r="D10" s="21" t="n">
        <v>46103</v>
      </c>
      <c r="E10" s="21" t="n">
        <v>46283</v>
      </c>
      <c r="F10" s="46" t="n">
        <v>90</v>
      </c>
      <c r="G10" s="19" t="inlineStr"/>
    </row>
    <row r="11">
      <c r="A11" s="16" t="inlineStr">
        <is>
          <t>Lawn fertilize</t>
        </is>
      </c>
      <c r="B11" s="17" t="inlineStr">
        <is>
          <t>Lawn &amp; Garden</t>
        </is>
      </c>
      <c r="C11" s="16" t="inlineStr">
        <is>
          <t>Seasonal</t>
        </is>
      </c>
      <c r="D11" s="18" t="n">
        <v>46163</v>
      </c>
      <c r="E11" s="18" t="n">
        <v>46253</v>
      </c>
      <c r="F11" s="44" t="n">
        <v>45</v>
      </c>
      <c r="G11" s="16" t="inlineStr"/>
    </row>
    <row r="12">
      <c r="A12" s="19" t="inlineStr">
        <is>
          <t>Pest control</t>
        </is>
      </c>
      <c r="B12" s="20" t="inlineStr">
        <is>
          <t>Pest Control</t>
        </is>
      </c>
      <c r="C12" s="19" t="inlineStr">
        <is>
          <t>Quarterly</t>
        </is>
      </c>
      <c r="D12" s="21" t="n">
        <v>46133</v>
      </c>
      <c r="E12" s="21" t="n">
        <v>46223</v>
      </c>
      <c r="F12" s="46" t="n">
        <v>95</v>
      </c>
      <c r="G12" s="19" t="inlineStr">
        <is>
          <t>Service plan</t>
        </is>
      </c>
    </row>
    <row r="13">
      <c r="A13" s="16" t="inlineStr">
        <is>
          <t>Dryer vent clean</t>
        </is>
      </c>
      <c r="B13" s="17" t="inlineStr">
        <is>
          <t>Appliances</t>
        </is>
      </c>
      <c r="C13" s="16" t="inlineStr">
        <is>
          <t>Yearly</t>
        </is>
      </c>
      <c r="D13" s="18" t="n">
        <v>46003</v>
      </c>
      <c r="E13" s="18" t="n">
        <v>46208</v>
      </c>
      <c r="F13" s="44" t="n">
        <v>0</v>
      </c>
      <c r="G13" s="16" t="inlineStr">
        <is>
          <t>Overdue soon</t>
        </is>
      </c>
    </row>
    <row r="14">
      <c r="A14" s="19" t="inlineStr">
        <is>
          <t>Car oil change</t>
        </is>
      </c>
      <c r="B14" s="20" t="inlineStr">
        <is>
          <t>Vehicle</t>
        </is>
      </c>
      <c r="C14" s="19" t="inlineStr">
        <is>
          <t>Every 5k mi</t>
        </is>
      </c>
      <c r="D14" s="21" t="n">
        <v>46123</v>
      </c>
      <c r="E14" s="21" t="n">
        <v>46218</v>
      </c>
      <c r="F14" s="46" t="n">
        <v>60</v>
      </c>
      <c r="G14" s="19" t="inlineStr">
        <is>
          <t>Both cars</t>
        </is>
      </c>
    </row>
    <row r="15">
      <c r="A15" s="16" t="inlineStr">
        <is>
          <t>Garbage disposal</t>
        </is>
      </c>
      <c r="B15" s="17" t="inlineStr">
        <is>
          <t>Plumbing</t>
        </is>
      </c>
      <c r="C15" s="16" t="inlineStr">
        <is>
          <t>As needed</t>
        </is>
      </c>
      <c r="D15" s="18" t="n">
        <v>46053</v>
      </c>
      <c r="E15" s="18" t="inlineStr"/>
      <c r="F15" s="44" t="n">
        <v>0</v>
      </c>
      <c r="G15" s="16" t="inlineStr"/>
    </row>
    <row r="16">
      <c r="A16" s="19" t="inlineStr">
        <is>
          <t>Caulk bathrooms</t>
        </is>
      </c>
      <c r="B16" s="20" t="inlineStr">
        <is>
          <t>Plumbing</t>
        </is>
      </c>
      <c r="C16" s="19" t="inlineStr">
        <is>
          <t>Yearly</t>
        </is>
      </c>
      <c r="D16" s="21" t="n">
        <v>45873</v>
      </c>
      <c r="E16" s="21" t="n">
        <v>46238</v>
      </c>
      <c r="F16" s="46" t="n">
        <v>15</v>
      </c>
      <c r="G16" s="19" t="inlineStr"/>
    </row>
    <row r="17">
      <c r="A17" s="16" t="n"/>
      <c r="B17" s="17" t="n"/>
      <c r="C17" s="16" t="n"/>
      <c r="D17" s="18" t="n"/>
      <c r="E17" s="18" t="n"/>
      <c r="F17" s="44" t="n"/>
      <c r="G17" s="16" t="n"/>
    </row>
    <row r="18">
      <c r="A18" s="19" t="n"/>
      <c r="B18" s="20" t="n"/>
      <c r="C18" s="19" t="n"/>
      <c r="D18" s="21" t="n"/>
      <c r="E18" s="21" t="n"/>
      <c r="F18" s="46" t="n"/>
      <c r="G18" s="19" t="n"/>
    </row>
    <row r="19">
      <c r="A19" s="16" t="n"/>
      <c r="B19" s="17" t="n"/>
      <c r="C19" s="16" t="n"/>
      <c r="D19" s="18" t="n"/>
      <c r="E19" s="18" t="n"/>
      <c r="F19" s="44" t="n"/>
      <c r="G19" s="16" t="n"/>
    </row>
    <row r="20">
      <c r="A20" s="19" t="n"/>
      <c r="B20" s="20" t="n"/>
      <c r="C20" s="19" t="n"/>
      <c r="D20" s="21" t="n"/>
      <c r="E20" s="21" t="n"/>
      <c r="F20" s="46" t="n"/>
      <c r="G20" s="19" t="n"/>
    </row>
    <row r="21">
      <c r="A21" s="16" t="n"/>
      <c r="B21" s="17" t="n"/>
      <c r="C21" s="16" t="n"/>
      <c r="D21" s="18" t="n"/>
      <c r="E21" s="18" t="n"/>
      <c r="F21" s="44" t="n"/>
      <c r="G21" s="16" t="n"/>
    </row>
    <row r="22">
      <c r="A22" s="19" t="n"/>
      <c r="B22" s="20" t="n"/>
      <c r="C22" s="19" t="n"/>
      <c r="D22" s="21" t="n"/>
      <c r="E22" s="21" t="n"/>
      <c r="F22" s="46" t="n"/>
      <c r="G22" s="19" t="n"/>
    </row>
    <row r="23">
      <c r="A23" s="16" t="n"/>
      <c r="B23" s="17" t="n"/>
      <c r="C23" s="16" t="n"/>
      <c r="D23" s="18" t="n"/>
      <c r="E23" s="18" t="n"/>
      <c r="F23" s="44" t="n"/>
      <c r="G23" s="16" t="n"/>
    </row>
    <row r="24">
      <c r="A24" s="19" t="n"/>
      <c r="B24" s="20" t="n"/>
      <c r="C24" s="19" t="n"/>
      <c r="D24" s="21" t="n"/>
      <c r="E24" s="21" t="n"/>
      <c r="F24" s="46" t="n"/>
      <c r="G24" s="19" t="n"/>
    </row>
    <row r="25">
      <c r="A25" s="16" t="n"/>
      <c r="B25" s="17" t="n"/>
      <c r="C25" s="16" t="n"/>
      <c r="D25" s="18" t="n"/>
      <c r="E25" s="18" t="n"/>
      <c r="F25" s="44" t="n"/>
      <c r="G25" s="16" t="n"/>
    </row>
    <row r="26">
      <c r="A26" s="19" t="n"/>
      <c r="B26" s="20" t="n"/>
      <c r="C26" s="19" t="n"/>
      <c r="D26" s="21" t="n"/>
      <c r="E26" s="21" t="n"/>
      <c r="F26" s="46" t="n"/>
      <c r="G26" s="19" t="n"/>
    </row>
    <row r="27">
      <c r="A27" s="16" t="n"/>
      <c r="B27" s="17" t="n"/>
      <c r="C27" s="16" t="n"/>
      <c r="D27" s="18" t="n"/>
      <c r="E27" s="18" t="n"/>
      <c r="F27" s="44" t="n"/>
      <c r="G27" s="16" t="n"/>
    </row>
    <row r="28">
      <c r="A28" s="19" t="n"/>
      <c r="B28" s="20" t="n"/>
      <c r="C28" s="19" t="n"/>
      <c r="D28" s="21" t="n"/>
      <c r="E28" s="21" t="n"/>
      <c r="F28" s="46" t="n"/>
      <c r="G28" s="19" t="n"/>
    </row>
    <row r="29">
      <c r="A29" s="16" t="n"/>
      <c r="B29" s="17" t="n"/>
      <c r="C29" s="16" t="n"/>
      <c r="D29" s="18" t="n"/>
      <c r="E29" s="18" t="n"/>
      <c r="F29" s="44" t="n"/>
      <c r="G29" s="16" t="n"/>
    </row>
    <row r="30">
      <c r="A30" s="19" t="n"/>
      <c r="B30" s="20" t="n"/>
      <c r="C30" s="19" t="n"/>
      <c r="D30" s="21" t="n"/>
      <c r="E30" s="21" t="n"/>
      <c r="F30" s="46" t="n"/>
      <c r="G30" s="19" t="n"/>
    </row>
    <row r="31">
      <c r="A31" s="16" t="n"/>
      <c r="B31" s="17" t="n"/>
      <c r="C31" s="16" t="n"/>
      <c r="D31" s="18" t="n"/>
      <c r="E31" s="18" t="n"/>
      <c r="F31" s="44" t="n"/>
      <c r="G31" s="16" t="n"/>
    </row>
    <row r="32">
      <c r="A32" s="19" t="n"/>
      <c r="B32" s="20" t="n"/>
      <c r="C32" s="19" t="n"/>
      <c r="D32" s="21" t="n"/>
      <c r="E32" s="21" t="n"/>
      <c r="F32" s="46" t="n"/>
      <c r="G32" s="19" t="n"/>
    </row>
    <row r="33">
      <c r="A33" s="16" t="n"/>
      <c r="B33" s="17" t="n"/>
      <c r="C33" s="16" t="n"/>
      <c r="D33" s="18" t="n"/>
      <c r="E33" s="18" t="n"/>
      <c r="F33" s="44" t="n"/>
      <c r="G33" s="16" t="n"/>
    </row>
    <row r="34">
      <c r="A34" s="19" t="n"/>
      <c r="B34" s="20" t="n"/>
      <c r="C34" s="19" t="n"/>
      <c r="D34" s="21" t="n"/>
      <c r="E34" s="21" t="n"/>
      <c r="F34" s="46" t="n"/>
      <c r="G34" s="19" t="n"/>
    </row>
    <row r="35">
      <c r="A35" s="16" t="n"/>
      <c r="B35" s="17" t="n"/>
      <c r="C35" s="16" t="n"/>
      <c r="D35" s="18" t="n"/>
      <c r="E35" s="18" t="n"/>
      <c r="F35" s="44" t="n"/>
      <c r="G35" s="16" t="n"/>
    </row>
    <row r="36">
      <c r="A36" s="19" t="n"/>
      <c r="B36" s="20" t="n"/>
      <c r="C36" s="19" t="n"/>
      <c r="D36" s="21" t="n"/>
      <c r="E36" s="21" t="n"/>
      <c r="F36" s="46" t="n"/>
      <c r="G36" s="19" t="n"/>
    </row>
    <row r="37">
      <c r="A37" s="16" t="n"/>
      <c r="B37" s="17" t="n"/>
      <c r="C37" s="16" t="n"/>
      <c r="D37" s="18" t="n"/>
      <c r="E37" s="18" t="n"/>
      <c r="F37" s="44" t="n"/>
      <c r="G37" s="16" t="n"/>
    </row>
    <row r="38">
      <c r="A38" s="19" t="n"/>
      <c r="B38" s="20" t="n"/>
      <c r="C38" s="19" t="n"/>
      <c r="D38" s="21" t="n"/>
      <c r="E38" s="21" t="n"/>
      <c r="F38" s="46" t="n"/>
      <c r="G38" s="19" t="n"/>
    </row>
    <row r="39">
      <c r="A39" s="16" t="n"/>
      <c r="B39" s="17" t="n"/>
      <c r="C39" s="16" t="n"/>
      <c r="D39" s="18" t="n"/>
      <c r="E39" s="18" t="n"/>
      <c r="F39" s="44" t="n"/>
      <c r="G39" s="16" t="n"/>
    </row>
    <row r="40">
      <c r="A40" s="19" t="n"/>
      <c r="B40" s="20" t="n"/>
      <c r="C40" s="19" t="n"/>
      <c r="D40" s="21" t="n"/>
      <c r="E40" s="21" t="n"/>
      <c r="F40" s="46" t="n"/>
      <c r="G40" s="19" t="n"/>
    </row>
    <row r="41">
      <c r="A41" s="16" t="n"/>
      <c r="B41" s="17" t="n"/>
      <c r="C41" s="16" t="n"/>
      <c r="D41" s="18" t="n"/>
      <c r="E41" s="18" t="n"/>
      <c r="F41" s="44" t="n"/>
      <c r="G41" s="16" t="n"/>
    </row>
    <row r="42">
      <c r="A42" s="19" t="n"/>
      <c r="B42" s="20" t="n"/>
      <c r="C42" s="19" t="n"/>
      <c r="D42" s="21" t="n"/>
      <c r="E42" s="21" t="n"/>
      <c r="F42" s="46" t="n"/>
      <c r="G42" s="19" t="n"/>
    </row>
    <row r="43">
      <c r="A43" s="16" t="n"/>
      <c r="B43" s="17" t="n"/>
      <c r="C43" s="16" t="n"/>
      <c r="D43" s="18" t="n"/>
      <c r="E43" s="18" t="n"/>
      <c r="F43" s="44" t="n"/>
      <c r="G43" s="16" t="n"/>
    </row>
    <row r="44">
      <c r="A44" s="19" t="n"/>
      <c r="B44" s="20" t="n"/>
      <c r="C44" s="19" t="n"/>
      <c r="D44" s="21" t="n"/>
      <c r="E44" s="21" t="n"/>
      <c r="F44" s="46" t="n"/>
      <c r="G44" s="19" t="n"/>
    </row>
    <row r="45">
      <c r="A45" s="16" t="n"/>
      <c r="B45" s="17" t="n"/>
      <c r="C45" s="16" t="n"/>
      <c r="D45" s="18" t="n"/>
      <c r="E45" s="18" t="n"/>
      <c r="F45" s="44" t="n"/>
      <c r="G45" s="16" t="n"/>
    </row>
    <row r="46">
      <c r="A46" s="19" t="n"/>
      <c r="B46" s="20" t="n"/>
      <c r="C46" s="19" t="n"/>
      <c r="D46" s="21" t="n"/>
      <c r="E46" s="21" t="n"/>
      <c r="F46" s="46" t="n"/>
      <c r="G46" s="19" t="n"/>
    </row>
    <row r="47">
      <c r="A47" s="16" t="n"/>
      <c r="B47" s="17" t="n"/>
      <c r="C47" s="16" t="n"/>
      <c r="D47" s="18" t="n"/>
      <c r="E47" s="18" t="n"/>
      <c r="F47" s="44" t="n"/>
      <c r="G47" s="16" t="n"/>
    </row>
    <row r="48">
      <c r="A48" s="19" t="n"/>
      <c r="B48" s="20" t="n"/>
      <c r="C48" s="19" t="n"/>
      <c r="D48" s="21" t="n"/>
      <c r="E48" s="21" t="n"/>
      <c r="F48" s="46" t="n"/>
      <c r="G48" s="19" t="n"/>
    </row>
    <row r="49">
      <c r="A49" s="16" t="n"/>
      <c r="B49" s="17" t="n"/>
      <c r="C49" s="16" t="n"/>
      <c r="D49" s="18" t="n"/>
      <c r="E49" s="18" t="n"/>
      <c r="F49" s="44" t="n"/>
      <c r="G49" s="16" t="n"/>
    </row>
    <row r="50">
      <c r="A50" s="19" t="n"/>
      <c r="B50" s="20" t="n"/>
      <c r="C50" s="19" t="n"/>
      <c r="D50" s="21" t="n"/>
      <c r="E50" s="21" t="n"/>
      <c r="F50" s="46" t="n"/>
      <c r="G50" s="19" t="n"/>
    </row>
    <row r="51">
      <c r="A51" s="16" t="n"/>
      <c r="B51" s="17" t="n"/>
      <c r="C51" s="16" t="n"/>
      <c r="D51" s="18" t="n"/>
      <c r="E51" s="18" t="n"/>
      <c r="F51" s="44" t="n"/>
      <c r="G51" s="16" t="n"/>
    </row>
    <row r="52">
      <c r="A52" s="19" t="n"/>
      <c r="B52" s="20" t="n"/>
      <c r="C52" s="19" t="n"/>
      <c r="D52" s="21" t="n"/>
      <c r="E52" s="21" t="n"/>
      <c r="F52" s="46" t="n"/>
      <c r="G52" s="19" t="n"/>
    </row>
    <row r="53">
      <c r="A53" s="16" t="n"/>
      <c r="B53" s="17" t="n"/>
      <c r="C53" s="16" t="n"/>
      <c r="D53" s="18" t="n"/>
      <c r="E53" s="18" t="n"/>
      <c r="F53" s="44" t="n"/>
      <c r="G53" s="16" t="n"/>
    </row>
    <row r="54">
      <c r="A54" s="19" t="n"/>
      <c r="B54" s="20" t="n"/>
      <c r="C54" s="19" t="n"/>
      <c r="D54" s="21" t="n"/>
      <c r="E54" s="21" t="n"/>
      <c r="F54" s="46" t="n"/>
      <c r="G54" s="19" t="n"/>
    </row>
  </sheetData>
  <mergeCells count="2">
    <mergeCell ref="A2:G2"/>
    <mergeCell ref="A1:G1"/>
  </mergeCells>
  <conditionalFormatting sqref="A5:G54">
    <cfRule type="expression" priority="1" dxfId="2">
      <formula>AND($E5&lt;&gt;"",$E5&lt;=TODAY()+30,$E5&gt;=TODAY())</formula>
    </cfRule>
    <cfRule type="expression" priority="2" dxfId="1">
      <formula>AND($E5&lt;&gt;"",$E5&lt;TODAY())</formula>
    </cfRule>
  </conditionalFormatting>
  <dataValidations count="1">
    <dataValidation sqref="B5:B54" showDropDown="0" showInputMessage="0" showErrorMessage="0" allowBlank="1" type="list">
      <formula1>=MaintCatList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5D3BA"/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46" customHeight="1">
      <c r="A1" s="1" t="inlineStr">
        <is>
          <t xml:space="preserve">  📦  HOME INVENTORY</t>
        </is>
      </c>
    </row>
    <row r="2" ht="22" customHeight="1">
      <c r="A2" s="2" t="inlineStr">
        <is>
          <t xml:space="preserve">  Document valuables for insurance — purchase, warranty, serial &amp; replacement value.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Item</t>
        </is>
      </c>
      <c r="B4" s="7" t="inlineStr">
        <is>
          <t>Category</t>
        </is>
      </c>
      <c r="C4" s="7" t="inlineStr">
        <is>
          <t>Room</t>
        </is>
      </c>
      <c r="D4" s="7" t="inlineStr">
        <is>
          <t>Purchase Price</t>
        </is>
      </c>
      <c r="E4" s="7" t="inlineStr">
        <is>
          <t>Purchase Date</t>
        </is>
      </c>
      <c r="F4" s="7" t="inlineStr">
        <is>
          <t>Warranty Until</t>
        </is>
      </c>
      <c r="G4" s="7" t="inlineStr">
        <is>
          <t>Serial #</t>
        </is>
      </c>
      <c r="H4" s="7" t="inlineStr">
        <is>
          <t>Insured Value</t>
        </is>
      </c>
    </row>
    <row r="5">
      <c r="A5" s="16" t="inlineStr">
        <is>
          <t>65" Smart TV</t>
        </is>
      </c>
      <c r="B5" s="17" t="inlineStr">
        <is>
          <t>Electronics</t>
        </is>
      </c>
      <c r="C5" s="17" t="inlineStr">
        <is>
          <t>Living Room</t>
        </is>
      </c>
      <c r="D5" s="44" t="n">
        <v>1200</v>
      </c>
      <c r="E5" s="18" t="n">
        <v>45803</v>
      </c>
      <c r="F5" s="18" t="n">
        <v>46533</v>
      </c>
      <c r="G5" s="16" t="inlineStr">
        <is>
          <t>SN-TV-88210</t>
        </is>
      </c>
      <c r="H5" s="44" t="n">
        <v>1200</v>
      </c>
    </row>
    <row r="6">
      <c r="A6" s="19" t="inlineStr">
        <is>
          <t>Refrigerator</t>
        </is>
      </c>
      <c r="B6" s="20" t="inlineStr">
        <is>
          <t>Appliances</t>
        </is>
      </c>
      <c r="C6" s="20" t="inlineStr">
        <is>
          <t>Kitchen</t>
        </is>
      </c>
      <c r="D6" s="46" t="n">
        <v>2100</v>
      </c>
      <c r="E6" s="21" t="n">
        <v>45303</v>
      </c>
      <c r="F6" s="21" t="n">
        <v>46393</v>
      </c>
      <c r="G6" s="19" t="inlineStr">
        <is>
          <t>SN-RF-44120</t>
        </is>
      </c>
      <c r="H6" s="46" t="n">
        <v>1800</v>
      </c>
    </row>
    <row r="7">
      <c r="A7" s="16" t="inlineStr">
        <is>
          <t>Washer</t>
        </is>
      </c>
      <c r="B7" s="17" t="inlineStr">
        <is>
          <t>Appliances</t>
        </is>
      </c>
      <c r="C7" s="17" t="inlineStr">
        <is>
          <t>Laundry</t>
        </is>
      </c>
      <c r="D7" s="44" t="n">
        <v>850</v>
      </c>
      <c r="E7" s="18" t="n">
        <v>45503</v>
      </c>
      <c r="F7" s="18" t="n">
        <v>46263</v>
      </c>
      <c r="G7" s="16" t="inlineStr">
        <is>
          <t>SN-WS-90021</t>
        </is>
      </c>
      <c r="H7" s="44" t="n">
        <v>700</v>
      </c>
    </row>
    <row r="8">
      <c r="A8" s="19" t="inlineStr">
        <is>
          <t>Dryer</t>
        </is>
      </c>
      <c r="B8" s="20" t="inlineStr">
        <is>
          <t>Appliances</t>
        </is>
      </c>
      <c r="C8" s="20" t="inlineStr">
        <is>
          <t>Laundry</t>
        </is>
      </c>
      <c r="D8" s="46" t="n">
        <v>800</v>
      </c>
      <c r="E8" s="21" t="n">
        <v>45503</v>
      </c>
      <c r="F8" s="21" t="n">
        <v>46263</v>
      </c>
      <c r="G8" s="19" t="inlineStr">
        <is>
          <t>SN-DR-90022</t>
        </is>
      </c>
      <c r="H8" s="46" t="n">
        <v>650</v>
      </c>
    </row>
    <row r="9">
      <c r="A9" s="16" t="inlineStr">
        <is>
          <t>Sectional sofa</t>
        </is>
      </c>
      <c r="B9" s="17" t="inlineStr">
        <is>
          <t>Furniture</t>
        </is>
      </c>
      <c r="C9" s="17" t="inlineStr">
        <is>
          <t>Living Room</t>
        </is>
      </c>
      <c r="D9" s="44" t="n">
        <v>1800</v>
      </c>
      <c r="E9" s="18" t="n">
        <v>45703</v>
      </c>
      <c r="F9" s="18" t="inlineStr"/>
      <c r="G9" s="16" t="inlineStr">
        <is>
          <t>—</t>
        </is>
      </c>
      <c r="H9" s="44" t="n">
        <v>1500</v>
      </c>
    </row>
    <row r="10">
      <c r="A10" s="19" t="inlineStr">
        <is>
          <t>Dining set</t>
        </is>
      </c>
      <c r="B10" s="20" t="inlineStr">
        <is>
          <t>Furniture</t>
        </is>
      </c>
      <c r="C10" s="20" t="inlineStr">
        <is>
          <t>Dining Room</t>
        </is>
      </c>
      <c r="D10" s="46" t="n">
        <v>1400</v>
      </c>
      <c r="E10" s="21" t="n">
        <v>45103</v>
      </c>
      <c r="F10" s="21" t="inlineStr"/>
      <c r="G10" s="19" t="inlineStr">
        <is>
          <t>—</t>
        </is>
      </c>
      <c r="H10" s="46" t="n">
        <v>1000</v>
      </c>
    </row>
    <row r="11">
      <c r="A11" s="16" t="inlineStr">
        <is>
          <t>MacBook</t>
        </is>
      </c>
      <c r="B11" s="17" t="inlineStr">
        <is>
          <t>Electronics</t>
        </is>
      </c>
      <c r="C11" s="17" t="inlineStr">
        <is>
          <t>Office</t>
        </is>
      </c>
      <c r="D11" s="44" t="n">
        <v>1600</v>
      </c>
      <c r="E11" s="18" t="n">
        <v>45903</v>
      </c>
      <c r="F11" s="18" t="n">
        <v>46633</v>
      </c>
      <c r="G11" s="16" t="inlineStr">
        <is>
          <t>SN-MB-77410</t>
        </is>
      </c>
      <c r="H11" s="44" t="n">
        <v>1500</v>
      </c>
    </row>
    <row r="12">
      <c r="A12" s="19" t="inlineStr">
        <is>
          <t>Wedding ring</t>
        </is>
      </c>
      <c r="B12" s="20" t="inlineStr">
        <is>
          <t>Jewelry</t>
        </is>
      </c>
      <c r="C12" s="20" t="inlineStr">
        <is>
          <t>Safe</t>
        </is>
      </c>
      <c r="D12" s="46" t="n">
        <v>4500</v>
      </c>
      <c r="E12" s="21" t="n">
        <v>43203</v>
      </c>
      <c r="F12" s="21" t="inlineStr"/>
      <c r="G12" s="19" t="inlineStr">
        <is>
          <t>Appraised</t>
        </is>
      </c>
      <c r="H12" s="46" t="n">
        <v>5200</v>
      </c>
    </row>
    <row r="13">
      <c r="A13" s="16" t="inlineStr">
        <is>
          <t>Lawn mower</t>
        </is>
      </c>
      <c r="B13" s="17" t="inlineStr">
        <is>
          <t>Tools</t>
        </is>
      </c>
      <c r="C13" s="17" t="inlineStr">
        <is>
          <t>Garage</t>
        </is>
      </c>
      <c r="D13" s="44" t="n">
        <v>450</v>
      </c>
      <c r="E13" s="18" t="n">
        <v>45603</v>
      </c>
      <c r="F13" s="18" t="n">
        <v>46323</v>
      </c>
      <c r="G13" s="16" t="inlineStr">
        <is>
          <t>SN-LM-22019</t>
        </is>
      </c>
      <c r="H13" s="44" t="n">
        <v>350</v>
      </c>
    </row>
    <row r="14">
      <c r="A14" s="19" t="inlineStr">
        <is>
          <t>Camera kit</t>
        </is>
      </c>
      <c r="B14" s="20" t="inlineStr">
        <is>
          <t>Electronics</t>
        </is>
      </c>
      <c r="C14" s="20" t="inlineStr">
        <is>
          <t>Office</t>
        </is>
      </c>
      <c r="D14" s="46" t="n">
        <v>950</v>
      </c>
      <c r="E14" s="21" t="n">
        <v>45403</v>
      </c>
      <c r="F14" s="21" t="inlineStr"/>
      <c r="G14" s="19" t="inlineStr">
        <is>
          <t>SN-CM-31002</t>
        </is>
      </c>
      <c r="H14" s="46" t="n">
        <v>800</v>
      </c>
    </row>
    <row r="15">
      <c r="A15" s="16" t="n"/>
      <c r="B15" s="17" t="n"/>
      <c r="C15" s="17" t="n"/>
      <c r="D15" s="44" t="n"/>
      <c r="E15" s="18" t="n"/>
      <c r="F15" s="18" t="n"/>
      <c r="G15" s="16" t="n"/>
      <c r="H15" s="44" t="n"/>
    </row>
    <row r="16">
      <c r="A16" s="19" t="n"/>
      <c r="B16" s="20" t="n"/>
      <c r="C16" s="20" t="n"/>
      <c r="D16" s="46" t="n"/>
      <c r="E16" s="21" t="n"/>
      <c r="F16" s="21" t="n"/>
      <c r="G16" s="19" t="n"/>
      <c r="H16" s="46" t="n"/>
    </row>
    <row r="17">
      <c r="A17" s="16" t="n"/>
      <c r="B17" s="17" t="n"/>
      <c r="C17" s="17" t="n"/>
      <c r="D17" s="44" t="n"/>
      <c r="E17" s="18" t="n"/>
      <c r="F17" s="18" t="n"/>
      <c r="G17" s="16" t="n"/>
      <c r="H17" s="44" t="n"/>
    </row>
    <row r="18">
      <c r="A18" s="19" t="n"/>
      <c r="B18" s="20" t="n"/>
      <c r="C18" s="20" t="n"/>
      <c r="D18" s="46" t="n"/>
      <c r="E18" s="21" t="n"/>
      <c r="F18" s="21" t="n"/>
      <c r="G18" s="19" t="n"/>
      <c r="H18" s="46" t="n"/>
    </row>
    <row r="19">
      <c r="A19" s="16" t="n"/>
      <c r="B19" s="17" t="n"/>
      <c r="C19" s="17" t="n"/>
      <c r="D19" s="44" t="n"/>
      <c r="E19" s="18" t="n"/>
      <c r="F19" s="18" t="n"/>
      <c r="G19" s="16" t="n"/>
      <c r="H19" s="44" t="n"/>
    </row>
    <row r="20">
      <c r="A20" s="19" t="n"/>
      <c r="B20" s="20" t="n"/>
      <c r="C20" s="20" t="n"/>
      <c r="D20" s="46" t="n"/>
      <c r="E20" s="21" t="n"/>
      <c r="F20" s="21" t="n"/>
      <c r="G20" s="19" t="n"/>
      <c r="H20" s="46" t="n"/>
    </row>
    <row r="21">
      <c r="A21" s="16" t="n"/>
      <c r="B21" s="17" t="n"/>
      <c r="C21" s="17" t="n"/>
      <c r="D21" s="44" t="n"/>
      <c r="E21" s="18" t="n"/>
      <c r="F21" s="18" t="n"/>
      <c r="G21" s="16" t="n"/>
      <c r="H21" s="44" t="n"/>
    </row>
    <row r="22">
      <c r="A22" s="19" t="n"/>
      <c r="B22" s="20" t="n"/>
      <c r="C22" s="20" t="n"/>
      <c r="D22" s="46" t="n"/>
      <c r="E22" s="21" t="n"/>
      <c r="F22" s="21" t="n"/>
      <c r="G22" s="19" t="n"/>
      <c r="H22" s="46" t="n"/>
    </row>
    <row r="23">
      <c r="A23" s="16" t="n"/>
      <c r="B23" s="17" t="n"/>
      <c r="C23" s="17" t="n"/>
      <c r="D23" s="44" t="n"/>
      <c r="E23" s="18" t="n"/>
      <c r="F23" s="18" t="n"/>
      <c r="G23" s="16" t="n"/>
      <c r="H23" s="44" t="n"/>
    </row>
    <row r="24">
      <c r="A24" s="19" t="n"/>
      <c r="B24" s="20" t="n"/>
      <c r="C24" s="20" t="n"/>
      <c r="D24" s="46" t="n"/>
      <c r="E24" s="21" t="n"/>
      <c r="F24" s="21" t="n"/>
      <c r="G24" s="19" t="n"/>
      <c r="H24" s="46" t="n"/>
    </row>
    <row r="25">
      <c r="A25" s="16" t="n"/>
      <c r="B25" s="17" t="n"/>
      <c r="C25" s="17" t="n"/>
      <c r="D25" s="44" t="n"/>
      <c r="E25" s="18" t="n"/>
      <c r="F25" s="18" t="n"/>
      <c r="G25" s="16" t="n"/>
      <c r="H25" s="44" t="n"/>
    </row>
    <row r="26">
      <c r="A26" s="19" t="n"/>
      <c r="B26" s="20" t="n"/>
      <c r="C26" s="20" t="n"/>
      <c r="D26" s="46" t="n"/>
      <c r="E26" s="21" t="n"/>
      <c r="F26" s="21" t="n"/>
      <c r="G26" s="19" t="n"/>
      <c r="H26" s="46" t="n"/>
    </row>
    <row r="27">
      <c r="A27" s="16" t="n"/>
      <c r="B27" s="17" t="n"/>
      <c r="C27" s="17" t="n"/>
      <c r="D27" s="44" t="n"/>
      <c r="E27" s="18" t="n"/>
      <c r="F27" s="18" t="n"/>
      <c r="G27" s="16" t="n"/>
      <c r="H27" s="44" t="n"/>
    </row>
    <row r="28">
      <c r="A28" s="19" t="n"/>
      <c r="B28" s="20" t="n"/>
      <c r="C28" s="20" t="n"/>
      <c r="D28" s="46" t="n"/>
      <c r="E28" s="21" t="n"/>
      <c r="F28" s="21" t="n"/>
      <c r="G28" s="19" t="n"/>
      <c r="H28" s="46" t="n"/>
    </row>
    <row r="29">
      <c r="A29" s="16" t="n"/>
      <c r="B29" s="17" t="n"/>
      <c r="C29" s="17" t="n"/>
      <c r="D29" s="44" t="n"/>
      <c r="E29" s="18" t="n"/>
      <c r="F29" s="18" t="n"/>
      <c r="G29" s="16" t="n"/>
      <c r="H29" s="44" t="n"/>
    </row>
    <row r="30">
      <c r="A30" s="19" t="n"/>
      <c r="B30" s="20" t="n"/>
      <c r="C30" s="20" t="n"/>
      <c r="D30" s="46" t="n"/>
      <c r="E30" s="21" t="n"/>
      <c r="F30" s="21" t="n"/>
      <c r="G30" s="19" t="n"/>
      <c r="H30" s="46" t="n"/>
    </row>
    <row r="31">
      <c r="A31" s="16" t="n"/>
      <c r="B31" s="17" t="n"/>
      <c r="C31" s="17" t="n"/>
      <c r="D31" s="44" t="n"/>
      <c r="E31" s="18" t="n"/>
      <c r="F31" s="18" t="n"/>
      <c r="G31" s="16" t="n"/>
      <c r="H31" s="44" t="n"/>
    </row>
    <row r="32">
      <c r="A32" s="19" t="n"/>
      <c r="B32" s="20" t="n"/>
      <c r="C32" s="20" t="n"/>
      <c r="D32" s="46" t="n"/>
      <c r="E32" s="21" t="n"/>
      <c r="F32" s="21" t="n"/>
      <c r="G32" s="19" t="n"/>
      <c r="H32" s="46" t="n"/>
    </row>
    <row r="33">
      <c r="A33" s="16" t="n"/>
      <c r="B33" s="17" t="n"/>
      <c r="C33" s="17" t="n"/>
      <c r="D33" s="44" t="n"/>
      <c r="E33" s="18" t="n"/>
      <c r="F33" s="18" t="n"/>
      <c r="G33" s="16" t="n"/>
      <c r="H33" s="44" t="n"/>
    </row>
    <row r="34">
      <c r="A34" s="19" t="n"/>
      <c r="B34" s="20" t="n"/>
      <c r="C34" s="20" t="n"/>
      <c r="D34" s="46" t="n"/>
      <c r="E34" s="21" t="n"/>
      <c r="F34" s="21" t="n"/>
      <c r="G34" s="19" t="n"/>
      <c r="H34" s="46" t="n"/>
    </row>
    <row r="35">
      <c r="A35" s="16" t="n"/>
      <c r="B35" s="17" t="n"/>
      <c r="C35" s="17" t="n"/>
      <c r="D35" s="44" t="n"/>
      <c r="E35" s="18" t="n"/>
      <c r="F35" s="18" t="n"/>
      <c r="G35" s="16" t="n"/>
      <c r="H35" s="44" t="n"/>
    </row>
    <row r="36">
      <c r="A36" s="19" t="n"/>
      <c r="B36" s="20" t="n"/>
      <c r="C36" s="20" t="n"/>
      <c r="D36" s="46" t="n"/>
      <c r="E36" s="21" t="n"/>
      <c r="F36" s="21" t="n"/>
      <c r="G36" s="19" t="n"/>
      <c r="H36" s="46" t="n"/>
    </row>
    <row r="37">
      <c r="A37" s="16" t="n"/>
      <c r="B37" s="17" t="n"/>
      <c r="C37" s="17" t="n"/>
      <c r="D37" s="44" t="n"/>
      <c r="E37" s="18" t="n"/>
      <c r="F37" s="18" t="n"/>
      <c r="G37" s="16" t="n"/>
      <c r="H37" s="44" t="n"/>
    </row>
    <row r="38">
      <c r="A38" s="19" t="n"/>
      <c r="B38" s="20" t="n"/>
      <c r="C38" s="20" t="n"/>
      <c r="D38" s="46" t="n"/>
      <c r="E38" s="21" t="n"/>
      <c r="F38" s="21" t="n"/>
      <c r="G38" s="19" t="n"/>
      <c r="H38" s="46" t="n"/>
    </row>
    <row r="39">
      <c r="A39" s="16" t="n"/>
      <c r="B39" s="17" t="n"/>
      <c r="C39" s="17" t="n"/>
      <c r="D39" s="44" t="n"/>
      <c r="E39" s="18" t="n"/>
      <c r="F39" s="18" t="n"/>
      <c r="G39" s="16" t="n"/>
      <c r="H39" s="44" t="n"/>
    </row>
    <row r="40">
      <c r="A40" s="19" t="n"/>
      <c r="B40" s="20" t="n"/>
      <c r="C40" s="20" t="n"/>
      <c r="D40" s="46" t="n"/>
      <c r="E40" s="21" t="n"/>
      <c r="F40" s="21" t="n"/>
      <c r="G40" s="19" t="n"/>
      <c r="H40" s="46" t="n"/>
    </row>
    <row r="41">
      <c r="A41" s="16" t="n"/>
      <c r="B41" s="17" t="n"/>
      <c r="C41" s="17" t="n"/>
      <c r="D41" s="44" t="n"/>
      <c r="E41" s="18" t="n"/>
      <c r="F41" s="18" t="n"/>
      <c r="G41" s="16" t="n"/>
      <c r="H41" s="44" t="n"/>
    </row>
    <row r="42">
      <c r="A42" s="19" t="n"/>
      <c r="B42" s="20" t="n"/>
      <c r="C42" s="20" t="n"/>
      <c r="D42" s="46" t="n"/>
      <c r="E42" s="21" t="n"/>
      <c r="F42" s="21" t="n"/>
      <c r="G42" s="19" t="n"/>
      <c r="H42" s="46" t="n"/>
    </row>
    <row r="43">
      <c r="A43" s="16" t="n"/>
      <c r="B43" s="17" t="n"/>
      <c r="C43" s="17" t="n"/>
      <c r="D43" s="44" t="n"/>
      <c r="E43" s="18" t="n"/>
      <c r="F43" s="18" t="n"/>
      <c r="G43" s="16" t="n"/>
      <c r="H43" s="44" t="n"/>
    </row>
    <row r="44">
      <c r="A44" s="19" t="n"/>
      <c r="B44" s="20" t="n"/>
      <c r="C44" s="20" t="n"/>
      <c r="D44" s="46" t="n"/>
      <c r="E44" s="21" t="n"/>
      <c r="F44" s="21" t="n"/>
      <c r="G44" s="19" t="n"/>
      <c r="H44" s="46" t="n"/>
    </row>
    <row r="45">
      <c r="A45" s="16" t="n"/>
      <c r="B45" s="17" t="n"/>
      <c r="C45" s="17" t="n"/>
      <c r="D45" s="44" t="n"/>
      <c r="E45" s="18" t="n"/>
      <c r="F45" s="18" t="n"/>
      <c r="G45" s="16" t="n"/>
      <c r="H45" s="44" t="n"/>
    </row>
    <row r="46">
      <c r="A46" s="19" t="n"/>
      <c r="B46" s="20" t="n"/>
      <c r="C46" s="20" t="n"/>
      <c r="D46" s="46" t="n"/>
      <c r="E46" s="21" t="n"/>
      <c r="F46" s="21" t="n"/>
      <c r="G46" s="19" t="n"/>
      <c r="H46" s="46" t="n"/>
    </row>
    <row r="47">
      <c r="A47" s="16" t="n"/>
      <c r="B47" s="17" t="n"/>
      <c r="C47" s="17" t="n"/>
      <c r="D47" s="44" t="n"/>
      <c r="E47" s="18" t="n"/>
      <c r="F47" s="18" t="n"/>
      <c r="G47" s="16" t="n"/>
      <c r="H47" s="44" t="n"/>
    </row>
    <row r="48">
      <c r="A48" s="19" t="n"/>
      <c r="B48" s="20" t="n"/>
      <c r="C48" s="20" t="n"/>
      <c r="D48" s="46" t="n"/>
      <c r="E48" s="21" t="n"/>
      <c r="F48" s="21" t="n"/>
      <c r="G48" s="19" t="n"/>
      <c r="H48" s="46" t="n"/>
    </row>
    <row r="49">
      <c r="A49" s="16" t="n"/>
      <c r="B49" s="17" t="n"/>
      <c r="C49" s="17" t="n"/>
      <c r="D49" s="44" t="n"/>
      <c r="E49" s="18" t="n"/>
      <c r="F49" s="18" t="n"/>
      <c r="G49" s="16" t="n"/>
      <c r="H49" s="44" t="n"/>
    </row>
    <row r="50">
      <c r="A50" s="19" t="n"/>
      <c r="B50" s="20" t="n"/>
      <c r="C50" s="20" t="n"/>
      <c r="D50" s="46" t="n"/>
      <c r="E50" s="21" t="n"/>
      <c r="F50" s="21" t="n"/>
      <c r="G50" s="19" t="n"/>
      <c r="H50" s="46" t="n"/>
    </row>
    <row r="51">
      <c r="A51" s="16" t="n"/>
      <c r="B51" s="17" t="n"/>
      <c r="C51" s="17" t="n"/>
      <c r="D51" s="44" t="n"/>
      <c r="E51" s="18" t="n"/>
      <c r="F51" s="18" t="n"/>
      <c r="G51" s="16" t="n"/>
      <c r="H51" s="44" t="n"/>
    </row>
    <row r="52">
      <c r="A52" s="19" t="n"/>
      <c r="B52" s="20" t="n"/>
      <c r="C52" s="20" t="n"/>
      <c r="D52" s="46" t="n"/>
      <c r="E52" s="21" t="n"/>
      <c r="F52" s="21" t="n"/>
      <c r="G52" s="19" t="n"/>
      <c r="H52" s="46" t="n"/>
    </row>
    <row r="53">
      <c r="A53" s="16" t="n"/>
      <c r="B53" s="17" t="n"/>
      <c r="C53" s="17" t="n"/>
      <c r="D53" s="44" t="n"/>
      <c r="E53" s="18" t="n"/>
      <c r="F53" s="18" t="n"/>
      <c r="G53" s="16" t="n"/>
      <c r="H53" s="44" t="n"/>
    </row>
    <row r="54">
      <c r="A54" s="19" t="n"/>
      <c r="B54" s="20" t="n"/>
      <c r="C54" s="20" t="n"/>
      <c r="D54" s="46" t="n"/>
      <c r="E54" s="21" t="n"/>
      <c r="F54" s="21" t="n"/>
      <c r="G54" s="19" t="n"/>
      <c r="H54" s="46" t="n"/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4F48"/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6" customWidth="1" min="9" max="9"/>
    <col width="12" customWidth="1" min="10" max="10"/>
  </cols>
  <sheetData>
    <row r="1" ht="46" customHeight="1">
      <c r="A1" s="1" t="inlineStr">
        <is>
          <t xml:space="preserve">  🔁  SUBSCRIPTION TRACKER</t>
        </is>
      </c>
    </row>
    <row r="2" ht="22" customHeight="1">
      <c r="A2" s="2" t="inlineStr">
        <is>
          <t xml:space="preserve">  Find money leaks — every recurring charge, monthly &amp; annual cost, renewal dates.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Service</t>
        </is>
      </c>
      <c r="B4" s="7" t="inlineStr">
        <is>
          <t>Type</t>
        </is>
      </c>
      <c r="C4" s="7" t="inlineStr">
        <is>
          <t>Billing</t>
        </is>
      </c>
      <c r="D4" s="7" t="inlineStr">
        <is>
          <t>Monthly</t>
        </is>
      </c>
      <c r="E4" s="7" t="inlineStr">
        <is>
          <t>Annual</t>
        </is>
      </c>
      <c r="F4" s="7" t="inlineStr">
        <is>
          <t>Renews</t>
        </is>
      </c>
      <c r="G4" s="7" t="inlineStr">
        <is>
          <t>Status</t>
        </is>
      </c>
      <c r="I4" s="4" t="inlineStr">
        <is>
          <t>TOTALS</t>
        </is>
      </c>
    </row>
    <row r="5">
      <c r="A5" s="16" t="inlineStr">
        <is>
          <t>Netflix</t>
        </is>
      </c>
      <c r="B5" s="17" t="inlineStr">
        <is>
          <t>Streaming</t>
        </is>
      </c>
      <c r="C5" s="17" t="inlineStr">
        <is>
          <t>Monthly</t>
        </is>
      </c>
      <c r="D5" s="44" t="n">
        <v>18</v>
      </c>
      <c r="E5" s="44" t="n">
        <v>216</v>
      </c>
      <c r="F5" s="18" t="n">
        <v>46215</v>
      </c>
      <c r="G5" s="16" t="inlineStr">
        <is>
          <t>Active</t>
        </is>
      </c>
      <c r="I5" s="23" t="inlineStr">
        <is>
          <t>Monthly total</t>
        </is>
      </c>
      <c r="J5" s="36">
        <f>SUM(SubMonthly)</f>
        <v/>
      </c>
    </row>
    <row r="6">
      <c r="A6" s="19" t="inlineStr">
        <is>
          <t>Disney+ Bundle</t>
        </is>
      </c>
      <c r="B6" s="20" t="inlineStr">
        <is>
          <t>Streaming</t>
        </is>
      </c>
      <c r="C6" s="20" t="inlineStr">
        <is>
          <t>Monthly</t>
        </is>
      </c>
      <c r="D6" s="46" t="n">
        <v>20</v>
      </c>
      <c r="E6" s="46" t="n">
        <v>240</v>
      </c>
      <c r="F6" s="21" t="n">
        <v>46223</v>
      </c>
      <c r="G6" s="19" t="inlineStr">
        <is>
          <t>Active</t>
        </is>
      </c>
      <c r="I6" s="23" t="inlineStr">
        <is>
          <t>Annual total</t>
        </is>
      </c>
      <c r="J6" s="36">
        <f>SUM(SubAnnual)</f>
        <v/>
      </c>
    </row>
    <row r="7">
      <c r="A7" s="16" t="inlineStr">
        <is>
          <t>Spotify Family</t>
        </is>
      </c>
      <c r="B7" s="17" t="inlineStr">
        <is>
          <t>Streaming</t>
        </is>
      </c>
      <c r="C7" s="17" t="inlineStr">
        <is>
          <t>Monthly</t>
        </is>
      </c>
      <c r="D7" s="44" t="n">
        <v>17</v>
      </c>
      <c r="E7" s="44" t="n">
        <v>204</v>
      </c>
      <c r="F7" s="18" t="n">
        <v>46211</v>
      </c>
      <c r="G7" s="16" t="inlineStr">
        <is>
          <t>Active</t>
        </is>
      </c>
    </row>
    <row r="8">
      <c r="A8" s="19" t="inlineStr">
        <is>
          <t>Amazon Prime</t>
        </is>
      </c>
      <c r="B8" s="20" t="inlineStr">
        <is>
          <t>Memberships</t>
        </is>
      </c>
      <c r="C8" s="20" t="inlineStr">
        <is>
          <t>Yearly</t>
        </is>
      </c>
      <c r="D8" s="46" t="n">
        <v>12</v>
      </c>
      <c r="E8" s="46" t="n">
        <v>139</v>
      </c>
      <c r="F8" s="21" t="n">
        <v>46353</v>
      </c>
      <c r="G8" s="19" t="inlineStr">
        <is>
          <t>Active</t>
        </is>
      </c>
    </row>
    <row r="9">
      <c r="A9" s="16" t="inlineStr">
        <is>
          <t>Microsoft 365</t>
        </is>
      </c>
      <c r="B9" s="17" t="inlineStr">
        <is>
          <t>Software</t>
        </is>
      </c>
      <c r="C9" s="17" t="inlineStr">
        <is>
          <t>Yearly</t>
        </is>
      </c>
      <c r="D9" s="44" t="n">
        <v>8</v>
      </c>
      <c r="E9" s="44" t="n">
        <v>99</v>
      </c>
      <c r="F9" s="18" t="n">
        <v>46403</v>
      </c>
      <c r="G9" s="16" t="inlineStr">
        <is>
          <t>Active</t>
        </is>
      </c>
    </row>
    <row r="10">
      <c r="A10" s="19" t="inlineStr">
        <is>
          <t>Gym Family</t>
        </is>
      </c>
      <c r="B10" s="20" t="inlineStr">
        <is>
          <t>Gym</t>
        </is>
      </c>
      <c r="C10" s="20" t="inlineStr">
        <is>
          <t>Monthly</t>
        </is>
      </c>
      <c r="D10" s="46" t="n">
        <v>45</v>
      </c>
      <c r="E10" s="46" t="n">
        <v>540</v>
      </c>
      <c r="F10" s="21" t="n">
        <v>46219</v>
      </c>
      <c r="G10" s="19" t="inlineStr">
        <is>
          <t>Active</t>
        </is>
      </c>
    </row>
    <row r="11">
      <c r="A11" s="16" t="inlineStr">
        <is>
          <t>Kids Art Class</t>
        </is>
      </c>
      <c r="B11" s="17" t="inlineStr">
        <is>
          <t>Kids Activities</t>
        </is>
      </c>
      <c r="C11" s="17" t="inlineStr">
        <is>
          <t>Monthly</t>
        </is>
      </c>
      <c r="D11" s="44" t="n">
        <v>60</v>
      </c>
      <c r="E11" s="44" t="n">
        <v>720</v>
      </c>
      <c r="F11" s="18" t="n">
        <v>46212</v>
      </c>
      <c r="G11" s="16" t="inlineStr">
        <is>
          <t>Active</t>
        </is>
      </c>
    </row>
    <row r="12">
      <c r="A12" s="19" t="inlineStr">
        <is>
          <t>Cloud Storage</t>
        </is>
      </c>
      <c r="B12" s="20" t="inlineStr">
        <is>
          <t>Software</t>
        </is>
      </c>
      <c r="C12" s="20" t="inlineStr">
        <is>
          <t>Monthly</t>
        </is>
      </c>
      <c r="D12" s="46" t="n">
        <v>10</v>
      </c>
      <c r="E12" s="46" t="n">
        <v>120</v>
      </c>
      <c r="F12" s="21" t="n">
        <v>46208</v>
      </c>
      <c r="G12" s="19" t="inlineStr">
        <is>
          <t>Review</t>
        </is>
      </c>
    </row>
    <row r="13">
      <c r="A13" s="16" t="inlineStr">
        <is>
          <t>Meal Kit</t>
        </is>
      </c>
      <c r="B13" s="17" t="inlineStr">
        <is>
          <t>Memberships</t>
        </is>
      </c>
      <c r="C13" s="17" t="inlineStr">
        <is>
          <t>Monthly</t>
        </is>
      </c>
      <c r="D13" s="44" t="n">
        <v>0</v>
      </c>
      <c r="E13" s="44" t="n">
        <v>0</v>
      </c>
      <c r="F13" s="18" t="inlineStr"/>
      <c r="G13" s="16" t="inlineStr">
        <is>
          <t>Paused</t>
        </is>
      </c>
    </row>
    <row r="14">
      <c r="A14" s="19" t="inlineStr">
        <is>
          <t>News Subscription</t>
        </is>
      </c>
      <c r="B14" s="20" t="inlineStr">
        <is>
          <t>Memberships</t>
        </is>
      </c>
      <c r="C14" s="20" t="inlineStr">
        <is>
          <t>Monthly</t>
        </is>
      </c>
      <c r="D14" s="46" t="n">
        <v>15</v>
      </c>
      <c r="E14" s="46" t="n">
        <v>180</v>
      </c>
      <c r="F14" s="21" t="n">
        <v>46225</v>
      </c>
      <c r="G14" s="19" t="inlineStr">
        <is>
          <t>Consider cancel</t>
        </is>
      </c>
    </row>
    <row r="15">
      <c r="A15" s="16" t="n"/>
      <c r="B15" s="17" t="n"/>
      <c r="C15" s="17" t="n"/>
      <c r="D15" s="44" t="n"/>
      <c r="E15" s="44" t="n"/>
      <c r="F15" s="18" t="n"/>
      <c r="G15" s="16" t="n"/>
    </row>
    <row r="16">
      <c r="A16" s="19" t="n"/>
      <c r="B16" s="20" t="n"/>
      <c r="C16" s="20" t="n"/>
      <c r="D16" s="46" t="n"/>
      <c r="E16" s="46" t="n"/>
      <c r="F16" s="21" t="n"/>
      <c r="G16" s="19" t="n"/>
    </row>
    <row r="17">
      <c r="A17" s="16" t="n"/>
      <c r="B17" s="17" t="n"/>
      <c r="C17" s="17" t="n"/>
      <c r="D17" s="44" t="n"/>
      <c r="E17" s="44" t="n"/>
      <c r="F17" s="18" t="n"/>
      <c r="G17" s="16" t="n"/>
    </row>
    <row r="18">
      <c r="A18" s="19" t="n"/>
      <c r="B18" s="20" t="n"/>
      <c r="C18" s="20" t="n"/>
      <c r="D18" s="46" t="n"/>
      <c r="E18" s="46" t="n"/>
      <c r="F18" s="21" t="n"/>
      <c r="G18" s="19" t="n"/>
    </row>
    <row r="19">
      <c r="A19" s="16" t="n"/>
      <c r="B19" s="17" t="n"/>
      <c r="C19" s="17" t="n"/>
      <c r="D19" s="44" t="n"/>
      <c r="E19" s="44" t="n"/>
      <c r="F19" s="18" t="n"/>
      <c r="G19" s="16" t="n"/>
    </row>
    <row r="20">
      <c r="A20" s="19" t="n"/>
      <c r="B20" s="20" t="n"/>
      <c r="C20" s="20" t="n"/>
      <c r="D20" s="46" t="n"/>
      <c r="E20" s="46" t="n"/>
      <c r="F20" s="21" t="n"/>
      <c r="G20" s="19" t="n"/>
    </row>
    <row r="21">
      <c r="A21" s="16" t="n"/>
      <c r="B21" s="17" t="n"/>
      <c r="C21" s="17" t="n"/>
      <c r="D21" s="44" t="n"/>
      <c r="E21" s="44" t="n"/>
      <c r="F21" s="18" t="n"/>
      <c r="G21" s="16" t="n"/>
    </row>
    <row r="22">
      <c r="A22" s="19" t="n"/>
      <c r="B22" s="20" t="n"/>
      <c r="C22" s="20" t="n"/>
      <c r="D22" s="46" t="n"/>
      <c r="E22" s="46" t="n"/>
      <c r="F22" s="21" t="n"/>
      <c r="G22" s="19" t="n"/>
    </row>
    <row r="23">
      <c r="A23" s="16" t="n"/>
      <c r="B23" s="17" t="n"/>
      <c r="C23" s="17" t="n"/>
      <c r="D23" s="44" t="n"/>
      <c r="E23" s="44" t="n"/>
      <c r="F23" s="18" t="n"/>
      <c r="G23" s="16" t="n"/>
    </row>
    <row r="24">
      <c r="A24" s="19" t="n"/>
      <c r="B24" s="20" t="n"/>
      <c r="C24" s="20" t="n"/>
      <c r="D24" s="46" t="n"/>
      <c r="E24" s="46" t="n"/>
      <c r="F24" s="21" t="n"/>
      <c r="G24" s="19" t="n"/>
    </row>
    <row r="25">
      <c r="A25" s="16" t="n"/>
      <c r="B25" s="17" t="n"/>
      <c r="C25" s="17" t="n"/>
      <c r="D25" s="44" t="n"/>
      <c r="E25" s="44" t="n"/>
      <c r="F25" s="18" t="n"/>
      <c r="G25" s="16" t="n"/>
    </row>
    <row r="26">
      <c r="A26" s="19" t="n"/>
      <c r="B26" s="20" t="n"/>
      <c r="C26" s="20" t="n"/>
      <c r="D26" s="46" t="n"/>
      <c r="E26" s="46" t="n"/>
      <c r="F26" s="21" t="n"/>
      <c r="G26" s="19" t="n"/>
    </row>
    <row r="27">
      <c r="A27" s="16" t="n"/>
      <c r="B27" s="17" t="n"/>
      <c r="C27" s="17" t="n"/>
      <c r="D27" s="44" t="n"/>
      <c r="E27" s="44" t="n"/>
      <c r="F27" s="18" t="n"/>
      <c r="G27" s="16" t="n"/>
    </row>
    <row r="28">
      <c r="A28" s="19" t="n"/>
      <c r="B28" s="20" t="n"/>
      <c r="C28" s="20" t="n"/>
      <c r="D28" s="46" t="n"/>
      <c r="E28" s="46" t="n"/>
      <c r="F28" s="21" t="n"/>
      <c r="G28" s="19" t="n"/>
    </row>
    <row r="29">
      <c r="A29" s="16" t="n"/>
      <c r="B29" s="17" t="n"/>
      <c r="C29" s="17" t="n"/>
      <c r="D29" s="44" t="n"/>
      <c r="E29" s="44" t="n"/>
      <c r="F29" s="18" t="n"/>
      <c r="G29" s="16" t="n"/>
    </row>
    <row r="30">
      <c r="A30" s="19" t="n"/>
      <c r="B30" s="20" t="n"/>
      <c r="C30" s="20" t="n"/>
      <c r="D30" s="46" t="n"/>
      <c r="E30" s="46" t="n"/>
      <c r="F30" s="21" t="n"/>
      <c r="G30" s="19" t="n"/>
    </row>
    <row r="31">
      <c r="A31" s="16" t="n"/>
      <c r="B31" s="17" t="n"/>
      <c r="C31" s="17" t="n"/>
      <c r="D31" s="44" t="n"/>
      <c r="E31" s="44" t="n"/>
      <c r="F31" s="18" t="n"/>
      <c r="G31" s="16" t="n"/>
    </row>
    <row r="32">
      <c r="A32" s="19" t="n"/>
      <c r="B32" s="20" t="n"/>
      <c r="C32" s="20" t="n"/>
      <c r="D32" s="46" t="n"/>
      <c r="E32" s="46" t="n"/>
      <c r="F32" s="21" t="n"/>
      <c r="G32" s="19" t="n"/>
    </row>
    <row r="33">
      <c r="A33" s="16" t="n"/>
      <c r="B33" s="17" t="n"/>
      <c r="C33" s="17" t="n"/>
      <c r="D33" s="44" t="n"/>
      <c r="E33" s="44" t="n"/>
      <c r="F33" s="18" t="n"/>
      <c r="G33" s="16" t="n"/>
    </row>
    <row r="34">
      <c r="A34" s="19" t="n"/>
      <c r="B34" s="20" t="n"/>
      <c r="C34" s="20" t="n"/>
      <c r="D34" s="46" t="n"/>
      <c r="E34" s="46" t="n"/>
      <c r="F34" s="21" t="n"/>
      <c r="G34" s="19" t="n"/>
    </row>
    <row r="35">
      <c r="A35" s="16" t="n"/>
      <c r="B35" s="17" t="n"/>
      <c r="C35" s="17" t="n"/>
      <c r="D35" s="44" t="n"/>
      <c r="E35" s="44" t="n"/>
      <c r="F35" s="18" t="n"/>
      <c r="G35" s="16" t="n"/>
    </row>
    <row r="36">
      <c r="A36" s="19" t="n"/>
      <c r="B36" s="20" t="n"/>
      <c r="C36" s="20" t="n"/>
      <c r="D36" s="46" t="n"/>
      <c r="E36" s="46" t="n"/>
      <c r="F36" s="21" t="n"/>
      <c r="G36" s="19" t="n"/>
    </row>
    <row r="37">
      <c r="A37" s="16" t="n"/>
      <c r="B37" s="17" t="n"/>
      <c r="C37" s="17" t="n"/>
      <c r="D37" s="44" t="n"/>
      <c r="E37" s="44" t="n"/>
      <c r="F37" s="18" t="n"/>
      <c r="G37" s="16" t="n"/>
    </row>
    <row r="38">
      <c r="A38" s="19" t="n"/>
      <c r="B38" s="20" t="n"/>
      <c r="C38" s="20" t="n"/>
      <c r="D38" s="46" t="n"/>
      <c r="E38" s="46" t="n"/>
      <c r="F38" s="21" t="n"/>
      <c r="G38" s="19" t="n"/>
    </row>
    <row r="39">
      <c r="A39" s="16" t="n"/>
      <c r="B39" s="17" t="n"/>
      <c r="C39" s="17" t="n"/>
      <c r="D39" s="44" t="n"/>
      <c r="E39" s="44" t="n"/>
      <c r="F39" s="18" t="n"/>
      <c r="G39" s="16" t="n"/>
    </row>
    <row r="40">
      <c r="A40" s="19" t="n"/>
      <c r="B40" s="20" t="n"/>
      <c r="C40" s="20" t="n"/>
      <c r="D40" s="46" t="n"/>
      <c r="E40" s="46" t="n"/>
      <c r="F40" s="21" t="n"/>
      <c r="G40" s="19" t="n"/>
    </row>
    <row r="41">
      <c r="A41" s="16" t="n"/>
      <c r="B41" s="17" t="n"/>
      <c r="C41" s="17" t="n"/>
      <c r="D41" s="44" t="n"/>
      <c r="E41" s="44" t="n"/>
      <c r="F41" s="18" t="n"/>
      <c r="G41" s="16" t="n"/>
    </row>
    <row r="42">
      <c r="A42" s="19" t="n"/>
      <c r="B42" s="20" t="n"/>
      <c r="C42" s="20" t="n"/>
      <c r="D42" s="46" t="n"/>
      <c r="E42" s="46" t="n"/>
      <c r="F42" s="21" t="n"/>
      <c r="G42" s="19" t="n"/>
    </row>
    <row r="43">
      <c r="A43" s="16" t="n"/>
      <c r="B43" s="17" t="n"/>
      <c r="C43" s="17" t="n"/>
      <c r="D43" s="44" t="n"/>
      <c r="E43" s="44" t="n"/>
      <c r="F43" s="18" t="n"/>
      <c r="G43" s="16" t="n"/>
    </row>
    <row r="44">
      <c r="A44" s="19" t="n"/>
      <c r="B44" s="20" t="n"/>
      <c r="C44" s="20" t="n"/>
      <c r="D44" s="46" t="n"/>
      <c r="E44" s="46" t="n"/>
      <c r="F44" s="21" t="n"/>
      <c r="G44" s="19" t="n"/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37356"/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2" customWidth="1" min="4" max="4"/>
    <col width="14" customWidth="1" min="5" max="5"/>
    <col width="24" customWidth="1" min="6" max="6"/>
  </cols>
  <sheetData>
    <row r="1" ht="46" customHeight="1">
      <c r="A1" s="1" t="inlineStr">
        <is>
          <t xml:space="preserve">  🎯  FAMILY GOALS</t>
        </is>
      </c>
    </row>
    <row r="2" ht="22" customHeight="1">
      <c r="A2" s="2" t="inlineStr">
        <is>
          <t xml:space="preserve">  Where your family is headed — milestones with automatic progress bars.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7" t="inlineStr">
        <is>
          <t>Goal</t>
        </is>
      </c>
      <c r="B4" s="7" t="inlineStr">
        <is>
          <t>Category</t>
        </is>
      </c>
      <c r="C4" s="7" t="inlineStr">
        <is>
          <t>Target Date</t>
        </is>
      </c>
      <c r="D4" s="7" t="inlineStr">
        <is>
          <t>Progress</t>
        </is>
      </c>
      <c r="E4" s="7" t="inlineStr">
        <is>
          <t>Status</t>
        </is>
      </c>
      <c r="F4" s="7" t="inlineStr">
        <is>
          <t>Notes</t>
        </is>
      </c>
    </row>
    <row r="5">
      <c r="A5" s="16" t="inlineStr">
        <is>
          <t>Build 6-month emergency fund</t>
        </is>
      </c>
      <c r="B5" s="17" t="inlineStr">
        <is>
          <t>Financial</t>
        </is>
      </c>
      <c r="C5" s="18" t="n">
        <v>46503</v>
      </c>
      <c r="D5" s="52" t="n">
        <v>0.55</v>
      </c>
      <c r="E5" s="17" t="inlineStr">
        <is>
          <t>In Progress</t>
        </is>
      </c>
      <c r="F5" s="16" t="inlineStr"/>
    </row>
    <row r="6">
      <c r="A6" s="19" t="inlineStr">
        <is>
          <t>Pay off credit card</t>
        </is>
      </c>
      <c r="B6" s="20" t="inlineStr">
        <is>
          <t>Financial</t>
        </is>
      </c>
      <c r="C6" s="21" t="n">
        <v>46353</v>
      </c>
      <c r="D6" s="39" t="n">
        <v>0.4</v>
      </c>
      <c r="E6" s="20" t="inlineStr">
        <is>
          <t>In Progress</t>
        </is>
      </c>
      <c r="F6" s="19" t="inlineStr"/>
    </row>
    <row r="7">
      <c r="A7" s="16" t="inlineStr">
        <is>
          <t>Renovate the kitchen</t>
        </is>
      </c>
      <c r="B7" s="17" t="inlineStr">
        <is>
          <t>Home</t>
        </is>
      </c>
      <c r="C7" s="18" t="n">
        <v>46568</v>
      </c>
      <c r="D7" s="52" t="n">
        <v>0.2</v>
      </c>
      <c r="E7" s="17" t="inlineStr">
        <is>
          <t>In Progress</t>
        </is>
      </c>
      <c r="F7" s="16" t="inlineStr">
        <is>
          <t>See Projects</t>
        </is>
      </c>
    </row>
    <row r="8">
      <c r="A8" s="19" t="inlineStr">
        <is>
          <t>Family trip to the coast</t>
        </is>
      </c>
      <c r="B8" s="20" t="inlineStr">
        <is>
          <t>Travel</t>
        </is>
      </c>
      <c r="C8" s="21" t="n">
        <v>46323</v>
      </c>
      <c r="D8" s="39" t="n">
        <v>0.6</v>
      </c>
      <c r="E8" s="20" t="inlineStr">
        <is>
          <t>In Progress</t>
        </is>
      </c>
      <c r="F8" s="19" t="inlineStr">
        <is>
          <t>See Travel</t>
        </is>
      </c>
    </row>
    <row r="9">
      <c r="A9" s="16" t="inlineStr">
        <is>
          <t>Emma reads 20 books</t>
        </is>
      </c>
      <c r="B9" s="17" t="inlineStr">
        <is>
          <t>Education</t>
        </is>
      </c>
      <c r="C9" s="18" t="n">
        <v>46383</v>
      </c>
      <c r="D9" s="52" t="n">
        <v>0.45</v>
      </c>
      <c r="E9" s="17" t="inlineStr">
        <is>
          <t>In Progress</t>
        </is>
      </c>
      <c r="F9" s="16" t="inlineStr">
        <is>
          <t>Reading log</t>
        </is>
      </c>
    </row>
    <row r="10">
      <c r="A10" s="19" t="inlineStr">
        <is>
          <t>Family 5k in spring</t>
        </is>
      </c>
      <c r="B10" s="20" t="inlineStr">
        <is>
          <t>Health</t>
        </is>
      </c>
      <c r="C10" s="21" t="n">
        <v>46293</v>
      </c>
      <c r="D10" s="39" t="n">
        <v>0.35</v>
      </c>
      <c r="E10" s="20" t="inlineStr">
        <is>
          <t>In Progress</t>
        </is>
      </c>
      <c r="F10" s="19" t="inlineStr"/>
    </row>
    <row r="11">
      <c r="A11" s="16" t="inlineStr">
        <is>
          <t>Declutter whole house</t>
        </is>
      </c>
      <c r="B11" s="17" t="inlineStr">
        <is>
          <t>Home</t>
        </is>
      </c>
      <c r="C11" s="18" t="n">
        <v>46263</v>
      </c>
      <c r="D11" s="52" t="n">
        <v>0.5</v>
      </c>
      <c r="E11" s="17" t="inlineStr">
        <is>
          <t>In Progress</t>
        </is>
      </c>
      <c r="F11" s="16" t="inlineStr"/>
    </row>
    <row r="12">
      <c r="A12" s="19" t="inlineStr">
        <is>
          <t>Date night 2x / month</t>
        </is>
      </c>
      <c r="B12" s="20" t="inlineStr">
        <is>
          <t>Personal</t>
        </is>
      </c>
      <c r="C12" s="21" t="n">
        <v>46233</v>
      </c>
      <c r="D12" s="39" t="n">
        <v>0.7</v>
      </c>
      <c r="E12" s="20" t="inlineStr">
        <is>
          <t>In Progress</t>
        </is>
      </c>
      <c r="F12" s="19" t="inlineStr"/>
    </row>
    <row r="13">
      <c r="A13" s="16" t="n"/>
      <c r="B13" s="17" t="n"/>
      <c r="C13" s="18" t="n"/>
      <c r="D13" s="52" t="n"/>
      <c r="E13" s="17" t="n"/>
      <c r="F13" s="16" t="n"/>
    </row>
    <row r="14">
      <c r="A14" s="19" t="n"/>
      <c r="B14" s="20" t="n"/>
      <c r="C14" s="21" t="n"/>
      <c r="D14" s="39" t="n"/>
      <c r="E14" s="20" t="n"/>
      <c r="F14" s="19" t="n"/>
    </row>
    <row r="15">
      <c r="A15" s="16" t="n"/>
      <c r="B15" s="17" t="n"/>
      <c r="C15" s="18" t="n"/>
      <c r="D15" s="52" t="n"/>
      <c r="E15" s="17" t="n"/>
      <c r="F15" s="16" t="n"/>
    </row>
    <row r="16">
      <c r="A16" s="19" t="n"/>
      <c r="B16" s="20" t="n"/>
      <c r="C16" s="21" t="n"/>
      <c r="D16" s="39" t="n"/>
      <c r="E16" s="20" t="n"/>
      <c r="F16" s="19" t="n"/>
    </row>
    <row r="17">
      <c r="A17" s="16" t="n"/>
      <c r="B17" s="17" t="n"/>
      <c r="C17" s="18" t="n"/>
      <c r="D17" s="52" t="n"/>
      <c r="E17" s="17" t="n"/>
      <c r="F17" s="16" t="n"/>
    </row>
    <row r="18">
      <c r="A18" s="19" t="n"/>
      <c r="B18" s="20" t="n"/>
      <c r="C18" s="21" t="n"/>
      <c r="D18" s="39" t="n"/>
      <c r="E18" s="20" t="n"/>
      <c r="F18" s="19" t="n"/>
    </row>
    <row r="19">
      <c r="A19" s="16" t="n"/>
      <c r="B19" s="17" t="n"/>
      <c r="C19" s="18" t="n"/>
      <c r="D19" s="52" t="n"/>
      <c r="E19" s="17" t="n"/>
      <c r="F19" s="16" t="n"/>
    </row>
    <row r="20">
      <c r="A20" s="19" t="n"/>
      <c r="B20" s="20" t="n"/>
      <c r="C20" s="21" t="n"/>
      <c r="D20" s="39" t="n"/>
      <c r="E20" s="20" t="n"/>
      <c r="F20" s="19" t="n"/>
    </row>
    <row r="21">
      <c r="A21" s="16" t="n"/>
      <c r="B21" s="17" t="n"/>
      <c r="C21" s="18" t="n"/>
      <c r="D21" s="52" t="n"/>
      <c r="E21" s="17" t="n"/>
      <c r="F21" s="16" t="n"/>
    </row>
    <row r="22">
      <c r="A22" s="19" t="n"/>
      <c r="B22" s="20" t="n"/>
      <c r="C22" s="21" t="n"/>
      <c r="D22" s="39" t="n"/>
      <c r="E22" s="20" t="n"/>
      <c r="F22" s="19" t="n"/>
    </row>
    <row r="23">
      <c r="A23" s="16" t="n"/>
      <c r="B23" s="17" t="n"/>
      <c r="C23" s="18" t="n"/>
      <c r="D23" s="52" t="n"/>
      <c r="E23" s="17" t="n"/>
      <c r="F23" s="16" t="n"/>
    </row>
    <row r="24">
      <c r="A24" s="19" t="n"/>
      <c r="B24" s="20" t="n"/>
      <c r="C24" s="21" t="n"/>
      <c r="D24" s="39" t="n"/>
      <c r="E24" s="20" t="n"/>
      <c r="F24" s="19" t="n"/>
    </row>
    <row r="25">
      <c r="A25" s="16" t="n"/>
      <c r="B25" s="17" t="n"/>
      <c r="C25" s="18" t="n"/>
      <c r="D25" s="52" t="n"/>
      <c r="E25" s="17" t="n"/>
      <c r="F25" s="16" t="n"/>
    </row>
    <row r="26">
      <c r="A26" s="19" t="n"/>
      <c r="B26" s="20" t="n"/>
      <c r="C26" s="21" t="n"/>
      <c r="D26" s="39" t="n"/>
      <c r="E26" s="20" t="n"/>
      <c r="F26" s="19" t="n"/>
    </row>
    <row r="27">
      <c r="A27" s="16" t="n"/>
      <c r="B27" s="17" t="n"/>
      <c r="C27" s="18" t="n"/>
      <c r="D27" s="52" t="n"/>
      <c r="E27" s="17" t="n"/>
      <c r="F27" s="16" t="n"/>
    </row>
    <row r="28">
      <c r="A28" s="19" t="n"/>
      <c r="B28" s="20" t="n"/>
      <c r="C28" s="21" t="n"/>
      <c r="D28" s="39" t="n"/>
      <c r="E28" s="20" t="n"/>
      <c r="F28" s="19" t="n"/>
    </row>
    <row r="29">
      <c r="A29" s="16" t="n"/>
      <c r="B29" s="17" t="n"/>
      <c r="C29" s="18" t="n"/>
      <c r="D29" s="52" t="n"/>
      <c r="E29" s="17" t="n"/>
      <c r="F29" s="16" t="n"/>
    </row>
    <row r="30">
      <c r="A30" s="19" t="n"/>
      <c r="B30" s="20" t="n"/>
      <c r="C30" s="21" t="n"/>
      <c r="D30" s="39" t="n"/>
      <c r="E30" s="20" t="n"/>
      <c r="F30" s="19" t="n"/>
    </row>
    <row r="31">
      <c r="A31" s="16" t="n"/>
      <c r="B31" s="17" t="n"/>
      <c r="C31" s="18" t="n"/>
      <c r="D31" s="52" t="n"/>
      <c r="E31" s="17" t="n"/>
      <c r="F31" s="16" t="n"/>
    </row>
    <row r="32">
      <c r="A32" s="19" t="n"/>
      <c r="B32" s="20" t="n"/>
      <c r="C32" s="21" t="n"/>
      <c r="D32" s="39" t="n"/>
      <c r="E32" s="20" t="n"/>
      <c r="F32" s="19" t="n"/>
    </row>
    <row r="33">
      <c r="A33" s="16" t="n"/>
      <c r="B33" s="17" t="n"/>
      <c r="C33" s="18" t="n"/>
      <c r="D33" s="52" t="n"/>
      <c r="E33" s="17" t="n"/>
      <c r="F33" s="16" t="n"/>
    </row>
    <row r="34">
      <c r="A34" s="19" t="n"/>
      <c r="B34" s="20" t="n"/>
      <c r="C34" s="21" t="n"/>
      <c r="D34" s="39" t="n"/>
      <c r="E34" s="20" t="n"/>
      <c r="F34" s="19" t="n"/>
    </row>
    <row r="35">
      <c r="A35" s="16" t="n"/>
      <c r="B35" s="17" t="n"/>
      <c r="C35" s="18" t="n"/>
      <c r="D35" s="52" t="n"/>
      <c r="E35" s="17" t="n"/>
      <c r="F35" s="16" t="n"/>
    </row>
    <row r="36">
      <c r="A36" s="19" t="n"/>
      <c r="B36" s="20" t="n"/>
      <c r="C36" s="21" t="n"/>
      <c r="D36" s="39" t="n"/>
      <c r="E36" s="20" t="n"/>
      <c r="F36" s="19" t="n"/>
    </row>
    <row r="37">
      <c r="A37" s="16" t="n"/>
      <c r="B37" s="17" t="n"/>
      <c r="C37" s="18" t="n"/>
      <c r="D37" s="52" t="n"/>
      <c r="E37" s="17" t="n"/>
      <c r="F37" s="16" t="n"/>
    </row>
    <row r="38">
      <c r="A38" s="19" t="n"/>
      <c r="B38" s="20" t="n"/>
      <c r="C38" s="21" t="n"/>
      <c r="D38" s="39" t="n"/>
      <c r="E38" s="20" t="n"/>
      <c r="F38" s="19" t="n"/>
    </row>
    <row r="39">
      <c r="A39" s="16" t="n"/>
      <c r="B39" s="17" t="n"/>
      <c r="C39" s="18" t="n"/>
      <c r="D39" s="52" t="n"/>
      <c r="E39" s="17" t="n"/>
      <c r="F39" s="16" t="n"/>
    </row>
    <row r="40">
      <c r="A40" s="19" t="n"/>
      <c r="B40" s="20" t="n"/>
      <c r="C40" s="21" t="n"/>
      <c r="D40" s="39" t="n"/>
      <c r="E40" s="20" t="n"/>
      <c r="F40" s="19" t="n"/>
    </row>
    <row r="41">
      <c r="A41" s="16" t="n"/>
      <c r="B41" s="17" t="n"/>
      <c r="C41" s="18" t="n"/>
      <c r="D41" s="52" t="n"/>
      <c r="E41" s="17" t="n"/>
      <c r="F41" s="16" t="n"/>
    </row>
    <row r="42">
      <c r="A42" s="19" t="n"/>
      <c r="B42" s="20" t="n"/>
      <c r="C42" s="21" t="n"/>
      <c r="D42" s="39" t="n"/>
      <c r="E42" s="20" t="n"/>
      <c r="F42" s="19" t="n"/>
    </row>
    <row r="43">
      <c r="A43" s="16" t="n"/>
      <c r="B43" s="17" t="n"/>
      <c r="C43" s="18" t="n"/>
      <c r="D43" s="52" t="n"/>
      <c r="E43" s="17" t="n"/>
      <c r="F43" s="16" t="n"/>
    </row>
    <row r="44">
      <c r="A44" s="19" t="n"/>
      <c r="B44" s="20" t="n"/>
      <c r="C44" s="21" t="n"/>
      <c r="D44" s="39" t="n"/>
      <c r="E44" s="20" t="n"/>
      <c r="F44" s="19" t="n"/>
    </row>
  </sheetData>
  <mergeCells count="2">
    <mergeCell ref="A2:F2"/>
    <mergeCell ref="A1:F1"/>
  </mergeCells>
  <conditionalFormatting sqref="D5:D44">
    <cfRule type="dataBar" priority="1">
      <dataBar showValue="1">
        <cfvo type="num" val="0"/>
        <cfvo type="num" val="1"/>
        <color rgb="0075E6C1"/>
      </dataBar>
    </cfRule>
  </conditionalFormatting>
  <dataValidations count="2">
    <dataValidation sqref="B5:B44" showDropDown="0" showInputMessage="0" showErrorMessage="0" allowBlank="1" type="list">
      <formula1>=GoalCatList</formula1>
    </dataValidation>
    <dataValidation sqref="E5:E4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5E6C1"/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  <col width="22" customWidth="1" min="7" max="7"/>
  </cols>
  <sheetData>
    <row r="1" ht="46" customHeight="1">
      <c r="A1" s="1" t="inlineStr">
        <is>
          <t xml:space="preserve">  🏦  SAVINGS PLANNER</t>
        </is>
      </c>
    </row>
    <row r="2" ht="22" customHeight="1">
      <c r="A2" s="2" t="inlineStr">
        <is>
          <t xml:space="preserve">  Every savings goal in one view — funded progress updates automatically.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Fund</t>
        </is>
      </c>
      <c r="B4" s="7" t="inlineStr">
        <is>
          <t>Target</t>
        </is>
      </c>
      <c r="C4" s="7" t="inlineStr">
        <is>
          <t>Saved</t>
        </is>
      </c>
      <c r="D4" s="7" t="inlineStr">
        <is>
          <t>Monthly Add</t>
        </is>
      </c>
      <c r="E4" s="7" t="inlineStr">
        <is>
          <t>Target Date</t>
        </is>
      </c>
      <c r="F4" s="7" t="inlineStr">
        <is>
          <t>Funded</t>
        </is>
      </c>
      <c r="G4" s="7" t="inlineStr">
        <is>
          <t>Notes</t>
        </is>
      </c>
    </row>
    <row r="5">
      <c r="A5" s="27" t="inlineStr">
        <is>
          <t>Emergency Fund</t>
        </is>
      </c>
      <c r="B5" s="33" t="n">
        <v>18000</v>
      </c>
      <c r="C5" s="33" t="n">
        <v>9900</v>
      </c>
      <c r="D5" s="53" t="n">
        <v>600</v>
      </c>
      <c r="E5" s="54" t="n">
        <v>46503</v>
      </c>
      <c r="F5" s="35">
        <f>IFERROR(C5/B5,0)</f>
        <v/>
      </c>
      <c r="G5" s="27" t="inlineStr">
        <is>
          <t>6-month buffer</t>
        </is>
      </c>
    </row>
    <row r="6">
      <c r="A6" s="19" t="inlineStr">
        <is>
          <t>Vacation</t>
        </is>
      </c>
      <c r="B6" s="37" t="n">
        <v>4000</v>
      </c>
      <c r="C6" s="37" t="n">
        <v>2400</v>
      </c>
      <c r="D6" s="46" t="n">
        <v>250</v>
      </c>
      <c r="E6" s="21" t="n">
        <v>46323</v>
      </c>
      <c r="F6" s="39">
        <f>IFERROR(C6/B6,0)</f>
        <v/>
      </c>
      <c r="G6" s="19" t="inlineStr">
        <is>
          <t>Coast trip</t>
        </is>
      </c>
    </row>
    <row r="7">
      <c r="A7" s="27" t="inlineStr">
        <is>
          <t>Christmas</t>
        </is>
      </c>
      <c r="B7" s="33" t="n">
        <v>1500</v>
      </c>
      <c r="C7" s="33" t="n">
        <v>600</v>
      </c>
      <c r="D7" s="53" t="n">
        <v>150</v>
      </c>
      <c r="E7" s="54" t="n">
        <v>46353</v>
      </c>
      <c r="F7" s="35">
        <f>IFERROR(C7/B7,0)</f>
        <v/>
      </c>
      <c r="G7" s="27" t="inlineStr">
        <is>
          <t>Gifts + travel</t>
        </is>
      </c>
    </row>
    <row r="8">
      <c r="A8" s="19" t="inlineStr">
        <is>
          <t>Home Renovation</t>
        </is>
      </c>
      <c r="B8" s="37" t="n">
        <v>25000</v>
      </c>
      <c r="C8" s="37" t="n">
        <v>5000</v>
      </c>
      <c r="D8" s="46" t="n">
        <v>500</v>
      </c>
      <c r="E8" s="21" t="n">
        <v>46568</v>
      </c>
      <c r="F8" s="39">
        <f>IFERROR(C8/B8,0)</f>
        <v/>
      </c>
      <c r="G8" s="19" t="inlineStr">
        <is>
          <t>Kitchen</t>
        </is>
      </c>
    </row>
    <row r="9">
      <c r="A9" s="27" t="inlineStr">
        <is>
          <t>New Vehicle</t>
        </is>
      </c>
      <c r="B9" s="33" t="n">
        <v>12000</v>
      </c>
      <c r="C9" s="33" t="n">
        <v>3000</v>
      </c>
      <c r="D9" s="53" t="n">
        <v>300</v>
      </c>
      <c r="E9" s="54" t="n">
        <v>46743</v>
      </c>
      <c r="F9" s="35">
        <f>IFERROR(C9/B9,0)</f>
        <v/>
      </c>
      <c r="G9" s="27" t="inlineStr">
        <is>
          <t>Down payment</t>
        </is>
      </c>
    </row>
    <row r="10">
      <c r="A10" s="19" t="inlineStr">
        <is>
          <t>Education / 529</t>
        </is>
      </c>
      <c r="B10" s="37" t="n">
        <v>30000</v>
      </c>
      <c r="C10" s="37" t="n">
        <v>8200</v>
      </c>
      <c r="D10" s="46" t="n">
        <v>200</v>
      </c>
      <c r="E10" s="21" t="n">
        <v>48203</v>
      </c>
      <c r="F10" s="39">
        <f>IFERROR(C10/B10,0)</f>
        <v/>
      </c>
      <c r="G10" s="19" t="inlineStr">
        <is>
          <t>Kids college</t>
        </is>
      </c>
    </row>
    <row r="11">
      <c r="A11" s="7" t="inlineStr">
        <is>
          <t>TOTAL</t>
        </is>
      </c>
      <c r="B11" s="42">
        <f>SUM(B5:B10)</f>
        <v/>
      </c>
      <c r="C11" s="42">
        <f>SUM(C5:C10)</f>
        <v/>
      </c>
      <c r="D11" s="42">
        <f>SUM(D5:D10)</f>
        <v/>
      </c>
      <c r="F11" s="43">
        <f>IFERROR(C11/B11,0)</f>
        <v/>
      </c>
    </row>
  </sheetData>
  <mergeCells count="2">
    <mergeCell ref="A2:G2"/>
    <mergeCell ref="A1:G1"/>
  </mergeCells>
  <conditionalFormatting sqref="F5:F10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E5D3BA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8" customWidth="1" min="5" max="5"/>
    <col width="22" customWidth="1" min="6" max="6"/>
    <col width="14" customWidth="1" min="7" max="7"/>
    <col width="18" customWidth="1" min="8" max="8"/>
  </cols>
  <sheetData>
    <row r="1" ht="46" customHeight="1">
      <c r="A1" s="1" t="inlineStr">
        <is>
          <t xml:space="preserve">  🎁  HOLIDAY &amp; EVENT PLANNER</t>
        </is>
      </c>
    </row>
    <row r="2" ht="22" customHeight="1">
      <c r="A2" s="2" t="inlineStr">
        <is>
          <t xml:space="preserve">  Plan every celebration without the stress — gifts, budgets, menus &amp; to-dos.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Occasion</t>
        </is>
      </c>
      <c r="B4" s="7" t="inlineStr">
        <is>
          <t>Date</t>
        </is>
      </c>
      <c r="C4" s="7" t="inlineStr">
        <is>
          <t>Budget</t>
        </is>
      </c>
      <c r="D4" s="7" t="inlineStr">
        <is>
          <t>Spent</t>
        </is>
      </c>
      <c r="E4" s="7" t="inlineStr">
        <is>
          <t>For / Guests</t>
        </is>
      </c>
      <c r="F4" s="7" t="inlineStr">
        <is>
          <t>Gift / Plan</t>
        </is>
      </c>
      <c r="G4" s="7" t="inlineStr">
        <is>
          <t>Status</t>
        </is>
      </c>
      <c r="H4" s="7" t="inlineStr">
        <is>
          <t>Notes</t>
        </is>
      </c>
    </row>
    <row r="5">
      <c r="A5" s="16" t="inlineStr">
        <is>
          <t>Grandma's Birthday</t>
        </is>
      </c>
      <c r="B5" s="18" t="n">
        <v>46209</v>
      </c>
      <c r="C5" s="44" t="n">
        <v>120</v>
      </c>
      <c r="D5" s="44" t="n">
        <v>0</v>
      </c>
      <c r="E5" s="16" t="inlineStr">
        <is>
          <t>Grace</t>
        </is>
      </c>
      <c r="F5" s="16" t="inlineStr">
        <is>
          <t>Cake + spa gift card</t>
        </is>
      </c>
      <c r="G5" s="17" t="inlineStr">
        <is>
          <t>Planning</t>
        </is>
      </c>
      <c r="H5" s="16" t="inlineStr"/>
    </row>
    <row r="6">
      <c r="A6" s="19" t="inlineStr">
        <is>
          <t>Emma's Birthday</t>
        </is>
      </c>
      <c r="B6" s="21" t="n">
        <v>46278</v>
      </c>
      <c r="C6" s="46" t="n">
        <v>300</v>
      </c>
      <c r="D6" s="46" t="n">
        <v>40</v>
      </c>
      <c r="E6" s="19" t="inlineStr">
        <is>
          <t>Emma + 8 friends</t>
        </is>
      </c>
      <c r="F6" s="19" t="inlineStr">
        <is>
          <t>Art party</t>
        </is>
      </c>
      <c r="G6" s="20" t="inlineStr">
        <is>
          <t>Planning</t>
        </is>
      </c>
      <c r="H6" s="19" t="inlineStr">
        <is>
          <t>Book venue</t>
        </is>
      </c>
    </row>
    <row r="7">
      <c r="A7" s="16" t="inlineStr">
        <is>
          <t>Thanksgiving</t>
        </is>
      </c>
      <c r="B7" s="18" t="n">
        <v>46353</v>
      </c>
      <c r="C7" s="44" t="n">
        <v>250</v>
      </c>
      <c r="D7" s="44" t="n">
        <v>0</v>
      </c>
      <c r="E7" s="16" t="inlineStr">
        <is>
          <t>12 guests</t>
        </is>
      </c>
      <c r="F7" s="16" t="inlineStr">
        <is>
          <t>Host dinner</t>
        </is>
      </c>
      <c r="G7" s="17" t="inlineStr">
        <is>
          <t>Not Started</t>
        </is>
      </c>
      <c r="H7" s="16" t="inlineStr">
        <is>
          <t>Menu in Meals</t>
        </is>
      </c>
    </row>
    <row r="8">
      <c r="A8" s="19" t="inlineStr">
        <is>
          <t>Christmas</t>
        </is>
      </c>
      <c r="B8" s="21" t="n">
        <v>46381</v>
      </c>
      <c r="C8" s="46" t="n">
        <v>1200</v>
      </c>
      <c r="D8" s="46" t="n">
        <v>200</v>
      </c>
      <c r="E8" s="19" t="inlineStr">
        <is>
          <t>Family</t>
        </is>
      </c>
      <c r="F8" s="19" t="inlineStr">
        <is>
          <t>Gift list below</t>
        </is>
      </c>
      <c r="G8" s="20" t="inlineStr">
        <is>
          <t>Shopping</t>
        </is>
      </c>
      <c r="H8" s="19" t="inlineStr">
        <is>
          <t>Save in Savings</t>
        </is>
      </c>
    </row>
    <row r="9">
      <c r="A9" s="16" t="inlineStr">
        <is>
          <t>Liam's Birthday</t>
        </is>
      </c>
      <c r="B9" s="18" t="n">
        <v>46423</v>
      </c>
      <c r="C9" s="44" t="n">
        <v>250</v>
      </c>
      <c r="D9" s="44" t="n">
        <v>0</v>
      </c>
      <c r="E9" s="16" t="inlineStr">
        <is>
          <t>Liam + class</t>
        </is>
      </c>
      <c r="F9" s="16" t="inlineStr">
        <is>
          <t>Dinosaur theme</t>
        </is>
      </c>
      <c r="G9" s="17" t="inlineStr">
        <is>
          <t>Not Started</t>
        </is>
      </c>
      <c r="H9" s="16" t="inlineStr"/>
    </row>
    <row r="10">
      <c r="A10" s="19" t="inlineStr">
        <is>
          <t>Easter</t>
        </is>
      </c>
      <c r="B10" s="21" t="n">
        <v>46483</v>
      </c>
      <c r="C10" s="46" t="n">
        <v>80</v>
      </c>
      <c r="D10" s="46" t="n">
        <v>0</v>
      </c>
      <c r="E10" s="19" t="inlineStr">
        <is>
          <t>Family</t>
        </is>
      </c>
      <c r="F10" s="19" t="inlineStr">
        <is>
          <t>Baskets + brunch</t>
        </is>
      </c>
      <c r="G10" s="20" t="inlineStr">
        <is>
          <t>Not Started</t>
        </is>
      </c>
      <c r="H10" s="19" t="inlineStr"/>
    </row>
    <row r="11">
      <c r="A11" s="16" t="inlineStr">
        <is>
          <t>Halloween</t>
        </is>
      </c>
      <c r="B11" s="18" t="n">
        <v>46323</v>
      </c>
      <c r="C11" s="44" t="n">
        <v>150</v>
      </c>
      <c r="D11" s="44" t="n">
        <v>0</v>
      </c>
      <c r="E11" s="16" t="inlineStr">
        <is>
          <t>Kids</t>
        </is>
      </c>
      <c r="F11" s="16" t="inlineStr">
        <is>
          <t>Costumes + candy</t>
        </is>
      </c>
      <c r="G11" s="17" t="inlineStr">
        <is>
          <t>Not Started</t>
        </is>
      </c>
      <c r="H11" s="16" t="inlineStr"/>
    </row>
    <row r="12">
      <c r="A12" s="19" t="inlineStr">
        <is>
          <t>Anniversary</t>
        </is>
      </c>
      <c r="B12" s="21" t="n">
        <v>46298</v>
      </c>
      <c r="C12" s="46" t="n">
        <v>200</v>
      </c>
      <c r="D12" s="46" t="n">
        <v>0</v>
      </c>
      <c r="E12" s="19" t="inlineStr">
        <is>
          <t>Mom &amp; Dad</t>
        </is>
      </c>
      <c r="F12" s="19" t="inlineStr">
        <is>
          <t>Dinner out</t>
        </is>
      </c>
      <c r="G12" s="20" t="inlineStr">
        <is>
          <t>Planning</t>
        </is>
      </c>
      <c r="H12" s="19" t="inlineStr"/>
    </row>
    <row r="13">
      <c r="A13" s="16" t="n"/>
      <c r="B13" s="18" t="n"/>
      <c r="C13" s="44" t="n"/>
      <c r="D13" s="44" t="n"/>
      <c r="E13" s="16" t="n"/>
      <c r="F13" s="16" t="n"/>
      <c r="G13" s="17" t="n"/>
      <c r="H13" s="16" t="n"/>
    </row>
    <row r="14">
      <c r="A14" s="19" t="n"/>
      <c r="B14" s="21" t="n"/>
      <c r="C14" s="46" t="n"/>
      <c r="D14" s="46" t="n"/>
      <c r="E14" s="19" t="n"/>
      <c r="F14" s="19" t="n"/>
      <c r="G14" s="20" t="n"/>
      <c r="H14" s="19" t="n"/>
    </row>
    <row r="15">
      <c r="A15" s="16" t="n"/>
      <c r="B15" s="18" t="n"/>
      <c r="C15" s="44" t="n"/>
      <c r="D15" s="44" t="n"/>
      <c r="E15" s="16" t="n"/>
      <c r="F15" s="16" t="n"/>
      <c r="G15" s="17" t="n"/>
      <c r="H15" s="16" t="n"/>
    </row>
    <row r="16">
      <c r="A16" s="19" t="n"/>
      <c r="B16" s="21" t="n"/>
      <c r="C16" s="46" t="n"/>
      <c r="D16" s="46" t="n"/>
      <c r="E16" s="19" t="n"/>
      <c r="F16" s="19" t="n"/>
      <c r="G16" s="20" t="n"/>
      <c r="H16" s="19" t="n"/>
    </row>
    <row r="17">
      <c r="A17" s="16" t="n"/>
      <c r="B17" s="18" t="n"/>
      <c r="C17" s="44" t="n"/>
      <c r="D17" s="44" t="n"/>
      <c r="E17" s="16" t="n"/>
      <c r="F17" s="16" t="n"/>
      <c r="G17" s="17" t="n"/>
      <c r="H17" s="16" t="n"/>
    </row>
    <row r="18">
      <c r="A18" s="19" t="n"/>
      <c r="B18" s="21" t="n"/>
      <c r="C18" s="46" t="n"/>
      <c r="D18" s="46" t="n"/>
      <c r="E18" s="19" t="n"/>
      <c r="F18" s="19" t="n"/>
      <c r="G18" s="20" t="n"/>
      <c r="H18" s="19" t="n"/>
    </row>
    <row r="19">
      <c r="A19" s="16" t="n"/>
      <c r="B19" s="18" t="n"/>
      <c r="C19" s="44" t="n"/>
      <c r="D19" s="44" t="n"/>
      <c r="E19" s="16" t="n"/>
      <c r="F19" s="16" t="n"/>
      <c r="G19" s="17" t="n"/>
      <c r="H19" s="16" t="n"/>
    </row>
    <row r="20">
      <c r="A20" s="19" t="n"/>
      <c r="B20" s="21" t="n"/>
      <c r="C20" s="46" t="n"/>
      <c r="D20" s="46" t="n"/>
      <c r="E20" s="19" t="n"/>
      <c r="F20" s="19" t="n"/>
      <c r="G20" s="20" t="n"/>
      <c r="H20" s="19" t="n"/>
    </row>
    <row r="21">
      <c r="A21" s="16" t="n"/>
      <c r="B21" s="18" t="n"/>
      <c r="C21" s="44" t="n"/>
      <c r="D21" s="44" t="n"/>
      <c r="E21" s="16" t="n"/>
      <c r="F21" s="16" t="n"/>
      <c r="G21" s="17" t="n"/>
      <c r="H21" s="16" t="n"/>
    </row>
    <row r="22">
      <c r="A22" s="19" t="n"/>
      <c r="B22" s="21" t="n"/>
      <c r="C22" s="46" t="n"/>
      <c r="D22" s="46" t="n"/>
      <c r="E22" s="19" t="n"/>
      <c r="F22" s="19" t="n"/>
      <c r="G22" s="20" t="n"/>
      <c r="H22" s="19" t="n"/>
    </row>
    <row r="23">
      <c r="A23" s="16" t="n"/>
      <c r="B23" s="18" t="n"/>
      <c r="C23" s="44" t="n"/>
      <c r="D23" s="44" t="n"/>
      <c r="E23" s="16" t="n"/>
      <c r="F23" s="16" t="n"/>
      <c r="G23" s="17" t="n"/>
      <c r="H23" s="16" t="n"/>
    </row>
    <row r="24">
      <c r="A24" s="19" t="n"/>
      <c r="B24" s="21" t="n"/>
      <c r="C24" s="46" t="n"/>
      <c r="D24" s="46" t="n"/>
      <c r="E24" s="19" t="n"/>
      <c r="F24" s="19" t="n"/>
      <c r="G24" s="20" t="n"/>
      <c r="H24" s="19" t="n"/>
    </row>
    <row r="25">
      <c r="A25" s="16" t="n"/>
      <c r="B25" s="18" t="n"/>
      <c r="C25" s="44" t="n"/>
      <c r="D25" s="44" t="n"/>
      <c r="E25" s="16" t="n"/>
      <c r="F25" s="16" t="n"/>
      <c r="G25" s="17" t="n"/>
      <c r="H25" s="16" t="n"/>
    </row>
    <row r="26">
      <c r="A26" s="19" t="n"/>
      <c r="B26" s="21" t="n"/>
      <c r="C26" s="46" t="n"/>
      <c r="D26" s="46" t="n"/>
      <c r="E26" s="19" t="n"/>
      <c r="F26" s="19" t="n"/>
      <c r="G26" s="20" t="n"/>
      <c r="H26" s="19" t="n"/>
    </row>
    <row r="27">
      <c r="A27" s="16" t="n"/>
      <c r="B27" s="18" t="n"/>
      <c r="C27" s="44" t="n"/>
      <c r="D27" s="44" t="n"/>
      <c r="E27" s="16" t="n"/>
      <c r="F27" s="16" t="n"/>
      <c r="G27" s="17" t="n"/>
      <c r="H27" s="16" t="n"/>
    </row>
    <row r="28">
      <c r="A28" s="19" t="n"/>
      <c r="B28" s="21" t="n"/>
      <c r="C28" s="46" t="n"/>
      <c r="D28" s="46" t="n"/>
      <c r="E28" s="19" t="n"/>
      <c r="F28" s="19" t="n"/>
      <c r="G28" s="20" t="n"/>
      <c r="H28" s="19" t="n"/>
    </row>
    <row r="29">
      <c r="A29" s="16" t="n"/>
      <c r="B29" s="18" t="n"/>
      <c r="C29" s="44" t="n"/>
      <c r="D29" s="44" t="n"/>
      <c r="E29" s="16" t="n"/>
      <c r="F29" s="16" t="n"/>
      <c r="G29" s="17" t="n"/>
      <c r="H29" s="16" t="n"/>
    </row>
    <row r="30">
      <c r="A30" s="19" t="n"/>
      <c r="B30" s="21" t="n"/>
      <c r="C30" s="46" t="n"/>
      <c r="D30" s="46" t="n"/>
      <c r="E30" s="19" t="n"/>
      <c r="F30" s="19" t="n"/>
      <c r="G30" s="20" t="n"/>
      <c r="H30" s="19" t="n"/>
    </row>
    <row r="31">
      <c r="A31" s="16" t="n"/>
      <c r="B31" s="18" t="n"/>
      <c r="C31" s="44" t="n"/>
      <c r="D31" s="44" t="n"/>
      <c r="E31" s="16" t="n"/>
      <c r="F31" s="16" t="n"/>
      <c r="G31" s="17" t="n"/>
      <c r="H31" s="16" t="n"/>
    </row>
    <row r="32">
      <c r="A32" s="19" t="n"/>
      <c r="B32" s="21" t="n"/>
      <c r="C32" s="46" t="n"/>
      <c r="D32" s="46" t="n"/>
      <c r="E32" s="19" t="n"/>
      <c r="F32" s="19" t="n"/>
      <c r="G32" s="20" t="n"/>
      <c r="H32" s="19" t="n"/>
    </row>
    <row r="33">
      <c r="A33" s="16" t="n"/>
      <c r="B33" s="18" t="n"/>
      <c r="C33" s="44" t="n"/>
      <c r="D33" s="44" t="n"/>
      <c r="E33" s="16" t="n"/>
      <c r="F33" s="16" t="n"/>
      <c r="G33" s="17" t="n"/>
      <c r="H33" s="16" t="n"/>
    </row>
    <row r="34">
      <c r="A34" s="19" t="n"/>
      <c r="B34" s="21" t="n"/>
      <c r="C34" s="46" t="n"/>
      <c r="D34" s="46" t="n"/>
      <c r="E34" s="19" t="n"/>
      <c r="F34" s="19" t="n"/>
      <c r="G34" s="20" t="n"/>
      <c r="H34" s="19" t="n"/>
    </row>
    <row r="35">
      <c r="A35" s="16" t="n"/>
      <c r="B35" s="18" t="n"/>
      <c r="C35" s="44" t="n"/>
      <c r="D35" s="44" t="n"/>
      <c r="E35" s="16" t="n"/>
      <c r="F35" s="16" t="n"/>
      <c r="G35" s="17" t="n"/>
      <c r="H35" s="16" t="n"/>
    </row>
    <row r="36">
      <c r="A36" s="19" t="n"/>
      <c r="B36" s="21" t="n"/>
      <c r="C36" s="46" t="n"/>
      <c r="D36" s="46" t="n"/>
      <c r="E36" s="19" t="n"/>
      <c r="F36" s="19" t="n"/>
      <c r="G36" s="20" t="n"/>
      <c r="H36" s="19" t="n"/>
    </row>
    <row r="37">
      <c r="A37" s="16" t="n"/>
      <c r="B37" s="18" t="n"/>
      <c r="C37" s="44" t="n"/>
      <c r="D37" s="44" t="n"/>
      <c r="E37" s="16" t="n"/>
      <c r="F37" s="16" t="n"/>
      <c r="G37" s="17" t="n"/>
      <c r="H37" s="16" t="n"/>
    </row>
    <row r="38">
      <c r="A38" s="19" t="n"/>
      <c r="B38" s="21" t="n"/>
      <c r="C38" s="46" t="n"/>
      <c r="D38" s="46" t="n"/>
      <c r="E38" s="19" t="n"/>
      <c r="F38" s="19" t="n"/>
      <c r="G38" s="20" t="n"/>
      <c r="H38" s="19" t="n"/>
    </row>
    <row r="39">
      <c r="A39" s="16" t="n"/>
      <c r="B39" s="18" t="n"/>
      <c r="C39" s="44" t="n"/>
      <c r="D39" s="44" t="n"/>
      <c r="E39" s="16" t="n"/>
      <c r="F39" s="16" t="n"/>
      <c r="G39" s="17" t="n"/>
      <c r="H39" s="16" t="n"/>
    </row>
    <row r="40">
      <c r="A40" s="19" t="n"/>
      <c r="B40" s="21" t="n"/>
      <c r="C40" s="46" t="n"/>
      <c r="D40" s="46" t="n"/>
      <c r="E40" s="19" t="n"/>
      <c r="F40" s="19" t="n"/>
      <c r="G40" s="20" t="n"/>
      <c r="H40" s="19" t="n"/>
    </row>
    <row r="41">
      <c r="A41" s="16" t="n"/>
      <c r="B41" s="18" t="n"/>
      <c r="C41" s="44" t="n"/>
      <c r="D41" s="44" t="n"/>
      <c r="E41" s="16" t="n"/>
      <c r="F41" s="16" t="n"/>
      <c r="G41" s="17" t="n"/>
      <c r="H41" s="16" t="n"/>
    </row>
    <row r="42">
      <c r="A42" s="19" t="n"/>
      <c r="B42" s="21" t="n"/>
      <c r="C42" s="46" t="n"/>
      <c r="D42" s="46" t="n"/>
      <c r="E42" s="19" t="n"/>
      <c r="F42" s="19" t="n"/>
      <c r="G42" s="20" t="n"/>
      <c r="H42" s="19" t="n"/>
    </row>
    <row r="43">
      <c r="A43" s="16" t="n"/>
      <c r="B43" s="18" t="n"/>
      <c r="C43" s="44" t="n"/>
      <c r="D43" s="44" t="n"/>
      <c r="E43" s="16" t="n"/>
      <c r="F43" s="16" t="n"/>
      <c r="G43" s="17" t="n"/>
      <c r="H43" s="16" t="n"/>
    </row>
    <row r="44">
      <c r="A44" s="19" t="n"/>
      <c r="B44" s="21" t="n"/>
      <c r="C44" s="46" t="n"/>
      <c r="D44" s="46" t="n"/>
      <c r="E44" s="19" t="n"/>
      <c r="F44" s="19" t="n"/>
      <c r="G44" s="20" t="n"/>
      <c r="H44" s="19" t="n"/>
    </row>
  </sheetData>
  <mergeCells count="2">
    <mergeCell ref="A2:H2"/>
    <mergeCell ref="A1:H1"/>
  </mergeCells>
  <dataValidations count="1">
    <dataValidation sqref="G5:G4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B4F48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3" customWidth="1" min="6" max="6"/>
    <col width="22" customWidth="1" min="7" max="7"/>
    <col width="14" customWidth="1" min="8" max="8"/>
  </cols>
  <sheetData>
    <row r="1" ht="46" customHeight="1">
      <c r="A1" s="1" t="inlineStr">
        <is>
          <t xml:space="preserve">  ✈  TRAVEL PLANNER</t>
        </is>
      </c>
    </row>
    <row r="2" ht="22" customHeight="1">
      <c r="A2" s="2" t="inlineStr">
        <is>
          <t xml:space="preserve">  From packing lists to itineraries — plan the trip and stay on budget.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TRIP DETAILS &amp; RESERVATIONS</t>
        </is>
      </c>
      <c r="G4" s="4" t="inlineStr">
        <is>
          <t>PACKING LIST</t>
        </is>
      </c>
    </row>
    <row r="5" ht="30" customHeight="1">
      <c r="A5" s="7" t="inlineStr">
        <is>
          <t>Item</t>
        </is>
      </c>
      <c r="B5" s="7" t="inlineStr">
        <is>
          <t>Type</t>
        </is>
      </c>
      <c r="C5" s="7" t="inlineStr">
        <is>
          <t>Details / Confirmation</t>
        </is>
      </c>
      <c r="D5" s="7" t="inlineStr">
        <is>
          <t>Date</t>
        </is>
      </c>
      <c r="E5" s="7" t="inlineStr">
        <is>
          <t>Cost</t>
        </is>
      </c>
      <c r="G5" s="27" t="inlineStr">
        <is>
          <t>Clothes (per day)</t>
        </is>
      </c>
      <c r="H5" s="26" t="inlineStr">
        <is>
          <t>☐</t>
        </is>
      </c>
    </row>
    <row r="6">
      <c r="A6" s="16" t="inlineStr">
        <is>
          <t>Lakeside Resort</t>
        </is>
      </c>
      <c r="B6" s="17" t="inlineStr">
        <is>
          <t>Hotel</t>
        </is>
      </c>
      <c r="C6" s="16" t="inlineStr">
        <is>
          <t>Conf #LK-88210, 2 nights</t>
        </is>
      </c>
      <c r="D6" s="18" t="n">
        <v>46223</v>
      </c>
      <c r="E6" s="44" t="n">
        <v>420</v>
      </c>
      <c r="G6" s="19" t="inlineStr">
        <is>
          <t>Toiletries</t>
        </is>
      </c>
      <c r="H6" s="55" t="inlineStr">
        <is>
          <t>☐</t>
        </is>
      </c>
    </row>
    <row r="7">
      <c r="A7" s="19" t="inlineStr">
        <is>
          <t>Flights (x4)</t>
        </is>
      </c>
      <c r="B7" s="20" t="inlineStr">
        <is>
          <t>Flight</t>
        </is>
      </c>
      <c r="C7" s="19" t="inlineStr">
        <is>
          <t>AA 1180 / AA 1181</t>
        </is>
      </c>
      <c r="D7" s="21" t="n">
        <v>46223</v>
      </c>
      <c r="E7" s="46" t="n">
        <v>960</v>
      </c>
      <c r="G7" s="27" t="inlineStr">
        <is>
          <t>Chargers &amp; cords</t>
        </is>
      </c>
      <c r="H7" s="26" t="inlineStr">
        <is>
          <t>☐</t>
        </is>
      </c>
    </row>
    <row r="8">
      <c r="A8" s="16" t="inlineStr">
        <is>
          <t>Rental car</t>
        </is>
      </c>
      <c r="B8" s="17" t="inlineStr">
        <is>
          <t>Car</t>
        </is>
      </c>
      <c r="C8" s="16" t="inlineStr">
        <is>
          <t>Conf #RC-4421, SUV</t>
        </is>
      </c>
      <c r="D8" s="18" t="n">
        <v>46223</v>
      </c>
      <c r="E8" s="44" t="n">
        <v>180</v>
      </c>
      <c r="G8" s="19" t="inlineStr">
        <is>
          <t>Medications</t>
        </is>
      </c>
      <c r="H8" s="55" t="inlineStr">
        <is>
          <t>☐</t>
        </is>
      </c>
    </row>
    <row r="9">
      <c r="A9" s="19" t="inlineStr">
        <is>
          <t>Dinner reservation</t>
        </is>
      </c>
      <c r="B9" s="20" t="inlineStr">
        <is>
          <t>Dining</t>
        </is>
      </c>
      <c r="C9" s="19" t="inlineStr">
        <is>
          <t>Lakeview Grill, 7pm</t>
        </is>
      </c>
      <c r="D9" s="21" t="n">
        <v>46224</v>
      </c>
      <c r="E9" s="46" t="n">
        <v>0</v>
      </c>
      <c r="G9" s="27" t="inlineStr">
        <is>
          <t>Swimsuits</t>
        </is>
      </c>
      <c r="H9" s="26" t="inlineStr">
        <is>
          <t>☐</t>
        </is>
      </c>
    </row>
    <row r="10">
      <c r="A10" s="16" t="inlineStr">
        <is>
          <t>Museum tickets</t>
        </is>
      </c>
      <c r="B10" s="17" t="inlineStr">
        <is>
          <t>Activity</t>
        </is>
      </c>
      <c r="C10" s="16" t="inlineStr">
        <is>
          <t>Family 4-pack</t>
        </is>
      </c>
      <c r="D10" s="18" t="n">
        <v>46225</v>
      </c>
      <c r="E10" s="44" t="n">
        <v>64</v>
      </c>
      <c r="G10" s="19" t="inlineStr">
        <is>
          <t>Snacks &amp; water</t>
        </is>
      </c>
      <c r="H10" s="55" t="inlineStr">
        <is>
          <t>☐</t>
        </is>
      </c>
    </row>
    <row r="11">
      <c r="A11" s="19" t="inlineStr">
        <is>
          <t>Travel insurance</t>
        </is>
      </c>
      <c r="B11" s="20" t="inlineStr">
        <is>
          <t>Insurance</t>
        </is>
      </c>
      <c r="C11" s="19" t="inlineStr">
        <is>
          <t>Policy TRV-9981</t>
        </is>
      </c>
      <c r="D11" s="21" t="n">
        <v>46218</v>
      </c>
      <c r="E11" s="46" t="n">
        <v>85</v>
      </c>
      <c r="G11" s="27" t="inlineStr">
        <is>
          <t>Kids' activities</t>
        </is>
      </c>
      <c r="H11" s="26" t="inlineStr">
        <is>
          <t>☐</t>
        </is>
      </c>
    </row>
    <row r="12">
      <c r="A12" s="16" t="n"/>
      <c r="B12" s="17" t="n"/>
      <c r="C12" s="16" t="n"/>
      <c r="D12" s="18" t="n"/>
      <c r="E12" s="44" t="n"/>
      <c r="G12" s="19" t="inlineStr">
        <is>
          <t>Documents &amp; IDs</t>
        </is>
      </c>
      <c r="H12" s="55" t="inlineStr">
        <is>
          <t>☐</t>
        </is>
      </c>
    </row>
    <row r="13">
      <c r="A13" s="19" t="n"/>
      <c r="B13" s="20" t="n"/>
      <c r="C13" s="19" t="n"/>
      <c r="D13" s="21" t="n"/>
      <c r="E13" s="46" t="n"/>
      <c r="G13" s="27" t="inlineStr">
        <is>
          <t>Sunscreen</t>
        </is>
      </c>
      <c r="H13" s="26" t="inlineStr">
        <is>
          <t>☐</t>
        </is>
      </c>
    </row>
    <row r="14">
      <c r="A14" s="7" t="inlineStr">
        <is>
          <t>TOTAL</t>
        </is>
      </c>
      <c r="D14" s="23" t="inlineStr">
        <is>
          <t>Trip cost</t>
        </is>
      </c>
      <c r="E14" s="36">
        <f>SUM(E6:E13)</f>
        <v/>
      </c>
      <c r="G14" s="19" t="inlineStr">
        <is>
          <t>First-aid kit</t>
        </is>
      </c>
      <c r="H14" s="55" t="inlineStr">
        <is>
          <t>☐</t>
        </is>
      </c>
    </row>
    <row r="15">
      <c r="G15" s="27" t="inlineStr">
        <is>
          <t>Camera</t>
        </is>
      </c>
      <c r="H15" s="26" t="inlineStr">
        <is>
          <t>☐</t>
        </is>
      </c>
    </row>
    <row r="16">
      <c r="A16" s="6" t="inlineStr">
        <is>
          <t>DAILY ITINERARY</t>
        </is>
      </c>
      <c r="G16" s="19" t="inlineStr">
        <is>
          <t>Phone + wallet</t>
        </is>
      </c>
      <c r="H16" s="55" t="inlineStr">
        <is>
          <t>☐</t>
        </is>
      </c>
    </row>
    <row r="17" ht="30" customHeight="1">
      <c r="A17" s="7" t="inlineStr">
        <is>
          <t>Day</t>
        </is>
      </c>
      <c r="B17" s="7" t="inlineStr">
        <is>
          <t>Morning</t>
        </is>
      </c>
      <c r="C17" s="7" t="inlineStr">
        <is>
          <t>Afternoon</t>
        </is>
      </c>
      <c r="D17" s="7" t="inlineStr">
        <is>
          <t>Evening</t>
        </is>
      </c>
      <c r="E17" s="7" t="inlineStr">
        <is>
          <t>Notes</t>
        </is>
      </c>
    </row>
    <row r="18">
      <c r="A18" s="17" t="inlineStr">
        <is>
          <t>Day 1</t>
        </is>
      </c>
      <c r="B18" s="16" t="inlineStr">
        <is>
          <t>Drive / fly in</t>
        </is>
      </c>
      <c r="C18" s="16" t="inlineStr">
        <is>
          <t>Check in + pool</t>
        </is>
      </c>
      <c r="D18" s="16" t="inlineStr">
        <is>
          <t>Welcome dinner</t>
        </is>
      </c>
      <c r="E18" s="16" t="inlineStr"/>
    </row>
    <row r="19">
      <c r="A19" s="20" t="inlineStr">
        <is>
          <t>Day 2</t>
        </is>
      </c>
      <c r="B19" s="19" t="inlineStr">
        <is>
          <t>Lake activities</t>
        </is>
      </c>
      <c r="C19" s="19" t="inlineStr">
        <is>
          <t>Museum</t>
        </is>
      </c>
      <c r="D19" s="19" t="inlineStr">
        <is>
          <t>Lakeview Grill</t>
        </is>
      </c>
      <c r="E19" s="19" t="inlineStr"/>
    </row>
    <row r="20">
      <c r="A20" s="17" t="inlineStr">
        <is>
          <t>Day 3</t>
        </is>
      </c>
      <c r="B20" s="16" t="inlineStr">
        <is>
          <t>Hike trail</t>
        </is>
      </c>
      <c r="C20" s="16" t="inlineStr">
        <is>
          <t>Town shopping</t>
        </is>
      </c>
      <c r="D20" s="16" t="inlineStr">
        <is>
          <t>Movie night</t>
        </is>
      </c>
      <c r="E20" s="16" t="inlineStr"/>
    </row>
    <row r="21">
      <c r="A21" s="20" t="inlineStr">
        <is>
          <t>Day 4</t>
        </is>
      </c>
      <c r="B21" s="19" t="inlineStr">
        <is>
          <t>Pack up</t>
        </is>
      </c>
      <c r="C21" s="19" t="inlineStr">
        <is>
          <t>Travel home</t>
        </is>
      </c>
      <c r="D21" s="19" t="inlineStr">
        <is>
          <t>Unpack + rest</t>
        </is>
      </c>
      <c r="E21" s="19" t="inlineStr"/>
    </row>
  </sheetData>
  <mergeCells count="5">
    <mergeCell ref="G4:H4"/>
    <mergeCell ref="A4:E4"/>
    <mergeCell ref="A16:E16"/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37356"/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18" customWidth="1" min="5" max="5"/>
    <col width="16" customWidth="1" min="6" max="6"/>
    <col width="22" customWidth="1" min="7" max="7"/>
  </cols>
  <sheetData>
    <row r="1" ht="46" customHeight="1">
      <c r="A1" s="1" t="inlineStr">
        <is>
          <t xml:space="preserve">  🎒  CHILDREN'S HUB</t>
        </is>
      </c>
    </row>
    <row r="2" ht="22" customHeight="1">
      <c r="A2" s="2" t="inlineStr">
        <is>
          <t xml:space="preserve">  School, activities, health &amp; milestones — everything about the kids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SCHOOL &amp; ACTIVITIES</t>
        </is>
      </c>
    </row>
    <row r="5" ht="30" customHeight="1">
      <c r="A5" s="7" t="inlineStr">
        <is>
          <t>Child</t>
        </is>
      </c>
      <c r="B5" s="7" t="inlineStr">
        <is>
          <t>School / Grade</t>
        </is>
      </c>
      <c r="C5" s="7" t="inlineStr">
        <is>
          <t>Teacher</t>
        </is>
      </c>
      <c r="D5" s="7" t="inlineStr">
        <is>
          <t>Activity</t>
        </is>
      </c>
      <c r="E5" s="7" t="inlineStr">
        <is>
          <t>Day / Time</t>
        </is>
      </c>
      <c r="F5" s="7" t="inlineStr">
        <is>
          <t>Coach / Lead</t>
        </is>
      </c>
      <c r="G5" s="7" t="inlineStr">
        <is>
          <t>Notes</t>
        </is>
      </c>
    </row>
    <row r="6">
      <c r="A6" s="17" t="inlineStr">
        <is>
          <t>Emma</t>
        </is>
      </c>
      <c r="B6" s="16" t="inlineStr">
        <is>
          <t>Maple Elem. — Gr 4</t>
        </is>
      </c>
      <c r="C6" s="16" t="inlineStr">
        <is>
          <t>Ms. Rivera</t>
        </is>
      </c>
      <c r="D6" s="16" t="inlineStr">
        <is>
          <t>Soccer</t>
        </is>
      </c>
      <c r="E6" s="17" t="inlineStr">
        <is>
          <t>Tue/Thu 4pm</t>
        </is>
      </c>
      <c r="F6" s="16" t="inlineStr">
        <is>
          <t>Coach Dan</t>
        </is>
      </c>
      <c r="G6" s="16" t="inlineStr">
        <is>
          <t>Room 12</t>
        </is>
      </c>
    </row>
    <row r="7">
      <c r="A7" s="20" t="inlineStr">
        <is>
          <t>Emma</t>
        </is>
      </c>
      <c r="B7" s="19" t="inlineStr">
        <is>
          <t>Maple Elem. — Gr 4</t>
        </is>
      </c>
      <c r="C7" s="19" t="inlineStr">
        <is>
          <t>Ms. Rivera</t>
        </is>
      </c>
      <c r="D7" s="19" t="inlineStr">
        <is>
          <t>Piano</t>
        </is>
      </c>
      <c r="E7" s="20" t="inlineStr">
        <is>
          <t>Sat 10am</t>
        </is>
      </c>
      <c r="F7" s="19" t="inlineStr">
        <is>
          <t>Ms. Kim</t>
        </is>
      </c>
      <c r="G7" s="19" t="inlineStr"/>
    </row>
    <row r="8">
      <c r="A8" s="17" t="inlineStr">
        <is>
          <t>Liam</t>
        </is>
      </c>
      <c r="B8" s="16" t="inlineStr">
        <is>
          <t>Maple Elem. — Gr 1</t>
        </is>
      </c>
      <c r="C8" s="16" t="inlineStr">
        <is>
          <t>Mr. Olsen</t>
        </is>
      </c>
      <c r="D8" s="16" t="inlineStr">
        <is>
          <t>Swim</t>
        </is>
      </c>
      <c r="E8" s="17" t="inlineStr">
        <is>
          <t>Wed 5pm</t>
        </is>
      </c>
      <c r="F8" s="16" t="inlineStr">
        <is>
          <t>Coach Amy</t>
        </is>
      </c>
      <c r="G8" s="16" t="inlineStr">
        <is>
          <t>Room 4</t>
        </is>
      </c>
    </row>
    <row r="9">
      <c r="A9" s="20" t="inlineStr">
        <is>
          <t>Liam</t>
        </is>
      </c>
      <c r="B9" s="19" t="inlineStr">
        <is>
          <t>Maple Elem. — Gr 1</t>
        </is>
      </c>
      <c r="C9" s="19" t="inlineStr">
        <is>
          <t>Mr. Olsen</t>
        </is>
      </c>
      <c r="D9" s="19" t="inlineStr">
        <is>
          <t>Art Club</t>
        </is>
      </c>
      <c r="E9" s="20" t="inlineStr">
        <is>
          <t>Fri 3:30pm</t>
        </is>
      </c>
      <c r="F9" s="19" t="inlineStr">
        <is>
          <t>Ms. Lee</t>
        </is>
      </c>
      <c r="G9" s="19" t="inlineStr"/>
    </row>
    <row r="10">
      <c r="A10" s="17" t="n"/>
      <c r="B10" s="16" t="n"/>
      <c r="C10" s="16" t="n"/>
      <c r="D10" s="16" t="n"/>
      <c r="E10" s="17" t="n"/>
      <c r="F10" s="16" t="n"/>
      <c r="G10" s="16" t="n"/>
    </row>
    <row r="11">
      <c r="A11" s="20" t="n"/>
      <c r="B11" s="19" t="n"/>
      <c r="C11" s="19" t="n"/>
      <c r="D11" s="19" t="n"/>
      <c r="E11" s="20" t="n"/>
      <c r="F11" s="19" t="n"/>
      <c r="G11" s="19" t="n"/>
    </row>
    <row r="13">
      <c r="A13" s="4" t="inlineStr">
        <is>
          <t>HOMEWORK &amp; READING LOG</t>
        </is>
      </c>
    </row>
    <row r="14" ht="30" customHeight="1">
      <c r="A14" s="7" t="inlineStr">
        <is>
          <t>Child</t>
        </is>
      </c>
      <c r="B14" s="7" t="inlineStr">
        <is>
          <t>Subject / Book</t>
        </is>
      </c>
      <c r="C14" s="7" t="inlineStr">
        <is>
          <t>Assigned</t>
        </is>
      </c>
      <c r="D14" s="7" t="inlineStr">
        <is>
          <t>Due</t>
        </is>
      </c>
      <c r="E14" s="7" t="inlineStr">
        <is>
          <t>Minutes</t>
        </is>
      </c>
      <c r="F14" s="7" t="inlineStr">
        <is>
          <t>Done?</t>
        </is>
      </c>
      <c r="G14" s="7" t="inlineStr">
        <is>
          <t>Notes</t>
        </is>
      </c>
    </row>
    <row r="15">
      <c r="A15" s="17" t="inlineStr">
        <is>
          <t>Emma</t>
        </is>
      </c>
      <c r="B15" s="16" t="inlineStr">
        <is>
          <t>Math worksheet</t>
        </is>
      </c>
      <c r="C15" s="18" t="n">
        <v>46202</v>
      </c>
      <c r="D15" s="18" t="n">
        <v>46204</v>
      </c>
      <c r="E15" s="47" t="n">
        <v>20</v>
      </c>
      <c r="F15" s="17" t="inlineStr">
        <is>
          <t>No</t>
        </is>
      </c>
      <c r="G15" s="16" t="inlineStr"/>
    </row>
    <row r="16">
      <c r="A16" s="20" t="inlineStr">
        <is>
          <t>Emma</t>
        </is>
      </c>
      <c r="B16" s="19" t="inlineStr">
        <is>
          <t>Reading: 'Wonder'</t>
        </is>
      </c>
      <c r="C16" s="21" t="n">
        <v>46200</v>
      </c>
      <c r="D16" s="21" t="n">
        <v>46207</v>
      </c>
      <c r="E16" s="48" t="n">
        <v>100</v>
      </c>
      <c r="F16" s="20" t="inlineStr">
        <is>
          <t>No</t>
        </is>
      </c>
      <c r="G16" s="19" t="inlineStr">
        <is>
          <t>Ch 5-8</t>
        </is>
      </c>
    </row>
    <row r="17">
      <c r="A17" s="17" t="inlineStr">
        <is>
          <t>Liam</t>
        </is>
      </c>
      <c r="B17" s="16" t="inlineStr">
        <is>
          <t>Sight words</t>
        </is>
      </c>
      <c r="C17" s="18" t="n">
        <v>46202</v>
      </c>
      <c r="D17" s="18" t="n">
        <v>46204</v>
      </c>
      <c r="E17" s="47" t="n">
        <v>15</v>
      </c>
      <c r="F17" s="17" t="inlineStr">
        <is>
          <t>Yes</t>
        </is>
      </c>
      <c r="G17" s="16" t="inlineStr"/>
    </row>
    <row r="18">
      <c r="A18" s="20" t="inlineStr">
        <is>
          <t>Liam</t>
        </is>
      </c>
      <c r="B18" s="19" t="inlineStr">
        <is>
          <t>Reading: picture book</t>
        </is>
      </c>
      <c r="C18" s="21" t="n">
        <v>46203</v>
      </c>
      <c r="D18" s="21" t="n">
        <v>46203</v>
      </c>
      <c r="E18" s="48" t="n">
        <v>10</v>
      </c>
      <c r="F18" s="20" t="inlineStr">
        <is>
          <t>Yes</t>
        </is>
      </c>
      <c r="G18" s="19" t="inlineStr"/>
    </row>
    <row r="19">
      <c r="A19" s="17" t="n"/>
      <c r="B19" s="16" t="n"/>
      <c r="C19" s="18" t="n"/>
      <c r="D19" s="18" t="n"/>
      <c r="E19" s="47" t="n"/>
      <c r="F19" s="17" t="n"/>
      <c r="G19" s="16" t="n"/>
    </row>
    <row r="20">
      <c r="A20" s="20" t="n"/>
      <c r="B20" s="19" t="n"/>
      <c r="C20" s="21" t="n"/>
      <c r="D20" s="21" t="n"/>
      <c r="E20" s="48" t="n"/>
      <c r="F20" s="20" t="n"/>
      <c r="G20" s="19" t="n"/>
    </row>
    <row r="22">
      <c r="A22" s="6" t="inlineStr">
        <is>
          <t>GROWTH &amp; MILESTONES</t>
        </is>
      </c>
    </row>
    <row r="23" ht="30" customHeight="1">
      <c r="A23" s="7" t="inlineStr">
        <is>
          <t>Child</t>
        </is>
      </c>
      <c r="B23" s="7" t="inlineStr">
        <is>
          <t>Date</t>
        </is>
      </c>
      <c r="C23" s="7" t="inlineStr">
        <is>
          <t>Height</t>
        </is>
      </c>
      <c r="D23" s="7" t="inlineStr">
        <is>
          <t>Weight</t>
        </is>
      </c>
      <c r="E23" s="7" t="inlineStr">
        <is>
          <t>Milestone / Achievement</t>
        </is>
      </c>
      <c r="F23" s="7" t="inlineStr">
        <is>
          <t>Doctor Visit</t>
        </is>
      </c>
      <c r="G23" s="7" t="inlineStr">
        <is>
          <t>Notes</t>
        </is>
      </c>
    </row>
    <row r="24">
      <c r="A24" s="17" t="inlineStr">
        <is>
          <t>Emma</t>
        </is>
      </c>
      <c r="B24" s="56" t="n">
        <v>46143</v>
      </c>
      <c r="C24" s="17" t="inlineStr">
        <is>
          <t>4'4"</t>
        </is>
      </c>
      <c r="D24" s="17" t="inlineStr">
        <is>
          <t>62 lb</t>
        </is>
      </c>
      <c r="E24" s="16" t="inlineStr">
        <is>
          <t>Lost first molar</t>
        </is>
      </c>
      <c r="F24" s="17" t="inlineStr">
        <is>
          <t>Annual check ✓</t>
        </is>
      </c>
      <c r="G24" s="16" t="inlineStr"/>
    </row>
    <row r="25">
      <c r="A25" s="20" t="inlineStr">
        <is>
          <t>Liam</t>
        </is>
      </c>
      <c r="B25" s="57" t="n">
        <v>46143</v>
      </c>
      <c r="C25" s="20" t="inlineStr">
        <is>
          <t>3'9"</t>
        </is>
      </c>
      <c r="D25" s="20" t="inlineStr">
        <is>
          <t>44 lb</t>
        </is>
      </c>
      <c r="E25" s="19" t="inlineStr">
        <is>
          <t>Read first chapter book</t>
        </is>
      </c>
      <c r="F25" s="20" t="inlineStr">
        <is>
          <t>Annual check ✓</t>
        </is>
      </c>
      <c r="G25" s="19" t="inlineStr"/>
    </row>
    <row r="26">
      <c r="A26" s="17" t="n"/>
      <c r="B26" s="17" t="n"/>
      <c r="C26" s="17" t="n"/>
      <c r="D26" s="17" t="n"/>
      <c r="E26" s="16" t="n"/>
      <c r="F26" s="17" t="n"/>
      <c r="G26" s="16" t="n"/>
    </row>
    <row r="27">
      <c r="A27" s="20" t="n"/>
      <c r="B27" s="20" t="n"/>
      <c r="C27" s="20" t="n"/>
      <c r="D27" s="20" t="n"/>
      <c r="E27" s="19" t="n"/>
      <c r="F27" s="20" t="n"/>
      <c r="G27" s="19" t="n"/>
    </row>
  </sheetData>
  <mergeCells count="5">
    <mergeCell ref="A13:G13"/>
    <mergeCell ref="A1:G1"/>
    <mergeCell ref="A22:G22"/>
    <mergeCell ref="A4:G4"/>
    <mergeCell ref="A2:G2"/>
  </mergeCells>
  <conditionalFormatting sqref="F15:F20">
    <cfRule type="cellIs" priority="1" operator="equal" dxfId="0">
      <formula>"Yes"</formula>
    </cfRule>
  </conditionalFormatting>
  <dataValidations count="3">
    <dataValidation sqref="A6:A11" showDropDown="0" showInputMessage="0" showErrorMessage="0" allowBlank="1" type="list">
      <formula1>=FamilyList</formula1>
    </dataValidation>
    <dataValidation sqref="A15:A20" showDropDown="0" showInputMessage="0" showErrorMessage="0" allowBlank="1" type="list">
      <formula1>=FamilyList</formula1>
    </dataValidation>
    <dataValidation sqref="F15:F20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5E6C1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 ht="46" customHeight="1">
      <c r="A1" s="1" t="inlineStr">
        <is>
          <t xml:space="preserve">  🐾  PET CARE CENTER</t>
        </is>
      </c>
    </row>
    <row r="2" ht="22" customHeight="1">
      <c r="A2" s="2" t="inlineStr">
        <is>
          <t xml:space="preserve">  Food, vet visits, vaccinations &amp; routines — happy, healthy pets on schedule.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PETS</t>
        </is>
      </c>
    </row>
    <row r="5" ht="30" customHeight="1">
      <c r="A5" s="7" t="inlineStr">
        <is>
          <t>Pet</t>
        </is>
      </c>
      <c r="B5" s="7" t="inlineStr">
        <is>
          <t>Type / Breed</t>
        </is>
      </c>
      <c r="C5" s="7" t="inlineStr">
        <is>
          <t>Birthday</t>
        </is>
      </c>
      <c r="D5" s="7" t="inlineStr">
        <is>
          <t>Vet</t>
        </is>
      </c>
      <c r="E5" s="7" t="inlineStr">
        <is>
          <t>Microchip #</t>
        </is>
      </c>
      <c r="F5" s="7" t="inlineStr">
        <is>
          <t>Food</t>
        </is>
      </c>
      <c r="G5" s="7" t="inlineStr">
        <is>
          <t>Notes</t>
        </is>
      </c>
    </row>
    <row r="6">
      <c r="A6" s="17" t="inlineStr">
        <is>
          <t>Buddy</t>
        </is>
      </c>
      <c r="B6" s="16" t="inlineStr">
        <is>
          <t>Dog / Labrador</t>
        </is>
      </c>
      <c r="C6" s="18" t="n">
        <v>43587</v>
      </c>
      <c r="D6" s="17" t="inlineStr">
        <is>
          <t>Paws &amp; Claws</t>
        </is>
      </c>
      <c r="E6" s="17" t="inlineStr">
        <is>
          <t>MC-77120</t>
        </is>
      </c>
      <c r="F6" s="16" t="inlineStr">
        <is>
          <t>2 cups 2x/day</t>
        </is>
      </c>
      <c r="G6" s="16" t="inlineStr">
        <is>
          <t>Friendly</t>
        </is>
      </c>
    </row>
    <row r="7">
      <c r="A7" s="20" t="inlineStr">
        <is>
          <t>Whiskers</t>
        </is>
      </c>
      <c r="B7" s="19" t="inlineStr">
        <is>
          <t>Cat / Tabby</t>
        </is>
      </c>
      <c r="C7" s="21" t="n">
        <v>44422</v>
      </c>
      <c r="D7" s="20" t="inlineStr">
        <is>
          <t>Paws &amp; Claws</t>
        </is>
      </c>
      <c r="E7" s="20" t="inlineStr">
        <is>
          <t>MC-77121</t>
        </is>
      </c>
      <c r="F7" s="19" t="inlineStr">
        <is>
          <t>1/2 cup 2x/day</t>
        </is>
      </c>
      <c r="G7" s="19" t="inlineStr">
        <is>
          <t>Indoor</t>
        </is>
      </c>
    </row>
    <row r="8">
      <c r="A8" s="17" t="n"/>
      <c r="B8" s="16" t="n"/>
      <c r="C8" s="18" t="n"/>
      <c r="D8" s="17" t="n"/>
      <c r="E8" s="17" t="n"/>
      <c r="F8" s="16" t="n"/>
      <c r="G8" s="16" t="n"/>
    </row>
    <row r="10">
      <c r="A10" s="4" t="inlineStr">
        <is>
          <t>HEALTH &amp; VET SCHEDULE</t>
        </is>
      </c>
    </row>
    <row r="11" ht="30" customHeight="1">
      <c r="A11" s="7" t="inlineStr">
        <is>
          <t>Pet</t>
        </is>
      </c>
      <c r="B11" s="7" t="inlineStr">
        <is>
          <t>Service</t>
        </is>
      </c>
      <c r="C11" s="7" t="inlineStr">
        <is>
          <t>Last Done</t>
        </is>
      </c>
      <c r="D11" s="7" t="inlineStr">
        <is>
          <t>Next Due</t>
        </is>
      </c>
      <c r="E11" s="7" t="inlineStr">
        <is>
          <t>Provider</t>
        </is>
      </c>
      <c r="F11" s="7" t="inlineStr">
        <is>
          <t>Cost</t>
        </is>
      </c>
      <c r="G11" s="7" t="inlineStr">
        <is>
          <t>Notes</t>
        </is>
      </c>
    </row>
    <row r="12">
      <c r="A12" s="17" t="inlineStr">
        <is>
          <t>Buddy</t>
        </is>
      </c>
      <c r="B12" s="17" t="inlineStr">
        <is>
          <t>Rabies vaccine</t>
        </is>
      </c>
      <c r="C12" s="18" t="n">
        <v>46003</v>
      </c>
      <c r="D12" s="18" t="n">
        <v>46368</v>
      </c>
      <c r="E12" s="17" t="inlineStr">
        <is>
          <t>Paws &amp; Claws</t>
        </is>
      </c>
      <c r="F12" s="44" t="n">
        <v>35</v>
      </c>
      <c r="G12" s="16" t="inlineStr"/>
    </row>
    <row r="13">
      <c r="A13" s="20" t="inlineStr">
        <is>
          <t>Buddy</t>
        </is>
      </c>
      <c r="B13" s="20" t="inlineStr">
        <is>
          <t>Heartworm meds</t>
        </is>
      </c>
      <c r="C13" s="21" t="n">
        <v>46183</v>
      </c>
      <c r="D13" s="21" t="n">
        <v>46213</v>
      </c>
      <c r="E13" s="20" t="inlineStr">
        <is>
          <t>Auto-ship</t>
        </is>
      </c>
      <c r="F13" s="46" t="n">
        <v>18</v>
      </c>
      <c r="G13" s="19" t="inlineStr">
        <is>
          <t>Monthly</t>
        </is>
      </c>
    </row>
    <row r="14">
      <c r="A14" s="17" t="inlineStr">
        <is>
          <t>Buddy</t>
        </is>
      </c>
      <c r="B14" s="17" t="inlineStr">
        <is>
          <t>Grooming</t>
        </is>
      </c>
      <c r="C14" s="18" t="n">
        <v>46163</v>
      </c>
      <c r="D14" s="18" t="n">
        <v>46223</v>
      </c>
      <c r="E14" s="17" t="inlineStr">
        <is>
          <t>Pampered Paws</t>
        </is>
      </c>
      <c r="F14" s="44" t="n">
        <v>60</v>
      </c>
      <c r="G14" s="16" t="inlineStr"/>
    </row>
    <row r="15">
      <c r="A15" s="20" t="inlineStr">
        <is>
          <t>Whiskers</t>
        </is>
      </c>
      <c r="B15" s="20" t="inlineStr">
        <is>
          <t>Annual checkup</t>
        </is>
      </c>
      <c r="C15" s="21" t="n">
        <v>46053</v>
      </c>
      <c r="D15" s="21" t="n">
        <v>46418</v>
      </c>
      <c r="E15" s="20" t="inlineStr">
        <is>
          <t>Paws &amp; Claws</t>
        </is>
      </c>
      <c r="F15" s="46" t="n">
        <v>75</v>
      </c>
      <c r="G15" s="19" t="inlineStr"/>
    </row>
    <row r="16">
      <c r="A16" s="17" t="inlineStr">
        <is>
          <t>Whiskers</t>
        </is>
      </c>
      <c r="B16" s="17" t="inlineStr">
        <is>
          <t>Flea treatment</t>
        </is>
      </c>
      <c r="C16" s="18" t="n">
        <v>46178</v>
      </c>
      <c r="D16" s="18" t="n">
        <v>46208</v>
      </c>
      <c r="E16" s="17" t="inlineStr">
        <is>
          <t>Auto-ship</t>
        </is>
      </c>
      <c r="F16" s="44" t="n">
        <v>15</v>
      </c>
      <c r="G16" s="16" t="inlineStr">
        <is>
          <t>Monthly</t>
        </is>
      </c>
    </row>
    <row r="17">
      <c r="A17" s="20" t="inlineStr">
        <is>
          <t>Buddy</t>
        </is>
      </c>
      <c r="B17" s="20" t="inlineStr">
        <is>
          <t>Dental cleaning</t>
        </is>
      </c>
      <c r="C17" s="21" t="n">
        <v>45903</v>
      </c>
      <c r="D17" s="21" t="n">
        <v>46263</v>
      </c>
      <c r="E17" s="20" t="inlineStr">
        <is>
          <t>Paws &amp; Claws</t>
        </is>
      </c>
      <c r="F17" s="46" t="n">
        <v>220</v>
      </c>
      <c r="G17" s="19" t="inlineStr"/>
    </row>
    <row r="18">
      <c r="A18" s="17" t="n"/>
      <c r="B18" s="17" t="n"/>
      <c r="C18" s="18" t="n"/>
      <c r="D18" s="18" t="n"/>
      <c r="E18" s="17" t="n"/>
      <c r="F18" s="44" t="n"/>
      <c r="G18" s="16" t="n"/>
    </row>
    <row r="19">
      <c r="A19" s="20" t="n"/>
      <c r="B19" s="20" t="n"/>
      <c r="C19" s="21" t="n"/>
      <c r="D19" s="21" t="n"/>
      <c r="E19" s="20" t="n"/>
      <c r="F19" s="46" t="n"/>
      <c r="G19" s="19" t="n"/>
    </row>
    <row r="21">
      <c r="A21" s="6" t="inlineStr">
        <is>
          <t>WALKING / CARE SCHEDULE</t>
        </is>
      </c>
    </row>
    <row r="22" ht="30" customHeight="1">
      <c r="A22" s="7" t="inlineStr">
        <is>
          <t>Day</t>
        </is>
      </c>
      <c r="B22" s="7" t="inlineStr">
        <is>
          <t>Morning</t>
        </is>
      </c>
      <c r="C22" s="7" t="inlineStr">
        <is>
          <t>Midday</t>
        </is>
      </c>
      <c r="D22" s="7" t="inlineStr">
        <is>
          <t>Evening</t>
        </is>
      </c>
      <c r="E22" s="7" t="inlineStr">
        <is>
          <t>Walk?</t>
        </is>
      </c>
      <c r="F22" s="7" t="inlineStr">
        <is>
          <t>Fed?</t>
        </is>
      </c>
      <c r="G22" s="7" t="inlineStr">
        <is>
          <t>Notes</t>
        </is>
      </c>
    </row>
    <row r="23">
      <c r="A23" s="27" t="inlineStr">
        <is>
          <t>Monday</t>
        </is>
      </c>
      <c r="B23" s="17" t="inlineStr"/>
      <c r="C23" s="17" t="inlineStr"/>
      <c r="D23" s="17" t="inlineStr"/>
      <c r="E23" s="17" t="inlineStr"/>
      <c r="F23" s="17" t="inlineStr"/>
      <c r="G23" s="17" t="inlineStr"/>
    </row>
    <row r="24">
      <c r="A24" s="27" t="inlineStr">
        <is>
          <t>Tuesday</t>
        </is>
      </c>
      <c r="B24" s="20" t="inlineStr"/>
      <c r="C24" s="20" t="inlineStr"/>
      <c r="D24" s="20" t="inlineStr"/>
      <c r="E24" s="20" t="inlineStr"/>
      <c r="F24" s="20" t="inlineStr"/>
      <c r="G24" s="20" t="inlineStr"/>
    </row>
    <row r="25">
      <c r="A25" s="27" t="inlineStr">
        <is>
          <t>Wednesday</t>
        </is>
      </c>
      <c r="B25" s="17" t="inlineStr"/>
      <c r="C25" s="17" t="inlineStr"/>
      <c r="D25" s="17" t="inlineStr"/>
      <c r="E25" s="17" t="inlineStr"/>
      <c r="F25" s="17" t="inlineStr"/>
      <c r="G25" s="17" t="inlineStr"/>
    </row>
    <row r="26">
      <c r="A26" s="27" t="inlineStr">
        <is>
          <t>Thursday</t>
        </is>
      </c>
      <c r="B26" s="20" t="inlineStr"/>
      <c r="C26" s="20" t="inlineStr"/>
      <c r="D26" s="20" t="inlineStr"/>
      <c r="E26" s="20" t="inlineStr"/>
      <c r="F26" s="20" t="inlineStr"/>
      <c r="G26" s="20" t="inlineStr"/>
    </row>
    <row r="27">
      <c r="A27" s="27" t="inlineStr">
        <is>
          <t>Friday</t>
        </is>
      </c>
      <c r="B27" s="17" t="inlineStr"/>
      <c r="C27" s="17" t="inlineStr"/>
      <c r="D27" s="17" t="inlineStr"/>
      <c r="E27" s="17" t="inlineStr"/>
      <c r="F27" s="17" t="inlineStr"/>
      <c r="G27" s="17" t="inlineStr"/>
    </row>
    <row r="28">
      <c r="A28" s="27" t="inlineStr">
        <is>
          <t>Saturday</t>
        </is>
      </c>
      <c r="B28" s="20" t="inlineStr"/>
      <c r="C28" s="20" t="inlineStr"/>
      <c r="D28" s="20" t="inlineStr"/>
      <c r="E28" s="20" t="inlineStr"/>
      <c r="F28" s="20" t="inlineStr"/>
      <c r="G28" s="20" t="inlineStr"/>
    </row>
    <row r="29">
      <c r="A29" s="27" t="inlineStr">
        <is>
          <t>Sunday</t>
        </is>
      </c>
      <c r="B29" s="17" t="inlineStr"/>
      <c r="C29" s="17" t="inlineStr"/>
      <c r="D29" s="17" t="inlineStr"/>
      <c r="E29" s="17" t="inlineStr"/>
      <c r="F29" s="17" t="inlineStr"/>
      <c r="G29" s="17" t="inlineStr"/>
    </row>
  </sheetData>
  <mergeCells count="5">
    <mergeCell ref="A1:G1"/>
    <mergeCell ref="A21:G21"/>
    <mergeCell ref="A4:G4"/>
    <mergeCell ref="A2:G2"/>
    <mergeCell ref="A10:G10"/>
  </mergeCells>
  <conditionalFormatting sqref="A12:G19">
    <cfRule type="expression" priority="1" dxfId="2">
      <formula>AND($D12&lt;&gt;"",$D12&lt;=TODAY()+14)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5D3BA"/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4" customWidth="1" min="9" max="9"/>
    <col width="22" customWidth="1" min="10" max="10"/>
    <col width="12" customWidth="1" min="11" max="11"/>
  </cols>
  <sheetData>
    <row r="1" ht="46" customHeight="1">
      <c r="A1" s="1" t="inlineStr">
        <is>
          <t xml:space="preserve">  🌿  WELLNESS &amp; SELF-CARE</t>
        </is>
      </c>
    </row>
    <row r="2" ht="22" customHeight="1">
      <c r="A2" s="2" t="inlineStr">
        <is>
          <t xml:space="preserve">  Don't run on empty — track sleep, movement, water &amp; the habits that recharge you.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4" t="inlineStr">
        <is>
          <t>WEEKLY HABIT TRACKER</t>
        </is>
      </c>
      <c r="J4" s="4" t="inlineStr">
        <is>
          <t>WEEK AT A GLANCE</t>
        </is>
      </c>
    </row>
    <row r="5" ht="30" customHeight="1">
      <c r="A5" s="7" t="inlineStr">
        <is>
          <t>Day</t>
        </is>
      </c>
      <c r="B5" s="7" t="inlineStr">
        <is>
          <t>Sleep (hr)</t>
        </is>
      </c>
      <c r="C5" s="7" t="inlineStr">
        <is>
          <t>Water (oz)</t>
        </is>
      </c>
      <c r="D5" s="7" t="inlineStr">
        <is>
          <t>Exercise</t>
        </is>
      </c>
      <c r="E5" s="7" t="inlineStr">
        <is>
          <t>Read</t>
        </is>
      </c>
      <c r="F5" s="7" t="inlineStr">
        <is>
          <t>Meditate</t>
        </is>
      </c>
      <c r="G5" s="7" t="inlineStr">
        <is>
          <t>Outside</t>
        </is>
      </c>
      <c r="H5" s="7" t="inlineStr">
        <is>
          <t>Self-Care ★</t>
        </is>
      </c>
      <c r="J5" s="23" t="inlineStr">
        <is>
          <t>Avg sleep</t>
        </is>
      </c>
      <c r="K5" s="58">
        <f>IFERROR(AVERAGE(WellSleep),0)</f>
        <v/>
      </c>
    </row>
    <row r="6">
      <c r="A6" s="27" t="inlineStr">
        <is>
          <t>Monday</t>
        </is>
      </c>
      <c r="B6" s="17" t="n">
        <v>7.5</v>
      </c>
      <c r="C6" s="17" t="n">
        <v>64</v>
      </c>
      <c r="D6" s="17" t="inlineStr">
        <is>
          <t>✓</t>
        </is>
      </c>
      <c r="E6" s="17" t="inlineStr">
        <is>
          <t>✓</t>
        </is>
      </c>
      <c r="F6" s="17" t="inlineStr">
        <is>
          <t>✓</t>
        </is>
      </c>
      <c r="G6" s="17" t="inlineStr">
        <is>
          <t>✓</t>
        </is>
      </c>
      <c r="H6" s="17" t="inlineStr">
        <is>
          <t>✓</t>
        </is>
      </c>
      <c r="J6" s="23" t="inlineStr">
        <is>
          <t>Avg water (oz)</t>
        </is>
      </c>
      <c r="K6" s="24">
        <f>IFERROR(AVERAGE(WellWater),0)</f>
        <v/>
      </c>
    </row>
    <row r="7">
      <c r="A7" s="27" t="inlineStr">
        <is>
          <t>Tuesday</t>
        </is>
      </c>
      <c r="B7" s="20" t="n">
        <v>6.5</v>
      </c>
      <c r="C7" s="20" t="n">
        <v>48</v>
      </c>
      <c r="D7" s="20" t="inlineStr">
        <is>
          <t>✓</t>
        </is>
      </c>
      <c r="E7" s="20" t="inlineStr"/>
      <c r="F7" s="20" t="inlineStr"/>
      <c r="G7" s="20" t="inlineStr">
        <is>
          <t>✓</t>
        </is>
      </c>
      <c r="H7" s="20" t="inlineStr"/>
      <c r="J7" s="23" t="inlineStr">
        <is>
          <t>Exercise days</t>
        </is>
      </c>
      <c r="K7" s="24">
        <f>COUNTIF(E6:E12,"✓")</f>
        <v/>
      </c>
    </row>
    <row r="8">
      <c r="A8" s="27" t="inlineStr">
        <is>
          <t>Wednesday</t>
        </is>
      </c>
      <c r="B8" s="17" t="n">
        <v>8</v>
      </c>
      <c r="C8" s="17" t="n">
        <v>72</v>
      </c>
      <c r="D8" s="17" t="inlineStr">
        <is>
          <t>✓</t>
        </is>
      </c>
      <c r="E8" s="17" t="inlineStr">
        <is>
          <t>✓</t>
        </is>
      </c>
      <c r="F8" s="17" t="inlineStr">
        <is>
          <t>✓</t>
        </is>
      </c>
      <c r="G8" s="17" t="inlineStr"/>
      <c r="H8" s="17" t="inlineStr">
        <is>
          <t>✓</t>
        </is>
      </c>
      <c r="J8" s="23" t="inlineStr">
        <is>
          <t>Self-care days</t>
        </is>
      </c>
      <c r="K8" s="24">
        <f>COUNTIF(H6:H12,"✓")</f>
        <v/>
      </c>
    </row>
    <row r="9">
      <c r="A9" s="27" t="inlineStr">
        <is>
          <t>Thursday</t>
        </is>
      </c>
      <c r="B9" s="20" t="n">
        <v>7</v>
      </c>
      <c r="C9" s="20" t="n">
        <v>56</v>
      </c>
      <c r="D9" s="20" t="inlineStr"/>
      <c r="E9" s="20" t="inlineStr">
        <is>
          <t>✓</t>
        </is>
      </c>
      <c r="F9" s="20" t="inlineStr">
        <is>
          <t>✓</t>
        </is>
      </c>
      <c r="G9" s="20" t="inlineStr">
        <is>
          <t>✓</t>
        </is>
      </c>
      <c r="H9" s="20" t="inlineStr"/>
    </row>
    <row r="10">
      <c r="A10" s="27" t="inlineStr">
        <is>
          <t>Friday</t>
        </is>
      </c>
      <c r="B10" s="17" t="n">
        <v>7.5</v>
      </c>
      <c r="C10" s="17" t="n">
        <v>64</v>
      </c>
      <c r="D10" s="17" t="inlineStr">
        <is>
          <t>✓</t>
        </is>
      </c>
      <c r="E10" s="17" t="inlineStr"/>
      <c r="F10" s="17" t="inlineStr"/>
      <c r="G10" s="17" t="inlineStr"/>
      <c r="H10" s="17" t="inlineStr">
        <is>
          <t>✓</t>
        </is>
      </c>
    </row>
    <row r="11">
      <c r="A11" s="27" t="inlineStr">
        <is>
          <t>Saturday</t>
        </is>
      </c>
      <c r="B11" s="20" t="n">
        <v>8.5</v>
      </c>
      <c r="C11" s="20" t="n">
        <v>80</v>
      </c>
      <c r="D11" s="20" t="inlineStr">
        <is>
          <t>✓</t>
        </is>
      </c>
      <c r="E11" s="20" t="inlineStr">
        <is>
          <t>✓</t>
        </is>
      </c>
      <c r="F11" s="20" t="inlineStr">
        <is>
          <t>✓</t>
        </is>
      </c>
      <c r="G11" s="20" t="inlineStr">
        <is>
          <t>✓</t>
        </is>
      </c>
      <c r="H11" s="20" t="inlineStr">
        <is>
          <t>✓</t>
        </is>
      </c>
    </row>
    <row r="12">
      <c r="A12" s="27" t="inlineStr">
        <is>
          <t>Sunday</t>
        </is>
      </c>
      <c r="B12" s="17" t="n">
        <v>8</v>
      </c>
      <c r="C12" s="17" t="n">
        <v>60</v>
      </c>
      <c r="D12" s="17" t="inlineStr"/>
      <c r="E12" s="17" t="inlineStr">
        <is>
          <t>✓</t>
        </is>
      </c>
      <c r="F12" s="17" t="inlineStr"/>
      <c r="G12" s="17" t="inlineStr">
        <is>
          <t>✓</t>
        </is>
      </c>
      <c r="H12" s="17" t="inlineStr"/>
    </row>
    <row r="14">
      <c r="A14" s="6" t="inlineStr">
        <is>
          <t>SELF-CARE MENU &amp; PERSONAL GOALS</t>
        </is>
      </c>
    </row>
    <row r="15">
      <c r="A15" s="59" t="inlineStr">
        <is>
          <t>○</t>
        </is>
      </c>
      <c r="B15" s="27" t="inlineStr">
        <is>
          <t>10-min morning quiet</t>
        </is>
      </c>
      <c r="C15" s="50" t="n"/>
      <c r="D15" s="51" t="n"/>
      <c r="E15" s="59" t="inlineStr">
        <is>
          <t>○</t>
        </is>
      </c>
      <c r="F15" s="27" t="inlineStr">
        <is>
          <t>Walk outside daily</t>
        </is>
      </c>
      <c r="G15" s="50" t="n"/>
      <c r="H15" s="51" t="n"/>
    </row>
    <row r="16">
      <c r="A16" s="59" t="inlineStr">
        <is>
          <t>○</t>
        </is>
      </c>
      <c r="B16" s="27" t="inlineStr">
        <is>
          <t>Read before bed</t>
        </is>
      </c>
      <c r="C16" s="50" t="n"/>
      <c r="D16" s="51" t="n"/>
      <c r="E16" s="59" t="inlineStr">
        <is>
          <t>○</t>
        </is>
      </c>
      <c r="F16" s="27" t="inlineStr">
        <is>
          <t>Call a friend</t>
        </is>
      </c>
      <c r="G16" s="50" t="n"/>
      <c r="H16" s="51" t="n"/>
    </row>
    <row r="17">
      <c r="A17" s="59" t="inlineStr">
        <is>
          <t>○</t>
        </is>
      </c>
      <c r="B17" s="27" t="inlineStr">
        <is>
          <t>Bath / spa night</t>
        </is>
      </c>
      <c r="C17" s="50" t="n"/>
      <c r="D17" s="51" t="n"/>
      <c r="E17" s="59" t="inlineStr">
        <is>
          <t>○</t>
        </is>
      </c>
      <c r="F17" s="27" t="inlineStr">
        <is>
          <t>Hobby time (1 hr)</t>
        </is>
      </c>
      <c r="G17" s="50" t="n"/>
      <c r="H17" s="51" t="n"/>
    </row>
    <row r="18">
      <c r="A18" s="59" t="inlineStr">
        <is>
          <t>○</t>
        </is>
      </c>
      <c r="B18" s="27" t="inlineStr">
        <is>
          <t>Stretch / yoga</t>
        </is>
      </c>
      <c r="C18" s="50" t="n"/>
      <c r="D18" s="51" t="n"/>
      <c r="E18" s="59" t="inlineStr">
        <is>
          <t>○</t>
        </is>
      </c>
      <c r="F18" s="27" t="inlineStr">
        <is>
          <t>Digital sunset 9pm</t>
        </is>
      </c>
      <c r="G18" s="50" t="n"/>
      <c r="H18" s="51" t="n"/>
    </row>
    <row r="19">
      <c r="A19" s="59" t="inlineStr">
        <is>
          <t>○</t>
        </is>
      </c>
      <c r="B19" s="27" t="inlineStr">
        <is>
          <t>Journal 3 gratitudes</t>
        </is>
      </c>
      <c r="C19" s="50" t="n"/>
      <c r="D19" s="51" t="n"/>
      <c r="E19" s="59" t="inlineStr">
        <is>
          <t>○</t>
        </is>
      </c>
      <c r="F19" s="27" t="inlineStr">
        <is>
          <t>Meal-prep Sunday</t>
        </is>
      </c>
      <c r="G19" s="50" t="n"/>
      <c r="H19" s="51" t="n"/>
    </row>
    <row r="20">
      <c r="A20" s="59" t="inlineStr">
        <is>
          <t>○</t>
        </is>
      </c>
      <c r="B20" s="27" t="inlineStr">
        <is>
          <t>Date night</t>
        </is>
      </c>
      <c r="C20" s="50" t="n"/>
      <c r="D20" s="51" t="n"/>
      <c r="E20" s="59" t="inlineStr">
        <is>
          <t>○</t>
        </is>
      </c>
      <c r="F20" s="27" t="inlineStr">
        <is>
          <t>Say no to one thing</t>
        </is>
      </c>
      <c r="G20" s="50" t="n"/>
      <c r="H20" s="51" t="n"/>
    </row>
  </sheetData>
  <mergeCells count="17">
    <mergeCell ref="F20:H20"/>
    <mergeCell ref="A4:H4"/>
    <mergeCell ref="F16:H16"/>
    <mergeCell ref="J4:K4"/>
    <mergeCell ref="B19:D19"/>
    <mergeCell ref="F19:H19"/>
    <mergeCell ref="F18:H18"/>
    <mergeCell ref="A2:K2"/>
    <mergeCell ref="B17:D17"/>
    <mergeCell ref="B18:D18"/>
    <mergeCell ref="A14:H14"/>
    <mergeCell ref="F17:H17"/>
    <mergeCell ref="B15:D15"/>
    <mergeCell ref="F15:H15"/>
    <mergeCell ref="A1:K1"/>
    <mergeCell ref="B16:D16"/>
    <mergeCell ref="B20:D2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B4F48"/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3" customWidth="1" min="7" max="7"/>
    <col width="22" customWidth="1" min="8" max="8"/>
  </cols>
  <sheetData>
    <row r="1" ht="46" customHeight="1">
      <c r="A1" s="1" t="inlineStr">
        <is>
          <t xml:space="preserve">  🏗  HOME PROJECT PLANNER</t>
        </is>
      </c>
    </row>
    <row r="2" ht="22" customHeight="1">
      <c r="A2" s="2" t="inlineStr">
        <is>
          <t xml:space="preserve">  Plan renovations &amp; DIY — budget, contractors, timeline &amp; before/after photos.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7" t="inlineStr">
        <is>
          <t>Project / Room</t>
        </is>
      </c>
      <c r="B4" s="7" t="inlineStr">
        <is>
          <t>Budget</t>
        </is>
      </c>
      <c r="C4" s="7" t="inlineStr">
        <is>
          <t>Spent</t>
        </is>
      </c>
      <c r="D4" s="7" t="inlineStr">
        <is>
          <t>Contractor</t>
        </is>
      </c>
      <c r="E4" s="7" t="inlineStr">
        <is>
          <t>Start</t>
        </is>
      </c>
      <c r="F4" s="7" t="inlineStr">
        <is>
          <t>Target</t>
        </is>
      </c>
      <c r="G4" s="7" t="inlineStr">
        <is>
          <t>% Done</t>
        </is>
      </c>
      <c r="H4" s="7" t="inlineStr">
        <is>
          <t>Status</t>
        </is>
      </c>
    </row>
    <row r="5">
      <c r="A5" s="16" t="inlineStr">
        <is>
          <t>Kitchen remodel</t>
        </is>
      </c>
      <c r="B5" s="44" t="n">
        <v>25000</v>
      </c>
      <c r="C5" s="44" t="n">
        <v>5200</v>
      </c>
      <c r="D5" s="16" t="inlineStr">
        <is>
          <t>Stellar Kitchens</t>
        </is>
      </c>
      <c r="E5" s="18" t="n">
        <v>46183</v>
      </c>
      <c r="F5" s="18" t="n">
        <v>46363</v>
      </c>
      <c r="G5" s="52" t="n">
        <v>0.2</v>
      </c>
      <c r="H5" s="17" t="inlineStr">
        <is>
          <t>In Progress</t>
        </is>
      </c>
    </row>
    <row r="6">
      <c r="A6" s="19" t="inlineStr">
        <is>
          <t>Master bath refresh</t>
        </is>
      </c>
      <c r="B6" s="46" t="n">
        <v>6000</v>
      </c>
      <c r="C6" s="46" t="n">
        <v>0</v>
      </c>
      <c r="D6" s="19" t="inlineStr">
        <is>
          <t>TBD</t>
        </is>
      </c>
      <c r="E6" s="21" t="inlineStr"/>
      <c r="F6" s="21" t="n">
        <v>46443</v>
      </c>
      <c r="G6" s="39" t="n">
        <v>0</v>
      </c>
      <c r="H6" s="20" t="inlineStr">
        <is>
          <t>Not Started</t>
        </is>
      </c>
    </row>
    <row r="7">
      <c r="A7" s="16" t="inlineStr">
        <is>
          <t>Backyard deck</t>
        </is>
      </c>
      <c r="B7" s="44" t="n">
        <v>8500</v>
      </c>
      <c r="C7" s="44" t="n">
        <v>1200</v>
      </c>
      <c r="D7" s="16" t="inlineStr">
        <is>
          <t>Outdoor Pros</t>
        </is>
      </c>
      <c r="E7" s="18" t="n">
        <v>46198</v>
      </c>
      <c r="F7" s="18" t="n">
        <v>46293</v>
      </c>
      <c r="G7" s="52" t="n">
        <v>0.15</v>
      </c>
      <c r="H7" s="17" t="inlineStr">
        <is>
          <t>In Progress</t>
        </is>
      </c>
    </row>
    <row r="8">
      <c r="A8" s="19" t="inlineStr">
        <is>
          <t>Garage organization</t>
        </is>
      </c>
      <c r="B8" s="46" t="n">
        <v>1200</v>
      </c>
      <c r="C8" s="46" t="n">
        <v>800</v>
      </c>
      <c r="D8" s="19" t="inlineStr">
        <is>
          <t>DIY</t>
        </is>
      </c>
      <c r="E8" s="21" t="n">
        <v>46163</v>
      </c>
      <c r="F8" s="21" t="n">
        <v>46213</v>
      </c>
      <c r="G8" s="39" t="n">
        <v>0.7</v>
      </c>
      <c r="H8" s="20" t="inlineStr">
        <is>
          <t>In Progress</t>
        </is>
      </c>
    </row>
    <row r="9">
      <c r="A9" s="16" t="inlineStr">
        <is>
          <t>Repaint living room</t>
        </is>
      </c>
      <c r="B9" s="44" t="n">
        <v>600</v>
      </c>
      <c r="C9" s="44" t="n">
        <v>0</v>
      </c>
      <c r="D9" s="16" t="inlineStr">
        <is>
          <t>DIY</t>
        </is>
      </c>
      <c r="E9" s="18" t="inlineStr"/>
      <c r="F9" s="18" t="n">
        <v>46248</v>
      </c>
      <c r="G9" s="52" t="n">
        <v>0</v>
      </c>
      <c r="H9" s="17" t="inlineStr">
        <is>
          <t>Not Started</t>
        </is>
      </c>
    </row>
    <row r="10">
      <c r="A10" s="19" t="inlineStr">
        <is>
          <t>Kids' playroom</t>
        </is>
      </c>
      <c r="B10" s="46" t="n">
        <v>2000</v>
      </c>
      <c r="C10" s="46" t="n">
        <v>350</v>
      </c>
      <c r="D10" s="19" t="inlineStr">
        <is>
          <t>DIY</t>
        </is>
      </c>
      <c r="E10" s="21" t="n">
        <v>46188</v>
      </c>
      <c r="F10" s="21" t="n">
        <v>46263</v>
      </c>
      <c r="G10" s="39" t="n">
        <v>0.25</v>
      </c>
      <c r="H10" s="20" t="inlineStr">
        <is>
          <t>In Progress</t>
        </is>
      </c>
    </row>
    <row r="11">
      <c r="A11" s="16" t="n"/>
      <c r="B11" s="44" t="n"/>
      <c r="C11" s="44" t="n"/>
      <c r="D11" s="16" t="n"/>
      <c r="E11" s="18" t="n"/>
      <c r="F11" s="18" t="n"/>
      <c r="G11" s="52" t="n"/>
      <c r="H11" s="17" t="n"/>
    </row>
    <row r="12">
      <c r="A12" s="19" t="n"/>
      <c r="B12" s="46" t="n"/>
      <c r="C12" s="46" t="n"/>
      <c r="D12" s="19" t="n"/>
      <c r="E12" s="21" t="n"/>
      <c r="F12" s="21" t="n"/>
      <c r="G12" s="39" t="n"/>
      <c r="H12" s="20" t="n"/>
    </row>
    <row r="13">
      <c r="A13" s="16" t="n"/>
      <c r="B13" s="44" t="n"/>
      <c r="C13" s="44" t="n"/>
      <c r="D13" s="16" t="n"/>
      <c r="E13" s="18" t="n"/>
      <c r="F13" s="18" t="n"/>
      <c r="G13" s="52" t="n"/>
      <c r="H13" s="17" t="n"/>
    </row>
    <row r="14">
      <c r="A14" s="19" t="n"/>
      <c r="B14" s="46" t="n"/>
      <c r="C14" s="46" t="n"/>
      <c r="D14" s="19" t="n"/>
      <c r="E14" s="21" t="n"/>
      <c r="F14" s="21" t="n"/>
      <c r="G14" s="39" t="n"/>
      <c r="H14" s="20" t="n"/>
    </row>
    <row r="15">
      <c r="A15" s="16" t="n"/>
      <c r="B15" s="44" t="n"/>
      <c r="C15" s="44" t="n"/>
      <c r="D15" s="16" t="n"/>
      <c r="E15" s="18" t="n"/>
      <c r="F15" s="18" t="n"/>
      <c r="G15" s="52" t="n"/>
      <c r="H15" s="17" t="n"/>
    </row>
    <row r="16">
      <c r="A16" s="19" t="n"/>
      <c r="B16" s="46" t="n"/>
      <c r="C16" s="46" t="n"/>
      <c r="D16" s="19" t="n"/>
      <c r="E16" s="21" t="n"/>
      <c r="F16" s="21" t="n"/>
      <c r="G16" s="39" t="n"/>
      <c r="H16" s="20" t="n"/>
    </row>
    <row r="18">
      <c r="A18" s="4" t="inlineStr">
        <is>
          <t>FEATURED PROJECT — BEFORE / AFTER</t>
        </is>
      </c>
    </row>
    <row r="19">
      <c r="A19" s="7" t="inlineStr">
        <is>
          <t>BEFORE</t>
        </is>
      </c>
      <c r="E19" s="7" t="inlineStr">
        <is>
          <t>AFTER</t>
        </is>
      </c>
    </row>
    <row r="20" ht="26" customHeight="1">
      <c r="A20" s="60" t="inlineStr">
        <is>
          <t>📷
Paste your BEFORE photo here
(Insert ▸ Picture)</t>
        </is>
      </c>
      <c r="E20" s="60" t="inlineStr">
        <is>
          <t>📷
Paste your AFTER photo here
(Insert ▸ Picture)</t>
        </is>
      </c>
    </row>
    <row r="21" ht="26" customHeight="1"/>
    <row r="22" ht="26" customHeight="1"/>
    <row r="23" ht="26" customHeight="1"/>
    <row r="24" ht="26" customHeight="1"/>
    <row r="25" ht="26" customHeight="1"/>
  </sheetData>
  <mergeCells count="7">
    <mergeCell ref="A18:H18"/>
    <mergeCell ref="A2:H2"/>
    <mergeCell ref="A20:D25"/>
    <mergeCell ref="E20:H25"/>
    <mergeCell ref="A19:D19"/>
    <mergeCell ref="A1:H1"/>
    <mergeCell ref="E19:H19"/>
  </mergeCells>
  <conditionalFormatting sqref="G5:G16">
    <cfRule type="dataBar" priority="1">
      <dataBar showValue="1">
        <cfvo type="num" val="0"/>
        <cfvo type="num" val="1"/>
        <color rgb="001B4F48"/>
      </dataBar>
    </cfRule>
  </conditionalFormatting>
  <dataValidations count="1">
    <dataValidation sqref="H5:H16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937356"/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2" customWidth="1" min="4" max="4"/>
    <col width="16" customWidth="1" min="5" max="5"/>
    <col width="14" customWidth="1" min="6" max="6"/>
    <col width="20" customWidth="1" min="7" max="7"/>
  </cols>
  <sheetData>
    <row r="1" ht="46" customHeight="1">
      <c r="A1" s="1" t="inlineStr">
        <is>
          <t xml:space="preserve">  🗄  DOCUMENT VAULT INDEX</t>
        </is>
      </c>
    </row>
    <row r="2" ht="22" customHeight="1">
      <c r="A2" s="2" t="inlineStr">
        <is>
          <t xml:space="preserve">  Know where every important document lives — physical &amp; digital, in one index.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7" t="inlineStr">
        <is>
          <t>Document</t>
        </is>
      </c>
      <c r="B4" s="7" t="inlineStr">
        <is>
          <t>Category</t>
        </is>
      </c>
      <c r="C4" s="7" t="inlineStr">
        <is>
          <t>Physical Location</t>
        </is>
      </c>
      <c r="D4" s="7" t="inlineStr">
        <is>
          <t>Digital Copy</t>
        </is>
      </c>
      <c r="E4" s="7" t="inlineStr">
        <is>
          <t>Expires / Renews</t>
        </is>
      </c>
      <c r="F4" s="7" t="inlineStr">
        <is>
          <t>Owner</t>
        </is>
      </c>
      <c r="G4" s="7" t="inlineStr">
        <is>
          <t>Notes</t>
        </is>
      </c>
    </row>
    <row r="5">
      <c r="A5" s="16" t="inlineStr">
        <is>
          <t>Home insurance policy</t>
        </is>
      </c>
      <c r="B5" s="17" t="inlineStr">
        <is>
          <t>Insurance</t>
        </is>
      </c>
      <c r="C5" s="16" t="inlineStr">
        <is>
          <t>File cabinet A</t>
        </is>
      </c>
      <c r="D5" s="17" t="inlineStr">
        <is>
          <t>Yes</t>
        </is>
      </c>
      <c r="E5" s="18" t="n">
        <v>46323</v>
      </c>
      <c r="F5" s="17" t="inlineStr">
        <is>
          <t>Household</t>
        </is>
      </c>
      <c r="G5" s="16" t="inlineStr"/>
    </row>
    <row r="6">
      <c r="A6" s="19" t="inlineStr">
        <is>
          <t>Mortgage documents</t>
        </is>
      </c>
      <c r="B6" s="20" t="inlineStr">
        <is>
          <t>Mortgage</t>
        </is>
      </c>
      <c r="C6" s="19" t="inlineStr">
        <is>
          <t>File cabinet A</t>
        </is>
      </c>
      <c r="D6" s="20" t="inlineStr">
        <is>
          <t>Yes</t>
        </is>
      </c>
      <c r="E6" s="21" t="inlineStr"/>
      <c r="F6" s="20" t="inlineStr">
        <is>
          <t>Household</t>
        </is>
      </c>
      <c r="G6" s="19" t="inlineStr"/>
    </row>
    <row r="7">
      <c r="A7" s="16" t="inlineStr">
        <is>
          <t>Vehicle titles</t>
        </is>
      </c>
      <c r="B7" s="17" t="inlineStr">
        <is>
          <t>Vehicle</t>
        </is>
      </c>
      <c r="C7" s="16" t="inlineStr">
        <is>
          <t>Safe</t>
        </is>
      </c>
      <c r="D7" s="17" t="inlineStr">
        <is>
          <t>No</t>
        </is>
      </c>
      <c r="E7" s="18" t="inlineStr"/>
      <c r="F7" s="17" t="inlineStr">
        <is>
          <t>Household</t>
        </is>
      </c>
      <c r="G7" s="16" t="inlineStr">
        <is>
          <t>2 cars</t>
        </is>
      </c>
    </row>
    <row r="8">
      <c r="A8" s="19" t="inlineStr">
        <is>
          <t>Passports</t>
        </is>
      </c>
      <c r="B8" s="20" t="inlineStr">
        <is>
          <t>Identity</t>
        </is>
      </c>
      <c r="C8" s="19" t="inlineStr">
        <is>
          <t>Safe</t>
        </is>
      </c>
      <c r="D8" s="20" t="inlineStr">
        <is>
          <t>Yes</t>
        </is>
      </c>
      <c r="E8" s="21" t="n">
        <v>47003</v>
      </c>
      <c r="F8" s="20" t="inlineStr">
        <is>
          <t>All</t>
        </is>
      </c>
      <c r="G8" s="19" t="inlineStr">
        <is>
          <t>Renew Emma's</t>
        </is>
      </c>
    </row>
    <row r="9">
      <c r="A9" s="16" t="inlineStr">
        <is>
          <t>Birth certificates</t>
        </is>
      </c>
      <c r="B9" s="17" t="inlineStr">
        <is>
          <t>Identity</t>
        </is>
      </c>
      <c r="C9" s="16" t="inlineStr">
        <is>
          <t>Safe</t>
        </is>
      </c>
      <c r="D9" s="17" t="inlineStr">
        <is>
          <t>Yes</t>
        </is>
      </c>
      <c r="E9" s="18" t="inlineStr"/>
      <c r="F9" s="17" t="inlineStr">
        <is>
          <t>All</t>
        </is>
      </c>
      <c r="G9" s="16" t="inlineStr"/>
    </row>
    <row r="10">
      <c r="A10" s="19" t="inlineStr">
        <is>
          <t>Social Security cards</t>
        </is>
      </c>
      <c r="B10" s="20" t="inlineStr">
        <is>
          <t>Identity</t>
        </is>
      </c>
      <c r="C10" s="19" t="inlineStr">
        <is>
          <t>Safe</t>
        </is>
      </c>
      <c r="D10" s="20" t="inlineStr">
        <is>
          <t>No</t>
        </is>
      </c>
      <c r="E10" s="21" t="inlineStr"/>
      <c r="F10" s="20" t="inlineStr">
        <is>
          <t>All</t>
        </is>
      </c>
      <c r="G10" s="19" t="inlineStr"/>
    </row>
    <row r="11">
      <c r="A11" s="16" t="inlineStr">
        <is>
          <t>Appliance warranties</t>
        </is>
      </c>
      <c r="B11" s="17" t="inlineStr">
        <is>
          <t>Warranty</t>
        </is>
      </c>
      <c r="C11" s="16" t="inlineStr">
        <is>
          <t>Kitchen drawer</t>
        </is>
      </c>
      <c r="D11" s="17" t="inlineStr">
        <is>
          <t>Yes</t>
        </is>
      </c>
      <c r="E11" s="18" t="n">
        <v>46393</v>
      </c>
      <c r="F11" s="17" t="inlineStr">
        <is>
          <t>Household</t>
        </is>
      </c>
      <c r="G11" s="16" t="inlineStr">
        <is>
          <t>See Inventory</t>
        </is>
      </c>
    </row>
    <row r="12">
      <c r="A12" s="19" t="inlineStr">
        <is>
          <t>Tax returns (3 yrs)</t>
        </is>
      </c>
      <c r="B12" s="20" t="inlineStr">
        <is>
          <t>Tax</t>
        </is>
      </c>
      <c r="C12" s="19" t="inlineStr">
        <is>
          <t>File cabinet B</t>
        </is>
      </c>
      <c r="D12" s="20" t="inlineStr">
        <is>
          <t>Yes</t>
        </is>
      </c>
      <c r="E12" s="21" t="inlineStr"/>
      <c r="F12" s="20" t="inlineStr">
        <is>
          <t>Household</t>
        </is>
      </c>
      <c r="G12" s="19" t="inlineStr"/>
    </row>
    <row r="13">
      <c r="A13" s="16" t="inlineStr">
        <is>
          <t>Wills / Estate</t>
        </is>
      </c>
      <c r="B13" s="17" t="inlineStr">
        <is>
          <t>Legal</t>
        </is>
      </c>
      <c r="C13" s="16" t="inlineStr">
        <is>
          <t>Attorney + safe</t>
        </is>
      </c>
      <c r="D13" s="17" t="inlineStr">
        <is>
          <t>Yes</t>
        </is>
      </c>
      <c r="E13" s="18" t="inlineStr"/>
      <c r="F13" s="17" t="inlineStr">
        <is>
          <t>Mom &amp; Dad</t>
        </is>
      </c>
      <c r="G13" s="16" t="inlineStr">
        <is>
          <t>Review yearly</t>
        </is>
      </c>
    </row>
    <row r="14">
      <c r="A14" s="19" t="inlineStr">
        <is>
          <t>Medical records</t>
        </is>
      </c>
      <c r="B14" s="20" t="inlineStr">
        <is>
          <t>Medical</t>
        </is>
      </c>
      <c r="C14" s="19" t="inlineStr">
        <is>
          <t>Binder</t>
        </is>
      </c>
      <c r="D14" s="20" t="inlineStr">
        <is>
          <t>Yes</t>
        </is>
      </c>
      <c r="E14" s="21" t="inlineStr"/>
      <c r="F14" s="20" t="inlineStr">
        <is>
          <t>All</t>
        </is>
      </c>
      <c r="G14" s="19" t="inlineStr"/>
    </row>
    <row r="15">
      <c r="A15" s="16" t="inlineStr">
        <is>
          <t>School records</t>
        </is>
      </c>
      <c r="B15" s="17" t="inlineStr">
        <is>
          <t>School</t>
        </is>
      </c>
      <c r="C15" s="16" t="inlineStr">
        <is>
          <t>Binder</t>
        </is>
      </c>
      <c r="D15" s="17" t="inlineStr">
        <is>
          <t>Yes</t>
        </is>
      </c>
      <c r="E15" s="18" t="inlineStr"/>
      <c r="F15" s="17" t="inlineStr">
        <is>
          <t>Kids</t>
        </is>
      </c>
      <c r="G15" s="16" t="inlineStr"/>
    </row>
    <row r="16">
      <c r="A16" s="19" t="inlineStr">
        <is>
          <t>Pet records</t>
        </is>
      </c>
      <c r="B16" s="20" t="inlineStr">
        <is>
          <t>Pet</t>
        </is>
      </c>
      <c r="C16" s="19" t="inlineStr">
        <is>
          <t>Binder</t>
        </is>
      </c>
      <c r="D16" s="20" t="inlineStr">
        <is>
          <t>Yes</t>
        </is>
      </c>
      <c r="E16" s="21" t="inlineStr"/>
      <c r="F16" s="20" t="inlineStr">
        <is>
          <t>Pets</t>
        </is>
      </c>
      <c r="G16" s="19" t="inlineStr">
        <is>
          <t>See Pet Care</t>
        </is>
      </c>
    </row>
    <row r="17">
      <c r="A17" s="16" t="n"/>
      <c r="B17" s="17" t="n"/>
      <c r="C17" s="16" t="n"/>
      <c r="D17" s="17" t="n"/>
      <c r="E17" s="18" t="n"/>
      <c r="F17" s="17" t="n"/>
      <c r="G17" s="16" t="n"/>
    </row>
    <row r="18">
      <c r="A18" s="19" t="n"/>
      <c r="B18" s="20" t="n"/>
      <c r="C18" s="19" t="n"/>
      <c r="D18" s="20" t="n"/>
      <c r="E18" s="21" t="n"/>
      <c r="F18" s="20" t="n"/>
      <c r="G18" s="19" t="n"/>
    </row>
    <row r="19">
      <c r="A19" s="16" t="n"/>
      <c r="B19" s="17" t="n"/>
      <c r="C19" s="16" t="n"/>
      <c r="D19" s="17" t="n"/>
      <c r="E19" s="18" t="n"/>
      <c r="F19" s="17" t="n"/>
      <c r="G19" s="16" t="n"/>
    </row>
    <row r="20">
      <c r="A20" s="19" t="n"/>
      <c r="B20" s="20" t="n"/>
      <c r="C20" s="19" t="n"/>
      <c r="D20" s="20" t="n"/>
      <c r="E20" s="21" t="n"/>
      <c r="F20" s="20" t="n"/>
      <c r="G20" s="19" t="n"/>
    </row>
    <row r="21">
      <c r="A21" s="16" t="n"/>
      <c r="B21" s="17" t="n"/>
      <c r="C21" s="16" t="n"/>
      <c r="D21" s="17" t="n"/>
      <c r="E21" s="18" t="n"/>
      <c r="F21" s="17" t="n"/>
      <c r="G21" s="16" t="n"/>
    </row>
    <row r="22">
      <c r="A22" s="19" t="n"/>
      <c r="B22" s="20" t="n"/>
      <c r="C22" s="19" t="n"/>
      <c r="D22" s="20" t="n"/>
      <c r="E22" s="21" t="n"/>
      <c r="F22" s="20" t="n"/>
      <c r="G22" s="19" t="n"/>
    </row>
    <row r="23">
      <c r="A23" s="16" t="n"/>
      <c r="B23" s="17" t="n"/>
      <c r="C23" s="16" t="n"/>
      <c r="D23" s="17" t="n"/>
      <c r="E23" s="18" t="n"/>
      <c r="F23" s="17" t="n"/>
      <c r="G23" s="16" t="n"/>
    </row>
    <row r="24">
      <c r="A24" s="19" t="n"/>
      <c r="B24" s="20" t="n"/>
      <c r="C24" s="19" t="n"/>
      <c r="D24" s="20" t="n"/>
      <c r="E24" s="21" t="n"/>
      <c r="F24" s="20" t="n"/>
      <c r="G24" s="19" t="n"/>
    </row>
    <row r="25">
      <c r="A25" s="16" t="n"/>
      <c r="B25" s="17" t="n"/>
      <c r="C25" s="16" t="n"/>
      <c r="D25" s="17" t="n"/>
      <c r="E25" s="18" t="n"/>
      <c r="F25" s="17" t="n"/>
      <c r="G25" s="16" t="n"/>
    </row>
    <row r="26">
      <c r="A26" s="19" t="n"/>
      <c r="B26" s="20" t="n"/>
      <c r="C26" s="19" t="n"/>
      <c r="D26" s="20" t="n"/>
      <c r="E26" s="21" t="n"/>
      <c r="F26" s="20" t="n"/>
      <c r="G26" s="19" t="n"/>
    </row>
    <row r="27">
      <c r="A27" s="16" t="n"/>
      <c r="B27" s="17" t="n"/>
      <c r="C27" s="16" t="n"/>
      <c r="D27" s="17" t="n"/>
      <c r="E27" s="18" t="n"/>
      <c r="F27" s="17" t="n"/>
      <c r="G27" s="16" t="n"/>
    </row>
    <row r="28">
      <c r="A28" s="19" t="n"/>
      <c r="B28" s="20" t="n"/>
      <c r="C28" s="19" t="n"/>
      <c r="D28" s="20" t="n"/>
      <c r="E28" s="21" t="n"/>
      <c r="F28" s="20" t="n"/>
      <c r="G28" s="19" t="n"/>
    </row>
    <row r="29">
      <c r="A29" s="16" t="n"/>
      <c r="B29" s="17" t="n"/>
      <c r="C29" s="16" t="n"/>
      <c r="D29" s="17" t="n"/>
      <c r="E29" s="18" t="n"/>
      <c r="F29" s="17" t="n"/>
      <c r="G29" s="16" t="n"/>
    </row>
    <row r="30">
      <c r="A30" s="19" t="n"/>
      <c r="B30" s="20" t="n"/>
      <c r="C30" s="19" t="n"/>
      <c r="D30" s="20" t="n"/>
      <c r="E30" s="21" t="n"/>
      <c r="F30" s="20" t="n"/>
      <c r="G30" s="19" t="n"/>
    </row>
    <row r="31">
      <c r="A31" s="16" t="n"/>
      <c r="B31" s="17" t="n"/>
      <c r="C31" s="16" t="n"/>
      <c r="D31" s="17" t="n"/>
      <c r="E31" s="18" t="n"/>
      <c r="F31" s="17" t="n"/>
      <c r="G31" s="16" t="n"/>
    </row>
    <row r="32">
      <c r="A32" s="19" t="n"/>
      <c r="B32" s="20" t="n"/>
      <c r="C32" s="19" t="n"/>
      <c r="D32" s="20" t="n"/>
      <c r="E32" s="21" t="n"/>
      <c r="F32" s="20" t="n"/>
      <c r="G32" s="19" t="n"/>
    </row>
    <row r="33">
      <c r="A33" s="16" t="n"/>
      <c r="B33" s="17" t="n"/>
      <c r="C33" s="16" t="n"/>
      <c r="D33" s="17" t="n"/>
      <c r="E33" s="18" t="n"/>
      <c r="F33" s="17" t="n"/>
      <c r="G33" s="16" t="n"/>
    </row>
    <row r="34">
      <c r="A34" s="19" t="n"/>
      <c r="B34" s="20" t="n"/>
      <c r="C34" s="19" t="n"/>
      <c r="D34" s="20" t="n"/>
      <c r="E34" s="21" t="n"/>
      <c r="F34" s="20" t="n"/>
      <c r="G34" s="19" t="n"/>
    </row>
    <row r="35">
      <c r="A35" s="16" t="n"/>
      <c r="B35" s="17" t="n"/>
      <c r="C35" s="16" t="n"/>
      <c r="D35" s="17" t="n"/>
      <c r="E35" s="18" t="n"/>
      <c r="F35" s="17" t="n"/>
      <c r="G35" s="16" t="n"/>
    </row>
    <row r="36">
      <c r="A36" s="19" t="n"/>
      <c r="B36" s="20" t="n"/>
      <c r="C36" s="19" t="n"/>
      <c r="D36" s="20" t="n"/>
      <c r="E36" s="21" t="n"/>
      <c r="F36" s="20" t="n"/>
      <c r="G36" s="19" t="n"/>
    </row>
    <row r="37">
      <c r="A37" s="16" t="n"/>
      <c r="B37" s="17" t="n"/>
      <c r="C37" s="16" t="n"/>
      <c r="D37" s="17" t="n"/>
      <c r="E37" s="18" t="n"/>
      <c r="F37" s="17" t="n"/>
      <c r="G37" s="16" t="n"/>
    </row>
    <row r="38">
      <c r="A38" s="19" t="n"/>
      <c r="B38" s="20" t="n"/>
      <c r="C38" s="19" t="n"/>
      <c r="D38" s="20" t="n"/>
      <c r="E38" s="21" t="n"/>
      <c r="F38" s="20" t="n"/>
      <c r="G38" s="19" t="n"/>
    </row>
    <row r="39">
      <c r="A39" s="16" t="n"/>
      <c r="B39" s="17" t="n"/>
      <c r="C39" s="16" t="n"/>
      <c r="D39" s="17" t="n"/>
      <c r="E39" s="18" t="n"/>
      <c r="F39" s="17" t="n"/>
      <c r="G39" s="16" t="n"/>
    </row>
    <row r="40">
      <c r="A40" s="19" t="n"/>
      <c r="B40" s="20" t="n"/>
      <c r="C40" s="19" t="n"/>
      <c r="D40" s="20" t="n"/>
      <c r="E40" s="21" t="n"/>
      <c r="F40" s="20" t="n"/>
      <c r="G40" s="19" t="n"/>
    </row>
    <row r="41">
      <c r="A41" s="16" t="n"/>
      <c r="B41" s="17" t="n"/>
      <c r="C41" s="16" t="n"/>
      <c r="D41" s="17" t="n"/>
      <c r="E41" s="18" t="n"/>
      <c r="F41" s="17" t="n"/>
      <c r="G41" s="16" t="n"/>
    </row>
    <row r="42">
      <c r="A42" s="19" t="n"/>
      <c r="B42" s="20" t="n"/>
      <c r="C42" s="19" t="n"/>
      <c r="D42" s="20" t="n"/>
      <c r="E42" s="21" t="n"/>
      <c r="F42" s="20" t="n"/>
      <c r="G42" s="19" t="n"/>
    </row>
    <row r="43">
      <c r="A43" s="16" t="n"/>
      <c r="B43" s="17" t="n"/>
      <c r="C43" s="16" t="n"/>
      <c r="D43" s="17" t="n"/>
      <c r="E43" s="18" t="n"/>
      <c r="F43" s="17" t="n"/>
      <c r="G43" s="16" t="n"/>
    </row>
    <row r="44">
      <c r="A44" s="19" t="n"/>
      <c r="B44" s="20" t="n"/>
      <c r="C44" s="19" t="n"/>
      <c r="D44" s="20" t="n"/>
      <c r="E44" s="21" t="n"/>
      <c r="F44" s="20" t="n"/>
      <c r="G44" s="19" t="n"/>
    </row>
  </sheetData>
  <mergeCells count="2">
    <mergeCell ref="A2:G2"/>
    <mergeCell ref="A1:G1"/>
  </mergeCells>
  <conditionalFormatting sqref="D5:D44">
    <cfRule type="cellIs" priority="1" operator="equal" dxfId="0">
      <formula>"Yes"</formula>
    </cfRule>
  </conditionalFormatting>
  <conditionalFormatting sqref="E5:E44">
    <cfRule type="expression" priority="2" dxfId="2">
      <formula>AND($E5&lt;&gt;"",$E5&lt;=TODAY()+60)</formula>
    </cfRule>
  </conditionalFormatting>
  <dataValidations count="1">
    <dataValidation sqref="D5:D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5E6C1"/>
    <outlinePr summaryBelow="1" summaryRight="1"/>
    <pageSetUpPr/>
  </sheetPr>
  <dimension ref="A1:M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8" customWidth="1" min="4" max="4"/>
    <col width="3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" customWidth="1" min="13" max="13"/>
  </cols>
  <sheetData>
    <row r="1" ht="46" customHeight="1">
      <c r="A1" s="1" t="inlineStr">
        <is>
          <t xml:space="preserve">  📊  ANALYTICS DASHBOARD</t>
        </is>
      </c>
    </row>
    <row r="2" ht="22" customHeight="1">
      <c r="A2" s="2" t="inlineStr">
        <is>
          <t xml:space="preserve">  The numbers behind your home — health scores, spending trends &amp; a Household Health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5">
      <c r="B5" s="6" t="inlineStr">
        <is>
          <t>HOUSEHOLD HEALTH SCORES</t>
        </is>
      </c>
      <c r="F5" s="4" t="inlineStr">
        <is>
          <t>HOUSEHOLD HEALTH SCORE</t>
        </is>
      </c>
    </row>
    <row r="6" ht="30" customHeight="1">
      <c r="B6" s="7" t="inlineStr">
        <is>
          <t>Dimension</t>
        </is>
      </c>
      <c r="C6" s="7" t="inlineStr">
        <is>
          <t>Score</t>
        </is>
      </c>
      <c r="D6" s="7" t="inlineStr">
        <is>
          <t>Status</t>
        </is>
      </c>
      <c r="F6" s="61">
        <f>IFERROR(AVERAGE(C7:C14),0)</f>
        <v/>
      </c>
      <c r="G6" s="62" t="n"/>
      <c r="H6" s="62" t="n"/>
    </row>
    <row r="7">
      <c r="B7" s="27" t="inlineStr">
        <is>
          <t>Bills Paid</t>
        </is>
      </c>
      <c r="C7" s="35">
        <f>IFERROR(COUNTIF(BillPaid,"Yes")/MAX(COUNTA(BillName),1),0)</f>
        <v/>
      </c>
      <c r="D7" s="45">
        <f>IF(C7&gt;=0.75,"Great",IF(C7&gt;=0.4,"On Track","Needs Love"))</f>
        <v/>
      </c>
      <c r="F7" s="63" t="n"/>
      <c r="G7" s="63" t="n"/>
      <c r="H7" s="63" t="n"/>
    </row>
    <row r="8">
      <c r="B8" s="19" t="inlineStr">
        <is>
          <t>Budget Used</t>
        </is>
      </c>
      <c r="C8" s="39">
        <f>IFERROR(BudgetTotalActual/BudgetTotalPlanned,0)</f>
        <v/>
      </c>
      <c r="D8" s="20">
        <f>IF(C8&gt;=0.75,"Great",IF(C8&gt;=0.4,"On Track","Needs Love"))</f>
        <v/>
      </c>
      <c r="F8" s="63" t="n"/>
      <c r="G8" s="63" t="n"/>
      <c r="H8" s="63" t="n"/>
    </row>
    <row r="9">
      <c r="B9" s="27" t="inlineStr">
        <is>
          <t>Cleaning Done</t>
        </is>
      </c>
      <c r="C9" s="35">
        <f>IFERROR(COUNTIF(CleanStatus,"Done")/MAX(COUNTA(CleanTask),1),0)</f>
        <v/>
      </c>
      <c r="D9" s="45">
        <f>IF(C9&gt;=0.75,"Great",IF(C9&gt;=0.4,"On Track","Needs Love"))</f>
        <v/>
      </c>
      <c r="F9" s="63" t="n"/>
      <c r="G9" s="63" t="n"/>
      <c r="H9" s="63" t="n"/>
    </row>
    <row r="10">
      <c r="B10" s="19" t="inlineStr">
        <is>
          <t>Chore Completion</t>
        </is>
      </c>
      <c r="C10" s="39">
        <f>IFERROR(AVERAGE(ChorePct),0)</f>
        <v/>
      </c>
      <c r="D10" s="20">
        <f>IF(C10&gt;=0.75,"Great",IF(C10&gt;=0.4,"On Track","Needs Love"))</f>
        <v/>
      </c>
      <c r="F10" s="64" t="inlineStr">
        <is>
          <t>A blend of money, meals, cleaning, chores &amp; goals.</t>
        </is>
      </c>
    </row>
    <row r="11">
      <c r="B11" s="27" t="inlineStr">
        <is>
          <t>Pantry Stocked</t>
        </is>
      </c>
      <c r="C11" s="35">
        <f>IFERROR(SUMPRODUCT((PantryName&lt;&gt;"")*(PantryQty&gt;PantryReorder))/MAX(COUNTA(PantryName),1),0)</f>
        <v/>
      </c>
      <c r="D11" s="45">
        <f>IF(C11&gt;=0.75,"Great",IF(C11&gt;=0.4,"On Track","Needs Love"))</f>
        <v/>
      </c>
    </row>
    <row r="12">
      <c r="B12" s="19" t="inlineStr">
        <is>
          <t>Savings Funded</t>
        </is>
      </c>
      <c r="C12" s="39">
        <f>IFERROR(SUM(SavCurrent)/SUM(SavTarget),0)</f>
        <v/>
      </c>
      <c r="D12" s="20">
        <f>IF(C12&gt;=0.75,"Great",IF(C12&gt;=0.4,"On Track","Needs Love"))</f>
        <v/>
      </c>
      <c r="F12" s="6" t="inlineStr">
        <is>
          <t>GROCERY SPENDING TREND</t>
        </is>
      </c>
    </row>
    <row r="13">
      <c r="B13" s="27" t="inlineStr">
        <is>
          <t>Goal Progress</t>
        </is>
      </c>
      <c r="C13" s="35">
        <f>IFERROR(AVERAGE(GoalProgress),0)</f>
        <v/>
      </c>
      <c r="D13" s="45">
        <f>IF(C13&gt;=0.75,"Great",IF(C13&gt;=0.4,"On Track","Needs Love"))</f>
        <v/>
      </c>
      <c r="F13" s="7" t="inlineStr">
        <is>
          <t>Week</t>
        </is>
      </c>
      <c r="G13" s="7" t="inlineStr">
        <is>
          <t>Spent</t>
        </is>
      </c>
    </row>
    <row r="14">
      <c r="B14" s="19" t="inlineStr">
        <is>
          <t>Meal Plan</t>
        </is>
      </c>
      <c r="C14" s="39">
        <f>IFERROR((COUNTIF(MealWeek,"&lt;&gt;"&amp;"")-COUNTIF(MealWeek,"—"))/35,0)</f>
        <v/>
      </c>
      <c r="D14" s="20">
        <f>IF(C14&gt;=0.75,"Great",IF(C14&gt;=0.4,"On Track","Needs Love"))</f>
        <v/>
      </c>
      <c r="F14" s="27" t="inlineStr">
        <is>
          <t>Wk 1</t>
        </is>
      </c>
      <c r="G14" s="53" t="n">
        <v>210</v>
      </c>
    </row>
    <row r="15">
      <c r="F15" s="27" t="inlineStr">
        <is>
          <t>Wk 2</t>
        </is>
      </c>
      <c r="G15" s="53" t="n">
        <v>185</v>
      </c>
    </row>
    <row r="16">
      <c r="F16" s="27" t="inlineStr">
        <is>
          <t>Wk 3</t>
        </is>
      </c>
      <c r="G16" s="53" t="n">
        <v>232</v>
      </c>
    </row>
    <row r="17">
      <c r="F17" s="27" t="inlineStr">
        <is>
          <t>Wk 4</t>
        </is>
      </c>
      <c r="G17" s="53" t="n">
        <v>198</v>
      </c>
    </row>
    <row r="18">
      <c r="F18" s="27" t="inlineStr">
        <is>
          <t>Wk 5</t>
        </is>
      </c>
      <c r="G18" s="53" t="n">
        <v>176</v>
      </c>
    </row>
    <row r="19">
      <c r="F19" s="27" t="inlineStr">
        <is>
          <t>Wk 6</t>
        </is>
      </c>
      <c r="G19" s="53" t="n">
        <v>205</v>
      </c>
    </row>
  </sheetData>
  <mergeCells count="7">
    <mergeCell ref="F10:H10"/>
    <mergeCell ref="B5:D5"/>
    <mergeCell ref="A1:M1"/>
    <mergeCell ref="F5:H5"/>
    <mergeCell ref="F12:H12"/>
    <mergeCell ref="A2:M2"/>
    <mergeCell ref="F6:H9"/>
  </mergeCells>
  <conditionalFormatting sqref="C7:C14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tabColor rgb="00E5D3BA"/>
    <outlinePr summaryBelow="1" summaryRight="1"/>
    <pageSetUpPr/>
  </sheetPr>
  <dimension ref="A1:I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4" customWidth="1" min="4" max="4"/>
    <col width="3" customWidth="1" min="5" max="5"/>
    <col width="20" customWidth="1" min="6" max="6"/>
    <col width="20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💡  HOME INSPIRATION BOARD</t>
        </is>
      </c>
    </row>
    <row r="2" ht="22" customHeight="1">
      <c r="A2" s="2" t="inlineStr">
        <is>
          <t xml:space="preserve">  Your visual wishlist — paste inspiration photos, set a budget, and prioritize.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 ht="22" customHeight="1">
      <c r="B5" s="7" t="inlineStr">
        <is>
          <t xml:space="preserve">  Kitchen</t>
        </is>
      </c>
      <c r="F5" s="7" t="inlineStr">
        <is>
          <t xml:space="preserve">  Living Room</t>
        </is>
      </c>
    </row>
    <row r="6" ht="22" customHeight="1">
      <c r="B6" s="60" t="inlineStr">
        <is>
          <t>📷
Paste inspiration
here</t>
        </is>
      </c>
      <c r="F6" s="60" t="inlineStr">
        <is>
          <t>📷
Paste inspiration
here</t>
        </is>
      </c>
    </row>
    <row r="7" ht="22" customHeight="1"/>
    <row r="8" ht="22" customHeight="1"/>
    <row r="9" ht="22" customHeight="1"/>
    <row r="10">
      <c r="B10" s="23" t="inlineStr">
        <is>
          <t>Budget</t>
        </is>
      </c>
      <c r="C10" s="36" t="inlineStr"/>
      <c r="D10" s="30" t="inlineStr"/>
      <c r="F10" s="23" t="inlineStr">
        <is>
          <t>Budget</t>
        </is>
      </c>
      <c r="G10" s="36" t="inlineStr"/>
      <c r="H10" s="30" t="inlineStr"/>
    </row>
    <row r="11">
      <c r="B11" s="23" t="inlineStr">
        <is>
          <t>Priority</t>
        </is>
      </c>
      <c r="C11" s="30" t="inlineStr">
        <is>
          <t>Medium</t>
        </is>
      </c>
      <c r="D11" s="30" t="inlineStr">
        <is>
          <t>Idea</t>
        </is>
      </c>
      <c r="F11" s="23" t="inlineStr">
        <is>
          <t>Priority</t>
        </is>
      </c>
      <c r="G11" s="30" t="inlineStr">
        <is>
          <t>Medium</t>
        </is>
      </c>
      <c r="H11" s="30" t="inlineStr">
        <is>
          <t>Idea</t>
        </is>
      </c>
    </row>
    <row r="12">
      <c r="B12" s="23" t="inlineStr">
        <is>
          <t>Notes</t>
        </is>
      </c>
      <c r="C12" s="30" t="inlineStr"/>
      <c r="F12" s="23" t="inlineStr">
        <is>
          <t>Notes</t>
        </is>
      </c>
      <c r="G12" s="30" t="inlineStr"/>
    </row>
    <row r="13" ht="22" customHeight="1">
      <c r="B13" s="7" t="inlineStr">
        <is>
          <t xml:space="preserve">  Bedroom</t>
        </is>
      </c>
      <c r="F13" s="7" t="inlineStr">
        <is>
          <t xml:space="preserve">  Bathroom Remodel</t>
        </is>
      </c>
    </row>
    <row r="14" ht="22" customHeight="1">
      <c r="B14" s="60" t="inlineStr">
        <is>
          <t>📷
Paste inspiration
here</t>
        </is>
      </c>
      <c r="F14" s="60" t="inlineStr">
        <is>
          <t>📷
Paste inspiration
here</t>
        </is>
      </c>
    </row>
    <row r="15" ht="22" customHeight="1"/>
    <row r="16" ht="22" customHeight="1"/>
    <row r="17" ht="22" customHeight="1"/>
    <row r="18">
      <c r="B18" s="23" t="inlineStr">
        <is>
          <t>Budget</t>
        </is>
      </c>
      <c r="C18" s="36" t="inlineStr"/>
      <c r="D18" s="30" t="inlineStr"/>
      <c r="F18" s="23" t="inlineStr">
        <is>
          <t>Budget</t>
        </is>
      </c>
      <c r="G18" s="36" t="inlineStr"/>
      <c r="H18" s="30" t="inlineStr"/>
    </row>
    <row r="19">
      <c r="B19" s="23" t="inlineStr">
        <is>
          <t>Priority</t>
        </is>
      </c>
      <c r="C19" s="30" t="inlineStr">
        <is>
          <t>Medium</t>
        </is>
      </c>
      <c r="D19" s="30" t="inlineStr">
        <is>
          <t>Idea</t>
        </is>
      </c>
      <c r="F19" s="23" t="inlineStr">
        <is>
          <t>Priority</t>
        </is>
      </c>
      <c r="G19" s="30" t="inlineStr">
        <is>
          <t>Medium</t>
        </is>
      </c>
      <c r="H19" s="30" t="inlineStr">
        <is>
          <t>Idea</t>
        </is>
      </c>
    </row>
    <row r="20">
      <c r="B20" s="23" t="inlineStr">
        <is>
          <t>Notes</t>
        </is>
      </c>
      <c r="C20" s="30" t="inlineStr"/>
      <c r="F20" s="23" t="inlineStr">
        <is>
          <t>Notes</t>
        </is>
      </c>
      <c r="G20" s="30" t="inlineStr"/>
    </row>
    <row r="21" ht="22" customHeight="1">
      <c r="B21" s="7" t="inlineStr">
        <is>
          <t xml:space="preserve">  Organization</t>
        </is>
      </c>
      <c r="F21" s="7" t="inlineStr">
        <is>
          <t xml:space="preserve">  Garden</t>
        </is>
      </c>
    </row>
    <row r="22" ht="22" customHeight="1">
      <c r="B22" s="60" t="inlineStr">
        <is>
          <t>📷
Paste inspiration
here</t>
        </is>
      </c>
      <c r="F22" s="60" t="inlineStr">
        <is>
          <t>📷
Paste inspiration
here</t>
        </is>
      </c>
    </row>
    <row r="23" ht="22" customHeight="1"/>
    <row r="24" ht="22" customHeight="1"/>
    <row r="25" ht="22" customHeight="1"/>
    <row r="26">
      <c r="B26" s="23" t="inlineStr">
        <is>
          <t>Budget</t>
        </is>
      </c>
      <c r="C26" s="36" t="inlineStr"/>
      <c r="D26" s="30" t="inlineStr"/>
      <c r="F26" s="23" t="inlineStr">
        <is>
          <t>Budget</t>
        </is>
      </c>
      <c r="G26" s="36" t="inlineStr"/>
      <c r="H26" s="30" t="inlineStr"/>
    </row>
    <row r="27">
      <c r="B27" s="23" t="inlineStr">
        <is>
          <t>Priority</t>
        </is>
      </c>
      <c r="C27" s="30" t="inlineStr">
        <is>
          <t>Medium</t>
        </is>
      </c>
      <c r="D27" s="30" t="inlineStr">
        <is>
          <t>Idea</t>
        </is>
      </c>
      <c r="F27" s="23" t="inlineStr">
        <is>
          <t>Priority</t>
        </is>
      </c>
      <c r="G27" s="30" t="inlineStr">
        <is>
          <t>Medium</t>
        </is>
      </c>
      <c r="H27" s="30" t="inlineStr">
        <is>
          <t>Idea</t>
        </is>
      </c>
    </row>
    <row r="28">
      <c r="B28" s="23" t="inlineStr">
        <is>
          <t>Notes</t>
        </is>
      </c>
      <c r="C28" s="30" t="inlineStr"/>
      <c r="F28" s="23" t="inlineStr">
        <is>
          <t>Notes</t>
        </is>
      </c>
      <c r="G28" s="30" t="inlineStr"/>
    </row>
    <row r="29" ht="22" customHeight="1">
      <c r="B29" s="7" t="inlineStr">
        <is>
          <t xml:space="preserve">  Holiday Decor</t>
        </is>
      </c>
      <c r="F29" s="7" t="inlineStr">
        <is>
          <t xml:space="preserve">  Meal Presentation</t>
        </is>
      </c>
    </row>
    <row r="30" ht="22" customHeight="1">
      <c r="B30" s="60" t="inlineStr">
        <is>
          <t>📷
Paste inspiration
here</t>
        </is>
      </c>
      <c r="F30" s="60" t="inlineStr">
        <is>
          <t>📷
Paste inspiration
here</t>
        </is>
      </c>
    </row>
    <row r="31" ht="22" customHeight="1"/>
    <row r="32" ht="22" customHeight="1"/>
    <row r="33" ht="22" customHeight="1"/>
    <row r="34">
      <c r="B34" s="23" t="inlineStr">
        <is>
          <t>Budget</t>
        </is>
      </c>
      <c r="C34" s="36" t="inlineStr"/>
      <c r="D34" s="30" t="inlineStr"/>
      <c r="F34" s="23" t="inlineStr">
        <is>
          <t>Budget</t>
        </is>
      </c>
      <c r="G34" s="36" t="inlineStr"/>
      <c r="H34" s="30" t="inlineStr"/>
    </row>
    <row r="35">
      <c r="B35" s="23" t="inlineStr">
        <is>
          <t>Priority</t>
        </is>
      </c>
      <c r="C35" s="30" t="inlineStr">
        <is>
          <t>Medium</t>
        </is>
      </c>
      <c r="D35" s="30" t="inlineStr">
        <is>
          <t>Idea</t>
        </is>
      </c>
      <c r="F35" s="23" t="inlineStr">
        <is>
          <t>Priority</t>
        </is>
      </c>
      <c r="G35" s="30" t="inlineStr">
        <is>
          <t>Medium</t>
        </is>
      </c>
      <c r="H35" s="30" t="inlineStr">
        <is>
          <t>Idea</t>
        </is>
      </c>
    </row>
    <row r="36">
      <c r="B36" s="23" t="inlineStr">
        <is>
          <t>Notes</t>
        </is>
      </c>
      <c r="C36" s="30" t="inlineStr"/>
      <c r="F36" s="23" t="inlineStr">
        <is>
          <t>Notes</t>
        </is>
      </c>
      <c r="G36" s="30" t="inlineStr"/>
    </row>
    <row r="37" ht="22" customHeight="1">
      <c r="B37" s="7" t="inlineStr">
        <is>
          <t xml:space="preserve">  Cleaning Hacks</t>
        </is>
      </c>
      <c r="F37" s="7" t="inlineStr">
        <is>
          <t xml:space="preserve">  DIY Projects</t>
        </is>
      </c>
    </row>
    <row r="38" ht="22" customHeight="1">
      <c r="B38" s="60" t="inlineStr">
        <is>
          <t>📷
Paste inspiration
here</t>
        </is>
      </c>
      <c r="F38" s="60" t="inlineStr">
        <is>
          <t>📷
Paste inspiration
here</t>
        </is>
      </c>
    </row>
    <row r="39" ht="22" customHeight="1"/>
    <row r="40" ht="22" customHeight="1"/>
    <row r="41" ht="22" customHeight="1"/>
    <row r="42">
      <c r="B42" s="23" t="inlineStr">
        <is>
          <t>Budget</t>
        </is>
      </c>
      <c r="C42" s="36" t="inlineStr"/>
      <c r="D42" s="30" t="inlineStr"/>
      <c r="F42" s="23" t="inlineStr">
        <is>
          <t>Budget</t>
        </is>
      </c>
      <c r="G42" s="36" t="inlineStr"/>
      <c r="H42" s="30" t="inlineStr"/>
    </row>
    <row r="43">
      <c r="B43" s="23" t="inlineStr">
        <is>
          <t>Priority</t>
        </is>
      </c>
      <c r="C43" s="30" t="inlineStr">
        <is>
          <t>Medium</t>
        </is>
      </c>
      <c r="D43" s="30" t="inlineStr">
        <is>
          <t>Idea</t>
        </is>
      </c>
      <c r="F43" s="23" t="inlineStr">
        <is>
          <t>Priority</t>
        </is>
      </c>
      <c r="G43" s="30" t="inlineStr">
        <is>
          <t>Medium</t>
        </is>
      </c>
      <c r="H43" s="30" t="inlineStr">
        <is>
          <t>Idea</t>
        </is>
      </c>
    </row>
    <row r="44">
      <c r="B44" s="23" t="inlineStr">
        <is>
          <t>Notes</t>
        </is>
      </c>
      <c r="C44" s="30" t="inlineStr"/>
      <c r="F44" s="23" t="inlineStr">
        <is>
          <t>Notes</t>
        </is>
      </c>
      <c r="G44" s="30" t="inlineStr"/>
    </row>
    <row r="45" ht="22" customHeight="1">
      <c r="B45" s="7" t="inlineStr">
        <is>
          <t xml:space="preserve">  Dream Home</t>
        </is>
      </c>
      <c r="F45" s="7" t="inlineStr">
        <is>
          <t xml:space="preserve">  Storage Solutions</t>
        </is>
      </c>
    </row>
    <row r="46" ht="22" customHeight="1">
      <c r="B46" s="60" t="inlineStr">
        <is>
          <t>📷
Paste inspiration
here</t>
        </is>
      </c>
      <c r="F46" s="60" t="inlineStr">
        <is>
          <t>📷
Paste inspiration
here</t>
        </is>
      </c>
    </row>
    <row r="47" ht="22" customHeight="1"/>
    <row r="48" ht="22" customHeight="1"/>
    <row r="49" ht="22" customHeight="1"/>
    <row r="50">
      <c r="B50" s="23" t="inlineStr">
        <is>
          <t>Budget</t>
        </is>
      </c>
      <c r="C50" s="36" t="inlineStr"/>
      <c r="D50" s="30" t="inlineStr"/>
      <c r="F50" s="23" t="inlineStr">
        <is>
          <t>Budget</t>
        </is>
      </c>
      <c r="G50" s="36" t="inlineStr"/>
      <c r="H50" s="30" t="inlineStr"/>
    </row>
    <row r="51">
      <c r="B51" s="23" t="inlineStr">
        <is>
          <t>Priority</t>
        </is>
      </c>
      <c r="C51" s="30" t="inlineStr">
        <is>
          <t>Medium</t>
        </is>
      </c>
      <c r="D51" s="30" t="inlineStr">
        <is>
          <t>Idea</t>
        </is>
      </c>
      <c r="F51" s="23" t="inlineStr">
        <is>
          <t>Priority</t>
        </is>
      </c>
      <c r="G51" s="30" t="inlineStr">
        <is>
          <t>Medium</t>
        </is>
      </c>
      <c r="H51" s="30" t="inlineStr">
        <is>
          <t>Idea</t>
        </is>
      </c>
    </row>
    <row r="52">
      <c r="B52" s="23" t="inlineStr">
        <is>
          <t>Notes</t>
        </is>
      </c>
      <c r="C52" s="30" t="inlineStr"/>
      <c r="F52" s="23" t="inlineStr">
        <is>
          <t>Notes</t>
        </is>
      </c>
      <c r="G52" s="30" t="inlineStr"/>
    </row>
  </sheetData>
  <mergeCells count="38">
    <mergeCell ref="B6:D9"/>
    <mergeCell ref="G12:H12"/>
    <mergeCell ref="F5:H5"/>
    <mergeCell ref="G52:H52"/>
    <mergeCell ref="F45:H45"/>
    <mergeCell ref="F14:H17"/>
    <mergeCell ref="B13:D13"/>
    <mergeCell ref="G36:H36"/>
    <mergeCell ref="B29:D29"/>
    <mergeCell ref="C20:D20"/>
    <mergeCell ref="A2:I2"/>
    <mergeCell ref="B37:D37"/>
    <mergeCell ref="F13:H13"/>
    <mergeCell ref="B22:D25"/>
    <mergeCell ref="F38:H41"/>
    <mergeCell ref="C44:D44"/>
    <mergeCell ref="G28:H28"/>
    <mergeCell ref="F37:H37"/>
    <mergeCell ref="F6:H9"/>
    <mergeCell ref="F30:H33"/>
    <mergeCell ref="C12:D12"/>
    <mergeCell ref="B46:D49"/>
    <mergeCell ref="B5:D5"/>
    <mergeCell ref="B45:D45"/>
    <mergeCell ref="B14:D17"/>
    <mergeCell ref="C36:D36"/>
    <mergeCell ref="C52:D52"/>
    <mergeCell ref="F29:H29"/>
    <mergeCell ref="G20:H20"/>
    <mergeCell ref="B38:D41"/>
    <mergeCell ref="F46:H49"/>
    <mergeCell ref="F22:H25"/>
    <mergeCell ref="A1:I1"/>
    <mergeCell ref="C28:D28"/>
    <mergeCell ref="B21:D21"/>
    <mergeCell ref="G44:H44"/>
    <mergeCell ref="F21:H21"/>
    <mergeCell ref="B30:D33"/>
  </mergeCells>
  <dataValidations count="24">
    <dataValidation sqref="C11" showDropDown="0" showInputMessage="0" showErrorMessage="0" allowBlank="1" type="list">
      <formula1>=PriorityList</formula1>
    </dataValidation>
    <dataValidation sqref="D11" showDropDown="0" showInputMessage="0" showErrorMessage="0" allowBlank="1" type="list">
      <formula1>=StatusList</formula1>
    </dataValidation>
    <dataValidation sqref="G11" showDropDown="0" showInputMessage="0" showErrorMessage="0" allowBlank="1" type="list">
      <formula1>=PriorityList</formula1>
    </dataValidation>
    <dataValidation sqref="H11" showDropDown="0" showInputMessage="0" showErrorMessage="0" allowBlank="1" type="list">
      <formula1>=StatusList</formula1>
    </dataValidation>
    <dataValidation sqref="C19" showDropDown="0" showInputMessage="0" showErrorMessage="0" allowBlank="1" type="list">
      <formula1>=PriorityList</formula1>
    </dataValidation>
    <dataValidation sqref="D19" showDropDown="0" showInputMessage="0" showErrorMessage="0" allowBlank="1" type="list">
      <formula1>=StatusList</formula1>
    </dataValidation>
    <dataValidation sqref="G19" showDropDown="0" showInputMessage="0" showErrorMessage="0" allowBlank="1" type="list">
      <formula1>=PriorityList</formula1>
    </dataValidation>
    <dataValidation sqref="H19" showDropDown="0" showInputMessage="0" showErrorMessage="0" allowBlank="1" type="list">
      <formula1>=StatusList</formula1>
    </dataValidation>
    <dataValidation sqref="C27" showDropDown="0" showInputMessage="0" showErrorMessage="0" allowBlank="1" type="list">
      <formula1>=PriorityList</formula1>
    </dataValidation>
    <dataValidation sqref="D27" showDropDown="0" showInputMessage="0" showErrorMessage="0" allowBlank="1" type="list">
      <formula1>=StatusList</formula1>
    </dataValidation>
    <dataValidation sqref="G27" showDropDown="0" showInputMessage="0" showErrorMessage="0" allowBlank="1" type="list">
      <formula1>=PriorityList</formula1>
    </dataValidation>
    <dataValidation sqref="H27" showDropDown="0" showInputMessage="0" showErrorMessage="0" allowBlank="1" type="list">
      <formula1>=StatusList</formula1>
    </dataValidation>
    <dataValidation sqref="C35" showDropDown="0" showInputMessage="0" showErrorMessage="0" allowBlank="1" type="list">
      <formula1>=PriorityList</formula1>
    </dataValidation>
    <dataValidation sqref="D35" showDropDown="0" showInputMessage="0" showErrorMessage="0" allowBlank="1" type="list">
      <formula1>=StatusList</formula1>
    </dataValidation>
    <dataValidation sqref="G35" showDropDown="0" showInputMessage="0" showErrorMessage="0" allowBlank="1" type="list">
      <formula1>=PriorityList</formula1>
    </dataValidation>
    <dataValidation sqref="H35" showDropDown="0" showInputMessage="0" showErrorMessage="0" allowBlank="1" type="list">
      <formula1>=StatusList</formula1>
    </dataValidation>
    <dataValidation sqref="C43" showDropDown="0" showInputMessage="0" showErrorMessage="0" allowBlank="1" type="list">
      <formula1>=PriorityList</formula1>
    </dataValidation>
    <dataValidation sqref="D43" showDropDown="0" showInputMessage="0" showErrorMessage="0" allowBlank="1" type="list">
      <formula1>=StatusList</formula1>
    </dataValidation>
    <dataValidation sqref="G43" showDropDown="0" showInputMessage="0" showErrorMessage="0" allowBlank="1" type="list">
      <formula1>=PriorityList</formula1>
    </dataValidation>
    <dataValidation sqref="H43" showDropDown="0" showInputMessage="0" showErrorMessage="0" allowBlank="1" type="list">
      <formula1>=StatusList</formula1>
    </dataValidation>
    <dataValidation sqref="C51" showDropDown="0" showInputMessage="0" showErrorMessage="0" allowBlank="1" type="list">
      <formula1>=PriorityList</formula1>
    </dataValidation>
    <dataValidation sqref="D51" showDropDown="0" showInputMessage="0" showErrorMessage="0" allowBlank="1" type="list">
      <formula1>=StatusList</formula1>
    </dataValidation>
    <dataValidation sqref="G51" showDropDown="0" showInputMessage="0" showErrorMessage="0" allowBlank="1" type="list">
      <formula1>=PriorityList</formula1>
    </dataValidation>
    <dataValidation sqref="H51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E5D3BA"/>
    <outlinePr summaryBelow="1" summaryRight="1"/>
    <pageSetUpPr/>
  </sheetPr>
  <dimension ref="A1:K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3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inputs once — every dashboard follows. Edit the lists to fit your home.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5">
      <c r="B5" s="6" t="inlineStr">
        <is>
          <t>HOUSEHOLD INPUTS</t>
        </is>
      </c>
      <c r="E5" s="4" t="inlineStr">
        <is>
          <t>DROPDOWN LISTS</t>
        </is>
      </c>
    </row>
    <row r="6">
      <c r="B6" s="23" t="inlineStr">
        <is>
          <t>Household Name</t>
        </is>
      </c>
      <c r="C6" s="29" t="inlineStr">
        <is>
          <t>The Anderson Home</t>
        </is>
      </c>
      <c r="E6" s="7" t="inlineStr">
        <is>
          <t>Family Members</t>
        </is>
      </c>
      <c r="F6" s="7" t="inlineStr">
        <is>
          <t>Expense Category</t>
        </is>
      </c>
      <c r="G6" s="7" t="inlineStr">
        <is>
          <t>Grocery Category</t>
        </is>
      </c>
      <c r="H6" s="7" t="inlineStr">
        <is>
          <t>Pantry Category</t>
        </is>
      </c>
      <c r="I6" s="7" t="inlineStr">
        <is>
          <t>Cleaning Frequency</t>
        </is>
      </c>
      <c r="J6" s="7" t="inlineStr">
        <is>
          <t>Chore Frequency</t>
        </is>
      </c>
      <c r="K6" s="7" t="inlineStr">
        <is>
          <t>Maintenance Category</t>
        </is>
      </c>
    </row>
    <row r="7">
      <c r="B7" s="23" t="inlineStr">
        <is>
          <t>Monthly Income</t>
        </is>
      </c>
      <c r="C7" s="33" t="n">
        <v>7200</v>
      </c>
      <c r="E7" s="27" t="inlineStr">
        <is>
          <t>Mom</t>
        </is>
      </c>
      <c r="F7" s="27" t="inlineStr">
        <is>
          <t>Mortgage/Rent</t>
        </is>
      </c>
      <c r="G7" s="27" t="inlineStr">
        <is>
          <t>Produce</t>
        </is>
      </c>
      <c r="H7" s="27" t="inlineStr">
        <is>
          <t>Grains &amp; Pasta</t>
        </is>
      </c>
      <c r="I7" s="27" t="inlineStr">
        <is>
          <t>Daily</t>
        </is>
      </c>
      <c r="J7" s="27" t="inlineStr">
        <is>
          <t>Daily</t>
        </is>
      </c>
      <c r="K7" s="27" t="inlineStr">
        <is>
          <t>HVAC</t>
        </is>
      </c>
    </row>
    <row r="8">
      <c r="B8" s="23" t="inlineStr">
        <is>
          <t>Monthly Budget</t>
        </is>
      </c>
      <c r="C8" s="33" t="n">
        <v>6400</v>
      </c>
      <c r="E8" s="27" t="inlineStr">
        <is>
          <t>Dad</t>
        </is>
      </c>
      <c r="F8" s="27" t="inlineStr">
        <is>
          <t>Utilities</t>
        </is>
      </c>
      <c r="G8" s="27" t="inlineStr">
        <is>
          <t>Meat &amp; Seafood</t>
        </is>
      </c>
      <c r="H8" s="27" t="inlineStr">
        <is>
          <t>Canned Goods</t>
        </is>
      </c>
      <c r="I8" s="27" t="inlineStr">
        <is>
          <t>Weekly</t>
        </is>
      </c>
      <c r="J8" s="27" t="inlineStr">
        <is>
          <t>Weekly</t>
        </is>
      </c>
      <c r="K8" s="27" t="inlineStr">
        <is>
          <t>Plumbing</t>
        </is>
      </c>
    </row>
    <row r="9">
      <c r="B9" s="23" t="inlineStr">
        <is>
          <t>Week Starts</t>
        </is>
      </c>
      <c r="C9" s="65" t="n">
        <v>46202</v>
      </c>
      <c r="E9" s="27" t="inlineStr">
        <is>
          <t>Emma</t>
        </is>
      </c>
      <c r="F9" s="27" t="inlineStr">
        <is>
          <t>Internet</t>
        </is>
      </c>
      <c r="G9" s="27" t="inlineStr">
        <is>
          <t>Dairy</t>
        </is>
      </c>
      <c r="H9" s="27" t="inlineStr">
        <is>
          <t>Baking</t>
        </is>
      </c>
      <c r="I9" s="27" t="inlineStr">
        <is>
          <t>Monthly</t>
        </is>
      </c>
      <c r="J9" s="27" t="inlineStr">
        <is>
          <t>Monthly</t>
        </is>
      </c>
      <c r="K9" s="27" t="inlineStr">
        <is>
          <t>Electrical</t>
        </is>
      </c>
    </row>
    <row r="10">
      <c r="E10" s="27" t="inlineStr">
        <is>
          <t>Liam</t>
        </is>
      </c>
      <c r="F10" s="27" t="inlineStr">
        <is>
          <t>Phones</t>
        </is>
      </c>
      <c r="G10" s="27" t="inlineStr">
        <is>
          <t>Bakery</t>
        </is>
      </c>
      <c r="H10" s="27" t="inlineStr">
        <is>
          <t>Snacks</t>
        </is>
      </c>
      <c r="I10" s="27" t="inlineStr">
        <is>
          <t>Seasonal</t>
        </is>
      </c>
      <c r="J10" s="27" t="inlineStr">
        <is>
          <t>As Needed</t>
        </is>
      </c>
      <c r="K10" s="27" t="inlineStr">
        <is>
          <t>Appliances</t>
        </is>
      </c>
    </row>
    <row r="11">
      <c r="E11" s="27" t="inlineStr">
        <is>
          <t>Grandma</t>
        </is>
      </c>
      <c r="F11" s="27" t="inlineStr">
        <is>
          <t>Insurance</t>
        </is>
      </c>
      <c r="G11" s="27" t="inlineStr">
        <is>
          <t>Frozen</t>
        </is>
      </c>
      <c r="H11" s="27" t="inlineStr">
        <is>
          <t>Breakfast</t>
        </is>
      </c>
      <c r="I11" s="27" t="inlineStr">
        <is>
          <t>Deep Clean</t>
        </is>
      </c>
      <c r="K11" s="27" t="inlineStr">
        <is>
          <t>Exterior</t>
        </is>
      </c>
    </row>
    <row r="12">
      <c r="F12" s="27" t="inlineStr">
        <is>
          <t>Groceries</t>
        </is>
      </c>
      <c r="G12" s="27" t="inlineStr">
        <is>
          <t>Pantry</t>
        </is>
      </c>
      <c r="H12" s="27" t="inlineStr">
        <is>
          <t>Spices &amp; Oils</t>
        </is>
      </c>
      <c r="K12" s="27" t="inlineStr">
        <is>
          <t>Lawn &amp; Garden</t>
        </is>
      </c>
    </row>
    <row r="13">
      <c r="F13" s="27" t="inlineStr">
        <is>
          <t>Fuel</t>
        </is>
      </c>
      <c r="G13" s="27" t="inlineStr">
        <is>
          <t>Cleaning</t>
        </is>
      </c>
      <c r="H13" s="27" t="inlineStr">
        <is>
          <t>Beverages</t>
        </is>
      </c>
      <c r="K13" s="27" t="inlineStr">
        <is>
          <t>Pest Control</t>
        </is>
      </c>
    </row>
    <row r="14">
      <c r="F14" s="27" t="inlineStr">
        <is>
          <t>Transportation</t>
        </is>
      </c>
      <c r="G14" s="27" t="inlineStr">
        <is>
          <t>Toiletries</t>
        </is>
      </c>
      <c r="H14" s="27" t="inlineStr">
        <is>
          <t>Other</t>
        </is>
      </c>
      <c r="K14" s="27" t="inlineStr">
        <is>
          <t>Vehicle</t>
        </is>
      </c>
    </row>
    <row r="15">
      <c r="F15" s="27" t="inlineStr">
        <is>
          <t>Childcare</t>
        </is>
      </c>
      <c r="G15" s="27" t="inlineStr">
        <is>
          <t>Baby</t>
        </is>
      </c>
      <c r="K15" s="27" t="inlineStr">
        <is>
          <t>Safety</t>
        </is>
      </c>
    </row>
    <row r="16">
      <c r="F16" s="27" t="inlineStr">
        <is>
          <t>Clothing</t>
        </is>
      </c>
      <c r="G16" s="27" t="inlineStr">
        <is>
          <t>Pet Supplies</t>
        </is>
      </c>
    </row>
    <row r="17">
      <c r="F17" s="27" t="inlineStr">
        <is>
          <t>Entertainment</t>
        </is>
      </c>
    </row>
    <row r="18">
      <c r="F18" s="27" t="inlineStr">
        <is>
          <t>Medical</t>
        </is>
      </c>
    </row>
    <row r="19">
      <c r="F19" s="27" t="inlineStr">
        <is>
          <t>Savings</t>
        </is>
      </c>
    </row>
    <row r="20">
      <c r="F20" s="27" t="inlineStr">
        <is>
          <t>Subscriptions</t>
        </is>
      </c>
    </row>
    <row r="21">
      <c r="F21" s="27" t="inlineStr">
        <is>
          <t>Dining Out</t>
        </is>
      </c>
    </row>
    <row r="22">
      <c r="F22" s="27" t="inlineStr">
        <is>
          <t>Home Improvement</t>
        </is>
      </c>
    </row>
    <row r="23">
      <c r="F23" s="27" t="inlineStr">
        <is>
          <t>Pets</t>
        </is>
      </c>
    </row>
    <row r="24">
      <c r="E24" s="4" t="inlineStr">
        <is>
          <t>DROPDOWN LISTS</t>
        </is>
      </c>
    </row>
    <row r="25">
      <c r="E25" s="7" t="inlineStr">
        <is>
          <t>Goal Category</t>
        </is>
      </c>
      <c r="F25" s="7" t="inlineStr">
        <is>
          <t>Meal Type</t>
        </is>
      </c>
      <c r="G25" s="7" t="inlineStr">
        <is>
          <t>Status</t>
        </is>
      </c>
      <c r="H25" s="7" t="inlineStr">
        <is>
          <t>Priority</t>
        </is>
      </c>
      <c r="I25" s="7" t="inlineStr">
        <is>
          <t>Calendar Category</t>
        </is>
      </c>
      <c r="J25" s="7" t="inlineStr">
        <is>
          <t>Store</t>
        </is>
      </c>
      <c r="K25" s="7" t="inlineStr">
        <is>
          <t>Yes / No</t>
        </is>
      </c>
    </row>
    <row r="26">
      <c r="E26" s="27" t="inlineStr">
        <is>
          <t>Financial</t>
        </is>
      </c>
      <c r="F26" s="27" t="inlineStr">
        <is>
          <t>Breakfast</t>
        </is>
      </c>
      <c r="G26" s="27" t="inlineStr">
        <is>
          <t>Not Started</t>
        </is>
      </c>
      <c r="H26" s="27" t="inlineStr">
        <is>
          <t>High</t>
        </is>
      </c>
      <c r="I26" s="27" t="inlineStr">
        <is>
          <t>School</t>
        </is>
      </c>
      <c r="J26" s="27" t="inlineStr">
        <is>
          <t>Costco</t>
        </is>
      </c>
      <c r="K26" s="27" t="inlineStr">
        <is>
          <t>Yes</t>
        </is>
      </c>
    </row>
    <row r="27">
      <c r="E27" s="27" t="inlineStr">
        <is>
          <t>Home</t>
        </is>
      </c>
      <c r="F27" s="27" t="inlineStr">
        <is>
          <t>Lunch</t>
        </is>
      </c>
      <c r="G27" s="27" t="inlineStr">
        <is>
          <t>In Progress</t>
        </is>
      </c>
      <c r="H27" s="27" t="inlineStr">
        <is>
          <t>Medium</t>
        </is>
      </c>
      <c r="I27" s="27" t="inlineStr">
        <is>
          <t>Sports</t>
        </is>
      </c>
      <c r="J27" s="27" t="inlineStr">
        <is>
          <t>Target</t>
        </is>
      </c>
      <c r="K27" s="27" t="inlineStr">
        <is>
          <t>No</t>
        </is>
      </c>
    </row>
    <row r="28">
      <c r="E28" s="27" t="inlineStr">
        <is>
          <t>Travel</t>
        </is>
      </c>
      <c r="F28" s="27" t="inlineStr">
        <is>
          <t>Dinner</t>
        </is>
      </c>
      <c r="G28" s="27" t="inlineStr">
        <is>
          <t>Done</t>
        </is>
      </c>
      <c r="H28" s="27" t="inlineStr">
        <is>
          <t>Low</t>
        </is>
      </c>
      <c r="I28" s="27" t="inlineStr">
        <is>
          <t>Appointment</t>
        </is>
      </c>
      <c r="J28" s="27" t="inlineStr">
        <is>
          <t>Kroger</t>
        </is>
      </c>
    </row>
    <row r="29">
      <c r="E29" s="27" t="inlineStr">
        <is>
          <t>Education</t>
        </is>
      </c>
      <c r="F29" s="27" t="inlineStr">
        <is>
          <t>Snack</t>
        </is>
      </c>
      <c r="I29" s="27" t="inlineStr">
        <is>
          <t>Holiday</t>
        </is>
      </c>
      <c r="J29" s="27" t="inlineStr">
        <is>
          <t>Walmart</t>
        </is>
      </c>
    </row>
    <row r="30">
      <c r="E30" s="27" t="inlineStr">
        <is>
          <t>Health</t>
        </is>
      </c>
      <c r="F30" s="27" t="inlineStr">
        <is>
          <t>Dessert</t>
        </is>
      </c>
      <c r="I30" s="27" t="inlineStr">
        <is>
          <t>Vacation</t>
        </is>
      </c>
      <c r="J30" s="27" t="inlineStr">
        <is>
          <t>Trader Joe's</t>
        </is>
      </c>
    </row>
    <row r="31">
      <c r="E31" s="27" t="inlineStr">
        <is>
          <t>Personal</t>
        </is>
      </c>
      <c r="I31" s="27" t="inlineStr">
        <is>
          <t>Work</t>
        </is>
      </c>
      <c r="J31" s="27" t="inlineStr">
        <is>
          <t>Amazon</t>
        </is>
      </c>
    </row>
    <row r="32">
      <c r="I32" s="27" t="inlineStr">
        <is>
          <t>Birthday</t>
        </is>
      </c>
      <c r="J32" s="27" t="inlineStr">
        <is>
          <t>Local</t>
        </is>
      </c>
    </row>
    <row r="33">
      <c r="I33" s="27" t="inlineStr">
        <is>
          <t>Bill Due</t>
        </is>
      </c>
    </row>
    <row r="34">
      <c r="I34" s="27" t="inlineStr">
        <is>
          <t>Maintenance</t>
        </is>
      </c>
    </row>
    <row r="35">
      <c r="I35" s="27" t="inlineStr">
        <is>
          <t>Family</t>
        </is>
      </c>
    </row>
  </sheetData>
  <mergeCells count="5">
    <mergeCell ref="E5:K5"/>
    <mergeCell ref="B5:C5"/>
    <mergeCell ref="A2:K2"/>
    <mergeCell ref="E24:K2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2026-06-30T20:10:10Z</dcterms:created>
  <dcterms:modified xsi:type="dcterms:W3CDTF">2026-06-30T20:10:11Z</dcterms:modified>
</cp:coreProperties>
</file>