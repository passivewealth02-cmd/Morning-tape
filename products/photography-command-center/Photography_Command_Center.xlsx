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CODB &amp; Break-Even" sheetId="3" state="visible" r:id="rId3"/>
    <sheet name="Shoot P&amp;L" sheetId="4" state="visible" r:id="rId4"/>
    <sheet name="Packages &amp; Pricing" sheetId="5" state="visible" r:id="rId5"/>
    <sheet name="Bookings" sheetId="6" state="visible" r:id="rId6"/>
    <sheet name="Clients &amp; Leads" sheetId="7" state="visible" r:id="rId7"/>
    <sheet name="Editing Queue" sheetId="8" state="visible" r:id="rId8"/>
    <sheet name="Gear &amp; Inventory" sheetId="9" state="visible" r:id="rId9"/>
    <sheet name="Expenses" sheetId="10" state="visible" r:id="rId10"/>
    <sheet name="Mileage &amp; Travel" sheetId="11" state="visible" r:id="rId11"/>
    <sheet name="Reviews &amp; Referrals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MarginGoal">Settings!$C$8</definedName>
    <definedName name="RateGoal">Settings!$C$9</definedName>
    <definedName name="PaceGoal">Settings!$C$10</definedName>
    <definedName name="ProfitGoal">Settings!$C$11</definedName>
    <definedName name="BookedAheadGoal">Settings!$C$12</definedName>
    <definedName name="Currency">Settings!$C$13</definedName>
    <definedName name="TypeList">Settings!$E$7:$E$12</definedName>
    <definedName name="BookStatusList">Settings!$F$7:$F$11</definedName>
    <definedName name="EditStatusList">Settings!$G$7:$G$10</definedName>
    <definedName name="YesNoList">Settings!$H$7:$H$8</definedName>
    <definedName name="OverheadAnnual">'CODB &amp; Break-Even'!$C$5</definedName>
    <definedName name="SalaryTarget">'CODB &amp; Break-Even'!$C$6</definedName>
    <definedName name="TotalNeeded">'CODB &amp; Break-Even'!$C$7</definedName>
    <definedName name="TargetShoots">'CODB &amp; Break-Even'!$C$9</definedName>
    <definedName name="CODBShoot">'CODB &amp; Break-Even'!$C$10</definedName>
    <definedName name="PackagePrice">'Shoot P&amp;L'!$C$6</definedName>
    <definedName name="ShootCostAmt">'Shoot P&amp;L'!$C$9:$C$13</definedName>
    <definedName name="ShootCosts">'Shoot P&amp;L'!$C$14</definedName>
    <definedName name="NetShoot">'Shoot P&amp;L'!$C$15</definedName>
    <definedName name="ShootHours">'Shoot P&amp;L'!$C$17</definedName>
    <definedName name="EffRate">'Shoot P&amp;L'!$C$18</definedName>
    <definedName name="ShootMargin">'Shoot P&amp;L'!$C$19</definedName>
    <definedName name="PkgName">'Packages &amp; Pricing'!$B$5:$B$10</definedName>
    <definedName name="PkgPrice">'Packages &amp; Pricing'!$C$5:$C$10</definedName>
    <definedName name="BookPrice">'Bookings'!$D$5:$D$12</definedName>
    <definedName name="BookStatus">'Bookings'!$E$5:$E$12</definedName>
    <definedName name="UpcomingBookings">'Bookings'!$D$13</definedName>
    <definedName name="GearVal">'Gear &amp; Inventory'!$C$5:$C$10</definedName>
    <definedName name="ExpAmt">'Expenses'!$C$5:$C$12</definedName>
    <definedName name="ExpTotal">'Expenses'!$C$13</definedName>
    <definedName name="NetProfit">'Expenses'!$C$15</definedName>
    <definedName name="RevRating">'Reviews &amp; Referrals'!$C$5:$C$28</definedName>
    <definedName name="MonthRev">'Monthly Summary'!$C$5:$C$10</definedName>
    <definedName name="MonthBook">'Monthly Summary'!$D$5:$D$10</definedName>
    <definedName name="RevenueYTD">'Monthly Summary'!$C$11</definedName>
    <definedName name="BookingsYTD">'Monthly Summary'!$D$11</definedName>
    <definedName name="AvgBooking">'Monthly Summary'!$C$13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  <sz val="12"/>
    </font>
    <font>
      <b val="1"/>
      <color rgb="001B4F48"/>
      <sz val="13"/>
    </font>
    <font>
      <b val="1"/>
      <color rgb="001B4F48"/>
    </font>
    <font>
      <b val="1"/>
      <color rgb="00C94C4C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3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5" fillId="9" borderId="2" applyAlignment="1" pivotButton="0" quotePrefix="0" xfId="0">
      <alignment horizontal="center" vertical="center"/>
    </xf>
    <xf numFmtId="165" fontId="15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164" fontId="10" fillId="6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164" fontId="11" fillId="6" borderId="2" applyAlignment="1" pivotButton="0" quotePrefix="0" xfId="6">
      <alignment horizontal="center" vertical="center" wrapText="1"/>
    </xf>
    <xf numFmtId="0" fontId="12" fillId="0" borderId="0" pivotButton="0" quotePrefix="0" xfId="0"/>
    <xf numFmtId="164" fontId="7" fillId="8" borderId="2" applyAlignment="1" pivotButton="0" quotePrefix="0" xfId="8">
      <alignment horizontal="center" vertical="center"/>
    </xf>
    <xf numFmtId="164" fontId="13" fillId="3" borderId="2" applyAlignment="1" pivotButton="0" quotePrefix="0" xfId="6">
      <alignment horizontal="center" vertical="center" wrapText="1"/>
    </xf>
    <xf numFmtId="165" fontId="10" fillId="6" borderId="2" applyAlignment="1" pivotButton="0" quotePrefix="0" xfId="6">
      <alignment horizontal="center" vertical="center" wrapText="1"/>
    </xf>
    <xf numFmtId="9" fontId="7" fillId="6" borderId="2" applyAlignment="1" pivotButton="0" quotePrefix="0" xfId="10">
      <alignment horizontal="left" vertical="center" indent="1"/>
    </xf>
    <xf numFmtId="164" fontId="6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4" fontId="12" fillId="6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12" fillId="6" borderId="2" applyAlignment="1" pivotButton="0" quotePrefix="0" xfId="6">
      <alignment horizontal="center" vertical="center" wrapText="1"/>
    </xf>
    <xf numFmtId="3" fontId="12" fillId="3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📷  PHOTOGRAPHY BUSINESS COMMAND CENTER™</t>
        </is>
      </c>
    </row>
    <row r="2" ht="24" customHeight="1">
      <c r="A2" s="2" t="inlineStr">
        <is>
          <t xml:space="preserve">  Price to pay yourself, and know the profit on every shoot.</t>
        </is>
      </c>
    </row>
    <row r="3" ht="6" customHeight="1">
      <c r="A3" s="3" t="n"/>
      <c r="B3" s="3" t="n"/>
      <c r="C3" s="3" t="n"/>
    </row>
    <row r="5">
      <c r="B5" s="4" t="inlineStr">
        <is>
          <t>YOUR WHOLE PHOTO BUSINESS, IN ONE PLACE</t>
        </is>
      </c>
    </row>
    <row r="6" ht="22" customHeight="1">
      <c r="B6" s="5" t="inlineStr">
        <is>
          <t>A photography business lives or dies on two numbers: the price you must charge to cover your costs and pay yourself, and the profit each shoot actually makes. This makes both visible: a cost-of-doing-business engine that turns your overhead and desired salary into a break-even price per shoot, and a per-shoot P&amp;L that shows your net and your real hourly rate. Set your packages, run bookings, manage clients and the editing queue, track gear, expenses and mileage — all in ONE premium Google Sheets &amp; Excel system built for photographers.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margin, rate &amp; booked-ahead goals.</t>
        </is>
      </c>
    </row>
    <row r="13" ht="22" customHeight="1">
      <c r="B13" s="8" t="inlineStr">
        <is>
          <t>2.  Fill CODB &amp; Break-Even — your minimum price per shoot.</t>
        </is>
      </c>
    </row>
    <row r="14" ht="22" customHeight="1">
      <c r="B14" s="8" t="inlineStr">
        <is>
          <t>3.  Cost a shoot in Shoot P&amp;L — net and your real hourly rate.</t>
        </is>
      </c>
    </row>
    <row r="15" ht="22" customHeight="1">
      <c r="B15" s="8" t="inlineStr">
        <is>
          <t>4.  Set your Packages &amp; Pricing above break-even.</t>
        </is>
      </c>
    </row>
    <row r="16" ht="22" customHeight="1">
      <c r="B16" s="8" t="inlineStr">
        <is>
          <t>5.  Run Bookings, clients, the editing queue and gear.</t>
        </is>
      </c>
    </row>
    <row r="17" ht="22" customHeight="1">
      <c r="B17" s="8" t="inlineStr">
        <is>
          <t>6.  Check the Dashboard: profit, break-even &amp; a Studio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studio (Amberlight Photo) is included so you can see how it all connects — just type over it with your own shoots and numbers. Your break-even price and the profit per shoot are the two numbers that decide whether photography pays, and they roll into a live Studio Score. Twelve matching printable pages (CODB worksheet, shoot P&amp;L, package menu, shot list &amp; more) are included. This is a business tool, not financial, legal or tax advice — confirm figures with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Know your break-even, then price above it — that's how photographers stay in business.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📷  PHOTOGRAPHY BUSINESS COMMAND CENTER™</t>
        </is>
      </c>
    </row>
    <row r="2" ht="24" customHeight="1">
      <c r="A2" s="2" t="inlineStr">
        <is>
          <t xml:space="preserve">  Break-even, profit per shoot, revenue &amp; a Studio Score — your whole business,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PACKAGE PRICE</t>
        </is>
      </c>
      <c r="C5" s="13" t="n"/>
      <c r="D5" s="12" t="inlineStr">
        <is>
          <t>SHOOT COSTS</t>
        </is>
      </c>
      <c r="E5" s="13" t="n"/>
      <c r="F5" s="12" t="inlineStr">
        <is>
          <t>NET / SHOOT</t>
        </is>
      </c>
      <c r="G5" s="13" t="n"/>
      <c r="H5" s="12" t="inlineStr">
        <is>
          <t>SHOOT MARGIN</t>
        </is>
      </c>
      <c r="I5" s="13" t="n"/>
      <c r="J5" s="12" t="inlineStr">
        <is>
          <t>CODB / SHOOT</t>
        </is>
      </c>
      <c r="K5" s="13" t="n"/>
      <c r="L5" s="12" t="inlineStr">
        <is>
          <t>EFFECTIVE RATE</t>
        </is>
      </c>
      <c r="M5" s="13" t="n"/>
    </row>
    <row r="6" ht="40" customHeight="1">
      <c r="B6" s="14">
        <f>PackagePrice</f>
        <v/>
      </c>
      <c r="C6" s="15" t="n"/>
      <c r="D6" s="14">
        <f>ShootCosts</f>
        <v/>
      </c>
      <c r="E6" s="15" t="n"/>
      <c r="F6" s="14">
        <f>NetShoot</f>
        <v/>
      </c>
      <c r="G6" s="15" t="n"/>
      <c r="H6" s="16">
        <f>ShootMargin</f>
        <v/>
      </c>
      <c r="I6" s="15" t="n"/>
      <c r="J6" s="14">
        <f>CODBShoot</f>
        <v/>
      </c>
      <c r="K6" s="15" t="n"/>
      <c r="L6" s="17">
        <f>EffRate</f>
        <v/>
      </c>
      <c r="M6" s="15" t="n"/>
    </row>
    <row r="8" ht="18" customHeight="1">
      <c r="B8" s="12" t="inlineStr">
        <is>
          <t>BOOKINGS YTD</t>
        </is>
      </c>
      <c r="C8" s="13" t="n"/>
      <c r="D8" s="12" t="inlineStr">
        <is>
          <t>REVENUE YTD</t>
        </is>
      </c>
      <c r="E8" s="13" t="n"/>
      <c r="F8" s="12" t="inlineStr">
        <is>
          <t>AVG BOOKING</t>
        </is>
      </c>
      <c r="G8" s="13" t="n"/>
      <c r="H8" s="12" t="inlineStr">
        <is>
          <t>NET PROFIT</t>
        </is>
      </c>
      <c r="I8" s="13" t="n"/>
      <c r="J8" s="12" t="inlineStr">
        <is>
          <t>BOOKED AHEAD</t>
        </is>
      </c>
      <c r="K8" s="13" t="n"/>
      <c r="L8" s="12" t="inlineStr">
        <is>
          <t>STUDIO SCORE</t>
        </is>
      </c>
      <c r="M8" s="13" t="n"/>
    </row>
    <row r="9" ht="40" customHeight="1">
      <c r="B9" s="18">
        <f>BookingsYTD</f>
        <v/>
      </c>
      <c r="C9" s="15" t="n"/>
      <c r="D9" s="14">
        <f>RevenueYTD</f>
        <v/>
      </c>
      <c r="E9" s="15" t="n"/>
      <c r="F9" s="14">
        <f>AvgBooking</f>
        <v/>
      </c>
      <c r="G9" s="15" t="n"/>
      <c r="H9" s="14">
        <f>NetProfit</f>
        <v/>
      </c>
      <c r="I9" s="15" t="n"/>
      <c r="J9" s="14">
        <f>UpcomingBookings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STUDIO HEALTH</t>
        </is>
      </c>
      <c r="H11" s="4" t="inlineStr">
        <is>
          <t>REVENUE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Shoot margin healthy</t>
        </is>
      </c>
      <c r="C13" s="20">
        <f>IFERROR(MIN(ShootMargin/MarginGoal,1),0)</f>
        <v/>
      </c>
      <c r="D13" s="21">
        <f>IF(C13&gt;=0.85,"Strong",IF(C13&gt;=0.6,"OK","Watch"))</f>
        <v/>
      </c>
    </row>
    <row r="14">
      <c r="B14" s="22" t="inlineStr">
        <is>
          <t>Net per shoot beats break-even</t>
        </is>
      </c>
      <c r="C14" s="23">
        <f>IFERROR(MIN(NetShoot/CODBShoot,1),0)</f>
        <v/>
      </c>
      <c r="D14" s="24">
        <f>IF(C14&gt;=0.85,"Strong",IF(C14&gt;=0.6,"OK","Watch"))</f>
        <v/>
      </c>
    </row>
    <row r="15">
      <c r="B15" s="19" t="inlineStr">
        <is>
          <t>Effective rate on target</t>
        </is>
      </c>
      <c r="C15" s="20">
        <f>IFERROR(MIN(EffRate/RateGoal,1),0)</f>
        <v/>
      </c>
      <c r="D15" s="21">
        <f>IF(C15&gt;=0.85,"Strong",IF(C15&gt;=0.6,"OK","Watch"))</f>
        <v/>
      </c>
    </row>
    <row r="16">
      <c r="B16" s="22" t="inlineStr">
        <is>
          <t>Bookings on pace</t>
        </is>
      </c>
      <c r="C16" s="23">
        <f>IFERROR(MIN(BookingsYTD/PaceGoal,1),0)</f>
        <v/>
      </c>
      <c r="D16" s="24">
        <f>IF(C16&gt;=0.85,"Strong",IF(C16&gt;=0.6,"OK","Watch"))</f>
        <v/>
      </c>
    </row>
    <row r="17">
      <c r="B17" s="19" t="inlineStr">
        <is>
          <t>Profitable</t>
        </is>
      </c>
      <c r="C17" s="20">
        <f>IFERROR(MIN(NetProfit/ProfitGoal,1),0)</f>
        <v/>
      </c>
      <c r="D17" s="21">
        <f>IF(C17&gt;=0.85,"Strong",IF(C17&gt;=0.6,"OK","Watch"))</f>
        <v/>
      </c>
    </row>
    <row r="18">
      <c r="B18" s="22" t="inlineStr">
        <is>
          <t>Booked ahead</t>
        </is>
      </c>
      <c r="C18" s="23">
        <f>IFERROR(MIN(UpcomingBookings/BookedAheadGoal,1),0)</f>
        <v/>
      </c>
      <c r="D18" s="24">
        <f>IF(C18&gt;=0.85,"Strong",IF(C18&gt;=0.6,"OK","Watch"))</f>
        <v/>
      </c>
    </row>
    <row r="21" ht="26" customHeight="1">
      <c r="B21" s="2" t="inlineStr">
        <is>
          <t>Photography Business Command Center™ — price to pay yourself, profit on every shoot.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🧮  CODB &amp; BREAK-EVEN</t>
        </is>
      </c>
    </row>
    <row r="2" ht="22" customHeight="1">
      <c r="A2" s="2" t="inlineStr">
        <is>
          <t xml:space="preserve">  Your overhead + the salary you want ÷ the shoots you'll book = what you must charge to pay yourself.</t>
        </is>
      </c>
    </row>
    <row r="3" ht="6" customHeight="1">
      <c r="A3" s="3" t="n"/>
      <c r="B3" s="3" t="n"/>
      <c r="C3" s="3" t="n"/>
    </row>
    <row r="5">
      <c r="B5" s="25" t="inlineStr">
        <is>
          <t>Annual overhead &amp; business costs</t>
        </is>
      </c>
      <c r="C5" s="26" t="n">
        <v>24000</v>
      </c>
    </row>
    <row r="6">
      <c r="B6" s="25" t="inlineStr">
        <is>
          <t>Salary you want to pay yourself</t>
        </is>
      </c>
      <c r="C6" s="26" t="n">
        <v>48000</v>
      </c>
    </row>
    <row r="7">
      <c r="B7" s="9">
        <f> TOTAL YOU NEED (year)</f>
        <v/>
      </c>
      <c r="C7" s="27">
        <f>OverheadAnnual+SalaryTarget</f>
        <v/>
      </c>
    </row>
    <row r="9">
      <c r="B9" s="25" t="inlineStr">
        <is>
          <t>Shoots you'll book (year)</t>
        </is>
      </c>
      <c r="C9" s="28" t="n">
        <v>48</v>
      </c>
    </row>
    <row r="10">
      <c r="B10" s="9">
        <f> CODB / SHOOT (break-even price)</f>
        <v/>
      </c>
      <c r="C10" s="29">
        <f>IFERROR(TotalNeeded/TargetShoots,0)</f>
        <v/>
      </c>
    </row>
    <row r="12">
      <c r="B12" s="7" t="inlineStr">
        <is>
          <t>Every package you sell must beat this number — or you're paying to work.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💵  SHOOT P&amp;L</t>
        </is>
      </c>
    </row>
    <row r="2" ht="22" customHeight="1">
      <c r="A2" s="2" t="inlineStr">
        <is>
          <t xml:space="preserve">  Price a shoot to the profit — costs out, and your real hourly rate for the shoot and the edit.</t>
        </is>
      </c>
    </row>
    <row r="3" ht="6" customHeight="1">
      <c r="A3" s="3" t="n"/>
      <c r="B3" s="3" t="n"/>
      <c r="C3" s="3" t="n"/>
    </row>
    <row r="5">
      <c r="B5" s="4" t="inlineStr">
        <is>
          <t>SHOOT</t>
        </is>
      </c>
      <c r="C5" s="30" t="inlineStr">
        <is>
          <t>Wedding — Full Day</t>
        </is>
      </c>
    </row>
    <row r="6">
      <c r="B6" s="25" t="inlineStr">
        <is>
          <t>Package price</t>
        </is>
      </c>
      <c r="C6" s="26" t="n">
        <v>3000</v>
      </c>
    </row>
    <row r="8" ht="30" customHeight="1">
      <c r="B8" s="9" t="inlineStr">
        <is>
          <t>Cost</t>
        </is>
      </c>
      <c r="C8" s="9" t="inlineStr">
        <is>
          <t>Amount</t>
        </is>
      </c>
    </row>
    <row r="9">
      <c r="B9" s="19" t="inlineStr">
        <is>
          <t>Second shooter</t>
        </is>
      </c>
      <c r="C9" s="26" t="n">
        <v>300</v>
      </c>
    </row>
    <row r="10">
      <c r="B10" s="22" t="inlineStr">
        <is>
          <t>Album</t>
        </is>
      </c>
      <c r="C10" s="31" t="n">
        <v>200</v>
      </c>
    </row>
    <row r="11">
      <c r="B11" s="19" t="inlineStr">
        <is>
          <t>Prints</t>
        </is>
      </c>
      <c r="C11" s="26" t="n">
        <v>50</v>
      </c>
    </row>
    <row r="12">
      <c r="B12" s="22" t="inlineStr">
        <is>
          <t>Travel</t>
        </is>
      </c>
      <c r="C12" s="31" t="n">
        <v>50</v>
      </c>
    </row>
    <row r="13">
      <c r="B13" s="19" t="inlineStr">
        <is>
          <t>Editing (outsourced)</t>
        </is>
      </c>
      <c r="C13" s="26" t="n">
        <v>200</v>
      </c>
    </row>
    <row r="14">
      <c r="B14" s="9">
        <f> SHOOT COSTS</f>
        <v/>
      </c>
      <c r="C14" s="32">
        <f>SUM(ShootCostAmt)</f>
        <v/>
      </c>
    </row>
    <row r="15">
      <c r="B15" s="9">
        <f> NET PER SHOOT</f>
        <v/>
      </c>
      <c r="C15" s="29">
        <f>PackagePrice-ShootCosts</f>
        <v/>
      </c>
    </row>
    <row r="17">
      <c r="B17" s="25" t="inlineStr">
        <is>
          <t>Hours (shoot + culling + editing)</t>
        </is>
      </c>
      <c r="C17" s="28" t="n">
        <v>25</v>
      </c>
    </row>
    <row r="18">
      <c r="B18" s="9">
        <f> EFFECTIVE RATE ($/hr)</f>
        <v/>
      </c>
      <c r="C18" s="33">
        <f>IFERROR(NetShoot/ShootHours,0)</f>
        <v/>
      </c>
    </row>
    <row r="19">
      <c r="B19" s="25" t="inlineStr">
        <is>
          <t>Shoot margin</t>
        </is>
      </c>
      <c r="C19" s="34">
        <f>IFERROR(NetShoot/PackagePrice,0)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0" customWidth="1" min="4" max="4"/>
    <col width="24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📦  PACKAGES &amp; PRICING</t>
        </is>
      </c>
    </row>
    <row r="2" ht="22" customHeight="1">
      <c r="A2" s="2" t="inlineStr">
        <is>
          <t xml:space="preserve">  Your menu — price, hours, what's included and the rate per hour. Keep every package above break-even.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Package</t>
        </is>
      </c>
      <c r="C4" s="9" t="inlineStr">
        <is>
          <t>Price</t>
        </is>
      </c>
      <c r="D4" s="9" t="inlineStr">
        <is>
          <t>Hours</t>
        </is>
      </c>
      <c r="E4" s="9" t="inlineStr">
        <is>
          <t>Includes</t>
        </is>
      </c>
      <c r="F4" s="9" t="inlineStr">
        <is>
          <t>$/hr</t>
        </is>
      </c>
    </row>
    <row r="5">
      <c r="B5" s="19" t="inlineStr">
        <is>
          <t>Wedding — Full Day</t>
        </is>
      </c>
      <c r="C5" s="26" t="n">
        <v>3000</v>
      </c>
      <c r="D5" s="28" t="n">
        <v>25</v>
      </c>
      <c r="E5" s="19" t="inlineStr">
        <is>
          <t>8h coverage + album</t>
        </is>
      </c>
      <c r="F5" s="35">
        <f>IFERROR(C5/D5,0)</f>
        <v/>
      </c>
    </row>
    <row r="6">
      <c r="B6" s="22" t="inlineStr">
        <is>
          <t>Wedding — Elopement</t>
        </is>
      </c>
      <c r="C6" s="31" t="n">
        <v>1800</v>
      </c>
      <c r="D6" s="36" t="n">
        <v>12</v>
      </c>
      <c r="E6" s="22" t="inlineStr">
        <is>
          <t>4h + gallery</t>
        </is>
      </c>
      <c r="F6" s="37">
        <f>IFERROR(C6/D6,0)</f>
        <v/>
      </c>
    </row>
    <row r="7">
      <c r="B7" s="19" t="inlineStr">
        <is>
          <t>Portrait Session</t>
        </is>
      </c>
      <c r="C7" s="26" t="n">
        <v>500</v>
      </c>
      <c r="D7" s="28" t="n">
        <v>4</v>
      </c>
      <c r="E7" s="19" t="inlineStr">
        <is>
          <t>1h + 30 edits</t>
        </is>
      </c>
      <c r="F7" s="35">
        <f>IFERROR(C7/D7,0)</f>
        <v/>
      </c>
    </row>
    <row r="8">
      <c r="B8" s="22" t="inlineStr">
        <is>
          <t>Family / Branding</t>
        </is>
      </c>
      <c r="C8" s="31" t="n">
        <v>1000</v>
      </c>
      <c r="D8" s="36" t="n">
        <v>6</v>
      </c>
      <c r="E8" s="22" t="inlineStr">
        <is>
          <t>2h + 50 edits</t>
        </is>
      </c>
      <c r="F8" s="37">
        <f>IFERROR(C8/D8,0)</f>
        <v/>
      </c>
    </row>
    <row r="9">
      <c r="B9" s="19" t="inlineStr">
        <is>
          <t>Event Coverage</t>
        </is>
      </c>
      <c r="C9" s="26" t="n">
        <v>1200</v>
      </c>
      <c r="D9" s="28" t="n">
        <v>8</v>
      </c>
      <c r="E9" s="19" t="inlineStr">
        <is>
          <t>4h + gallery</t>
        </is>
      </c>
      <c r="F9" s="35">
        <f>IFERROR(C9/D9,0)</f>
        <v/>
      </c>
    </row>
    <row r="10">
      <c r="B10" s="22" t="inlineStr">
        <is>
          <t>Mini Session</t>
        </is>
      </c>
      <c r="C10" s="31" t="n">
        <v>300</v>
      </c>
      <c r="D10" s="36" t="n">
        <v>2</v>
      </c>
      <c r="E10" s="22" t="inlineStr">
        <is>
          <t>20 min + 10 edits</t>
        </is>
      </c>
      <c r="F10" s="37">
        <f>IFERROR(C10/D10,0)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4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📅  BOOKINGS</t>
        </is>
      </c>
    </row>
    <row r="2" ht="22" customHeight="1">
      <c r="A2" s="2" t="inlineStr">
        <is>
          <t xml:space="preserve">  Your calendar — type, price and status. Scheduled shoots become your booked-ahead revenue.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 / Shoot</t>
        </is>
      </c>
      <c r="C4" s="9" t="inlineStr">
        <is>
          <t>Type</t>
        </is>
      </c>
      <c r="D4" s="9" t="inlineStr">
        <is>
          <t>Price</t>
        </is>
      </c>
      <c r="E4" s="9" t="inlineStr">
        <is>
          <t>Status</t>
        </is>
      </c>
    </row>
    <row r="5">
      <c r="B5" s="19" t="inlineStr">
        <is>
          <t>Rivera Wedding</t>
        </is>
      </c>
      <c r="C5" s="21" t="inlineStr">
        <is>
          <t>Wedding</t>
        </is>
      </c>
      <c r="D5" s="26" t="n">
        <v>3000</v>
      </c>
      <c r="E5" s="21" t="inlineStr">
        <is>
          <t>Scheduled</t>
        </is>
      </c>
    </row>
    <row r="6">
      <c r="B6" s="22" t="inlineStr">
        <is>
          <t>Dey Wedding</t>
        </is>
      </c>
      <c r="C6" s="24" t="inlineStr">
        <is>
          <t>Wedding</t>
        </is>
      </c>
      <c r="D6" s="31" t="n">
        <v>3000</v>
      </c>
      <c r="E6" s="24" t="inlineStr">
        <is>
          <t>Scheduled</t>
        </is>
      </c>
    </row>
    <row r="7">
      <c r="B7" s="19" t="inlineStr">
        <is>
          <t>Cho Family</t>
        </is>
      </c>
      <c r="C7" s="21" t="inlineStr">
        <is>
          <t>Portrait</t>
        </is>
      </c>
      <c r="D7" s="26" t="n">
        <v>500</v>
      </c>
      <c r="E7" s="21" t="inlineStr">
        <is>
          <t>Scheduled</t>
        </is>
      </c>
    </row>
    <row r="8">
      <c r="B8" s="22" t="inlineStr">
        <is>
          <t>Lin Event</t>
        </is>
      </c>
      <c r="C8" s="24" t="inlineStr">
        <is>
          <t>Event</t>
        </is>
      </c>
      <c r="D8" s="31" t="n">
        <v>1200</v>
      </c>
      <c r="E8" s="24" t="inlineStr">
        <is>
          <t>Scheduled</t>
        </is>
      </c>
    </row>
    <row r="9">
      <c r="B9" s="19" t="inlineStr">
        <is>
          <t>TechCo Branding</t>
        </is>
      </c>
      <c r="C9" s="21" t="inlineStr">
        <is>
          <t>Branding</t>
        </is>
      </c>
      <c r="D9" s="26" t="n">
        <v>1000</v>
      </c>
      <c r="E9" s="21" t="inlineStr">
        <is>
          <t>Scheduled</t>
        </is>
      </c>
    </row>
    <row r="10">
      <c r="B10" s="22" t="inlineStr">
        <is>
          <t>Fall Minis</t>
        </is>
      </c>
      <c r="C10" s="24" t="inlineStr">
        <is>
          <t>Mini</t>
        </is>
      </c>
      <c r="D10" s="31" t="n">
        <v>900</v>
      </c>
      <c r="E10" s="24" t="inlineStr">
        <is>
          <t>Scheduled</t>
        </is>
      </c>
    </row>
    <row r="11">
      <c r="B11" s="19" t="inlineStr">
        <is>
          <t>Harper Wedding</t>
        </is>
      </c>
      <c r="C11" s="21" t="inlineStr">
        <is>
          <t>Wedding</t>
        </is>
      </c>
      <c r="D11" s="26" t="n">
        <v>3000</v>
      </c>
      <c r="E11" s="21" t="inlineStr">
        <is>
          <t>Completed</t>
        </is>
      </c>
    </row>
    <row r="12">
      <c r="B12" s="22" t="inlineStr">
        <is>
          <t>Vye Portrait</t>
        </is>
      </c>
      <c r="C12" s="24" t="inlineStr">
        <is>
          <t>Portrait</t>
        </is>
      </c>
      <c r="D12" s="31" t="n">
        <v>500</v>
      </c>
      <c r="E12" s="24" t="inlineStr">
        <is>
          <t>Inquiry</t>
        </is>
      </c>
    </row>
    <row r="13">
      <c r="B13" s="9" t="inlineStr">
        <is>
          <t>BOOKED AHEAD (scheduled)</t>
        </is>
      </c>
      <c r="C13" s="38" t="n"/>
      <c r="D13" s="39">
        <f>SUMIF(BookStatus,"Scheduled",BookPrice)</f>
        <v/>
      </c>
      <c r="E13" s="38" t="n"/>
    </row>
  </sheetData>
  <mergeCells count="2">
    <mergeCell ref="A2:E2"/>
    <mergeCell ref="A1:E1"/>
  </mergeCells>
  <dataValidations count="16">
    <dataValidation sqref="C5" showDropDown="0" showInputMessage="0" showErrorMessage="0" allowBlank="1" type="list">
      <formula1>=TypeList</formula1>
    </dataValidation>
    <dataValidation sqref="E5" showDropDown="0" showInputMessage="0" showErrorMessage="0" allowBlank="1" type="list">
      <formula1>=BookStatusList</formula1>
    </dataValidation>
    <dataValidation sqref="C6" showDropDown="0" showInputMessage="0" showErrorMessage="0" allowBlank="1" type="list">
      <formula1>=TypeList</formula1>
    </dataValidation>
    <dataValidation sqref="E6" showDropDown="0" showInputMessage="0" showErrorMessage="0" allowBlank="1" type="list">
      <formula1>=BookStatusList</formula1>
    </dataValidation>
    <dataValidation sqref="C7" showDropDown="0" showInputMessage="0" showErrorMessage="0" allowBlank="1" type="list">
      <formula1>=TypeList</formula1>
    </dataValidation>
    <dataValidation sqref="E7" showDropDown="0" showInputMessage="0" showErrorMessage="0" allowBlank="1" type="list">
      <formula1>=BookStatusList</formula1>
    </dataValidation>
    <dataValidation sqref="C8" showDropDown="0" showInputMessage="0" showErrorMessage="0" allowBlank="1" type="list">
      <formula1>=TypeList</formula1>
    </dataValidation>
    <dataValidation sqref="E8" showDropDown="0" showInputMessage="0" showErrorMessage="0" allowBlank="1" type="list">
      <formula1>=BookStatusList</formula1>
    </dataValidation>
    <dataValidation sqref="C9" showDropDown="0" showInputMessage="0" showErrorMessage="0" allowBlank="1" type="list">
      <formula1>=TypeList</formula1>
    </dataValidation>
    <dataValidation sqref="E9" showDropDown="0" showInputMessage="0" showErrorMessage="0" allowBlank="1" type="list">
      <formula1>=BookStatusList</formula1>
    </dataValidation>
    <dataValidation sqref="C10" showDropDown="0" showInputMessage="0" showErrorMessage="0" allowBlank="1" type="list">
      <formula1>=TypeList</formula1>
    </dataValidation>
    <dataValidation sqref="E10" showDropDown="0" showInputMessage="0" showErrorMessage="0" allowBlank="1" type="list">
      <formula1>=BookStatusList</formula1>
    </dataValidation>
    <dataValidation sqref="C11" showDropDown="0" showInputMessage="0" showErrorMessage="0" allowBlank="1" type="list">
      <formula1>=TypeList</formula1>
    </dataValidation>
    <dataValidation sqref="E11" showDropDown="0" showInputMessage="0" showErrorMessage="0" allowBlank="1" type="list">
      <formula1>=BookStatusList</formula1>
    </dataValidation>
    <dataValidation sqref="C12" showDropDown="0" showInputMessage="0" showErrorMessage="0" allowBlank="1" type="list">
      <formula1>=TypeList</formula1>
    </dataValidation>
    <dataValidation sqref="E12" showDropDown="0" showInputMessage="0" showErrorMessage="0" allowBlank="1" type="list">
      <formula1>=BookStatusList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👥  CLIENTS &amp; LEADS</t>
        </is>
      </c>
    </row>
    <row r="2" ht="22" customHeight="1">
      <c r="A2" s="2" t="inlineStr">
        <is>
          <t xml:space="preserve">  Your inquiries and booked clients — type, source and stage, so no lead is lost.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</t>
        </is>
      </c>
      <c r="C4" s="9" t="inlineStr">
        <is>
          <t>Type</t>
        </is>
      </c>
      <c r="D4" s="9" t="inlineStr">
        <is>
          <t>Source</t>
        </is>
      </c>
      <c r="E4" s="9" t="inlineStr">
        <is>
          <t>Stage</t>
        </is>
      </c>
    </row>
    <row r="5">
      <c r="B5" s="40" t="inlineStr">
        <is>
          <t>Rivera</t>
        </is>
      </c>
      <c r="C5" s="41" t="inlineStr">
        <is>
          <t>Wedding</t>
        </is>
      </c>
      <c r="D5" s="41" t="inlineStr">
        <is>
          <t>Referral</t>
        </is>
      </c>
      <c r="E5" s="41" t="inlineStr">
        <is>
          <t>Booked</t>
        </is>
      </c>
    </row>
    <row r="6">
      <c r="B6" s="22" t="inlineStr">
        <is>
          <t>Dey</t>
        </is>
      </c>
      <c r="C6" s="24" t="inlineStr">
        <is>
          <t>Wedding</t>
        </is>
      </c>
      <c r="D6" s="24" t="inlineStr">
        <is>
          <t>Instagram</t>
        </is>
      </c>
      <c r="E6" s="24" t="inlineStr">
        <is>
          <t>Booked</t>
        </is>
      </c>
    </row>
    <row r="7">
      <c r="B7" s="40" t="inlineStr">
        <is>
          <t>Cho</t>
        </is>
      </c>
      <c r="C7" s="41" t="inlineStr">
        <is>
          <t>Portrait</t>
        </is>
      </c>
      <c r="D7" s="41" t="inlineStr">
        <is>
          <t>Google</t>
        </is>
      </c>
      <c r="E7" s="41" t="inlineStr">
        <is>
          <t>Booked</t>
        </is>
      </c>
    </row>
    <row r="8">
      <c r="B8" s="22" t="inlineStr">
        <is>
          <t>Vye</t>
        </is>
      </c>
      <c r="C8" s="24" t="inlineStr">
        <is>
          <t>Portrait</t>
        </is>
      </c>
      <c r="D8" s="24" t="inlineStr">
        <is>
          <t>Website</t>
        </is>
      </c>
      <c r="E8" s="24" t="inlineStr">
        <is>
          <t>Inquiry</t>
        </is>
      </c>
    </row>
    <row r="9">
      <c r="B9" s="40" t="inlineStr">
        <is>
          <t>Marsh Co.</t>
        </is>
      </c>
      <c r="C9" s="41" t="inlineStr">
        <is>
          <t>Branding</t>
        </is>
      </c>
      <c r="D9" s="41" t="inlineStr">
        <is>
          <t>Referral</t>
        </is>
      </c>
      <c r="E9" s="41" t="inlineStr">
        <is>
          <t>Quoted</t>
        </is>
      </c>
    </row>
    <row r="10">
      <c r="B10" s="22" t="n"/>
      <c r="C10" s="24" t="n"/>
      <c r="D10" s="24" t="n"/>
      <c r="E10" s="24" t="n"/>
    </row>
    <row r="11">
      <c r="B11" s="40" t="n"/>
      <c r="C11" s="41" t="n"/>
      <c r="D11" s="41" t="n"/>
      <c r="E11" s="41" t="n"/>
    </row>
    <row r="12">
      <c r="B12" s="22" t="n"/>
      <c r="C12" s="24" t="n"/>
      <c r="D12" s="24" t="n"/>
      <c r="E12" s="24" t="n"/>
    </row>
    <row r="13">
      <c r="B13" s="40" t="n"/>
      <c r="C13" s="41" t="n"/>
      <c r="D13" s="41" t="n"/>
      <c r="E13" s="41" t="n"/>
    </row>
    <row r="14">
      <c r="B14" s="22" t="n"/>
      <c r="C14" s="24" t="n"/>
      <c r="D14" s="24" t="n"/>
      <c r="E14" s="24" t="n"/>
    </row>
    <row r="15">
      <c r="B15" s="40" t="n"/>
      <c r="C15" s="41" t="n"/>
      <c r="D15" s="41" t="n"/>
      <c r="E15" s="41" t="n"/>
    </row>
    <row r="16">
      <c r="B16" s="22" t="n"/>
      <c r="C16" s="24" t="n"/>
      <c r="D16" s="24" t="n"/>
      <c r="E16" s="24" t="n"/>
    </row>
    <row r="17">
      <c r="B17" s="40" t="n"/>
      <c r="C17" s="41" t="n"/>
      <c r="D17" s="41" t="n"/>
      <c r="E17" s="41" t="n"/>
    </row>
    <row r="18">
      <c r="B18" s="22" t="n"/>
      <c r="C18" s="24" t="n"/>
      <c r="D18" s="24" t="n"/>
      <c r="E18" s="24" t="n"/>
    </row>
    <row r="19">
      <c r="B19" s="40" t="n"/>
      <c r="C19" s="41" t="n"/>
      <c r="D19" s="41" t="n"/>
      <c r="E19" s="41" t="n"/>
    </row>
    <row r="20">
      <c r="B20" s="22" t="n"/>
      <c r="C20" s="24" t="n"/>
      <c r="D20" s="24" t="n"/>
      <c r="E20" s="24" t="n"/>
    </row>
    <row r="21">
      <c r="B21" s="40" t="n"/>
      <c r="C21" s="41" t="n"/>
      <c r="D21" s="41" t="n"/>
      <c r="E21" s="41" t="n"/>
    </row>
    <row r="22">
      <c r="B22" s="22" t="n"/>
      <c r="C22" s="24" t="n"/>
      <c r="D22" s="24" t="n"/>
      <c r="E22" s="24" t="n"/>
    </row>
    <row r="23">
      <c r="B23" s="40" t="n"/>
      <c r="C23" s="41" t="n"/>
      <c r="D23" s="41" t="n"/>
      <c r="E23" s="41" t="n"/>
    </row>
    <row r="24">
      <c r="B24" s="22" t="n"/>
      <c r="C24" s="24" t="n"/>
      <c r="D24" s="24" t="n"/>
      <c r="E24" s="24" t="n"/>
    </row>
    <row r="25">
      <c r="B25" s="40" t="n"/>
      <c r="C25" s="41" t="n"/>
      <c r="D25" s="41" t="n"/>
      <c r="E25" s="41" t="n"/>
    </row>
    <row r="26">
      <c r="B26" s="22" t="n"/>
      <c r="C26" s="24" t="n"/>
      <c r="D26" s="24" t="n"/>
      <c r="E26" s="24" t="n"/>
    </row>
    <row r="27">
      <c r="B27" s="40" t="n"/>
      <c r="C27" s="41" t="n"/>
      <c r="D27" s="41" t="n"/>
      <c r="E27" s="41" t="n"/>
    </row>
    <row r="28">
      <c r="B28" s="22" t="n"/>
      <c r="C28" s="24" t="n"/>
      <c r="D28" s="24" t="n"/>
      <c r="E28" s="24" t="n"/>
    </row>
  </sheetData>
  <mergeCells count="2">
    <mergeCell ref="A2:E2"/>
    <mergeCell ref="A1:E1"/>
  </mergeCells>
  <dataValidations count="1">
    <dataValidation sqref="C5:C28" showDropDown="0" showInputMessage="0" showErrorMessage="0" allowBlank="1" type="list">
      <formula1>=TypeList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🖥  EDITING QUEUE</t>
        </is>
      </c>
    </row>
    <row r="2" ht="22" customHeight="1">
      <c r="A2" s="2" t="inlineStr">
        <is>
          <t xml:space="preserve">  What's in post — shoot date, image count and status, so galleries go out on time.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</t>
        </is>
      </c>
      <c r="C4" s="9" t="inlineStr">
        <is>
          <t>Shoot Date</t>
        </is>
      </c>
      <c r="D4" s="9" t="inlineStr">
        <is>
          <t>Images</t>
        </is>
      </c>
      <c r="E4" s="9" t="inlineStr">
        <is>
          <t>Status</t>
        </is>
      </c>
    </row>
    <row r="5">
      <c r="B5" s="40" t="inlineStr">
        <is>
          <t>Harper Wedding</t>
        </is>
      </c>
      <c r="C5" s="40" t="inlineStr">
        <is>
          <t>Jun 08</t>
        </is>
      </c>
      <c r="D5" s="42" t="n">
        <v>620</v>
      </c>
      <c r="E5" s="41" t="inlineStr">
        <is>
          <t>Delivered</t>
        </is>
      </c>
    </row>
    <row r="6">
      <c r="B6" s="22" t="inlineStr">
        <is>
          <t>Cho Family</t>
        </is>
      </c>
      <c r="C6" s="22" t="inlineStr">
        <is>
          <t>Jun 21</t>
        </is>
      </c>
      <c r="D6" s="43" t="n">
        <v>45</v>
      </c>
      <c r="E6" s="24" t="inlineStr">
        <is>
          <t>Editing</t>
        </is>
      </c>
    </row>
    <row r="7">
      <c r="B7" s="40" t="inlineStr">
        <is>
          <t>Lin Event</t>
        </is>
      </c>
      <c r="C7" s="40" t="inlineStr">
        <is>
          <t>Jun 28</t>
        </is>
      </c>
      <c r="D7" s="42" t="n">
        <v>180</v>
      </c>
      <c r="E7" s="41" t="inlineStr">
        <is>
          <t>Culling</t>
        </is>
      </c>
    </row>
    <row r="8">
      <c r="B8" s="22" t="inlineStr">
        <is>
          <t>TechCo Branding</t>
        </is>
      </c>
      <c r="C8" s="22" t="inlineStr">
        <is>
          <t>Jul 02</t>
        </is>
      </c>
      <c r="D8" s="43" t="n">
        <v>60</v>
      </c>
      <c r="E8" s="24" t="inlineStr">
        <is>
          <t>Review</t>
        </is>
      </c>
    </row>
    <row r="9">
      <c r="B9" s="40" t="n"/>
      <c r="C9" s="40" t="n"/>
      <c r="D9" s="42" t="n"/>
      <c r="E9" s="41" t="n"/>
    </row>
    <row r="10">
      <c r="B10" s="22" t="n"/>
      <c r="C10" s="22" t="n"/>
      <c r="D10" s="43" t="n"/>
      <c r="E10" s="24" t="n"/>
    </row>
    <row r="11">
      <c r="B11" s="40" t="n"/>
      <c r="C11" s="40" t="n"/>
      <c r="D11" s="42" t="n"/>
      <c r="E11" s="41" t="n"/>
    </row>
    <row r="12">
      <c r="B12" s="22" t="n"/>
      <c r="C12" s="22" t="n"/>
      <c r="D12" s="43" t="n"/>
      <c r="E12" s="24" t="n"/>
    </row>
    <row r="13">
      <c r="B13" s="40" t="n"/>
      <c r="C13" s="40" t="n"/>
      <c r="D13" s="42" t="n"/>
      <c r="E13" s="41" t="n"/>
    </row>
    <row r="14">
      <c r="B14" s="22" t="n"/>
      <c r="C14" s="22" t="n"/>
      <c r="D14" s="43" t="n"/>
      <c r="E14" s="24" t="n"/>
    </row>
    <row r="15">
      <c r="B15" s="40" t="n"/>
      <c r="C15" s="40" t="n"/>
      <c r="D15" s="42" t="n"/>
      <c r="E15" s="41" t="n"/>
    </row>
    <row r="16">
      <c r="B16" s="22" t="n"/>
      <c r="C16" s="22" t="n"/>
      <c r="D16" s="43" t="n"/>
      <c r="E16" s="24" t="n"/>
    </row>
    <row r="17">
      <c r="B17" s="40" t="n"/>
      <c r="C17" s="40" t="n"/>
      <c r="D17" s="42" t="n"/>
      <c r="E17" s="41" t="n"/>
    </row>
    <row r="18">
      <c r="B18" s="22" t="n"/>
      <c r="C18" s="22" t="n"/>
      <c r="D18" s="43" t="n"/>
      <c r="E18" s="24" t="n"/>
    </row>
    <row r="19">
      <c r="B19" s="40" t="n"/>
      <c r="C19" s="40" t="n"/>
      <c r="D19" s="42" t="n"/>
      <c r="E19" s="41" t="n"/>
    </row>
    <row r="20">
      <c r="B20" s="22" t="n"/>
      <c r="C20" s="22" t="n"/>
      <c r="D20" s="43" t="n"/>
      <c r="E20" s="24" t="n"/>
    </row>
    <row r="21">
      <c r="B21" s="40" t="n"/>
      <c r="C21" s="40" t="n"/>
      <c r="D21" s="42" t="n"/>
      <c r="E21" s="41" t="n"/>
    </row>
    <row r="22">
      <c r="B22" s="22" t="n"/>
      <c r="C22" s="22" t="n"/>
      <c r="D22" s="43" t="n"/>
      <c r="E22" s="24" t="n"/>
    </row>
    <row r="23">
      <c r="B23" s="40" t="n"/>
      <c r="C23" s="40" t="n"/>
      <c r="D23" s="42" t="n"/>
      <c r="E23" s="41" t="n"/>
    </row>
    <row r="24">
      <c r="B24" s="22" t="n"/>
      <c r="C24" s="22" t="n"/>
      <c r="D24" s="43" t="n"/>
      <c r="E24" s="24" t="n"/>
    </row>
    <row r="25">
      <c r="B25" s="40" t="n"/>
      <c r="C25" s="40" t="n"/>
      <c r="D25" s="42" t="n"/>
      <c r="E25" s="41" t="n"/>
    </row>
    <row r="26">
      <c r="B26" s="22" t="n"/>
      <c r="C26" s="22" t="n"/>
      <c r="D26" s="43" t="n"/>
      <c r="E26" s="24" t="n"/>
    </row>
    <row r="27">
      <c r="B27" s="40" t="n"/>
      <c r="C27" s="40" t="n"/>
      <c r="D27" s="42" t="n"/>
      <c r="E27" s="41" t="n"/>
    </row>
    <row r="28">
      <c r="B28" s="22" t="n"/>
      <c r="C28" s="22" t="n"/>
      <c r="D28" s="43" t="n"/>
      <c r="E28" s="24" t="n"/>
    </row>
  </sheetData>
  <mergeCells count="2">
    <mergeCell ref="A2:E2"/>
    <mergeCell ref="A1:E1"/>
  </mergeCells>
  <dataValidations count="1">
    <dataValidation sqref="E5:E28" showDropDown="0" showInputMessage="0" showErrorMessage="0" allowBlank="1" type="list">
      <formula1>=EditStatusList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🎒  GEAR &amp; INVENTORY</t>
        </is>
      </c>
    </row>
    <row r="2" ht="22" customHeight="1">
      <c r="A2" s="2" t="inlineStr">
        <is>
          <t xml:space="preserve">  Your kit and its value — for insurance, depreciation and knowing what to replace.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Value</t>
        </is>
      </c>
      <c r="D4" s="9" t="inlineStr">
        <is>
          <t>Insured?</t>
        </is>
      </c>
    </row>
    <row r="5">
      <c r="B5" s="19" t="inlineStr">
        <is>
          <t>Camera body ×2</t>
        </is>
      </c>
      <c r="C5" s="26" t="n">
        <v>4800</v>
      </c>
      <c r="D5" s="21" t="inlineStr">
        <is>
          <t>Yes</t>
        </is>
      </c>
    </row>
    <row r="6">
      <c r="B6" s="22" t="inlineStr">
        <is>
          <t>Lenses (4)</t>
        </is>
      </c>
      <c r="C6" s="31" t="n">
        <v>6200</v>
      </c>
      <c r="D6" s="24" t="inlineStr">
        <is>
          <t>Yes</t>
        </is>
      </c>
    </row>
    <row r="7">
      <c r="B7" s="19" t="inlineStr">
        <is>
          <t>Lighting kit</t>
        </is>
      </c>
      <c r="C7" s="26" t="n">
        <v>1400</v>
      </c>
      <c r="D7" s="21" t="inlineStr">
        <is>
          <t>Yes</t>
        </is>
      </c>
    </row>
    <row r="8">
      <c r="B8" s="22" t="inlineStr">
        <is>
          <t>Computer &amp; storage</t>
        </is>
      </c>
      <c r="C8" s="31" t="n">
        <v>2600</v>
      </c>
      <c r="D8" s="24" t="inlineStr">
        <is>
          <t>Yes</t>
        </is>
      </c>
    </row>
    <row r="9">
      <c r="B9" s="19" t="inlineStr">
        <is>
          <t>Backup drives</t>
        </is>
      </c>
      <c r="C9" s="26" t="n">
        <v>700</v>
      </c>
      <c r="D9" s="21" t="inlineStr">
        <is>
          <t>No</t>
        </is>
      </c>
    </row>
    <row r="10">
      <c r="B10" s="22" t="inlineStr">
        <is>
          <t>Props &amp; backdrops</t>
        </is>
      </c>
      <c r="C10" s="31" t="n">
        <v>900</v>
      </c>
      <c r="D10" s="24" t="inlineStr">
        <is>
          <t>No</t>
        </is>
      </c>
    </row>
    <row r="11">
      <c r="B11" s="9" t="inlineStr">
        <is>
          <t>TOTAL KIT VALUE</t>
        </is>
      </c>
      <c r="C11" s="39">
        <f>SUM(GearVal)</f>
        <v/>
      </c>
      <c r="D11" s="38" t="n"/>
    </row>
  </sheetData>
  <mergeCells count="2">
    <mergeCell ref="A1:D1"/>
    <mergeCell ref="A2:D2"/>
  </mergeCells>
  <dataValidations count="6">
    <dataValidation sqref="D5" showDropDown="0" showInputMessage="0" showErrorMessage="0" allowBlank="1" type="list">
      <formula1>=YesNoList</formula1>
    </dataValidation>
    <dataValidation sqref="D6" showDropDown="0" showInputMessage="0" showErrorMessage="0" allowBlank="1" type="list">
      <formula1>=YesNoList</formula1>
    </dataValidation>
    <dataValidation sqref="D7" showDropDown="0" showInputMessage="0" showErrorMessage="0" allowBlank="1" type="list">
      <formula1>=YesNoList</formula1>
    </dataValidation>
    <dataValidation sqref="D8" showDropDown="0" showInputMessage="0" showErrorMessage="0" allowBlank="1" type="list">
      <formula1>=YesNoList</formula1>
    </dataValidation>
    <dataValidation sqref="D9" showDropDown="0" showInputMessage="0" showErrorMessage="0" allowBlank="1" type="list">
      <formula1>=YesNoList</formula1>
    </dataValidation>
    <dataValidation sqref="D1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💰  EXPENSES</t>
        </is>
      </c>
    </row>
    <row r="2" ht="22" customHeight="1">
      <c r="A2" s="2" t="inlineStr">
        <is>
          <t xml:space="preserve">  Your business costs (YTD) — netted against revenue to show your real profit.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Expense</t>
        </is>
      </c>
      <c r="C4" s="9" t="inlineStr">
        <is>
          <t>Amount</t>
        </is>
      </c>
    </row>
    <row r="5">
      <c r="B5" s="19" t="inlineStr">
        <is>
          <t>Gear &amp; lenses</t>
        </is>
      </c>
      <c r="C5" s="26" t="n">
        <v>5000</v>
      </c>
    </row>
    <row r="6">
      <c r="B6" s="22" t="inlineStr">
        <is>
          <t>Editing software</t>
        </is>
      </c>
      <c r="C6" s="31" t="n">
        <v>900</v>
      </c>
    </row>
    <row r="7">
      <c r="B7" s="19" t="inlineStr">
        <is>
          <t>Insurance</t>
        </is>
      </c>
      <c r="C7" s="26" t="n">
        <v>1200</v>
      </c>
    </row>
    <row r="8">
      <c r="B8" s="22" t="inlineStr">
        <is>
          <t>Studio rent</t>
        </is>
      </c>
      <c r="C8" s="31" t="n">
        <v>6000</v>
      </c>
    </row>
    <row r="9">
      <c r="B9" s="19" t="inlineStr">
        <is>
          <t>Marketing &amp; website</t>
        </is>
      </c>
      <c r="C9" s="26" t="n">
        <v>2400</v>
      </c>
    </row>
    <row r="10">
      <c r="B10" s="22" t="inlineStr">
        <is>
          <t>Second shooters</t>
        </is>
      </c>
      <c r="C10" s="31" t="n">
        <v>3600</v>
      </c>
    </row>
    <row r="11">
      <c r="B11" s="19" t="inlineStr">
        <is>
          <t>Albums &amp; prints</t>
        </is>
      </c>
      <c r="C11" s="26" t="n">
        <v>2500</v>
      </c>
    </row>
    <row r="12">
      <c r="B12" s="22" t="inlineStr">
        <is>
          <t>Education</t>
        </is>
      </c>
      <c r="C12" s="31" t="n">
        <v>2400</v>
      </c>
    </row>
    <row r="13">
      <c r="B13" s="9" t="inlineStr">
        <is>
          <t>TOTAL EXPENSES (YTD)</t>
        </is>
      </c>
      <c r="C13" s="32">
        <f>SUM(ExpAmt)</f>
        <v/>
      </c>
    </row>
    <row r="15">
      <c r="B15" s="9">
        <f> NET PROFIT (revenue − expenses)</f>
        <v/>
      </c>
      <c r="C15" s="29">
        <f>RevenueYTD-ExpTotal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4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🚗  MILEAGE &amp; TRAVEL</t>
        </is>
      </c>
    </row>
    <row r="2" ht="22" customHeight="1">
      <c r="A2" s="2" t="inlineStr">
        <is>
          <t xml:space="preserve">  Every drive to a shoot — miles and cost, deductible at tax time.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Shoot</t>
        </is>
      </c>
      <c r="D4" s="9" t="inlineStr">
        <is>
          <t>Miles</t>
        </is>
      </c>
      <c r="E4" s="9" t="inlineStr">
        <is>
          <t>Cost</t>
        </is>
      </c>
    </row>
    <row r="5">
      <c r="B5" s="40" t="inlineStr">
        <is>
          <t>Jun 08</t>
        </is>
      </c>
      <c r="C5" s="40" t="inlineStr">
        <is>
          <t>Harper Wedding</t>
        </is>
      </c>
      <c r="D5" s="42" t="n">
        <v>48</v>
      </c>
      <c r="E5" s="44" t="n">
        <v>32.16</v>
      </c>
    </row>
    <row r="6">
      <c r="B6" s="22" t="inlineStr">
        <is>
          <t>Jun 21</t>
        </is>
      </c>
      <c r="C6" s="22" t="inlineStr">
        <is>
          <t>Cho Family</t>
        </is>
      </c>
      <c r="D6" s="43" t="n">
        <v>16</v>
      </c>
      <c r="E6" s="45" t="n">
        <v>10.72</v>
      </c>
    </row>
    <row r="7">
      <c r="B7" s="40" t="inlineStr">
        <is>
          <t>Jun 28</t>
        </is>
      </c>
      <c r="C7" s="40" t="inlineStr">
        <is>
          <t>Lin Event</t>
        </is>
      </c>
      <c r="D7" s="42" t="n">
        <v>34</v>
      </c>
      <c r="E7" s="44" t="n">
        <v>22.78</v>
      </c>
    </row>
    <row r="8">
      <c r="B8" s="22" t="inlineStr">
        <is>
          <t>Jul 02</t>
        </is>
      </c>
      <c r="C8" s="22" t="inlineStr">
        <is>
          <t>TechCo Branding</t>
        </is>
      </c>
      <c r="D8" s="43" t="n">
        <v>22</v>
      </c>
      <c r="E8" s="45" t="n">
        <v>14.74</v>
      </c>
    </row>
    <row r="9">
      <c r="B9" s="40" t="n"/>
      <c r="C9" s="40" t="n"/>
      <c r="D9" s="42" t="n"/>
      <c r="E9" s="44" t="n"/>
    </row>
    <row r="10">
      <c r="B10" s="22" t="n"/>
      <c r="C10" s="22" t="n"/>
      <c r="D10" s="43" t="n"/>
      <c r="E10" s="45" t="n"/>
    </row>
    <row r="11">
      <c r="B11" s="40" t="n"/>
      <c r="C11" s="40" t="n"/>
      <c r="D11" s="42" t="n"/>
      <c r="E11" s="44" t="n"/>
    </row>
    <row r="12">
      <c r="B12" s="22" t="n"/>
      <c r="C12" s="22" t="n"/>
      <c r="D12" s="43" t="n"/>
      <c r="E12" s="45" t="n"/>
    </row>
    <row r="13">
      <c r="B13" s="40" t="n"/>
      <c r="C13" s="40" t="n"/>
      <c r="D13" s="42" t="n"/>
      <c r="E13" s="44" t="n"/>
    </row>
    <row r="14">
      <c r="B14" s="22" t="n"/>
      <c r="C14" s="22" t="n"/>
      <c r="D14" s="43" t="n"/>
      <c r="E14" s="45" t="n"/>
    </row>
    <row r="15">
      <c r="B15" s="40" t="n"/>
      <c r="C15" s="40" t="n"/>
      <c r="D15" s="42" t="n"/>
      <c r="E15" s="44" t="n"/>
    </row>
    <row r="16">
      <c r="B16" s="22" t="n"/>
      <c r="C16" s="22" t="n"/>
      <c r="D16" s="43" t="n"/>
      <c r="E16" s="45" t="n"/>
    </row>
    <row r="17">
      <c r="B17" s="40" t="n"/>
      <c r="C17" s="40" t="n"/>
      <c r="D17" s="42" t="n"/>
      <c r="E17" s="44" t="n"/>
    </row>
    <row r="18">
      <c r="B18" s="22" t="n"/>
      <c r="C18" s="22" t="n"/>
      <c r="D18" s="43" t="n"/>
      <c r="E18" s="45" t="n"/>
    </row>
    <row r="19">
      <c r="B19" s="40" t="n"/>
      <c r="C19" s="40" t="n"/>
      <c r="D19" s="42" t="n"/>
      <c r="E19" s="44" t="n"/>
    </row>
    <row r="20">
      <c r="B20" s="22" t="n"/>
      <c r="C20" s="22" t="n"/>
      <c r="D20" s="43" t="n"/>
      <c r="E20" s="45" t="n"/>
    </row>
    <row r="21">
      <c r="B21" s="40" t="n"/>
      <c r="C21" s="40" t="n"/>
      <c r="D21" s="42" t="n"/>
      <c r="E21" s="44" t="n"/>
    </row>
    <row r="22">
      <c r="B22" s="22" t="n"/>
      <c r="C22" s="22" t="n"/>
      <c r="D22" s="43" t="n"/>
      <c r="E22" s="45" t="n"/>
    </row>
    <row r="23">
      <c r="B23" s="40" t="n"/>
      <c r="C23" s="40" t="n"/>
      <c r="D23" s="42" t="n"/>
      <c r="E23" s="44" t="n"/>
    </row>
    <row r="24">
      <c r="B24" s="22" t="n"/>
      <c r="C24" s="22" t="n"/>
      <c r="D24" s="43" t="n"/>
      <c r="E24" s="45" t="n"/>
    </row>
    <row r="25">
      <c r="B25" s="40" t="n"/>
      <c r="C25" s="40" t="n"/>
      <c r="D25" s="42" t="n"/>
      <c r="E25" s="44" t="n"/>
    </row>
    <row r="26">
      <c r="B26" s="22" t="n"/>
      <c r="C26" s="22" t="n"/>
      <c r="D26" s="43" t="n"/>
      <c r="E26" s="45" t="n"/>
    </row>
    <row r="27">
      <c r="B27" s="40" t="n"/>
      <c r="C27" s="40" t="n"/>
      <c r="D27" s="42" t="n"/>
      <c r="E27" s="44" t="n"/>
    </row>
    <row r="28">
      <c r="B28" s="22" t="n"/>
      <c r="C28" s="22" t="n"/>
      <c r="D28" s="43" t="n"/>
      <c r="E28" s="45" t="n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8" customWidth="1" min="4" max="4"/>
    <col width="2" customWidth="1" min="5" max="5"/>
  </cols>
  <sheetData>
    <row r="1" ht="46" customHeight="1">
      <c r="A1" s="1" t="inlineStr">
        <is>
          <t xml:space="preserve">  ⭐  REVIEWS &amp; REFERRALS</t>
        </is>
      </c>
    </row>
    <row r="2" ht="22" customHeight="1">
      <c r="A2" s="2" t="inlineStr">
        <is>
          <t xml:space="preserve">  Every review and where it came from — referrals book the calendar for free.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Client</t>
        </is>
      </c>
      <c r="C4" s="9" t="inlineStr">
        <is>
          <t>Rating</t>
        </is>
      </c>
      <c r="D4" s="9" t="inlineStr">
        <is>
          <t>Source</t>
        </is>
      </c>
    </row>
    <row r="5">
      <c r="B5" s="40" t="inlineStr">
        <is>
          <t>Harper</t>
        </is>
      </c>
      <c r="C5" s="46" t="n">
        <v>5</v>
      </c>
      <c r="D5" s="40" t="inlineStr">
        <is>
          <t>Google</t>
        </is>
      </c>
    </row>
    <row r="6">
      <c r="B6" s="22" t="inlineStr">
        <is>
          <t>Cho</t>
        </is>
      </c>
      <c r="C6" s="47" t="n">
        <v>5</v>
      </c>
      <c r="D6" s="22" t="inlineStr">
        <is>
          <t>Instagram</t>
        </is>
      </c>
    </row>
    <row r="7">
      <c r="B7" s="40" t="inlineStr">
        <is>
          <t>Lin</t>
        </is>
      </c>
      <c r="C7" s="46" t="n">
        <v>4</v>
      </c>
      <c r="D7" s="40" t="inlineStr">
        <is>
          <t>Referral</t>
        </is>
      </c>
    </row>
    <row r="8">
      <c r="B8" s="22" t="inlineStr">
        <is>
          <t>Marsh Co.</t>
        </is>
      </c>
      <c r="C8" s="47" t="n">
        <v>5</v>
      </c>
      <c r="D8" s="22" t="inlineStr">
        <is>
          <t>Website</t>
        </is>
      </c>
    </row>
    <row r="9">
      <c r="B9" s="40" t="inlineStr">
        <is>
          <t>Rivera</t>
        </is>
      </c>
      <c r="C9" s="46" t="n">
        <v>5</v>
      </c>
      <c r="D9" s="40" t="inlineStr">
        <is>
          <t>Referral</t>
        </is>
      </c>
    </row>
    <row r="10">
      <c r="B10" s="22" t="n"/>
      <c r="C10" s="47" t="n"/>
      <c r="D10" s="22" t="n"/>
    </row>
    <row r="11">
      <c r="B11" s="40" t="n"/>
      <c r="C11" s="46" t="n"/>
      <c r="D11" s="40" t="n"/>
    </row>
    <row r="12">
      <c r="B12" s="22" t="n"/>
      <c r="C12" s="47" t="n"/>
      <c r="D12" s="22" t="n"/>
    </row>
    <row r="13">
      <c r="B13" s="40" t="n"/>
      <c r="C13" s="46" t="n"/>
      <c r="D13" s="40" t="n"/>
    </row>
    <row r="14">
      <c r="B14" s="22" t="n"/>
      <c r="C14" s="47" t="n"/>
      <c r="D14" s="22" t="n"/>
    </row>
    <row r="15">
      <c r="B15" s="40" t="n"/>
      <c r="C15" s="46" t="n"/>
      <c r="D15" s="40" t="n"/>
    </row>
    <row r="16">
      <c r="B16" s="22" t="n"/>
      <c r="C16" s="47" t="n"/>
      <c r="D16" s="22" t="n"/>
    </row>
    <row r="17">
      <c r="B17" s="40" t="n"/>
      <c r="C17" s="46" t="n"/>
      <c r="D17" s="40" t="n"/>
    </row>
    <row r="18">
      <c r="B18" s="22" t="n"/>
      <c r="C18" s="47" t="n"/>
      <c r="D18" s="22" t="n"/>
    </row>
    <row r="19">
      <c r="B19" s="40" t="n"/>
      <c r="C19" s="46" t="n"/>
      <c r="D19" s="40" t="n"/>
    </row>
    <row r="20">
      <c r="B20" s="22" t="n"/>
      <c r="C20" s="47" t="n"/>
      <c r="D20" s="22" t="n"/>
    </row>
    <row r="21">
      <c r="B21" s="40" t="n"/>
      <c r="C21" s="46" t="n"/>
      <c r="D21" s="40" t="n"/>
    </row>
    <row r="22">
      <c r="B22" s="22" t="n"/>
      <c r="C22" s="47" t="n"/>
      <c r="D22" s="22" t="n"/>
    </row>
    <row r="23">
      <c r="B23" s="40" t="n"/>
      <c r="C23" s="46" t="n"/>
      <c r="D23" s="40" t="n"/>
    </row>
    <row r="24">
      <c r="B24" s="22" t="n"/>
      <c r="C24" s="47" t="n"/>
      <c r="D24" s="22" t="n"/>
    </row>
    <row r="25">
      <c r="B25" s="40" t="n"/>
      <c r="C25" s="46" t="n"/>
      <c r="D25" s="40" t="n"/>
    </row>
    <row r="26">
      <c r="B26" s="22" t="n"/>
      <c r="C26" s="47" t="n"/>
      <c r="D26" s="22" t="n"/>
    </row>
    <row r="27">
      <c r="B27" s="40" t="n"/>
      <c r="C27" s="46" t="n"/>
      <c r="D27" s="40" t="n"/>
    </row>
    <row r="28">
      <c r="B28" s="22" t="n"/>
      <c r="C28" s="47" t="n"/>
      <c r="D28" s="22" t="n"/>
    </row>
    <row r="29">
      <c r="B29" s="9" t="inlineStr">
        <is>
          <t>AVG RATING</t>
        </is>
      </c>
      <c r="C29" s="48">
        <f>IFERROR(AVERAGE(RevRating),0)</f>
        <v/>
      </c>
      <c r="D29" s="38" t="n"/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2" customWidth="1" min="5" max="5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Revenue &amp; bookings by month — watch the year build toward your goal.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Month</t>
        </is>
      </c>
      <c r="C4" s="9" t="inlineStr">
        <is>
          <t>Revenue</t>
        </is>
      </c>
      <c r="D4" s="9" t="inlineStr">
        <is>
          <t>Bookings</t>
        </is>
      </c>
    </row>
    <row r="5">
      <c r="B5" s="19" t="inlineStr">
        <is>
          <t>Jan</t>
        </is>
      </c>
      <c r="C5" s="26" t="n">
        <v>5000</v>
      </c>
      <c r="D5" s="28" t="n">
        <v>4</v>
      </c>
    </row>
    <row r="6">
      <c r="B6" s="22" t="inlineStr">
        <is>
          <t>Feb</t>
        </is>
      </c>
      <c r="C6" s="31" t="n">
        <v>6000</v>
      </c>
      <c r="D6" s="36" t="n">
        <v>5</v>
      </c>
    </row>
    <row r="7">
      <c r="B7" s="19" t="inlineStr">
        <is>
          <t>Mar</t>
        </is>
      </c>
      <c r="C7" s="26" t="n">
        <v>8000</v>
      </c>
      <c r="D7" s="28" t="n">
        <v>5</v>
      </c>
    </row>
    <row r="8">
      <c r="B8" s="22" t="inlineStr">
        <is>
          <t>Apr</t>
        </is>
      </c>
      <c r="C8" s="31" t="n">
        <v>7000</v>
      </c>
      <c r="D8" s="36" t="n">
        <v>5</v>
      </c>
    </row>
    <row r="9">
      <c r="B9" s="19" t="inlineStr">
        <is>
          <t>May</t>
        </is>
      </c>
      <c r="C9" s="26" t="n">
        <v>9000</v>
      </c>
      <c r="D9" s="28" t="n">
        <v>6</v>
      </c>
    </row>
    <row r="10">
      <c r="B10" s="22" t="inlineStr">
        <is>
          <t>Jun</t>
        </is>
      </c>
      <c r="C10" s="31" t="n">
        <v>10000</v>
      </c>
      <c r="D10" s="36" t="n">
        <v>5</v>
      </c>
    </row>
    <row r="11">
      <c r="B11" s="9" t="inlineStr">
        <is>
          <t>YTD</t>
        </is>
      </c>
      <c r="C11" s="39">
        <f>SUM(MonthRev)</f>
        <v/>
      </c>
      <c r="D11" s="49">
        <f>SUM(MonthBook)</f>
        <v/>
      </c>
    </row>
    <row r="13">
      <c r="B13" s="25" t="inlineStr">
        <is>
          <t>Average booking value</t>
        </is>
      </c>
      <c r="C13" s="50">
        <f>IFERROR(RevenueYTD/BookingsYTD,0)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5" t="inlineStr">
        <is>
          <t>Studio name</t>
        </is>
      </c>
      <c r="C6" s="51" t="inlineStr">
        <is>
          <t>Amberlight Photo</t>
        </is>
      </c>
      <c r="E6" s="9" t="inlineStr">
        <is>
          <t>Shoot type</t>
        </is>
      </c>
      <c r="F6" s="9" t="inlineStr">
        <is>
          <t>Booking status</t>
        </is>
      </c>
      <c r="G6" s="9" t="inlineStr">
        <is>
          <t>Edit status</t>
        </is>
      </c>
      <c r="H6" s="9" t="inlineStr">
        <is>
          <t>Yes / No</t>
        </is>
      </c>
    </row>
    <row r="7">
      <c r="B7" s="25" t="inlineStr">
        <is>
          <t>Owner</t>
        </is>
      </c>
      <c r="C7" s="51" t="inlineStr">
        <is>
          <t>Robin</t>
        </is>
      </c>
      <c r="E7" s="19" t="inlineStr">
        <is>
          <t>Wedding</t>
        </is>
      </c>
      <c r="F7" s="19" t="inlineStr">
        <is>
          <t>Inquiry</t>
        </is>
      </c>
      <c r="G7" s="19" t="inlineStr">
        <is>
          <t>Culling</t>
        </is>
      </c>
      <c r="H7" s="19" t="inlineStr">
        <is>
          <t>Yes</t>
        </is>
      </c>
    </row>
    <row r="8">
      <c r="B8" s="25" t="inlineStr">
        <is>
          <t>Shoot-margin goal %</t>
        </is>
      </c>
      <c r="C8" s="52" t="n">
        <v>0.6</v>
      </c>
      <c r="E8" s="19" t="inlineStr">
        <is>
          <t>Portrait</t>
        </is>
      </c>
      <c r="F8" s="19" t="inlineStr">
        <is>
          <t>Scheduled</t>
        </is>
      </c>
      <c r="G8" s="19" t="inlineStr">
        <is>
          <t>Editing</t>
        </is>
      </c>
      <c r="H8" s="19" t="inlineStr">
        <is>
          <t>No</t>
        </is>
      </c>
    </row>
    <row r="9">
      <c r="B9" s="25" t="inlineStr">
        <is>
          <t>Effective-rate goal ($/hr)</t>
        </is>
      </c>
      <c r="C9" s="26" t="n">
        <v>75</v>
      </c>
      <c r="E9" s="19" t="inlineStr">
        <is>
          <t>Event</t>
        </is>
      </c>
      <c r="F9" s="19" t="inlineStr">
        <is>
          <t>Completed</t>
        </is>
      </c>
      <c r="G9" s="19" t="inlineStr">
        <is>
          <t>Review</t>
        </is>
      </c>
    </row>
    <row r="10">
      <c r="B10" s="25" t="inlineStr">
        <is>
          <t>Bookings pace goal (YTD)</t>
        </is>
      </c>
      <c r="C10" s="28" t="n">
        <v>24</v>
      </c>
      <c r="E10" s="19" t="inlineStr">
        <is>
          <t>Branding</t>
        </is>
      </c>
      <c r="F10" s="19" t="inlineStr">
        <is>
          <t>Delivered</t>
        </is>
      </c>
      <c r="G10" s="19" t="inlineStr">
        <is>
          <t>Delivered</t>
        </is>
      </c>
    </row>
    <row r="11">
      <c r="B11" s="25" t="inlineStr">
        <is>
          <t>Net profit goal (YTD)</t>
        </is>
      </c>
      <c r="C11" s="26" t="n">
        <v>15000</v>
      </c>
      <c r="E11" s="19" t="inlineStr">
        <is>
          <t>Mini</t>
        </is>
      </c>
      <c r="F11" s="19" t="inlineStr">
        <is>
          <t>Cancelled</t>
        </is>
      </c>
    </row>
    <row r="12">
      <c r="B12" s="25" t="inlineStr">
        <is>
          <t>Booked-ahead goal ($)</t>
        </is>
      </c>
      <c r="C12" s="26" t="n">
        <v>24000</v>
      </c>
      <c r="E12" s="19" t="inlineStr">
        <is>
          <t>Product</t>
        </is>
      </c>
    </row>
    <row r="13">
      <c r="B13" s="25" t="inlineStr">
        <is>
          <t>Currency</t>
        </is>
      </c>
      <c r="C13" s="51" t="inlineStr">
        <is>
          <t>USD ($)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2026-07-23T23:23:02Z</dcterms:created>
  <dcterms:modified xsi:type="dcterms:W3CDTF">2026-07-23T23:23:02Z</dcterms:modified>
</cp:coreProperties>
</file>