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2.xml" ContentType="application/vnd.openxmlformats-officedocument.drawing+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Cost Per Meal" sheetId="3" state="visible" r:id="rId3"/>
    <sheet name="Weekly Plan" sheetId="4" state="visible" r:id="rId4"/>
    <sheet name="Recipes" sheetId="5" state="visible" r:id="rId5"/>
    <sheet name="Price Book" sheetId="6" state="visible" r:id="rId6"/>
    <sheet name="Grocery List" sheetId="7" state="visible" r:id="rId7"/>
    <sheet name="Pantry" sheetId="8" state="visible" r:id="rId8"/>
    <sheet name="Budget" sheetId="9" state="visible" r:id="rId9"/>
    <sheet name="Eating Out" sheetId="10" state="visible" r:id="rId10"/>
    <sheet name="Savings" sheetId="11" state="visible" r:id="rId11"/>
    <sheet name="Meal Ideas" sheetId="12" state="visible" r:id="rId12"/>
    <sheet name="Monthly Summary" sheetId="13" state="visible" r:id="rId13"/>
    <sheet name="Settings" sheetId="14" state="visible" r:id="rId14"/>
  </sheets>
  <definedNames>
    <definedName name="Household">Settings!$C$6</definedName>
    <definedName name="Cook">Settings!$C$7</definedName>
    <definedName name="GroceryBudget">Settings!$C$8</definedName>
    <definedName name="SaveGoal">Settings!$C$9</definedName>
    <definedName name="ServingGoal">Settings!$C$10</definedName>
    <definedName name="PriceGoal">Settings!$C$11</definedName>
    <definedName name="EatOutGoal">Settings!$C$12</definedName>
    <definedName name="EatOutServing">Settings!$C$13</definedName>
    <definedName name="CategoryList">Settings!$E$7:$E$11</definedName>
    <definedName name="StoreList">Settings!$F$7:$F$11</definedName>
    <definedName name="MealTypeList">Settings!$G$7:$G$11</definedName>
    <definedName name="YesNoList">Settings!$H$7:$H$8</definedName>
    <definedName name="IngRows">'Cost Per Meal'!$C$7:$C$10</definedName>
    <definedName name="RecipeCost">'Cost Per Meal'!$C$11</definedName>
    <definedName name="Servings">'Cost Per Meal'!$C$12</definedName>
    <definedName name="CostPerServing">'Cost Per Meal'!$C$13</definedName>
    <definedName name="SavedServing">'Cost Per Meal'!$C$16</definedName>
    <definedName name="PlanDay">'Weekly Plan'!$B$5:$B$11</definedName>
    <definedName name="PlanCost">'Weekly Plan'!$D$5:$D$11</definedName>
    <definedName name="WeeklyPlanCost">'Weekly Plan'!$D$12</definedName>
    <definedName name="PlannedDinners">'Weekly Plan'!$C$12</definedName>
    <definedName name="PriceItem">'Price Book'!$B$5:$B$16</definedName>
    <definedName name="PricedItems">'Price Book'!$E$18</definedName>
    <definedName name="GrocCost">'Grocery List'!$D$5:$D$34</definedName>
    <definedName name="WeekSpend">'Budget'!$C$8:$C$11</definedName>
    <definedName name="SpentMonth">'Budget'!$C$12</definedName>
    <definedName name="EatOutMeals">'Eating Out'!$C$5</definedName>
    <definedName name="EatOutCost">'Eating Out'!$D$8:$D$11</definedName>
    <definedName name="ServingsCooked">'Savings'!$C$5</definedName>
    <definedName name="MonthlySavings">'Savings'!$C$9</definedName>
    <definedName name="SaveTrend">'Monthly Summary'!$C$7:$C$12</definedName>
    <definedName name="HealthRange">'Dashboard'!$C$13:$C$18</definedName>
  </definedNames>
  <calcPr calcId="124519" fullCalcOnLoad="1"/>
</workbook>
</file>

<file path=xl/styles.xml><?xml version="1.0" encoding="utf-8"?>
<styleSheet xmlns="http://schemas.openxmlformats.org/spreadsheetml/2006/main">
  <numFmts count="2">
    <numFmt numFmtId="164" formatCode="&quot;$&quot;#,##0"/>
    <numFmt numFmtId="165" formatCode="&quot;$&quot;#,##0.00"/>
  </numFmts>
  <fonts count="16">
    <font>
      <name val="Calibri"/>
      <family val="2"/>
      <color theme="1"/>
      <sz val="11"/>
      <scheme val="minor"/>
    </font>
    <font>
      <name val="Calibri"/>
      <b val="1"/>
      <color rgb="00FFFFFF"/>
      <sz val="24"/>
    </font>
    <font>
      <name val="Calibri"/>
      <i val="1"/>
      <color rgb="00E5D3BA"/>
      <sz val="11"/>
    </font>
    <font>
      <name val="Calibri"/>
      <b val="1"/>
      <color rgb="001B4F48"/>
      <sz val="12"/>
    </font>
    <font>
      <name val="Calibri"/>
      <b val="1"/>
      <color rgb="00937356"/>
      <sz val="12"/>
    </font>
    <font>
      <name val="Calibri"/>
      <b val="1"/>
      <color rgb="00FFFFFF"/>
      <sz val="11"/>
    </font>
    <font>
      <name val="Calibri"/>
      <color rgb="00333333"/>
      <sz val="11"/>
    </font>
    <font>
      <name val="Calibri"/>
      <b val="1"/>
      <color rgb="001B4F48"/>
      <sz val="11"/>
    </font>
    <font>
      <name val="Calibri"/>
      <b val="1"/>
      <color rgb="00937356"/>
      <sz val="10"/>
    </font>
    <font>
      <color rgb="00333333"/>
      <sz val="11"/>
    </font>
    <font>
      <b val="1"/>
      <color rgb="001B4F48"/>
    </font>
    <font>
      <b val="1"/>
      <color rgb="001B4F48"/>
      <sz val="13"/>
    </font>
    <font>
      <b val="1"/>
      <color rgb="00C94C4C"/>
    </font>
    <font>
      <b val="1"/>
      <color rgb="001B4F48"/>
      <sz val="14"/>
    </font>
    <font>
      <b val="1"/>
      <color rgb="00937356"/>
      <sz val="9"/>
    </font>
    <font>
      <b val="1"/>
      <color rgb="001B4F48"/>
      <sz val="18"/>
    </font>
  </fonts>
  <fills count="10">
    <fill>
      <patternFill/>
    </fill>
    <fill>
      <patternFill patternType="gray125"/>
    </fill>
    <fill>
      <patternFill patternType="solid">
        <fgColor rgb="001B4F48"/>
      </patternFill>
    </fill>
    <fill>
      <patternFill patternType="solid">
        <fgColor rgb="00E5D3BA"/>
      </patternFill>
    </fill>
    <fill>
      <patternFill patternType="solid">
        <fgColor rgb="00FAF7F1"/>
      </patternFill>
    </fill>
    <fill>
      <patternFill patternType="solid">
        <fgColor rgb="00C9A86A"/>
      </patternFill>
    </fill>
    <fill>
      <patternFill patternType="solid">
        <fgColor rgb="00E3F8EF"/>
      </patternFill>
    </fill>
    <fill>
      <patternFill patternType="solid">
        <fgColor rgb="00FBF0E2"/>
      </patternFill>
    </fill>
    <fill>
      <patternFill patternType="solid">
        <fgColor rgb="00F4ECDE"/>
      </patternFill>
    </fill>
    <fill>
      <patternFill patternType="solid">
        <fgColor rgb="00FFFFFF"/>
      </patternFill>
    </fill>
  </fills>
  <borders count="4">
    <border>
      <left/>
      <right/>
      <top/>
      <bottom/>
      <diagonal/>
    </border>
    <border/>
    <border>
      <left style="thin">
        <color rgb="00D6D2C8"/>
      </left>
      <right style="thin">
        <color rgb="00D6D2C8"/>
      </right>
      <top style="thin">
        <color rgb="00D6D2C8"/>
      </top>
      <bottom style="thin">
        <color rgb="00D6D2C8"/>
      </bottom>
    </border>
    <border>
      <left style="thin">
        <color rgb="00D6D2C8"/>
      </left>
      <right style="thin">
        <color rgb="00D6D2C8"/>
      </right>
      <top style="medium">
        <color rgb="00C9A86A"/>
      </top>
      <bottom style="thin">
        <color rgb="00D6D2C8"/>
      </bottom>
    </border>
  </borders>
  <cellStyleXfs count="12">
    <xf numFmtId="0" fontId="0" fillId="0" borderId="0"/>
    <xf numFmtId="0" fontId="1" fillId="2" borderId="1" applyAlignment="1">
      <alignment horizontal="left" vertical="center" indent="2"/>
    </xf>
    <xf numFmtId="0" fontId="2" fillId="2" borderId="1" applyAlignment="1">
      <alignment horizontal="left" vertical="center" indent="2"/>
    </xf>
    <xf numFmtId="0" fontId="3" fillId="0" borderId="1" applyAlignment="1">
      <alignment horizontal="left" vertical="center"/>
    </xf>
    <xf numFmtId="0" fontId="4" fillId="0" borderId="1" applyAlignment="1">
      <alignment horizontal="left" vertical="center"/>
    </xf>
    <xf numFmtId="0" fontId="5" fillId="2" borderId="2" applyAlignment="1">
      <alignment horizontal="center" vertical="center" wrapText="1"/>
    </xf>
    <xf numFmtId="0" fontId="6" fillId="0" borderId="2" applyAlignment="1">
      <alignment horizontal="center" vertical="center" wrapText="1"/>
    </xf>
    <xf numFmtId="0" fontId="6" fillId="0" borderId="2" applyAlignment="1">
      <alignment horizontal="left" vertical="center" wrapText="1" indent="1"/>
    </xf>
    <xf numFmtId="0" fontId="7" fillId="3" borderId="2" applyAlignment="1">
      <alignment horizontal="center" vertical="center"/>
    </xf>
    <xf numFmtId="0" fontId="8" fillId="4" borderId="2" applyAlignment="1">
      <alignment horizontal="left" vertical="center" indent="1"/>
    </xf>
    <xf numFmtId="0" fontId="7" fillId="0" borderId="2" applyAlignment="1">
      <alignment horizontal="left" vertical="center" indent="1"/>
    </xf>
    <xf numFmtId="0" fontId="6" fillId="0" borderId="1" applyAlignment="1">
      <alignment horizontal="left" vertical="top" wrapText="1" indent="1"/>
    </xf>
  </cellStyleXfs>
  <cellXfs count="52">
    <xf numFmtId="0" fontId="0" fillId="0" borderId="0" pivotButton="0" quotePrefix="0" xfId="0"/>
    <xf numFmtId="0" fontId="1" fillId="2" borderId="1" applyAlignment="1" pivotButton="0" quotePrefix="0" xfId="1">
      <alignment horizontal="left" vertical="center" indent="2"/>
    </xf>
    <xf numFmtId="0" fontId="2" fillId="2" borderId="1" applyAlignment="1" pivotButton="0" quotePrefix="0" xfId="2">
      <alignment horizontal="left" vertical="center" indent="2"/>
    </xf>
    <xf numFmtId="0" fontId="0" fillId="5" borderId="0" pivotButton="0" quotePrefix="0" xfId="0"/>
    <xf numFmtId="0" fontId="4" fillId="0" borderId="1" applyAlignment="1" pivotButton="0" quotePrefix="0" xfId="4">
      <alignment horizontal="left" vertical="center"/>
    </xf>
    <xf numFmtId="0" fontId="6" fillId="6" borderId="2" applyAlignment="1" pivotButton="0" quotePrefix="0" xfId="11">
      <alignment horizontal="left" vertical="top" wrapText="1" indent="1"/>
    </xf>
    <xf numFmtId="0" fontId="0" fillId="6" borderId="0" pivotButton="0" quotePrefix="0" xfId="0"/>
    <xf numFmtId="0" fontId="3" fillId="0" borderId="1" applyAlignment="1" pivotButton="0" quotePrefix="0" xfId="3">
      <alignment horizontal="left" vertical="center"/>
    </xf>
    <xf numFmtId="0" fontId="6" fillId="0" borderId="1" applyAlignment="1" pivotButton="0" quotePrefix="0" xfId="11">
      <alignment horizontal="left" vertical="top" wrapText="1" indent="1"/>
    </xf>
    <xf numFmtId="0" fontId="5" fillId="2" borderId="2" applyAlignment="1" pivotButton="0" quotePrefix="0" xfId="5">
      <alignment horizontal="center" vertical="center" wrapText="1"/>
    </xf>
    <xf numFmtId="0" fontId="9" fillId="7" borderId="2" applyAlignment="1" pivotButton="0" quotePrefix="0" xfId="0">
      <alignment horizontal="left" vertical="top" wrapText="1" indent="1"/>
    </xf>
    <xf numFmtId="0" fontId="0" fillId="7" borderId="0" pivotButton="0" quotePrefix="0" xfId="0"/>
    <xf numFmtId="0" fontId="14" fillId="9" borderId="3" applyAlignment="1" pivotButton="0" quotePrefix="0" xfId="0">
      <alignment horizontal="center" vertical="center"/>
    </xf>
    <xf numFmtId="0" fontId="0" fillId="9" borderId="3" pivotButton="0" quotePrefix="0" xfId="0"/>
    <xf numFmtId="165" fontId="15" fillId="9" borderId="2" applyAlignment="1" pivotButton="0" quotePrefix="0" xfId="0">
      <alignment horizontal="center" vertical="center"/>
    </xf>
    <xf numFmtId="0" fontId="0" fillId="9" borderId="2" pivotButton="0" quotePrefix="0" xfId="0"/>
    <xf numFmtId="3" fontId="15" fillId="9" borderId="2" applyAlignment="1" pivotButton="0" quotePrefix="0" xfId="0">
      <alignment horizontal="center" vertical="center"/>
    </xf>
    <xf numFmtId="164" fontId="15" fillId="9" borderId="2" applyAlignment="1" pivotButton="0" quotePrefix="0" xfId="0">
      <alignment horizontal="center" vertical="center"/>
    </xf>
    <xf numFmtId="9" fontId="15" fillId="9" borderId="2" applyAlignment="1" pivotButton="0" quotePrefix="0" xfId="0">
      <alignment horizontal="center" vertical="center"/>
    </xf>
    <xf numFmtId="0" fontId="6" fillId="0" borderId="2" applyAlignment="1" pivotButton="0" quotePrefix="0" xfId="7">
      <alignment horizontal="left" vertical="center" wrapText="1" indent="1"/>
    </xf>
    <xf numFmtId="9" fontId="6" fillId="0" borderId="2" applyAlignment="1" pivotButton="0" quotePrefix="0" xfId="6">
      <alignment horizontal="center" vertical="center" wrapText="1"/>
    </xf>
    <xf numFmtId="0" fontId="6" fillId="0" borderId="2" applyAlignment="1" pivotButton="0" quotePrefix="0" xfId="6">
      <alignment horizontal="center" vertical="center" wrapText="1"/>
    </xf>
    <xf numFmtId="0" fontId="6" fillId="8" borderId="2" applyAlignment="1" pivotButton="0" quotePrefix="0" xfId="7">
      <alignment horizontal="left" vertical="center" wrapText="1" indent="1"/>
    </xf>
    <xf numFmtId="9" fontId="6" fillId="8" borderId="2" applyAlignment="1" pivotButton="0" quotePrefix="0" xfId="6">
      <alignment horizontal="center" vertical="center" wrapText="1"/>
    </xf>
    <xf numFmtId="0" fontId="6" fillId="8" borderId="2" applyAlignment="1" pivotButton="0" quotePrefix="0" xfId="6">
      <alignment horizontal="center" vertical="center" wrapText="1"/>
    </xf>
    <xf numFmtId="0" fontId="10" fillId="0" borderId="0" pivotButton="0" quotePrefix="0" xfId="0"/>
    <xf numFmtId="165" fontId="7" fillId="3" borderId="2" applyAlignment="1" pivotButton="0" quotePrefix="0" xfId="8">
      <alignment horizontal="center" vertical="center"/>
    </xf>
    <xf numFmtId="165" fontId="7" fillId="8" borderId="2" applyAlignment="1" pivotButton="0" quotePrefix="0" xfId="8">
      <alignment horizontal="center" vertical="center"/>
    </xf>
    <xf numFmtId="165" fontId="10" fillId="3" borderId="2" applyAlignment="1" pivotButton="0" quotePrefix="0" xfId="6">
      <alignment horizontal="center" vertical="center" wrapText="1"/>
    </xf>
    <xf numFmtId="0" fontId="8" fillId="4" borderId="2" applyAlignment="1" pivotButton="0" quotePrefix="0" xfId="9">
      <alignment horizontal="left" vertical="center" indent="1"/>
    </xf>
    <xf numFmtId="3" fontId="7" fillId="3" borderId="2" applyAlignment="1" pivotButton="0" quotePrefix="0" xfId="8">
      <alignment horizontal="center" vertical="center"/>
    </xf>
    <xf numFmtId="165" fontId="11" fillId="6" borderId="2" applyAlignment="1" pivotButton="0" quotePrefix="0" xfId="6">
      <alignment horizontal="center" vertical="center" wrapText="1"/>
    </xf>
    <xf numFmtId="165" fontId="7" fillId="0" borderId="2" applyAlignment="1" pivotButton="0" quotePrefix="0" xfId="10">
      <alignment horizontal="left" vertical="center" indent="1"/>
    </xf>
    <xf numFmtId="3" fontId="6" fillId="3" borderId="2" applyAlignment="1" pivotButton="0" quotePrefix="0" xfId="6">
      <alignment horizontal="center" vertical="center" wrapText="1"/>
    </xf>
    <xf numFmtId="165" fontId="10" fillId="6" borderId="2" applyAlignment="1" pivotButton="0" quotePrefix="0" xfId="6">
      <alignment horizontal="center" vertical="center" wrapText="1"/>
    </xf>
    <xf numFmtId="165" fontId="6" fillId="0" borderId="2" applyAlignment="1" pivotButton="0" quotePrefix="0" xfId="6">
      <alignment horizontal="center" vertical="center" wrapText="1"/>
    </xf>
    <xf numFmtId="3" fontId="7" fillId="8" borderId="2" applyAlignment="1" pivotButton="0" quotePrefix="0" xfId="8">
      <alignment horizontal="center" vertical="center"/>
    </xf>
    <xf numFmtId="165" fontId="6" fillId="8" borderId="2" applyAlignment="1" pivotButton="0" quotePrefix="0" xfId="6">
      <alignment horizontal="center" vertical="center" wrapText="1"/>
    </xf>
    <xf numFmtId="3" fontId="7" fillId="0" borderId="2" applyAlignment="1" pivotButton="0" quotePrefix="0" xfId="10">
      <alignment horizontal="left" vertical="center" indent="1"/>
    </xf>
    <xf numFmtId="0" fontId="6" fillId="9" borderId="2" applyAlignment="1" pivotButton="0" quotePrefix="0" xfId="7">
      <alignment horizontal="left" vertical="center" wrapText="1" indent="1"/>
    </xf>
    <xf numFmtId="165" fontId="6" fillId="9" borderId="2" applyAlignment="1" pivotButton="0" quotePrefix="0" xfId="6">
      <alignment horizontal="center" vertical="center" wrapText="1"/>
    </xf>
    <xf numFmtId="0" fontId="6" fillId="9" borderId="2" applyAlignment="1" pivotButton="0" quotePrefix="0" xfId="6">
      <alignment horizontal="center" vertical="center" wrapText="1"/>
    </xf>
    <xf numFmtId="0" fontId="6" fillId="3" borderId="2" applyAlignment="1" pivotButton="0" quotePrefix="0" xfId="6">
      <alignment horizontal="center" vertical="center" wrapText="1"/>
    </xf>
    <xf numFmtId="164" fontId="7" fillId="6" borderId="2" applyAlignment="1" pivotButton="0" quotePrefix="0" xfId="10">
      <alignment horizontal="left" vertical="center" indent="1"/>
    </xf>
    <xf numFmtId="164" fontId="7" fillId="3" borderId="2" applyAlignment="1" pivotButton="0" quotePrefix="0" xfId="8">
      <alignment horizontal="center" vertical="center"/>
    </xf>
    <xf numFmtId="164" fontId="7" fillId="8" borderId="2" applyAlignment="1" pivotButton="0" quotePrefix="0" xfId="8">
      <alignment horizontal="center" vertical="center"/>
    </xf>
    <xf numFmtId="164" fontId="10" fillId="3" borderId="2" applyAlignment="1" pivotButton="0" quotePrefix="0" xfId="6">
      <alignment horizontal="center" vertical="center" wrapText="1"/>
    </xf>
    <xf numFmtId="164" fontId="12" fillId="3" borderId="2" applyAlignment="1" pivotButton="0" quotePrefix="0" xfId="6">
      <alignment horizontal="center" vertical="center" wrapText="1"/>
    </xf>
    <xf numFmtId="164" fontId="7" fillId="0" borderId="2" applyAlignment="1" pivotButton="0" quotePrefix="0" xfId="10">
      <alignment horizontal="left" vertical="center" indent="1"/>
    </xf>
    <xf numFmtId="164" fontId="13" fillId="6" borderId="2" applyAlignment="1" pivotButton="0" quotePrefix="0" xfId="6">
      <alignment horizontal="center" vertical="center" wrapText="1"/>
    </xf>
    <xf numFmtId="0" fontId="7" fillId="3" borderId="2" applyAlignment="1" pivotButton="0" quotePrefix="0" xfId="8">
      <alignment horizontal="center" vertical="center"/>
    </xf>
    <xf numFmtId="1" fontId="7" fillId="3" borderId="2" applyAlignment="1" pivotButton="0" quotePrefix="0" xfId="8">
      <alignment horizontal="center" vertical="center"/>
    </xf>
  </cellXfs>
  <cellStyles count="12">
    <cellStyle name="Normal" xfId="0" builtinId="0" hidden="0"/>
    <cellStyle name="title" xfId="1" hidden="0"/>
    <cellStyle name="subtitle" xfId="2" hidden="0"/>
    <cellStyle name="section" xfId="3" hidden="0"/>
    <cellStyle name="section_gold" xfId="4" hidden="0"/>
    <cellStyle name="th" xfId="5" hidden="0"/>
    <cellStyle name="td" xfId="6" hidden="0"/>
    <cellStyle name="td_left" xfId="7" hidden="0"/>
    <cellStyle name="input" xfId="8" hidden="0"/>
    <cellStyle name="field_label" xfId="9" hidden="0"/>
    <cellStyle name="field_value" xfId="10" hidden="0"/>
    <cellStyle name="body" xfId="1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title>
      <tx>
        <rich>
          <a:bodyPr/>
          <a:p>
            <a:pPr>
              <a:defRPr/>
            </a:pPr>
            <a:r>
              <a:t>Saved by Month</a:t>
            </a:r>
          </a:p>
        </rich>
      </tx>
    </title>
    <plotArea>
      <barChart>
        <barDir val="col"/>
        <grouping val="clustered"/>
        <ser>
          <idx val="0"/>
          <order val="0"/>
          <spPr>
            <a:ln>
              <a:prstDash val="solid"/>
            </a:ln>
          </spPr>
          <cat>
            <numRef>
              <f>'Monthly Summary'!$B$7:$B$12</f>
            </numRef>
          </cat>
          <val>
            <numRef>
              <f>'Monthly Summary'!$C$7:$C$12</f>
            </numRef>
          </val>
        </ser>
        <dLbls>
          <showLegendKey val="0"/>
          <showVal val="0"/>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Saved by Month</a:t>
            </a:r>
          </a:p>
        </rich>
      </tx>
    </title>
    <plotArea>
      <barChart>
        <barDir val="col"/>
        <grouping val="clustered"/>
        <ser>
          <idx val="0"/>
          <order val="0"/>
          <spPr>
            <a:ln>
              <a:prstDash val="solid"/>
            </a:ln>
          </spPr>
          <cat>
            <numRef>
              <f>'Monthly Summary'!$B$7:$B$12</f>
            </numRef>
          </cat>
          <val>
            <numRef>
              <f>'Monthly Summary'!$C$7:$C$12</f>
            </numRef>
          </val>
        </ser>
        <dLbls>
          <showLegendKey val="0"/>
          <showVal val="0"/>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12</row>
      <rowOff>0</rowOff>
    </from>
    <ext cx="3096000" cy="2664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4</row>
      <rowOff>0</rowOff>
    </from>
    <ext cx="4320000" cy="2664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1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C25"/>
  <sheetViews>
    <sheetView showGridLines="0" workbookViewId="0">
      <selection activeCell="A1" sqref="A1"/>
    </sheetView>
  </sheetViews>
  <sheetFormatPr baseColWidth="8" defaultRowHeight="15"/>
  <cols>
    <col width="3" customWidth="1" min="1" max="1"/>
    <col width="84" customWidth="1" min="2" max="2"/>
    <col width="3" customWidth="1" min="3" max="3"/>
  </cols>
  <sheetData>
    <row r="1" ht="58" customHeight="1">
      <c r="A1" s="1" t="inlineStr">
        <is>
          <t xml:space="preserve">  🍽  MEAL PLANNING &amp; GROCERY BUDGET COMMAND CENTER™</t>
        </is>
      </c>
    </row>
    <row r="2" ht="24" customHeight="1">
      <c r="A2" s="2" t="inlineStr">
        <is>
          <t xml:space="preserve">  Plan the week, know the cost, and save on every meal.</t>
        </is>
      </c>
    </row>
    <row r="3" ht="6" customHeight="1">
      <c r="A3" s="3" t="n"/>
      <c r="B3" s="3" t="n"/>
      <c r="C3" s="3" t="n"/>
    </row>
    <row r="5">
      <c r="B5" s="4" t="inlineStr">
        <is>
          <t>YOUR WHOLE KITCHEN, IN ONE PLACE</t>
        </is>
      </c>
    </row>
    <row r="6" ht="22" customHeight="1">
      <c r="B6" s="5" t="inlineStr">
        <is>
          <t>A grocery budget lives or dies on one number most people never work out: what a home-cooked meal actually costs per serving — and how much that beats eating out. This makes it clear: a cost-per-meal engine adds a recipe's ingredients, divides by servings, and shows your cost per plate and what you save versus takeout. Plan your week, build a price book, run a grocery list and pantry, and track your budget — all in ONE premium Google Sheets &amp; Excel system.</t>
        </is>
      </c>
    </row>
    <row r="7" ht="22" customHeight="1">
      <c r="B7" s="6" t="n"/>
    </row>
    <row r="8" ht="22" customHeight="1">
      <c r="B8" s="6" t="n"/>
    </row>
    <row r="9" ht="22" customHeight="1">
      <c r="B9" s="6" t="n"/>
    </row>
    <row r="11">
      <c r="B11" s="7" t="inlineStr">
        <is>
          <t>START HERE — 6 QUICK STEPS</t>
        </is>
      </c>
    </row>
    <row r="12" ht="22" customHeight="1">
      <c r="B12" s="8" t="inlineStr">
        <is>
          <t>1.  Open Settings — set your grocery budget &amp; goals.</t>
        </is>
      </c>
    </row>
    <row r="13" ht="22" customHeight="1">
      <c r="B13" s="8" t="inlineStr">
        <is>
          <t>2.  Cost a meal in the Cost Per Meal tab — ingredients &amp; servings.</t>
        </is>
      </c>
    </row>
    <row r="14" ht="22" customHeight="1">
      <c r="B14" s="8" t="inlineStr">
        <is>
          <t>3.  Read your cost per serving and what you save vs eating out.</t>
        </is>
      </c>
    </row>
    <row r="15" ht="22" customHeight="1">
      <c r="B15" s="8" t="inlineStr">
        <is>
          <t>4.  Plan your week and build your grocery list &amp; price book.</t>
        </is>
      </c>
    </row>
    <row r="16" ht="22" customHeight="1">
      <c r="B16" s="8" t="inlineStr">
        <is>
          <t>5.  Track your budget, pantry and eating-out log.</t>
        </is>
      </c>
    </row>
    <row r="17" ht="22" customHeight="1">
      <c r="B17" s="8" t="inlineStr">
        <is>
          <t>6.  Check the Dashboard: cost, savings &amp; a Kitchen Score.</t>
        </is>
      </c>
    </row>
    <row r="20" ht="26" customHeight="1">
      <c r="B20" s="9" t="inlineStr">
        <is>
          <t xml:space="preserve">  GOOD TO KNOW</t>
        </is>
      </c>
    </row>
    <row r="21" ht="22" customHeight="1">
      <c r="B21" s="10" t="inlineStr">
        <is>
          <t>Sample data for a fictional household (Hearth &amp; Harvest, cook Nora) is included so you can see how it all connects — just type over it with your own recipes and prices. Your cost per serving and your monthly savings versus eating out are the two numbers that decide whether your grocery budget works, and they roll into a live Kitchen Score. Twelve matching printable pages (weekly plan, grocery list, price book, meal planner &amp; more) are included. This is a budgeting &amp; organizing tool, not financial or nutrition advice — confirm figures with your own sources.</t>
        </is>
      </c>
    </row>
    <row r="22" ht="22" customHeight="1">
      <c r="B22" s="11" t="n"/>
    </row>
    <row r="23" ht="22" customHeight="1">
      <c r="B23" s="11" t="n"/>
    </row>
    <row r="25">
      <c r="B25" s="4" t="inlineStr">
        <is>
          <t>A planned week is a cheaper week — and a calmer one.</t>
        </is>
      </c>
    </row>
  </sheetData>
  <mergeCells count="14">
    <mergeCell ref="B17"/>
    <mergeCell ref="B12"/>
    <mergeCell ref="B13"/>
    <mergeCell ref="A1:C1"/>
    <mergeCell ref="B15"/>
    <mergeCell ref="B11"/>
    <mergeCell ref="B21:B23"/>
    <mergeCell ref="B6:B9"/>
    <mergeCell ref="B16"/>
    <mergeCell ref="B20"/>
    <mergeCell ref="B25"/>
    <mergeCell ref="B5"/>
    <mergeCell ref="B1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showGridLines="0" workbookViewId="0">
      <selection activeCell="A1" sqref="A1"/>
    </sheetView>
  </sheetViews>
  <sheetFormatPr baseColWidth="8" defaultRowHeight="15"/>
  <cols>
    <col width="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2" customWidth="1" min="14" max="14"/>
  </cols>
  <sheetData>
    <row r="1" ht="56" customHeight="1">
      <c r="A1" s="1" t="inlineStr">
        <is>
          <t xml:space="preserve">  🍽  MEAL PLANNING &amp; GROCERY BUDGET COMMAND CENTER™</t>
        </is>
      </c>
    </row>
    <row r="2" ht="24" customHeight="1">
      <c r="A2" s="2" t="inlineStr">
        <is>
          <t xml:space="preserve">  Cost per plate, budget, savings &amp; a Kitchen Score — your whole kitchen, at a glance.</t>
        </is>
      </c>
    </row>
    <row r="3" ht="6" customHeight="1">
      <c r="A3" s="3" t="n"/>
      <c r="B3" s="3" t="n"/>
      <c r="C3" s="3" t="n"/>
      <c r="D3" s="3" t="n"/>
      <c r="E3" s="3" t="n"/>
      <c r="F3" s="3" t="n"/>
      <c r="G3" s="3" t="n"/>
      <c r="H3" s="3" t="n"/>
      <c r="I3" s="3" t="n"/>
      <c r="J3" s="3" t="n"/>
      <c r="K3" s="3" t="n"/>
      <c r="L3" s="3" t="n"/>
      <c r="M3" s="3" t="n"/>
      <c r="N3" s="3" t="n"/>
    </row>
    <row r="5" ht="18" customHeight="1">
      <c r="B5" s="12" t="inlineStr">
        <is>
          <t>RECIPE COST</t>
        </is>
      </c>
      <c r="C5" s="13" t="n"/>
      <c r="D5" s="12" t="inlineStr">
        <is>
          <t>SERVINGS</t>
        </is>
      </c>
      <c r="E5" s="13" t="n"/>
      <c r="F5" s="12" t="inlineStr">
        <is>
          <t>COST / SERVING</t>
        </is>
      </c>
      <c r="G5" s="13" t="n"/>
      <c r="H5" s="12" t="inlineStr">
        <is>
          <t>EAT-OUT / SERVING</t>
        </is>
      </c>
      <c r="I5" s="13" t="n"/>
      <c r="J5" s="12" t="inlineStr">
        <is>
          <t>SAVED / SERVING</t>
        </is>
      </c>
      <c r="K5" s="13" t="n"/>
      <c r="L5" s="12" t="inlineStr">
        <is>
          <t>WEEKLY PLAN</t>
        </is>
      </c>
      <c r="M5" s="13" t="n"/>
    </row>
    <row r="6" ht="40" customHeight="1">
      <c r="B6" s="14">
        <f>RecipeCost</f>
        <v/>
      </c>
      <c r="C6" s="15" t="n"/>
      <c r="D6" s="16">
        <f>Servings</f>
        <v/>
      </c>
      <c r="E6" s="15" t="n"/>
      <c r="F6" s="14">
        <f>CostPerServing</f>
        <v/>
      </c>
      <c r="G6" s="15" t="n"/>
      <c r="H6" s="14">
        <f>EatOutServing</f>
        <v/>
      </c>
      <c r="I6" s="15" t="n"/>
      <c r="J6" s="14">
        <f>SavedServing</f>
        <v/>
      </c>
      <c r="K6" s="15" t="n"/>
      <c r="L6" s="17">
        <f>WeeklyPlanCost</f>
        <v/>
      </c>
      <c r="M6" s="15" t="n"/>
    </row>
    <row r="8" ht="18" customHeight="1">
      <c r="B8" s="12" t="inlineStr">
        <is>
          <t>GROCERY BUDGET</t>
        </is>
      </c>
      <c r="C8" s="13" t="n"/>
      <c r="D8" s="12" t="inlineStr">
        <is>
          <t>SPENT THIS MONTH</t>
        </is>
      </c>
      <c r="E8" s="13" t="n"/>
      <c r="F8" s="12" t="inlineStr">
        <is>
          <t>BUDGET USED</t>
        </is>
      </c>
      <c r="G8" s="13" t="n"/>
      <c r="H8" s="12" t="inlineStr">
        <is>
          <t>SERVINGS COOKED</t>
        </is>
      </c>
      <c r="I8" s="13" t="n"/>
      <c r="J8" s="12" t="inlineStr">
        <is>
          <t>MONTHLY SAVINGS</t>
        </is>
      </c>
      <c r="K8" s="13" t="n"/>
      <c r="L8" s="12" t="inlineStr">
        <is>
          <t>KITCHEN SCORE</t>
        </is>
      </c>
      <c r="M8" s="13" t="n"/>
    </row>
    <row r="9" ht="40" customHeight="1">
      <c r="B9" s="17">
        <f>GroceryBudget</f>
        <v/>
      </c>
      <c r="C9" s="15" t="n"/>
      <c r="D9" s="17">
        <f>SpentMonth</f>
        <v/>
      </c>
      <c r="E9" s="15" t="n"/>
      <c r="F9" s="18">
        <f>IFERROR(SpentMonth/GroceryBudget,0)</f>
        <v/>
      </c>
      <c r="G9" s="15" t="n"/>
      <c r="H9" s="16">
        <f>ServingsCooked</f>
        <v/>
      </c>
      <c r="I9" s="15" t="n"/>
      <c r="J9" s="17">
        <f>MonthlySavings</f>
        <v/>
      </c>
      <c r="K9" s="15" t="n"/>
      <c r="L9" s="18">
        <f>IFERROR(AVERAGE(HealthRange),0)</f>
        <v/>
      </c>
      <c r="M9" s="15" t="n"/>
    </row>
    <row r="11" ht="26" customHeight="1">
      <c r="B11" s="4" t="inlineStr">
        <is>
          <t>KITCHEN HEALTH</t>
        </is>
      </c>
      <c r="H11" s="4" t="inlineStr">
        <is>
          <t>SAVED BY MONTH</t>
        </is>
      </c>
    </row>
    <row r="12" ht="30" customHeight="1">
      <c r="B12" s="9" t="inlineStr">
        <is>
          <t>Check</t>
        </is>
      </c>
      <c r="C12" s="9" t="inlineStr">
        <is>
          <t>Score</t>
        </is>
      </c>
      <c r="D12" s="9" t="inlineStr">
        <is>
          <t>Status</t>
        </is>
      </c>
    </row>
    <row r="13">
      <c r="B13" s="19" t="inlineStr">
        <is>
          <t>Under budget</t>
        </is>
      </c>
      <c r="C13" s="20">
        <f>IF(SpentMonth&lt;=GroceryBudget,1,IFERROR(GroceryBudget/SpentMonth,0))</f>
        <v/>
      </c>
      <c r="D13" s="21">
        <f>IF(C13&gt;=0.85,"Strong",IF(C13&gt;=0.6,"OK","Watch"))</f>
        <v/>
      </c>
    </row>
    <row r="14">
      <c r="B14" s="22" t="inlineStr">
        <is>
          <t>Cooking saves money</t>
        </is>
      </c>
      <c r="C14" s="23">
        <f>IFERROR(MIN(SavedServing/SaveGoal,1),0)</f>
        <v/>
      </c>
      <c r="D14" s="24">
        <f>IF(C14&gt;=0.85,"Strong",IF(C14&gt;=0.6,"OK","Watch"))</f>
        <v/>
      </c>
    </row>
    <row r="15">
      <c r="B15" s="19" t="inlineStr">
        <is>
          <t>Week is planned</t>
        </is>
      </c>
      <c r="C15" s="20">
        <f>IFERROR(MIN(PlannedDinners/7,1),0)</f>
        <v/>
      </c>
      <c r="D15" s="21">
        <f>IF(C15&gt;=0.85,"Strong",IF(C15&gt;=0.6,"OK","Watch"))</f>
        <v/>
      </c>
    </row>
    <row r="16">
      <c r="B16" s="22" t="inlineStr">
        <is>
          <t>Cheap per serving</t>
        </is>
      </c>
      <c r="C16" s="23">
        <f>IFERROR(MIN(ServingGoal/CostPerServing,1),0)</f>
        <v/>
      </c>
      <c r="D16" s="24">
        <f>IF(C16&gt;=0.85,"Strong",IF(C16&gt;=0.6,"OK","Watch"))</f>
        <v/>
      </c>
    </row>
    <row r="17">
      <c r="B17" s="19" t="inlineStr">
        <is>
          <t>Price book built</t>
        </is>
      </c>
      <c r="C17" s="20">
        <f>IFERROR(MIN(PricedItems/PriceGoal,1),0)</f>
        <v/>
      </c>
      <c r="D17" s="21">
        <f>IF(C17&gt;=0.85,"Strong",IF(C17&gt;=0.6,"OK","Watch"))</f>
        <v/>
      </c>
    </row>
    <row r="18">
      <c r="B18" s="22" t="inlineStr">
        <is>
          <t>Eating out rare</t>
        </is>
      </c>
      <c r="C18" s="23">
        <f>IFERROR(MIN(EatOutGoal/EatOutMeals,1),0)</f>
        <v/>
      </c>
      <c r="D18" s="24">
        <f>IF(C18&gt;=0.85,"Strong",IF(C18&gt;=0.6,"OK","Watch"))</f>
        <v/>
      </c>
    </row>
    <row r="21" ht="26" customHeight="1">
      <c r="B21" s="2" t="inlineStr">
        <is>
          <t>Meal Planning &amp; Grocery Budget Command Center™ — plan it, cost it, save on every meal.</t>
        </is>
      </c>
    </row>
  </sheetData>
  <mergeCells count="29">
    <mergeCell ref="J5:K5"/>
    <mergeCell ref="F6:G6"/>
    <mergeCell ref="H11:M11"/>
    <mergeCell ref="H9:I9"/>
    <mergeCell ref="A1:N1"/>
    <mergeCell ref="J9:K9"/>
    <mergeCell ref="D6:E6"/>
    <mergeCell ref="H6:I6"/>
    <mergeCell ref="J6:K6"/>
    <mergeCell ref="B21:M21"/>
    <mergeCell ref="F5:G5"/>
    <mergeCell ref="L5:M5"/>
    <mergeCell ref="L8:M8"/>
    <mergeCell ref="B8:C8"/>
    <mergeCell ref="F8:G8"/>
    <mergeCell ref="A2:N2"/>
    <mergeCell ref="B9:C9"/>
    <mergeCell ref="D9:E9"/>
    <mergeCell ref="F9:G9"/>
    <mergeCell ref="L9:M9"/>
    <mergeCell ref="D8:E8"/>
    <mergeCell ref="B6:C6"/>
    <mergeCell ref="L6:M6"/>
    <mergeCell ref="B5:C5"/>
    <mergeCell ref="D5:E5"/>
    <mergeCell ref="H5:I5"/>
    <mergeCell ref="H8:I8"/>
    <mergeCell ref="J8:K8"/>
    <mergeCell ref="B11:G11"/>
  </mergeCells>
  <conditionalFormatting sqref="C13:C18">
    <cfRule type="colorScale" priority="1">
      <colorScale>
        <cfvo type="num" val="0"/>
        <cfvo type="num" val="0.5"/>
        <cfvo type="num" val="1"/>
        <color rgb="FFFBF0E2"/>
        <color rgb="FFFFF3CD"/>
        <color rgb="FF75E6C1"/>
      </colorScale>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18"/>
  <sheetViews>
    <sheetView showGridLines="0" workbookViewId="0">
      <selection activeCell="A1" sqref="A1"/>
    </sheetView>
  </sheetViews>
  <sheetFormatPr baseColWidth="8" defaultRowHeight="15"/>
  <cols>
    <col width="2" customWidth="1" min="1" max="1"/>
    <col width="34" customWidth="1" min="2" max="2"/>
    <col width="16" customWidth="1" min="3" max="3"/>
    <col width="2" customWidth="1" min="4" max="4"/>
  </cols>
  <sheetData>
    <row r="1" ht="46" customHeight="1">
      <c r="A1" s="1" t="inlineStr">
        <is>
          <t xml:space="preserve">  🧮  COST PER MEAL</t>
        </is>
      </c>
    </row>
    <row r="2" ht="22" customHeight="1">
      <c r="A2" s="2" t="inlineStr">
        <is>
          <t xml:space="preserve">  A recipe's ingredients ÷ servings = your cost per plate, and what you save vs eating out.</t>
        </is>
      </c>
    </row>
    <row r="3" ht="6" customHeight="1">
      <c r="A3" s="3" t="n"/>
      <c r="B3" s="3" t="n"/>
      <c r="C3" s="3" t="n"/>
    </row>
    <row r="5">
      <c r="B5" s="4" t="inlineStr">
        <is>
          <t>RECIPE</t>
        </is>
      </c>
      <c r="C5" s="25" t="inlineStr">
        <is>
          <t>Sheet-Pan Chicken &amp; Veg</t>
        </is>
      </c>
    </row>
    <row r="6" ht="30" customHeight="1">
      <c r="B6" s="9" t="inlineStr">
        <is>
          <t>Ingredient</t>
        </is>
      </c>
      <c r="C6" s="9" t="inlineStr">
        <is>
          <t>Cost</t>
        </is>
      </c>
    </row>
    <row r="7">
      <c r="B7" s="19" t="inlineStr">
        <is>
          <t>Chicken thighs</t>
        </is>
      </c>
      <c r="C7" s="26" t="n">
        <v>6</v>
      </c>
    </row>
    <row r="8">
      <c r="B8" s="22" t="inlineStr">
        <is>
          <t>Potatoes</t>
        </is>
      </c>
      <c r="C8" s="27" t="n">
        <v>1.5</v>
      </c>
    </row>
    <row r="9">
      <c r="B9" s="19" t="inlineStr">
        <is>
          <t>Broccoli</t>
        </is>
      </c>
      <c r="C9" s="26" t="n">
        <v>1.5</v>
      </c>
    </row>
    <row r="10">
      <c r="B10" s="22" t="inlineStr">
        <is>
          <t>Olive oil &amp; seasoning</t>
        </is>
      </c>
      <c r="C10" s="27" t="n">
        <v>1</v>
      </c>
    </row>
    <row r="11">
      <c r="B11" s="9">
        <f> RECIPE COST</f>
        <v/>
      </c>
      <c r="C11" s="28">
        <f>SUM(IngRows)</f>
        <v/>
      </c>
    </row>
    <row r="12">
      <c r="B12" s="29" t="inlineStr">
        <is>
          <t>Servings</t>
        </is>
      </c>
      <c r="C12" s="30" t="n">
        <v>4</v>
      </c>
    </row>
    <row r="13">
      <c r="B13" s="9">
        <f> COST PER SERVING</f>
        <v/>
      </c>
      <c r="C13" s="31">
        <f>IFERROR(RecipeCost/Servings,0)</f>
        <v/>
      </c>
    </row>
    <row r="15">
      <c r="B15" s="29" t="inlineStr">
        <is>
          <t>Eat-out price per serving</t>
        </is>
      </c>
      <c r="C15" s="32">
        <f>EatOutServing</f>
        <v/>
      </c>
    </row>
    <row r="16">
      <c r="B16" s="9">
        <f> YOU SAVE / SERVING</f>
        <v/>
      </c>
      <c r="C16" s="31">
        <f>EatOutServing-CostPerServing</f>
        <v/>
      </c>
    </row>
    <row r="18">
      <c r="B18" s="4" t="inlineStr">
        <is>
          <t>Cook once, and every plate beats the drive-thru.</t>
        </is>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
  <sheetViews>
    <sheetView showGridLines="0" workbookViewId="0">
      <pane ySplit="4" topLeftCell="A5" activePane="bottomLeft" state="frozen"/>
      <selection pane="bottomLeft" activeCell="A1" sqref="A1"/>
    </sheetView>
  </sheetViews>
  <sheetFormatPr baseColWidth="8" defaultRowHeight="15"/>
  <cols>
    <col width="2" customWidth="1" min="1" max="1"/>
    <col width="12" customWidth="1" min="2" max="2"/>
    <col width="30" customWidth="1" min="3" max="3"/>
    <col width="14" customWidth="1" min="4" max="4"/>
    <col width="2" customWidth="1" min="5" max="5"/>
  </cols>
  <sheetData>
    <row r="1" ht="46" customHeight="1">
      <c r="A1" s="1" t="inlineStr">
        <is>
          <t xml:space="preserve">  🗓  WEEKLY PLAN</t>
        </is>
      </c>
    </row>
    <row r="2" ht="22" customHeight="1">
      <c r="A2" s="2" t="inlineStr">
        <is>
          <t xml:space="preserve">  Seven dinners, planned and priced — the whole point of a cheaper, calmer week.</t>
        </is>
      </c>
    </row>
    <row r="3" ht="6" customHeight="1">
      <c r="A3" s="3" t="n"/>
      <c r="B3" s="3" t="n"/>
      <c r="C3" s="3" t="n"/>
      <c r="D3" s="3" t="n"/>
    </row>
    <row r="4" ht="30" customHeight="1">
      <c r="B4" s="9" t="inlineStr">
        <is>
          <t>Day</t>
        </is>
      </c>
      <c r="C4" s="9" t="inlineStr">
        <is>
          <t>Dinner</t>
        </is>
      </c>
      <c r="D4" s="9" t="inlineStr">
        <is>
          <t>Cost</t>
        </is>
      </c>
    </row>
    <row r="5">
      <c r="B5" s="19" t="inlineStr">
        <is>
          <t>Mon</t>
        </is>
      </c>
      <c r="C5" s="19" t="inlineStr">
        <is>
          <t>Sheet-Pan Chicken &amp; Veg</t>
        </is>
      </c>
      <c r="D5" s="26" t="n">
        <v>10</v>
      </c>
    </row>
    <row r="6">
      <c r="B6" s="22" t="inlineStr">
        <is>
          <t>Tue</t>
        </is>
      </c>
      <c r="C6" s="22" t="inlineStr">
        <is>
          <t>Pasta Primavera</t>
        </is>
      </c>
      <c r="D6" s="27" t="n">
        <v>8</v>
      </c>
    </row>
    <row r="7">
      <c r="B7" s="19" t="inlineStr">
        <is>
          <t>Wed</t>
        </is>
      </c>
      <c r="C7" s="19" t="inlineStr">
        <is>
          <t>Beef Tacos</t>
        </is>
      </c>
      <c r="D7" s="26" t="n">
        <v>12</v>
      </c>
    </row>
    <row r="8">
      <c r="B8" s="22" t="inlineStr">
        <is>
          <t>Thu</t>
        </is>
      </c>
      <c r="C8" s="22" t="inlineStr">
        <is>
          <t>Veggie Chili</t>
        </is>
      </c>
      <c r="D8" s="27" t="n">
        <v>9</v>
      </c>
    </row>
    <row r="9">
      <c r="B9" s="19" t="inlineStr">
        <is>
          <t>Fri</t>
        </is>
      </c>
      <c r="C9" s="19" t="inlineStr">
        <is>
          <t>Fried Rice</t>
        </is>
      </c>
      <c r="D9" s="26" t="n">
        <v>7</v>
      </c>
    </row>
    <row r="10">
      <c r="B10" s="22" t="inlineStr">
        <is>
          <t>Sat</t>
        </is>
      </c>
      <c r="C10" s="22" t="inlineStr">
        <is>
          <t>Salmon &amp; Rice</t>
        </is>
      </c>
      <c r="D10" s="27" t="n">
        <v>14</v>
      </c>
    </row>
    <row r="11">
      <c r="B11" s="19" t="inlineStr">
        <is>
          <t>Sun</t>
        </is>
      </c>
      <c r="C11" s="19" t="inlineStr">
        <is>
          <t>Lentil Soup</t>
        </is>
      </c>
      <c r="D11" s="26" t="n">
        <v>6</v>
      </c>
    </row>
    <row r="12">
      <c r="B12" s="9" t="inlineStr">
        <is>
          <t>WEEK TOTAL</t>
        </is>
      </c>
      <c r="C12" s="33">
        <f>COUNTA(PlanDay)</f>
        <v/>
      </c>
      <c r="D12" s="34">
        <f>SUM(PlanCost)</f>
        <v/>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showGridLines="0" workbookViewId="0">
      <pane ySplit="4" topLeftCell="A5" activePane="bottomLeft" state="frozen"/>
      <selection pane="bottomLeft" activeCell="A1" sqref="A1"/>
    </sheetView>
  </sheetViews>
  <sheetFormatPr baseColWidth="8" defaultRowHeight="15"/>
  <cols>
    <col width="2" customWidth="1" min="1" max="1"/>
    <col width="30" customWidth="1" min="2" max="2"/>
    <col width="14" customWidth="1" min="3" max="3"/>
    <col width="12" customWidth="1" min="4" max="4"/>
    <col width="16" customWidth="1" min="5" max="5"/>
    <col width="2" customWidth="1" min="6" max="6"/>
  </cols>
  <sheetData>
    <row r="1" ht="46" customHeight="1">
      <c r="A1" s="1" t="inlineStr">
        <is>
          <t xml:space="preserve">  📖  RECIPES</t>
        </is>
      </c>
    </row>
    <row r="2" ht="22" customHeight="1">
      <c r="A2" s="2" t="inlineStr">
        <is>
          <t xml:space="preserve">  Your go-to meals — total cost, servings and the cost per serving on each. Build your rotation.</t>
        </is>
      </c>
    </row>
    <row r="3" ht="6" customHeight="1">
      <c r="A3" s="3" t="n"/>
      <c r="B3" s="3" t="n"/>
      <c r="C3" s="3" t="n"/>
      <c r="D3" s="3" t="n"/>
      <c r="E3" s="3" t="n"/>
    </row>
    <row r="4" ht="30" customHeight="1">
      <c r="B4" s="9" t="inlineStr">
        <is>
          <t>Recipe</t>
        </is>
      </c>
      <c r="C4" s="9" t="inlineStr">
        <is>
          <t>Cost</t>
        </is>
      </c>
      <c r="D4" s="9" t="inlineStr">
        <is>
          <t>Servings</t>
        </is>
      </c>
      <c r="E4" s="9" t="inlineStr">
        <is>
          <t>Per Serving</t>
        </is>
      </c>
    </row>
    <row r="5">
      <c r="B5" s="19" t="inlineStr">
        <is>
          <t>Sheet-Pan Chicken &amp; Veg</t>
        </is>
      </c>
      <c r="C5" s="26" t="n">
        <v>10</v>
      </c>
      <c r="D5" s="30" t="n">
        <v>4</v>
      </c>
      <c r="E5" s="35">
        <f>IFERROR(C5/D5,0)</f>
        <v/>
      </c>
    </row>
    <row r="6">
      <c r="B6" s="22" t="inlineStr">
        <is>
          <t>Pasta Primavera</t>
        </is>
      </c>
      <c r="C6" s="27" t="n">
        <v>8</v>
      </c>
      <c r="D6" s="36" t="n">
        <v>4</v>
      </c>
      <c r="E6" s="37">
        <f>IFERROR(C6/D6,0)</f>
        <v/>
      </c>
    </row>
    <row r="7">
      <c r="B7" s="19" t="inlineStr">
        <is>
          <t>Beef Tacos</t>
        </is>
      </c>
      <c r="C7" s="26" t="n">
        <v>12</v>
      </c>
      <c r="D7" s="30" t="n">
        <v>4</v>
      </c>
      <c r="E7" s="35">
        <f>IFERROR(C7/D7,0)</f>
        <v/>
      </c>
    </row>
    <row r="8">
      <c r="B8" s="22" t="inlineStr">
        <is>
          <t>Veggie Chili</t>
        </is>
      </c>
      <c r="C8" s="27" t="n">
        <v>9</v>
      </c>
      <c r="D8" s="36" t="n">
        <v>6</v>
      </c>
      <c r="E8" s="37">
        <f>IFERROR(C8/D8,0)</f>
        <v/>
      </c>
    </row>
    <row r="9">
      <c r="B9" s="19" t="inlineStr">
        <is>
          <t>Fried Rice</t>
        </is>
      </c>
      <c r="C9" s="26" t="n">
        <v>7</v>
      </c>
      <c r="D9" s="30" t="n">
        <v>4</v>
      </c>
      <c r="E9" s="35">
        <f>IFERROR(C9/D9,0)</f>
        <v/>
      </c>
    </row>
    <row r="10">
      <c r="B10" s="22" t="inlineStr">
        <is>
          <t>Salmon &amp; Rice</t>
        </is>
      </c>
      <c r="C10" s="27" t="n">
        <v>14</v>
      </c>
      <c r="D10" s="36" t="n">
        <v>4</v>
      </c>
      <c r="E10" s="37">
        <f>IFERROR(C10/D10,0)</f>
        <v/>
      </c>
    </row>
    <row r="11">
      <c r="B11" s="19" t="inlineStr">
        <is>
          <t>Lentil Soup</t>
        </is>
      </c>
      <c r="C11" s="26" t="n">
        <v>6</v>
      </c>
      <c r="D11" s="30" t="n">
        <v>6</v>
      </c>
      <c r="E11" s="35">
        <f>IFERROR(C11/D11,0)</f>
        <v/>
      </c>
    </row>
  </sheetData>
  <mergeCells count="2">
    <mergeCell ref="A2:E2"/>
    <mergeCell ref="A1:E1"/>
  </mergeCells>
  <conditionalFormatting sqref="E5:E11">
    <cfRule type="colorScale" priority="1">
      <colorScale>
        <cfvo type="num" val="1.5"/>
        <cfvo type="num" val="2.5"/>
        <cfvo type="num" val="4"/>
        <color rgb="FF75E6C1"/>
        <color rgb="FFFFF3CD"/>
        <color rgb="FFFBE6E6"/>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8"/>
  <sheetViews>
    <sheetView showGridLines="0" workbookViewId="0">
      <pane ySplit="4" topLeftCell="A5" activePane="bottomLeft" state="frozen"/>
      <selection pane="bottomLeft" activeCell="A1" sqref="A1"/>
    </sheetView>
  </sheetViews>
  <sheetFormatPr baseColWidth="8" defaultRowHeight="15"/>
  <cols>
    <col width="2" customWidth="1" min="1" max="1"/>
    <col width="24" customWidth="1" min="2" max="2"/>
    <col width="16" customWidth="1" min="3" max="3"/>
    <col width="12" customWidth="1" min="4" max="4"/>
    <col width="12" customWidth="1" min="5" max="5"/>
    <col width="2" customWidth="1" min="6" max="6"/>
  </cols>
  <sheetData>
    <row r="1" ht="46" customHeight="1">
      <c r="A1" s="1" t="inlineStr">
        <is>
          <t xml:space="preserve">  🏷  PRICE BOOK</t>
        </is>
      </c>
    </row>
    <row r="2" ht="22" customHeight="1">
      <c r="A2" s="2" t="inlineStr">
        <is>
          <t xml:space="preserve">  What each staple costs and where it's cheapest — the secret weapon of a low grocery bill.</t>
        </is>
      </c>
    </row>
    <row r="3" ht="6" customHeight="1">
      <c r="A3" s="3" t="n"/>
      <c r="B3" s="3" t="n"/>
      <c r="C3" s="3" t="n"/>
      <c r="D3" s="3" t="n"/>
      <c r="E3" s="3" t="n"/>
    </row>
    <row r="4" ht="30" customHeight="1">
      <c r="B4" s="9" t="inlineStr">
        <is>
          <t>Item</t>
        </is>
      </c>
      <c r="C4" s="9" t="inlineStr">
        <is>
          <t>Store</t>
        </is>
      </c>
      <c r="D4" s="9" t="inlineStr">
        <is>
          <t>Unit</t>
        </is>
      </c>
      <c r="E4" s="9" t="inlineStr">
        <is>
          <t>Price</t>
        </is>
      </c>
    </row>
    <row r="5">
      <c r="B5" s="19" t="inlineStr">
        <is>
          <t>Chicken thighs</t>
        </is>
      </c>
      <c r="C5" s="21" t="inlineStr">
        <is>
          <t>Aldi</t>
        </is>
      </c>
      <c r="D5" s="21" t="inlineStr">
        <is>
          <t>lb</t>
        </is>
      </c>
      <c r="E5" s="26" t="n">
        <v>1.99</v>
      </c>
    </row>
    <row r="6">
      <c r="B6" s="22" t="inlineStr">
        <is>
          <t>Ground beef</t>
        </is>
      </c>
      <c r="C6" s="24" t="inlineStr">
        <is>
          <t>Costco</t>
        </is>
      </c>
      <c r="D6" s="24" t="inlineStr">
        <is>
          <t>lb</t>
        </is>
      </c>
      <c r="E6" s="27" t="n">
        <v>3.99</v>
      </c>
    </row>
    <row r="7">
      <c r="B7" s="19" t="inlineStr">
        <is>
          <t>Potatoes</t>
        </is>
      </c>
      <c r="C7" s="21" t="inlineStr">
        <is>
          <t>Aldi</t>
        </is>
      </c>
      <c r="D7" s="21" t="inlineStr">
        <is>
          <t>5 lb</t>
        </is>
      </c>
      <c r="E7" s="26" t="n">
        <v>2.99</v>
      </c>
    </row>
    <row r="8">
      <c r="B8" s="22" t="inlineStr">
        <is>
          <t>Broccoli</t>
        </is>
      </c>
      <c r="C8" s="24" t="inlineStr">
        <is>
          <t>Aldi</t>
        </is>
      </c>
      <c r="D8" s="24" t="inlineStr">
        <is>
          <t>lb</t>
        </is>
      </c>
      <c r="E8" s="27" t="n">
        <v>1.49</v>
      </c>
    </row>
    <row r="9">
      <c r="B9" s="19" t="inlineStr">
        <is>
          <t>Rice</t>
        </is>
      </c>
      <c r="C9" s="21" t="inlineStr">
        <is>
          <t>Costco</t>
        </is>
      </c>
      <c r="D9" s="21" t="inlineStr">
        <is>
          <t>10 lb</t>
        </is>
      </c>
      <c r="E9" s="26" t="n">
        <v>8.99</v>
      </c>
    </row>
    <row r="10">
      <c r="B10" s="22" t="inlineStr">
        <is>
          <t>Pasta</t>
        </is>
      </c>
      <c r="C10" s="24" t="inlineStr">
        <is>
          <t>Aldi</t>
        </is>
      </c>
      <c r="D10" s="24" t="inlineStr">
        <is>
          <t>lb</t>
        </is>
      </c>
      <c r="E10" s="27" t="n">
        <v>0.99</v>
      </c>
    </row>
    <row r="11">
      <c r="B11" s="19" t="inlineStr">
        <is>
          <t>Eggs</t>
        </is>
      </c>
      <c r="C11" s="21" t="inlineStr">
        <is>
          <t>Aldi</t>
        </is>
      </c>
      <c r="D11" s="21" t="inlineStr">
        <is>
          <t>dozen</t>
        </is>
      </c>
      <c r="E11" s="26" t="n">
        <v>2.29</v>
      </c>
    </row>
    <row r="12">
      <c r="B12" s="22" t="inlineStr">
        <is>
          <t>Milk</t>
        </is>
      </c>
      <c r="C12" s="24" t="inlineStr">
        <is>
          <t>Aldi</t>
        </is>
      </c>
      <c r="D12" s="24" t="inlineStr">
        <is>
          <t>gal</t>
        </is>
      </c>
      <c r="E12" s="27" t="n">
        <v>2.79</v>
      </c>
    </row>
    <row r="13">
      <c r="B13" s="19" t="inlineStr">
        <is>
          <t>Onions</t>
        </is>
      </c>
      <c r="C13" s="21" t="inlineStr">
        <is>
          <t>Aldi</t>
        </is>
      </c>
      <c r="D13" s="21" t="inlineStr">
        <is>
          <t>3 lb</t>
        </is>
      </c>
      <c r="E13" s="26" t="n">
        <v>2.49</v>
      </c>
    </row>
    <row r="14">
      <c r="B14" s="22" t="inlineStr">
        <is>
          <t>Olive oil</t>
        </is>
      </c>
      <c r="C14" s="24" t="inlineStr">
        <is>
          <t>Costco</t>
        </is>
      </c>
      <c r="D14" s="24" t="inlineStr">
        <is>
          <t>2 L</t>
        </is>
      </c>
      <c r="E14" s="27" t="n">
        <v>12.99</v>
      </c>
    </row>
    <row r="15">
      <c r="B15" s="19" t="inlineStr">
        <is>
          <t>Canned beans</t>
        </is>
      </c>
      <c r="C15" s="21" t="inlineStr">
        <is>
          <t>Aldi</t>
        </is>
      </c>
      <c r="D15" s="21" t="inlineStr">
        <is>
          <t>can</t>
        </is>
      </c>
      <c r="E15" s="26" t="n">
        <v>0.79</v>
      </c>
    </row>
    <row r="16">
      <c r="B16" s="22" t="inlineStr">
        <is>
          <t>Cheese</t>
        </is>
      </c>
      <c r="C16" s="24" t="inlineStr">
        <is>
          <t>Costco</t>
        </is>
      </c>
      <c r="D16" s="24" t="inlineStr">
        <is>
          <t>2 lb</t>
        </is>
      </c>
      <c r="E16" s="27" t="n">
        <v>6.99</v>
      </c>
    </row>
    <row r="18">
      <c r="B18" s="29" t="inlineStr">
        <is>
          <t>Items priced</t>
        </is>
      </c>
      <c r="E18" s="38">
        <f>COUNTA(PriceItem)</f>
        <v/>
      </c>
    </row>
  </sheetData>
  <mergeCells count="2">
    <mergeCell ref="A2:E2"/>
    <mergeCell ref="A1:E1"/>
  </mergeCells>
  <dataValidations count="1">
    <dataValidation sqref="C5:C16" showDropDown="0" showInputMessage="0" showErrorMessage="0" allowBlank="1" type="list">
      <formula1>=StoreList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5"/>
  <sheetViews>
    <sheetView showGridLines="0" workbookViewId="0">
      <pane ySplit="4" topLeftCell="A5" activePane="bottomLeft" state="frozen"/>
      <selection pane="bottomLeft" activeCell="A1" sqref="A1"/>
    </sheetView>
  </sheetViews>
  <sheetFormatPr baseColWidth="8" defaultRowHeight="15"/>
  <cols>
    <col width="2" customWidth="1" min="1" max="1"/>
    <col width="24" customWidth="1" min="2" max="2"/>
    <col width="14" customWidth="1" min="3" max="3"/>
    <col width="14" customWidth="1" min="4" max="4"/>
    <col width="12" customWidth="1" min="5" max="5"/>
    <col width="2" customWidth="1" min="6" max="6"/>
  </cols>
  <sheetData>
    <row r="1" ht="46" customHeight="1">
      <c r="A1" s="1" t="inlineStr">
        <is>
          <t xml:space="preserve">  🛒  GROCERY LIST</t>
        </is>
      </c>
    </row>
    <row r="2" ht="22" customHeight="1">
      <c r="A2" s="2" t="inlineStr">
        <is>
          <t xml:space="preserve">  This week's shopping — quantity, estimated cost and what's already in the cart.</t>
        </is>
      </c>
    </row>
    <row r="3" ht="6" customHeight="1">
      <c r="A3" s="3" t="n"/>
      <c r="B3" s="3" t="n"/>
      <c r="C3" s="3" t="n"/>
      <c r="D3" s="3" t="n"/>
      <c r="E3" s="3" t="n"/>
    </row>
    <row r="4" ht="30" customHeight="1">
      <c r="B4" s="9" t="inlineStr">
        <is>
          <t>Item</t>
        </is>
      </c>
      <c r="C4" s="9" t="inlineStr">
        <is>
          <t>Qty</t>
        </is>
      </c>
      <c r="D4" s="9" t="inlineStr">
        <is>
          <t>Est. Cost</t>
        </is>
      </c>
      <c r="E4" s="9" t="inlineStr">
        <is>
          <t>Got?</t>
        </is>
      </c>
    </row>
    <row r="5">
      <c r="B5" s="39" t="inlineStr">
        <is>
          <t>Chicken thighs</t>
        </is>
      </c>
      <c r="C5" s="39" t="inlineStr">
        <is>
          <t>3 lb</t>
        </is>
      </c>
      <c r="D5" s="40" t="n">
        <v>6</v>
      </c>
      <c r="E5" s="41" t="inlineStr">
        <is>
          <t>No</t>
        </is>
      </c>
    </row>
    <row r="6">
      <c r="B6" s="22" t="inlineStr">
        <is>
          <t>Ground beef</t>
        </is>
      </c>
      <c r="C6" s="22" t="inlineStr">
        <is>
          <t>1 lb</t>
        </is>
      </c>
      <c r="D6" s="37" t="n">
        <v>4</v>
      </c>
      <c r="E6" s="24" t="inlineStr">
        <is>
          <t>No</t>
        </is>
      </c>
    </row>
    <row r="7">
      <c r="B7" s="39" t="inlineStr">
        <is>
          <t>Broccoli</t>
        </is>
      </c>
      <c r="C7" s="39" t="inlineStr">
        <is>
          <t>2 lb</t>
        </is>
      </c>
      <c r="D7" s="40" t="n">
        <v>3</v>
      </c>
      <c r="E7" s="41" t="inlineStr">
        <is>
          <t>Yes</t>
        </is>
      </c>
    </row>
    <row r="8">
      <c r="B8" s="22" t="inlineStr">
        <is>
          <t>Potatoes</t>
        </is>
      </c>
      <c r="C8" s="22" t="inlineStr">
        <is>
          <t>5 lb</t>
        </is>
      </c>
      <c r="D8" s="37" t="n">
        <v>3</v>
      </c>
      <c r="E8" s="24" t="inlineStr">
        <is>
          <t>No</t>
        </is>
      </c>
    </row>
    <row r="9">
      <c r="B9" s="39" t="inlineStr">
        <is>
          <t>Rice</t>
        </is>
      </c>
      <c r="C9" s="39" t="inlineStr">
        <is>
          <t>bag</t>
        </is>
      </c>
      <c r="D9" s="40" t="n">
        <v>4</v>
      </c>
      <c r="E9" s="41" t="inlineStr">
        <is>
          <t>Yes</t>
        </is>
      </c>
    </row>
    <row r="10">
      <c r="B10" s="22" t="inlineStr">
        <is>
          <t>Pasta</t>
        </is>
      </c>
      <c r="C10" s="22" t="inlineStr">
        <is>
          <t>2 lb</t>
        </is>
      </c>
      <c r="D10" s="37" t="n">
        <v>2</v>
      </c>
      <c r="E10" s="24" t="inlineStr">
        <is>
          <t>No</t>
        </is>
      </c>
    </row>
    <row r="11">
      <c r="B11" s="39" t="inlineStr">
        <is>
          <t>Eggs</t>
        </is>
      </c>
      <c r="C11" s="39" t="inlineStr">
        <is>
          <t>dozen</t>
        </is>
      </c>
      <c r="D11" s="40" t="n">
        <v>2.29</v>
      </c>
      <c r="E11" s="41" t="inlineStr">
        <is>
          <t>No</t>
        </is>
      </c>
    </row>
    <row r="12">
      <c r="B12" s="22" t="inlineStr">
        <is>
          <t>Milk</t>
        </is>
      </c>
      <c r="C12" s="22" t="inlineStr">
        <is>
          <t>gal</t>
        </is>
      </c>
      <c r="D12" s="37" t="n">
        <v>2.79</v>
      </c>
      <c r="E12" s="24" t="inlineStr">
        <is>
          <t>No</t>
        </is>
      </c>
    </row>
    <row r="13">
      <c r="B13" s="39" t="n"/>
      <c r="C13" s="39" t="n"/>
      <c r="D13" s="40" t="n"/>
      <c r="E13" s="41" t="n"/>
    </row>
    <row r="14">
      <c r="B14" s="22" t="n"/>
      <c r="C14" s="22" t="n"/>
      <c r="D14" s="37" t="n"/>
      <c r="E14" s="24" t="n"/>
    </row>
    <row r="15">
      <c r="B15" s="39" t="n"/>
      <c r="C15" s="39" t="n"/>
      <c r="D15" s="40" t="n"/>
      <c r="E15" s="41" t="n"/>
    </row>
    <row r="16">
      <c r="B16" s="22" t="n"/>
      <c r="C16" s="22" t="n"/>
      <c r="D16" s="37" t="n"/>
      <c r="E16" s="24" t="n"/>
    </row>
    <row r="17">
      <c r="B17" s="39" t="n"/>
      <c r="C17" s="39" t="n"/>
      <c r="D17" s="40" t="n"/>
      <c r="E17" s="41" t="n"/>
    </row>
    <row r="18">
      <c r="B18" s="22" t="n"/>
      <c r="C18" s="22" t="n"/>
      <c r="D18" s="37" t="n"/>
      <c r="E18" s="24" t="n"/>
    </row>
    <row r="19">
      <c r="B19" s="39" t="n"/>
      <c r="C19" s="39" t="n"/>
      <c r="D19" s="40" t="n"/>
      <c r="E19" s="41" t="n"/>
    </row>
    <row r="20">
      <c r="B20" s="22" t="n"/>
      <c r="C20" s="22" t="n"/>
      <c r="D20" s="37" t="n"/>
      <c r="E20" s="24" t="n"/>
    </row>
    <row r="21">
      <c r="B21" s="39" t="n"/>
      <c r="C21" s="39" t="n"/>
      <c r="D21" s="40" t="n"/>
      <c r="E21" s="41" t="n"/>
    </row>
    <row r="22">
      <c r="B22" s="22" t="n"/>
      <c r="C22" s="22" t="n"/>
      <c r="D22" s="37" t="n"/>
      <c r="E22" s="24" t="n"/>
    </row>
    <row r="23">
      <c r="B23" s="39" t="n"/>
      <c r="C23" s="39" t="n"/>
      <c r="D23" s="40" t="n"/>
      <c r="E23" s="41" t="n"/>
    </row>
    <row r="24">
      <c r="B24" s="22" t="n"/>
      <c r="C24" s="22" t="n"/>
      <c r="D24" s="37" t="n"/>
      <c r="E24" s="24" t="n"/>
    </row>
    <row r="25">
      <c r="B25" s="39" t="n"/>
      <c r="C25" s="39" t="n"/>
      <c r="D25" s="40" t="n"/>
      <c r="E25" s="41" t="n"/>
    </row>
    <row r="26">
      <c r="B26" s="22" t="n"/>
      <c r="C26" s="22" t="n"/>
      <c r="D26" s="37" t="n"/>
      <c r="E26" s="24" t="n"/>
    </row>
    <row r="27">
      <c r="B27" s="39" t="n"/>
      <c r="C27" s="39" t="n"/>
      <c r="D27" s="40" t="n"/>
      <c r="E27" s="41" t="n"/>
    </row>
    <row r="28">
      <c r="B28" s="22" t="n"/>
      <c r="C28" s="22" t="n"/>
      <c r="D28" s="37" t="n"/>
      <c r="E28" s="24" t="n"/>
    </row>
    <row r="29">
      <c r="B29" s="39" t="n"/>
      <c r="C29" s="39" t="n"/>
      <c r="D29" s="40" t="n"/>
      <c r="E29" s="41" t="n"/>
    </row>
    <row r="30">
      <c r="B30" s="22" t="n"/>
      <c r="C30" s="22" t="n"/>
      <c r="D30" s="37" t="n"/>
      <c r="E30" s="24" t="n"/>
    </row>
    <row r="31">
      <c r="B31" s="39" t="n"/>
      <c r="C31" s="39" t="n"/>
      <c r="D31" s="40" t="n"/>
      <c r="E31" s="41" t="n"/>
    </row>
    <row r="32">
      <c r="B32" s="22" t="n"/>
      <c r="C32" s="22" t="n"/>
      <c r="D32" s="37" t="n"/>
      <c r="E32" s="24" t="n"/>
    </row>
    <row r="33">
      <c r="B33" s="39" t="n"/>
      <c r="C33" s="39" t="n"/>
      <c r="D33" s="40" t="n"/>
      <c r="E33" s="41" t="n"/>
    </row>
    <row r="34">
      <c r="B34" s="22" t="n"/>
      <c r="C34" s="22" t="n"/>
      <c r="D34" s="37" t="n"/>
      <c r="E34" s="24" t="n"/>
    </row>
    <row r="35">
      <c r="B35" s="9" t="inlineStr">
        <is>
          <t>EST. TOTAL</t>
        </is>
      </c>
      <c r="C35" s="42" t="n"/>
      <c r="D35" s="34">
        <f>SUM(GrocCost)</f>
        <v/>
      </c>
      <c r="E35" s="42" t="n"/>
    </row>
  </sheetData>
  <mergeCells count="2">
    <mergeCell ref="A2:E2"/>
    <mergeCell ref="A1:E1"/>
  </mergeCells>
  <dataValidations count="1">
    <dataValidation sqref="E5:E34" showDropDown="0" showInputMessage="0" showErrorMessage="0" allowBlank="1" type="list">
      <formula1>=YesNoList</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0"/>
  <sheetViews>
    <sheetView showGridLines="0" workbookViewId="0">
      <pane ySplit="4" topLeftCell="A5" activePane="bottomLeft" state="frozen"/>
      <selection pane="bottomLeft" activeCell="A1" sqref="A1"/>
    </sheetView>
  </sheetViews>
  <sheetFormatPr baseColWidth="8" defaultRowHeight="15"/>
  <cols>
    <col width="2" customWidth="1" min="1" max="1"/>
    <col width="24" customWidth="1" min="2" max="2"/>
    <col width="16" customWidth="1" min="3" max="3"/>
    <col width="14" customWidth="1" min="4" max="4"/>
    <col width="2" customWidth="1" min="5" max="5"/>
  </cols>
  <sheetData>
    <row r="1" ht="46" customHeight="1">
      <c r="A1" s="1" t="inlineStr">
        <is>
          <t xml:space="preserve">  🥫  PANTRY</t>
        </is>
      </c>
    </row>
    <row r="2" ht="22" customHeight="1">
      <c r="A2" s="2" t="inlineStr">
        <is>
          <t xml:space="preserve">  What's on the shelf — shop from here first, and never buy what you already own.</t>
        </is>
      </c>
    </row>
    <row r="3" ht="6" customHeight="1">
      <c r="A3" s="3" t="n"/>
      <c r="B3" s="3" t="n"/>
      <c r="C3" s="3" t="n"/>
      <c r="D3" s="3" t="n"/>
    </row>
    <row r="4" ht="30" customHeight="1">
      <c r="B4" s="9" t="inlineStr">
        <is>
          <t>Item</t>
        </is>
      </c>
      <c r="C4" s="9" t="inlineStr">
        <is>
          <t>On Hand</t>
        </is>
      </c>
      <c r="D4" s="9" t="inlineStr">
        <is>
          <t>Staple?</t>
        </is>
      </c>
    </row>
    <row r="5">
      <c r="B5" s="39" t="inlineStr">
        <is>
          <t>Rice</t>
        </is>
      </c>
      <c r="C5" s="39" t="inlineStr">
        <is>
          <t>8 lb</t>
        </is>
      </c>
      <c r="D5" s="41" t="inlineStr">
        <is>
          <t>Yes</t>
        </is>
      </c>
    </row>
    <row r="6">
      <c r="B6" s="22" t="inlineStr">
        <is>
          <t>Pasta</t>
        </is>
      </c>
      <c r="C6" s="22" t="inlineStr">
        <is>
          <t>3 lb</t>
        </is>
      </c>
      <c r="D6" s="24" t="inlineStr">
        <is>
          <t>Yes</t>
        </is>
      </c>
    </row>
    <row r="7">
      <c r="B7" s="39" t="inlineStr">
        <is>
          <t>Canned beans</t>
        </is>
      </c>
      <c r="C7" s="39" t="inlineStr">
        <is>
          <t>6 cans</t>
        </is>
      </c>
      <c r="D7" s="41" t="inlineStr">
        <is>
          <t>Yes</t>
        </is>
      </c>
    </row>
    <row r="8">
      <c r="B8" s="22" t="inlineStr">
        <is>
          <t>Olive oil</t>
        </is>
      </c>
      <c r="C8" s="22" t="inlineStr">
        <is>
          <t>1.5 L</t>
        </is>
      </c>
      <c r="D8" s="24" t="inlineStr">
        <is>
          <t>Yes</t>
        </is>
      </c>
    </row>
    <row r="9">
      <c r="B9" s="39" t="inlineStr">
        <is>
          <t>Onions</t>
        </is>
      </c>
      <c r="C9" s="39" t="inlineStr">
        <is>
          <t>4</t>
        </is>
      </c>
      <c r="D9" s="41" t="inlineStr">
        <is>
          <t>Yes</t>
        </is>
      </c>
    </row>
    <row r="10">
      <c r="B10" s="22" t="inlineStr">
        <is>
          <t>Spices</t>
        </is>
      </c>
      <c r="C10" s="22" t="inlineStr">
        <is>
          <t>stocked</t>
        </is>
      </c>
      <c r="D10" s="24" t="inlineStr">
        <is>
          <t>Yes</t>
        </is>
      </c>
    </row>
    <row r="11">
      <c r="B11" s="39" t="n"/>
      <c r="C11" s="39" t="n"/>
      <c r="D11" s="41" t="n"/>
    </row>
    <row r="12">
      <c r="B12" s="22" t="n"/>
      <c r="C12" s="22" t="n"/>
      <c r="D12" s="24" t="n"/>
    </row>
    <row r="13">
      <c r="B13" s="39" t="n"/>
      <c r="C13" s="39" t="n"/>
      <c r="D13" s="41" t="n"/>
    </row>
    <row r="14">
      <c r="B14" s="22" t="n"/>
      <c r="C14" s="22" t="n"/>
      <c r="D14" s="24" t="n"/>
    </row>
    <row r="15">
      <c r="B15" s="39" t="n"/>
      <c r="C15" s="39" t="n"/>
      <c r="D15" s="41" t="n"/>
    </row>
    <row r="16">
      <c r="B16" s="22" t="n"/>
      <c r="C16" s="22" t="n"/>
      <c r="D16" s="24" t="n"/>
    </row>
    <row r="17">
      <c r="B17" s="39" t="n"/>
      <c r="C17" s="39" t="n"/>
      <c r="D17" s="41" t="n"/>
    </row>
    <row r="18">
      <c r="B18" s="22" t="n"/>
      <c r="C18" s="22" t="n"/>
      <c r="D18" s="24" t="n"/>
    </row>
    <row r="19">
      <c r="B19" s="39" t="n"/>
      <c r="C19" s="39" t="n"/>
      <c r="D19" s="41" t="n"/>
    </row>
    <row r="20">
      <c r="B20" s="22" t="n"/>
      <c r="C20" s="22" t="n"/>
      <c r="D20" s="24" t="n"/>
    </row>
    <row r="21">
      <c r="B21" s="39" t="n"/>
      <c r="C21" s="39" t="n"/>
      <c r="D21" s="41" t="n"/>
    </row>
    <row r="22">
      <c r="B22" s="22" t="n"/>
      <c r="C22" s="22" t="n"/>
      <c r="D22" s="24" t="n"/>
    </row>
    <row r="23">
      <c r="B23" s="39" t="n"/>
      <c r="C23" s="39" t="n"/>
      <c r="D23" s="41" t="n"/>
    </row>
    <row r="24">
      <c r="B24" s="22" t="n"/>
      <c r="C24" s="22" t="n"/>
      <c r="D24" s="24" t="n"/>
    </row>
    <row r="25">
      <c r="B25" s="39" t="n"/>
      <c r="C25" s="39" t="n"/>
      <c r="D25" s="41" t="n"/>
    </row>
    <row r="26">
      <c r="B26" s="22" t="n"/>
      <c r="C26" s="22" t="n"/>
      <c r="D26" s="24" t="n"/>
    </row>
    <row r="27">
      <c r="B27" s="39" t="n"/>
      <c r="C27" s="39" t="n"/>
      <c r="D27" s="41" t="n"/>
    </row>
    <row r="28">
      <c r="B28" s="22" t="n"/>
      <c r="C28" s="22" t="n"/>
      <c r="D28" s="24" t="n"/>
    </row>
    <row r="29">
      <c r="B29" s="39" t="n"/>
      <c r="C29" s="39" t="n"/>
      <c r="D29" s="41" t="n"/>
    </row>
    <row r="30">
      <c r="B30" s="22" t="n"/>
      <c r="C30" s="22" t="n"/>
      <c r="D30" s="24" t="n"/>
    </row>
  </sheetData>
  <mergeCells count="2">
    <mergeCell ref="A1:D1"/>
    <mergeCell ref="A2:D2"/>
  </mergeCells>
  <dataValidations count="1">
    <dataValidation sqref="D5:D30" showDropDown="0" showInputMessage="0" showErrorMessage="0" allowBlank="1" type="list">
      <formula1>=YesNoList</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3"/>
  <sheetViews>
    <sheetView showGridLines="0" workbookViewId="0">
      <pane ySplit="7" topLeftCell="A8" activePane="bottomLeft" state="frozen"/>
      <selection pane="bottomLeft" activeCell="A1" sqref="A1"/>
    </sheetView>
  </sheetViews>
  <sheetFormatPr baseColWidth="8" defaultRowHeight="15"/>
  <cols>
    <col width="2" customWidth="1" min="1" max="1"/>
    <col width="30" customWidth="1" min="2" max="2"/>
    <col width="16" customWidth="1" min="3" max="3"/>
    <col width="2" customWidth="1" min="4" max="4"/>
  </cols>
  <sheetData>
    <row r="1" ht="46" customHeight="1">
      <c r="A1" s="1" t="inlineStr">
        <is>
          <t xml:space="preserve">  💰  BUDGET</t>
        </is>
      </c>
    </row>
    <row r="2" ht="22" customHeight="1">
      <c r="A2" s="2" t="inlineStr">
        <is>
          <t xml:space="preserve">  Your monthly grocery budget versus what you've spent — stay in the green.</t>
        </is>
      </c>
    </row>
    <row r="3" ht="6" customHeight="1">
      <c r="A3" s="3" t="n"/>
      <c r="B3" s="3" t="n"/>
      <c r="C3" s="3" t="n"/>
    </row>
    <row r="5">
      <c r="B5" s="29" t="inlineStr">
        <is>
          <t>Monthly grocery budget</t>
        </is>
      </c>
      <c r="C5" s="43">
        <f>GroceryBudget</f>
        <v/>
      </c>
    </row>
    <row r="7" ht="30" customHeight="1">
      <c r="B7" s="9" t="inlineStr">
        <is>
          <t>Week</t>
        </is>
      </c>
      <c r="C7" s="9" t="inlineStr">
        <is>
          <t>Spent</t>
        </is>
      </c>
    </row>
    <row r="8">
      <c r="B8" s="19" t="inlineStr">
        <is>
          <t>Week 1</t>
        </is>
      </c>
      <c r="C8" s="44" t="n">
        <v>135</v>
      </c>
    </row>
    <row r="9">
      <c r="B9" s="22" t="inlineStr">
        <is>
          <t>Week 2</t>
        </is>
      </c>
      <c r="C9" s="45" t="n">
        <v>140</v>
      </c>
    </row>
    <row r="10">
      <c r="B10" s="19" t="inlineStr">
        <is>
          <t>Week 3</t>
        </is>
      </c>
      <c r="C10" s="44" t="n">
        <v>130</v>
      </c>
    </row>
    <row r="11">
      <c r="B11" s="22" t="inlineStr">
        <is>
          <t>Week 4</t>
        </is>
      </c>
      <c r="C11" s="45" t="n">
        <v>135</v>
      </c>
    </row>
    <row r="12">
      <c r="B12" s="9" t="inlineStr">
        <is>
          <t>SPENT THIS MONTH</t>
        </is>
      </c>
      <c r="C12" s="46">
        <f>SUM(WeekSpend)</f>
        <v/>
      </c>
    </row>
    <row r="13">
      <c r="B13" s="29" t="inlineStr">
        <is>
          <t>Under / (over) budget</t>
        </is>
      </c>
      <c r="C13" s="43">
        <f>GroceryBudget-SpentMonth</f>
        <v/>
      </c>
    </row>
  </sheetData>
  <mergeCells count="2">
    <mergeCell ref="A1:C1"/>
    <mergeCell ref="A2:C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showGridLines="0" workbookViewId="0">
      <pane ySplit="7" topLeftCell="A8" activePane="bottomLeft" state="frozen"/>
      <selection pane="bottomLeft" activeCell="A1" sqref="A1"/>
    </sheetView>
  </sheetViews>
  <sheetFormatPr baseColWidth="8" defaultRowHeight="15"/>
  <cols>
    <col width="2" customWidth="1" min="1" max="1"/>
    <col width="16" customWidth="1" min="2" max="2"/>
    <col width="24" customWidth="1" min="3" max="3"/>
    <col width="14" customWidth="1" min="4" max="4"/>
    <col width="2" customWidth="1" min="5" max="5"/>
  </cols>
  <sheetData>
    <row r="1" ht="46" customHeight="1">
      <c r="A1" s="1" t="inlineStr">
        <is>
          <t xml:space="preserve">  🍔  EATING OUT</t>
        </is>
      </c>
    </row>
    <row r="2" ht="22" customHeight="1">
      <c r="A2" s="2" t="inlineStr">
        <is>
          <t xml:space="preserve">  Every takeout &amp; restaurant meal — what it cost, and how many. Cooking is the cheaper habit.</t>
        </is>
      </c>
    </row>
    <row r="3" ht="6" customHeight="1">
      <c r="A3" s="3" t="n"/>
      <c r="B3" s="3" t="n"/>
      <c r="C3" s="3" t="n"/>
      <c r="D3" s="3" t="n"/>
    </row>
    <row r="5">
      <c r="B5" s="29" t="inlineStr">
        <is>
          <t>Meals eaten out this month</t>
        </is>
      </c>
      <c r="C5" s="30" t="n">
        <v>10</v>
      </c>
    </row>
    <row r="7" ht="30" customHeight="1">
      <c r="B7" s="9" t="inlineStr">
        <is>
          <t>Date</t>
        </is>
      </c>
      <c r="C7" s="9" t="inlineStr">
        <is>
          <t>Place</t>
        </is>
      </c>
      <c r="D7" s="9" t="inlineStr">
        <is>
          <t>Cost</t>
        </is>
      </c>
    </row>
    <row r="8">
      <c r="B8" s="19" t="inlineStr">
        <is>
          <t>Jul 4</t>
        </is>
      </c>
      <c r="C8" s="19" t="inlineStr">
        <is>
          <t>Pizza night</t>
        </is>
      </c>
      <c r="D8" s="44" t="n">
        <v>32</v>
      </c>
    </row>
    <row r="9">
      <c r="B9" s="22" t="inlineStr">
        <is>
          <t>Jul 11</t>
        </is>
      </c>
      <c r="C9" s="22" t="inlineStr">
        <is>
          <t>Thai takeout</t>
        </is>
      </c>
      <c r="D9" s="45" t="n">
        <v>38</v>
      </c>
    </row>
    <row r="10">
      <c r="B10" s="19" t="inlineStr">
        <is>
          <t>Jul 18</t>
        </is>
      </c>
      <c r="C10" s="19" t="inlineStr">
        <is>
          <t>Burgers</t>
        </is>
      </c>
      <c r="D10" s="44" t="n">
        <v>28</v>
      </c>
    </row>
    <row r="11">
      <c r="B11" s="22" t="inlineStr">
        <is>
          <t>Jul 25</t>
        </is>
      </c>
      <c r="C11" s="22" t="inlineStr">
        <is>
          <t>Sushi</t>
        </is>
      </c>
      <c r="D11" s="45" t="n">
        <v>44</v>
      </c>
    </row>
    <row r="12">
      <c r="B12" s="9" t="inlineStr">
        <is>
          <t>SPENT EATING OUT</t>
        </is>
      </c>
      <c r="C12" s="42" t="n"/>
      <c r="D12" s="47">
        <f>SUM(EatOutCost)</f>
        <v/>
      </c>
    </row>
  </sheetData>
  <mergeCells count="2">
    <mergeCell ref="A1:D1"/>
    <mergeCell ref="A2:D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2" customWidth="1" min="1" max="1"/>
    <col width="36" customWidth="1" min="2" max="2"/>
    <col width="16" customWidth="1" min="3" max="3"/>
    <col width="2" customWidth="1" min="4" max="4"/>
  </cols>
  <sheetData>
    <row r="1" ht="46" customHeight="1">
      <c r="A1" s="1" t="inlineStr">
        <is>
          <t xml:space="preserve">  🌿  SAVINGS</t>
        </is>
      </c>
    </row>
    <row r="2" ht="22" customHeight="1">
      <c r="A2" s="2" t="inlineStr">
        <is>
          <t xml:space="preserve">  What cooking saved you this month — servings at home versus the eat-out price.</t>
        </is>
      </c>
    </row>
    <row r="3" ht="6" customHeight="1">
      <c r="A3" s="3" t="n"/>
      <c r="B3" s="3" t="n"/>
      <c r="C3" s="3" t="n"/>
    </row>
    <row r="5">
      <c r="B5" s="29" t="inlineStr">
        <is>
          <t>Servings cooked at home this month</t>
        </is>
      </c>
      <c r="C5" s="30" t="n">
        <v>120</v>
      </c>
    </row>
    <row r="6">
      <c r="B6" s="29" t="inlineStr">
        <is>
          <t>× Eat-out price / serving</t>
        </is>
      </c>
      <c r="C6" s="32">
        <f>EatOutServing</f>
        <v/>
      </c>
    </row>
    <row r="7">
      <c r="B7" s="29">
        <f> Eat-out equivalent</f>
        <v/>
      </c>
      <c r="C7" s="48">
        <f>ServingsCooked*EatOutServing</f>
        <v/>
      </c>
    </row>
    <row r="8">
      <c r="B8" s="29" t="inlineStr">
        <is>
          <t>− Grocery spent this month</t>
        </is>
      </c>
      <c r="C8" s="48">
        <f>SpentMonth</f>
        <v/>
      </c>
    </row>
    <row r="9">
      <c r="B9" s="9">
        <f> MONTHLY SAVINGS</f>
        <v/>
      </c>
      <c r="C9" s="49">
        <f>ServingsCooked*EatOutServing-SpentMonth</f>
        <v/>
      </c>
    </row>
    <row r="11">
      <c r="B11" s="4" t="inlineStr">
        <is>
          <t>Every home-cooked plate is money back in your pocket.</t>
        </is>
      </c>
    </row>
  </sheetData>
  <mergeCells count="2">
    <mergeCell ref="A1:C1"/>
    <mergeCell ref="A2:C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0"/>
  <sheetViews>
    <sheetView showGridLines="0" workbookViewId="0">
      <pane ySplit="4" topLeftCell="A5" activePane="bottomLeft" state="frozen"/>
      <selection pane="bottomLeft" activeCell="A1" sqref="A1"/>
    </sheetView>
  </sheetViews>
  <sheetFormatPr baseColWidth="8" defaultRowHeight="15"/>
  <cols>
    <col width="2" customWidth="1" min="1" max="1"/>
    <col width="30" customWidth="1" min="2" max="2"/>
    <col width="16" customWidth="1" min="3" max="3"/>
    <col width="16" customWidth="1" min="4" max="4"/>
    <col width="2" customWidth="1" min="5" max="5"/>
  </cols>
  <sheetData>
    <row r="1" ht="46" customHeight="1">
      <c r="A1" s="1" t="inlineStr">
        <is>
          <t xml:space="preserve">  💡  MEAL IDEAS</t>
        </is>
      </c>
    </row>
    <row r="2" ht="22" customHeight="1">
      <c r="A2" s="2" t="inlineStr">
        <is>
          <t xml:space="preserve">  A running list of cheap, easy wins — never stare into the fridge wondering what's for dinner again.</t>
        </is>
      </c>
    </row>
    <row r="3" ht="6" customHeight="1">
      <c r="A3" s="3" t="n"/>
      <c r="B3" s="3" t="n"/>
      <c r="C3" s="3" t="n"/>
      <c r="D3" s="3" t="n"/>
    </row>
    <row r="4" ht="30" customHeight="1">
      <c r="B4" s="9" t="inlineStr">
        <is>
          <t>Idea</t>
        </is>
      </c>
      <c r="C4" s="9" t="inlineStr">
        <is>
          <t>Type</t>
        </is>
      </c>
      <c r="D4" s="9" t="inlineStr">
        <is>
          <t>~ / Serving</t>
        </is>
      </c>
    </row>
    <row r="5">
      <c r="B5" s="19" t="inlineStr">
        <is>
          <t>Sheet-pan fajitas</t>
        </is>
      </c>
      <c r="C5" s="21" t="inlineStr">
        <is>
          <t>One-pan</t>
        </is>
      </c>
      <c r="D5" s="26" t="n">
        <v>2.75</v>
      </c>
    </row>
    <row r="6">
      <c r="B6" s="22" t="inlineStr">
        <is>
          <t>Slow-cooker chili</t>
        </is>
      </c>
      <c r="C6" s="24" t="inlineStr">
        <is>
          <t>Slow cooker</t>
        </is>
      </c>
      <c r="D6" s="27" t="n">
        <v>1.5</v>
      </c>
    </row>
    <row r="7">
      <c r="B7" s="19" t="inlineStr">
        <is>
          <t>Egg fried rice</t>
        </is>
      </c>
      <c r="C7" s="21" t="inlineStr">
        <is>
          <t>Quick</t>
        </is>
      </c>
      <c r="D7" s="26" t="n">
        <v>1.75</v>
      </c>
    </row>
    <row r="8">
      <c r="B8" s="22" t="inlineStr">
        <is>
          <t>Big-batch bolognese</t>
        </is>
      </c>
      <c r="C8" s="24" t="inlineStr">
        <is>
          <t>Batch</t>
        </is>
      </c>
      <c r="D8" s="27" t="n">
        <v>2.25</v>
      </c>
    </row>
    <row r="9">
      <c r="B9" s="19" t="inlineStr">
        <is>
          <t>Grain bowls</t>
        </is>
      </c>
      <c r="C9" s="21" t="inlineStr">
        <is>
          <t>No-cook</t>
        </is>
      </c>
      <c r="D9" s="26" t="n">
        <v>2.5</v>
      </c>
    </row>
    <row r="10">
      <c r="B10" s="22" t="inlineStr">
        <is>
          <t>Breakfast-for-dinner</t>
        </is>
      </c>
      <c r="C10" s="24" t="inlineStr">
        <is>
          <t>Quick</t>
        </is>
      </c>
      <c r="D10" s="27" t="n">
        <v>1.5</v>
      </c>
    </row>
  </sheetData>
  <mergeCells count="2">
    <mergeCell ref="A1:D1"/>
    <mergeCell ref="A2:D2"/>
  </mergeCells>
  <dataValidations count="1">
    <dataValidation sqref="C5:C10" showDropDown="0" showInputMessage="0" showErrorMessage="0" allowBlank="1" type="list">
      <formula1>=MealTypeList</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2" customWidth="1" min="1" max="1"/>
    <col width="30" customWidth="1" min="2" max="2"/>
    <col width="16" customWidth="1" min="3" max="3"/>
    <col width="2" customWidth="1" min="4" max="4"/>
  </cols>
  <sheetData>
    <row r="1" ht="46" customHeight="1">
      <c r="A1" s="1" t="inlineStr">
        <is>
          <t xml:space="preserve">  📈  MONTHLY SUMMARY</t>
        </is>
      </c>
    </row>
    <row r="2" ht="22" customHeight="1">
      <c r="A2" s="2" t="inlineStr">
        <is>
          <t xml:space="preserve">  Your savings versus eating out, month by month — watch the habit pay off.</t>
        </is>
      </c>
    </row>
    <row r="3" ht="6" customHeight="1">
      <c r="A3" s="3" t="n"/>
      <c r="B3" s="3" t="n"/>
      <c r="C3" s="3" t="n"/>
    </row>
    <row r="5">
      <c r="B5" s="4" t="inlineStr">
        <is>
          <t>THE TREND</t>
        </is>
      </c>
    </row>
    <row r="6" ht="30" customHeight="1">
      <c r="B6" s="9" t="inlineStr">
        <is>
          <t>Month</t>
        </is>
      </c>
      <c r="C6" s="9" t="inlineStr">
        <is>
          <t>Saved</t>
        </is>
      </c>
    </row>
    <row r="7">
      <c r="B7" s="19" t="inlineStr">
        <is>
          <t>Feb</t>
        </is>
      </c>
      <c r="C7" s="44" t="n">
        <v>720</v>
      </c>
    </row>
    <row r="8">
      <c r="B8" s="22" t="inlineStr">
        <is>
          <t>Mar</t>
        </is>
      </c>
      <c r="C8" s="45" t="n">
        <v>800</v>
      </c>
    </row>
    <row r="9">
      <c r="B9" s="19" t="inlineStr">
        <is>
          <t>Apr</t>
        </is>
      </c>
      <c r="C9" s="44" t="n">
        <v>860</v>
      </c>
    </row>
    <row r="10">
      <c r="B10" s="22" t="inlineStr">
        <is>
          <t>May</t>
        </is>
      </c>
      <c r="C10" s="45" t="n">
        <v>900</v>
      </c>
    </row>
    <row r="11">
      <c r="B11" s="19" t="inlineStr">
        <is>
          <t>Jun</t>
        </is>
      </c>
      <c r="C11" s="44" t="n">
        <v>940</v>
      </c>
    </row>
    <row r="12">
      <c r="B12" s="22" t="inlineStr">
        <is>
          <t>Jul</t>
        </is>
      </c>
      <c r="C12" s="45" t="n">
        <v>960</v>
      </c>
    </row>
  </sheetData>
  <mergeCells count="2">
    <mergeCell ref="A1:C1"/>
    <mergeCell ref="A2:C2"/>
  </mergeCell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J13"/>
  <sheetViews>
    <sheetView showGridLines="0" workbookViewId="0">
      <selection activeCell="A1" sqref="A1"/>
    </sheetView>
  </sheetViews>
  <sheetFormatPr baseColWidth="8" defaultRowHeight="15"/>
  <cols>
    <col width="2" customWidth="1" min="1" max="1"/>
    <col width="30" customWidth="1" min="2" max="2"/>
    <col width="20" customWidth="1" min="3" max="3"/>
    <col width="3" customWidth="1" min="4" max="4"/>
    <col width="16" customWidth="1" min="5" max="5"/>
    <col width="16" customWidth="1" min="6" max="6"/>
    <col width="16" customWidth="1" min="7" max="7"/>
    <col width="16" customWidth="1" min="8" max="8"/>
    <col width="16" customWidth="1" min="9" max="9"/>
    <col width="16" customWidth="1" min="10" max="10"/>
  </cols>
  <sheetData>
    <row r="1" ht="46" customHeight="1">
      <c r="A1" s="1" t="inlineStr">
        <is>
          <t xml:space="preserve">  ⚙  SETTINGS</t>
        </is>
      </c>
    </row>
    <row r="2" ht="22" customHeight="1">
      <c r="A2" s="2" t="inlineStr">
        <is>
          <t xml:space="preserve">  Set your goals &amp; lists once — every tab follows.</t>
        </is>
      </c>
    </row>
    <row r="3" ht="6" customHeight="1">
      <c r="A3" s="3" t="n"/>
      <c r="B3" s="3" t="n"/>
      <c r="C3" s="3" t="n"/>
      <c r="D3" s="3" t="n"/>
      <c r="E3" s="3" t="n"/>
      <c r="F3" s="3" t="n"/>
      <c r="G3" s="3" t="n"/>
      <c r="H3" s="3" t="n"/>
      <c r="I3" s="3" t="n"/>
      <c r="J3" s="3" t="n"/>
    </row>
    <row r="5">
      <c r="B5" s="7" t="inlineStr">
        <is>
          <t>YOUR GOALS</t>
        </is>
      </c>
      <c r="E5" s="4" t="inlineStr">
        <is>
          <t>DROPDOWN LISTS</t>
        </is>
      </c>
    </row>
    <row r="6">
      <c r="B6" s="29" t="inlineStr">
        <is>
          <t>Household name</t>
        </is>
      </c>
      <c r="C6" s="50" t="inlineStr">
        <is>
          <t>Hearth &amp; Harvest</t>
        </is>
      </c>
      <c r="E6" s="9" t="inlineStr">
        <is>
          <t>Category</t>
        </is>
      </c>
      <c r="F6" s="9" t="inlineStr">
        <is>
          <t>Store</t>
        </is>
      </c>
      <c r="G6" s="9" t="inlineStr">
        <is>
          <t>Meal type</t>
        </is>
      </c>
      <c r="H6" s="9" t="inlineStr">
        <is>
          <t>Yes / No</t>
        </is>
      </c>
    </row>
    <row r="7">
      <c r="B7" s="29" t="inlineStr">
        <is>
          <t>Cook</t>
        </is>
      </c>
      <c r="C7" s="50" t="inlineStr">
        <is>
          <t>Nora</t>
        </is>
      </c>
      <c r="E7" s="19" t="inlineStr">
        <is>
          <t>Dinner</t>
        </is>
      </c>
      <c r="F7" s="19" t="inlineStr">
        <is>
          <t>Aldi</t>
        </is>
      </c>
      <c r="G7" s="19" t="inlineStr">
        <is>
          <t>Quick</t>
        </is>
      </c>
      <c r="H7" s="19" t="inlineStr">
        <is>
          <t>Yes</t>
        </is>
      </c>
    </row>
    <row r="8">
      <c r="B8" s="29" t="inlineStr">
        <is>
          <t>Monthly grocery budget</t>
        </is>
      </c>
      <c r="C8" s="44" t="n">
        <v>600</v>
      </c>
      <c r="E8" s="19" t="inlineStr">
        <is>
          <t>Lunch</t>
        </is>
      </c>
      <c r="F8" s="19" t="inlineStr">
        <is>
          <t>Costco</t>
        </is>
      </c>
      <c r="G8" s="19" t="inlineStr">
        <is>
          <t>Batch</t>
        </is>
      </c>
      <c r="H8" s="19" t="inlineStr">
        <is>
          <t>No</t>
        </is>
      </c>
    </row>
    <row r="9">
      <c r="B9" s="29" t="inlineStr">
        <is>
          <t>Save-per-serving goal</t>
        </is>
      </c>
      <c r="C9" s="44" t="n">
        <v>5</v>
      </c>
      <c r="E9" s="19" t="inlineStr">
        <is>
          <t>Breakfast</t>
        </is>
      </c>
      <c r="F9" s="19" t="inlineStr">
        <is>
          <t>Kroger</t>
        </is>
      </c>
      <c r="G9" s="19" t="inlineStr">
        <is>
          <t>One-pan</t>
        </is>
      </c>
    </row>
    <row r="10">
      <c r="B10" s="29" t="inlineStr">
        <is>
          <t>Cost-per-serving goal (under)</t>
        </is>
      </c>
      <c r="C10" s="44" t="n">
        <v>5</v>
      </c>
      <c r="E10" s="19" t="inlineStr">
        <is>
          <t>Snack</t>
        </is>
      </c>
      <c r="F10" s="19" t="inlineStr">
        <is>
          <t>Walmart</t>
        </is>
      </c>
      <c r="G10" s="19" t="inlineStr">
        <is>
          <t>Slow cooker</t>
        </is>
      </c>
    </row>
    <row r="11">
      <c r="B11" s="29" t="inlineStr">
        <is>
          <t>Price-book items goal</t>
        </is>
      </c>
      <c r="C11" s="51" t="n">
        <v>12</v>
      </c>
      <c r="E11" s="19" t="inlineStr">
        <is>
          <t>Dessert</t>
        </is>
      </c>
      <c r="F11" s="19" t="inlineStr">
        <is>
          <t>Farmers Mkt</t>
        </is>
      </c>
      <c r="G11" s="19" t="inlineStr">
        <is>
          <t>No-cook</t>
        </is>
      </c>
    </row>
    <row r="12">
      <c r="B12" s="29" t="inlineStr">
        <is>
          <t>Eating-out meals goal (max)</t>
        </is>
      </c>
      <c r="C12" s="51" t="n">
        <v>4</v>
      </c>
    </row>
    <row r="13">
      <c r="B13" s="29" t="inlineStr">
        <is>
          <t>Eat-out price / serving</t>
        </is>
      </c>
      <c r="C13" s="26" t="n">
        <v>12.5</v>
      </c>
    </row>
  </sheetData>
  <mergeCells count="4">
    <mergeCell ref="A1:J1"/>
    <mergeCell ref="B5:C5"/>
    <mergeCell ref="E5:J5"/>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2026-07-24T05:22:07Z</dcterms:created>
  <dcterms:modified xsi:type="dcterms:W3CDTF">2026-07-24T05:22:07Z</dcterms:modified>
</cp:coreProperties>
</file>