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Player Profile" sheetId="3" state="visible" r:id="rId3"/>
    <sheet name="Matches" sheetId="4" state="visible" r:id="rId4"/>
    <sheet name="Match Analytics" sheetId="5" state="visible" r:id="rId5"/>
    <sheet name="Tournaments" sheetId="6" state="visible" r:id="rId6"/>
    <sheet name="Practice" sheetId="7" state="visible" r:id="rId7"/>
    <sheet name="Skills" sheetId="8" state="visible" r:id="rId8"/>
    <sheet name="Fitness" sheetId="9" state="visible" r:id="rId9"/>
    <sheet name="Equipment" sheetId="10" state="visible" r:id="rId10"/>
    <sheet name="Budget" sheetId="11" state="visible" r:id="rId11"/>
    <sheet name="Partners" sheetId="12" state="visible" r:id="rId12"/>
    <sheet name="Coaching" sheetId="13" state="visible" r:id="rId13"/>
    <sheet name="Goals" sheetId="14" state="visible" r:id="rId14"/>
    <sheet name="Travel" sheetId="15" state="visible" r:id="rId15"/>
    <sheet name="Nutrition" sheetId="16" state="visible" r:id="rId16"/>
    <sheet name="Media" sheetId="17" state="visible" r:id="rId17"/>
    <sheet name="Season" sheetId="18" state="visible" r:id="rId18"/>
    <sheet name="Analytics" sheetId="19" state="visible" r:id="rId19"/>
    <sheet name="Settings" sheetId="20" state="visible" r:id="rId20"/>
  </sheets>
  <definedNames>
    <definedName name="PlayerName">Settings!$C$6</definedName>
    <definedName name="AgeDiv">Settings!$C$7</definedName>
    <definedName name="PlayerRating">Settings!$C$8</definedName>
    <definedName name="CurrentRank">Settings!$C$9</definedName>
    <definedName name="HomeClub">Settings!$C$10</definedName>
    <definedName name="MonthlyBudget">Settings!$C$11</definedName>
    <definedName name="SeasonTarget">Settings!$C$12</definedName>
    <definedName name="HoursTarget">Settings!$C$13</definedName>
    <definedName name="SurfaceList">Settings!$E$7:$E$10</definedName>
    <definedName name="FormatList">Settings!$F$7:$F$8</definedName>
    <definedName name="TournLevelList">Settings!$G$7:$G$13</definedName>
    <definedName name="SkillList">Settings!$H$7:$H$19</definedName>
    <definedName name="ExpenseCatList">Settings!$I$7:$I$17</definedName>
    <definedName name="EquipTypeList">Settings!$J$7:$J$15</definedName>
    <definedName name="GoalCatList">Settings!$K$7:$K$13</definedName>
    <definedName name="FocusList">Settings!$L$7:$L$14</definedName>
    <definedName name="ResultList">Settings!$E$22:$E$23</definedName>
    <definedName name="CondList">Settings!$F$22:$F$26</definedName>
    <definedName name="YesNoList">Settings!$G$22:$G$23</definedName>
    <definedName name="MatchDate">'Matches'!$A$5:$A$64</definedName>
    <definedName name="MatchSurface">'Matches'!$D$5:$D$64</definedName>
    <definedName name="MatchSetsW">'Matches'!$G$5:$G$64</definedName>
    <definedName name="MatchSetsL">'Matches'!$H$5:$H$64</definedName>
    <definedName name="MatchGamesW">'Matches'!$I$5:$I$64</definedName>
    <definedName name="MatchResult">'Matches'!$K$5:$K$64</definedName>
    <definedName name="ResultLabel">'Matches'!$N$5:$N$6</definedName>
    <definedName name="ResultCount">'Matches'!$O$5:$O$6</definedName>
    <definedName name="AnaDate">'Match Analytics'!$A$5:$A$44</definedName>
    <definedName name="Ana1stServe">'Match Analytics'!$C$5:$C$44</definedName>
    <definedName name="AnaAces">'Match Analytics'!$D$5:$D$44</definedName>
    <definedName name="TournName">'Tournaments'!$A$5:$A$34</definedName>
    <definedName name="TournDate">'Tournaments'!$C$5:$C$34</definedName>
    <definedName name="TournPlace">'Tournaments'!$G$5:$G$34</definedName>
    <definedName name="PracticeDate">'Practice'!$A$5:$A$44</definedName>
    <definedName name="PracticeHrs">'Practice'!$B$5:$B$44</definedName>
    <definedName name="SkillName">'Skills'!$A$5:$A$17</definedName>
    <definedName name="SkillStart">'Skills'!$B$5:$B$17</definedName>
    <definedName name="SkillCurrent">'Skills'!$C$5:$C$17</definedName>
    <definedName name="FitDate">'Fitness'!$A$5:$A$44</definedName>
    <definedName name="FitType">'Fitness'!$C$5:$C$44</definedName>
    <definedName name="EquipName">'Equipment'!$A$5:$A$34</definedName>
    <definedName name="EquipReplace">'Equipment'!$G$5:$G$34</definedName>
    <definedName name="BudgetCat">'Budget'!$A$5:$A$15</definedName>
    <definedName name="BudgetActual">'Budget'!$C$5:$C$15</definedName>
    <definedName name="BudgetTotalPlanned">'Budget'!$B$16</definedName>
    <definedName name="BudgetTotalActual">'Budget'!$C$16</definedName>
    <definedName name="PartnerName">'Partners'!$A$5:$A$8</definedName>
    <definedName name="GoalCategory">'Goals'!$B$5:$B$11</definedName>
    <definedName name="GoalProgress">'Goals'!$E$5:$E$11</definedName>
    <definedName name="HealthRange">'Analytics'!$C$7:$C$12</definedName>
    <definedName name="RateMonth">'Analytics'!$B$17:$B$22</definedName>
    <definedName name="RateVal">'Analytics'!$C$17:$C$22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&quot;$&quot;#,##0"/>
    <numFmt numFmtId="166" formatCode="yyyy-mm-dd"/>
    <numFmt numFmtId="167" formatCode="mm/dd/yyyy"/>
    <numFmt numFmtId="168" formatCode="&quot;$&quot;#,##0;[Red]-&quot;$&quot;#,##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color rgb="00937356"/>
      <sz val="11"/>
    </font>
    <font>
      <b val="1"/>
      <color rgb="001B4F48"/>
    </font>
    <font>
      <color rgb="001B4F48"/>
      <sz val="12"/>
    </font>
    <font>
      <color rgb="00937356"/>
      <sz val="12"/>
    </font>
    <font>
      <b val="1"/>
      <color rgb="001B4F48"/>
      <sz val="46"/>
    </font>
    <font>
      <b val="1"/>
      <color rgb="00937356"/>
      <sz val="9"/>
    </font>
    <font>
      <b val="1"/>
      <color rgb="001B4F48"/>
      <sz val="18"/>
    </font>
    <font>
      <b val="1"/>
      <color rgb="001B4F48"/>
      <sz val="16"/>
    </font>
  </fonts>
  <fills count="11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  <fill>
      <patternFill patternType="solid">
        <fgColor rgb="00E3F8EF"/>
      </patternFill>
    </fill>
    <fill>
      <patternFill patternType="solid">
        <fgColor rgb="00FBF8F2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74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0" fillId="6" borderId="2" applyAlignment="1" pivotButton="0" quotePrefix="0" xfId="0">
      <alignment horizontal="left" vertical="top" wrapText="1" indent="1"/>
    </xf>
    <xf numFmtId="0" fontId="0" fillId="6" borderId="0" pivotButton="0" quotePrefix="0" xfId="0"/>
    <xf numFmtId="0" fontId="16" fillId="7" borderId="4" applyAlignment="1" pivotButton="0" quotePrefix="0" xfId="0">
      <alignment horizontal="center" vertical="center"/>
    </xf>
    <xf numFmtId="0" fontId="0" fillId="7" borderId="4" pivotButton="0" quotePrefix="0" xfId="0"/>
    <xf numFmtId="3" fontId="17" fillId="7" borderId="2" applyAlignment="1" pivotButton="0" quotePrefix="0" xfId="0">
      <alignment horizontal="center" vertical="center"/>
    </xf>
    <xf numFmtId="0" fontId="0" fillId="7" borderId="2" pivotButton="0" quotePrefix="0" xfId="0"/>
    <xf numFmtId="9" fontId="17" fillId="7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164" fontId="17" fillId="7" borderId="2" applyAlignment="1" pivotButton="0" quotePrefix="0" xfId="0">
      <alignment horizontal="center" vertical="center"/>
    </xf>
    <xf numFmtId="165" fontId="17" fillId="7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4" fontId="7" fillId="0" borderId="2" applyAlignment="1" pivotButton="0" quotePrefix="0" xfId="10">
      <alignment horizontal="left" vertical="center" indent="1"/>
    </xf>
    <xf numFmtId="0" fontId="11" fillId="0" borderId="2" applyAlignment="1" pivotButton="0" quotePrefix="0" xfId="0">
      <alignment horizontal="center"/>
    </xf>
    <xf numFmtId="0" fontId="6" fillId="0" borderId="2" applyAlignment="1" pivotButton="0" quotePrefix="0" xfId="7">
      <alignment horizontal="left" vertical="center" wrapText="1" indent="1"/>
    </xf>
    <xf numFmtId="167" fontId="6" fillId="7" borderId="2" applyAlignment="1" pivotButton="0" quotePrefix="0" xfId="6">
      <alignment horizontal="center" vertical="center" wrapText="1"/>
    </xf>
    <xf numFmtId="0" fontId="6" fillId="7" borderId="2" applyAlignment="1" pivotButton="0" quotePrefix="0" xfId="7">
      <alignment horizontal="left" vertical="center" wrapText="1" indent="1"/>
    </xf>
    <xf numFmtId="0" fontId="6" fillId="7" borderId="2" applyAlignment="1" pivotButton="0" quotePrefix="0" xfId="6">
      <alignment horizontal="center" vertical="center" wrapText="1"/>
    </xf>
    <xf numFmtId="3" fontId="6" fillId="7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3" fontId="12" fillId="3" borderId="2" applyAlignment="1" pivotButton="0" quotePrefix="0" xfId="6">
      <alignment horizontal="center" vertical="center" wrapText="1"/>
    </xf>
    <xf numFmtId="9" fontId="6" fillId="7" borderId="2" applyAlignment="1" pivotButton="0" quotePrefix="0" xfId="6">
      <alignment horizontal="center" vertical="center" wrapText="1"/>
    </xf>
    <xf numFmtId="164" fontId="6" fillId="7" borderId="2" applyAlignment="1" pivotButton="0" quotePrefix="0" xfId="6">
      <alignment horizontal="center" vertical="center" wrapText="1"/>
    </xf>
    <xf numFmtId="9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9" fontId="12" fillId="3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165" fontId="6" fillId="7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5" fontId="12" fillId="3" borderId="2" applyAlignment="1" pivotButton="0" quotePrefix="0" xfId="6">
      <alignment horizontal="center" vertical="center" wrapText="1"/>
    </xf>
    <xf numFmtId="1" fontId="6" fillId="0" borderId="2" applyAlignment="1" pivotButton="0" quotePrefix="0" xfId="6">
      <alignment horizontal="center" vertical="center" wrapText="1"/>
    </xf>
    <xf numFmtId="1" fontId="7" fillId="3" borderId="2" applyAlignment="1" pivotButton="0" quotePrefix="0" xfId="8">
      <alignment horizontal="center" vertical="center"/>
    </xf>
    <xf numFmtId="1" fontId="6" fillId="8" borderId="2" applyAlignment="1" pivotButton="0" quotePrefix="0" xfId="6">
      <alignment horizontal="center" vertical="center" wrapText="1"/>
    </xf>
    <xf numFmtId="1" fontId="7" fillId="8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  <xf numFmtId="168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165" fontId="7" fillId="8" borderId="2" applyAlignment="1" pivotButton="0" quotePrefix="0" xfId="8">
      <alignment horizontal="center" vertical="center"/>
    </xf>
    <xf numFmtId="168" fontId="6" fillId="8" borderId="2" applyAlignment="1" pivotButton="0" quotePrefix="0" xfId="6">
      <alignment horizontal="center" vertical="center" wrapText="1"/>
    </xf>
    <xf numFmtId="165" fontId="7" fillId="0" borderId="2" applyAlignment="1" pivotButton="0" quotePrefix="0" xfId="10">
      <alignment horizontal="left" vertical="center" indent="1"/>
    </xf>
    <xf numFmtId="0" fontId="12" fillId="0" borderId="2" applyAlignment="1" pivotButton="0" quotePrefix="0" xfId="6">
      <alignment horizontal="center" vertical="center" wrapText="1"/>
    </xf>
    <xf numFmtId="0" fontId="12" fillId="8" borderId="2" applyAlignment="1" pivotButton="0" quotePrefix="0" xfId="6">
      <alignment horizontal="center" vertical="center" wrapText="1"/>
    </xf>
    <xf numFmtId="9" fontId="7" fillId="3" borderId="2" applyAlignment="1" pivotButton="0" quotePrefix="0" xfId="8">
      <alignment horizontal="center" vertical="center"/>
    </xf>
    <xf numFmtId="9" fontId="7" fillId="8" borderId="2" applyAlignment="1" pivotButton="0" quotePrefix="0" xfId="8">
      <alignment horizontal="center" vertical="center"/>
    </xf>
    <xf numFmtId="0" fontId="13" fillId="9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0" fontId="6" fillId="6" borderId="2" applyAlignment="1" pivotButton="0" quotePrefix="0" xfId="7">
      <alignment horizontal="left" vertical="center" wrapText="1" indent="1"/>
    </xf>
    <xf numFmtId="0" fontId="6" fillId="9" borderId="2" applyAlignment="1" pivotButton="0" quotePrefix="0" xfId="7">
      <alignment horizontal="left" vertical="center" wrapText="1" indent="1"/>
    </xf>
    <xf numFmtId="0" fontId="6" fillId="3" borderId="2" applyAlignment="1" pivotButton="0" quotePrefix="0" xfId="7">
      <alignment horizontal="left" vertical="center" wrapText="1" indent="1"/>
    </xf>
    <xf numFmtId="0" fontId="6" fillId="4" borderId="2" applyAlignment="1" pivotButton="0" quotePrefix="0" xfId="6">
      <alignment horizontal="center" vertical="center" wrapText="1"/>
    </xf>
    <xf numFmtId="0" fontId="6" fillId="6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9" fontId="15" fillId="10" borderId="4" applyAlignment="1" pivotButton="0" quotePrefix="0" xfId="0">
      <alignment horizontal="center" vertical="center"/>
    </xf>
    <xf numFmtId="0" fontId="0" fillId="10" borderId="4" pivotButton="0" quotePrefix="0" xfId="0"/>
    <xf numFmtId="0" fontId="0" fillId="10" borderId="2" pivotButton="0" quotePrefix="0" xfId="0"/>
    <xf numFmtId="0" fontId="2" fillId="10" borderId="1" applyAlignment="1" pivotButton="0" quotePrefix="0" xfId="2">
      <alignment horizontal="left" vertical="center" indent="2"/>
    </xf>
    <xf numFmtId="164" fontId="6" fillId="0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6">
    <dxf>
      <font>
        <b val="1"/>
        <color rgb="001B4F48"/>
      </font>
      <fill>
        <patternFill patternType="solid">
          <fgColor rgb="00E3F8EF"/>
        </patternFill>
      </fill>
    </dxf>
    <dxf>
      <font>
        <b val="1"/>
        <color rgb="00C94C4C"/>
      </font>
      <fill>
        <patternFill patternType="solid">
          <fgColor rgb="00FBE6E6"/>
        </patternFill>
      </fill>
    </dxf>
    <dxf>
      <fill>
        <patternFill patternType="solid">
          <fgColor rgb="00FBF0E2"/>
        </patternFill>
      </fill>
    </dxf>
    <dxf>
      <font>
        <b val="1"/>
        <color rgb="00937356"/>
      </font>
      <fill>
        <patternFill patternType="solid">
          <fgColor rgb="00FBF0E2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Match Results (W/L)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'Matches'!$N$5:$N$6</f>
            </numRef>
          </cat>
          <val>
            <numRef>
              <f>'Matches'!$O$5:$O$6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Rating Progress (UTR)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'Analytics'!$B$17:$B$22</f>
            </numRef>
          </cat>
          <val>
            <numRef>
              <f>'Analytics'!$C$17:$C$22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 Progress — Start vs Now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'Skills'!B4</f>
            </strRef>
          </tx>
          <spPr>
            <a:ln>
              <a:prstDash val="solid"/>
            </a:ln>
          </spPr>
          <cat>
            <numRef>
              <f>'Skills'!$A$5:$A$17</f>
            </numRef>
          </cat>
          <val>
            <numRef>
              <f>'Skills'!$B$5:$B$17</f>
            </numRef>
          </val>
        </ser>
        <ser>
          <idx val="1"/>
          <order val="1"/>
          <tx>
            <strRef>
              <f>'Skills'!C4</f>
            </strRef>
          </tx>
          <spPr>
            <a:ln>
              <a:prstDash val="solid"/>
            </a:ln>
          </spPr>
          <cat>
            <numRef>
              <f>'Skills'!$A$5:$A$17</f>
            </numRef>
          </cat>
          <val>
            <numRef>
              <f>'Skills'!$C$5:$C$17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'Budget'!$A$5:$A$15</f>
            </numRef>
          </cat>
          <val>
            <numRef>
              <f>'Budget'!$C$5:$C$15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Serve Stats — Aces vs Double Faults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'Match Analytics'!D4</f>
            </strRef>
          </tx>
          <spPr>
            <a:ln>
              <a:prstDash val="solid"/>
            </a:ln>
          </spPr>
          <cat>
            <numRef>
              <f>'Match Analytics'!$B$5:$B$44</f>
            </numRef>
          </cat>
          <val>
            <numRef>
              <f>'Match Analytics'!$D$5:$D$44</f>
            </numRef>
          </val>
        </ser>
        <ser>
          <idx val="1"/>
          <order val="1"/>
          <tx>
            <strRef>
              <f>'Match Analytics'!E4</f>
            </strRef>
          </tx>
          <spPr>
            <a:ln>
              <a:prstDash val="solid"/>
            </a:ln>
          </spPr>
          <cat>
            <numRef>
              <f>'Match Analytics'!$B$5:$B$44</f>
            </numRef>
          </cat>
          <val>
            <numRef>
              <f>'Match Analytics'!$E$5:$E$44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 Progress — Start vs Now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'Skills'!B4</f>
            </strRef>
          </tx>
          <spPr>
            <a:ln>
              <a:prstDash val="solid"/>
            </a:ln>
          </spPr>
          <cat>
            <numRef>
              <f>'Skills'!$A$5:$A$17</f>
            </numRef>
          </cat>
          <val>
            <numRef>
              <f>'Skills'!$B$5:$B$17</f>
            </numRef>
          </val>
        </ser>
        <ser>
          <idx val="1"/>
          <order val="1"/>
          <tx>
            <strRef>
              <f>'Skills'!C4</f>
            </strRef>
          </tx>
          <spPr>
            <a:ln>
              <a:prstDash val="solid"/>
            </a:ln>
          </spPr>
          <cat>
            <numRef>
              <f>'Skills'!$A$5:$A$17</f>
            </numRef>
          </cat>
          <val>
            <numRef>
              <f>'Skills'!$C$5:$C$17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2" customWidth="1" min="2" max="2"/>
    <col width="3" customWidth="1" min="3" max="3"/>
  </cols>
  <sheetData>
    <row r="1" ht="58" customHeight="1">
      <c r="A1" s="1" t="inlineStr">
        <is>
          <t xml:space="preserve">  🎾  TENNIS COMMAND CENTER™</t>
        </is>
      </c>
    </row>
    <row r="2" ht="24" customHeight="1">
      <c r="A2" s="2" t="inlineStr">
        <is>
          <t xml:space="preserve">  The ultimate tennis performance, training &amp; tournament management system.</t>
        </is>
      </c>
    </row>
    <row r="3" ht="6" customHeight="1">
      <c r="A3" s="3" t="n"/>
      <c r="B3" s="3" t="n"/>
      <c r="C3" s="3" t="n"/>
    </row>
    <row r="5">
      <c r="B5" s="4" t="inlineStr">
        <is>
          <t>TRAIN LIKE A PRO — ORGANIZE LIKE AN ACADEMY</t>
        </is>
      </c>
    </row>
    <row r="6" ht="22" customHeight="1">
      <c r="B6" s="5" t="inlineStr">
        <is>
          <t>Most tennis planners only track scores. Tennis Command Center™ brings match tracking, match analytics, tournaments, practice, skills, fitness, equipment, finances, coaching and long-term development into ONE premium Excel &amp; Google Sheets dashboard — with academy-level reporting and automation. Whether you're a junior chasing a ranking, a league player, or a coach managing athletes, this is your tennis operating system.</t>
        </is>
      </c>
    </row>
    <row r="7" ht="22" customHeight="1"/>
    <row r="8" ht="22" customHeight="1"/>
    <row r="9" ht="22" customHeight="1"/>
    <row r="11">
      <c r="B11" s="6" t="inlineStr">
        <is>
          <t>START HERE</t>
        </is>
      </c>
    </row>
    <row r="12" ht="22" customHeight="1">
      <c r="B12" s="5" t="inlineStr">
        <is>
          <t>1.  Open Settings and add your name, rating, ranking &amp; season target.</t>
        </is>
      </c>
    </row>
    <row r="13" ht="22" customHeight="1">
      <c r="B13" s="5" t="inlineStr">
        <is>
          <t>2.  Fill in your Player Profile (division, backhand style, coach, goals).</t>
        </is>
      </c>
    </row>
    <row r="14" ht="22" customHeight="1">
      <c r="B14" s="5" t="inlineStr">
        <is>
          <t>3.  Log matches — win %, sets, games &amp; surface stats calculate themselves.</t>
        </is>
      </c>
    </row>
    <row r="15" ht="22" customHeight="1">
      <c r="B15" s="5" t="inlineStr">
        <is>
          <t>4.  Track serve &amp; rally stats in Match Analytics; rate your skills.</t>
        </is>
      </c>
    </row>
    <row r="16" ht="22" customHeight="1">
      <c r="B16" s="5" t="inlineStr">
        <is>
          <t>5.  Plan practice &amp; tournaments, set budgets, log fitness — all rolls up.</t>
        </is>
      </c>
    </row>
    <row r="17" ht="22" customHeight="1">
      <c r="B17" s="5" t="inlineStr">
        <is>
          <t>6.  Watch the Executive Dashboard track wins, rating &amp; your performance score.</t>
        </is>
      </c>
    </row>
    <row r="20" ht="26" customHeight="1">
      <c r="B20" s="7" t="inlineStr">
        <is>
          <t xml:space="preserve">  GOOD TO KNOW</t>
        </is>
      </c>
    </row>
    <row r="21" ht="22" customHeight="1">
      <c r="B21" s="8" t="inlineStr">
        <is>
          <t>Realistic sample data (a competitive U16 junior season) is included so you can see how everything connects — just type over it with your own. Win %, sets &amp; games won, surface records, serve stats, skill progress, budget and the Player Performance Score all update automatically. Every sheet is print-friendly and works in Excel and Google Sheets, on desktop and mobile.</t>
        </is>
      </c>
    </row>
    <row r="22" ht="22" customHeight="1">
      <c r="B22" s="9" t="n"/>
    </row>
    <row r="23" ht="22" customHeight="1">
      <c r="B23" s="9" t="n"/>
    </row>
    <row r="25">
      <c r="B25" s="4" t="inlineStr">
        <is>
          <t>One organized system, better tennis — game, set, match!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🎾  TENNIS COMMAND CENTER™</t>
        </is>
      </c>
    </row>
    <row r="2" ht="24" customHeight="1">
      <c r="A2" s="2" t="inlineStr">
        <is>
          <t xml:space="preserve">  Matches, analytics, tournaments, fitness &amp; finances — your whole game,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MATCHES PLAYED</t>
        </is>
      </c>
      <c r="C5" s="11" t="n"/>
      <c r="D5" s="10" t="inlineStr">
        <is>
          <t>WIN PERCENTAGE</t>
        </is>
      </c>
      <c r="E5" s="11" t="n"/>
      <c r="F5" s="10" t="inlineStr">
        <is>
          <t>CURRENT RANKING</t>
        </is>
      </c>
      <c r="G5" s="11" t="n"/>
      <c r="H5" s="10" t="inlineStr">
        <is>
          <t>CURRENT RATING</t>
        </is>
      </c>
      <c r="I5" s="11" t="n"/>
      <c r="J5" s="10" t="inlineStr">
        <is>
          <t>PRACTICE HOURS</t>
        </is>
      </c>
      <c r="K5" s="11" t="n"/>
      <c r="L5" s="10" t="inlineStr">
        <is>
          <t>TOURNAMENT WINS</t>
        </is>
      </c>
      <c r="M5" s="11" t="n"/>
    </row>
    <row r="6" ht="40" customHeight="1">
      <c r="B6" s="12">
        <f>COUNTA(MatchResult)</f>
        <v/>
      </c>
      <c r="C6" s="13" t="n"/>
      <c r="D6" s="14">
        <f>IFERROR(COUNTIF(MatchResult,"W")/COUNTA(MatchResult),0)</f>
        <v/>
      </c>
      <c r="E6" s="13" t="n"/>
      <c r="F6" s="15">
        <f>"#"&amp;CurrentRank</f>
        <v/>
      </c>
      <c r="G6" s="13" t="n"/>
      <c r="H6" s="16">
        <f>PlayerRating</f>
        <v/>
      </c>
      <c r="I6" s="13" t="n"/>
      <c r="J6" s="16">
        <f>SUM(PracticeHrs)</f>
        <v/>
      </c>
      <c r="K6" s="13" t="n"/>
      <c r="L6" s="12">
        <f>COUNTIF(TournPlace,"1st")</f>
        <v/>
      </c>
      <c r="M6" s="13" t="n"/>
    </row>
    <row r="8" ht="18" customHeight="1">
      <c r="B8" s="10" t="inlineStr">
        <is>
          <t>SETS WON</t>
        </is>
      </c>
      <c r="C8" s="11" t="n"/>
      <c r="D8" s="10" t="inlineStr">
        <is>
          <t>GAMES WON</t>
        </is>
      </c>
      <c r="E8" s="11" t="n"/>
      <c r="F8" s="10" t="inlineStr">
        <is>
          <t>FITNESS SCORE</t>
        </is>
      </c>
      <c r="G8" s="11" t="n"/>
      <c r="H8" s="10" t="inlineStr">
        <is>
          <t>GEAR TO REPLACE</t>
        </is>
      </c>
      <c r="I8" s="11" t="n"/>
      <c r="J8" s="10" t="inlineStr">
        <is>
          <t>MONTHLY BUDGET</t>
        </is>
      </c>
      <c r="K8" s="11" t="n"/>
      <c r="L8" s="10" t="inlineStr">
        <is>
          <t>PERFORMANCE</t>
        </is>
      </c>
      <c r="M8" s="11" t="n"/>
    </row>
    <row r="9" ht="40" customHeight="1">
      <c r="B9" s="12">
        <f>SUM(MatchSetsW)</f>
        <v/>
      </c>
      <c r="C9" s="13" t="n"/>
      <c r="D9" s="12">
        <f>SUM(MatchGamesW)</f>
        <v/>
      </c>
      <c r="E9" s="13" t="n"/>
      <c r="F9" s="14">
        <f>IFERROR(AVERAGEIF(GoalCategory,"Fitness",GoalProgress),0)</f>
        <v/>
      </c>
      <c r="G9" s="13" t="n"/>
      <c r="H9" s="12">
        <f>SUMPRODUCT((EquipReplace&lt;=TODAY()+45)*(EquipReplace&lt;&gt;"")*(EquipName&lt;&gt;""))</f>
        <v/>
      </c>
      <c r="I9" s="13" t="n"/>
      <c r="J9" s="17">
        <f>MonthlyBudget</f>
        <v/>
      </c>
      <c r="K9" s="13" t="n"/>
      <c r="L9" s="14">
        <f>IFERROR(AVERAGE(HealthRange),0)</f>
        <v/>
      </c>
      <c r="M9" s="13" t="n"/>
    </row>
    <row r="11" ht="26" customHeight="1">
      <c r="B11" s="4" t="inlineStr">
        <is>
          <t>MATCHES &amp; RATING</t>
        </is>
      </c>
    </row>
    <row r="29" ht="26" customHeight="1">
      <c r="B29" s="4" t="inlineStr">
        <is>
          <t>SKILLS &amp; SPENDING</t>
        </is>
      </c>
    </row>
    <row r="47" ht="26" customHeight="1">
      <c r="B47" s="2" t="inlineStr">
        <is>
          <t>Tennis Command Center™ — train, compete &amp; improve, one organized season at a time.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8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🎾  PLAYER PROFILE</t>
        </is>
      </c>
    </row>
    <row r="2" ht="22" customHeight="1">
      <c r="A2" s="2" t="inlineStr">
        <is>
          <t xml:space="preserve">  Who you are on court — the essentials, all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PLAYER</t>
        </is>
      </c>
    </row>
    <row r="6" ht="24" customHeight="1">
      <c r="B6" s="18" t="inlineStr">
        <is>
          <t>Player Name</t>
        </is>
      </c>
      <c r="C6" s="19">
        <f>PlayerName</f>
        <v/>
      </c>
      <c r="E6" s="18" t="inlineStr">
        <is>
          <t>Age Division</t>
        </is>
      </c>
      <c r="F6" s="19">
        <f>AgeDiv</f>
        <v/>
      </c>
    </row>
    <row r="7" ht="24" customHeight="1">
      <c r="B7" s="18" t="inlineStr">
        <is>
          <t>Current Rating (UTR)</t>
        </is>
      </c>
      <c r="C7" s="20">
        <f>PlayerRating</f>
        <v/>
      </c>
      <c r="E7" s="18" t="inlineStr">
        <is>
          <t>Current Ranking</t>
        </is>
      </c>
      <c r="F7" s="19">
        <f>CurrentRank</f>
        <v/>
      </c>
    </row>
    <row r="8" ht="24" customHeight="1">
      <c r="B8" s="18" t="inlineStr">
        <is>
          <t>Dominant Hand</t>
        </is>
      </c>
      <c r="C8" s="19" t="inlineStr">
        <is>
          <t>Right</t>
        </is>
      </c>
      <c r="E8" s="18" t="inlineStr">
        <is>
          <t>Backhand Style</t>
        </is>
      </c>
      <c r="F8" s="19" t="inlineStr">
        <is>
          <t>Two-handed</t>
        </is>
      </c>
    </row>
    <row r="10" ht="22" customHeight="1">
      <c r="B10" s="4" t="inlineStr">
        <is>
          <t>TEAM &amp; SUPPORT</t>
        </is>
      </c>
    </row>
    <row r="11" ht="24" customHeight="1">
      <c r="B11" s="18" t="inlineStr">
        <is>
          <t>Home Club</t>
        </is>
      </c>
      <c r="C11" s="19">
        <f>HomeClub</f>
        <v/>
      </c>
      <c r="E11" s="18" t="inlineStr">
        <is>
          <t>Head Coach</t>
        </is>
      </c>
      <c r="F11" s="19" t="inlineStr">
        <is>
          <t>Coach Petrov</t>
        </is>
      </c>
    </row>
    <row r="12" ht="24" customHeight="1">
      <c r="B12" s="18" t="inlineStr">
        <is>
          <t>Fitness Coach</t>
        </is>
      </c>
      <c r="C12" s="19" t="inlineStr">
        <is>
          <t>Coach Reyes</t>
        </is>
      </c>
      <c r="E12" s="18" t="inlineStr">
        <is>
          <t>Playing Since</t>
        </is>
      </c>
      <c r="F12" s="19" t="inlineStr">
        <is>
          <t>2016</t>
        </is>
      </c>
    </row>
    <row r="13" ht="24" customHeight="1">
      <c r="B13" s="18" t="inlineStr">
        <is>
          <t>Emergency Contact</t>
        </is>
      </c>
      <c r="C13" s="19" t="inlineStr">
        <is>
          <t>Mom — (555) 210-4521</t>
        </is>
      </c>
      <c r="E13" s="18" t="inlineStr">
        <is>
          <t>Medical Notes</t>
        </is>
      </c>
      <c r="F13" s="19" t="inlineStr">
        <is>
          <t>Mild asthma — carry inhaler</t>
        </is>
      </c>
    </row>
    <row r="15" ht="22" customHeight="1">
      <c r="B15" s="4" t="inlineStr">
        <is>
          <t>LONG-TERM GOALS</t>
        </is>
      </c>
    </row>
    <row r="16">
      <c r="B16" s="21" t="inlineStr">
        <is>
          <t>◆</t>
        </is>
      </c>
      <c r="C16" s="22" t="inlineStr">
        <is>
          <t>Reach a UTR of 9.0</t>
        </is>
      </c>
    </row>
    <row r="17">
      <c r="B17" s="21" t="inlineStr">
        <is>
          <t>◆</t>
        </is>
      </c>
      <c r="C17" s="22" t="inlineStr">
        <is>
          <t>Win a sectional Level 2 tournament</t>
        </is>
      </c>
    </row>
    <row r="18">
      <c r="B18" s="21" t="inlineStr">
        <is>
          <t>◆</t>
        </is>
      </c>
      <c r="C18" s="22" t="inlineStr">
        <is>
          <t>Crack the top 10 in the section</t>
        </is>
      </c>
    </row>
    <row r="19">
      <c r="B19" s="21" t="inlineStr">
        <is>
          <t>◆</t>
        </is>
      </c>
      <c r="C19" s="22" t="inlineStr">
        <is>
          <t>Earn a college team spot by senior year</t>
        </is>
      </c>
    </row>
  </sheetData>
  <mergeCells count="9">
    <mergeCell ref="C18:F18"/>
    <mergeCell ref="A1:G1"/>
    <mergeCell ref="C17:F17"/>
    <mergeCell ref="B15:F15"/>
    <mergeCell ref="B10:F10"/>
    <mergeCell ref="B5:F5"/>
    <mergeCell ref="C16:F16"/>
    <mergeCell ref="A2:G2"/>
    <mergeCell ref="C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O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0" customWidth="1" min="4" max="4"/>
    <col width="11" customWidth="1" min="5" max="5"/>
    <col width="13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6" customWidth="1" min="12" max="12"/>
    <col width="3" customWidth="1" min="13" max="13"/>
    <col width="12" customWidth="1" min="14" max="14"/>
    <col width="10" customWidth="1" min="15" max="15"/>
  </cols>
  <sheetData>
    <row r="1" ht="46" customHeight="1">
      <c r="A1" s="1" t="inlineStr">
        <is>
          <t xml:space="preserve">  🎾  MATCH TRACKER</t>
        </is>
      </c>
    </row>
    <row r="2" ht="22" customHeight="1">
      <c r="A2" s="2" t="inlineStr">
        <is>
          <t xml:space="preserve">  Every match logged — win %, sets, games &amp; surface records all calculate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7" t="inlineStr">
        <is>
          <t>Date</t>
        </is>
      </c>
      <c r="B4" s="7" t="inlineStr">
        <is>
          <t>Opponent</t>
        </is>
      </c>
      <c r="C4" s="7" t="inlineStr">
        <is>
          <t>Event</t>
        </is>
      </c>
      <c r="D4" s="7" t="inlineStr">
        <is>
          <t>Surface</t>
        </is>
      </c>
      <c r="E4" s="7" t="inlineStr">
        <is>
          <t>Format</t>
        </is>
      </c>
      <c r="F4" s="7" t="inlineStr">
        <is>
          <t>Score</t>
        </is>
      </c>
      <c r="G4" s="7" t="inlineStr">
        <is>
          <t>Sets W</t>
        </is>
      </c>
      <c r="H4" s="7" t="inlineStr">
        <is>
          <t>Sets L</t>
        </is>
      </c>
      <c r="I4" s="7" t="inlineStr">
        <is>
          <t>Games W</t>
        </is>
      </c>
      <c r="J4" s="7" t="inlineStr">
        <is>
          <t>Games L</t>
        </is>
      </c>
      <c r="K4" s="7" t="inlineStr">
        <is>
          <t>Result</t>
        </is>
      </c>
      <c r="L4" s="7" t="inlineStr">
        <is>
          <t>Notes</t>
        </is>
      </c>
      <c r="N4" s="7" t="inlineStr">
        <is>
          <t>Result</t>
        </is>
      </c>
      <c r="O4" s="7" t="inlineStr">
        <is>
          <t>Count</t>
        </is>
      </c>
    </row>
    <row r="5">
      <c r="A5" s="23" t="n">
        <v>46128</v>
      </c>
      <c r="B5" s="24" t="inlineStr">
        <is>
          <t>A. Novak</t>
        </is>
      </c>
      <c r="C5" s="24" t="inlineStr">
        <is>
          <t>Cedar Open</t>
        </is>
      </c>
      <c r="D5" s="25" t="inlineStr">
        <is>
          <t>Hard</t>
        </is>
      </c>
      <c r="E5" s="25" t="inlineStr">
        <is>
          <t>Singles</t>
        </is>
      </c>
      <c r="F5" s="25" t="inlineStr">
        <is>
          <t>6-2, 6-3</t>
        </is>
      </c>
      <c r="G5" s="26" t="n">
        <v>2</v>
      </c>
      <c r="H5" s="26" t="n">
        <v>0</v>
      </c>
      <c r="I5" s="26" t="n">
        <v>12</v>
      </c>
      <c r="J5" s="26" t="n">
        <v>5</v>
      </c>
      <c r="K5" s="25">
        <f>IF(G5="","",IF(G5&gt;H5,"W","L"))</f>
        <v/>
      </c>
      <c r="L5" s="24" t="inlineStr">
        <is>
          <t>Clean start</t>
        </is>
      </c>
      <c r="N5" s="22" t="inlineStr">
        <is>
          <t>Wins</t>
        </is>
      </c>
      <c r="O5" s="27">
        <f>COUNTIF(MatchResult,"W")</f>
        <v/>
      </c>
    </row>
    <row r="6">
      <c r="A6" s="28" t="n">
        <v>46131</v>
      </c>
      <c r="B6" s="29" t="inlineStr">
        <is>
          <t>R. Silva</t>
        </is>
      </c>
      <c r="C6" s="29" t="inlineStr">
        <is>
          <t>Cedar Open</t>
        </is>
      </c>
      <c r="D6" s="30" t="inlineStr">
        <is>
          <t>Clay</t>
        </is>
      </c>
      <c r="E6" s="30" t="inlineStr">
        <is>
          <t>Singles</t>
        </is>
      </c>
      <c r="F6" s="30" t="inlineStr">
        <is>
          <t>6-4, 3-6, 6-3</t>
        </is>
      </c>
      <c r="G6" s="31" t="n">
        <v>2</v>
      </c>
      <c r="H6" s="31" t="n">
        <v>1</v>
      </c>
      <c r="I6" s="31" t="n">
        <v>15</v>
      </c>
      <c r="J6" s="31" t="n">
        <v>13</v>
      </c>
      <c r="K6" s="30">
        <f>IF(G6="","",IF(G6&gt;H6,"W","L"))</f>
        <v/>
      </c>
      <c r="L6" s="29" t="inlineStr">
        <is>
          <t>Battled back</t>
        </is>
      </c>
      <c r="N6" s="22" t="inlineStr">
        <is>
          <t>Losses</t>
        </is>
      </c>
      <c r="O6" s="27">
        <f>COUNTIF(MatchResult,"L")</f>
        <v/>
      </c>
    </row>
    <row r="7">
      <c r="A7" s="23" t="n">
        <v>46135</v>
      </c>
      <c r="B7" s="24" t="inlineStr">
        <is>
          <t>K. Adeyemi</t>
        </is>
      </c>
      <c r="C7" s="24" t="inlineStr">
        <is>
          <t>Spring Sectional</t>
        </is>
      </c>
      <c r="D7" s="25" t="inlineStr">
        <is>
          <t>Hard</t>
        </is>
      </c>
      <c r="E7" s="25" t="inlineStr">
        <is>
          <t>Singles</t>
        </is>
      </c>
      <c r="F7" s="25" t="inlineStr">
        <is>
          <t>6-4, 6-4</t>
        </is>
      </c>
      <c r="G7" s="26" t="n">
        <v>2</v>
      </c>
      <c r="H7" s="26" t="n">
        <v>0</v>
      </c>
      <c r="I7" s="26" t="n">
        <v>12</v>
      </c>
      <c r="J7" s="26" t="n">
        <v>8</v>
      </c>
      <c r="K7" s="25">
        <f>IF(G7="","",IF(G7&gt;H7,"W","L"))</f>
        <v/>
      </c>
      <c r="L7" s="24" t="inlineStr">
        <is>
          <t>Solid</t>
        </is>
      </c>
    </row>
    <row r="8">
      <c r="A8" s="28" t="n">
        <v>46136</v>
      </c>
      <c r="B8" s="29" t="inlineStr">
        <is>
          <t>Team Foster</t>
        </is>
      </c>
      <c r="C8" s="29" t="inlineStr">
        <is>
          <t>Spring Sectional</t>
        </is>
      </c>
      <c r="D8" s="30" t="inlineStr">
        <is>
          <t>Hard</t>
        </is>
      </c>
      <c r="E8" s="30" t="inlineStr">
        <is>
          <t>Doubles</t>
        </is>
      </c>
      <c r="F8" s="30" t="inlineStr">
        <is>
          <t>6-3, 6-4</t>
        </is>
      </c>
      <c r="G8" s="31" t="n">
        <v>2</v>
      </c>
      <c r="H8" s="31" t="n">
        <v>0</v>
      </c>
      <c r="I8" s="31" t="n">
        <v>12</v>
      </c>
      <c r="J8" s="31" t="n">
        <v>7</v>
      </c>
      <c r="K8" s="30">
        <f>IF(G8="","",IF(G8&gt;H8,"W","L"))</f>
        <v/>
      </c>
      <c r="L8" s="29" t="inlineStr">
        <is>
          <t>Great chemistry</t>
        </is>
      </c>
      <c r="N8" s="7" t="inlineStr">
        <is>
          <t>Surface</t>
        </is>
      </c>
      <c r="O8" s="7" t="inlineStr">
        <is>
          <t>Wins</t>
        </is>
      </c>
    </row>
    <row r="9">
      <c r="A9" s="23" t="n">
        <v>46140</v>
      </c>
      <c r="B9" s="24" t="inlineStr">
        <is>
          <t>L. Marchetti</t>
        </is>
      </c>
      <c r="C9" s="24" t="inlineStr">
        <is>
          <t>Spring Sectional</t>
        </is>
      </c>
      <c r="D9" s="25" t="inlineStr">
        <is>
          <t>Clay</t>
        </is>
      </c>
      <c r="E9" s="25" t="inlineStr">
        <is>
          <t>Singles</t>
        </is>
      </c>
      <c r="F9" s="25" t="inlineStr">
        <is>
          <t>7-5, 4-6, 6-3</t>
        </is>
      </c>
      <c r="G9" s="26" t="n">
        <v>2</v>
      </c>
      <c r="H9" s="26" t="n">
        <v>1</v>
      </c>
      <c r="I9" s="26" t="n">
        <v>17</v>
      </c>
      <c r="J9" s="26" t="n">
        <v>14</v>
      </c>
      <c r="K9" s="25">
        <f>IF(G9="","",IF(G9&gt;H9,"W","L"))</f>
        <v/>
      </c>
      <c r="L9" s="24" t="inlineStr">
        <is>
          <t>3-set grind</t>
        </is>
      </c>
      <c r="N9" s="22" t="inlineStr">
        <is>
          <t>Hard</t>
        </is>
      </c>
      <c r="O9" s="27">
        <f>COUNTIFS(MatchSurface,N9,MatchResult,"W")</f>
        <v/>
      </c>
    </row>
    <row r="10">
      <c r="A10" s="28" t="n">
        <v>46143</v>
      </c>
      <c r="B10" s="29" t="inlineStr">
        <is>
          <t>D. Okafor</t>
        </is>
      </c>
      <c r="C10" s="29" t="inlineStr">
        <is>
          <t>League Wk 3</t>
        </is>
      </c>
      <c r="D10" s="30" t="inlineStr">
        <is>
          <t>Hard</t>
        </is>
      </c>
      <c r="E10" s="30" t="inlineStr">
        <is>
          <t>Singles</t>
        </is>
      </c>
      <c r="F10" s="30" t="inlineStr">
        <is>
          <t>6-1, 6-2</t>
        </is>
      </c>
      <c r="G10" s="31" t="n">
        <v>2</v>
      </c>
      <c r="H10" s="31" t="n">
        <v>0</v>
      </c>
      <c r="I10" s="31" t="n">
        <v>12</v>
      </c>
      <c r="J10" s="31" t="n">
        <v>3</v>
      </c>
      <c r="K10" s="30">
        <f>IF(G10="","",IF(G10&gt;H10,"W","L"))</f>
        <v/>
      </c>
      <c r="L10" s="29" t="inlineStr">
        <is>
          <t>Rolled</t>
        </is>
      </c>
      <c r="N10" s="22" t="inlineStr">
        <is>
          <t>Clay</t>
        </is>
      </c>
      <c r="O10" s="27">
        <f>COUNTIFS(MatchSurface,N10,MatchResult,"W")</f>
        <v/>
      </c>
    </row>
    <row r="11">
      <c r="A11" s="23" t="n">
        <v>46146</v>
      </c>
      <c r="B11" s="24" t="inlineStr">
        <is>
          <t>P. Andersson</t>
        </is>
      </c>
      <c r="C11" s="24" t="inlineStr">
        <is>
          <t>Grass Invitational</t>
        </is>
      </c>
      <c r="D11" s="25" t="inlineStr">
        <is>
          <t>Grass</t>
        </is>
      </c>
      <c r="E11" s="25" t="inlineStr">
        <is>
          <t>Singles</t>
        </is>
      </c>
      <c r="F11" s="25" t="inlineStr">
        <is>
          <t>6-4, 7-5</t>
        </is>
      </c>
      <c r="G11" s="26" t="n">
        <v>2</v>
      </c>
      <c r="H11" s="26" t="n">
        <v>0</v>
      </c>
      <c r="I11" s="26" t="n">
        <v>13</v>
      </c>
      <c r="J11" s="26" t="n">
        <v>9</v>
      </c>
      <c r="K11" s="25">
        <f>IF(G11="","",IF(G11&gt;H11,"W","L"))</f>
        <v/>
      </c>
      <c r="L11" s="24" t="inlineStr">
        <is>
          <t>Grass debut</t>
        </is>
      </c>
      <c r="N11" s="22" t="inlineStr">
        <is>
          <t>Grass</t>
        </is>
      </c>
      <c r="O11" s="27">
        <f>COUNTIFS(MatchSurface,N11,MatchResult,"W")</f>
        <v/>
      </c>
    </row>
    <row r="12">
      <c r="A12" s="28" t="n">
        <v>46150</v>
      </c>
      <c r="B12" s="29" t="inlineStr">
        <is>
          <t>J. Rivera</t>
        </is>
      </c>
      <c r="C12" s="29" t="inlineStr">
        <is>
          <t>Grass Invitational</t>
        </is>
      </c>
      <c r="D12" s="30" t="inlineStr">
        <is>
          <t>Hard</t>
        </is>
      </c>
      <c r="E12" s="30" t="inlineStr">
        <is>
          <t>Singles</t>
        </is>
      </c>
      <c r="F12" s="30" t="inlineStr">
        <is>
          <t>7-6, 6-4</t>
        </is>
      </c>
      <c r="G12" s="31" t="n">
        <v>2</v>
      </c>
      <c r="H12" s="31" t="n">
        <v>0</v>
      </c>
      <c r="I12" s="31" t="n">
        <v>13</v>
      </c>
      <c r="J12" s="31" t="n">
        <v>10</v>
      </c>
      <c r="K12" s="30">
        <f>IF(G12="","",IF(G12&gt;H12,"W","L"))</f>
        <v/>
      </c>
      <c r="L12" s="29" t="inlineStr">
        <is>
          <t>Tight tiebreak</t>
        </is>
      </c>
    </row>
    <row r="13">
      <c r="A13" s="23" t="n">
        <v>46153</v>
      </c>
      <c r="B13" s="24" t="inlineStr">
        <is>
          <t>Team Lin</t>
        </is>
      </c>
      <c r="C13" s="24" t="inlineStr">
        <is>
          <t>Club Doubles</t>
        </is>
      </c>
      <c r="D13" s="25" t="inlineStr">
        <is>
          <t>Clay</t>
        </is>
      </c>
      <c r="E13" s="25" t="inlineStr">
        <is>
          <t>Doubles</t>
        </is>
      </c>
      <c r="F13" s="25" t="inlineStr">
        <is>
          <t>6-3, 6-2</t>
        </is>
      </c>
      <c r="G13" s="26" t="n">
        <v>2</v>
      </c>
      <c r="H13" s="26" t="n">
        <v>0</v>
      </c>
      <c r="I13" s="26" t="n">
        <v>12</v>
      </c>
      <c r="J13" s="26" t="n">
        <v>5</v>
      </c>
      <c r="K13" s="25">
        <f>IF(G13="","",IF(G13&gt;H13,"W","L"))</f>
        <v/>
      </c>
      <c r="L13" s="24" t="inlineStr"/>
    </row>
    <row r="14">
      <c r="A14" s="28" t="n">
        <v>46157</v>
      </c>
      <c r="B14" s="29" t="inlineStr">
        <is>
          <t>S. Kowalski</t>
        </is>
      </c>
      <c r="C14" s="29" t="inlineStr">
        <is>
          <t>Summer Level 2</t>
        </is>
      </c>
      <c r="D14" s="30" t="inlineStr">
        <is>
          <t>Hard</t>
        </is>
      </c>
      <c r="E14" s="30" t="inlineStr">
        <is>
          <t>Singles</t>
        </is>
      </c>
      <c r="F14" s="30" t="inlineStr">
        <is>
          <t>6-2, 6-4</t>
        </is>
      </c>
      <c r="G14" s="31" t="n">
        <v>2</v>
      </c>
      <c r="H14" s="31" t="n">
        <v>0</v>
      </c>
      <c r="I14" s="31" t="n">
        <v>12</v>
      </c>
      <c r="J14" s="31" t="n">
        <v>6</v>
      </c>
      <c r="K14" s="30">
        <f>IF(G14="","",IF(G14&gt;H14,"W","L"))</f>
        <v/>
      </c>
      <c r="L14" s="29" t="inlineStr">
        <is>
          <t>Confident</t>
        </is>
      </c>
    </row>
    <row r="15">
      <c r="A15" s="23" t="n">
        <v>46158</v>
      </c>
      <c r="B15" s="24" t="inlineStr">
        <is>
          <t>M. Bianchi</t>
        </is>
      </c>
      <c r="C15" s="24" t="inlineStr">
        <is>
          <t>Summer Level 2</t>
        </is>
      </c>
      <c r="D15" s="25" t="inlineStr">
        <is>
          <t>Clay</t>
        </is>
      </c>
      <c r="E15" s="25" t="inlineStr">
        <is>
          <t>Singles</t>
        </is>
      </c>
      <c r="F15" s="25" t="inlineStr">
        <is>
          <t>7-5, 4-6, 6-3</t>
        </is>
      </c>
      <c r="G15" s="26" t="n">
        <v>2</v>
      </c>
      <c r="H15" s="26" t="n">
        <v>1</v>
      </c>
      <c r="I15" s="26" t="n">
        <v>17</v>
      </c>
      <c r="J15" s="26" t="n">
        <v>14</v>
      </c>
      <c r="K15" s="25">
        <f>IF(G15="","",IF(G15&gt;H15,"W","L"))</f>
        <v/>
      </c>
      <c r="L15" s="24" t="inlineStr">
        <is>
          <t>Comeback</t>
        </is>
      </c>
    </row>
    <row r="16">
      <c r="A16" s="28" t="n">
        <v>46162</v>
      </c>
      <c r="B16" s="29" t="inlineStr">
        <is>
          <t>T. Nakamura</t>
        </is>
      </c>
      <c r="C16" s="29" t="inlineStr">
        <is>
          <t>Summer Level 2</t>
        </is>
      </c>
      <c r="D16" s="30" t="inlineStr">
        <is>
          <t>Hard</t>
        </is>
      </c>
      <c r="E16" s="30" t="inlineStr">
        <is>
          <t>Singles</t>
        </is>
      </c>
      <c r="F16" s="30" t="inlineStr">
        <is>
          <t>6-3, 7-5</t>
        </is>
      </c>
      <c r="G16" s="31" t="n">
        <v>2</v>
      </c>
      <c r="H16" s="31" t="n">
        <v>0</v>
      </c>
      <c r="I16" s="31" t="n">
        <v>13</v>
      </c>
      <c r="J16" s="31" t="n">
        <v>8</v>
      </c>
      <c r="K16" s="30">
        <f>IF(G16="","",IF(G16&gt;H16,"W","L"))</f>
        <v/>
      </c>
      <c r="L16" s="29" t="inlineStr">
        <is>
          <t>Serve on point</t>
        </is>
      </c>
    </row>
    <row r="17">
      <c r="A17" s="23" t="n">
        <v>46166</v>
      </c>
      <c r="B17" s="24" t="inlineStr">
        <is>
          <t>H. Costa</t>
        </is>
      </c>
      <c r="C17" s="24" t="inlineStr">
        <is>
          <t>Grass Cup</t>
        </is>
      </c>
      <c r="D17" s="25" t="inlineStr">
        <is>
          <t>Grass</t>
        </is>
      </c>
      <c r="E17" s="25" t="inlineStr">
        <is>
          <t>Singles</t>
        </is>
      </c>
      <c r="F17" s="25" t="inlineStr">
        <is>
          <t>6-2, 6-1</t>
        </is>
      </c>
      <c r="G17" s="26" t="n">
        <v>2</v>
      </c>
      <c r="H17" s="26" t="n">
        <v>0</v>
      </c>
      <c r="I17" s="26" t="n">
        <v>12</v>
      </c>
      <c r="J17" s="26" t="n">
        <v>3</v>
      </c>
      <c r="K17" s="25">
        <f>IF(G17="","",IF(G17&gt;H17,"W","L"))</f>
        <v/>
      </c>
      <c r="L17" s="24" t="inlineStr">
        <is>
          <t>Fast start</t>
        </is>
      </c>
    </row>
    <row r="18">
      <c r="A18" s="28" t="n">
        <v>46169</v>
      </c>
      <c r="B18" s="29" t="inlineStr">
        <is>
          <t>Team Reyes</t>
        </is>
      </c>
      <c r="C18" s="29" t="inlineStr">
        <is>
          <t>Club Doubles</t>
        </is>
      </c>
      <c r="D18" s="30" t="inlineStr">
        <is>
          <t>Hard</t>
        </is>
      </c>
      <c r="E18" s="30" t="inlineStr">
        <is>
          <t>Doubles</t>
        </is>
      </c>
      <c r="F18" s="30" t="inlineStr">
        <is>
          <t>6-4, 4-6, 6-4</t>
        </is>
      </c>
      <c r="G18" s="31" t="n">
        <v>2</v>
      </c>
      <c r="H18" s="31" t="n">
        <v>1</v>
      </c>
      <c r="I18" s="31" t="n">
        <v>16</v>
      </c>
      <c r="J18" s="31" t="n">
        <v>14</v>
      </c>
      <c r="K18" s="30">
        <f>IF(G18="","",IF(G18&gt;H18,"W","L"))</f>
        <v/>
      </c>
      <c r="L18" s="29" t="inlineStr">
        <is>
          <t>Doubles W</t>
        </is>
      </c>
    </row>
    <row r="19">
      <c r="A19" s="23" t="n">
        <v>46173</v>
      </c>
      <c r="B19" s="24" t="inlineStr">
        <is>
          <t>E. Volkov</t>
        </is>
      </c>
      <c r="C19" s="24" t="inlineStr">
        <is>
          <t>Fall Sectional</t>
        </is>
      </c>
      <c r="D19" s="25" t="inlineStr">
        <is>
          <t>Clay</t>
        </is>
      </c>
      <c r="E19" s="25" t="inlineStr">
        <is>
          <t>Singles</t>
        </is>
      </c>
      <c r="F19" s="25" t="inlineStr">
        <is>
          <t>6-3, 6-4</t>
        </is>
      </c>
      <c r="G19" s="26" t="n">
        <v>2</v>
      </c>
      <c r="H19" s="26" t="n">
        <v>0</v>
      </c>
      <c r="I19" s="26" t="n">
        <v>12</v>
      </c>
      <c r="J19" s="26" t="n">
        <v>7</v>
      </c>
      <c r="K19" s="25">
        <f>IF(G19="","",IF(G19&gt;H19,"W","L"))</f>
        <v/>
      </c>
      <c r="L19" s="24" t="inlineStr"/>
    </row>
    <row r="20">
      <c r="A20" s="28" t="n">
        <v>46176</v>
      </c>
      <c r="B20" s="29" t="inlineStr">
        <is>
          <t>N. Haddad</t>
        </is>
      </c>
      <c r="C20" s="29" t="inlineStr">
        <is>
          <t>Fall Sectional</t>
        </is>
      </c>
      <c r="D20" s="30" t="inlineStr">
        <is>
          <t>Hard</t>
        </is>
      </c>
      <c r="E20" s="30" t="inlineStr">
        <is>
          <t>Singles</t>
        </is>
      </c>
      <c r="F20" s="30" t="inlineStr">
        <is>
          <t>6-2, 6-3</t>
        </is>
      </c>
      <c r="G20" s="31" t="n">
        <v>2</v>
      </c>
      <c r="H20" s="31" t="n">
        <v>0</v>
      </c>
      <c r="I20" s="31" t="n">
        <v>12</v>
      </c>
      <c r="J20" s="31" t="n">
        <v>5</v>
      </c>
      <c r="K20" s="30">
        <f>IF(G20="","",IF(G20&gt;H20,"W","L"))</f>
        <v/>
      </c>
      <c r="L20" s="29" t="inlineStr">
        <is>
          <t>Clutch</t>
        </is>
      </c>
    </row>
    <row r="21">
      <c r="A21" s="23" t="n">
        <v>46178</v>
      </c>
      <c r="B21" s="24" t="inlineStr">
        <is>
          <t>C. Dubois</t>
        </is>
      </c>
      <c r="C21" s="24" t="inlineStr">
        <is>
          <t>Fall Sectional</t>
        </is>
      </c>
      <c r="D21" s="25" t="inlineStr">
        <is>
          <t>Hard</t>
        </is>
      </c>
      <c r="E21" s="25" t="inlineStr">
        <is>
          <t>Singles</t>
        </is>
      </c>
      <c r="F21" s="25" t="inlineStr">
        <is>
          <t>7-5, 6-4</t>
        </is>
      </c>
      <c r="G21" s="26" t="n">
        <v>2</v>
      </c>
      <c r="H21" s="26" t="n">
        <v>0</v>
      </c>
      <c r="I21" s="26" t="n">
        <v>13</v>
      </c>
      <c r="J21" s="26" t="n">
        <v>9</v>
      </c>
      <c r="K21" s="25">
        <f>IF(G21="","",IF(G21&gt;H21,"W","L"))</f>
        <v/>
      </c>
      <c r="L21" s="24" t="inlineStr">
        <is>
          <t>3-setter</t>
        </is>
      </c>
    </row>
    <row r="22">
      <c r="A22" s="28" t="n">
        <v>46182</v>
      </c>
      <c r="B22" s="29" t="inlineStr">
        <is>
          <t>V. Petrova</t>
        </is>
      </c>
      <c r="C22" s="29" t="inlineStr">
        <is>
          <t>League Wk 8</t>
        </is>
      </c>
      <c r="D22" s="30" t="inlineStr">
        <is>
          <t>Clay</t>
        </is>
      </c>
      <c r="E22" s="30" t="inlineStr">
        <is>
          <t>Singles</t>
        </is>
      </c>
      <c r="F22" s="30" t="inlineStr">
        <is>
          <t>2-6, 4-6</t>
        </is>
      </c>
      <c r="G22" s="31" t="n">
        <v>0</v>
      </c>
      <c r="H22" s="31" t="n">
        <v>2</v>
      </c>
      <c r="I22" s="31" t="n">
        <v>6</v>
      </c>
      <c r="J22" s="31" t="n">
        <v>12</v>
      </c>
      <c r="K22" s="30">
        <f>IF(G22="","",IF(G22&gt;H22,"W","L"))</f>
        <v/>
      </c>
      <c r="L22" s="29" t="inlineStr">
        <is>
          <t>Tough draw</t>
        </is>
      </c>
    </row>
    <row r="23">
      <c r="A23" s="23" t="n">
        <v>46185</v>
      </c>
      <c r="B23" s="24" t="inlineStr">
        <is>
          <t>F. Moreau</t>
        </is>
      </c>
      <c r="C23" s="24" t="inlineStr">
        <is>
          <t>State Level 1</t>
        </is>
      </c>
      <c r="D23" s="25" t="inlineStr">
        <is>
          <t>Hard</t>
        </is>
      </c>
      <c r="E23" s="25" t="inlineStr">
        <is>
          <t>Singles</t>
        </is>
      </c>
      <c r="F23" s="25" t="inlineStr">
        <is>
          <t>6-3, 4-6, 5-7</t>
        </is>
      </c>
      <c r="G23" s="26" t="n">
        <v>1</v>
      </c>
      <c r="H23" s="26" t="n">
        <v>2</v>
      </c>
      <c r="I23" s="26" t="n">
        <v>15</v>
      </c>
      <c r="J23" s="26" t="n">
        <v>16</v>
      </c>
      <c r="K23" s="25">
        <f>IF(G23="","",IF(G23&gt;H23,"W","L"))</f>
        <v/>
      </c>
      <c r="L23" s="24" t="inlineStr">
        <is>
          <t>Close loss</t>
        </is>
      </c>
    </row>
    <row r="24">
      <c r="A24" s="28" t="n">
        <v>46188</v>
      </c>
      <c r="B24" s="29" t="inlineStr">
        <is>
          <t>G. Schmidt</t>
        </is>
      </c>
      <c r="C24" s="29" t="inlineStr">
        <is>
          <t>State Level 1</t>
        </is>
      </c>
      <c r="D24" s="30" t="inlineStr">
        <is>
          <t>Grass</t>
        </is>
      </c>
      <c r="E24" s="30" t="inlineStr">
        <is>
          <t>Singles</t>
        </is>
      </c>
      <c r="F24" s="30" t="inlineStr">
        <is>
          <t>3-6, 4-6</t>
        </is>
      </c>
      <c r="G24" s="31" t="n">
        <v>0</v>
      </c>
      <c r="H24" s="31" t="n">
        <v>2</v>
      </c>
      <c r="I24" s="31" t="n">
        <v>7</v>
      </c>
      <c r="J24" s="31" t="n">
        <v>12</v>
      </c>
      <c r="K24" s="30">
        <f>IF(G24="","",IF(G24&gt;H24,"W","L"))</f>
        <v/>
      </c>
      <c r="L24" s="29" t="inlineStr">
        <is>
          <t>Grass slip</t>
        </is>
      </c>
    </row>
    <row r="25">
      <c r="A25" s="23" t="n">
        <v>46191</v>
      </c>
      <c r="B25" s="24" t="inlineStr">
        <is>
          <t>O. Ivanov</t>
        </is>
      </c>
      <c r="C25" s="24" t="inlineStr">
        <is>
          <t>State Level 1</t>
        </is>
      </c>
      <c r="D25" s="25" t="inlineStr">
        <is>
          <t>Hard</t>
        </is>
      </c>
      <c r="E25" s="25" t="inlineStr">
        <is>
          <t>Singles</t>
        </is>
      </c>
      <c r="F25" s="25" t="inlineStr">
        <is>
          <t>6-7, 6-7</t>
        </is>
      </c>
      <c r="G25" s="26" t="n">
        <v>0</v>
      </c>
      <c r="H25" s="26" t="n">
        <v>2</v>
      </c>
      <c r="I25" s="26" t="n">
        <v>12</v>
      </c>
      <c r="J25" s="26" t="n">
        <v>14</v>
      </c>
      <c r="K25" s="25">
        <f>IF(G25="","",IF(G25&gt;H25,"W","L"))</f>
        <v/>
      </c>
      <c r="L25" s="24" t="inlineStr">
        <is>
          <t>Two tiebreaks</t>
        </is>
      </c>
    </row>
    <row r="26">
      <c r="A26" s="28" t="n">
        <v>46194</v>
      </c>
      <c r="B26" s="29" t="inlineStr">
        <is>
          <t>B. Yamada</t>
        </is>
      </c>
      <c r="C26" s="29" t="inlineStr">
        <is>
          <t>Autumn Clay</t>
        </is>
      </c>
      <c r="D26" s="30" t="inlineStr">
        <is>
          <t>Clay</t>
        </is>
      </c>
      <c r="E26" s="30" t="inlineStr">
        <is>
          <t>Singles</t>
        </is>
      </c>
      <c r="F26" s="30" t="inlineStr">
        <is>
          <t>1-6, 4-6</t>
        </is>
      </c>
      <c r="G26" s="31" t="n">
        <v>0</v>
      </c>
      <c r="H26" s="31" t="n">
        <v>2</v>
      </c>
      <c r="I26" s="31" t="n">
        <v>5</v>
      </c>
      <c r="J26" s="31" t="n">
        <v>12</v>
      </c>
      <c r="K26" s="30">
        <f>IF(G26="","",IF(G26&gt;H26,"W","L"))</f>
        <v/>
      </c>
      <c r="L26" s="29" t="inlineStr">
        <is>
          <t>Off day</t>
        </is>
      </c>
    </row>
    <row r="27">
      <c r="A27" s="23" t="n">
        <v>46197</v>
      </c>
      <c r="B27" s="24" t="inlineStr">
        <is>
          <t>Team Ali</t>
        </is>
      </c>
      <c r="C27" s="24" t="inlineStr">
        <is>
          <t>Club Doubles</t>
        </is>
      </c>
      <c r="D27" s="25" t="inlineStr">
        <is>
          <t>Hard</t>
        </is>
      </c>
      <c r="E27" s="25" t="inlineStr">
        <is>
          <t>Doubles</t>
        </is>
      </c>
      <c r="F27" s="25" t="inlineStr">
        <is>
          <t>6-4, 3-6, 4-6</t>
        </is>
      </c>
      <c r="G27" s="26" t="n">
        <v>1</v>
      </c>
      <c r="H27" s="26" t="n">
        <v>2</v>
      </c>
      <c r="I27" s="26" t="n">
        <v>13</v>
      </c>
      <c r="J27" s="26" t="n">
        <v>16</v>
      </c>
      <c r="K27" s="25">
        <f>IF(G27="","",IF(G27&gt;H27,"W","L"))</f>
        <v/>
      </c>
      <c r="L27" s="24" t="inlineStr"/>
    </row>
    <row r="28">
      <c r="A28" s="28" t="n">
        <v>46200</v>
      </c>
      <c r="B28" s="29" t="inlineStr">
        <is>
          <t>W. Fischer</t>
        </is>
      </c>
      <c r="C28" s="29" t="inlineStr">
        <is>
          <t>League Wk 10</t>
        </is>
      </c>
      <c r="D28" s="30" t="inlineStr">
        <is>
          <t>Hard</t>
        </is>
      </c>
      <c r="E28" s="30" t="inlineStr">
        <is>
          <t>Singles</t>
        </is>
      </c>
      <c r="F28" s="30" t="inlineStr">
        <is>
          <t>6-7, 4-6</t>
        </is>
      </c>
      <c r="G28" s="31" t="n">
        <v>0</v>
      </c>
      <c r="H28" s="31" t="n">
        <v>2</v>
      </c>
      <c r="I28" s="31" t="n">
        <v>10</v>
      </c>
      <c r="J28" s="31" t="n">
        <v>13</v>
      </c>
      <c r="K28" s="30">
        <f>IF(G28="","",IF(G28&gt;H28,"W","L"))</f>
        <v/>
      </c>
      <c r="L28" s="29" t="inlineStr">
        <is>
          <t>Cramped late</t>
        </is>
      </c>
    </row>
    <row r="29">
      <c r="A29" s="23" t="n">
        <v>46203</v>
      </c>
      <c r="B29" s="24" t="inlineStr">
        <is>
          <t>Z. Popov</t>
        </is>
      </c>
      <c r="C29" s="24" t="inlineStr">
        <is>
          <t>Winter Open</t>
        </is>
      </c>
      <c r="D29" s="25" t="inlineStr">
        <is>
          <t>Clay</t>
        </is>
      </c>
      <c r="E29" s="25" t="inlineStr">
        <is>
          <t>Singles</t>
        </is>
      </c>
      <c r="F29" s="25" t="inlineStr">
        <is>
          <t>2-6, 3-6</t>
        </is>
      </c>
      <c r="G29" s="26" t="n">
        <v>0</v>
      </c>
      <c r="H29" s="26" t="n">
        <v>2</v>
      </c>
      <c r="I29" s="26" t="n">
        <v>5</v>
      </c>
      <c r="J29" s="26" t="n">
        <v>12</v>
      </c>
      <c r="K29" s="25">
        <f>IF(G29="","",IF(G29&gt;H29,"W","L"))</f>
        <v/>
      </c>
      <c r="L29" s="24" t="inlineStr">
        <is>
          <t>Slow start</t>
        </is>
      </c>
    </row>
    <row r="30">
      <c r="A30" s="28" t="n">
        <v>46205</v>
      </c>
      <c r="B30" s="29" t="inlineStr">
        <is>
          <t>Q. Tanaka</t>
        </is>
      </c>
      <c r="C30" s="29" t="inlineStr">
        <is>
          <t>Winter Open</t>
        </is>
      </c>
      <c r="D30" s="30" t="inlineStr">
        <is>
          <t>Hard</t>
        </is>
      </c>
      <c r="E30" s="30" t="inlineStr">
        <is>
          <t>Singles</t>
        </is>
      </c>
      <c r="F30" s="30" t="inlineStr">
        <is>
          <t>7-5, 3-6, 5-7</t>
        </is>
      </c>
      <c r="G30" s="31" t="n">
        <v>1</v>
      </c>
      <c r="H30" s="31" t="n">
        <v>2</v>
      </c>
      <c r="I30" s="31" t="n">
        <v>15</v>
      </c>
      <c r="J30" s="31" t="n">
        <v>18</v>
      </c>
      <c r="K30" s="30">
        <f>IF(G30="","",IF(G30&gt;H30,"W","L"))</f>
        <v/>
      </c>
      <c r="L30" s="29" t="inlineStr">
        <is>
          <t>Learning match</t>
        </is>
      </c>
    </row>
    <row r="31">
      <c r="A31" s="23" t="n"/>
      <c r="B31" s="24" t="n"/>
      <c r="C31" s="24" t="n"/>
      <c r="D31" s="25" t="n"/>
      <c r="E31" s="25" t="n"/>
      <c r="F31" s="25" t="n"/>
      <c r="G31" s="26" t="n"/>
      <c r="H31" s="26" t="n"/>
      <c r="I31" s="26" t="n"/>
      <c r="J31" s="26" t="n"/>
      <c r="K31" s="25" t="n"/>
      <c r="L31" s="24" t="n"/>
    </row>
    <row r="32">
      <c r="A32" s="28" t="n"/>
      <c r="B32" s="29" t="n"/>
      <c r="C32" s="29" t="n"/>
      <c r="D32" s="30" t="n"/>
      <c r="E32" s="30" t="n"/>
      <c r="F32" s="30" t="n"/>
      <c r="G32" s="31" t="n"/>
      <c r="H32" s="31" t="n"/>
      <c r="I32" s="31" t="n"/>
      <c r="J32" s="31" t="n"/>
      <c r="K32" s="30" t="n"/>
      <c r="L32" s="29" t="n"/>
    </row>
    <row r="33">
      <c r="A33" s="23" t="n"/>
      <c r="B33" s="24" t="n"/>
      <c r="C33" s="24" t="n"/>
      <c r="D33" s="25" t="n"/>
      <c r="E33" s="25" t="n"/>
      <c r="F33" s="25" t="n"/>
      <c r="G33" s="26" t="n"/>
      <c r="H33" s="26" t="n"/>
      <c r="I33" s="26" t="n"/>
      <c r="J33" s="26" t="n"/>
      <c r="K33" s="25" t="n"/>
      <c r="L33" s="24" t="n"/>
    </row>
    <row r="34">
      <c r="A34" s="28" t="n"/>
      <c r="B34" s="29" t="n"/>
      <c r="C34" s="29" t="n"/>
      <c r="D34" s="30" t="n"/>
      <c r="E34" s="30" t="n"/>
      <c r="F34" s="30" t="n"/>
      <c r="G34" s="31" t="n"/>
      <c r="H34" s="31" t="n"/>
      <c r="I34" s="31" t="n"/>
      <c r="J34" s="31" t="n"/>
      <c r="K34" s="30" t="n"/>
      <c r="L34" s="29" t="n"/>
    </row>
    <row r="35">
      <c r="A35" s="23" t="n"/>
      <c r="B35" s="24" t="n"/>
      <c r="C35" s="24" t="n"/>
      <c r="D35" s="25" t="n"/>
      <c r="E35" s="25" t="n"/>
      <c r="F35" s="25" t="n"/>
      <c r="G35" s="26" t="n"/>
      <c r="H35" s="26" t="n"/>
      <c r="I35" s="26" t="n"/>
      <c r="J35" s="26" t="n"/>
      <c r="K35" s="25" t="n"/>
      <c r="L35" s="24" t="n"/>
    </row>
    <row r="36">
      <c r="A36" s="28" t="n"/>
      <c r="B36" s="29" t="n"/>
      <c r="C36" s="29" t="n"/>
      <c r="D36" s="30" t="n"/>
      <c r="E36" s="30" t="n"/>
      <c r="F36" s="30" t="n"/>
      <c r="G36" s="31" t="n"/>
      <c r="H36" s="31" t="n"/>
      <c r="I36" s="31" t="n"/>
      <c r="J36" s="31" t="n"/>
      <c r="K36" s="30" t="n"/>
      <c r="L36" s="29" t="n"/>
    </row>
    <row r="37">
      <c r="A37" s="23" t="n"/>
      <c r="B37" s="24" t="n"/>
      <c r="C37" s="24" t="n"/>
      <c r="D37" s="25" t="n"/>
      <c r="E37" s="25" t="n"/>
      <c r="F37" s="25" t="n"/>
      <c r="G37" s="26" t="n"/>
      <c r="H37" s="26" t="n"/>
      <c r="I37" s="26" t="n"/>
      <c r="J37" s="26" t="n"/>
      <c r="K37" s="25" t="n"/>
      <c r="L37" s="24" t="n"/>
    </row>
    <row r="38">
      <c r="A38" s="28" t="n"/>
      <c r="B38" s="29" t="n"/>
      <c r="C38" s="29" t="n"/>
      <c r="D38" s="30" t="n"/>
      <c r="E38" s="30" t="n"/>
      <c r="F38" s="30" t="n"/>
      <c r="G38" s="31" t="n"/>
      <c r="H38" s="31" t="n"/>
      <c r="I38" s="31" t="n"/>
      <c r="J38" s="31" t="n"/>
      <c r="K38" s="30" t="n"/>
      <c r="L38" s="29" t="n"/>
    </row>
    <row r="39">
      <c r="A39" s="23" t="n"/>
      <c r="B39" s="24" t="n"/>
      <c r="C39" s="24" t="n"/>
      <c r="D39" s="25" t="n"/>
      <c r="E39" s="25" t="n"/>
      <c r="F39" s="25" t="n"/>
      <c r="G39" s="26" t="n"/>
      <c r="H39" s="26" t="n"/>
      <c r="I39" s="26" t="n"/>
      <c r="J39" s="26" t="n"/>
      <c r="K39" s="25" t="n"/>
      <c r="L39" s="24" t="n"/>
    </row>
    <row r="40">
      <c r="A40" s="28" t="n"/>
      <c r="B40" s="29" t="n"/>
      <c r="C40" s="29" t="n"/>
      <c r="D40" s="30" t="n"/>
      <c r="E40" s="30" t="n"/>
      <c r="F40" s="30" t="n"/>
      <c r="G40" s="31" t="n"/>
      <c r="H40" s="31" t="n"/>
      <c r="I40" s="31" t="n"/>
      <c r="J40" s="31" t="n"/>
      <c r="K40" s="30" t="n"/>
      <c r="L40" s="29" t="n"/>
    </row>
    <row r="41">
      <c r="A41" s="23" t="n"/>
      <c r="B41" s="24" t="n"/>
      <c r="C41" s="24" t="n"/>
      <c r="D41" s="25" t="n"/>
      <c r="E41" s="25" t="n"/>
      <c r="F41" s="25" t="n"/>
      <c r="G41" s="26" t="n"/>
      <c r="H41" s="26" t="n"/>
      <c r="I41" s="26" t="n"/>
      <c r="J41" s="26" t="n"/>
      <c r="K41" s="25" t="n"/>
      <c r="L41" s="24" t="n"/>
    </row>
    <row r="42">
      <c r="A42" s="28" t="n"/>
      <c r="B42" s="29" t="n"/>
      <c r="C42" s="29" t="n"/>
      <c r="D42" s="30" t="n"/>
      <c r="E42" s="30" t="n"/>
      <c r="F42" s="30" t="n"/>
      <c r="G42" s="31" t="n"/>
      <c r="H42" s="31" t="n"/>
      <c r="I42" s="31" t="n"/>
      <c r="J42" s="31" t="n"/>
      <c r="K42" s="30" t="n"/>
      <c r="L42" s="29" t="n"/>
    </row>
    <row r="43">
      <c r="A43" s="23" t="n"/>
      <c r="B43" s="24" t="n"/>
      <c r="C43" s="24" t="n"/>
      <c r="D43" s="25" t="n"/>
      <c r="E43" s="25" t="n"/>
      <c r="F43" s="25" t="n"/>
      <c r="G43" s="26" t="n"/>
      <c r="H43" s="26" t="n"/>
      <c r="I43" s="26" t="n"/>
      <c r="J43" s="26" t="n"/>
      <c r="K43" s="25" t="n"/>
      <c r="L43" s="24" t="n"/>
    </row>
    <row r="44">
      <c r="A44" s="28" t="n"/>
      <c r="B44" s="29" t="n"/>
      <c r="C44" s="29" t="n"/>
      <c r="D44" s="30" t="n"/>
      <c r="E44" s="30" t="n"/>
      <c r="F44" s="30" t="n"/>
      <c r="G44" s="31" t="n"/>
      <c r="H44" s="31" t="n"/>
      <c r="I44" s="31" t="n"/>
      <c r="J44" s="31" t="n"/>
      <c r="K44" s="30" t="n"/>
      <c r="L44" s="29" t="n"/>
    </row>
    <row r="45">
      <c r="A45" s="23" t="n"/>
      <c r="B45" s="24" t="n"/>
      <c r="C45" s="24" t="n"/>
      <c r="D45" s="25" t="n"/>
      <c r="E45" s="25" t="n"/>
      <c r="F45" s="25" t="n"/>
      <c r="G45" s="26" t="n"/>
      <c r="H45" s="26" t="n"/>
      <c r="I45" s="26" t="n"/>
      <c r="J45" s="26" t="n"/>
      <c r="K45" s="25" t="n"/>
      <c r="L45" s="24" t="n"/>
    </row>
    <row r="46">
      <c r="A46" s="28" t="n"/>
      <c r="B46" s="29" t="n"/>
      <c r="C46" s="29" t="n"/>
      <c r="D46" s="30" t="n"/>
      <c r="E46" s="30" t="n"/>
      <c r="F46" s="30" t="n"/>
      <c r="G46" s="31" t="n"/>
      <c r="H46" s="31" t="n"/>
      <c r="I46" s="31" t="n"/>
      <c r="J46" s="31" t="n"/>
      <c r="K46" s="30" t="n"/>
      <c r="L46" s="29" t="n"/>
    </row>
    <row r="47">
      <c r="A47" s="23" t="n"/>
      <c r="B47" s="24" t="n"/>
      <c r="C47" s="24" t="n"/>
      <c r="D47" s="25" t="n"/>
      <c r="E47" s="25" t="n"/>
      <c r="F47" s="25" t="n"/>
      <c r="G47" s="26" t="n"/>
      <c r="H47" s="26" t="n"/>
      <c r="I47" s="26" t="n"/>
      <c r="J47" s="26" t="n"/>
      <c r="K47" s="25" t="n"/>
      <c r="L47" s="24" t="n"/>
    </row>
    <row r="48">
      <c r="A48" s="28" t="n"/>
      <c r="B48" s="29" t="n"/>
      <c r="C48" s="29" t="n"/>
      <c r="D48" s="30" t="n"/>
      <c r="E48" s="30" t="n"/>
      <c r="F48" s="30" t="n"/>
      <c r="G48" s="31" t="n"/>
      <c r="H48" s="31" t="n"/>
      <c r="I48" s="31" t="n"/>
      <c r="J48" s="31" t="n"/>
      <c r="K48" s="30" t="n"/>
      <c r="L48" s="29" t="n"/>
    </row>
    <row r="49">
      <c r="A49" s="23" t="n"/>
      <c r="B49" s="24" t="n"/>
      <c r="C49" s="24" t="n"/>
      <c r="D49" s="25" t="n"/>
      <c r="E49" s="25" t="n"/>
      <c r="F49" s="25" t="n"/>
      <c r="G49" s="26" t="n"/>
      <c r="H49" s="26" t="n"/>
      <c r="I49" s="26" t="n"/>
      <c r="J49" s="26" t="n"/>
      <c r="K49" s="25" t="n"/>
      <c r="L49" s="24" t="n"/>
    </row>
    <row r="50">
      <c r="A50" s="28" t="n"/>
      <c r="B50" s="29" t="n"/>
      <c r="C50" s="29" t="n"/>
      <c r="D50" s="30" t="n"/>
      <c r="E50" s="30" t="n"/>
      <c r="F50" s="30" t="n"/>
      <c r="G50" s="31" t="n"/>
      <c r="H50" s="31" t="n"/>
      <c r="I50" s="31" t="n"/>
      <c r="J50" s="31" t="n"/>
      <c r="K50" s="30" t="n"/>
      <c r="L50" s="29" t="n"/>
    </row>
    <row r="51">
      <c r="A51" s="23" t="n"/>
      <c r="B51" s="24" t="n"/>
      <c r="C51" s="24" t="n"/>
      <c r="D51" s="25" t="n"/>
      <c r="E51" s="25" t="n"/>
      <c r="F51" s="25" t="n"/>
      <c r="G51" s="26" t="n"/>
      <c r="H51" s="26" t="n"/>
      <c r="I51" s="26" t="n"/>
      <c r="J51" s="26" t="n"/>
      <c r="K51" s="25" t="n"/>
      <c r="L51" s="24" t="n"/>
    </row>
    <row r="52">
      <c r="A52" s="28" t="n"/>
      <c r="B52" s="29" t="n"/>
      <c r="C52" s="29" t="n"/>
      <c r="D52" s="30" t="n"/>
      <c r="E52" s="30" t="n"/>
      <c r="F52" s="30" t="n"/>
      <c r="G52" s="31" t="n"/>
      <c r="H52" s="31" t="n"/>
      <c r="I52" s="31" t="n"/>
      <c r="J52" s="31" t="n"/>
      <c r="K52" s="30" t="n"/>
      <c r="L52" s="29" t="n"/>
    </row>
    <row r="53">
      <c r="A53" s="23" t="n"/>
      <c r="B53" s="24" t="n"/>
      <c r="C53" s="24" t="n"/>
      <c r="D53" s="25" t="n"/>
      <c r="E53" s="25" t="n"/>
      <c r="F53" s="25" t="n"/>
      <c r="G53" s="26" t="n"/>
      <c r="H53" s="26" t="n"/>
      <c r="I53" s="26" t="n"/>
      <c r="J53" s="26" t="n"/>
      <c r="K53" s="25" t="n"/>
      <c r="L53" s="24" t="n"/>
    </row>
    <row r="54">
      <c r="A54" s="28" t="n"/>
      <c r="B54" s="29" t="n"/>
      <c r="C54" s="29" t="n"/>
      <c r="D54" s="30" t="n"/>
      <c r="E54" s="30" t="n"/>
      <c r="F54" s="30" t="n"/>
      <c r="G54" s="31" t="n"/>
      <c r="H54" s="31" t="n"/>
      <c r="I54" s="31" t="n"/>
      <c r="J54" s="31" t="n"/>
      <c r="K54" s="30" t="n"/>
      <c r="L54" s="29" t="n"/>
    </row>
    <row r="55">
      <c r="A55" s="23" t="n"/>
      <c r="B55" s="24" t="n"/>
      <c r="C55" s="24" t="n"/>
      <c r="D55" s="25" t="n"/>
      <c r="E55" s="25" t="n"/>
      <c r="F55" s="25" t="n"/>
      <c r="G55" s="26" t="n"/>
      <c r="H55" s="26" t="n"/>
      <c r="I55" s="26" t="n"/>
      <c r="J55" s="26" t="n"/>
      <c r="K55" s="25" t="n"/>
      <c r="L55" s="24" t="n"/>
    </row>
    <row r="56">
      <c r="A56" s="28" t="n"/>
      <c r="B56" s="29" t="n"/>
      <c r="C56" s="29" t="n"/>
      <c r="D56" s="30" t="n"/>
      <c r="E56" s="30" t="n"/>
      <c r="F56" s="30" t="n"/>
      <c r="G56" s="31" t="n"/>
      <c r="H56" s="31" t="n"/>
      <c r="I56" s="31" t="n"/>
      <c r="J56" s="31" t="n"/>
      <c r="K56" s="30" t="n"/>
      <c r="L56" s="29" t="n"/>
    </row>
    <row r="57">
      <c r="A57" s="23" t="n"/>
      <c r="B57" s="24" t="n"/>
      <c r="C57" s="24" t="n"/>
      <c r="D57" s="25" t="n"/>
      <c r="E57" s="25" t="n"/>
      <c r="F57" s="25" t="n"/>
      <c r="G57" s="26" t="n"/>
      <c r="H57" s="26" t="n"/>
      <c r="I57" s="26" t="n"/>
      <c r="J57" s="26" t="n"/>
      <c r="K57" s="25" t="n"/>
      <c r="L57" s="24" t="n"/>
    </row>
    <row r="58">
      <c r="A58" s="28" t="n"/>
      <c r="B58" s="29" t="n"/>
      <c r="C58" s="29" t="n"/>
      <c r="D58" s="30" t="n"/>
      <c r="E58" s="30" t="n"/>
      <c r="F58" s="30" t="n"/>
      <c r="G58" s="31" t="n"/>
      <c r="H58" s="31" t="n"/>
      <c r="I58" s="31" t="n"/>
      <c r="J58" s="31" t="n"/>
      <c r="K58" s="30" t="n"/>
      <c r="L58" s="29" t="n"/>
    </row>
    <row r="59">
      <c r="A59" s="23" t="n"/>
      <c r="B59" s="24" t="n"/>
      <c r="C59" s="24" t="n"/>
      <c r="D59" s="25" t="n"/>
      <c r="E59" s="25" t="n"/>
      <c r="F59" s="25" t="n"/>
      <c r="G59" s="26" t="n"/>
      <c r="H59" s="26" t="n"/>
      <c r="I59" s="26" t="n"/>
      <c r="J59" s="26" t="n"/>
      <c r="K59" s="25" t="n"/>
      <c r="L59" s="24" t="n"/>
    </row>
    <row r="60">
      <c r="A60" s="28" t="n"/>
      <c r="B60" s="29" t="n"/>
      <c r="C60" s="29" t="n"/>
      <c r="D60" s="30" t="n"/>
      <c r="E60" s="30" t="n"/>
      <c r="F60" s="30" t="n"/>
      <c r="G60" s="31" t="n"/>
      <c r="H60" s="31" t="n"/>
      <c r="I60" s="31" t="n"/>
      <c r="J60" s="31" t="n"/>
      <c r="K60" s="30" t="n"/>
      <c r="L60" s="29" t="n"/>
    </row>
    <row r="61">
      <c r="A61" s="23" t="n"/>
      <c r="B61" s="24" t="n"/>
      <c r="C61" s="24" t="n"/>
      <c r="D61" s="25" t="n"/>
      <c r="E61" s="25" t="n"/>
      <c r="F61" s="25" t="n"/>
      <c r="G61" s="26" t="n"/>
      <c r="H61" s="26" t="n"/>
      <c r="I61" s="26" t="n"/>
      <c r="J61" s="26" t="n"/>
      <c r="K61" s="25" t="n"/>
      <c r="L61" s="24" t="n"/>
    </row>
    <row r="62">
      <c r="A62" s="28" t="n"/>
      <c r="B62" s="29" t="n"/>
      <c r="C62" s="29" t="n"/>
      <c r="D62" s="30" t="n"/>
      <c r="E62" s="30" t="n"/>
      <c r="F62" s="30" t="n"/>
      <c r="G62" s="31" t="n"/>
      <c r="H62" s="31" t="n"/>
      <c r="I62" s="31" t="n"/>
      <c r="J62" s="31" t="n"/>
      <c r="K62" s="30" t="n"/>
      <c r="L62" s="29" t="n"/>
    </row>
    <row r="63">
      <c r="A63" s="23" t="n"/>
      <c r="B63" s="24" t="n"/>
      <c r="C63" s="24" t="n"/>
      <c r="D63" s="25" t="n"/>
      <c r="E63" s="25" t="n"/>
      <c r="F63" s="25" t="n"/>
      <c r="G63" s="26" t="n"/>
      <c r="H63" s="26" t="n"/>
      <c r="I63" s="26" t="n"/>
      <c r="J63" s="26" t="n"/>
      <c r="K63" s="25" t="n"/>
      <c r="L63" s="24" t="n"/>
    </row>
    <row r="64">
      <c r="A64" s="28" t="n"/>
      <c r="B64" s="29" t="n"/>
      <c r="C64" s="29" t="n"/>
      <c r="D64" s="30" t="n"/>
      <c r="E64" s="30" t="n"/>
      <c r="F64" s="30" t="n"/>
      <c r="G64" s="31" t="n"/>
      <c r="H64" s="31" t="n"/>
      <c r="I64" s="31" t="n"/>
      <c r="J64" s="31" t="n"/>
      <c r="K64" s="30" t="n"/>
      <c r="L64" s="29" t="n"/>
    </row>
    <row r="65">
      <c r="A65" s="7" t="inlineStr">
        <is>
          <t>TOTALS</t>
        </is>
      </c>
      <c r="G65" s="32">
        <f>SUM(G5:G64)</f>
        <v/>
      </c>
      <c r="H65" s="32">
        <f>SUM(H5:H64)</f>
        <v/>
      </c>
      <c r="I65" s="32">
        <f>SUM(I5:I64)</f>
        <v/>
      </c>
      <c r="J65" s="32">
        <f>SUM(J5:J64)</f>
        <v/>
      </c>
    </row>
  </sheetData>
  <mergeCells count="2">
    <mergeCell ref="A2:L2"/>
    <mergeCell ref="A1:L1"/>
  </mergeCells>
  <conditionalFormatting sqref="K5:K64">
    <cfRule type="cellIs" priority="1" operator="equal" dxfId="0">
      <formula>"W"</formula>
    </cfRule>
    <cfRule type="cellIs" priority="2" operator="equal" dxfId="1">
      <formula>"L"</formula>
    </cfRule>
  </conditionalFormatting>
  <dataValidations count="2">
    <dataValidation sqref="D5:D64" showDropDown="0" showInputMessage="0" showErrorMessage="0" allowBlank="1" type="list">
      <formula1>=SurfaceList</formula1>
    </dataValidation>
    <dataValidation sqref="E5:E64" showDropDown="0" showInputMessage="0" showErrorMessage="0" allowBlank="1" type="list">
      <formula1>=FormatList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8" customWidth="1" min="4" max="4"/>
    <col width="9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</cols>
  <sheetData>
    <row r="1" ht="46" customHeight="1">
      <c r="A1" s="1" t="inlineStr">
        <is>
          <t xml:space="preserve">  📊  MATCH ANALYTICS</t>
        </is>
      </c>
    </row>
    <row r="2" ht="22" customHeight="1">
      <c r="A2" s="2" t="inlineStr">
        <is>
          <t xml:space="preserve">  The story behind the score — serve, rally &amp; break-point stats with match ratings.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Date</t>
        </is>
      </c>
      <c r="B4" s="7" t="inlineStr">
        <is>
          <t>Opponent</t>
        </is>
      </c>
      <c r="C4" s="7" t="inlineStr">
        <is>
          <t>1st Serve %</t>
        </is>
      </c>
      <c r="D4" s="7" t="inlineStr">
        <is>
          <t>Aces</t>
        </is>
      </c>
      <c r="E4" s="7" t="inlineStr">
        <is>
          <t>DFs</t>
        </is>
      </c>
      <c r="F4" s="7" t="inlineStr">
        <is>
          <t>Winners</t>
        </is>
      </c>
      <c r="G4" s="7" t="inlineStr">
        <is>
          <t>Unf. Errors</t>
        </is>
      </c>
      <c r="H4" s="7" t="inlineStr">
        <is>
          <t>BP Won</t>
        </is>
      </c>
      <c r="I4" s="7" t="inlineStr">
        <is>
          <t>BP Saved</t>
        </is>
      </c>
      <c r="J4" s="7" t="inlineStr">
        <is>
          <t>Rating</t>
        </is>
      </c>
    </row>
    <row r="5">
      <c r="A5" s="23" t="n">
        <v>46157</v>
      </c>
      <c r="B5" s="24" t="inlineStr">
        <is>
          <t>S. Kowalski</t>
        </is>
      </c>
      <c r="C5" s="33" t="n">
        <v>0.66</v>
      </c>
      <c r="D5" s="26" t="n">
        <v>6</v>
      </c>
      <c r="E5" s="26" t="n">
        <v>2</v>
      </c>
      <c r="F5" s="26" t="n">
        <v>24</v>
      </c>
      <c r="G5" s="26" t="n">
        <v>15</v>
      </c>
      <c r="H5" s="26" t="n">
        <v>5</v>
      </c>
      <c r="I5" s="26" t="n">
        <v>7</v>
      </c>
      <c r="J5" s="34" t="n">
        <v>8.5</v>
      </c>
    </row>
    <row r="6">
      <c r="A6" s="28" t="n">
        <v>46162</v>
      </c>
      <c r="B6" s="29" t="inlineStr">
        <is>
          <t>T. Nakamura</t>
        </is>
      </c>
      <c r="C6" s="35" t="n">
        <v>0.62</v>
      </c>
      <c r="D6" s="31" t="n">
        <v>4</v>
      </c>
      <c r="E6" s="31" t="n">
        <v>3</v>
      </c>
      <c r="F6" s="31" t="n">
        <v>21</v>
      </c>
      <c r="G6" s="31" t="n">
        <v>18</v>
      </c>
      <c r="H6" s="31" t="n">
        <v>4</v>
      </c>
      <c r="I6" s="31" t="n">
        <v>5</v>
      </c>
      <c r="J6" s="36" t="n">
        <v>7.5</v>
      </c>
    </row>
    <row r="7">
      <c r="A7" s="23" t="n">
        <v>46166</v>
      </c>
      <c r="B7" s="24" t="inlineStr">
        <is>
          <t>H. Costa</t>
        </is>
      </c>
      <c r="C7" s="33" t="n">
        <v>0.7</v>
      </c>
      <c r="D7" s="26" t="n">
        <v>7</v>
      </c>
      <c r="E7" s="26" t="n">
        <v>1</v>
      </c>
      <c r="F7" s="26" t="n">
        <v>26</v>
      </c>
      <c r="G7" s="26" t="n">
        <v>12</v>
      </c>
      <c r="H7" s="26" t="n">
        <v>6</v>
      </c>
      <c r="I7" s="26" t="n">
        <v>8</v>
      </c>
      <c r="J7" s="34" t="n">
        <v>9</v>
      </c>
    </row>
    <row r="8">
      <c r="A8" s="28" t="n">
        <v>46173</v>
      </c>
      <c r="B8" s="29" t="inlineStr">
        <is>
          <t>E. Volkov</t>
        </is>
      </c>
      <c r="C8" s="35" t="n">
        <v>0.64</v>
      </c>
      <c r="D8" s="31" t="n">
        <v>5</v>
      </c>
      <c r="E8" s="31" t="n">
        <v>2</v>
      </c>
      <c r="F8" s="31" t="n">
        <v>22</v>
      </c>
      <c r="G8" s="31" t="n">
        <v>16</v>
      </c>
      <c r="H8" s="31" t="n">
        <v>5</v>
      </c>
      <c r="I8" s="31" t="n">
        <v>6</v>
      </c>
      <c r="J8" s="36" t="n">
        <v>8</v>
      </c>
    </row>
    <row r="9">
      <c r="A9" s="23" t="n">
        <v>46176</v>
      </c>
      <c r="B9" s="24" t="inlineStr">
        <is>
          <t>N. Haddad</t>
        </is>
      </c>
      <c r="C9" s="33" t="n">
        <v>0.68</v>
      </c>
      <c r="D9" s="26" t="n">
        <v>6</v>
      </c>
      <c r="E9" s="26" t="n">
        <v>2</v>
      </c>
      <c r="F9" s="26" t="n">
        <v>25</v>
      </c>
      <c r="G9" s="26" t="n">
        <v>14</v>
      </c>
      <c r="H9" s="26" t="n">
        <v>5</v>
      </c>
      <c r="I9" s="26" t="n">
        <v>7</v>
      </c>
      <c r="J9" s="34" t="n">
        <v>8.5</v>
      </c>
    </row>
    <row r="10">
      <c r="A10" s="28" t="n">
        <v>46178</v>
      </c>
      <c r="B10" s="29" t="inlineStr">
        <is>
          <t>C. Dubois</t>
        </is>
      </c>
      <c r="C10" s="35" t="n">
        <v>0.6</v>
      </c>
      <c r="D10" s="31" t="n">
        <v>3</v>
      </c>
      <c r="E10" s="31" t="n">
        <v>4</v>
      </c>
      <c r="F10" s="31" t="n">
        <v>20</v>
      </c>
      <c r="G10" s="31" t="n">
        <v>19</v>
      </c>
      <c r="H10" s="31" t="n">
        <v>4</v>
      </c>
      <c r="I10" s="31" t="n">
        <v>5</v>
      </c>
      <c r="J10" s="36" t="n">
        <v>7</v>
      </c>
    </row>
    <row r="11">
      <c r="A11" s="23" t="n">
        <v>46185</v>
      </c>
      <c r="B11" s="24" t="inlineStr">
        <is>
          <t>F. Moreau</t>
        </is>
      </c>
      <c r="C11" s="33" t="n">
        <v>0.58</v>
      </c>
      <c r="D11" s="26" t="n">
        <v>4</v>
      </c>
      <c r="E11" s="26" t="n">
        <v>5</v>
      </c>
      <c r="F11" s="26" t="n">
        <v>19</v>
      </c>
      <c r="G11" s="26" t="n">
        <v>24</v>
      </c>
      <c r="H11" s="26" t="n">
        <v>3</v>
      </c>
      <c r="I11" s="26" t="n">
        <v>4</v>
      </c>
      <c r="J11" s="34" t="n">
        <v>6.5</v>
      </c>
    </row>
    <row r="12">
      <c r="A12" s="28" t="n">
        <v>46188</v>
      </c>
      <c r="B12" s="29" t="inlineStr">
        <is>
          <t>G. Schmidt</t>
        </is>
      </c>
      <c r="C12" s="35" t="n">
        <v>0.55</v>
      </c>
      <c r="D12" s="31" t="n">
        <v>2</v>
      </c>
      <c r="E12" s="31" t="n">
        <v>6</v>
      </c>
      <c r="F12" s="31" t="n">
        <v>16</v>
      </c>
      <c r="G12" s="31" t="n">
        <v>26</v>
      </c>
      <c r="H12" s="31" t="n">
        <v>2</v>
      </c>
      <c r="I12" s="31" t="n">
        <v>3</v>
      </c>
      <c r="J12" s="36" t="n">
        <v>6</v>
      </c>
    </row>
    <row r="13">
      <c r="A13" s="23" t="n">
        <v>46194</v>
      </c>
      <c r="B13" s="24" t="inlineStr">
        <is>
          <t>B. Yamada</t>
        </is>
      </c>
      <c r="C13" s="33" t="n">
        <v>0.57</v>
      </c>
      <c r="D13" s="26" t="n">
        <v>3</v>
      </c>
      <c r="E13" s="26" t="n">
        <v>4</v>
      </c>
      <c r="F13" s="26" t="n">
        <v>17</v>
      </c>
      <c r="G13" s="26" t="n">
        <v>23</v>
      </c>
      <c r="H13" s="26" t="n">
        <v>3</v>
      </c>
      <c r="I13" s="26" t="n">
        <v>3</v>
      </c>
      <c r="J13" s="34" t="n">
        <v>6.5</v>
      </c>
    </row>
    <row r="14">
      <c r="A14" s="28" t="n">
        <v>46200</v>
      </c>
      <c r="B14" s="29" t="inlineStr">
        <is>
          <t>W. Fischer</t>
        </is>
      </c>
      <c r="C14" s="35" t="n">
        <v>0.61</v>
      </c>
      <c r="D14" s="31" t="n">
        <v>4</v>
      </c>
      <c r="E14" s="31" t="n">
        <v>3</v>
      </c>
      <c r="F14" s="31" t="n">
        <v>20</v>
      </c>
      <c r="G14" s="31" t="n">
        <v>20</v>
      </c>
      <c r="H14" s="31" t="n">
        <v>4</v>
      </c>
      <c r="I14" s="31" t="n">
        <v>5</v>
      </c>
      <c r="J14" s="36" t="n">
        <v>7</v>
      </c>
    </row>
    <row r="15">
      <c r="A15" s="23" t="n"/>
      <c r="B15" s="24" t="n"/>
      <c r="C15" s="33" t="n"/>
      <c r="D15" s="26" t="n"/>
      <c r="E15" s="26" t="n"/>
      <c r="F15" s="26" t="n"/>
      <c r="G15" s="26" t="n"/>
      <c r="H15" s="26" t="n"/>
      <c r="I15" s="26" t="n"/>
      <c r="J15" s="34" t="n"/>
    </row>
    <row r="16">
      <c r="A16" s="28" t="n"/>
      <c r="B16" s="29" t="n"/>
      <c r="C16" s="35" t="n"/>
      <c r="D16" s="31" t="n"/>
      <c r="E16" s="31" t="n"/>
      <c r="F16" s="31" t="n"/>
      <c r="G16" s="31" t="n"/>
      <c r="H16" s="31" t="n"/>
      <c r="I16" s="31" t="n"/>
      <c r="J16" s="36" t="n"/>
    </row>
    <row r="17">
      <c r="A17" s="23" t="n"/>
      <c r="B17" s="24" t="n"/>
      <c r="C17" s="33" t="n"/>
      <c r="D17" s="26" t="n"/>
      <c r="E17" s="26" t="n"/>
      <c r="F17" s="26" t="n"/>
      <c r="G17" s="26" t="n"/>
      <c r="H17" s="26" t="n"/>
      <c r="I17" s="26" t="n"/>
      <c r="J17" s="34" t="n"/>
    </row>
    <row r="18">
      <c r="A18" s="28" t="n"/>
      <c r="B18" s="29" t="n"/>
      <c r="C18" s="35" t="n"/>
      <c r="D18" s="31" t="n"/>
      <c r="E18" s="31" t="n"/>
      <c r="F18" s="31" t="n"/>
      <c r="G18" s="31" t="n"/>
      <c r="H18" s="31" t="n"/>
      <c r="I18" s="31" t="n"/>
      <c r="J18" s="36" t="n"/>
    </row>
    <row r="19">
      <c r="A19" s="23" t="n"/>
      <c r="B19" s="24" t="n"/>
      <c r="C19" s="33" t="n"/>
      <c r="D19" s="26" t="n"/>
      <c r="E19" s="26" t="n"/>
      <c r="F19" s="26" t="n"/>
      <c r="G19" s="26" t="n"/>
      <c r="H19" s="26" t="n"/>
      <c r="I19" s="26" t="n"/>
      <c r="J19" s="34" t="n"/>
    </row>
    <row r="20">
      <c r="A20" s="28" t="n"/>
      <c r="B20" s="29" t="n"/>
      <c r="C20" s="35" t="n"/>
      <c r="D20" s="31" t="n"/>
      <c r="E20" s="31" t="n"/>
      <c r="F20" s="31" t="n"/>
      <c r="G20" s="31" t="n"/>
      <c r="H20" s="31" t="n"/>
      <c r="I20" s="31" t="n"/>
      <c r="J20" s="36" t="n"/>
    </row>
    <row r="21">
      <c r="A21" s="23" t="n"/>
      <c r="B21" s="24" t="n"/>
      <c r="C21" s="33" t="n"/>
      <c r="D21" s="26" t="n"/>
      <c r="E21" s="26" t="n"/>
      <c r="F21" s="26" t="n"/>
      <c r="G21" s="26" t="n"/>
      <c r="H21" s="26" t="n"/>
      <c r="I21" s="26" t="n"/>
      <c r="J21" s="34" t="n"/>
    </row>
    <row r="22">
      <c r="A22" s="28" t="n"/>
      <c r="B22" s="29" t="n"/>
      <c r="C22" s="35" t="n"/>
      <c r="D22" s="31" t="n"/>
      <c r="E22" s="31" t="n"/>
      <c r="F22" s="31" t="n"/>
      <c r="G22" s="31" t="n"/>
      <c r="H22" s="31" t="n"/>
      <c r="I22" s="31" t="n"/>
      <c r="J22" s="36" t="n"/>
    </row>
    <row r="23">
      <c r="A23" s="23" t="n"/>
      <c r="B23" s="24" t="n"/>
      <c r="C23" s="33" t="n"/>
      <c r="D23" s="26" t="n"/>
      <c r="E23" s="26" t="n"/>
      <c r="F23" s="26" t="n"/>
      <c r="G23" s="26" t="n"/>
      <c r="H23" s="26" t="n"/>
      <c r="I23" s="26" t="n"/>
      <c r="J23" s="34" t="n"/>
    </row>
    <row r="24">
      <c r="A24" s="28" t="n"/>
      <c r="B24" s="29" t="n"/>
      <c r="C24" s="35" t="n"/>
      <c r="D24" s="31" t="n"/>
      <c r="E24" s="31" t="n"/>
      <c r="F24" s="31" t="n"/>
      <c r="G24" s="31" t="n"/>
      <c r="H24" s="31" t="n"/>
      <c r="I24" s="31" t="n"/>
      <c r="J24" s="36" t="n"/>
    </row>
    <row r="25">
      <c r="A25" s="23" t="n"/>
      <c r="B25" s="24" t="n"/>
      <c r="C25" s="33" t="n"/>
      <c r="D25" s="26" t="n"/>
      <c r="E25" s="26" t="n"/>
      <c r="F25" s="26" t="n"/>
      <c r="G25" s="26" t="n"/>
      <c r="H25" s="26" t="n"/>
      <c r="I25" s="26" t="n"/>
      <c r="J25" s="34" t="n"/>
    </row>
    <row r="26">
      <c r="A26" s="28" t="n"/>
      <c r="B26" s="29" t="n"/>
      <c r="C26" s="35" t="n"/>
      <c r="D26" s="31" t="n"/>
      <c r="E26" s="31" t="n"/>
      <c r="F26" s="31" t="n"/>
      <c r="G26" s="31" t="n"/>
      <c r="H26" s="31" t="n"/>
      <c r="I26" s="31" t="n"/>
      <c r="J26" s="36" t="n"/>
    </row>
    <row r="27">
      <c r="A27" s="23" t="n"/>
      <c r="B27" s="24" t="n"/>
      <c r="C27" s="33" t="n"/>
      <c r="D27" s="26" t="n"/>
      <c r="E27" s="26" t="n"/>
      <c r="F27" s="26" t="n"/>
      <c r="G27" s="26" t="n"/>
      <c r="H27" s="26" t="n"/>
      <c r="I27" s="26" t="n"/>
      <c r="J27" s="34" t="n"/>
    </row>
    <row r="28">
      <c r="A28" s="28" t="n"/>
      <c r="B28" s="29" t="n"/>
      <c r="C28" s="35" t="n"/>
      <c r="D28" s="31" t="n"/>
      <c r="E28" s="31" t="n"/>
      <c r="F28" s="31" t="n"/>
      <c r="G28" s="31" t="n"/>
      <c r="H28" s="31" t="n"/>
      <c r="I28" s="31" t="n"/>
      <c r="J28" s="36" t="n"/>
    </row>
    <row r="29">
      <c r="A29" s="23" t="n"/>
      <c r="B29" s="24" t="n"/>
      <c r="C29" s="33" t="n"/>
      <c r="D29" s="26" t="n"/>
      <c r="E29" s="26" t="n"/>
      <c r="F29" s="26" t="n"/>
      <c r="G29" s="26" t="n"/>
      <c r="H29" s="26" t="n"/>
      <c r="I29" s="26" t="n"/>
      <c r="J29" s="34" t="n"/>
    </row>
    <row r="30">
      <c r="A30" s="28" t="n"/>
      <c r="B30" s="29" t="n"/>
      <c r="C30" s="35" t="n"/>
      <c r="D30" s="31" t="n"/>
      <c r="E30" s="31" t="n"/>
      <c r="F30" s="31" t="n"/>
      <c r="G30" s="31" t="n"/>
      <c r="H30" s="31" t="n"/>
      <c r="I30" s="31" t="n"/>
      <c r="J30" s="36" t="n"/>
    </row>
    <row r="31">
      <c r="A31" s="23" t="n"/>
      <c r="B31" s="24" t="n"/>
      <c r="C31" s="33" t="n"/>
      <c r="D31" s="26" t="n"/>
      <c r="E31" s="26" t="n"/>
      <c r="F31" s="26" t="n"/>
      <c r="G31" s="26" t="n"/>
      <c r="H31" s="26" t="n"/>
      <c r="I31" s="26" t="n"/>
      <c r="J31" s="34" t="n"/>
    </row>
    <row r="32">
      <c r="A32" s="28" t="n"/>
      <c r="B32" s="29" t="n"/>
      <c r="C32" s="35" t="n"/>
      <c r="D32" s="31" t="n"/>
      <c r="E32" s="31" t="n"/>
      <c r="F32" s="31" t="n"/>
      <c r="G32" s="31" t="n"/>
      <c r="H32" s="31" t="n"/>
      <c r="I32" s="31" t="n"/>
      <c r="J32" s="36" t="n"/>
    </row>
    <row r="33">
      <c r="A33" s="23" t="n"/>
      <c r="B33" s="24" t="n"/>
      <c r="C33" s="33" t="n"/>
      <c r="D33" s="26" t="n"/>
      <c r="E33" s="26" t="n"/>
      <c r="F33" s="26" t="n"/>
      <c r="G33" s="26" t="n"/>
      <c r="H33" s="26" t="n"/>
      <c r="I33" s="26" t="n"/>
      <c r="J33" s="34" t="n"/>
    </row>
    <row r="34">
      <c r="A34" s="28" t="n"/>
      <c r="B34" s="29" t="n"/>
      <c r="C34" s="35" t="n"/>
      <c r="D34" s="31" t="n"/>
      <c r="E34" s="31" t="n"/>
      <c r="F34" s="31" t="n"/>
      <c r="G34" s="31" t="n"/>
      <c r="H34" s="31" t="n"/>
      <c r="I34" s="31" t="n"/>
      <c r="J34" s="36" t="n"/>
    </row>
    <row r="35">
      <c r="A35" s="23" t="n"/>
      <c r="B35" s="24" t="n"/>
      <c r="C35" s="33" t="n"/>
      <c r="D35" s="26" t="n"/>
      <c r="E35" s="26" t="n"/>
      <c r="F35" s="26" t="n"/>
      <c r="G35" s="26" t="n"/>
      <c r="H35" s="26" t="n"/>
      <c r="I35" s="26" t="n"/>
      <c r="J35" s="34" t="n"/>
    </row>
    <row r="36">
      <c r="A36" s="28" t="n"/>
      <c r="B36" s="29" t="n"/>
      <c r="C36" s="35" t="n"/>
      <c r="D36" s="31" t="n"/>
      <c r="E36" s="31" t="n"/>
      <c r="F36" s="31" t="n"/>
      <c r="G36" s="31" t="n"/>
      <c r="H36" s="31" t="n"/>
      <c r="I36" s="31" t="n"/>
      <c r="J36" s="36" t="n"/>
    </row>
    <row r="37">
      <c r="A37" s="23" t="n"/>
      <c r="B37" s="24" t="n"/>
      <c r="C37" s="33" t="n"/>
      <c r="D37" s="26" t="n"/>
      <c r="E37" s="26" t="n"/>
      <c r="F37" s="26" t="n"/>
      <c r="G37" s="26" t="n"/>
      <c r="H37" s="26" t="n"/>
      <c r="I37" s="26" t="n"/>
      <c r="J37" s="34" t="n"/>
    </row>
    <row r="38">
      <c r="A38" s="28" t="n"/>
      <c r="B38" s="29" t="n"/>
      <c r="C38" s="35" t="n"/>
      <c r="D38" s="31" t="n"/>
      <c r="E38" s="31" t="n"/>
      <c r="F38" s="31" t="n"/>
      <c r="G38" s="31" t="n"/>
      <c r="H38" s="31" t="n"/>
      <c r="I38" s="31" t="n"/>
      <c r="J38" s="36" t="n"/>
    </row>
    <row r="39">
      <c r="A39" s="23" t="n"/>
      <c r="B39" s="24" t="n"/>
      <c r="C39" s="33" t="n"/>
      <c r="D39" s="26" t="n"/>
      <c r="E39" s="26" t="n"/>
      <c r="F39" s="26" t="n"/>
      <c r="G39" s="26" t="n"/>
      <c r="H39" s="26" t="n"/>
      <c r="I39" s="26" t="n"/>
      <c r="J39" s="34" t="n"/>
    </row>
    <row r="40">
      <c r="A40" s="28" t="n"/>
      <c r="B40" s="29" t="n"/>
      <c r="C40" s="35" t="n"/>
      <c r="D40" s="31" t="n"/>
      <c r="E40" s="31" t="n"/>
      <c r="F40" s="31" t="n"/>
      <c r="G40" s="31" t="n"/>
      <c r="H40" s="31" t="n"/>
      <c r="I40" s="31" t="n"/>
      <c r="J40" s="36" t="n"/>
    </row>
    <row r="41">
      <c r="A41" s="23" t="n"/>
      <c r="B41" s="24" t="n"/>
      <c r="C41" s="33" t="n"/>
      <c r="D41" s="26" t="n"/>
      <c r="E41" s="26" t="n"/>
      <c r="F41" s="26" t="n"/>
      <c r="G41" s="26" t="n"/>
      <c r="H41" s="26" t="n"/>
      <c r="I41" s="26" t="n"/>
      <c r="J41" s="34" t="n"/>
    </row>
    <row r="42">
      <c r="A42" s="28" t="n"/>
      <c r="B42" s="29" t="n"/>
      <c r="C42" s="35" t="n"/>
      <c r="D42" s="31" t="n"/>
      <c r="E42" s="31" t="n"/>
      <c r="F42" s="31" t="n"/>
      <c r="G42" s="31" t="n"/>
      <c r="H42" s="31" t="n"/>
      <c r="I42" s="31" t="n"/>
      <c r="J42" s="36" t="n"/>
    </row>
    <row r="43">
      <c r="A43" s="23" t="n"/>
      <c r="B43" s="24" t="n"/>
      <c r="C43" s="33" t="n"/>
      <c r="D43" s="26" t="n"/>
      <c r="E43" s="26" t="n"/>
      <c r="F43" s="26" t="n"/>
      <c r="G43" s="26" t="n"/>
      <c r="H43" s="26" t="n"/>
      <c r="I43" s="26" t="n"/>
      <c r="J43" s="34" t="n"/>
    </row>
    <row r="44">
      <c r="A44" s="28" t="n"/>
      <c r="B44" s="29" t="n"/>
      <c r="C44" s="35" t="n"/>
      <c r="D44" s="31" t="n"/>
      <c r="E44" s="31" t="n"/>
      <c r="F44" s="31" t="n"/>
      <c r="G44" s="31" t="n"/>
      <c r="H44" s="31" t="n"/>
      <c r="I44" s="31" t="n"/>
      <c r="J44" s="36" t="n"/>
    </row>
    <row r="45">
      <c r="A45" s="7" t="inlineStr">
        <is>
          <t>AVERAGE</t>
        </is>
      </c>
      <c r="B45" s="7" t="inlineStr"/>
      <c r="C45" s="37">
        <f>IFERROR(AVERAGE(C5:C44),0)</f>
        <v/>
      </c>
      <c r="D45" s="38">
        <f>IFERROR(AVERAGE(D5:D44),0)</f>
        <v/>
      </c>
      <c r="E45" s="38">
        <f>IFERROR(AVERAGE(E5:E44),0)</f>
        <v/>
      </c>
      <c r="F45" s="38">
        <f>IFERROR(AVERAGE(F5:F44),0)</f>
        <v/>
      </c>
      <c r="G45" s="38">
        <f>IFERROR(AVERAGE(G5:G44),0)</f>
        <v/>
      </c>
      <c r="H45" s="38">
        <f>IFERROR(AVERAGE(H5:H44),0)</f>
        <v/>
      </c>
      <c r="I45" s="38">
        <f>IFERROR(AVERAGE(I5:I44),0)</f>
        <v/>
      </c>
      <c r="J45" s="38">
        <f>IFERROR(AVERAGE(J5:J44),0)</f>
        <v/>
      </c>
    </row>
  </sheetData>
  <mergeCells count="2">
    <mergeCell ref="A1:J1"/>
    <mergeCell ref="A2:J2"/>
  </mergeCells>
  <conditionalFormatting sqref="C5:C44">
    <cfRule type="colorScale" priority="1">
      <colorScale>
        <cfvo type="num" val="0.5"/>
        <cfvo type="num" val="0.72"/>
        <color rgb="FFFBF0E2"/>
        <color rgb="FF75E6C1"/>
      </colorScale>
    </cfRule>
  </conditionalFormatting>
  <conditionalFormatting sqref="J5:J44">
    <cfRule type="dataBar" priority="2">
      <dataBar showValue="1">
        <cfvo type="num" val="0"/>
        <cfvo type="num" val="10"/>
        <color rgb="001B4F4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J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0" customWidth="1" min="4" max="4"/>
    <col width="11" customWidth="1" min="5" max="5"/>
    <col width="10" customWidth="1" min="6" max="6"/>
    <col width="13" customWidth="1" min="7" max="7"/>
    <col width="11" customWidth="1" min="8" max="8"/>
    <col width="12" customWidth="1" min="9" max="9"/>
    <col width="16" customWidth="1" min="10" max="10"/>
  </cols>
  <sheetData>
    <row r="1" ht="46" customHeight="1">
      <c r="A1" s="1" t="inlineStr">
        <is>
          <t xml:space="preserve">  🏆  TOURNAMENT COMMAND CENTER</t>
        </is>
      </c>
    </row>
    <row r="2" ht="22" customHeight="1">
      <c r="A2" s="2" t="inlineStr">
        <is>
          <t xml:space="preserve">  Every event tracked — entry, travel, placement, prize &amp; ranking points.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7" t="inlineStr">
        <is>
          <t>Tournament</t>
        </is>
      </c>
      <c r="B4" s="7" t="inlineStr">
        <is>
          <t>Location</t>
        </is>
      </c>
      <c r="C4" s="7" t="inlineStr">
        <is>
          <t>Date</t>
        </is>
      </c>
      <c r="D4" s="7" t="inlineStr">
        <is>
          <t>Level</t>
        </is>
      </c>
      <c r="E4" s="7" t="inlineStr">
        <is>
          <t>Entry Fee</t>
        </is>
      </c>
      <c r="F4" s="7" t="inlineStr">
        <is>
          <t>Travel</t>
        </is>
      </c>
      <c r="G4" s="7" t="inlineStr">
        <is>
          <t>Placement</t>
        </is>
      </c>
      <c r="H4" s="7" t="inlineStr">
        <is>
          <t>Prize</t>
        </is>
      </c>
      <c r="I4" s="7" t="inlineStr">
        <is>
          <t>Points</t>
        </is>
      </c>
      <c r="J4" s="7" t="inlineStr">
        <is>
          <t>Notes</t>
        </is>
      </c>
    </row>
    <row r="5">
      <c r="A5" s="24" t="inlineStr">
        <is>
          <t>Summer Level 2</t>
        </is>
      </c>
      <c r="B5" s="24" t="inlineStr">
        <is>
          <t>Riverside</t>
        </is>
      </c>
      <c r="C5" s="23" t="n">
        <v>46160</v>
      </c>
      <c r="D5" s="25" t="inlineStr">
        <is>
          <t>Level 2</t>
        </is>
      </c>
      <c r="E5" s="39" t="n">
        <v>90</v>
      </c>
      <c r="F5" s="39" t="n">
        <v>180</v>
      </c>
      <c r="G5" s="25" t="inlineStr">
        <is>
          <t>1st</t>
        </is>
      </c>
      <c r="H5" s="39" t="n">
        <v>0</v>
      </c>
      <c r="I5" s="26" t="n">
        <v>250</v>
      </c>
      <c r="J5" s="24" t="inlineStr">
        <is>
          <t>Gold — great run!</t>
        </is>
      </c>
    </row>
    <row r="6">
      <c r="A6" s="29" t="inlineStr">
        <is>
          <t>Spring Sectional</t>
        </is>
      </c>
      <c r="B6" s="29" t="inlineStr">
        <is>
          <t>Metro Center</t>
        </is>
      </c>
      <c r="C6" s="28" t="n">
        <v>46136</v>
      </c>
      <c r="D6" s="30" t="inlineStr">
        <is>
          <t>Sectional</t>
        </is>
      </c>
      <c r="E6" s="40" t="n">
        <v>75</v>
      </c>
      <c r="F6" s="40" t="n">
        <v>120</v>
      </c>
      <c r="G6" s="30" t="inlineStr">
        <is>
          <t>3rd</t>
        </is>
      </c>
      <c r="H6" s="40" t="n">
        <v>0</v>
      </c>
      <c r="I6" s="31" t="n">
        <v>150</v>
      </c>
      <c r="J6" s="29" t="inlineStr">
        <is>
          <t>Bronze</t>
        </is>
      </c>
    </row>
    <row r="7">
      <c r="A7" s="24" t="inlineStr">
        <is>
          <t>Grass Cup</t>
        </is>
      </c>
      <c r="B7" s="24" t="inlineStr">
        <is>
          <t>Lakeside</t>
        </is>
      </c>
      <c r="C7" s="23" t="n">
        <v>46166</v>
      </c>
      <c r="D7" s="25" t="inlineStr">
        <is>
          <t>Level 3</t>
        </is>
      </c>
      <c r="E7" s="39" t="n">
        <v>60</v>
      </c>
      <c r="F7" s="39" t="n">
        <v>90</v>
      </c>
      <c r="G7" s="25" t="inlineStr">
        <is>
          <t>1st</t>
        </is>
      </c>
      <c r="H7" s="39" t="n">
        <v>0</v>
      </c>
      <c r="I7" s="26" t="n">
        <v>180</v>
      </c>
      <c r="J7" s="24" t="inlineStr">
        <is>
          <t>Undefeated</t>
        </is>
      </c>
    </row>
    <row r="8">
      <c r="A8" s="29" t="inlineStr">
        <is>
          <t>Fall Sectional</t>
        </is>
      </c>
      <c r="B8" s="29" t="inlineStr">
        <is>
          <t>State Center</t>
        </is>
      </c>
      <c r="C8" s="28" t="n">
        <v>46176</v>
      </c>
      <c r="D8" s="30" t="inlineStr">
        <is>
          <t>Sectional</t>
        </is>
      </c>
      <c r="E8" s="40" t="n">
        <v>85</v>
      </c>
      <c r="F8" s="40" t="n">
        <v>200</v>
      </c>
      <c r="G8" s="30" t="inlineStr">
        <is>
          <t>5th</t>
        </is>
      </c>
      <c r="H8" s="40" t="n">
        <v>0</v>
      </c>
      <c r="I8" s="31" t="n">
        <v>90</v>
      </c>
      <c r="J8" s="29" t="inlineStr">
        <is>
          <t>Tough draw</t>
        </is>
      </c>
    </row>
    <row r="9">
      <c r="A9" s="24" t="inlineStr">
        <is>
          <t>State Level 1</t>
        </is>
      </c>
      <c r="B9" s="24" t="inlineStr">
        <is>
          <t>Capital Courts</t>
        </is>
      </c>
      <c r="C9" s="23" t="n">
        <v>46188</v>
      </c>
      <c r="D9" s="25" t="inlineStr">
        <is>
          <t>Level 1</t>
        </is>
      </c>
      <c r="E9" s="39" t="n">
        <v>120</v>
      </c>
      <c r="F9" s="39" t="n">
        <v>320</v>
      </c>
      <c r="G9" s="25" t="inlineStr">
        <is>
          <t>Quarterfinal</t>
        </is>
      </c>
      <c r="H9" s="39" t="n">
        <v>0</v>
      </c>
      <c r="I9" s="26" t="n">
        <v>120</v>
      </c>
      <c r="J9" s="24" t="inlineStr">
        <is>
          <t>Lost to #3 seed</t>
        </is>
      </c>
    </row>
    <row r="10">
      <c r="A10" s="29" t="inlineStr">
        <is>
          <t>Winter Open</t>
        </is>
      </c>
      <c r="B10" s="29" t="inlineStr">
        <is>
          <t>Cedar Park</t>
        </is>
      </c>
      <c r="C10" s="28" t="n">
        <v>46205</v>
      </c>
      <c r="D10" s="30" t="inlineStr">
        <is>
          <t>Level 2</t>
        </is>
      </c>
      <c r="E10" s="40" t="n">
        <v>90</v>
      </c>
      <c r="F10" s="40" t="n">
        <v>60</v>
      </c>
      <c r="G10" s="30" t="inlineStr">
        <is>
          <t>Round 2</t>
        </is>
      </c>
      <c r="H10" s="40" t="n">
        <v>0</v>
      </c>
      <c r="I10" s="31" t="n">
        <v>40</v>
      </c>
      <c r="J10" s="29" t="inlineStr">
        <is>
          <t>Building form</t>
        </is>
      </c>
    </row>
    <row r="11">
      <c r="A11" s="24" t="inlineStr">
        <is>
          <t>Spring Championships</t>
        </is>
      </c>
      <c r="B11" s="24" t="inlineStr">
        <is>
          <t>Metro Center</t>
        </is>
      </c>
      <c r="C11" s="23" t="n">
        <v>46230</v>
      </c>
      <c r="D11" s="25" t="inlineStr">
        <is>
          <t>Level 1</t>
        </is>
      </c>
      <c r="E11" s="39" t="n">
        <v>130</v>
      </c>
      <c r="F11" s="39" t="n">
        <v>220</v>
      </c>
      <c r="G11" s="25" t="inlineStr">
        <is>
          <t>Registered</t>
        </is>
      </c>
      <c r="H11" s="39" t="n">
        <v>0</v>
      </c>
      <c r="I11" s="26" t="n">
        <v>0</v>
      </c>
      <c r="J11" s="24" t="inlineStr">
        <is>
          <t>Season goal</t>
        </is>
      </c>
    </row>
    <row r="12">
      <c r="A12" s="29" t="inlineStr">
        <is>
          <t>Clay Court Classic</t>
        </is>
      </c>
      <c r="B12" s="29" t="inlineStr">
        <is>
          <t>Riverside</t>
        </is>
      </c>
      <c r="C12" s="28" t="n">
        <v>46251</v>
      </c>
      <c r="D12" s="30" t="inlineStr">
        <is>
          <t>Level 2</t>
        </is>
      </c>
      <c r="E12" s="40" t="n">
        <v>95</v>
      </c>
      <c r="F12" s="40" t="n">
        <v>140</v>
      </c>
      <c r="G12" s="30" t="inlineStr">
        <is>
          <t>Registered</t>
        </is>
      </c>
      <c r="H12" s="40" t="n">
        <v>0</v>
      </c>
      <c r="I12" s="31" t="n">
        <v>0</v>
      </c>
      <c r="J12" s="29" t="inlineStr">
        <is>
          <t>Best surface</t>
        </is>
      </c>
    </row>
    <row r="13">
      <c r="A13" s="24" t="inlineStr">
        <is>
          <t>Sectional Masters</t>
        </is>
      </c>
      <c r="B13" s="24" t="inlineStr">
        <is>
          <t>State Center</t>
        </is>
      </c>
      <c r="C13" s="23" t="n">
        <v>46274</v>
      </c>
      <c r="D13" s="25" t="inlineStr">
        <is>
          <t>Sectional</t>
        </is>
      </c>
      <c r="E13" s="39" t="n">
        <v>110</v>
      </c>
      <c r="F13" s="39" t="n">
        <v>260</v>
      </c>
      <c r="G13" s="25" t="inlineStr">
        <is>
          <t>Registered</t>
        </is>
      </c>
      <c r="H13" s="39" t="n">
        <v>0</v>
      </c>
      <c r="I13" s="26" t="n">
        <v>0</v>
      </c>
      <c r="J13" s="24" t="inlineStr">
        <is>
          <t>Big points</t>
        </is>
      </c>
    </row>
    <row r="14">
      <c r="A14" s="29" t="n"/>
      <c r="B14" s="29" t="n"/>
      <c r="C14" s="28" t="n"/>
      <c r="D14" s="30" t="n"/>
      <c r="E14" s="40" t="n"/>
      <c r="F14" s="40" t="n"/>
      <c r="G14" s="30" t="n"/>
      <c r="H14" s="40" t="n"/>
      <c r="I14" s="31" t="n"/>
      <c r="J14" s="29" t="n"/>
    </row>
    <row r="15">
      <c r="A15" s="24" t="n"/>
      <c r="B15" s="24" t="n"/>
      <c r="C15" s="23" t="n"/>
      <c r="D15" s="25" t="n"/>
      <c r="E15" s="39" t="n"/>
      <c r="F15" s="39" t="n"/>
      <c r="G15" s="25" t="n"/>
      <c r="H15" s="39" t="n"/>
      <c r="I15" s="26" t="n"/>
      <c r="J15" s="24" t="n"/>
    </row>
    <row r="16">
      <c r="A16" s="29" t="n"/>
      <c r="B16" s="29" t="n"/>
      <c r="C16" s="28" t="n"/>
      <c r="D16" s="30" t="n"/>
      <c r="E16" s="40" t="n"/>
      <c r="F16" s="40" t="n"/>
      <c r="G16" s="30" t="n"/>
      <c r="H16" s="40" t="n"/>
      <c r="I16" s="31" t="n"/>
      <c r="J16" s="29" t="n"/>
    </row>
    <row r="17">
      <c r="A17" s="24" t="n"/>
      <c r="B17" s="24" t="n"/>
      <c r="C17" s="23" t="n"/>
      <c r="D17" s="25" t="n"/>
      <c r="E17" s="39" t="n"/>
      <c r="F17" s="39" t="n"/>
      <c r="G17" s="25" t="n"/>
      <c r="H17" s="39" t="n"/>
      <c r="I17" s="26" t="n"/>
      <c r="J17" s="24" t="n"/>
    </row>
    <row r="18">
      <c r="A18" s="29" t="n"/>
      <c r="B18" s="29" t="n"/>
      <c r="C18" s="28" t="n"/>
      <c r="D18" s="30" t="n"/>
      <c r="E18" s="40" t="n"/>
      <c r="F18" s="40" t="n"/>
      <c r="G18" s="30" t="n"/>
      <c r="H18" s="40" t="n"/>
      <c r="I18" s="31" t="n"/>
      <c r="J18" s="29" t="n"/>
    </row>
    <row r="19">
      <c r="A19" s="24" t="n"/>
      <c r="B19" s="24" t="n"/>
      <c r="C19" s="23" t="n"/>
      <c r="D19" s="25" t="n"/>
      <c r="E19" s="39" t="n"/>
      <c r="F19" s="39" t="n"/>
      <c r="G19" s="25" t="n"/>
      <c r="H19" s="39" t="n"/>
      <c r="I19" s="26" t="n"/>
      <c r="J19" s="24" t="n"/>
    </row>
    <row r="20">
      <c r="A20" s="29" t="n"/>
      <c r="B20" s="29" t="n"/>
      <c r="C20" s="28" t="n"/>
      <c r="D20" s="30" t="n"/>
      <c r="E20" s="40" t="n"/>
      <c r="F20" s="40" t="n"/>
      <c r="G20" s="30" t="n"/>
      <c r="H20" s="40" t="n"/>
      <c r="I20" s="31" t="n"/>
      <c r="J20" s="29" t="n"/>
    </row>
    <row r="21">
      <c r="A21" s="24" t="n"/>
      <c r="B21" s="24" t="n"/>
      <c r="C21" s="23" t="n"/>
      <c r="D21" s="25" t="n"/>
      <c r="E21" s="39" t="n"/>
      <c r="F21" s="39" t="n"/>
      <c r="G21" s="25" t="n"/>
      <c r="H21" s="39" t="n"/>
      <c r="I21" s="26" t="n"/>
      <c r="J21" s="24" t="n"/>
    </row>
    <row r="22">
      <c r="A22" s="29" t="n"/>
      <c r="B22" s="29" t="n"/>
      <c r="C22" s="28" t="n"/>
      <c r="D22" s="30" t="n"/>
      <c r="E22" s="40" t="n"/>
      <c r="F22" s="40" t="n"/>
      <c r="G22" s="30" t="n"/>
      <c r="H22" s="40" t="n"/>
      <c r="I22" s="31" t="n"/>
      <c r="J22" s="29" t="n"/>
    </row>
    <row r="23">
      <c r="A23" s="24" t="n"/>
      <c r="B23" s="24" t="n"/>
      <c r="C23" s="23" t="n"/>
      <c r="D23" s="25" t="n"/>
      <c r="E23" s="39" t="n"/>
      <c r="F23" s="39" t="n"/>
      <c r="G23" s="25" t="n"/>
      <c r="H23" s="39" t="n"/>
      <c r="I23" s="26" t="n"/>
      <c r="J23" s="24" t="n"/>
    </row>
    <row r="24">
      <c r="A24" s="29" t="n"/>
      <c r="B24" s="29" t="n"/>
      <c r="C24" s="28" t="n"/>
      <c r="D24" s="30" t="n"/>
      <c r="E24" s="40" t="n"/>
      <c r="F24" s="40" t="n"/>
      <c r="G24" s="30" t="n"/>
      <c r="H24" s="40" t="n"/>
      <c r="I24" s="31" t="n"/>
      <c r="J24" s="29" t="n"/>
    </row>
    <row r="25">
      <c r="A25" s="24" t="n"/>
      <c r="B25" s="24" t="n"/>
      <c r="C25" s="23" t="n"/>
      <c r="D25" s="25" t="n"/>
      <c r="E25" s="39" t="n"/>
      <c r="F25" s="39" t="n"/>
      <c r="G25" s="25" t="n"/>
      <c r="H25" s="39" t="n"/>
      <c r="I25" s="26" t="n"/>
      <c r="J25" s="24" t="n"/>
    </row>
    <row r="26">
      <c r="A26" s="29" t="n"/>
      <c r="B26" s="29" t="n"/>
      <c r="C26" s="28" t="n"/>
      <c r="D26" s="30" t="n"/>
      <c r="E26" s="40" t="n"/>
      <c r="F26" s="40" t="n"/>
      <c r="G26" s="30" t="n"/>
      <c r="H26" s="40" t="n"/>
      <c r="I26" s="31" t="n"/>
      <c r="J26" s="29" t="n"/>
    </row>
    <row r="27">
      <c r="A27" s="24" t="n"/>
      <c r="B27" s="24" t="n"/>
      <c r="C27" s="23" t="n"/>
      <c r="D27" s="25" t="n"/>
      <c r="E27" s="39" t="n"/>
      <c r="F27" s="39" t="n"/>
      <c r="G27" s="25" t="n"/>
      <c r="H27" s="39" t="n"/>
      <c r="I27" s="26" t="n"/>
      <c r="J27" s="24" t="n"/>
    </row>
    <row r="28">
      <c r="A28" s="29" t="n"/>
      <c r="B28" s="29" t="n"/>
      <c r="C28" s="28" t="n"/>
      <c r="D28" s="30" t="n"/>
      <c r="E28" s="40" t="n"/>
      <c r="F28" s="40" t="n"/>
      <c r="G28" s="30" t="n"/>
      <c r="H28" s="40" t="n"/>
      <c r="I28" s="31" t="n"/>
      <c r="J28" s="29" t="n"/>
    </row>
    <row r="29">
      <c r="A29" s="24" t="n"/>
      <c r="B29" s="24" t="n"/>
      <c r="C29" s="23" t="n"/>
      <c r="D29" s="25" t="n"/>
      <c r="E29" s="39" t="n"/>
      <c r="F29" s="39" t="n"/>
      <c r="G29" s="25" t="n"/>
      <c r="H29" s="39" t="n"/>
      <c r="I29" s="26" t="n"/>
      <c r="J29" s="24" t="n"/>
    </row>
    <row r="30">
      <c r="A30" s="29" t="n"/>
      <c r="B30" s="29" t="n"/>
      <c r="C30" s="28" t="n"/>
      <c r="D30" s="30" t="n"/>
      <c r="E30" s="40" t="n"/>
      <c r="F30" s="40" t="n"/>
      <c r="G30" s="30" t="n"/>
      <c r="H30" s="40" t="n"/>
      <c r="I30" s="31" t="n"/>
      <c r="J30" s="29" t="n"/>
    </row>
    <row r="31">
      <c r="A31" s="24" t="n"/>
      <c r="B31" s="24" t="n"/>
      <c r="C31" s="23" t="n"/>
      <c r="D31" s="25" t="n"/>
      <c r="E31" s="39" t="n"/>
      <c r="F31" s="39" t="n"/>
      <c r="G31" s="25" t="n"/>
      <c r="H31" s="39" t="n"/>
      <c r="I31" s="26" t="n"/>
      <c r="J31" s="24" t="n"/>
    </row>
    <row r="32">
      <c r="A32" s="29" t="n"/>
      <c r="B32" s="29" t="n"/>
      <c r="C32" s="28" t="n"/>
      <c r="D32" s="30" t="n"/>
      <c r="E32" s="40" t="n"/>
      <c r="F32" s="40" t="n"/>
      <c r="G32" s="30" t="n"/>
      <c r="H32" s="40" t="n"/>
      <c r="I32" s="31" t="n"/>
      <c r="J32" s="29" t="n"/>
    </row>
    <row r="33">
      <c r="A33" s="24" t="n"/>
      <c r="B33" s="24" t="n"/>
      <c r="C33" s="23" t="n"/>
      <c r="D33" s="25" t="n"/>
      <c r="E33" s="39" t="n"/>
      <c r="F33" s="39" t="n"/>
      <c r="G33" s="25" t="n"/>
      <c r="H33" s="39" t="n"/>
      <c r="I33" s="26" t="n"/>
      <c r="J33" s="24" t="n"/>
    </row>
    <row r="34">
      <c r="A34" s="29" t="n"/>
      <c r="B34" s="29" t="n"/>
      <c r="C34" s="28" t="n"/>
      <c r="D34" s="30" t="n"/>
      <c r="E34" s="40" t="n"/>
      <c r="F34" s="40" t="n"/>
      <c r="G34" s="30" t="n"/>
      <c r="H34" s="40" t="n"/>
      <c r="I34" s="31" t="n"/>
      <c r="J34" s="29" t="n"/>
    </row>
    <row r="35">
      <c r="A35" s="7" t="inlineStr">
        <is>
          <t>TOTALS</t>
        </is>
      </c>
      <c r="E35" s="41">
        <f>SUM(E5:E34)</f>
        <v/>
      </c>
      <c r="F35" s="41">
        <f>SUM(F5:F34)</f>
        <v/>
      </c>
      <c r="H35" s="41">
        <f>SUM(H5:H34)</f>
        <v/>
      </c>
      <c r="I35" s="32">
        <f>SUM(I5:I34)</f>
        <v/>
      </c>
    </row>
  </sheetData>
  <mergeCells count="2">
    <mergeCell ref="A1:J1"/>
    <mergeCell ref="A2:J2"/>
  </mergeCells>
  <conditionalFormatting sqref="G5:G34">
    <cfRule type="cellIs" priority="1" operator="equal" dxfId="0">
      <formula>"1st"</formula>
    </cfRule>
    <cfRule type="cellIs" priority="2" operator="equal" dxfId="2">
      <formula>"Registered"</formula>
    </cfRule>
  </conditionalFormatting>
  <dataValidations count="1">
    <dataValidation sqref="D5:D34" showDropDown="0" showInputMessage="0" showErrorMessage="0" allowBlank="1" type="list">
      <formula1>=TournLevelList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4" customWidth="1" min="4" max="4"/>
    <col width="30" customWidth="1" min="5" max="5"/>
    <col width="12" customWidth="1" min="6" max="6"/>
    <col width="24" customWidth="1" min="7" max="7"/>
  </cols>
  <sheetData>
    <row r="1" ht="46" customHeight="1">
      <c r="A1" s="1" t="inlineStr">
        <is>
          <t xml:space="preserve">  🎯  PRACTICE PLANNER</t>
        </is>
      </c>
    </row>
    <row r="2" ht="22" customHeight="1">
      <c r="A2" s="2" t="inlineStr">
        <is>
          <t xml:space="preserve">  Train with intent — focus, drills, intensity &amp; coach notes, session by session.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Date</t>
        </is>
      </c>
      <c r="B4" s="7" t="inlineStr">
        <is>
          <t>Hours</t>
        </is>
      </c>
      <c r="C4" s="7" t="inlineStr">
        <is>
          <t>Coach</t>
        </is>
      </c>
      <c r="D4" s="7" t="inlineStr">
        <is>
          <t>Focus</t>
        </is>
      </c>
      <c r="E4" s="7" t="inlineStr">
        <is>
          <t>Drills</t>
        </is>
      </c>
      <c r="F4" s="7" t="inlineStr">
        <is>
          <t>Intensity</t>
        </is>
      </c>
      <c r="G4" s="7" t="inlineStr">
        <is>
          <t>Notes</t>
        </is>
      </c>
    </row>
    <row r="5">
      <c r="A5" s="23" t="n">
        <v>46204</v>
      </c>
      <c r="B5" s="34" t="n">
        <v>2</v>
      </c>
      <c r="C5" s="24" t="inlineStr">
        <is>
          <t>Coach Petrov</t>
        </is>
      </c>
      <c r="D5" s="25" t="inlineStr">
        <is>
          <t>Serves</t>
        </is>
      </c>
      <c r="E5" s="24" t="inlineStr">
        <is>
          <t>Kick serve, targets, 100 serves</t>
        </is>
      </c>
      <c r="F5" s="25" t="inlineStr">
        <is>
          <t>High</t>
        </is>
      </c>
      <c r="G5" s="24" t="inlineStr">
        <is>
          <t>Second serve improving</t>
        </is>
      </c>
    </row>
    <row r="6">
      <c r="A6" s="28" t="n">
        <v>46203</v>
      </c>
      <c r="B6" s="36" t="n">
        <v>1.5</v>
      </c>
      <c r="C6" s="29" t="inlineStr">
        <is>
          <t>Coach Petrov</t>
        </is>
      </c>
      <c r="D6" s="30" t="inlineStr">
        <is>
          <t>Backhands</t>
        </is>
      </c>
      <c r="E6" s="29" t="inlineStr">
        <is>
          <t>Down-the-line, cross-court</t>
        </is>
      </c>
      <c r="F6" s="30" t="inlineStr">
        <is>
          <t>Medium</t>
        </is>
      </c>
      <c r="G6" s="29" t="inlineStr">
        <is>
          <t>Cleaner contact</t>
        </is>
      </c>
    </row>
    <row r="7">
      <c r="A7" s="23" t="n">
        <v>46201</v>
      </c>
      <c r="B7" s="34" t="n">
        <v>2.5</v>
      </c>
      <c r="C7" s="24" t="inlineStr">
        <is>
          <t>Solo</t>
        </is>
      </c>
      <c r="D7" s="25" t="inlineStr">
        <is>
          <t>Match Play</t>
        </is>
      </c>
      <c r="E7" s="24" t="inlineStr">
        <is>
          <t>Practice sets vs hitting partner</t>
        </is>
      </c>
      <c r="F7" s="25" t="inlineStr">
        <is>
          <t>High</t>
        </is>
      </c>
      <c r="G7" s="24" t="inlineStr">
        <is>
          <t>Closed out 6-3</t>
        </is>
      </c>
    </row>
    <row r="8">
      <c r="A8" s="28" t="n">
        <v>46199</v>
      </c>
      <c r="B8" s="36" t="n">
        <v>2</v>
      </c>
      <c r="C8" s="29" t="inlineStr">
        <is>
          <t>Coach Reyes</t>
        </is>
      </c>
      <c r="D8" s="30" t="inlineStr">
        <is>
          <t>Footwork</t>
        </is>
      </c>
      <c r="E8" s="29" t="inlineStr">
        <is>
          <t>Ladder, split-step, recovery</t>
        </is>
      </c>
      <c r="F8" s="30" t="inlineStr">
        <is>
          <t>Medium</t>
        </is>
      </c>
      <c r="G8" s="29" t="inlineStr">
        <is>
          <t>Faster to wide balls</t>
        </is>
      </c>
    </row>
    <row r="9">
      <c r="A9" s="23" t="n">
        <v>46197</v>
      </c>
      <c r="B9" s="34" t="n">
        <v>1.5</v>
      </c>
      <c r="C9" s="24" t="inlineStr">
        <is>
          <t>Coach Petrov</t>
        </is>
      </c>
      <c r="D9" s="25" t="inlineStr">
        <is>
          <t>Volleys</t>
        </is>
      </c>
      <c r="E9" s="24" t="inlineStr">
        <is>
          <t>Approach + volley, overheads</t>
        </is>
      </c>
      <c r="F9" s="25" t="inlineStr">
        <is>
          <t>Medium</t>
        </is>
      </c>
      <c r="G9" s="24" t="inlineStr">
        <is>
          <t>Net game sharper</t>
        </is>
      </c>
    </row>
    <row r="10">
      <c r="A10" s="28" t="n">
        <v>46194</v>
      </c>
      <c r="B10" s="36" t="n">
        <v>2.5</v>
      </c>
      <c r="C10" s="29" t="inlineStr">
        <is>
          <t>Coach Petrov</t>
        </is>
      </c>
      <c r="D10" s="30" t="inlineStr">
        <is>
          <t>Serves</t>
        </is>
      </c>
      <c r="E10" s="29" t="inlineStr">
        <is>
          <t>First serve %, placement</t>
        </is>
      </c>
      <c r="F10" s="30" t="inlineStr">
        <is>
          <t>High</t>
        </is>
      </c>
      <c r="G10" s="29" t="inlineStr">
        <is>
          <t>72% first serves</t>
        </is>
      </c>
    </row>
    <row r="11">
      <c r="A11" s="23" t="n">
        <v>46191</v>
      </c>
      <c r="B11" s="34" t="n">
        <v>2</v>
      </c>
      <c r="C11" s="24" t="inlineStr">
        <is>
          <t>Solo</t>
        </is>
      </c>
      <c r="D11" s="25" t="inlineStr">
        <is>
          <t>Forehands</t>
        </is>
      </c>
      <c r="E11" s="24" t="inlineStr">
        <is>
          <t>Inside-out, heavy topspin</t>
        </is>
      </c>
      <c r="F11" s="25" t="inlineStr">
        <is>
          <t>Medium</t>
        </is>
      </c>
      <c r="G11" s="24" t="inlineStr">
        <is>
          <t>More spin</t>
        </is>
      </c>
    </row>
    <row r="12">
      <c r="A12" s="28" t="n">
        <v>46188</v>
      </c>
      <c r="B12" s="36" t="n">
        <v>2</v>
      </c>
      <c r="C12" s="29" t="inlineStr">
        <is>
          <t>Coach Petrov</t>
        </is>
      </c>
      <c r="D12" s="30" t="inlineStr">
        <is>
          <t>Match Play</t>
        </is>
      </c>
      <c r="E12" s="29" t="inlineStr">
        <is>
          <t>Tiebreak scenarios</t>
        </is>
      </c>
      <c r="F12" s="30" t="inlineStr">
        <is>
          <t>High</t>
        </is>
      </c>
      <c r="G12" s="29" t="inlineStr">
        <is>
          <t>Clutch practice</t>
        </is>
      </c>
    </row>
    <row r="13">
      <c r="A13" s="23" t="n">
        <v>46184</v>
      </c>
      <c r="B13" s="34" t="n">
        <v>1.5</v>
      </c>
      <c r="C13" s="24" t="inlineStr">
        <is>
          <t>Coach Reyes</t>
        </is>
      </c>
      <c r="D13" s="25" t="inlineStr">
        <is>
          <t>Mental</t>
        </is>
      </c>
      <c r="E13" s="24" t="inlineStr">
        <is>
          <t>Routines, breathing, focus</t>
        </is>
      </c>
      <c r="F13" s="25" t="inlineStr">
        <is>
          <t>Low</t>
        </is>
      </c>
      <c r="G13" s="24" t="inlineStr">
        <is>
          <t>Calmer between points</t>
        </is>
      </c>
    </row>
    <row r="14">
      <c r="A14" s="28" t="n">
        <v>46180</v>
      </c>
      <c r="B14" s="36" t="n">
        <v>2.5</v>
      </c>
      <c r="C14" s="29" t="inlineStr">
        <is>
          <t>Coach Petrov</t>
        </is>
      </c>
      <c r="D14" s="30" t="inlineStr">
        <is>
          <t>Backhands</t>
        </is>
      </c>
      <c r="E14" s="29" t="inlineStr">
        <is>
          <t>Slice + drive mix</t>
        </is>
      </c>
      <c r="F14" s="30" t="inlineStr">
        <is>
          <t>High</t>
        </is>
      </c>
      <c r="G14" s="29" t="inlineStr">
        <is>
          <t>Variety working</t>
        </is>
      </c>
    </row>
    <row r="15">
      <c r="A15" s="23" t="n">
        <v>46176</v>
      </c>
      <c r="B15" s="34" t="n">
        <v>2</v>
      </c>
      <c r="C15" s="24" t="inlineStr">
        <is>
          <t>Solo</t>
        </is>
      </c>
      <c r="D15" s="25" t="inlineStr">
        <is>
          <t>Overheads</t>
        </is>
      </c>
      <c r="E15" s="24" t="inlineStr">
        <is>
          <t>Smash under pressure</t>
        </is>
      </c>
      <c r="F15" s="25" t="inlineStr">
        <is>
          <t>Medium</t>
        </is>
      </c>
      <c r="G15" s="24" t="inlineStr">
        <is>
          <t>Timing better</t>
        </is>
      </c>
    </row>
    <row r="16">
      <c r="A16" s="28" t="n">
        <v>46172</v>
      </c>
      <c r="B16" s="36" t="n">
        <v>2</v>
      </c>
      <c r="C16" s="29" t="inlineStr">
        <is>
          <t>Coach Petrov</t>
        </is>
      </c>
      <c r="D16" s="30" t="inlineStr">
        <is>
          <t>Match Play</t>
        </is>
      </c>
      <c r="E16" s="29" t="inlineStr">
        <is>
          <t>Full practice match</t>
        </is>
      </c>
      <c r="F16" s="30" t="inlineStr">
        <is>
          <t>High</t>
        </is>
      </c>
      <c r="G16" s="29" t="inlineStr">
        <is>
          <t>Won 6-4, 6-2</t>
        </is>
      </c>
    </row>
    <row r="17">
      <c r="A17" s="23" t="n"/>
      <c r="B17" s="34" t="n"/>
      <c r="C17" s="24" t="n"/>
      <c r="D17" s="25" t="n"/>
      <c r="E17" s="24" t="n"/>
      <c r="F17" s="25" t="n"/>
      <c r="G17" s="24" t="n"/>
    </row>
    <row r="18">
      <c r="A18" s="28" t="n"/>
      <c r="B18" s="36" t="n"/>
      <c r="C18" s="29" t="n"/>
      <c r="D18" s="30" t="n"/>
      <c r="E18" s="29" t="n"/>
      <c r="F18" s="30" t="n"/>
      <c r="G18" s="29" t="n"/>
    </row>
    <row r="19">
      <c r="A19" s="23" t="n"/>
      <c r="B19" s="34" t="n"/>
      <c r="C19" s="24" t="n"/>
      <c r="D19" s="25" t="n"/>
      <c r="E19" s="24" t="n"/>
      <c r="F19" s="25" t="n"/>
      <c r="G19" s="24" t="n"/>
    </row>
    <row r="20">
      <c r="A20" s="28" t="n"/>
      <c r="B20" s="36" t="n"/>
      <c r="C20" s="29" t="n"/>
      <c r="D20" s="30" t="n"/>
      <c r="E20" s="29" t="n"/>
      <c r="F20" s="30" t="n"/>
      <c r="G20" s="29" t="n"/>
    </row>
    <row r="21">
      <c r="A21" s="23" t="n"/>
      <c r="B21" s="34" t="n"/>
      <c r="C21" s="24" t="n"/>
      <c r="D21" s="25" t="n"/>
      <c r="E21" s="24" t="n"/>
      <c r="F21" s="25" t="n"/>
      <c r="G21" s="24" t="n"/>
    </row>
    <row r="22">
      <c r="A22" s="28" t="n"/>
      <c r="B22" s="36" t="n"/>
      <c r="C22" s="29" t="n"/>
      <c r="D22" s="30" t="n"/>
      <c r="E22" s="29" t="n"/>
      <c r="F22" s="30" t="n"/>
      <c r="G22" s="29" t="n"/>
    </row>
    <row r="23">
      <c r="A23" s="23" t="n"/>
      <c r="B23" s="34" t="n"/>
      <c r="C23" s="24" t="n"/>
      <c r="D23" s="25" t="n"/>
      <c r="E23" s="24" t="n"/>
      <c r="F23" s="25" t="n"/>
      <c r="G23" s="24" t="n"/>
    </row>
    <row r="24">
      <c r="A24" s="28" t="n"/>
      <c r="B24" s="36" t="n"/>
      <c r="C24" s="29" t="n"/>
      <c r="D24" s="30" t="n"/>
      <c r="E24" s="29" t="n"/>
      <c r="F24" s="30" t="n"/>
      <c r="G24" s="29" t="n"/>
    </row>
    <row r="25">
      <c r="A25" s="23" t="n"/>
      <c r="B25" s="34" t="n"/>
      <c r="C25" s="24" t="n"/>
      <c r="D25" s="25" t="n"/>
      <c r="E25" s="24" t="n"/>
      <c r="F25" s="25" t="n"/>
      <c r="G25" s="24" t="n"/>
    </row>
    <row r="26">
      <c r="A26" s="28" t="n"/>
      <c r="B26" s="36" t="n"/>
      <c r="C26" s="29" t="n"/>
      <c r="D26" s="30" t="n"/>
      <c r="E26" s="29" t="n"/>
      <c r="F26" s="30" t="n"/>
      <c r="G26" s="29" t="n"/>
    </row>
    <row r="27">
      <c r="A27" s="23" t="n"/>
      <c r="B27" s="34" t="n"/>
      <c r="C27" s="24" t="n"/>
      <c r="D27" s="25" t="n"/>
      <c r="E27" s="24" t="n"/>
      <c r="F27" s="25" t="n"/>
      <c r="G27" s="24" t="n"/>
    </row>
    <row r="28">
      <c r="A28" s="28" t="n"/>
      <c r="B28" s="36" t="n"/>
      <c r="C28" s="29" t="n"/>
      <c r="D28" s="30" t="n"/>
      <c r="E28" s="29" t="n"/>
      <c r="F28" s="30" t="n"/>
      <c r="G28" s="29" t="n"/>
    </row>
    <row r="29">
      <c r="A29" s="23" t="n"/>
      <c r="B29" s="34" t="n"/>
      <c r="C29" s="24" t="n"/>
      <c r="D29" s="25" t="n"/>
      <c r="E29" s="24" t="n"/>
      <c r="F29" s="25" t="n"/>
      <c r="G29" s="24" t="n"/>
    </row>
    <row r="30">
      <c r="A30" s="28" t="n"/>
      <c r="B30" s="36" t="n"/>
      <c r="C30" s="29" t="n"/>
      <c r="D30" s="30" t="n"/>
      <c r="E30" s="29" t="n"/>
      <c r="F30" s="30" t="n"/>
      <c r="G30" s="29" t="n"/>
    </row>
    <row r="31">
      <c r="A31" s="23" t="n"/>
      <c r="B31" s="34" t="n"/>
      <c r="C31" s="24" t="n"/>
      <c r="D31" s="25" t="n"/>
      <c r="E31" s="24" t="n"/>
      <c r="F31" s="25" t="n"/>
      <c r="G31" s="24" t="n"/>
    </row>
    <row r="32">
      <c r="A32" s="28" t="n"/>
      <c r="B32" s="36" t="n"/>
      <c r="C32" s="29" t="n"/>
      <c r="D32" s="30" t="n"/>
      <c r="E32" s="29" t="n"/>
      <c r="F32" s="30" t="n"/>
      <c r="G32" s="29" t="n"/>
    </row>
    <row r="33">
      <c r="A33" s="23" t="n"/>
      <c r="B33" s="34" t="n"/>
      <c r="C33" s="24" t="n"/>
      <c r="D33" s="25" t="n"/>
      <c r="E33" s="24" t="n"/>
      <c r="F33" s="25" t="n"/>
      <c r="G33" s="24" t="n"/>
    </row>
    <row r="34">
      <c r="A34" s="28" t="n"/>
      <c r="B34" s="36" t="n"/>
      <c r="C34" s="29" t="n"/>
      <c r="D34" s="30" t="n"/>
      <c r="E34" s="29" t="n"/>
      <c r="F34" s="30" t="n"/>
      <c r="G34" s="29" t="n"/>
    </row>
    <row r="35">
      <c r="A35" s="23" t="n"/>
      <c r="B35" s="34" t="n"/>
      <c r="C35" s="24" t="n"/>
      <c r="D35" s="25" t="n"/>
      <c r="E35" s="24" t="n"/>
      <c r="F35" s="25" t="n"/>
      <c r="G35" s="24" t="n"/>
    </row>
    <row r="36">
      <c r="A36" s="28" t="n"/>
      <c r="B36" s="36" t="n"/>
      <c r="C36" s="29" t="n"/>
      <c r="D36" s="30" t="n"/>
      <c r="E36" s="29" t="n"/>
      <c r="F36" s="30" t="n"/>
      <c r="G36" s="29" t="n"/>
    </row>
    <row r="37">
      <c r="A37" s="23" t="n"/>
      <c r="B37" s="34" t="n"/>
      <c r="C37" s="24" t="n"/>
      <c r="D37" s="25" t="n"/>
      <c r="E37" s="24" t="n"/>
      <c r="F37" s="25" t="n"/>
      <c r="G37" s="24" t="n"/>
    </row>
    <row r="38">
      <c r="A38" s="28" t="n"/>
      <c r="B38" s="36" t="n"/>
      <c r="C38" s="29" t="n"/>
      <c r="D38" s="30" t="n"/>
      <c r="E38" s="29" t="n"/>
      <c r="F38" s="30" t="n"/>
      <c r="G38" s="29" t="n"/>
    </row>
    <row r="39">
      <c r="A39" s="23" t="n"/>
      <c r="B39" s="34" t="n"/>
      <c r="C39" s="24" t="n"/>
      <c r="D39" s="25" t="n"/>
      <c r="E39" s="24" t="n"/>
      <c r="F39" s="25" t="n"/>
      <c r="G39" s="24" t="n"/>
    </row>
    <row r="40">
      <c r="A40" s="28" t="n"/>
      <c r="B40" s="36" t="n"/>
      <c r="C40" s="29" t="n"/>
      <c r="D40" s="30" t="n"/>
      <c r="E40" s="29" t="n"/>
      <c r="F40" s="30" t="n"/>
      <c r="G40" s="29" t="n"/>
    </row>
    <row r="41">
      <c r="A41" s="23" t="n"/>
      <c r="B41" s="34" t="n"/>
      <c r="C41" s="24" t="n"/>
      <c r="D41" s="25" t="n"/>
      <c r="E41" s="24" t="n"/>
      <c r="F41" s="25" t="n"/>
      <c r="G41" s="24" t="n"/>
    </row>
    <row r="42">
      <c r="A42" s="28" t="n"/>
      <c r="B42" s="36" t="n"/>
      <c r="C42" s="29" t="n"/>
      <c r="D42" s="30" t="n"/>
      <c r="E42" s="29" t="n"/>
      <c r="F42" s="30" t="n"/>
      <c r="G42" s="29" t="n"/>
    </row>
    <row r="43">
      <c r="A43" s="23" t="n"/>
      <c r="B43" s="34" t="n"/>
      <c r="C43" s="24" t="n"/>
      <c r="D43" s="25" t="n"/>
      <c r="E43" s="24" t="n"/>
      <c r="F43" s="25" t="n"/>
      <c r="G43" s="24" t="n"/>
    </row>
    <row r="44">
      <c r="A44" s="28" t="n"/>
      <c r="B44" s="36" t="n"/>
      <c r="C44" s="29" t="n"/>
      <c r="D44" s="30" t="n"/>
      <c r="E44" s="29" t="n"/>
      <c r="F44" s="30" t="n"/>
      <c r="G44" s="29" t="n"/>
    </row>
  </sheetData>
  <mergeCells count="2">
    <mergeCell ref="A2:G2"/>
    <mergeCell ref="A1:G1"/>
  </mergeCells>
  <dataValidations count="1">
    <dataValidation sqref="D5:D44" showDropDown="0" showInputMessage="0" showErrorMessage="0" allowBlank="1" type="list">
      <formula1>=FocusList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 ht="46" customHeight="1">
      <c r="A1" s="1" t="inlineStr">
        <is>
          <t xml:space="preserve">  📈  SKILL DEVELOPMENT CENTER</t>
        </is>
      </c>
    </row>
    <row r="2" ht="22" customHeight="1">
      <c r="A2" s="2" t="inlineStr">
        <is>
          <t xml:space="preserve">  Rate every stroke &amp; quality — watch each climb from start to now.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Skill</t>
        </is>
      </c>
      <c r="B4" s="7" t="inlineStr">
        <is>
          <t>Start</t>
        </is>
      </c>
      <c r="C4" s="7" t="inlineStr">
        <is>
          <t>Current</t>
        </is>
      </c>
      <c r="D4" s="7" t="inlineStr">
        <is>
          <t>Target</t>
        </is>
      </c>
      <c r="E4" s="7" t="inlineStr">
        <is>
          <t>Gain</t>
        </is>
      </c>
      <c r="F4" s="7" t="inlineStr">
        <is>
          <t>Focus Notes</t>
        </is>
      </c>
    </row>
    <row r="5">
      <c r="A5" s="22" t="inlineStr">
        <is>
          <t>Forehand</t>
        </is>
      </c>
      <c r="B5" s="42" t="n">
        <v>7</v>
      </c>
      <c r="C5" s="43" t="n">
        <v>9</v>
      </c>
      <c r="D5" s="42" t="n">
        <v>10</v>
      </c>
      <c r="E5" s="27">
        <f>C5-B5</f>
        <v/>
      </c>
      <c r="F5" s="22" t="inlineStr">
        <is>
          <t>Weapon — inside-out</t>
        </is>
      </c>
    </row>
    <row r="6">
      <c r="A6" s="29" t="inlineStr">
        <is>
          <t>Backhand</t>
        </is>
      </c>
      <c r="B6" s="44" t="n">
        <v>6</v>
      </c>
      <c r="C6" s="45" t="n">
        <v>8</v>
      </c>
      <c r="D6" s="44" t="n">
        <v>9</v>
      </c>
      <c r="E6" s="30">
        <f>C6-B6</f>
        <v/>
      </c>
      <c r="F6" s="29" t="inlineStr">
        <is>
          <t>Down-the-line better</t>
        </is>
      </c>
    </row>
    <row r="7">
      <c r="A7" s="22" t="inlineStr">
        <is>
          <t>Slice</t>
        </is>
      </c>
      <c r="B7" s="42" t="n">
        <v>5</v>
      </c>
      <c r="C7" s="43" t="n">
        <v>6</v>
      </c>
      <c r="D7" s="42" t="n">
        <v>8</v>
      </c>
      <c r="E7" s="27">
        <f>C7-B7</f>
        <v/>
      </c>
      <c r="F7" s="22" t="inlineStr">
        <is>
          <t>Use more on approach</t>
        </is>
      </c>
    </row>
    <row r="8">
      <c r="A8" s="29" t="inlineStr">
        <is>
          <t>Volley</t>
        </is>
      </c>
      <c r="B8" s="44" t="n">
        <v>6</v>
      </c>
      <c r="C8" s="45" t="n">
        <v>7</v>
      </c>
      <c r="D8" s="44" t="n">
        <v>9</v>
      </c>
      <c r="E8" s="30">
        <f>C8-B8</f>
        <v/>
      </c>
      <c r="F8" s="29" t="inlineStr">
        <is>
          <t>Punch volleys solid</t>
        </is>
      </c>
    </row>
    <row r="9">
      <c r="A9" s="22" t="inlineStr">
        <is>
          <t>Overhead</t>
        </is>
      </c>
      <c r="B9" s="42" t="n">
        <v>6</v>
      </c>
      <c r="C9" s="43" t="n">
        <v>7</v>
      </c>
      <c r="D9" s="42" t="n">
        <v>8</v>
      </c>
      <c r="E9" s="27">
        <f>C9-B9</f>
        <v/>
      </c>
      <c r="F9" s="22" t="inlineStr">
        <is>
          <t>Under pressure next</t>
        </is>
      </c>
    </row>
    <row r="10">
      <c r="A10" s="29" t="inlineStr">
        <is>
          <t>First Serve</t>
        </is>
      </c>
      <c r="B10" s="44" t="n">
        <v>6</v>
      </c>
      <c r="C10" s="45" t="n">
        <v>8</v>
      </c>
      <c r="D10" s="44" t="n">
        <v>9</v>
      </c>
      <c r="E10" s="30">
        <f>C10-B10</f>
        <v/>
      </c>
      <c r="F10" s="29" t="inlineStr">
        <is>
          <t>Placement + kick</t>
        </is>
      </c>
    </row>
    <row r="11">
      <c r="A11" s="22" t="inlineStr">
        <is>
          <t>Second Serve</t>
        </is>
      </c>
      <c r="B11" s="42" t="n">
        <v>5</v>
      </c>
      <c r="C11" s="43" t="n">
        <v>6</v>
      </c>
      <c r="D11" s="42" t="n">
        <v>8</v>
      </c>
      <c r="E11" s="27">
        <f>C11-B11</f>
        <v/>
      </c>
      <c r="F11" s="22" t="inlineStr">
        <is>
          <t>Priority — add spin</t>
        </is>
      </c>
    </row>
    <row r="12">
      <c r="A12" s="29" t="inlineStr">
        <is>
          <t>Return of Serve</t>
        </is>
      </c>
      <c r="B12" s="44" t="n">
        <v>6</v>
      </c>
      <c r="C12" s="45" t="n">
        <v>7</v>
      </c>
      <c r="D12" s="44" t="n">
        <v>9</v>
      </c>
      <c r="E12" s="30">
        <f>C12-B12</f>
        <v/>
      </c>
      <c r="F12" s="29" t="inlineStr">
        <is>
          <t>Step in earlier</t>
        </is>
      </c>
    </row>
    <row r="13">
      <c r="A13" s="22" t="inlineStr">
        <is>
          <t>Footwork</t>
        </is>
      </c>
      <c r="B13" s="42" t="n">
        <v>7</v>
      </c>
      <c r="C13" s="43" t="n">
        <v>8</v>
      </c>
      <c r="D13" s="42" t="n">
        <v>9</v>
      </c>
      <c r="E13" s="27">
        <f>C13-B13</f>
        <v/>
      </c>
      <c r="F13" s="22" t="inlineStr">
        <is>
          <t>Split-step timing</t>
        </is>
      </c>
    </row>
    <row r="14">
      <c r="A14" s="29" t="inlineStr">
        <is>
          <t>Speed</t>
        </is>
      </c>
      <c r="B14" s="44" t="n">
        <v>7</v>
      </c>
      <c r="C14" s="45" t="n">
        <v>8</v>
      </c>
      <c r="D14" s="44" t="n">
        <v>9</v>
      </c>
      <c r="E14" s="30">
        <f>C14-B14</f>
        <v/>
      </c>
      <c r="F14" s="29" t="inlineStr">
        <is>
          <t>Recovery quicker</t>
        </is>
      </c>
    </row>
    <row r="15">
      <c r="A15" s="22" t="inlineStr">
        <is>
          <t>Court Positioning</t>
        </is>
      </c>
      <c r="B15" s="42" t="n">
        <v>6</v>
      </c>
      <c r="C15" s="43" t="n">
        <v>7</v>
      </c>
      <c r="D15" s="42" t="n">
        <v>9</v>
      </c>
      <c r="E15" s="27">
        <f>C15-B15</f>
        <v/>
      </c>
      <c r="F15" s="22" t="inlineStr">
        <is>
          <t>Take the middle</t>
        </is>
      </c>
    </row>
    <row r="16">
      <c r="A16" s="29" t="inlineStr">
        <is>
          <t>Tactical Awareness</t>
        </is>
      </c>
      <c r="B16" s="44" t="n">
        <v>5</v>
      </c>
      <c r="C16" s="45" t="n">
        <v>7</v>
      </c>
      <c r="D16" s="44" t="n">
        <v>9</v>
      </c>
      <c r="E16" s="30">
        <f>C16-B16</f>
        <v/>
      </c>
      <c r="F16" s="29" t="inlineStr">
        <is>
          <t>Pattern play</t>
        </is>
      </c>
    </row>
    <row r="17">
      <c r="A17" s="22" t="inlineStr">
        <is>
          <t>Mental Toughness</t>
        </is>
      </c>
      <c r="B17" s="42" t="n">
        <v>5</v>
      </c>
      <c r="C17" s="43" t="n">
        <v>6</v>
      </c>
      <c r="D17" s="42" t="n">
        <v>8</v>
      </c>
      <c r="E17" s="27">
        <f>C17-B17</f>
        <v/>
      </c>
      <c r="F17" s="22" t="inlineStr">
        <is>
          <t>Reset routines</t>
        </is>
      </c>
    </row>
    <row r="18">
      <c r="A18" s="7" t="inlineStr">
        <is>
          <t>AVERAGE</t>
        </is>
      </c>
      <c r="B18" s="38">
        <f>AVERAGE(B5:B17)</f>
        <v/>
      </c>
      <c r="C18" s="38">
        <f>AVERAGE(C5:C17)</f>
        <v/>
      </c>
      <c r="D18" s="38">
        <f>AVERAGE(D5:D17)</f>
        <v/>
      </c>
    </row>
  </sheetData>
  <mergeCells count="2">
    <mergeCell ref="A2:F2"/>
    <mergeCell ref="A1:F1"/>
  </mergeCells>
  <conditionalFormatting sqref="C5:C17">
    <cfRule type="colorScale" priority="1">
      <colorScale>
        <cfvo type="num" val="3"/>
        <cfvo type="num" val="10"/>
        <color rgb="FFFBF0E2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1" customWidth="1" min="4" max="4"/>
    <col width="12" customWidth="1" min="5" max="5"/>
    <col width="26" customWidth="1" min="6" max="6"/>
  </cols>
  <sheetData>
    <row r="1" ht="46" customHeight="1">
      <c r="A1" s="1" t="inlineStr">
        <is>
          <t xml:space="preserve">  💪  FITNESS &amp; CONDITIONING</t>
        </is>
      </c>
    </row>
    <row r="2" ht="22" customHeight="1">
      <c r="A2" s="2" t="inlineStr">
        <is>
          <t xml:space="preserve">  Off-court work wins matches — strength, cardio, agility &amp; recovery, all logged.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Date</t>
        </is>
      </c>
      <c r="B4" s="7" t="inlineStr">
        <is>
          <t>Activity</t>
        </is>
      </c>
      <c r="C4" s="7" t="inlineStr">
        <is>
          <t>Type</t>
        </is>
      </c>
      <c r="D4" s="7" t="inlineStr">
        <is>
          <t>Minutes</t>
        </is>
      </c>
      <c r="E4" s="7" t="inlineStr">
        <is>
          <t>Sleep (hrs)</t>
        </is>
      </c>
      <c r="F4" s="7" t="inlineStr">
        <is>
          <t>Notes</t>
        </is>
      </c>
    </row>
    <row r="5">
      <c r="A5" s="23" t="n">
        <v>46204</v>
      </c>
      <c r="B5" s="24" t="inlineStr">
        <is>
          <t>Strength — legs &amp; core</t>
        </is>
      </c>
      <c r="C5" s="25" t="inlineStr">
        <is>
          <t>Strength</t>
        </is>
      </c>
      <c r="D5" s="26" t="n">
        <v>60</v>
      </c>
      <c r="E5" s="34" t="n">
        <v>8</v>
      </c>
      <c r="F5" s="24" t="inlineStr">
        <is>
          <t>Squats, lunges, planks</t>
        </is>
      </c>
    </row>
    <row r="6">
      <c r="A6" s="28" t="n">
        <v>46203</v>
      </c>
      <c r="B6" s="29" t="inlineStr">
        <is>
          <t>Court sprints</t>
        </is>
      </c>
      <c r="C6" s="30" t="inlineStr">
        <is>
          <t>Agility</t>
        </is>
      </c>
      <c r="D6" s="31" t="n">
        <v>40</v>
      </c>
      <c r="E6" s="36" t="n">
        <v>7.5</v>
      </c>
      <c r="F6" s="29" t="inlineStr">
        <is>
          <t>Suicides, spider drill</t>
        </is>
      </c>
    </row>
    <row r="7">
      <c r="A7" s="23" t="n">
        <v>46202</v>
      </c>
      <c r="B7" s="24" t="inlineStr">
        <is>
          <t>Mobility &amp; stretch</t>
        </is>
      </c>
      <c r="C7" s="25" t="inlineStr">
        <is>
          <t>Flexibility</t>
        </is>
      </c>
      <c r="D7" s="26" t="n">
        <v>25</v>
      </c>
      <c r="E7" s="34" t="n">
        <v>8</v>
      </c>
      <c r="F7" s="24" t="inlineStr">
        <is>
          <t>Hips, shoulders</t>
        </is>
      </c>
    </row>
    <row r="8">
      <c r="A8" s="28" t="n">
        <v>46200</v>
      </c>
      <c r="B8" s="29" t="inlineStr">
        <is>
          <t>Recovery day</t>
        </is>
      </c>
      <c r="C8" s="30" t="inlineStr">
        <is>
          <t>Recovery</t>
        </is>
      </c>
      <c r="D8" s="31" t="n">
        <v>0</v>
      </c>
      <c r="E8" s="36" t="n">
        <v>8.5</v>
      </c>
      <c r="F8" s="29" t="inlineStr">
        <is>
          <t>Foam roll, ice bath</t>
        </is>
      </c>
    </row>
    <row r="9">
      <c r="A9" s="23" t="n">
        <v>46198</v>
      </c>
      <c r="B9" s="24" t="inlineStr">
        <is>
          <t>Strength — upper</t>
        </is>
      </c>
      <c r="C9" s="25" t="inlineStr">
        <is>
          <t>Strength</t>
        </is>
      </c>
      <c r="D9" s="26" t="n">
        <v>50</v>
      </c>
      <c r="E9" s="34" t="n">
        <v>7.5</v>
      </c>
      <c r="F9" s="24" t="inlineStr">
        <is>
          <t>Rows, presses, bands</t>
        </is>
      </c>
    </row>
    <row r="10">
      <c r="A10" s="28" t="n">
        <v>46196</v>
      </c>
      <c r="B10" s="29" t="inlineStr">
        <is>
          <t>Interval cardio</t>
        </is>
      </c>
      <c r="C10" s="30" t="inlineStr">
        <is>
          <t>Cardio</t>
        </is>
      </c>
      <c r="D10" s="31" t="n">
        <v>35</v>
      </c>
      <c r="E10" s="36" t="n">
        <v>7</v>
      </c>
      <c r="F10" s="29" t="inlineStr">
        <is>
          <t>Bike intervals</t>
        </is>
      </c>
    </row>
    <row r="11">
      <c r="A11" s="23" t="n">
        <v>46194</v>
      </c>
      <c r="B11" s="24" t="inlineStr">
        <is>
          <t>Agility ladder</t>
        </is>
      </c>
      <c r="C11" s="25" t="inlineStr">
        <is>
          <t>Agility</t>
        </is>
      </c>
      <c r="D11" s="26" t="n">
        <v>30</v>
      </c>
      <c r="E11" s="34" t="n">
        <v>8</v>
      </c>
      <c r="F11" s="24" t="inlineStr">
        <is>
          <t>Footwork patterns</t>
        </is>
      </c>
    </row>
    <row r="12">
      <c r="A12" s="28" t="n">
        <v>46191</v>
      </c>
      <c r="B12" s="29" t="inlineStr">
        <is>
          <t>Full-body strength</t>
        </is>
      </c>
      <c r="C12" s="30" t="inlineStr">
        <is>
          <t>Strength</t>
        </is>
      </c>
      <c r="D12" s="31" t="n">
        <v>55</v>
      </c>
      <c r="E12" s="36" t="n">
        <v>7.5</v>
      </c>
      <c r="F12" s="29" t="inlineStr">
        <is>
          <t>Compound lifts</t>
        </is>
      </c>
    </row>
    <row r="13">
      <c r="A13" s="23" t="n">
        <v>46188</v>
      </c>
      <c r="B13" s="24" t="inlineStr">
        <is>
          <t>Yoga / balance</t>
        </is>
      </c>
      <c r="C13" s="25" t="inlineStr">
        <is>
          <t>Flexibility</t>
        </is>
      </c>
      <c r="D13" s="26" t="n">
        <v>40</v>
      </c>
      <c r="E13" s="34" t="n">
        <v>8</v>
      </c>
      <c r="F13" s="24" t="inlineStr">
        <is>
          <t>Single-leg balance</t>
        </is>
      </c>
    </row>
    <row r="14">
      <c r="A14" s="28" t="n">
        <v>46184</v>
      </c>
      <c r="B14" s="29" t="inlineStr">
        <is>
          <t>Recovery + massage</t>
        </is>
      </c>
      <c r="C14" s="30" t="inlineStr">
        <is>
          <t>Recovery</t>
        </is>
      </c>
      <c r="D14" s="31" t="n">
        <v>0</v>
      </c>
      <c r="E14" s="36" t="n">
        <v>8.5</v>
      </c>
      <c r="F14" s="29" t="inlineStr">
        <is>
          <t>Deep tissue</t>
        </is>
      </c>
    </row>
    <row r="15">
      <c r="A15" s="23" t="n"/>
      <c r="B15" s="24" t="n"/>
      <c r="C15" s="25" t="n"/>
      <c r="D15" s="26" t="n"/>
      <c r="E15" s="34" t="n"/>
      <c r="F15" s="24" t="n"/>
    </row>
    <row r="16">
      <c r="A16" s="28" t="n"/>
      <c r="B16" s="29" t="n"/>
      <c r="C16" s="30" t="n"/>
      <c r="D16" s="31" t="n"/>
      <c r="E16" s="36" t="n"/>
      <c r="F16" s="29" t="n"/>
    </row>
    <row r="17">
      <c r="A17" s="23" t="n"/>
      <c r="B17" s="24" t="n"/>
      <c r="C17" s="25" t="n"/>
      <c r="D17" s="26" t="n"/>
      <c r="E17" s="34" t="n"/>
      <c r="F17" s="24" t="n"/>
    </row>
    <row r="18">
      <c r="A18" s="28" t="n"/>
      <c r="B18" s="29" t="n"/>
      <c r="C18" s="30" t="n"/>
      <c r="D18" s="31" t="n"/>
      <c r="E18" s="36" t="n"/>
      <c r="F18" s="29" t="n"/>
    </row>
    <row r="19">
      <c r="A19" s="23" t="n"/>
      <c r="B19" s="24" t="n"/>
      <c r="C19" s="25" t="n"/>
      <c r="D19" s="26" t="n"/>
      <c r="E19" s="34" t="n"/>
      <c r="F19" s="24" t="n"/>
    </row>
    <row r="20">
      <c r="A20" s="28" t="n"/>
      <c r="B20" s="29" t="n"/>
      <c r="C20" s="30" t="n"/>
      <c r="D20" s="31" t="n"/>
      <c r="E20" s="36" t="n"/>
      <c r="F20" s="29" t="n"/>
    </row>
    <row r="21">
      <c r="A21" s="23" t="n"/>
      <c r="B21" s="24" t="n"/>
      <c r="C21" s="25" t="n"/>
      <c r="D21" s="26" t="n"/>
      <c r="E21" s="34" t="n"/>
      <c r="F21" s="24" t="n"/>
    </row>
    <row r="22">
      <c r="A22" s="28" t="n"/>
      <c r="B22" s="29" t="n"/>
      <c r="C22" s="30" t="n"/>
      <c r="D22" s="31" t="n"/>
      <c r="E22" s="36" t="n"/>
      <c r="F22" s="29" t="n"/>
    </row>
    <row r="23">
      <c r="A23" s="23" t="n"/>
      <c r="B23" s="24" t="n"/>
      <c r="C23" s="25" t="n"/>
      <c r="D23" s="26" t="n"/>
      <c r="E23" s="34" t="n"/>
      <c r="F23" s="24" t="n"/>
    </row>
    <row r="24">
      <c r="A24" s="28" t="n"/>
      <c r="B24" s="29" t="n"/>
      <c r="C24" s="30" t="n"/>
      <c r="D24" s="31" t="n"/>
      <c r="E24" s="36" t="n"/>
      <c r="F24" s="29" t="n"/>
    </row>
    <row r="25">
      <c r="A25" s="23" t="n"/>
      <c r="B25" s="24" t="n"/>
      <c r="C25" s="25" t="n"/>
      <c r="D25" s="26" t="n"/>
      <c r="E25" s="34" t="n"/>
      <c r="F25" s="24" t="n"/>
    </row>
    <row r="26">
      <c r="A26" s="28" t="n"/>
      <c r="B26" s="29" t="n"/>
      <c r="C26" s="30" t="n"/>
      <c r="D26" s="31" t="n"/>
      <c r="E26" s="36" t="n"/>
      <c r="F26" s="29" t="n"/>
    </row>
    <row r="27">
      <c r="A27" s="23" t="n"/>
      <c r="B27" s="24" t="n"/>
      <c r="C27" s="25" t="n"/>
      <c r="D27" s="26" t="n"/>
      <c r="E27" s="34" t="n"/>
      <c r="F27" s="24" t="n"/>
    </row>
    <row r="28">
      <c r="A28" s="28" t="n"/>
      <c r="B28" s="29" t="n"/>
      <c r="C28" s="30" t="n"/>
      <c r="D28" s="31" t="n"/>
      <c r="E28" s="36" t="n"/>
      <c r="F28" s="29" t="n"/>
    </row>
    <row r="29">
      <c r="A29" s="23" t="n"/>
      <c r="B29" s="24" t="n"/>
      <c r="C29" s="25" t="n"/>
      <c r="D29" s="26" t="n"/>
      <c r="E29" s="34" t="n"/>
      <c r="F29" s="24" t="n"/>
    </row>
    <row r="30">
      <c r="A30" s="28" t="n"/>
      <c r="B30" s="29" t="n"/>
      <c r="C30" s="30" t="n"/>
      <c r="D30" s="31" t="n"/>
      <c r="E30" s="36" t="n"/>
      <c r="F30" s="29" t="n"/>
    </row>
    <row r="31">
      <c r="A31" s="23" t="n"/>
      <c r="B31" s="24" t="n"/>
      <c r="C31" s="25" t="n"/>
      <c r="D31" s="26" t="n"/>
      <c r="E31" s="34" t="n"/>
      <c r="F31" s="24" t="n"/>
    </row>
    <row r="32">
      <c r="A32" s="28" t="n"/>
      <c r="B32" s="29" t="n"/>
      <c r="C32" s="30" t="n"/>
      <c r="D32" s="31" t="n"/>
      <c r="E32" s="36" t="n"/>
      <c r="F32" s="29" t="n"/>
    </row>
    <row r="33">
      <c r="A33" s="23" t="n"/>
      <c r="B33" s="24" t="n"/>
      <c r="C33" s="25" t="n"/>
      <c r="D33" s="26" t="n"/>
      <c r="E33" s="34" t="n"/>
      <c r="F33" s="24" t="n"/>
    </row>
    <row r="34">
      <c r="A34" s="28" t="n"/>
      <c r="B34" s="29" t="n"/>
      <c r="C34" s="30" t="n"/>
      <c r="D34" s="31" t="n"/>
      <c r="E34" s="36" t="n"/>
      <c r="F34" s="29" t="n"/>
    </row>
    <row r="35">
      <c r="A35" s="23" t="n"/>
      <c r="B35" s="24" t="n"/>
      <c r="C35" s="25" t="n"/>
      <c r="D35" s="26" t="n"/>
      <c r="E35" s="34" t="n"/>
      <c r="F35" s="24" t="n"/>
    </row>
    <row r="36">
      <c r="A36" s="28" t="n"/>
      <c r="B36" s="29" t="n"/>
      <c r="C36" s="30" t="n"/>
      <c r="D36" s="31" t="n"/>
      <c r="E36" s="36" t="n"/>
      <c r="F36" s="29" t="n"/>
    </row>
    <row r="37">
      <c r="A37" s="23" t="n"/>
      <c r="B37" s="24" t="n"/>
      <c r="C37" s="25" t="n"/>
      <c r="D37" s="26" t="n"/>
      <c r="E37" s="34" t="n"/>
      <c r="F37" s="24" t="n"/>
    </row>
    <row r="38">
      <c r="A38" s="28" t="n"/>
      <c r="B38" s="29" t="n"/>
      <c r="C38" s="30" t="n"/>
      <c r="D38" s="31" t="n"/>
      <c r="E38" s="36" t="n"/>
      <c r="F38" s="29" t="n"/>
    </row>
    <row r="39">
      <c r="A39" s="23" t="n"/>
      <c r="B39" s="24" t="n"/>
      <c r="C39" s="25" t="n"/>
      <c r="D39" s="26" t="n"/>
      <c r="E39" s="34" t="n"/>
      <c r="F39" s="24" t="n"/>
    </row>
    <row r="40">
      <c r="A40" s="28" t="n"/>
      <c r="B40" s="29" t="n"/>
      <c r="C40" s="30" t="n"/>
      <c r="D40" s="31" t="n"/>
      <c r="E40" s="36" t="n"/>
      <c r="F40" s="29" t="n"/>
    </row>
    <row r="41">
      <c r="A41" s="23" t="n"/>
      <c r="B41" s="24" t="n"/>
      <c r="C41" s="25" t="n"/>
      <c r="D41" s="26" t="n"/>
      <c r="E41" s="34" t="n"/>
      <c r="F41" s="24" t="n"/>
    </row>
    <row r="42">
      <c r="A42" s="28" t="n"/>
      <c r="B42" s="29" t="n"/>
      <c r="C42" s="30" t="n"/>
      <c r="D42" s="31" t="n"/>
      <c r="E42" s="36" t="n"/>
      <c r="F42" s="29" t="n"/>
    </row>
    <row r="43">
      <c r="A43" s="23" t="n"/>
      <c r="B43" s="24" t="n"/>
      <c r="C43" s="25" t="n"/>
      <c r="D43" s="26" t="n"/>
      <c r="E43" s="34" t="n"/>
      <c r="F43" s="24" t="n"/>
    </row>
    <row r="44">
      <c r="A44" s="28" t="n"/>
      <c r="B44" s="29" t="n"/>
      <c r="C44" s="30" t="n"/>
      <c r="D44" s="31" t="n"/>
      <c r="E44" s="36" t="n"/>
      <c r="F44" s="29" t="n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2" customWidth="1" min="4" max="4"/>
    <col width="11" customWidth="1" min="5" max="5"/>
    <col width="14" customWidth="1" min="6" max="6"/>
    <col width="13" customWidth="1" min="7" max="7"/>
    <col width="13" customWidth="1" min="8" max="8"/>
    <col width="16" customWidth="1" min="9" max="9"/>
  </cols>
  <sheetData>
    <row r="1" ht="46" customHeight="1">
      <c r="A1" s="1" t="inlineStr">
        <is>
          <t xml:space="preserve">  🎽  EQUIPMENT COMMAND CENTER</t>
        </is>
      </c>
    </row>
    <row r="2" ht="22" customHeight="1">
      <c r="A2" s="2" t="inlineStr">
        <is>
          <t xml:space="preserve">  Gear you can trust — condition tracking with automatic replacement reminders.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Item</t>
        </is>
      </c>
      <c r="B4" s="7" t="inlineStr">
        <is>
          <t>Type</t>
        </is>
      </c>
      <c r="C4" s="7" t="inlineStr">
        <is>
          <t>Detail</t>
        </is>
      </c>
      <c r="D4" s="7" t="inlineStr">
        <is>
          <t>Purchased</t>
        </is>
      </c>
      <c r="E4" s="7" t="inlineStr">
        <is>
          <t>Cost</t>
        </is>
      </c>
      <c r="F4" s="7" t="inlineStr">
        <is>
          <t>Condition</t>
        </is>
      </c>
      <c r="G4" s="7" t="inlineStr">
        <is>
          <t>Replace By</t>
        </is>
      </c>
      <c r="H4" s="7" t="inlineStr">
        <is>
          <t>Status</t>
        </is>
      </c>
      <c r="I4" s="7" t="inlineStr">
        <is>
          <t>Notes</t>
        </is>
      </c>
    </row>
    <row r="5">
      <c r="A5" s="24" t="inlineStr">
        <is>
          <t>Match Racquet #1</t>
        </is>
      </c>
      <c r="B5" s="25" t="inlineStr">
        <is>
          <t>Racquet</t>
        </is>
      </c>
      <c r="C5" s="24" t="inlineStr">
        <is>
          <t>Wilson Blade 98</t>
        </is>
      </c>
      <c r="D5" s="23" t="n">
        <v>45996</v>
      </c>
      <c r="E5" s="39" t="n">
        <v>250</v>
      </c>
      <c r="F5" s="25" t="inlineStr">
        <is>
          <t>Good</t>
        </is>
      </c>
      <c r="G5" s="23" t="n">
        <v>46326</v>
      </c>
      <c r="H5" s="25">
        <f>IF(G5="","",IF(G5&lt;=TODAY()+45,"DUE SOON","OK"))</f>
        <v/>
      </c>
      <c r="I5" s="24" t="inlineStr">
        <is>
          <t>Main stick</t>
        </is>
      </c>
    </row>
    <row r="6">
      <c r="A6" s="29" t="inlineStr">
        <is>
          <t>Match Racquet #2</t>
        </is>
      </c>
      <c r="B6" s="30" t="inlineStr">
        <is>
          <t>Racquet</t>
        </is>
      </c>
      <c r="C6" s="29" t="inlineStr">
        <is>
          <t>Wilson Blade 98</t>
        </is>
      </c>
      <c r="D6" s="28" t="n">
        <v>45996</v>
      </c>
      <c r="E6" s="40" t="n">
        <v>250</v>
      </c>
      <c r="F6" s="30" t="inlineStr">
        <is>
          <t>Good</t>
        </is>
      </c>
      <c r="G6" s="28" t="n">
        <v>46336</v>
      </c>
      <c r="H6" s="30">
        <f>IF(G6="","",IF(G6&lt;=TODAY()+45,"DUE SOON","OK"))</f>
        <v/>
      </c>
      <c r="I6" s="29" t="inlineStr">
        <is>
          <t>Identical backup</t>
        </is>
      </c>
    </row>
    <row r="7">
      <c r="A7" s="24" t="inlineStr">
        <is>
          <t>String Job</t>
        </is>
      </c>
      <c r="B7" s="25" t="inlineStr">
        <is>
          <t>Strings</t>
        </is>
      </c>
      <c r="C7" s="24" t="inlineStr">
        <is>
          <t>Luxilon 4G @ 52 lbs</t>
        </is>
      </c>
      <c r="D7" s="23" t="n">
        <v>46194</v>
      </c>
      <c r="E7" s="39" t="n">
        <v>22</v>
      </c>
      <c r="F7" s="25" t="inlineStr">
        <is>
          <t>Worn</t>
        </is>
      </c>
      <c r="G7" s="23" t="n">
        <v>46226</v>
      </c>
      <c r="H7" s="25">
        <f>IF(G7="","",IF(G7&lt;=TODAY()+45,"DUE SOON","OK"))</f>
        <v/>
      </c>
      <c r="I7" s="24" t="inlineStr">
        <is>
          <t>Restring soon</t>
        </is>
      </c>
    </row>
    <row r="8">
      <c r="A8" s="29" t="inlineStr">
        <is>
          <t>Court Shoes</t>
        </is>
      </c>
      <c r="B8" s="30" t="inlineStr">
        <is>
          <t>Shoes</t>
        </is>
      </c>
      <c r="C8" s="29" t="inlineStr">
        <is>
          <t>Nike Vapor</t>
        </is>
      </c>
      <c r="D8" s="28" t="n">
        <v>46056</v>
      </c>
      <c r="E8" s="40" t="n">
        <v>130</v>
      </c>
      <c r="F8" s="30" t="inlineStr">
        <is>
          <t>Replace Soon</t>
        </is>
      </c>
      <c r="G8" s="28" t="n">
        <v>46241</v>
      </c>
      <c r="H8" s="30">
        <f>IF(G8="","",IF(G8&lt;=TODAY()+45,"DUE SOON","OK"))</f>
        <v/>
      </c>
      <c r="I8" s="29" t="inlineStr">
        <is>
          <t>Tread low</t>
        </is>
      </c>
    </row>
    <row r="9">
      <c r="A9" s="24" t="inlineStr">
        <is>
          <t>Practice Balls (case)</t>
        </is>
      </c>
      <c r="B9" s="25" t="inlineStr">
        <is>
          <t>Balls</t>
        </is>
      </c>
      <c r="C9" s="24" t="inlineStr">
        <is>
          <t>Penn Championship</t>
        </is>
      </c>
      <c r="D9" s="23" t="n">
        <v>46166</v>
      </c>
      <c r="E9" s="39" t="n">
        <v>40</v>
      </c>
      <c r="F9" s="25" t="inlineStr">
        <is>
          <t>Good</t>
        </is>
      </c>
      <c r="G9" s="23" t="n">
        <v>46296</v>
      </c>
      <c r="H9" s="25">
        <f>IF(G9="","",IF(G9&lt;=TODAY()+45,"DUE SOON","OK"))</f>
        <v/>
      </c>
      <c r="I9" s="24" t="inlineStr">
        <is>
          <t>Rotate</t>
        </is>
      </c>
    </row>
    <row r="10">
      <c r="A10" s="29" t="inlineStr">
        <is>
          <t>Racquet Bag</t>
        </is>
      </c>
      <c r="B10" s="30" t="inlineStr">
        <is>
          <t>Bag</t>
        </is>
      </c>
      <c r="C10" s="29" t="inlineStr">
        <is>
          <t>Babolat 12-pack</t>
        </is>
      </c>
      <c r="D10" s="28" t="n">
        <v>45906</v>
      </c>
      <c r="E10" s="40" t="n">
        <v>120</v>
      </c>
      <c r="F10" s="30" t="inlineStr">
        <is>
          <t>Excellent</t>
        </is>
      </c>
      <c r="G10" s="28" t="n">
        <v>46906</v>
      </c>
      <c r="H10" s="30">
        <f>IF(G10="","",IF(G10&lt;=TODAY()+45,"DUE SOON","OK"))</f>
        <v/>
      </c>
      <c r="I10" s="29" t="inlineStr">
        <is>
          <t>Holds all gear</t>
        </is>
      </c>
    </row>
    <row r="11">
      <c r="A11" s="24" t="inlineStr">
        <is>
          <t>Overgrips (x12)</t>
        </is>
      </c>
      <c r="B11" s="25" t="inlineStr">
        <is>
          <t>Overgrips</t>
        </is>
      </c>
      <c r="C11" s="24" t="inlineStr">
        <is>
          <t>Tourna Grip</t>
        </is>
      </c>
      <c r="D11" s="23" t="n">
        <v>46186</v>
      </c>
      <c r="E11" s="39" t="n">
        <v>18</v>
      </c>
      <c r="F11" s="25" t="inlineStr">
        <is>
          <t>Good</t>
        </is>
      </c>
      <c r="G11" s="23" t="n">
        <v>46286</v>
      </c>
      <c r="H11" s="25">
        <f>IF(G11="","",IF(G11&lt;=TODAY()+45,"DUE SOON","OK"))</f>
        <v/>
      </c>
      <c r="I11" s="24" t="inlineStr">
        <is>
          <t>Fresh stock</t>
        </is>
      </c>
    </row>
    <row r="12">
      <c r="A12" s="29" t="inlineStr">
        <is>
          <t>Dampeners (x3)</t>
        </is>
      </c>
      <c r="B12" s="30" t="inlineStr">
        <is>
          <t>Dampener</t>
        </is>
      </c>
      <c r="C12" s="29" t="inlineStr">
        <is>
          <t>Wilson</t>
        </is>
      </c>
      <c r="D12" s="28" t="n">
        <v>46146</v>
      </c>
      <c r="E12" s="40" t="n">
        <v>10</v>
      </c>
      <c r="F12" s="30" t="inlineStr">
        <is>
          <t>Good</t>
        </is>
      </c>
      <c r="G12" s="28" t="n">
        <v>46406</v>
      </c>
      <c r="H12" s="30">
        <f>IF(G12="","",IF(G12&lt;=TODAY()+45,"DUE SOON","OK"))</f>
        <v/>
      </c>
      <c r="I12" s="29" t="inlineStr">
        <is>
          <t>Spares</t>
        </is>
      </c>
    </row>
    <row r="13">
      <c r="A13" s="24" t="inlineStr">
        <is>
          <t>Match Kit (x3)</t>
        </is>
      </c>
      <c r="B13" s="25" t="inlineStr">
        <is>
          <t>Apparel</t>
        </is>
      </c>
      <c r="C13" s="24" t="inlineStr">
        <is>
          <t>Nike Dri-FIT</t>
        </is>
      </c>
      <c r="D13" s="23" t="n">
        <v>46086</v>
      </c>
      <c r="E13" s="39" t="n">
        <v>90</v>
      </c>
      <c r="F13" s="25" t="inlineStr">
        <is>
          <t>Good</t>
        </is>
      </c>
      <c r="G13" s="23" t="n">
        <v>46506</v>
      </c>
      <c r="H13" s="25">
        <f>IF(G13="","",IF(G13&lt;=TODAY()+45,"DUE SOON","OK"))</f>
        <v/>
      </c>
      <c r="I13" s="24" t="inlineStr">
        <is>
          <t>Tournament kit</t>
        </is>
      </c>
    </row>
    <row r="14">
      <c r="A14" s="29" t="n"/>
      <c r="B14" s="30" t="n"/>
      <c r="C14" s="29" t="n"/>
      <c r="D14" s="28" t="n"/>
      <c r="E14" s="40" t="n"/>
      <c r="F14" s="30" t="n"/>
      <c r="G14" s="28" t="n"/>
      <c r="H14" s="30" t="n"/>
      <c r="I14" s="29" t="n"/>
    </row>
    <row r="15">
      <c r="A15" s="24" t="n"/>
      <c r="B15" s="25" t="n"/>
      <c r="C15" s="24" t="n"/>
      <c r="D15" s="23" t="n"/>
      <c r="E15" s="39" t="n"/>
      <c r="F15" s="25" t="n"/>
      <c r="G15" s="23" t="n"/>
      <c r="H15" s="25" t="n"/>
      <c r="I15" s="24" t="n"/>
    </row>
    <row r="16">
      <c r="A16" s="29" t="n"/>
      <c r="B16" s="30" t="n"/>
      <c r="C16" s="29" t="n"/>
      <c r="D16" s="28" t="n"/>
      <c r="E16" s="40" t="n"/>
      <c r="F16" s="30" t="n"/>
      <c r="G16" s="28" t="n"/>
      <c r="H16" s="30" t="n"/>
      <c r="I16" s="29" t="n"/>
    </row>
    <row r="17">
      <c r="A17" s="24" t="n"/>
      <c r="B17" s="25" t="n"/>
      <c r="C17" s="24" t="n"/>
      <c r="D17" s="23" t="n"/>
      <c r="E17" s="39" t="n"/>
      <c r="F17" s="25" t="n"/>
      <c r="G17" s="23" t="n"/>
      <c r="H17" s="25" t="n"/>
      <c r="I17" s="24" t="n"/>
    </row>
    <row r="18">
      <c r="A18" s="29" t="n"/>
      <c r="B18" s="30" t="n"/>
      <c r="C18" s="29" t="n"/>
      <c r="D18" s="28" t="n"/>
      <c r="E18" s="40" t="n"/>
      <c r="F18" s="30" t="n"/>
      <c r="G18" s="28" t="n"/>
      <c r="H18" s="30" t="n"/>
      <c r="I18" s="29" t="n"/>
    </row>
    <row r="19">
      <c r="A19" s="24" t="n"/>
      <c r="B19" s="25" t="n"/>
      <c r="C19" s="24" t="n"/>
      <c r="D19" s="23" t="n"/>
      <c r="E19" s="39" t="n"/>
      <c r="F19" s="25" t="n"/>
      <c r="G19" s="23" t="n"/>
      <c r="H19" s="25" t="n"/>
      <c r="I19" s="24" t="n"/>
    </row>
    <row r="20">
      <c r="A20" s="29" t="n"/>
      <c r="B20" s="30" t="n"/>
      <c r="C20" s="29" t="n"/>
      <c r="D20" s="28" t="n"/>
      <c r="E20" s="40" t="n"/>
      <c r="F20" s="30" t="n"/>
      <c r="G20" s="28" t="n"/>
      <c r="H20" s="30" t="n"/>
      <c r="I20" s="29" t="n"/>
    </row>
    <row r="21">
      <c r="A21" s="24" t="n"/>
      <c r="B21" s="25" t="n"/>
      <c r="C21" s="24" t="n"/>
      <c r="D21" s="23" t="n"/>
      <c r="E21" s="39" t="n"/>
      <c r="F21" s="25" t="n"/>
      <c r="G21" s="23" t="n"/>
      <c r="H21" s="25" t="n"/>
      <c r="I21" s="24" t="n"/>
    </row>
    <row r="22">
      <c r="A22" s="29" t="n"/>
      <c r="B22" s="30" t="n"/>
      <c r="C22" s="29" t="n"/>
      <c r="D22" s="28" t="n"/>
      <c r="E22" s="40" t="n"/>
      <c r="F22" s="30" t="n"/>
      <c r="G22" s="28" t="n"/>
      <c r="H22" s="30" t="n"/>
      <c r="I22" s="29" t="n"/>
    </row>
    <row r="23">
      <c r="A23" s="24" t="n"/>
      <c r="B23" s="25" t="n"/>
      <c r="C23" s="24" t="n"/>
      <c r="D23" s="23" t="n"/>
      <c r="E23" s="39" t="n"/>
      <c r="F23" s="25" t="n"/>
      <c r="G23" s="23" t="n"/>
      <c r="H23" s="25" t="n"/>
      <c r="I23" s="24" t="n"/>
    </row>
    <row r="24">
      <c r="A24" s="29" t="n"/>
      <c r="B24" s="30" t="n"/>
      <c r="C24" s="29" t="n"/>
      <c r="D24" s="28" t="n"/>
      <c r="E24" s="40" t="n"/>
      <c r="F24" s="30" t="n"/>
      <c r="G24" s="28" t="n"/>
      <c r="H24" s="30" t="n"/>
      <c r="I24" s="29" t="n"/>
    </row>
    <row r="25">
      <c r="A25" s="24" t="n"/>
      <c r="B25" s="25" t="n"/>
      <c r="C25" s="24" t="n"/>
      <c r="D25" s="23" t="n"/>
      <c r="E25" s="39" t="n"/>
      <c r="F25" s="25" t="n"/>
      <c r="G25" s="23" t="n"/>
      <c r="H25" s="25" t="n"/>
      <c r="I25" s="24" t="n"/>
    </row>
    <row r="26">
      <c r="A26" s="29" t="n"/>
      <c r="B26" s="30" t="n"/>
      <c r="C26" s="29" t="n"/>
      <c r="D26" s="28" t="n"/>
      <c r="E26" s="40" t="n"/>
      <c r="F26" s="30" t="n"/>
      <c r="G26" s="28" t="n"/>
      <c r="H26" s="30" t="n"/>
      <c r="I26" s="29" t="n"/>
    </row>
    <row r="27">
      <c r="A27" s="24" t="n"/>
      <c r="B27" s="25" t="n"/>
      <c r="C27" s="24" t="n"/>
      <c r="D27" s="23" t="n"/>
      <c r="E27" s="39" t="n"/>
      <c r="F27" s="25" t="n"/>
      <c r="G27" s="23" t="n"/>
      <c r="H27" s="25" t="n"/>
      <c r="I27" s="24" t="n"/>
    </row>
    <row r="28">
      <c r="A28" s="29" t="n"/>
      <c r="B28" s="30" t="n"/>
      <c r="C28" s="29" t="n"/>
      <c r="D28" s="28" t="n"/>
      <c r="E28" s="40" t="n"/>
      <c r="F28" s="30" t="n"/>
      <c r="G28" s="28" t="n"/>
      <c r="H28" s="30" t="n"/>
      <c r="I28" s="29" t="n"/>
    </row>
    <row r="29">
      <c r="A29" s="24" t="n"/>
      <c r="B29" s="25" t="n"/>
      <c r="C29" s="24" t="n"/>
      <c r="D29" s="23" t="n"/>
      <c r="E29" s="39" t="n"/>
      <c r="F29" s="25" t="n"/>
      <c r="G29" s="23" t="n"/>
      <c r="H29" s="25" t="n"/>
      <c r="I29" s="24" t="n"/>
    </row>
    <row r="30">
      <c r="A30" s="29" t="n"/>
      <c r="B30" s="30" t="n"/>
      <c r="C30" s="29" t="n"/>
      <c r="D30" s="28" t="n"/>
      <c r="E30" s="40" t="n"/>
      <c r="F30" s="30" t="n"/>
      <c r="G30" s="28" t="n"/>
      <c r="H30" s="30" t="n"/>
      <c r="I30" s="29" t="n"/>
    </row>
    <row r="31">
      <c r="A31" s="24" t="n"/>
      <c r="B31" s="25" t="n"/>
      <c r="C31" s="24" t="n"/>
      <c r="D31" s="23" t="n"/>
      <c r="E31" s="39" t="n"/>
      <c r="F31" s="25" t="n"/>
      <c r="G31" s="23" t="n"/>
      <c r="H31" s="25" t="n"/>
      <c r="I31" s="24" t="n"/>
    </row>
    <row r="32">
      <c r="A32" s="29" t="n"/>
      <c r="B32" s="30" t="n"/>
      <c r="C32" s="29" t="n"/>
      <c r="D32" s="28" t="n"/>
      <c r="E32" s="40" t="n"/>
      <c r="F32" s="30" t="n"/>
      <c r="G32" s="28" t="n"/>
      <c r="H32" s="30" t="n"/>
      <c r="I32" s="29" t="n"/>
    </row>
    <row r="33">
      <c r="A33" s="24" t="n"/>
      <c r="B33" s="25" t="n"/>
      <c r="C33" s="24" t="n"/>
      <c r="D33" s="23" t="n"/>
      <c r="E33" s="39" t="n"/>
      <c r="F33" s="25" t="n"/>
      <c r="G33" s="23" t="n"/>
      <c r="H33" s="25" t="n"/>
      <c r="I33" s="24" t="n"/>
    </row>
    <row r="34">
      <c r="A34" s="29" t="n"/>
      <c r="B34" s="30" t="n"/>
      <c r="C34" s="29" t="n"/>
      <c r="D34" s="28" t="n"/>
      <c r="E34" s="40" t="n"/>
      <c r="F34" s="30" t="n"/>
      <c r="G34" s="28" t="n"/>
      <c r="H34" s="30" t="n"/>
      <c r="I34" s="29" t="n"/>
    </row>
    <row r="35">
      <c r="A35" s="7" t="inlineStr">
        <is>
          <t>TOTAL INVESTED</t>
        </is>
      </c>
      <c r="E35" s="41">
        <f>SUM(E5:E34)</f>
        <v/>
      </c>
    </row>
  </sheetData>
  <mergeCells count="2">
    <mergeCell ref="A1:I1"/>
    <mergeCell ref="A2:I2"/>
  </mergeCells>
  <conditionalFormatting sqref="H5:H34">
    <cfRule type="cellIs" priority="1" operator="equal" dxfId="3">
      <formula>"DUE SOON"</formula>
    </cfRule>
    <cfRule type="cellIs" priority="2" operator="equal" dxfId="4">
      <formula>"OK"</formula>
    </cfRule>
  </conditionalFormatting>
  <conditionalFormatting sqref="F5:F34">
    <cfRule type="cellIs" priority="3" operator="equal" dxfId="5">
      <formula>"Replace Soon"</formula>
    </cfRule>
  </conditionalFormatting>
  <dataValidations count="2">
    <dataValidation sqref="B5:B34" showDropDown="0" showInputMessage="0" showErrorMessage="0" allowBlank="1" type="list">
      <formula1>=EquipTypeList</formula1>
    </dataValidation>
    <dataValidation sqref="F5:F34" showDropDown="0" showInputMessage="0" showErrorMessage="0" allowBlank="1" type="list">
      <formula1>=CondList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4" customWidth="1" min="8" max="8"/>
  </cols>
  <sheetData>
    <row r="1" ht="46" customHeight="1">
      <c r="A1" s="1" t="inlineStr">
        <is>
          <t xml:space="preserve">  💰  TENNIS BUDGET</t>
        </is>
      </c>
    </row>
    <row r="2" ht="22" customHeight="1">
      <c r="A2" s="2" t="inlineStr">
        <is>
          <t xml:space="preserve">  Know what the game costs — plan vs actual across every category, monthly.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Category</t>
        </is>
      </c>
      <c r="B4" s="7" t="inlineStr">
        <is>
          <t>Monthly Budget</t>
        </is>
      </c>
      <c r="C4" s="7" t="inlineStr">
        <is>
          <t>Spent</t>
        </is>
      </c>
      <c r="D4" s="7" t="inlineStr">
        <is>
          <t>Remaining</t>
        </is>
      </c>
      <c r="E4" s="7" t="inlineStr">
        <is>
          <t>% Used</t>
        </is>
      </c>
    </row>
    <row r="5">
      <c r="A5" s="22" t="inlineStr">
        <is>
          <t>Coaching</t>
        </is>
      </c>
      <c r="B5" s="46" t="n">
        <v>700</v>
      </c>
      <c r="C5" s="46" t="n">
        <v>640</v>
      </c>
      <c r="D5" s="47">
        <f>B5-C5</f>
        <v/>
      </c>
      <c r="E5" s="48">
        <f>IFERROR(C5/B5,0)</f>
        <v/>
      </c>
      <c r="G5" s="4" t="inlineStr">
        <is>
          <t>AT A GLANCE</t>
        </is>
      </c>
    </row>
    <row r="6">
      <c r="A6" s="29" t="inlineStr">
        <is>
          <t>Court Fees</t>
        </is>
      </c>
      <c r="B6" s="49" t="n">
        <v>140</v>
      </c>
      <c r="C6" s="49" t="n">
        <v>120</v>
      </c>
      <c r="D6" s="50">
        <f>B6-C6</f>
        <v/>
      </c>
      <c r="E6" s="35">
        <f>IFERROR(C6/B6,0)</f>
        <v/>
      </c>
      <c r="G6" s="18" t="inlineStr">
        <is>
          <t>Monthly budget</t>
        </is>
      </c>
      <c r="H6" s="51">
        <f>B16</f>
        <v/>
      </c>
    </row>
    <row r="7">
      <c r="A7" s="22" t="inlineStr">
        <is>
          <t>Club Membership</t>
        </is>
      </c>
      <c r="B7" s="46" t="n">
        <v>95</v>
      </c>
      <c r="C7" s="46" t="n">
        <v>95</v>
      </c>
      <c r="D7" s="47">
        <f>B7-C7</f>
        <v/>
      </c>
      <c r="E7" s="48">
        <f>IFERROR(C7/B7,0)</f>
        <v/>
      </c>
      <c r="G7" s="18" t="inlineStr">
        <is>
          <t>Spent so far</t>
        </is>
      </c>
      <c r="H7" s="51">
        <f>C16</f>
        <v/>
      </c>
    </row>
    <row r="8">
      <c r="A8" s="29" t="inlineStr">
        <is>
          <t>Equipment</t>
        </is>
      </c>
      <c r="B8" s="49" t="n">
        <v>180</v>
      </c>
      <c r="C8" s="49" t="n">
        <v>180</v>
      </c>
      <c r="D8" s="50">
        <f>B8-C8</f>
        <v/>
      </c>
      <c r="E8" s="35">
        <f>IFERROR(C8/B8,0)</f>
        <v/>
      </c>
      <c r="G8" s="18" t="inlineStr">
        <is>
          <t>Remaining</t>
        </is>
      </c>
      <c r="H8" s="51">
        <f>B16-C16</f>
        <v/>
      </c>
    </row>
    <row r="9">
      <c r="A9" s="22" t="inlineStr">
        <is>
          <t>Tournament Fees</t>
        </is>
      </c>
      <c r="B9" s="46" t="n">
        <v>250</v>
      </c>
      <c r="C9" s="46" t="n">
        <v>210</v>
      </c>
      <c r="D9" s="47">
        <f>B9-C9</f>
        <v/>
      </c>
      <c r="E9" s="48">
        <f>IFERROR(C9/B9,0)</f>
        <v/>
      </c>
      <c r="G9" s="18" t="inlineStr">
        <is>
          <t>Annual (est.)</t>
        </is>
      </c>
      <c r="H9" s="51">
        <f>C16*12</f>
        <v/>
      </c>
    </row>
    <row r="10">
      <c r="A10" s="29" t="inlineStr">
        <is>
          <t>Travel</t>
        </is>
      </c>
      <c r="B10" s="49" t="n">
        <v>180</v>
      </c>
      <c r="C10" s="49" t="n">
        <v>160</v>
      </c>
      <c r="D10" s="50">
        <f>B10-C10</f>
        <v/>
      </c>
      <c r="E10" s="35">
        <f>IFERROR(C10/B10,0)</f>
        <v/>
      </c>
      <c r="G10" s="18" t="inlineStr">
        <is>
          <t>Prize money won</t>
        </is>
      </c>
      <c r="H10" s="51">
        <f>SUM(Tournaments!H5:H34)</f>
        <v/>
      </c>
    </row>
    <row r="11">
      <c r="A11" s="22" t="inlineStr">
        <is>
          <t>Hotels</t>
        </is>
      </c>
      <c r="B11" s="46" t="n">
        <v>130</v>
      </c>
      <c r="C11" s="46" t="n">
        <v>120</v>
      </c>
      <c r="D11" s="47">
        <f>B11-C11</f>
        <v/>
      </c>
      <c r="E11" s="48">
        <f>IFERROR(C11/B11,0)</f>
        <v/>
      </c>
    </row>
    <row r="12">
      <c r="A12" s="29" t="inlineStr">
        <is>
          <t>Food</t>
        </is>
      </c>
      <c r="B12" s="49" t="n">
        <v>100</v>
      </c>
      <c r="C12" s="49" t="n">
        <v>90</v>
      </c>
      <c r="D12" s="50">
        <f>B12-C12</f>
        <v/>
      </c>
      <c r="E12" s="35">
        <f>IFERROR(C12/B12,0)</f>
        <v/>
      </c>
    </row>
    <row r="13">
      <c r="A13" s="22" t="inlineStr">
        <is>
          <t>Apparel</t>
        </is>
      </c>
      <c r="B13" s="46" t="n">
        <v>60</v>
      </c>
      <c r="C13" s="46" t="n">
        <v>60</v>
      </c>
      <c r="D13" s="47">
        <f>B13-C13</f>
        <v/>
      </c>
      <c r="E13" s="48">
        <f>IFERROR(C13/B13,0)</f>
        <v/>
      </c>
    </row>
    <row r="14">
      <c r="A14" s="29" t="inlineStr">
        <is>
          <t>Recovery</t>
        </is>
      </c>
      <c r="B14" s="49" t="n">
        <v>80</v>
      </c>
      <c r="C14" s="49" t="n">
        <v>75</v>
      </c>
      <c r="D14" s="50">
        <f>B14-C14</f>
        <v/>
      </c>
      <c r="E14" s="35">
        <f>IFERROR(C14/B14,0)</f>
        <v/>
      </c>
    </row>
    <row r="15">
      <c r="A15" s="22" t="inlineStr">
        <is>
          <t>Miscellaneous</t>
        </is>
      </c>
      <c r="B15" s="46" t="n">
        <v>60</v>
      </c>
      <c r="C15" s="46" t="n">
        <v>50</v>
      </c>
      <c r="D15" s="47">
        <f>B15-C15</f>
        <v/>
      </c>
      <c r="E15" s="48">
        <f>IFERROR(C15/B15,0)</f>
        <v/>
      </c>
    </row>
    <row r="16">
      <c r="A16" s="7" t="inlineStr">
        <is>
          <t>TOTAL</t>
        </is>
      </c>
      <c r="B16" s="41">
        <f>SUM(B5:B15)</f>
        <v/>
      </c>
      <c r="C16" s="41">
        <f>SUM(C5:C15)</f>
        <v/>
      </c>
      <c r="D16" s="41">
        <f>SUM(D5:D15)</f>
        <v/>
      </c>
      <c r="E16" s="37">
        <f>IFERROR(C16/B16,0)</f>
        <v/>
      </c>
    </row>
  </sheetData>
  <mergeCells count="3">
    <mergeCell ref="G5:H5"/>
    <mergeCell ref="A2:H2"/>
    <mergeCell ref="A1:H1"/>
  </mergeCells>
  <conditionalFormatting sqref="E5:E15">
    <cfRule type="dataBar" priority="1">
      <dataBar showValue="1">
        <cfvo type="num" val="0"/>
        <cfvo type="num" val="1.1"/>
        <color rgb="001B4F48"/>
      </dataBar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10" customWidth="1" min="5" max="5"/>
    <col width="10" customWidth="1" min="6" max="6"/>
    <col width="26" customWidth="1" min="7" max="7"/>
    <col width="24" customWidth="1" min="8" max="8"/>
  </cols>
  <sheetData>
    <row r="1" ht="46" customHeight="1">
      <c r="A1" s="1" t="inlineStr">
        <is>
          <t xml:space="preserve">  🤝  DOUBLES PARTNER TRACKER</t>
        </is>
      </c>
    </row>
    <row r="2" ht="22" customHeight="1">
      <c r="A2" s="2" t="inlineStr">
        <is>
          <t xml:space="preserve">  Find your best team — records, chemistry notes &amp; win % for every partner.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Partner</t>
        </is>
      </c>
      <c r="B4" s="7" t="inlineStr">
        <is>
          <t>Matches</t>
        </is>
      </c>
      <c r="C4" s="7" t="inlineStr">
        <is>
          <t>Wins</t>
        </is>
      </c>
      <c r="D4" s="7" t="inlineStr">
        <is>
          <t>Losses</t>
        </is>
      </c>
      <c r="E4" s="7" t="inlineStr">
        <is>
          <t>Win %</t>
        </is>
      </c>
      <c r="F4" s="7" t="inlineStr">
        <is>
          <t>Record</t>
        </is>
      </c>
      <c r="G4" s="7" t="inlineStr">
        <is>
          <t>Team Strengths</t>
        </is>
      </c>
      <c r="H4" s="7" t="inlineStr">
        <is>
          <t>Areas to Improve</t>
        </is>
      </c>
    </row>
    <row r="5">
      <c r="A5" s="22" t="inlineStr">
        <is>
          <t>Jamie Foster</t>
        </is>
      </c>
      <c r="B5" s="27" t="n">
        <v>5</v>
      </c>
      <c r="C5" s="42" t="n">
        <v>4</v>
      </c>
      <c r="D5" s="42" t="n">
        <v>1</v>
      </c>
      <c r="E5" s="48">
        <f>IFERROR(C5/B5,0)</f>
        <v/>
      </c>
      <c r="F5" s="52">
        <f>C5&amp;"-"&amp;D5</f>
        <v/>
      </c>
      <c r="G5" s="22" t="inlineStr">
        <is>
          <t>Poaches well, big serve</t>
        </is>
      </c>
      <c r="H5" s="22" t="inlineStr">
        <is>
          <t>Communication mid-game</t>
        </is>
      </c>
    </row>
    <row r="6">
      <c r="A6" s="29" t="inlineStr">
        <is>
          <t>Riley Lin</t>
        </is>
      </c>
      <c r="B6" s="30" t="n">
        <v>4</v>
      </c>
      <c r="C6" s="44" t="n">
        <v>3</v>
      </c>
      <c r="D6" s="44" t="n">
        <v>1</v>
      </c>
      <c r="E6" s="35">
        <f>IFERROR(C6/B6,0)</f>
        <v/>
      </c>
      <c r="F6" s="53">
        <f>C6&amp;"-"&amp;D6</f>
        <v/>
      </c>
      <c r="G6" s="29" t="inlineStr">
        <is>
          <t>Steady baseline, smart</t>
        </is>
      </c>
      <c r="H6" s="29" t="inlineStr">
        <is>
          <t>Net aggression</t>
        </is>
      </c>
    </row>
    <row r="7">
      <c r="A7" s="22" t="inlineStr">
        <is>
          <t>Casey Reyes</t>
        </is>
      </c>
      <c r="B7" s="27" t="n">
        <v>3</v>
      </c>
      <c r="C7" s="42" t="n">
        <v>1</v>
      </c>
      <c r="D7" s="42" t="n">
        <v>2</v>
      </c>
      <c r="E7" s="48">
        <f>IFERROR(C7/B7,0)</f>
        <v/>
      </c>
      <c r="F7" s="52">
        <f>C7&amp;"-"&amp;D7</f>
        <v/>
      </c>
      <c r="G7" s="22" t="inlineStr">
        <is>
          <t>Fast, great reflexes</t>
        </is>
      </c>
      <c r="H7" s="22" t="inlineStr">
        <is>
          <t>Serve consistency</t>
        </is>
      </c>
    </row>
    <row r="8">
      <c r="A8" s="29" t="inlineStr">
        <is>
          <t>Alex Ali</t>
        </is>
      </c>
      <c r="B8" s="30" t="n">
        <v>2</v>
      </c>
      <c r="C8" s="44" t="n">
        <v>1</v>
      </c>
      <c r="D8" s="44" t="n">
        <v>1</v>
      </c>
      <c r="E8" s="35">
        <f>IFERROR(C8/B8,0)</f>
        <v/>
      </c>
      <c r="F8" s="53">
        <f>C8&amp;"-"&amp;D8</f>
        <v/>
      </c>
      <c r="G8" s="29" t="inlineStr">
        <is>
          <t>Lefty advantage</t>
        </is>
      </c>
      <c r="H8" s="29" t="inlineStr">
        <is>
          <t>Return positioning</t>
        </is>
      </c>
    </row>
  </sheetData>
  <mergeCells count="2">
    <mergeCell ref="A2:H2"/>
    <mergeCell ref="A1:H1"/>
  </mergeCells>
  <conditionalFormatting sqref="E5:E8">
    <cfRule type="dataBar" priority="1">
      <dataBar showValue="1">
        <cfvo type="num" val="0"/>
        <cfvo type="num" val="1"/>
        <color rgb="0075E6C1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22" customWidth="1" min="4" max="4"/>
    <col width="26" customWidth="1" min="5" max="5"/>
    <col width="20" customWidth="1" min="6" max="6"/>
  </cols>
  <sheetData>
    <row r="1" ht="46" customHeight="1">
      <c r="A1" s="1" t="inlineStr">
        <is>
          <t xml:space="preserve">  📋  COACHING NOTES</t>
        </is>
      </c>
    </row>
    <row r="2" ht="22" customHeight="1">
      <c r="A2" s="2" t="inlineStr">
        <is>
          <t xml:space="preserve">  Turn feedback into progress — key notes, action items &amp; homework, lesson by lesson.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Date</t>
        </is>
      </c>
      <c r="B4" s="7" t="inlineStr">
        <is>
          <t>Coach</t>
        </is>
      </c>
      <c r="C4" s="7" t="inlineStr">
        <is>
          <t>Key Feedback</t>
        </is>
      </c>
      <c r="D4" s="7" t="inlineStr">
        <is>
          <t>Action Item</t>
        </is>
      </c>
      <c r="E4" s="7" t="inlineStr">
        <is>
          <t>Homework Drills</t>
        </is>
      </c>
      <c r="F4" s="7" t="inlineStr">
        <is>
          <t>Progress Review</t>
        </is>
      </c>
    </row>
    <row r="5">
      <c r="A5" s="23" t="n">
        <v>46172</v>
      </c>
      <c r="B5" s="24" t="inlineStr">
        <is>
          <t>Coach Petrov</t>
        </is>
      </c>
      <c r="C5" s="24" t="inlineStr">
        <is>
          <t>Serve toss drifting left</t>
        </is>
      </c>
      <c r="D5" s="24" t="inlineStr">
        <is>
          <t>Fix toss placement</t>
        </is>
      </c>
      <c r="E5" s="24" t="inlineStr">
        <is>
          <t>50 serves daily, film it</t>
        </is>
      </c>
      <c r="F5" s="24" t="inlineStr">
        <is>
          <t>Toss steadier</t>
        </is>
      </c>
    </row>
    <row r="6">
      <c r="A6" s="28" t="n">
        <v>46180</v>
      </c>
      <c r="B6" s="29" t="inlineStr">
        <is>
          <t>Coach Petrov</t>
        </is>
      </c>
      <c r="C6" s="29" t="inlineStr">
        <is>
          <t>Backhand too flat under pressure</t>
        </is>
      </c>
      <c r="D6" s="29" t="inlineStr">
        <is>
          <t>Add margin + spin</t>
        </is>
      </c>
      <c r="E6" s="29" t="inlineStr">
        <is>
          <t>Cross-court rally, 4 ft over net</t>
        </is>
      </c>
      <c r="F6" s="29" t="inlineStr">
        <is>
          <t>More consistent</t>
        </is>
      </c>
    </row>
    <row r="7">
      <c r="A7" s="23" t="n">
        <v>46188</v>
      </c>
      <c r="B7" s="24" t="inlineStr">
        <is>
          <t>Coach Reyes</t>
        </is>
      </c>
      <c r="C7" s="24" t="inlineStr">
        <is>
          <t>Slow first-step to wide balls</t>
        </is>
      </c>
      <c r="D7" s="24" t="inlineStr">
        <is>
          <t>Split-step timing</t>
        </is>
      </c>
      <c r="E7" s="24" t="inlineStr">
        <is>
          <t>Ladder + reaction drills</t>
        </is>
      </c>
      <c r="F7" s="24" t="inlineStr">
        <is>
          <t>Quicker starts</t>
        </is>
      </c>
    </row>
    <row r="8">
      <c r="A8" s="28" t="n">
        <v>46194</v>
      </c>
      <c r="B8" s="29" t="inlineStr">
        <is>
          <t>Coach Petrov</t>
        </is>
      </c>
      <c r="C8" s="29" t="inlineStr">
        <is>
          <t>Rushing points when ahead</t>
        </is>
      </c>
      <c r="D8" s="29" t="inlineStr">
        <is>
          <t>Reset routine at 30-0</t>
        </is>
      </c>
      <c r="E8" s="29" t="inlineStr">
        <is>
          <t>Breathing between points</t>
        </is>
      </c>
      <c r="F8" s="29" t="inlineStr">
        <is>
          <t>Calmer closing</t>
        </is>
      </c>
    </row>
    <row r="9">
      <c r="A9" s="23" t="n">
        <v>46200</v>
      </c>
      <c r="B9" s="24" t="inlineStr">
        <is>
          <t>Coach Petrov</t>
        </is>
      </c>
      <c r="C9" s="24" t="inlineStr">
        <is>
          <t>Second serve too passive</t>
        </is>
      </c>
      <c r="D9" s="24" t="inlineStr">
        <is>
          <t>Commit to kick serve</t>
        </is>
      </c>
      <c r="E9" s="24" t="inlineStr">
        <is>
          <t>Target cones, 60% pace</t>
        </is>
      </c>
      <c r="F9" s="24" t="inlineStr">
        <is>
          <t>Fewer DFs</t>
        </is>
      </c>
    </row>
    <row r="10">
      <c r="A10" s="28" t="n">
        <v>46204</v>
      </c>
      <c r="B10" s="29" t="inlineStr">
        <is>
          <t>Coach Petrov</t>
        </is>
      </c>
      <c r="C10" s="29" t="inlineStr">
        <is>
          <t>Great match temperament vs Fischer</t>
        </is>
      </c>
      <c r="D10" s="29" t="inlineStr">
        <is>
          <t>Keep pre-serve routine</t>
        </is>
      </c>
      <c r="E10" s="29" t="inlineStr">
        <is>
          <t>Same routine every match</t>
        </is>
      </c>
      <c r="F10" s="29" t="inlineStr">
        <is>
          <t>Locked in</t>
        </is>
      </c>
    </row>
    <row r="11">
      <c r="A11" s="23" t="n"/>
      <c r="B11" s="24" t="n"/>
      <c r="C11" s="24" t="n"/>
      <c r="D11" s="24" t="n"/>
      <c r="E11" s="24" t="n"/>
      <c r="F11" s="24" t="n"/>
    </row>
    <row r="12">
      <c r="A12" s="28" t="n"/>
      <c r="B12" s="29" t="n"/>
      <c r="C12" s="29" t="n"/>
      <c r="D12" s="29" t="n"/>
      <c r="E12" s="29" t="n"/>
      <c r="F12" s="29" t="n"/>
    </row>
    <row r="13">
      <c r="A13" s="23" t="n"/>
      <c r="B13" s="24" t="n"/>
      <c r="C13" s="24" t="n"/>
      <c r="D13" s="24" t="n"/>
      <c r="E13" s="24" t="n"/>
      <c r="F13" s="24" t="n"/>
    </row>
    <row r="14">
      <c r="A14" s="28" t="n"/>
      <c r="B14" s="29" t="n"/>
      <c r="C14" s="29" t="n"/>
      <c r="D14" s="29" t="n"/>
      <c r="E14" s="29" t="n"/>
      <c r="F14" s="29" t="n"/>
    </row>
    <row r="15">
      <c r="A15" s="23" t="n"/>
      <c r="B15" s="24" t="n"/>
      <c r="C15" s="24" t="n"/>
      <c r="D15" s="24" t="n"/>
      <c r="E15" s="24" t="n"/>
      <c r="F15" s="24" t="n"/>
    </row>
    <row r="16">
      <c r="A16" s="28" t="n"/>
      <c r="B16" s="29" t="n"/>
      <c r="C16" s="29" t="n"/>
      <c r="D16" s="29" t="n"/>
      <c r="E16" s="29" t="n"/>
      <c r="F16" s="29" t="n"/>
    </row>
    <row r="17">
      <c r="A17" s="23" t="n"/>
      <c r="B17" s="24" t="n"/>
      <c r="C17" s="24" t="n"/>
      <c r="D17" s="24" t="n"/>
      <c r="E17" s="24" t="n"/>
      <c r="F17" s="24" t="n"/>
    </row>
    <row r="18">
      <c r="A18" s="28" t="n"/>
      <c r="B18" s="29" t="n"/>
      <c r="C18" s="29" t="n"/>
      <c r="D18" s="29" t="n"/>
      <c r="E18" s="29" t="n"/>
      <c r="F18" s="29" t="n"/>
    </row>
    <row r="19">
      <c r="A19" s="23" t="n"/>
      <c r="B19" s="24" t="n"/>
      <c r="C19" s="24" t="n"/>
      <c r="D19" s="24" t="n"/>
      <c r="E19" s="24" t="n"/>
      <c r="F19" s="24" t="n"/>
    </row>
    <row r="20">
      <c r="A20" s="28" t="n"/>
      <c r="B20" s="29" t="n"/>
      <c r="C20" s="29" t="n"/>
      <c r="D20" s="29" t="n"/>
      <c r="E20" s="29" t="n"/>
      <c r="F20" s="29" t="n"/>
    </row>
    <row r="21">
      <c r="A21" s="23" t="n"/>
      <c r="B21" s="24" t="n"/>
      <c r="C21" s="24" t="n"/>
      <c r="D21" s="24" t="n"/>
      <c r="E21" s="24" t="n"/>
      <c r="F21" s="24" t="n"/>
    </row>
    <row r="22">
      <c r="A22" s="28" t="n"/>
      <c r="B22" s="29" t="n"/>
      <c r="C22" s="29" t="n"/>
      <c r="D22" s="29" t="n"/>
      <c r="E22" s="29" t="n"/>
      <c r="F22" s="29" t="n"/>
    </row>
    <row r="23">
      <c r="A23" s="23" t="n"/>
      <c r="B23" s="24" t="n"/>
      <c r="C23" s="24" t="n"/>
      <c r="D23" s="24" t="n"/>
      <c r="E23" s="24" t="n"/>
      <c r="F23" s="24" t="n"/>
    </row>
    <row r="24">
      <c r="A24" s="28" t="n"/>
      <c r="B24" s="29" t="n"/>
      <c r="C24" s="29" t="n"/>
      <c r="D24" s="29" t="n"/>
      <c r="E24" s="29" t="n"/>
      <c r="F24" s="29" t="n"/>
    </row>
    <row r="25">
      <c r="A25" s="23" t="n"/>
      <c r="B25" s="24" t="n"/>
      <c r="C25" s="24" t="n"/>
      <c r="D25" s="24" t="n"/>
      <c r="E25" s="24" t="n"/>
      <c r="F25" s="24" t="n"/>
    </row>
    <row r="26">
      <c r="A26" s="28" t="n"/>
      <c r="B26" s="29" t="n"/>
      <c r="C26" s="29" t="n"/>
      <c r="D26" s="29" t="n"/>
      <c r="E26" s="29" t="n"/>
      <c r="F26" s="29" t="n"/>
    </row>
    <row r="27">
      <c r="A27" s="23" t="n"/>
      <c r="B27" s="24" t="n"/>
      <c r="C27" s="24" t="n"/>
      <c r="D27" s="24" t="n"/>
      <c r="E27" s="24" t="n"/>
      <c r="F27" s="24" t="n"/>
    </row>
    <row r="28">
      <c r="A28" s="28" t="n"/>
      <c r="B28" s="29" t="n"/>
      <c r="C28" s="29" t="n"/>
      <c r="D28" s="29" t="n"/>
      <c r="E28" s="29" t="n"/>
      <c r="F28" s="29" t="n"/>
    </row>
    <row r="29">
      <c r="A29" s="23" t="n"/>
      <c r="B29" s="24" t="n"/>
      <c r="C29" s="24" t="n"/>
      <c r="D29" s="24" t="n"/>
      <c r="E29" s="24" t="n"/>
      <c r="F29" s="24" t="n"/>
    </row>
    <row r="30">
      <c r="A30" s="28" t="n"/>
      <c r="B30" s="29" t="n"/>
      <c r="C30" s="29" t="n"/>
      <c r="D30" s="29" t="n"/>
      <c r="E30" s="29" t="n"/>
      <c r="F30" s="29" t="n"/>
    </row>
    <row r="31">
      <c r="A31" s="23" t="n"/>
      <c r="B31" s="24" t="n"/>
      <c r="C31" s="24" t="n"/>
      <c r="D31" s="24" t="n"/>
      <c r="E31" s="24" t="n"/>
      <c r="F31" s="24" t="n"/>
    </row>
    <row r="32">
      <c r="A32" s="28" t="n"/>
      <c r="B32" s="29" t="n"/>
      <c r="C32" s="29" t="n"/>
      <c r="D32" s="29" t="n"/>
      <c r="E32" s="29" t="n"/>
      <c r="F32" s="29" t="n"/>
    </row>
    <row r="33">
      <c r="A33" s="23" t="n"/>
      <c r="B33" s="24" t="n"/>
      <c r="C33" s="24" t="n"/>
      <c r="D33" s="24" t="n"/>
      <c r="E33" s="24" t="n"/>
      <c r="F33" s="24" t="n"/>
    </row>
    <row r="34">
      <c r="A34" s="28" t="n"/>
      <c r="B34" s="29" t="n"/>
      <c r="C34" s="29" t="n"/>
      <c r="D34" s="29" t="n"/>
      <c r="E34" s="29" t="n"/>
      <c r="F34" s="29" t="n"/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6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🎯  GOAL COMMAND CENTER</t>
        </is>
      </c>
    </row>
    <row r="2" ht="22" customHeight="1">
      <c r="A2" s="2" t="inlineStr">
        <is>
          <t xml:space="preserve">  Turn ambition into a plan — quarterly &amp; yearly goals with live progress bars.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Goal</t>
        </is>
      </c>
      <c r="B4" s="7" t="inlineStr">
        <is>
          <t>Category</t>
        </is>
      </c>
      <c r="C4" s="7" t="inlineStr">
        <is>
          <t>Target</t>
        </is>
      </c>
      <c r="D4" s="7" t="inlineStr">
        <is>
          <t>Current</t>
        </is>
      </c>
      <c r="E4" s="7" t="inlineStr">
        <is>
          <t>Progress</t>
        </is>
      </c>
    </row>
    <row r="5">
      <c r="A5" s="22" t="inlineStr">
        <is>
          <t>Reach UTR 8.5 this year</t>
        </is>
      </c>
      <c r="B5" s="27" t="inlineStr">
        <is>
          <t>Ranking</t>
        </is>
      </c>
      <c r="C5" s="27" t="inlineStr">
        <is>
          <t>8.5</t>
        </is>
      </c>
      <c r="D5" s="27" t="inlineStr">
        <is>
          <t>7.5</t>
        </is>
      </c>
      <c r="E5" s="54" t="n">
        <v>0.72</v>
      </c>
    </row>
    <row r="6">
      <c r="A6" s="29" t="inlineStr">
        <is>
          <t>Win a Level 2 tournament</t>
        </is>
      </c>
      <c r="B6" s="30" t="inlineStr">
        <is>
          <t>Tournament</t>
        </is>
      </c>
      <c r="C6" s="30" t="inlineStr">
        <is>
          <t>Title</t>
        </is>
      </c>
      <c r="D6" s="30" t="inlineStr">
        <is>
          <t>1st @ Summer L2</t>
        </is>
      </c>
      <c r="E6" s="55" t="n">
        <v>0.6</v>
      </c>
    </row>
    <row r="7">
      <c r="A7" s="22" t="inlineStr">
        <is>
          <t>3× strength sessions / week</t>
        </is>
      </c>
      <c r="B7" s="27" t="inlineStr">
        <is>
          <t>Fitness</t>
        </is>
      </c>
      <c r="C7" s="27" t="inlineStr">
        <is>
          <t>12 / mo</t>
        </is>
      </c>
      <c r="D7" s="27" t="inlineStr">
        <is>
          <t>9 / mo</t>
        </is>
      </c>
      <c r="E7" s="54" t="n">
        <v>0.78</v>
      </c>
    </row>
    <row r="8">
      <c r="A8" s="29" t="inlineStr">
        <is>
          <t>Reliable kick second serve</t>
        </is>
      </c>
      <c r="B8" s="30" t="inlineStr">
        <is>
          <t>Skill</t>
        </is>
      </c>
      <c r="C8" s="30" t="inlineStr">
        <is>
          <t>8 / 10</t>
        </is>
      </c>
      <c r="D8" s="30" t="inlineStr">
        <is>
          <t>6 / 10</t>
        </is>
      </c>
      <c r="E8" s="55" t="n">
        <v>0.7</v>
      </c>
    </row>
    <row r="9">
      <c r="A9" s="22" t="inlineStr">
        <is>
          <t>Reset routine every match</t>
        </is>
      </c>
      <c r="B9" s="27" t="inlineStr">
        <is>
          <t>Mental</t>
        </is>
      </c>
      <c r="C9" s="27" t="inlineStr">
        <is>
          <t>100%</t>
        </is>
      </c>
      <c r="D9" s="27" t="inlineStr">
        <is>
          <t>65%</t>
        </is>
      </c>
      <c r="E9" s="54" t="n">
        <v>0.65</v>
      </c>
    </row>
    <row r="10">
      <c r="A10" s="29" t="inlineStr">
        <is>
          <t>Break 65% win rate</t>
        </is>
      </c>
      <c r="B10" s="30" t="inlineStr">
        <is>
          <t>Match</t>
        </is>
      </c>
      <c r="C10" s="30" t="inlineStr">
        <is>
          <t>65%</t>
        </is>
      </c>
      <c r="D10" s="30" t="inlineStr">
        <is>
          <t>65%</t>
        </is>
      </c>
      <c r="E10" s="55" t="n">
        <v>0.82</v>
      </c>
    </row>
    <row r="11">
      <c r="A11" s="22" t="inlineStr">
        <is>
          <t>40 practice hours / month</t>
        </is>
      </c>
      <c r="B11" s="27" t="inlineStr">
        <is>
          <t>Practice</t>
        </is>
      </c>
      <c r="C11" s="27" t="inlineStr">
        <is>
          <t>40</t>
        </is>
      </c>
      <c r="D11" s="27" t="inlineStr">
        <is>
          <t>28</t>
        </is>
      </c>
      <c r="E11" s="54" t="n">
        <v>0.71</v>
      </c>
    </row>
    <row r="14" ht="22" customHeight="1">
      <c r="B14" s="4" t="inlineStr">
        <is>
          <t>SEASON MILESTONES</t>
        </is>
      </c>
    </row>
    <row r="15">
      <c r="B15" s="56" t="inlineStr">
        <is>
          <t>☑</t>
        </is>
      </c>
      <c r="C15" s="22" t="inlineStr">
        <is>
          <t>First Level 2 title (Summer)</t>
        </is>
      </c>
    </row>
    <row r="16">
      <c r="B16" s="56" t="inlineStr">
        <is>
          <t>☑</t>
        </is>
      </c>
      <c r="C16" s="22" t="inlineStr">
        <is>
          <t>Broke into top 15</t>
        </is>
      </c>
    </row>
    <row r="17">
      <c r="B17" s="57" t="inlineStr">
        <is>
          <t>☐</t>
        </is>
      </c>
      <c r="C17" s="22" t="inlineStr">
        <is>
          <t>Reach UTR 8.5</t>
        </is>
      </c>
    </row>
    <row r="18">
      <c r="B18" s="57" t="inlineStr">
        <is>
          <t>☐</t>
        </is>
      </c>
      <c r="C18" s="22" t="inlineStr">
        <is>
          <t>Win a Level 1 match</t>
        </is>
      </c>
    </row>
    <row r="19">
      <c r="B19" s="57" t="inlineStr">
        <is>
          <t>☐</t>
        </is>
      </c>
      <c r="C19" s="22" t="inlineStr">
        <is>
          <t>Injury-free full season</t>
        </is>
      </c>
    </row>
  </sheetData>
  <mergeCells count="8">
    <mergeCell ref="C16:E16"/>
    <mergeCell ref="A2:F2"/>
    <mergeCell ref="C19:E19"/>
    <mergeCell ref="A1:F1"/>
    <mergeCell ref="C18:E18"/>
    <mergeCell ref="C17:E17"/>
    <mergeCell ref="C15:E15"/>
    <mergeCell ref="B14:E14"/>
  </mergeCells>
  <conditionalFormatting sqref="E5:E11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B5:B11" showDropDown="0" showInputMessage="0" showErrorMessage="0" allowBlank="1" type="list">
      <formula1>=GoalCatList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20" customWidth="1" min="4" max="4"/>
    <col width="18" customWidth="1" min="5" max="5"/>
    <col width="12" customWidth="1" min="6" max="6"/>
    <col width="22" customWidth="1" min="7" max="7"/>
  </cols>
  <sheetData>
    <row r="1" ht="46" customHeight="1">
      <c r="A1" s="1" t="inlineStr">
        <is>
          <t xml:space="preserve">  ✈  TRAVEL PLANNER</t>
        </is>
      </c>
    </row>
    <row r="2" ht="22" customHeight="1">
      <c r="A2" s="2" t="inlineStr">
        <is>
          <t xml:space="preserve">  Away tournaments made easy — hotels, transport &amp; costs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Event</t>
        </is>
      </c>
      <c r="B4" s="7" t="inlineStr">
        <is>
          <t>Date</t>
        </is>
      </c>
      <c r="C4" s="7" t="inlineStr">
        <is>
          <t>Venue</t>
        </is>
      </c>
      <c r="D4" s="7" t="inlineStr">
        <is>
          <t>Lodging</t>
        </is>
      </c>
      <c r="E4" s="7" t="inlineStr">
        <is>
          <t>Transport</t>
        </is>
      </c>
      <c r="F4" s="7" t="inlineStr">
        <is>
          <t>Est. Cost</t>
        </is>
      </c>
      <c r="G4" s="7" t="inlineStr">
        <is>
          <t>Notes</t>
        </is>
      </c>
    </row>
    <row r="5">
      <c r="A5" s="24" t="inlineStr">
        <is>
          <t>Spring Championships</t>
        </is>
      </c>
      <c r="B5" s="23" t="n">
        <v>46230</v>
      </c>
      <c r="C5" s="24" t="inlineStr">
        <is>
          <t>Metro Center</t>
        </is>
      </c>
      <c r="D5" s="24" t="inlineStr">
        <is>
          <t>Grand Hotel (2 nts)</t>
        </is>
      </c>
      <c r="E5" s="24" t="inlineStr">
        <is>
          <t>Drive · 140 mi</t>
        </is>
      </c>
      <c r="F5" s="39" t="n">
        <v>340</v>
      </c>
      <c r="G5" s="24" t="inlineStr">
        <is>
          <t>Book early rate</t>
        </is>
      </c>
    </row>
    <row r="6">
      <c r="A6" s="29" t="inlineStr">
        <is>
          <t>Clay Court Classic</t>
        </is>
      </c>
      <c r="B6" s="28" t="n">
        <v>46251</v>
      </c>
      <c r="C6" s="29" t="inlineStr">
        <is>
          <t>Riverside</t>
        </is>
      </c>
      <c r="D6" s="29" t="inlineStr">
        <is>
          <t>Home</t>
        </is>
      </c>
      <c r="E6" s="29" t="inlineStr">
        <is>
          <t>Drive · 30 mi</t>
        </is>
      </c>
      <c r="F6" s="40" t="n">
        <v>25</v>
      </c>
      <c r="G6" s="29" t="inlineStr">
        <is>
          <t>Day trips</t>
        </is>
      </c>
    </row>
    <row r="7">
      <c r="A7" s="24" t="inlineStr">
        <is>
          <t>Sectional Masters</t>
        </is>
      </c>
      <c r="B7" s="23" t="n">
        <v>46274</v>
      </c>
      <c r="C7" s="24" t="inlineStr">
        <is>
          <t>State Center</t>
        </is>
      </c>
      <c r="D7" s="24" t="inlineStr">
        <is>
          <t>Marriott (3 nts)</t>
        </is>
      </c>
      <c r="E7" s="24" t="inlineStr">
        <is>
          <t>Flight + rental</t>
        </is>
      </c>
      <c r="F7" s="39" t="n">
        <v>620</v>
      </c>
      <c r="G7" s="24" t="inlineStr">
        <is>
          <t>Big event</t>
        </is>
      </c>
    </row>
    <row r="8">
      <c r="A8" s="29" t="inlineStr">
        <is>
          <t>Winter Open</t>
        </is>
      </c>
      <c r="B8" s="28" t="n">
        <v>46205</v>
      </c>
      <c r="C8" s="29" t="inlineStr">
        <is>
          <t>Cedar Park</t>
        </is>
      </c>
      <c r="D8" s="29" t="inlineStr">
        <is>
          <t>Home</t>
        </is>
      </c>
      <c r="E8" s="29" t="inlineStr">
        <is>
          <t>Drive · 10 mi</t>
        </is>
      </c>
      <c r="F8" s="40" t="n">
        <v>12</v>
      </c>
      <c r="G8" s="29" t="inlineStr">
        <is>
          <t>Home tournament</t>
        </is>
      </c>
    </row>
    <row r="9">
      <c r="A9" s="24" t="n"/>
      <c r="B9" s="23" t="n"/>
      <c r="C9" s="24" t="n"/>
      <c r="D9" s="24" t="n"/>
      <c r="E9" s="24" t="n"/>
      <c r="F9" s="39" t="n"/>
      <c r="G9" s="24" t="n"/>
    </row>
    <row r="10">
      <c r="A10" s="29" t="n"/>
      <c r="B10" s="28" t="n"/>
      <c r="C10" s="29" t="n"/>
      <c r="D10" s="29" t="n"/>
      <c r="E10" s="29" t="n"/>
      <c r="F10" s="40" t="n"/>
      <c r="G10" s="29" t="n"/>
    </row>
    <row r="11">
      <c r="A11" s="24" t="n"/>
      <c r="B11" s="23" t="n"/>
      <c r="C11" s="24" t="n"/>
      <c r="D11" s="24" t="n"/>
      <c r="E11" s="24" t="n"/>
      <c r="F11" s="39" t="n"/>
      <c r="G11" s="24" t="n"/>
    </row>
    <row r="12">
      <c r="A12" s="29" t="n"/>
      <c r="B12" s="28" t="n"/>
      <c r="C12" s="29" t="n"/>
      <c r="D12" s="29" t="n"/>
      <c r="E12" s="29" t="n"/>
      <c r="F12" s="40" t="n"/>
      <c r="G12" s="29" t="n"/>
    </row>
    <row r="13">
      <c r="A13" s="24" t="n"/>
      <c r="B13" s="23" t="n"/>
      <c r="C13" s="24" t="n"/>
      <c r="D13" s="24" t="n"/>
      <c r="E13" s="24" t="n"/>
      <c r="F13" s="39" t="n"/>
      <c r="G13" s="24" t="n"/>
    </row>
    <row r="14">
      <c r="A14" s="29" t="n"/>
      <c r="B14" s="28" t="n"/>
      <c r="C14" s="29" t="n"/>
      <c r="D14" s="29" t="n"/>
      <c r="E14" s="29" t="n"/>
      <c r="F14" s="40" t="n"/>
      <c r="G14" s="29" t="n"/>
    </row>
    <row r="15">
      <c r="A15" s="24" t="n"/>
      <c r="B15" s="23" t="n"/>
      <c r="C15" s="24" t="n"/>
      <c r="D15" s="24" t="n"/>
      <c r="E15" s="24" t="n"/>
      <c r="F15" s="39" t="n"/>
      <c r="G15" s="24" t="n"/>
    </row>
    <row r="16">
      <c r="A16" s="29" t="n"/>
      <c r="B16" s="28" t="n"/>
      <c r="C16" s="29" t="n"/>
      <c r="D16" s="29" t="n"/>
      <c r="E16" s="29" t="n"/>
      <c r="F16" s="40" t="n"/>
      <c r="G16" s="29" t="n"/>
    </row>
    <row r="17">
      <c r="A17" s="24" t="n"/>
      <c r="B17" s="23" t="n"/>
      <c r="C17" s="24" t="n"/>
      <c r="D17" s="24" t="n"/>
      <c r="E17" s="24" t="n"/>
      <c r="F17" s="39" t="n"/>
      <c r="G17" s="24" t="n"/>
    </row>
    <row r="18">
      <c r="A18" s="29" t="n"/>
      <c r="B18" s="28" t="n"/>
      <c r="C18" s="29" t="n"/>
      <c r="D18" s="29" t="n"/>
      <c r="E18" s="29" t="n"/>
      <c r="F18" s="40" t="n"/>
      <c r="G18" s="29" t="n"/>
    </row>
    <row r="19">
      <c r="A19" s="24" t="n"/>
      <c r="B19" s="23" t="n"/>
      <c r="C19" s="24" t="n"/>
      <c r="D19" s="24" t="n"/>
      <c r="E19" s="24" t="n"/>
      <c r="F19" s="39" t="n"/>
      <c r="G19" s="24" t="n"/>
    </row>
    <row r="20">
      <c r="A20" s="29" t="n"/>
      <c r="B20" s="28" t="n"/>
      <c r="C20" s="29" t="n"/>
      <c r="D20" s="29" t="n"/>
      <c r="E20" s="29" t="n"/>
      <c r="F20" s="40" t="n"/>
      <c r="G20" s="29" t="n"/>
    </row>
    <row r="21">
      <c r="A21" s="24" t="n"/>
      <c r="B21" s="23" t="n"/>
      <c r="C21" s="24" t="n"/>
      <c r="D21" s="24" t="n"/>
      <c r="E21" s="24" t="n"/>
      <c r="F21" s="39" t="n"/>
      <c r="G21" s="24" t="n"/>
    </row>
    <row r="22">
      <c r="A22" s="29" t="n"/>
      <c r="B22" s="28" t="n"/>
      <c r="C22" s="29" t="n"/>
      <c r="D22" s="29" t="n"/>
      <c r="E22" s="29" t="n"/>
      <c r="F22" s="40" t="n"/>
      <c r="G22" s="29" t="n"/>
    </row>
    <row r="23">
      <c r="A23" s="24" t="n"/>
      <c r="B23" s="23" t="n"/>
      <c r="C23" s="24" t="n"/>
      <c r="D23" s="24" t="n"/>
      <c r="E23" s="24" t="n"/>
      <c r="F23" s="39" t="n"/>
      <c r="G23" s="24" t="n"/>
    </row>
    <row r="24">
      <c r="A24" s="29" t="n"/>
      <c r="B24" s="28" t="n"/>
      <c r="C24" s="29" t="n"/>
      <c r="D24" s="29" t="n"/>
      <c r="E24" s="29" t="n"/>
      <c r="F24" s="40" t="n"/>
      <c r="G24" s="29" t="n"/>
    </row>
    <row r="25">
      <c r="A25" s="7" t="inlineStr">
        <is>
          <t>TOTAL</t>
        </is>
      </c>
      <c r="F25" s="41">
        <f>SUM(F5:F24)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4" customWidth="1" min="4" max="4"/>
    <col width="22" customWidth="1" min="5" max="5"/>
    <col width="26" customWidth="1" min="6" max="6"/>
    <col width="2" customWidth="1" min="7" max="7"/>
  </cols>
  <sheetData>
    <row r="1" ht="46" customHeight="1">
      <c r="A1" s="1" t="inlineStr">
        <is>
          <t xml:space="preserve">  🥗  NUTRITION &amp; RECOVERY</t>
        </is>
      </c>
    </row>
    <row r="2" ht="22" customHeight="1">
      <c r="A2" s="2" t="inlineStr">
        <is>
          <t xml:space="preserve">  Fuel &amp; recover like a pro — match-day nutrition, hydration &amp; recovery.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MATCH-DAY FUEL</t>
        </is>
      </c>
      <c r="E5" s="4" t="inlineStr">
        <is>
          <t>SUPPLEMENTS</t>
        </is>
      </c>
    </row>
    <row r="6" ht="22" customHeight="1">
      <c r="B6" s="18" t="inlineStr">
        <is>
          <t>3 hrs before</t>
        </is>
      </c>
      <c r="C6" s="19" t="inlineStr">
        <is>
          <t>Oatmeal, banana, eggs, honey</t>
        </is>
      </c>
      <c r="E6" s="18" t="inlineStr">
        <is>
          <t>Morning</t>
        </is>
      </c>
      <c r="F6" s="19" t="inlineStr">
        <is>
          <t>Multivitamin, vitamin D</t>
        </is>
      </c>
    </row>
    <row r="7" ht="22" customHeight="1">
      <c r="B7" s="18" t="inlineStr">
        <is>
          <t>60 min before</t>
        </is>
      </c>
      <c r="C7" s="19" t="inlineStr">
        <is>
          <t>Banana + electrolyte drink</t>
        </is>
      </c>
      <c r="E7" s="18" t="inlineStr">
        <is>
          <t>Pre-match</t>
        </is>
      </c>
      <c r="F7" s="19" t="inlineStr">
        <is>
          <t>Electrolytes, caffeine</t>
        </is>
      </c>
    </row>
    <row r="8" ht="22" customHeight="1">
      <c r="B8" s="18" t="inlineStr">
        <is>
          <t>Changeovers</t>
        </is>
      </c>
      <c r="C8" s="19" t="inlineStr">
        <is>
          <t>Banana, dates, sports drink</t>
        </is>
      </c>
      <c r="E8" s="18" t="inlineStr">
        <is>
          <t>Post-match</t>
        </is>
      </c>
      <c r="F8" s="19" t="inlineStr">
        <is>
          <t>Whey protein, magnesium</t>
        </is>
      </c>
    </row>
    <row r="9" ht="22" customHeight="1">
      <c r="B9" s="18" t="inlineStr">
        <is>
          <t>Post-match</t>
        </is>
      </c>
      <c r="C9" s="19" t="inlineStr">
        <is>
          <t>Protein shake + fruit + carbs</t>
        </is>
      </c>
      <c r="E9" s="18" t="inlineStr">
        <is>
          <t>Joint care</t>
        </is>
      </c>
      <c r="F9" s="19" t="inlineStr">
        <is>
          <t>Fish oil, collagen</t>
        </is>
      </c>
    </row>
    <row r="11" ht="22" customHeight="1">
      <c r="B11" s="4" t="inlineStr">
        <is>
          <t>HYDRATION</t>
        </is>
      </c>
      <c r="E11" s="4" t="inlineStr">
        <is>
          <t>RECOVERY</t>
        </is>
      </c>
    </row>
    <row r="12" ht="22" customHeight="1">
      <c r="B12" s="18" t="inlineStr">
        <is>
          <t>Daily target</t>
        </is>
      </c>
      <c r="C12" s="19" t="inlineStr">
        <is>
          <t>3–4 L water</t>
        </is>
      </c>
      <c r="E12" s="18" t="inlineStr">
        <is>
          <t>Sleep target</t>
        </is>
      </c>
      <c r="F12" s="19" t="inlineStr">
        <is>
          <t>8–9 hrs / night</t>
        </is>
      </c>
    </row>
    <row r="13" ht="22" customHeight="1">
      <c r="B13" s="18" t="inlineStr">
        <is>
          <t>On court</t>
        </is>
      </c>
      <c r="C13" s="19" t="inlineStr">
        <is>
          <t>500 ml + electrolytes / hr</t>
        </is>
      </c>
      <c r="E13" s="18" t="inlineStr">
        <is>
          <t>After matches</t>
        </is>
      </c>
      <c r="F13" s="19" t="inlineStr">
        <is>
          <t>Ice bath / cold shower</t>
        </is>
      </c>
    </row>
    <row r="14" ht="22" customHeight="1">
      <c r="B14" s="18" t="inlineStr">
        <is>
          <t>Hot days</t>
        </is>
      </c>
      <c r="C14" s="19" t="inlineStr">
        <is>
          <t>Add sodium tabs</t>
        </is>
      </c>
      <c r="E14" s="18" t="inlineStr">
        <is>
          <t>Weekly</t>
        </is>
      </c>
      <c r="F14" s="19" t="inlineStr">
        <is>
          <t>Massage or foam roll x2</t>
        </is>
      </c>
    </row>
    <row r="15" ht="22" customHeight="1">
      <c r="B15" s="18" t="inlineStr">
        <is>
          <t>Recovery</t>
        </is>
      </c>
      <c r="C15" s="19" t="inlineStr">
        <is>
          <t>16 oz per lb lost</t>
        </is>
      </c>
      <c r="E15" s="18" t="inlineStr">
        <is>
          <t>Rest days</t>
        </is>
      </c>
      <c r="F15" s="19" t="inlineStr">
        <is>
          <t>1 full day / week</t>
        </is>
      </c>
    </row>
  </sheetData>
  <mergeCells count="6">
    <mergeCell ref="A1:G1"/>
    <mergeCell ref="B11:C11"/>
    <mergeCell ref="B5:C5"/>
    <mergeCell ref="E11:F11"/>
    <mergeCell ref="E5:F5"/>
    <mergeCell ref="A2:G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3" customWidth="1" min="5" max="5"/>
    <col width="20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📸  PHOTO &amp; VIDEO LIBRARY</t>
        </is>
      </c>
    </row>
    <row r="2" ht="22" customHeight="1">
      <c r="A2" s="2" t="inlineStr">
        <is>
          <t xml:space="preserve">  Your season in pictures — paste photos &amp; link technique videos for review.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7" t="inlineStr">
        <is>
          <t xml:space="preserve">  Trophy / Podium</t>
        </is>
      </c>
      <c r="F5" s="7" t="inlineStr">
        <is>
          <t xml:space="preserve">  Match Action</t>
        </is>
      </c>
    </row>
    <row r="6" ht="24" customHeight="1">
      <c r="B6" s="58" t="inlineStr">
        <is>
          <t>📷
Paste photo here
(Insert ▸ Picture)</t>
        </is>
      </c>
      <c r="F6" s="58" t="inlineStr">
        <is>
          <t>📷
Paste photo here
(Insert ▸ Picture)</t>
        </is>
      </c>
    </row>
    <row r="7" ht="24" customHeight="1"/>
    <row r="8" ht="24" customHeight="1"/>
    <row r="9" ht="24" customHeight="1"/>
    <row r="10" ht="24" customHeight="1"/>
    <row r="11">
      <c r="B11" s="18" t="inlineStr">
        <is>
          <t>Video link</t>
        </is>
      </c>
      <c r="C11" s="19" t="inlineStr"/>
      <c r="F11" s="18" t="inlineStr">
        <is>
          <t>Video link</t>
        </is>
      </c>
      <c r="G11" s="19" t="inlineStr"/>
    </row>
    <row r="12">
      <c r="B12" s="18" t="inlineStr">
        <is>
          <t>Notes</t>
        </is>
      </c>
      <c r="C12" s="19" t="inlineStr"/>
      <c r="F12" s="18" t="inlineStr">
        <is>
          <t>Notes</t>
        </is>
      </c>
      <c r="G12" s="19" t="inlineStr"/>
    </row>
    <row r="14" ht="22" customHeight="1">
      <c r="B14" s="7" t="inlineStr">
        <is>
          <t xml:space="preserve">  Serve — Technique</t>
        </is>
      </c>
      <c r="F14" s="7" t="inlineStr">
        <is>
          <t xml:space="preserve">  Backhand — Technique</t>
        </is>
      </c>
    </row>
    <row r="15" ht="24" customHeight="1">
      <c r="B15" s="58" t="inlineStr">
        <is>
          <t>📷
Paste photo here
(Insert ▸ Picture)</t>
        </is>
      </c>
      <c r="F15" s="58" t="inlineStr">
        <is>
          <t>📷
Paste photo here
(Insert ▸ Picture)</t>
        </is>
      </c>
    </row>
    <row r="16" ht="24" customHeight="1"/>
    <row r="17" ht="24" customHeight="1"/>
    <row r="18" ht="24" customHeight="1"/>
    <row r="19" ht="24" customHeight="1"/>
    <row r="20">
      <c r="B20" s="18" t="inlineStr">
        <is>
          <t>Video link</t>
        </is>
      </c>
      <c r="C20" s="19" t="inlineStr"/>
      <c r="F20" s="18" t="inlineStr">
        <is>
          <t>Video link</t>
        </is>
      </c>
      <c r="G20" s="19" t="inlineStr"/>
    </row>
    <row r="21">
      <c r="B21" s="18" t="inlineStr">
        <is>
          <t>Notes</t>
        </is>
      </c>
      <c r="C21" s="19" t="inlineStr"/>
      <c r="F21" s="18" t="inlineStr">
        <is>
          <t>Notes</t>
        </is>
      </c>
      <c r="G21" s="19" t="inlineStr"/>
    </row>
    <row r="23" ht="22" customHeight="1">
      <c r="B23" s="7" t="inlineStr">
        <is>
          <t xml:space="preserve">  Training Session</t>
        </is>
      </c>
      <c r="F23" s="7" t="inlineStr">
        <is>
          <t xml:space="preserve">  New Equipment</t>
        </is>
      </c>
    </row>
    <row r="24" ht="24" customHeight="1">
      <c r="B24" s="58" t="inlineStr">
        <is>
          <t>📷
Paste photo here
(Insert ▸ Picture)</t>
        </is>
      </c>
      <c r="F24" s="58" t="inlineStr">
        <is>
          <t>📷
Paste photo here
(Insert ▸ Picture)</t>
        </is>
      </c>
    </row>
    <row r="25" ht="24" customHeight="1"/>
    <row r="26" ht="24" customHeight="1"/>
    <row r="27" ht="24" customHeight="1"/>
    <row r="28" ht="24" customHeight="1"/>
    <row r="29">
      <c r="B29" s="18" t="inlineStr">
        <is>
          <t>Video link</t>
        </is>
      </c>
      <c r="C29" s="19" t="inlineStr"/>
      <c r="F29" s="18" t="inlineStr">
        <is>
          <t>Video link</t>
        </is>
      </c>
      <c r="G29" s="19" t="inlineStr"/>
    </row>
    <row r="30">
      <c r="B30" s="18" t="inlineStr">
        <is>
          <t>Notes</t>
        </is>
      </c>
      <c r="C30" s="19" t="inlineStr"/>
      <c r="F30" s="18" t="inlineStr">
        <is>
          <t>Notes</t>
        </is>
      </c>
      <c r="G30" s="19" t="inlineStr"/>
    </row>
  </sheetData>
  <mergeCells count="26">
    <mergeCell ref="F6:H10"/>
    <mergeCell ref="G21:H21"/>
    <mergeCell ref="G12:H12"/>
    <mergeCell ref="B14:D14"/>
    <mergeCell ref="F5:H5"/>
    <mergeCell ref="F15:H19"/>
    <mergeCell ref="C30:D30"/>
    <mergeCell ref="B23:D23"/>
    <mergeCell ref="G11:H11"/>
    <mergeCell ref="F24:H28"/>
    <mergeCell ref="F23:H23"/>
    <mergeCell ref="C20:D20"/>
    <mergeCell ref="A2:I2"/>
    <mergeCell ref="C29:D29"/>
    <mergeCell ref="C12:D12"/>
    <mergeCell ref="B15:D19"/>
    <mergeCell ref="B5:D5"/>
    <mergeCell ref="B6:D10"/>
    <mergeCell ref="C21:D21"/>
    <mergeCell ref="F14:H14"/>
    <mergeCell ref="G30:H30"/>
    <mergeCell ref="C11:D11"/>
    <mergeCell ref="B24:D28"/>
    <mergeCell ref="G29:H29"/>
    <mergeCell ref="G20:H20"/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37356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2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📅  SEASON PLANNER</t>
        </is>
      </c>
    </row>
    <row r="2" ht="22" customHeight="1">
      <c r="A2" s="2" t="inlineStr">
        <is>
          <t xml:space="preserve">  Periodize the year — training blocks, tournaments &amp; rest, at a glance.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 ht="30" customHeight="1">
      <c r="B5" s="7" t="inlineStr">
        <is>
          <t>Month</t>
        </is>
      </c>
      <c r="C5" s="7" t="inlineStr">
        <is>
          <t>Training Block</t>
        </is>
      </c>
      <c r="D5" s="7" t="inlineStr">
        <is>
          <t>Key Tournaments</t>
        </is>
      </c>
      <c r="E5" s="7" t="inlineStr">
        <is>
          <t>Focus</t>
        </is>
      </c>
    </row>
    <row r="6">
      <c r="B6" s="59" t="inlineStr">
        <is>
          <t>Jan</t>
        </is>
      </c>
      <c r="C6" s="59" t="inlineStr">
        <is>
          <t>Off-season prep</t>
        </is>
      </c>
      <c r="D6" s="59" t="inlineStr">
        <is>
          <t>—</t>
        </is>
      </c>
      <c r="E6" s="59" t="inlineStr">
        <is>
          <t>Strength + technique</t>
        </is>
      </c>
    </row>
    <row r="7">
      <c r="B7" s="60" t="inlineStr">
        <is>
          <t>Feb</t>
        </is>
      </c>
      <c r="C7" s="60" t="inlineStr">
        <is>
          <t>Volume training</t>
        </is>
      </c>
      <c r="D7" s="60" t="inlineStr">
        <is>
          <t>Winter Open</t>
        </is>
      </c>
      <c r="E7" s="60" t="inlineStr">
        <is>
          <t>Match reps</t>
        </is>
      </c>
    </row>
    <row r="8">
      <c r="B8" s="61" t="inlineStr">
        <is>
          <t>Mar</t>
        </is>
      </c>
      <c r="C8" s="61" t="inlineStr">
        <is>
          <t>Competition block</t>
        </is>
      </c>
      <c r="D8" s="61" t="inlineStr">
        <is>
          <t>Spring Champs</t>
        </is>
      </c>
      <c r="E8" s="61" t="inlineStr">
        <is>
          <t>Ranking points</t>
        </is>
      </c>
    </row>
    <row r="9">
      <c r="B9" s="61" t="inlineStr">
        <is>
          <t>Apr</t>
        </is>
      </c>
      <c r="C9" s="61" t="inlineStr">
        <is>
          <t>Clay swing</t>
        </is>
      </c>
      <c r="D9" s="61" t="inlineStr">
        <is>
          <t>Clay Court Classic</t>
        </is>
      </c>
      <c r="E9" s="61" t="inlineStr">
        <is>
          <t>Best surface</t>
        </is>
      </c>
    </row>
    <row r="10">
      <c r="B10" s="62" t="inlineStr">
        <is>
          <t>May</t>
        </is>
      </c>
      <c r="C10" s="62" t="inlineStr">
        <is>
          <t>Deload week</t>
        </is>
      </c>
      <c r="D10" s="62" t="inlineStr">
        <is>
          <t>Rest</t>
        </is>
      </c>
      <c r="E10" s="62" t="inlineStr">
        <is>
          <t>Recovery + video review</t>
        </is>
      </c>
    </row>
    <row r="11">
      <c r="B11" s="60" t="inlineStr">
        <is>
          <t>Jun</t>
        </is>
      </c>
      <c r="C11" s="60" t="inlineStr">
        <is>
          <t>Summer prep</t>
        </is>
      </c>
      <c r="D11" s="60" t="inlineStr">
        <is>
          <t>Summer Level 2</t>
        </is>
      </c>
      <c r="E11" s="60" t="inlineStr">
        <is>
          <t>Serve + fitness</t>
        </is>
      </c>
    </row>
    <row r="12">
      <c r="B12" s="61" t="inlineStr">
        <is>
          <t>Jul</t>
        </is>
      </c>
      <c r="C12" s="61" t="inlineStr">
        <is>
          <t>Grass block</t>
        </is>
      </c>
      <c r="D12" s="61" t="inlineStr">
        <is>
          <t>Grass Cup</t>
        </is>
      </c>
      <c r="E12" s="61" t="inlineStr">
        <is>
          <t>Net game</t>
        </is>
      </c>
    </row>
    <row r="13">
      <c r="B13" s="61" t="inlineStr">
        <is>
          <t>Aug</t>
        </is>
      </c>
      <c r="C13" s="61" t="inlineStr">
        <is>
          <t>Fall majors</t>
        </is>
      </c>
      <c r="D13" s="61" t="inlineStr">
        <is>
          <t>Sectional Masters</t>
        </is>
      </c>
      <c r="E13" s="61" t="inlineStr">
        <is>
          <t>Big points</t>
        </is>
      </c>
    </row>
    <row r="14">
      <c r="B14" s="62" t="inlineStr">
        <is>
          <t>Sep</t>
        </is>
      </c>
      <c r="C14" s="62" t="inlineStr">
        <is>
          <t>Post-season</t>
        </is>
      </c>
      <c r="D14" s="62" t="inlineStr">
        <is>
          <t>Rest</t>
        </is>
      </c>
      <c r="E14" s="62" t="inlineStr">
        <is>
          <t>Injury check</t>
        </is>
      </c>
    </row>
    <row r="16" ht="22" customHeight="1">
      <c r="B16" s="4" t="inlineStr">
        <is>
          <t>BLOCK KEY</t>
        </is>
      </c>
    </row>
    <row r="17">
      <c r="B17" s="63" t="inlineStr">
        <is>
          <t>Base</t>
        </is>
      </c>
      <c r="C17" s="22" t="inlineStr">
        <is>
          <t>Foundation — strength &amp; technique</t>
        </is>
      </c>
    </row>
    <row r="18">
      <c r="B18" s="64" t="inlineStr">
        <is>
          <t>Build</t>
        </is>
      </c>
      <c r="C18" s="22" t="inlineStr">
        <is>
          <t>Volume — match reps &amp; fitness</t>
        </is>
      </c>
    </row>
    <row r="19">
      <c r="B19" s="65" t="inlineStr">
        <is>
          <t>Peak</t>
        </is>
      </c>
      <c r="C19" s="22" t="inlineStr">
        <is>
          <t>Compete — chase ranking points</t>
        </is>
      </c>
    </row>
    <row r="20">
      <c r="B20" s="66" t="inlineStr">
        <is>
          <t>Recover</t>
        </is>
      </c>
      <c r="C20" s="22" t="inlineStr">
        <is>
          <t>Rest — deload &amp; video review</t>
        </is>
      </c>
    </row>
  </sheetData>
  <mergeCells count="7">
    <mergeCell ref="A2:F2"/>
    <mergeCell ref="C19:E19"/>
    <mergeCell ref="A1:F1"/>
    <mergeCell ref="B16:E16"/>
    <mergeCell ref="C18:E18"/>
    <mergeCell ref="C17:E17"/>
    <mergeCell ref="C20:E2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5E6C1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📊  ANALYTICS COMMAND CENTER</t>
        </is>
      </c>
    </row>
    <row r="2" ht="22" customHeight="1">
      <c r="A2" s="2" t="inlineStr">
        <is>
          <t xml:space="preserve">  Your season by the numbers — every area scored into one Player Performance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B5" s="6" t="inlineStr">
        <is>
          <t>PERFORMANCE DIMENSIONS</t>
        </is>
      </c>
      <c r="F5" s="4" t="inlineStr">
        <is>
          <t>PLAYER PERFORMANCE SCORE</t>
        </is>
      </c>
    </row>
    <row r="6" ht="30" customHeight="1">
      <c r="B6" s="7" t="inlineStr">
        <is>
          <t>Dimension</t>
        </is>
      </c>
      <c r="C6" s="7" t="inlineStr">
        <is>
          <t>Score</t>
        </is>
      </c>
      <c r="D6" s="7" t="inlineStr">
        <is>
          <t>Status</t>
        </is>
      </c>
      <c r="F6" s="67">
        <f>IFERROR(AVERAGE(C7:C12),0)</f>
        <v/>
      </c>
      <c r="G6" s="68" t="n"/>
      <c r="H6" s="68" t="n"/>
    </row>
    <row r="7">
      <c r="B7" s="22" t="inlineStr">
        <is>
          <t>Win rate</t>
        </is>
      </c>
      <c r="C7" s="48">
        <f>IFERROR(COUNTIF(MatchResult,"W")/COUNTA(MatchResult),0)</f>
        <v/>
      </c>
      <c r="D7" s="27">
        <f>IF(C7&gt;=0.75,"Elite",IF(C7&gt;=0.5,"Solid","Develop"))</f>
        <v/>
      </c>
      <c r="F7" s="69" t="n"/>
      <c r="G7" s="69" t="n"/>
      <c r="H7" s="69" t="n"/>
    </row>
    <row r="8">
      <c r="B8" s="29" t="inlineStr">
        <is>
          <t>Skill level</t>
        </is>
      </c>
      <c r="C8" s="35">
        <f>IFERROR(AVERAGE(SkillCurrent)/10,0)</f>
        <v/>
      </c>
      <c r="D8" s="30">
        <f>IF(C8&gt;=0.75,"Elite",IF(C8&gt;=0.5,"Solid","Develop"))</f>
        <v/>
      </c>
      <c r="F8" s="69" t="n"/>
      <c r="G8" s="69" t="n"/>
      <c r="H8" s="69" t="n"/>
    </row>
    <row r="9">
      <c r="B9" s="22" t="inlineStr">
        <is>
          <t>Fitness</t>
        </is>
      </c>
      <c r="C9" s="48">
        <f>IFERROR(AVERAGEIF(GoalCategory,"Fitness",GoalProgress),0)</f>
        <v/>
      </c>
      <c r="D9" s="27">
        <f>IF(C9&gt;=0.75,"Elite",IF(C9&gt;=0.5,"Solid","Develop"))</f>
        <v/>
      </c>
      <c r="F9" s="69" t="n"/>
      <c r="G9" s="69" t="n"/>
      <c r="H9" s="69" t="n"/>
    </row>
    <row r="10">
      <c r="B10" s="29" t="inlineStr">
        <is>
          <t>Tournament success</t>
        </is>
      </c>
      <c r="C10" s="35">
        <f>IFERROR(COUNTIF(TournPlace,"1st")/MAX(COUNTA(TournPlace),1),0)</f>
        <v/>
      </c>
      <c r="D10" s="30">
        <f>IF(C10&gt;=0.75,"Elite",IF(C10&gt;=0.5,"Solid","Develop"))</f>
        <v/>
      </c>
      <c r="F10" s="70" t="inlineStr">
        <is>
          <t>Wins · skills · fitness · tournaments · goals · practice.</t>
        </is>
      </c>
    </row>
    <row r="11">
      <c r="B11" s="22" t="inlineStr">
        <is>
          <t>Goal progress</t>
        </is>
      </c>
      <c r="C11" s="48">
        <f>IFERROR(AVERAGE(GoalProgress),0)</f>
        <v/>
      </c>
      <c r="D11" s="27">
        <f>IF(C11&gt;=0.75,"Elite",IF(C11&gt;=0.5,"Solid","Develop"))</f>
        <v/>
      </c>
    </row>
    <row r="12">
      <c r="B12" s="29" t="inlineStr">
        <is>
          <t>Practice consistency</t>
        </is>
      </c>
      <c r="C12" s="35">
        <f>IFERROR(MIN(SUM(PracticeHrs)/HoursTarget,1),0)</f>
        <v/>
      </c>
      <c r="D12" s="30">
        <f>IF(C12&gt;=0.75,"Elite",IF(C12&gt;=0.5,"Solid","Develop"))</f>
        <v/>
      </c>
    </row>
    <row r="15">
      <c r="B15" s="6" t="inlineStr">
        <is>
          <t>RATING PROGRESS (UTR) — 6 MONTHS</t>
        </is>
      </c>
    </row>
    <row r="16">
      <c r="B16" s="7" t="inlineStr">
        <is>
          <t>Month</t>
        </is>
      </c>
      <c r="C16" s="7" t="inlineStr">
        <is>
          <t>UTR</t>
        </is>
      </c>
    </row>
    <row r="17">
      <c r="B17" s="22" t="inlineStr">
        <is>
          <t>Feb</t>
        </is>
      </c>
      <c r="C17" s="71" t="n">
        <v>6.8</v>
      </c>
    </row>
    <row r="18">
      <c r="B18" s="29" t="inlineStr">
        <is>
          <t>Mar</t>
        </is>
      </c>
      <c r="C18" s="36" t="n">
        <v>7</v>
      </c>
    </row>
    <row r="19">
      <c r="B19" s="22" t="inlineStr">
        <is>
          <t>Apr</t>
        </is>
      </c>
      <c r="C19" s="71" t="n">
        <v>7.1</v>
      </c>
    </row>
    <row r="20">
      <c r="B20" s="29" t="inlineStr">
        <is>
          <t>May</t>
        </is>
      </c>
      <c r="C20" s="36" t="n">
        <v>7.3</v>
      </c>
    </row>
    <row r="21">
      <c r="B21" s="22" t="inlineStr">
        <is>
          <t>Jun</t>
        </is>
      </c>
      <c r="C21" s="71" t="n">
        <v>7.4</v>
      </c>
    </row>
    <row r="22">
      <c r="B22" s="29" t="inlineStr">
        <is>
          <t>Jul</t>
        </is>
      </c>
      <c r="C22" s="36" t="n">
        <v>7.5</v>
      </c>
    </row>
  </sheetData>
  <mergeCells count="7">
    <mergeCell ref="F10:H10"/>
    <mergeCell ref="B5:D5"/>
    <mergeCell ref="F5:H5"/>
    <mergeCell ref="A2:H2"/>
    <mergeCell ref="A1:H1"/>
    <mergeCell ref="B15:D15"/>
    <mergeCell ref="F6:H9"/>
  </mergeCells>
  <conditionalFormatting sqref="C7:C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E5D3BA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player details once — every dashboard follows. Works for any level.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6" t="inlineStr">
        <is>
          <t>PLAYER INPUTS</t>
        </is>
      </c>
      <c r="E5" s="4" t="inlineStr">
        <is>
          <t>DROPDOWN LISTS</t>
        </is>
      </c>
    </row>
    <row r="6">
      <c r="B6" s="18" t="inlineStr">
        <is>
          <t>Player Name</t>
        </is>
      </c>
      <c r="C6" s="72" t="inlineStr">
        <is>
          <t>Maya Chen</t>
        </is>
      </c>
      <c r="E6" s="7" t="inlineStr">
        <is>
          <t>Surface</t>
        </is>
      </c>
      <c r="F6" s="7" t="inlineStr">
        <is>
          <t>Format</t>
        </is>
      </c>
      <c r="G6" s="7" t="inlineStr">
        <is>
          <t>Tournament Level</t>
        </is>
      </c>
      <c r="H6" s="7" t="inlineStr">
        <is>
          <t>Skill</t>
        </is>
      </c>
      <c r="I6" s="7" t="inlineStr">
        <is>
          <t>Expense Category</t>
        </is>
      </c>
      <c r="J6" s="7" t="inlineStr">
        <is>
          <t>Equipment Type</t>
        </is>
      </c>
      <c r="K6" s="7" t="inlineStr">
        <is>
          <t>Goal Category</t>
        </is>
      </c>
      <c r="L6" s="7" t="inlineStr">
        <is>
          <t>Practice Focus</t>
        </is>
      </c>
    </row>
    <row r="7">
      <c r="B7" s="18" t="inlineStr">
        <is>
          <t>Age Division</t>
        </is>
      </c>
      <c r="C7" s="72" t="inlineStr">
        <is>
          <t>U16</t>
        </is>
      </c>
      <c r="E7" s="22" t="inlineStr">
        <is>
          <t>Hard</t>
        </is>
      </c>
      <c r="F7" s="22" t="inlineStr">
        <is>
          <t>Singles</t>
        </is>
      </c>
      <c r="G7" s="22" t="inlineStr">
        <is>
          <t>Level 1</t>
        </is>
      </c>
      <c r="H7" s="22" t="inlineStr">
        <is>
          <t>Forehand</t>
        </is>
      </c>
      <c r="I7" s="22" t="inlineStr">
        <is>
          <t>Coaching</t>
        </is>
      </c>
      <c r="J7" s="22" t="inlineStr">
        <is>
          <t>Racquet</t>
        </is>
      </c>
      <c r="K7" s="22" t="inlineStr">
        <is>
          <t>Ranking</t>
        </is>
      </c>
      <c r="L7" s="22" t="inlineStr">
        <is>
          <t>Serves</t>
        </is>
      </c>
    </row>
    <row r="8">
      <c r="B8" s="18" t="inlineStr">
        <is>
          <t>Current Rating (UTR)</t>
        </is>
      </c>
      <c r="C8" s="73" t="n">
        <v>7.5</v>
      </c>
      <c r="E8" s="22" t="inlineStr">
        <is>
          <t>Clay</t>
        </is>
      </c>
      <c r="F8" s="22" t="inlineStr">
        <is>
          <t>Doubles</t>
        </is>
      </c>
      <c r="G8" s="22" t="inlineStr">
        <is>
          <t>Level 2</t>
        </is>
      </c>
      <c r="H8" s="22" t="inlineStr">
        <is>
          <t>Backhand</t>
        </is>
      </c>
      <c r="I8" s="22" t="inlineStr">
        <is>
          <t>Court Fees</t>
        </is>
      </c>
      <c r="J8" s="22" t="inlineStr">
        <is>
          <t>Strings</t>
        </is>
      </c>
      <c r="K8" s="22" t="inlineStr">
        <is>
          <t>Tournament</t>
        </is>
      </c>
      <c r="L8" s="22" t="inlineStr">
        <is>
          <t>Forehands</t>
        </is>
      </c>
    </row>
    <row r="9">
      <c r="B9" s="18" t="inlineStr">
        <is>
          <t>Current Ranking</t>
        </is>
      </c>
      <c r="C9" s="43" t="n">
        <v>14</v>
      </c>
      <c r="E9" s="22" t="inlineStr">
        <is>
          <t>Grass</t>
        </is>
      </c>
      <c r="G9" s="22" t="inlineStr">
        <is>
          <t>Level 3</t>
        </is>
      </c>
      <c r="H9" s="22" t="inlineStr">
        <is>
          <t>Slice</t>
        </is>
      </c>
      <c r="I9" s="22" t="inlineStr">
        <is>
          <t>Club Membership</t>
        </is>
      </c>
      <c r="J9" s="22" t="inlineStr">
        <is>
          <t>Shoes</t>
        </is>
      </c>
      <c r="K9" s="22" t="inlineStr">
        <is>
          <t>Fitness</t>
        </is>
      </c>
      <c r="L9" s="22" t="inlineStr">
        <is>
          <t>Backhands</t>
        </is>
      </c>
    </row>
    <row r="10">
      <c r="B10" s="18" t="inlineStr">
        <is>
          <t>Home Club</t>
        </is>
      </c>
      <c r="C10" s="72" t="inlineStr">
        <is>
          <t>Cedar Park Tennis Club</t>
        </is>
      </c>
      <c r="E10" s="22" t="inlineStr">
        <is>
          <t>Carpet</t>
        </is>
      </c>
      <c r="G10" s="22" t="inlineStr">
        <is>
          <t>Sectional</t>
        </is>
      </c>
      <c r="H10" s="22" t="inlineStr">
        <is>
          <t>Volley</t>
        </is>
      </c>
      <c r="I10" s="22" t="inlineStr">
        <is>
          <t>Equipment</t>
        </is>
      </c>
      <c r="J10" s="22" t="inlineStr">
        <is>
          <t>Bag</t>
        </is>
      </c>
      <c r="K10" s="22" t="inlineStr">
        <is>
          <t>Skill</t>
        </is>
      </c>
      <c r="L10" s="22" t="inlineStr">
        <is>
          <t>Volleys</t>
        </is>
      </c>
    </row>
    <row r="11">
      <c r="B11" s="18" t="inlineStr">
        <is>
          <t>Monthly Budget</t>
        </is>
      </c>
      <c r="C11" s="46" t="n">
        <v>2000</v>
      </c>
      <c r="G11" s="22" t="inlineStr">
        <is>
          <t>National</t>
        </is>
      </c>
      <c r="H11" s="22" t="inlineStr">
        <is>
          <t>Overhead</t>
        </is>
      </c>
      <c r="I11" s="22" t="inlineStr">
        <is>
          <t>Tournament Fees</t>
        </is>
      </c>
      <c r="J11" s="22" t="inlineStr">
        <is>
          <t>Balls</t>
        </is>
      </c>
      <c r="K11" s="22" t="inlineStr">
        <is>
          <t>Mental</t>
        </is>
      </c>
      <c r="L11" s="22" t="inlineStr">
        <is>
          <t>Overheads</t>
        </is>
      </c>
    </row>
    <row r="12">
      <c r="B12" s="18" t="inlineStr">
        <is>
          <t>Season Match Target</t>
        </is>
      </c>
      <c r="C12" s="43" t="n">
        <v>40</v>
      </c>
      <c r="G12" s="22" t="inlineStr">
        <is>
          <t>ITF Junior</t>
        </is>
      </c>
      <c r="H12" s="22" t="inlineStr">
        <is>
          <t>First Serve</t>
        </is>
      </c>
      <c r="I12" s="22" t="inlineStr">
        <is>
          <t>Travel</t>
        </is>
      </c>
      <c r="J12" s="22" t="inlineStr">
        <is>
          <t>Overgrips</t>
        </is>
      </c>
      <c r="K12" s="22" t="inlineStr">
        <is>
          <t>Match</t>
        </is>
      </c>
      <c r="L12" s="22" t="inlineStr">
        <is>
          <t>Footwork</t>
        </is>
      </c>
    </row>
    <row r="13">
      <c r="B13" s="18" t="inlineStr">
        <is>
          <t>Practice Hours Target</t>
        </is>
      </c>
      <c r="C13" s="43" t="n">
        <v>40</v>
      </c>
      <c r="G13" s="22" t="inlineStr">
        <is>
          <t>Club</t>
        </is>
      </c>
      <c r="H13" s="22" t="inlineStr">
        <is>
          <t>Second Serve</t>
        </is>
      </c>
      <c r="I13" s="22" t="inlineStr">
        <is>
          <t>Hotels</t>
        </is>
      </c>
      <c r="J13" s="22" t="inlineStr">
        <is>
          <t>Dampener</t>
        </is>
      </c>
      <c r="K13" s="22" t="inlineStr">
        <is>
          <t>Practice</t>
        </is>
      </c>
      <c r="L13" s="22" t="inlineStr">
        <is>
          <t>Match Play</t>
        </is>
      </c>
    </row>
    <row r="14">
      <c r="H14" s="22" t="inlineStr">
        <is>
          <t>Return of Serve</t>
        </is>
      </c>
      <c r="I14" s="22" t="inlineStr">
        <is>
          <t>Food</t>
        </is>
      </c>
      <c r="J14" s="22" t="inlineStr">
        <is>
          <t>Apparel</t>
        </is>
      </c>
      <c r="L14" s="22" t="inlineStr">
        <is>
          <t>Mental</t>
        </is>
      </c>
    </row>
    <row r="15">
      <c r="H15" s="22" t="inlineStr">
        <is>
          <t>Footwork</t>
        </is>
      </c>
      <c r="I15" s="22" t="inlineStr">
        <is>
          <t>Apparel</t>
        </is>
      </c>
      <c r="J15" s="22" t="inlineStr">
        <is>
          <t>Accessory</t>
        </is>
      </c>
    </row>
    <row r="16">
      <c r="H16" s="22" t="inlineStr">
        <is>
          <t>Speed</t>
        </is>
      </c>
      <c r="I16" s="22" t="inlineStr">
        <is>
          <t>Recovery</t>
        </is>
      </c>
    </row>
    <row r="17">
      <c r="H17" s="22" t="inlineStr">
        <is>
          <t>Court Positioning</t>
        </is>
      </c>
      <c r="I17" s="22" t="inlineStr">
        <is>
          <t>Miscellaneous</t>
        </is>
      </c>
    </row>
    <row r="18">
      <c r="H18" s="22" t="inlineStr">
        <is>
          <t>Tactical Awareness</t>
        </is>
      </c>
    </row>
    <row r="19">
      <c r="H19" s="22" t="inlineStr">
        <is>
          <t>Mental Toughness</t>
        </is>
      </c>
    </row>
    <row r="21">
      <c r="E21" s="7" t="inlineStr">
        <is>
          <t>Result</t>
        </is>
      </c>
      <c r="F21" s="7" t="inlineStr">
        <is>
          <t>Condition</t>
        </is>
      </c>
      <c r="G21" s="7" t="inlineStr">
        <is>
          <t>Yes / No</t>
        </is>
      </c>
    </row>
    <row r="22">
      <c r="E22" s="22" t="inlineStr">
        <is>
          <t>W</t>
        </is>
      </c>
      <c r="F22" s="22" t="inlineStr">
        <is>
          <t>New</t>
        </is>
      </c>
      <c r="G22" s="22" t="inlineStr">
        <is>
          <t>Yes</t>
        </is>
      </c>
    </row>
    <row r="23">
      <c r="E23" s="22" t="inlineStr">
        <is>
          <t>L</t>
        </is>
      </c>
      <c r="F23" s="22" t="inlineStr">
        <is>
          <t>Excellent</t>
        </is>
      </c>
      <c r="G23" s="22" t="inlineStr">
        <is>
          <t>No</t>
        </is>
      </c>
    </row>
    <row r="24">
      <c r="F24" s="22" t="inlineStr">
        <is>
          <t>Good</t>
        </is>
      </c>
    </row>
    <row r="25">
      <c r="F25" s="22" t="inlineStr">
        <is>
          <t>Worn</t>
        </is>
      </c>
    </row>
    <row r="26">
      <c r="F26" s="22" t="inlineStr">
        <is>
          <t>Replace Soon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2026-07-03T20:22:16Z</dcterms:created>
  <dcterms:modified xsi:type="dcterms:W3CDTF">2026-07-03T20:22:16Z</dcterms:modified>
</cp:coreProperties>
</file>