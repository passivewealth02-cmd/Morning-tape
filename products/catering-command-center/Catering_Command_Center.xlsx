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late Costing" sheetId="3" state="visible" r:id="rId3"/>
    <sheet name="Menu Packages" sheetId="4" state="visible" r:id="rId4"/>
    <sheet name="Event Quotes" sheetId="5" state="visible" r:id="rId5"/>
    <sheet name="Staffing" sheetId="6" state="visible" r:id="rId6"/>
    <sheet name="Rentals" sheetId="7" state="visible" r:id="rId7"/>
    <sheet name="Bookings" sheetId="8" state="visible" r:id="rId8"/>
    <sheet name="Inventory" sheetId="9" state="visible" r:id="rId9"/>
    <sheet name="Waste Log" sheetId="10" state="visible" r:id="rId10"/>
    <sheet name="Ordering" sheetId="11" state="visible" r:id="rId11"/>
    <sheet name="Cash &amp; Deposits" sheetId="12" state="visible" r:id="rId12"/>
    <sheet name="Clients" sheetId="13" state="visible" r:id="rId13"/>
    <sheet name="Settings" sheetId="14" state="visible" r:id="rId14"/>
  </sheets>
  <definedNames>
    <definedName name="Company">Settings!$C$6</definedName>
    <definedName name="Owner">Settings!$C$7</definedName>
    <definedName name="TargetFC">Settings!$C$8</definedName>
    <definedName name="MarginGoal">Settings!$C$9</definedName>
    <definedName name="LaborLimit">Settings!$C$10</definedName>
    <definedName name="BookingGoal">Settings!$C$11</definedName>
    <definedName name="Currency">Settings!$C$12</definedName>
    <definedName name="UnitList">Settings!$E$7:$E$14</definedName>
    <definedName name="PackageList">Settings!$F$7:$F$14</definedName>
    <definedName name="StatusList">Settings!$G$7:$G$10</definedName>
    <definedName name="YesNoList">Settings!$H$7:$H$8</definedName>
    <definedName name="PlatedCostHead">'Plate Costing'!$C$13</definedName>
    <definedName name="PkgItem">'Menu Packages'!$B$5:$B$12</definedName>
    <definedName name="PkgCostHead">'Menu Packages'!$C$5:$C$12</definedName>
    <definedName name="PkgPriceHead">'Menu Packages'!$D$5:$D$12</definedName>
    <definedName name="PkgMargin">'Menu Packages'!$E$5:$E$12</definedName>
    <definedName name="EventName">'Event Quotes'!$B$5:$B$10</definedName>
    <definedName name="EventPkg">'Event Quotes'!$C$5:$C$10</definedName>
    <definedName name="EventGuests">'Event Quotes'!$D$5:$D$10</definedName>
    <definedName name="EventStaff">'Event Quotes'!$H$5:$H$10</definedName>
    <definedName name="EventRev">'Event Quotes'!$J$5:$J$10</definedName>
    <definedName name="EventFood">'Event Quotes'!$K$5:$K$10</definedName>
    <definedName name="EventMarginPct">'Event Quotes'!$M$5:$M$10</definedName>
    <definedName name="TotalRevenue">'Event Quotes'!$J$11</definedName>
    <definedName name="TotalFood">'Event Quotes'!$K$11</definedName>
    <definedName name="FoodCostPct">'Event Quotes'!$F$13</definedName>
    <definedName name="AvgEventMargin">'Event Quotes'!$F$14</definedName>
    <definedName name="LaborPct">'Event Quotes'!$F$15</definedName>
    <definedName name="WasteCost">'Waste Log'!$D$5:$D$28</definedName>
    <definedName name="WasteTotal">'Waste Log'!$D$29</definedName>
    <definedName name="OrderCost">'Ordering'!$E$5:$E$28</definedName>
    <definedName name="DepositsTotal">'Cash &amp; Deposits'!$C$10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yyyy-mm-dd"/>
    <numFmt numFmtId="167" formatCode="mm/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2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9" borderId="3" applyAlignment="1" pivotButton="0" quotePrefix="0" xfId="0">
      <alignment horizontal="center" vertical="center"/>
    </xf>
    <xf numFmtId="0" fontId="0" fillId="9" borderId="3" pivotButton="0" quotePrefix="0" xfId="0"/>
    <xf numFmtId="3" fontId="13" fillId="9" borderId="2" applyAlignment="1" pivotButton="0" quotePrefix="0" xfId="0">
      <alignment horizontal="center" vertical="center"/>
    </xf>
    <xf numFmtId="0" fontId="0" fillId="9" borderId="2" pivotButton="0" quotePrefix="0" xfId="0"/>
    <xf numFmtId="165" fontId="13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9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164" fontId="7" fillId="3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164" fontId="10" fillId="6" borderId="2" applyAlignment="1" pivotButton="0" quotePrefix="0" xfId="6">
      <alignment horizontal="center" vertical="center" wrapText="1"/>
    </xf>
    <xf numFmtId="164" fontId="10" fillId="0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165" fontId="10" fillId="0" borderId="2" applyAlignment="1" pivotButton="0" quotePrefix="0" xfId="6">
      <alignment horizontal="center" vertical="center" wrapText="1"/>
    </xf>
    <xf numFmtId="165" fontId="6" fillId="0" borderId="2" applyAlignment="1" pivotButton="0" quotePrefix="0" xfId="6">
      <alignment horizontal="center" vertical="center" wrapText="1"/>
    </xf>
    <xf numFmtId="9" fontId="10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165" fontId="10" fillId="8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9" fontId="10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5" fontId="10" fillId="3" borderId="2" applyAlignment="1" pivotButton="0" quotePrefix="0" xfId="6">
      <alignment horizontal="center" vertical="center" wrapText="1"/>
    </xf>
    <xf numFmtId="9" fontId="10" fillId="3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7" fontId="7" fillId="3" borderId="2" applyAlignment="1" pivotButton="0" quotePrefix="0" xfId="8">
      <alignment horizontal="center" vertical="center"/>
    </xf>
    <xf numFmtId="167" fontId="7" fillId="8" borderId="2" applyAlignment="1" pivotButton="0" quotePrefix="0" xfId="8">
      <alignment horizontal="center" vertical="center"/>
    </xf>
    <xf numFmtId="3" fontId="10" fillId="0" borderId="2" applyAlignment="1" pivotButton="0" quotePrefix="0" xfId="6">
      <alignment horizontal="center" vertical="center" wrapText="1"/>
    </xf>
    <xf numFmtId="3" fontId="10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4" fontId="6" fillId="9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E5D3BA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Event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'Event Quotes'!$B$5:$B$10</f>
            </numRef>
          </cat>
          <val>
            <numRef>
              <f>'Event Quotes'!$J$5:$J$10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🍽  CATERING COMMAND CENTER™</t>
        </is>
      </c>
    </row>
    <row r="2" ht="24" customHeight="1">
      <c r="A2" s="2" t="inlineStr">
        <is>
          <t xml:space="preserve">  Cost every head, quote with confidence &amp; book more profit.</t>
        </is>
      </c>
    </row>
    <row r="3" ht="6" customHeight="1">
      <c r="A3" s="3" t="n"/>
      <c r="B3" s="3" t="n"/>
      <c r="C3" s="3" t="n"/>
    </row>
    <row r="5">
      <c r="B5" s="4" t="inlineStr">
        <is>
          <t>YOUR WHOLE CATERING BUSINESS, IN ONE PLACE</t>
        </is>
      </c>
    </row>
    <row r="6" ht="22" customHeight="1">
      <c r="B6" s="5" t="inlineStr">
        <is>
          <t>Cost each plate by the head, then price menu packages with a healthy margin. Build an event quote that becomes a full event P&amp;L — guests × price per head, plus service, staff and rentals — so you know the profit on every booking before you say yes. Track staffing, rentals, a bookings calendar, inventory, waste, ordering, deposits and a client list — all in ONE premium Google Sheets &amp; Excel system built for caterers.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company name &amp; target food-cost %.</t>
        </is>
      </c>
    </row>
    <row r="13" ht="22" customHeight="1">
      <c r="B13" s="8" t="inlineStr">
        <is>
          <t>2.  Cost a plate by the head; Menu Packages show margin per head.</t>
        </is>
      </c>
    </row>
    <row r="14" ht="22" customHeight="1">
      <c r="B14" s="8" t="inlineStr">
        <is>
          <t>3.  Build an Event Quote — guests × package = a full event P&amp;L.</t>
        </is>
      </c>
    </row>
    <row r="15" ht="22" customHeight="1">
      <c r="B15" s="8" t="inlineStr">
        <is>
          <t>4.  Add staffing &amp; rentals; each event's profit calculates live.</t>
        </is>
      </c>
    </row>
    <row r="16" ht="22" customHeight="1">
      <c r="B16" s="8" t="inlineStr">
        <is>
          <t>5.  Track Bookings, deposits, inventory, waste &amp; ordering.</t>
        </is>
      </c>
    </row>
    <row r="17" ht="22" customHeight="1">
      <c r="B17" s="8" t="inlineStr">
        <is>
          <t>6.  Check the Dashboard: revenue, food cost, margin &amp; a Catering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caterer (Wildflower &amp; Oak) is included so you can see how it all connects — just type over it with your own packages and events. Cost per head and event margin are the two numbers that decide whether a catering job makes money, and they roll into a live Catering Score. Twelve matching printable pages (plate cost card, quote sheet, event order &amp; run sheet, staffing sheet &amp; more) are included. This is a business tool, not financial or legal advice — confirm figures with your own books.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Quote from real cost per head — never guess a per-plate price again.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🍽  CATERING COMMAND CENTER™</t>
        </is>
      </c>
    </row>
    <row r="2" ht="24" customHeight="1">
      <c r="A2" s="2" t="inlineStr">
        <is>
          <t xml:space="preserve">  Revenue, food cost, event margin &amp; a Catering Score — your whole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EVENTS</t>
        </is>
      </c>
      <c r="C5" s="13" t="n"/>
      <c r="D5" s="12" t="inlineStr">
        <is>
          <t>AVG GUESTS</t>
        </is>
      </c>
      <c r="E5" s="13" t="n"/>
      <c r="F5" s="12" t="inlineStr">
        <is>
          <t>REVENUE</t>
        </is>
      </c>
      <c r="G5" s="13" t="n"/>
      <c r="H5" s="12" t="inlineStr">
        <is>
          <t>AVG PER HEAD</t>
        </is>
      </c>
      <c r="I5" s="13" t="n"/>
      <c r="J5" s="12" t="inlineStr">
        <is>
          <t>FOOD COST</t>
        </is>
      </c>
      <c r="K5" s="13" t="n"/>
      <c r="L5" s="12" t="inlineStr">
        <is>
          <t>TOP PACKAGE</t>
        </is>
      </c>
      <c r="M5" s="13" t="n"/>
    </row>
    <row r="6" ht="40" customHeight="1">
      <c r="B6" s="14">
        <f>COUNTA(EventName)</f>
        <v/>
      </c>
      <c r="C6" s="15" t="n"/>
      <c r="D6" s="14">
        <f>IFERROR(AVERAGE(EventGuests),0)</f>
        <v/>
      </c>
      <c r="E6" s="15" t="n"/>
      <c r="F6" s="16">
        <f>TotalRevenue</f>
        <v/>
      </c>
      <c r="G6" s="15" t="n"/>
      <c r="H6" s="17">
        <f>IFERROR(TotalRevenue/SUM(EventGuests),0)</f>
        <v/>
      </c>
      <c r="I6" s="15" t="n"/>
      <c r="J6" s="18">
        <f>FoodCostPct</f>
        <v/>
      </c>
      <c r="K6" s="15" t="n"/>
      <c r="L6" s="19">
        <f>INDEX(EventPkg,MATCH(MAX(EventRev),EventRev,0))</f>
        <v/>
      </c>
      <c r="M6" s="15" t="n"/>
    </row>
    <row r="8" ht="18" customHeight="1">
      <c r="B8" s="12" t="inlineStr">
        <is>
          <t>AVG EVENT</t>
        </is>
      </c>
      <c r="C8" s="13" t="n"/>
      <c r="D8" s="12" t="inlineStr">
        <is>
          <t>AVG MARGIN</t>
        </is>
      </c>
      <c r="E8" s="13" t="n"/>
      <c r="F8" s="12" t="inlineStr">
        <is>
          <t>LABOR</t>
        </is>
      </c>
      <c r="G8" s="13" t="n"/>
      <c r="H8" s="12" t="inlineStr">
        <is>
          <t>PACKAGES</t>
        </is>
      </c>
      <c r="I8" s="13" t="n"/>
      <c r="J8" s="12" t="inlineStr">
        <is>
          <t>WASTE %</t>
        </is>
      </c>
      <c r="K8" s="13" t="n"/>
      <c r="L8" s="12" t="inlineStr">
        <is>
          <t>CATERING SCORE</t>
        </is>
      </c>
      <c r="M8" s="13" t="n"/>
    </row>
    <row r="9" ht="40" customHeight="1">
      <c r="B9" s="16">
        <f>IFERROR(TotalRevenue/COUNTA(EventName),0)</f>
        <v/>
      </c>
      <c r="C9" s="15" t="n"/>
      <c r="D9" s="18">
        <f>AvgEventMargin</f>
        <v/>
      </c>
      <c r="E9" s="15" t="n"/>
      <c r="F9" s="18">
        <f>LaborPct</f>
        <v/>
      </c>
      <c r="G9" s="15" t="n"/>
      <c r="H9" s="14">
        <f>COUNTA(PkgItem)</f>
        <v/>
      </c>
      <c r="I9" s="15" t="n"/>
      <c r="J9" s="18">
        <f>IFERROR(WasteTotal/TotalRevenue,0)</f>
        <v/>
      </c>
      <c r="K9" s="15" t="n"/>
      <c r="L9" s="18">
        <f>IFERROR(AVERAGE(HealthRange),0)</f>
        <v/>
      </c>
      <c r="M9" s="15" t="n"/>
    </row>
    <row r="11" ht="26" customHeight="1">
      <c r="B11" s="4" t="inlineStr">
        <is>
          <t>CATERING HEALTH</t>
        </is>
      </c>
      <c r="H11" s="4" t="inlineStr">
        <is>
          <t>REVENUE BY EVENT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Food cost on target</t>
        </is>
      </c>
      <c r="C13" s="21">
        <f>IFERROR(MIN(TargetFC/FoodCostPct,1),0)</f>
        <v/>
      </c>
      <c r="D13" s="22">
        <f>IF(C13&gt;=0.85,"Strong",IF(C13&gt;=0.6,"OK","Watch"))</f>
        <v/>
      </c>
    </row>
    <row r="14">
      <c r="B14" s="23" t="inlineStr">
        <is>
          <t>Margin per event</t>
        </is>
      </c>
      <c r="C14" s="24">
        <f>IFERROR(MIN(AvgEventMargin/MarginGoal,1),0)</f>
        <v/>
      </c>
      <c r="D14" s="25">
        <f>IF(C14&gt;=0.85,"Strong",IF(C14&gt;=0.6,"OK","Watch"))</f>
        <v/>
      </c>
    </row>
    <row r="15">
      <c r="B15" s="20" t="inlineStr">
        <is>
          <t>Packages fully costed</t>
        </is>
      </c>
      <c r="C15" s="21">
        <f>IFERROR(COUNTIF(PkgCostHead,"&gt;0")/COUNTA(PkgItem),0)</f>
        <v/>
      </c>
      <c r="D15" s="22">
        <f>IF(C15&gt;=0.85,"Strong",IF(C15&gt;=0.6,"OK","Watch"))</f>
        <v/>
      </c>
    </row>
    <row r="16">
      <c r="B16" s="23" t="inlineStr">
        <is>
          <t>Labor under control</t>
        </is>
      </c>
      <c r="C16" s="24">
        <f>IFERROR(1-MIN(LaborPct/LaborLimit,1),0)</f>
        <v/>
      </c>
      <c r="D16" s="25">
        <f>IF(C16&gt;=0.85,"Strong",IF(C16&gt;=0.6,"OK","Watch"))</f>
        <v/>
      </c>
    </row>
    <row r="17">
      <c r="B17" s="20" t="inlineStr">
        <is>
          <t>Bookings vs goal</t>
        </is>
      </c>
      <c r="C17" s="21">
        <f>IFERROR(MIN(COUNTA(EventName)/BookingGoal,1),0)</f>
        <v/>
      </c>
      <c r="D17" s="22">
        <f>IF(C17&gt;=0.85,"Strong",IF(C17&gt;=0.6,"OK","Watch"))</f>
        <v/>
      </c>
    </row>
    <row r="18">
      <c r="B18" s="23" t="inlineStr">
        <is>
          <t>Gross margin</t>
        </is>
      </c>
      <c r="C18" s="24">
        <f>IFERROR(MIN((1-FoodCostPct)/0.7,1),0)</f>
        <v/>
      </c>
      <c r="D18" s="25">
        <f>IF(C18&gt;=0.85,"Strong",IF(C18&gt;=0.6,"OK","Watch"))</f>
        <v/>
      </c>
    </row>
    <row r="21" ht="26" customHeight="1">
      <c r="B21" s="2" t="inlineStr">
        <is>
          <t>Catering Command Center™ — cost every head, quote with confidence, book more profit.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🍴  PLATE COSTING</t>
        </is>
      </c>
    </row>
    <row r="2" ht="22" customHeight="1">
      <c r="A2" s="2" t="inlineStr">
        <is>
          <t xml:space="preserve">  Cost a plate by the head — protein, sides, dessert &amp; overhead. The engine behind your packages.</t>
        </is>
      </c>
    </row>
    <row r="3" ht="6" customHeight="1">
      <c r="A3" s="3" t="n"/>
      <c r="B3" s="3" t="n"/>
      <c r="C3" s="3" t="n"/>
    </row>
    <row r="5">
      <c r="B5" s="4" t="inlineStr">
        <is>
          <t>PACKAGE</t>
        </is>
      </c>
      <c r="C5" s="26" t="inlineStr">
        <is>
          <t>Plated Dinner</t>
        </is>
      </c>
    </row>
    <row r="6" ht="30" customHeight="1">
      <c r="B6" s="9" t="inlineStr">
        <is>
          <t>Component</t>
        </is>
      </c>
      <c r="C6" s="9" t="inlineStr">
        <is>
          <t>Cost / Head</t>
        </is>
      </c>
    </row>
    <row r="7">
      <c r="B7" s="20" t="inlineStr">
        <is>
          <t>Beef tenderloin (6 oz)</t>
        </is>
      </c>
      <c r="C7" s="27" t="n">
        <v>6.5</v>
      </c>
    </row>
    <row r="8">
      <c r="B8" s="23" t="inlineStr">
        <is>
          <t>Starch + seasonal veg</t>
        </is>
      </c>
      <c r="C8" s="28" t="n">
        <v>2.2</v>
      </c>
    </row>
    <row r="9">
      <c r="B9" s="20" t="inlineStr">
        <is>
          <t>Salad + artisan bread</t>
        </is>
      </c>
      <c r="C9" s="27" t="n">
        <v>1.4</v>
      </c>
    </row>
    <row r="10">
      <c r="B10" s="23" t="inlineStr">
        <is>
          <t>Plated dessert</t>
        </is>
      </c>
      <c r="C10" s="28" t="n">
        <v>1.8</v>
      </c>
    </row>
    <row r="11">
      <c r="B11" s="20" t="inlineStr">
        <is>
          <t>Disposables / rentals</t>
        </is>
      </c>
      <c r="C11" s="27" t="n">
        <v>1.2</v>
      </c>
    </row>
    <row r="12">
      <c r="B12" s="23" t="inlineStr">
        <is>
          <t>Kitchen labor allocation</t>
        </is>
      </c>
      <c r="C12" s="28" t="n">
        <v>0.9</v>
      </c>
    </row>
    <row r="13">
      <c r="B13" s="9" t="inlineStr">
        <is>
          <t>COST PER HEAD</t>
        </is>
      </c>
      <c r="C13" s="29">
        <f>SUM(C7:C12)</f>
        <v/>
      </c>
    </row>
    <row r="15">
      <c r="B15" s="7" t="inlineStr">
        <is>
          <t>Copy this build for every package — swap the protein, sides &amp; dessert.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📋  MENU PACKAGES</t>
        </is>
      </c>
    </row>
    <row r="2" ht="22" customHeight="1">
      <c r="A2" s="2" t="inlineStr">
        <is>
          <t xml:space="preserve">  Cost per head, price per head, margin &amp; food-cost % on every package — price for profit.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Package</t>
        </is>
      </c>
      <c r="C4" s="9" t="inlineStr">
        <is>
          <t>Cost/Head</t>
        </is>
      </c>
      <c r="D4" s="9" t="inlineStr">
        <is>
          <t>Price/Head</t>
        </is>
      </c>
      <c r="E4" s="9" t="inlineStr">
        <is>
          <t>Margin/Head</t>
        </is>
      </c>
      <c r="F4" s="9" t="inlineStr">
        <is>
          <t>Food %</t>
        </is>
      </c>
    </row>
    <row r="5">
      <c r="B5" s="20" t="inlineStr">
        <is>
          <t>Plated Dinner</t>
        </is>
      </c>
      <c r="C5" s="27">
        <f>PlatedCostHead</f>
        <v/>
      </c>
      <c r="D5" s="27" t="n">
        <v>48</v>
      </c>
      <c r="E5" s="30">
        <f>D5-C5</f>
        <v/>
      </c>
      <c r="F5" s="21">
        <f>IFERROR(C5/D5,0)</f>
        <v/>
      </c>
    </row>
    <row r="6">
      <c r="B6" s="23" t="inlineStr">
        <is>
          <t>Buffet Classic</t>
        </is>
      </c>
      <c r="C6" s="28" t="n">
        <v>9.5</v>
      </c>
      <c r="D6" s="28" t="n">
        <v>32</v>
      </c>
      <c r="E6" s="31">
        <f>D6-C6</f>
        <v/>
      </c>
      <c r="F6" s="24">
        <f>IFERROR(C6/D6,0)</f>
        <v/>
      </c>
    </row>
    <row r="7">
      <c r="B7" s="20" t="inlineStr">
        <is>
          <t>Cocktail Reception</t>
        </is>
      </c>
      <c r="C7" s="27" t="n">
        <v>8</v>
      </c>
      <c r="D7" s="27" t="n">
        <v>28</v>
      </c>
      <c r="E7" s="30">
        <f>D7-C7</f>
        <v/>
      </c>
      <c r="F7" s="21">
        <f>IFERROR(C7/D7,0)</f>
        <v/>
      </c>
    </row>
    <row r="8">
      <c r="B8" s="23" t="inlineStr">
        <is>
          <t>Boxed Lunch</t>
        </is>
      </c>
      <c r="C8" s="28" t="n">
        <v>6.5</v>
      </c>
      <c r="D8" s="28" t="n">
        <v>18</v>
      </c>
      <c r="E8" s="31">
        <f>D8-C8</f>
        <v/>
      </c>
      <c r="F8" s="24">
        <f>IFERROR(C8/D8,0)</f>
        <v/>
      </c>
    </row>
    <row r="9">
      <c r="B9" s="20" t="inlineStr">
        <is>
          <t>Wedding Premium</t>
        </is>
      </c>
      <c r="C9" s="27" t="n">
        <v>22</v>
      </c>
      <c r="D9" s="27" t="n">
        <v>75</v>
      </c>
      <c r="E9" s="30">
        <f>D9-C9</f>
        <v/>
      </c>
      <c r="F9" s="21">
        <f>IFERROR(C9/D9,0)</f>
        <v/>
      </c>
    </row>
    <row r="10">
      <c r="B10" s="23" t="inlineStr">
        <is>
          <t>Breakfast Spread</t>
        </is>
      </c>
      <c r="C10" s="28" t="n">
        <v>5.5</v>
      </c>
      <c r="D10" s="28" t="n">
        <v>16</v>
      </c>
      <c r="E10" s="31">
        <f>D10-C10</f>
        <v/>
      </c>
      <c r="F10" s="24">
        <f>IFERROR(C10/D10,0)</f>
        <v/>
      </c>
    </row>
    <row r="11">
      <c r="B11" s="20" t="inlineStr">
        <is>
          <t>BBQ Buffet</t>
        </is>
      </c>
      <c r="C11" s="27" t="n">
        <v>11</v>
      </c>
      <c r="D11" s="27" t="n">
        <v>34</v>
      </c>
      <c r="E11" s="30">
        <f>D11-C11</f>
        <v/>
      </c>
      <c r="F11" s="21">
        <f>IFERROR(C11/D11,0)</f>
        <v/>
      </c>
    </row>
    <row r="12">
      <c r="B12" s="23" t="inlineStr">
        <is>
          <t>Grazing Table</t>
        </is>
      </c>
      <c r="C12" s="28" t="n">
        <v>7.5</v>
      </c>
      <c r="D12" s="28" t="n">
        <v>26</v>
      </c>
      <c r="E12" s="31">
        <f>D12-C12</f>
        <v/>
      </c>
      <c r="F12" s="24">
        <f>IFERROR(C12/D12,0)</f>
        <v/>
      </c>
    </row>
  </sheetData>
  <mergeCells count="2">
    <mergeCell ref="A2:F2"/>
    <mergeCell ref="A1:F1"/>
  </mergeCells>
  <conditionalFormatting sqref="F5:F12">
    <cfRule type="colorScale" priority="1">
      <colorScale>
        <cfvo type="num" val="0.15"/>
        <cfvo type="num" val="0.3"/>
        <cfvo type="num" val="0.45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3" customWidth="1" min="10" max="10"/>
    <col width="13" customWidth="1" min="11" max="11"/>
    <col width="11" customWidth="1" min="12" max="12"/>
    <col width="2" customWidth="1" min="13" max="13"/>
  </cols>
  <sheetData>
    <row r="1" ht="46" customHeight="1">
      <c r="A1" s="1" t="inlineStr">
        <is>
          <t xml:space="preserve">  🧾  EVENT QUOTES &amp; P&amp;L</t>
        </is>
      </c>
    </row>
    <row r="2" ht="22" customHeight="1">
      <c r="A2" s="2" t="inlineStr">
        <is>
          <t xml:space="preserve">  Guests × package price, plus service, staff &amp; rentals — a full profit picture on every event.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B4" s="9" t="inlineStr">
        <is>
          <t>Event</t>
        </is>
      </c>
      <c r="C4" s="9" t="inlineStr">
        <is>
          <t>Package</t>
        </is>
      </c>
      <c r="D4" s="9" t="inlineStr">
        <is>
          <t>Guests</t>
        </is>
      </c>
      <c r="E4" s="9" t="inlineStr">
        <is>
          <t>Price/Hd</t>
        </is>
      </c>
      <c r="F4" s="9" t="inlineStr">
        <is>
          <t>Cost/Hd</t>
        </is>
      </c>
      <c r="G4" s="9" t="inlineStr">
        <is>
          <t>Service</t>
        </is>
      </c>
      <c r="H4" s="9" t="inlineStr">
        <is>
          <t>Staff</t>
        </is>
      </c>
      <c r="I4" s="9" t="inlineStr">
        <is>
          <t>Rentals</t>
        </is>
      </c>
      <c r="J4" s="9" t="inlineStr">
        <is>
          <t>Revenue</t>
        </is>
      </c>
      <c r="K4" s="9" t="inlineStr">
        <is>
          <t>Food Cost</t>
        </is>
      </c>
      <c r="L4" s="9" t="inlineStr">
        <is>
          <t>Margin $</t>
        </is>
      </c>
      <c r="M4" s="9" t="inlineStr">
        <is>
          <t>Margin %</t>
        </is>
      </c>
    </row>
    <row r="5">
      <c r="B5" s="20" t="inlineStr">
        <is>
          <t>Corporate Gala</t>
        </is>
      </c>
      <c r="C5" s="20" t="inlineStr">
        <is>
          <t>Plated Dinner</t>
        </is>
      </c>
      <c r="D5" s="32" t="n">
        <v>120</v>
      </c>
      <c r="E5" s="33">
        <f>IFERROR(INDEX(PkgPriceHead,MATCH(C5,PkgItem,0)),0)</f>
        <v/>
      </c>
      <c r="F5" s="33">
        <f>IFERROR(INDEX(PkgCostHead,MATCH(C5,PkgItem,0)),0)</f>
        <v/>
      </c>
      <c r="G5" s="34" t="n">
        <v>600</v>
      </c>
      <c r="H5" s="34" t="n">
        <v>1400</v>
      </c>
      <c r="I5" s="34" t="n">
        <v>900</v>
      </c>
      <c r="J5" s="35">
        <f>D5*E5+G5</f>
        <v/>
      </c>
      <c r="K5" s="36">
        <f>D5*F5</f>
        <v/>
      </c>
      <c r="L5" s="36">
        <f>J5-K5-H5-I5</f>
        <v/>
      </c>
      <c r="M5" s="37">
        <f>IFERROR(L5/J5,0)</f>
        <v/>
      </c>
    </row>
    <row r="6">
      <c r="B6" s="23" t="inlineStr">
        <is>
          <t>Garden Wedding</t>
        </is>
      </c>
      <c r="C6" s="23" t="inlineStr">
        <is>
          <t>Wedding Premium</t>
        </is>
      </c>
      <c r="D6" s="38" t="n">
        <v>90</v>
      </c>
      <c r="E6" s="39">
        <f>IFERROR(INDEX(PkgPriceHead,MATCH(C6,PkgItem,0)),0)</f>
        <v/>
      </c>
      <c r="F6" s="39">
        <f>IFERROR(INDEX(PkgCostHead,MATCH(C6,PkgItem,0)),0)</f>
        <v/>
      </c>
      <c r="G6" s="40" t="n">
        <v>800</v>
      </c>
      <c r="H6" s="40" t="n">
        <v>1800</v>
      </c>
      <c r="I6" s="40" t="n">
        <v>1600</v>
      </c>
      <c r="J6" s="41">
        <f>D6*E6+G6</f>
        <v/>
      </c>
      <c r="K6" s="42">
        <f>D6*F6</f>
        <v/>
      </c>
      <c r="L6" s="42">
        <f>J6-K6-H6-I6</f>
        <v/>
      </c>
      <c r="M6" s="43">
        <f>IFERROR(L6/J6,0)</f>
        <v/>
      </c>
    </row>
    <row r="7">
      <c r="B7" s="20" t="inlineStr">
        <is>
          <t>Birthday Buffet</t>
        </is>
      </c>
      <c r="C7" s="20" t="inlineStr">
        <is>
          <t>Buffet Classic</t>
        </is>
      </c>
      <c r="D7" s="32" t="n">
        <v>60</v>
      </c>
      <c r="E7" s="33">
        <f>IFERROR(INDEX(PkgPriceHead,MATCH(C7,PkgItem,0)),0)</f>
        <v/>
      </c>
      <c r="F7" s="33">
        <f>IFERROR(INDEX(PkgCostHead,MATCH(C7,PkgItem,0)),0)</f>
        <v/>
      </c>
      <c r="G7" s="34" t="n">
        <v>250</v>
      </c>
      <c r="H7" s="34" t="n">
        <v>600</v>
      </c>
      <c r="I7" s="34" t="n">
        <v>300</v>
      </c>
      <c r="J7" s="35">
        <f>D7*E7+G7</f>
        <v/>
      </c>
      <c r="K7" s="36">
        <f>D7*F7</f>
        <v/>
      </c>
      <c r="L7" s="36">
        <f>J7-K7-H7-I7</f>
        <v/>
      </c>
      <c r="M7" s="37">
        <f>IFERROR(L7/J7,0)</f>
        <v/>
      </c>
    </row>
    <row r="8">
      <c r="B8" s="23" t="inlineStr">
        <is>
          <t>Office Lunch</t>
        </is>
      </c>
      <c r="C8" s="23" t="inlineStr">
        <is>
          <t>Boxed Lunch</t>
        </is>
      </c>
      <c r="D8" s="38" t="n">
        <v>40</v>
      </c>
      <c r="E8" s="39">
        <f>IFERROR(INDEX(PkgPriceHead,MATCH(C8,PkgItem,0)),0)</f>
        <v/>
      </c>
      <c r="F8" s="39">
        <f>IFERROR(INDEX(PkgCostHead,MATCH(C8,PkgItem,0)),0)</f>
        <v/>
      </c>
      <c r="G8" s="40" t="n">
        <v>120</v>
      </c>
      <c r="H8" s="40" t="n">
        <v>200</v>
      </c>
      <c r="I8" s="40" t="n">
        <v>0</v>
      </c>
      <c r="J8" s="41">
        <f>D8*E8+G8</f>
        <v/>
      </c>
      <c r="K8" s="42">
        <f>D8*F8</f>
        <v/>
      </c>
      <c r="L8" s="42">
        <f>J8-K8-H8-I8</f>
        <v/>
      </c>
      <c r="M8" s="43">
        <f>IFERROR(L8/J8,0)</f>
        <v/>
      </c>
    </row>
    <row r="9">
      <c r="B9" s="20" t="inlineStr">
        <is>
          <t>Cocktail Mixer</t>
        </is>
      </c>
      <c r="C9" s="20" t="inlineStr">
        <is>
          <t>Cocktail Reception</t>
        </is>
      </c>
      <c r="D9" s="32" t="n">
        <v>80</v>
      </c>
      <c r="E9" s="33">
        <f>IFERROR(INDEX(PkgPriceHead,MATCH(C9,PkgItem,0)),0)</f>
        <v/>
      </c>
      <c r="F9" s="33">
        <f>IFERROR(INDEX(PkgCostHead,MATCH(C9,PkgItem,0)),0)</f>
        <v/>
      </c>
      <c r="G9" s="34" t="n">
        <v>400</v>
      </c>
      <c r="H9" s="34" t="n">
        <v>900</v>
      </c>
      <c r="I9" s="34" t="n">
        <v>500</v>
      </c>
      <c r="J9" s="35">
        <f>D9*E9+G9</f>
        <v/>
      </c>
      <c r="K9" s="36">
        <f>D9*F9</f>
        <v/>
      </c>
      <c r="L9" s="36">
        <f>J9-K9-H9-I9</f>
        <v/>
      </c>
      <c r="M9" s="37">
        <f>IFERROR(L9/J9,0)</f>
        <v/>
      </c>
    </row>
    <row r="10">
      <c r="B10" s="23" t="inlineStr">
        <is>
          <t>Backyard BBQ</t>
        </is>
      </c>
      <c r="C10" s="23" t="inlineStr">
        <is>
          <t>BBQ Buffet</t>
        </is>
      </c>
      <c r="D10" s="38" t="n">
        <v>50</v>
      </c>
      <c r="E10" s="39">
        <f>IFERROR(INDEX(PkgPriceHead,MATCH(C10,PkgItem,0)),0)</f>
        <v/>
      </c>
      <c r="F10" s="39">
        <f>IFERROR(INDEX(PkgCostHead,MATCH(C10,PkgItem,0)),0)</f>
        <v/>
      </c>
      <c r="G10" s="40" t="n">
        <v>300</v>
      </c>
      <c r="H10" s="40" t="n">
        <v>500</v>
      </c>
      <c r="I10" s="40" t="n">
        <v>400</v>
      </c>
      <c r="J10" s="41">
        <f>D10*E10+G10</f>
        <v/>
      </c>
      <c r="K10" s="42">
        <f>D10*F10</f>
        <v/>
      </c>
      <c r="L10" s="42">
        <f>J10-K10-H10-I10</f>
        <v/>
      </c>
      <c r="M10" s="43">
        <f>IFERROR(L10/J10,0)</f>
        <v/>
      </c>
    </row>
    <row r="11">
      <c r="B11" s="9" t="inlineStr">
        <is>
          <t>TOTALS</t>
        </is>
      </c>
      <c r="C11" s="44" t="n"/>
      <c r="D11" s="44" t="n"/>
      <c r="E11" s="44" t="n"/>
      <c r="F11" s="44" t="n"/>
      <c r="G11" s="44" t="n"/>
      <c r="H11" s="44" t="n"/>
      <c r="J11" s="45">
        <f>SUM(EventRev)</f>
        <v/>
      </c>
      <c r="K11" s="45">
        <f>SUM(EventFood)</f>
        <v/>
      </c>
      <c r="L11" s="45">
        <f>J11-K11-SUM(EventStaff)-SUM(I5:I10)</f>
        <v/>
      </c>
      <c r="M11" s="46">
        <f>IFERROR(L11/J11,0)</f>
        <v/>
      </c>
    </row>
    <row r="13">
      <c r="B13" s="47" t="inlineStr">
        <is>
          <t>Food cost % of revenue</t>
        </is>
      </c>
      <c r="F13" s="48">
        <f>IFERROR(TotalFood/TotalRevenue,0)</f>
        <v/>
      </c>
    </row>
    <row r="14">
      <c r="B14" s="47" t="inlineStr">
        <is>
          <t>Avg event margin %</t>
        </is>
      </c>
      <c r="F14" s="48">
        <f>IFERROR(AVERAGE(EventMarginPct),0)</f>
        <v/>
      </c>
    </row>
    <row r="15">
      <c r="B15" s="47" t="inlineStr">
        <is>
          <t>Labor % of revenue</t>
        </is>
      </c>
      <c r="F15" s="48">
        <f>IFERROR(SUM(EventStaff)/TotalRevenue,0)</f>
        <v/>
      </c>
    </row>
  </sheetData>
  <mergeCells count="2">
    <mergeCell ref="A2:L2"/>
    <mergeCell ref="A1:L1"/>
  </mergeCells>
  <dataValidations count="6">
    <dataValidation sqref="C5" showDropDown="0" showInputMessage="0" showErrorMessage="0" allowBlank="1" type="list">
      <formula1>=PackageList</formula1>
    </dataValidation>
    <dataValidation sqref="C6" showDropDown="0" showInputMessage="0" showErrorMessage="0" allowBlank="1" type="list">
      <formula1>=PackageList</formula1>
    </dataValidation>
    <dataValidation sqref="C7" showDropDown="0" showInputMessage="0" showErrorMessage="0" allowBlank="1" type="list">
      <formula1>=PackageList</formula1>
    </dataValidation>
    <dataValidation sqref="C8" showDropDown="0" showInputMessage="0" showErrorMessage="0" allowBlank="1" type="list">
      <formula1>=PackageList</formula1>
    </dataValidation>
    <dataValidation sqref="C9" showDropDown="0" showInputMessage="0" showErrorMessage="0" allowBlank="1" type="list">
      <formula1>=PackageList</formula1>
    </dataValidation>
    <dataValidation sqref="C10" showDropDown="0" showInputMessage="0" showErrorMessage="0" allowBlank="1" type="list">
      <formula1>=PackageList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👥  STAFFING &amp; LABOR</t>
        </is>
      </c>
    </row>
    <row r="2" ht="22" customHeight="1">
      <c r="A2" s="2" t="inlineStr">
        <is>
          <t xml:space="preserve">  Your crew rate card — role, hourly rate &amp; typical hours, so event staff costs are never a guess.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Role</t>
        </is>
      </c>
      <c r="C4" s="9" t="inlineStr">
        <is>
          <t>Rate / hr</t>
        </is>
      </c>
      <c r="D4" s="9" t="inlineStr">
        <is>
          <t>Hrs / event</t>
        </is>
      </c>
      <c r="E4" s="9" t="inlineStr">
        <is>
          <t>Cost / event</t>
        </is>
      </c>
    </row>
    <row r="5">
      <c r="B5" s="20" t="inlineStr">
        <is>
          <t>Event Lead</t>
        </is>
      </c>
      <c r="C5" s="34" t="n">
        <v>28</v>
      </c>
      <c r="D5" s="32" t="n">
        <v>8</v>
      </c>
      <c r="E5" s="35">
        <f>C5*D5</f>
        <v/>
      </c>
    </row>
    <row r="6">
      <c r="B6" s="23" t="inlineStr">
        <is>
          <t>Chef</t>
        </is>
      </c>
      <c r="C6" s="40" t="n">
        <v>32</v>
      </c>
      <c r="D6" s="38" t="n">
        <v>8</v>
      </c>
      <c r="E6" s="41">
        <f>C6*D6</f>
        <v/>
      </c>
    </row>
    <row r="7">
      <c r="B7" s="20" t="inlineStr">
        <is>
          <t>Prep Cook</t>
        </is>
      </c>
      <c r="C7" s="34" t="n">
        <v>19</v>
      </c>
      <c r="D7" s="32" t="n">
        <v>6</v>
      </c>
      <c r="E7" s="35">
        <f>C7*D7</f>
        <v/>
      </c>
    </row>
    <row r="8">
      <c r="B8" s="23" t="inlineStr">
        <is>
          <t>Server</t>
        </is>
      </c>
      <c r="C8" s="40" t="n">
        <v>18</v>
      </c>
      <c r="D8" s="38" t="n">
        <v>6</v>
      </c>
      <c r="E8" s="41">
        <f>C8*D8</f>
        <v/>
      </c>
    </row>
    <row r="9">
      <c r="B9" s="20" t="inlineStr">
        <is>
          <t>Bartender</t>
        </is>
      </c>
      <c r="C9" s="34" t="n">
        <v>22</v>
      </c>
      <c r="D9" s="32" t="n">
        <v>6</v>
      </c>
      <c r="E9" s="35">
        <f>C9*D9</f>
        <v/>
      </c>
    </row>
    <row r="10">
      <c r="B10" s="23" t="inlineStr">
        <is>
          <t>Dishwasher</t>
        </is>
      </c>
      <c r="C10" s="40" t="n">
        <v>16</v>
      </c>
      <c r="D10" s="38" t="n">
        <v>5</v>
      </c>
      <c r="E10" s="41">
        <f>C10*D10</f>
        <v/>
      </c>
    </row>
    <row r="11">
      <c r="B11" s="20" t="inlineStr">
        <is>
          <t>Driver / Setup</t>
        </is>
      </c>
      <c r="C11" s="34" t="n">
        <v>18</v>
      </c>
      <c r="D11" s="32" t="n">
        <v>4</v>
      </c>
      <c r="E11" s="35">
        <f>C11*D11</f>
        <v/>
      </c>
    </row>
    <row r="12">
      <c r="B12" s="9" t="inlineStr">
        <is>
          <t>FULL CREW / EVENT</t>
        </is>
      </c>
      <c r="C12" s="44" t="n"/>
      <c r="D12" s="44" t="n"/>
      <c r="E12" s="45">
        <f>SUM(E5:E11)</f>
        <v/>
      </c>
    </row>
    <row r="14">
      <c r="B14" s="7" t="inlineStr">
        <is>
          <t>Pull the roles you need into each Event Quote's Staff column.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🪑  RENTALS &amp; EQUIPMENT</t>
        </is>
      </c>
    </row>
    <row r="2" ht="22" customHeight="1">
      <c r="A2" s="2" t="inlineStr">
        <is>
          <t xml:space="preserve">  Tables, chairs, linens &amp; serviceware — quantity, unit cost &amp; line total per event.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Qty</t>
        </is>
      </c>
      <c r="D4" s="9" t="inlineStr">
        <is>
          <t>Unit Cost</t>
        </is>
      </c>
      <c r="E4" s="9" t="inlineStr">
        <is>
          <t>Total</t>
        </is>
      </c>
    </row>
    <row r="5">
      <c r="B5" s="20" t="inlineStr">
        <is>
          <t>Round tables (60")</t>
        </is>
      </c>
      <c r="C5" s="32" t="n">
        <v>10</v>
      </c>
      <c r="D5" s="27" t="n">
        <v>12</v>
      </c>
      <c r="E5" s="35">
        <f>C5*D5</f>
        <v/>
      </c>
    </row>
    <row r="6">
      <c r="B6" s="23" t="inlineStr">
        <is>
          <t>Chiavari chairs</t>
        </is>
      </c>
      <c r="C6" s="38" t="n">
        <v>100</v>
      </c>
      <c r="D6" s="28" t="n">
        <v>3.5</v>
      </c>
      <c r="E6" s="41">
        <f>C6*D6</f>
        <v/>
      </c>
    </row>
    <row r="7">
      <c r="B7" s="20" t="inlineStr">
        <is>
          <t>Linens</t>
        </is>
      </c>
      <c r="C7" s="32" t="n">
        <v>40</v>
      </c>
      <c r="D7" s="27" t="n">
        <v>6</v>
      </c>
      <c r="E7" s="35">
        <f>C7*D7</f>
        <v/>
      </c>
    </row>
    <row r="8">
      <c r="B8" s="23" t="inlineStr">
        <is>
          <t>Chafing dishes</t>
        </is>
      </c>
      <c r="C8" s="38" t="n">
        <v>12</v>
      </c>
      <c r="D8" s="28" t="n">
        <v>9</v>
      </c>
      <c r="E8" s="41">
        <f>C8*D8</f>
        <v/>
      </c>
    </row>
    <row r="9">
      <c r="B9" s="20" t="inlineStr">
        <is>
          <t>Glassware sets</t>
        </is>
      </c>
      <c r="C9" s="32" t="n">
        <v>8</v>
      </c>
      <c r="D9" s="27" t="n">
        <v>14</v>
      </c>
      <c r="E9" s="35">
        <f>C9*D9</f>
        <v/>
      </c>
    </row>
    <row r="10">
      <c r="B10" s="23" t="inlineStr">
        <is>
          <t>Serving platters</t>
        </is>
      </c>
      <c r="C10" s="38" t="n">
        <v>20</v>
      </c>
      <c r="D10" s="28" t="n">
        <v>4.5</v>
      </c>
      <c r="E10" s="41">
        <f>C10*D10</f>
        <v/>
      </c>
    </row>
    <row r="11">
      <c r="B11" s="9" t="inlineStr">
        <is>
          <t>RENTALS TOTAL</t>
        </is>
      </c>
      <c r="C11" s="44" t="n"/>
      <c r="D11" s="44" t="n"/>
      <c r="E11" s="45">
        <f>SUM(E5:E10)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📅  BOOKINGS</t>
        </is>
      </c>
    </row>
    <row r="2" ht="22" customHeight="1">
      <c r="A2" s="2" t="inlineStr">
        <is>
          <t xml:space="preserve">  Your event calendar — date, guest count, deposit &amp; status, so nothing slips.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Event</t>
        </is>
      </c>
      <c r="C4" s="9" t="inlineStr">
        <is>
          <t>Date</t>
        </is>
      </c>
      <c r="D4" s="9" t="inlineStr">
        <is>
          <t>Guests</t>
        </is>
      </c>
      <c r="E4" s="9" t="inlineStr">
        <is>
          <t>Deposit</t>
        </is>
      </c>
      <c r="F4" s="9" t="inlineStr">
        <is>
          <t>Status</t>
        </is>
      </c>
    </row>
    <row r="5">
      <c r="B5" s="20" t="inlineStr">
        <is>
          <t>Corporate Gala</t>
        </is>
      </c>
      <c r="C5" s="49" t="n">
        <v>46237</v>
      </c>
      <c r="D5" s="32" t="n">
        <v>120</v>
      </c>
      <c r="E5" s="34" t="n">
        <v>1500</v>
      </c>
      <c r="F5" s="22" t="inlineStr">
        <is>
          <t>Confirmed</t>
        </is>
      </c>
    </row>
    <row r="6">
      <c r="B6" s="23" t="inlineStr">
        <is>
          <t>Garden Wedding</t>
        </is>
      </c>
      <c r="C6" s="50" t="n">
        <v>46251</v>
      </c>
      <c r="D6" s="38" t="n">
        <v>90</v>
      </c>
      <c r="E6" s="40" t="n">
        <v>2000</v>
      </c>
      <c r="F6" s="25" t="inlineStr">
        <is>
          <t>Confirmed</t>
        </is>
      </c>
    </row>
    <row r="7">
      <c r="B7" s="20" t="inlineStr">
        <is>
          <t>Birthday Buffet</t>
        </is>
      </c>
      <c r="C7" s="49" t="n">
        <v>46231</v>
      </c>
      <c r="D7" s="32" t="n">
        <v>60</v>
      </c>
      <c r="E7" s="34" t="n">
        <v>500</v>
      </c>
      <c r="F7" s="22" t="inlineStr">
        <is>
          <t>Confirmed</t>
        </is>
      </c>
    </row>
    <row r="8">
      <c r="B8" s="23" t="inlineStr">
        <is>
          <t>Office Lunch (weekly)</t>
        </is>
      </c>
      <c r="C8" s="50" t="n">
        <v>46228</v>
      </c>
      <c r="D8" s="38" t="n">
        <v>40</v>
      </c>
      <c r="E8" s="40" t="n">
        <v>0</v>
      </c>
      <c r="F8" s="25" t="inlineStr">
        <is>
          <t>Recurring</t>
        </is>
      </c>
    </row>
    <row r="9">
      <c r="B9" s="20" t="inlineStr">
        <is>
          <t>Cocktail Mixer</t>
        </is>
      </c>
      <c r="C9" s="49" t="n">
        <v>46243</v>
      </c>
      <c r="D9" s="32" t="n">
        <v>80</v>
      </c>
      <c r="E9" s="34" t="n">
        <v>800</v>
      </c>
      <c r="F9" s="22" t="inlineStr">
        <is>
          <t>Deposit</t>
        </is>
      </c>
    </row>
    <row r="10">
      <c r="B10" s="23" t="inlineStr">
        <is>
          <t>Backyard BBQ</t>
        </is>
      </c>
      <c r="C10" s="50" t="n">
        <v>46234</v>
      </c>
      <c r="D10" s="38" t="n">
        <v>50</v>
      </c>
      <c r="E10" s="40" t="n">
        <v>400</v>
      </c>
      <c r="F10" s="25" t="inlineStr">
        <is>
          <t>Confirmed</t>
        </is>
      </c>
    </row>
  </sheetData>
  <mergeCells count="2">
    <mergeCell ref="A2:F2"/>
    <mergeCell ref="A1:F1"/>
  </mergeCells>
  <conditionalFormatting sqref="F5:F10">
    <cfRule type="cellIs" priority="1" operator="equal" dxfId="0">
      <formula>"Confirmed"</formula>
    </cfRule>
    <cfRule type="cellIs" priority="2" operator="equal" dxfId="1">
      <formula>"Deposit"</formula>
    </cfRule>
    <cfRule type="cellIs" priority="3" operator="equal" dxfId="2">
      <formula>"Recurring"</formula>
    </cfRule>
    <cfRule type="cellIs" priority="4" operator="equal" dxfId="3">
      <formula>"Inquiry"</formula>
    </cfRule>
  </conditionalFormatting>
  <dataValidations count="6">
    <dataValidation sqref="F5" showDropDown="0" showInputMessage="0" showErrorMessage="0" allowBlank="1" type="list">
      <formula1>=StatusList</formula1>
    </dataValidation>
    <dataValidation sqref="F6" showDropDown="0" showInputMessage="0" showErrorMessage="0" allowBlank="1" type="list">
      <formula1>=StatusList</formula1>
    </dataValidation>
    <dataValidation sqref="F7" showDropDown="0" showInputMessage="0" showErrorMessage="0" allowBlank="1" type="list">
      <formula1>=StatusList</formula1>
    </dataValidation>
    <dataValidation sqref="F8" showDropDown="0" showInputMessage="0" showErrorMessage="0" allowBlank="1" type="list">
      <formula1>=StatusList</formula1>
    </dataValidation>
    <dataValidation sqref="F9" showDropDown="0" showInputMessage="0" showErrorMessage="0" allowBlank="1" type="list">
      <formula1>=StatusList</formula1>
    </dataValidation>
    <dataValidation sqref="F10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INVENTORY &amp; PAR</t>
        </is>
      </c>
    </row>
    <row r="2" ht="22" customHeight="1">
      <c r="A2" s="2" t="inlineStr">
        <is>
          <t xml:space="preserve">  Par vs on hand — order before the event, not the morning of.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Par</t>
        </is>
      </c>
      <c r="D4" s="9" t="inlineStr">
        <is>
          <t>On Hand</t>
        </is>
      </c>
      <c r="E4" s="9" t="inlineStr">
        <is>
          <t>Unit</t>
        </is>
      </c>
      <c r="F4" s="9" t="inlineStr">
        <is>
          <t>To Order</t>
        </is>
      </c>
    </row>
    <row r="5">
      <c r="B5" s="20" t="inlineStr">
        <is>
          <t>Beef tenderloin</t>
        </is>
      </c>
      <c r="C5" s="32" t="n">
        <v>40</v>
      </c>
      <c r="D5" s="32" t="n">
        <v>18</v>
      </c>
      <c r="E5" s="22" t="inlineStr">
        <is>
          <t>lb</t>
        </is>
      </c>
      <c r="F5" s="51">
        <f>MAX(C5-D5,0)</f>
        <v/>
      </c>
    </row>
    <row r="6">
      <c r="B6" s="23" t="inlineStr">
        <is>
          <t>Chicken breast</t>
        </is>
      </c>
      <c r="C6" s="38" t="n">
        <v>60</v>
      </c>
      <c r="D6" s="38" t="n">
        <v>25</v>
      </c>
      <c r="E6" s="25" t="inlineStr">
        <is>
          <t>lb</t>
        </is>
      </c>
      <c r="F6" s="52">
        <f>MAX(C6-D6,0)</f>
        <v/>
      </c>
    </row>
    <row r="7">
      <c r="B7" s="20" t="inlineStr">
        <is>
          <t>Seasonal produce</t>
        </is>
      </c>
      <c r="C7" s="32" t="n">
        <v>30</v>
      </c>
      <c r="D7" s="32" t="n">
        <v>12</v>
      </c>
      <c r="E7" s="22" t="inlineStr">
        <is>
          <t>box</t>
        </is>
      </c>
      <c r="F7" s="51">
        <f>MAX(C7-D7,0)</f>
        <v/>
      </c>
    </row>
    <row r="8">
      <c r="B8" s="23" t="inlineStr">
        <is>
          <t>Artisan bread</t>
        </is>
      </c>
      <c r="C8" s="38" t="n">
        <v>24</v>
      </c>
      <c r="D8" s="38" t="n">
        <v>10</v>
      </c>
      <c r="E8" s="25" t="inlineStr">
        <is>
          <t>dozen</t>
        </is>
      </c>
      <c r="F8" s="52">
        <f>MAX(C8-D8,0)</f>
        <v/>
      </c>
    </row>
    <row r="9">
      <c r="B9" s="20" t="inlineStr">
        <is>
          <t>Dairy &amp; eggs</t>
        </is>
      </c>
      <c r="C9" s="32" t="n">
        <v>20</v>
      </c>
      <c r="D9" s="32" t="n">
        <v>8</v>
      </c>
      <c r="E9" s="22" t="inlineStr">
        <is>
          <t>case</t>
        </is>
      </c>
      <c r="F9" s="51">
        <f>MAX(C9-D9,0)</f>
        <v/>
      </c>
    </row>
    <row r="10">
      <c r="B10" s="23" t="inlineStr">
        <is>
          <t>Dessert base</t>
        </is>
      </c>
      <c r="C10" s="38" t="n">
        <v>15</v>
      </c>
      <c r="D10" s="38" t="n">
        <v>6</v>
      </c>
      <c r="E10" s="25" t="inlineStr">
        <is>
          <t>tray</t>
        </is>
      </c>
      <c r="F10" s="52">
        <f>MAX(C10-D10,0)</f>
        <v/>
      </c>
    </row>
    <row r="11">
      <c r="B11" s="20" t="inlineStr">
        <is>
          <t>Disposables</t>
        </is>
      </c>
      <c r="C11" s="32" t="n">
        <v>30</v>
      </c>
      <c r="D11" s="32" t="n">
        <v>12</v>
      </c>
      <c r="E11" s="22" t="inlineStr">
        <is>
          <t>case</t>
        </is>
      </c>
      <c r="F11" s="51">
        <f>MAX(C11-D11,0)</f>
        <v/>
      </c>
    </row>
    <row r="12">
      <c r="B12" s="23" t="inlineStr">
        <is>
          <t>Beverages</t>
        </is>
      </c>
      <c r="C12" s="38" t="n">
        <v>25</v>
      </c>
      <c r="D12" s="38" t="n">
        <v>10</v>
      </c>
      <c r="E12" s="25" t="inlineStr">
        <is>
          <t>case</t>
        </is>
      </c>
      <c r="F12" s="52">
        <f>MAX(C12-D12,0)</f>
        <v/>
      </c>
    </row>
  </sheetData>
  <mergeCells count="2">
    <mergeCell ref="A2:F2"/>
    <mergeCell ref="A1:F1"/>
  </mergeCells>
  <conditionalFormatting sqref="D5:D12">
    <cfRule type="cellIs" priority="1" operator="lessThan" dxfId="3">
      <formula>C5*0.5</formula>
    </cfRule>
  </conditionalFormatting>
  <dataValidations count="1">
    <dataValidation sqref="E5:E12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LOG</t>
        </is>
      </c>
    </row>
    <row r="2" ht="22" customHeight="1">
      <c r="A2" s="2" t="inlineStr">
        <is>
          <t xml:space="preserve">  Over-prep, spoilage &amp; breakage — the quiet leaks that eat your margin.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53" t="inlineStr">
        <is>
          <t>Over-prep / leftovers</t>
        </is>
      </c>
      <c r="C5" s="53" t="inlineStr">
        <is>
          <t>Batch surplus</t>
        </is>
      </c>
      <c r="D5" s="54" t="n">
        <v>180</v>
      </c>
    </row>
    <row r="6">
      <c r="B6" s="23" t="inlineStr">
        <is>
          <t>Spoilage</t>
        </is>
      </c>
      <c r="C6" s="23" t="inlineStr">
        <is>
          <t>Cold-chain break</t>
        </is>
      </c>
      <c r="D6" s="39" t="n">
        <v>110</v>
      </c>
    </row>
    <row r="7">
      <c r="B7" s="53" t="inlineStr">
        <is>
          <t>Broken rentals</t>
        </is>
      </c>
      <c r="C7" s="53" t="inlineStr">
        <is>
          <t>Handling</t>
        </is>
      </c>
      <c r="D7" s="54" t="n">
        <v>85</v>
      </c>
    </row>
    <row r="8">
      <c r="B8" s="23" t="inlineStr">
        <is>
          <t>Delivery loss</t>
        </is>
      </c>
      <c r="C8" s="23" t="inlineStr">
        <is>
          <t>In transit</t>
        </is>
      </c>
      <c r="D8" s="39" t="n">
        <v>55</v>
      </c>
    </row>
    <row r="9">
      <c r="B9" s="53" t="n"/>
      <c r="C9" s="53" t="n"/>
      <c r="D9" s="54" t="n"/>
    </row>
    <row r="10">
      <c r="B10" s="23" t="n"/>
      <c r="C10" s="23" t="n"/>
      <c r="D10" s="39" t="n"/>
    </row>
    <row r="11">
      <c r="B11" s="53" t="n"/>
      <c r="C11" s="53" t="n"/>
      <c r="D11" s="54" t="n"/>
    </row>
    <row r="12">
      <c r="B12" s="23" t="n"/>
      <c r="C12" s="23" t="n"/>
      <c r="D12" s="39" t="n"/>
    </row>
    <row r="13">
      <c r="B13" s="53" t="n"/>
      <c r="C13" s="53" t="n"/>
      <c r="D13" s="54" t="n"/>
    </row>
    <row r="14">
      <c r="B14" s="23" t="n"/>
      <c r="C14" s="23" t="n"/>
      <c r="D14" s="39" t="n"/>
    </row>
    <row r="15">
      <c r="B15" s="53" t="n"/>
      <c r="C15" s="53" t="n"/>
      <c r="D15" s="54" t="n"/>
    </row>
    <row r="16">
      <c r="B16" s="23" t="n"/>
      <c r="C16" s="23" t="n"/>
      <c r="D16" s="39" t="n"/>
    </row>
    <row r="17">
      <c r="B17" s="53" t="n"/>
      <c r="C17" s="53" t="n"/>
      <c r="D17" s="54" t="n"/>
    </row>
    <row r="18">
      <c r="B18" s="23" t="n"/>
      <c r="C18" s="23" t="n"/>
      <c r="D18" s="39" t="n"/>
    </row>
    <row r="19">
      <c r="B19" s="53" t="n"/>
      <c r="C19" s="53" t="n"/>
      <c r="D19" s="54" t="n"/>
    </row>
    <row r="20">
      <c r="B20" s="23" t="n"/>
      <c r="C20" s="23" t="n"/>
      <c r="D20" s="39" t="n"/>
    </row>
    <row r="21">
      <c r="B21" s="53" t="n"/>
      <c r="C21" s="53" t="n"/>
      <c r="D21" s="54" t="n"/>
    </row>
    <row r="22">
      <c r="B22" s="23" t="n"/>
      <c r="C22" s="23" t="n"/>
      <c r="D22" s="39" t="n"/>
    </row>
    <row r="23">
      <c r="B23" s="53" t="n"/>
      <c r="C23" s="53" t="n"/>
      <c r="D23" s="54" t="n"/>
    </row>
    <row r="24">
      <c r="B24" s="23" t="n"/>
      <c r="C24" s="23" t="n"/>
      <c r="D24" s="39" t="n"/>
    </row>
    <row r="25">
      <c r="B25" s="53" t="n"/>
      <c r="C25" s="53" t="n"/>
      <c r="D25" s="54" t="n"/>
    </row>
    <row r="26">
      <c r="B26" s="23" t="n"/>
      <c r="C26" s="23" t="n"/>
      <c r="D26" s="39" t="n"/>
    </row>
    <row r="27">
      <c r="B27" s="53" t="n"/>
      <c r="C27" s="53" t="n"/>
      <c r="D27" s="54" t="n"/>
    </row>
    <row r="28">
      <c r="B28" s="23" t="n"/>
      <c r="C28" s="23" t="n"/>
      <c r="D28" s="39" t="n"/>
    </row>
    <row r="29">
      <c r="B29" s="9" t="inlineStr">
        <is>
          <t>TOTAL WASTE</t>
        </is>
      </c>
      <c r="C29" s="44" t="n"/>
      <c r="D29" s="55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🚚  ORDERING &amp; SUPPLIERS</t>
        </is>
      </c>
    </row>
    <row r="2" ht="22" customHeight="1">
      <c r="A2" s="2" t="inlineStr">
        <is>
          <t xml:space="preserve">  Your standing order — par quantities &amp; cost, by supplier.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Supplier</t>
        </is>
      </c>
      <c r="D4" s="9" t="inlineStr">
        <is>
          <t>Par Order</t>
        </is>
      </c>
      <c r="E4" s="9" t="inlineStr">
        <is>
          <t>Cost</t>
        </is>
      </c>
    </row>
    <row r="5">
      <c r="B5" s="53" t="inlineStr">
        <is>
          <t>Proteins (case)</t>
        </is>
      </c>
      <c r="C5" s="53" t="inlineStr">
        <is>
          <t>Restaurant Depot</t>
        </is>
      </c>
      <c r="D5" s="56" t="n">
        <v>1</v>
      </c>
      <c r="E5" s="54" t="n">
        <v>480</v>
      </c>
    </row>
    <row r="6">
      <c r="B6" s="23" t="inlineStr">
        <is>
          <t>Produce (box)</t>
        </is>
      </c>
      <c r="C6" s="23" t="inlineStr">
        <is>
          <t>Green Farms</t>
        </is>
      </c>
      <c r="D6" s="57" t="n">
        <v>2</v>
      </c>
      <c r="E6" s="39" t="n">
        <v>220</v>
      </c>
    </row>
    <row r="7">
      <c r="B7" s="53" t="inlineStr">
        <is>
          <t>Dairy &amp; eggs</t>
        </is>
      </c>
      <c r="C7" s="53" t="inlineStr">
        <is>
          <t>Local Dairy</t>
        </is>
      </c>
      <c r="D7" s="56" t="n">
        <v>1</v>
      </c>
      <c r="E7" s="54" t="n">
        <v>140</v>
      </c>
    </row>
    <row r="8">
      <c r="B8" s="23" t="inlineStr">
        <is>
          <t>Disposables</t>
        </is>
      </c>
      <c r="C8" s="23" t="inlineStr">
        <is>
          <t>PartySupply</t>
        </is>
      </c>
      <c r="D8" s="57" t="n">
        <v>1</v>
      </c>
      <c r="E8" s="39" t="n">
        <v>160</v>
      </c>
    </row>
    <row r="9">
      <c r="B9" s="53" t="inlineStr">
        <is>
          <t>Beverages</t>
        </is>
      </c>
      <c r="C9" s="53" t="inlineStr">
        <is>
          <t>BevCo</t>
        </is>
      </c>
      <c r="D9" s="56" t="n">
        <v>1</v>
      </c>
      <c r="E9" s="54" t="n">
        <v>190</v>
      </c>
    </row>
    <row r="10">
      <c r="B10" s="23" t="n"/>
      <c r="C10" s="23" t="n"/>
      <c r="D10" s="57" t="n"/>
      <c r="E10" s="39" t="n"/>
    </row>
    <row r="11">
      <c r="B11" s="53" t="n"/>
      <c r="C11" s="53" t="n"/>
      <c r="D11" s="56" t="n"/>
      <c r="E11" s="54" t="n"/>
    </row>
    <row r="12">
      <c r="B12" s="23" t="n"/>
      <c r="C12" s="23" t="n"/>
      <c r="D12" s="57" t="n"/>
      <c r="E12" s="39" t="n"/>
    </row>
    <row r="13">
      <c r="B13" s="53" t="n"/>
      <c r="C13" s="53" t="n"/>
      <c r="D13" s="56" t="n"/>
      <c r="E13" s="54" t="n"/>
    </row>
    <row r="14">
      <c r="B14" s="23" t="n"/>
      <c r="C14" s="23" t="n"/>
      <c r="D14" s="57" t="n"/>
      <c r="E14" s="39" t="n"/>
    </row>
    <row r="15">
      <c r="B15" s="53" t="n"/>
      <c r="C15" s="53" t="n"/>
      <c r="D15" s="56" t="n"/>
      <c r="E15" s="54" t="n"/>
    </row>
    <row r="16">
      <c r="B16" s="23" t="n"/>
      <c r="C16" s="23" t="n"/>
      <c r="D16" s="57" t="n"/>
      <c r="E16" s="39" t="n"/>
    </row>
    <row r="17">
      <c r="B17" s="53" t="n"/>
      <c r="C17" s="53" t="n"/>
      <c r="D17" s="56" t="n"/>
      <c r="E17" s="54" t="n"/>
    </row>
    <row r="18">
      <c r="B18" s="23" t="n"/>
      <c r="C18" s="23" t="n"/>
      <c r="D18" s="57" t="n"/>
      <c r="E18" s="39" t="n"/>
    </row>
    <row r="19">
      <c r="B19" s="53" t="n"/>
      <c r="C19" s="53" t="n"/>
      <c r="D19" s="56" t="n"/>
      <c r="E19" s="54" t="n"/>
    </row>
    <row r="20">
      <c r="B20" s="23" t="n"/>
      <c r="C20" s="23" t="n"/>
      <c r="D20" s="57" t="n"/>
      <c r="E20" s="39" t="n"/>
    </row>
    <row r="21">
      <c r="B21" s="53" t="n"/>
      <c r="C21" s="53" t="n"/>
      <c r="D21" s="56" t="n"/>
      <c r="E21" s="54" t="n"/>
    </row>
    <row r="22">
      <c r="B22" s="23" t="n"/>
      <c r="C22" s="23" t="n"/>
      <c r="D22" s="57" t="n"/>
      <c r="E22" s="39" t="n"/>
    </row>
    <row r="23">
      <c r="B23" s="53" t="n"/>
      <c r="C23" s="53" t="n"/>
      <c r="D23" s="56" t="n"/>
      <c r="E23" s="54" t="n"/>
    </row>
    <row r="24">
      <c r="B24" s="23" t="n"/>
      <c r="C24" s="23" t="n"/>
      <c r="D24" s="57" t="n"/>
      <c r="E24" s="39" t="n"/>
    </row>
    <row r="25">
      <c r="B25" s="53" t="n"/>
      <c r="C25" s="53" t="n"/>
      <c r="D25" s="56" t="n"/>
      <c r="E25" s="54" t="n"/>
    </row>
    <row r="26">
      <c r="B26" s="23" t="n"/>
      <c r="C26" s="23" t="n"/>
      <c r="D26" s="57" t="n"/>
      <c r="E26" s="39" t="n"/>
    </row>
    <row r="27">
      <c r="B27" s="53" t="n"/>
      <c r="C27" s="53" t="n"/>
      <c r="D27" s="56" t="n"/>
      <c r="E27" s="54" t="n"/>
    </row>
    <row r="28">
      <c r="B28" s="23" t="n"/>
      <c r="C28" s="23" t="n"/>
      <c r="D28" s="57" t="n"/>
      <c r="E28" s="39" t="n"/>
    </row>
    <row r="29">
      <c r="B29" s="9" t="inlineStr">
        <is>
          <t>ORDER TOTAL</t>
        </is>
      </c>
      <c r="C29" s="44" t="n"/>
      <c r="D29" s="44" t="n"/>
      <c r="E29" s="58">
        <f>SUM(OrderCost)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💵  CASH &amp; DEPOSITS</t>
        </is>
      </c>
    </row>
    <row r="2" ht="22" customHeight="1">
      <c r="A2" s="2" t="inlineStr">
        <is>
          <t xml:space="preserve">  Deposits &amp; payments in — know what's collected and what's still owed.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Client / Event</t>
        </is>
      </c>
      <c r="C4" s="9" t="inlineStr">
        <is>
          <t>Amount</t>
        </is>
      </c>
      <c r="D4" s="9" t="inlineStr">
        <is>
          <t>Method</t>
        </is>
      </c>
    </row>
    <row r="5">
      <c r="B5" s="20" t="inlineStr">
        <is>
          <t>Corporate Gala — deposit</t>
        </is>
      </c>
      <c r="C5" s="34" t="n">
        <v>1500</v>
      </c>
      <c r="D5" s="22" t="inlineStr">
        <is>
          <t>Card</t>
        </is>
      </c>
    </row>
    <row r="6">
      <c r="B6" s="23" t="inlineStr">
        <is>
          <t>Garden Wedding — deposit</t>
        </is>
      </c>
      <c r="C6" s="40" t="n">
        <v>2000</v>
      </c>
      <c r="D6" s="25" t="inlineStr">
        <is>
          <t>Transfer</t>
        </is>
      </c>
    </row>
    <row r="7">
      <c r="B7" s="20" t="inlineStr">
        <is>
          <t>Birthday Buffet — deposit</t>
        </is>
      </c>
      <c r="C7" s="34" t="n">
        <v>500</v>
      </c>
      <c r="D7" s="22" t="inlineStr">
        <is>
          <t>Cash</t>
        </is>
      </c>
    </row>
    <row r="8">
      <c r="B8" s="23" t="inlineStr">
        <is>
          <t>Cocktail Mixer — deposit</t>
        </is>
      </c>
      <c r="C8" s="40" t="n">
        <v>800</v>
      </c>
      <c r="D8" s="25" t="inlineStr">
        <is>
          <t>Card</t>
        </is>
      </c>
    </row>
    <row r="9">
      <c r="B9" s="20" t="inlineStr">
        <is>
          <t>Backyard BBQ — deposit</t>
        </is>
      </c>
      <c r="C9" s="34" t="n">
        <v>400</v>
      </c>
      <c r="D9" s="22" t="inlineStr">
        <is>
          <t>Card</t>
        </is>
      </c>
    </row>
    <row r="10">
      <c r="B10" s="9" t="inlineStr">
        <is>
          <t>DEPOSITS COLLECTED</t>
        </is>
      </c>
      <c r="C10" s="45">
        <f>SUM(C5:C9)</f>
        <v/>
      </c>
      <c r="D10" s="44" t="n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2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🤝  CLIENTS</t>
        </is>
      </c>
    </row>
    <row r="2" ht="22" customHeight="1">
      <c r="A2" s="2" t="inlineStr">
        <is>
          <t xml:space="preserve">  Your book of business — who they are, what they book &amp; where they stand.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Event Type</t>
        </is>
      </c>
      <c r="D4" s="9" t="inlineStr">
        <is>
          <t>Contact</t>
        </is>
      </c>
      <c r="E4" s="9" t="inlineStr">
        <is>
          <t>Status</t>
        </is>
      </c>
    </row>
    <row r="5">
      <c r="B5" s="53" t="inlineStr">
        <is>
          <t>Meridian Corp</t>
        </is>
      </c>
      <c r="C5" s="53" t="inlineStr">
        <is>
          <t>Corporate</t>
        </is>
      </c>
      <c r="D5" s="53" t="inlineStr">
        <is>
          <t>events@meridian.co</t>
        </is>
      </c>
      <c r="E5" s="59" t="inlineStr">
        <is>
          <t>Repeat</t>
        </is>
      </c>
    </row>
    <row r="6">
      <c r="B6" s="23" t="inlineStr">
        <is>
          <t>The Hale Family</t>
        </is>
      </c>
      <c r="C6" s="23" t="inlineStr">
        <is>
          <t>Wedding</t>
        </is>
      </c>
      <c r="D6" s="23" t="inlineStr">
        <is>
          <t>hale@mail.com</t>
        </is>
      </c>
      <c r="E6" s="25" t="inlineStr">
        <is>
          <t>New</t>
        </is>
      </c>
    </row>
    <row r="7">
      <c r="B7" s="53" t="inlineStr">
        <is>
          <t>Sofia R.</t>
        </is>
      </c>
      <c r="C7" s="53" t="inlineStr">
        <is>
          <t>Birthday</t>
        </is>
      </c>
      <c r="D7" s="53" t="inlineStr">
        <is>
          <t>sofia@mail.com</t>
        </is>
      </c>
      <c r="E7" s="59" t="inlineStr">
        <is>
          <t>New</t>
        </is>
      </c>
    </row>
    <row r="8">
      <c r="B8" s="23" t="inlineStr">
        <is>
          <t>Downtown Law</t>
        </is>
      </c>
      <c r="C8" s="23" t="inlineStr">
        <is>
          <t>Office Lunch</t>
        </is>
      </c>
      <c r="D8" s="23" t="inlineStr">
        <is>
          <t>office@dtlaw.com</t>
        </is>
      </c>
      <c r="E8" s="25" t="inlineStr">
        <is>
          <t>Repeat</t>
        </is>
      </c>
    </row>
    <row r="9">
      <c r="B9" s="53" t="inlineStr">
        <is>
          <t>Craft Collective</t>
        </is>
      </c>
      <c r="C9" s="53" t="inlineStr">
        <is>
          <t>Mixer</t>
        </is>
      </c>
      <c r="D9" s="53" t="inlineStr">
        <is>
          <t>hi@craftco.com</t>
        </is>
      </c>
      <c r="E9" s="59" t="inlineStr">
        <is>
          <t>New</t>
        </is>
      </c>
    </row>
    <row r="10">
      <c r="B10" s="23" t="n"/>
      <c r="C10" s="23" t="n"/>
      <c r="D10" s="23" t="n"/>
      <c r="E10" s="25" t="n"/>
    </row>
    <row r="11">
      <c r="B11" s="53" t="n"/>
      <c r="C11" s="53" t="n"/>
      <c r="D11" s="53" t="n"/>
      <c r="E11" s="59" t="n"/>
    </row>
    <row r="12">
      <c r="B12" s="23" t="n"/>
      <c r="C12" s="23" t="n"/>
      <c r="D12" s="23" t="n"/>
      <c r="E12" s="25" t="n"/>
    </row>
    <row r="13">
      <c r="B13" s="53" t="n"/>
      <c r="C13" s="53" t="n"/>
      <c r="D13" s="53" t="n"/>
      <c r="E13" s="59" t="n"/>
    </row>
    <row r="14">
      <c r="B14" s="23" t="n"/>
      <c r="C14" s="23" t="n"/>
      <c r="D14" s="23" t="n"/>
      <c r="E14" s="25" t="n"/>
    </row>
    <row r="15">
      <c r="B15" s="53" t="n"/>
      <c r="C15" s="53" t="n"/>
      <c r="D15" s="53" t="n"/>
      <c r="E15" s="59" t="n"/>
    </row>
    <row r="16">
      <c r="B16" s="23" t="n"/>
      <c r="C16" s="23" t="n"/>
      <c r="D16" s="23" t="n"/>
      <c r="E16" s="25" t="n"/>
    </row>
    <row r="17">
      <c r="B17" s="53" t="n"/>
      <c r="C17" s="53" t="n"/>
      <c r="D17" s="53" t="n"/>
      <c r="E17" s="59" t="n"/>
    </row>
    <row r="18">
      <c r="B18" s="23" t="n"/>
      <c r="C18" s="23" t="n"/>
      <c r="D18" s="23" t="n"/>
      <c r="E18" s="25" t="n"/>
    </row>
    <row r="19">
      <c r="B19" s="53" t="n"/>
      <c r="C19" s="53" t="n"/>
      <c r="D19" s="53" t="n"/>
      <c r="E19" s="59" t="n"/>
    </row>
    <row r="20">
      <c r="B20" s="23" t="n"/>
      <c r="C20" s="23" t="n"/>
      <c r="D20" s="23" t="n"/>
      <c r="E20" s="25" t="n"/>
    </row>
    <row r="21">
      <c r="B21" s="53" t="n"/>
      <c r="C21" s="53" t="n"/>
      <c r="D21" s="53" t="n"/>
      <c r="E21" s="59" t="n"/>
    </row>
    <row r="22">
      <c r="B22" s="23" t="n"/>
      <c r="C22" s="23" t="n"/>
      <c r="D22" s="23" t="n"/>
      <c r="E22" s="25" t="n"/>
    </row>
    <row r="23">
      <c r="B23" s="53" t="n"/>
      <c r="C23" s="53" t="n"/>
      <c r="D23" s="53" t="n"/>
      <c r="E23" s="59" t="n"/>
    </row>
    <row r="24">
      <c r="B24" s="23" t="n"/>
      <c r="C24" s="23" t="n"/>
      <c r="D24" s="23" t="n"/>
      <c r="E24" s="25" t="n"/>
    </row>
    <row r="25">
      <c r="B25" s="53" t="n"/>
      <c r="C25" s="53" t="n"/>
      <c r="D25" s="53" t="n"/>
      <c r="E25" s="59" t="n"/>
    </row>
    <row r="26">
      <c r="B26" s="23" t="n"/>
      <c r="C26" s="23" t="n"/>
      <c r="D26" s="23" t="n"/>
      <c r="E26" s="25" t="n"/>
    </row>
    <row r="27">
      <c r="B27" s="53" t="n"/>
      <c r="C27" s="53" t="n"/>
      <c r="D27" s="53" t="n"/>
      <c r="E27" s="59" t="n"/>
    </row>
    <row r="28">
      <c r="B28" s="23" t="n"/>
      <c r="C28" s="23" t="n"/>
      <c r="D28" s="23" t="n"/>
      <c r="E28" s="25" t="n"/>
    </row>
  </sheetData>
  <mergeCells count="2">
    <mergeCell ref="A2:E2"/>
    <mergeCell ref="A1:E1"/>
  </mergeCells>
  <conditionalFormatting sqref="E5:E28">
    <cfRule type="cellIs" priority="1" operator="equal" dxfId="0">
      <formula>"Repeat"</formula>
    </cfRule>
    <cfRule type="cellIs" priority="2" operator="equal" dxfId="1">
      <formula>"New"</formula>
    </cfRule>
  </conditionalFormatting>
  <dataValidations count="1">
    <dataValidation sqref="E5:E28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company,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COMPANY</t>
        </is>
      </c>
      <c r="E5" s="4" t="inlineStr">
        <is>
          <t>DROPDOWN LISTS</t>
        </is>
      </c>
    </row>
    <row r="6">
      <c r="B6" s="47" t="inlineStr">
        <is>
          <t>Company name</t>
        </is>
      </c>
      <c r="C6" s="60" t="inlineStr">
        <is>
          <t>Wildflower &amp; Oak Catering Co.</t>
        </is>
      </c>
      <c r="E6" s="9" t="inlineStr">
        <is>
          <t>Unit</t>
        </is>
      </c>
      <c r="F6" s="9" t="inlineStr">
        <is>
          <t>Package</t>
        </is>
      </c>
      <c r="G6" s="9" t="inlineStr">
        <is>
          <t>Status</t>
        </is>
      </c>
      <c r="H6" s="9" t="inlineStr">
        <is>
          <t>Yes / No</t>
        </is>
      </c>
    </row>
    <row r="7">
      <c r="B7" s="47" t="inlineStr">
        <is>
          <t>Owner</t>
        </is>
      </c>
      <c r="C7" s="60" t="inlineStr">
        <is>
          <t>Camille</t>
        </is>
      </c>
      <c r="E7" s="20" t="inlineStr">
        <is>
          <t>each</t>
        </is>
      </c>
      <c r="F7" s="20" t="inlineStr">
        <is>
          <t>Plated Dinner</t>
        </is>
      </c>
      <c r="G7" s="20" t="inlineStr">
        <is>
          <t>Confirmed</t>
        </is>
      </c>
      <c r="H7" s="20" t="inlineStr">
        <is>
          <t>Yes</t>
        </is>
      </c>
    </row>
    <row r="8">
      <c r="B8" s="47" t="inlineStr">
        <is>
          <t>Target food-cost %</t>
        </is>
      </c>
      <c r="C8" s="61" t="n">
        <v>0.3</v>
      </c>
      <c r="E8" s="20" t="inlineStr">
        <is>
          <t>lb</t>
        </is>
      </c>
      <c r="F8" s="20" t="inlineStr">
        <is>
          <t>Buffet Classic</t>
        </is>
      </c>
      <c r="G8" s="20" t="inlineStr">
        <is>
          <t>Deposit</t>
        </is>
      </c>
      <c r="H8" s="20" t="inlineStr">
        <is>
          <t>No</t>
        </is>
      </c>
    </row>
    <row r="9">
      <c r="B9" s="47" t="inlineStr">
        <is>
          <t>Event margin goal %</t>
        </is>
      </c>
      <c r="C9" s="61" t="n">
        <v>0.3</v>
      </c>
      <c r="E9" s="20" t="inlineStr">
        <is>
          <t>oz</t>
        </is>
      </c>
      <c r="F9" s="20" t="inlineStr">
        <is>
          <t>Cocktail Reception</t>
        </is>
      </c>
      <c r="G9" s="20" t="inlineStr">
        <is>
          <t>Inquiry</t>
        </is>
      </c>
    </row>
    <row r="10">
      <c r="B10" s="47" t="inlineStr">
        <is>
          <t>Labor limit %</t>
        </is>
      </c>
      <c r="C10" s="61" t="n">
        <v>0.4</v>
      </c>
      <c r="E10" s="20" t="inlineStr">
        <is>
          <t>case</t>
        </is>
      </c>
      <c r="F10" s="20" t="inlineStr">
        <is>
          <t>Boxed Lunch</t>
        </is>
      </c>
      <c r="G10" s="20" t="inlineStr">
        <is>
          <t>Recurring</t>
        </is>
      </c>
    </row>
    <row r="11">
      <c r="B11" s="47" t="inlineStr">
        <is>
          <t>Booking goal / month</t>
        </is>
      </c>
      <c r="C11" s="32" t="n">
        <v>6</v>
      </c>
      <c r="E11" s="20" t="inlineStr">
        <is>
          <t>box</t>
        </is>
      </c>
      <c r="F11" s="20" t="inlineStr">
        <is>
          <t>Wedding Premium</t>
        </is>
      </c>
    </row>
    <row r="12">
      <c r="B12" s="47" t="inlineStr">
        <is>
          <t>Currency</t>
        </is>
      </c>
      <c r="C12" s="60" t="inlineStr">
        <is>
          <t>USD ($)</t>
        </is>
      </c>
      <c r="E12" s="20" t="inlineStr">
        <is>
          <t>dozen</t>
        </is>
      </c>
      <c r="F12" s="20" t="inlineStr">
        <is>
          <t>Breakfast Spread</t>
        </is>
      </c>
    </row>
    <row r="13">
      <c r="E13" s="20" t="inlineStr">
        <is>
          <t>gallon</t>
        </is>
      </c>
      <c r="F13" s="20" t="inlineStr">
        <is>
          <t>BBQ Buffet</t>
        </is>
      </c>
    </row>
    <row r="14">
      <c r="E14" s="20" t="inlineStr">
        <is>
          <t>tray</t>
        </is>
      </c>
      <c r="F14" s="20" t="inlineStr">
        <is>
          <t>Grazing Table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2026-07-22T07:44:24Z</dcterms:created>
  <dcterms:modified xsi:type="dcterms:W3CDTF">2026-07-22T07:44:24Z</dcterms:modified>
</cp:coreProperties>
</file>