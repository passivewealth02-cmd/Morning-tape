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chedule C P&amp;L" sheetId="3" state="visible" r:id="rId3"/>
    <sheet name="Income" sheetId="4" state="visible" r:id="rId4"/>
    <sheet name="COGS &amp; Inventory" sheetId="5" state="visible" r:id="rId5"/>
    <sheet name="Expenses" sheetId="6" state="visible" r:id="rId6"/>
    <sheet name="Mileage" sheetId="7" state="visible" r:id="rId7"/>
    <sheet name="Sales Tax" sheetId="8" state="visible" r:id="rId8"/>
    <sheet name="Quarterly Taxes" sheetId="9" state="visible" r:id="rId9"/>
    <sheet name="Schedule C Lines" sheetId="10" state="visible" r:id="rId10"/>
    <sheet name="Invoices" sheetId="11" state="visible" r:id="rId11"/>
    <sheet name="Reconciliation" sheetId="12" state="visible" r:id="rId12"/>
    <sheet name="Monthly Summary" sheetId="13" state="visible" r:id="rId13"/>
    <sheet name="Settings" sheetId="14" state="visible" r:id="rId14"/>
  </sheets>
  <definedNames>
    <definedName name="BizName">Settings!$C$6</definedName>
    <definedName name="Owner">Settings!$C$7</definedName>
    <definedName name="MileageRate">Settings!$C$8</definedName>
    <definedName name="SETaxRate">Settings!$C$9</definedName>
    <definedName name="SEBasePct">Settings!$C$10</definedName>
    <definedName name="IncomeTaxRate">Settings!$C$11</definedName>
    <definedName name="ProfitGoal">Settings!$C$12</definedName>
    <definedName name="MarginGoal">Settings!$C$13</definedName>
    <definedName name="ReconcileGoal">Settings!$C$14</definedName>
    <definedName name="ReceiptsPct">Settings!$C$15</definedName>
    <definedName name="IncomeSrcList">Settings!$E$7:$E$11</definedName>
    <definedName name="ExpCatList">Settings!$F$7:$F$17</definedName>
    <definedName name="PayStatusList">Settings!$G$7:$G$10</definedName>
    <definedName name="YesNoList">Settings!$H$7:$H$8</definedName>
    <definedName name="IncomeAmt">'Income'!$D$5:$D$10</definedName>
    <definedName name="GrossRevenue">'Income'!$D$11</definedName>
    <definedName name="COGSRows">'COGS &amp; Inventory'!$E$5:$E$10</definedName>
    <definedName name="COGSTotal">'COGS &amp; Inventory'!$E$11</definedName>
    <definedName name="ExpCat">'Expenses'!$B$5:$B$14</definedName>
    <definedName name="ExpAmt">'Expenses'!$C$5:$C$14</definedName>
    <definedName name="ExpTotal">'Expenses'!$C$15</definedName>
    <definedName name="CategoryCount">'Expenses'!$C$17</definedName>
    <definedName name="GrossProfit">'Schedule C P&amp;L'!$C$8</definedName>
    <definedName name="NetProfit">'Schedule C P&amp;L'!$C$10</definedName>
    <definedName name="NetMargin">'Schedule C P&amp;L'!$C$11</definedName>
    <definedName name="SETax">'Schedule C P&amp;L'!$C$15</definedName>
    <definedName name="IncomeTax">'Schedule C P&amp;L'!$C$17</definedName>
    <definedName name="TotalTax">'Schedule C P&amp;L'!$C$18</definedName>
    <definedName name="QuarterlyTax">'Schedule C P&amp;L'!$C$19</definedName>
    <definedName name="EffectiveRate">'Schedule C P&amp;L'!$C$20</definedName>
    <definedName name="MilesRange">'Mileage'!$D$5:$D$10</definedName>
    <definedName name="MilesDriven">'Mileage'!$D$11</definedName>
    <definedName name="MileageDeduction">'Mileage'!$E$11</definedName>
    <definedName name="STCollected">'Sales Tax'!$C$5:$C$8</definedName>
    <definedName name="STRemitted">'Sales Tax'!$D$5:$D$8</definedName>
    <definedName name="SalesTaxCollected">'Sales Tax'!$C$9</definedName>
    <definedName name="SalesTaxOwed">'Sales Tax'!$E$9</definedName>
    <definedName name="QPaid">'Quarterly Taxes'!$E$8:$E$11</definedName>
    <definedName name="InvAmt">'Invoices'!$D$5:$D$32</definedName>
    <definedName name="InvStatus">'Invoices'!$E$5:$E$32</definedName>
    <definedName name="Outstanding">'Invoices'!$D$34</definedName>
    <definedName name="BankMatched">'Reconciliation'!$C$5:$C$10</definedName>
    <definedName name="ReceiptsFiled">'Reconciliation'!$D$5:$D$10</definedName>
    <definedName name="MonthsReconciled">'Reconciliation'!$C$11</definedName>
    <definedName name="ProfitTrend">'Monthly Summary'!$C$7:$C$12</definedName>
    <definedName name="HealthRange">'Dashboard'!$C$13:$C$18</definedName>
  </definedNames>
  <calcPr calcId="124519" fullCalcOnLoad="1"/>
</workbook>
</file>

<file path=xl/styles.xml><?xml version="1.0" encoding="utf-8"?>
<styleSheet xmlns="http://schemas.openxmlformats.org/spreadsheetml/2006/main">
  <numFmts count="3">
    <numFmt numFmtId="164" formatCode="&quot;$&quot;#,##0.00"/>
    <numFmt numFmtId="165" formatCode="0.0%"/>
    <numFmt numFmtId="166" formatCode="&quot;$&quot;#,##0"/>
  </numFmts>
  <fonts count="18">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sz val="12"/>
    </font>
    <font>
      <b val="1"/>
      <color rgb="00C94C4C"/>
      <sz val="12"/>
    </font>
    <font>
      <b val="1"/>
      <color rgb="001B4F48"/>
    </font>
    <font>
      <b val="1"/>
      <color rgb="001B4F48"/>
      <sz val="14"/>
    </font>
    <font>
      <b val="1"/>
      <color rgb="00C94C4C"/>
      <sz val="14"/>
    </font>
    <font>
      <b val="1"/>
      <color rgb="00937356"/>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61">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6" fillId="9" borderId="3" applyAlignment="1" pivotButton="0" quotePrefix="0" xfId="0">
      <alignment horizontal="center" vertical="center"/>
    </xf>
    <xf numFmtId="0" fontId="0" fillId="9" borderId="3" pivotButton="0" quotePrefix="0" xfId="0"/>
    <xf numFmtId="166" fontId="17" fillId="9" borderId="2" applyAlignment="1" pivotButton="0" quotePrefix="0" xfId="0">
      <alignment horizontal="center" vertical="center"/>
    </xf>
    <xf numFmtId="0" fontId="0" fillId="9" borderId="2" pivotButton="0" quotePrefix="0" xfId="0"/>
    <xf numFmtId="9" fontId="17"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166" fontId="7" fillId="6" borderId="2" applyAlignment="1" pivotButton="0" quotePrefix="0" xfId="10">
      <alignment horizontal="left" vertical="center" indent="1"/>
    </xf>
    <xf numFmtId="166" fontId="7" fillId="0" borderId="2" applyAlignment="1" pivotButton="0" quotePrefix="0" xfId="10">
      <alignment horizontal="left" vertical="center" indent="1"/>
    </xf>
    <xf numFmtId="166" fontId="10" fillId="6" borderId="2" applyAlignment="1" pivotButton="0" quotePrefix="0" xfId="6">
      <alignment horizontal="center" vertical="center" wrapText="1"/>
    </xf>
    <xf numFmtId="166" fontId="13" fillId="6" borderId="2" applyAlignment="1" pivotButton="0" quotePrefix="0" xfId="6">
      <alignment horizontal="center" vertical="center" wrapText="1"/>
    </xf>
    <xf numFmtId="9" fontId="7" fillId="6" borderId="2" applyAlignment="1" pivotButton="0" quotePrefix="0" xfId="10">
      <alignment horizontal="left" vertical="center" indent="1"/>
    </xf>
    <xf numFmtId="166" fontId="11" fillId="3" borderId="2" applyAlignment="1" pivotButton="0" quotePrefix="0" xfId="6">
      <alignment horizontal="center" vertical="center" wrapText="1"/>
    </xf>
    <xf numFmtId="166" fontId="14" fillId="7" borderId="2" applyAlignment="1" pivotButton="0" quotePrefix="0" xfId="6">
      <alignment horizontal="center" vertical="center" wrapText="1"/>
    </xf>
    <xf numFmtId="165" fontId="7" fillId="6" borderId="2" applyAlignment="1" pivotButton="0" quotePrefix="0" xfId="10">
      <alignment horizontal="left" vertical="center" indent="1"/>
    </xf>
    <xf numFmtId="166" fontId="7" fillId="3" borderId="2" applyAlignment="1" pivotButton="0" quotePrefix="0" xfId="8">
      <alignment horizontal="center" vertical="center"/>
    </xf>
    <xf numFmtId="166" fontId="7" fillId="8" borderId="2" applyAlignment="1" pivotButton="0" quotePrefix="0" xfId="8">
      <alignment horizontal="center" vertical="center"/>
    </xf>
    <xf numFmtId="0" fontId="6" fillId="3" borderId="2" applyAlignment="1" pivotButton="0" quotePrefix="0" xfId="6">
      <alignment horizontal="center" vertical="center" wrapText="1"/>
    </xf>
    <xf numFmtId="3" fontId="7" fillId="3" borderId="2" applyAlignment="1" pivotButton="0" quotePrefix="0" xfId="8">
      <alignment horizontal="center" vertical="center"/>
    </xf>
    <xf numFmtId="164" fontId="7" fillId="3" borderId="2" applyAlignment="1" pivotButton="0" quotePrefix="0" xfId="8">
      <alignment horizontal="center" vertical="center"/>
    </xf>
    <xf numFmtId="166" fontId="6" fillId="0" borderId="2" applyAlignment="1" pivotButton="0" quotePrefix="0" xfId="6">
      <alignment horizontal="center" vertical="center" wrapText="1"/>
    </xf>
    <xf numFmtId="3" fontId="7" fillId="8" borderId="2" applyAlignment="1" pivotButton="0" quotePrefix="0" xfId="8">
      <alignment horizontal="center" vertical="center"/>
    </xf>
    <xf numFmtId="164" fontId="7" fillId="8" borderId="2" applyAlignment="1" pivotButton="0" quotePrefix="0" xfId="8">
      <alignment horizontal="center" vertical="center"/>
    </xf>
    <xf numFmtId="166" fontId="6" fillId="8" borderId="2" applyAlignment="1" pivotButton="0" quotePrefix="0" xfId="6">
      <alignment horizontal="center" vertical="center" wrapText="1"/>
    </xf>
    <xf numFmtId="165" fontId="6" fillId="0" borderId="2" applyAlignment="1" pivotButton="0" quotePrefix="0" xfId="6">
      <alignment horizontal="center" vertical="center" wrapText="1"/>
    </xf>
    <xf numFmtId="165" fontId="6" fillId="8" borderId="2" applyAlignment="1" pivotButton="0" quotePrefix="0" xfId="6">
      <alignment horizontal="center" vertical="center" wrapText="1"/>
    </xf>
    <xf numFmtId="165" fontId="12" fillId="6" borderId="2" applyAlignment="1" pivotButton="0" quotePrefix="0" xfId="6">
      <alignment horizontal="center" vertical="center" wrapText="1"/>
    </xf>
    <xf numFmtId="3" fontId="7" fillId="0" borderId="2" applyAlignment="1" pivotButton="0" quotePrefix="0" xfId="10">
      <alignment horizontal="left" vertical="center" indent="1"/>
    </xf>
    <xf numFmtId="3" fontId="12" fillId="3" borderId="2" applyAlignment="1" pivotButton="0" quotePrefix="0" xfId="6">
      <alignment horizontal="center" vertical="center" wrapText="1"/>
    </xf>
    <xf numFmtId="166" fontId="12" fillId="3" borderId="2" applyAlignment="1" pivotButton="0" quotePrefix="0" xfId="6">
      <alignment horizontal="center" vertical="center" wrapText="1"/>
    </xf>
    <xf numFmtId="166" fontId="11" fillId="7" borderId="2" applyAlignment="1" pivotButton="0" quotePrefix="0" xfId="6">
      <alignment horizontal="center" vertical="center" wrapText="1"/>
    </xf>
    <xf numFmtId="166" fontId="12" fillId="6" borderId="2" applyAlignment="1" pivotButton="0" quotePrefix="0" xfId="6">
      <alignment horizontal="center" vertical="center" wrapText="1"/>
    </xf>
    <xf numFmtId="0" fontId="12" fillId="3" borderId="2" applyAlignment="1" pivotButton="0" quotePrefix="0" xfId="6">
      <alignment horizontal="center" vertical="center" wrapText="1"/>
    </xf>
    <xf numFmtId="0" fontId="6" fillId="9" borderId="2" applyAlignment="1" pivotButton="0" quotePrefix="0" xfId="7">
      <alignment horizontal="left" vertical="center" wrapText="1" indent="1"/>
    </xf>
    <xf numFmtId="166"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166" fontId="7" fillId="7" borderId="2" applyAlignment="1" pivotButton="0" quotePrefix="0" xfId="10">
      <alignment horizontal="left" vertical="center" indent="1"/>
    </xf>
    <xf numFmtId="3" fontId="12" fillId="6" borderId="2" applyAlignment="1" pivotButton="0" quotePrefix="0" xfId="6">
      <alignment horizontal="center" vertical="center" wrapText="1"/>
    </xf>
    <xf numFmtId="3" fontId="15" fillId="3" borderId="2" applyAlignment="1" pivotButton="0" quotePrefix="0" xfId="6">
      <alignment horizontal="center" vertical="center" wrapText="1"/>
    </xf>
    <xf numFmtId="0" fontId="7" fillId="3" borderId="2" applyAlignment="1" pivotButton="0" quotePrefix="0" xfId="8">
      <alignment horizontal="center" vertical="center"/>
    </xf>
    <xf numFmtId="165" fontId="7" fillId="3" borderId="2" applyAlignment="1" pivotButton="0" quotePrefix="0" xfId="8">
      <alignment horizontal="center" vertical="center"/>
    </xf>
    <xf numFmtId="10" fontId="7" fillId="3" borderId="2" applyAlignment="1" pivotButton="0" quotePrefix="0" xfId="8">
      <alignment horizontal="center" vertical="center"/>
    </xf>
    <xf numFmtId="9" fontId="7" fillId="3" borderId="2" applyAlignment="1" pivotButton="0" quotePrefix="0" xfId="8">
      <alignment horizontal="center" vertical="center"/>
    </xf>
    <xf numFmtId="1"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1">
    <dxf>
      <fill>
        <patternFill patternType="solid">
          <fgColor rgb="00FBF0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Net Profit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Net Profit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SMALL BUSINESS BOOKKEEPING &amp; TAX COMMAND CENTER™</t>
        </is>
      </c>
    </row>
    <row r="2" ht="24" customHeight="1">
      <c r="A2" s="2" t="inlineStr">
        <is>
          <t xml:space="preserve">  Know your profit, and never be surprised by a tax bill again.</t>
        </is>
      </c>
    </row>
    <row r="3" ht="6" customHeight="1">
      <c r="A3" s="3" t="n"/>
      <c r="B3" s="3" t="n"/>
      <c r="C3" s="3" t="n"/>
    </row>
    <row r="5">
      <c r="B5" s="4" t="inlineStr">
        <is>
          <t>YOUR WHOLE BOOKS &amp; TAX, IN ONE PLACE</t>
        </is>
      </c>
    </row>
    <row r="6" ht="22" customHeight="1">
      <c r="B6" s="5" t="inlineStr">
        <is>
          <t>Most small businesses find out what they owe in April — far too late to do anything about it. This fixes that. A Schedule C engine takes your revenue, subtracts your cost of goods and your expenses to give your real net profit, then calculates your self-employment tax, your income tax and the exact quarterly payment to send. Track income, expenses, COGS, mileage, sales tax and invoices — all in ONE premium Google Sheets &amp; Excel system your accountant will thank you for.</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mileage rate &amp; tax rates.</t>
        </is>
      </c>
    </row>
    <row r="13" ht="22" customHeight="1">
      <c r="B13" s="8" t="inlineStr">
        <is>
          <t>2.  Log your Income and your Expenses by category.</t>
        </is>
      </c>
    </row>
    <row r="14" ht="22" customHeight="1">
      <c r="B14" s="8" t="inlineStr">
        <is>
          <t>3.  Enter COGS &amp; Inventory — the cost of what you sold.</t>
        </is>
      </c>
    </row>
    <row r="15" ht="22" customHeight="1">
      <c r="B15" s="8" t="inlineStr">
        <is>
          <t>4.  Read the Schedule C P&amp;L: your real net profit.</t>
        </is>
      </c>
    </row>
    <row r="16" ht="22" customHeight="1">
      <c r="B16" s="8" t="inlineStr">
        <is>
          <t>5.  Track Mileage, Sales Tax and your Quarterly payments.</t>
        </is>
      </c>
    </row>
    <row r="17" ht="22" customHeight="1">
      <c r="B17" s="8" t="inlineStr">
        <is>
          <t>6.  Check the Dashboard: profit, tax owed &amp; a Books Score.</t>
        </is>
      </c>
    </row>
    <row r="20" ht="26" customHeight="1">
      <c r="B20" s="9" t="inlineStr">
        <is>
          <t xml:space="preserve">  GOOD TO KNOW</t>
        </is>
      </c>
    </row>
    <row r="21" ht="22" customHeight="1">
      <c r="B21" s="10" t="inlineStr">
        <is>
          <t>Sample data for a fictional business (Quill &amp; Ledger, owner Morgan) is included so you can see how it all connects — just type over it with your own numbers. Your net profit and the quarterly tax payment it implies are the two numbers that decide whether tax season is calm or brutal, and they roll into a live Books Score. Expense categories are mapped to real Schedule C lines so handing this to a CPA is painless. Twelve matching printable pages (P&amp;L worksheet, expense log, mileage log, receipt tracker &amp; more) are included. This is a bookkeeping &amp; organizing tool, not tax, legal or accounting advice — confirm every figure with your own tax professional.</t>
        </is>
      </c>
    </row>
    <row r="22" ht="22" customHeight="1">
      <c r="B22" s="11" t="n"/>
    </row>
    <row r="23" ht="22" customHeight="1">
      <c r="B23" s="11" t="n"/>
    </row>
    <row r="25">
      <c r="B25" s="4" t="inlineStr">
        <is>
          <t>Books kept monthly beat books panicked in April. Ten minutes a week is all it takes.</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SMALL BUSINESS BOOKKEEPING &amp; TAX COMMAND CENTER™</t>
        </is>
      </c>
    </row>
    <row r="2" ht="24" customHeight="1">
      <c r="A2" s="2" t="inlineStr">
        <is>
          <t xml:space="preserve">  Profit, tax owed, quarterly payment &amp; a Books Score — your whole business, at a glance.</t>
        </is>
      </c>
    </row>
    <row r="3" ht="6" customHeight="1">
      <c r="A3" s="3" t="n"/>
      <c r="B3" s="3" t="n"/>
      <c r="C3" s="3" t="n"/>
      <c r="D3" s="3" t="n"/>
      <c r="E3" s="3" t="n"/>
      <c r="F3" s="3" t="n"/>
      <c r="G3" s="3" t="n"/>
      <c r="H3" s="3" t="n"/>
      <c r="I3" s="3" t="n"/>
      <c r="J3" s="3" t="n"/>
      <c r="K3" s="3" t="n"/>
      <c r="L3" s="3" t="n"/>
      <c r="M3" s="3" t="n"/>
      <c r="N3" s="3" t="n"/>
    </row>
    <row r="5" ht="18" customHeight="1">
      <c r="B5" s="12" t="inlineStr">
        <is>
          <t>GROSS REVENUE</t>
        </is>
      </c>
      <c r="C5" s="13" t="n"/>
      <c r="D5" s="12" t="inlineStr">
        <is>
          <t>COGS</t>
        </is>
      </c>
      <c r="E5" s="13" t="n"/>
      <c r="F5" s="12" t="inlineStr">
        <is>
          <t>GROSS PROFIT</t>
        </is>
      </c>
      <c r="G5" s="13" t="n"/>
      <c r="H5" s="12" t="inlineStr">
        <is>
          <t>EXPENSES</t>
        </is>
      </c>
      <c r="I5" s="13" t="n"/>
      <c r="J5" s="12" t="inlineStr">
        <is>
          <t>NET PROFIT</t>
        </is>
      </c>
      <c r="K5" s="13" t="n"/>
      <c r="L5" s="12" t="inlineStr">
        <is>
          <t>NET MARGIN</t>
        </is>
      </c>
      <c r="M5" s="13" t="n"/>
    </row>
    <row r="6" ht="40" customHeight="1">
      <c r="B6" s="14">
        <f>GrossRevenue</f>
        <v/>
      </c>
      <c r="C6" s="15" t="n"/>
      <c r="D6" s="14">
        <f>COGSTotal</f>
        <v/>
      </c>
      <c r="E6" s="15" t="n"/>
      <c r="F6" s="14">
        <f>GrossProfit</f>
        <v/>
      </c>
      <c r="G6" s="15" t="n"/>
      <c r="H6" s="14">
        <f>ExpTotal</f>
        <v/>
      </c>
      <c r="I6" s="15" t="n"/>
      <c r="J6" s="14">
        <f>NetProfit</f>
        <v/>
      </c>
      <c r="K6" s="15" t="n"/>
      <c r="L6" s="16">
        <f>NetMargin</f>
        <v/>
      </c>
      <c r="M6" s="15" t="n"/>
    </row>
    <row r="8" ht="18" customHeight="1">
      <c r="B8" s="12" t="inlineStr">
        <is>
          <t>SE TAX</t>
        </is>
      </c>
      <c r="C8" s="13" t="n"/>
      <c r="D8" s="12" t="inlineStr">
        <is>
          <t>INCOME TAX</t>
        </is>
      </c>
      <c r="E8" s="13" t="n"/>
      <c r="F8" s="12" t="inlineStr">
        <is>
          <t>TOTAL TAX</t>
        </is>
      </c>
      <c r="G8" s="13" t="n"/>
      <c r="H8" s="12" t="inlineStr">
        <is>
          <t>QUARTERLY</t>
        </is>
      </c>
      <c r="I8" s="13" t="n"/>
      <c r="J8" s="12" t="inlineStr">
        <is>
          <t>MILEAGE DEDUCTION</t>
        </is>
      </c>
      <c r="K8" s="13" t="n"/>
      <c r="L8" s="12" t="inlineStr">
        <is>
          <t>BOOKS SCORE</t>
        </is>
      </c>
      <c r="M8" s="13" t="n"/>
    </row>
    <row r="9" ht="40" customHeight="1">
      <c r="B9" s="14">
        <f>SETax</f>
        <v/>
      </c>
      <c r="C9" s="15" t="n"/>
      <c r="D9" s="14">
        <f>IncomeTax</f>
        <v/>
      </c>
      <c r="E9" s="15" t="n"/>
      <c r="F9" s="14">
        <f>TotalTax</f>
        <v/>
      </c>
      <c r="G9" s="15" t="n"/>
      <c r="H9" s="14">
        <f>QuarterlyTax</f>
        <v/>
      </c>
      <c r="I9" s="15" t="n"/>
      <c r="J9" s="14">
        <f>MileageDeduction</f>
        <v/>
      </c>
      <c r="K9" s="15" t="n"/>
      <c r="L9" s="16">
        <f>IFERROR(AVERAGE(HealthRange),0)</f>
        <v/>
      </c>
      <c r="M9" s="15" t="n"/>
    </row>
    <row r="11" ht="26" customHeight="1">
      <c r="B11" s="4" t="inlineStr">
        <is>
          <t>BOOKS HEALTH</t>
        </is>
      </c>
      <c r="H11" s="4" t="inlineStr">
        <is>
          <t>NET PROFIT BY MONTH</t>
        </is>
      </c>
    </row>
    <row r="12" ht="30" customHeight="1">
      <c r="B12" s="9" t="inlineStr">
        <is>
          <t>Check</t>
        </is>
      </c>
      <c r="C12" s="9" t="inlineStr">
        <is>
          <t>Score</t>
        </is>
      </c>
      <c r="D12" s="9" t="inlineStr">
        <is>
          <t>Status</t>
        </is>
      </c>
    </row>
    <row r="13">
      <c r="B13" s="17" t="inlineStr">
        <is>
          <t>Profitable</t>
        </is>
      </c>
      <c r="C13" s="18">
        <f>IFERROR(MIN(NetProfit/ProfitGoal,1),0)</f>
        <v/>
      </c>
      <c r="D13" s="19">
        <f>IF(C13&gt;=0.85,"Strong",IF(C13&gt;=0.6,"OK","Watch"))</f>
        <v/>
      </c>
    </row>
    <row r="14">
      <c r="B14" s="20" t="inlineStr">
        <is>
          <t>Healthy net margin</t>
        </is>
      </c>
      <c r="C14" s="21">
        <f>IFERROR(MIN(NetMargin/MarginGoal,1),0)</f>
        <v/>
      </c>
      <c r="D14" s="22">
        <f>IF(C14&gt;=0.85,"Strong",IF(C14&gt;=0.6,"OK","Watch"))</f>
        <v/>
      </c>
    </row>
    <row r="15">
      <c r="B15" s="17" t="inlineStr">
        <is>
          <t>Tax set aside</t>
        </is>
      </c>
      <c r="C15" s="18">
        <f>IFERROR(MIN((QuarterlyTax*4)/TotalTax,1),0)</f>
        <v/>
      </c>
      <c r="D15" s="19">
        <f>IF(C15&gt;=0.85,"Strong",IF(C15&gt;=0.6,"OK","Watch"))</f>
        <v/>
      </c>
    </row>
    <row r="16">
      <c r="B16" s="20" t="inlineStr">
        <is>
          <t>Expenses categorized</t>
        </is>
      </c>
      <c r="C16" s="21">
        <f>IFERROR(MIN(CategoryCount/COUNTA(ExpCat),1),0)</f>
        <v/>
      </c>
      <c r="D16" s="22">
        <f>IF(C16&gt;=0.85,"Strong",IF(C16&gt;=0.6,"OK","Watch"))</f>
        <v/>
      </c>
    </row>
    <row r="17">
      <c r="B17" s="17" t="inlineStr">
        <is>
          <t>Books reconciled</t>
        </is>
      </c>
      <c r="C17" s="18">
        <f>IFERROR(MIN(MonthsReconciled/ReconcileGoal,1),0)</f>
        <v/>
      </c>
      <c r="D17" s="19">
        <f>IF(C17&gt;=0.85,"Strong",IF(C17&gt;=0.6,"OK","Watch"))</f>
        <v/>
      </c>
    </row>
    <row r="18">
      <c r="B18" s="20" t="inlineStr">
        <is>
          <t>Receipts attached</t>
        </is>
      </c>
      <c r="C18" s="21">
        <f>IFERROR(MIN(ReceiptsPct/1,1),0)</f>
        <v/>
      </c>
      <c r="D18" s="22">
        <f>IF(C18&gt;=0.85,"Strong",IF(C18&gt;=0.6,"OK","Watch"))</f>
        <v/>
      </c>
    </row>
    <row r="21" ht="26" customHeight="1">
      <c r="B21" s="2" t="inlineStr">
        <is>
          <t>Small Business Bookkeeping &amp; Tax Command Center™ — know your profit, own your tax bill.</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2" customWidth="1" min="1" max="1"/>
    <col width="38" customWidth="1" min="2" max="2"/>
    <col width="18" customWidth="1" min="3" max="3"/>
    <col width="2" customWidth="1" min="4" max="4"/>
  </cols>
  <sheetData>
    <row r="1" ht="46" customHeight="1">
      <c r="A1" s="1" t="inlineStr">
        <is>
          <t xml:space="preserve">  🧮  SCHEDULE C P&amp;L</t>
        </is>
      </c>
    </row>
    <row r="2" ht="22" customHeight="1">
      <c r="A2" s="2" t="inlineStr">
        <is>
          <t xml:space="preserve">  Revenue − COGS − expenses = your real net profit, then the exact tax it creates and what to send each quarter.</t>
        </is>
      </c>
    </row>
    <row r="3" ht="6" customHeight="1">
      <c r="A3" s="3" t="n"/>
      <c r="B3" s="3" t="n"/>
      <c r="C3" s="3" t="n"/>
    </row>
    <row r="5">
      <c r="B5" s="4" t="inlineStr">
        <is>
          <t>THE PROFIT &amp; LOSS</t>
        </is>
      </c>
    </row>
    <row r="6">
      <c r="B6" s="23" t="inlineStr">
        <is>
          <t>Gross revenue (Line 1)</t>
        </is>
      </c>
      <c r="C6" s="24">
        <f>GrossRevenue</f>
        <v/>
      </c>
    </row>
    <row r="7">
      <c r="B7" s="23" t="inlineStr">
        <is>
          <t>− Cost of goods sold (Line 4)</t>
        </is>
      </c>
      <c r="C7" s="25">
        <f>COGSTotal</f>
        <v/>
      </c>
    </row>
    <row r="8">
      <c r="B8" s="9">
        <f> GROSS PROFIT (Line 7)</f>
        <v/>
      </c>
      <c r="C8" s="26">
        <f>GrossRevenue-COGSTotal</f>
        <v/>
      </c>
    </row>
    <row r="9">
      <c r="B9" s="23" t="inlineStr">
        <is>
          <t>− Total expenses (Line 28)</t>
        </is>
      </c>
      <c r="C9" s="25">
        <f>ExpTotal</f>
        <v/>
      </c>
    </row>
    <row r="10">
      <c r="B10" s="9">
        <f> NET PROFIT (Line 31)</f>
        <v/>
      </c>
      <c r="C10" s="27">
        <f>GrossRevenue-COGSTotal-ExpTotal</f>
        <v/>
      </c>
    </row>
    <row r="11">
      <c r="B11" s="23" t="inlineStr">
        <is>
          <t>Net margin</t>
        </is>
      </c>
      <c r="C11" s="28">
        <f>IFERROR(NetProfit/GrossRevenue,0)</f>
        <v/>
      </c>
    </row>
    <row r="13">
      <c r="B13" s="4" t="inlineStr">
        <is>
          <t>THE TAX IT CREATES</t>
        </is>
      </c>
    </row>
    <row r="14">
      <c r="B14" s="23" t="inlineStr">
        <is>
          <t>SE taxable base (92.35% of net)</t>
        </is>
      </c>
      <c r="C14" s="25">
        <f>NetProfit*SEBasePct</f>
        <v/>
      </c>
    </row>
    <row r="15">
      <c r="B15" s="9" t="inlineStr">
        <is>
          <t>× Self-employment tax (15.3%)</t>
        </is>
      </c>
      <c r="C15" s="29">
        <f>NetProfit*SEBasePct*SETaxRate</f>
        <v/>
      </c>
    </row>
    <row r="16">
      <c r="B16" s="23" t="inlineStr">
        <is>
          <t>Taxable after ½ SE deduction</t>
        </is>
      </c>
      <c r="C16" s="25">
        <f>NetProfit-SETax/2</f>
        <v/>
      </c>
    </row>
    <row r="17">
      <c r="B17" s="9" t="inlineStr">
        <is>
          <t>× Income tax (your rate)</t>
        </is>
      </c>
      <c r="C17" s="29">
        <f>(NetProfit-SETax/2)*IncomeTaxRate</f>
        <v/>
      </c>
    </row>
    <row r="18">
      <c r="B18" s="9">
        <f> TOTAL TAX OWED</f>
        <v/>
      </c>
      <c r="C18" s="30">
        <f>SETax+IncomeTax</f>
        <v/>
      </c>
    </row>
    <row r="19">
      <c r="B19" s="9">
        <f> SEND EACH QUARTER</f>
        <v/>
      </c>
      <c r="C19" s="27">
        <f>(SETax+IncomeTax)/4</f>
        <v/>
      </c>
    </row>
    <row r="20">
      <c r="B20" s="23" t="inlineStr">
        <is>
          <t>Effective tax rate on profit</t>
        </is>
      </c>
      <c r="C20" s="31">
        <f>IFERROR(TotalTax/NetProfit,0)</f>
        <v/>
      </c>
    </row>
    <row r="22">
      <c r="B22" s="4" t="inlineStr">
        <is>
          <t>Set aside the quarterly figure the day money lands — never scramble in April.</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 customWidth="1" min="1" max="1"/>
    <col width="14" customWidth="1" min="2" max="2"/>
    <col width="22" customWidth="1" min="3" max="3"/>
    <col width="18" customWidth="1" min="4" max="4"/>
    <col width="2" customWidth="1" min="5" max="5"/>
  </cols>
  <sheetData>
    <row r="1" ht="46" customHeight="1">
      <c r="A1" s="1" t="inlineStr">
        <is>
          <t xml:space="preserve">  💵  INCOME</t>
        </is>
      </c>
    </row>
    <row r="2" ht="22" customHeight="1">
      <c r="A2" s="2" t="inlineStr">
        <is>
          <t xml:space="preserve">  Every dollar in, by month and source — this is your gross revenue, the top of the Schedule C.</t>
        </is>
      </c>
    </row>
    <row r="3" ht="6" customHeight="1">
      <c r="A3" s="3" t="n"/>
      <c r="B3" s="3" t="n"/>
      <c r="C3" s="3" t="n"/>
      <c r="D3" s="3" t="n"/>
    </row>
    <row r="4" ht="30" customHeight="1">
      <c r="B4" s="9" t="inlineStr">
        <is>
          <t>Month</t>
        </is>
      </c>
      <c r="C4" s="9" t="inlineStr">
        <is>
          <t>Source</t>
        </is>
      </c>
      <c r="D4" s="9" t="inlineStr">
        <is>
          <t>Amount</t>
        </is>
      </c>
    </row>
    <row r="5">
      <c r="B5" s="17" t="inlineStr">
        <is>
          <t>Feb</t>
        </is>
      </c>
      <c r="C5" s="19" t="inlineStr">
        <is>
          <t>Product sales</t>
        </is>
      </c>
      <c r="D5" s="32" t="n">
        <v>12000</v>
      </c>
    </row>
    <row r="6">
      <c r="B6" s="20" t="inlineStr">
        <is>
          <t>Mar</t>
        </is>
      </c>
      <c r="C6" s="22" t="inlineStr">
        <is>
          <t>Product sales</t>
        </is>
      </c>
      <c r="D6" s="33" t="n">
        <v>14000</v>
      </c>
    </row>
    <row r="7">
      <c r="B7" s="17" t="inlineStr">
        <is>
          <t>Apr</t>
        </is>
      </c>
      <c r="C7" s="19" t="inlineStr">
        <is>
          <t>Services</t>
        </is>
      </c>
      <c r="D7" s="32" t="n">
        <v>16000</v>
      </c>
    </row>
    <row r="8">
      <c r="B8" s="20" t="inlineStr">
        <is>
          <t>May</t>
        </is>
      </c>
      <c r="C8" s="22" t="inlineStr">
        <is>
          <t>Product sales</t>
        </is>
      </c>
      <c r="D8" s="33" t="n">
        <v>17000</v>
      </c>
    </row>
    <row r="9">
      <c r="B9" s="17" t="inlineStr">
        <is>
          <t>Jun</t>
        </is>
      </c>
      <c r="C9" s="19" t="inlineStr">
        <is>
          <t>Wholesale</t>
        </is>
      </c>
      <c r="D9" s="32" t="n">
        <v>18000</v>
      </c>
    </row>
    <row r="10">
      <c r="B10" s="20" t="inlineStr">
        <is>
          <t>Jul</t>
        </is>
      </c>
      <c r="C10" s="22" t="inlineStr">
        <is>
          <t>Product sales</t>
        </is>
      </c>
      <c r="D10" s="33" t="n">
        <v>19000</v>
      </c>
    </row>
    <row r="11">
      <c r="B11" s="9" t="inlineStr">
        <is>
          <t>GROSS REVENUE</t>
        </is>
      </c>
      <c r="C11" s="34" t="n"/>
      <c r="D11" s="26">
        <f>SUM(IncomeAmt)</f>
        <v/>
      </c>
    </row>
  </sheetData>
  <mergeCells count="2">
    <mergeCell ref="A1:D1"/>
    <mergeCell ref="A2:D2"/>
  </mergeCells>
  <dataValidations count="1">
    <dataValidation sqref="C5:C10" showDropDown="0" showInputMessage="0" showErrorMessage="0" allowBlank="1" type="list">
      <formula1>=IncomeSrcList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14" customWidth="1" min="4" max="4"/>
    <col width="16" customWidth="1" min="5" max="5"/>
    <col width="2" customWidth="1" min="6" max="6"/>
  </cols>
  <sheetData>
    <row r="1" ht="46" customHeight="1">
      <c r="A1" s="1" t="inlineStr">
        <is>
          <t xml:space="preserve">  📦  COGS &amp; INVENTORY</t>
        </is>
      </c>
    </row>
    <row r="2" ht="22" customHeight="1">
      <c r="A2" s="2" t="inlineStr">
        <is>
          <t xml:space="preserve">  The direct cost of what you actually sold — the line that separates revenue from real gross profit.</t>
        </is>
      </c>
    </row>
    <row r="3" ht="6" customHeight="1">
      <c r="A3" s="3" t="n"/>
      <c r="B3" s="3" t="n"/>
      <c r="C3" s="3" t="n"/>
      <c r="D3" s="3" t="n"/>
      <c r="E3" s="3" t="n"/>
    </row>
    <row r="4" ht="30" customHeight="1">
      <c r="B4" s="9" t="inlineStr">
        <is>
          <t>Item</t>
        </is>
      </c>
      <c r="C4" s="9" t="inlineStr">
        <is>
          <t>Units</t>
        </is>
      </c>
      <c r="D4" s="9" t="inlineStr">
        <is>
          <t>Unit Cost</t>
        </is>
      </c>
      <c r="E4" s="9" t="inlineStr">
        <is>
          <t>Total</t>
        </is>
      </c>
    </row>
    <row r="5">
      <c r="B5" s="17" t="inlineStr">
        <is>
          <t>Raw materials</t>
        </is>
      </c>
      <c r="C5" s="35" t="n">
        <v>1200</v>
      </c>
      <c r="D5" s="36" t="n">
        <v>9</v>
      </c>
      <c r="E5" s="37">
        <f>C5*D5</f>
        <v/>
      </c>
    </row>
    <row r="6">
      <c r="B6" s="20" t="inlineStr">
        <is>
          <t>Packaging</t>
        </is>
      </c>
      <c r="C6" s="38" t="n">
        <v>1200</v>
      </c>
      <c r="D6" s="39" t="n">
        <v>2.5</v>
      </c>
      <c r="E6" s="40">
        <f>C6*D6</f>
        <v/>
      </c>
    </row>
    <row r="7">
      <c r="B7" s="17" t="inlineStr">
        <is>
          <t>Shipping supplies</t>
        </is>
      </c>
      <c r="C7" s="35" t="n">
        <v>1200</v>
      </c>
      <c r="D7" s="36" t="n">
        <v>1.5</v>
      </c>
      <c r="E7" s="37">
        <f>C7*D7</f>
        <v/>
      </c>
    </row>
    <row r="8">
      <c r="B8" s="20" t="inlineStr">
        <is>
          <t>Wholesale goods</t>
        </is>
      </c>
      <c r="C8" s="38" t="n">
        <v>600</v>
      </c>
      <c r="D8" s="39" t="n">
        <v>15</v>
      </c>
      <c r="E8" s="40">
        <f>C8*D8</f>
        <v/>
      </c>
    </row>
    <row r="9">
      <c r="B9" s="17" t="inlineStr">
        <is>
          <t>Labels &amp; inserts</t>
        </is>
      </c>
      <c r="C9" s="35" t="n">
        <v>1200</v>
      </c>
      <c r="D9" s="36" t="n">
        <v>0.75</v>
      </c>
      <c r="E9" s="37">
        <f>C9*D9</f>
        <v/>
      </c>
    </row>
    <row r="10">
      <c r="B10" s="20" t="inlineStr">
        <is>
          <t>Freight in</t>
        </is>
      </c>
      <c r="C10" s="38" t="n">
        <v>1</v>
      </c>
      <c r="D10" s="39" t="n">
        <v>3300</v>
      </c>
      <c r="E10" s="40">
        <f>C10*D10</f>
        <v/>
      </c>
    </row>
    <row r="11">
      <c r="B11" s="9" t="inlineStr">
        <is>
          <t>TOTAL COGS</t>
        </is>
      </c>
      <c r="C11" s="34" t="n"/>
      <c r="D11" s="34" t="n"/>
      <c r="E11" s="29">
        <f>SUM(COGSRows)</f>
        <v/>
      </c>
    </row>
    <row r="13">
      <c r="B13" s="23" t="inlineStr">
        <is>
          <t>COGS % of revenue</t>
        </is>
      </c>
      <c r="E13" s="28">
        <f>IFERROR(COGSTotal/GrossRevenue,0)</f>
        <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8" customWidth="1" min="3" max="3"/>
    <col width="14" customWidth="1" min="4" max="4"/>
    <col width="2" customWidth="1" min="5" max="5"/>
  </cols>
  <sheetData>
    <row r="1" ht="46" customHeight="1">
      <c r="A1" s="1" t="inlineStr">
        <is>
          <t xml:space="preserve">  🧾  EXPENSES</t>
        </is>
      </c>
    </row>
    <row r="2" ht="22" customHeight="1">
      <c r="A2" s="2" t="inlineStr">
        <is>
          <t xml:space="preserve">  Every deductible cost by category — each one mapped to a real Schedule C line for your CPA.</t>
        </is>
      </c>
    </row>
    <row r="3" ht="6" customHeight="1">
      <c r="A3" s="3" t="n"/>
      <c r="B3" s="3" t="n"/>
      <c r="C3" s="3" t="n"/>
      <c r="D3" s="3" t="n"/>
    </row>
    <row r="4" ht="30" customHeight="1">
      <c r="B4" s="9" t="inlineStr">
        <is>
          <t>Category</t>
        </is>
      </c>
      <c r="C4" s="9" t="inlineStr">
        <is>
          <t>Amount</t>
        </is>
      </c>
      <c r="D4" s="9" t="inlineStr">
        <is>
          <t>% of Rev</t>
        </is>
      </c>
    </row>
    <row r="5">
      <c r="B5" s="17" t="inlineStr">
        <is>
          <t>Advertising</t>
        </is>
      </c>
      <c r="C5" s="32" t="n">
        <v>4200</v>
      </c>
      <c r="D5" s="41">
        <f>IFERROR(C5/GrossRevenue,0)</f>
        <v/>
      </c>
    </row>
    <row r="6">
      <c r="B6" s="20" t="inlineStr">
        <is>
          <t>Supplies</t>
        </is>
      </c>
      <c r="C6" s="33" t="n">
        <v>2400</v>
      </c>
      <c r="D6" s="42">
        <f>IFERROR(C6/GrossRevenue,0)</f>
        <v/>
      </c>
    </row>
    <row r="7">
      <c r="B7" s="17" t="inlineStr">
        <is>
          <t>Software</t>
        </is>
      </c>
      <c r="C7" s="32" t="n">
        <v>1800</v>
      </c>
      <c r="D7" s="41">
        <f>IFERROR(C7/GrossRevenue,0)</f>
        <v/>
      </c>
    </row>
    <row r="8">
      <c r="B8" s="20" t="inlineStr">
        <is>
          <t>Insurance</t>
        </is>
      </c>
      <c r="C8" s="33" t="n">
        <v>1500</v>
      </c>
      <c r="D8" s="42">
        <f>IFERROR(C8/GrossRevenue,0)</f>
        <v/>
      </c>
    </row>
    <row r="9">
      <c r="B9" s="17" t="inlineStr">
        <is>
          <t>Rent / studio</t>
        </is>
      </c>
      <c r="C9" s="32" t="n">
        <v>3600</v>
      </c>
      <c r="D9" s="41">
        <f>IFERROR(C9/GrossRevenue,0)</f>
        <v/>
      </c>
    </row>
    <row r="10">
      <c r="B10" s="20" t="inlineStr">
        <is>
          <t>Utilities &amp; phone</t>
        </is>
      </c>
      <c r="C10" s="33" t="n">
        <v>1200</v>
      </c>
      <c r="D10" s="42">
        <f>IFERROR(C10/GrossRevenue,0)</f>
        <v/>
      </c>
    </row>
    <row r="11">
      <c r="B11" s="17" t="inlineStr">
        <is>
          <t>Meals (50%)</t>
        </is>
      </c>
      <c r="C11" s="32" t="n">
        <v>600</v>
      </c>
      <c r="D11" s="41">
        <f>IFERROR(C11/GrossRevenue,0)</f>
        <v/>
      </c>
    </row>
    <row r="12">
      <c r="B12" s="20" t="inlineStr">
        <is>
          <t>Mileage &amp; travel</t>
        </is>
      </c>
      <c r="C12" s="33" t="n">
        <v>2800</v>
      </c>
      <c r="D12" s="42">
        <f>IFERROR(C12/GrossRevenue,0)</f>
        <v/>
      </c>
    </row>
    <row r="13">
      <c r="B13" s="17" t="inlineStr">
        <is>
          <t>Fees &amp; merchant</t>
        </is>
      </c>
      <c r="C13" s="32" t="n">
        <v>700</v>
      </c>
      <c r="D13" s="41">
        <f>IFERROR(C13/GrossRevenue,0)</f>
        <v/>
      </c>
    </row>
    <row r="14">
      <c r="B14" s="20" t="inlineStr">
        <is>
          <t>Professional (CPA)</t>
        </is>
      </c>
      <c r="C14" s="33" t="n">
        <v>400</v>
      </c>
      <c r="D14" s="42">
        <f>IFERROR(C14/GrossRevenue,0)</f>
        <v/>
      </c>
    </row>
    <row r="15">
      <c r="B15" s="9" t="inlineStr">
        <is>
          <t>TOTAL EXPENSES</t>
        </is>
      </c>
      <c r="C15" s="29">
        <f>SUM(ExpAmt)</f>
        <v/>
      </c>
      <c r="D15" s="43">
        <f>IFERROR(C15/GrossRevenue,0)</f>
        <v/>
      </c>
    </row>
    <row r="17">
      <c r="B17" s="23" t="inlineStr">
        <is>
          <t>Categories used</t>
        </is>
      </c>
      <c r="C17" s="44">
        <f>COUNTA(ExpCat)</f>
        <v/>
      </c>
    </row>
  </sheetData>
  <mergeCells count="2">
    <mergeCell ref="A1:D1"/>
    <mergeCell ref="A2:D2"/>
  </mergeCells>
  <conditionalFormatting sqref="C5:C14">
    <cfRule type="dataBar" priority="1">
      <dataBar>
        <cfvo type="min"/>
        <cfvo type="max"/>
        <color rgb="00C9A86A"/>
      </dataBar>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 customWidth="1" min="1" max="1"/>
    <col width="14" customWidth="1" min="2" max="2"/>
    <col width="26" customWidth="1" min="3" max="3"/>
    <col width="14" customWidth="1" min="4" max="4"/>
    <col width="16" customWidth="1" min="5" max="5"/>
    <col width="2" customWidth="1" min="6" max="6"/>
  </cols>
  <sheetData>
    <row r="1" ht="46" customHeight="1">
      <c r="A1" s="1" t="inlineStr">
        <is>
          <t xml:space="preserve">  🚗  MILEAGE</t>
        </is>
      </c>
    </row>
    <row r="2" ht="22" customHeight="1">
      <c r="A2" s="2" t="inlineStr">
        <is>
          <t xml:space="preserve">  Every business mile — at the IRS rate this is often the biggest deduction a small business forgets.</t>
        </is>
      </c>
    </row>
    <row r="3" ht="6" customHeight="1">
      <c r="A3" s="3" t="n"/>
      <c r="B3" s="3" t="n"/>
      <c r="C3" s="3" t="n"/>
      <c r="D3" s="3" t="n"/>
      <c r="E3" s="3" t="n"/>
    </row>
    <row r="4" ht="30" customHeight="1">
      <c r="B4" s="9" t="inlineStr">
        <is>
          <t>Date</t>
        </is>
      </c>
      <c r="C4" s="9" t="inlineStr">
        <is>
          <t>Purpose</t>
        </is>
      </c>
      <c r="D4" s="9" t="inlineStr">
        <is>
          <t>Miles</t>
        </is>
      </c>
      <c r="E4" s="9" t="inlineStr">
        <is>
          <t>Deduction</t>
        </is>
      </c>
    </row>
    <row r="5">
      <c r="B5" s="17" t="inlineStr">
        <is>
          <t>Feb 12</t>
        </is>
      </c>
      <c r="C5" s="17" t="inlineStr">
        <is>
          <t>Supply run</t>
        </is>
      </c>
      <c r="D5" s="35" t="n">
        <v>320</v>
      </c>
      <c r="E5" s="37">
        <f>D5*MileageRate</f>
        <v/>
      </c>
    </row>
    <row r="6">
      <c r="B6" s="20" t="inlineStr">
        <is>
          <t>Mar 8</t>
        </is>
      </c>
      <c r="C6" s="20" t="inlineStr">
        <is>
          <t>Client meeting</t>
        </is>
      </c>
      <c r="D6" s="38" t="n">
        <v>480</v>
      </c>
      <c r="E6" s="40">
        <f>D6*MileageRate</f>
        <v/>
      </c>
    </row>
    <row r="7">
      <c r="B7" s="17" t="inlineStr">
        <is>
          <t>Apr 3</t>
        </is>
      </c>
      <c r="C7" s="17" t="inlineStr">
        <is>
          <t>Craft fair</t>
        </is>
      </c>
      <c r="D7" s="35" t="n">
        <v>640</v>
      </c>
      <c r="E7" s="37">
        <f>D7*MileageRate</f>
        <v/>
      </c>
    </row>
    <row r="8">
      <c r="B8" s="20" t="inlineStr">
        <is>
          <t>May 19</t>
        </is>
      </c>
      <c r="C8" s="20" t="inlineStr">
        <is>
          <t>Post office runs</t>
        </is>
      </c>
      <c r="D8" s="38" t="n">
        <v>560</v>
      </c>
      <c r="E8" s="40">
        <f>D8*MileageRate</f>
        <v/>
      </c>
    </row>
    <row r="9">
      <c r="B9" s="17" t="inlineStr">
        <is>
          <t>Jun 7</t>
        </is>
      </c>
      <c r="C9" s="17" t="inlineStr">
        <is>
          <t>Wholesale delivery</t>
        </is>
      </c>
      <c r="D9" s="35" t="n">
        <v>900</v>
      </c>
      <c r="E9" s="37">
        <f>D9*MileageRate</f>
        <v/>
      </c>
    </row>
    <row r="10">
      <c r="B10" s="20" t="inlineStr">
        <is>
          <t>Jul 15</t>
        </is>
      </c>
      <c r="C10" s="20" t="inlineStr">
        <is>
          <t>Trade show</t>
        </is>
      </c>
      <c r="D10" s="38" t="n">
        <v>1100</v>
      </c>
      <c r="E10" s="40">
        <f>D10*MileageRate</f>
        <v/>
      </c>
    </row>
    <row r="11">
      <c r="B11" s="9" t="inlineStr">
        <is>
          <t>TOTAL MILES</t>
        </is>
      </c>
      <c r="C11" s="34" t="n"/>
      <c r="D11" s="45">
        <f>SUM(MilesRange)</f>
        <v/>
      </c>
      <c r="E11" s="26">
        <f>SUM(MilesRange)*MileageRate</f>
        <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8" customWidth="1" min="3" max="3"/>
    <col width="18" customWidth="1" min="4" max="4"/>
    <col width="16" customWidth="1" min="5" max="5"/>
    <col width="2" customWidth="1" min="6" max="6"/>
  </cols>
  <sheetData>
    <row r="1" ht="46" customHeight="1">
      <c r="A1" s="1" t="inlineStr">
        <is>
          <t xml:space="preserve">  🏛  SALES TAX</t>
        </is>
      </c>
    </row>
    <row r="2" ht="22" customHeight="1">
      <c r="A2" s="2" t="inlineStr">
        <is>
          <t xml:space="preserve">  What you collected versus what you've remitted — the money that was never yours to keep.</t>
        </is>
      </c>
    </row>
    <row r="3" ht="6" customHeight="1">
      <c r="A3" s="3" t="n"/>
      <c r="B3" s="3" t="n"/>
      <c r="C3" s="3" t="n"/>
      <c r="D3" s="3" t="n"/>
      <c r="E3" s="3" t="n"/>
    </row>
    <row r="4" ht="30" customHeight="1">
      <c r="B4" s="9" t="inlineStr">
        <is>
          <t>Period</t>
        </is>
      </c>
      <c r="C4" s="9" t="inlineStr">
        <is>
          <t>Collected</t>
        </is>
      </c>
      <c r="D4" s="9" t="inlineStr">
        <is>
          <t>Remitted</t>
        </is>
      </c>
      <c r="E4" s="9" t="inlineStr">
        <is>
          <t>Owed</t>
        </is>
      </c>
    </row>
    <row r="5">
      <c r="B5" s="17" t="inlineStr">
        <is>
          <t>Q1</t>
        </is>
      </c>
      <c r="C5" s="32" t="n">
        <v>600</v>
      </c>
      <c r="D5" s="32" t="n">
        <v>600</v>
      </c>
      <c r="E5" s="37">
        <f>C5-D5</f>
        <v/>
      </c>
    </row>
    <row r="6">
      <c r="B6" s="20" t="inlineStr">
        <is>
          <t>Q2</t>
        </is>
      </c>
      <c r="C6" s="33" t="n">
        <v>900</v>
      </c>
      <c r="D6" s="33" t="n">
        <v>900</v>
      </c>
      <c r="E6" s="40">
        <f>C6-D6</f>
        <v/>
      </c>
    </row>
    <row r="7">
      <c r="B7" s="17" t="inlineStr">
        <is>
          <t>Q3</t>
        </is>
      </c>
      <c r="C7" s="32" t="n">
        <v>600</v>
      </c>
      <c r="D7" s="32" t="n">
        <v>300</v>
      </c>
      <c r="E7" s="37">
        <f>C7-D7</f>
        <v/>
      </c>
    </row>
    <row r="8">
      <c r="B8" s="20" t="inlineStr">
        <is>
          <t>Q4</t>
        </is>
      </c>
      <c r="C8" s="33" t="n">
        <v>300</v>
      </c>
      <c r="D8" s="33" t="n">
        <v>0</v>
      </c>
      <c r="E8" s="40">
        <f>C8-D8</f>
        <v/>
      </c>
    </row>
    <row r="9">
      <c r="B9" s="9" t="inlineStr">
        <is>
          <t>YEAR TO DATE</t>
        </is>
      </c>
      <c r="C9" s="46">
        <f>SUM(STCollected)</f>
        <v/>
      </c>
      <c r="D9" s="46">
        <f>SUM(STRemitted)</f>
        <v/>
      </c>
      <c r="E9" s="47">
        <f>SUM(STCollected)-SUM(STRemitted)</f>
        <v/>
      </c>
    </row>
    <row r="11">
      <c r="B11" s="4" t="inlineStr">
        <is>
          <t>Sales tax you collected is held in trust — remit it, never spend it.</t>
        </is>
      </c>
    </row>
  </sheetData>
  <mergeCells count="2">
    <mergeCell ref="A2:E2"/>
    <mergeCell ref="A1:E1"/>
  </mergeCells>
  <conditionalFormatting sqref="E5:E8">
    <cfRule type="cellIs" priority="1" operator="greaterThan" dxfId="0">
      <formula>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showGridLines="0" workbookViewId="0">
      <pane ySplit="7" topLeftCell="A8" activePane="bottomLeft" state="frozen"/>
      <selection pane="bottomLeft" activeCell="A1" sqref="A1"/>
    </sheetView>
  </sheetViews>
  <sheetFormatPr baseColWidth="8" defaultRowHeight="15"/>
  <cols>
    <col width="2" customWidth="1" min="1" max="1"/>
    <col width="14" customWidth="1" min="2" max="2"/>
    <col width="18" customWidth="1" min="3" max="3"/>
    <col width="18" customWidth="1" min="4" max="4"/>
    <col width="14" customWidth="1" min="5" max="5"/>
    <col width="2" customWidth="1" min="6" max="6"/>
  </cols>
  <sheetData>
    <row r="1" ht="46" customHeight="1">
      <c r="A1" s="1" t="inlineStr">
        <is>
          <t xml:space="preserve">  📆  QUARTERLY TAXES</t>
        </is>
      </c>
    </row>
    <row r="2" ht="22" customHeight="1">
      <c r="A2" s="2" t="inlineStr">
        <is>
          <t xml:space="preserve">  The four dates that matter and what to send on each — pay these and April is a non-event.</t>
        </is>
      </c>
    </row>
    <row r="3" ht="6" customHeight="1">
      <c r="A3" s="3" t="n"/>
      <c r="B3" s="3" t="n"/>
      <c r="C3" s="3" t="n"/>
      <c r="D3" s="3" t="n"/>
      <c r="E3" s="3" t="n"/>
    </row>
    <row r="5">
      <c r="B5" s="23" t="inlineStr">
        <is>
          <t>Send each quarter</t>
        </is>
      </c>
      <c r="D5" s="24">
        <f>QuarterlyTax</f>
        <v/>
      </c>
    </row>
    <row r="7" ht="30" customHeight="1">
      <c r="B7" s="9" t="inlineStr">
        <is>
          <t>Quarter</t>
        </is>
      </c>
      <c r="C7" s="9" t="inlineStr">
        <is>
          <t>Due Date</t>
        </is>
      </c>
      <c r="D7" s="9" t="inlineStr">
        <is>
          <t>Amount</t>
        </is>
      </c>
      <c r="E7" s="9" t="inlineStr">
        <is>
          <t>Paid?</t>
        </is>
      </c>
    </row>
    <row r="8">
      <c r="B8" s="17" t="inlineStr">
        <is>
          <t>Q1</t>
        </is>
      </c>
      <c r="C8" s="19" t="inlineStr">
        <is>
          <t>Apr 15</t>
        </is>
      </c>
      <c r="D8" s="37">
        <f>QuarterlyTax</f>
        <v/>
      </c>
      <c r="E8" s="19" t="inlineStr">
        <is>
          <t>Yes</t>
        </is>
      </c>
    </row>
    <row r="9">
      <c r="B9" s="20" t="inlineStr">
        <is>
          <t>Q2</t>
        </is>
      </c>
      <c r="C9" s="22" t="inlineStr">
        <is>
          <t>Jun 15</t>
        </is>
      </c>
      <c r="D9" s="40">
        <f>QuarterlyTax</f>
        <v/>
      </c>
      <c r="E9" s="22" t="inlineStr">
        <is>
          <t>Yes</t>
        </is>
      </c>
    </row>
    <row r="10">
      <c r="B10" s="17" t="inlineStr">
        <is>
          <t>Q3</t>
        </is>
      </c>
      <c r="C10" s="19" t="inlineStr">
        <is>
          <t>Sep 15</t>
        </is>
      </c>
      <c r="D10" s="37">
        <f>QuarterlyTax</f>
        <v/>
      </c>
      <c r="E10" s="19" t="inlineStr">
        <is>
          <t>No</t>
        </is>
      </c>
    </row>
    <row r="11">
      <c r="B11" s="20" t="inlineStr">
        <is>
          <t>Q4</t>
        </is>
      </c>
      <c r="C11" s="22" t="inlineStr">
        <is>
          <t>Jan 15</t>
        </is>
      </c>
      <c r="D11" s="40">
        <f>QuarterlyTax</f>
        <v/>
      </c>
      <c r="E11" s="22" t="inlineStr">
        <is>
          <t>No</t>
        </is>
      </c>
    </row>
    <row r="12">
      <c r="B12" s="9" t="inlineStr">
        <is>
          <t>PAID SO FAR</t>
        </is>
      </c>
      <c r="C12" s="34" t="n"/>
      <c r="D12" s="48">
        <f>COUNTIF(QPaid,"Yes")*QuarterlyTax</f>
        <v/>
      </c>
      <c r="E12" s="49">
        <f>COUNTIF(QPaid,"Yes")&amp;" / 4"</f>
        <v/>
      </c>
    </row>
  </sheetData>
  <mergeCells count="2">
    <mergeCell ref="A2:E2"/>
    <mergeCell ref="A1:E1"/>
  </mergeCells>
  <dataValidations count="1">
    <dataValidation sqref="E8:E11" showDropDown="0" showInputMessage="0" showErrorMessage="0" allowBlank="1" type="list">
      <formula1>=YesNoList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8" customWidth="1" min="3" max="3"/>
    <col width="2" customWidth="1" min="4" max="4"/>
  </cols>
  <sheetData>
    <row r="1" ht="46" customHeight="1">
      <c r="A1" s="1" t="inlineStr">
        <is>
          <t xml:space="preserve">  🗂  SCHEDULE C LINES</t>
        </is>
      </c>
    </row>
    <row r="2" ht="22" customHeight="1">
      <c r="A2" s="2" t="inlineStr">
        <is>
          <t xml:space="preserve">  Every expense category mapped to its real Schedule C line — hand this to a CPA and they'll smile.</t>
        </is>
      </c>
    </row>
    <row r="3" ht="6" customHeight="1">
      <c r="A3" s="3" t="n"/>
      <c r="B3" s="3" t="n"/>
      <c r="C3" s="3" t="n"/>
    </row>
    <row r="4" ht="30" customHeight="1">
      <c r="B4" s="9" t="inlineStr">
        <is>
          <t>Category</t>
        </is>
      </c>
      <c r="C4" s="9" t="inlineStr">
        <is>
          <t>Schedule C Line</t>
        </is>
      </c>
    </row>
    <row r="5">
      <c r="B5" s="17" t="inlineStr">
        <is>
          <t>Advertising</t>
        </is>
      </c>
      <c r="C5" s="19" t="inlineStr">
        <is>
          <t>Line 8</t>
        </is>
      </c>
    </row>
    <row r="6">
      <c r="B6" s="20" t="inlineStr">
        <is>
          <t>Car &amp; truck (mileage)</t>
        </is>
      </c>
      <c r="C6" s="22" t="inlineStr">
        <is>
          <t>Line 9</t>
        </is>
      </c>
    </row>
    <row r="7">
      <c r="B7" s="17" t="inlineStr">
        <is>
          <t>Insurance</t>
        </is>
      </c>
      <c r="C7" s="19" t="inlineStr">
        <is>
          <t>Line 15</t>
        </is>
      </c>
    </row>
    <row r="8">
      <c r="B8" s="20" t="inlineStr">
        <is>
          <t>Legal &amp; professional</t>
        </is>
      </c>
      <c r="C8" s="22" t="inlineStr">
        <is>
          <t>Line 17</t>
        </is>
      </c>
    </row>
    <row r="9">
      <c r="B9" s="17" t="inlineStr">
        <is>
          <t>Office expense</t>
        </is>
      </c>
      <c r="C9" s="19" t="inlineStr">
        <is>
          <t>Line 18</t>
        </is>
      </c>
    </row>
    <row r="10">
      <c r="B10" s="20" t="inlineStr">
        <is>
          <t>Rent</t>
        </is>
      </c>
      <c r="C10" s="22" t="inlineStr">
        <is>
          <t>Line 20b</t>
        </is>
      </c>
    </row>
    <row r="11">
      <c r="B11" s="17" t="inlineStr">
        <is>
          <t>Supplies</t>
        </is>
      </c>
      <c r="C11" s="19" t="inlineStr">
        <is>
          <t>Line 22</t>
        </is>
      </c>
    </row>
    <row r="12">
      <c r="B12" s="20" t="inlineStr">
        <is>
          <t>Travel</t>
        </is>
      </c>
      <c r="C12" s="22" t="inlineStr">
        <is>
          <t>Line 24a</t>
        </is>
      </c>
    </row>
    <row r="13">
      <c r="B13" s="17" t="inlineStr">
        <is>
          <t>Meals (50%)</t>
        </is>
      </c>
      <c r="C13" s="19" t="inlineStr">
        <is>
          <t>Line 24b</t>
        </is>
      </c>
    </row>
    <row r="14">
      <c r="B14" s="20" t="inlineStr">
        <is>
          <t>Utilities</t>
        </is>
      </c>
      <c r="C14" s="22" t="inlineStr">
        <is>
          <t>Line 25</t>
        </is>
      </c>
    </row>
    <row r="15">
      <c r="B15" s="17" t="inlineStr">
        <is>
          <t>Other expenses</t>
        </is>
      </c>
      <c r="C15" s="19" t="inlineStr">
        <is>
          <t>Line 27a</t>
        </is>
      </c>
    </row>
    <row r="17">
      <c r="B17" s="23" t="inlineStr">
        <is>
          <t>Categories mapped</t>
        </is>
      </c>
      <c r="C17" s="44">
        <f>COUNTA(B5:B15)</f>
        <v/>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4"/>
  <sheetViews>
    <sheetView showGridLines="0" workbookViewId="0">
      <pane ySplit="4" topLeftCell="A5" activePane="bottomLeft" state="frozen"/>
      <selection pane="bottomLeft" activeCell="A1" sqref="A1"/>
    </sheetView>
  </sheetViews>
  <sheetFormatPr baseColWidth="8" defaultRowHeight="15"/>
  <cols>
    <col width="2" customWidth="1" min="1" max="1"/>
    <col width="14" customWidth="1" min="2" max="2"/>
    <col width="22" customWidth="1" min="3" max="3"/>
    <col width="16" customWidth="1" min="4" max="4"/>
    <col width="14" customWidth="1" min="5" max="5"/>
    <col width="2" customWidth="1" min="6" max="6"/>
  </cols>
  <sheetData>
    <row r="1" ht="46" customHeight="1">
      <c r="A1" s="1" t="inlineStr">
        <is>
          <t xml:space="preserve">  📨  INVOICES</t>
        </is>
      </c>
    </row>
    <row r="2" ht="22" customHeight="1">
      <c r="A2" s="2" t="inlineStr">
        <is>
          <t xml:space="preserve">  Who owes you what — every invoice, its status and the cash still outstanding.</t>
        </is>
      </c>
    </row>
    <row r="3" ht="6" customHeight="1">
      <c r="A3" s="3" t="n"/>
      <c r="B3" s="3" t="n"/>
      <c r="C3" s="3" t="n"/>
      <c r="D3" s="3" t="n"/>
      <c r="E3" s="3" t="n"/>
    </row>
    <row r="4" ht="30" customHeight="1">
      <c r="B4" s="9" t="inlineStr">
        <is>
          <t>Invoice</t>
        </is>
      </c>
      <c r="C4" s="9" t="inlineStr">
        <is>
          <t>Client</t>
        </is>
      </c>
      <c r="D4" s="9" t="inlineStr">
        <is>
          <t>Amount</t>
        </is>
      </c>
      <c r="E4" s="9" t="inlineStr">
        <is>
          <t>Status</t>
        </is>
      </c>
    </row>
    <row r="5">
      <c r="B5" s="50" t="inlineStr">
        <is>
          <t>#1041</t>
        </is>
      </c>
      <c r="C5" s="50" t="inlineStr">
        <is>
          <t>Rowan Retail</t>
        </is>
      </c>
      <c r="D5" s="51" t="n">
        <v>4200</v>
      </c>
      <c r="E5" s="52" t="inlineStr">
        <is>
          <t>Paid</t>
        </is>
      </c>
    </row>
    <row r="6">
      <c r="B6" s="20" t="inlineStr">
        <is>
          <t>#1042</t>
        </is>
      </c>
      <c r="C6" s="20" t="inlineStr">
        <is>
          <t>Birch Boutique</t>
        </is>
      </c>
      <c r="D6" s="40" t="n">
        <v>3600</v>
      </c>
      <c r="E6" s="22" t="inlineStr">
        <is>
          <t>Paid</t>
        </is>
      </c>
    </row>
    <row r="7">
      <c r="B7" s="50" t="inlineStr">
        <is>
          <t>#1043</t>
        </is>
      </c>
      <c r="C7" s="50" t="inlineStr">
        <is>
          <t>Cedar Co.</t>
        </is>
      </c>
      <c r="D7" s="51" t="n">
        <v>2800</v>
      </c>
      <c r="E7" s="52" t="inlineStr">
        <is>
          <t>Sent</t>
        </is>
      </c>
    </row>
    <row r="8">
      <c r="B8" s="20" t="inlineStr">
        <is>
          <t>#1044</t>
        </is>
      </c>
      <c r="C8" s="20" t="inlineStr">
        <is>
          <t>Alder Shop</t>
        </is>
      </c>
      <c r="D8" s="40" t="n">
        <v>1900</v>
      </c>
      <c r="E8" s="22" t="inlineStr">
        <is>
          <t>Sent</t>
        </is>
      </c>
    </row>
    <row r="9">
      <c r="B9" s="50" t="inlineStr">
        <is>
          <t>#1045</t>
        </is>
      </c>
      <c r="C9" s="50" t="inlineStr">
        <is>
          <t>Maple Market</t>
        </is>
      </c>
      <c r="D9" s="51" t="n">
        <v>1500</v>
      </c>
      <c r="E9" s="52" t="inlineStr">
        <is>
          <t>Overdue</t>
        </is>
      </c>
    </row>
    <row r="10">
      <c r="B10" s="20" t="n"/>
      <c r="C10" s="20" t="n"/>
      <c r="D10" s="40" t="n"/>
      <c r="E10" s="22" t="n"/>
    </row>
    <row r="11">
      <c r="B11" s="50" t="n"/>
      <c r="C11" s="50" t="n"/>
      <c r="D11" s="51" t="n"/>
      <c r="E11" s="52" t="n"/>
    </row>
    <row r="12">
      <c r="B12" s="20" t="n"/>
      <c r="C12" s="20" t="n"/>
      <c r="D12" s="40" t="n"/>
      <c r="E12" s="22" t="n"/>
    </row>
    <row r="13">
      <c r="B13" s="50" t="n"/>
      <c r="C13" s="50" t="n"/>
      <c r="D13" s="51" t="n"/>
      <c r="E13" s="52" t="n"/>
    </row>
    <row r="14">
      <c r="B14" s="20" t="n"/>
      <c r="C14" s="20" t="n"/>
      <c r="D14" s="40" t="n"/>
      <c r="E14" s="22" t="n"/>
    </row>
    <row r="15">
      <c r="B15" s="50" t="n"/>
      <c r="C15" s="50" t="n"/>
      <c r="D15" s="51" t="n"/>
      <c r="E15" s="52" t="n"/>
    </row>
    <row r="16">
      <c r="B16" s="20" t="n"/>
      <c r="C16" s="20" t="n"/>
      <c r="D16" s="40" t="n"/>
      <c r="E16" s="22" t="n"/>
    </row>
    <row r="17">
      <c r="B17" s="50" t="n"/>
      <c r="C17" s="50" t="n"/>
      <c r="D17" s="51" t="n"/>
      <c r="E17" s="52" t="n"/>
    </row>
    <row r="18">
      <c r="B18" s="20" t="n"/>
      <c r="C18" s="20" t="n"/>
      <c r="D18" s="40" t="n"/>
      <c r="E18" s="22" t="n"/>
    </row>
    <row r="19">
      <c r="B19" s="50" t="n"/>
      <c r="C19" s="50" t="n"/>
      <c r="D19" s="51" t="n"/>
      <c r="E19" s="52" t="n"/>
    </row>
    <row r="20">
      <c r="B20" s="20" t="n"/>
      <c r="C20" s="20" t="n"/>
      <c r="D20" s="40" t="n"/>
      <c r="E20" s="22" t="n"/>
    </row>
    <row r="21">
      <c r="B21" s="50" t="n"/>
      <c r="C21" s="50" t="n"/>
      <c r="D21" s="51" t="n"/>
      <c r="E21" s="52" t="n"/>
    </row>
    <row r="22">
      <c r="B22" s="20" t="n"/>
      <c r="C22" s="20" t="n"/>
      <c r="D22" s="40" t="n"/>
      <c r="E22" s="22" t="n"/>
    </row>
    <row r="23">
      <c r="B23" s="50" t="n"/>
      <c r="C23" s="50" t="n"/>
      <c r="D23" s="51" t="n"/>
      <c r="E23" s="52" t="n"/>
    </row>
    <row r="24">
      <c r="B24" s="20" t="n"/>
      <c r="C24" s="20" t="n"/>
      <c r="D24" s="40" t="n"/>
      <c r="E24" s="22" t="n"/>
    </row>
    <row r="25">
      <c r="B25" s="50" t="n"/>
      <c r="C25" s="50" t="n"/>
      <c r="D25" s="51" t="n"/>
      <c r="E25" s="52" t="n"/>
    </row>
    <row r="26">
      <c r="B26" s="20" t="n"/>
      <c r="C26" s="20" t="n"/>
      <c r="D26" s="40" t="n"/>
      <c r="E26" s="22" t="n"/>
    </row>
    <row r="27">
      <c r="B27" s="50" t="n"/>
      <c r="C27" s="50" t="n"/>
      <c r="D27" s="51" t="n"/>
      <c r="E27" s="52" t="n"/>
    </row>
    <row r="28">
      <c r="B28" s="20" t="n"/>
      <c r="C28" s="20" t="n"/>
      <c r="D28" s="40" t="n"/>
      <c r="E28" s="22" t="n"/>
    </row>
    <row r="29">
      <c r="B29" s="50" t="n"/>
      <c r="C29" s="50" t="n"/>
      <c r="D29" s="51" t="n"/>
      <c r="E29" s="52" t="n"/>
    </row>
    <row r="30">
      <c r="B30" s="20" t="n"/>
      <c r="C30" s="20" t="n"/>
      <c r="D30" s="40" t="n"/>
      <c r="E30" s="22" t="n"/>
    </row>
    <row r="31">
      <c r="B31" s="50" t="n"/>
      <c r="C31" s="50" t="n"/>
      <c r="D31" s="51" t="n"/>
      <c r="E31" s="52" t="n"/>
    </row>
    <row r="32">
      <c r="B32" s="20" t="n"/>
      <c r="C32" s="20" t="n"/>
      <c r="D32" s="40" t="n"/>
      <c r="E32" s="22" t="n"/>
    </row>
    <row r="33">
      <c r="B33" s="9" t="inlineStr">
        <is>
          <t>INVOICED</t>
        </is>
      </c>
      <c r="C33" s="34" t="n"/>
      <c r="D33" s="46">
        <f>SUM(InvAmt)</f>
        <v/>
      </c>
      <c r="E33" s="34" t="n"/>
    </row>
    <row r="34">
      <c r="B34" s="23" t="inlineStr">
        <is>
          <t>Outstanding (not paid)</t>
        </is>
      </c>
      <c r="D34" s="53">
        <f>SUM(InvAmt)-SUMIF(InvStatus,"Paid",InvAmt)</f>
        <v/>
      </c>
    </row>
  </sheetData>
  <mergeCells count="2">
    <mergeCell ref="A2:E2"/>
    <mergeCell ref="A1:E1"/>
  </mergeCells>
  <dataValidations count="1">
    <dataValidation sqref="E5:E32" showDropDown="0" showInputMessage="0" showErrorMessage="0" allowBlank="1" type="list">
      <formula1>=PayStatusList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20" customWidth="1" min="3" max="3"/>
    <col width="20" customWidth="1" min="4" max="4"/>
    <col width="2" customWidth="1" min="5" max="5"/>
  </cols>
  <sheetData>
    <row r="1" ht="46" customHeight="1">
      <c r="A1" s="1" t="inlineStr">
        <is>
          <t xml:space="preserve">  ✅  RECONCILIATION</t>
        </is>
      </c>
    </row>
    <row r="2" ht="22" customHeight="1">
      <c r="A2" s="2" t="inlineStr">
        <is>
          <t xml:space="preserve">  Month by month — bank matched and receipts attached. Ten minutes a month keeps an audit painless.</t>
        </is>
      </c>
    </row>
    <row r="3" ht="6" customHeight="1">
      <c r="A3" s="3" t="n"/>
      <c r="B3" s="3" t="n"/>
      <c r="C3" s="3" t="n"/>
      <c r="D3" s="3" t="n"/>
    </row>
    <row r="4" ht="30" customHeight="1">
      <c r="B4" s="9" t="inlineStr">
        <is>
          <t>Month</t>
        </is>
      </c>
      <c r="C4" s="9" t="inlineStr">
        <is>
          <t>Bank Matched?</t>
        </is>
      </c>
      <c r="D4" s="9" t="inlineStr">
        <is>
          <t>Receipts Filed?</t>
        </is>
      </c>
    </row>
    <row r="5">
      <c r="B5" s="17" t="inlineStr">
        <is>
          <t>Feb</t>
        </is>
      </c>
      <c r="C5" s="19" t="inlineStr">
        <is>
          <t>Yes</t>
        </is>
      </c>
      <c r="D5" s="19" t="inlineStr">
        <is>
          <t>Yes</t>
        </is>
      </c>
    </row>
    <row r="6">
      <c r="B6" s="20" t="inlineStr">
        <is>
          <t>Mar</t>
        </is>
      </c>
      <c r="C6" s="22" t="inlineStr">
        <is>
          <t>Yes</t>
        </is>
      </c>
      <c r="D6" s="22" t="inlineStr">
        <is>
          <t>Yes</t>
        </is>
      </c>
    </row>
    <row r="7">
      <c r="B7" s="17" t="inlineStr">
        <is>
          <t>Apr</t>
        </is>
      </c>
      <c r="C7" s="19" t="inlineStr">
        <is>
          <t>Yes</t>
        </is>
      </c>
      <c r="D7" s="19" t="inlineStr">
        <is>
          <t>No</t>
        </is>
      </c>
    </row>
    <row r="8">
      <c r="B8" s="20" t="inlineStr">
        <is>
          <t>May</t>
        </is>
      </c>
      <c r="C8" s="22" t="inlineStr">
        <is>
          <t>Yes</t>
        </is>
      </c>
      <c r="D8" s="22" t="inlineStr">
        <is>
          <t>No</t>
        </is>
      </c>
    </row>
    <row r="9">
      <c r="B9" s="17" t="inlineStr">
        <is>
          <t>Jun</t>
        </is>
      </c>
      <c r="C9" s="19" t="inlineStr">
        <is>
          <t>Yes</t>
        </is>
      </c>
      <c r="D9" s="19" t="inlineStr">
        <is>
          <t>No</t>
        </is>
      </c>
    </row>
    <row r="10">
      <c r="B10" s="20" t="inlineStr">
        <is>
          <t>Jul</t>
        </is>
      </c>
      <c r="C10" s="22" t="inlineStr">
        <is>
          <t>Yes</t>
        </is>
      </c>
      <c r="D10" s="22" t="inlineStr">
        <is>
          <t>No</t>
        </is>
      </c>
    </row>
    <row r="11">
      <c r="B11" s="9" t="inlineStr">
        <is>
          <t>MONTHS DONE</t>
        </is>
      </c>
      <c r="C11" s="54">
        <f>COUNTIF(BankMatched,"Yes")</f>
        <v/>
      </c>
      <c r="D11" s="55">
        <f>COUNTIF(ReceiptsFiled,"Yes")</f>
        <v/>
      </c>
    </row>
  </sheetData>
  <mergeCells count="2">
    <mergeCell ref="A1:D1"/>
    <mergeCell ref="A2:D2"/>
  </mergeCells>
  <dataValidations count="2">
    <dataValidation sqref="C5:C10" showDropDown="0" showInputMessage="0" showErrorMessage="0" allowBlank="1" type="list">
      <formula1>=YesNoList</formula1>
    </dataValidation>
    <dataValidation sqref="D5:D10" showDropDown="0" showInputMessage="0" showErrorMessage="0" allowBlank="1" type="list">
      <formula1>=YesNoList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 customWidth="1" min="1" max="1"/>
    <col width="30" customWidth="1" min="2" max="2"/>
    <col width="18" customWidth="1" min="3" max="3"/>
    <col width="2" customWidth="1" min="4" max="4"/>
  </cols>
  <sheetData>
    <row r="1" ht="46" customHeight="1">
      <c r="A1" s="1" t="inlineStr">
        <is>
          <t xml:space="preserve">  📈  MONTHLY SUMMARY</t>
        </is>
      </c>
    </row>
    <row r="2" ht="22" customHeight="1">
      <c r="A2" s="2" t="inlineStr">
        <is>
          <t xml:space="preserve">  Net profit month by month — the line that tells you whether the business is actually working.</t>
        </is>
      </c>
    </row>
    <row r="3" ht="6" customHeight="1">
      <c r="A3" s="3" t="n"/>
      <c r="B3" s="3" t="n"/>
      <c r="C3" s="3" t="n"/>
    </row>
    <row r="5">
      <c r="B5" s="4" t="inlineStr">
        <is>
          <t>THE TREND</t>
        </is>
      </c>
    </row>
    <row r="6" ht="30" customHeight="1">
      <c r="B6" s="9" t="inlineStr">
        <is>
          <t>Month</t>
        </is>
      </c>
      <c r="C6" s="9" t="inlineStr">
        <is>
          <t>Net Profit</t>
        </is>
      </c>
    </row>
    <row r="7">
      <c r="B7" s="17" t="inlineStr">
        <is>
          <t>Feb</t>
        </is>
      </c>
      <c r="C7" s="32" t="n">
        <v>6000</v>
      </c>
    </row>
    <row r="8">
      <c r="B8" s="20" t="inlineStr">
        <is>
          <t>Mar</t>
        </is>
      </c>
      <c r="C8" s="33" t="n">
        <v>7000</v>
      </c>
    </row>
    <row r="9">
      <c r="B9" s="17" t="inlineStr">
        <is>
          <t>Apr</t>
        </is>
      </c>
      <c r="C9" s="32" t="n">
        <v>8000</v>
      </c>
    </row>
    <row r="10">
      <c r="B10" s="20" t="inlineStr">
        <is>
          <t>May</t>
        </is>
      </c>
      <c r="C10" s="33" t="n">
        <v>8500</v>
      </c>
    </row>
    <row r="11">
      <c r="B11" s="17" t="inlineStr">
        <is>
          <t>Jun</t>
        </is>
      </c>
      <c r="C11" s="32" t="n">
        <v>9000</v>
      </c>
    </row>
    <row r="12">
      <c r="B12" s="20" t="inlineStr">
        <is>
          <t>Jul</t>
        </is>
      </c>
      <c r="C12" s="33" t="n">
        <v>9500</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32" customWidth="1" min="2" max="2"/>
    <col width="20" customWidth="1" min="3" max="3"/>
    <col width="3" customWidth="1" min="4" max="4"/>
    <col width="18" customWidth="1" min="5" max="5"/>
    <col width="18" customWidth="1" min="6" max="6"/>
    <col width="18" customWidth="1" min="7" max="7"/>
    <col width="18" customWidth="1" min="8" max="8"/>
    <col width="18" customWidth="1" min="9" max="9"/>
    <col width="18" customWidth="1" min="10" max="10"/>
  </cols>
  <sheetData>
    <row r="1" ht="46" customHeight="1">
      <c r="A1" s="1" t="inlineStr">
        <is>
          <t xml:space="preserve">  ⚙  SETTINGS</t>
        </is>
      </c>
    </row>
    <row r="2" ht="22" customHeight="1">
      <c r="A2" s="2" t="inlineStr">
        <is>
          <t xml:space="preserve">  Set your rates &amp; goals once — every tab follows.</t>
        </is>
      </c>
    </row>
    <row r="3" ht="6" customHeight="1">
      <c r="A3" s="3" t="n"/>
      <c r="B3" s="3" t="n"/>
      <c r="C3" s="3" t="n"/>
      <c r="D3" s="3" t="n"/>
      <c r="E3" s="3" t="n"/>
      <c r="F3" s="3" t="n"/>
      <c r="G3" s="3" t="n"/>
      <c r="H3" s="3" t="n"/>
      <c r="I3" s="3" t="n"/>
      <c r="J3" s="3" t="n"/>
    </row>
    <row r="5">
      <c r="B5" s="7" t="inlineStr">
        <is>
          <t>YOUR RATES &amp; GOALS</t>
        </is>
      </c>
      <c r="E5" s="4" t="inlineStr">
        <is>
          <t>DROPDOWN LISTS</t>
        </is>
      </c>
    </row>
    <row r="6">
      <c r="B6" s="23" t="inlineStr">
        <is>
          <t>Business name</t>
        </is>
      </c>
      <c r="C6" s="56" t="inlineStr">
        <is>
          <t>Quill &amp; Ledger</t>
        </is>
      </c>
      <c r="E6" s="9" t="inlineStr">
        <is>
          <t>Income source</t>
        </is>
      </c>
      <c r="F6" s="9" t="inlineStr">
        <is>
          <t>Expense category</t>
        </is>
      </c>
      <c r="G6" s="9" t="inlineStr">
        <is>
          <t>Invoice status</t>
        </is>
      </c>
      <c r="H6" s="9" t="inlineStr">
        <is>
          <t>Yes / No</t>
        </is>
      </c>
    </row>
    <row r="7">
      <c r="B7" s="23" t="inlineStr">
        <is>
          <t>Owner</t>
        </is>
      </c>
      <c r="C7" s="56" t="inlineStr">
        <is>
          <t>Morgan</t>
        </is>
      </c>
      <c r="E7" s="17" t="inlineStr">
        <is>
          <t>Product sales</t>
        </is>
      </c>
      <c r="F7" s="17" t="inlineStr">
        <is>
          <t>Advertising</t>
        </is>
      </c>
      <c r="G7" s="17" t="inlineStr">
        <is>
          <t>Paid</t>
        </is>
      </c>
      <c r="H7" s="17" t="inlineStr">
        <is>
          <t>Yes</t>
        </is>
      </c>
    </row>
    <row r="8">
      <c r="B8" s="23" t="inlineStr">
        <is>
          <t>IRS mileage rate ($/mi)</t>
        </is>
      </c>
      <c r="C8" s="36" t="n">
        <v>0.7</v>
      </c>
      <c r="E8" s="17" t="inlineStr">
        <is>
          <t>Services</t>
        </is>
      </c>
      <c r="F8" s="17" t="inlineStr">
        <is>
          <t>Supplies</t>
        </is>
      </c>
      <c r="G8" s="17" t="inlineStr">
        <is>
          <t>Sent</t>
        </is>
      </c>
      <c r="H8" s="17" t="inlineStr">
        <is>
          <t>No</t>
        </is>
      </c>
    </row>
    <row r="9">
      <c r="B9" s="23" t="inlineStr">
        <is>
          <t>Self-employment tax rate</t>
        </is>
      </c>
      <c r="C9" s="57" t="n">
        <v>0.153</v>
      </c>
      <c r="E9" s="17" t="inlineStr">
        <is>
          <t>Wholesale</t>
        </is>
      </c>
      <c r="F9" s="17" t="inlineStr">
        <is>
          <t>Software</t>
        </is>
      </c>
      <c r="G9" s="17" t="inlineStr">
        <is>
          <t>Overdue</t>
        </is>
      </c>
    </row>
    <row r="10">
      <c r="B10" s="23" t="inlineStr">
        <is>
          <t>SE taxable base %</t>
        </is>
      </c>
      <c r="C10" s="58" t="n">
        <v>0.9235</v>
      </c>
      <c r="E10" s="17" t="inlineStr">
        <is>
          <t>Online</t>
        </is>
      </c>
      <c r="F10" s="17" t="inlineStr">
        <is>
          <t>Insurance</t>
        </is>
      </c>
      <c r="G10" s="17" t="inlineStr">
        <is>
          <t>Draft</t>
        </is>
      </c>
    </row>
    <row r="11">
      <c r="B11" s="23" t="inlineStr">
        <is>
          <t>Income tax rate (est.)</t>
        </is>
      </c>
      <c r="C11" s="59" t="n">
        <v>0.12</v>
      </c>
      <c r="E11" s="17" t="inlineStr">
        <is>
          <t>Other</t>
        </is>
      </c>
      <c r="F11" s="17" t="inlineStr">
        <is>
          <t>Rent</t>
        </is>
      </c>
    </row>
    <row r="12">
      <c r="B12" s="23" t="inlineStr">
        <is>
          <t>Net-profit goal</t>
        </is>
      </c>
      <c r="C12" s="32" t="n">
        <v>30000</v>
      </c>
      <c r="F12" s="17" t="inlineStr">
        <is>
          <t>Utilities</t>
        </is>
      </c>
    </row>
    <row r="13">
      <c r="B13" s="23" t="inlineStr">
        <is>
          <t>Net-margin goal %</t>
        </is>
      </c>
      <c r="C13" s="59" t="n">
        <v>0.3</v>
      </c>
      <c r="F13" s="17" t="inlineStr">
        <is>
          <t>Meals</t>
        </is>
      </c>
    </row>
    <row r="14">
      <c r="B14" s="23" t="inlineStr">
        <is>
          <t>Months-to-reconcile goal</t>
        </is>
      </c>
      <c r="C14" s="60" t="n">
        <v>6</v>
      </c>
      <c r="F14" s="17" t="inlineStr">
        <is>
          <t>Travel</t>
        </is>
      </c>
    </row>
    <row r="15">
      <c r="B15" s="23" t="inlineStr">
        <is>
          <t>Receipts attached %</t>
        </is>
      </c>
      <c r="C15" s="59" t="n">
        <v>0.4</v>
      </c>
      <c r="F15" s="17" t="inlineStr">
        <is>
          <t>Fees</t>
        </is>
      </c>
    </row>
    <row r="16">
      <c r="F16" s="17" t="inlineStr">
        <is>
          <t>Professional</t>
        </is>
      </c>
    </row>
    <row r="17">
      <c r="F17" s="17" t="inlineStr">
        <is>
          <t>Other</t>
        </is>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2026-07-26T04:26:14Z</dcterms:created>
  <dcterms:modified xsi:type="dcterms:W3CDTF">2026-07-26T04:26:14Z</dcterms:modified>
</cp:coreProperties>
</file>