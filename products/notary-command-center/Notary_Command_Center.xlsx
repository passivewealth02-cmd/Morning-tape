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Signing Profit" sheetId="3" state="visible" r:id="rId3"/>
    <sheet name="Signings Log" sheetId="4" state="visible" r:id="rId4"/>
    <sheet name="Fee Schedule" sheetId="5" state="visible" r:id="rId5"/>
    <sheet name="Mileage Log" sheetId="6" state="visible" r:id="rId6"/>
    <sheet name="Printing &amp; Supplies" sheetId="7" state="visible" r:id="rId7"/>
    <sheet name="Invoices" sheetId="8" state="visible" r:id="rId8"/>
    <sheet name="Signing Companies" sheetId="9" state="visible" r:id="rId9"/>
    <sheet name="Notarial Journal" sheetId="10" state="visible" r:id="rId10"/>
    <sheet name="Expenses" sheetId="11" state="visible" r:id="rId11"/>
    <sheet name="Tax Set-Aside" sheetId="12" state="visible" r:id="rId12"/>
    <sheet name="Monthly Summary" sheetId="13" state="visible" r:id="rId13"/>
    <sheet name="Settings" sheetId="14" state="visible" r:id="rId14"/>
  </sheets>
  <definedNames>
    <definedName name="Business">Settings!$C$6</definedName>
    <definedName name="Agent">Settings!$C$7</definedName>
    <definedName name="AvgFee">Settings!$C$8</definedName>
    <definedName name="CostPerPage">Settings!$C$9</definedName>
    <definedName name="VehicleCPM">Settings!$C$10</definedName>
    <definedName name="IRSRate">Settings!$C$11</definedName>
    <definedName name="SigningsMonth">Settings!$C$12</definedName>
    <definedName name="Unpaid">Settings!$C$13</definedName>
    <definedName name="HourlyGoal">Settings!$C$14</definedName>
    <definedName name="MarginGoal">Settings!$C$15</definedName>
    <definedName name="CoverGoal">Settings!$C$16</definedName>
    <definedName name="PaidGoal">Settings!$C$17</definedName>
    <definedName name="SigningGoal">Settings!$C$18</definedName>
    <definedName name="TaxReserveGoal">Settings!$C$19</definedName>
    <definedName name="SignTypeList">Settings!$E$7:$E$14</definedName>
    <definedName name="PayStatusList">Settings!$F$7:$F$10</definedName>
    <definedName name="IDTypeList">Settings!$G$7:$G$11</definedName>
    <definedName name="ExpCatList">Settings!$H$7:$H$14</definedName>
    <definedName name="YesNoList">Settings!$I$7:$I$8</definedName>
    <definedName name="ApptHours">'Signing Profit'!$C$7</definedName>
    <definedName name="LooksLike">'Signing Profit'!$C$8</definedName>
    <definedName name="Pages">'Signing Profit'!$C$11</definedName>
    <definedName name="PrintCost">'Signing Profit'!$C$12</definedName>
    <definedName name="Miles">'Signing Profit'!$C$13</definedName>
    <definedName name="DriveCost">'Signing Profit'!$C$14</definedName>
    <definedName name="CostPerSigning">'Signing Profit'!$C$15</definedName>
    <definedName name="NetPerSigning">'Signing Profit'!$C$16</definedName>
    <definedName name="PrepHours">'Signing Profit'!$C$19</definedName>
    <definedName name="DriveHours">'Signing Profit'!$C$20</definedName>
    <definedName name="TotalHours">'Signing Profit'!$C$22</definedName>
    <definedName name="RealHourly">'Signing Profit'!$C$24</definedName>
    <definedName name="MileageDeduction">'Signing Profit'!$C$28</definedName>
    <definedName name="MileageMonth">'Signing Profit'!$C$29</definedName>
    <definedName name="SigFee">'Signings Log'!$E$5:$E$18</definedName>
    <definedName name="SigPages">'Signings Log'!$F$5:$F$18</definedName>
    <definedName name="SigMiles">'Signings Log'!$G$5:$G$18</definedName>
    <definedName name="SigStatus">'Signings Log'!$H$5:$H$18</definedName>
    <definedName name="SigNet">'Signings Log'!$J$5:$J$18</definedName>
    <definedName name="PaidRate">'Signings Log'!$G$22</definedName>
    <definedName name="FeeAmount">'Fee Schedule'!$C$5:$C$17</definedName>
    <definedName name="MileMiles">'Mileage Log'!$D$5:$D$14</definedName>
    <definedName name="MileDeduct">'Mileage Log'!$F$5:$F$14</definedName>
    <definedName name="SupplyCost">'Printing &amp; Supplies'!$C$5:$C$9</definedName>
    <definedName name="PrintMonth">'Printing &amp; Supplies'!$F$14</definedName>
    <definedName name="InvCount">'Invoices'!$C$5:$C$9</definedName>
    <definedName name="InvAmount">'Invoices'!$D$5:$D$9</definedName>
    <definedName name="InvStatus">'Invoices'!$E$5:$E$9</definedName>
    <definedName name="InvOutstanding">'Invoices'!$F$5:$F$9</definedName>
    <definedName name="Invoiced">'Invoices'!$D$10</definedName>
    <definedName name="Receivable">'Invoices'!$F$10</definedName>
    <definedName name="CoAvgFee">'Signing Companies'!$E$5:$E$44</definedName>
    <definedName name="JournalDate">'Notarial Journal'!$B$6:$B$17</definedName>
    <definedName name="JournalFee">'Notarial Journal'!$F$6:$F$17</definedName>
    <definedName name="ActsRecorded">'Notarial Journal'!$E$18</definedName>
    <definedName name="FixedLines">'Expenses'!$D$6:$D$11</definedName>
    <definedName name="FixedTotal">'Expenses'!$D$12</definedName>
    <definedName name="OtherLines">'Expenses'!$D$16:$D$20</definedName>
    <definedName name="OtherTotal">'Expenses'!$D$21</definedName>
    <definedName name="TaxIncome">'Tax Set-Aside'!$C$5:$C$8</definedName>
    <definedName name="TaxSaved">'Tax Set-Aside'!$D$5:$D$8</definedName>
    <definedName name="TaxDue">'Tax Set-Aside'!$E$5:$E$8</definedName>
    <definedName name="TaxReserve">'Tax Set-Aside'!$D$9</definedName>
    <definedName name="Revenue">'Monthly Summary'!$C$7</definedName>
    <definedName name="VariableCosts">'Monthly Summary'!$C$8</definedName>
    <definedName name="Profit">'Monthly Summary'!$C$10</definedName>
    <definedName name="Margin">'Monthly Summary'!$C$11</definedName>
    <definedName name="RunRate">'Monthly Summary'!$C$12</definedName>
    <definedName name="BreakEven">'Monthly Summary'!$C$15</definedName>
    <definedName name="CoverRatio">'Monthly Summary'!$C$16</definedName>
    <definedName name="RevTrend">'Monthly Summary'!$C$20:$C$25</definedName>
    <definedName name="HealthRange">'Dashboard'!$C$13:$C$18</definedName>
  </definedNames>
  <calcPr calcId="124519" fullCalcOnLoad="1"/>
</workbook>
</file>

<file path=xl/styles.xml><?xml version="1.0" encoding="utf-8"?>
<styleSheet xmlns="http://schemas.openxmlformats.org/spreadsheetml/2006/main">
  <numFmts count="9">
    <numFmt numFmtId="164" formatCode="&quot;$&quot;#,##0.00"/>
    <numFmt numFmtId="165" formatCode="&quot;$&quot;#,##0.000"/>
    <numFmt numFmtId="166" formatCode="&quot;$&quot;#,##0"/>
    <numFmt numFmtId="167" formatCode="0.0"/>
    <numFmt numFmtId="168" formatCode="0.0&quot; hrs&quot;"/>
    <numFmt numFmtId="169" formatCode="0.0%"/>
    <numFmt numFmtId="170" formatCode="&quot;$&quot;#,##0.0000"/>
    <numFmt numFmtId="171" formatCode="0&quot; signings&quot;"/>
    <numFmt numFmtId="172" formatCode="0.0&quot;×&quot;"/>
  </numFmts>
  <fonts count="21">
    <font>
      <name val="Calibri"/>
      <family val="2"/>
      <color theme="1"/>
      <sz val="11"/>
      <scheme val="minor"/>
    </font>
    <font>
      <name val="Calibri"/>
      <b val="1"/>
      <color rgb="00FFFFFF"/>
      <sz val="24"/>
    </font>
    <font>
      <name val="Calibri"/>
      <i val="1"/>
      <color rgb="00E5D3BA"/>
      <sz val="11"/>
    </font>
    <font>
      <name val="Calibri"/>
      <b val="1"/>
      <color rgb="001B4F48"/>
      <sz val="12"/>
    </font>
    <font>
      <name val="Calibri"/>
      <b val="1"/>
      <color rgb="00937356"/>
      <sz val="12"/>
    </font>
    <font>
      <name val="Calibri"/>
      <b val="1"/>
      <color rgb="00FFFFFF"/>
      <sz val="11"/>
    </font>
    <font>
      <name val="Calibri"/>
      <color rgb="00333333"/>
      <sz val="11"/>
    </font>
    <font>
      <name val="Calibri"/>
      <b val="1"/>
      <color rgb="001B4F48"/>
      <sz val="11"/>
    </font>
    <font>
      <name val="Calibri"/>
      <b val="1"/>
      <color rgb="00937356"/>
      <sz val="10"/>
    </font>
    <font>
      <color rgb="00333333"/>
      <sz val="11"/>
    </font>
    <font>
      <b val="1"/>
      <color rgb="001B4F48"/>
      <sz val="15"/>
    </font>
    <font>
      <b val="1"/>
      <color rgb="001B4F48"/>
      <sz val="13"/>
    </font>
    <font>
      <b val="1"/>
      <color rgb="001B4F48"/>
      <sz val="17"/>
    </font>
    <font>
      <b val="1"/>
      <color rgb="001B4F48"/>
    </font>
    <font>
      <b val="1"/>
      <color rgb="001B4F48"/>
      <sz val="12"/>
    </font>
    <font>
      <b val="1"/>
      <color rgb="00937356"/>
      <sz val="12"/>
    </font>
    <font>
      <b val="1"/>
      <color rgb="00C94C4C"/>
      <sz val="12"/>
    </font>
    <font>
      <b val="1"/>
      <color rgb="001B4F48"/>
      <sz val="14"/>
    </font>
    <font>
      <b val="1"/>
      <color rgb="001B4F48"/>
      <sz val="16"/>
    </font>
    <font>
      <b val="1"/>
      <color rgb="00937356"/>
      <sz val="9"/>
    </font>
    <font>
      <b val="1"/>
      <color rgb="001B4F48"/>
      <sz val="18"/>
    </font>
  </fonts>
  <fills count="11">
    <fill>
      <patternFill/>
    </fill>
    <fill>
      <patternFill patternType="gray125"/>
    </fill>
    <fill>
      <patternFill patternType="solid">
        <fgColor rgb="001B4F48"/>
      </patternFill>
    </fill>
    <fill>
      <patternFill patternType="solid">
        <fgColor rgb="00E5D3BA"/>
      </patternFill>
    </fill>
    <fill>
      <patternFill patternType="solid">
        <fgColor rgb="00FAF7F1"/>
      </patternFill>
    </fill>
    <fill>
      <patternFill patternType="solid">
        <fgColor rgb="00C9A86A"/>
      </patternFill>
    </fill>
    <fill>
      <patternFill patternType="solid">
        <fgColor rgb="00E3F8EF"/>
      </patternFill>
    </fill>
    <fill>
      <patternFill patternType="solid">
        <fgColor rgb="00FBF0E2"/>
      </patternFill>
    </fill>
    <fill>
      <patternFill patternType="solid">
        <fgColor rgb="00FBE6E6"/>
      </patternFill>
    </fill>
    <fill>
      <patternFill patternType="solid">
        <fgColor rgb="00F4ECDE"/>
      </patternFill>
    </fill>
    <fill>
      <patternFill patternType="solid">
        <fgColor rgb="00FFFFFF"/>
      </patternFill>
    </fill>
  </fills>
  <borders count="4">
    <border>
      <left/>
      <right/>
      <top/>
      <bottom/>
      <diagonal/>
    </border>
    <border/>
    <border>
      <left style="thin">
        <color rgb="00D6D2C8"/>
      </left>
      <right style="thin">
        <color rgb="00D6D2C8"/>
      </right>
      <top style="thin">
        <color rgb="00D6D2C8"/>
      </top>
      <bottom style="thin">
        <color rgb="00D6D2C8"/>
      </bottom>
    </border>
    <border>
      <left style="thin">
        <color rgb="00D6D2C8"/>
      </left>
      <right style="thin">
        <color rgb="00D6D2C8"/>
      </right>
      <top style="medium">
        <color rgb="00C9A86A"/>
      </top>
      <bottom style="thin">
        <color rgb="00D6D2C8"/>
      </bottom>
    </border>
  </borders>
  <cellStyleXfs count="12">
    <xf numFmtId="0" fontId="0" fillId="0" borderId="0"/>
    <xf numFmtId="0" fontId="1" fillId="2" borderId="1" applyAlignment="1">
      <alignment horizontal="left" vertical="center" indent="2"/>
    </xf>
    <xf numFmtId="0" fontId="2" fillId="2" borderId="1" applyAlignment="1">
      <alignment horizontal="left" vertical="center" indent="2"/>
    </xf>
    <xf numFmtId="0" fontId="3" fillId="0" borderId="1" applyAlignment="1">
      <alignment horizontal="left" vertical="center"/>
    </xf>
    <xf numFmtId="0" fontId="4" fillId="0" borderId="1" applyAlignment="1">
      <alignment horizontal="left" vertical="center"/>
    </xf>
    <xf numFmtId="0" fontId="5" fillId="2" borderId="2" applyAlignment="1">
      <alignment horizontal="center" vertical="center" wrapText="1"/>
    </xf>
    <xf numFmtId="0" fontId="6" fillId="0" borderId="2" applyAlignment="1">
      <alignment horizontal="center" vertical="center" wrapText="1"/>
    </xf>
    <xf numFmtId="0" fontId="6" fillId="0" borderId="2" applyAlignment="1">
      <alignment horizontal="left" vertical="center" wrapText="1" indent="1"/>
    </xf>
    <xf numFmtId="0" fontId="7" fillId="3" borderId="2" applyAlignment="1">
      <alignment horizontal="center" vertical="center"/>
    </xf>
    <xf numFmtId="0" fontId="8" fillId="4" borderId="2" applyAlignment="1">
      <alignment horizontal="left" vertical="center" indent="1"/>
    </xf>
    <xf numFmtId="0" fontId="7" fillId="0" borderId="2" applyAlignment="1">
      <alignment horizontal="left" vertical="center" indent="1"/>
    </xf>
    <xf numFmtId="0" fontId="6" fillId="0" borderId="1" applyAlignment="1">
      <alignment horizontal="left" vertical="top" wrapText="1" indent="1"/>
    </xf>
  </cellStyleXfs>
  <cellXfs count="83">
    <xf numFmtId="0" fontId="0" fillId="0" borderId="0" pivotButton="0" quotePrefix="0" xfId="0"/>
    <xf numFmtId="0" fontId="1" fillId="2" borderId="1" applyAlignment="1" pivotButton="0" quotePrefix="0" xfId="1">
      <alignment horizontal="left" vertical="center" indent="2"/>
    </xf>
    <xf numFmtId="0" fontId="2" fillId="2" borderId="1" applyAlignment="1" pivotButton="0" quotePrefix="0" xfId="2">
      <alignment horizontal="left" vertical="center" indent="2"/>
    </xf>
    <xf numFmtId="0" fontId="0" fillId="5" borderId="0" pivotButton="0" quotePrefix="0" xfId="0"/>
    <xf numFmtId="0" fontId="4" fillId="0" borderId="1" applyAlignment="1" pivotButton="0" quotePrefix="0" xfId="4">
      <alignment horizontal="left" vertical="center"/>
    </xf>
    <xf numFmtId="0" fontId="6" fillId="6" borderId="2" applyAlignment="1" pivotButton="0" quotePrefix="0" xfId="11">
      <alignment horizontal="left" vertical="top" wrapText="1" indent="1"/>
    </xf>
    <xf numFmtId="0" fontId="0" fillId="6" borderId="0" pivotButton="0" quotePrefix="0" xfId="0"/>
    <xf numFmtId="0" fontId="3" fillId="0" borderId="1" applyAlignment="1" pivotButton="0" quotePrefix="0" xfId="3">
      <alignment horizontal="left" vertical="center"/>
    </xf>
    <xf numFmtId="0" fontId="6" fillId="0" borderId="1" applyAlignment="1" pivotButton="0" quotePrefix="0" xfId="11">
      <alignment horizontal="left" vertical="top" wrapText="1" indent="1"/>
    </xf>
    <xf numFmtId="0" fontId="5" fillId="2" borderId="2" applyAlignment="1" pivotButton="0" quotePrefix="0" xfId="5">
      <alignment horizontal="center" vertical="center" wrapText="1"/>
    </xf>
    <xf numFmtId="0" fontId="9" fillId="7" borderId="2" applyAlignment="1" pivotButton="0" quotePrefix="0" xfId="0">
      <alignment horizontal="left" vertical="top" wrapText="1" indent="1"/>
    </xf>
    <xf numFmtId="0" fontId="0" fillId="7" borderId="0" pivotButton="0" quotePrefix="0" xfId="0"/>
    <xf numFmtId="0" fontId="19" fillId="10" borderId="3" applyAlignment="1" pivotButton="0" quotePrefix="0" xfId="0">
      <alignment horizontal="center" vertical="center"/>
    </xf>
    <xf numFmtId="0" fontId="0" fillId="10" borderId="3" pivotButton="0" quotePrefix="0" xfId="0"/>
    <xf numFmtId="164" fontId="20" fillId="10" borderId="2" applyAlignment="1" pivotButton="0" quotePrefix="0" xfId="0">
      <alignment horizontal="center" vertical="center"/>
    </xf>
    <xf numFmtId="0" fontId="0" fillId="10" borderId="2" pivotButton="0" quotePrefix="0" xfId="0"/>
    <xf numFmtId="3" fontId="20" fillId="10" borderId="2" applyAlignment="1" pivotButton="0" quotePrefix="0" xfId="0">
      <alignment horizontal="center" vertical="center"/>
    </xf>
    <xf numFmtId="166" fontId="20" fillId="10" borderId="2" applyAlignment="1" pivotButton="0" quotePrefix="0" xfId="0">
      <alignment horizontal="center" vertical="center"/>
    </xf>
    <xf numFmtId="9" fontId="20" fillId="10" borderId="2" applyAlignment="1" pivotButton="0" quotePrefix="0" xfId="0">
      <alignment horizontal="center" vertical="center"/>
    </xf>
    <xf numFmtId="0" fontId="6" fillId="0" borderId="2" applyAlignment="1" pivotButton="0" quotePrefix="0" xfId="7">
      <alignment horizontal="left" vertical="center" wrapText="1" indent="1"/>
    </xf>
    <xf numFmtId="9" fontId="6" fillId="0" borderId="2" applyAlignment="1" pivotButton="0" quotePrefix="0" xfId="6">
      <alignment horizontal="center" vertical="center" wrapText="1"/>
    </xf>
    <xf numFmtId="0" fontId="6" fillId="0" borderId="2" applyAlignment="1" pivotButton="0" quotePrefix="0" xfId="6">
      <alignment horizontal="center" vertical="center" wrapText="1"/>
    </xf>
    <xf numFmtId="0" fontId="6" fillId="9" borderId="2" applyAlignment="1" pivotButton="0" quotePrefix="0" xfId="7">
      <alignment horizontal="left" vertical="center" wrapText="1" indent="1"/>
    </xf>
    <xf numFmtId="9" fontId="6" fillId="9" borderId="2" applyAlignment="1" pivotButton="0" quotePrefix="0" xfId="6">
      <alignment horizontal="center" vertical="center" wrapText="1"/>
    </xf>
    <xf numFmtId="0" fontId="6" fillId="9" borderId="2" applyAlignment="1" pivotButton="0" quotePrefix="0" xfId="6">
      <alignment horizontal="center" vertical="center" wrapText="1"/>
    </xf>
    <xf numFmtId="0" fontId="8" fillId="4" borderId="2" applyAlignment="1" pivotButton="0" quotePrefix="0" xfId="9">
      <alignment horizontal="left" vertical="center" indent="1"/>
    </xf>
    <xf numFmtId="164" fontId="7" fillId="0" borderId="2" applyAlignment="1" pivotButton="0" quotePrefix="0" xfId="10">
      <alignment horizontal="left" vertical="center" indent="1"/>
    </xf>
    <xf numFmtId="167" fontId="7" fillId="3" borderId="2" applyAlignment="1" pivotButton="0" quotePrefix="0" xfId="8">
      <alignment horizontal="center" vertical="center"/>
    </xf>
    <xf numFmtId="164" fontId="10" fillId="3" borderId="2" applyAlignment="1" pivotButton="0" quotePrefix="0" xfId="6">
      <alignment horizontal="center" vertical="center" wrapText="1"/>
    </xf>
    <xf numFmtId="3" fontId="7" fillId="3" borderId="2" applyAlignment="1" pivotButton="0" quotePrefix="0" xfId="8">
      <alignment horizontal="center" vertical="center"/>
    </xf>
    <xf numFmtId="164" fontId="7" fillId="8" borderId="2" applyAlignment="1" pivotButton="0" quotePrefix="0" xfId="10">
      <alignment horizontal="left" vertical="center" indent="1"/>
    </xf>
    <xf numFmtId="164" fontId="11" fillId="7" borderId="2" applyAlignment="1" pivotButton="0" quotePrefix="0" xfId="6">
      <alignment horizontal="center" vertical="center" wrapText="1"/>
    </xf>
    <xf numFmtId="164" fontId="10" fillId="6" borderId="2" applyAlignment="1" pivotButton="0" quotePrefix="0" xfId="6">
      <alignment horizontal="center" vertical="center" wrapText="1"/>
    </xf>
    <xf numFmtId="167" fontId="7" fillId="0" borderId="2" applyAlignment="1" pivotButton="0" quotePrefix="0" xfId="10">
      <alignment horizontal="left" vertical="center" indent="1"/>
    </xf>
    <xf numFmtId="168" fontId="11" fillId="3" borderId="2" applyAlignment="1" pivotButton="0" quotePrefix="0" xfId="6">
      <alignment horizontal="center" vertical="center" wrapText="1"/>
    </xf>
    <xf numFmtId="164" fontId="12" fillId="6" borderId="2" applyAlignment="1" pivotButton="0" quotePrefix="0" xfId="6">
      <alignment horizontal="center" vertical="center" wrapText="1"/>
    </xf>
    <xf numFmtId="164" fontId="7" fillId="6" borderId="2" applyAlignment="1" pivotButton="0" quotePrefix="0" xfId="10">
      <alignment horizontal="left" vertical="center" indent="1"/>
    </xf>
    <xf numFmtId="166" fontId="7" fillId="6" borderId="2" applyAlignment="1" pivotButton="0" quotePrefix="0" xfId="10">
      <alignment horizontal="left" vertical="center" indent="1"/>
    </xf>
    <xf numFmtId="166" fontId="7" fillId="3" borderId="2" applyAlignment="1" pivotButton="0" quotePrefix="0" xfId="8">
      <alignment horizontal="center" vertical="center"/>
    </xf>
    <xf numFmtId="164" fontId="6" fillId="0" borderId="2" applyAlignment="1" pivotButton="0" quotePrefix="0" xfId="6">
      <alignment horizontal="center" vertical="center" wrapText="1"/>
    </xf>
    <xf numFmtId="166" fontId="7" fillId="9" borderId="2" applyAlignment="1" pivotButton="0" quotePrefix="0" xfId="8">
      <alignment horizontal="center" vertical="center"/>
    </xf>
    <xf numFmtId="3" fontId="7" fillId="9" borderId="2" applyAlignment="1" pivotButton="0" quotePrefix="0" xfId="8">
      <alignment horizontal="center" vertical="center"/>
    </xf>
    <xf numFmtId="164" fontId="6" fillId="9" borderId="2" applyAlignment="1" pivotButton="0" quotePrefix="0" xfId="6">
      <alignment horizontal="center" vertical="center" wrapText="1"/>
    </xf>
    <xf numFmtId="0" fontId="6" fillId="3" borderId="2" applyAlignment="1" pivotButton="0" quotePrefix="0" xfId="6">
      <alignment horizontal="center" vertical="center" wrapText="1"/>
    </xf>
    <xf numFmtId="166" fontId="13" fillId="3" borderId="2" applyAlignment="1" pivotButton="0" quotePrefix="0" xfId="6">
      <alignment horizontal="center" vertical="center" wrapText="1"/>
    </xf>
    <xf numFmtId="3" fontId="13" fillId="3" borderId="2" applyAlignment="1" pivotButton="0" quotePrefix="0" xfId="6">
      <alignment horizontal="center" vertical="center" wrapText="1"/>
    </xf>
    <xf numFmtId="164" fontId="14" fillId="6" borderId="2" applyAlignment="1" pivotButton="0" quotePrefix="0" xfId="6">
      <alignment horizontal="center" vertical="center" wrapText="1"/>
    </xf>
    <xf numFmtId="1" fontId="7" fillId="8" borderId="2" applyAlignment="1" pivotButton="0" quotePrefix="0" xfId="10">
      <alignment horizontal="left" vertical="center" indent="1"/>
    </xf>
    <xf numFmtId="169" fontId="11" fillId="6" borderId="2" applyAlignment="1" pivotButton="0" quotePrefix="0" xfId="6">
      <alignment horizontal="center" vertical="center" wrapText="1"/>
    </xf>
    <xf numFmtId="164" fontId="7" fillId="3" borderId="2" applyAlignment="1" pivotButton="0" quotePrefix="0" xfId="8">
      <alignment horizontal="center" vertical="center"/>
    </xf>
    <xf numFmtId="164" fontId="7" fillId="9" borderId="2" applyAlignment="1" pivotButton="0" quotePrefix="0" xfId="8">
      <alignment horizontal="center" vertical="center"/>
    </xf>
    <xf numFmtId="170" fontId="6" fillId="0" borderId="2" applyAlignment="1" pivotButton="0" quotePrefix="0" xfId="6">
      <alignment horizontal="center" vertical="center" wrapText="1"/>
    </xf>
    <xf numFmtId="170" fontId="6" fillId="9" borderId="2" applyAlignment="1" pivotButton="0" quotePrefix="0" xfId="6">
      <alignment horizontal="center" vertical="center" wrapText="1"/>
    </xf>
    <xf numFmtId="165" fontId="7" fillId="0" borderId="2" applyAlignment="1" pivotButton="0" quotePrefix="0" xfId="10">
      <alignment horizontal="left" vertical="center" indent="1"/>
    </xf>
    <xf numFmtId="3" fontId="7" fillId="0" borderId="2" applyAlignment="1" pivotButton="0" quotePrefix="0" xfId="10">
      <alignment horizontal="left" vertical="center" indent="1"/>
    </xf>
    <xf numFmtId="166" fontId="11" fillId="8" borderId="2" applyAlignment="1" pivotButton="0" quotePrefix="0" xfId="6">
      <alignment horizontal="center" vertical="center" wrapText="1"/>
    </xf>
    <xf numFmtId="1" fontId="7" fillId="3" borderId="2" applyAlignment="1" pivotButton="0" quotePrefix="0" xfId="8">
      <alignment horizontal="center" vertical="center"/>
    </xf>
    <xf numFmtId="0" fontId="7" fillId="3" borderId="2" applyAlignment="1" pivotButton="0" quotePrefix="0" xfId="8">
      <alignment horizontal="center" vertical="center"/>
    </xf>
    <xf numFmtId="166" fontId="6" fillId="0" borderId="2" applyAlignment="1" pivotButton="0" quotePrefix="0" xfId="6">
      <alignment horizontal="center" vertical="center" wrapText="1"/>
    </xf>
    <xf numFmtId="1" fontId="7" fillId="9" borderId="2" applyAlignment="1" pivotButton="0" quotePrefix="0" xfId="8">
      <alignment horizontal="center" vertical="center"/>
    </xf>
    <xf numFmtId="0" fontId="7" fillId="9" borderId="2" applyAlignment="1" pivotButton="0" quotePrefix="0" xfId="8">
      <alignment horizontal="center" vertical="center"/>
    </xf>
    <xf numFmtId="166" fontId="6" fillId="9" borderId="2" applyAlignment="1" pivotButton="0" quotePrefix="0" xfId="6">
      <alignment horizontal="center" vertical="center" wrapText="1"/>
    </xf>
    <xf numFmtId="1" fontId="13" fillId="3" borderId="2" applyAlignment="1" pivotButton="0" quotePrefix="0" xfId="6">
      <alignment horizontal="center" vertical="center" wrapText="1"/>
    </xf>
    <xf numFmtId="166" fontId="14" fillId="3" borderId="2" applyAlignment="1" pivotButton="0" quotePrefix="0" xfId="6">
      <alignment horizontal="center" vertical="center" wrapText="1"/>
    </xf>
    <xf numFmtId="166" fontId="15" fillId="7" borderId="2" applyAlignment="1" pivotButton="0" quotePrefix="0" xfId="6">
      <alignment horizontal="center" vertical="center" wrapText="1"/>
    </xf>
    <xf numFmtId="0" fontId="6" fillId="10" borderId="2" applyAlignment="1" pivotButton="0" quotePrefix="0" xfId="7">
      <alignment horizontal="left" vertical="center" wrapText="1" indent="1"/>
    </xf>
    <xf numFmtId="0" fontId="6" fillId="10" borderId="2" applyAlignment="1" pivotButton="0" quotePrefix="0" xfId="6">
      <alignment horizontal="center" vertical="center" wrapText="1"/>
    </xf>
    <xf numFmtId="166" fontId="6" fillId="10" borderId="2" applyAlignment="1" pivotButton="0" quotePrefix="0" xfId="6">
      <alignment horizontal="center" vertical="center" wrapText="1"/>
    </xf>
    <xf numFmtId="166" fontId="7" fillId="7" borderId="2" applyAlignment="1" pivotButton="0" quotePrefix="0" xfId="10">
      <alignment horizontal="left" vertical="center" indent="1"/>
    </xf>
    <xf numFmtId="166" fontId="14" fillId="6" borderId="2" applyAlignment="1" pivotButton="0" quotePrefix="0" xfId="6">
      <alignment horizontal="center" vertical="center" wrapText="1"/>
    </xf>
    <xf numFmtId="166" fontId="11" fillId="3" borderId="2" applyAlignment="1" pivotButton="0" quotePrefix="0" xfId="6">
      <alignment horizontal="center" vertical="center" wrapText="1"/>
    </xf>
    <xf numFmtId="166" fontId="13" fillId="6" borderId="2" applyAlignment="1" pivotButton="0" quotePrefix="0" xfId="6">
      <alignment horizontal="center" vertical="center" wrapText="1"/>
    </xf>
    <xf numFmtId="166" fontId="16" fillId="8" borderId="2" applyAlignment="1" pivotButton="0" quotePrefix="0" xfId="6">
      <alignment horizontal="center" vertical="center" wrapText="1"/>
    </xf>
    <xf numFmtId="9" fontId="7" fillId="7" borderId="2" applyAlignment="1" pivotButton="0" quotePrefix="0" xfId="10">
      <alignment horizontal="left" vertical="center" indent="1"/>
    </xf>
    <xf numFmtId="1" fontId="7" fillId="0" borderId="2" applyAlignment="1" pivotButton="0" quotePrefix="0" xfId="10">
      <alignment horizontal="left" vertical="center" indent="1"/>
    </xf>
    <xf numFmtId="166" fontId="17" fillId="3" borderId="2" applyAlignment="1" pivotButton="0" quotePrefix="0" xfId="6">
      <alignment horizontal="center" vertical="center" wrapText="1"/>
    </xf>
    <xf numFmtId="164" fontId="7" fillId="7" borderId="2" applyAlignment="1" pivotButton="0" quotePrefix="0" xfId="10">
      <alignment horizontal="left" vertical="center" indent="1"/>
    </xf>
    <xf numFmtId="166" fontId="7" fillId="0" borderId="2" applyAlignment="1" pivotButton="0" quotePrefix="0" xfId="10">
      <alignment horizontal="left" vertical="center" indent="1"/>
    </xf>
    <xf numFmtId="166" fontId="18" fillId="6" borderId="2" applyAlignment="1" pivotButton="0" quotePrefix="0" xfId="6">
      <alignment horizontal="center" vertical="center" wrapText="1"/>
    </xf>
    <xf numFmtId="171" fontId="10" fillId="3" borderId="2" applyAlignment="1" pivotButton="0" quotePrefix="0" xfId="6">
      <alignment horizontal="center" vertical="center" wrapText="1"/>
    </xf>
    <xf numFmtId="172" fontId="11" fillId="6" borderId="2" applyAlignment="1" pivotButton="0" quotePrefix="0" xfId="6">
      <alignment horizontal="center" vertical="center" wrapText="1"/>
    </xf>
    <xf numFmtId="165" fontId="7" fillId="3" borderId="2" applyAlignment="1" pivotButton="0" quotePrefix="0" xfId="8">
      <alignment horizontal="center" vertical="center"/>
    </xf>
    <xf numFmtId="9" fontId="7" fillId="3" borderId="2" applyAlignment="1" pivotButton="0" quotePrefix="0" xfId="8">
      <alignment horizontal="center" vertical="center"/>
    </xf>
  </cellXfs>
  <cellStyles count="12">
    <cellStyle name="Normal" xfId="0" builtinId="0" hidden="0"/>
    <cellStyle name="title" xfId="1" hidden="0"/>
    <cellStyle name="subtitle" xfId="2" hidden="0"/>
    <cellStyle name="section" xfId="3" hidden="0"/>
    <cellStyle name="section_gold" xfId="4" hidden="0"/>
    <cellStyle name="th" xfId="5" hidden="0"/>
    <cellStyle name="td" xfId="6" hidden="0"/>
    <cellStyle name="td_left" xfId="7" hidden="0"/>
    <cellStyle name="input" xfId="8" hidden="0"/>
    <cellStyle name="field_label" xfId="9" hidden="0"/>
    <cellStyle name="field_value" xfId="10" hidden="0"/>
    <cellStyle name="body" xfId="11" hidden="0"/>
  </cellStyles>
  <dxfs count="2">
    <dxf>
      <font>
        <b val="1"/>
        <color rgb="00937356"/>
      </font>
      <fill>
        <patternFill patternType="solid">
          <fgColor rgb="00FBF0E2"/>
        </patternFill>
      </fill>
    </dxf>
    <dxf>
      <font>
        <b val="1"/>
        <color rgb="00C94C4C"/>
      </font>
      <fill>
        <patternFill patternType="solid">
          <fgColor rgb="00FB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Revenue by Month</a:t>
            </a:r>
          </a:p>
        </rich>
      </tx>
    </title>
    <plotArea>
      <barChart>
        <barDir val="col"/>
        <grouping val="clustered"/>
        <ser>
          <idx val="0"/>
          <order val="0"/>
          <spPr>
            <a:ln>
              <a:prstDash val="solid"/>
            </a:ln>
          </spPr>
          <cat>
            <numRef>
              <f>'Monthly Summary'!$B$20:$B$25</f>
            </numRef>
          </cat>
          <val>
            <numRef>
              <f>'Monthly Summary'!$C$20:$C$25</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Revenue by Month</a:t>
            </a:r>
          </a:p>
        </rich>
      </tx>
    </title>
    <plotArea>
      <barChart>
        <barDir val="col"/>
        <grouping val="clustered"/>
        <ser>
          <idx val="0"/>
          <order val="0"/>
          <spPr>
            <a:ln>
              <a:prstDash val="solid"/>
            </a:ln>
          </spPr>
          <cat>
            <numRef>
              <f>'Monthly Summary'!$B$20:$B$25</f>
            </numRef>
          </cat>
          <val>
            <numRef>
              <f>'Monthly Summary'!$C$20:$C$25</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12</row>
      <rowOff>0</rowOff>
    </from>
    <ext cx="3096000" cy="2664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4</row>
      <rowOff>0</rowOff>
    </from>
    <ext cx="4320000" cy="2664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1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C26"/>
  <sheetViews>
    <sheetView showGridLines="0" workbookViewId="0">
      <selection activeCell="A1" sqref="A1"/>
    </sheetView>
  </sheetViews>
  <sheetFormatPr baseColWidth="8" defaultRowHeight="15"/>
  <cols>
    <col width="3" customWidth="1" min="1" max="1"/>
    <col width="84" customWidth="1" min="2" max="2"/>
    <col width="3" customWidth="1" min="3" max="3"/>
  </cols>
  <sheetData>
    <row r="1" ht="58" customHeight="1">
      <c r="A1" s="1" t="inlineStr">
        <is>
          <t xml:space="preserve">  🖋  NOTARY &amp; LOAN SIGNING AGENT COMMAND CENTER™</t>
        </is>
      </c>
    </row>
    <row r="2" ht="24" customHeight="1">
      <c r="A2" s="2" t="inlineStr">
        <is>
          <t xml:space="preserve">  That $125 signing is not $138 an hour.</t>
        </is>
      </c>
    </row>
    <row r="3" ht="6" customHeight="1">
      <c r="A3" s="3" t="n"/>
      <c r="B3" s="3" t="n"/>
      <c r="C3" s="3" t="n"/>
    </row>
    <row r="5">
      <c r="B5" s="4" t="inlineStr">
        <is>
          <t>THE WHOLE BUSINESS, IN ONE PLACE</t>
        </is>
      </c>
    </row>
    <row r="6" ht="22" customHeight="1">
      <c r="B6" s="5" t="inlineStr">
        <is>
          <t>Here is the arithmetic every new signing agent gets wrong. A $125 refinance is a 45-minute appointment, so it feels like well over a hundred dollars an hour. But you printed 180 pages before you left, you drove 38 miles round trip, and between prep, drive time and the appointment itself the job took two and a half hours door to door. The real number is $44 an hour. That is still a good business \u2014 it is just a completely different business from the one in your head. This workbook does that maths on every signing, then runs your fee schedule, mileage, printing, invoices, signing companies, your notarial journal and your tax set-aside.</t>
        </is>
      </c>
    </row>
    <row r="7" ht="22" customHeight="1">
      <c r="B7" s="6" t="n"/>
    </row>
    <row r="8" ht="22" customHeight="1">
      <c r="B8" s="6" t="n"/>
    </row>
    <row r="9" ht="22" customHeight="1">
      <c r="B9" s="6" t="n"/>
    </row>
    <row r="11">
      <c r="B11" s="7" t="inlineStr">
        <is>
          <t>START HERE — 6 QUICK STEPS</t>
        </is>
      </c>
    </row>
    <row r="12" ht="22" customHeight="1">
      <c r="B12" s="8" t="inlineStr">
        <is>
          <t>1.  Open Settings — your average fee, page cost and mileage rate.</t>
        </is>
      </c>
    </row>
    <row r="13" ht="22" customHeight="1">
      <c r="B13" s="8" t="inlineStr">
        <is>
          <t>2.  Signing Profit: enter pages, miles and how long it really takes.</t>
        </is>
      </c>
    </row>
    <row r="14" ht="22" customHeight="1">
      <c r="B14" s="8" t="inlineStr">
        <is>
          <t>3.  Read your true net per signing and your real hourly rate.</t>
        </is>
      </c>
    </row>
    <row r="15" ht="22" customHeight="1">
      <c r="B15" s="8" t="inlineStr">
        <is>
          <t>4.  Log signings, mileage and your notarial journal as you go.</t>
        </is>
      </c>
    </row>
    <row r="16" ht="22" customHeight="1">
      <c r="B16" s="8" t="inlineStr">
        <is>
          <t>5.  Track invoices — and chase the companies that pay slowly.</t>
        </is>
      </c>
    </row>
    <row r="17" ht="22" customHeight="1">
      <c r="B17" s="8" t="inlineStr">
        <is>
          <t>6.  Check the Dashboard: profit, per hour &amp; a Signing Score.</t>
        </is>
      </c>
    </row>
    <row r="20" ht="26" customHeight="1">
      <c r="B20" s="9" t="inlineStr">
        <is>
          <t xml:space="preserve">  GOOD TO KNOW</t>
        </is>
      </c>
    </row>
    <row r="21" ht="22" customHeight="1">
      <c r="B21" s="10" t="inlineStr">
        <is>
          <t>Sample data for a fictional business (Quill &amp; Seal Notary, agent Sloane) is included so you can see how it connects \u2014 type over it with your own. Two things vary by state and you must check yours: the MAXIMUM FEE you may charge per notarial act, and whether a journal is required and what it must record. The Notarial Journal tab here is a convenience record, not a substitute for the bound sequential journal your state may require. Mileage rates change every year. Twelve matching printable pages (signing worksheet, mileage log, journal sheet, invoice &amp; more) are included. This is a business &amp; organizing tool, not legal, tax or accounting advice.</t>
        </is>
      </c>
    </row>
    <row r="22" ht="22" customHeight="1">
      <c r="B22" s="11" t="n"/>
    </row>
    <row r="23" ht="22" customHeight="1">
      <c r="B23" s="11" t="n"/>
    </row>
    <row r="24" ht="22" customHeight="1">
      <c r="B24" s="11" t="n"/>
    </row>
    <row r="26">
      <c r="B26" s="4" t="inlineStr">
        <is>
          <t>Count the drive and the printer. They are the two costs nobody puts in the fee.</t>
        </is>
      </c>
    </row>
  </sheetData>
  <mergeCells count="14">
    <mergeCell ref="B17"/>
    <mergeCell ref="B12"/>
    <mergeCell ref="B13"/>
    <mergeCell ref="A1:C1"/>
    <mergeCell ref="B26"/>
    <mergeCell ref="B15"/>
    <mergeCell ref="B11"/>
    <mergeCell ref="B6:B9"/>
    <mergeCell ref="B16"/>
    <mergeCell ref="B20"/>
    <mergeCell ref="B21:B24"/>
    <mergeCell ref="B5"/>
    <mergeCell ref="B1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 customWidth="1" min="14" max="14"/>
  </cols>
  <sheetData>
    <row r="1" ht="56" customHeight="1">
      <c r="A1" s="1" t="inlineStr">
        <is>
          <t xml:space="preserve">  🖋  NOTARY &amp; LOAN SIGNING AGENT COMMAND CENTER™</t>
        </is>
      </c>
    </row>
    <row r="2" ht="24" customHeight="1">
      <c r="A2" s="2" t="inlineStr">
        <is>
          <t xml:space="preserve">  What a signing really pays, per hour — plus a Signing Score, at a glance.</t>
        </is>
      </c>
    </row>
    <row r="3" ht="6" customHeight="1">
      <c r="A3" s="3" t="n"/>
      <c r="B3" s="3" t="n"/>
      <c r="C3" s="3" t="n"/>
      <c r="D3" s="3" t="n"/>
      <c r="E3" s="3" t="n"/>
      <c r="F3" s="3" t="n"/>
      <c r="G3" s="3" t="n"/>
      <c r="H3" s="3" t="n"/>
      <c r="I3" s="3" t="n"/>
      <c r="J3" s="3" t="n"/>
      <c r="K3" s="3" t="n"/>
      <c r="L3" s="3" t="n"/>
      <c r="M3" s="3" t="n"/>
      <c r="N3" s="3" t="n"/>
    </row>
    <row r="5" ht="18" customHeight="1">
      <c r="B5" s="12" t="inlineStr">
        <is>
          <t>AVERAGE FEE</t>
        </is>
      </c>
      <c r="C5" s="13" t="n"/>
      <c r="D5" s="12" t="inlineStr">
        <is>
          <t>LOOKS LIKE / HOUR</t>
        </is>
      </c>
      <c r="E5" s="13" t="n"/>
      <c r="F5" s="12" t="inlineStr">
        <is>
          <t>PRINTING</t>
        </is>
      </c>
      <c r="G5" s="13" t="n"/>
      <c r="H5" s="12" t="inlineStr">
        <is>
          <t>DRIVING</t>
        </is>
      </c>
      <c r="I5" s="13" t="n"/>
      <c r="J5" s="12" t="inlineStr">
        <is>
          <t>NET PER SIGNING</t>
        </is>
      </c>
      <c r="K5" s="13" t="n"/>
      <c r="L5" s="12" t="inlineStr">
        <is>
          <t>REALLY EARNS / HOUR</t>
        </is>
      </c>
      <c r="M5" s="13" t="n"/>
    </row>
    <row r="6" ht="40" customHeight="1">
      <c r="B6" s="14">
        <f>AvgFee</f>
        <v/>
      </c>
      <c r="C6" s="15" t="n"/>
      <c r="D6" s="14">
        <f>LooksLike</f>
        <v/>
      </c>
      <c r="E6" s="15" t="n"/>
      <c r="F6" s="14">
        <f>PrintCost</f>
        <v/>
      </c>
      <c r="G6" s="15" t="n"/>
      <c r="H6" s="14">
        <f>DriveCost</f>
        <v/>
      </c>
      <c r="I6" s="15" t="n"/>
      <c r="J6" s="14">
        <f>NetPerSigning</f>
        <v/>
      </c>
      <c r="K6" s="15" t="n"/>
      <c r="L6" s="14">
        <f>RealHourly</f>
        <v/>
      </c>
      <c r="M6" s="15" t="n"/>
    </row>
    <row r="8" ht="18" customHeight="1">
      <c r="B8" s="12" t="inlineStr">
        <is>
          <t>SIGNINGS / MONTH</t>
        </is>
      </c>
      <c r="C8" s="13" t="n"/>
      <c r="D8" s="12" t="inlineStr">
        <is>
          <t>MONTHLY REVENUE</t>
        </is>
      </c>
      <c r="E8" s="13" t="n"/>
      <c r="F8" s="12" t="inlineStr">
        <is>
          <t>MONTHLY PROFIT</t>
        </is>
      </c>
      <c r="G8" s="13" t="n"/>
      <c r="H8" s="12" t="inlineStr">
        <is>
          <t>BREAK-EVEN SIGNINGS</t>
        </is>
      </c>
      <c r="I8" s="13" t="n"/>
      <c r="J8" s="12" t="inlineStr">
        <is>
          <t>MILEAGE DEDUCTION</t>
        </is>
      </c>
      <c r="K8" s="13" t="n"/>
      <c r="L8" s="12" t="inlineStr">
        <is>
          <t>SIGNING SCORE</t>
        </is>
      </c>
      <c r="M8" s="13" t="n"/>
    </row>
    <row r="9" ht="40" customHeight="1">
      <c r="B9" s="16">
        <f>SigningsMonth</f>
        <v/>
      </c>
      <c r="C9" s="15" t="n"/>
      <c r="D9" s="17">
        <f>Revenue</f>
        <v/>
      </c>
      <c r="E9" s="15" t="n"/>
      <c r="F9" s="17">
        <f>Profit</f>
        <v/>
      </c>
      <c r="G9" s="15" t="n"/>
      <c r="H9" s="16">
        <f>BreakEven</f>
        <v/>
      </c>
      <c r="I9" s="15" t="n"/>
      <c r="J9" s="17">
        <f>MileageMonth</f>
        <v/>
      </c>
      <c r="K9" s="15" t="n"/>
      <c r="L9" s="18">
        <f>IFERROR(AVERAGE(HealthRange),0)</f>
        <v/>
      </c>
      <c r="M9" s="15" t="n"/>
    </row>
    <row r="11" ht="26" customHeight="1">
      <c r="B11" s="4" t="inlineStr">
        <is>
          <t>BUSINESS HEALTH</t>
        </is>
      </c>
      <c r="H11" s="4" t="inlineStr">
        <is>
          <t>REVENUE BY MONTH</t>
        </is>
      </c>
    </row>
    <row r="12" ht="30" customHeight="1">
      <c r="B12" s="9" t="inlineStr">
        <is>
          <t>Check</t>
        </is>
      </c>
      <c r="C12" s="9" t="inlineStr">
        <is>
          <t>Score</t>
        </is>
      </c>
      <c r="D12" s="9" t="inlineStr">
        <is>
          <t>Status</t>
        </is>
      </c>
    </row>
    <row r="13">
      <c r="B13" s="19" t="inlineStr">
        <is>
          <t>Real hourly on target</t>
        </is>
      </c>
      <c r="C13" s="20">
        <f>IFERROR(MIN(RealHourly/HourlyGoal,1),0)</f>
        <v/>
      </c>
      <c r="D13" s="21">
        <f>IF(C13&gt;=0.85,"Strong",IF(C13&gt;=0.6,"OK","Watch"))</f>
        <v/>
      </c>
    </row>
    <row r="14">
      <c r="B14" s="22" t="inlineStr">
        <is>
          <t>Margin healthy</t>
        </is>
      </c>
      <c r="C14" s="23">
        <f>IFERROR(MIN(Margin/MarginGoal,1),0)</f>
        <v/>
      </c>
      <c r="D14" s="24">
        <f>IF(C14&gt;=0.85,"Strong",IF(C14&gt;=0.6,"OK","Watch"))</f>
        <v/>
      </c>
    </row>
    <row r="15">
      <c r="B15" s="19" t="inlineStr">
        <is>
          <t>Overhead more than covered</t>
        </is>
      </c>
      <c r="C15" s="20">
        <f>IFERROR(MIN(CoverRatio/CoverGoal,1),0)</f>
        <v/>
      </c>
      <c r="D15" s="21">
        <f>IF(C15&gt;=0.85,"Strong",IF(C15&gt;=0.6,"OK","Watch"))</f>
        <v/>
      </c>
    </row>
    <row r="16">
      <c r="B16" s="22" t="inlineStr">
        <is>
          <t>Actually getting paid</t>
        </is>
      </c>
      <c r="C16" s="23">
        <f>IFERROR(MIN(PaidRate/PaidGoal,1),0)</f>
        <v/>
      </c>
      <c r="D16" s="24">
        <f>IF(C16&gt;=0.85,"Strong",IF(C16&gt;=0.6,"OK","Watch"))</f>
        <v/>
      </c>
    </row>
    <row r="17">
      <c r="B17" s="19" t="inlineStr">
        <is>
          <t>Enough signings booked</t>
        </is>
      </c>
      <c r="C17" s="20">
        <f>IFERROR(MIN(SigningsMonth/SigningGoal,1),0)</f>
        <v/>
      </c>
      <c r="D17" s="21">
        <f>IF(C17&gt;=0.85,"Strong",IF(C17&gt;=0.6,"OK","Watch"))</f>
        <v/>
      </c>
    </row>
    <row r="18">
      <c r="B18" s="22" t="inlineStr">
        <is>
          <t>Tax reserve funded</t>
        </is>
      </c>
      <c r="C18" s="23">
        <f>IFERROR(MIN(TaxReserve/TaxReserveGoal,1),0)</f>
        <v/>
      </c>
      <c r="D18" s="24">
        <f>IF(C18&gt;=0.85,"Strong",IF(C18&gt;=0.6,"OK","Watch"))</f>
        <v/>
      </c>
    </row>
    <row r="21" ht="26" customHeight="1">
      <c r="B21" s="2" t="inlineStr">
        <is>
          <t>Notary &amp; Loan Signing Agent Command Center™ — count the drive and the printer.</t>
        </is>
      </c>
    </row>
  </sheetData>
  <mergeCells count="29">
    <mergeCell ref="J5:K5"/>
    <mergeCell ref="F6:G6"/>
    <mergeCell ref="H11:M11"/>
    <mergeCell ref="H9:I9"/>
    <mergeCell ref="A1:N1"/>
    <mergeCell ref="J9:K9"/>
    <mergeCell ref="D6:E6"/>
    <mergeCell ref="H6:I6"/>
    <mergeCell ref="J6:K6"/>
    <mergeCell ref="B21:M21"/>
    <mergeCell ref="F5:G5"/>
    <mergeCell ref="L5:M5"/>
    <mergeCell ref="L8:M8"/>
    <mergeCell ref="B8:C8"/>
    <mergeCell ref="F8:G8"/>
    <mergeCell ref="A2:N2"/>
    <mergeCell ref="B9:C9"/>
    <mergeCell ref="D9:E9"/>
    <mergeCell ref="F9:G9"/>
    <mergeCell ref="L9:M9"/>
    <mergeCell ref="D8:E8"/>
    <mergeCell ref="B6:C6"/>
    <mergeCell ref="L6:M6"/>
    <mergeCell ref="B5:C5"/>
    <mergeCell ref="D5:E5"/>
    <mergeCell ref="H5:I5"/>
    <mergeCell ref="H8:I8"/>
    <mergeCell ref="J8:K8"/>
    <mergeCell ref="B11:G11"/>
  </mergeCells>
  <conditionalFormatting sqref="C13:C18">
    <cfRule type="colorScale" priority="1">
      <colorScale>
        <cfvo type="num" val="0"/>
        <cfvo type="num" val="0.5"/>
        <cfvo type="num" val="1"/>
        <color rgb="FFFBF0E2"/>
        <color rgb="FFFFF3CD"/>
        <color rgb="FF75E6C1"/>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1"/>
  <sheetViews>
    <sheetView showGridLines="0" workbookViewId="0">
      <selection activeCell="A1" sqref="A1"/>
    </sheetView>
  </sheetViews>
  <sheetFormatPr baseColWidth="8" defaultRowHeight="15"/>
  <cols>
    <col width="2" customWidth="1" min="1" max="1"/>
    <col width="48" customWidth="1" min="2" max="2"/>
    <col width="20" customWidth="1" min="3" max="3"/>
    <col width="2" customWidth="1" min="4" max="4"/>
  </cols>
  <sheetData>
    <row r="1" ht="46" customHeight="1">
      <c r="A1" s="1" t="inlineStr">
        <is>
          <t xml:space="preserve">  🧮  SIGNING PROFIT — THE ENGINE</t>
        </is>
      </c>
    </row>
    <row r="2" ht="22" customHeight="1">
      <c r="A2" s="2" t="inlineStr">
        <is>
          <t xml:space="preserve">  Fee minus printing minus driving, over the hours it ACTUALLY takes door to door.</t>
        </is>
      </c>
    </row>
    <row r="3" ht="6" customHeight="1">
      <c r="A3" s="3" t="n"/>
      <c r="B3" s="3" t="n"/>
      <c r="C3" s="3" t="n"/>
    </row>
    <row r="5">
      <c r="B5" s="4" t="inlineStr">
        <is>
          <t>WHAT IT LOOKS LIKE</t>
        </is>
      </c>
    </row>
    <row r="6">
      <c r="B6" s="25" t="inlineStr">
        <is>
          <t>The fee</t>
        </is>
      </c>
      <c r="C6" s="26">
        <f>AvgFee</f>
        <v/>
      </c>
    </row>
    <row r="7">
      <c r="B7" s="25" t="inlineStr">
        <is>
          <t>÷ length of the appointment (hours)</t>
        </is>
      </c>
      <c r="C7" s="27" t="n">
        <v>0.9</v>
      </c>
    </row>
    <row r="8">
      <c r="B8" s="9">
        <f> WHAT IT FEELS LIKE YOU EARN</f>
        <v/>
      </c>
      <c r="C8" s="28">
        <f>IFERROR(AvgFee/ApptHours,0)</f>
        <v/>
      </c>
    </row>
    <row r="10">
      <c r="B10" s="4" t="inlineStr">
        <is>
          <t>⚠ NOW COUNT WHAT IT ACTUALLY COST YOU</t>
        </is>
      </c>
    </row>
    <row r="11">
      <c r="B11" s="25" t="inlineStr">
        <is>
          <t>Pages printed (borrower + lender copies)</t>
        </is>
      </c>
      <c r="C11" s="29" t="n">
        <v>180</v>
      </c>
    </row>
    <row r="12">
      <c r="B12" s="25" t="inlineStr">
        <is>
          <t>− Printing (pages × cost per page)</t>
        </is>
      </c>
      <c r="C12" s="30">
        <f>Pages*CostPerPage</f>
        <v/>
      </c>
    </row>
    <row r="13">
      <c r="B13" s="25" t="inlineStr">
        <is>
          <t>Round-trip miles</t>
        </is>
      </c>
      <c r="C13" s="29" t="n">
        <v>38</v>
      </c>
    </row>
    <row r="14">
      <c r="B14" s="25" t="inlineStr">
        <is>
          <t>− Driving (miles × vehicle cost per mile)</t>
        </is>
      </c>
      <c r="C14" s="30">
        <f>Miles*VehicleCPM</f>
        <v/>
      </c>
    </row>
    <row r="15">
      <c r="B15" s="9">
        <f> OUT OF POCKET, EVERY SIGNING</f>
        <v/>
      </c>
      <c r="C15" s="31">
        <f>PrintCost+DriveCost</f>
        <v/>
      </c>
    </row>
    <row r="16">
      <c r="B16" s="9">
        <f> NET PER SIGNING</f>
        <v/>
      </c>
      <c r="C16" s="32">
        <f>AvgFee-CostPerSigning</f>
        <v/>
      </c>
    </row>
    <row r="18">
      <c r="B18" s="4" t="inlineStr">
        <is>
          <t>AND HOW LONG IT REALLY TOOK</t>
        </is>
      </c>
    </row>
    <row r="19">
      <c r="B19" s="25" t="inlineStr">
        <is>
          <t>Prep, printing &amp; confirming (hours)</t>
        </is>
      </c>
      <c r="C19" s="27" t="n">
        <v>0.5</v>
      </c>
    </row>
    <row r="20">
      <c r="B20" s="25" t="inlineStr">
        <is>
          <t>+ Drive time, round trip (hours)</t>
        </is>
      </c>
      <c r="C20" s="27" t="n">
        <v>1.1</v>
      </c>
    </row>
    <row r="21">
      <c r="B21" s="25" t="inlineStr">
        <is>
          <t>+ The appointment itself (hours)</t>
        </is>
      </c>
      <c r="C21" s="33">
        <f>ApptHours</f>
        <v/>
      </c>
    </row>
    <row r="22">
      <c r="B22" s="9">
        <f> HOURS DOOR TO DOOR</f>
        <v/>
      </c>
      <c r="C22" s="34">
        <f>PrepHours+DriveHours+ApptHours</f>
        <v/>
      </c>
    </row>
    <row r="24">
      <c r="B24" s="9">
        <f> WHAT YOU ACTUALLY EARN PER HOUR</f>
        <v/>
      </c>
      <c r="C24" s="35">
        <f>IFERROR(NetPerSigning/TotalHours,0)</f>
        <v/>
      </c>
    </row>
    <row r="25">
      <c r="B25" s="25" t="inlineStr">
        <is>
          <t>…which is this much less than it felt like</t>
        </is>
      </c>
      <c r="C25" s="30">
        <f>LooksLike-RealHourly</f>
        <v/>
      </c>
    </row>
    <row r="27">
      <c r="B27" s="4" t="inlineStr">
        <is>
          <t>THE GOOD NEWS — YOUR MILEAGE DEDUCTION</t>
        </is>
      </c>
    </row>
    <row r="28">
      <c r="B28" s="25" t="inlineStr">
        <is>
          <t>Miles × IRS rate (per signing)</t>
        </is>
      </c>
      <c r="C28" s="36">
        <f>Miles*IRSRate</f>
        <v/>
      </c>
    </row>
    <row r="29">
      <c r="B29" s="25" t="inlineStr">
        <is>
          <t>× signings this month = deductible</t>
        </is>
      </c>
      <c r="C29" s="37">
        <f>MileageDeduction*SigningsMonth</f>
        <v/>
      </c>
    </row>
    <row r="31">
      <c r="B31" s="4" t="inlineStr">
        <is>
          <t>Your mileage deduction is worth more than the gas costs you. Log every mile.</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4"/>
  <sheetViews>
    <sheetView showGridLines="0" workbookViewId="0">
      <pane ySplit="4" topLeftCell="A5" activePane="bottomLeft" state="frozen"/>
      <selection pane="bottomLeft" activeCell="A1" sqref="A1"/>
    </sheetView>
  </sheetViews>
  <sheetFormatPr baseColWidth="8" defaultRowHeight="15"/>
  <cols>
    <col width="2" customWidth="1" min="1" max="1"/>
    <col width="11" customWidth="1" min="2" max="2"/>
    <col width="22" customWidth="1" min="3" max="3"/>
    <col width="22" customWidth="1" min="4" max="4"/>
    <col width="13" customWidth="1" min="5" max="5"/>
    <col width="11" customWidth="1" min="6" max="6"/>
    <col width="11" customWidth="1" min="7" max="7"/>
    <col width="15" customWidth="1" min="8" max="8"/>
    <col width="14" customWidth="1" min="9" max="9"/>
    <col width="14" customWidth="1" min="10" max="10"/>
    <col width="2" customWidth="1" min="11" max="11"/>
  </cols>
  <sheetData>
    <row r="1" ht="46" customHeight="1">
      <c r="A1" s="1" t="inlineStr">
        <is>
          <t xml:space="preserve">  📝  SIGNINGS LOG</t>
        </is>
      </c>
    </row>
    <row r="2" ht="22" customHeight="1">
      <c r="A2" s="2" t="inlineStr">
        <is>
          <t xml:space="preserve">  Every signing — the fee, the pages, the miles, and what it actually netted.</t>
        </is>
      </c>
    </row>
    <row r="3" ht="6" customHeight="1">
      <c r="A3" s="3" t="n"/>
      <c r="B3" s="3" t="n"/>
      <c r="C3" s="3" t="n"/>
      <c r="D3" s="3" t="n"/>
      <c r="E3" s="3" t="n"/>
      <c r="F3" s="3" t="n"/>
      <c r="G3" s="3" t="n"/>
      <c r="H3" s="3" t="n"/>
      <c r="I3" s="3" t="n"/>
      <c r="J3" s="3" t="n"/>
    </row>
    <row r="4" ht="30" customHeight="1">
      <c r="B4" s="9" t="inlineStr">
        <is>
          <t>Date</t>
        </is>
      </c>
      <c r="C4" s="9" t="inlineStr">
        <is>
          <t>Company</t>
        </is>
      </c>
      <c r="D4" s="9" t="inlineStr">
        <is>
          <t>Type</t>
        </is>
      </c>
      <c r="E4" s="9" t="inlineStr">
        <is>
          <t>Fee</t>
        </is>
      </c>
      <c r="F4" s="9" t="inlineStr">
        <is>
          <t>Pages</t>
        </is>
      </c>
      <c r="G4" s="9" t="inlineStr">
        <is>
          <t>Miles</t>
        </is>
      </c>
      <c r="H4" s="9" t="inlineStr">
        <is>
          <t>Status</t>
        </is>
      </c>
      <c r="I4" s="9" t="inlineStr">
        <is>
          <t>Cost</t>
        </is>
      </c>
      <c r="J4" s="9" t="inlineStr">
        <is>
          <t>Net</t>
        </is>
      </c>
    </row>
    <row r="5">
      <c r="B5" s="21" t="inlineStr">
        <is>
          <t>07/01</t>
        </is>
      </c>
      <c r="C5" s="19" t="inlineStr">
        <is>
          <t>Summit Signing</t>
        </is>
      </c>
      <c r="D5" s="19" t="inlineStr">
        <is>
          <t>Refinance</t>
        </is>
      </c>
      <c r="E5" s="38" t="n">
        <v>125</v>
      </c>
      <c r="F5" s="29" t="n">
        <v>178</v>
      </c>
      <c r="G5" s="29" t="n">
        <v>34</v>
      </c>
      <c r="H5" s="21" t="inlineStr">
        <is>
          <t>Paid</t>
        </is>
      </c>
      <c r="I5" s="39">
        <f>F5*CostPerPage+G5*VehicleCPM</f>
        <v/>
      </c>
      <c r="J5" s="39">
        <f>E5-I5</f>
        <v/>
      </c>
    </row>
    <row r="6">
      <c r="B6" s="24" t="inlineStr">
        <is>
          <t>07/02</t>
        </is>
      </c>
      <c r="C6" s="22" t="inlineStr">
        <is>
          <t>Clearview Title</t>
        </is>
      </c>
      <c r="D6" s="22" t="inlineStr">
        <is>
          <t>Purchase / seller</t>
        </is>
      </c>
      <c r="E6" s="40" t="n">
        <v>150</v>
      </c>
      <c r="F6" s="41" t="n">
        <v>212</v>
      </c>
      <c r="G6" s="41" t="n">
        <v>41</v>
      </c>
      <c r="H6" s="24" t="inlineStr">
        <is>
          <t>Paid</t>
        </is>
      </c>
      <c r="I6" s="42">
        <f>F6*CostPerPage+G6*VehicleCPM</f>
        <v/>
      </c>
      <c r="J6" s="42">
        <f>E6-I6</f>
        <v/>
      </c>
    </row>
    <row r="7">
      <c r="B7" s="21" t="inlineStr">
        <is>
          <t>07/03</t>
        </is>
      </c>
      <c r="C7" s="19" t="inlineStr">
        <is>
          <t>Summit Signing</t>
        </is>
      </c>
      <c r="D7" s="19" t="inlineStr">
        <is>
          <t>Refinance</t>
        </is>
      </c>
      <c r="E7" s="38" t="n">
        <v>125</v>
      </c>
      <c r="F7" s="29" t="n">
        <v>164</v>
      </c>
      <c r="G7" s="29" t="n">
        <v>22</v>
      </c>
      <c r="H7" s="21" t="inlineStr">
        <is>
          <t>Paid</t>
        </is>
      </c>
      <c r="I7" s="39">
        <f>F7*CostPerPage+G7*VehicleCPM</f>
        <v/>
      </c>
      <c r="J7" s="39">
        <f>E7-I7</f>
        <v/>
      </c>
    </row>
    <row r="8">
      <c r="B8" s="24" t="inlineStr">
        <is>
          <t>07/05</t>
        </is>
      </c>
      <c r="C8" s="22" t="inlineStr">
        <is>
          <t>Anchor Notary Net</t>
        </is>
      </c>
      <c r="D8" s="22" t="inlineStr">
        <is>
          <t>HELOC</t>
        </is>
      </c>
      <c r="E8" s="40" t="n">
        <v>100</v>
      </c>
      <c r="F8" s="41" t="n">
        <v>96</v>
      </c>
      <c r="G8" s="41" t="n">
        <v>48</v>
      </c>
      <c r="H8" s="24" t="inlineStr">
        <is>
          <t>Paid</t>
        </is>
      </c>
      <c r="I8" s="42">
        <f>F8*CostPerPage+G8*VehicleCPM</f>
        <v/>
      </c>
      <c r="J8" s="42">
        <f>E8-I8</f>
        <v/>
      </c>
    </row>
    <row r="9">
      <c r="B9" s="21" t="inlineStr">
        <is>
          <t>07/07</t>
        </is>
      </c>
      <c r="C9" s="19" t="inlineStr">
        <is>
          <t>Clearview Title</t>
        </is>
      </c>
      <c r="D9" s="19" t="inlineStr">
        <is>
          <t>Refinance</t>
        </is>
      </c>
      <c r="E9" s="38" t="n">
        <v>125</v>
      </c>
      <c r="F9" s="29" t="n">
        <v>186</v>
      </c>
      <c r="G9" s="29" t="n">
        <v>29</v>
      </c>
      <c r="H9" s="21" t="inlineStr">
        <is>
          <t>Paid</t>
        </is>
      </c>
      <c r="I9" s="39">
        <f>F9*CostPerPage+G9*VehicleCPM</f>
        <v/>
      </c>
      <c r="J9" s="39">
        <f>E9-I9</f>
        <v/>
      </c>
    </row>
    <row r="10">
      <c r="B10" s="24" t="inlineStr">
        <is>
          <t>07/08</t>
        </is>
      </c>
      <c r="C10" s="22" t="inlineStr">
        <is>
          <t>Meridian Escrow</t>
        </is>
      </c>
      <c r="D10" s="22" t="inlineStr">
        <is>
          <t>Reverse mortgage</t>
        </is>
      </c>
      <c r="E10" s="40" t="n">
        <v>175</v>
      </c>
      <c r="F10" s="41" t="n">
        <v>246</v>
      </c>
      <c r="G10" s="41" t="n">
        <v>52</v>
      </c>
      <c r="H10" s="24" t="inlineStr">
        <is>
          <t>Invoiced</t>
        </is>
      </c>
      <c r="I10" s="42">
        <f>F10*CostPerPage+G10*VehicleCPM</f>
        <v/>
      </c>
      <c r="J10" s="42">
        <f>E10-I10</f>
        <v/>
      </c>
    </row>
    <row r="11">
      <c r="B11" s="21" t="inlineStr">
        <is>
          <t>07/09</t>
        </is>
      </c>
      <c r="C11" s="19" t="inlineStr">
        <is>
          <t>Summit Signing</t>
        </is>
      </c>
      <c r="D11" s="19" t="inlineStr">
        <is>
          <t>Refinance</t>
        </is>
      </c>
      <c r="E11" s="38" t="n">
        <v>125</v>
      </c>
      <c r="F11" s="29" t="n">
        <v>172</v>
      </c>
      <c r="G11" s="29" t="n">
        <v>31</v>
      </c>
      <c r="H11" s="21" t="inlineStr">
        <is>
          <t>Paid</t>
        </is>
      </c>
      <c r="I11" s="39">
        <f>F11*CostPerPage+G11*VehicleCPM</f>
        <v/>
      </c>
      <c r="J11" s="39">
        <f>E11-I11</f>
        <v/>
      </c>
    </row>
    <row r="12">
      <c r="B12" s="24" t="inlineStr">
        <is>
          <t>07/10</t>
        </is>
      </c>
      <c r="C12" s="22" t="inlineStr">
        <is>
          <t>Direct — Ortega</t>
        </is>
      </c>
      <c r="D12" s="22" t="inlineStr">
        <is>
          <t>Single notarization</t>
        </is>
      </c>
      <c r="E12" s="40" t="n">
        <v>45</v>
      </c>
      <c r="F12" s="41" t="n">
        <v>4</v>
      </c>
      <c r="G12" s="41" t="n">
        <v>12</v>
      </c>
      <c r="H12" s="24" t="inlineStr">
        <is>
          <t>Paid</t>
        </is>
      </c>
      <c r="I12" s="42">
        <f>F12*CostPerPage+G12*VehicleCPM</f>
        <v/>
      </c>
      <c r="J12" s="42">
        <f>E12-I12</f>
        <v/>
      </c>
    </row>
    <row r="13">
      <c r="B13" s="21" t="inlineStr">
        <is>
          <t>07/12</t>
        </is>
      </c>
      <c r="C13" s="19" t="inlineStr">
        <is>
          <t>Anchor Notary Net</t>
        </is>
      </c>
      <c r="D13" s="19" t="inlineStr">
        <is>
          <t>Loan modification</t>
        </is>
      </c>
      <c r="E13" s="38" t="n">
        <v>90</v>
      </c>
      <c r="F13" s="29" t="n">
        <v>74</v>
      </c>
      <c r="G13" s="29" t="n">
        <v>44</v>
      </c>
      <c r="H13" s="21" t="inlineStr">
        <is>
          <t>Overdue</t>
        </is>
      </c>
      <c r="I13" s="39">
        <f>F13*CostPerPage+G13*VehicleCPM</f>
        <v/>
      </c>
      <c r="J13" s="39">
        <f>E13-I13</f>
        <v/>
      </c>
    </row>
    <row r="14">
      <c r="B14" s="24" t="inlineStr">
        <is>
          <t>07/14</t>
        </is>
      </c>
      <c r="C14" s="22" t="inlineStr">
        <is>
          <t>Clearview Title</t>
        </is>
      </c>
      <c r="D14" s="22" t="inlineStr">
        <is>
          <t>Purchase / seller</t>
        </is>
      </c>
      <c r="E14" s="40" t="n">
        <v>150</v>
      </c>
      <c r="F14" s="41" t="n">
        <v>204</v>
      </c>
      <c r="G14" s="41" t="n">
        <v>38</v>
      </c>
      <c r="H14" s="24" t="inlineStr">
        <is>
          <t>Invoiced</t>
        </is>
      </c>
      <c r="I14" s="42">
        <f>F14*CostPerPage+G14*VehicleCPM</f>
        <v/>
      </c>
      <c r="J14" s="42">
        <f>E14-I14</f>
        <v/>
      </c>
    </row>
    <row r="15">
      <c r="B15" s="21" t="inlineStr">
        <is>
          <t>07/15</t>
        </is>
      </c>
      <c r="C15" s="19" t="inlineStr">
        <is>
          <t>Meridian Escrow</t>
        </is>
      </c>
      <c r="D15" s="19" t="inlineStr">
        <is>
          <t>Refinance</t>
        </is>
      </c>
      <c r="E15" s="38" t="n">
        <v>125</v>
      </c>
      <c r="F15" s="29" t="n">
        <v>190</v>
      </c>
      <c r="G15" s="29" t="n">
        <v>27</v>
      </c>
      <c r="H15" s="21" t="inlineStr">
        <is>
          <t>Paid</t>
        </is>
      </c>
      <c r="I15" s="39">
        <f>F15*CostPerPage+G15*VehicleCPM</f>
        <v/>
      </c>
      <c r="J15" s="39">
        <f>E15-I15</f>
        <v/>
      </c>
    </row>
    <row r="16">
      <c r="B16" s="24" t="inlineStr">
        <is>
          <t>07/16</t>
        </is>
      </c>
      <c r="C16" s="22" t="inlineStr">
        <is>
          <t>Summit Signing</t>
        </is>
      </c>
      <c r="D16" s="22" t="inlineStr">
        <is>
          <t>Refinance</t>
        </is>
      </c>
      <c r="E16" s="40" t="n">
        <v>125</v>
      </c>
      <c r="F16" s="41" t="n">
        <v>168</v>
      </c>
      <c r="G16" s="41" t="n">
        <v>36</v>
      </c>
      <c r="H16" s="24" t="inlineStr">
        <is>
          <t>Not paid — fell through</t>
        </is>
      </c>
      <c r="I16" s="42">
        <f>F16*CostPerPage+G16*VehicleCPM</f>
        <v/>
      </c>
      <c r="J16" s="42">
        <f>E16-I16</f>
        <v/>
      </c>
    </row>
    <row r="17">
      <c r="B17" s="21" t="inlineStr">
        <is>
          <t>07/17</t>
        </is>
      </c>
      <c r="C17" s="19" t="inlineStr">
        <is>
          <t>Direct — Hale</t>
        </is>
      </c>
      <c r="D17" s="19" t="inlineStr">
        <is>
          <t>Jail / hospital</t>
        </is>
      </c>
      <c r="E17" s="38" t="n">
        <v>85</v>
      </c>
      <c r="F17" s="29" t="n">
        <v>6</v>
      </c>
      <c r="G17" s="29" t="n">
        <v>19</v>
      </c>
      <c r="H17" s="21" t="inlineStr">
        <is>
          <t>Paid</t>
        </is>
      </c>
      <c r="I17" s="39">
        <f>F17*CostPerPage+G17*VehicleCPM</f>
        <v/>
      </c>
      <c r="J17" s="39">
        <f>E17-I17</f>
        <v/>
      </c>
    </row>
    <row r="18">
      <c r="B18" s="24" t="inlineStr">
        <is>
          <t>07/19</t>
        </is>
      </c>
      <c r="C18" s="22" t="inlineStr">
        <is>
          <t>Anchor Notary Net</t>
        </is>
      </c>
      <c r="D18" s="22" t="inlineStr">
        <is>
          <t>Refinance</t>
        </is>
      </c>
      <c r="E18" s="40" t="n">
        <v>125</v>
      </c>
      <c r="F18" s="41" t="n">
        <v>182</v>
      </c>
      <c r="G18" s="41" t="n">
        <v>40</v>
      </c>
      <c r="H18" s="24" t="inlineStr">
        <is>
          <t>Invoiced</t>
        </is>
      </c>
      <c r="I18" s="42">
        <f>F18*CostPerPage+G18*VehicleCPM</f>
        <v/>
      </c>
      <c r="J18" s="42">
        <f>E18-I18</f>
        <v/>
      </c>
    </row>
    <row r="19">
      <c r="B19" s="9" t="inlineStr">
        <is>
          <t>FORTNIGHT</t>
        </is>
      </c>
      <c r="C19" s="43" t="n"/>
      <c r="D19" s="43" t="n"/>
      <c r="E19" s="44">
        <f>SUM(SigFee)</f>
        <v/>
      </c>
      <c r="F19" s="45">
        <f>SUM(SigPages)</f>
        <v/>
      </c>
      <c r="G19" s="45">
        <f>SUM(SigMiles)</f>
        <v/>
      </c>
      <c r="H19" s="43" t="n"/>
      <c r="I19" s="43" t="n"/>
      <c r="J19" s="46">
        <f>SUM(SigNet)</f>
        <v/>
      </c>
    </row>
    <row r="21">
      <c r="B21" s="25" t="inlineStr">
        <is>
          <t>Signings that fell through unpaid</t>
        </is>
      </c>
      <c r="G21" s="47">
        <f>Unpaid</f>
        <v/>
      </c>
    </row>
    <row r="22">
      <c r="B22" s="9">
        <f> GETTING-PAID RATE</f>
        <v/>
      </c>
      <c r="G22" s="48">
        <f>IFERROR((SigningsMonth-Unpaid)/SigningsMonth,0)</f>
        <v/>
      </c>
    </row>
    <row r="24">
      <c r="B24" s="4" t="inlineStr">
        <is>
          <t>A signing that falls through at the door is still a printed package and a tank of gas. Bill the trip fee.</t>
        </is>
      </c>
    </row>
  </sheetData>
  <mergeCells count="2">
    <mergeCell ref="A1:J1"/>
    <mergeCell ref="A2:J2"/>
  </mergeCells>
  <conditionalFormatting sqref="H5:H18">
    <cfRule type="cellIs" priority="1" operator="equal" dxfId="0">
      <formula>"Overdue"</formula>
    </cfRule>
    <cfRule type="cellIs" priority="2" operator="containsText" dxfId="1">
      <formula>"fell through"</formula>
    </cfRule>
  </conditionalFormatting>
  <conditionalFormatting sqref="J5:J18">
    <cfRule type="dataBar" priority="3">
      <dataBar>
        <cfvo type="min"/>
        <cfvo type="max"/>
        <color rgb="0075E6C1"/>
      </dataBar>
    </cfRule>
  </conditionalFormatting>
  <dataValidations count="2">
    <dataValidation sqref="D5:D18" showDropDown="0" showInputMessage="0" showErrorMessage="0" allowBlank="1" type="list">
      <formula1>=SignTypeList</formula1>
    </dataValidation>
    <dataValidation sqref="H5:H18" showDropDown="0" showInputMessage="0" showErrorMessage="0" allowBlank="1" type="list">
      <formula1>=PayStatusList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
  <sheetViews>
    <sheetView showGridLines="0" workbookViewId="0">
      <pane ySplit="4" topLeftCell="A5" activePane="bottomLeft" state="frozen"/>
      <selection pane="bottomLeft" activeCell="A1" sqref="A1"/>
    </sheetView>
  </sheetViews>
  <sheetFormatPr baseColWidth="8" defaultRowHeight="15"/>
  <cols>
    <col width="2" customWidth="1" min="1" max="1"/>
    <col width="44" customWidth="1" min="2" max="2"/>
    <col width="16" customWidth="1" min="3" max="3"/>
    <col width="46" customWidth="1" min="4" max="4"/>
    <col width="2" customWidth="1" min="5" max="5"/>
  </cols>
  <sheetData>
    <row r="1" ht="46" customHeight="1">
      <c r="A1" s="1" t="inlineStr">
        <is>
          <t xml:space="preserve">  💵  FEE SCHEDULE</t>
        </is>
      </c>
    </row>
    <row r="2" ht="22" customHeight="1">
      <c r="A2" s="2" t="inlineStr">
        <is>
          <t xml:space="preserve">  What you charge, written down — so you stop quoting from memory and undercharging.</t>
        </is>
      </c>
    </row>
    <row r="3" ht="6" customHeight="1">
      <c r="A3" s="3" t="n"/>
      <c r="B3" s="3" t="n"/>
      <c r="C3" s="3" t="n"/>
      <c r="D3" s="3" t="n"/>
    </row>
    <row r="4" ht="30" customHeight="1">
      <c r="B4" s="9" t="inlineStr">
        <is>
          <t>Service</t>
        </is>
      </c>
      <c r="C4" s="9" t="inlineStr">
        <is>
          <t>Fee</t>
        </is>
      </c>
      <c r="D4" s="9" t="inlineStr">
        <is>
          <t>Notes</t>
        </is>
      </c>
    </row>
    <row r="5">
      <c r="B5" s="19" t="inlineStr">
        <is>
          <t>Refinance signing</t>
        </is>
      </c>
      <c r="C5" s="49" t="n">
        <v>125</v>
      </c>
      <c r="D5" s="19" t="inlineStr">
        <is>
          <t>Standard — 150-200 pages</t>
        </is>
      </c>
    </row>
    <row r="6">
      <c r="B6" s="22" t="inlineStr">
        <is>
          <t>Purchase / seller package</t>
        </is>
      </c>
      <c r="C6" s="50" t="n">
        <v>150</v>
      </c>
      <c r="D6" s="22" t="inlineStr">
        <is>
          <t>Two packages, often two locations</t>
        </is>
      </c>
    </row>
    <row r="7">
      <c r="B7" s="19" t="inlineStr">
        <is>
          <t>Reverse mortgage</t>
        </is>
      </c>
      <c r="C7" s="49" t="n">
        <v>175</v>
      </c>
      <c r="D7" s="19" t="inlineStr">
        <is>
          <t>Longer appointment, counselling docs</t>
        </is>
      </c>
    </row>
    <row r="8">
      <c r="B8" s="22" t="inlineStr">
        <is>
          <t>Loan modification</t>
        </is>
      </c>
      <c r="C8" s="50" t="n">
        <v>90</v>
      </c>
      <c r="D8" s="22" t="inlineStr">
        <is>
          <t>Short package</t>
        </is>
      </c>
    </row>
    <row r="9">
      <c r="B9" s="19" t="inlineStr">
        <is>
          <t>HELOC</t>
        </is>
      </c>
      <c r="C9" s="49" t="n">
        <v>100</v>
      </c>
      <c r="D9" s="19" t="inlineStr">
        <is>
          <t>Short package, quick turnaround</t>
        </is>
      </c>
    </row>
    <row r="10">
      <c r="B10" s="22" t="inlineStr">
        <is>
          <t>Single notarization</t>
        </is>
      </c>
      <c r="C10" s="50" t="n">
        <v>15</v>
      </c>
      <c r="D10" s="22" t="inlineStr">
        <is>
          <t>Plus travel — check your state maximum</t>
        </is>
      </c>
    </row>
    <row r="11">
      <c r="B11" s="19" t="inlineStr">
        <is>
          <t>Jail / hospital signing</t>
        </is>
      </c>
      <c r="C11" s="49" t="n">
        <v>85</v>
      </c>
      <c r="D11" s="19" t="inlineStr">
        <is>
          <t>Includes wait time</t>
        </is>
      </c>
    </row>
    <row r="12">
      <c r="B12" s="22" t="inlineStr">
        <is>
          <t>Apostille prep &amp; courier</t>
        </is>
      </c>
      <c r="C12" s="50" t="n">
        <v>95</v>
      </c>
      <c r="D12" s="22" t="inlineStr">
        <is>
          <t>Per document set</t>
        </is>
      </c>
    </row>
    <row r="13">
      <c r="B13" s="19" t="inlineStr">
        <is>
          <t>After-hours surcharge (after 7pm)</t>
        </is>
      </c>
      <c r="C13" s="49" t="n">
        <v>35</v>
      </c>
      <c r="D13" s="19" t="inlineStr">
        <is>
          <t>Add to base fee</t>
        </is>
      </c>
    </row>
    <row r="14">
      <c r="B14" s="22" t="inlineStr">
        <is>
          <t>Printing surcharge (over 150 pages)</t>
        </is>
      </c>
      <c r="C14" s="50" t="n">
        <v>25</v>
      </c>
      <c r="D14" s="22" t="inlineStr">
        <is>
          <t>Add to base fee</t>
        </is>
      </c>
    </row>
    <row r="15">
      <c r="B15" s="19" t="inlineStr">
        <is>
          <t>Scanbacks</t>
        </is>
      </c>
      <c r="C15" s="49" t="n">
        <v>20</v>
      </c>
      <c r="D15" s="19" t="inlineStr">
        <is>
          <t>Add to base fee</t>
        </is>
      </c>
    </row>
    <row r="16">
      <c r="B16" s="22" t="inlineStr">
        <is>
          <t>Travel beyond 30 miles (per mile)</t>
        </is>
      </c>
      <c r="C16" s="50" t="n">
        <v>1.25</v>
      </c>
      <c r="D16" s="22" t="inlineStr">
        <is>
          <t>Add to base fee</t>
        </is>
      </c>
    </row>
    <row r="17">
      <c r="B17" s="19" t="inlineStr">
        <is>
          <t>Trip fee — no-show or cancelled at door</t>
        </is>
      </c>
      <c r="C17" s="49" t="n">
        <v>60</v>
      </c>
      <c r="D17" s="19" t="inlineStr">
        <is>
          <t>Bill it. Every time.</t>
        </is>
      </c>
    </row>
    <row r="19">
      <c r="B19" s="25" t="inlineStr">
        <is>
          <t>Highest fee on the schedule</t>
        </is>
      </c>
      <c r="C19" s="36">
        <f>MAX(FeeAmount)</f>
        <v/>
      </c>
    </row>
    <row r="20">
      <c r="B20" s="25" t="inlineStr">
        <is>
          <t>Your average signing fee</t>
        </is>
      </c>
      <c r="C20" s="26">
        <f>AvgFee</f>
        <v/>
      </c>
    </row>
    <row r="22">
      <c r="B22" s="4" t="inlineStr">
        <is>
          <t>⚠  Check your state's MAXIMUM fee per notarial act. Travel and printing are usually separate — but confirm.</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showGridLines="0" workbookViewId="0">
      <pane ySplit="4" topLeftCell="A5" activePane="bottomLeft" state="frozen"/>
      <selection pane="bottomLeft" activeCell="A1" sqref="A1"/>
    </sheetView>
  </sheetViews>
  <sheetFormatPr baseColWidth="8" defaultRowHeight="15"/>
  <cols>
    <col width="2" customWidth="1" min="1" max="1"/>
    <col width="12" customWidth="1" min="2" max="2"/>
    <col width="46" customWidth="1" min="3" max="3"/>
    <col width="14" customWidth="1" min="4" max="4"/>
    <col width="28" customWidth="1" min="5" max="5"/>
    <col width="16" customWidth="1" min="6" max="6"/>
    <col width="2" customWidth="1" min="7" max="7"/>
  </cols>
  <sheetData>
    <row r="1" ht="46" customHeight="1">
      <c r="A1" s="1" t="inlineStr">
        <is>
          <t xml:space="preserve">  🚗  MILEAGE LOG</t>
        </is>
      </c>
    </row>
    <row r="2" ht="22" customHeight="1">
      <c r="A2" s="2" t="inlineStr">
        <is>
          <t xml:space="preserve">  Every mile, logged — because the deduction is worth more than the gas costs you.</t>
        </is>
      </c>
    </row>
    <row r="3" ht="6" customHeight="1">
      <c r="A3" s="3" t="n"/>
      <c r="B3" s="3" t="n"/>
      <c r="C3" s="3" t="n"/>
      <c r="D3" s="3" t="n"/>
      <c r="E3" s="3" t="n"/>
      <c r="F3" s="3" t="n"/>
    </row>
    <row r="4" ht="30" customHeight="1">
      <c r="B4" s="9" t="inlineStr">
        <is>
          <t>Date</t>
        </is>
      </c>
      <c r="C4" s="9" t="inlineStr">
        <is>
          <t>Trip</t>
        </is>
      </c>
      <c r="D4" s="9" t="inlineStr">
        <is>
          <t>Miles</t>
        </is>
      </c>
      <c r="E4" s="9" t="inlineStr">
        <is>
          <t>Purpose</t>
        </is>
      </c>
      <c r="F4" s="9" t="inlineStr">
        <is>
          <t>Deduction</t>
        </is>
      </c>
    </row>
    <row r="5">
      <c r="B5" s="21" t="inlineStr">
        <is>
          <t>07/01</t>
        </is>
      </c>
      <c r="C5" s="19" t="inlineStr">
        <is>
          <t>Home → Cedar Heights → home</t>
        </is>
      </c>
      <c r="D5" s="29" t="n">
        <v>34</v>
      </c>
      <c r="E5" s="19" t="inlineStr">
        <is>
          <t>Refinance signing</t>
        </is>
      </c>
      <c r="F5" s="39">
        <f>D5*IRSRate</f>
        <v/>
      </c>
    </row>
    <row r="6">
      <c r="B6" s="24" t="inlineStr">
        <is>
          <t>07/02</t>
        </is>
      </c>
      <c r="C6" s="22" t="inlineStr">
        <is>
          <t>Home → Westbrook → title office → home</t>
        </is>
      </c>
      <c r="D6" s="41" t="n">
        <v>41</v>
      </c>
      <c r="E6" s="22" t="inlineStr">
        <is>
          <t>Purchase signing + drop</t>
        </is>
      </c>
      <c r="F6" s="42">
        <f>D6*IRSRate</f>
        <v/>
      </c>
    </row>
    <row r="7">
      <c r="B7" s="21" t="inlineStr">
        <is>
          <t>07/03</t>
        </is>
      </c>
      <c r="C7" s="19" t="inlineStr">
        <is>
          <t>Home → Old Mill → home</t>
        </is>
      </c>
      <c r="D7" s="29" t="n">
        <v>22</v>
      </c>
      <c r="E7" s="19" t="inlineStr">
        <is>
          <t>Refinance signing</t>
        </is>
      </c>
      <c r="F7" s="39">
        <f>D7*IRSRate</f>
        <v/>
      </c>
    </row>
    <row r="8">
      <c r="B8" s="24" t="inlineStr">
        <is>
          <t>07/05</t>
        </is>
      </c>
      <c r="C8" s="22" t="inlineStr">
        <is>
          <t>Home → Fairhaven → home</t>
        </is>
      </c>
      <c r="D8" s="41" t="n">
        <v>48</v>
      </c>
      <c r="E8" s="22" t="inlineStr">
        <is>
          <t>HELOC signing</t>
        </is>
      </c>
      <c r="F8" s="42">
        <f>D8*IRSRate</f>
        <v/>
      </c>
    </row>
    <row r="9">
      <c r="B9" s="21" t="inlineStr">
        <is>
          <t>07/07</t>
        </is>
      </c>
      <c r="C9" s="19" t="inlineStr">
        <is>
          <t>Home → Riverside → home</t>
        </is>
      </c>
      <c r="D9" s="29" t="n">
        <v>29</v>
      </c>
      <c r="E9" s="19" t="inlineStr">
        <is>
          <t>Refinance signing</t>
        </is>
      </c>
      <c r="F9" s="39">
        <f>D9*IRSRate</f>
        <v/>
      </c>
    </row>
    <row r="10">
      <c r="B10" s="24" t="inlineStr">
        <is>
          <t>07/08</t>
        </is>
      </c>
      <c r="C10" s="22" t="inlineStr">
        <is>
          <t>Home → Lakeview → home</t>
        </is>
      </c>
      <c r="D10" s="41" t="n">
        <v>52</v>
      </c>
      <c r="E10" s="22" t="inlineStr">
        <is>
          <t>Reverse mortgage</t>
        </is>
      </c>
      <c r="F10" s="42">
        <f>D10*IRSRate</f>
        <v/>
      </c>
    </row>
    <row r="11">
      <c r="B11" s="21" t="inlineStr">
        <is>
          <t>07/09</t>
        </is>
      </c>
      <c r="C11" s="19" t="inlineStr">
        <is>
          <t>Home → Northgate → home</t>
        </is>
      </c>
      <c r="D11" s="29" t="n">
        <v>31</v>
      </c>
      <c r="E11" s="19" t="inlineStr">
        <is>
          <t>Refinance signing</t>
        </is>
      </c>
      <c r="F11" s="39">
        <f>D11*IRSRate</f>
        <v/>
      </c>
    </row>
    <row r="12">
      <c r="B12" s="24" t="inlineStr">
        <is>
          <t>07/10</t>
        </is>
      </c>
      <c r="C12" s="22" t="inlineStr">
        <is>
          <t>Home → downtown → home</t>
        </is>
      </c>
      <c r="D12" s="41" t="n">
        <v>12</v>
      </c>
      <c r="E12" s="22" t="inlineStr">
        <is>
          <t>Single notarization</t>
        </is>
      </c>
      <c r="F12" s="42">
        <f>D12*IRSRate</f>
        <v/>
      </c>
    </row>
    <row r="13">
      <c r="B13" s="21" t="inlineStr">
        <is>
          <t>07/11</t>
        </is>
      </c>
      <c r="C13" s="19" t="inlineStr">
        <is>
          <t>Home → office supply → home</t>
        </is>
      </c>
      <c r="D13" s="29" t="n">
        <v>9</v>
      </c>
      <c r="E13" s="19" t="inlineStr">
        <is>
          <t>Toner &amp; paper</t>
        </is>
      </c>
      <c r="F13" s="39">
        <f>D13*IRSRate</f>
        <v/>
      </c>
    </row>
    <row r="14">
      <c r="B14" s="24" t="inlineStr">
        <is>
          <t>07/12</t>
        </is>
      </c>
      <c r="C14" s="22" t="inlineStr">
        <is>
          <t>Home → Brookside → home</t>
        </is>
      </c>
      <c r="D14" s="41" t="n">
        <v>44</v>
      </c>
      <c r="E14" s="22" t="inlineStr">
        <is>
          <t>Loan modification</t>
        </is>
      </c>
      <c r="F14" s="42">
        <f>D14*IRSRate</f>
        <v/>
      </c>
    </row>
    <row r="15">
      <c r="B15" s="9" t="inlineStr">
        <is>
          <t>LOGGED</t>
        </is>
      </c>
      <c r="C15" s="43" t="n"/>
      <c r="D15" s="45">
        <f>SUM(MileMiles)</f>
        <v/>
      </c>
      <c r="E15" s="43" t="n"/>
      <c r="F15" s="46">
        <f>SUM(MileDeduct)</f>
        <v/>
      </c>
    </row>
    <row r="17">
      <c r="B17" s="25" t="inlineStr">
        <is>
          <t>Projected for the full month</t>
        </is>
      </c>
      <c r="F17" s="37">
        <f>MileageMonth</f>
        <v/>
      </c>
    </row>
    <row r="19">
      <c r="B19" s="4" t="inlineStr">
        <is>
          <t>⚠  The IRS rate changes every year. Update it in Settings each January.</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8" defaultRowHeight="15"/>
  <cols>
    <col width="2" customWidth="1" min="1" max="1"/>
    <col width="38" customWidth="1" min="2" max="2"/>
    <col width="16" customWidth="1" min="3" max="3"/>
    <col width="16" customWidth="1" min="4" max="4"/>
    <col width="16" customWidth="1" min="5" max="5"/>
    <col width="18" customWidth="1" min="6" max="6"/>
    <col width="2" customWidth="1" min="7" max="7"/>
  </cols>
  <sheetData>
    <row r="1" ht="46" customHeight="1">
      <c r="A1" s="1" t="inlineStr">
        <is>
          <t xml:space="preserve">  🖨  PRINTING &amp; SUPPLIES</t>
        </is>
      </c>
    </row>
    <row r="2" ht="22" customHeight="1">
      <c r="A2" s="2" t="inlineStr">
        <is>
          <t xml:space="preserve">  What a page actually costs you — the number that makes 180-page packages sting.</t>
        </is>
      </c>
    </row>
    <row r="3" ht="6" customHeight="1">
      <c r="A3" s="3" t="n"/>
      <c r="B3" s="3" t="n"/>
      <c r="C3" s="3" t="n"/>
      <c r="D3" s="3" t="n"/>
      <c r="E3" s="3" t="n"/>
      <c r="F3" s="3" t="n"/>
    </row>
    <row r="4" ht="30" customHeight="1">
      <c r="B4" s="9" t="inlineStr">
        <is>
          <t>Item</t>
        </is>
      </c>
      <c r="C4" s="9" t="inlineStr">
        <is>
          <t>Cost</t>
        </is>
      </c>
      <c r="D4" s="9" t="inlineStr">
        <is>
          <t>Yields</t>
        </is>
      </c>
      <c r="E4" s="9" t="inlineStr">
        <is>
          <t>Unit</t>
        </is>
      </c>
      <c r="F4" s="9" t="inlineStr">
        <is>
          <t>Cost per unit</t>
        </is>
      </c>
    </row>
    <row r="5">
      <c r="B5" s="19" t="inlineStr">
        <is>
          <t>Toner — black, high yield</t>
        </is>
      </c>
      <c r="C5" s="49" t="n">
        <v>118</v>
      </c>
      <c r="D5" s="29" t="n">
        <v>6000</v>
      </c>
      <c r="E5" s="21" t="inlineStr">
        <is>
          <t>pages</t>
        </is>
      </c>
      <c r="F5" s="51">
        <f>IFERROR(C5/D5,0)</f>
        <v/>
      </c>
    </row>
    <row r="6">
      <c r="B6" s="22" t="inlineStr">
        <is>
          <t>Paper — letter, case</t>
        </is>
      </c>
      <c r="C6" s="50" t="n">
        <v>42</v>
      </c>
      <c r="D6" s="41" t="n">
        <v>5000</v>
      </c>
      <c r="E6" s="24" t="inlineStr">
        <is>
          <t>sheets</t>
        </is>
      </c>
      <c r="F6" s="52">
        <f>IFERROR(C6/D6,0)</f>
        <v/>
      </c>
    </row>
    <row r="7">
      <c r="B7" s="19" t="inlineStr">
        <is>
          <t>Paper — legal, case</t>
        </is>
      </c>
      <c r="C7" s="49" t="n">
        <v>58</v>
      </c>
      <c r="D7" s="29" t="n">
        <v>5000</v>
      </c>
      <c r="E7" s="21" t="inlineStr">
        <is>
          <t>sheets</t>
        </is>
      </c>
      <c r="F7" s="51">
        <f>IFERROR(C7/D7,0)</f>
        <v/>
      </c>
    </row>
    <row r="8">
      <c r="B8" s="22" t="inlineStr">
        <is>
          <t>Printer maintenance kit</t>
        </is>
      </c>
      <c r="C8" s="50" t="n">
        <v>149</v>
      </c>
      <c r="D8" s="41" t="n">
        <v>25000</v>
      </c>
      <c r="E8" s="24" t="inlineStr">
        <is>
          <t>pages</t>
        </is>
      </c>
      <c r="F8" s="52">
        <f>IFERROR(C8/D8,0)</f>
        <v/>
      </c>
    </row>
    <row r="9">
      <c r="B9" s="19" t="inlineStr">
        <is>
          <t>Pens, seals &amp; thumbprint pads</t>
        </is>
      </c>
      <c r="C9" s="49" t="n">
        <v>34</v>
      </c>
      <c r="D9" s="29" t="n">
        <v>200</v>
      </c>
      <c r="E9" s="21" t="inlineStr">
        <is>
          <t>signings</t>
        </is>
      </c>
      <c r="F9" s="51">
        <f>IFERROR(C9/D9,0)</f>
        <v/>
      </c>
    </row>
    <row r="11">
      <c r="B11" s="25" t="inlineStr">
        <is>
          <t>Your cost per printed page (Settings)</t>
        </is>
      </c>
      <c r="F11" s="53">
        <f>CostPerPage</f>
        <v/>
      </c>
    </row>
    <row r="12">
      <c r="B12" s="25" t="inlineStr">
        <is>
          <t>× pages per signing</t>
        </is>
      </c>
      <c r="F12" s="54">
        <f>Pages</f>
        <v/>
      </c>
    </row>
    <row r="13">
      <c r="B13" s="9">
        <f> PRINTING PER SIGNING</f>
        <v/>
      </c>
      <c r="F13" s="31">
        <f>PrintCost</f>
        <v/>
      </c>
    </row>
    <row r="14">
      <c r="B14" s="9" t="inlineStr">
        <is>
          <t>× signings this month</t>
        </is>
      </c>
      <c r="F14" s="55">
        <f>PrintCost*SigningsMonth</f>
        <v/>
      </c>
    </row>
    <row r="16">
      <c r="B16" s="4" t="inlineStr">
        <is>
          <t>Charge a printing surcharge over 150 pages. Every established agent does.</t>
        </is>
      </c>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2" customWidth="1" min="1" max="1"/>
    <col width="30" customWidth="1" min="2" max="2"/>
    <col width="16" customWidth="1" min="3" max="3"/>
    <col width="18" customWidth="1" min="4" max="4"/>
    <col width="18" customWidth="1" min="5" max="5"/>
    <col width="18" customWidth="1" min="6" max="6"/>
    <col width="2" customWidth="1" min="7" max="7"/>
  </cols>
  <sheetData>
    <row r="1" ht="46" customHeight="1">
      <c r="A1" s="1" t="inlineStr">
        <is>
          <t xml:space="preserve">  💳  INVOICES &amp; PAYMENTS</t>
        </is>
      </c>
    </row>
    <row r="2" ht="22" customHeight="1">
      <c r="A2" s="2" t="inlineStr">
        <is>
          <t xml:space="preserve">  Who owes you, how much, and how long they've had it.</t>
        </is>
      </c>
    </row>
    <row r="3" ht="6" customHeight="1">
      <c r="A3" s="3" t="n"/>
      <c r="B3" s="3" t="n"/>
      <c r="C3" s="3" t="n"/>
      <c r="D3" s="3" t="n"/>
      <c r="E3" s="3" t="n"/>
      <c r="F3" s="3" t="n"/>
    </row>
    <row r="4" ht="30" customHeight="1">
      <c r="B4" s="9" t="inlineStr">
        <is>
          <t>Company</t>
        </is>
      </c>
      <c r="C4" s="9" t="inlineStr">
        <is>
          <t>Signings</t>
        </is>
      </c>
      <c r="D4" s="9" t="inlineStr">
        <is>
          <t>Amount</t>
        </is>
      </c>
      <c r="E4" s="9" t="inlineStr">
        <is>
          <t>Status</t>
        </is>
      </c>
      <c r="F4" s="9" t="inlineStr">
        <is>
          <t>Outstanding</t>
        </is>
      </c>
    </row>
    <row r="5">
      <c r="B5" s="19" t="inlineStr">
        <is>
          <t>Summit Signing</t>
        </is>
      </c>
      <c r="C5" s="56" t="n">
        <v>18</v>
      </c>
      <c r="D5" s="38" t="n">
        <v>2250</v>
      </c>
      <c r="E5" s="57" t="inlineStr">
        <is>
          <t>Paid</t>
        </is>
      </c>
      <c r="F5" s="58">
        <f>IF(E5="Paid",0,D5)</f>
        <v/>
      </c>
    </row>
    <row r="6">
      <c r="B6" s="22" t="inlineStr">
        <is>
          <t>Clearview Title</t>
        </is>
      </c>
      <c r="C6" s="59" t="n">
        <v>11</v>
      </c>
      <c r="D6" s="40" t="n">
        <v>1525</v>
      </c>
      <c r="E6" s="60" t="inlineStr">
        <is>
          <t>Paid</t>
        </is>
      </c>
      <c r="F6" s="61">
        <f>IF(E6="Paid",0,D6)</f>
        <v/>
      </c>
    </row>
    <row r="7">
      <c r="B7" s="19" t="inlineStr">
        <is>
          <t>Anchor Notary Net</t>
        </is>
      </c>
      <c r="C7" s="56" t="n">
        <v>9</v>
      </c>
      <c r="D7" s="38" t="n">
        <v>990</v>
      </c>
      <c r="E7" s="57" t="inlineStr">
        <is>
          <t>Invoiced</t>
        </is>
      </c>
      <c r="F7" s="58">
        <f>IF(E7="Paid",0,D7)</f>
        <v/>
      </c>
    </row>
    <row r="8">
      <c r="B8" s="22" t="inlineStr">
        <is>
          <t>Meridian Escrow</t>
        </is>
      </c>
      <c r="C8" s="59" t="n">
        <v>8</v>
      </c>
      <c r="D8" s="40" t="n">
        <v>1150</v>
      </c>
      <c r="E8" s="60" t="inlineStr">
        <is>
          <t>Invoiced</t>
        </is>
      </c>
      <c r="F8" s="61">
        <f>IF(E8="Paid",0,D8)</f>
        <v/>
      </c>
    </row>
    <row r="9">
      <c r="B9" s="19" t="inlineStr">
        <is>
          <t>Direct clients</t>
        </is>
      </c>
      <c r="C9" s="56" t="n">
        <v>6</v>
      </c>
      <c r="D9" s="38" t="n">
        <v>585</v>
      </c>
      <c r="E9" s="57" t="inlineStr">
        <is>
          <t>Paid</t>
        </is>
      </c>
      <c r="F9" s="58">
        <f>IF(E9="Paid",0,D9)</f>
        <v/>
      </c>
    </row>
    <row r="10">
      <c r="B10" s="9" t="inlineStr">
        <is>
          <t>ALL COMPANIES</t>
        </is>
      </c>
      <c r="C10" s="62">
        <f>SUM(InvCount)</f>
        <v/>
      </c>
      <c r="D10" s="63">
        <f>SUM(InvAmount)</f>
        <v/>
      </c>
      <c r="E10" s="43" t="n"/>
      <c r="F10" s="64">
        <f>SUM(InvOutstanding)</f>
        <v/>
      </c>
    </row>
    <row r="12">
      <c r="B12" s="4" t="inlineStr">
        <is>
          <t>Net 45 is a loan you gave them. Price it in, or stop taking their work.</t>
        </is>
      </c>
    </row>
  </sheetData>
  <mergeCells count="2">
    <mergeCell ref="A2:F2"/>
    <mergeCell ref="A1:F1"/>
  </mergeCells>
  <conditionalFormatting sqref="F5:F9">
    <cfRule type="cellIs" priority="1" operator="greaterThan" dxfId="0">
      <formula>0</formula>
    </cfRule>
  </conditionalFormatting>
  <dataValidations count="1">
    <dataValidation sqref="E5:E9" showDropDown="0" showInputMessage="0" showErrorMessage="0" allowBlank="1" type="list">
      <formula1>=PayStatusList</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2" customWidth="1" min="1" max="1"/>
    <col width="24" customWidth="1" min="2" max="2"/>
    <col width="30" customWidth="1" min="3" max="3"/>
    <col width="14" customWidth="1" min="4" max="4"/>
    <col width="14" customWidth="1" min="5" max="5"/>
    <col width="34" customWidth="1" min="6" max="6"/>
    <col width="2" customWidth="1" min="7" max="7"/>
  </cols>
  <sheetData>
    <row r="1" ht="46" customHeight="1">
      <c r="A1" s="1" t="inlineStr">
        <is>
          <t xml:space="preserve">  🏢  SIGNING COMPANIES</t>
        </is>
      </c>
    </row>
    <row r="2" ht="22" customHeight="1">
      <c r="A2" s="2" t="inlineStr">
        <is>
          <t xml:space="preserve">  Who pays well, who pays late, and who is worth saying yes to.</t>
        </is>
      </c>
    </row>
    <row r="3" ht="6" customHeight="1">
      <c r="A3" s="3" t="n"/>
      <c r="B3" s="3" t="n"/>
      <c r="C3" s="3" t="n"/>
      <c r="D3" s="3" t="n"/>
      <c r="E3" s="3" t="n"/>
      <c r="F3" s="3" t="n"/>
    </row>
    <row r="4" ht="30" customHeight="1">
      <c r="B4" s="9" t="inlineStr">
        <is>
          <t>Company</t>
        </is>
      </c>
      <c r="C4" s="9" t="inlineStr">
        <is>
          <t>Contact</t>
        </is>
      </c>
      <c r="D4" s="9" t="inlineStr">
        <is>
          <t>Pay terms</t>
        </is>
      </c>
      <c r="E4" s="9" t="inlineStr">
        <is>
          <t>Avg fee</t>
        </is>
      </c>
      <c r="F4" s="9" t="inlineStr">
        <is>
          <t>Notes</t>
        </is>
      </c>
    </row>
    <row r="5">
      <c r="B5" s="65" t="inlineStr">
        <is>
          <t>Summit Signing</t>
        </is>
      </c>
      <c r="C5" s="65" t="inlineStr">
        <is>
          <t>scheduling@summit.example</t>
        </is>
      </c>
      <c r="D5" s="66" t="inlineStr">
        <is>
          <t>Net 15</t>
        </is>
      </c>
      <c r="E5" s="67" t="n">
        <v>125</v>
      </c>
      <c r="F5" s="65" t="inlineStr">
        <is>
          <t>Reliable, pays early</t>
        </is>
      </c>
    </row>
    <row r="6">
      <c r="B6" s="22" t="inlineStr">
        <is>
          <t>Clearview Title</t>
        </is>
      </c>
      <c r="C6" s="22" t="inlineStr">
        <is>
          <t>orders@clearview.example</t>
        </is>
      </c>
      <c r="D6" s="24" t="inlineStr">
        <is>
          <t>Net 30</t>
        </is>
      </c>
      <c r="E6" s="61" t="n">
        <v>139</v>
      </c>
      <c r="F6" s="22" t="inlineStr">
        <is>
          <t>Best fees, occasional rush</t>
        </is>
      </c>
    </row>
    <row r="7">
      <c r="B7" s="65" t="inlineStr">
        <is>
          <t>Anchor Notary Net</t>
        </is>
      </c>
      <c r="C7" s="65" t="inlineStr">
        <is>
          <t>dispatch@anchor.example</t>
        </is>
      </c>
      <c r="D7" s="66" t="inlineStr">
        <is>
          <t>Net 45</t>
        </is>
      </c>
      <c r="E7" s="67" t="n">
        <v>105</v>
      </c>
      <c r="F7" s="65" t="inlineStr">
        <is>
          <t>Slow payer — chase at day 45</t>
        </is>
      </c>
    </row>
    <row r="8">
      <c r="B8" s="22" t="inlineStr">
        <is>
          <t>Meridian Escrow</t>
        </is>
      </c>
      <c r="C8" s="22" t="inlineStr">
        <is>
          <t>signings@meridian.example</t>
        </is>
      </c>
      <c r="D8" s="24" t="inlineStr">
        <is>
          <t>Net 30</t>
        </is>
      </c>
      <c r="E8" s="61" t="n">
        <v>144</v>
      </c>
      <c r="F8" s="22" t="inlineStr">
        <is>
          <t>Long packages, worth it</t>
        </is>
      </c>
    </row>
    <row r="9">
      <c r="B9" s="65" t="inlineStr">
        <is>
          <t>Direct clients</t>
        </is>
      </c>
      <c r="C9" s="65" t="inlineStr">
        <is>
          <t>—</t>
        </is>
      </c>
      <c r="D9" s="66" t="inlineStr">
        <is>
          <t>At signing</t>
        </is>
      </c>
      <c r="E9" s="67" t="n">
        <v>98</v>
      </c>
      <c r="F9" s="65" t="inlineStr">
        <is>
          <t>Best margin — build this</t>
        </is>
      </c>
    </row>
    <row r="10">
      <c r="B10" s="22" t="n"/>
      <c r="C10" s="22" t="n"/>
      <c r="D10" s="24" t="n"/>
      <c r="E10" s="61" t="n"/>
      <c r="F10" s="22" t="n"/>
    </row>
    <row r="11">
      <c r="B11" s="65" t="n"/>
      <c r="C11" s="65" t="n"/>
      <c r="D11" s="66" t="n"/>
      <c r="E11" s="67" t="n"/>
      <c r="F11" s="65" t="n"/>
    </row>
    <row r="12">
      <c r="B12" s="22" t="n"/>
      <c r="C12" s="22" t="n"/>
      <c r="D12" s="24" t="n"/>
      <c r="E12" s="61" t="n"/>
      <c r="F12" s="22" t="n"/>
    </row>
    <row r="13">
      <c r="B13" s="65" t="n"/>
      <c r="C13" s="65" t="n"/>
      <c r="D13" s="66" t="n"/>
      <c r="E13" s="67" t="n"/>
      <c r="F13" s="65" t="n"/>
    </row>
    <row r="14">
      <c r="B14" s="22" t="n"/>
      <c r="C14" s="22" t="n"/>
      <c r="D14" s="24" t="n"/>
      <c r="E14" s="61" t="n"/>
      <c r="F14" s="22" t="n"/>
    </row>
    <row r="15">
      <c r="B15" s="65" t="n"/>
      <c r="C15" s="65" t="n"/>
      <c r="D15" s="66" t="n"/>
      <c r="E15" s="67" t="n"/>
      <c r="F15" s="65" t="n"/>
    </row>
    <row r="16">
      <c r="B16" s="22" t="n"/>
      <c r="C16" s="22" t="n"/>
      <c r="D16" s="24" t="n"/>
      <c r="E16" s="61" t="n"/>
      <c r="F16" s="22" t="n"/>
    </row>
    <row r="17">
      <c r="B17" s="65" t="n"/>
      <c r="C17" s="65" t="n"/>
      <c r="D17" s="66" t="n"/>
      <c r="E17" s="67" t="n"/>
      <c r="F17" s="65" t="n"/>
    </row>
    <row r="18">
      <c r="B18" s="22" t="n"/>
      <c r="C18" s="22" t="n"/>
      <c r="D18" s="24" t="n"/>
      <c r="E18" s="61" t="n"/>
      <c r="F18" s="22" t="n"/>
    </row>
    <row r="19">
      <c r="B19" s="65" t="n"/>
      <c r="C19" s="65" t="n"/>
      <c r="D19" s="66" t="n"/>
      <c r="E19" s="67" t="n"/>
      <c r="F19" s="65" t="n"/>
    </row>
    <row r="20">
      <c r="B20" s="22" t="n"/>
      <c r="C20" s="22" t="n"/>
      <c r="D20" s="24" t="n"/>
      <c r="E20" s="61" t="n"/>
      <c r="F20" s="22" t="n"/>
    </row>
    <row r="21">
      <c r="B21" s="65" t="n"/>
      <c r="C21" s="65" t="n"/>
      <c r="D21" s="66" t="n"/>
      <c r="E21" s="67" t="n"/>
      <c r="F21" s="65" t="n"/>
    </row>
    <row r="22">
      <c r="B22" s="22" t="n"/>
      <c r="C22" s="22" t="n"/>
      <c r="D22" s="24" t="n"/>
      <c r="E22" s="61" t="n"/>
      <c r="F22" s="22" t="n"/>
    </row>
    <row r="23">
      <c r="B23" s="65" t="n"/>
      <c r="C23" s="65" t="n"/>
      <c r="D23" s="66" t="n"/>
      <c r="E23" s="67" t="n"/>
      <c r="F23" s="65" t="n"/>
    </row>
    <row r="24">
      <c r="B24" s="22" t="n"/>
      <c r="C24" s="22" t="n"/>
      <c r="D24" s="24" t="n"/>
      <c r="E24" s="61" t="n"/>
      <c r="F24" s="22" t="n"/>
    </row>
    <row r="25">
      <c r="B25" s="65" t="n"/>
      <c r="C25" s="65" t="n"/>
      <c r="D25" s="66" t="n"/>
      <c r="E25" s="67" t="n"/>
      <c r="F25" s="65" t="n"/>
    </row>
    <row r="26">
      <c r="B26" s="22" t="n"/>
      <c r="C26" s="22" t="n"/>
      <c r="D26" s="24" t="n"/>
      <c r="E26" s="61" t="n"/>
      <c r="F26" s="22" t="n"/>
    </row>
    <row r="27">
      <c r="B27" s="65" t="n"/>
      <c r="C27" s="65" t="n"/>
      <c r="D27" s="66" t="n"/>
      <c r="E27" s="67" t="n"/>
      <c r="F27" s="65" t="n"/>
    </row>
    <row r="28">
      <c r="B28" s="22" t="n"/>
      <c r="C28" s="22" t="n"/>
      <c r="D28" s="24" t="n"/>
      <c r="E28" s="61" t="n"/>
      <c r="F28" s="22" t="n"/>
    </row>
    <row r="29">
      <c r="B29" s="65" t="n"/>
      <c r="C29" s="65" t="n"/>
      <c r="D29" s="66" t="n"/>
      <c r="E29" s="67" t="n"/>
      <c r="F29" s="65" t="n"/>
    </row>
    <row r="30">
      <c r="B30" s="22" t="n"/>
      <c r="C30" s="22" t="n"/>
      <c r="D30" s="24" t="n"/>
      <c r="E30" s="61" t="n"/>
      <c r="F30" s="22" t="n"/>
    </row>
    <row r="31">
      <c r="B31" s="65" t="n"/>
      <c r="C31" s="65" t="n"/>
      <c r="D31" s="66" t="n"/>
      <c r="E31" s="67" t="n"/>
      <c r="F31" s="65" t="n"/>
    </row>
    <row r="32">
      <c r="B32" s="22" t="n"/>
      <c r="C32" s="22" t="n"/>
      <c r="D32" s="24" t="n"/>
      <c r="E32" s="61" t="n"/>
      <c r="F32" s="22" t="n"/>
    </row>
    <row r="33">
      <c r="B33" s="65" t="n"/>
      <c r="C33" s="65" t="n"/>
      <c r="D33" s="66" t="n"/>
      <c r="E33" s="67" t="n"/>
      <c r="F33" s="65" t="n"/>
    </row>
    <row r="34">
      <c r="B34" s="22" t="n"/>
      <c r="C34" s="22" t="n"/>
      <c r="D34" s="24" t="n"/>
      <c r="E34" s="61" t="n"/>
      <c r="F34" s="22" t="n"/>
    </row>
    <row r="35">
      <c r="B35" s="65" t="n"/>
      <c r="C35" s="65" t="n"/>
      <c r="D35" s="66" t="n"/>
      <c r="E35" s="67" t="n"/>
      <c r="F35" s="65" t="n"/>
    </row>
    <row r="36">
      <c r="B36" s="22" t="n"/>
      <c r="C36" s="22" t="n"/>
      <c r="D36" s="24" t="n"/>
      <c r="E36" s="61" t="n"/>
      <c r="F36" s="22" t="n"/>
    </row>
    <row r="37">
      <c r="B37" s="65" t="n"/>
      <c r="C37" s="65" t="n"/>
      <c r="D37" s="66" t="n"/>
      <c r="E37" s="67" t="n"/>
      <c r="F37" s="65" t="n"/>
    </row>
    <row r="38">
      <c r="B38" s="22" t="n"/>
      <c r="C38" s="22" t="n"/>
      <c r="D38" s="24" t="n"/>
      <c r="E38" s="61" t="n"/>
      <c r="F38" s="22" t="n"/>
    </row>
    <row r="39">
      <c r="B39" s="65" t="n"/>
      <c r="C39" s="65" t="n"/>
      <c r="D39" s="66" t="n"/>
      <c r="E39" s="67" t="n"/>
      <c r="F39" s="65" t="n"/>
    </row>
    <row r="40">
      <c r="B40" s="22" t="n"/>
      <c r="C40" s="22" t="n"/>
      <c r="D40" s="24" t="n"/>
      <c r="E40" s="61" t="n"/>
      <c r="F40" s="22" t="n"/>
    </row>
    <row r="41">
      <c r="B41" s="65" t="n"/>
      <c r="C41" s="65" t="n"/>
      <c r="D41" s="66" t="n"/>
      <c r="E41" s="67" t="n"/>
      <c r="F41" s="65" t="n"/>
    </row>
    <row r="42">
      <c r="B42" s="22" t="n"/>
      <c r="C42" s="22" t="n"/>
      <c r="D42" s="24" t="n"/>
      <c r="E42" s="61" t="n"/>
      <c r="F42" s="22" t="n"/>
    </row>
    <row r="43">
      <c r="B43" s="65" t="n"/>
      <c r="C43" s="65" t="n"/>
      <c r="D43" s="66" t="n"/>
      <c r="E43" s="67" t="n"/>
      <c r="F43" s="65" t="n"/>
    </row>
    <row r="44">
      <c r="B44" s="22" t="n"/>
      <c r="C44" s="22" t="n"/>
      <c r="D44" s="24" t="n"/>
      <c r="E44" s="61" t="n"/>
      <c r="F44" s="22" t="n"/>
    </row>
    <row r="46">
      <c r="B46" s="25" t="inlineStr">
        <is>
          <t>Best average fee</t>
        </is>
      </c>
      <c r="E46" s="37">
        <f>MAX(CoAvgFee)</f>
        <v/>
      </c>
    </row>
    <row r="47">
      <c r="B47" s="25" t="inlineStr">
        <is>
          <t>Worst average fee</t>
        </is>
      </c>
      <c r="E47" s="68">
        <f>MIN(CoAvgFee)</f>
        <v/>
      </c>
    </row>
    <row r="49">
      <c r="B49" s="4" t="inlineStr">
        <is>
          <t>Direct clients pay best and pay fastest. Every hour spent building them is worth two on a platform.</t>
        </is>
      </c>
    </row>
  </sheetData>
  <mergeCells count="2">
    <mergeCell ref="A2:F2"/>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0"/>
  <sheetViews>
    <sheetView showGridLines="0" workbookViewId="0">
      <pane ySplit="5" topLeftCell="A6" activePane="bottomLeft" state="frozen"/>
      <selection pane="bottomLeft" activeCell="A1" sqref="A1"/>
    </sheetView>
  </sheetViews>
  <sheetFormatPr baseColWidth="8" defaultRowHeight="15"/>
  <cols>
    <col width="2" customWidth="1" min="1" max="1"/>
    <col width="12" customWidth="1" min="2" max="2"/>
    <col width="30" customWidth="1" min="3" max="3"/>
    <col width="22" customWidth="1" min="4" max="4"/>
    <col width="22" customWidth="1" min="5" max="5"/>
    <col width="12" customWidth="1" min="6" max="6"/>
    <col width="16" customWidth="1" min="7" max="7"/>
    <col width="2" customWidth="1" min="8" max="8"/>
  </cols>
  <sheetData>
    <row r="1" ht="46" customHeight="1">
      <c r="A1" s="1" t="inlineStr">
        <is>
          <t xml:space="preserve">  📕  NOTARIAL JOURNAL</t>
        </is>
      </c>
    </row>
    <row r="2" ht="22" customHeight="1">
      <c r="A2" s="2" t="inlineStr">
        <is>
          <t xml:space="preserve">  A convenience record of every notarial act — check what your state requires.</t>
        </is>
      </c>
    </row>
    <row r="3" ht="6" customHeight="1">
      <c r="A3" s="3" t="n"/>
      <c r="B3" s="3" t="n"/>
      <c r="C3" s="3" t="n"/>
      <c r="D3" s="3" t="n"/>
      <c r="E3" s="3" t="n"/>
      <c r="F3" s="3" t="n"/>
      <c r="G3" s="3" t="n"/>
    </row>
    <row r="4">
      <c r="B4" s="4" t="inlineStr">
        <is>
          <t>⚠  Many states require a BOUND, SEQUENTIAL journal. This is a convenience copy, not a substitute — check your state.</t>
        </is>
      </c>
    </row>
    <row r="5" ht="30" customHeight="1">
      <c r="B5" s="9" t="inlineStr">
        <is>
          <t>Date</t>
        </is>
      </c>
      <c r="C5" s="9" t="inlineStr">
        <is>
          <t>Document type</t>
        </is>
      </c>
      <c r="D5" s="9" t="inlineStr">
        <is>
          <t>Signer</t>
        </is>
      </c>
      <c r="E5" s="9" t="inlineStr">
        <is>
          <t>ID presented</t>
        </is>
      </c>
      <c r="F5" s="9" t="inlineStr">
        <is>
          <t>Fee</t>
        </is>
      </c>
      <c r="G5" s="9" t="inlineStr">
        <is>
          <t>Thumbprint</t>
        </is>
      </c>
    </row>
    <row r="6">
      <c r="B6" s="21" t="inlineStr">
        <is>
          <t>07/01</t>
        </is>
      </c>
      <c r="C6" s="19" t="inlineStr">
        <is>
          <t>Deed of trust</t>
        </is>
      </c>
      <c r="D6" s="19" t="inlineStr">
        <is>
          <t>R. Alvarez</t>
        </is>
      </c>
      <c r="E6" s="57" t="inlineStr">
        <is>
          <t>Driver's licence</t>
        </is>
      </c>
      <c r="F6" s="38" t="n">
        <v>15</v>
      </c>
      <c r="G6" s="57" t="inlineStr">
        <is>
          <t>Yes</t>
        </is>
      </c>
    </row>
    <row r="7">
      <c r="B7" s="24" t="inlineStr">
        <is>
          <t>07/01</t>
        </is>
      </c>
      <c r="C7" s="22" t="inlineStr">
        <is>
          <t>Promissory note</t>
        </is>
      </c>
      <c r="D7" s="22" t="inlineStr">
        <is>
          <t>R. Alvarez</t>
        </is>
      </c>
      <c r="E7" s="60" t="inlineStr">
        <is>
          <t>Driver's licence</t>
        </is>
      </c>
      <c r="F7" s="40" t="n">
        <v>15</v>
      </c>
      <c r="G7" s="60" t="inlineStr">
        <is>
          <t>Yes</t>
        </is>
      </c>
    </row>
    <row r="8">
      <c r="B8" s="21" t="inlineStr">
        <is>
          <t>07/02</t>
        </is>
      </c>
      <c r="C8" s="19" t="inlineStr">
        <is>
          <t>Grant deed</t>
        </is>
      </c>
      <c r="D8" s="19" t="inlineStr">
        <is>
          <t>M. Whitfield</t>
        </is>
      </c>
      <c r="E8" s="57" t="inlineStr">
        <is>
          <t>Passport</t>
        </is>
      </c>
      <c r="F8" s="38" t="n">
        <v>15</v>
      </c>
      <c r="G8" s="57" t="inlineStr">
        <is>
          <t>Yes</t>
        </is>
      </c>
    </row>
    <row r="9">
      <c r="B9" s="24" t="inlineStr">
        <is>
          <t>07/02</t>
        </is>
      </c>
      <c r="C9" s="22" t="inlineStr">
        <is>
          <t>Deed of trust</t>
        </is>
      </c>
      <c r="D9" s="22" t="inlineStr">
        <is>
          <t>M. Whitfield</t>
        </is>
      </c>
      <c r="E9" s="60" t="inlineStr">
        <is>
          <t>Passport</t>
        </is>
      </c>
      <c r="F9" s="40" t="n">
        <v>15</v>
      </c>
      <c r="G9" s="60" t="inlineStr">
        <is>
          <t>Yes</t>
        </is>
      </c>
    </row>
    <row r="10">
      <c r="B10" s="21" t="inlineStr">
        <is>
          <t>07/03</t>
        </is>
      </c>
      <c r="C10" s="19" t="inlineStr">
        <is>
          <t>Deed of trust</t>
        </is>
      </c>
      <c r="D10" s="19" t="inlineStr">
        <is>
          <t>J. Okafor</t>
        </is>
      </c>
      <c r="E10" s="57" t="inlineStr">
        <is>
          <t>Driver's licence</t>
        </is>
      </c>
      <c r="F10" s="38" t="n">
        <v>15</v>
      </c>
      <c r="G10" s="57" t="inlineStr">
        <is>
          <t>Yes</t>
        </is>
      </c>
    </row>
    <row r="11">
      <c r="B11" s="24" t="inlineStr">
        <is>
          <t>07/05</t>
        </is>
      </c>
      <c r="C11" s="22" t="inlineStr">
        <is>
          <t>HELOC agreement</t>
        </is>
      </c>
      <c r="D11" s="22" t="inlineStr">
        <is>
          <t>S. Nakamura</t>
        </is>
      </c>
      <c r="E11" s="60" t="inlineStr">
        <is>
          <t>State ID</t>
        </is>
      </c>
      <c r="F11" s="40" t="n">
        <v>15</v>
      </c>
      <c r="G11" s="60" t="inlineStr">
        <is>
          <t>Yes</t>
        </is>
      </c>
    </row>
    <row r="12">
      <c r="B12" s="21" t="inlineStr">
        <is>
          <t>07/07</t>
        </is>
      </c>
      <c r="C12" s="19" t="inlineStr">
        <is>
          <t>Deed of trust</t>
        </is>
      </c>
      <c r="D12" s="19" t="inlineStr">
        <is>
          <t>L. Brennan</t>
        </is>
      </c>
      <c r="E12" s="57" t="inlineStr">
        <is>
          <t>Driver's licence</t>
        </is>
      </c>
      <c r="F12" s="38" t="n">
        <v>15</v>
      </c>
      <c r="G12" s="57" t="inlineStr">
        <is>
          <t>Yes</t>
        </is>
      </c>
    </row>
    <row r="13">
      <c r="B13" s="24" t="inlineStr">
        <is>
          <t>07/08</t>
        </is>
      </c>
      <c r="C13" s="22" t="inlineStr">
        <is>
          <t>Reverse mortgage note</t>
        </is>
      </c>
      <c r="D13" s="22" t="inlineStr">
        <is>
          <t>E. Kowalski</t>
        </is>
      </c>
      <c r="E13" s="60" t="inlineStr">
        <is>
          <t>Driver's licence</t>
        </is>
      </c>
      <c r="F13" s="40" t="n">
        <v>15</v>
      </c>
      <c r="G13" s="60" t="inlineStr">
        <is>
          <t>Yes</t>
        </is>
      </c>
    </row>
    <row r="14">
      <c r="B14" s="21" t="inlineStr">
        <is>
          <t>07/09</t>
        </is>
      </c>
      <c r="C14" s="19" t="inlineStr">
        <is>
          <t>Deed of trust</t>
        </is>
      </c>
      <c r="D14" s="19" t="inlineStr">
        <is>
          <t>P. Ramanathan</t>
        </is>
      </c>
      <c r="E14" s="57" t="inlineStr">
        <is>
          <t>Passport</t>
        </is>
      </c>
      <c r="F14" s="38" t="n">
        <v>15</v>
      </c>
      <c r="G14" s="57" t="inlineStr">
        <is>
          <t>Yes</t>
        </is>
      </c>
    </row>
    <row r="15">
      <c r="B15" s="24" t="inlineStr">
        <is>
          <t>07/10</t>
        </is>
      </c>
      <c r="C15" s="22" t="inlineStr">
        <is>
          <t>Power of attorney</t>
        </is>
      </c>
      <c r="D15" s="22" t="inlineStr">
        <is>
          <t>D. Ortega</t>
        </is>
      </c>
      <c r="E15" s="60" t="inlineStr">
        <is>
          <t>Driver's licence</t>
        </is>
      </c>
      <c r="F15" s="40" t="n">
        <v>15</v>
      </c>
      <c r="G15" s="60" t="inlineStr">
        <is>
          <t>Yes</t>
        </is>
      </c>
    </row>
    <row r="16">
      <c r="B16" s="21" t="inlineStr">
        <is>
          <t>07/12</t>
        </is>
      </c>
      <c r="C16" s="19" t="inlineStr">
        <is>
          <t>Modification agreement</t>
        </is>
      </c>
      <c r="D16" s="19" t="inlineStr">
        <is>
          <t>T. Feld</t>
        </is>
      </c>
      <c r="E16" s="57" t="inlineStr">
        <is>
          <t>Driver's licence</t>
        </is>
      </c>
      <c r="F16" s="38" t="n">
        <v>15</v>
      </c>
      <c r="G16" s="57" t="inlineStr">
        <is>
          <t>Yes</t>
        </is>
      </c>
    </row>
    <row r="17">
      <c r="B17" s="24" t="inlineStr">
        <is>
          <t>07/17</t>
        </is>
      </c>
      <c r="C17" s="22" t="inlineStr">
        <is>
          <t>Advance directive</t>
        </is>
      </c>
      <c r="D17" s="22" t="inlineStr">
        <is>
          <t>C. Hale</t>
        </is>
      </c>
      <c r="E17" s="60" t="inlineStr">
        <is>
          <t>Military ID</t>
        </is>
      </c>
      <c r="F17" s="40" t="n">
        <v>15</v>
      </c>
      <c r="G17" s="60" t="inlineStr">
        <is>
          <t>Yes</t>
        </is>
      </c>
    </row>
    <row r="18">
      <c r="B18" s="9" t="inlineStr">
        <is>
          <t>ACTS RECORDED</t>
        </is>
      </c>
      <c r="C18" s="43" t="n"/>
      <c r="D18" s="43" t="n"/>
      <c r="E18" s="62">
        <f>COUNTA(JournalDate)</f>
        <v/>
      </c>
      <c r="F18" s="69">
        <f>SUM(JournalFee)</f>
        <v/>
      </c>
    </row>
    <row r="20">
      <c r="B20" s="4" t="inlineStr">
        <is>
          <t>Your journal is the only thing that protects you if a signing is ever questioned. Fill it in at the table, not later.</t>
        </is>
      </c>
    </row>
  </sheetData>
  <mergeCells count="2">
    <mergeCell ref="A2:G2"/>
    <mergeCell ref="A1:G1"/>
  </mergeCells>
  <dataValidations count="2">
    <dataValidation sqref="E6:E17" showDropDown="0" showInputMessage="0" showErrorMessage="0" allowBlank="1" type="list">
      <formula1>=IDTypeList</formula1>
    </dataValidation>
    <dataValidation sqref="G6:G17" showDropDown="0" showInputMessage="0" showErrorMessage="0" allowBlank="1" type="list">
      <formula1>=YesNoList</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3"/>
  <sheetViews>
    <sheetView showGridLines="0" workbookViewId="0">
      <selection activeCell="A1" sqref="A1"/>
    </sheetView>
  </sheetViews>
  <sheetFormatPr baseColWidth="8" defaultRowHeight="15"/>
  <cols>
    <col width="2" customWidth="1" min="1" max="1"/>
    <col width="42" customWidth="1" min="2" max="2"/>
    <col width="20" customWidth="1" min="3" max="3"/>
    <col width="16" customWidth="1" min="4" max="4"/>
    <col width="16" customWidth="1" min="5" max="5"/>
    <col width="2" customWidth="1" min="6" max="6"/>
  </cols>
  <sheetData>
    <row r="1" ht="46" customHeight="1">
      <c r="A1" s="1" t="inlineStr">
        <is>
          <t xml:space="preserve">  🧾  EXPENSES</t>
        </is>
      </c>
    </row>
    <row r="2" ht="22" customHeight="1">
      <c r="A2" s="2" t="inlineStr">
        <is>
          <t xml:space="preserve">  Fixed costs that run whether you take a signing or not, plus everything else.</t>
        </is>
      </c>
    </row>
    <row r="3" ht="6" customHeight="1">
      <c r="A3" s="3" t="n"/>
      <c r="B3" s="3" t="n"/>
      <c r="C3" s="3" t="n"/>
      <c r="D3" s="3" t="n"/>
      <c r="E3" s="3" t="n"/>
    </row>
    <row r="4">
      <c r="B4" s="4" t="inlineStr">
        <is>
          <t>FIXED — RUNS WHETHER YOU WORK OR NOT</t>
        </is>
      </c>
    </row>
    <row r="5" ht="30" customHeight="1">
      <c r="B5" s="9" t="inlineStr">
        <is>
          <t>Line</t>
        </is>
      </c>
      <c r="C5" s="9" t="inlineStr">
        <is>
          <t>Category</t>
        </is>
      </c>
      <c r="D5" s="9" t="inlineStr">
        <is>
          <t>Monthly</t>
        </is>
      </c>
      <c r="E5" s="9" t="inlineStr">
        <is>
          <t>Yearly</t>
        </is>
      </c>
    </row>
    <row r="6">
      <c r="B6" s="19" t="inlineStr">
        <is>
          <t>E&amp;O insurance</t>
        </is>
      </c>
      <c r="C6" s="21" t="inlineStr">
        <is>
          <t>Insurance</t>
        </is>
      </c>
      <c r="D6" s="38" t="n">
        <v>38</v>
      </c>
      <c r="E6" s="58">
        <f>D6*12</f>
        <v/>
      </c>
    </row>
    <row r="7">
      <c r="B7" s="22" t="inlineStr">
        <is>
          <t>Notary bond &amp; commission (amortized)</t>
        </is>
      </c>
      <c r="C7" s="24" t="inlineStr">
        <is>
          <t>Commission</t>
        </is>
      </c>
      <c r="D7" s="40" t="n">
        <v>22</v>
      </c>
      <c r="E7" s="61">
        <f>D7*12</f>
        <v/>
      </c>
    </row>
    <row r="8">
      <c r="B8" s="19" t="inlineStr">
        <is>
          <t>Printer lease &amp; maintenance</t>
        </is>
      </c>
      <c r="C8" s="21" t="inlineStr">
        <is>
          <t>Equipment</t>
        </is>
      </c>
      <c r="D8" s="38" t="n">
        <v>95</v>
      </c>
      <c r="E8" s="58">
        <f>D8*12</f>
        <v/>
      </c>
    </row>
    <row r="9">
      <c r="B9" s="22" t="inlineStr">
        <is>
          <t>Signing platform &amp; scheduling</t>
        </is>
      </c>
      <c r="C9" s="24" t="inlineStr">
        <is>
          <t>Software</t>
        </is>
      </c>
      <c r="D9" s="40" t="n">
        <v>45</v>
      </c>
      <c r="E9" s="61">
        <f>D9*12</f>
        <v/>
      </c>
    </row>
    <row r="10">
      <c r="B10" s="19" t="inlineStr">
        <is>
          <t>Phone &amp; internet share</t>
        </is>
      </c>
      <c r="C10" s="21" t="inlineStr">
        <is>
          <t>Software</t>
        </is>
      </c>
      <c r="D10" s="38" t="n">
        <v>60</v>
      </c>
      <c r="E10" s="58">
        <f>D10*12</f>
        <v/>
      </c>
    </row>
    <row r="11">
      <c r="B11" s="22" t="inlineStr">
        <is>
          <t>Background check &amp; NNA renewal (amortized)</t>
        </is>
      </c>
      <c r="C11" s="24" t="inlineStr">
        <is>
          <t>Education</t>
        </is>
      </c>
      <c r="D11" s="40" t="n">
        <v>29</v>
      </c>
      <c r="E11" s="61">
        <f>D11*12</f>
        <v/>
      </c>
    </row>
    <row r="12">
      <c r="B12" s="9">
        <f> FIXED COSTS / MONTH</f>
        <v/>
      </c>
      <c r="C12" s="43" t="n"/>
      <c r="D12" s="70">
        <f>SUM(FixedLines)</f>
        <v/>
      </c>
      <c r="E12" s="71">
        <f>FixedTotal*12</f>
        <v/>
      </c>
    </row>
    <row r="14">
      <c r="B14" s="4" t="inlineStr">
        <is>
          <t>OTHER RUNNING COSTS</t>
        </is>
      </c>
    </row>
    <row r="15" ht="30" customHeight="1">
      <c r="B15" s="9" t="inlineStr">
        <is>
          <t>Line</t>
        </is>
      </c>
      <c r="C15" s="9" t="inlineStr">
        <is>
          <t>Category</t>
        </is>
      </c>
      <c r="D15" s="9" t="inlineStr">
        <is>
          <t>Monthly</t>
        </is>
      </c>
      <c r="E15" s="9" t="inlineStr">
        <is>
          <t>Yearly</t>
        </is>
      </c>
    </row>
    <row r="16">
      <c r="B16" s="19" t="inlineStr">
        <is>
          <t>Toner &amp; paper</t>
        </is>
      </c>
      <c r="C16" s="21" t="inlineStr">
        <is>
          <t>Supplies</t>
        </is>
      </c>
      <c r="D16" s="38" t="n">
        <v>78</v>
      </c>
      <c r="E16" s="58">
        <f>D16*12</f>
        <v/>
      </c>
    </row>
    <row r="17">
      <c r="B17" s="22" t="inlineStr">
        <is>
          <t>Vehicle fuel &amp; wear</t>
        </is>
      </c>
      <c r="C17" s="24" t="inlineStr">
        <is>
          <t>Vehicle</t>
        </is>
      </c>
      <c r="D17" s="40" t="n">
        <v>435</v>
      </c>
      <c r="E17" s="61">
        <f>D17*12</f>
        <v/>
      </c>
    </row>
    <row r="18">
      <c r="B18" s="19" t="inlineStr">
        <is>
          <t>Parking &amp; tolls</t>
        </is>
      </c>
      <c r="C18" s="21" t="inlineStr">
        <is>
          <t>Vehicle</t>
        </is>
      </c>
      <c r="D18" s="38" t="n">
        <v>22</v>
      </c>
      <c r="E18" s="58">
        <f>D18*12</f>
        <v/>
      </c>
    </row>
    <row r="19">
      <c r="B19" s="22" t="inlineStr">
        <is>
          <t>Continuing education</t>
        </is>
      </c>
      <c r="C19" s="24" t="inlineStr">
        <is>
          <t>Education</t>
        </is>
      </c>
      <c r="D19" s="40" t="n">
        <v>25</v>
      </c>
      <c r="E19" s="61">
        <f>D19*12</f>
        <v/>
      </c>
    </row>
    <row r="20">
      <c r="B20" s="19" t="inlineStr">
        <is>
          <t>Marketing &amp; business cards</t>
        </is>
      </c>
      <c r="C20" s="21" t="inlineStr">
        <is>
          <t>Other</t>
        </is>
      </c>
      <c r="D20" s="38" t="n">
        <v>30</v>
      </c>
      <c r="E20" s="58">
        <f>D20*12</f>
        <v/>
      </c>
    </row>
    <row r="21">
      <c r="B21" s="9">
        <f> OTHER / MONTH</f>
        <v/>
      </c>
      <c r="C21" s="43" t="n"/>
      <c r="D21" s="63">
        <f>SUM(OtherLines)</f>
        <v/>
      </c>
    </row>
    <row r="23">
      <c r="B23" s="4" t="inlineStr">
        <is>
          <t>Your fixed costs are tiny. Three signings a month covers them — everything after that is yours.</t>
        </is>
      </c>
    </row>
  </sheetData>
  <mergeCells count="2">
    <mergeCell ref="A2:E2"/>
    <mergeCell ref="A1:E1"/>
  </mergeCells>
  <dataValidations count="1">
    <dataValidation sqref="C6:C20" showDropDown="0" showInputMessage="0" showErrorMessage="0" allowBlank="1" type="list">
      <formula1>=ExpCatList</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2" customWidth="1" min="1" max="1"/>
    <col width="24" customWidth="1" min="2" max="2"/>
    <col width="18" customWidth="1" min="3" max="3"/>
    <col width="18" customWidth="1" min="4" max="4"/>
    <col width="18" customWidth="1" min="5" max="5"/>
    <col width="18" customWidth="1" min="6" max="6"/>
    <col width="2" customWidth="1" min="7" max="7"/>
  </cols>
  <sheetData>
    <row r="1" ht="46" customHeight="1">
      <c r="A1" s="1" t="inlineStr">
        <is>
          <t xml:space="preserve">  🏦  TAX SET-ASIDE</t>
        </is>
      </c>
    </row>
    <row r="2" ht="22" customHeight="1">
      <c r="A2" s="2" t="inlineStr">
        <is>
          <t xml:space="preserve">  Nobody withholds anything from a 1099. That is entirely on you.</t>
        </is>
      </c>
    </row>
    <row r="3" ht="6" customHeight="1">
      <c r="A3" s="3" t="n"/>
      <c r="B3" s="3" t="n"/>
      <c r="C3" s="3" t="n"/>
      <c r="D3" s="3" t="n"/>
      <c r="E3" s="3" t="n"/>
      <c r="F3" s="3" t="n"/>
    </row>
    <row r="4" ht="30" customHeight="1">
      <c r="B4" s="9" t="inlineStr">
        <is>
          <t>Quarter</t>
        </is>
      </c>
      <c r="C4" s="9" t="inlineStr">
        <is>
          <t>Income</t>
        </is>
      </c>
      <c r="D4" s="9" t="inlineStr">
        <is>
          <t>Set aside</t>
        </is>
      </c>
      <c r="E4" s="9" t="inlineStr">
        <is>
          <t>Estimated due</t>
        </is>
      </c>
      <c r="F4" s="9" t="inlineStr">
        <is>
          <t>Short by</t>
        </is>
      </c>
    </row>
    <row r="5">
      <c r="B5" s="19" t="inlineStr">
        <is>
          <t>Q1</t>
        </is>
      </c>
      <c r="C5" s="38" t="n">
        <v>15400</v>
      </c>
      <c r="D5" s="38" t="n">
        <v>600</v>
      </c>
      <c r="E5" s="38" t="n">
        <v>1300</v>
      </c>
      <c r="F5" s="58">
        <f>MAX(E5-D5,0)</f>
        <v/>
      </c>
    </row>
    <row r="6">
      <c r="B6" s="22" t="inlineStr">
        <is>
          <t>Q2</t>
        </is>
      </c>
      <c r="C6" s="40" t="n">
        <v>16800</v>
      </c>
      <c r="D6" s="40" t="n">
        <v>700</v>
      </c>
      <c r="E6" s="40" t="n">
        <v>1300</v>
      </c>
      <c r="F6" s="61">
        <f>MAX(E6-D6,0)</f>
        <v/>
      </c>
    </row>
    <row r="7">
      <c r="B7" s="19" t="inlineStr">
        <is>
          <t>Q3</t>
        </is>
      </c>
      <c r="C7" s="38" t="n">
        <v>17200</v>
      </c>
      <c r="D7" s="38" t="n">
        <v>800</v>
      </c>
      <c r="E7" s="38" t="n">
        <v>1325</v>
      </c>
      <c r="F7" s="58">
        <f>MAX(E7-D7,0)</f>
        <v/>
      </c>
    </row>
    <row r="8">
      <c r="B8" s="22" t="inlineStr">
        <is>
          <t>Q4</t>
        </is>
      </c>
      <c r="C8" s="40" t="n">
        <v>17600</v>
      </c>
      <c r="D8" s="40" t="n">
        <v>0</v>
      </c>
      <c r="E8" s="40" t="n">
        <v>1325</v>
      </c>
      <c r="F8" s="61">
        <f>MAX(E8-D8,0)</f>
        <v/>
      </c>
    </row>
    <row r="9">
      <c r="B9" s="9" t="inlineStr">
        <is>
          <t>THE YEAR</t>
        </is>
      </c>
      <c r="C9" s="44">
        <f>SUM(TaxIncome)</f>
        <v/>
      </c>
      <c r="D9" s="69">
        <f>SUM(TaxSaved)</f>
        <v/>
      </c>
      <c r="E9" s="44">
        <f>SUM(TaxDue)</f>
        <v/>
      </c>
      <c r="F9" s="72">
        <f>MAX(E9-D9,0)</f>
        <v/>
      </c>
    </row>
    <row r="11">
      <c r="B11" s="25" t="inlineStr">
        <is>
          <t>Don't forget your mileage deduction</t>
        </is>
      </c>
      <c r="D11" s="37">
        <f>MileageMonth*12</f>
        <v/>
      </c>
    </row>
    <row r="12">
      <c r="B12" s="25" t="inlineStr">
        <is>
          <t>Reserve funded against goal</t>
        </is>
      </c>
      <c r="D12" s="73">
        <f>IFERROR(TaxReserve/TaxReserveGoal,0)</f>
        <v/>
      </c>
    </row>
    <row r="14">
      <c r="B14" s="4" t="inlineStr">
        <is>
          <t>Self-employment tax is the bill that surprises every new signing agent. Move it the week it lands.</t>
        </is>
      </c>
    </row>
  </sheetData>
  <mergeCells count="2">
    <mergeCell ref="A2:F2"/>
    <mergeCell ref="A1:F1"/>
  </mergeCells>
  <conditionalFormatting sqref="F5:F8">
    <cfRule type="cellIs" priority="1" operator="greaterThan" dxfId="1">
      <formula>0</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2" customWidth="1" min="1" max="1"/>
    <col width="40" customWidth="1" min="2" max="2"/>
    <col width="18" customWidth="1" min="3" max="3"/>
    <col width="2" customWidth="1" min="4" max="4"/>
  </cols>
  <sheetData>
    <row r="1" ht="46" customHeight="1">
      <c r="A1" s="1" t="inlineStr">
        <is>
          <t xml:space="preserve">  📈  MONTHLY SUMMARY</t>
        </is>
      </c>
    </row>
    <row r="2" ht="22" customHeight="1">
      <c r="A2" s="2" t="inlineStr">
        <is>
          <t xml:space="preserve">  Signings in, costs out, and what is actually yours at the end of it.</t>
        </is>
      </c>
    </row>
    <row r="3" ht="6" customHeight="1">
      <c r="A3" s="3" t="n"/>
      <c r="B3" s="3" t="n"/>
      <c r="C3" s="3" t="n"/>
    </row>
    <row r="5">
      <c r="B5" s="4" t="inlineStr">
        <is>
          <t>THIS MONTH</t>
        </is>
      </c>
    </row>
    <row r="6">
      <c r="B6" s="25" t="inlineStr">
        <is>
          <t>Signings</t>
        </is>
      </c>
      <c r="C6" s="74">
        <f>SigningsMonth</f>
        <v/>
      </c>
    </row>
    <row r="7">
      <c r="B7" s="9" t="inlineStr">
        <is>
          <t>× average fee = REVENUE</t>
        </is>
      </c>
      <c r="C7" s="75">
        <f>SigningsMonth*AvgFee</f>
        <v/>
      </c>
    </row>
    <row r="8">
      <c r="B8" s="25" t="inlineStr">
        <is>
          <t>− Printing &amp; driving (per signing × signings)</t>
        </is>
      </c>
      <c r="C8" s="76">
        <f>CostPerSigning*SigningsMonth</f>
        <v/>
      </c>
    </row>
    <row r="9">
      <c r="B9" s="25" t="inlineStr">
        <is>
          <t>− Fixed costs</t>
        </is>
      </c>
      <c r="C9" s="77">
        <f>FixedTotal</f>
        <v/>
      </c>
    </row>
    <row r="10">
      <c r="B10" s="9">
        <f> PROFIT</f>
        <v/>
      </c>
      <c r="C10" s="78">
        <f>Revenue-VariableCosts-FixedTotal</f>
        <v/>
      </c>
    </row>
    <row r="11">
      <c r="B11" s="9">
        <f> MARGIN</f>
        <v/>
      </c>
      <c r="C11" s="48">
        <f>IFERROR(Profit/Revenue,0)</f>
        <v/>
      </c>
    </row>
    <row r="12">
      <c r="B12" s="9">
        <f> RUN-RATE YEAR</f>
        <v/>
      </c>
      <c r="C12" s="70">
        <f>Profit*12</f>
        <v/>
      </c>
    </row>
    <row r="14">
      <c r="B14" s="4" t="inlineStr">
        <is>
          <t>BREAK-EVEN</t>
        </is>
      </c>
    </row>
    <row r="15">
      <c r="B15" s="25" t="inlineStr">
        <is>
          <t>Fixed costs ÷ net per signing</t>
        </is>
      </c>
      <c r="C15" s="79">
        <f>IFERROR(ROUNDUP(FixedTotal/NetPerSigning,0),0)</f>
        <v/>
      </c>
    </row>
    <row r="16">
      <c r="B16" s="9">
        <f> YOU COVER IT THIS MANY TIMES OVER</f>
        <v/>
      </c>
      <c r="C16" s="80">
        <f>IFERROR(SigningsMonth/BreakEven,0)</f>
        <v/>
      </c>
    </row>
    <row r="18">
      <c r="B18" s="4" t="inlineStr">
        <is>
          <t>THE TREND</t>
        </is>
      </c>
    </row>
    <row r="19" ht="30" customHeight="1">
      <c r="B19" s="9" t="inlineStr">
        <is>
          <t>Month</t>
        </is>
      </c>
      <c r="C19" s="9" t="inlineStr">
        <is>
          <t>Revenue</t>
        </is>
      </c>
    </row>
    <row r="20">
      <c r="B20" s="19" t="inlineStr">
        <is>
          <t>Feb</t>
        </is>
      </c>
      <c r="C20" s="38" t="n">
        <v>5125</v>
      </c>
    </row>
    <row r="21">
      <c r="B21" s="22" t="inlineStr">
        <is>
          <t>Mar</t>
        </is>
      </c>
      <c r="C21" s="40" t="n">
        <v>5500</v>
      </c>
    </row>
    <row r="22">
      <c r="B22" s="19" t="inlineStr">
        <is>
          <t>Apr</t>
        </is>
      </c>
      <c r="C22" s="38" t="n">
        <v>5875</v>
      </c>
    </row>
    <row r="23">
      <c r="B23" s="22" t="inlineStr">
        <is>
          <t>May</t>
        </is>
      </c>
      <c r="C23" s="40" t="n">
        <v>6125</v>
      </c>
    </row>
    <row r="24">
      <c r="B24" s="19" t="inlineStr">
        <is>
          <t>Jun</t>
        </is>
      </c>
      <c r="C24" s="38" t="n">
        <v>6375</v>
      </c>
    </row>
    <row r="25">
      <c r="B25" s="22" t="inlineStr">
        <is>
          <t>Jul</t>
        </is>
      </c>
      <c r="C25" s="40" t="n">
        <v>6500</v>
      </c>
    </row>
  </sheetData>
  <mergeCells count="2">
    <mergeCell ref="A1:C1"/>
    <mergeCell ref="A2:C2"/>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I19"/>
  <sheetViews>
    <sheetView showGridLines="0" workbookViewId="0">
      <selection activeCell="A1" sqref="A1"/>
    </sheetView>
  </sheetViews>
  <sheetFormatPr baseColWidth="8" defaultRowHeight="15"/>
  <cols>
    <col width="2" customWidth="1" min="1" max="1"/>
    <col width="40" customWidth="1" min="2" max="2"/>
    <col width="20" customWidth="1" min="3" max="3"/>
    <col width="3" customWidth="1" min="4" max="4"/>
    <col width="24" customWidth="1" min="5" max="5"/>
    <col width="24" customWidth="1" min="6" max="6"/>
    <col width="24" customWidth="1" min="7" max="7"/>
    <col width="24" customWidth="1" min="8" max="8"/>
    <col width="24" customWidth="1" min="9" max="9"/>
  </cols>
  <sheetData>
    <row r="1" ht="46" customHeight="1">
      <c r="A1" s="1" t="inlineStr">
        <is>
          <t xml:space="preserve">  ⚙  SETTINGS</t>
        </is>
      </c>
    </row>
    <row r="2" ht="22" customHeight="1">
      <c r="A2" s="2" t="inlineStr">
        <is>
          <t xml:space="preserve">  Set your rates &amp; goals once — every tab follows.</t>
        </is>
      </c>
    </row>
    <row r="3" ht="6" customHeight="1">
      <c r="A3" s="3" t="n"/>
      <c r="B3" s="3" t="n"/>
      <c r="C3" s="3" t="n"/>
      <c r="D3" s="3" t="n"/>
      <c r="E3" s="3" t="n"/>
      <c r="F3" s="3" t="n"/>
      <c r="G3" s="3" t="n"/>
      <c r="H3" s="3" t="n"/>
      <c r="I3" s="3" t="n"/>
    </row>
    <row r="5">
      <c r="B5" s="7" t="inlineStr">
        <is>
          <t>YOUR RATES &amp; GOALS</t>
        </is>
      </c>
      <c r="E5" s="4" t="inlineStr">
        <is>
          <t>DROPDOWN LISTS</t>
        </is>
      </c>
    </row>
    <row r="6">
      <c r="B6" s="25" t="inlineStr">
        <is>
          <t>Business</t>
        </is>
      </c>
      <c r="C6" s="57" t="inlineStr">
        <is>
          <t>Quill &amp; Seal Notary</t>
        </is>
      </c>
      <c r="E6" s="9" t="inlineStr">
        <is>
          <t>Signing type</t>
        </is>
      </c>
      <c r="F6" s="9" t="inlineStr">
        <is>
          <t>Payment status</t>
        </is>
      </c>
      <c r="G6" s="9" t="inlineStr">
        <is>
          <t>ID type</t>
        </is>
      </c>
      <c r="H6" s="9" t="inlineStr">
        <is>
          <t>Expense category</t>
        </is>
      </c>
      <c r="I6" s="9" t="inlineStr">
        <is>
          <t>Yes / No</t>
        </is>
      </c>
    </row>
    <row r="7">
      <c r="B7" s="25" t="inlineStr">
        <is>
          <t>Signing agent</t>
        </is>
      </c>
      <c r="C7" s="57" t="inlineStr">
        <is>
          <t>Sloane</t>
        </is>
      </c>
      <c r="E7" s="19" t="inlineStr">
        <is>
          <t>Refinance</t>
        </is>
      </c>
      <c r="F7" s="19" t="inlineStr">
        <is>
          <t>Paid</t>
        </is>
      </c>
      <c r="G7" s="19" t="inlineStr">
        <is>
          <t>Driver's licence</t>
        </is>
      </c>
      <c r="H7" s="19" t="inlineStr">
        <is>
          <t>Insurance</t>
        </is>
      </c>
      <c r="I7" s="19" t="inlineStr">
        <is>
          <t>Yes</t>
        </is>
      </c>
    </row>
    <row r="8">
      <c r="B8" s="25" t="inlineStr">
        <is>
          <t>Average signing fee</t>
        </is>
      </c>
      <c r="C8" s="49" t="n">
        <v>125</v>
      </c>
      <c r="E8" s="19" t="inlineStr">
        <is>
          <t>Purchase / seller</t>
        </is>
      </c>
      <c r="F8" s="19" t="inlineStr">
        <is>
          <t>Invoiced</t>
        </is>
      </c>
      <c r="G8" s="19" t="inlineStr">
        <is>
          <t>Passport</t>
        </is>
      </c>
      <c r="H8" s="19" t="inlineStr">
        <is>
          <t>Commission</t>
        </is>
      </c>
      <c r="I8" s="19" t="inlineStr">
        <is>
          <t>No</t>
        </is>
      </c>
    </row>
    <row r="9">
      <c r="B9" s="25" t="inlineStr">
        <is>
          <t>Cost per printed page</t>
        </is>
      </c>
      <c r="C9" s="81" t="n">
        <v>0.035</v>
      </c>
      <c r="E9" s="19" t="inlineStr">
        <is>
          <t>Reverse mortgage</t>
        </is>
      </c>
      <c r="F9" s="19" t="inlineStr">
        <is>
          <t>Overdue</t>
        </is>
      </c>
      <c r="G9" s="19" t="inlineStr">
        <is>
          <t>State ID</t>
        </is>
      </c>
      <c r="H9" s="19" t="inlineStr">
        <is>
          <t>Equipment</t>
        </is>
      </c>
    </row>
    <row r="10">
      <c r="B10" s="25" t="inlineStr">
        <is>
          <t>Vehicle cost per mile (out of pocket)</t>
        </is>
      </c>
      <c r="C10" s="49" t="n">
        <v>0.22</v>
      </c>
      <c r="E10" s="19" t="inlineStr">
        <is>
          <t>Loan modification</t>
        </is>
      </c>
      <c r="F10" s="19" t="inlineStr">
        <is>
          <t>Not paid — fell through</t>
        </is>
      </c>
      <c r="G10" s="19" t="inlineStr">
        <is>
          <t>Military ID</t>
        </is>
      </c>
      <c r="H10" s="19" t="inlineStr">
        <is>
          <t>Software</t>
        </is>
      </c>
    </row>
    <row r="11">
      <c r="B11" s="25" t="inlineStr">
        <is>
          <t>IRS mileage rate (deduction)</t>
        </is>
      </c>
      <c r="C11" s="49" t="n">
        <v>0.7</v>
      </c>
      <c r="E11" s="19" t="inlineStr">
        <is>
          <t>Single notarization</t>
        </is>
      </c>
      <c r="G11" s="19" t="inlineStr">
        <is>
          <t>Credible witness</t>
        </is>
      </c>
      <c r="H11" s="19" t="inlineStr">
        <is>
          <t>Vehicle</t>
        </is>
      </c>
    </row>
    <row r="12">
      <c r="B12" s="25" t="inlineStr">
        <is>
          <t>Signings this month</t>
        </is>
      </c>
      <c r="C12" s="56" t="n">
        <v>52</v>
      </c>
      <c r="E12" s="19" t="inlineStr">
        <is>
          <t>Jail / hospital</t>
        </is>
      </c>
      <c r="H12" s="19" t="inlineStr">
        <is>
          <t>Supplies</t>
        </is>
      </c>
    </row>
    <row r="13">
      <c r="B13" s="25" t="inlineStr">
        <is>
          <t>Signings that fell through unpaid</t>
        </is>
      </c>
      <c r="C13" s="56" t="n">
        <v>2</v>
      </c>
      <c r="E13" s="19" t="inlineStr">
        <is>
          <t>Apostille</t>
        </is>
      </c>
      <c r="H13" s="19" t="inlineStr">
        <is>
          <t>Education</t>
        </is>
      </c>
    </row>
    <row r="14">
      <c r="B14" s="25" t="inlineStr">
        <is>
          <t>Your hourly goal</t>
        </is>
      </c>
      <c r="C14" s="38" t="n">
        <v>40</v>
      </c>
      <c r="E14" s="19" t="inlineStr">
        <is>
          <t>HELOC</t>
        </is>
      </c>
      <c r="H14" s="19" t="inlineStr">
        <is>
          <t>Other</t>
        </is>
      </c>
    </row>
    <row r="15">
      <c r="B15" s="25" t="inlineStr">
        <is>
          <t>Margin goal</t>
        </is>
      </c>
      <c r="C15" s="82" t="n">
        <v>0.6</v>
      </c>
    </row>
    <row r="16">
      <c r="B16" s="25" t="inlineStr">
        <is>
          <t>Break-even cover goal (×)</t>
        </is>
      </c>
      <c r="C16" s="27" t="n">
        <v>4</v>
      </c>
    </row>
    <row r="17">
      <c r="B17" s="25" t="inlineStr">
        <is>
          <t>Getting-paid goal</t>
        </is>
      </c>
      <c r="C17" s="82" t="n">
        <v>0.95</v>
      </c>
    </row>
    <row r="18">
      <c r="B18" s="25" t="inlineStr">
        <is>
          <t>Signings per month goal</t>
        </is>
      </c>
      <c r="C18" s="56" t="n">
        <v>52</v>
      </c>
    </row>
    <row r="19">
      <c r="B19" s="25" t="inlineStr">
        <is>
          <t>Tax reserve goal (year)</t>
        </is>
      </c>
      <c r="C19" s="38" t="n">
        <v>5250</v>
      </c>
    </row>
  </sheetData>
  <mergeCells count="4">
    <mergeCell ref="A1:I1"/>
    <mergeCell ref="E5:I5"/>
    <mergeCell ref="B5:C5"/>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2026-07-27T00:56:42Z</dcterms:created>
  <dcterms:modified xsi:type="dcterms:W3CDTF">2026-07-27T00:56:43Z</dcterms:modified>
</cp:coreProperties>
</file>