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Income" sheetId="3" state="visible" r:id="rId3"/>
    <sheet name="Monthly Budget" sheetId="4" state="visible" r:id="rId4"/>
    <sheet name="Bills" sheetId="5" state="visible" r:id="rId5"/>
    <sheet name="Expense Log" sheetId="6" state="visible" r:id="rId6"/>
    <sheet name="Savings Goals" sheetId="7" state="visible" r:id="rId7"/>
    <sheet name="Sinking Funds" sheetId="8" state="visible" r:id="rId8"/>
    <sheet name="Debt Snapshot" sheetId="9" state="visible" r:id="rId9"/>
    <sheet name="Net Worth" sheetId="10" state="visible" r:id="rId10"/>
    <sheet name="Subscriptions" sheetId="11" state="visible" r:id="rId11"/>
    <sheet name="Year View" sheetId="12" state="visible" r:id="rId12"/>
    <sheet name="No-Spend" sheetId="13" state="visible" r:id="rId13"/>
    <sheet name="Settings" sheetId="14" state="visible" r:id="rId14"/>
  </sheets>
  <definedNames>
    <definedName name="Household">Settings!$C$6</definedName>
    <definedName name="BudgetMonth">Settings!$C$7</definedName>
    <definedName name="SavingsTarget">Settings!$C$8</definedName>
    <definedName name="EFTarget">Settings!$C$9</definedName>
    <definedName name="Currency">Settings!$C$10</definedName>
    <definedName name="CategoryList">Settings!$E$7:$E$18</definedName>
    <definedName name="YesNoList">Settings!$F$7:$F$8</definedName>
    <definedName name="PaidList">Settings!$G$7:$G$9</definedName>
    <definedName name="FreqList">Settings!$H$7:$H$10</definedName>
    <definedName name="Income">'Income'!$C$8</definedName>
    <definedName name="BudgetCat">'Monthly Budget'!$B$7:$B$20</definedName>
    <definedName name="BudgetGroup">'Monthly Budget'!$C$7:$C$20</definedName>
    <definedName name="BudgetPlanned">'Monthly Budget'!$D$7:$D$20</definedName>
    <definedName name="BudgetActual">'Monthly Budget'!$E$7:$E$20</definedName>
    <definedName name="BudgetPlanTotal">'Monthly Budget'!$D$21</definedName>
    <definedName name="BudgetActualTotal">'Monthly Budget'!$E$21</definedName>
    <definedName name="BillStatus">'Bills'!$D$5:$D$28</definedName>
    <definedName name="BillAmount">'Bills'!$B$5:$B$28</definedName>
    <definedName name="GoalTarget">'Savings Goals'!$C$5:$C$8</definedName>
    <definedName name="GoalSaved">'Savings Goals'!$D$5:$D$8</definedName>
    <definedName name="GoalPct">'Savings Goals'!$E$5:$E$8</definedName>
    <definedName name="EFSaved">'Savings Goals'!$D$5</definedName>
    <definedName name="SinkBalance">'Sinking Funds'!$C$5:$C$24</definedName>
    <definedName name="SinkMonthly">'Sinking Funds'!$B$5:$B$24</definedName>
    <definedName name="SinkTotal">'Sinking Funds'!$C$25</definedName>
    <definedName name="DebtBalance">'Debt Snapshot'!$C$5:$C$7</definedName>
    <definedName name="DebtTotal">'Debt Snapshot'!$C$8</definedName>
    <definedName name="AssetsTotal">'Net Worth'!$C$11</definedName>
    <definedName name="LiabTotal">'Net Worth'!$F$11</definedName>
    <definedName name="NetWorth">'Net Worth'!$F$13</definedName>
    <definedName name="SubAmount">'Subscriptions'!$B$5:$B$28</definedName>
    <definedName name="SubTotal">'Subscriptions'!$B$29</definedName>
    <definedName name="YearNW">'Year View'!$F$5:$F$16</definedName>
    <definedName name="YearMonth">'Year View'!$B$5:$B$16</definedName>
    <definedName name="NoSpend1">'No-Spend'!$C$6:$C$20</definedName>
    <definedName name="NoSpend2">'No-Spend'!$F$6:$F$20</definedName>
    <definedName name="HealthRange">'Dashboard'!$C$13:$C$18</definedName>
  </definedNames>
  <calcPr calcId="124519" fullCalcOnLoad="1"/>
</workbook>
</file>

<file path=xl/styles.xml><?xml version="1.0" encoding="utf-8"?>
<styleSheet xmlns="http://schemas.openxmlformats.org/spreadsheetml/2006/main">
  <numFmts count="5">
    <numFmt numFmtId="164" formatCode="&quot;$&quot;#,##0"/>
    <numFmt numFmtId="165" formatCode="&quot;$&quot;#,##0;[Red]-&quot;$&quot;#,##0"/>
    <numFmt numFmtId="166" formatCode="yyyy-mm-dd"/>
    <numFmt numFmtId="167" formatCode="mm/dd/yyyy"/>
    <numFmt numFmtId="168" formatCode="0.0%"/>
  </numFmts>
  <fonts count="17">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name val="Calibri"/>
      <b val="1"/>
      <i val="1"/>
      <color rgb="00937356"/>
      <sz val="11"/>
    </font>
    <font>
      <color rgb="00333333"/>
      <sz val="11"/>
    </font>
    <font>
      <b val="1"/>
      <color rgb="001B4F48"/>
    </font>
    <font>
      <i val="1"/>
      <color rgb="00937356"/>
    </font>
    <font>
      <b val="1"/>
      <color rgb="00C94C4C"/>
    </font>
    <font>
      <b val="1"/>
      <color rgb="001B4F48"/>
      <sz val="14"/>
    </font>
    <font>
      <b val="1"/>
      <color rgb="00937356"/>
      <sz val="9"/>
    </font>
    <font>
      <b val="1"/>
      <color rgb="001B4F48"/>
      <sz val="18"/>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E3F8EF"/>
      </patternFill>
    </fill>
    <fill>
      <patternFill patternType="solid">
        <fgColor rgb="00FBF0E2"/>
      </patternFill>
    </fill>
    <fill>
      <patternFill patternType="solid">
        <fgColor rgb="00F4ECDE"/>
      </patternFill>
    </fill>
    <fill>
      <patternFill patternType="solid">
        <fgColor rgb="00FFFFFF"/>
      </patternFill>
    </fill>
  </fills>
  <borders count="5">
    <border>
      <left/>
      <right/>
      <top/>
      <bottom/>
      <diagonal/>
    </border>
    <border/>
    <border>
      <left style="thin">
        <color rgb="00D6D2C8"/>
      </left>
      <right style="thin">
        <color rgb="00D6D2C8"/>
      </right>
      <top style="thin">
        <color rgb="00D6D2C8"/>
      </top>
      <bottom style="thin">
        <color rgb="00D6D2C8"/>
      </bottom>
    </border>
    <border>
      <left style="medium">
        <color rgb="00C9A86A"/>
      </left>
      <right style="medium">
        <color rgb="00C9A86A"/>
      </right>
      <top style="medium">
        <color rgb="00C9A86A"/>
      </top>
      <bottom style="medium">
        <color rgb="00C9A86A"/>
      </bottom>
    </border>
    <border>
      <left style="thin">
        <color rgb="00D6D2C8"/>
      </left>
      <right style="thin">
        <color rgb="00D6D2C8"/>
      </right>
      <top style="medium">
        <color rgb="00C9A86A"/>
      </top>
      <bottom style="thin">
        <color rgb="00D6D2C8"/>
      </bottom>
    </border>
  </borders>
  <cellStyleXfs count="13">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9" fillId="4" borderId="3" applyAlignment="1">
      <alignment horizontal="center" vertical="center" wrapText="1"/>
    </xf>
    <xf numFmtId="0" fontId="6" fillId="0" borderId="1" applyAlignment="1">
      <alignment horizontal="left" vertical="top" wrapText="1" indent="1"/>
    </xf>
  </cellStyleXfs>
  <cellXfs count="49">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6" borderId="2" applyAlignment="1" pivotButton="0" quotePrefix="0" xfId="12">
      <alignment horizontal="left" vertical="top" wrapText="1" indent="1"/>
    </xf>
    <xf numFmtId="0" fontId="0" fillId="6" borderId="0" pivotButton="0" quotePrefix="0" xfId="0"/>
    <xf numFmtId="0" fontId="3" fillId="0" borderId="1" applyAlignment="1" pivotButton="0" quotePrefix="0" xfId="3">
      <alignment horizontal="left" vertical="center"/>
    </xf>
    <xf numFmtId="0" fontId="6" fillId="0" borderId="1" applyAlignment="1" pivotButton="0" quotePrefix="0" xfId="12">
      <alignment horizontal="left" vertical="top" wrapText="1" indent="1"/>
    </xf>
    <xf numFmtId="0" fontId="5" fillId="2" borderId="2" applyAlignment="1" pivotButton="0" quotePrefix="0" xfId="5">
      <alignment horizontal="center" vertical="center" wrapText="1"/>
    </xf>
    <xf numFmtId="0" fontId="10" fillId="7" borderId="2" applyAlignment="1" pivotButton="0" quotePrefix="0" xfId="0">
      <alignment horizontal="left" vertical="top" wrapText="1" indent="1"/>
    </xf>
    <xf numFmtId="0" fontId="0" fillId="7" borderId="0" pivotButton="0" quotePrefix="0" xfId="0"/>
    <xf numFmtId="0" fontId="15" fillId="9" borderId="4" applyAlignment="1" pivotButton="0" quotePrefix="0" xfId="0">
      <alignment horizontal="center" vertical="center"/>
    </xf>
    <xf numFmtId="0" fontId="0" fillId="9" borderId="4" pivotButton="0" quotePrefix="0" xfId="0"/>
    <xf numFmtId="164" fontId="16" fillId="9" borderId="2" applyAlignment="1" pivotButton="0" quotePrefix="0" xfId="0">
      <alignment horizontal="center" vertical="center"/>
    </xf>
    <xf numFmtId="0" fontId="0" fillId="9" borderId="2" pivotButton="0" quotePrefix="0" xfId="0"/>
    <xf numFmtId="9" fontId="16" fillId="9" borderId="2" applyAlignment="1" pivotButton="0" quotePrefix="0" xfId="0">
      <alignment horizontal="center" vertical="center"/>
    </xf>
    <xf numFmtId="0" fontId="6" fillId="0" borderId="2" applyAlignment="1" pivotButton="0" quotePrefix="0" xfId="7">
      <alignment horizontal="left" vertical="center" wrapText="1" indent="1"/>
    </xf>
    <xf numFmtId="9"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0" fontId="6" fillId="8" borderId="2" applyAlignment="1" pivotButton="0" quotePrefix="0" xfId="7">
      <alignment horizontal="left" vertical="center" wrapText="1" indent="1"/>
    </xf>
    <xf numFmtId="9"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164" fontId="7" fillId="3" borderId="2" applyAlignment="1" pivotButton="0" quotePrefix="0" xfId="8">
      <alignment horizontal="center" vertical="center"/>
    </xf>
    <xf numFmtId="164" fontId="7" fillId="8" borderId="2" applyAlignment="1" pivotButton="0" quotePrefix="0" xfId="8">
      <alignment horizontal="center" vertical="center"/>
    </xf>
    <xf numFmtId="164" fontId="11" fillId="3" borderId="2" applyAlignment="1" pivotButton="0" quotePrefix="0" xfId="6">
      <alignment horizontal="center" vertical="center" wrapText="1"/>
    </xf>
    <xf numFmtId="0" fontId="12" fillId="0" borderId="0" pivotButton="0" quotePrefix="0" xfId="0"/>
    <xf numFmtId="164" fontId="11" fillId="0" borderId="0" pivotButton="0" quotePrefix="0" xfId="0"/>
    <xf numFmtId="165" fontId="6" fillId="0" borderId="2" applyAlignment="1" pivotButton="0" quotePrefix="0" xfId="6">
      <alignment horizontal="center" vertical="center" wrapText="1"/>
    </xf>
    <xf numFmtId="165" fontId="6" fillId="8" borderId="2" applyAlignment="1" pivotButton="0" quotePrefix="0" xfId="6">
      <alignment horizontal="center" vertical="center" wrapText="1"/>
    </xf>
    <xf numFmtId="0" fontId="6" fillId="3" borderId="2" applyAlignment="1" pivotButton="0" quotePrefix="0" xfId="6">
      <alignment horizontal="center" vertical="center" wrapText="1"/>
    </xf>
    <xf numFmtId="165" fontId="11" fillId="3" borderId="2" pivotButton="0" quotePrefix="0" xfId="0"/>
    <xf numFmtId="0" fontId="6" fillId="9" borderId="2" applyAlignment="1" pivotButton="0" quotePrefix="0" xfId="7">
      <alignment horizontal="left" vertical="center" wrapText="1" indent="1"/>
    </xf>
    <xf numFmtId="164" fontId="6" fillId="9" borderId="2" applyAlignment="1" pivotButton="0" quotePrefix="0" xfId="6">
      <alignment horizontal="center" vertical="center" wrapText="1"/>
    </xf>
    <xf numFmtId="3" fontId="6" fillId="9" borderId="2" applyAlignment="1" pivotButton="0" quotePrefix="0" xfId="6">
      <alignment horizontal="center" vertical="center" wrapText="1"/>
    </xf>
    <xf numFmtId="0" fontId="6" fillId="9" borderId="2" applyAlignment="1" pivotButton="0" quotePrefix="0" xfId="6">
      <alignment horizontal="center" vertical="center" wrapText="1"/>
    </xf>
    <xf numFmtId="164" fontId="6" fillId="8" borderId="2" applyAlignment="1" pivotButton="0" quotePrefix="0" xfId="6">
      <alignment horizontal="center" vertical="center" wrapText="1"/>
    </xf>
    <xf numFmtId="3" fontId="6" fillId="8" borderId="2" applyAlignment="1" pivotButton="0" quotePrefix="0" xfId="6">
      <alignment horizontal="center" vertical="center" wrapText="1"/>
    </xf>
    <xf numFmtId="167" fontId="6" fillId="9" borderId="2" applyAlignment="1" pivotButton="0" quotePrefix="0" xfId="6">
      <alignment horizontal="center" vertical="center" wrapText="1"/>
    </xf>
    <xf numFmtId="167" fontId="6" fillId="8" borderId="2" applyAlignment="1" pivotButton="0" quotePrefix="0" xfId="6">
      <alignment horizontal="center" vertical="center" wrapText="1"/>
    </xf>
    <xf numFmtId="168" fontId="7" fillId="3" borderId="2" applyAlignment="1" pivotButton="0" quotePrefix="0" xfId="8">
      <alignment horizontal="center" vertical="center"/>
    </xf>
    <xf numFmtId="168" fontId="7" fillId="8" borderId="2" applyAlignment="1" pivotButton="0" quotePrefix="0" xfId="8">
      <alignment horizontal="center" vertical="center"/>
    </xf>
    <xf numFmtId="164" fontId="13" fillId="3" borderId="2" applyAlignment="1" pivotButton="0" quotePrefix="0" xfId="6">
      <alignment horizontal="center" vertical="center" wrapText="1"/>
    </xf>
    <xf numFmtId="164" fontId="14" fillId="6" borderId="2" applyAlignment="1" pivotButton="0" quotePrefix="0" xfId="10">
      <alignment horizontal="left" vertical="center" indent="1"/>
    </xf>
    <xf numFmtId="164" fontId="12" fillId="3" borderId="2" pivotButton="0" quotePrefix="0" xfId="0"/>
    <xf numFmtId="0" fontId="7" fillId="3" borderId="2" applyAlignment="1" pivotButton="0" quotePrefix="0" xfId="8">
      <alignment horizontal="center" vertical="center"/>
    </xf>
    <xf numFmtId="0" fontId="8" fillId="4" borderId="2" applyAlignment="1" pivotButton="0" quotePrefix="0" xfId="9">
      <alignment horizontal="left" vertical="center" indent="1"/>
    </xf>
    <xf numFmtId="1" fontId="7" fillId="6" borderId="2" applyAlignment="1" pivotButton="0" quotePrefix="0" xfId="10">
      <alignment horizontal="left" vertical="center" indent="1"/>
    </xf>
    <xf numFmtId="9" fontId="7" fillId="3" borderId="2" applyAlignment="1" pivotButton="0" quotePrefix="0" xfId="8">
      <alignment horizontal="center" vertical="center"/>
    </xf>
  </cellXfs>
  <cellStyles count="13">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imgbox" xfId="11" hidden="0"/>
    <cellStyle name="body" xfId="12" hidden="0"/>
  </cellStyles>
  <dxfs count="3">
    <dxf>
      <fill>
        <patternFill patternType="solid">
          <fgColor rgb="00FBE6E6"/>
        </patternFill>
      </fill>
    </dxf>
    <dxf>
      <fill>
        <patternFill patternType="solid">
          <fgColor rgb="00E3F8EF"/>
        </patternFill>
      </fill>
    </dxf>
    <dxf>
      <fill>
        <patternFill patternType="solid">
          <fgColor rgb="00FBF0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Spending by Category (actual)</a:t>
            </a:r>
          </a:p>
        </rich>
      </tx>
    </title>
    <plotArea>
      <doughnutChart>
        <varyColors val="1"/>
        <ser>
          <idx val="0"/>
          <order val="0"/>
          <spPr>
            <a:ln>
              <a:prstDash val="solid"/>
            </a:ln>
          </spPr>
          <cat>
            <numRef>
              <f>'Monthly Budget'!$B$7:$B$20</f>
            </numRef>
          </cat>
          <val>
            <numRef>
              <f>'Monthly Budget'!$E$7:$E$20</f>
            </numRef>
          </val>
        </ser>
        <dLbls>
          <showLegendKey val="0"/>
          <showVal val="0"/>
          <showCatName val="0"/>
          <showSerName val="0"/>
          <showPercent val="0"/>
          <showBubbleSize val="0"/>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3096000" cy="2664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 customWidth="1" min="1" max="1"/>
    <col width="84" customWidth="1" min="2" max="2"/>
    <col width="3" customWidth="1" min="3" max="3"/>
  </cols>
  <sheetData>
    <row r="1" ht="58" customHeight="1">
      <c r="A1" s="1" t="inlineStr">
        <is>
          <t xml:space="preserve">  💵  BUDGET &amp; MONEY COMMAND CENTER™</t>
        </is>
      </c>
    </row>
    <row r="2" ht="24" customHeight="1">
      <c r="A2" s="2" t="inlineStr">
        <is>
          <t xml:space="preserve">  Give every dollar a job — budget, save, crush debt &amp; watch your net worth grow.</t>
        </is>
      </c>
    </row>
    <row r="3" ht="6" customHeight="1">
      <c r="A3" s="3" t="n"/>
      <c r="B3" s="3" t="n"/>
      <c r="C3" s="3" t="n"/>
    </row>
    <row r="5">
      <c r="B5" s="4" t="inlineStr">
        <is>
          <t>YOUR WHOLE FINANCIAL LIFE, IN ONE PLACE</t>
        </is>
      </c>
    </row>
    <row r="6" ht="22" customHeight="1">
      <c r="B6" s="5" t="inlineStr">
        <is>
          <t>A zero-based monthly budget (planned vs actual), income &amp; bill trackers, an expense log, savings goals, sinking funds, a debt snapshot, a net-worth tracker, subscriptions, a 12-month year view and a no-spend challenge — all in ONE premium Google Sheets &amp; Excel system. Tell every dollar where to go before the month starts, catch overspending the day it happens, and watch your savings rate and net worth climb month after month. Simple enough for beginners, powerful enough for nerds.</t>
        </is>
      </c>
    </row>
    <row r="7" ht="22" customHeight="1">
      <c r="B7" s="6" t="n"/>
    </row>
    <row r="8" ht="22" customHeight="1">
      <c r="B8" s="6" t="n"/>
    </row>
    <row r="9" ht="22" customHeight="1">
      <c r="B9" s="6" t="n"/>
    </row>
    <row r="11">
      <c r="B11" s="7" t="inlineStr">
        <is>
          <t>START HERE — 6 QUICK STEPS</t>
        </is>
      </c>
    </row>
    <row r="12" ht="22" customHeight="1">
      <c r="B12" s="8" t="inlineStr">
        <is>
          <t>1.  Open the Income tab — add every paycheck &amp; source for the month.</t>
        </is>
      </c>
    </row>
    <row r="13" ht="22" customHeight="1">
      <c r="B13" s="8" t="inlineStr">
        <is>
          <t>2.  Build your Monthly Budget — give every dollar a job until 'Left to Budget' hits $0.</t>
        </is>
      </c>
    </row>
    <row r="14" ht="22" customHeight="1">
      <c r="B14" s="8" t="inlineStr">
        <is>
          <t>3.  Log expenses as you spend; planned-vs-actual flags any category going over.</t>
        </is>
      </c>
    </row>
    <row r="15" ht="22" customHeight="1">
      <c r="B15" s="8" t="inlineStr">
        <is>
          <t>4.  Fund your Savings Goals &amp; Sinking Funds, and track your Debt Snapshot.</t>
        </is>
      </c>
    </row>
    <row r="16" ht="22" customHeight="1">
      <c r="B16" s="8" t="inlineStr">
        <is>
          <t>5.  Update Net Worth monthly — assets minus liabilities, watch it grow.</t>
        </is>
      </c>
    </row>
    <row r="17" ht="22" customHeight="1">
      <c r="B17" s="8" t="inlineStr">
        <is>
          <t>6.  Check the Dashboard: income, spent, saved, savings rate &amp; a Budget Health score.</t>
        </is>
      </c>
    </row>
    <row r="20" ht="26" customHeight="1">
      <c r="B20" s="9" t="inlineStr">
        <is>
          <t xml:space="preserve">  GOOD TO KNOW</t>
        </is>
      </c>
    </row>
    <row r="21" ht="22" customHeight="1">
      <c r="B21" s="10" t="inlineStr">
        <is>
          <t>Sample data for a fictional household is included so you can see how it all connects — just type over it with your own numbers. Your budget, savings, debt and net worth roll up into a live Budget Health score. Twelve matching printable pages (monthly budget, bill tracker, savings-goal &amp; debt trackers, net-worth sheet &amp; more) are included to print and keep. This is a personal budgeting tool, not financial, tax or investment advice — for big decisions, talk to a qualified professional.</t>
        </is>
      </c>
    </row>
    <row r="22" ht="22" customHeight="1">
      <c r="B22" s="11" t="n"/>
    </row>
    <row r="23" ht="22" customHeight="1">
      <c r="B23" s="11" t="n"/>
    </row>
    <row r="25">
      <c r="B25" s="4" t="inlineStr">
        <is>
          <t>Every dollar with a job, every month — that's how wealth gets built.</t>
        </is>
      </c>
    </row>
  </sheetData>
  <mergeCells count="14">
    <mergeCell ref="B17"/>
    <mergeCell ref="B12"/>
    <mergeCell ref="B13"/>
    <mergeCell ref="A1:C1"/>
    <mergeCell ref="B15"/>
    <mergeCell ref="B11"/>
    <mergeCell ref="B21:B23"/>
    <mergeCell ref="B6:B9"/>
    <mergeCell ref="B16"/>
    <mergeCell ref="B20"/>
    <mergeCell ref="B25"/>
    <mergeCell ref="B5"/>
    <mergeCell ref="B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BUDGET &amp; MONEY COMMAND CENTER™</t>
        </is>
      </c>
    </row>
    <row r="2" ht="24" customHeight="1">
      <c r="A2" s="2" t="inlineStr">
        <is>
          <t xml:space="preserve">  Income, spending, saving, debt &amp; net worth — your whole financial life, automatically organized.</t>
        </is>
      </c>
    </row>
    <row r="3" ht="6" customHeight="1">
      <c r="A3" s="3" t="n"/>
      <c r="B3" s="3" t="n"/>
      <c r="C3" s="3" t="n"/>
      <c r="D3" s="3" t="n"/>
      <c r="E3" s="3" t="n"/>
      <c r="F3" s="3" t="n"/>
      <c r="G3" s="3" t="n"/>
      <c r="H3" s="3" t="n"/>
      <c r="I3" s="3" t="n"/>
      <c r="J3" s="3" t="n"/>
      <c r="K3" s="3" t="n"/>
      <c r="L3" s="3" t="n"/>
      <c r="M3" s="3" t="n"/>
      <c r="N3" s="3" t="n"/>
    </row>
    <row r="5" ht="18" customHeight="1">
      <c r="B5" s="12" t="inlineStr">
        <is>
          <t>INCOME</t>
        </is>
      </c>
      <c r="C5" s="13" t="n"/>
      <c r="D5" s="12" t="inlineStr">
        <is>
          <t>SPENT</t>
        </is>
      </c>
      <c r="E5" s="13" t="n"/>
      <c r="F5" s="12" t="inlineStr">
        <is>
          <t>LEFT TO BUDGET</t>
        </is>
      </c>
      <c r="G5" s="13" t="n"/>
      <c r="H5" s="12" t="inlineStr">
        <is>
          <t>SAVED</t>
        </is>
      </c>
      <c r="I5" s="13" t="n"/>
      <c r="J5" s="12" t="inlineStr">
        <is>
          <t>SAVINGS RATE</t>
        </is>
      </c>
      <c r="K5" s="13" t="n"/>
      <c r="L5" s="12" t="inlineStr">
        <is>
          <t>BILLS PAID</t>
        </is>
      </c>
      <c r="M5" s="13" t="n"/>
    </row>
    <row r="6" ht="40" customHeight="1">
      <c r="B6" s="14">
        <f>Income</f>
        <v/>
      </c>
      <c r="C6" s="15" t="n"/>
      <c r="D6" s="14">
        <f>BudgetActualTotal</f>
        <v/>
      </c>
      <c r="E6" s="15" t="n"/>
      <c r="F6" s="14">
        <f>Income-BudgetPlanTotal</f>
        <v/>
      </c>
      <c r="G6" s="15" t="n"/>
      <c r="H6" s="14">
        <f>SUMIF(BudgetGroup,"Savings",BudgetActual)</f>
        <v/>
      </c>
      <c r="I6" s="15" t="n"/>
      <c r="J6" s="16">
        <f>IFERROR(SUMIF(BudgetGroup,"Savings",BudgetActual)/Income,0)</f>
        <v/>
      </c>
      <c r="K6" s="15" t="n"/>
      <c r="L6" s="16">
        <f>IFERROR(COUNTIF(BillStatus,"Paid")/COUNTA(BillStatus),0)</f>
        <v/>
      </c>
      <c r="M6" s="15" t="n"/>
    </row>
    <row r="8" ht="18" customHeight="1">
      <c r="B8" s="12" t="inlineStr">
        <is>
          <t>NET WORTH</t>
        </is>
      </c>
      <c r="C8" s="13" t="n"/>
      <c r="D8" s="12" t="inlineStr">
        <is>
          <t>TOTAL DEBT</t>
        </is>
      </c>
      <c r="E8" s="13" t="n"/>
      <c r="F8" s="12" t="inlineStr">
        <is>
          <t>SAVINGS GOALS</t>
        </is>
      </c>
      <c r="G8" s="13" t="n"/>
      <c r="H8" s="12" t="inlineStr">
        <is>
          <t>SINKING FUNDS</t>
        </is>
      </c>
      <c r="I8" s="13" t="n"/>
      <c r="J8" s="12" t="inlineStr">
        <is>
          <t>SUBSCRIPTIONS</t>
        </is>
      </c>
      <c r="K8" s="13" t="n"/>
      <c r="L8" s="12" t="inlineStr">
        <is>
          <t>HEALTH SCORE</t>
        </is>
      </c>
      <c r="M8" s="13" t="n"/>
    </row>
    <row r="9" ht="40" customHeight="1">
      <c r="B9" s="14">
        <f>NetWorth</f>
        <v/>
      </c>
      <c r="C9" s="15" t="n"/>
      <c r="D9" s="14">
        <f>DebtTotal</f>
        <v/>
      </c>
      <c r="E9" s="15" t="n"/>
      <c r="F9" s="16">
        <f>IFERROR(AVERAGE(GoalPct),0)</f>
        <v/>
      </c>
      <c r="G9" s="15" t="n"/>
      <c r="H9" s="14">
        <f>SinkTotal</f>
        <v/>
      </c>
      <c r="I9" s="15" t="n"/>
      <c r="J9" s="14">
        <f>SubTotal</f>
        <v/>
      </c>
      <c r="K9" s="15" t="n"/>
      <c r="L9" s="16">
        <f>IFERROR(AVERAGE(HealthRange),0)</f>
        <v/>
      </c>
      <c r="M9" s="15" t="n"/>
    </row>
    <row r="11" ht="26" customHeight="1">
      <c r="B11" s="4" t="inlineStr">
        <is>
          <t>FINANCIAL HEALTH</t>
        </is>
      </c>
      <c r="H11" s="4" t="inlineStr">
        <is>
          <t>SPENDING BY GROUP</t>
        </is>
      </c>
    </row>
    <row r="12" ht="30" customHeight="1">
      <c r="B12" s="9" t="inlineStr">
        <is>
          <t>Check</t>
        </is>
      </c>
      <c r="C12" s="9" t="inlineStr">
        <is>
          <t>Score</t>
        </is>
      </c>
      <c r="D12" s="9" t="inlineStr">
        <is>
          <t>Status</t>
        </is>
      </c>
    </row>
    <row r="13">
      <c r="B13" s="17" t="inlineStr">
        <is>
          <t>On budget</t>
        </is>
      </c>
      <c r="C13" s="18">
        <f>IFERROR(IF(BudgetActualTotal&lt;=BudgetPlanTotal,1,BudgetPlanTotal/BudgetActualTotal),0)</f>
        <v/>
      </c>
      <c r="D13" s="19">
        <f>IF(C13&gt;=0.85,"Strong",IF(C13&gt;=0.6,"On track","Focus"))</f>
        <v/>
      </c>
    </row>
    <row r="14">
      <c r="B14" s="20" t="inlineStr">
        <is>
          <t>Savings rate</t>
        </is>
      </c>
      <c r="C14" s="21">
        <f>IFERROR(MIN((SUMIF(BudgetGroup,"Savings",BudgetActual)/Income)/SavingsTarget,1),0)</f>
        <v/>
      </c>
      <c r="D14" s="22">
        <f>IF(C14&gt;=0.85,"Strong",IF(C14&gt;=0.6,"On track","Focus"))</f>
        <v/>
      </c>
    </row>
    <row r="15">
      <c r="B15" s="17" t="inlineStr">
        <is>
          <t>Bills paid on time</t>
        </is>
      </c>
      <c r="C15" s="18">
        <f>IFERROR(COUNTIF(BillStatus,"Paid")/COUNTA(BillStatus),0)</f>
        <v/>
      </c>
      <c r="D15" s="19">
        <f>IF(C15&gt;=0.85,"Strong",IF(C15&gt;=0.6,"On track","Focus"))</f>
        <v/>
      </c>
    </row>
    <row r="16">
      <c r="B16" s="20" t="inlineStr">
        <is>
          <t>Emergency fund</t>
        </is>
      </c>
      <c r="C16" s="21">
        <f>IFERROR(MIN(EFSaved/EFTarget,1),0)</f>
        <v/>
      </c>
      <c r="D16" s="22">
        <f>IF(C16&gt;=0.85,"Strong",IF(C16&gt;=0.6,"On track","Focus"))</f>
        <v/>
      </c>
    </row>
    <row r="17">
      <c r="B17" s="17" t="inlineStr">
        <is>
          <t>Savings goals</t>
        </is>
      </c>
      <c r="C17" s="18">
        <f>IFERROR(AVERAGE(GoalPct),0)</f>
        <v/>
      </c>
      <c r="D17" s="19">
        <f>IF(C17&gt;=0.85,"Strong",IF(C17&gt;=0.6,"On track","Focus"))</f>
        <v/>
      </c>
    </row>
    <row r="18">
      <c r="B18" s="20" t="inlineStr">
        <is>
          <t>Sinking funds ready</t>
        </is>
      </c>
      <c r="C18" s="21">
        <f>IFERROR(MIN(SinkTotal/1650,1),0)</f>
        <v/>
      </c>
      <c r="D18" s="22">
        <f>IF(C18&gt;=0.85,"Strong",IF(C18&gt;=0.6,"On track","Focus"))</f>
        <v/>
      </c>
    </row>
    <row r="21" ht="26" customHeight="1">
      <c r="B21" s="2" t="inlineStr">
        <is>
          <t>Budget &amp; Money Command Center™ — give every dollar a job. Edit income &amp; categories anytime.</t>
        </is>
      </c>
    </row>
  </sheetData>
  <mergeCells count="29">
    <mergeCell ref="J5:K5"/>
    <mergeCell ref="F6:G6"/>
    <mergeCell ref="H11:M11"/>
    <mergeCell ref="H9:I9"/>
    <mergeCell ref="A1:N1"/>
    <mergeCell ref="J9:K9"/>
    <mergeCell ref="D6:E6"/>
    <mergeCell ref="H6:I6"/>
    <mergeCell ref="J6:K6"/>
    <mergeCell ref="B21:M21"/>
    <mergeCell ref="F5:G5"/>
    <mergeCell ref="L5:M5"/>
    <mergeCell ref="L8:M8"/>
    <mergeCell ref="B8:C8"/>
    <mergeCell ref="F8:G8"/>
    <mergeCell ref="A2:N2"/>
    <mergeCell ref="B9:C9"/>
    <mergeCell ref="D9:E9"/>
    <mergeCell ref="F9:G9"/>
    <mergeCell ref="L9:M9"/>
    <mergeCell ref="D8:E8"/>
    <mergeCell ref="B6:C6"/>
    <mergeCell ref="L6:M6"/>
    <mergeCell ref="B5:C5"/>
    <mergeCell ref="D5:E5"/>
    <mergeCell ref="H5:I5"/>
    <mergeCell ref="H8:I8"/>
    <mergeCell ref="J8:K8"/>
    <mergeCell ref="B11:G11"/>
  </mergeCells>
  <conditionalFormatting sqref="C13:C18">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8"/>
  <sheetViews>
    <sheetView showGridLines="0" workbookViewId="0">
      <pane ySplit="4" topLeftCell="A5" activePane="bottomLeft" state="frozen"/>
      <selection pane="bottomLeft" activeCell="A1" sqref="A1"/>
    </sheetView>
  </sheetViews>
  <sheetFormatPr baseColWidth="8" defaultRowHeight="15"/>
  <cols>
    <col width="2" customWidth="1" min="1" max="1"/>
    <col width="30" customWidth="1" min="2" max="2"/>
    <col width="16" customWidth="1" min="3" max="3"/>
    <col width="2" customWidth="1" min="4" max="4"/>
  </cols>
  <sheetData>
    <row r="1" ht="46" customHeight="1">
      <c r="A1" s="1" t="inlineStr">
        <is>
          <t xml:space="preserve">  💰  MONTHLY INCOME</t>
        </is>
      </c>
    </row>
    <row r="2" ht="22" customHeight="1">
      <c r="A2" s="2" t="inlineStr">
        <is>
          <t xml:space="preserve">  Every paycheck &amp; source — this is the top of your zero-based budget.</t>
        </is>
      </c>
    </row>
    <row r="3" ht="6" customHeight="1">
      <c r="A3" s="3" t="n"/>
      <c r="B3" s="3" t="n"/>
      <c r="C3" s="3" t="n"/>
    </row>
    <row r="4" ht="30" customHeight="1">
      <c r="B4" s="9" t="inlineStr">
        <is>
          <t>Source</t>
        </is>
      </c>
      <c r="C4" s="9" t="inlineStr">
        <is>
          <t>Amount</t>
        </is>
      </c>
    </row>
    <row r="5">
      <c r="B5" s="17" t="inlineStr">
        <is>
          <t>Salary (net)</t>
        </is>
      </c>
      <c r="C5" s="23" t="n">
        <v>4400</v>
      </c>
    </row>
    <row r="6">
      <c r="B6" s="20" t="inlineStr">
        <is>
          <t>Side gig</t>
        </is>
      </c>
      <c r="C6" s="24" t="n">
        <v>600</v>
      </c>
    </row>
    <row r="7">
      <c r="B7" s="17" t="inlineStr">
        <is>
          <t>Other / interest</t>
        </is>
      </c>
      <c r="C7" s="23" t="n">
        <v>200</v>
      </c>
    </row>
    <row r="8">
      <c r="B8" s="9" t="inlineStr">
        <is>
          <t>TOTAL INCOME</t>
        </is>
      </c>
      <c r="C8" s="25">
        <f>SUM(C5:C7)</f>
        <v/>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showGridLines="0" workbookViewId="0">
      <pane ySplit="6" topLeftCell="A7" activePane="bottomLeft" state="frozen"/>
      <selection pane="bottomLeft" activeCell="A1" sqref="A1"/>
    </sheetView>
  </sheetViews>
  <sheetFormatPr baseColWidth="8" defaultRowHeight="15"/>
  <cols>
    <col width="2" customWidth="1" min="1" max="1"/>
    <col width="26" customWidth="1" min="2" max="2"/>
    <col width="16" customWidth="1" min="3" max="3"/>
    <col width="14" customWidth="1" min="4" max="4"/>
    <col width="14" customWidth="1" min="5" max="5"/>
    <col width="14" customWidth="1" min="6" max="6"/>
    <col width="2" customWidth="1" min="7" max="7"/>
  </cols>
  <sheetData>
    <row r="1" ht="46" customHeight="1">
      <c r="A1" s="1" t="inlineStr">
        <is>
          <t xml:space="preserve">  📊  MONTHLY BUDGET (ZERO-BASED)</t>
        </is>
      </c>
    </row>
    <row r="2" ht="22" customHeight="1">
      <c r="A2" s="2" t="inlineStr">
        <is>
          <t xml:space="preserve">  Give every dollar a job — planned vs actual, until 'Left to Budget' hits $0.</t>
        </is>
      </c>
    </row>
    <row r="3" ht="6" customHeight="1">
      <c r="A3" s="3" t="n"/>
      <c r="B3" s="3" t="n"/>
      <c r="C3" s="3" t="n"/>
      <c r="D3" s="3" t="n"/>
      <c r="E3" s="3" t="n"/>
      <c r="F3" s="3" t="n"/>
    </row>
    <row r="5">
      <c r="B5" s="4" t="inlineStr">
        <is>
          <t>INCOME</t>
        </is>
      </c>
      <c r="D5" s="26" t="inlineStr">
        <is>
          <t>Left to budget →</t>
        </is>
      </c>
      <c r="E5" s="27">
        <f>Income-BudgetPlanTotal</f>
        <v/>
      </c>
    </row>
    <row r="6" ht="30" customHeight="1">
      <c r="B6" s="9" t="inlineStr">
        <is>
          <t>Category</t>
        </is>
      </c>
      <c r="C6" s="9" t="inlineStr">
        <is>
          <t>Group</t>
        </is>
      </c>
      <c r="D6" s="9" t="inlineStr">
        <is>
          <t>Planned</t>
        </is>
      </c>
      <c r="E6" s="9" t="inlineStr">
        <is>
          <t>Actual</t>
        </is>
      </c>
      <c r="F6" s="9" t="inlineStr">
        <is>
          <t>Remaining</t>
        </is>
      </c>
    </row>
    <row r="7">
      <c r="B7" s="17" t="inlineStr">
        <is>
          <t>Rent / Mortgage</t>
        </is>
      </c>
      <c r="C7" s="19" t="inlineStr">
        <is>
          <t>Housing</t>
        </is>
      </c>
      <c r="D7" s="23" t="n">
        <v>1500</v>
      </c>
      <c r="E7" s="23" t="n">
        <v>1500</v>
      </c>
      <c r="F7" s="28">
        <f>D7-E7</f>
        <v/>
      </c>
    </row>
    <row r="8">
      <c r="B8" s="20" t="inlineStr">
        <is>
          <t>Utilities</t>
        </is>
      </c>
      <c r="C8" s="22" t="inlineStr">
        <is>
          <t>Utilities</t>
        </is>
      </c>
      <c r="D8" s="24" t="n">
        <v>250</v>
      </c>
      <c r="E8" s="24" t="n">
        <v>238</v>
      </c>
      <c r="F8" s="29">
        <f>D8-E8</f>
        <v/>
      </c>
    </row>
    <row r="9">
      <c r="B9" s="17" t="inlineStr">
        <is>
          <t>Groceries</t>
        </is>
      </c>
      <c r="C9" s="19" t="inlineStr">
        <is>
          <t>Groceries</t>
        </is>
      </c>
      <c r="D9" s="23" t="n">
        <v>600</v>
      </c>
      <c r="E9" s="23" t="n">
        <v>642</v>
      </c>
      <c r="F9" s="28">
        <f>D9-E9</f>
        <v/>
      </c>
    </row>
    <row r="10">
      <c r="B10" s="20" t="inlineStr">
        <is>
          <t>Transportation &amp; gas</t>
        </is>
      </c>
      <c r="C10" s="22" t="inlineStr">
        <is>
          <t>Transportation</t>
        </is>
      </c>
      <c r="D10" s="24" t="n">
        <v>300</v>
      </c>
      <c r="E10" s="24" t="n">
        <v>280</v>
      </c>
      <c r="F10" s="29">
        <f>D10-E10</f>
        <v/>
      </c>
    </row>
    <row r="11">
      <c r="B11" s="17" t="inlineStr">
        <is>
          <t>Insurance</t>
        </is>
      </c>
      <c r="C11" s="19" t="inlineStr">
        <is>
          <t>Insurance</t>
        </is>
      </c>
      <c r="D11" s="23" t="n">
        <v>200</v>
      </c>
      <c r="E11" s="23" t="n">
        <v>200</v>
      </c>
      <c r="F11" s="28">
        <f>D11-E11</f>
        <v/>
      </c>
    </row>
    <row r="12">
      <c r="B12" s="20" t="inlineStr">
        <is>
          <t>Dining &amp; takeout</t>
        </is>
      </c>
      <c r="C12" s="22" t="inlineStr">
        <is>
          <t>Dining &amp; Fun</t>
        </is>
      </c>
      <c r="D12" s="24" t="n">
        <v>250</v>
      </c>
      <c r="E12" s="24" t="n">
        <v>310</v>
      </c>
      <c r="F12" s="29">
        <f>D12-E12</f>
        <v/>
      </c>
    </row>
    <row r="13">
      <c r="B13" s="17" t="inlineStr">
        <is>
          <t>Subscriptions</t>
        </is>
      </c>
      <c r="C13" s="19" t="inlineStr">
        <is>
          <t>Dining &amp; Fun</t>
        </is>
      </c>
      <c r="D13" s="23" t="n">
        <v>80</v>
      </c>
      <c r="E13" s="23" t="n">
        <v>80</v>
      </c>
      <c r="F13" s="28">
        <f>D13-E13</f>
        <v/>
      </c>
    </row>
    <row r="14">
      <c r="B14" s="20" t="inlineStr">
        <is>
          <t>Personal &amp; fun</t>
        </is>
      </c>
      <c r="C14" s="22" t="inlineStr">
        <is>
          <t>Dining &amp; Fun</t>
        </is>
      </c>
      <c r="D14" s="24" t="n">
        <v>200</v>
      </c>
      <c r="E14" s="24" t="n">
        <v>175</v>
      </c>
      <c r="F14" s="29">
        <f>D14-E14</f>
        <v/>
      </c>
    </row>
    <row r="15">
      <c r="B15" s="17" t="inlineStr">
        <is>
          <t>Health &amp; medical</t>
        </is>
      </c>
      <c r="C15" s="19" t="inlineStr">
        <is>
          <t>Health</t>
        </is>
      </c>
      <c r="D15" s="23" t="n">
        <v>150</v>
      </c>
      <c r="E15" s="23" t="n">
        <v>120</v>
      </c>
      <c r="F15" s="28">
        <f>D15-E15</f>
        <v/>
      </c>
    </row>
    <row r="16">
      <c r="B16" s="20" t="inlineStr">
        <is>
          <t>Kids / pets</t>
        </is>
      </c>
      <c r="C16" s="22" t="inlineStr">
        <is>
          <t>Kids / Pets</t>
        </is>
      </c>
      <c r="D16" s="24" t="n">
        <v>170</v>
      </c>
      <c r="E16" s="24" t="n">
        <v>155</v>
      </c>
      <c r="F16" s="29">
        <f>D16-E16</f>
        <v/>
      </c>
    </row>
    <row r="17">
      <c r="B17" s="17" t="inlineStr">
        <is>
          <t>Giving</t>
        </is>
      </c>
      <c r="C17" s="19" t="inlineStr">
        <is>
          <t>Giving</t>
        </is>
      </c>
      <c r="D17" s="23" t="n">
        <v>200</v>
      </c>
      <c r="E17" s="23" t="n">
        <v>200</v>
      </c>
      <c r="F17" s="28">
        <f>D17-E17</f>
        <v/>
      </c>
    </row>
    <row r="18">
      <c r="B18" s="20" t="inlineStr">
        <is>
          <t>Savings &amp; investing</t>
        </is>
      </c>
      <c r="C18" s="22" t="inlineStr">
        <is>
          <t>Savings</t>
        </is>
      </c>
      <c r="D18" s="24" t="n">
        <v>800</v>
      </c>
      <c r="E18" s="24" t="n">
        <v>800</v>
      </c>
      <c r="F18" s="29">
        <f>D18-E18</f>
        <v/>
      </c>
    </row>
    <row r="19">
      <c r="B19" s="17" t="inlineStr">
        <is>
          <t>Extra debt payment</t>
        </is>
      </c>
      <c r="C19" s="19" t="inlineStr">
        <is>
          <t>Debt</t>
        </is>
      </c>
      <c r="D19" s="23" t="n">
        <v>450</v>
      </c>
      <c r="E19" s="23" t="n">
        <v>450</v>
      </c>
      <c r="F19" s="28">
        <f>D19-E19</f>
        <v/>
      </c>
    </row>
    <row r="20">
      <c r="B20" s="20" t="inlineStr">
        <is>
          <t>Sinking funds</t>
        </is>
      </c>
      <c r="C20" s="22" t="inlineStr">
        <is>
          <t>Savings</t>
        </is>
      </c>
      <c r="D20" s="24" t="n">
        <v>50</v>
      </c>
      <c r="E20" s="24" t="n">
        <v>50</v>
      </c>
      <c r="F20" s="29">
        <f>D20-E20</f>
        <v/>
      </c>
    </row>
    <row r="21">
      <c r="B21" s="9" t="inlineStr">
        <is>
          <t>TOTAL</t>
        </is>
      </c>
      <c r="C21" s="30" t="n"/>
      <c r="D21" s="25">
        <f>SUM(D7:D20)</f>
        <v/>
      </c>
      <c r="E21" s="25">
        <f>SUM(E7:E20)</f>
        <v/>
      </c>
      <c r="F21" s="31">
        <f>D21-E21</f>
        <v/>
      </c>
    </row>
  </sheetData>
  <mergeCells count="3">
    <mergeCell ref="A2:F2"/>
    <mergeCell ref="B5:C5"/>
    <mergeCell ref="A1:F1"/>
  </mergeCells>
  <conditionalFormatting sqref="F7:F20">
    <cfRule type="cellIs" priority="1" operator="lessThan" dxfId="0">
      <formula>0</formula>
    </cfRule>
  </conditionalFormatting>
  <conditionalFormatting sqref="E7:E20">
    <cfRule type="dataBar" priority="2">
      <dataBar showValue="1">
        <cfvo type="num" val="0"/>
        <cfvo type="num" val="1500"/>
        <color rgb="001B4F48"/>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26" customWidth="1" min="1" max="1"/>
    <col width="14" customWidth="1" min="2" max="2"/>
    <col width="12" customWidth="1" min="3" max="3"/>
    <col width="14" customWidth="1" min="4" max="4"/>
  </cols>
  <sheetData>
    <row r="1" ht="46" customHeight="1">
      <c r="A1" s="1" t="inlineStr">
        <is>
          <t xml:space="preserve">  🧾  BILL TRACKER</t>
        </is>
      </c>
    </row>
    <row r="2" ht="22" customHeight="1">
      <c r="A2" s="2" t="inlineStr">
        <is>
          <t xml:space="preserve">  Every recurring bill — amount, due day &amp; paid status. Never a late fee again.</t>
        </is>
      </c>
    </row>
    <row r="3" ht="6" customHeight="1">
      <c r="A3" s="3" t="n"/>
      <c r="B3" s="3" t="n"/>
      <c r="C3" s="3" t="n"/>
      <c r="D3" s="3" t="n"/>
    </row>
    <row r="4" ht="30" customHeight="1">
      <c r="A4" s="9" t="inlineStr">
        <is>
          <t>Bill</t>
        </is>
      </c>
      <c r="B4" s="9" t="inlineStr">
        <is>
          <t>Amount</t>
        </is>
      </c>
      <c r="C4" s="9" t="inlineStr">
        <is>
          <t>Due Day</t>
        </is>
      </c>
      <c r="D4" s="9" t="inlineStr">
        <is>
          <t>Status</t>
        </is>
      </c>
    </row>
    <row r="5">
      <c r="A5" s="32" t="inlineStr">
        <is>
          <t>Rent / Mortgage</t>
        </is>
      </c>
      <c r="B5" s="33" t="n">
        <v>1500</v>
      </c>
      <c r="C5" s="34" t="n">
        <v>1</v>
      </c>
      <c r="D5" s="35" t="inlineStr">
        <is>
          <t>Paid</t>
        </is>
      </c>
    </row>
    <row r="6">
      <c r="A6" s="20" t="inlineStr">
        <is>
          <t>Electric</t>
        </is>
      </c>
      <c r="B6" s="36" t="n">
        <v>120</v>
      </c>
      <c r="C6" s="37" t="n">
        <v>8</v>
      </c>
      <c r="D6" s="22" t="inlineStr">
        <is>
          <t>Paid</t>
        </is>
      </c>
    </row>
    <row r="7">
      <c r="A7" s="32" t="inlineStr">
        <is>
          <t>Water / sewer</t>
        </is>
      </c>
      <c r="B7" s="33" t="n">
        <v>45</v>
      </c>
      <c r="C7" s="34" t="n">
        <v>10</v>
      </c>
      <c r="D7" s="35" t="inlineStr">
        <is>
          <t>Paid</t>
        </is>
      </c>
    </row>
    <row r="8">
      <c r="A8" s="20" t="inlineStr">
        <is>
          <t>Internet</t>
        </is>
      </c>
      <c r="B8" s="36" t="n">
        <v>70</v>
      </c>
      <c r="C8" s="37" t="n">
        <v>12</v>
      </c>
      <c r="D8" s="22" t="inlineStr">
        <is>
          <t>Paid</t>
        </is>
      </c>
    </row>
    <row r="9">
      <c r="A9" s="32" t="inlineStr">
        <is>
          <t>Phone</t>
        </is>
      </c>
      <c r="B9" s="33" t="n">
        <v>90</v>
      </c>
      <c r="C9" s="34" t="n">
        <v>15</v>
      </c>
      <c r="D9" s="35" t="inlineStr">
        <is>
          <t>Paid</t>
        </is>
      </c>
    </row>
    <row r="10">
      <c r="A10" s="20" t="inlineStr">
        <is>
          <t>Car insurance</t>
        </is>
      </c>
      <c r="B10" s="36" t="n">
        <v>140</v>
      </c>
      <c r="C10" s="37" t="n">
        <v>18</v>
      </c>
      <c r="D10" s="22" t="inlineStr">
        <is>
          <t>Paid</t>
        </is>
      </c>
    </row>
    <row r="11">
      <c r="A11" s="32" t="inlineStr">
        <is>
          <t>Streaming bundle</t>
        </is>
      </c>
      <c r="B11" s="33" t="n">
        <v>25</v>
      </c>
      <c r="C11" s="34" t="n">
        <v>20</v>
      </c>
      <c r="D11" s="35" t="inlineStr">
        <is>
          <t>Paid</t>
        </is>
      </c>
    </row>
    <row r="12">
      <c r="A12" s="20" t="inlineStr">
        <is>
          <t>Credit card (min)</t>
        </is>
      </c>
      <c r="B12" s="36" t="n">
        <v>80</v>
      </c>
      <c r="C12" s="37" t="n">
        <v>22</v>
      </c>
      <c r="D12" s="22" t="inlineStr">
        <is>
          <t>Paid</t>
        </is>
      </c>
    </row>
    <row r="13">
      <c r="A13" s="32" t="inlineStr">
        <is>
          <t>Gym</t>
        </is>
      </c>
      <c r="B13" s="33" t="n">
        <v>20</v>
      </c>
      <c r="C13" s="34" t="n">
        <v>25</v>
      </c>
      <c r="D13" s="35" t="inlineStr">
        <is>
          <t>Due</t>
        </is>
      </c>
    </row>
    <row r="14">
      <c r="A14" s="20" t="inlineStr">
        <is>
          <t>Student loan</t>
        </is>
      </c>
      <c r="B14" s="36" t="n">
        <v>210</v>
      </c>
      <c r="C14" s="37" t="n">
        <v>28</v>
      </c>
      <c r="D14" s="22" t="inlineStr">
        <is>
          <t>Due</t>
        </is>
      </c>
    </row>
    <row r="15">
      <c r="A15" s="32" t="n"/>
      <c r="B15" s="33" t="n"/>
      <c r="C15" s="34" t="n"/>
      <c r="D15" s="35" t="n"/>
    </row>
    <row r="16">
      <c r="A16" s="20" t="n"/>
      <c r="B16" s="36" t="n"/>
      <c r="C16" s="37" t="n"/>
      <c r="D16" s="22" t="n"/>
    </row>
    <row r="17">
      <c r="A17" s="32" t="n"/>
      <c r="B17" s="33" t="n"/>
      <c r="C17" s="34" t="n"/>
      <c r="D17" s="35" t="n"/>
    </row>
    <row r="18">
      <c r="A18" s="20" t="n"/>
      <c r="B18" s="36" t="n"/>
      <c r="C18" s="37" t="n"/>
      <c r="D18" s="22" t="n"/>
    </row>
    <row r="19">
      <c r="A19" s="32" t="n"/>
      <c r="B19" s="33" t="n"/>
      <c r="C19" s="34" t="n"/>
      <c r="D19" s="35" t="n"/>
    </row>
    <row r="20">
      <c r="A20" s="20" t="n"/>
      <c r="B20" s="36" t="n"/>
      <c r="C20" s="37" t="n"/>
      <c r="D20" s="22" t="n"/>
    </row>
    <row r="21">
      <c r="A21" s="32" t="n"/>
      <c r="B21" s="33" t="n"/>
      <c r="C21" s="34" t="n"/>
      <c r="D21" s="35" t="n"/>
    </row>
    <row r="22">
      <c r="A22" s="20" t="n"/>
      <c r="B22" s="36" t="n"/>
      <c r="C22" s="37" t="n"/>
      <c r="D22" s="22" t="n"/>
    </row>
    <row r="23">
      <c r="A23" s="32" t="n"/>
      <c r="B23" s="33" t="n"/>
      <c r="C23" s="34" t="n"/>
      <c r="D23" s="35" t="n"/>
    </row>
    <row r="24">
      <c r="A24" s="20" t="n"/>
      <c r="B24" s="36" t="n"/>
      <c r="C24" s="37" t="n"/>
      <c r="D24" s="22" t="n"/>
    </row>
    <row r="25">
      <c r="A25" s="32" t="n"/>
      <c r="B25" s="33" t="n"/>
      <c r="C25" s="34" t="n"/>
      <c r="D25" s="35" t="n"/>
    </row>
    <row r="26">
      <c r="A26" s="20" t="n"/>
      <c r="B26" s="36" t="n"/>
      <c r="C26" s="37" t="n"/>
      <c r="D26" s="22" t="n"/>
    </row>
    <row r="27">
      <c r="A27" s="32" t="n"/>
      <c r="B27" s="33" t="n"/>
      <c r="C27" s="34" t="n"/>
      <c r="D27" s="35" t="n"/>
    </row>
    <row r="28">
      <c r="A28" s="20" t="n"/>
      <c r="B28" s="36" t="n"/>
      <c r="C28" s="37" t="n"/>
      <c r="D28" s="22" t="n"/>
    </row>
    <row r="29">
      <c r="A29" s="9" t="inlineStr">
        <is>
          <t>MONTHLY BILLS</t>
        </is>
      </c>
      <c r="B29" s="25">
        <f>SUM(BillAmount)</f>
        <v/>
      </c>
      <c r="C29" s="30" t="n"/>
      <c r="D29" s="30" t="n"/>
    </row>
  </sheetData>
  <mergeCells count="2">
    <mergeCell ref="A1:D1"/>
    <mergeCell ref="A2:D2"/>
  </mergeCells>
  <conditionalFormatting sqref="D5:D28">
    <cfRule type="cellIs" priority="1" operator="equal" dxfId="1">
      <formula>"Paid"</formula>
    </cfRule>
    <cfRule type="cellIs" priority="2" operator="equal" dxfId="2">
      <formula>"Due"</formula>
    </cfRule>
    <cfRule type="cellIs" priority="3" operator="equal" dxfId="0">
      <formula>"Overdue"</formula>
    </cfRule>
  </conditionalFormatting>
  <dataValidations count="1">
    <dataValidation sqref="D5:D28" showDropDown="0" showInputMessage="0" showErrorMessage="0" allowBlank="1" type="list">
      <formula1>=PaidList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14" customWidth="1" min="1" max="1"/>
    <col width="26" customWidth="1" min="2" max="2"/>
    <col width="18" customWidth="1" min="3" max="3"/>
    <col width="14" customWidth="1" min="4" max="4"/>
  </cols>
  <sheetData>
    <row r="1" ht="46" customHeight="1">
      <c r="A1" s="1" t="inlineStr">
        <is>
          <t xml:space="preserve">  🧮  EXPENSE LOG</t>
        </is>
      </c>
    </row>
    <row r="2" ht="22" customHeight="1">
      <c r="A2" s="2" t="inlineStr">
        <is>
          <t xml:space="preserve">  Every transaction, tagged to a category — the raw data behind your actual spending.</t>
        </is>
      </c>
    </row>
    <row r="3" ht="6" customHeight="1">
      <c r="A3" s="3" t="n"/>
      <c r="B3" s="3" t="n"/>
      <c r="C3" s="3" t="n"/>
      <c r="D3" s="3" t="n"/>
    </row>
    <row r="4" ht="30" customHeight="1">
      <c r="A4" s="9" t="inlineStr">
        <is>
          <t>Date</t>
        </is>
      </c>
      <c r="B4" s="9" t="inlineStr">
        <is>
          <t>Merchant</t>
        </is>
      </c>
      <c r="C4" s="9" t="inlineStr">
        <is>
          <t>Category</t>
        </is>
      </c>
      <c r="D4" s="9" t="inlineStr">
        <is>
          <t>Amount</t>
        </is>
      </c>
    </row>
    <row r="5">
      <c r="A5" s="38" t="n">
        <v>46223</v>
      </c>
      <c r="B5" s="32" t="inlineStr">
        <is>
          <t>Grocery Market</t>
        </is>
      </c>
      <c r="C5" s="35" t="inlineStr">
        <is>
          <t>Groceries</t>
        </is>
      </c>
      <c r="D5" s="33" t="n">
        <v>82</v>
      </c>
    </row>
    <row r="6">
      <c r="A6" s="39" t="n">
        <v>46222</v>
      </c>
      <c r="B6" s="20" t="inlineStr">
        <is>
          <t>Gas Station</t>
        </is>
      </c>
      <c r="C6" s="22" t="inlineStr">
        <is>
          <t>Transportation</t>
        </is>
      </c>
      <c r="D6" s="36" t="n">
        <v>44</v>
      </c>
    </row>
    <row r="7">
      <c r="A7" s="38" t="n">
        <v>46221</v>
      </c>
      <c r="B7" s="32" t="inlineStr">
        <is>
          <t>Coffee &amp; lunch</t>
        </is>
      </c>
      <c r="C7" s="35" t="inlineStr">
        <is>
          <t>Dining &amp; Fun</t>
        </is>
      </c>
      <c r="D7" s="33" t="n">
        <v>28</v>
      </c>
    </row>
    <row r="8">
      <c r="A8" s="39" t="n">
        <v>46220</v>
      </c>
      <c r="B8" s="20" t="inlineStr">
        <is>
          <t>Pharmacy</t>
        </is>
      </c>
      <c r="C8" s="22" t="inlineStr">
        <is>
          <t>Health</t>
        </is>
      </c>
      <c r="D8" s="36" t="n">
        <v>36</v>
      </c>
    </row>
    <row r="9">
      <c r="A9" s="38" t="n">
        <v>46219</v>
      </c>
      <c r="B9" s="32" t="inlineStr">
        <is>
          <t>Online order</t>
        </is>
      </c>
      <c r="C9" s="35" t="inlineStr">
        <is>
          <t>Kids / Pets</t>
        </is>
      </c>
      <c r="D9" s="33" t="n">
        <v>41</v>
      </c>
    </row>
    <row r="10">
      <c r="A10" s="39" t="n">
        <v>46218</v>
      </c>
      <c r="B10" s="20" t="inlineStr">
        <is>
          <t>Restaurant</t>
        </is>
      </c>
      <c r="C10" s="22" t="inlineStr">
        <is>
          <t>Dining &amp; Fun</t>
        </is>
      </c>
      <c r="D10" s="36" t="n">
        <v>64</v>
      </c>
    </row>
    <row r="11">
      <c r="A11" s="38" t="n">
        <v>46217</v>
      </c>
      <c r="B11" s="32" t="inlineStr">
        <is>
          <t>Grocery Market</t>
        </is>
      </c>
      <c r="C11" s="35" t="inlineStr">
        <is>
          <t>Groceries</t>
        </is>
      </c>
      <c r="D11" s="33" t="n">
        <v>96</v>
      </c>
    </row>
    <row r="12">
      <c r="A12" s="39" t="n">
        <v>46216</v>
      </c>
      <c r="B12" s="20" t="inlineStr">
        <is>
          <t>Utilities autopay</t>
        </is>
      </c>
      <c r="C12" s="22" t="inlineStr">
        <is>
          <t>Utilities</t>
        </is>
      </c>
      <c r="D12" s="36" t="n">
        <v>238</v>
      </c>
    </row>
    <row r="13">
      <c r="A13" s="38" t="n">
        <v>46215</v>
      </c>
      <c r="B13" s="32" t="inlineStr">
        <is>
          <t>Streaming</t>
        </is>
      </c>
      <c r="C13" s="35" t="inlineStr">
        <is>
          <t>Dining &amp; Fun</t>
        </is>
      </c>
      <c r="D13" s="33" t="n">
        <v>25</v>
      </c>
    </row>
    <row r="14">
      <c r="A14" s="39" t="n">
        <v>46214</v>
      </c>
      <c r="B14" s="20" t="inlineStr">
        <is>
          <t>Hardware store</t>
        </is>
      </c>
      <c r="C14" s="22" t="inlineStr">
        <is>
          <t>Housing</t>
        </is>
      </c>
      <c r="D14" s="36" t="n">
        <v>34</v>
      </c>
    </row>
    <row r="15">
      <c r="A15" s="38" t="n">
        <v>46212</v>
      </c>
      <c r="B15" s="32" t="inlineStr">
        <is>
          <t>Grocery Market</t>
        </is>
      </c>
      <c r="C15" s="35" t="inlineStr">
        <is>
          <t>Groceries</t>
        </is>
      </c>
      <c r="D15" s="33" t="n">
        <v>78</v>
      </c>
    </row>
    <row r="16">
      <c r="A16" s="39" t="n">
        <v>46210</v>
      </c>
      <c r="B16" s="20" t="inlineStr">
        <is>
          <t>Pet supplies</t>
        </is>
      </c>
      <c r="C16" s="22" t="inlineStr">
        <is>
          <t>Kids / Pets</t>
        </is>
      </c>
      <c r="D16" s="36" t="n">
        <v>52</v>
      </c>
    </row>
    <row r="17">
      <c r="A17" s="38" t="n">
        <v>46209</v>
      </c>
      <c r="B17" s="32" t="inlineStr">
        <is>
          <t>Gas Station</t>
        </is>
      </c>
      <c r="C17" s="35" t="inlineStr">
        <is>
          <t>Transportation</t>
        </is>
      </c>
      <c r="D17" s="33" t="n">
        <v>47</v>
      </c>
    </row>
    <row r="18">
      <c r="A18" s="39" t="n">
        <v>46206</v>
      </c>
      <c r="B18" s="20" t="inlineStr">
        <is>
          <t>Gift</t>
        </is>
      </c>
      <c r="C18" s="22" t="inlineStr">
        <is>
          <t>Giving</t>
        </is>
      </c>
      <c r="D18" s="36" t="n">
        <v>40</v>
      </c>
    </row>
    <row r="19">
      <c r="A19" s="38" t="n">
        <v>46204</v>
      </c>
      <c r="B19" s="32" t="inlineStr">
        <is>
          <t>Grocery Market</t>
        </is>
      </c>
      <c r="C19" s="35" t="inlineStr">
        <is>
          <t>Groceries</t>
        </is>
      </c>
      <c r="D19" s="33" t="n">
        <v>88</v>
      </c>
    </row>
    <row r="20">
      <c r="A20" s="39" t="n"/>
      <c r="B20" s="20" t="n"/>
      <c r="C20" s="22" t="n"/>
      <c r="D20" s="36" t="n"/>
    </row>
    <row r="21">
      <c r="A21" s="38" t="n"/>
      <c r="B21" s="32" t="n"/>
      <c r="C21" s="35" t="n"/>
      <c r="D21" s="33" t="n"/>
    </row>
    <row r="22">
      <c r="A22" s="39" t="n"/>
      <c r="B22" s="20" t="n"/>
      <c r="C22" s="22" t="n"/>
      <c r="D22" s="36" t="n"/>
    </row>
    <row r="23">
      <c r="A23" s="38" t="n"/>
      <c r="B23" s="32" t="n"/>
      <c r="C23" s="35" t="n"/>
      <c r="D23" s="33" t="n"/>
    </row>
    <row r="24">
      <c r="A24" s="39" t="n"/>
      <c r="B24" s="20" t="n"/>
      <c r="C24" s="22" t="n"/>
      <c r="D24" s="36" t="n"/>
    </row>
    <row r="25">
      <c r="A25" s="38" t="n"/>
      <c r="B25" s="32" t="n"/>
      <c r="C25" s="35" t="n"/>
      <c r="D25" s="33" t="n"/>
    </row>
    <row r="26">
      <c r="A26" s="39" t="n"/>
      <c r="B26" s="20" t="n"/>
      <c r="C26" s="22" t="n"/>
      <c r="D26" s="36" t="n"/>
    </row>
    <row r="27">
      <c r="A27" s="38" t="n"/>
      <c r="B27" s="32" t="n"/>
      <c r="C27" s="35" t="n"/>
      <c r="D27" s="33" t="n"/>
    </row>
    <row r="28">
      <c r="A28" s="39" t="n"/>
      <c r="B28" s="20" t="n"/>
      <c r="C28" s="22" t="n"/>
      <c r="D28" s="36" t="n"/>
    </row>
    <row r="29">
      <c r="A29" s="38" t="n"/>
      <c r="B29" s="32" t="n"/>
      <c r="C29" s="35" t="n"/>
      <c r="D29" s="33" t="n"/>
    </row>
    <row r="30">
      <c r="A30" s="39" t="n"/>
      <c r="B30" s="20" t="n"/>
      <c r="C30" s="22" t="n"/>
      <c r="D30" s="36" t="n"/>
    </row>
    <row r="31">
      <c r="A31" s="38" t="n"/>
      <c r="B31" s="32" t="n"/>
      <c r="C31" s="35" t="n"/>
      <c r="D31" s="33" t="n"/>
    </row>
    <row r="32">
      <c r="A32" s="39" t="n"/>
      <c r="B32" s="20" t="n"/>
      <c r="C32" s="22" t="n"/>
      <c r="D32" s="36" t="n"/>
    </row>
    <row r="33">
      <c r="A33" s="38" t="n"/>
      <c r="B33" s="32" t="n"/>
      <c r="C33" s="35" t="n"/>
      <c r="D33" s="33" t="n"/>
    </row>
    <row r="34">
      <c r="A34" s="39" t="n"/>
      <c r="B34" s="20" t="n"/>
      <c r="C34" s="22" t="n"/>
      <c r="D34" s="36" t="n"/>
    </row>
    <row r="35">
      <c r="A35" s="38" t="n"/>
      <c r="B35" s="32" t="n"/>
      <c r="C35" s="35" t="n"/>
      <c r="D35" s="33" t="n"/>
    </row>
    <row r="36">
      <c r="A36" s="39" t="n"/>
      <c r="B36" s="20" t="n"/>
      <c r="C36" s="22" t="n"/>
      <c r="D36" s="36" t="n"/>
    </row>
    <row r="37">
      <c r="A37" s="38" t="n"/>
      <c r="B37" s="32" t="n"/>
      <c r="C37" s="35" t="n"/>
      <c r="D37" s="33" t="n"/>
    </row>
    <row r="38">
      <c r="A38" s="39" t="n"/>
      <c r="B38" s="20" t="n"/>
      <c r="C38" s="22" t="n"/>
      <c r="D38" s="36" t="n"/>
    </row>
    <row r="39">
      <c r="A39" s="38" t="n"/>
      <c r="B39" s="32" t="n"/>
      <c r="C39" s="35" t="n"/>
      <c r="D39" s="33" t="n"/>
    </row>
    <row r="40">
      <c r="A40" s="39" t="n"/>
      <c r="B40" s="20" t="n"/>
      <c r="C40" s="22" t="n"/>
      <c r="D40" s="36" t="n"/>
    </row>
    <row r="41">
      <c r="A41" s="38" t="n"/>
      <c r="B41" s="32" t="n"/>
      <c r="C41" s="35" t="n"/>
      <c r="D41" s="33" t="n"/>
    </row>
    <row r="42">
      <c r="A42" s="39" t="n"/>
      <c r="B42" s="20" t="n"/>
      <c r="C42" s="22" t="n"/>
      <c r="D42" s="36" t="n"/>
    </row>
    <row r="43">
      <c r="A43" s="38" t="n"/>
      <c r="B43" s="32" t="n"/>
      <c r="C43" s="35" t="n"/>
      <c r="D43" s="33" t="n"/>
    </row>
    <row r="44">
      <c r="A44" s="39" t="n"/>
      <c r="B44" s="20" t="n"/>
      <c r="C44" s="22" t="n"/>
      <c r="D44" s="36" t="n"/>
    </row>
    <row r="45">
      <c r="A45" s="38" t="n"/>
      <c r="B45" s="32" t="n"/>
      <c r="C45" s="35" t="n"/>
      <c r="D45" s="33" t="n"/>
    </row>
    <row r="46">
      <c r="A46" s="39" t="n"/>
      <c r="B46" s="20" t="n"/>
      <c r="C46" s="22" t="n"/>
      <c r="D46" s="36" t="n"/>
    </row>
    <row r="47">
      <c r="A47" s="38" t="n"/>
      <c r="B47" s="32" t="n"/>
      <c r="C47" s="35" t="n"/>
      <c r="D47" s="33" t="n"/>
    </row>
    <row r="48">
      <c r="A48" s="39" t="n"/>
      <c r="B48" s="20" t="n"/>
      <c r="C48" s="22" t="n"/>
      <c r="D48" s="36" t="n"/>
    </row>
    <row r="49">
      <c r="A49" s="38" t="n"/>
      <c r="B49" s="32" t="n"/>
      <c r="C49" s="35" t="n"/>
      <c r="D49" s="33" t="n"/>
    </row>
    <row r="50">
      <c r="A50" s="39" t="n"/>
      <c r="B50" s="20" t="n"/>
      <c r="C50" s="22" t="n"/>
      <c r="D50" s="36" t="n"/>
    </row>
    <row r="51">
      <c r="A51" s="38" t="n"/>
      <c r="B51" s="32" t="n"/>
      <c r="C51" s="35" t="n"/>
      <c r="D51" s="33" t="n"/>
    </row>
    <row r="52">
      <c r="A52" s="39" t="n"/>
      <c r="B52" s="20" t="n"/>
      <c r="C52" s="22" t="n"/>
      <c r="D52" s="36" t="n"/>
    </row>
    <row r="53">
      <c r="A53" s="38" t="n"/>
      <c r="B53" s="32" t="n"/>
      <c r="C53" s="35" t="n"/>
      <c r="D53" s="33" t="n"/>
    </row>
    <row r="54">
      <c r="A54" s="39" t="n"/>
      <c r="B54" s="20" t="n"/>
      <c r="C54" s="22" t="n"/>
      <c r="D54" s="36" t="n"/>
    </row>
    <row r="55">
      <c r="A55" s="38" t="n"/>
      <c r="B55" s="32" t="n"/>
      <c r="C55" s="35" t="n"/>
      <c r="D55" s="33" t="n"/>
    </row>
    <row r="56">
      <c r="A56" s="39" t="n"/>
      <c r="B56" s="20" t="n"/>
      <c r="C56" s="22" t="n"/>
      <c r="D56" s="36" t="n"/>
    </row>
    <row r="57">
      <c r="A57" s="38" t="n"/>
      <c r="B57" s="32" t="n"/>
      <c r="C57" s="35" t="n"/>
      <c r="D57" s="33" t="n"/>
    </row>
    <row r="58">
      <c r="A58" s="39" t="n"/>
      <c r="B58" s="20" t="n"/>
      <c r="C58" s="22" t="n"/>
      <c r="D58" s="36" t="n"/>
    </row>
    <row r="59">
      <c r="A59" s="38" t="n"/>
      <c r="B59" s="32" t="n"/>
      <c r="C59" s="35" t="n"/>
      <c r="D59" s="33" t="n"/>
    </row>
    <row r="60">
      <c r="A60" s="39" t="n"/>
      <c r="B60" s="20" t="n"/>
      <c r="C60" s="22" t="n"/>
      <c r="D60" s="36" t="n"/>
    </row>
    <row r="61">
      <c r="A61" s="38" t="n"/>
      <c r="B61" s="32" t="n"/>
      <c r="C61" s="35" t="n"/>
      <c r="D61" s="33" t="n"/>
    </row>
    <row r="62">
      <c r="A62" s="39" t="n"/>
      <c r="B62" s="20" t="n"/>
      <c r="C62" s="22" t="n"/>
      <c r="D62" s="36" t="n"/>
    </row>
    <row r="63">
      <c r="A63" s="38" t="n"/>
      <c r="B63" s="32" t="n"/>
      <c r="C63" s="35" t="n"/>
      <c r="D63" s="33" t="n"/>
    </row>
    <row r="64">
      <c r="A64" s="39" t="n"/>
      <c r="B64" s="20" t="n"/>
      <c r="C64" s="22" t="n"/>
      <c r="D64" s="36" t="n"/>
    </row>
  </sheetData>
  <mergeCells count="2">
    <mergeCell ref="A1:D1"/>
    <mergeCell ref="A2:D2"/>
  </mergeCells>
  <dataValidations count="1">
    <dataValidation sqref="C5:C64" showDropDown="0" showInputMessage="0" showErrorMessage="0" allowBlank="1" type="list">
      <formula1>=CategoryList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2" customWidth="1" min="1" max="1"/>
    <col width="28" customWidth="1" min="2" max="2"/>
    <col width="16" customWidth="1" min="3" max="3"/>
    <col width="16" customWidth="1" min="4" max="4"/>
    <col width="12" customWidth="1" min="5" max="5"/>
    <col width="2" customWidth="1" min="6" max="6"/>
  </cols>
  <sheetData>
    <row r="1" ht="46" customHeight="1">
      <c r="A1" s="1" t="inlineStr">
        <is>
          <t xml:space="preserve">  🎯  SAVINGS GOALS</t>
        </is>
      </c>
    </row>
    <row r="2" ht="22" customHeight="1">
      <c r="A2" s="2" t="inlineStr">
        <is>
          <t xml:space="preserve">  Every goal with its target &amp; progress — a full bar is a very good day.</t>
        </is>
      </c>
    </row>
    <row r="3" ht="6" customHeight="1">
      <c r="A3" s="3" t="n"/>
      <c r="B3" s="3" t="n"/>
      <c r="C3" s="3" t="n"/>
      <c r="D3" s="3" t="n"/>
      <c r="E3" s="3" t="n"/>
    </row>
    <row r="4" ht="30" customHeight="1">
      <c r="B4" s="9" t="inlineStr">
        <is>
          <t>Goal</t>
        </is>
      </c>
      <c r="C4" s="9" t="inlineStr">
        <is>
          <t>Target</t>
        </is>
      </c>
      <c r="D4" s="9" t="inlineStr">
        <is>
          <t>Saved</t>
        </is>
      </c>
      <c r="E4" s="9" t="inlineStr">
        <is>
          <t>Progress</t>
        </is>
      </c>
    </row>
    <row r="5">
      <c r="B5" s="17" t="inlineStr">
        <is>
          <t>Emergency Fund (6 mo)</t>
        </is>
      </c>
      <c r="C5" s="23" t="n">
        <v>15000</v>
      </c>
      <c r="D5" s="23" t="n">
        <v>9500</v>
      </c>
      <c r="E5" s="18">
        <f>IFERROR(D5/C5,0)</f>
        <v/>
      </c>
    </row>
    <row r="6">
      <c r="B6" s="20" t="inlineStr">
        <is>
          <t>Vacation Fund</t>
        </is>
      </c>
      <c r="C6" s="24" t="n">
        <v>3000</v>
      </c>
      <c r="D6" s="24" t="n">
        <v>1800</v>
      </c>
      <c r="E6" s="21">
        <f>IFERROR(D6/C6,0)</f>
        <v/>
      </c>
    </row>
    <row r="7">
      <c r="B7" s="17" t="inlineStr">
        <is>
          <t>New Car Fund</t>
        </is>
      </c>
      <c r="C7" s="23" t="n">
        <v>10000</v>
      </c>
      <c r="D7" s="23" t="n">
        <v>2200</v>
      </c>
      <c r="E7" s="18">
        <f>IFERROR(D7/C7,0)</f>
        <v/>
      </c>
    </row>
    <row r="8">
      <c r="B8" s="20" t="inlineStr">
        <is>
          <t>Home Projects</t>
        </is>
      </c>
      <c r="C8" s="24" t="n">
        <v>5000</v>
      </c>
      <c r="D8" s="24" t="n">
        <v>3400</v>
      </c>
      <c r="E8" s="21">
        <f>IFERROR(D8/C8,0)</f>
        <v/>
      </c>
    </row>
  </sheetData>
  <mergeCells count="2">
    <mergeCell ref="A2:E2"/>
    <mergeCell ref="A1:E1"/>
  </mergeCells>
  <conditionalFormatting sqref="E5:E8">
    <cfRule type="dataBar" priority="1">
      <dataBar showValue="1">
        <cfvo type="num" val="0"/>
        <cfvo type="num" val="1"/>
        <color rgb="001B4F48"/>
      </dataBar>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5"/>
  <sheetViews>
    <sheetView showGridLines="0" workbookViewId="0">
      <pane ySplit="4" topLeftCell="A5" activePane="bottomLeft" state="frozen"/>
      <selection pane="bottomLeft" activeCell="A1" sqref="A1"/>
    </sheetView>
  </sheetViews>
  <sheetFormatPr baseColWidth="8" defaultRowHeight="15"/>
  <cols>
    <col width="28" customWidth="1" min="1" max="1"/>
    <col width="14" customWidth="1" min="2" max="2"/>
    <col width="14" customWidth="1" min="3" max="3"/>
  </cols>
  <sheetData>
    <row r="1" ht="46" customHeight="1">
      <c r="A1" s="1" t="inlineStr">
        <is>
          <t xml:space="preserve">  🪙  SINKING FUNDS</t>
        </is>
      </c>
    </row>
    <row r="2" ht="22" customHeight="1">
      <c r="A2" s="2" t="inlineStr">
        <is>
          <t xml:space="preserve">  Save a little each month for the big irregular costs — so they never wreck a budget.</t>
        </is>
      </c>
    </row>
    <row r="3" ht="6" customHeight="1">
      <c r="A3" s="3" t="n"/>
      <c r="B3" s="3" t="n"/>
      <c r="C3" s="3" t="n"/>
    </row>
    <row r="4" ht="30" customHeight="1">
      <c r="A4" s="9" t="inlineStr">
        <is>
          <t>Fund</t>
        </is>
      </c>
      <c r="B4" s="9" t="inlineStr">
        <is>
          <t>Monthly</t>
        </is>
      </c>
      <c r="C4" s="9" t="inlineStr">
        <is>
          <t>Balance</t>
        </is>
      </c>
    </row>
    <row r="5">
      <c r="A5" s="32" t="inlineStr">
        <is>
          <t>Car maintenance</t>
        </is>
      </c>
      <c r="B5" s="33" t="n">
        <v>60</v>
      </c>
      <c r="C5" s="33" t="n">
        <v>600</v>
      </c>
    </row>
    <row r="6">
      <c r="A6" s="20" t="inlineStr">
        <is>
          <t>Gifts &amp; holidays</t>
        </is>
      </c>
      <c r="B6" s="36" t="n">
        <v>50</v>
      </c>
      <c r="C6" s="36" t="n">
        <v>450</v>
      </c>
    </row>
    <row r="7">
      <c r="A7" s="32" t="inlineStr">
        <is>
          <t>Annual subscriptions</t>
        </is>
      </c>
      <c r="B7" s="33" t="n">
        <v>15</v>
      </c>
      <c r="C7" s="33" t="n">
        <v>180</v>
      </c>
    </row>
    <row r="8">
      <c r="A8" s="20" t="inlineStr">
        <is>
          <t>Medical / dental</t>
        </is>
      </c>
      <c r="B8" s="36" t="n">
        <v>30</v>
      </c>
      <c r="C8" s="36" t="n">
        <v>300</v>
      </c>
    </row>
    <row r="9">
      <c r="A9" s="32" t="inlineStr">
        <is>
          <t>Pet care</t>
        </is>
      </c>
      <c r="B9" s="33" t="n">
        <v>20</v>
      </c>
      <c r="C9" s="33" t="n">
        <v>120</v>
      </c>
    </row>
    <row r="10">
      <c r="A10" s="20" t="n"/>
      <c r="B10" s="36" t="n"/>
      <c r="C10" s="36" t="n"/>
    </row>
    <row r="11">
      <c r="A11" s="32" t="n"/>
      <c r="B11" s="33" t="n"/>
      <c r="C11" s="33" t="n"/>
    </row>
    <row r="12">
      <c r="A12" s="20" t="n"/>
      <c r="B12" s="36" t="n"/>
      <c r="C12" s="36" t="n"/>
    </row>
    <row r="13">
      <c r="A13" s="32" t="n"/>
      <c r="B13" s="33" t="n"/>
      <c r="C13" s="33" t="n"/>
    </row>
    <row r="14">
      <c r="A14" s="20" t="n"/>
      <c r="B14" s="36" t="n"/>
      <c r="C14" s="36" t="n"/>
    </row>
    <row r="15">
      <c r="A15" s="32" t="n"/>
      <c r="B15" s="33" t="n"/>
      <c r="C15" s="33" t="n"/>
    </row>
    <row r="16">
      <c r="A16" s="20" t="n"/>
      <c r="B16" s="36" t="n"/>
      <c r="C16" s="36" t="n"/>
    </row>
    <row r="17">
      <c r="A17" s="32" t="n"/>
      <c r="B17" s="33" t="n"/>
      <c r="C17" s="33" t="n"/>
    </row>
    <row r="18">
      <c r="A18" s="20" t="n"/>
      <c r="B18" s="36" t="n"/>
      <c r="C18" s="36" t="n"/>
    </row>
    <row r="19">
      <c r="A19" s="32" t="n"/>
      <c r="B19" s="33" t="n"/>
      <c r="C19" s="33" t="n"/>
    </row>
    <row r="20">
      <c r="A20" s="20" t="n"/>
      <c r="B20" s="36" t="n"/>
      <c r="C20" s="36" t="n"/>
    </row>
    <row r="21">
      <c r="A21" s="32" t="n"/>
      <c r="B21" s="33" t="n"/>
      <c r="C21" s="33" t="n"/>
    </row>
    <row r="22">
      <c r="A22" s="20" t="n"/>
      <c r="B22" s="36" t="n"/>
      <c r="C22" s="36" t="n"/>
    </row>
    <row r="23">
      <c r="A23" s="32" t="n"/>
      <c r="B23" s="33" t="n"/>
      <c r="C23" s="33" t="n"/>
    </row>
    <row r="24">
      <c r="A24" s="20" t="n"/>
      <c r="B24" s="36" t="n"/>
      <c r="C24" s="36" t="n"/>
    </row>
    <row r="25">
      <c r="A25" s="9" t="inlineStr">
        <is>
          <t>TOTAL SET ASIDE</t>
        </is>
      </c>
      <c r="B25" s="30" t="n"/>
      <c r="C25" s="25">
        <f>SUM(SinkBalance)</f>
        <v/>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16" customWidth="1" min="3" max="3"/>
    <col width="12" customWidth="1" min="4" max="4"/>
    <col width="14" customWidth="1" min="5" max="5"/>
    <col width="2" customWidth="1" min="6" max="6"/>
  </cols>
  <sheetData>
    <row r="1" ht="46" customHeight="1">
      <c r="A1" s="1" t="inlineStr">
        <is>
          <t xml:space="preserve">  💳  DEBT SNAPSHOT</t>
        </is>
      </c>
    </row>
    <row r="2" ht="22" customHeight="1">
      <c r="A2" s="2" t="inlineStr">
        <is>
          <t xml:space="preserve">  What you owe, at a glance — balance, rate &amp; minimum. Attack the highest rate first.</t>
        </is>
      </c>
    </row>
    <row r="3" ht="6" customHeight="1">
      <c r="A3" s="3" t="n"/>
      <c r="B3" s="3" t="n"/>
      <c r="C3" s="3" t="n"/>
      <c r="D3" s="3" t="n"/>
      <c r="E3" s="3" t="n"/>
    </row>
    <row r="4" ht="30" customHeight="1">
      <c r="B4" s="9" t="inlineStr">
        <is>
          <t>Debt</t>
        </is>
      </c>
      <c r="C4" s="9" t="inlineStr">
        <is>
          <t>Balance</t>
        </is>
      </c>
      <c r="D4" s="9" t="inlineStr">
        <is>
          <t>APR</t>
        </is>
      </c>
      <c r="E4" s="9" t="inlineStr">
        <is>
          <t>Min Payment</t>
        </is>
      </c>
    </row>
    <row r="5">
      <c r="B5" s="17" t="inlineStr">
        <is>
          <t>Credit Card</t>
        </is>
      </c>
      <c r="C5" s="23" t="n">
        <v>3200</v>
      </c>
      <c r="D5" s="40" t="n">
        <v>0.199</v>
      </c>
      <c r="E5" s="23" t="n">
        <v>80</v>
      </c>
    </row>
    <row r="6">
      <c r="B6" s="20" t="inlineStr">
        <is>
          <t>Student Loan</t>
        </is>
      </c>
      <c r="C6" s="24" t="n">
        <v>18000</v>
      </c>
      <c r="D6" s="41" t="n">
        <v>0.055</v>
      </c>
      <c r="E6" s="24" t="n">
        <v>210</v>
      </c>
    </row>
    <row r="7">
      <c r="B7" s="17" t="inlineStr">
        <is>
          <t>Car Loan</t>
        </is>
      </c>
      <c r="C7" s="23" t="n">
        <v>9000</v>
      </c>
      <c r="D7" s="40" t="n">
        <v>0.06900000000000001</v>
      </c>
      <c r="E7" s="23" t="n">
        <v>290</v>
      </c>
    </row>
    <row r="8">
      <c r="B8" s="9" t="inlineStr">
        <is>
          <t>TOTAL DEBT</t>
        </is>
      </c>
      <c r="C8" s="42">
        <f>SUM(C5:C7)</f>
        <v/>
      </c>
      <c r="D8" s="30" t="n"/>
      <c r="E8" s="25">
        <f>SUM(E5:E7)</f>
        <v/>
      </c>
    </row>
  </sheetData>
  <mergeCells count="2">
    <mergeCell ref="A2:E2"/>
    <mergeCell ref="A1:E1"/>
  </mergeCells>
  <conditionalFormatting sqref="D5:D7">
    <cfRule type="colorScale" priority="1">
      <colorScale>
        <cfvo type="min"/>
        <cfvo type="max"/>
        <color rgb="FF75E6C1"/>
        <color rgb="FFFBE6E6"/>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 customWidth="1" min="1" max="1"/>
    <col width="28" customWidth="1" min="2" max="2"/>
    <col width="18" customWidth="1" min="3" max="3"/>
    <col width="4" customWidth="1" min="4" max="4"/>
    <col width="28" customWidth="1" min="5" max="5"/>
    <col width="18" customWidth="1" min="6" max="6"/>
    <col width="2" customWidth="1" min="7" max="7"/>
  </cols>
  <sheetData>
    <row r="1" ht="46" customHeight="1">
      <c r="A1" s="1" t="inlineStr">
        <is>
          <t xml:space="preserve">  📈  NET WORTH</t>
        </is>
      </c>
    </row>
    <row r="2" ht="22" customHeight="1">
      <c r="A2" s="2" t="inlineStr">
        <is>
          <t xml:space="preserve">  Assets minus liabilities — the single number that tells the truth. Watch it grow.</t>
        </is>
      </c>
    </row>
    <row r="3" ht="6" customHeight="1">
      <c r="A3" s="3" t="n"/>
      <c r="B3" s="3" t="n"/>
      <c r="C3" s="3" t="n"/>
      <c r="D3" s="3" t="n"/>
      <c r="E3" s="3" t="n"/>
      <c r="F3" s="3" t="n"/>
    </row>
    <row r="5">
      <c r="B5" s="4" t="inlineStr">
        <is>
          <t>ASSETS</t>
        </is>
      </c>
      <c r="E5" s="4" t="inlineStr">
        <is>
          <t>LIABILITIES</t>
        </is>
      </c>
    </row>
    <row r="6">
      <c r="B6" s="17" t="inlineStr">
        <is>
          <t>Cash &amp; checking</t>
        </is>
      </c>
      <c r="C6" s="23" t="n">
        <v>12000</v>
      </c>
      <c r="E6" s="17" t="inlineStr">
        <is>
          <t>Credit Card</t>
        </is>
      </c>
      <c r="F6" s="23" t="n">
        <v>3200</v>
      </c>
    </row>
    <row r="7">
      <c r="B7" s="17" t="inlineStr">
        <is>
          <t>Emergency fund</t>
        </is>
      </c>
      <c r="C7" s="23" t="n">
        <v>9500</v>
      </c>
      <c r="E7" s="17" t="inlineStr">
        <is>
          <t>Student Loan</t>
        </is>
      </c>
      <c r="F7" s="23" t="n">
        <v>18000</v>
      </c>
    </row>
    <row r="8">
      <c r="B8" s="17" t="inlineStr">
        <is>
          <t>Retirement (401k/IRA)</t>
        </is>
      </c>
      <c r="C8" s="23" t="n">
        <v>45000</v>
      </c>
      <c r="E8" s="17" t="inlineStr">
        <is>
          <t>Car Loan</t>
        </is>
      </c>
      <c r="F8" s="23" t="n">
        <v>9000</v>
      </c>
    </row>
    <row r="9">
      <c r="B9" s="17" t="inlineStr">
        <is>
          <t>Home equity</t>
        </is>
      </c>
      <c r="C9" s="23" t="n">
        <v>60000</v>
      </c>
    </row>
    <row r="10">
      <c r="B10" s="17" t="inlineStr">
        <is>
          <t>Car value</t>
        </is>
      </c>
      <c r="C10" s="23" t="n">
        <v>15000</v>
      </c>
    </row>
    <row r="11">
      <c r="B11" s="9" t="inlineStr">
        <is>
          <t>TOTAL ASSETS</t>
        </is>
      </c>
      <c r="C11" s="25">
        <f>SUM(C6:C10)</f>
        <v/>
      </c>
      <c r="E11" s="9" t="inlineStr">
        <is>
          <t>TOTAL LIABILITIES</t>
        </is>
      </c>
      <c r="F11" s="42">
        <f>SUM(F6:F8)</f>
        <v/>
      </c>
    </row>
    <row r="13">
      <c r="B13" s="7" t="inlineStr">
        <is>
          <t>NET WORTH  (assets − liabilities)</t>
        </is>
      </c>
      <c r="F13" s="43">
        <f>AssetsTotal-LiabTotal</f>
        <v/>
      </c>
    </row>
  </sheetData>
  <mergeCells count="5">
    <mergeCell ref="A2:F2"/>
    <mergeCell ref="B5:C5"/>
    <mergeCell ref="A1:F1"/>
    <mergeCell ref="B13:E13"/>
    <mergeCell ref="E5:F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9"/>
  <sheetViews>
    <sheetView showGridLines="0" workbookViewId="0">
      <pane ySplit="4" topLeftCell="A5" activePane="bottomLeft" state="frozen"/>
      <selection pane="bottomLeft" activeCell="A1" sqref="A1"/>
    </sheetView>
  </sheetViews>
  <sheetFormatPr baseColWidth="8" defaultRowHeight="15"/>
  <cols>
    <col width="28" customWidth="1" min="1" max="1"/>
    <col width="14" customWidth="1" min="2" max="2"/>
    <col width="16" customWidth="1" min="3" max="3"/>
  </cols>
  <sheetData>
    <row r="1" ht="46" customHeight="1">
      <c r="A1" s="1" t="inlineStr">
        <is>
          <t xml:space="preserve">  🔁  SUBSCRIPTIONS</t>
        </is>
      </c>
    </row>
    <row r="2" ht="22" customHeight="1">
      <c r="A2" s="2" t="inlineStr">
        <is>
          <t xml:space="preserve">  Every recurring charge in one place — the quiet budget-killer, finally visible.</t>
        </is>
      </c>
    </row>
    <row r="3" ht="6" customHeight="1">
      <c r="A3" s="3" t="n"/>
      <c r="B3" s="3" t="n"/>
      <c r="C3" s="3" t="n"/>
    </row>
    <row r="4" ht="30" customHeight="1">
      <c r="A4" s="9" t="inlineStr">
        <is>
          <t>Subscription</t>
        </is>
      </c>
      <c r="B4" s="9" t="inlineStr">
        <is>
          <t>Amount</t>
        </is>
      </c>
      <c r="C4" s="9" t="inlineStr">
        <is>
          <t>Frequency</t>
        </is>
      </c>
    </row>
    <row r="5">
      <c r="A5" s="32" t="inlineStr">
        <is>
          <t>Streaming bundle</t>
        </is>
      </c>
      <c r="B5" s="33" t="n">
        <v>25</v>
      </c>
      <c r="C5" s="35" t="inlineStr">
        <is>
          <t>Monthly</t>
        </is>
      </c>
    </row>
    <row r="6">
      <c r="A6" s="20" t="inlineStr">
        <is>
          <t>Music</t>
        </is>
      </c>
      <c r="B6" s="36" t="n">
        <v>12</v>
      </c>
      <c r="C6" s="22" t="inlineStr">
        <is>
          <t>Monthly</t>
        </is>
      </c>
    </row>
    <row r="7">
      <c r="A7" s="32" t="inlineStr">
        <is>
          <t>Cloud storage</t>
        </is>
      </c>
      <c r="B7" s="33" t="n">
        <v>8</v>
      </c>
      <c r="C7" s="35" t="inlineStr">
        <is>
          <t>Monthly</t>
        </is>
      </c>
    </row>
    <row r="8">
      <c r="A8" s="20" t="inlineStr">
        <is>
          <t>Gym</t>
        </is>
      </c>
      <c r="B8" s="36" t="n">
        <v>20</v>
      </c>
      <c r="C8" s="22" t="inlineStr">
        <is>
          <t>Monthly</t>
        </is>
      </c>
    </row>
    <row r="9">
      <c r="A9" s="32" t="inlineStr">
        <is>
          <t>News</t>
        </is>
      </c>
      <c r="B9" s="33" t="n">
        <v>6</v>
      </c>
      <c r="C9" s="35" t="inlineStr">
        <is>
          <t>Monthly</t>
        </is>
      </c>
    </row>
    <row r="10">
      <c r="A10" s="20" t="inlineStr">
        <is>
          <t>Software</t>
        </is>
      </c>
      <c r="B10" s="36" t="n">
        <v>9</v>
      </c>
      <c r="C10" s="22" t="inlineStr">
        <is>
          <t>Monthly</t>
        </is>
      </c>
    </row>
    <row r="11">
      <c r="A11" s="32" t="n"/>
      <c r="B11" s="33" t="n"/>
      <c r="C11" s="35" t="n"/>
    </row>
    <row r="12">
      <c r="A12" s="20" t="n"/>
      <c r="B12" s="36" t="n"/>
      <c r="C12" s="22" t="n"/>
    </row>
    <row r="13">
      <c r="A13" s="32" t="n"/>
      <c r="B13" s="33" t="n"/>
      <c r="C13" s="35" t="n"/>
    </row>
    <row r="14">
      <c r="A14" s="20" t="n"/>
      <c r="B14" s="36" t="n"/>
      <c r="C14" s="22" t="n"/>
    </row>
    <row r="15">
      <c r="A15" s="32" t="n"/>
      <c r="B15" s="33" t="n"/>
      <c r="C15" s="35" t="n"/>
    </row>
    <row r="16">
      <c r="A16" s="20" t="n"/>
      <c r="B16" s="36" t="n"/>
      <c r="C16" s="22" t="n"/>
    </row>
    <row r="17">
      <c r="A17" s="32" t="n"/>
      <c r="B17" s="33" t="n"/>
      <c r="C17" s="35" t="n"/>
    </row>
    <row r="18">
      <c r="A18" s="20" t="n"/>
      <c r="B18" s="36" t="n"/>
      <c r="C18" s="22" t="n"/>
    </row>
    <row r="19">
      <c r="A19" s="32" t="n"/>
      <c r="B19" s="33" t="n"/>
      <c r="C19" s="35" t="n"/>
    </row>
    <row r="20">
      <c r="A20" s="20" t="n"/>
      <c r="B20" s="36" t="n"/>
      <c r="C20" s="22" t="n"/>
    </row>
    <row r="21">
      <c r="A21" s="32" t="n"/>
      <c r="B21" s="33" t="n"/>
      <c r="C21" s="35" t="n"/>
    </row>
    <row r="22">
      <c r="A22" s="20" t="n"/>
      <c r="B22" s="36" t="n"/>
      <c r="C22" s="22" t="n"/>
    </row>
    <row r="23">
      <c r="A23" s="32" t="n"/>
      <c r="B23" s="33" t="n"/>
      <c r="C23" s="35" t="n"/>
    </row>
    <row r="24">
      <c r="A24" s="20" t="n"/>
      <c r="B24" s="36" t="n"/>
      <c r="C24" s="22" t="n"/>
    </row>
    <row r="25">
      <c r="A25" s="32" t="n"/>
      <c r="B25" s="33" t="n"/>
      <c r="C25" s="35" t="n"/>
    </row>
    <row r="26">
      <c r="A26" s="20" t="n"/>
      <c r="B26" s="36" t="n"/>
      <c r="C26" s="22" t="n"/>
    </row>
    <row r="27">
      <c r="A27" s="32" t="n"/>
      <c r="B27" s="33" t="n"/>
      <c r="C27" s="35" t="n"/>
    </row>
    <row r="28">
      <c r="A28" s="20" t="n"/>
      <c r="B28" s="36" t="n"/>
      <c r="C28" s="22" t="n"/>
    </row>
    <row r="29">
      <c r="A29" s="9" t="inlineStr">
        <is>
          <t>MONTHLY TOTAL</t>
        </is>
      </c>
      <c r="B29" s="25">
        <f>SUM(SubAmount)</f>
        <v/>
      </c>
      <c r="C29" s="44">
        <f>SUM(SubAmount)*12</f>
        <v/>
      </c>
    </row>
  </sheetData>
  <mergeCells count="2">
    <mergeCell ref="A1:C1"/>
    <mergeCell ref="A2:C2"/>
  </mergeCells>
  <dataValidations count="1">
    <dataValidation sqref="C5:C28" showDropDown="0" showInputMessage="0" showErrorMessage="0" allowBlank="1" type="list">
      <formula1>=FreqList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2" customWidth="1" min="1" max="1"/>
    <col width="16" customWidth="1" min="2" max="2"/>
    <col width="14" customWidth="1" min="3" max="3"/>
    <col width="14" customWidth="1" min="4" max="4"/>
    <col width="14" customWidth="1" min="5" max="5"/>
    <col width="14" customWidth="1" min="6" max="6"/>
    <col width="2" customWidth="1" min="7" max="7"/>
  </cols>
  <sheetData>
    <row r="1" ht="46" customHeight="1">
      <c r="A1" s="1" t="inlineStr">
        <is>
          <t xml:space="preserve">  🗓  12-MONTH VIEW</t>
        </is>
      </c>
    </row>
    <row r="2" ht="22" customHeight="1">
      <c r="A2" s="2" t="inlineStr">
        <is>
          <t xml:space="preserve">  The whole year at a glance — income, spending, savings &amp; net worth month by month.</t>
        </is>
      </c>
    </row>
    <row r="3" ht="6" customHeight="1">
      <c r="A3" s="3" t="n"/>
      <c r="B3" s="3" t="n"/>
      <c r="C3" s="3" t="n"/>
      <c r="D3" s="3" t="n"/>
      <c r="E3" s="3" t="n"/>
      <c r="F3" s="3" t="n"/>
    </row>
    <row r="4" ht="30" customHeight="1">
      <c r="B4" s="9" t="inlineStr">
        <is>
          <t>Month</t>
        </is>
      </c>
      <c r="C4" s="9" t="inlineStr">
        <is>
          <t>Income</t>
        </is>
      </c>
      <c r="D4" s="9" t="inlineStr">
        <is>
          <t>Spent</t>
        </is>
      </c>
      <c r="E4" s="9" t="inlineStr">
        <is>
          <t>Saved</t>
        </is>
      </c>
      <c r="F4" s="9" t="inlineStr">
        <is>
          <t>Net Worth</t>
        </is>
      </c>
    </row>
    <row r="5">
      <c r="B5" s="17" t="inlineStr">
        <is>
          <t>Jan</t>
        </is>
      </c>
      <c r="C5" s="23" t="n">
        <v>5200</v>
      </c>
      <c r="D5" s="23" t="n">
        <v>4400</v>
      </c>
      <c r="E5" s="23" t="n">
        <v>800</v>
      </c>
      <c r="F5" s="23" t="n">
        <v>104000</v>
      </c>
    </row>
    <row r="6">
      <c r="B6" s="20" t="inlineStr">
        <is>
          <t>Feb</t>
        </is>
      </c>
      <c r="C6" s="24" t="n">
        <v>5200</v>
      </c>
      <c r="D6" s="24" t="n">
        <v>4520</v>
      </c>
      <c r="E6" s="24" t="n">
        <v>680</v>
      </c>
      <c r="F6" s="24" t="n">
        <v>105100</v>
      </c>
    </row>
    <row r="7">
      <c r="B7" s="17" t="inlineStr">
        <is>
          <t>Mar</t>
        </is>
      </c>
      <c r="C7" s="23" t="n">
        <v>5200</v>
      </c>
      <c r="D7" s="23" t="n">
        <v>4380</v>
      </c>
      <c r="E7" s="23" t="n">
        <v>820</v>
      </c>
      <c r="F7" s="23" t="n">
        <v>106200</v>
      </c>
    </row>
    <row r="8">
      <c r="B8" s="20" t="inlineStr">
        <is>
          <t>Apr</t>
        </is>
      </c>
      <c r="C8" s="24" t="n">
        <v>5200</v>
      </c>
      <c r="D8" s="24" t="n">
        <v>4610</v>
      </c>
      <c r="E8" s="24" t="n">
        <v>590</v>
      </c>
      <c r="F8" s="24" t="n">
        <v>107300</v>
      </c>
    </row>
    <row r="9">
      <c r="B9" s="17" t="inlineStr">
        <is>
          <t>May</t>
        </is>
      </c>
      <c r="C9" s="23" t="n">
        <v>5200</v>
      </c>
      <c r="D9" s="23" t="n">
        <v>4400</v>
      </c>
      <c r="E9" s="23" t="n">
        <v>800</v>
      </c>
      <c r="F9" s="23" t="n">
        <v>108400</v>
      </c>
    </row>
    <row r="10">
      <c r="B10" s="20" t="inlineStr">
        <is>
          <t>Jun</t>
        </is>
      </c>
      <c r="C10" s="24" t="n">
        <v>5200</v>
      </c>
      <c r="D10" s="24" t="n">
        <v>4550</v>
      </c>
      <c r="E10" s="24" t="n">
        <v>650</v>
      </c>
      <c r="F10" s="24" t="n">
        <v>109500</v>
      </c>
    </row>
    <row r="11">
      <c r="B11" s="17" t="inlineStr">
        <is>
          <t>Jul</t>
        </is>
      </c>
      <c r="C11" s="23" t="n">
        <v>5200</v>
      </c>
      <c r="D11" s="23" t="n">
        <v>4400</v>
      </c>
      <c r="E11" s="23" t="n">
        <v>800</v>
      </c>
      <c r="F11" s="23" t="n">
        <v>110600</v>
      </c>
    </row>
    <row r="12">
      <c r="B12" s="20" t="inlineStr">
        <is>
          <t>Aug</t>
        </is>
      </c>
      <c r="C12" s="24" t="inlineStr"/>
      <c r="D12" s="24" t="inlineStr"/>
      <c r="E12" s="24" t="inlineStr"/>
      <c r="F12" s="24" t="inlineStr"/>
    </row>
    <row r="13">
      <c r="B13" s="17" t="inlineStr">
        <is>
          <t>Sep</t>
        </is>
      </c>
      <c r="C13" s="23" t="inlineStr"/>
      <c r="D13" s="23" t="inlineStr"/>
      <c r="E13" s="23" t="inlineStr"/>
      <c r="F13" s="23" t="inlineStr"/>
    </row>
    <row r="14">
      <c r="B14" s="20" t="inlineStr">
        <is>
          <t>Oct</t>
        </is>
      </c>
      <c r="C14" s="24" t="inlineStr"/>
      <c r="D14" s="24" t="inlineStr"/>
      <c r="E14" s="24" t="inlineStr"/>
      <c r="F14" s="24" t="inlineStr"/>
    </row>
    <row r="15">
      <c r="B15" s="17" t="inlineStr">
        <is>
          <t>Nov</t>
        </is>
      </c>
      <c r="C15" s="23" t="inlineStr"/>
      <c r="D15" s="23" t="inlineStr"/>
      <c r="E15" s="23" t="inlineStr"/>
      <c r="F15" s="23" t="inlineStr"/>
    </row>
    <row r="16">
      <c r="B16" s="20" t="inlineStr">
        <is>
          <t>Dec</t>
        </is>
      </c>
      <c r="C16" s="24" t="inlineStr"/>
      <c r="D16" s="24" t="inlineStr"/>
      <c r="E16" s="24" t="inlineStr"/>
      <c r="F16" s="24" t="inlineStr"/>
    </row>
  </sheetData>
  <mergeCells count="2">
    <mergeCell ref="A2:F2"/>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2" customWidth="1" min="1" max="1"/>
    <col width="14" customWidth="1" min="2" max="2"/>
    <col width="14" customWidth="1" min="3" max="3"/>
    <col width="3" customWidth="1" min="4" max="4"/>
    <col width="14" customWidth="1" min="5" max="5"/>
    <col width="14" customWidth="1" min="6" max="6"/>
    <col width="2" customWidth="1" min="7" max="7"/>
  </cols>
  <sheetData>
    <row r="1" ht="46" customHeight="1">
      <c r="A1" s="1" t="inlineStr">
        <is>
          <t xml:space="preserve">  🚫  NO-SPEND CHALLENGE</t>
        </is>
      </c>
    </row>
    <row r="2" ht="22" customHeight="1">
      <c r="A2" s="2" t="inlineStr">
        <is>
          <t xml:space="preserve">  Color a day green for every no-spend day — small wins add up fast.</t>
        </is>
      </c>
    </row>
    <row r="3" ht="6" customHeight="1">
      <c r="A3" s="3" t="n"/>
      <c r="B3" s="3" t="n"/>
      <c r="C3" s="3" t="n"/>
      <c r="D3" s="3" t="n"/>
      <c r="E3" s="3" t="n"/>
      <c r="F3" s="3" t="n"/>
    </row>
    <row r="5">
      <c r="B5" s="4" t="inlineStr">
        <is>
          <t>MARK EACH DAY: YES = NO-SPEND</t>
        </is>
      </c>
    </row>
    <row r="6">
      <c r="B6" s="17" t="inlineStr">
        <is>
          <t>Day 1</t>
        </is>
      </c>
      <c r="C6" s="45" t="inlineStr">
        <is>
          <t>Yes</t>
        </is>
      </c>
      <c r="E6" s="17" t="inlineStr">
        <is>
          <t>Day 16</t>
        </is>
      </c>
      <c r="F6" s="45" t="inlineStr">
        <is>
          <t>No</t>
        </is>
      </c>
    </row>
    <row r="7">
      <c r="B7" s="17" t="inlineStr">
        <is>
          <t>Day 2</t>
        </is>
      </c>
      <c r="C7" s="45" t="inlineStr">
        <is>
          <t>No</t>
        </is>
      </c>
      <c r="E7" s="17" t="inlineStr">
        <is>
          <t>Day 17</t>
        </is>
      </c>
      <c r="F7" s="45" t="inlineStr">
        <is>
          <t>Yes</t>
        </is>
      </c>
    </row>
    <row r="8">
      <c r="B8" s="17" t="inlineStr">
        <is>
          <t>Day 3</t>
        </is>
      </c>
      <c r="C8" s="45" t="inlineStr">
        <is>
          <t>Yes</t>
        </is>
      </c>
      <c r="E8" s="17" t="inlineStr">
        <is>
          <t>Day 18</t>
        </is>
      </c>
      <c r="F8" s="45" t="inlineStr">
        <is>
          <t>Yes</t>
        </is>
      </c>
    </row>
    <row r="9">
      <c r="B9" s="17" t="inlineStr">
        <is>
          <t>Day 4</t>
        </is>
      </c>
      <c r="C9" s="45" t="inlineStr">
        <is>
          <t>Yes</t>
        </is>
      </c>
      <c r="E9" s="17" t="inlineStr">
        <is>
          <t>Day 19</t>
        </is>
      </c>
      <c r="F9" s="45" t="inlineStr">
        <is>
          <t>No</t>
        </is>
      </c>
    </row>
    <row r="10">
      <c r="B10" s="17" t="inlineStr">
        <is>
          <t>Day 5</t>
        </is>
      </c>
      <c r="C10" s="45" t="inlineStr">
        <is>
          <t>No</t>
        </is>
      </c>
      <c r="E10" s="17" t="inlineStr">
        <is>
          <t>Day 20</t>
        </is>
      </c>
      <c r="F10" s="45" t="inlineStr">
        <is>
          <t>No</t>
        </is>
      </c>
    </row>
    <row r="11">
      <c r="B11" s="17" t="inlineStr">
        <is>
          <t>Day 6</t>
        </is>
      </c>
      <c r="C11" s="45" t="inlineStr">
        <is>
          <t>No</t>
        </is>
      </c>
      <c r="E11" s="17" t="inlineStr">
        <is>
          <t>Day 21</t>
        </is>
      </c>
      <c r="F11" s="45" t="inlineStr">
        <is>
          <t>Yes</t>
        </is>
      </c>
    </row>
    <row r="12">
      <c r="B12" s="17" t="inlineStr">
        <is>
          <t>Day 7</t>
        </is>
      </c>
      <c r="C12" s="45" t="inlineStr">
        <is>
          <t>Yes</t>
        </is>
      </c>
      <c r="E12" s="17" t="inlineStr">
        <is>
          <t>Day 22</t>
        </is>
      </c>
      <c r="F12" s="45" t="inlineStr">
        <is>
          <t>Yes</t>
        </is>
      </c>
    </row>
    <row r="13">
      <c r="B13" s="17" t="inlineStr">
        <is>
          <t>Day 8</t>
        </is>
      </c>
      <c r="C13" s="45" t="inlineStr">
        <is>
          <t>Yes</t>
        </is>
      </c>
      <c r="E13" s="17" t="inlineStr">
        <is>
          <t>Day 23</t>
        </is>
      </c>
      <c r="F13" s="45" t="inlineStr">
        <is>
          <t>No</t>
        </is>
      </c>
    </row>
    <row r="14">
      <c r="B14" s="17" t="inlineStr">
        <is>
          <t>Day 9</t>
        </is>
      </c>
      <c r="C14" s="45" t="inlineStr">
        <is>
          <t>No</t>
        </is>
      </c>
      <c r="E14" s="17" t="inlineStr">
        <is>
          <t>Day 24</t>
        </is>
      </c>
      <c r="F14" s="45" t="inlineStr">
        <is>
          <t>Yes</t>
        </is>
      </c>
    </row>
    <row r="15">
      <c r="B15" s="17" t="inlineStr">
        <is>
          <t>Day 10</t>
        </is>
      </c>
      <c r="C15" s="45" t="inlineStr">
        <is>
          <t>Yes</t>
        </is>
      </c>
      <c r="E15" s="17" t="inlineStr">
        <is>
          <t>Day 25</t>
        </is>
      </c>
      <c r="F15" s="45" t="inlineStr">
        <is>
          <t>Yes</t>
        </is>
      </c>
    </row>
    <row r="16">
      <c r="B16" s="17" t="inlineStr">
        <is>
          <t>Day 11</t>
        </is>
      </c>
      <c r="C16" s="45" t="inlineStr">
        <is>
          <t>Yes</t>
        </is>
      </c>
      <c r="E16" s="17" t="inlineStr">
        <is>
          <t>Day 26</t>
        </is>
      </c>
      <c r="F16" s="45" t="inlineStr">
        <is>
          <t>No</t>
        </is>
      </c>
    </row>
    <row r="17">
      <c r="B17" s="17" t="inlineStr">
        <is>
          <t>Day 12</t>
        </is>
      </c>
      <c r="C17" s="45" t="inlineStr">
        <is>
          <t>No</t>
        </is>
      </c>
      <c r="E17" s="17" t="inlineStr">
        <is>
          <t>Day 27</t>
        </is>
      </c>
      <c r="F17" s="45" t="inlineStr">
        <is>
          <t>No</t>
        </is>
      </c>
    </row>
    <row r="18">
      <c r="B18" s="17" t="inlineStr">
        <is>
          <t>Day 13</t>
        </is>
      </c>
      <c r="C18" s="45" t="inlineStr">
        <is>
          <t>No</t>
        </is>
      </c>
      <c r="E18" s="17" t="inlineStr">
        <is>
          <t>Day 28</t>
        </is>
      </c>
      <c r="F18" s="45" t="inlineStr">
        <is>
          <t>Yes</t>
        </is>
      </c>
    </row>
    <row r="19">
      <c r="B19" s="17" t="inlineStr">
        <is>
          <t>Day 14</t>
        </is>
      </c>
      <c r="C19" s="45" t="inlineStr">
        <is>
          <t>Yes</t>
        </is>
      </c>
      <c r="E19" s="17" t="inlineStr">
        <is>
          <t>Day 29</t>
        </is>
      </c>
      <c r="F19" s="45" t="inlineStr">
        <is>
          <t>Yes</t>
        </is>
      </c>
    </row>
    <row r="20">
      <c r="B20" s="17" t="inlineStr">
        <is>
          <t>Day 15</t>
        </is>
      </c>
      <c r="C20" s="45" t="inlineStr">
        <is>
          <t>Yes</t>
        </is>
      </c>
      <c r="E20" s="17" t="inlineStr">
        <is>
          <t>Day 30</t>
        </is>
      </c>
      <c r="F20" s="45" t="inlineStr">
        <is>
          <t>Yes</t>
        </is>
      </c>
    </row>
    <row r="22">
      <c r="B22" s="46" t="inlineStr">
        <is>
          <t>No-spend days</t>
        </is>
      </c>
      <c r="C22" s="47">
        <f>COUNTIF(NoSpend1,"Yes")+COUNTIF(NoSpend2,"Yes")</f>
        <v/>
      </c>
    </row>
  </sheetData>
  <mergeCells count="3">
    <mergeCell ref="A2:F2"/>
    <mergeCell ref="A1:F1"/>
    <mergeCell ref="B5:F5"/>
  </mergeCells>
  <conditionalFormatting sqref="C6:C20">
    <cfRule type="cellIs" priority="1" operator="equal" dxfId="1">
      <formula>"Yes"</formula>
    </cfRule>
  </conditionalFormatting>
  <conditionalFormatting sqref="F6:F20">
    <cfRule type="cellIs" priority="2" operator="equal" dxfId="1">
      <formula>"Yes"</formula>
    </cfRule>
  </conditionalFormatting>
  <dataValidations count="30">
    <dataValidation sqref="C6" showDropDown="0" showInputMessage="0" showErrorMessage="0" allowBlank="1" type="list">
      <formula1>=YesNoList</formula1>
    </dataValidation>
    <dataValidation sqref="F6" showDropDown="0" showInputMessage="0" showErrorMessage="0" allowBlank="1" type="list">
      <formula1>=YesNoList</formula1>
    </dataValidation>
    <dataValidation sqref="C7" showDropDown="0" showInputMessage="0" showErrorMessage="0" allowBlank="1" type="list">
      <formula1>=YesNoList</formula1>
    </dataValidation>
    <dataValidation sqref="F7" showDropDown="0" showInputMessage="0" showErrorMessage="0" allowBlank="1" type="list">
      <formula1>=YesNoList</formula1>
    </dataValidation>
    <dataValidation sqref="C8" showDropDown="0" showInputMessage="0" showErrorMessage="0" allowBlank="1" type="list">
      <formula1>=YesNoList</formula1>
    </dataValidation>
    <dataValidation sqref="F8" showDropDown="0" showInputMessage="0" showErrorMessage="0" allowBlank="1" type="list">
      <formula1>=YesNoList</formula1>
    </dataValidation>
    <dataValidation sqref="C9" showDropDown="0" showInputMessage="0" showErrorMessage="0" allowBlank="1" type="list">
      <formula1>=YesNoList</formula1>
    </dataValidation>
    <dataValidation sqref="F9" showDropDown="0" showInputMessage="0" showErrorMessage="0" allowBlank="1" type="list">
      <formula1>=YesNoList</formula1>
    </dataValidation>
    <dataValidation sqref="C10" showDropDown="0" showInputMessage="0" showErrorMessage="0" allowBlank="1" type="list">
      <formula1>=YesNoList</formula1>
    </dataValidation>
    <dataValidation sqref="F10" showDropDown="0" showInputMessage="0" showErrorMessage="0" allowBlank="1" type="list">
      <formula1>=YesNoList</formula1>
    </dataValidation>
    <dataValidation sqref="C11" showDropDown="0" showInputMessage="0" showErrorMessage="0" allowBlank="1" type="list">
      <formula1>=YesNoList</formula1>
    </dataValidation>
    <dataValidation sqref="F11" showDropDown="0" showInputMessage="0" showErrorMessage="0" allowBlank="1" type="list">
      <formula1>=YesNoList</formula1>
    </dataValidation>
    <dataValidation sqref="C12" showDropDown="0" showInputMessage="0" showErrorMessage="0" allowBlank="1" type="list">
      <formula1>=YesNoList</formula1>
    </dataValidation>
    <dataValidation sqref="F12" showDropDown="0" showInputMessage="0" showErrorMessage="0" allowBlank="1" type="list">
      <formula1>=YesNoList</formula1>
    </dataValidation>
    <dataValidation sqref="C13" showDropDown="0" showInputMessage="0" showErrorMessage="0" allowBlank="1" type="list">
      <formula1>=YesNoList</formula1>
    </dataValidation>
    <dataValidation sqref="F13" showDropDown="0" showInputMessage="0" showErrorMessage="0" allowBlank="1" type="list">
      <formula1>=YesNoList</formula1>
    </dataValidation>
    <dataValidation sqref="C14" showDropDown="0" showInputMessage="0" showErrorMessage="0" allowBlank="1" type="list">
      <formula1>=YesNoList</formula1>
    </dataValidation>
    <dataValidation sqref="F14" showDropDown="0" showInputMessage="0" showErrorMessage="0" allowBlank="1" type="list">
      <formula1>=YesNoList</formula1>
    </dataValidation>
    <dataValidation sqref="C15" showDropDown="0" showInputMessage="0" showErrorMessage="0" allowBlank="1" type="list">
      <formula1>=YesNoList</formula1>
    </dataValidation>
    <dataValidation sqref="F15" showDropDown="0" showInputMessage="0" showErrorMessage="0" allowBlank="1" type="list">
      <formula1>=YesNoList</formula1>
    </dataValidation>
    <dataValidation sqref="C16" showDropDown="0" showInputMessage="0" showErrorMessage="0" allowBlank="1" type="list">
      <formula1>=YesNoList</formula1>
    </dataValidation>
    <dataValidation sqref="F16" showDropDown="0" showInputMessage="0" showErrorMessage="0" allowBlank="1" type="list">
      <formula1>=YesNoList</formula1>
    </dataValidation>
    <dataValidation sqref="C17" showDropDown="0" showInputMessage="0" showErrorMessage="0" allowBlank="1" type="list">
      <formula1>=YesNoList</formula1>
    </dataValidation>
    <dataValidation sqref="F17" showDropDown="0" showInputMessage="0" showErrorMessage="0" allowBlank="1" type="list">
      <formula1>=YesNoList</formula1>
    </dataValidation>
    <dataValidation sqref="C18" showDropDown="0" showInputMessage="0" showErrorMessage="0" allowBlank="1" type="list">
      <formula1>=YesNoList</formula1>
    </dataValidation>
    <dataValidation sqref="F18" showDropDown="0" showInputMessage="0" showErrorMessage="0" allowBlank="1" type="list">
      <formula1>=YesNoList</formula1>
    </dataValidation>
    <dataValidation sqref="C19" showDropDown="0" showInputMessage="0" showErrorMessage="0" allowBlank="1" type="list">
      <formula1>=YesNoList</formula1>
    </dataValidation>
    <dataValidation sqref="F19" showDropDown="0" showInputMessage="0" showErrorMessage="0" allowBlank="1" type="list">
      <formula1>=YesNoList</formula1>
    </dataValidation>
    <dataValidation sqref="C20" showDropDown="0" showInputMessage="0" showErrorMessage="0" allowBlank="1" type="list">
      <formula1>=YesNoList</formula1>
    </dataValidation>
    <dataValidation sqref="F20" showDropDown="0" showInputMessage="0" showErrorMessage="0" allowBlank="1" type="list">
      <formula1>=YesNoList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showGridLines="0" workbookViewId="0">
      <selection activeCell="A1" sqref="A1"/>
    </sheetView>
  </sheetViews>
  <sheetFormatPr baseColWidth="8" defaultRowHeight="15"/>
  <cols>
    <col width="2" customWidth="1" min="1" max="1"/>
    <col width="26" customWidth="1" min="2" max="2"/>
    <col width="20" customWidth="1" min="3" max="3"/>
    <col width="3"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ht="46" customHeight="1">
      <c r="A1" s="1" t="inlineStr">
        <is>
          <t xml:space="preserve">  ⚙  SETTINGS</t>
        </is>
      </c>
    </row>
    <row r="2" ht="22" customHeight="1">
      <c r="A2" s="2" t="inlineStr">
        <is>
          <t xml:space="preserve">  Set your details &amp; lists once — every tab follows.</t>
        </is>
      </c>
    </row>
    <row r="3" ht="6" customHeight="1">
      <c r="A3" s="3" t="n"/>
      <c r="B3" s="3" t="n"/>
      <c r="C3" s="3" t="n"/>
      <c r="D3" s="3" t="n"/>
      <c r="E3" s="3" t="n"/>
      <c r="F3" s="3" t="n"/>
      <c r="G3" s="3" t="n"/>
      <c r="H3" s="3" t="n"/>
      <c r="I3" s="3" t="n"/>
      <c r="J3" s="3" t="n"/>
      <c r="K3" s="3" t="n"/>
      <c r="L3" s="3" t="n"/>
    </row>
    <row r="5">
      <c r="B5" s="7" t="inlineStr">
        <is>
          <t>YOUR MONEY</t>
        </is>
      </c>
      <c r="E5" s="4" t="inlineStr">
        <is>
          <t>DROPDOWN LISTS</t>
        </is>
      </c>
    </row>
    <row r="6">
      <c r="B6" s="46" t="inlineStr">
        <is>
          <t>Name / Household</t>
        </is>
      </c>
      <c r="C6" s="45" t="inlineStr">
        <is>
          <t>The Bennett Household</t>
        </is>
      </c>
      <c r="E6" s="9" t="inlineStr">
        <is>
          <t>Category</t>
        </is>
      </c>
      <c r="F6" s="9" t="inlineStr">
        <is>
          <t>Yes / No</t>
        </is>
      </c>
      <c r="G6" s="9" t="inlineStr">
        <is>
          <t>Bill Status</t>
        </is>
      </c>
      <c r="H6" s="9" t="inlineStr">
        <is>
          <t>Frequency</t>
        </is>
      </c>
    </row>
    <row r="7">
      <c r="B7" s="46" t="inlineStr">
        <is>
          <t>Budget Month</t>
        </is>
      </c>
      <c r="C7" s="45" t="inlineStr">
        <is>
          <t>This Month</t>
        </is>
      </c>
      <c r="E7" s="17" t="inlineStr">
        <is>
          <t>Housing</t>
        </is>
      </c>
      <c r="F7" s="17" t="inlineStr">
        <is>
          <t>Yes</t>
        </is>
      </c>
      <c r="G7" s="17" t="inlineStr">
        <is>
          <t>Paid</t>
        </is>
      </c>
      <c r="H7" s="17" t="inlineStr">
        <is>
          <t>Monthly</t>
        </is>
      </c>
    </row>
    <row r="8">
      <c r="B8" s="46" t="inlineStr">
        <is>
          <t>Savings-Rate Target</t>
        </is>
      </c>
      <c r="C8" s="48" t="n">
        <v>0.2</v>
      </c>
      <c r="E8" s="17" t="inlineStr">
        <is>
          <t>Utilities</t>
        </is>
      </c>
      <c r="F8" s="17" t="inlineStr">
        <is>
          <t>No</t>
        </is>
      </c>
      <c r="G8" s="17" t="inlineStr">
        <is>
          <t>Due</t>
        </is>
      </c>
      <c r="H8" s="17" t="inlineStr">
        <is>
          <t>Weekly</t>
        </is>
      </c>
    </row>
    <row r="9">
      <c r="B9" s="46" t="inlineStr">
        <is>
          <t>Emergency-Fund Target</t>
        </is>
      </c>
      <c r="C9" s="23" t="n">
        <v>15000</v>
      </c>
      <c r="E9" s="17" t="inlineStr">
        <is>
          <t>Groceries</t>
        </is>
      </c>
      <c r="G9" s="17" t="inlineStr">
        <is>
          <t>Overdue</t>
        </is>
      </c>
      <c r="H9" s="17" t="inlineStr">
        <is>
          <t>Annual</t>
        </is>
      </c>
    </row>
    <row r="10">
      <c r="B10" s="46" t="inlineStr">
        <is>
          <t>Currency</t>
        </is>
      </c>
      <c r="C10" s="45" t="inlineStr">
        <is>
          <t>USD ($)</t>
        </is>
      </c>
      <c r="E10" s="17" t="inlineStr">
        <is>
          <t>Transportation</t>
        </is>
      </c>
      <c r="H10" s="17" t="inlineStr">
        <is>
          <t>Quarterly</t>
        </is>
      </c>
    </row>
    <row r="11">
      <c r="E11" s="17" t="inlineStr">
        <is>
          <t>Insurance</t>
        </is>
      </c>
    </row>
    <row r="12">
      <c r="E12" s="17" t="inlineStr">
        <is>
          <t>Dining &amp; Fun</t>
        </is>
      </c>
    </row>
    <row r="13">
      <c r="E13" s="17" t="inlineStr">
        <is>
          <t>Health</t>
        </is>
      </c>
    </row>
    <row r="14">
      <c r="E14" s="17" t="inlineStr">
        <is>
          <t>Kids / Pets</t>
        </is>
      </c>
    </row>
    <row r="15">
      <c r="E15" s="17" t="inlineStr">
        <is>
          <t>Giving</t>
        </is>
      </c>
    </row>
    <row r="16">
      <c r="E16" s="17" t="inlineStr">
        <is>
          <t>Savings</t>
        </is>
      </c>
    </row>
    <row r="17">
      <c r="E17" s="17" t="inlineStr">
        <is>
          <t>Debt</t>
        </is>
      </c>
    </row>
    <row r="18">
      <c r="E18" s="17" t="inlineStr">
        <is>
          <t>Other</t>
        </is>
      </c>
    </row>
  </sheetData>
  <mergeCells count="4">
    <mergeCell ref="E5:L5"/>
    <mergeCell ref="A2:L2"/>
    <mergeCell ref="B5:C5"/>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2026-07-21T07:50:18Z</dcterms:created>
  <dcterms:modified xsi:type="dcterms:W3CDTF">2026-07-21T07:50:18Z</dcterms:modified>
</cp:coreProperties>
</file>