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Fair Share" sheetId="3" state="visible" r:id="rId3"/>
    <sheet name="Shared Bills" sheetId="4" state="visible" r:id="rId4"/>
    <sheet name="Invisible Labour" sheetId="5" state="visible" r:id="rId5"/>
    <sheet name="Money Goals" sheetId="6" state="visible" r:id="rId6"/>
    <sheet name="Savings" sheetId="7" state="visible" r:id="rId7"/>
    <sheet name="Date Nights" sheetId="8" state="visible" r:id="rId8"/>
    <sheet name="Weekly Check-In" sheetId="9" state="visible" r:id="rId9"/>
    <sheet name="Big Conversations" sheetId="10" state="visible" r:id="rId10"/>
    <sheet name="Household Admin" sheetId="11" state="visible" r:id="rId11"/>
    <sheet name="Individual Money" sheetId="12" state="visible" r:id="rId12"/>
    <sheet name="Monthly Summary" sheetId="13" state="visible" r:id="rId13"/>
    <sheet name="Settings" sheetId="14" state="visible" r:id="rId14"/>
  </sheets>
  <definedNames>
    <definedName name="PartnerA">Settings!$C$6</definedName>
    <definedName name="PartnerB">Settings!$C$7</definedName>
    <definedName name="IncomeA">Settings!$C$8</definedName>
    <definedName name="IncomeB">Settings!$C$9</definedName>
    <definedName name="DateGoal">Settings!$C$10</definedName>
    <definedName name="CheckinGoal">Settings!$C$11</definedName>
    <definedName name="SavingsGoal">Settings!$C$12</definedName>
    <definedName name="ChoreGoal">Settings!$C$13</definedName>
    <definedName name="FairnessGoal">Settings!$C$14</definedName>
    <definedName name="WhoPaysList">Settings!$E$7:$E$11</definedName>
    <definedName name="BillCatList">Settings!$F$7:$F$13</definedName>
    <definedName name="GoalStatusList">Settings!$G$7:$G$11</definedName>
    <definedName name="FreqList">Settings!$H$7:$H$11</definedName>
    <definedName name="YesNoList">Settings!$I$7:$I$8</definedName>
    <definedName name="BillAmount">'Shared Bills'!$D$5:$D$12</definedName>
    <definedName name="SharedBills">'Shared Bills'!$D$13</definedName>
    <definedName name="ShareA">'Fair Share'!$C$8</definedName>
    <definedName name="ShareB">'Fair Share'!$D$8</definedName>
    <definedName name="LeftHalfA">'Fair Share'!$C$12</definedName>
    <definedName name="LeftHalfB">'Fair Share'!$D$12</definedName>
    <definedName name="HalfGap">'Fair Share'!$C$14</definedName>
    <definedName name="FairA">'Fair Share'!$C$17</definedName>
    <definedName name="FairB">'Fair Share'!$D$17</definedName>
    <definedName name="KeepPctA">'Fair Share'!$C$19</definedName>
    <definedName name="KeepPctB">'Fair Share'!$D$19</definedName>
    <definedName name="PaysA">'Fair Share'!$C$23</definedName>
    <definedName name="PaysB">'Fair Share'!$D$23</definedName>
    <definedName name="Fairness">'Fair Share'!$C$25</definedName>
    <definedName name="ChoreA">'Invisible Labour'!$C$6:$C$13</definedName>
    <definedName name="ChoreB">'Invisible Labour'!$D$6:$D$13</definedName>
    <definedName name="ChoreGap">'Invisible Labour'!$E$6:$E$13</definedName>
    <definedName name="HoursA">'Invisible Labour'!$C$14</definedName>
    <definedName name="HoursB">'Invisible Labour'!$D$14</definedName>
    <definedName name="ChoreRatio">'Invisible Labour'!$C$16</definedName>
    <definedName name="ExtraHoursYear">'Invisible Labour'!$C$17</definedName>
    <definedName name="GoalTarget">'Money Goals'!$C$5:$C$9</definedName>
    <definedName name="GoalSaved">'Money Goals'!$D$5:$D$9</definedName>
    <definedName name="GoalStatusCol">'Money Goals'!$F$5:$F$9</definedName>
    <definedName name="GoalProgress">'Money Goals'!$G$5:$G$9</definedName>
    <definedName name="GoalsSaved">'Money Goals'!$D$10</definedName>
    <definedName name="GoalsOnTrack">'Money Goals'!$D$12</definedName>
    <definedName name="GoalsTotal">'Money Goals'!$D$13</definedName>
    <definedName name="SaveMonthly">'Savings'!$C$5:$C$44</definedName>
    <definedName name="SaveBalance">'Savings'!$D$5:$D$44</definedName>
    <definedName name="SavedMonth">'Savings'!$C$45</definedName>
    <definedName name="DatePlanner">'Date Nights'!$D$5:$D$44</definedName>
    <definedName name="DateCost">'Date Nights'!$E$5:$E$44</definedName>
    <definedName name="DateNights">'Date Nights'!$D$45</definedName>
    <definedName name="CheckinDone">'Weekly Check-In'!$C$5:$C$44</definedName>
    <definedName name="CheckinsDone">'Weekly Check-In'!$C$45</definedName>
    <definedName name="TalkDone">'Big Conversations'!$C$5:$C$44</definedName>
    <definedName name="TalksHad">'Big Conversations'!$C$45</definedName>
    <definedName name="NoQuestionsLimit">'Individual Money'!$C$11</definedName>
    <definedName name="SaveTrend">'Monthly Summary'!$C$22:$C$27</definedName>
    <definedName name="HealthRange">'Dashboard'!$C$13:$C$18</definedName>
  </definedNames>
  <calcPr calcId="124519" fullCalcOnLoad="1"/>
</workbook>
</file>

<file path=xl/styles.xml><?xml version="1.0" encoding="utf-8"?>
<styleSheet xmlns="http://schemas.openxmlformats.org/spreadsheetml/2006/main">
  <numFmts count="8">
    <numFmt numFmtId="164" formatCode="&quot;$&quot;#,##0.00"/>
    <numFmt numFmtId="165" formatCode="&quot;$&quot;#,##0"/>
    <numFmt numFmtId="166" formatCode="0.0%"/>
    <numFmt numFmtId="167" formatCode="0.0"/>
    <numFmt numFmtId="168" formatCode="0.00&quot;\u00d7&quot;"/>
    <numFmt numFmtId="169" formatCode="#,##0&quot; hrs&quot;"/>
    <numFmt numFmtId="170" formatCode="0.0&quot; weeks&quot;"/>
    <numFmt numFmtId="171" formatCode="0&quot; nights&quot;"/>
  </numFmts>
  <fonts count="21">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4"/>
    </font>
    <font>
      <b val="1"/>
      <color rgb="001B4F48"/>
      <sz val="12"/>
    </font>
    <font>
      <b val="1"/>
      <color rgb="00C94C4C"/>
      <sz val="13"/>
    </font>
    <font>
      <b val="1"/>
      <color rgb="001B4F48"/>
      <sz val="13"/>
    </font>
    <font>
      <b val="1"/>
      <color rgb="00C94C4C"/>
      <sz val="16"/>
    </font>
    <font>
      <b val="1"/>
      <color rgb="001B4F48"/>
      <sz val="15"/>
    </font>
    <font>
      <b val="1"/>
      <color rgb="00C94C4C"/>
      <sz val="14"/>
    </font>
    <font>
      <b val="1"/>
      <color rgb="001B4F48"/>
      <sz val="18"/>
    </font>
    <font>
      <b val="1"/>
      <color rgb="001B4F48"/>
      <sz val="16"/>
    </font>
    <font>
      <b val="1"/>
      <color rgb="001B4F48"/>
    </font>
    <font>
      <b val="1"/>
      <color rgb="00937356"/>
      <sz val="9"/>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BE6E6"/>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73">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20" fillId="10" borderId="3" applyAlignment="1" pivotButton="0" quotePrefix="0" xfId="0">
      <alignment horizontal="center" vertical="center"/>
    </xf>
    <xf numFmtId="0" fontId="0" fillId="10" borderId="3" pivotButton="0" quotePrefix="0" xfId="0"/>
    <xf numFmtId="165" fontId="17" fillId="10" borderId="2" applyAlignment="1" pivotButton="0" quotePrefix="0" xfId="0">
      <alignment horizontal="center" vertical="center"/>
    </xf>
    <xf numFmtId="0" fontId="0" fillId="10" borderId="2" pivotButton="0" quotePrefix="0" xfId="0"/>
    <xf numFmtId="166" fontId="17" fillId="10" borderId="2" applyAlignment="1" pivotButton="0" quotePrefix="0" xfId="0">
      <alignment horizontal="center" vertical="center"/>
    </xf>
    <xf numFmtId="167" fontId="17" fillId="10" borderId="2" applyAlignment="1" pivotButton="0" quotePrefix="0" xfId="0">
      <alignment horizontal="center" vertical="center"/>
    </xf>
    <xf numFmtId="3" fontId="17" fillId="10" borderId="2" applyAlignment="1" pivotButton="0" quotePrefix="0" xfId="0">
      <alignment horizontal="center" vertical="center"/>
    </xf>
    <xf numFmtId="9" fontId="17"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4" fontId="7" fillId="0" borderId="2" applyAlignment="1" pivotButton="0" quotePrefix="0" xfId="10">
      <alignment horizontal="left" vertical="center" indent="1"/>
    </xf>
    <xf numFmtId="166" fontId="7" fillId="0" borderId="2" applyAlignment="1" pivotButton="0" quotePrefix="0" xfId="10">
      <alignment horizontal="left" vertical="center" indent="1"/>
    </xf>
    <xf numFmtId="165" fontId="12" fillId="9" borderId="2" applyAlignment="1" pivotButton="0" quotePrefix="0" xfId="6">
      <alignment horizontal="center" vertical="center" wrapText="1"/>
    </xf>
    <xf numFmtId="165" fontId="13" fillId="3" borderId="2" applyAlignment="1" pivotButton="0" quotePrefix="0" xfId="6">
      <alignment horizontal="center" vertical="center" wrapText="1"/>
    </xf>
    <xf numFmtId="165" fontId="14" fillId="9" borderId="2" applyAlignment="1" pivotButton="0" quotePrefix="0" xfId="6">
      <alignment horizontal="center" vertical="center" wrapText="1"/>
    </xf>
    <xf numFmtId="164" fontId="13" fillId="3" borderId="2" applyAlignment="1" pivotButton="0" quotePrefix="0" xfId="6">
      <alignment horizontal="center" vertical="center" wrapText="1"/>
    </xf>
    <xf numFmtId="165" fontId="13" fillId="6" borderId="2" applyAlignment="1" pivotButton="0" quotePrefix="0" xfId="6">
      <alignment horizontal="center" vertical="center" wrapText="1"/>
    </xf>
    <xf numFmtId="166" fontId="15" fillId="6" borderId="2" applyAlignment="1" pivotButton="0" quotePrefix="0" xfId="6">
      <alignment horizontal="center" vertical="center" wrapText="1"/>
    </xf>
    <xf numFmtId="164" fontId="7" fillId="3" borderId="2" applyAlignment="1" pivotButton="0" quotePrefix="0" xfId="8">
      <alignment horizontal="center" vertical="center"/>
    </xf>
    <xf numFmtId="165" fontId="7" fillId="3" borderId="2" applyAlignment="1" pivotButton="0" quotePrefix="0" xfId="8">
      <alignment horizontal="center" vertical="center"/>
    </xf>
    <xf numFmtId="0" fontId="7" fillId="3" borderId="2" applyAlignment="1" pivotButton="0" quotePrefix="0" xfId="8">
      <alignment horizontal="center" vertical="center"/>
    </xf>
    <xf numFmtId="165" fontId="6" fillId="0" borderId="2" applyAlignment="1" pivotButton="0" quotePrefix="0" xfId="6">
      <alignment horizontal="center" vertical="center" wrapText="1"/>
    </xf>
    <xf numFmtId="165" fontId="7" fillId="8" borderId="2" applyAlignment="1" pivotButton="0" quotePrefix="0" xfId="8">
      <alignment horizontal="center" vertical="center"/>
    </xf>
    <xf numFmtId="0" fontId="7" fillId="8" borderId="2" applyAlignment="1" pivotButton="0" quotePrefix="0" xfId="8">
      <alignment horizontal="center" vertical="center"/>
    </xf>
    <xf numFmtId="165" fontId="6" fillId="8" borderId="2" applyAlignment="1" pivotButton="0" quotePrefix="0" xfId="6">
      <alignment horizontal="center" vertical="center" wrapText="1"/>
    </xf>
    <xf numFmtId="0" fontId="6" fillId="3" borderId="2" applyAlignment="1" pivotButton="0" quotePrefix="0" xfId="6">
      <alignment horizontal="center" vertical="center" wrapText="1"/>
    </xf>
    <xf numFmtId="165" fontId="10" fillId="3" borderId="2" applyAlignment="1" pivotButton="0" quotePrefix="0" xfId="6">
      <alignment horizontal="center" vertical="center" wrapText="1"/>
    </xf>
    <xf numFmtId="165" fontId="11" fillId="6" borderId="2" applyAlignment="1" pivotButton="0" quotePrefix="0" xfId="6">
      <alignment horizontal="center" vertical="center" wrapText="1"/>
    </xf>
    <xf numFmtId="167" fontId="7" fillId="3" borderId="2" applyAlignment="1" pivotButton="0" quotePrefix="0" xfId="8">
      <alignment horizontal="center" vertical="center"/>
    </xf>
    <xf numFmtId="167" fontId="6" fillId="0" borderId="2" applyAlignment="1" pivotButton="0" quotePrefix="0" xfId="6">
      <alignment horizontal="center" vertical="center" wrapText="1"/>
    </xf>
    <xf numFmtId="167" fontId="7" fillId="8" borderId="2" applyAlignment="1" pivotButton="0" quotePrefix="0" xfId="8">
      <alignment horizontal="center" vertical="center"/>
    </xf>
    <xf numFmtId="167" fontId="6" fillId="8" borderId="2" applyAlignment="1" pivotButton="0" quotePrefix="0" xfId="6">
      <alignment horizontal="center" vertical="center" wrapText="1"/>
    </xf>
    <xf numFmtId="167" fontId="10" fillId="3" borderId="2" applyAlignment="1" pivotButton="0" quotePrefix="0" xfId="6">
      <alignment horizontal="center" vertical="center" wrapText="1"/>
    </xf>
    <xf numFmtId="167" fontId="16" fillId="9" borderId="2" applyAlignment="1" pivotButton="0" quotePrefix="0" xfId="6">
      <alignment horizontal="center" vertical="center" wrapText="1"/>
    </xf>
    <xf numFmtId="168" fontId="17" fillId="7" borderId="2" applyAlignment="1" pivotButton="0" quotePrefix="0" xfId="6">
      <alignment horizontal="center" vertical="center" wrapText="1"/>
    </xf>
    <xf numFmtId="169" fontId="18" fillId="9" borderId="2" applyAlignment="1" pivotButton="0" quotePrefix="0" xfId="6">
      <alignment horizontal="center" vertical="center" wrapText="1"/>
    </xf>
    <xf numFmtId="170" fontId="7" fillId="0" borderId="2" applyAlignment="1" pivotButton="0" quotePrefix="0" xfId="10">
      <alignment horizontal="left" vertical="center" indent="1"/>
    </xf>
    <xf numFmtId="165" fontId="19" fillId="3" borderId="2" applyAlignment="1" pivotButton="0" quotePrefix="0" xfId="6">
      <alignment horizontal="center" vertical="center" wrapText="1"/>
    </xf>
    <xf numFmtId="1" fontId="7" fillId="6" borderId="2" applyAlignment="1" pivotButton="0" quotePrefix="0" xfId="10">
      <alignment horizontal="left" vertical="center" indent="1"/>
    </xf>
    <xf numFmtId="1" fontId="7" fillId="0" borderId="2" applyAlignment="1" pivotButton="0" quotePrefix="0" xfId="10">
      <alignment horizontal="left" vertical="center" indent="1"/>
    </xf>
    <xf numFmtId="0" fontId="6" fillId="10" borderId="2" applyAlignment="1" pivotButton="0" quotePrefix="0" xfId="7">
      <alignment horizontal="left" vertical="center" wrapText="1" indent="1"/>
    </xf>
    <xf numFmtId="165" fontId="6" fillId="10" borderId="2" applyAlignment="1" pivotButton="0" quotePrefix="0" xfId="6">
      <alignment horizontal="center" vertical="center" wrapText="1"/>
    </xf>
    <xf numFmtId="165" fontId="10" fillId="6" borderId="2" applyAlignment="1" pivotButton="0" quotePrefix="0" xfId="6">
      <alignment horizontal="center" vertical="center" wrapText="1"/>
    </xf>
    <xf numFmtId="165" fontId="11" fillId="3" borderId="2" applyAlignment="1" pivotButton="0" quotePrefix="0" xfId="6">
      <alignment horizontal="center" vertical="center" wrapText="1"/>
    </xf>
    <xf numFmtId="165" fontId="7" fillId="0" borderId="2" applyAlignment="1" pivotButton="0" quotePrefix="0" xfId="10">
      <alignment horizontal="left" vertical="center" indent="1"/>
    </xf>
    <xf numFmtId="0" fontId="6" fillId="10" borderId="2" applyAlignment="1" pivotButton="0" quotePrefix="0" xfId="6">
      <alignment horizontal="center" vertical="center" wrapText="1"/>
    </xf>
    <xf numFmtId="171" fontId="13" fillId="6" borderId="2" applyAlignment="1" pivotButton="0" quotePrefix="0" xfId="6">
      <alignment horizontal="center" vertical="center" wrapText="1"/>
    </xf>
    <xf numFmtId="1" fontId="10" fillId="6" borderId="2" applyAlignment="1" pivotButton="0" quotePrefix="0" xfId="6">
      <alignment horizontal="center" vertical="center" wrapText="1"/>
    </xf>
    <xf numFmtId="1" fontId="13" fillId="6" borderId="2" applyAlignment="1" pivotButton="0" quotePrefix="0" xfId="6">
      <alignment horizontal="center" vertical="center" wrapText="1"/>
    </xf>
    <xf numFmtId="1" fontId="7" fillId="7" borderId="2" applyAlignment="1" pivotButton="0" quotePrefix="0" xfId="10">
      <alignment horizontal="left" vertical="center" indent="1"/>
    </xf>
    <xf numFmtId="164" fontId="7" fillId="8" borderId="2" applyAlignment="1" pivotButton="0" quotePrefix="0" xfId="8">
      <alignment horizontal="center" vertical="center"/>
    </xf>
    <xf numFmtId="168" fontId="7" fillId="0" borderId="2" applyAlignment="1" pivotButton="0" quotePrefix="0" xfId="10">
      <alignment horizontal="left" vertical="center" indent="1"/>
    </xf>
    <xf numFmtId="169" fontId="7" fillId="0" borderId="2" applyAlignment="1" pivotButton="0" quotePrefix="0" xfId="10">
      <alignment horizontal="left" vertical="center" indent="1"/>
    </xf>
    <xf numFmtId="1" fontId="7" fillId="3" borderId="2" applyAlignment="1" pivotButton="0" quotePrefix="0" xfId="8">
      <alignment horizontal="center" vertical="center"/>
    </xf>
    <xf numFmtId="2" fontId="7" fillId="3" borderId="2" applyAlignment="1" pivotButton="0" quotePrefix="0" xfId="8">
      <alignment horizontal="center" vertical="center"/>
    </xf>
    <xf numFmtId="9"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2">
    <dxf>
      <font>
        <b val="1"/>
        <color rgb="001B4F48"/>
      </font>
      <fill>
        <patternFill patternType="solid">
          <fgColor rgb="00E3F8EF"/>
        </patternFill>
      </fill>
    </dxf>
    <dxf>
      <font>
        <b val="1"/>
        <color rgb="00937356"/>
      </font>
      <fill>
        <patternFill patternType="solid">
          <fgColor rgb="00FBF0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Saved by Month</a:t>
            </a:r>
          </a:p>
        </rich>
      </tx>
    </title>
    <plotArea>
      <barChart>
        <barDir val="col"/>
        <grouping val="clustered"/>
        <ser>
          <idx val="0"/>
          <order val="0"/>
          <spPr>
            <a:ln>
              <a:prstDash val="solid"/>
            </a:ln>
          </spPr>
          <cat>
            <numRef>
              <f>'Monthly Summary'!$B$22:$B$27</f>
            </numRef>
          </cat>
          <val>
            <numRef>
              <f>'Monthly Summary'!$C$22:$C$27</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Saved by Month</a:t>
            </a:r>
          </a:p>
        </rich>
      </tx>
    </title>
    <plotArea>
      <barChart>
        <barDir val="col"/>
        <grouping val="clustered"/>
        <ser>
          <idx val="0"/>
          <order val="0"/>
          <spPr>
            <a:ln>
              <a:prstDash val="solid"/>
            </a:ln>
          </spPr>
          <cat>
            <numRef>
              <f>'Monthly Summary'!$B$22:$B$27</f>
            </numRef>
          </cat>
          <val>
            <numRef>
              <f>'Monthly Summary'!$C$22:$C$27</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RELATIONSHIP &amp; COUPLES COMMAND CENTER™</t>
        </is>
      </c>
    </row>
    <row r="2" ht="24" customHeight="1">
      <c r="A2" s="2" t="inlineStr">
        <is>
          <t xml:space="preserve">  50/50 is not the same as fair.</t>
        </is>
      </c>
    </row>
    <row r="3" ht="6" customHeight="1">
      <c r="A3" s="3" t="n"/>
      <c r="B3" s="3" t="n"/>
      <c r="C3" s="3" t="n"/>
    </row>
    <row r="5">
      <c r="B5" s="4" t="inlineStr">
        <is>
          <t>WHY THIS EXISTS</t>
        </is>
      </c>
    </row>
    <row r="6" ht="22" customHeight="1">
      <c r="B6" s="5" t="inlineStr">
        <is>
          <t>Two people earning different amounts, splitting the bills down the middle, is not equality \u2014 it just looks like it. On the numbers in this file, a 50/50 split leaves one of you with $2,246 a month and the other with $4,346. Split the same bills in proportion to what you each earn and you both keep exactly 62.8% of your own income. Same house, same bills, completely different life. Then the second half: the hours. Cooking, laundry, admin, remembering birthdays \u2014 add them up honestly and see what the week actually looks like. Both of these are conversations that go much better with a number in front of you.</t>
        </is>
      </c>
    </row>
    <row r="7" ht="22" customHeight="1">
      <c r="B7" s="6" t="n"/>
    </row>
    <row r="8" ht="22" customHeight="1">
      <c r="B8" s="6" t="n"/>
    </row>
    <row r="9" ht="22" customHeight="1">
      <c r="B9" s="6" t="n"/>
    </row>
    <row r="11">
      <c r="B11" s="7" t="inlineStr">
        <is>
          <t>START HERE — 6 QUICK STEPS</t>
        </is>
      </c>
    </row>
    <row r="12" ht="22" customHeight="1">
      <c r="B12" s="8" t="inlineStr">
        <is>
          <t>1.  Settings: your names and what you each actually bring home.</t>
        </is>
      </c>
    </row>
    <row r="13" ht="22" customHeight="1">
      <c r="B13" s="8" t="inlineStr">
        <is>
          <t>2.  Shared Bills: every bill you pay together, in one list.</t>
        </is>
      </c>
    </row>
    <row r="14" ht="22" customHeight="1">
      <c r="B14" s="8" t="inlineStr">
        <is>
          <t>3.  Fair Share does the maths. Read it together, not alone.</t>
        </is>
      </c>
    </row>
    <row r="15" ht="22" customHeight="1">
      <c r="B15" s="8" t="inlineStr">
        <is>
          <t>4.  Invisible Labour: both of you fill it in. Separately, then compare.</t>
        </is>
      </c>
    </row>
    <row r="16" ht="22" customHeight="1">
      <c r="B16" s="8" t="inlineStr">
        <is>
          <t>5.  Money goals, savings, date nights, the weekly check-in.</t>
        </is>
      </c>
    </row>
    <row r="17" ht="22" customHeight="1">
      <c r="B17" s="8" t="inlineStr">
        <is>
          <t>6.  Big Conversations. The two unticked ones are the point.</t>
        </is>
      </c>
    </row>
    <row r="20" ht="26" customHeight="1">
      <c r="B20" s="9" t="inlineStr">
        <is>
          <t xml:space="preserve">  HOW TO USE THIS WITHOUT A FIGHT</t>
        </is>
      </c>
    </row>
    <row r="21" ht="22" customHeight="1">
      <c r="B21" s="10" t="inlineStr">
        <is>
          <t>Fill in the Invisible Labour tab separately, then compare. Almost every couple finds the two columns don't match \u2014 not because anyone is lying, but because the work you don't do is genuinely hard to see. That gap is the conversation, and it is a conversation, not a verdict. This is an organizing tool, not relationship or financial advice, and it can't tell you what a fair life together looks like \u2014 only the two of you can. If money is being controlled rather than shared, a spreadsheet is not the right help; please talk to someone. Sample data for a fictional couple is included; type over it.</t>
        </is>
      </c>
    </row>
    <row r="22" ht="22" customHeight="1">
      <c r="B22" s="11" t="n"/>
    </row>
    <row r="23" ht="22" customHeight="1">
      <c r="B23" s="11" t="n"/>
    </row>
    <row r="24" ht="22" customHeight="1">
      <c r="B24" s="11" t="n"/>
    </row>
    <row r="26">
      <c r="B26" s="4" t="inlineStr">
        <is>
          <t>These conversations go much better with a number in front of you.</t>
        </is>
      </c>
    </row>
  </sheetData>
  <mergeCells count="14">
    <mergeCell ref="B17"/>
    <mergeCell ref="B12"/>
    <mergeCell ref="B13"/>
    <mergeCell ref="A1:C1"/>
    <mergeCell ref="B26"/>
    <mergeCell ref="B15"/>
    <mergeCell ref="B11"/>
    <mergeCell ref="B6:B9"/>
    <mergeCell ref="B16"/>
    <mergeCell ref="B20"/>
    <mergeCell ref="B21:B24"/>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RELATIONSHIP &amp; COUPLES COMMAND CENTER™</t>
        </is>
      </c>
    </row>
    <row r="2" ht="24" customHeight="1">
      <c r="A2" s="2" t="inlineStr">
        <is>
          <t xml:space="preserve">  Money split fairly, hours counted honestly — the two of you, at a glance.</t>
        </is>
      </c>
    </row>
    <row r="3" ht="6" customHeight="1">
      <c r="A3" s="3" t="n"/>
      <c r="B3" s="3" t="n"/>
      <c r="C3" s="3" t="n"/>
      <c r="D3" s="3" t="n"/>
      <c r="E3" s="3" t="n"/>
      <c r="F3" s="3" t="n"/>
      <c r="G3" s="3" t="n"/>
      <c r="H3" s="3" t="n"/>
      <c r="I3" s="3" t="n"/>
      <c r="J3" s="3" t="n"/>
      <c r="K3" s="3" t="n"/>
      <c r="L3" s="3" t="n"/>
      <c r="M3" s="3" t="n"/>
      <c r="N3" s="3" t="n"/>
    </row>
    <row r="5" ht="18" customHeight="1">
      <c r="B5" s="12" t="inlineStr">
        <is>
          <t>SHARED BILLS</t>
        </is>
      </c>
      <c r="C5" s="13" t="n"/>
      <c r="D5" s="12" t="inlineStr">
        <is>
          <t>50/50 LEAVES A</t>
        </is>
      </c>
      <c r="E5" s="13" t="n"/>
      <c r="F5" s="12" t="inlineStr">
        <is>
          <t>50/50 LEAVES B</t>
        </is>
      </c>
      <c r="G5" s="13" t="n"/>
      <c r="H5" s="12" t="inlineStr">
        <is>
          <t>THE 50/50 GAP</t>
        </is>
      </c>
      <c r="I5" s="13" t="n"/>
      <c r="J5" s="12" t="inlineStr">
        <is>
          <t>A'S FAIR SHARE</t>
        </is>
      </c>
      <c r="K5" s="13" t="n"/>
      <c r="L5" s="12" t="inlineStr">
        <is>
          <t>B'S FAIR SHARE</t>
        </is>
      </c>
      <c r="M5" s="13" t="n"/>
    </row>
    <row r="6" ht="40" customHeight="1">
      <c r="B6" s="14">
        <f>SharedBills</f>
        <v/>
      </c>
      <c r="C6" s="15" t="n"/>
      <c r="D6" s="14">
        <f>LeftHalfA</f>
        <v/>
      </c>
      <c r="E6" s="15" t="n"/>
      <c r="F6" s="14">
        <f>LeftHalfB</f>
        <v/>
      </c>
      <c r="G6" s="15" t="n"/>
      <c r="H6" s="14">
        <f>HalfGap</f>
        <v/>
      </c>
      <c r="I6" s="15" t="n"/>
      <c r="J6" s="14">
        <f>FairA</f>
        <v/>
      </c>
      <c r="K6" s="15" t="n"/>
      <c r="L6" s="14">
        <f>FairB</f>
        <v/>
      </c>
      <c r="M6" s="15" t="n"/>
    </row>
    <row r="8" ht="18" customHeight="1">
      <c r="B8" s="12" t="inlineStr">
        <is>
          <t>YOU EACH KEEP</t>
        </is>
      </c>
      <c r="C8" s="13" t="n"/>
      <c r="D8" s="12" t="inlineStr">
        <is>
          <t>HOW CLOSE TO FAIR</t>
        </is>
      </c>
      <c r="E8" s="13" t="n"/>
      <c r="F8" s="12" t="inlineStr">
        <is>
          <t>CHORE SPLIT</t>
        </is>
      </c>
      <c r="G8" s="13" t="n"/>
      <c r="H8" s="12" t="inlineStr">
        <is>
          <t>EXTRA HOURS A YEAR</t>
        </is>
      </c>
      <c r="I8" s="13" t="n"/>
      <c r="J8" s="12" t="inlineStr">
        <is>
          <t>SAVED THIS MONTH</t>
        </is>
      </c>
      <c r="K8" s="13" t="n"/>
      <c r="L8" s="12" t="inlineStr">
        <is>
          <t>TOGETHER SCORE</t>
        </is>
      </c>
      <c r="M8" s="13" t="n"/>
    </row>
    <row r="9" ht="40" customHeight="1">
      <c r="B9" s="16">
        <f>KeepPctA</f>
        <v/>
      </c>
      <c r="C9" s="15" t="n"/>
      <c r="D9" s="16">
        <f>Fairness</f>
        <v/>
      </c>
      <c r="E9" s="15" t="n"/>
      <c r="F9" s="17">
        <f>ChoreRatio</f>
        <v/>
      </c>
      <c r="G9" s="15" t="n"/>
      <c r="H9" s="18">
        <f>ExtraHoursYear</f>
        <v/>
      </c>
      <c r="I9" s="15" t="n"/>
      <c r="J9" s="14">
        <f>SavedMonth</f>
        <v/>
      </c>
      <c r="K9" s="15" t="n"/>
      <c r="L9" s="19">
        <f>IFERROR(AVERAGE(HealthRange),0)</f>
        <v/>
      </c>
      <c r="M9" s="15" t="n"/>
    </row>
    <row r="11" ht="26" customHeight="1">
      <c r="B11" s="4" t="inlineStr">
        <is>
          <t>HOW THE TWO OF YOU ARE DOING</t>
        </is>
      </c>
      <c r="H11" s="4" t="inlineStr">
        <is>
          <t>SAVED BY MONTH</t>
        </is>
      </c>
    </row>
    <row r="12" ht="30" customHeight="1">
      <c r="B12" s="9" t="inlineStr">
        <is>
          <t>Check</t>
        </is>
      </c>
      <c r="C12" s="9" t="inlineStr">
        <is>
          <t>Score</t>
        </is>
      </c>
      <c r="D12" s="9" t="inlineStr">
        <is>
          <t>Status</t>
        </is>
      </c>
    </row>
    <row r="13">
      <c r="B13" s="20" t="inlineStr">
        <is>
          <t>Bills split fairly</t>
        </is>
      </c>
      <c r="C13" s="21">
        <f>IFERROR(MIN(Fairness/FairnessGoal,1),0)</f>
        <v/>
      </c>
      <c r="D13" s="22">
        <f>IF(C13&gt;=0.85,"Good",IF(C13&gt;=0.6,"OK","Talk about it"))</f>
        <v/>
      </c>
    </row>
    <row r="14">
      <c r="B14" s="23" t="inlineStr">
        <is>
          <t>Weekly check-ins happening</t>
        </is>
      </c>
      <c r="C14" s="24">
        <f>IFERROR(MIN(CheckinsDone/CheckinGoal,1),0)</f>
        <v/>
      </c>
      <c r="D14" s="25">
        <f>IF(C14&gt;=0.85,"Good",IF(C14&gt;=0.6,"OK","Talk about it"))</f>
        <v/>
      </c>
    </row>
    <row r="15">
      <c r="B15" s="20" t="inlineStr">
        <is>
          <t>Saving together</t>
        </is>
      </c>
      <c r="C15" s="21">
        <f>IFERROR(MIN(SavedMonth/SavingsGoal,1),0)</f>
        <v/>
      </c>
      <c r="D15" s="22">
        <f>IF(C15&gt;=0.85,"Good",IF(C15&gt;=0.6,"OK","Talk about it"))</f>
        <v/>
      </c>
    </row>
    <row r="16">
      <c r="B16" s="23" t="inlineStr">
        <is>
          <t>Goals on track</t>
        </is>
      </c>
      <c r="C16" s="24">
        <f>IFERROR(MIN(GoalsOnTrack/GoalsTotal,1),0)</f>
        <v/>
      </c>
      <c r="D16" s="25">
        <f>IF(C16&gt;=0.85,"Good",IF(C16&gt;=0.6,"OK","Talk about it"))</f>
        <v/>
      </c>
    </row>
    <row r="17">
      <c r="B17" s="20" t="inlineStr">
        <is>
          <t>Date nights happening</t>
        </is>
      </c>
      <c r="C17" s="21">
        <f>IFERROR(MIN(DateNights/DateGoal,1),0)</f>
        <v/>
      </c>
      <c r="D17" s="22">
        <f>IF(C17&gt;=0.85,"Good",IF(C17&gt;=0.6,"OK","Talk about it"))</f>
        <v/>
      </c>
    </row>
    <row r="18">
      <c r="B18" s="23" t="inlineStr">
        <is>
          <t>Housework shared evenly</t>
        </is>
      </c>
      <c r="C18" s="24">
        <f>IFERROR(MIN(ChoreGoal/ChoreRatio,1),0)</f>
        <v/>
      </c>
      <c r="D18" s="25">
        <f>IF(C18&gt;=0.85,"Good",IF(C18&gt;=0.6,"OK","Talk about it"))</f>
        <v/>
      </c>
    </row>
    <row r="21" ht="26" customHeight="1">
      <c r="B21" s="2" t="inlineStr">
        <is>
          <t>Relationship &amp; Couples Command Center™ — 50/50 is not the same as fair.</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2" customWidth="1" min="1" max="1"/>
    <col width="48" customWidth="1" min="2" max="2"/>
    <col width="20" customWidth="1" min="3" max="3"/>
    <col width="20" customWidth="1" min="4" max="4"/>
    <col width="2" customWidth="1" min="5" max="5"/>
  </cols>
  <sheetData>
    <row r="1" ht="46" customHeight="1">
      <c r="A1" s="1" t="inlineStr">
        <is>
          <t xml:space="preserve">  ⚖  FAIR SHARE — THE ENGINE</t>
        </is>
      </c>
    </row>
    <row r="2" ht="22" customHeight="1">
      <c r="A2" s="2" t="inlineStr">
        <is>
          <t xml:space="preserve">  Split the bills by what you each earn, not down the middle. Watch what changes.</t>
        </is>
      </c>
    </row>
    <row r="3" ht="6" customHeight="1">
      <c r="A3" s="3" t="n"/>
      <c r="B3" s="3" t="n"/>
      <c r="C3" s="3" t="n"/>
      <c r="D3" s="3" t="n"/>
    </row>
    <row r="5">
      <c r="B5" s="4" t="inlineStr">
        <is>
          <t>WHAT YOU EACH BRING HOME</t>
        </is>
      </c>
    </row>
    <row r="6">
      <c r="B6" s="26" t="inlineStr"/>
      <c r="C6" s="9">
        <f>PartnerA</f>
        <v/>
      </c>
      <c r="D6" s="9">
        <f>PartnerB</f>
        <v/>
      </c>
    </row>
    <row r="7">
      <c r="B7" s="26" t="inlineStr">
        <is>
          <t>Monthly income after tax</t>
        </is>
      </c>
      <c r="C7" s="27">
        <f>IncomeA</f>
        <v/>
      </c>
      <c r="D7" s="27">
        <f>IncomeB</f>
        <v/>
      </c>
    </row>
    <row r="8">
      <c r="B8" s="26" t="inlineStr">
        <is>
          <t>Share of your combined income</t>
        </is>
      </c>
      <c r="C8" s="28">
        <f>IFERROR(IncomeA/(IncomeA+IncomeB),0)</f>
        <v/>
      </c>
      <c r="D8" s="28">
        <f>IFERROR(IncomeB/(IncomeA+IncomeB),0)</f>
        <v/>
      </c>
    </row>
    <row r="10">
      <c r="B10" s="4" t="inlineStr">
        <is>
          <t>THE 50/50 SPLIT \u2014 WHAT IT LOOKS LIKE</t>
        </is>
      </c>
    </row>
    <row r="11">
      <c r="B11" s="26" t="inlineStr">
        <is>
          <t>Each of you pays half the shared bills</t>
        </is>
      </c>
      <c r="C11" s="27">
        <f>SharedBills/2</f>
        <v/>
      </c>
      <c r="D11" s="27">
        <f>SharedBills/2</f>
        <v/>
      </c>
    </row>
    <row r="12">
      <c r="B12" s="9">
        <f> WHAT'S LEFT FOR EACH OF YOU</f>
        <v/>
      </c>
      <c r="C12" s="29">
        <f>IncomeA-SharedBills/2</f>
        <v/>
      </c>
      <c r="D12" s="30">
        <f>IncomeB-SharedBills/2</f>
        <v/>
      </c>
    </row>
    <row r="13">
      <c r="B13" s="26" t="inlineStr">
        <is>
          <t>…as a share of your own income</t>
        </is>
      </c>
      <c r="C13" s="28">
        <f>IFERROR((IncomeA-SharedBills/2)/IncomeA,0)</f>
        <v/>
      </c>
      <c r="D13" s="28">
        <f>IFERROR((IncomeB-SharedBills/2)/IncomeB,0)</f>
        <v/>
      </c>
    </row>
    <row r="14">
      <c r="B14" s="9">
        <f> THE GAP BETWEEN YOU, EVERY MONTH</f>
        <v/>
      </c>
      <c r="C14" s="31">
        <f>ABS(LeftHalfB-LeftHalfA)</f>
        <v/>
      </c>
    </row>
    <row r="16">
      <c r="B16" s="4" t="inlineStr">
        <is>
          <t>THE PROPORTIONAL SPLIT \u2014 THE FAIR ONE</t>
        </is>
      </c>
    </row>
    <row r="17">
      <c r="B17" s="26" t="inlineStr">
        <is>
          <t>Each of you pays your share of the bills</t>
        </is>
      </c>
      <c r="C17" s="32">
        <f>SharedBills*ShareA</f>
        <v/>
      </c>
      <c r="D17" s="32">
        <f>SharedBills*ShareB</f>
        <v/>
      </c>
    </row>
    <row r="18">
      <c r="B18" s="9">
        <f> WHAT'S LEFT FOR EACH OF YOU</f>
        <v/>
      </c>
      <c r="C18" s="33">
        <f>IncomeA-FairA</f>
        <v/>
      </c>
      <c r="D18" s="33">
        <f>IncomeB-FairB</f>
        <v/>
      </c>
    </row>
    <row r="19">
      <c r="B19" s="9">
        <f> …AS A SHARE OF YOUR OWN INCOME</f>
        <v/>
      </c>
      <c r="C19" s="34">
        <f>IFERROR((IncomeA-FairA)/IncomeA,0)</f>
        <v/>
      </c>
      <c r="D19" s="34">
        <f>IFERROR((IncomeB-FairB)/IncomeB,0)</f>
        <v/>
      </c>
    </row>
    <row r="20">
      <c r="B20" s="4" t="inlineStr">
        <is>
          <t>Identical. That is the entire point of this page.</t>
        </is>
      </c>
    </row>
    <row r="22">
      <c r="B22" s="4" t="inlineStr">
        <is>
          <t>WHAT YOU'RE ACTUALLY PAYING RIGHT NOW</t>
        </is>
      </c>
    </row>
    <row r="23">
      <c r="B23" s="26" t="inlineStr">
        <is>
          <t>Enter what each of you actually transfers</t>
        </is>
      </c>
      <c r="C23" s="35" t="n">
        <v>1563.2</v>
      </c>
      <c r="D23" s="35" t="n">
        <v>2344.8</v>
      </c>
    </row>
    <row r="24">
      <c r="B24" s="26" t="inlineStr">
        <is>
          <t>Difference from your fair share</t>
        </is>
      </c>
      <c r="C24" s="27">
        <f>PaysA-FairA</f>
        <v/>
      </c>
      <c r="D24" s="27">
        <f>PaysB-FairB</f>
        <v/>
      </c>
    </row>
    <row r="25">
      <c r="B25" s="9">
        <f> HOW CLOSE YOU ARE TO FAIR</f>
        <v/>
      </c>
      <c r="C25" s="34">
        <f>IFERROR(1-(ABS(PaysA-FairA)+ABS(PaysB-FairB))/SharedBills,0)</f>
        <v/>
      </c>
    </row>
    <row r="27">
      <c r="B27" s="4" t="inlineStr">
        <is>
          <t>If one income changes, come back to this page. It is a five-minute conversation, once.</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2" customWidth="1" min="1" max="1"/>
    <col width="32" customWidth="1" min="2" max="2"/>
    <col width="18" customWidth="1" min="3" max="3"/>
    <col width="18" customWidth="1" min="4" max="4"/>
    <col width="26" customWidth="1" min="5" max="5"/>
    <col width="18" customWidth="1" min="6" max="6"/>
    <col width="2" customWidth="1" min="7" max="7"/>
  </cols>
  <sheetData>
    <row r="1" ht="46" customHeight="1">
      <c r="A1" s="1" t="inlineStr">
        <is>
          <t xml:space="preserve">  🧾  SHARED BILLS</t>
        </is>
      </c>
    </row>
    <row r="2" ht="22" customHeight="1">
      <c r="A2" s="2" t="inlineStr">
        <is>
          <t xml:space="preserve">  Everything the two of you pay for together. Everything.</t>
        </is>
      </c>
    </row>
    <row r="3" ht="6" customHeight="1">
      <c r="A3" s="3" t="n"/>
      <c r="B3" s="3" t="n"/>
      <c r="C3" s="3" t="n"/>
      <c r="D3" s="3" t="n"/>
      <c r="E3" s="3" t="n"/>
      <c r="F3" s="3" t="n"/>
    </row>
    <row r="4" ht="30" customHeight="1">
      <c r="B4" s="9" t="inlineStr">
        <is>
          <t>Bill</t>
        </is>
      </c>
      <c r="C4" s="9" t="inlineStr">
        <is>
          <t>Category</t>
        </is>
      </c>
      <c r="D4" s="9" t="inlineStr">
        <is>
          <t>Monthly</t>
        </is>
      </c>
      <c r="E4" s="9" t="inlineStr">
        <is>
          <t>Who pays it</t>
        </is>
      </c>
      <c r="F4" s="9" t="inlineStr">
        <is>
          <t>Yearly</t>
        </is>
      </c>
    </row>
    <row r="5">
      <c r="B5" s="20" t="inlineStr">
        <is>
          <t>Rent</t>
        </is>
      </c>
      <c r="C5" s="22" t="inlineStr">
        <is>
          <t>Home</t>
        </is>
      </c>
      <c r="D5" s="36" t="n">
        <v>2150</v>
      </c>
      <c r="E5" s="37" t="inlineStr">
        <is>
          <t>Joint account</t>
        </is>
      </c>
      <c r="F5" s="38">
        <f>D5*12</f>
        <v/>
      </c>
    </row>
    <row r="6">
      <c r="B6" s="23" t="inlineStr">
        <is>
          <t>Utilities</t>
        </is>
      </c>
      <c r="C6" s="25" t="inlineStr">
        <is>
          <t>Utilities</t>
        </is>
      </c>
      <c r="D6" s="39" t="n">
        <v>245</v>
      </c>
      <c r="E6" s="40" t="inlineStr">
        <is>
          <t>Joint account</t>
        </is>
      </c>
      <c r="F6" s="41">
        <f>D6*12</f>
        <v/>
      </c>
    </row>
    <row r="7">
      <c r="B7" s="20" t="inlineStr">
        <is>
          <t>Groceries</t>
        </is>
      </c>
      <c r="C7" s="22" t="inlineStr">
        <is>
          <t>Food</t>
        </is>
      </c>
      <c r="D7" s="36" t="n">
        <v>680</v>
      </c>
      <c r="E7" s="37" t="inlineStr">
        <is>
          <t>Joint account</t>
        </is>
      </c>
      <c r="F7" s="38">
        <f>D7*12</f>
        <v/>
      </c>
    </row>
    <row r="8">
      <c r="B8" s="23" t="inlineStr">
        <is>
          <t>Internet &amp; phones</t>
        </is>
      </c>
      <c r="C8" s="25" t="inlineStr">
        <is>
          <t>Utilities</t>
        </is>
      </c>
      <c r="D8" s="39" t="n">
        <v>145</v>
      </c>
      <c r="E8" s="40" t="inlineStr">
        <is>
          <t>Joint account</t>
        </is>
      </c>
      <c r="F8" s="41">
        <f>D8*12</f>
        <v/>
      </c>
    </row>
    <row r="9">
      <c r="B9" s="20" t="inlineStr">
        <is>
          <t>Insurance</t>
        </is>
      </c>
      <c r="C9" s="22" t="inlineStr">
        <is>
          <t>Insurance</t>
        </is>
      </c>
      <c r="D9" s="36" t="n">
        <v>190</v>
      </c>
      <c r="E9" s="37" t="inlineStr">
        <is>
          <t>Joint account</t>
        </is>
      </c>
      <c r="F9" s="38">
        <f>D9*12</f>
        <v/>
      </c>
    </row>
    <row r="10">
      <c r="B10" s="23" t="inlineStr">
        <is>
          <t>Car &amp; transit</t>
        </is>
      </c>
      <c r="C10" s="25" t="inlineStr">
        <is>
          <t>Transport</t>
        </is>
      </c>
      <c r="D10" s="39" t="n">
        <v>310</v>
      </c>
      <c r="E10" s="40" t="inlineStr">
        <is>
          <t>Joint account</t>
        </is>
      </c>
      <c r="F10" s="41">
        <f>D10*12</f>
        <v/>
      </c>
    </row>
    <row r="11">
      <c r="B11" s="20" t="inlineStr">
        <is>
          <t>Subscriptions</t>
        </is>
      </c>
      <c r="C11" s="22" t="inlineStr">
        <is>
          <t>Fun</t>
        </is>
      </c>
      <c r="D11" s="36" t="n">
        <v>68</v>
      </c>
      <c r="E11" s="37" t="inlineStr">
        <is>
          <t>Joint account</t>
        </is>
      </c>
      <c r="F11" s="38">
        <f>D11*12</f>
        <v/>
      </c>
    </row>
    <row r="12">
      <c r="B12" s="23" t="inlineStr">
        <is>
          <t>Household &amp; repairs</t>
        </is>
      </c>
      <c r="C12" s="25" t="inlineStr">
        <is>
          <t>Home</t>
        </is>
      </c>
      <c r="D12" s="39" t="n">
        <v>120</v>
      </c>
      <c r="E12" s="40" t="inlineStr">
        <is>
          <t>Joint account</t>
        </is>
      </c>
      <c r="F12" s="41">
        <f>D12*12</f>
        <v/>
      </c>
    </row>
    <row r="13">
      <c r="B13" s="9">
        <f> SHARED BILLS / MONTH</f>
        <v/>
      </c>
      <c r="C13" s="42" t="n"/>
      <c r="D13" s="43">
        <f>SUM(BillAmount)</f>
        <v/>
      </c>
      <c r="E13" s="42" t="n"/>
      <c r="F13" s="44">
        <f>SharedBills*12</f>
        <v/>
      </c>
    </row>
    <row r="15">
      <c r="B15" s="4" t="inlineStr">
        <is>
          <t>If one of you doesn't know what a bill costs, that's the first thing to fix.</t>
        </is>
      </c>
    </row>
  </sheetData>
  <mergeCells count="2">
    <mergeCell ref="A2:F2"/>
    <mergeCell ref="A1:F1"/>
  </mergeCells>
  <dataValidations count="2">
    <dataValidation sqref="C5:C12" showDropDown="0" showInputMessage="0" showErrorMessage="0" allowBlank="1" type="list">
      <formula1>=BillCatList</formula1>
    </dataValidation>
    <dataValidation sqref="E5:E12" showDropDown="0" showInputMessage="0" showErrorMessage="0" allowBlank="1" type="list">
      <formula1>=WhoPaysList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pane ySplit="5" topLeftCell="A6"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16" customWidth="1" min="5" max="5"/>
    <col width="18" customWidth="1" min="6" max="6"/>
    <col width="2" customWidth="1" min="7" max="7"/>
  </cols>
  <sheetData>
    <row r="1" ht="46" customHeight="1">
      <c r="A1" s="1" t="inlineStr">
        <is>
          <t xml:space="preserve">  🧺  INVISIBLE LABOUR</t>
        </is>
      </c>
    </row>
    <row r="2" ht="22" customHeight="1">
      <c r="A2" s="2" t="inlineStr">
        <is>
          <t xml:space="preserve">  Hours a week. Fill it in separately, then compare. The gap is the conversation.</t>
        </is>
      </c>
    </row>
    <row r="3" ht="6" customHeight="1">
      <c r="A3" s="3" t="n"/>
      <c r="B3" s="3" t="n"/>
      <c r="C3" s="3" t="n"/>
      <c r="D3" s="3" t="n"/>
      <c r="E3" s="3" t="n"/>
      <c r="F3" s="3" t="n"/>
    </row>
    <row r="4">
      <c r="B4" s="4" t="inlineStr">
        <is>
          <t>Include the remembering, not just the doing. Knowing the dog is due at the vet IS the work.</t>
        </is>
      </c>
    </row>
    <row r="5" ht="30" customHeight="1">
      <c r="B5" s="9" t="inlineStr">
        <is>
          <t>Task</t>
        </is>
      </c>
      <c r="C5" s="9">
        <f>PartnerA</f>
        <v/>
      </c>
      <c r="D5" s="9">
        <f>PartnerB</f>
        <v/>
      </c>
      <c r="E5" s="9" t="inlineStr">
        <is>
          <t>Gap</t>
        </is>
      </c>
      <c r="F5" s="9" t="inlineStr">
        <is>
          <t>Who it falls on</t>
        </is>
      </c>
    </row>
    <row r="6">
      <c r="B6" s="20" t="inlineStr">
        <is>
          <t>Cooking</t>
        </is>
      </c>
      <c r="C6" s="45" t="n">
        <v>5.5</v>
      </c>
      <c r="D6" s="45" t="n">
        <v>0.5</v>
      </c>
      <c r="E6" s="46">
        <f>ABS(C6-D6)</f>
        <v/>
      </c>
      <c r="F6" s="22">
        <f>IF(C6&gt;D6,PartnerA,IF(D6&gt;C6,PartnerB,"Even"))</f>
        <v/>
      </c>
    </row>
    <row r="7">
      <c r="B7" s="23" t="inlineStr">
        <is>
          <t>Cleaning</t>
        </is>
      </c>
      <c r="C7" s="47" t="n">
        <v>4</v>
      </c>
      <c r="D7" s="47" t="n">
        <v>1</v>
      </c>
      <c r="E7" s="48">
        <f>ABS(C7-D7)</f>
        <v/>
      </c>
      <c r="F7" s="25">
        <f>IF(C7&gt;D7,PartnerA,IF(D7&gt;C7,PartnerB,"Even"))</f>
        <v/>
      </c>
    </row>
    <row r="8">
      <c r="B8" s="20" t="inlineStr">
        <is>
          <t>Laundry</t>
        </is>
      </c>
      <c r="C8" s="45" t="n">
        <v>2.5</v>
      </c>
      <c r="D8" s="45" t="n">
        <v>0.5</v>
      </c>
      <c r="E8" s="46">
        <f>ABS(C8-D8)</f>
        <v/>
      </c>
      <c r="F8" s="22">
        <f>IF(C8&gt;D8,PartnerA,IF(D8&gt;C8,PartnerB,"Even"))</f>
        <v/>
      </c>
    </row>
    <row r="9">
      <c r="B9" s="23" t="inlineStr">
        <is>
          <t>Shopping &amp; errands</t>
        </is>
      </c>
      <c r="C9" s="47" t="n">
        <v>3</v>
      </c>
      <c r="D9" s="47" t="n">
        <v>0.5</v>
      </c>
      <c r="E9" s="48">
        <f>ABS(C9-D9)</f>
        <v/>
      </c>
      <c r="F9" s="25">
        <f>IF(C9&gt;D9,PartnerA,IF(D9&gt;C9,PartnerB,"Even"))</f>
        <v/>
      </c>
    </row>
    <row r="10">
      <c r="B10" s="20" t="inlineStr">
        <is>
          <t>Admin, bills &amp; appointments</t>
        </is>
      </c>
      <c r="C10" s="45" t="n">
        <v>3</v>
      </c>
      <c r="D10" s="45" t="n">
        <v>0.5</v>
      </c>
      <c r="E10" s="46">
        <f>ABS(C10-D10)</f>
        <v/>
      </c>
      <c r="F10" s="22">
        <f>IF(C10&gt;D10,PartnerA,IF(D10&gt;C10,PartnerB,"Even"))</f>
        <v/>
      </c>
    </row>
    <row r="11">
      <c r="B11" s="23" t="inlineStr">
        <is>
          <t>Planning &amp; remembering — the mental load</t>
        </is>
      </c>
      <c r="C11" s="47" t="n">
        <v>4</v>
      </c>
      <c r="D11" s="47" t="n">
        <v>0.5</v>
      </c>
      <c r="E11" s="48">
        <f>ABS(C11-D11)</f>
        <v/>
      </c>
      <c r="F11" s="25">
        <f>IF(C11&gt;D11,PartnerA,IF(D11&gt;C11,PartnerB,"Even"))</f>
        <v/>
      </c>
    </row>
    <row r="12">
      <c r="B12" s="20" t="inlineStr">
        <is>
          <t>Pets</t>
        </is>
      </c>
      <c r="C12" s="45" t="n">
        <v>1</v>
      </c>
      <c r="D12" s="45" t="n">
        <v>1.5</v>
      </c>
      <c r="E12" s="46">
        <f>ABS(C12-D12)</f>
        <v/>
      </c>
      <c r="F12" s="22">
        <f>IF(C12&gt;D12,PartnerA,IF(D12&gt;C12,PartnerB,"Even"))</f>
        <v/>
      </c>
    </row>
    <row r="13">
      <c r="B13" s="23" t="inlineStr">
        <is>
          <t>Yard, car &amp; repairs</t>
        </is>
      </c>
      <c r="C13" s="47" t="n">
        <v>0</v>
      </c>
      <c r="D13" s="47" t="n">
        <v>3</v>
      </c>
      <c r="E13" s="48">
        <f>ABS(C13-D13)</f>
        <v/>
      </c>
      <c r="F13" s="25">
        <f>IF(C13&gt;D13,PartnerA,IF(D13&gt;C13,PartnerB,"Even"))</f>
        <v/>
      </c>
    </row>
    <row r="14">
      <c r="B14" s="9" t="inlineStr">
        <is>
          <t>HOURS A WEEK</t>
        </is>
      </c>
      <c r="C14" s="49">
        <f>SUM(ChoreA)</f>
        <v/>
      </c>
      <c r="D14" s="49">
        <f>SUM(ChoreB)</f>
        <v/>
      </c>
      <c r="E14" s="50">
        <f>ABS(HoursA-HoursB)</f>
        <v/>
      </c>
    </row>
    <row r="16">
      <c r="B16" s="9">
        <f> ONE OF YOU IS DOING THIS MUCH MORE</f>
        <v/>
      </c>
      <c r="C16" s="51">
        <f>IFERROR(MAX(HoursA,HoursB)/MIN(HoursA,HoursB),0)</f>
        <v/>
      </c>
      <c r="D16" s="22">
        <f>IF(HoursA&gt;HoursB,PartnerA,PartnerB)</f>
        <v/>
      </c>
    </row>
    <row r="17">
      <c r="B17" s="9">
        <f> EXTRA HOURS A YEAR</f>
        <v/>
      </c>
      <c r="C17" s="52">
        <f>ABS(HoursA-HoursB)*52</f>
        <v/>
      </c>
    </row>
    <row r="18">
      <c r="B18" s="26" t="inlineStr">
        <is>
          <t>…which is this many full working weeks</t>
        </is>
      </c>
      <c r="C18" s="53">
        <f>ExtraHoursYear/40</f>
        <v/>
      </c>
    </row>
    <row r="20">
      <c r="B20" s="4" t="inlineStr">
        <is>
          <t>Nobody is lying when the columns don't match. The work you don't do is genuinely hard to see.</t>
        </is>
      </c>
    </row>
    <row r="21">
      <c r="B21" s="26" t="inlineStr">
        <is>
          <t>Pick ONE row to move this month. Not all of them. One.</t>
        </is>
      </c>
    </row>
  </sheetData>
  <mergeCells count="2">
    <mergeCell ref="A2:F2"/>
    <mergeCell ref="A1:F1"/>
  </mergeCells>
  <conditionalFormatting sqref="E6:E13">
    <cfRule type="dataBar" priority="1">
      <dataBar>
        <cfvo type="min"/>
        <cfvo type="max"/>
        <color rgb="00C9A86A"/>
      </dataBar>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2" customWidth="1" min="1" max="1"/>
    <col width="34" customWidth="1" min="2" max="2"/>
    <col width="18" customWidth="1" min="3" max="3"/>
    <col width="18" customWidth="1" min="4" max="4"/>
    <col width="16" customWidth="1" min="5" max="5"/>
    <col width="16" customWidth="1" min="6" max="6"/>
    <col width="16" customWidth="1" min="7" max="7"/>
    <col width="2" customWidth="1" min="8" max="8"/>
  </cols>
  <sheetData>
    <row r="1" ht="46" customHeight="1">
      <c r="A1" s="1" t="inlineStr">
        <is>
          <t xml:space="preserve">  🎯  MONEY GOALS</t>
        </is>
      </c>
    </row>
    <row r="2" ht="22" customHeight="1">
      <c r="A2" s="2" t="inlineStr">
        <is>
          <t xml:space="preserve">  What you're building together — and whether it's actually happening.</t>
        </is>
      </c>
    </row>
    <row r="3" ht="6" customHeight="1">
      <c r="A3" s="3" t="n"/>
      <c r="B3" s="3" t="n"/>
      <c r="C3" s="3" t="n"/>
      <c r="D3" s="3" t="n"/>
      <c r="E3" s="3" t="n"/>
      <c r="F3" s="3" t="n"/>
      <c r="G3" s="3" t="n"/>
    </row>
    <row r="4" ht="30" customHeight="1">
      <c r="B4" s="9" t="inlineStr">
        <is>
          <t>Goal</t>
        </is>
      </c>
      <c r="C4" s="9" t="inlineStr">
        <is>
          <t>Target</t>
        </is>
      </c>
      <c r="D4" s="9" t="inlineStr">
        <is>
          <t>Saved</t>
        </is>
      </c>
      <c r="E4" s="9" t="inlineStr">
        <is>
          <t>By when</t>
        </is>
      </c>
      <c r="F4" s="9" t="inlineStr">
        <is>
          <t>Status</t>
        </is>
      </c>
      <c r="G4" s="9" t="inlineStr">
        <is>
          <t>Progress</t>
        </is>
      </c>
    </row>
    <row r="5">
      <c r="B5" s="20" t="inlineStr">
        <is>
          <t>Emergency fund — 6 months</t>
        </is>
      </c>
      <c r="C5" s="36" t="n">
        <v>18000</v>
      </c>
      <c r="D5" s="36" t="n">
        <v>11400</v>
      </c>
      <c r="E5" s="22" t="inlineStr">
        <is>
          <t>Jun 2027</t>
        </is>
      </c>
      <c r="F5" s="37" t="inlineStr">
        <is>
          <t>On track</t>
        </is>
      </c>
      <c r="G5" s="21">
        <f>IFERROR(D5/C5,0)</f>
        <v/>
      </c>
    </row>
    <row r="6">
      <c r="B6" s="23" t="inlineStr">
        <is>
          <t>House deposit</t>
        </is>
      </c>
      <c r="C6" s="39" t="n">
        <v>45000</v>
      </c>
      <c r="D6" s="39" t="n">
        <v>16800</v>
      </c>
      <c r="E6" s="25" t="inlineStr">
        <is>
          <t>2029</t>
        </is>
      </c>
      <c r="F6" s="40" t="inlineStr">
        <is>
          <t>On track</t>
        </is>
      </c>
      <c r="G6" s="24">
        <f>IFERROR(D6/C6,0)</f>
        <v/>
      </c>
    </row>
    <row r="7">
      <c r="B7" s="20" t="inlineStr">
        <is>
          <t>Trip — Portugal</t>
        </is>
      </c>
      <c r="C7" s="36" t="n">
        <v>3600</v>
      </c>
      <c r="D7" s="36" t="n">
        <v>2150</v>
      </c>
      <c r="E7" s="22" t="inlineStr">
        <is>
          <t>May 2027</t>
        </is>
      </c>
      <c r="F7" s="37" t="inlineStr">
        <is>
          <t>Ahead</t>
        </is>
      </c>
      <c r="G7" s="21">
        <f>IFERROR(D7/C7,0)</f>
        <v/>
      </c>
    </row>
    <row r="8">
      <c r="B8" s="23" t="inlineStr">
        <is>
          <t>New car fund</t>
        </is>
      </c>
      <c r="C8" s="39" t="n">
        <v>9000</v>
      </c>
      <c r="D8" s="39" t="n">
        <v>3400</v>
      </c>
      <c r="E8" s="25" t="inlineStr">
        <is>
          <t>2028</t>
        </is>
      </c>
      <c r="F8" s="40" t="inlineStr">
        <is>
          <t>On track</t>
        </is>
      </c>
      <c r="G8" s="24">
        <f>IFERROR(D8/C8,0)</f>
        <v/>
      </c>
    </row>
    <row r="9">
      <c r="B9" s="20" t="inlineStr">
        <is>
          <t>Christmas &amp; birthdays</t>
        </is>
      </c>
      <c r="C9" s="36" t="n">
        <v>1800</v>
      </c>
      <c r="D9" s="36" t="n">
        <v>900</v>
      </c>
      <c r="E9" s="22" t="inlineStr">
        <is>
          <t>Dec 2026</t>
        </is>
      </c>
      <c r="F9" s="37" t="inlineStr">
        <is>
          <t>On track</t>
        </is>
      </c>
      <c r="G9" s="21">
        <f>IFERROR(D9/C9,0)</f>
        <v/>
      </c>
    </row>
    <row r="10">
      <c r="B10" s="9" t="inlineStr">
        <is>
          <t>ALL GOALS</t>
        </is>
      </c>
      <c r="C10" s="54">
        <f>SUM(GoalTarget)</f>
        <v/>
      </c>
      <c r="D10" s="44">
        <f>SUM(GoalSaved)</f>
        <v/>
      </c>
    </row>
    <row r="12">
      <c r="B12" s="26" t="inlineStr">
        <is>
          <t>Goals on track or better</t>
        </is>
      </c>
      <c r="D12" s="55">
        <f>COUNTIF(GoalStatusCol,"On track")+COUNTIF(GoalStatusCol,"Ahead")+COUNTIF(GoalStatusCol,"Done")</f>
        <v/>
      </c>
    </row>
    <row r="13">
      <c r="B13" s="26" t="inlineStr">
        <is>
          <t>Goals in total</t>
        </is>
      </c>
      <c r="D13" s="56">
        <f>COUNTA(GoalTarget)</f>
        <v/>
      </c>
    </row>
  </sheetData>
  <mergeCells count="2">
    <mergeCell ref="A2:G2"/>
    <mergeCell ref="A1:G1"/>
  </mergeCells>
  <conditionalFormatting sqref="G5:G9">
    <cfRule type="dataBar" priority="1">
      <dataBar>
        <cfvo type="num" val="0"/>
        <cfvo type="num" val="1"/>
        <color rgb="0075E6C1"/>
      </dataBar>
    </cfRule>
  </conditionalFormatting>
  <dataValidations count="1">
    <dataValidation sqref="F5:F9" showDropDown="0" showInputMessage="0" showErrorMessage="0" allowBlank="1" type="list">
      <formula1>=GoalStatusList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
  <sheetViews>
    <sheetView showGridLines="0" workbookViewId="0">
      <pane ySplit="4" topLeftCell="A5" activePane="bottomLeft" state="frozen"/>
      <selection pane="bottomLeft" activeCell="A1" sqref="A1"/>
    </sheetView>
  </sheetViews>
  <sheetFormatPr baseColWidth="8" defaultRowHeight="15"/>
  <cols>
    <col width="2" customWidth="1" min="1" max="1"/>
    <col width="32" customWidth="1" min="2" max="2"/>
    <col width="18" customWidth="1" min="3" max="3"/>
    <col width="18" customWidth="1" min="4" max="4"/>
    <col width="18" customWidth="1" min="5" max="5"/>
    <col width="2" customWidth="1" min="6" max="6"/>
  </cols>
  <sheetData>
    <row r="1" ht="46" customHeight="1">
      <c r="A1" s="1" t="inlineStr">
        <is>
          <t xml:space="preserve">  🏦  SAVINGS &amp; SINKING FUNDS</t>
        </is>
      </c>
    </row>
    <row r="2" ht="22" customHeight="1">
      <c r="A2" s="2" t="inlineStr">
        <is>
          <t xml:space="preserve">  Small amounts, every month, into named pots.</t>
        </is>
      </c>
    </row>
    <row r="3" ht="6" customHeight="1">
      <c r="A3" s="3" t="n"/>
      <c r="B3" s="3" t="n"/>
      <c r="C3" s="3" t="n"/>
      <c r="D3" s="3" t="n"/>
      <c r="E3" s="3" t="n"/>
    </row>
    <row r="4" ht="30" customHeight="1">
      <c r="B4" s="9" t="inlineStr">
        <is>
          <t>Fund</t>
        </is>
      </c>
      <c r="C4" s="9" t="inlineStr">
        <is>
          <t>Monthly</t>
        </is>
      </c>
      <c r="D4" s="9" t="inlineStr">
        <is>
          <t>Balance</t>
        </is>
      </c>
      <c r="E4" s="9" t="inlineStr">
        <is>
          <t>Yearly</t>
        </is>
      </c>
    </row>
    <row r="5">
      <c r="B5" s="57" t="inlineStr">
        <is>
          <t>Emergency fund</t>
        </is>
      </c>
      <c r="C5" s="58" t="n">
        <v>400</v>
      </c>
      <c r="D5" s="58" t="n">
        <v>11400</v>
      </c>
      <c r="E5" s="58">
        <f>C5*12</f>
        <v/>
      </c>
    </row>
    <row r="6">
      <c r="B6" s="23" t="inlineStr">
        <is>
          <t>House deposit</t>
        </is>
      </c>
      <c r="C6" s="41" t="n">
        <v>300</v>
      </c>
      <c r="D6" s="41" t="n">
        <v>16800</v>
      </c>
      <c r="E6" s="41">
        <f>C6*12</f>
        <v/>
      </c>
    </row>
    <row r="7">
      <c r="B7" s="57" t="inlineStr">
        <is>
          <t>Trip fund</t>
        </is>
      </c>
      <c r="C7" s="58" t="n">
        <v>120</v>
      </c>
      <c r="D7" s="58" t="n">
        <v>2150</v>
      </c>
      <c r="E7" s="58">
        <f>C7*12</f>
        <v/>
      </c>
    </row>
    <row r="8">
      <c r="B8" s="23" t="inlineStr">
        <is>
          <t>Car fund</t>
        </is>
      </c>
      <c r="C8" s="41" t="n">
        <v>80</v>
      </c>
      <c r="D8" s="41" t="n">
        <v>3400</v>
      </c>
      <c r="E8" s="41">
        <f>C8*12</f>
        <v/>
      </c>
    </row>
    <row r="9">
      <c r="B9" s="57" t="inlineStr">
        <is>
          <t>Gifts &amp; Christmas</t>
        </is>
      </c>
      <c r="C9" s="58" t="n">
        <v>40</v>
      </c>
      <c r="D9" s="58" t="n">
        <v>900</v>
      </c>
      <c r="E9" s="58">
        <f>C9*12</f>
        <v/>
      </c>
    </row>
    <row r="10">
      <c r="B10" s="23" t="n"/>
      <c r="C10" s="41" t="n"/>
      <c r="D10" s="41" t="n"/>
      <c r="E10" s="41" t="n"/>
    </row>
    <row r="11">
      <c r="B11" s="57" t="n"/>
      <c r="C11" s="58" t="n"/>
      <c r="D11" s="58" t="n"/>
      <c r="E11" s="58" t="n"/>
    </row>
    <row r="12">
      <c r="B12" s="23" t="n"/>
      <c r="C12" s="41" t="n"/>
      <c r="D12" s="41" t="n"/>
      <c r="E12" s="41" t="n"/>
    </row>
    <row r="13">
      <c r="B13" s="57" t="n"/>
      <c r="C13" s="58" t="n"/>
      <c r="D13" s="58" t="n"/>
      <c r="E13" s="58" t="n"/>
    </row>
    <row r="14">
      <c r="B14" s="23" t="n"/>
      <c r="C14" s="41" t="n"/>
      <c r="D14" s="41" t="n"/>
      <c r="E14" s="41" t="n"/>
    </row>
    <row r="15">
      <c r="B15" s="57" t="n"/>
      <c r="C15" s="58" t="n"/>
      <c r="D15" s="58" t="n"/>
      <c r="E15" s="58" t="n"/>
    </row>
    <row r="16">
      <c r="B16" s="23" t="n"/>
      <c r="C16" s="41" t="n"/>
      <c r="D16" s="41" t="n"/>
      <c r="E16" s="41" t="n"/>
    </row>
    <row r="17">
      <c r="B17" s="57" t="n"/>
      <c r="C17" s="58" t="n"/>
      <c r="D17" s="58" t="n"/>
      <c r="E17" s="58" t="n"/>
    </row>
    <row r="18">
      <c r="B18" s="23" t="n"/>
      <c r="C18" s="41" t="n"/>
      <c r="D18" s="41" t="n"/>
      <c r="E18" s="41" t="n"/>
    </row>
    <row r="19">
      <c r="B19" s="57" t="n"/>
      <c r="C19" s="58" t="n"/>
      <c r="D19" s="58" t="n"/>
      <c r="E19" s="58" t="n"/>
    </row>
    <row r="20">
      <c r="B20" s="23" t="n"/>
      <c r="C20" s="41" t="n"/>
      <c r="D20" s="41" t="n"/>
      <c r="E20" s="41" t="n"/>
    </row>
    <row r="21">
      <c r="B21" s="57" t="n"/>
      <c r="C21" s="58" t="n"/>
      <c r="D21" s="58" t="n"/>
      <c r="E21" s="58" t="n"/>
    </row>
    <row r="22">
      <c r="B22" s="23" t="n"/>
      <c r="C22" s="41" t="n"/>
      <c r="D22" s="41" t="n"/>
      <c r="E22" s="41" t="n"/>
    </row>
    <row r="23">
      <c r="B23" s="57" t="n"/>
      <c r="C23" s="58" t="n"/>
      <c r="D23" s="58" t="n"/>
      <c r="E23" s="58" t="n"/>
    </row>
    <row r="24">
      <c r="B24" s="23" t="n"/>
      <c r="C24" s="41" t="n"/>
      <c r="D24" s="41" t="n"/>
      <c r="E24" s="41" t="n"/>
    </row>
    <row r="25">
      <c r="B25" s="57" t="n"/>
      <c r="C25" s="58" t="n"/>
      <c r="D25" s="58" t="n"/>
      <c r="E25" s="58" t="n"/>
    </row>
    <row r="26">
      <c r="B26" s="23" t="n"/>
      <c r="C26" s="41" t="n"/>
      <c r="D26" s="41" t="n"/>
      <c r="E26" s="41" t="n"/>
    </row>
    <row r="27">
      <c r="B27" s="57" t="n"/>
      <c r="C27" s="58" t="n"/>
      <c r="D27" s="58" t="n"/>
      <c r="E27" s="58" t="n"/>
    </row>
    <row r="28">
      <c r="B28" s="23" t="n"/>
      <c r="C28" s="41" t="n"/>
      <c r="D28" s="41" t="n"/>
      <c r="E28" s="41" t="n"/>
    </row>
    <row r="29">
      <c r="B29" s="57" t="n"/>
      <c r="C29" s="58" t="n"/>
      <c r="D29" s="58" t="n"/>
      <c r="E29" s="58" t="n"/>
    </row>
    <row r="30">
      <c r="B30" s="23" t="n"/>
      <c r="C30" s="41" t="n"/>
      <c r="D30" s="41" t="n"/>
      <c r="E30" s="41" t="n"/>
    </row>
    <row r="31">
      <c r="B31" s="57" t="n"/>
      <c r="C31" s="58" t="n"/>
      <c r="D31" s="58" t="n"/>
      <c r="E31" s="58" t="n"/>
    </row>
    <row r="32">
      <c r="B32" s="23" t="n"/>
      <c r="C32" s="41" t="n"/>
      <c r="D32" s="41" t="n"/>
      <c r="E32" s="41" t="n"/>
    </row>
    <row r="33">
      <c r="B33" s="57" t="n"/>
      <c r="C33" s="58" t="n"/>
      <c r="D33" s="58" t="n"/>
      <c r="E33" s="58" t="n"/>
    </row>
    <row r="34">
      <c r="B34" s="23" t="n"/>
      <c r="C34" s="41" t="n"/>
      <c r="D34" s="41" t="n"/>
      <c r="E34" s="41" t="n"/>
    </row>
    <row r="35">
      <c r="B35" s="57" t="n"/>
      <c r="C35" s="58" t="n"/>
      <c r="D35" s="58" t="n"/>
      <c r="E35" s="58" t="n"/>
    </row>
    <row r="36">
      <c r="B36" s="23" t="n"/>
      <c r="C36" s="41" t="n"/>
      <c r="D36" s="41" t="n"/>
      <c r="E36" s="41" t="n"/>
    </row>
    <row r="37">
      <c r="B37" s="57" t="n"/>
      <c r="C37" s="58" t="n"/>
      <c r="D37" s="58" t="n"/>
      <c r="E37" s="58" t="n"/>
    </row>
    <row r="38">
      <c r="B38" s="23" t="n"/>
      <c r="C38" s="41" t="n"/>
      <c r="D38" s="41" t="n"/>
      <c r="E38" s="41" t="n"/>
    </row>
    <row r="39">
      <c r="B39" s="57" t="n"/>
      <c r="C39" s="58" t="n"/>
      <c r="D39" s="58" t="n"/>
      <c r="E39" s="58" t="n"/>
    </row>
    <row r="40">
      <c r="B40" s="23" t="n"/>
      <c r="C40" s="41" t="n"/>
      <c r="D40" s="41" t="n"/>
      <c r="E40" s="41" t="n"/>
    </row>
    <row r="41">
      <c r="B41" s="57" t="n"/>
      <c r="C41" s="58" t="n"/>
      <c r="D41" s="58" t="n"/>
      <c r="E41" s="58" t="n"/>
    </row>
    <row r="42">
      <c r="B42" s="23" t="n"/>
      <c r="C42" s="41" t="n"/>
      <c r="D42" s="41" t="n"/>
      <c r="E42" s="41" t="n"/>
    </row>
    <row r="43">
      <c r="B43" s="57" t="n"/>
      <c r="C43" s="58" t="n"/>
      <c r="D43" s="58" t="n"/>
      <c r="E43" s="58" t="n"/>
    </row>
    <row r="44">
      <c r="B44" s="23" t="n"/>
      <c r="C44" s="41" t="n"/>
      <c r="D44" s="41" t="n"/>
      <c r="E44" s="41" t="n"/>
    </row>
    <row r="45">
      <c r="B45" s="9">
        <f> SAVED EACH MONTH</f>
        <v/>
      </c>
      <c r="C45" s="59">
        <f>SUM(SaveMonthly)</f>
        <v/>
      </c>
      <c r="D45" s="60">
        <f>SUM(SaveBalance)</f>
        <v/>
      </c>
    </row>
    <row r="47">
      <c r="B47" s="26" t="inlineStr">
        <is>
          <t>Your goal</t>
        </is>
      </c>
      <c r="C47" s="61">
        <f>SavingsGoal</f>
        <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7"/>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38" customWidth="1" min="3" max="3"/>
    <col width="18" customWidth="1" min="4" max="4"/>
    <col width="14" customWidth="1" min="5" max="5"/>
    <col width="20" customWidth="1" min="6" max="6"/>
    <col width="2" customWidth="1" min="7" max="7"/>
  </cols>
  <sheetData>
    <row r="1" ht="46" customHeight="1">
      <c r="A1" s="1" t="inlineStr">
        <is>
          <t xml:space="preserve">  ✦  DATE NIGHTS</t>
        </is>
      </c>
    </row>
    <row r="2" ht="22" customHeight="1">
      <c r="A2" s="2" t="inlineStr">
        <is>
          <t xml:space="preserve">  Because it stops happening by accident and starts needing a plan.</t>
        </is>
      </c>
    </row>
    <row r="3" ht="6" customHeight="1">
      <c r="A3" s="3" t="n"/>
      <c r="B3" s="3" t="n"/>
      <c r="C3" s="3" t="n"/>
      <c r="D3" s="3" t="n"/>
      <c r="E3" s="3" t="n"/>
      <c r="F3" s="3" t="n"/>
    </row>
    <row r="4" ht="30" customHeight="1">
      <c r="B4" s="9" t="inlineStr">
        <is>
          <t>Date</t>
        </is>
      </c>
      <c r="C4" s="9" t="inlineStr">
        <is>
          <t>What you did</t>
        </is>
      </c>
      <c r="D4" s="9" t="inlineStr">
        <is>
          <t>Who planned it</t>
        </is>
      </c>
      <c r="E4" s="9" t="inlineStr">
        <is>
          <t>Cost</t>
        </is>
      </c>
      <c r="F4" s="9" t="inlineStr">
        <is>
          <t>How it was</t>
        </is>
      </c>
    </row>
    <row r="5">
      <c r="B5" s="62" t="inlineStr">
        <is>
          <t>07/04</t>
        </is>
      </c>
      <c r="C5" s="57" t="inlineStr">
        <is>
          <t>Dinner at the Portuguese place</t>
        </is>
      </c>
      <c r="D5" s="62" t="inlineStr">
        <is>
          <t>Sam</t>
        </is>
      </c>
      <c r="E5" s="58" t="n">
        <v>78</v>
      </c>
      <c r="F5" s="62" t="inlineStr">
        <is>
          <t>Lovely</t>
        </is>
      </c>
    </row>
    <row r="6">
      <c r="B6" s="25" t="inlineStr">
        <is>
          <t>07/12</t>
        </is>
      </c>
      <c r="C6" s="23" t="inlineStr">
        <is>
          <t>Cinema and a walk home</t>
        </is>
      </c>
      <c r="D6" s="25" t="inlineStr">
        <is>
          <t>Nadia</t>
        </is>
      </c>
      <c r="E6" s="41" t="n">
        <v>34</v>
      </c>
      <c r="F6" s="25" t="inlineStr">
        <is>
          <t>Easy</t>
        </is>
      </c>
    </row>
    <row r="7">
      <c r="B7" s="62" t="inlineStr">
        <is>
          <t>07/19</t>
        </is>
      </c>
      <c r="C7" s="57" t="inlineStr">
        <is>
          <t>Cooked together, no phones</t>
        </is>
      </c>
      <c r="D7" s="62" t="inlineStr">
        <is>
          <t>Both</t>
        </is>
      </c>
      <c r="E7" s="58" t="n">
        <v>22</v>
      </c>
      <c r="F7" s="62" t="inlineStr">
        <is>
          <t>Best one</t>
        </is>
      </c>
    </row>
    <row r="8">
      <c r="B8" s="25" t="inlineStr">
        <is>
          <t>07/26</t>
        </is>
      </c>
      <c r="C8" s="23" t="inlineStr">
        <is>
          <t>Gallery then coffee</t>
        </is>
      </c>
      <c r="D8" s="25" t="inlineStr">
        <is>
          <t>Nadia</t>
        </is>
      </c>
      <c r="E8" s="41" t="n">
        <v>28</v>
      </c>
      <c r="F8" s="25" t="inlineStr">
        <is>
          <t>Lovely</t>
        </is>
      </c>
    </row>
    <row r="9">
      <c r="B9" s="62" t="n"/>
      <c r="C9" s="57" t="n"/>
      <c r="D9" s="62" t="n"/>
      <c r="E9" s="58" t="n"/>
      <c r="F9" s="62" t="n"/>
    </row>
    <row r="10">
      <c r="B10" s="25" t="n"/>
      <c r="C10" s="23" t="n"/>
      <c r="D10" s="25" t="n"/>
      <c r="E10" s="41" t="n"/>
      <c r="F10" s="25" t="n"/>
    </row>
    <row r="11">
      <c r="B11" s="62" t="n"/>
      <c r="C11" s="57" t="n"/>
      <c r="D11" s="62" t="n"/>
      <c r="E11" s="58" t="n"/>
      <c r="F11" s="62" t="n"/>
    </row>
    <row r="12">
      <c r="B12" s="25" t="n"/>
      <c r="C12" s="23" t="n"/>
      <c r="D12" s="25" t="n"/>
      <c r="E12" s="41" t="n"/>
      <c r="F12" s="25" t="n"/>
    </row>
    <row r="13">
      <c r="B13" s="62" t="n"/>
      <c r="C13" s="57" t="n"/>
      <c r="D13" s="62" t="n"/>
      <c r="E13" s="58" t="n"/>
      <c r="F13" s="62" t="n"/>
    </row>
    <row r="14">
      <c r="B14" s="25" t="n"/>
      <c r="C14" s="23" t="n"/>
      <c r="D14" s="25" t="n"/>
      <c r="E14" s="41" t="n"/>
      <c r="F14" s="25" t="n"/>
    </row>
    <row r="15">
      <c r="B15" s="62" t="n"/>
      <c r="C15" s="57" t="n"/>
      <c r="D15" s="62" t="n"/>
      <c r="E15" s="58" t="n"/>
      <c r="F15" s="62" t="n"/>
    </row>
    <row r="16">
      <c r="B16" s="25" t="n"/>
      <c r="C16" s="23" t="n"/>
      <c r="D16" s="25" t="n"/>
      <c r="E16" s="41" t="n"/>
      <c r="F16" s="25" t="n"/>
    </row>
    <row r="17">
      <c r="B17" s="62" t="n"/>
      <c r="C17" s="57" t="n"/>
      <c r="D17" s="62" t="n"/>
      <c r="E17" s="58" t="n"/>
      <c r="F17" s="62" t="n"/>
    </row>
    <row r="18">
      <c r="B18" s="25" t="n"/>
      <c r="C18" s="23" t="n"/>
      <c r="D18" s="25" t="n"/>
      <c r="E18" s="41" t="n"/>
      <c r="F18" s="25" t="n"/>
    </row>
    <row r="19">
      <c r="B19" s="62" t="n"/>
      <c r="C19" s="57" t="n"/>
      <c r="D19" s="62" t="n"/>
      <c r="E19" s="58" t="n"/>
      <c r="F19" s="62" t="n"/>
    </row>
    <row r="20">
      <c r="B20" s="25" t="n"/>
      <c r="C20" s="23" t="n"/>
      <c r="D20" s="25" t="n"/>
      <c r="E20" s="41" t="n"/>
      <c r="F20" s="25" t="n"/>
    </row>
    <row r="21">
      <c r="B21" s="62" t="n"/>
      <c r="C21" s="57" t="n"/>
      <c r="D21" s="62" t="n"/>
      <c r="E21" s="58" t="n"/>
      <c r="F21" s="62" t="n"/>
    </row>
    <row r="22">
      <c r="B22" s="25" t="n"/>
      <c r="C22" s="23" t="n"/>
      <c r="D22" s="25" t="n"/>
      <c r="E22" s="41" t="n"/>
      <c r="F22" s="25" t="n"/>
    </row>
    <row r="23">
      <c r="B23" s="62" t="n"/>
      <c r="C23" s="57" t="n"/>
      <c r="D23" s="62" t="n"/>
      <c r="E23" s="58" t="n"/>
      <c r="F23" s="62" t="n"/>
    </row>
    <row r="24">
      <c r="B24" s="25" t="n"/>
      <c r="C24" s="23" t="n"/>
      <c r="D24" s="25" t="n"/>
      <c r="E24" s="41" t="n"/>
      <c r="F24" s="25" t="n"/>
    </row>
    <row r="25">
      <c r="B25" s="62" t="n"/>
      <c r="C25" s="57" t="n"/>
      <c r="D25" s="62" t="n"/>
      <c r="E25" s="58" t="n"/>
      <c r="F25" s="62" t="n"/>
    </row>
    <row r="26">
      <c r="B26" s="25" t="n"/>
      <c r="C26" s="23" t="n"/>
      <c r="D26" s="25" t="n"/>
      <c r="E26" s="41" t="n"/>
      <c r="F26" s="25" t="n"/>
    </row>
    <row r="27">
      <c r="B27" s="62" t="n"/>
      <c r="C27" s="57" t="n"/>
      <c r="D27" s="62" t="n"/>
      <c r="E27" s="58" t="n"/>
      <c r="F27" s="62" t="n"/>
    </row>
    <row r="28">
      <c r="B28" s="25" t="n"/>
      <c r="C28" s="23" t="n"/>
      <c r="D28" s="25" t="n"/>
      <c r="E28" s="41" t="n"/>
      <c r="F28" s="25" t="n"/>
    </row>
    <row r="29">
      <c r="B29" s="62" t="n"/>
      <c r="C29" s="57" t="n"/>
      <c r="D29" s="62" t="n"/>
      <c r="E29" s="58" t="n"/>
      <c r="F29" s="62" t="n"/>
    </row>
    <row r="30">
      <c r="B30" s="25" t="n"/>
      <c r="C30" s="23" t="n"/>
      <c r="D30" s="25" t="n"/>
      <c r="E30" s="41" t="n"/>
      <c r="F30" s="25" t="n"/>
    </row>
    <row r="31">
      <c r="B31" s="62" t="n"/>
      <c r="C31" s="57" t="n"/>
      <c r="D31" s="62" t="n"/>
      <c r="E31" s="58" t="n"/>
      <c r="F31" s="62" t="n"/>
    </row>
    <row r="32">
      <c r="B32" s="25" t="n"/>
      <c r="C32" s="23" t="n"/>
      <c r="D32" s="25" t="n"/>
      <c r="E32" s="41" t="n"/>
      <c r="F32" s="25" t="n"/>
    </row>
    <row r="33">
      <c r="B33" s="62" t="n"/>
      <c r="C33" s="57" t="n"/>
      <c r="D33" s="62" t="n"/>
      <c r="E33" s="58" t="n"/>
      <c r="F33" s="62" t="n"/>
    </row>
    <row r="34">
      <c r="B34" s="25" t="n"/>
      <c r="C34" s="23" t="n"/>
      <c r="D34" s="25" t="n"/>
      <c r="E34" s="41" t="n"/>
      <c r="F34" s="25" t="n"/>
    </row>
    <row r="35">
      <c r="B35" s="62" t="n"/>
      <c r="C35" s="57" t="n"/>
      <c r="D35" s="62" t="n"/>
      <c r="E35" s="58" t="n"/>
      <c r="F35" s="62" t="n"/>
    </row>
    <row r="36">
      <c r="B36" s="25" t="n"/>
      <c r="C36" s="23" t="n"/>
      <c r="D36" s="25" t="n"/>
      <c r="E36" s="41" t="n"/>
      <c r="F36" s="25" t="n"/>
    </row>
    <row r="37">
      <c r="B37" s="62" t="n"/>
      <c r="C37" s="57" t="n"/>
      <c r="D37" s="62" t="n"/>
      <c r="E37" s="58" t="n"/>
      <c r="F37" s="62" t="n"/>
    </row>
    <row r="38">
      <c r="B38" s="25" t="n"/>
      <c r="C38" s="23" t="n"/>
      <c r="D38" s="25" t="n"/>
      <c r="E38" s="41" t="n"/>
      <c r="F38" s="25" t="n"/>
    </row>
    <row r="39">
      <c r="B39" s="62" t="n"/>
      <c r="C39" s="57" t="n"/>
      <c r="D39" s="62" t="n"/>
      <c r="E39" s="58" t="n"/>
      <c r="F39" s="62" t="n"/>
    </row>
    <row r="40">
      <c r="B40" s="25" t="n"/>
      <c r="C40" s="23" t="n"/>
      <c r="D40" s="25" t="n"/>
      <c r="E40" s="41" t="n"/>
      <c r="F40" s="25" t="n"/>
    </row>
    <row r="41">
      <c r="B41" s="62" t="n"/>
      <c r="C41" s="57" t="n"/>
      <c r="D41" s="62" t="n"/>
      <c r="E41" s="58" t="n"/>
      <c r="F41" s="62" t="n"/>
    </row>
    <row r="42">
      <c r="B42" s="25" t="n"/>
      <c r="C42" s="23" t="n"/>
      <c r="D42" s="25" t="n"/>
      <c r="E42" s="41" t="n"/>
      <c r="F42" s="25" t="n"/>
    </row>
    <row r="43">
      <c r="B43" s="62" t="n"/>
      <c r="C43" s="57" t="n"/>
      <c r="D43" s="62" t="n"/>
      <c r="E43" s="58" t="n"/>
      <c r="F43" s="62" t="n"/>
    </row>
    <row r="44">
      <c r="B44" s="25" t="n"/>
      <c r="C44" s="23" t="n"/>
      <c r="D44" s="25" t="n"/>
      <c r="E44" s="41" t="n"/>
      <c r="F44" s="25" t="n"/>
    </row>
    <row r="45">
      <c r="B45" s="9" t="inlineStr">
        <is>
          <t>THIS MONTH</t>
        </is>
      </c>
      <c r="C45" s="42" t="n"/>
      <c r="D45" s="63">
        <f>COUNTA(DatePlanner)</f>
        <v/>
      </c>
      <c r="E45" s="54">
        <f>SUM(DateCost)</f>
        <v/>
      </c>
    </row>
    <row r="47">
      <c r="B47" s="4" t="inlineStr">
        <is>
          <t>Look at the 'who planned it' column. If it's always the same name, that's the labour tab again.</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3"/>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4" customWidth="1" min="3" max="3"/>
    <col width="66" customWidth="1" min="4" max="4"/>
    <col width="2" customWidth="1" min="5" max="5"/>
  </cols>
  <sheetData>
    <row r="1" ht="46" customHeight="1">
      <c r="A1" s="1" t="inlineStr">
        <is>
          <t xml:space="preserve">  🗣  WEEKLY CHECK-IN</t>
        </is>
      </c>
    </row>
    <row r="2" ht="22" customHeight="1">
      <c r="A2" s="2" t="inlineStr">
        <is>
          <t xml:space="preserve">  Fifteen minutes, same time every week. Money, diary, and how are you actually.</t>
        </is>
      </c>
    </row>
    <row r="3" ht="6" customHeight="1">
      <c r="A3" s="3" t="n"/>
      <c r="B3" s="3" t="n"/>
      <c r="C3" s="3" t="n"/>
      <c r="D3" s="3" t="n"/>
    </row>
    <row r="4" ht="30" customHeight="1">
      <c r="B4" s="9" t="inlineStr">
        <is>
          <t>Week</t>
        </is>
      </c>
      <c r="C4" s="9" t="inlineStr">
        <is>
          <t>Done?</t>
        </is>
      </c>
      <c r="D4" s="9" t="inlineStr">
        <is>
          <t>What came up</t>
        </is>
      </c>
    </row>
    <row r="5">
      <c r="B5" s="62" t="inlineStr">
        <is>
          <t>Week 1</t>
        </is>
      </c>
      <c r="C5" s="62" t="inlineStr">
        <is>
          <t>Yes</t>
        </is>
      </c>
      <c r="D5" s="57" t="inlineStr">
        <is>
          <t>Money felt tight — moved the trip fund down $40</t>
        </is>
      </c>
    </row>
    <row r="6">
      <c r="B6" s="25" t="inlineStr">
        <is>
          <t>Week 2</t>
        </is>
      </c>
      <c r="C6" s="25" t="inlineStr">
        <is>
          <t>Yes</t>
        </is>
      </c>
      <c r="D6" s="23" t="inlineStr">
        <is>
          <t>Sam's work trip in Sept. Diarised.</t>
        </is>
      </c>
    </row>
    <row r="7">
      <c r="B7" s="62" t="inlineStr">
        <is>
          <t>Week 3</t>
        </is>
      </c>
      <c r="C7" s="62" t="inlineStr">
        <is>
          <t>Yes</t>
        </is>
      </c>
      <c r="D7" s="57" t="inlineStr">
        <is>
          <t>Talked about the chore split. Properly, this time.</t>
        </is>
      </c>
    </row>
    <row r="8">
      <c r="B8" s="25" t="inlineStr">
        <is>
          <t>Week 4</t>
        </is>
      </c>
      <c r="C8" s="25" t="inlineStr">
        <is>
          <t>Yes</t>
        </is>
      </c>
      <c r="D8" s="23" t="inlineStr">
        <is>
          <t>Booked the Portugal flights. Both excited.</t>
        </is>
      </c>
    </row>
    <row r="9">
      <c r="B9" s="62" t="n"/>
      <c r="C9" s="62" t="n"/>
      <c r="D9" s="57" t="n"/>
    </row>
    <row r="10">
      <c r="B10" s="25" t="n"/>
      <c r="C10" s="25" t="n"/>
      <c r="D10" s="23" t="n"/>
    </row>
    <row r="11">
      <c r="B11" s="62" t="n"/>
      <c r="C11" s="62" t="n"/>
      <c r="D11" s="57" t="n"/>
    </row>
    <row r="12">
      <c r="B12" s="25" t="n"/>
      <c r="C12" s="25" t="n"/>
      <c r="D12" s="23" t="n"/>
    </row>
    <row r="13">
      <c r="B13" s="62" t="n"/>
      <c r="C13" s="62" t="n"/>
      <c r="D13" s="57" t="n"/>
    </row>
    <row r="14">
      <c r="B14" s="25" t="n"/>
      <c r="C14" s="25" t="n"/>
      <c r="D14" s="23" t="n"/>
    </row>
    <row r="15">
      <c r="B15" s="62" t="n"/>
      <c r="C15" s="62" t="n"/>
      <c r="D15" s="57" t="n"/>
    </row>
    <row r="16">
      <c r="B16" s="25" t="n"/>
      <c r="C16" s="25" t="n"/>
      <c r="D16" s="23" t="n"/>
    </row>
    <row r="17">
      <c r="B17" s="62" t="n"/>
      <c r="C17" s="62" t="n"/>
      <c r="D17" s="57" t="n"/>
    </row>
    <row r="18">
      <c r="B18" s="25" t="n"/>
      <c r="C18" s="25" t="n"/>
      <c r="D18" s="23" t="n"/>
    </row>
    <row r="19">
      <c r="B19" s="62" t="n"/>
      <c r="C19" s="62" t="n"/>
      <c r="D19" s="57" t="n"/>
    </row>
    <row r="20">
      <c r="B20" s="25" t="n"/>
      <c r="C20" s="25" t="n"/>
      <c r="D20" s="23" t="n"/>
    </row>
    <row r="21">
      <c r="B21" s="62" t="n"/>
      <c r="C21" s="62" t="n"/>
      <c r="D21" s="57" t="n"/>
    </row>
    <row r="22">
      <c r="B22" s="25" t="n"/>
      <c r="C22" s="25" t="n"/>
      <c r="D22" s="23" t="n"/>
    </row>
    <row r="23">
      <c r="B23" s="62" t="n"/>
      <c r="C23" s="62" t="n"/>
      <c r="D23" s="57" t="n"/>
    </row>
    <row r="24">
      <c r="B24" s="25" t="n"/>
      <c r="C24" s="25" t="n"/>
      <c r="D24" s="23" t="n"/>
    </row>
    <row r="25">
      <c r="B25" s="62" t="n"/>
      <c r="C25" s="62" t="n"/>
      <c r="D25" s="57" t="n"/>
    </row>
    <row r="26">
      <c r="B26" s="25" t="n"/>
      <c r="C26" s="25" t="n"/>
      <c r="D26" s="23" t="n"/>
    </row>
    <row r="27">
      <c r="B27" s="62" t="n"/>
      <c r="C27" s="62" t="n"/>
      <c r="D27" s="57" t="n"/>
    </row>
    <row r="28">
      <c r="B28" s="25" t="n"/>
      <c r="C28" s="25" t="n"/>
      <c r="D28" s="23" t="n"/>
    </row>
    <row r="29">
      <c r="B29" s="62" t="n"/>
      <c r="C29" s="62" t="n"/>
      <c r="D29" s="57" t="n"/>
    </row>
    <row r="30">
      <c r="B30" s="25" t="n"/>
      <c r="C30" s="25" t="n"/>
      <c r="D30" s="23" t="n"/>
    </row>
    <row r="31">
      <c r="B31" s="62" t="n"/>
      <c r="C31" s="62" t="n"/>
      <c r="D31" s="57" t="n"/>
    </row>
    <row r="32">
      <c r="B32" s="25" t="n"/>
      <c r="C32" s="25" t="n"/>
      <c r="D32" s="23" t="n"/>
    </row>
    <row r="33">
      <c r="B33" s="62" t="n"/>
      <c r="C33" s="62" t="n"/>
      <c r="D33" s="57" t="n"/>
    </row>
    <row r="34">
      <c r="B34" s="25" t="n"/>
      <c r="C34" s="25" t="n"/>
      <c r="D34" s="23" t="n"/>
    </row>
    <row r="35">
      <c r="B35" s="62" t="n"/>
      <c r="C35" s="62" t="n"/>
      <c r="D35" s="57" t="n"/>
    </row>
    <row r="36">
      <c r="B36" s="25" t="n"/>
      <c r="C36" s="25" t="n"/>
      <c r="D36" s="23" t="n"/>
    </row>
    <row r="37">
      <c r="B37" s="62" t="n"/>
      <c r="C37" s="62" t="n"/>
      <c r="D37" s="57" t="n"/>
    </row>
    <row r="38">
      <c r="B38" s="25" t="n"/>
      <c r="C38" s="25" t="n"/>
      <c r="D38" s="23" t="n"/>
    </row>
    <row r="39">
      <c r="B39" s="62" t="n"/>
      <c r="C39" s="62" t="n"/>
      <c r="D39" s="57" t="n"/>
    </row>
    <row r="40">
      <c r="B40" s="25" t="n"/>
      <c r="C40" s="25" t="n"/>
      <c r="D40" s="23" t="n"/>
    </row>
    <row r="41">
      <c r="B41" s="62" t="n"/>
      <c r="C41" s="62" t="n"/>
      <c r="D41" s="57" t="n"/>
    </row>
    <row r="42">
      <c r="B42" s="25" t="n"/>
      <c r="C42" s="25" t="n"/>
      <c r="D42" s="23" t="n"/>
    </row>
    <row r="43">
      <c r="B43" s="62" t="n"/>
      <c r="C43" s="62" t="n"/>
      <c r="D43" s="57" t="n"/>
    </row>
    <row r="44">
      <c r="B44" s="25" t="n"/>
      <c r="C44" s="25" t="n"/>
      <c r="D44" s="23" t="n"/>
    </row>
    <row r="45">
      <c r="B45" s="9">
        <f> CHECK-INS DONE</f>
        <v/>
      </c>
      <c r="C45" s="64">
        <f>COUNTIF(CheckinDone,"Yes")</f>
        <v/>
      </c>
    </row>
    <row r="47">
      <c r="B47" s="4" t="inlineStr">
        <is>
          <t>THE FOUR QUESTIONS</t>
        </is>
      </c>
    </row>
    <row r="48">
      <c r="B48" s="8" t="inlineStr">
        <is>
          <t>1.  Anything on your mind about money this week?</t>
        </is>
      </c>
    </row>
    <row r="49">
      <c r="B49" s="8" t="inlineStr">
        <is>
          <t>2.  What's in the diary that I should know about?</t>
        </is>
      </c>
    </row>
    <row r="50">
      <c r="B50" s="8" t="inlineStr">
        <is>
          <t>3.  Is anything feeling uneven right now?</t>
        </is>
      </c>
    </row>
    <row r="51">
      <c r="B51" s="8" t="inlineStr">
        <is>
          <t>4.  What do you need from me this week?</t>
        </is>
      </c>
    </row>
    <row r="53">
      <c r="B53" s="4" t="inlineStr">
        <is>
          <t>Fifteen minutes a week prevents most of the arguments. It really is that boring, and it really does work.</t>
        </is>
      </c>
    </row>
  </sheetData>
  <mergeCells count="2">
    <mergeCell ref="A1:D1"/>
    <mergeCell ref="A2:D2"/>
  </mergeCells>
  <conditionalFormatting sqref="C5:C44">
    <cfRule type="cellIs" priority="1" operator="equal" dxfId="0">
      <formula>"Yes"</formula>
    </cfRule>
  </conditionalFormatting>
  <dataValidations count="1">
    <dataValidation sqref="C5:C44" showDropDown="0" showInputMessage="0" showErrorMessage="0" allowBlank="1" type="list">
      <formula1>=YesNoList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8"/>
  <sheetViews>
    <sheetView showGridLines="0" workbookViewId="0">
      <pane ySplit="4" topLeftCell="A5" activePane="bottomLeft" state="frozen"/>
      <selection pane="bottomLeft" activeCell="A1" sqref="A1"/>
    </sheetView>
  </sheetViews>
  <sheetFormatPr baseColWidth="8" defaultRowHeight="15"/>
  <cols>
    <col width="2" customWidth="1" min="1" max="1"/>
    <col width="46" customWidth="1" min="2" max="2"/>
    <col width="14" customWidth="1" min="3" max="3"/>
    <col width="56" customWidth="1" min="4" max="4"/>
    <col width="2" customWidth="1" min="5" max="5"/>
  </cols>
  <sheetData>
    <row r="1" ht="46" customHeight="1">
      <c r="A1" s="1" t="inlineStr">
        <is>
          <t xml:space="preserve">  💬  THE BIG CONVERSATIONS</t>
        </is>
      </c>
    </row>
    <row r="2" ht="22" customHeight="1">
      <c r="A2" s="2" t="inlineStr">
        <is>
          <t xml:space="preserve">  The ones couples avoid until they can't. Tick them off, one evening at a time.</t>
        </is>
      </c>
    </row>
    <row r="3" ht="6" customHeight="1">
      <c r="A3" s="3" t="n"/>
      <c r="B3" s="3" t="n"/>
      <c r="C3" s="3" t="n"/>
      <c r="D3" s="3" t="n"/>
    </row>
    <row r="4" ht="30" customHeight="1">
      <c r="B4" s="9" t="inlineStr">
        <is>
          <t>Topic</t>
        </is>
      </c>
      <c r="C4" s="9" t="inlineStr">
        <is>
          <t>Had it?</t>
        </is>
      </c>
      <c r="D4" s="9" t="inlineStr">
        <is>
          <t>Where we landed</t>
        </is>
      </c>
    </row>
    <row r="5">
      <c r="B5" s="57" t="inlineStr">
        <is>
          <t>Do we both want children, and when</t>
        </is>
      </c>
      <c r="C5" s="62" t="inlineStr">
        <is>
          <t>Yes</t>
        </is>
      </c>
      <c r="D5" s="57" t="inlineStr">
        <is>
          <t>Yes, both. Trying from 2028.</t>
        </is>
      </c>
    </row>
    <row r="6">
      <c r="B6" s="23" t="inlineStr">
        <is>
          <t>Where we want to live in five years</t>
        </is>
      </c>
      <c r="C6" s="25" t="inlineStr">
        <is>
          <t>Yes</t>
        </is>
      </c>
      <c r="D6" s="23" t="inlineStr">
        <is>
          <t>Here, but a house not a flat</t>
        </is>
      </c>
    </row>
    <row r="7">
      <c r="B7" s="57" t="inlineStr">
        <is>
          <t>How we handle a big unexpected bill</t>
        </is>
      </c>
      <c r="C7" s="62" t="inlineStr">
        <is>
          <t>Yes</t>
        </is>
      </c>
      <c r="D7" s="57" t="inlineStr">
        <is>
          <t>Emergency fund first, never a card</t>
        </is>
      </c>
    </row>
    <row r="8">
      <c r="B8" s="23" t="inlineStr">
        <is>
          <t>What we each need when we're stressed</t>
        </is>
      </c>
      <c r="C8" s="25" t="inlineStr">
        <is>
          <t>Yes</t>
        </is>
      </c>
      <c r="D8" s="23" t="inlineStr">
        <is>
          <t>N: talk it out. S: an hour alone first.</t>
        </is>
      </c>
    </row>
    <row r="9">
      <c r="B9" s="57" t="inlineStr">
        <is>
          <t>Money we each spend without asking</t>
        </is>
      </c>
      <c r="C9" s="62" t="inlineStr">
        <is>
          <t>Yes</t>
        </is>
      </c>
      <c r="D9" s="57" t="inlineStr">
        <is>
          <t>Under $150, no questions</t>
        </is>
      </c>
    </row>
    <row r="10">
      <c r="B10" s="23" t="inlineStr">
        <is>
          <t>How we split things if incomes change</t>
        </is>
      </c>
      <c r="C10" s="25" t="inlineStr">
        <is>
          <t>Yes</t>
        </is>
      </c>
      <c r="D10" s="23" t="inlineStr">
        <is>
          <t>Always proportional. Re-run this tab.</t>
        </is>
      </c>
    </row>
    <row r="11">
      <c r="B11" s="57" t="inlineStr">
        <is>
          <t>What we want the next ten years to feel like</t>
        </is>
      </c>
      <c r="C11" s="62" t="inlineStr">
        <is>
          <t>No</t>
        </is>
      </c>
      <c r="D11" s="57" t="inlineStr">
        <is>
          <t>Keep meaning to. Book an evening.</t>
        </is>
      </c>
    </row>
    <row r="12">
      <c r="B12" s="23" t="inlineStr">
        <is>
          <t>Wills, beneficiaries &amp; who decides if</t>
        </is>
      </c>
      <c r="C12" s="25" t="inlineStr">
        <is>
          <t>No</t>
        </is>
      </c>
      <c r="D12" s="23" t="inlineStr">
        <is>
          <t>Neither of us has done this. Do it.</t>
        </is>
      </c>
    </row>
    <row r="13">
      <c r="B13" s="57" t="n"/>
      <c r="C13" s="62" t="n"/>
      <c r="D13" s="57" t="n"/>
    </row>
    <row r="14">
      <c r="B14" s="23" t="n"/>
      <c r="C14" s="25" t="n"/>
      <c r="D14" s="23" t="n"/>
    </row>
    <row r="15">
      <c r="B15" s="57" t="n"/>
      <c r="C15" s="62" t="n"/>
      <c r="D15" s="57" t="n"/>
    </row>
    <row r="16">
      <c r="B16" s="23" t="n"/>
      <c r="C16" s="25" t="n"/>
      <c r="D16" s="23" t="n"/>
    </row>
    <row r="17">
      <c r="B17" s="57" t="n"/>
      <c r="C17" s="62" t="n"/>
      <c r="D17" s="57" t="n"/>
    </row>
    <row r="18">
      <c r="B18" s="23" t="n"/>
      <c r="C18" s="25" t="n"/>
      <c r="D18" s="23" t="n"/>
    </row>
    <row r="19">
      <c r="B19" s="57" t="n"/>
      <c r="C19" s="62" t="n"/>
      <c r="D19" s="57" t="n"/>
    </row>
    <row r="20">
      <c r="B20" s="23" t="n"/>
      <c r="C20" s="25" t="n"/>
      <c r="D20" s="23" t="n"/>
    </row>
    <row r="21">
      <c r="B21" s="57" t="n"/>
      <c r="C21" s="62" t="n"/>
      <c r="D21" s="57" t="n"/>
    </row>
    <row r="22">
      <c r="B22" s="23" t="n"/>
      <c r="C22" s="25" t="n"/>
      <c r="D22" s="23" t="n"/>
    </row>
    <row r="23">
      <c r="B23" s="57" t="n"/>
      <c r="C23" s="62" t="n"/>
      <c r="D23" s="57" t="n"/>
    </row>
    <row r="24">
      <c r="B24" s="23" t="n"/>
      <c r="C24" s="25" t="n"/>
      <c r="D24" s="23" t="n"/>
    </row>
    <row r="25">
      <c r="B25" s="57" t="n"/>
      <c r="C25" s="62" t="n"/>
      <c r="D25" s="57" t="n"/>
    </row>
    <row r="26">
      <c r="B26" s="23" t="n"/>
      <c r="C26" s="25" t="n"/>
      <c r="D26" s="23" t="n"/>
    </row>
    <row r="27">
      <c r="B27" s="57" t="n"/>
      <c r="C27" s="62" t="n"/>
      <c r="D27" s="57" t="n"/>
    </row>
    <row r="28">
      <c r="B28" s="23" t="n"/>
      <c r="C28" s="25" t="n"/>
      <c r="D28" s="23" t="n"/>
    </row>
    <row r="29">
      <c r="B29" s="57" t="n"/>
      <c r="C29" s="62" t="n"/>
      <c r="D29" s="57" t="n"/>
    </row>
    <row r="30">
      <c r="B30" s="23" t="n"/>
      <c r="C30" s="25" t="n"/>
      <c r="D30" s="23" t="n"/>
    </row>
    <row r="31">
      <c r="B31" s="57" t="n"/>
      <c r="C31" s="62" t="n"/>
      <c r="D31" s="57" t="n"/>
    </row>
    <row r="32">
      <c r="B32" s="23" t="n"/>
      <c r="C32" s="25" t="n"/>
      <c r="D32" s="23" t="n"/>
    </row>
    <row r="33">
      <c r="B33" s="57" t="n"/>
      <c r="C33" s="62" t="n"/>
      <c r="D33" s="57" t="n"/>
    </row>
    <row r="34">
      <c r="B34" s="23" t="n"/>
      <c r="C34" s="25" t="n"/>
      <c r="D34" s="23" t="n"/>
    </row>
    <row r="35">
      <c r="B35" s="57" t="n"/>
      <c r="C35" s="62" t="n"/>
      <c r="D35" s="57" t="n"/>
    </row>
    <row r="36">
      <c r="B36" s="23" t="n"/>
      <c r="C36" s="25" t="n"/>
      <c r="D36" s="23" t="n"/>
    </row>
    <row r="37">
      <c r="B37" s="57" t="n"/>
      <c r="C37" s="62" t="n"/>
      <c r="D37" s="57" t="n"/>
    </row>
    <row r="38">
      <c r="B38" s="23" t="n"/>
      <c r="C38" s="25" t="n"/>
      <c r="D38" s="23" t="n"/>
    </row>
    <row r="39">
      <c r="B39" s="57" t="n"/>
      <c r="C39" s="62" t="n"/>
      <c r="D39" s="57" t="n"/>
    </row>
    <row r="40">
      <c r="B40" s="23" t="n"/>
      <c r="C40" s="25" t="n"/>
      <c r="D40" s="23" t="n"/>
    </row>
    <row r="41">
      <c r="B41" s="57" t="n"/>
      <c r="C41" s="62" t="n"/>
      <c r="D41" s="57" t="n"/>
    </row>
    <row r="42">
      <c r="B42" s="23" t="n"/>
      <c r="C42" s="25" t="n"/>
      <c r="D42" s="23" t="n"/>
    </row>
    <row r="43">
      <c r="B43" s="57" t="n"/>
      <c r="C43" s="62" t="n"/>
      <c r="D43" s="57" t="n"/>
    </row>
    <row r="44">
      <c r="B44" s="23" t="n"/>
      <c r="C44" s="25" t="n"/>
      <c r="D44" s="23" t="n"/>
    </row>
    <row r="45">
      <c r="B45" s="9">
        <f> HAD</f>
        <v/>
      </c>
      <c r="C45" s="65">
        <f>COUNTIF(TalkDone,"Yes")</f>
        <v/>
      </c>
    </row>
    <row r="46">
      <c r="B46" s="26" t="inlineStr">
        <is>
          <t>Still to have</t>
        </is>
      </c>
      <c r="C46" s="66">
        <f>COUNTIF(TalkDone,"No")</f>
        <v/>
      </c>
    </row>
    <row r="48">
      <c r="B48" s="4" t="inlineStr">
        <is>
          <t>The unticked ones are the point of this page. Book one evening. Not all of them at once.</t>
        </is>
      </c>
    </row>
  </sheetData>
  <mergeCells count="2">
    <mergeCell ref="A1:D1"/>
    <mergeCell ref="A2:D2"/>
  </mergeCells>
  <conditionalFormatting sqref="C5:C44">
    <cfRule type="cellIs" priority="1" operator="equal" dxfId="1">
      <formula>"No"</formula>
    </cfRule>
  </conditionalFormatting>
  <dataValidations count="1">
    <dataValidation sqref="C5:C44" showDropDown="0" showInputMessage="0" showErrorMessage="0" allowBlank="1" type="list">
      <formula1>=YesNoList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6"/>
  <sheetViews>
    <sheetView showGridLines="0" workbookViewId="0">
      <pane ySplit="4" topLeftCell="A5" activePane="bottomLeft" state="frozen"/>
      <selection pane="bottomLeft" activeCell="A1" sqref="A1"/>
    </sheetView>
  </sheetViews>
  <sheetFormatPr baseColWidth="8" defaultRowHeight="15"/>
  <cols>
    <col width="2" customWidth="1" min="1" max="1"/>
    <col width="34" customWidth="1" min="2" max="2"/>
    <col width="20" customWidth="1" min="3" max="3"/>
    <col width="18" customWidth="1" min="4" max="4"/>
    <col width="44" customWidth="1" min="5" max="5"/>
    <col width="2" customWidth="1" min="6" max="6"/>
  </cols>
  <sheetData>
    <row r="1" ht="46" customHeight="1">
      <c r="A1" s="1" t="inlineStr">
        <is>
          <t xml:space="preserve">  📋  HOUSEHOLD ADMIN</t>
        </is>
      </c>
    </row>
    <row r="2" ht="22" customHeight="1">
      <c r="A2" s="2" t="inlineStr">
        <is>
          <t xml:space="preserve">  Who actually does what, and how often — written down so it stops being assumed.</t>
        </is>
      </c>
    </row>
    <row r="3" ht="6" customHeight="1">
      <c r="A3" s="3" t="n"/>
      <c r="B3" s="3" t="n"/>
      <c r="C3" s="3" t="n"/>
      <c r="D3" s="3" t="n"/>
      <c r="E3" s="3" t="n"/>
    </row>
    <row r="4" ht="30" customHeight="1">
      <c r="B4" s="9" t="inlineStr">
        <is>
          <t>Item</t>
        </is>
      </c>
      <c r="C4" s="9" t="inlineStr">
        <is>
          <t>Whose job</t>
        </is>
      </c>
      <c r="D4" s="9" t="inlineStr">
        <is>
          <t>How often</t>
        </is>
      </c>
      <c r="E4" s="9" t="inlineStr">
        <is>
          <t>Notes</t>
        </is>
      </c>
    </row>
    <row r="5">
      <c r="B5" s="57" t="inlineStr">
        <is>
          <t>Rent &amp; bills paid</t>
        </is>
      </c>
      <c r="C5" s="62" t="inlineStr">
        <is>
          <t>Joint account</t>
        </is>
      </c>
      <c r="D5" s="62" t="inlineStr">
        <is>
          <t>Monthly</t>
        </is>
      </c>
      <c r="E5" s="57" t="inlineStr">
        <is>
          <t>Auto — both can see it</t>
        </is>
      </c>
    </row>
    <row r="6">
      <c r="B6" s="23" t="inlineStr">
        <is>
          <t>Insurance renewals</t>
        </is>
      </c>
      <c r="C6" s="25" t="inlineStr">
        <is>
          <t>Sam</t>
        </is>
      </c>
      <c r="D6" s="25" t="inlineStr">
        <is>
          <t>Yearly</t>
        </is>
      </c>
      <c r="E6" s="23" t="inlineStr">
        <is>
          <t>Shop around, don't auto-renew</t>
        </is>
      </c>
    </row>
    <row r="7">
      <c r="B7" s="57" t="inlineStr">
        <is>
          <t>Car service &amp; MOT</t>
        </is>
      </c>
      <c r="C7" s="62" t="inlineStr">
        <is>
          <t>Sam</t>
        </is>
      </c>
      <c r="D7" s="62" t="inlineStr">
        <is>
          <t>Yearly</t>
        </is>
      </c>
      <c r="E7" s="57" t="inlineStr">
        <is>
          <t>March</t>
        </is>
      </c>
    </row>
    <row r="8">
      <c r="B8" s="23" t="inlineStr">
        <is>
          <t>Doctor &amp; dentist bookings</t>
        </is>
      </c>
      <c r="C8" s="25" t="inlineStr">
        <is>
          <t>Nadia</t>
        </is>
      </c>
      <c r="D8" s="25" t="inlineStr">
        <is>
          <t>Quarterly</t>
        </is>
      </c>
      <c r="E8" s="23" t="inlineStr">
        <is>
          <t>For both of us</t>
        </is>
      </c>
    </row>
    <row r="9">
      <c r="B9" s="57" t="inlineStr">
        <is>
          <t>Birthdays &amp; gifts</t>
        </is>
      </c>
      <c r="C9" s="62" t="inlineStr">
        <is>
          <t>Nadia</t>
        </is>
      </c>
      <c r="D9" s="62" t="inlineStr">
        <is>
          <t>Monthly</t>
        </is>
      </c>
      <c r="E9" s="57" t="inlineStr">
        <is>
          <t>This is invisible work — see the labour tab</t>
        </is>
      </c>
    </row>
    <row r="10">
      <c r="B10" s="23" t="inlineStr">
        <is>
          <t>Deep clean</t>
        </is>
      </c>
      <c r="C10" s="25" t="inlineStr">
        <is>
          <t>Both</t>
        </is>
      </c>
      <c r="D10" s="25" t="inlineStr">
        <is>
          <t>Monthly</t>
        </is>
      </c>
      <c r="E10" s="23" t="inlineStr">
        <is>
          <t>Together, first Saturday</t>
        </is>
      </c>
    </row>
    <row r="11">
      <c r="B11" s="57" t="inlineStr">
        <is>
          <t>Fire alarms &amp; filters</t>
        </is>
      </c>
      <c r="C11" s="62" t="inlineStr">
        <is>
          <t>Sam</t>
        </is>
      </c>
      <c r="D11" s="62" t="inlineStr">
        <is>
          <t>Quarterly</t>
        </is>
      </c>
      <c r="E11" s="57" t="inlineStr">
        <is>
          <t>Phone reminder set</t>
        </is>
      </c>
    </row>
    <row r="12">
      <c r="B12" s="23" t="inlineStr">
        <is>
          <t>Review this whole workbook</t>
        </is>
      </c>
      <c r="C12" s="25" t="inlineStr">
        <is>
          <t>Both</t>
        </is>
      </c>
      <c r="D12" s="25" t="inlineStr">
        <is>
          <t>Monthly</t>
        </is>
      </c>
      <c r="E12" s="23" t="inlineStr">
        <is>
          <t>Last Sunday of the month</t>
        </is>
      </c>
    </row>
    <row r="13">
      <c r="B13" s="57" t="n"/>
      <c r="C13" s="62" t="n"/>
      <c r="D13" s="62" t="n"/>
      <c r="E13" s="57" t="n"/>
    </row>
    <row r="14">
      <c r="B14" s="23" t="n"/>
      <c r="C14" s="25" t="n"/>
      <c r="D14" s="25" t="n"/>
      <c r="E14" s="23" t="n"/>
    </row>
    <row r="15">
      <c r="B15" s="57" t="n"/>
      <c r="C15" s="62" t="n"/>
      <c r="D15" s="62" t="n"/>
      <c r="E15" s="57" t="n"/>
    </row>
    <row r="16">
      <c r="B16" s="23" t="n"/>
      <c r="C16" s="25" t="n"/>
      <c r="D16" s="25" t="n"/>
      <c r="E16" s="23" t="n"/>
    </row>
    <row r="17">
      <c r="B17" s="57" t="n"/>
      <c r="C17" s="62" t="n"/>
      <c r="D17" s="62" t="n"/>
      <c r="E17" s="57" t="n"/>
    </row>
    <row r="18">
      <c r="B18" s="23" t="n"/>
      <c r="C18" s="25" t="n"/>
      <c r="D18" s="25" t="n"/>
      <c r="E18" s="23" t="n"/>
    </row>
    <row r="19">
      <c r="B19" s="57" t="n"/>
      <c r="C19" s="62" t="n"/>
      <c r="D19" s="62" t="n"/>
      <c r="E19" s="57" t="n"/>
    </row>
    <row r="20">
      <c r="B20" s="23" t="n"/>
      <c r="C20" s="25" t="n"/>
      <c r="D20" s="25" t="n"/>
      <c r="E20" s="23" t="n"/>
    </row>
    <row r="21">
      <c r="B21" s="57" t="n"/>
      <c r="C21" s="62" t="n"/>
      <c r="D21" s="62" t="n"/>
      <c r="E21" s="57" t="n"/>
    </row>
    <row r="22">
      <c r="B22" s="23" t="n"/>
      <c r="C22" s="25" t="n"/>
      <c r="D22" s="25" t="n"/>
      <c r="E22" s="23" t="n"/>
    </row>
    <row r="23">
      <c r="B23" s="57" t="n"/>
      <c r="C23" s="62" t="n"/>
      <c r="D23" s="62" t="n"/>
      <c r="E23" s="57" t="n"/>
    </row>
    <row r="24">
      <c r="B24" s="23" t="n"/>
      <c r="C24" s="25" t="n"/>
      <c r="D24" s="25" t="n"/>
      <c r="E24" s="23" t="n"/>
    </row>
    <row r="25">
      <c r="B25" s="57" t="n"/>
      <c r="C25" s="62" t="n"/>
      <c r="D25" s="62" t="n"/>
      <c r="E25" s="57" t="n"/>
    </row>
    <row r="26">
      <c r="B26" s="23" t="n"/>
      <c r="C26" s="25" t="n"/>
      <c r="D26" s="25" t="n"/>
      <c r="E26" s="23" t="n"/>
    </row>
    <row r="27">
      <c r="B27" s="57" t="n"/>
      <c r="C27" s="62" t="n"/>
      <c r="D27" s="62" t="n"/>
      <c r="E27" s="57" t="n"/>
    </row>
    <row r="28">
      <c r="B28" s="23" t="n"/>
      <c r="C28" s="25" t="n"/>
      <c r="D28" s="25" t="n"/>
      <c r="E28" s="23" t="n"/>
    </row>
    <row r="29">
      <c r="B29" s="57" t="n"/>
      <c r="C29" s="62" t="n"/>
      <c r="D29" s="62" t="n"/>
      <c r="E29" s="57" t="n"/>
    </row>
    <row r="30">
      <c r="B30" s="23" t="n"/>
      <c r="C30" s="25" t="n"/>
      <c r="D30" s="25" t="n"/>
      <c r="E30" s="23" t="n"/>
    </row>
    <row r="31">
      <c r="B31" s="57" t="n"/>
      <c r="C31" s="62" t="n"/>
      <c r="D31" s="62" t="n"/>
      <c r="E31" s="57" t="n"/>
    </row>
    <row r="32">
      <c r="B32" s="23" t="n"/>
      <c r="C32" s="25" t="n"/>
      <c r="D32" s="25" t="n"/>
      <c r="E32" s="23" t="n"/>
    </row>
    <row r="33">
      <c r="B33" s="57" t="n"/>
      <c r="C33" s="62" t="n"/>
      <c r="D33" s="62" t="n"/>
      <c r="E33" s="57" t="n"/>
    </row>
    <row r="34">
      <c r="B34" s="23" t="n"/>
      <c r="C34" s="25" t="n"/>
      <c r="D34" s="25" t="n"/>
      <c r="E34" s="23" t="n"/>
    </row>
    <row r="35">
      <c r="B35" s="57" t="n"/>
      <c r="C35" s="62" t="n"/>
      <c r="D35" s="62" t="n"/>
      <c r="E35" s="57" t="n"/>
    </row>
    <row r="36">
      <c r="B36" s="23" t="n"/>
      <c r="C36" s="25" t="n"/>
      <c r="D36" s="25" t="n"/>
      <c r="E36" s="23" t="n"/>
    </row>
    <row r="37">
      <c r="B37" s="57" t="n"/>
      <c r="C37" s="62" t="n"/>
      <c r="D37" s="62" t="n"/>
      <c r="E37" s="57" t="n"/>
    </row>
    <row r="38">
      <c r="B38" s="23" t="n"/>
      <c r="C38" s="25" t="n"/>
      <c r="D38" s="25" t="n"/>
      <c r="E38" s="23" t="n"/>
    </row>
    <row r="39">
      <c r="B39" s="57" t="n"/>
      <c r="C39" s="62" t="n"/>
      <c r="D39" s="62" t="n"/>
      <c r="E39" s="57" t="n"/>
    </row>
    <row r="40">
      <c r="B40" s="23" t="n"/>
      <c r="C40" s="25" t="n"/>
      <c r="D40" s="25" t="n"/>
      <c r="E40" s="23" t="n"/>
    </row>
    <row r="41">
      <c r="B41" s="57" t="n"/>
      <c r="C41" s="62" t="n"/>
      <c r="D41" s="62" t="n"/>
      <c r="E41" s="57" t="n"/>
    </row>
    <row r="42">
      <c r="B42" s="23" t="n"/>
      <c r="C42" s="25" t="n"/>
      <c r="D42" s="25" t="n"/>
      <c r="E42" s="23" t="n"/>
    </row>
    <row r="43">
      <c r="B43" s="57" t="n"/>
      <c r="C43" s="62" t="n"/>
      <c r="D43" s="62" t="n"/>
      <c r="E43" s="57" t="n"/>
    </row>
    <row r="44">
      <c r="B44" s="23" t="n"/>
      <c r="C44" s="25" t="n"/>
      <c r="D44" s="25" t="n"/>
      <c r="E44" s="23" t="n"/>
    </row>
    <row r="46">
      <c r="B46" s="4" t="inlineStr">
        <is>
          <t>Anything with nobody's name on it is being done by whoever notices first. That is not nothing.</t>
        </is>
      </c>
    </row>
  </sheetData>
  <mergeCells count="2">
    <mergeCell ref="A2:E2"/>
    <mergeCell ref="A1:E1"/>
  </mergeCells>
  <dataValidations count="1">
    <dataValidation sqref="D5:D44" showDropDown="0" showInputMessage="0" showErrorMessage="0" allowBlank="1" type="list">
      <formula1>=FreqList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 customWidth="1" min="1" max="1"/>
    <col width="40" customWidth="1" min="2" max="2"/>
    <col width="20" customWidth="1" min="3" max="3"/>
    <col width="20" customWidth="1" min="4" max="4"/>
    <col width="2" customWidth="1" min="5" max="5"/>
  </cols>
  <sheetData>
    <row r="1" ht="46" customHeight="1">
      <c r="A1" s="1" t="inlineStr">
        <is>
          <t xml:space="preserve">  👛  INDIVIDUAL MONEY</t>
        </is>
      </c>
    </row>
    <row r="2" ht="22" customHeight="1">
      <c r="A2" s="2" t="inlineStr">
        <is>
          <t xml:space="preserve">  What's shared is shared. What's yours stays yours — and you don't have to justify it.</t>
        </is>
      </c>
    </row>
    <row r="3" ht="6" customHeight="1">
      <c r="A3" s="3" t="n"/>
      <c r="B3" s="3" t="n"/>
      <c r="C3" s="3" t="n"/>
      <c r="D3" s="3" t="n"/>
    </row>
    <row r="4" ht="30" customHeight="1">
      <c r="B4" s="9" t="inlineStr"/>
      <c r="C4" s="9">
        <f>PartnerA</f>
        <v/>
      </c>
      <c r="D4" s="9">
        <f>PartnerB</f>
        <v/>
      </c>
    </row>
    <row r="5">
      <c r="B5" s="20" t="inlineStr">
        <is>
          <t>Income</t>
        </is>
      </c>
      <c r="C5" s="35" t="n">
        <v>4200</v>
      </c>
      <c r="D5" s="35" t="n">
        <v>6300</v>
      </c>
    </row>
    <row r="6">
      <c r="B6" s="23" t="inlineStr">
        <is>
          <t>Your share of the bills</t>
        </is>
      </c>
      <c r="C6" s="67" t="n">
        <v>1563.2</v>
      </c>
      <c r="D6" s="67" t="n">
        <v>2344.8</v>
      </c>
    </row>
    <row r="7">
      <c r="B7" s="20" t="inlineStr">
        <is>
          <t>Personal savings</t>
        </is>
      </c>
      <c r="C7" s="35" t="n">
        <v>250</v>
      </c>
      <c r="D7" s="35" t="n">
        <v>400</v>
      </c>
    </row>
    <row r="8">
      <c r="B8" s="23" t="inlineStr">
        <is>
          <t>Guilt-free spending</t>
        </is>
      </c>
      <c r="C8" s="67" t="n">
        <v>400</v>
      </c>
      <c r="D8" s="67" t="n">
        <v>400</v>
      </c>
    </row>
    <row r="10">
      <c r="B10" s="4" t="inlineStr">
        <is>
          <t>GUILT-FREE SPENDING — THE RULE</t>
        </is>
      </c>
    </row>
    <row r="11">
      <c r="B11" s="26" t="inlineStr">
        <is>
          <t>Under this amount, no questions asked</t>
        </is>
      </c>
      <c r="C11" s="36" t="n">
        <v>150</v>
      </c>
    </row>
    <row r="13">
      <c r="B13" s="4" t="inlineStr">
        <is>
          <t>Every couple who has this number written down argues about money less. It doesn't matter what the number is.</t>
        </is>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2" customWidth="1" min="1" max="1"/>
    <col width="42" customWidth="1" min="2" max="2"/>
    <col width="18" customWidth="1" min="3" max="3"/>
    <col width="2" customWidth="1" min="4" max="4"/>
  </cols>
  <sheetData>
    <row r="1" ht="46" customHeight="1">
      <c r="A1" s="1" t="inlineStr">
        <is>
          <t xml:space="preserve">  📈  MONTHLY SUMMARY</t>
        </is>
      </c>
    </row>
    <row r="2" ht="22" customHeight="1">
      <c r="A2" s="2" t="inlineStr">
        <is>
          <t xml:space="preserve">  The month in one place — money, hours, and each other.</t>
        </is>
      </c>
    </row>
    <row r="3" ht="6" customHeight="1">
      <c r="A3" s="3" t="n"/>
      <c r="B3" s="3" t="n"/>
      <c r="C3" s="3" t="n"/>
    </row>
    <row r="5">
      <c r="B5" s="4" t="inlineStr">
        <is>
          <t>MONEY</t>
        </is>
      </c>
    </row>
    <row r="6">
      <c r="B6" s="26" t="inlineStr">
        <is>
          <t>Shared bills</t>
        </is>
      </c>
      <c r="C6" s="61">
        <f>SharedBills</f>
        <v/>
      </c>
    </row>
    <row r="7">
      <c r="B7" s="26" t="inlineStr">
        <is>
          <t>A's fair share</t>
        </is>
      </c>
      <c r="C7" s="27">
        <f>FairA</f>
        <v/>
      </c>
    </row>
    <row r="8">
      <c r="B8" s="26" t="inlineStr">
        <is>
          <t>B's fair share</t>
        </is>
      </c>
      <c r="C8" s="27">
        <f>FairB</f>
        <v/>
      </c>
    </row>
    <row r="9">
      <c r="B9" s="26" t="inlineStr">
        <is>
          <t>How close to fair you are</t>
        </is>
      </c>
      <c r="C9" s="28">
        <f>Fairness</f>
        <v/>
      </c>
    </row>
    <row r="10">
      <c r="B10" s="26" t="inlineStr">
        <is>
          <t>Saved together</t>
        </is>
      </c>
      <c r="C10" s="61">
        <f>SavedMonth</f>
        <v/>
      </c>
    </row>
    <row r="11">
      <c r="B11" s="26" t="inlineStr">
        <is>
          <t>Total in your goals</t>
        </is>
      </c>
      <c r="C11" s="61">
        <f>GoalsSaved</f>
        <v/>
      </c>
    </row>
    <row r="13">
      <c r="B13" s="4" t="inlineStr">
        <is>
          <t>HOURS &amp; EACH OTHER</t>
        </is>
      </c>
    </row>
    <row r="14">
      <c r="B14" s="26" t="inlineStr">
        <is>
          <t>Chore split</t>
        </is>
      </c>
      <c r="C14" s="68">
        <f>ChoreRatio</f>
        <v/>
      </c>
    </row>
    <row r="15">
      <c r="B15" s="26" t="inlineStr">
        <is>
          <t>Extra hours a year</t>
        </is>
      </c>
      <c r="C15" s="69">
        <f>ExtraHoursYear</f>
        <v/>
      </c>
    </row>
    <row r="16">
      <c r="B16" s="26" t="inlineStr">
        <is>
          <t>Date nights</t>
        </is>
      </c>
      <c r="C16" s="56">
        <f>DateNights</f>
        <v/>
      </c>
    </row>
    <row r="17">
      <c r="B17" s="26" t="inlineStr">
        <is>
          <t>Check-ins done</t>
        </is>
      </c>
      <c r="C17" s="56">
        <f>CheckinsDone</f>
        <v/>
      </c>
    </row>
    <row r="18">
      <c r="B18" s="26" t="inlineStr">
        <is>
          <t>Big conversations had</t>
        </is>
      </c>
      <c r="C18" s="56">
        <f>TalksHad</f>
        <v/>
      </c>
    </row>
    <row r="20">
      <c r="B20" s="4" t="inlineStr">
        <is>
          <t>SAVED, MONTH BY MONTH</t>
        </is>
      </c>
    </row>
    <row r="21" ht="30" customHeight="1">
      <c r="B21" s="9" t="inlineStr">
        <is>
          <t>Month</t>
        </is>
      </c>
      <c r="C21" s="9" t="inlineStr">
        <is>
          <t>Saved</t>
        </is>
      </c>
    </row>
    <row r="22">
      <c r="B22" s="20" t="inlineStr">
        <is>
          <t>Feb</t>
        </is>
      </c>
      <c r="C22" s="36" t="n">
        <v>780</v>
      </c>
    </row>
    <row r="23">
      <c r="B23" s="23" t="inlineStr">
        <is>
          <t>Mar</t>
        </is>
      </c>
      <c r="C23" s="39" t="n">
        <v>810</v>
      </c>
    </row>
    <row r="24">
      <c r="B24" s="20" t="inlineStr">
        <is>
          <t>Apr</t>
        </is>
      </c>
      <c r="C24" s="36" t="n">
        <v>845</v>
      </c>
    </row>
    <row r="25">
      <c r="B25" s="23" t="inlineStr">
        <is>
          <t>May</t>
        </is>
      </c>
      <c r="C25" s="39" t="n">
        <v>880</v>
      </c>
    </row>
    <row r="26">
      <c r="B26" s="20" t="inlineStr">
        <is>
          <t>Jun</t>
        </is>
      </c>
      <c r="C26" s="36" t="n">
        <v>910</v>
      </c>
    </row>
    <row r="27">
      <c r="B27" s="23" t="inlineStr">
        <is>
          <t>Jul</t>
        </is>
      </c>
      <c r="C27" s="39" t="n">
        <v>940</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I14"/>
  <sheetViews>
    <sheetView showGridLines="0" workbookViewId="0">
      <selection activeCell="A1" sqref="A1"/>
    </sheetView>
  </sheetViews>
  <sheetFormatPr baseColWidth="8" defaultRowHeight="15"/>
  <cols>
    <col width="2" customWidth="1" min="1" max="1"/>
    <col width="40" customWidth="1" min="2" max="2"/>
    <col width="20" customWidth="1" min="3" max="3"/>
    <col width="3" customWidth="1" min="4" max="4"/>
    <col width="24" customWidth="1" min="5" max="5"/>
    <col width="24" customWidth="1" min="6" max="6"/>
    <col width="24" customWidth="1" min="7" max="7"/>
    <col width="24" customWidth="1" min="8" max="8"/>
    <col width="24" customWidth="1" min="9" max="9"/>
  </cols>
  <sheetData>
    <row r="1" ht="46" customHeight="1">
      <c r="A1" s="1" t="inlineStr">
        <is>
          <t xml:space="preserve">  ⚙  SETTINGS</t>
        </is>
      </c>
    </row>
    <row r="2" ht="22" customHeight="1">
      <c r="A2" s="2" t="inlineStr">
        <is>
          <t xml:space="preserve">  Your names, your incomes, your goals — every tab follows.</t>
        </is>
      </c>
    </row>
    <row r="3" ht="6" customHeight="1">
      <c r="A3" s="3" t="n"/>
      <c r="B3" s="3" t="n"/>
      <c r="C3" s="3" t="n"/>
      <c r="D3" s="3" t="n"/>
      <c r="E3" s="3" t="n"/>
      <c r="F3" s="3" t="n"/>
      <c r="G3" s="3" t="n"/>
      <c r="H3" s="3" t="n"/>
      <c r="I3" s="3" t="n"/>
    </row>
    <row r="5">
      <c r="B5" s="7" t="inlineStr">
        <is>
          <t>THE TWO OF YOU</t>
        </is>
      </c>
      <c r="E5" s="4" t="inlineStr">
        <is>
          <t>DROPDOWN LISTS</t>
        </is>
      </c>
    </row>
    <row r="6">
      <c r="B6" s="26" t="inlineStr">
        <is>
          <t>Partner A</t>
        </is>
      </c>
      <c r="C6" s="37" t="inlineStr">
        <is>
          <t>Nadia</t>
        </is>
      </c>
      <c r="E6" s="9" t="inlineStr">
        <is>
          <t>Who pays</t>
        </is>
      </c>
      <c r="F6" s="9" t="inlineStr">
        <is>
          <t>Bill category</t>
        </is>
      </c>
      <c r="G6" s="9" t="inlineStr">
        <is>
          <t>Goal status</t>
        </is>
      </c>
      <c r="H6" s="9" t="inlineStr">
        <is>
          <t>How often</t>
        </is>
      </c>
      <c r="I6" s="9" t="inlineStr">
        <is>
          <t>Yes / No</t>
        </is>
      </c>
    </row>
    <row r="7">
      <c r="B7" s="26" t="inlineStr">
        <is>
          <t>Partner B</t>
        </is>
      </c>
      <c r="C7" s="37" t="inlineStr">
        <is>
          <t>Sam</t>
        </is>
      </c>
      <c r="E7" s="20" t="inlineStr">
        <is>
          <t>Partner A</t>
        </is>
      </c>
      <c r="F7" s="20" t="inlineStr">
        <is>
          <t>Home</t>
        </is>
      </c>
      <c r="G7" s="20" t="inlineStr">
        <is>
          <t>On track</t>
        </is>
      </c>
      <c r="H7" s="20" t="inlineStr">
        <is>
          <t>Weekly</t>
        </is>
      </c>
      <c r="I7" s="20" t="inlineStr">
        <is>
          <t>Yes</t>
        </is>
      </c>
    </row>
    <row r="8">
      <c r="B8" s="26" t="inlineStr">
        <is>
          <t>A \u2014 monthly income after tax</t>
        </is>
      </c>
      <c r="C8" s="35" t="n">
        <v>4200</v>
      </c>
      <c r="E8" s="20" t="inlineStr">
        <is>
          <t>Partner B</t>
        </is>
      </c>
      <c r="F8" s="20" t="inlineStr">
        <is>
          <t>Food</t>
        </is>
      </c>
      <c r="G8" s="20" t="inlineStr">
        <is>
          <t>Ahead</t>
        </is>
      </c>
      <c r="H8" s="20" t="inlineStr">
        <is>
          <t>Fortnightly</t>
        </is>
      </c>
      <c r="I8" s="20" t="inlineStr">
        <is>
          <t>No</t>
        </is>
      </c>
    </row>
    <row r="9">
      <c r="B9" s="26" t="inlineStr">
        <is>
          <t>B \u2014 monthly income after tax</t>
        </is>
      </c>
      <c r="C9" s="35" t="n">
        <v>6300</v>
      </c>
      <c r="E9" s="20" t="inlineStr">
        <is>
          <t>Split proportionally</t>
        </is>
      </c>
      <c r="F9" s="20" t="inlineStr">
        <is>
          <t>Utilities</t>
        </is>
      </c>
      <c r="G9" s="20" t="inlineStr">
        <is>
          <t>Behind</t>
        </is>
      </c>
      <c r="H9" s="20" t="inlineStr">
        <is>
          <t>Monthly</t>
        </is>
      </c>
    </row>
    <row r="10">
      <c r="B10" s="26" t="inlineStr">
        <is>
          <t>Goal: date nights a month</t>
        </is>
      </c>
      <c r="C10" s="70" t="n">
        <v>4</v>
      </c>
      <c r="E10" s="20" t="inlineStr">
        <is>
          <t>Split 50/50</t>
        </is>
      </c>
      <c r="F10" s="20" t="inlineStr">
        <is>
          <t>Transport</t>
        </is>
      </c>
      <c r="G10" s="20" t="inlineStr">
        <is>
          <t>Done</t>
        </is>
      </c>
      <c r="H10" s="20" t="inlineStr">
        <is>
          <t>Quarterly</t>
        </is>
      </c>
    </row>
    <row r="11">
      <c r="B11" s="26" t="inlineStr">
        <is>
          <t>Goal: check-ins a month</t>
        </is>
      </c>
      <c r="C11" s="70" t="n">
        <v>4</v>
      </c>
      <c r="E11" s="20" t="inlineStr">
        <is>
          <t>Joint account</t>
        </is>
      </c>
      <c r="F11" s="20" t="inlineStr">
        <is>
          <t>Insurance</t>
        </is>
      </c>
      <c r="G11" s="20" t="inlineStr">
        <is>
          <t>Paused</t>
        </is>
      </c>
      <c r="H11" s="20" t="inlineStr">
        <is>
          <t>Yearly</t>
        </is>
      </c>
    </row>
    <row r="12">
      <c r="B12" s="26" t="inlineStr">
        <is>
          <t>Goal: saved together each month</t>
        </is>
      </c>
      <c r="C12" s="36" t="n">
        <v>800</v>
      </c>
      <c r="F12" s="20" t="inlineStr">
        <is>
          <t>Fun</t>
        </is>
      </c>
    </row>
    <row r="13">
      <c r="B13" s="26" t="inlineStr">
        <is>
          <t>Goal: chore split no worse than</t>
        </is>
      </c>
      <c r="C13" s="71" t="n">
        <v>1.15</v>
      </c>
      <c r="F13" s="20" t="inlineStr">
        <is>
          <t>Other</t>
        </is>
      </c>
    </row>
    <row r="14">
      <c r="B14" s="26" t="inlineStr">
        <is>
          <t>Goal: fair-split accuracy</t>
        </is>
      </c>
      <c r="C14" s="72" t="n">
        <v>0.95</v>
      </c>
    </row>
  </sheetData>
  <mergeCells count="4">
    <mergeCell ref="A1:I1"/>
    <mergeCell ref="E5:I5"/>
    <mergeCell ref="B5:C5"/>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2026-07-27T01:37:23Z</dcterms:created>
  <dcterms:modified xsi:type="dcterms:W3CDTF">2026-07-27T01:37:23Z</dcterms:modified>
</cp:coreProperties>
</file>