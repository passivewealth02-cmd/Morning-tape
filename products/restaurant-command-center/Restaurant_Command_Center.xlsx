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Profile" sheetId="3" state="visible" r:id="rId3"/>
    <sheet name="Menu" sheetId="4" state="visible" r:id="rId4"/>
    <sheet name="Inventory" sheetId="5" state="visible" r:id="rId5"/>
    <sheet name="Par Levels" sheetId="6" state="visible" r:id="rId6"/>
    <sheet name="Suppliers" sheetId="7" state="visible" r:id="rId7"/>
    <sheet name="Sales" sheetId="8" state="visible" r:id="rId8"/>
    <sheet name="Labor" sheetId="9" state="visible" r:id="rId9"/>
    <sheet name="Staff" sheetId="10" state="visible" r:id="rId10"/>
    <sheet name="P&amp;L" sheetId="11" state="visible" r:id="rId11"/>
    <sheet name="Expenses" sheetId="12" state="visible" r:id="rId12"/>
    <sheet name="Cash &amp; Tips" sheetId="13" state="visible" r:id="rId13"/>
    <sheet name="Reservations" sheetId="14" state="visible" r:id="rId14"/>
    <sheet name="Marketing" sheetId="15" state="visible" r:id="rId15"/>
    <sheet name="Reviews" sheetId="16" state="visible" r:id="rId16"/>
    <sheet name="Compliance" sheetId="17" state="visible" r:id="rId17"/>
    <sheet name="Checklists" sheetId="18" state="visible" r:id="rId18"/>
    <sheet name="Waste" sheetId="19" state="visible" r:id="rId19"/>
    <sheet name="Payments" sheetId="20" state="visible" r:id="rId20"/>
    <sheet name="Training" sheetId="21" state="visible" r:id="rId21"/>
    <sheet name="Analytics" sheetId="22" state="visible" r:id="rId22"/>
    <sheet name="Settings" sheetId="23" state="visible" r:id="rId23"/>
  </sheets>
  <definedNames>
    <definedName name="RestName">Settings!$C$6</definedName>
    <definedName name="Concept">Settings!$C$7</definedName>
    <definedName name="Seats">Settings!$C$8</definedName>
    <definedName name="FoodTarget">Settings!$C$9</definedName>
    <definedName name="LaborTarget">Settings!$C$10</definedName>
    <definedName name="PrimeTarget">Settings!$C$11</definedName>
    <definedName name="MarginTarget">Settings!$C$12</definedName>
    <definedName name="CheckGoal">Settings!$C$13</definedName>
    <definedName name="MenuCatList">Settings!$E$7:$E$12</definedName>
    <definedName name="ExpCatList">Settings!$F$7:$F$17</definedName>
    <definedName name="InvCatList">Settings!$G$7:$G$14</definedName>
    <definedName name="UnitList">Settings!$H$7:$H$14</definedName>
    <definedName name="StationList">Settings!$I$7:$I$11</definedName>
    <definedName name="ShiftList">Settings!$J$7:$J$11</definedName>
    <definedName name="DaypartList">Settings!$K$7:$K$11</definedName>
    <definedName name="ResStatusList">Settings!$L$7:$L$11</definedName>
    <definedName name="PayStatusList">Settings!$E$19:$E$22</definedName>
    <definedName name="PromoStatusList">Settings!$F$19:$F$22</definedName>
    <definedName name="ComplyStatusList">Settings!$G$19:$G$22</definedName>
    <definedName name="PriorityList">Settings!$H$19:$H$21</definedName>
    <definedName name="YesNoList">Settings!$I$19:$I$20</definedName>
    <definedName name="MenuItem">'Menu'!$A$5:$A$34</definedName>
    <definedName name="MenuCat">'Menu'!$B$5:$B$34</definedName>
    <definedName name="MenuFCPct">'Menu'!$E$5:$E$34</definedName>
    <definedName name="MenuCount">'Menu'!$A$5:$A$40</definedName>
    <definedName name="InvName">'Inventory'!$A$5:$A$31</definedName>
    <definedName name="InvStatus">'Inventory'!$H$5:$H$31</definedName>
    <definedName name="InvValue">'Inventory'!$G$32</definedName>
    <definedName name="RevenueTotal">'Sales'!$D$35</definedName>
    <definedName name="CoversTotal">'Sales'!$C$35</definedName>
    <definedName name="LaborTotal">'Labor'!$F$14</definedName>
    <definedName name="StaffName">'Staff'!$A$5:$A$28</definedName>
    <definedName name="FoodCostTotal">'P&amp;L'!$C$8</definedName>
    <definedName name="ExpCat">'Expenses'!$A$5:$A$15</definedName>
    <definedName name="ExpMonthly">'Expenses'!$B$5:$B$15</definedName>
    <definedName name="OpexTotal">'Expenses'!$B$16</definedName>
    <definedName name="AvgRating">'Reviews'!$C$12</definedName>
    <definedName name="HealthRange">'Analytics'!$C$7:$C$12</definedName>
    <definedName name="WeekLabel">'Analytics'!$B$17:$B$20</definedName>
    <definedName name="WeekSales">'Analytics'!$C$17:$C$20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.00"/>
    <numFmt numFmtId="166" formatCode="0.0"/>
    <numFmt numFmtId="167" formatCode="yyyy-mm-dd"/>
    <numFmt numFmtId="168" formatCode="mm/dd/yyyy"/>
    <numFmt numFmtId="169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b val="1"/>
      <color rgb="001B4F48"/>
    </font>
    <font>
      <i val="1"/>
      <color rgb="00937356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72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4" applyAlignment="1" pivotButton="0" quotePrefix="0" xfId="0">
      <alignment horizontal="center" vertical="center"/>
    </xf>
    <xf numFmtId="0" fontId="0" fillId="9" borderId="4" pivotButton="0" quotePrefix="0" xfId="0"/>
    <xf numFmtId="164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3" fontId="15" fillId="9" borderId="2" applyAlignment="1" pivotButton="0" quotePrefix="0" xfId="0">
      <alignment horizontal="center" vertical="center"/>
    </xf>
    <xf numFmtId="165" fontId="15" fillId="9" borderId="2" applyAlignment="1" pivotButton="0" quotePrefix="0" xfId="0">
      <alignment horizontal="center" vertical="center"/>
    </xf>
    <xf numFmtId="169" fontId="15" fillId="9" borderId="2" applyAlignment="1" pivotButton="0" quotePrefix="0" xfId="0">
      <alignment horizontal="center" vertical="center"/>
    </xf>
    <xf numFmtId="166" fontId="15" fillId="9" borderId="2" applyAlignment="1" pivotButton="0" quotePrefix="0" xfId="0">
      <alignment horizontal="center" vertical="center"/>
    </xf>
    <xf numFmtId="9" fontId="15" fillId="9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165" fontId="7" fillId="3" borderId="2" applyAlignment="1" pivotButton="0" quotePrefix="0" xfId="8">
      <alignment horizontal="center" vertical="center"/>
    </xf>
    <xf numFmtId="9" fontId="6" fillId="0" borderId="2" applyAlignment="1" pivotButton="0" quotePrefix="0" xfId="6">
      <alignment horizontal="center" vertical="center" wrapText="1"/>
    </xf>
    <xf numFmtId="165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65" fontId="7" fillId="8" borderId="2" applyAlignment="1" pivotButton="0" quotePrefix="0" xfId="8">
      <alignment horizontal="center" vertical="center"/>
    </xf>
    <xf numFmtId="9" fontId="6" fillId="8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3" fontId="7" fillId="8" borderId="2" applyAlignment="1" pivotButton="0" quotePrefix="0" xfId="8">
      <alignment horizontal="center" vertical="center"/>
    </xf>
    <xf numFmtId="164" fontId="6" fillId="8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8" fontId="6" fillId="0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8" fontId="6" fillId="8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3" fontId="12" fillId="3" borderId="2" applyAlignment="1" pivotButton="0" quotePrefix="0" xfId="6">
      <alignment horizontal="center" vertical="center" wrapText="1"/>
    </xf>
    <xf numFmtId="165" fontId="12" fillId="3" borderId="2" applyAlignment="1" pivotButton="0" quotePrefix="0" xfId="6">
      <alignment horizontal="center" vertical="center" wrapText="1"/>
    </xf>
    <xf numFmtId="169" fontId="6" fillId="0" borderId="2" applyAlignment="1" pivotButton="0" quotePrefix="0" xfId="6">
      <alignment horizontal="center" vertical="center" wrapText="1"/>
    </xf>
    <xf numFmtId="169" fontId="6" fillId="8" borderId="2" applyAlignment="1" pivotButton="0" quotePrefix="0" xfId="6">
      <alignment horizontal="center" vertical="center" wrapText="1"/>
    </xf>
    <xf numFmtId="169" fontId="12" fillId="3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169" fontId="7" fillId="0" borderId="2" applyAlignment="1" pivotButton="0" quotePrefix="0" xfId="10">
      <alignment horizontal="left" vertical="center" indent="1"/>
    </xf>
    <xf numFmtId="0" fontId="12" fillId="3" borderId="2" applyAlignment="1" pivotButton="0" quotePrefix="0" xfId="5">
      <alignment horizontal="center" vertical="center" wrapText="1"/>
    </xf>
    <xf numFmtId="164" fontId="12" fillId="3" borderId="2" applyAlignment="1" pivotButton="0" quotePrefix="0" xfId="10">
      <alignment horizontal="left" vertical="center" indent="1"/>
    </xf>
    <xf numFmtId="0" fontId="13" fillId="0" borderId="0" pivotButton="0" quotePrefix="0" xfId="0"/>
    <xf numFmtId="164" fontId="12" fillId="6" borderId="2" applyAlignment="1" pivotButton="0" quotePrefix="0" xfId="10">
      <alignment horizontal="left" vertical="center" indent="1"/>
    </xf>
    <xf numFmtId="164" fontId="6" fillId="9" borderId="2" applyAlignment="1" pivotButton="0" quotePrefix="0" xfId="6">
      <alignment horizontal="center" vertical="center" wrapText="1"/>
    </xf>
    <xf numFmtId="166" fontId="6" fillId="0" borderId="2" applyAlignment="1" pivotButton="0" quotePrefix="0" xfId="6">
      <alignment horizontal="center" vertical="center" wrapText="1"/>
    </xf>
    <xf numFmtId="166" fontId="12" fillId="3" borderId="2" applyAlignment="1" pivotButton="0" quotePrefix="0" xfId="6">
      <alignment horizontal="center" vertical="center" wrapText="1"/>
    </xf>
    <xf numFmtId="3" fontId="7" fillId="0" borderId="2" applyAlignment="1" pivotButton="0" quotePrefix="0" xfId="10">
      <alignment horizontal="left" vertical="center" indent="1"/>
    </xf>
    <xf numFmtId="165" fontId="7" fillId="0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6">
    <dxf>
      <font>
        <b val="1"/>
        <color rgb="00C94C4C"/>
      </font>
      <fill>
        <patternFill patternType="solid">
          <fgColor rgb="00FBE6E6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F4ECDE"/>
        </patternFill>
      </fill>
    </dxf>
    <dxf>
      <fill>
        <patternFill patternType="solid">
          <fgColor rgb="00FAF7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Every Dollar Goes</a:t>
            </a:r>
          </a:p>
        </rich>
      </tx>
    </title>
    <plotArea>
      <doughnutChart>
        <varyColors val="1"/>
        <ser>
          <idx val="0"/>
          <order val="0"/>
          <tx>
            <strRef>
              <f>'Analytics'!F6</f>
            </strRef>
          </tx>
          <spPr>
            <a:ln>
              <a:prstDash val="solid"/>
            </a:ln>
          </spPr>
          <cat>
            <numRef>
              <f>'Analytics'!$E$7:$E$10</f>
            </numRef>
          </cat>
          <val>
            <numRef>
              <f>'Analytics'!$F$7:$F$10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cat>
            <numRef>
              <f>'Analytics'!$B$17:$B$20</f>
            </numRef>
          </cat>
          <val>
            <numRef>
              <f>'Analytics'!$C$17:$C$20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Operations Health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Menu Food Cost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'Menu'!E4</f>
            </strRef>
          </tx>
          <spPr>
            <a:ln>
              <a:prstDash val="solid"/>
            </a:ln>
          </spPr>
          <cat>
            <numRef>
              <f>'Menu'!$A$5:$A$12</f>
            </numRef>
          </cat>
          <val>
            <numRef>
              <f>'Menu'!$E$5:$E$12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🍽  RESTAURANT COMMAND CENTER™</t>
        </is>
      </c>
    </row>
    <row r="2" ht="24" customHeight="1">
      <c r="A2" s="2" t="inlineStr">
        <is>
          <t xml:space="preserve">  The ultimate restaurant operations, cost &amp; team management system.</t>
        </is>
      </c>
    </row>
    <row r="3" ht="6" customHeight="1">
      <c r="A3" s="3" t="n"/>
      <c r="B3" s="3" t="n"/>
      <c r="C3" s="3" t="n"/>
    </row>
    <row r="5">
      <c r="B5" s="4" t="inlineStr">
        <is>
          <t>RUN YOUR ENTIRE RESTAURANT FROM ONE FILE</t>
        </is>
      </c>
    </row>
    <row r="6" ht="22" customHeight="1">
      <c r="B6" s="5" t="inlineStr">
        <is>
          <t>From menu costing to the bottom line — Restaurant Command Center™ manages sales, food &amp; labor cost, inventory, suppliers, scheduling, P&amp;L, reservations, marketing, reviews, compliance and your team in ONE premium Excel &amp; Google Sheets system. Protect your margins, control prime cost, cut waste and run a tighter, more profitable operation — all with restaurant-grade automation. This isn't a spreadsheet — it's your complete Restaurant Operating System.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restaurant, concept, seats &amp; cost targets.</t>
        </is>
      </c>
    </row>
    <row r="13" ht="22" customHeight="1">
      <c r="B13" s="8" t="inlineStr">
        <is>
          <t>2.  Build the Menu &amp; Recipe Costing — food cost % &amp; margin per item, live.</t>
        </is>
      </c>
    </row>
    <row r="14" ht="22" customHeight="1">
      <c r="B14" s="8" t="inlineStr">
        <is>
          <t>3.  Load Inventory &amp; Par Levels — value and low-stock flags calculate themselves.</t>
        </is>
      </c>
    </row>
    <row r="15" ht="22" customHeight="1">
      <c r="B15" s="8" t="inlineStr">
        <is>
          <t>4.  Log daily Sales; set Labor &amp; the P&amp;L — prime cost &amp; net profit update automatically.</t>
        </is>
      </c>
    </row>
    <row r="16" ht="22" customHeight="1">
      <c r="B16" s="8" t="inlineStr">
        <is>
          <t>5.  Track Suppliers, Reservations, Marketing, Reviews &amp; Compliance.</t>
        </is>
      </c>
    </row>
    <row r="17" ht="22" customHeight="1">
      <c r="B17" s="8" t="inlineStr">
        <is>
          <t>6.  Watch the Dashboard track revenue, prime cost &amp; an Operations Health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Realistic sample data (Olive &amp; Ember, an 84-seat bistro doing ~$128k/month) is included so you can see how everything connects — just type over it with your own. Revenue, food &amp; labor cost %, prime cost, net profit, inventory value, low-stock alerts, guest ratings and the Operations Health Score all update automatically. Every sheet is print-friendly and works in Excel and Google Sheets, on desktop and mobile.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healthier margins — let's run a tighter restaurant.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🍽  RESTAURANT COMMAND CENTER™</t>
        </is>
      </c>
    </row>
    <row r="2" ht="24" customHeight="1">
      <c r="A2" s="2" t="inlineStr">
        <is>
          <t xml:space="preserve">  Sales, food &amp; labor cost, inventory &amp; team — your whole restaurant,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MONTHLY REVENUE</t>
        </is>
      </c>
      <c r="C5" s="13" t="n"/>
      <c r="D5" s="12" t="inlineStr">
        <is>
          <t>COVERS</t>
        </is>
      </c>
      <c r="E5" s="13" t="n"/>
      <c r="F5" s="12" t="inlineStr">
        <is>
          <t>AVG CHECK</t>
        </is>
      </c>
      <c r="G5" s="13" t="n"/>
      <c r="H5" s="12" t="inlineStr">
        <is>
          <t>FOOD COST %</t>
        </is>
      </c>
      <c r="I5" s="13" t="n"/>
      <c r="J5" s="12" t="inlineStr">
        <is>
          <t>LABOR COST %</t>
        </is>
      </c>
      <c r="K5" s="13" t="n"/>
      <c r="L5" s="12" t="inlineStr">
        <is>
          <t>PRIME COST %</t>
        </is>
      </c>
      <c r="M5" s="13" t="n"/>
    </row>
    <row r="6" ht="40" customHeight="1">
      <c r="B6" s="14">
        <f>RevenueTotal</f>
        <v/>
      </c>
      <c r="C6" s="15" t="n"/>
      <c r="D6" s="16">
        <f>CoversTotal</f>
        <v/>
      </c>
      <c r="E6" s="15" t="n"/>
      <c r="F6" s="17">
        <f>IFERROR(RevenueTotal/CoversTotal,0)</f>
        <v/>
      </c>
      <c r="G6" s="15" t="n"/>
      <c r="H6" s="18">
        <f>IFERROR(FoodCostTotal/RevenueTotal,0)</f>
        <v/>
      </c>
      <c r="I6" s="15" t="n"/>
      <c r="J6" s="18">
        <f>IFERROR(LaborTotal/RevenueTotal,0)</f>
        <v/>
      </c>
      <c r="K6" s="15" t="n"/>
      <c r="L6" s="18">
        <f>IFERROR((FoodCostTotal+LaborTotal)/RevenueTotal,0)</f>
        <v/>
      </c>
      <c r="M6" s="15" t="n"/>
    </row>
    <row r="8" ht="18" customHeight="1">
      <c r="B8" s="12" t="inlineStr">
        <is>
          <t>NET PROFIT</t>
        </is>
      </c>
      <c r="C8" s="13" t="n"/>
      <c r="D8" s="12" t="inlineStr">
        <is>
          <t>PROFIT MARGIN</t>
        </is>
      </c>
      <c r="E8" s="13" t="n"/>
      <c r="F8" s="12" t="inlineStr">
        <is>
          <t>INVENTORY VALUE</t>
        </is>
      </c>
      <c r="G8" s="13" t="n"/>
      <c r="H8" s="12" t="inlineStr">
        <is>
          <t>LOW-STOCK ITEMS</t>
        </is>
      </c>
      <c r="I8" s="13" t="n"/>
      <c r="J8" s="12" t="inlineStr">
        <is>
          <t>AVG RATING</t>
        </is>
      </c>
      <c r="K8" s="13" t="n"/>
      <c r="L8" s="12" t="inlineStr">
        <is>
          <t>HEALTH SCORE</t>
        </is>
      </c>
      <c r="M8" s="13" t="n"/>
    </row>
    <row r="9" ht="40" customHeight="1">
      <c r="B9" s="14">
        <f>RevenueTotal-FoodCostTotal-LaborTotal-OpexTotal</f>
        <v/>
      </c>
      <c r="C9" s="15" t="n"/>
      <c r="D9" s="18">
        <f>IFERROR((RevenueTotal-FoodCostTotal-LaborTotal-OpexTotal)/RevenueTotal,0)</f>
        <v/>
      </c>
      <c r="E9" s="15" t="n"/>
      <c r="F9" s="14">
        <f>InvValue</f>
        <v/>
      </c>
      <c r="G9" s="15" t="n"/>
      <c r="H9" s="16">
        <f>COUNTIF(InvStatus,"Low")</f>
        <v/>
      </c>
      <c r="I9" s="15" t="n"/>
      <c r="J9" s="19">
        <f>AvgRating</f>
        <v/>
      </c>
      <c r="K9" s="15" t="n"/>
      <c r="L9" s="20">
        <f>IFERROR(AVERAGE(HealthRange),0)</f>
        <v/>
      </c>
      <c r="M9" s="15" t="n"/>
    </row>
    <row r="11" ht="26" customHeight="1">
      <c r="B11" s="4" t="inlineStr">
        <is>
          <t>COST STRUCTURE &amp; SALES</t>
        </is>
      </c>
    </row>
    <row r="29" ht="26" customHeight="1">
      <c r="B29" s="4" t="inlineStr">
        <is>
          <t>HEALTH &amp; MENU</t>
        </is>
      </c>
    </row>
    <row r="47" ht="26" customHeight="1">
      <c r="B47" s="2" t="inlineStr">
        <is>
          <t>Restaurant Command Center™ — from menu costing to the bottom line, all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4" customWidth="1" min="4" max="4"/>
    <col width="24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🏛  RESTAURANT PROFILE</t>
        </is>
      </c>
    </row>
    <row r="2" ht="22" customHeight="1">
      <c r="A2" s="2" t="inlineStr">
        <is>
          <t xml:space="preserve">  Your operation, defined — the concept every number flows from.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RESTAURANT</t>
        </is>
      </c>
    </row>
    <row r="6" ht="24" customHeight="1">
      <c r="B6" s="21" t="inlineStr">
        <is>
          <t>Name</t>
        </is>
      </c>
      <c r="C6" s="22">
        <f>RestName</f>
        <v/>
      </c>
      <c r="E6" s="21" t="inlineStr">
        <is>
          <t>Concept</t>
        </is>
      </c>
      <c r="F6" s="22">
        <f>Concept</f>
        <v/>
      </c>
    </row>
    <row r="7" ht="24" customHeight="1">
      <c r="B7" s="21" t="inlineStr">
        <is>
          <t>Seats</t>
        </is>
      </c>
      <c r="C7" s="22">
        <f>Seats</f>
        <v/>
      </c>
      <c r="E7" s="21" t="inlineStr">
        <is>
          <t>Avg Check Goal</t>
        </is>
      </c>
      <c r="F7" s="22">
        <f>CheckGoal</f>
        <v/>
      </c>
    </row>
    <row r="8" ht="24" customHeight="1">
      <c r="B8" s="21" t="inlineStr">
        <is>
          <t>Opened</t>
        </is>
      </c>
      <c r="C8" s="22" t="inlineStr">
        <is>
          <t>2019</t>
        </is>
      </c>
      <c r="E8" s="21" t="inlineStr">
        <is>
          <t>Service</t>
        </is>
      </c>
      <c r="F8" s="22" t="inlineStr">
        <is>
          <t>Lunch &amp; Dinner · 7 days</t>
        </is>
      </c>
    </row>
    <row r="10" ht="22" customHeight="1">
      <c r="B10" s="4" t="inlineStr">
        <is>
          <t>THE TARGETS</t>
        </is>
      </c>
    </row>
    <row r="11" ht="24" customHeight="1">
      <c r="B11" s="21" t="inlineStr">
        <is>
          <t>Food Cost Target</t>
        </is>
      </c>
      <c r="C11" s="22">
        <f>FoodTarget</f>
        <v/>
      </c>
      <c r="E11" s="21" t="inlineStr">
        <is>
          <t>Labor Cost Target</t>
        </is>
      </c>
      <c r="F11" s="22">
        <f>LaborTarget</f>
        <v/>
      </c>
    </row>
    <row r="12" ht="24" customHeight="1">
      <c r="B12" s="21" t="inlineStr">
        <is>
          <t>Prime Cost Target</t>
        </is>
      </c>
      <c r="C12" s="22">
        <f>PrimeTarget</f>
        <v/>
      </c>
      <c r="E12" s="21" t="inlineStr">
        <is>
          <t>Net Margin Target</t>
        </is>
      </c>
      <c r="F12" s="22">
        <f>MarginTarget</f>
        <v/>
      </c>
    </row>
    <row r="13" ht="24" customHeight="1">
      <c r="B13" s="21" t="inlineStr">
        <is>
          <t>Manager</t>
        </is>
      </c>
      <c r="C13" s="22" t="inlineStr">
        <is>
          <t>Dana Reyes (GM)</t>
        </is>
      </c>
      <c r="E13" s="21" t="inlineStr">
        <is>
          <t>Chef</t>
        </is>
      </c>
      <c r="F13" s="22" t="inlineStr">
        <is>
          <t>Marco Ellis (Exec)</t>
        </is>
      </c>
    </row>
    <row r="15" ht="22" customHeight="1">
      <c r="B15" s="4" t="inlineStr">
        <is>
          <t>KEY CONTACTS</t>
        </is>
      </c>
    </row>
    <row r="16">
      <c r="B16" s="21" t="inlineStr">
        <is>
          <t>Landlord</t>
        </is>
      </c>
      <c r="C16" s="22" t="inlineStr">
        <is>
          <t>555-0120</t>
        </is>
      </c>
      <c r="E16" s="21" t="inlineStr">
        <is>
          <t>POS Support</t>
        </is>
      </c>
      <c r="F16" s="22" t="inlineStr">
        <is>
          <t>800-555-0140</t>
        </is>
      </c>
    </row>
    <row r="17">
      <c r="B17" s="21" t="inlineStr">
        <is>
          <t>Health Dept.</t>
        </is>
      </c>
      <c r="C17" s="22" t="inlineStr">
        <is>
          <t>555-0166</t>
        </is>
      </c>
      <c r="E17" s="21" t="inlineStr">
        <is>
          <t>Primary Supplier</t>
        </is>
      </c>
      <c r="F17" s="22" t="inlineStr">
        <is>
          <t>555-0188</t>
        </is>
      </c>
    </row>
    <row r="18">
      <c r="B18" s="21" t="inlineStr">
        <is>
          <t>Bookkeeper</t>
        </is>
      </c>
      <c r="C18" s="22" t="inlineStr">
        <is>
          <t>555-0155</t>
        </is>
      </c>
      <c r="E18" s="21" t="inlineStr">
        <is>
          <t>Equipment Repair</t>
        </is>
      </c>
      <c r="F18" s="22" t="inlineStr">
        <is>
          <t>555-0177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46" customHeight="1">
      <c r="A1" s="1" t="inlineStr">
        <is>
          <t xml:space="preserve">  📖  MENU &amp; RECIPE COSTING</t>
        </is>
      </c>
    </row>
    <row r="2" ht="22" customHeight="1">
      <c r="A2" s="2" t="inlineStr">
        <is>
          <t xml:space="preserve">  Menu engineering — food cost %, contribution margin &amp; item class, per dish.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Item</t>
        </is>
      </c>
      <c r="B4" s="9" t="inlineStr">
        <is>
          <t>Category</t>
        </is>
      </c>
      <c r="C4" s="9" t="inlineStr">
        <is>
          <t>Menu Price</t>
        </is>
      </c>
      <c r="D4" s="9" t="inlineStr">
        <is>
          <t>Food Cost</t>
        </is>
      </c>
      <c r="E4" s="9" t="inlineStr">
        <is>
          <t>Food Cost %</t>
        </is>
      </c>
      <c r="F4" s="9" t="inlineStr">
        <is>
          <t>Margin</t>
        </is>
      </c>
      <c r="G4" s="9" t="inlineStr">
        <is>
          <t>Class</t>
        </is>
      </c>
    </row>
    <row r="5">
      <c r="A5" s="23" t="inlineStr">
        <is>
          <t>Charred Octopus</t>
        </is>
      </c>
      <c r="B5" s="24" t="inlineStr">
        <is>
          <t>Starters</t>
        </is>
      </c>
      <c r="C5" s="25" t="n">
        <v>16</v>
      </c>
      <c r="D5" s="25" t="n">
        <v>4.6</v>
      </c>
      <c r="E5" s="26">
        <f>IFERROR(D5/C5,0)</f>
        <v/>
      </c>
      <c r="F5" s="27">
        <f>C5-D5</f>
        <v/>
      </c>
      <c r="G5" s="24" t="inlineStr">
        <is>
          <t>Star</t>
        </is>
      </c>
    </row>
    <row r="6">
      <c r="A6" s="28" t="inlineStr">
        <is>
          <t>Burrata &amp; Heirloom</t>
        </is>
      </c>
      <c r="B6" s="29" t="inlineStr">
        <is>
          <t>Starters</t>
        </is>
      </c>
      <c r="C6" s="30" t="n">
        <v>14</v>
      </c>
      <c r="D6" s="30" t="n">
        <v>4.2</v>
      </c>
      <c r="E6" s="31">
        <f>IFERROR(D6/C6,0)</f>
        <v/>
      </c>
      <c r="F6" s="32">
        <f>C6-D6</f>
        <v/>
      </c>
      <c r="G6" s="29" t="inlineStr">
        <is>
          <t>Star</t>
        </is>
      </c>
    </row>
    <row r="7">
      <c r="A7" s="23" t="inlineStr">
        <is>
          <t>Steak Tartare</t>
        </is>
      </c>
      <c r="B7" s="24" t="inlineStr">
        <is>
          <t>Starters</t>
        </is>
      </c>
      <c r="C7" s="25" t="n">
        <v>17</v>
      </c>
      <c r="D7" s="25" t="n">
        <v>5.8</v>
      </c>
      <c r="E7" s="26">
        <f>IFERROR(D7/C7,0)</f>
        <v/>
      </c>
      <c r="F7" s="27">
        <f>C7-D7</f>
        <v/>
      </c>
      <c r="G7" s="24" t="inlineStr">
        <is>
          <t>Plow</t>
        </is>
      </c>
    </row>
    <row r="8">
      <c r="A8" s="28" t="inlineStr">
        <is>
          <t>Crispy Brussels</t>
        </is>
      </c>
      <c r="B8" s="29" t="inlineStr">
        <is>
          <t>Starters</t>
        </is>
      </c>
      <c r="C8" s="30" t="n">
        <v>11</v>
      </c>
      <c r="D8" s="30" t="n">
        <v>2.3</v>
      </c>
      <c r="E8" s="31">
        <f>IFERROR(D8/C8,0)</f>
        <v/>
      </c>
      <c r="F8" s="32">
        <f>C8-D8</f>
        <v/>
      </c>
      <c r="G8" s="29" t="inlineStr">
        <is>
          <t>Star</t>
        </is>
      </c>
    </row>
    <row r="9">
      <c r="A9" s="23" t="inlineStr">
        <is>
          <t>French Onion Soup</t>
        </is>
      </c>
      <c r="B9" s="24" t="inlineStr">
        <is>
          <t>Starters</t>
        </is>
      </c>
      <c r="C9" s="25" t="n">
        <v>12</v>
      </c>
      <c r="D9" s="25" t="n">
        <v>2.8</v>
      </c>
      <c r="E9" s="26">
        <f>IFERROR(D9/C9,0)</f>
        <v/>
      </c>
      <c r="F9" s="27">
        <f>C9-D9</f>
        <v/>
      </c>
      <c r="G9" s="24" t="inlineStr">
        <is>
          <t>Star</t>
        </is>
      </c>
    </row>
    <row r="10">
      <c r="A10" s="28" t="inlineStr">
        <is>
          <t>Dry-Aged Ribeye</t>
        </is>
      </c>
      <c r="B10" s="29" t="inlineStr">
        <is>
          <t>Mains</t>
        </is>
      </c>
      <c r="C10" s="30" t="n">
        <v>46</v>
      </c>
      <c r="D10" s="30" t="n">
        <v>18.4</v>
      </c>
      <c r="E10" s="31">
        <f>IFERROR(D10/C10,0)</f>
        <v/>
      </c>
      <c r="F10" s="32">
        <f>C10-D10</f>
        <v/>
      </c>
      <c r="G10" s="29" t="inlineStr">
        <is>
          <t>Plow</t>
        </is>
      </c>
    </row>
    <row r="11">
      <c r="A11" s="23" t="inlineStr">
        <is>
          <t>Pan-Roasted Chicken</t>
        </is>
      </c>
      <c r="B11" s="24" t="inlineStr">
        <is>
          <t>Mains</t>
        </is>
      </c>
      <c r="C11" s="25" t="n">
        <v>28</v>
      </c>
      <c r="D11" s="25" t="n">
        <v>7.6</v>
      </c>
      <c r="E11" s="26">
        <f>IFERROR(D11/C11,0)</f>
        <v/>
      </c>
      <c r="F11" s="27">
        <f>C11-D11</f>
        <v/>
      </c>
      <c r="G11" s="24" t="inlineStr">
        <is>
          <t>Star</t>
        </is>
      </c>
    </row>
    <row r="12">
      <c r="A12" s="28" t="inlineStr">
        <is>
          <t>Seared Salmon</t>
        </is>
      </c>
      <c r="B12" s="29" t="inlineStr">
        <is>
          <t>Mains</t>
        </is>
      </c>
      <c r="C12" s="30" t="n">
        <v>32</v>
      </c>
      <c r="D12" s="30" t="n">
        <v>11.2</v>
      </c>
      <c r="E12" s="31">
        <f>IFERROR(D12/C12,0)</f>
        <v/>
      </c>
      <c r="F12" s="32">
        <f>C12-D12</f>
        <v/>
      </c>
      <c r="G12" s="29" t="inlineStr">
        <is>
          <t>Star</t>
        </is>
      </c>
    </row>
    <row r="13">
      <c r="A13" s="23" t="inlineStr">
        <is>
          <t>Braised Short Rib</t>
        </is>
      </c>
      <c r="B13" s="24" t="inlineStr">
        <is>
          <t>Mains</t>
        </is>
      </c>
      <c r="C13" s="25" t="n">
        <v>34</v>
      </c>
      <c r="D13" s="25" t="n">
        <v>12.6</v>
      </c>
      <c r="E13" s="26">
        <f>IFERROR(D13/C13,0)</f>
        <v/>
      </c>
      <c r="F13" s="27">
        <f>C13-D13</f>
        <v/>
      </c>
      <c r="G13" s="24" t="inlineStr">
        <is>
          <t>Puzzle</t>
        </is>
      </c>
    </row>
    <row r="14">
      <c r="A14" s="28" t="inlineStr">
        <is>
          <t>Wild Mushroom Risotto</t>
        </is>
      </c>
      <c r="B14" s="29" t="inlineStr">
        <is>
          <t>Mains</t>
        </is>
      </c>
      <c r="C14" s="30" t="n">
        <v>26</v>
      </c>
      <c r="D14" s="30" t="n">
        <v>6.4</v>
      </c>
      <c r="E14" s="31">
        <f>IFERROR(D14/C14,0)</f>
        <v/>
      </c>
      <c r="F14" s="32">
        <f>C14-D14</f>
        <v/>
      </c>
      <c r="G14" s="29" t="inlineStr">
        <is>
          <t>Star</t>
        </is>
      </c>
    </row>
    <row r="15">
      <c r="A15" s="23" t="inlineStr">
        <is>
          <t>House Burger</t>
        </is>
      </c>
      <c r="B15" s="24" t="inlineStr">
        <is>
          <t>Mains</t>
        </is>
      </c>
      <c r="C15" s="25" t="n">
        <v>19</v>
      </c>
      <c r="D15" s="25" t="n">
        <v>5.7</v>
      </c>
      <c r="E15" s="26">
        <f>IFERROR(D15/C15,0)</f>
        <v/>
      </c>
      <c r="F15" s="27">
        <f>C15-D15</f>
        <v/>
      </c>
      <c r="G15" s="24" t="inlineStr">
        <is>
          <t>Star</t>
        </is>
      </c>
    </row>
    <row r="16">
      <c r="A16" s="28" t="inlineStr">
        <is>
          <t>Cacio e Pepe</t>
        </is>
      </c>
      <c r="B16" s="29" t="inlineStr">
        <is>
          <t>Mains</t>
        </is>
      </c>
      <c r="C16" s="30" t="n">
        <v>22</v>
      </c>
      <c r="D16" s="30" t="n">
        <v>4.8</v>
      </c>
      <c r="E16" s="31">
        <f>IFERROR(D16/C16,0)</f>
        <v/>
      </c>
      <c r="F16" s="32">
        <f>C16-D16</f>
        <v/>
      </c>
      <c r="G16" s="29" t="inlineStr">
        <is>
          <t>Star</t>
        </is>
      </c>
    </row>
    <row r="17">
      <c r="A17" s="23" t="inlineStr">
        <is>
          <t>Roasted Cauliflower</t>
        </is>
      </c>
      <c r="B17" s="24" t="inlineStr">
        <is>
          <t>Sides</t>
        </is>
      </c>
      <c r="C17" s="25" t="n">
        <v>10</v>
      </c>
      <c r="D17" s="25" t="n">
        <v>2.1</v>
      </c>
      <c r="E17" s="26">
        <f>IFERROR(D17/C17,0)</f>
        <v/>
      </c>
      <c r="F17" s="27">
        <f>C17-D17</f>
        <v/>
      </c>
      <c r="G17" s="24" t="inlineStr">
        <is>
          <t>Star</t>
        </is>
      </c>
    </row>
    <row r="18">
      <c r="A18" s="28" t="inlineStr">
        <is>
          <t>Truffle Fries</t>
        </is>
      </c>
      <c r="B18" s="29" t="inlineStr">
        <is>
          <t>Sides</t>
        </is>
      </c>
      <c r="C18" s="30" t="n">
        <v>12</v>
      </c>
      <c r="D18" s="30" t="n">
        <v>3.1</v>
      </c>
      <c r="E18" s="31">
        <f>IFERROR(D18/C18,0)</f>
        <v/>
      </c>
      <c r="F18" s="32">
        <f>C18-D18</f>
        <v/>
      </c>
      <c r="G18" s="29" t="inlineStr">
        <is>
          <t>Star</t>
        </is>
      </c>
    </row>
    <row r="19">
      <c r="A19" s="23" t="inlineStr">
        <is>
          <t>Garlic Green Beans</t>
        </is>
      </c>
      <c r="B19" s="24" t="inlineStr">
        <is>
          <t>Sides</t>
        </is>
      </c>
      <c r="C19" s="25" t="n">
        <v>9</v>
      </c>
      <c r="D19" s="25" t="n">
        <v>1.9</v>
      </c>
      <c r="E19" s="26">
        <f>IFERROR(D19/C19,0)</f>
        <v/>
      </c>
      <c r="F19" s="27">
        <f>C19-D19</f>
        <v/>
      </c>
      <c r="G19" s="24" t="inlineStr">
        <is>
          <t>Puzzle</t>
        </is>
      </c>
    </row>
    <row r="20">
      <c r="A20" s="28" t="inlineStr">
        <is>
          <t>Mac &amp; Cheese</t>
        </is>
      </c>
      <c r="B20" s="29" t="inlineStr">
        <is>
          <t>Sides</t>
        </is>
      </c>
      <c r="C20" s="30" t="n">
        <v>11</v>
      </c>
      <c r="D20" s="30" t="n">
        <v>2.8</v>
      </c>
      <c r="E20" s="31">
        <f>IFERROR(D20/C20,0)</f>
        <v/>
      </c>
      <c r="F20" s="32">
        <f>C20-D20</f>
        <v/>
      </c>
      <c r="G20" s="29" t="inlineStr">
        <is>
          <t>Star</t>
        </is>
      </c>
    </row>
    <row r="21">
      <c r="A21" s="23" t="inlineStr">
        <is>
          <t>Warm Chocolate Cake</t>
        </is>
      </c>
      <c r="B21" s="24" t="inlineStr">
        <is>
          <t>Desserts</t>
        </is>
      </c>
      <c r="C21" s="25" t="n">
        <v>12</v>
      </c>
      <c r="D21" s="25" t="n">
        <v>3</v>
      </c>
      <c r="E21" s="26">
        <f>IFERROR(D21/C21,0)</f>
        <v/>
      </c>
      <c r="F21" s="27">
        <f>C21-D21</f>
        <v/>
      </c>
      <c r="G21" s="24" t="inlineStr">
        <is>
          <t>Star</t>
        </is>
      </c>
    </row>
    <row r="22">
      <c r="A22" s="28" t="inlineStr">
        <is>
          <t>Crème Brûlée</t>
        </is>
      </c>
      <c r="B22" s="29" t="inlineStr">
        <is>
          <t>Desserts</t>
        </is>
      </c>
      <c r="C22" s="30" t="n">
        <v>11</v>
      </c>
      <c r="D22" s="30" t="n">
        <v>2.4</v>
      </c>
      <c r="E22" s="31">
        <f>IFERROR(D22/C22,0)</f>
        <v/>
      </c>
      <c r="F22" s="32">
        <f>C22-D22</f>
        <v/>
      </c>
      <c r="G22" s="29" t="inlineStr">
        <is>
          <t>Star</t>
        </is>
      </c>
    </row>
    <row r="23">
      <c r="A23" s="23" t="inlineStr">
        <is>
          <t>Seasonal Sorbet</t>
        </is>
      </c>
      <c r="B23" s="24" t="inlineStr">
        <is>
          <t>Desserts</t>
        </is>
      </c>
      <c r="C23" s="25" t="n">
        <v>9</v>
      </c>
      <c r="D23" s="25" t="n">
        <v>1.8</v>
      </c>
      <c r="E23" s="26">
        <f>IFERROR(D23/C23,0)</f>
        <v/>
      </c>
      <c r="F23" s="27">
        <f>C23-D23</f>
        <v/>
      </c>
      <c r="G23" s="24" t="inlineStr">
        <is>
          <t>Dog</t>
        </is>
      </c>
    </row>
    <row r="24">
      <c r="A24" s="28" t="inlineStr">
        <is>
          <t>Cheesecake</t>
        </is>
      </c>
      <c r="B24" s="29" t="inlineStr">
        <is>
          <t>Desserts</t>
        </is>
      </c>
      <c r="C24" s="30" t="n">
        <v>11</v>
      </c>
      <c r="D24" s="30" t="n">
        <v>3.2</v>
      </c>
      <c r="E24" s="31">
        <f>IFERROR(D24/C24,0)</f>
        <v/>
      </c>
      <c r="F24" s="32">
        <f>C24-D24</f>
        <v/>
      </c>
      <c r="G24" s="29" t="inlineStr">
        <is>
          <t>Puzzle</t>
        </is>
      </c>
    </row>
    <row r="25">
      <c r="A25" s="23" t="inlineStr">
        <is>
          <t>House Red (glass)</t>
        </is>
      </c>
      <c r="B25" s="24" t="inlineStr">
        <is>
          <t>Drinks</t>
        </is>
      </c>
      <c r="C25" s="25" t="n">
        <v>13</v>
      </c>
      <c r="D25" s="25" t="n">
        <v>3.4</v>
      </c>
      <c r="E25" s="26">
        <f>IFERROR(D25/C25,0)</f>
        <v/>
      </c>
      <c r="F25" s="27">
        <f>C25-D25</f>
        <v/>
      </c>
      <c r="G25" s="24" t="inlineStr">
        <is>
          <t>Star</t>
        </is>
      </c>
    </row>
    <row r="26">
      <c r="A26" s="28" t="inlineStr">
        <is>
          <t>Craft Lager</t>
        </is>
      </c>
      <c r="B26" s="29" t="inlineStr">
        <is>
          <t>Drinks</t>
        </is>
      </c>
      <c r="C26" s="30" t="n">
        <v>8</v>
      </c>
      <c r="D26" s="30" t="n">
        <v>1.8</v>
      </c>
      <c r="E26" s="31">
        <f>IFERROR(D26/C26,0)</f>
        <v/>
      </c>
      <c r="F26" s="32">
        <f>C26-D26</f>
        <v/>
      </c>
      <c r="G26" s="29" t="inlineStr">
        <is>
          <t>Star</t>
        </is>
      </c>
    </row>
    <row r="27">
      <c r="A27" s="23" t="inlineStr">
        <is>
          <t>Sparkling Water</t>
        </is>
      </c>
      <c r="B27" s="24" t="inlineStr">
        <is>
          <t>Drinks</t>
        </is>
      </c>
      <c r="C27" s="25" t="n">
        <v>5</v>
      </c>
      <c r="D27" s="25" t="n">
        <v>0.6</v>
      </c>
      <c r="E27" s="26">
        <f>IFERROR(D27/C27,0)</f>
        <v/>
      </c>
      <c r="F27" s="27">
        <f>C27-D27</f>
        <v/>
      </c>
      <c r="G27" s="24" t="inlineStr">
        <is>
          <t>Star</t>
        </is>
      </c>
    </row>
    <row r="28">
      <c r="A28" s="28" t="inlineStr">
        <is>
          <t>Espresso</t>
        </is>
      </c>
      <c r="B28" s="29" t="inlineStr">
        <is>
          <t>Drinks</t>
        </is>
      </c>
      <c r="C28" s="30" t="n">
        <v>4</v>
      </c>
      <c r="D28" s="30" t="n">
        <v>0.55</v>
      </c>
      <c r="E28" s="31">
        <f>IFERROR(D28/C28,0)</f>
        <v/>
      </c>
      <c r="F28" s="32">
        <f>C28-D28</f>
        <v/>
      </c>
      <c r="G28" s="29" t="inlineStr">
        <is>
          <t>Star</t>
        </is>
      </c>
    </row>
    <row r="29">
      <c r="A29" s="23" t="inlineStr">
        <is>
          <t>Fresh Lemonade</t>
        </is>
      </c>
      <c r="B29" s="24" t="inlineStr">
        <is>
          <t>Drinks</t>
        </is>
      </c>
      <c r="C29" s="25" t="n">
        <v>6</v>
      </c>
      <c r="D29" s="25" t="n">
        <v>0.9</v>
      </c>
      <c r="E29" s="26">
        <f>IFERROR(D29/C29,0)</f>
        <v/>
      </c>
      <c r="F29" s="27">
        <f>C29-D29</f>
        <v/>
      </c>
      <c r="G29" s="24" t="inlineStr">
        <is>
          <t>Star</t>
        </is>
      </c>
    </row>
    <row r="30">
      <c r="A30" s="28" t="inlineStr">
        <is>
          <t>Old Fashioned</t>
        </is>
      </c>
      <c r="B30" s="29" t="inlineStr">
        <is>
          <t>Cocktails</t>
        </is>
      </c>
      <c r="C30" s="30" t="n">
        <v>15</v>
      </c>
      <c r="D30" s="30" t="n">
        <v>3.1</v>
      </c>
      <c r="E30" s="31">
        <f>IFERROR(D30/C30,0)</f>
        <v/>
      </c>
      <c r="F30" s="32">
        <f>C30-D30</f>
        <v/>
      </c>
      <c r="G30" s="29" t="inlineStr">
        <is>
          <t>Star</t>
        </is>
      </c>
    </row>
    <row r="31">
      <c r="A31" s="23" t="inlineStr">
        <is>
          <t>Ember Negroni</t>
        </is>
      </c>
      <c r="B31" s="24" t="inlineStr">
        <is>
          <t>Cocktails</t>
        </is>
      </c>
      <c r="C31" s="25" t="n">
        <v>15</v>
      </c>
      <c r="D31" s="25" t="n">
        <v>3.4</v>
      </c>
      <c r="E31" s="26">
        <f>IFERROR(D31/C31,0)</f>
        <v/>
      </c>
      <c r="F31" s="27">
        <f>C31-D31</f>
        <v/>
      </c>
      <c r="G31" s="24" t="inlineStr">
        <is>
          <t>Star</t>
        </is>
      </c>
    </row>
    <row r="32">
      <c r="A32" s="28" t="inlineStr">
        <is>
          <t>Spicy Margarita</t>
        </is>
      </c>
      <c r="B32" s="29" t="inlineStr">
        <is>
          <t>Cocktails</t>
        </is>
      </c>
      <c r="C32" s="30" t="n">
        <v>14</v>
      </c>
      <c r="D32" s="30" t="n">
        <v>3</v>
      </c>
      <c r="E32" s="31">
        <f>IFERROR(D32/C32,0)</f>
        <v/>
      </c>
      <c r="F32" s="32">
        <f>C32-D32</f>
        <v/>
      </c>
      <c r="G32" s="29" t="inlineStr">
        <is>
          <t>Star</t>
        </is>
      </c>
    </row>
    <row r="33">
      <c r="A33" s="23" t="inlineStr">
        <is>
          <t>Garden Gimlet</t>
        </is>
      </c>
      <c r="B33" s="24" t="inlineStr">
        <is>
          <t>Cocktails</t>
        </is>
      </c>
      <c r="C33" s="25" t="n">
        <v>14</v>
      </c>
      <c r="D33" s="25" t="n">
        <v>2.8</v>
      </c>
      <c r="E33" s="26">
        <f>IFERROR(D33/C33,0)</f>
        <v/>
      </c>
      <c r="F33" s="27">
        <f>C33-D33</f>
        <v/>
      </c>
      <c r="G33" s="24" t="inlineStr">
        <is>
          <t>Puzzle</t>
        </is>
      </c>
    </row>
    <row r="34">
      <c r="A34" s="28" t="inlineStr">
        <is>
          <t>Smoked Manhattan</t>
        </is>
      </c>
      <c r="B34" s="29" t="inlineStr">
        <is>
          <t>Cocktails</t>
        </is>
      </c>
      <c r="C34" s="30" t="n">
        <v>16</v>
      </c>
      <c r="D34" s="30" t="n">
        <v>3.6</v>
      </c>
      <c r="E34" s="31">
        <f>IFERROR(D34/C34,0)</f>
        <v/>
      </c>
      <c r="F34" s="32">
        <f>C34-D34</f>
        <v/>
      </c>
      <c r="G34" s="29" t="inlineStr">
        <is>
          <t>Star</t>
        </is>
      </c>
    </row>
    <row r="35">
      <c r="A35" s="33" t="n"/>
      <c r="B35" s="34" t="n"/>
      <c r="C35" s="34" t="n"/>
      <c r="D35" s="34" t="n"/>
      <c r="E35" s="35">
        <f>IFERROR(D35/C35,0)</f>
        <v/>
      </c>
      <c r="F35" s="36">
        <f>C35-D35</f>
        <v/>
      </c>
      <c r="G35" s="34" t="n"/>
    </row>
    <row r="36">
      <c r="A36" s="28" t="n"/>
      <c r="B36" s="29" t="n"/>
      <c r="C36" s="29" t="n"/>
      <c r="D36" s="29" t="n"/>
      <c r="E36" s="31">
        <f>IFERROR(D36/C36,0)</f>
        <v/>
      </c>
      <c r="F36" s="32">
        <f>C36-D36</f>
        <v/>
      </c>
      <c r="G36" s="29" t="n"/>
    </row>
    <row r="37">
      <c r="A37" s="33" t="n"/>
      <c r="B37" s="34" t="n"/>
      <c r="C37" s="34" t="n"/>
      <c r="D37" s="34" t="n"/>
      <c r="E37" s="35">
        <f>IFERROR(D37/C37,0)</f>
        <v/>
      </c>
      <c r="F37" s="36">
        <f>C37-D37</f>
        <v/>
      </c>
      <c r="G37" s="34" t="n"/>
    </row>
    <row r="38">
      <c r="A38" s="28" t="n"/>
      <c r="B38" s="29" t="n"/>
      <c r="C38" s="29" t="n"/>
      <c r="D38" s="29" t="n"/>
      <c r="E38" s="31">
        <f>IFERROR(D38/C38,0)</f>
        <v/>
      </c>
      <c r="F38" s="32">
        <f>C38-D38</f>
        <v/>
      </c>
      <c r="G38" s="29" t="n"/>
    </row>
    <row r="39">
      <c r="A39" s="33" t="n"/>
      <c r="B39" s="34" t="n"/>
      <c r="C39" s="34" t="n"/>
      <c r="D39" s="34" t="n"/>
      <c r="E39" s="35">
        <f>IFERROR(D39/C39,0)</f>
        <v/>
      </c>
      <c r="F39" s="36">
        <f>C39-D39</f>
        <v/>
      </c>
      <c r="G39" s="34" t="n"/>
    </row>
    <row r="40">
      <c r="A40" s="28" t="n"/>
      <c r="B40" s="29" t="n"/>
      <c r="C40" s="29" t="n"/>
      <c r="D40" s="29" t="n"/>
      <c r="E40" s="31">
        <f>IFERROR(D40/C40,0)</f>
        <v/>
      </c>
      <c r="F40" s="32">
        <f>C40-D40</f>
        <v/>
      </c>
      <c r="G40" s="29" t="n"/>
    </row>
  </sheetData>
  <mergeCells count="2">
    <mergeCell ref="A2:G2"/>
    <mergeCell ref="A1:G1"/>
  </mergeCells>
  <conditionalFormatting sqref="E5:E34">
    <cfRule type="colorScale" priority="1">
      <colorScale>
        <cfvo type="num" val="0.2"/>
        <cfvo type="num" val="0.32"/>
        <cfvo type="num" val="0.45"/>
        <color rgb="FF75E6C1"/>
        <color rgb="FFFFF3CD"/>
        <color rgb="FFFBE6E6"/>
      </colorScale>
    </cfRule>
  </conditionalFormatting>
  <dataValidations count="1">
    <dataValidation sqref="B5:B40" showDropDown="0" showInputMessage="0" showErrorMessage="0" allowBlank="1" type="list">
      <formula1>=MenuCatList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11" customWidth="1" min="4" max="4"/>
    <col width="10" customWidth="1" min="5" max="5"/>
    <col width="12" customWidth="1" min="6" max="6"/>
    <col width="12" customWidth="1" min="7" max="7"/>
    <col width="13" customWidth="1" min="8" max="8"/>
  </cols>
  <sheetData>
    <row r="1" ht="46" customHeight="1">
      <c r="A1" s="1" t="inlineStr">
        <is>
          <t xml:space="preserve">  📦  INVENTORY MASTER</t>
        </is>
      </c>
    </row>
    <row r="2" ht="22" customHeight="1">
      <c r="A2" s="2" t="inlineStr">
        <is>
          <t xml:space="preserve">  Every item valued — on-hand vs par, with automatic low-stock flags.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Item</t>
        </is>
      </c>
      <c r="B4" s="9" t="inlineStr">
        <is>
          <t>Category</t>
        </is>
      </c>
      <c r="C4" s="9" t="inlineStr">
        <is>
          <t>Unit</t>
        </is>
      </c>
      <c r="D4" s="9" t="inlineStr">
        <is>
          <t>On Hand</t>
        </is>
      </c>
      <c r="E4" s="9" t="inlineStr">
        <is>
          <t>Par</t>
        </is>
      </c>
      <c r="F4" s="9" t="inlineStr">
        <is>
          <t>Unit Cost</t>
        </is>
      </c>
      <c r="G4" s="9" t="inlineStr">
        <is>
          <t>Value</t>
        </is>
      </c>
      <c r="H4" s="9" t="inlineStr">
        <is>
          <t>Status</t>
        </is>
      </c>
    </row>
    <row r="5">
      <c r="A5" s="23" t="inlineStr">
        <is>
          <t>Heirloom Tomatoes</t>
        </is>
      </c>
      <c r="B5" s="24" t="inlineStr">
        <is>
          <t>Produce</t>
        </is>
      </c>
      <c r="C5" s="24" t="inlineStr">
        <is>
          <t>lb</t>
        </is>
      </c>
      <c r="D5" s="37" t="n">
        <v>22</v>
      </c>
      <c r="E5" s="37" t="n">
        <v>15</v>
      </c>
      <c r="F5" s="25" t="n">
        <v>2.4</v>
      </c>
      <c r="G5" s="38">
        <f>D5*F5</f>
        <v/>
      </c>
      <c r="H5" s="24">
        <f>IF(D5&lt;E5,"Low","OK")</f>
        <v/>
      </c>
    </row>
    <row r="6">
      <c r="A6" s="28" t="inlineStr">
        <is>
          <t>Mixed Greens</t>
        </is>
      </c>
      <c r="B6" s="29" t="inlineStr">
        <is>
          <t>Produce</t>
        </is>
      </c>
      <c r="C6" s="29" t="inlineStr">
        <is>
          <t>case</t>
        </is>
      </c>
      <c r="D6" s="39" t="n">
        <v>4</v>
      </c>
      <c r="E6" s="39" t="n">
        <v>5</v>
      </c>
      <c r="F6" s="30" t="n">
        <v>28</v>
      </c>
      <c r="G6" s="40">
        <f>D6*F6</f>
        <v/>
      </c>
      <c r="H6" s="29">
        <f>IF(D6&lt;E6,"Low","OK")</f>
        <v/>
      </c>
    </row>
    <row r="7">
      <c r="A7" s="23" t="inlineStr">
        <is>
          <t>Yukon Potatoes</t>
        </is>
      </c>
      <c r="B7" s="24" t="inlineStr">
        <is>
          <t>Produce</t>
        </is>
      </c>
      <c r="C7" s="24" t="inlineStr">
        <is>
          <t>lb</t>
        </is>
      </c>
      <c r="D7" s="37" t="n">
        <v>60</v>
      </c>
      <c r="E7" s="37" t="n">
        <v>40</v>
      </c>
      <c r="F7" s="25" t="n">
        <v>0.9</v>
      </c>
      <c r="G7" s="38">
        <f>D7*F7</f>
        <v/>
      </c>
      <c r="H7" s="24">
        <f>IF(D7&lt;E7,"Low","OK")</f>
        <v/>
      </c>
    </row>
    <row r="8">
      <c r="A8" s="28" t="inlineStr">
        <is>
          <t>Yellow Onions</t>
        </is>
      </c>
      <c r="B8" s="29" t="inlineStr">
        <is>
          <t>Produce</t>
        </is>
      </c>
      <c r="C8" s="29" t="inlineStr">
        <is>
          <t>lb</t>
        </is>
      </c>
      <c r="D8" s="39" t="n">
        <v>45</v>
      </c>
      <c r="E8" s="39" t="n">
        <v>30</v>
      </c>
      <c r="F8" s="30" t="n">
        <v>0.7</v>
      </c>
      <c r="G8" s="40">
        <f>D8*F8</f>
        <v/>
      </c>
      <c r="H8" s="29">
        <f>IF(D8&lt;E8,"Low","OK")</f>
        <v/>
      </c>
    </row>
    <row r="9">
      <c r="A9" s="23" t="inlineStr">
        <is>
          <t>Ribeye (dry-aged)</t>
        </is>
      </c>
      <c r="B9" s="24" t="inlineStr">
        <is>
          <t>Meat &amp; Seafood</t>
        </is>
      </c>
      <c r="C9" s="24" t="inlineStr">
        <is>
          <t>lb</t>
        </is>
      </c>
      <c r="D9" s="37" t="n">
        <v>18</v>
      </c>
      <c r="E9" s="37" t="n">
        <v>20</v>
      </c>
      <c r="F9" s="25" t="n">
        <v>16.5</v>
      </c>
      <c r="G9" s="38">
        <f>D9*F9</f>
        <v/>
      </c>
      <c r="H9" s="24">
        <f>IF(D9&lt;E9,"Low","OK")</f>
        <v/>
      </c>
    </row>
    <row r="10">
      <c r="A10" s="28" t="inlineStr">
        <is>
          <t>Chicken Airline</t>
        </is>
      </c>
      <c r="B10" s="29" t="inlineStr">
        <is>
          <t>Meat &amp; Seafood</t>
        </is>
      </c>
      <c r="C10" s="29" t="inlineStr">
        <is>
          <t>each</t>
        </is>
      </c>
      <c r="D10" s="39" t="n">
        <v>40</v>
      </c>
      <c r="E10" s="39" t="n">
        <v>30</v>
      </c>
      <c r="F10" s="30" t="n">
        <v>3.8</v>
      </c>
      <c r="G10" s="40">
        <f>D10*F10</f>
        <v/>
      </c>
      <c r="H10" s="29">
        <f>IF(D10&lt;E10,"Low","OK")</f>
        <v/>
      </c>
    </row>
    <row r="11">
      <c r="A11" s="23" t="inlineStr">
        <is>
          <t>Salmon Fillet</t>
        </is>
      </c>
      <c r="B11" s="24" t="inlineStr">
        <is>
          <t>Meat &amp; Seafood</t>
        </is>
      </c>
      <c r="C11" s="24" t="inlineStr">
        <is>
          <t>lb</t>
        </is>
      </c>
      <c r="D11" s="37" t="n">
        <v>12</v>
      </c>
      <c r="E11" s="37" t="n">
        <v>15</v>
      </c>
      <c r="F11" s="25" t="n">
        <v>11</v>
      </c>
      <c r="G11" s="38">
        <f>D11*F11</f>
        <v/>
      </c>
      <c r="H11" s="24">
        <f>IF(D11&lt;E11,"Low","OK")</f>
        <v/>
      </c>
    </row>
    <row r="12">
      <c r="A12" s="28" t="inlineStr">
        <is>
          <t>Short Rib</t>
        </is>
      </c>
      <c r="B12" s="29" t="inlineStr">
        <is>
          <t>Meat &amp; Seafood</t>
        </is>
      </c>
      <c r="C12" s="29" t="inlineStr">
        <is>
          <t>lb</t>
        </is>
      </c>
      <c r="D12" s="39" t="n">
        <v>16</v>
      </c>
      <c r="E12" s="39" t="n">
        <v>12</v>
      </c>
      <c r="F12" s="30" t="n">
        <v>9.5</v>
      </c>
      <c r="G12" s="40">
        <f>D12*F12</f>
        <v/>
      </c>
      <c r="H12" s="29">
        <f>IF(D12&lt;E12,"Low","OK")</f>
        <v/>
      </c>
    </row>
    <row r="13">
      <c r="A13" s="23" t="inlineStr">
        <is>
          <t>Octopus</t>
        </is>
      </c>
      <c r="B13" s="24" t="inlineStr">
        <is>
          <t>Meat &amp; Seafood</t>
        </is>
      </c>
      <c r="C13" s="24" t="inlineStr">
        <is>
          <t>lb</t>
        </is>
      </c>
      <c r="D13" s="37" t="n">
        <v>8</v>
      </c>
      <c r="E13" s="37" t="n">
        <v>6</v>
      </c>
      <c r="F13" s="25" t="n">
        <v>12</v>
      </c>
      <c r="G13" s="38">
        <f>D13*F13</f>
        <v/>
      </c>
      <c r="H13" s="24">
        <f>IF(D13&lt;E13,"Low","OK")</f>
        <v/>
      </c>
    </row>
    <row r="14">
      <c r="A14" s="28" t="inlineStr">
        <is>
          <t>Burrata</t>
        </is>
      </c>
      <c r="B14" s="29" t="inlineStr">
        <is>
          <t>Dairy</t>
        </is>
      </c>
      <c r="C14" s="29" t="inlineStr">
        <is>
          <t>each</t>
        </is>
      </c>
      <c r="D14" s="39" t="n">
        <v>24</v>
      </c>
      <c r="E14" s="39" t="n">
        <v>18</v>
      </c>
      <c r="F14" s="30" t="n">
        <v>3.2</v>
      </c>
      <c r="G14" s="40">
        <f>D14*F14</f>
        <v/>
      </c>
      <c r="H14" s="29">
        <f>IF(D14&lt;E14,"Low","OK")</f>
        <v/>
      </c>
    </row>
    <row r="15">
      <c r="A15" s="23" t="inlineStr">
        <is>
          <t>Heavy Cream</t>
        </is>
      </c>
      <c r="B15" s="24" t="inlineStr">
        <is>
          <t>Dairy</t>
        </is>
      </c>
      <c r="C15" s="24" t="inlineStr">
        <is>
          <t>qt</t>
        </is>
      </c>
      <c r="D15" s="37" t="n">
        <v>14</v>
      </c>
      <c r="E15" s="37" t="n">
        <v>12</v>
      </c>
      <c r="F15" s="25" t="n">
        <v>3.6</v>
      </c>
      <c r="G15" s="38">
        <f>D15*F15</f>
        <v/>
      </c>
      <c r="H15" s="24">
        <f>IF(D15&lt;E15,"Low","OK")</f>
        <v/>
      </c>
    </row>
    <row r="16">
      <c r="A16" s="28" t="inlineStr">
        <is>
          <t>Butter</t>
        </is>
      </c>
      <c r="B16" s="29" t="inlineStr">
        <is>
          <t>Dairy</t>
        </is>
      </c>
      <c r="C16" s="29" t="inlineStr">
        <is>
          <t>lb</t>
        </is>
      </c>
      <c r="D16" s="39" t="n">
        <v>30</v>
      </c>
      <c r="E16" s="39" t="n">
        <v>20</v>
      </c>
      <c r="F16" s="30" t="n">
        <v>3.9</v>
      </c>
      <c r="G16" s="40">
        <f>D16*F16</f>
        <v/>
      </c>
      <c r="H16" s="29">
        <f>IF(D16&lt;E16,"Low","OK")</f>
        <v/>
      </c>
    </row>
    <row r="17">
      <c r="A17" s="23" t="inlineStr">
        <is>
          <t>Parmesan</t>
        </is>
      </c>
      <c r="B17" s="24" t="inlineStr">
        <is>
          <t>Dairy</t>
        </is>
      </c>
      <c r="C17" s="24" t="inlineStr">
        <is>
          <t>lb</t>
        </is>
      </c>
      <c r="D17" s="37" t="n">
        <v>9</v>
      </c>
      <c r="E17" s="37" t="n">
        <v>8</v>
      </c>
      <c r="F17" s="25" t="n">
        <v>12.5</v>
      </c>
      <c r="G17" s="38">
        <f>D17*F17</f>
        <v/>
      </c>
      <c r="H17" s="24">
        <f>IF(D17&lt;E17,"Low","OK")</f>
        <v/>
      </c>
    </row>
    <row r="18">
      <c r="A18" s="28" t="inlineStr">
        <is>
          <t>Arborio Rice</t>
        </is>
      </c>
      <c r="B18" s="29" t="inlineStr">
        <is>
          <t>Dry Goods</t>
        </is>
      </c>
      <c r="C18" s="29" t="inlineStr">
        <is>
          <t>lb</t>
        </is>
      </c>
      <c r="D18" s="39" t="n">
        <v>90</v>
      </c>
      <c r="E18" s="39" t="n">
        <v>50</v>
      </c>
      <c r="F18" s="30" t="n">
        <v>2.1</v>
      </c>
      <c r="G18" s="40">
        <f>D18*F18</f>
        <v/>
      </c>
      <c r="H18" s="29">
        <f>IF(D18&lt;E18,"Low","OK")</f>
        <v/>
      </c>
    </row>
    <row r="19">
      <c r="A19" s="23" t="inlineStr">
        <is>
          <t>00 Flour</t>
        </is>
      </c>
      <c r="B19" s="24" t="inlineStr">
        <is>
          <t>Dry Goods</t>
        </is>
      </c>
      <c r="C19" s="24" t="inlineStr">
        <is>
          <t>lb</t>
        </is>
      </c>
      <c r="D19" s="37" t="n">
        <v>120</v>
      </c>
      <c r="E19" s="37" t="n">
        <v>70</v>
      </c>
      <c r="F19" s="25" t="n">
        <v>1.4</v>
      </c>
      <c r="G19" s="38">
        <f>D19*F19</f>
        <v/>
      </c>
      <c r="H19" s="24">
        <f>IF(D19&lt;E19,"Low","OK")</f>
        <v/>
      </c>
    </row>
    <row r="20">
      <c r="A20" s="28" t="inlineStr">
        <is>
          <t>Olive Oil (EVOO)</t>
        </is>
      </c>
      <c r="B20" s="29" t="inlineStr">
        <is>
          <t>Dry Goods</t>
        </is>
      </c>
      <c r="C20" s="29" t="inlineStr">
        <is>
          <t>L</t>
        </is>
      </c>
      <c r="D20" s="39" t="n">
        <v>10</v>
      </c>
      <c r="E20" s="39" t="n">
        <v>12</v>
      </c>
      <c r="F20" s="30" t="n">
        <v>18</v>
      </c>
      <c r="G20" s="40">
        <f>D20*F20</f>
        <v/>
      </c>
      <c r="H20" s="29">
        <f>IF(D20&lt;E20,"Low","OK")</f>
        <v/>
      </c>
    </row>
    <row r="21">
      <c r="A21" s="23" t="inlineStr">
        <is>
          <t>Sea Salt</t>
        </is>
      </c>
      <c r="B21" s="24" t="inlineStr">
        <is>
          <t>Dry Goods</t>
        </is>
      </c>
      <c r="C21" s="24" t="inlineStr">
        <is>
          <t>lb</t>
        </is>
      </c>
      <c r="D21" s="37" t="n">
        <v>40</v>
      </c>
      <c r="E21" s="37" t="n">
        <v>20</v>
      </c>
      <c r="F21" s="25" t="n">
        <v>1.8</v>
      </c>
      <c r="G21" s="38">
        <f>D21*F21</f>
        <v/>
      </c>
      <c r="H21" s="24">
        <f>IF(D21&lt;E21,"Low","OK")</f>
        <v/>
      </c>
    </row>
    <row r="22">
      <c r="A22" s="28" t="inlineStr">
        <is>
          <t>Frozen Fries</t>
        </is>
      </c>
      <c r="B22" s="29" t="inlineStr">
        <is>
          <t>Frozen</t>
        </is>
      </c>
      <c r="C22" s="29" t="inlineStr">
        <is>
          <t>case</t>
        </is>
      </c>
      <c r="D22" s="39" t="n">
        <v>6</v>
      </c>
      <c r="E22" s="39" t="n">
        <v>8</v>
      </c>
      <c r="F22" s="30" t="n">
        <v>22</v>
      </c>
      <c r="G22" s="40">
        <f>D22*F22</f>
        <v/>
      </c>
      <c r="H22" s="29">
        <f>IF(D22&lt;E22,"Low","OK")</f>
        <v/>
      </c>
    </row>
    <row r="23">
      <c r="A23" s="23" t="inlineStr">
        <is>
          <t>Vanilla Ice Cream</t>
        </is>
      </c>
      <c r="B23" s="24" t="inlineStr">
        <is>
          <t>Frozen</t>
        </is>
      </c>
      <c r="C23" s="24" t="inlineStr">
        <is>
          <t>gal</t>
        </is>
      </c>
      <c r="D23" s="37" t="n">
        <v>5</v>
      </c>
      <c r="E23" s="37" t="n">
        <v>6</v>
      </c>
      <c r="F23" s="25" t="n">
        <v>14</v>
      </c>
      <c r="G23" s="38">
        <f>D23*F23</f>
        <v/>
      </c>
      <c r="H23" s="24">
        <f>IF(D23&lt;E23,"Low","OK")</f>
        <v/>
      </c>
    </row>
    <row r="24">
      <c r="A24" s="28" t="inlineStr">
        <is>
          <t>House Red Wine</t>
        </is>
      </c>
      <c r="B24" s="29" t="inlineStr">
        <is>
          <t>Bar / Liquor</t>
        </is>
      </c>
      <c r="C24" s="29" t="inlineStr">
        <is>
          <t>bottle</t>
        </is>
      </c>
      <c r="D24" s="39" t="n">
        <v>96</v>
      </c>
      <c r="E24" s="39" t="n">
        <v>60</v>
      </c>
      <c r="F24" s="30" t="n">
        <v>14</v>
      </c>
      <c r="G24" s="40">
        <f>D24*F24</f>
        <v/>
      </c>
      <c r="H24" s="29">
        <f>IF(D24&lt;E24,"Low","OK")</f>
        <v/>
      </c>
    </row>
    <row r="25">
      <c r="A25" s="23" t="inlineStr">
        <is>
          <t>Sparkling Wine</t>
        </is>
      </c>
      <c r="B25" s="24" t="inlineStr">
        <is>
          <t>Bar / Liquor</t>
        </is>
      </c>
      <c r="C25" s="24" t="inlineStr">
        <is>
          <t>bottle</t>
        </is>
      </c>
      <c r="D25" s="37" t="n">
        <v>48</v>
      </c>
      <c r="E25" s="37" t="n">
        <v>30</v>
      </c>
      <c r="F25" s="25" t="n">
        <v>16</v>
      </c>
      <c r="G25" s="38">
        <f>D25*F25</f>
        <v/>
      </c>
      <c r="H25" s="24">
        <f>IF(D25&lt;E25,"Low","OK")</f>
        <v/>
      </c>
    </row>
    <row r="26">
      <c r="A26" s="28" t="inlineStr">
        <is>
          <t>Craft Lager</t>
        </is>
      </c>
      <c r="B26" s="29" t="inlineStr">
        <is>
          <t>Beverage</t>
        </is>
      </c>
      <c r="C26" s="29" t="inlineStr">
        <is>
          <t>case</t>
        </is>
      </c>
      <c r="D26" s="39" t="n">
        <v>40</v>
      </c>
      <c r="E26" s="39" t="n">
        <v>24</v>
      </c>
      <c r="F26" s="30" t="n">
        <v>26</v>
      </c>
      <c r="G26" s="40">
        <f>D26*F26</f>
        <v/>
      </c>
      <c r="H26" s="29">
        <f>IF(D26&lt;E26,"Low","OK")</f>
        <v/>
      </c>
    </row>
    <row r="27">
      <c r="A27" s="23" t="inlineStr">
        <is>
          <t>Bourbon</t>
        </is>
      </c>
      <c r="B27" s="24" t="inlineStr">
        <is>
          <t>Bar / Liquor</t>
        </is>
      </c>
      <c r="C27" s="24" t="inlineStr">
        <is>
          <t>bottle</t>
        </is>
      </c>
      <c r="D27" s="37" t="n">
        <v>24</v>
      </c>
      <c r="E27" s="37" t="n">
        <v>18</v>
      </c>
      <c r="F27" s="25" t="n">
        <v>32</v>
      </c>
      <c r="G27" s="38">
        <f>D27*F27</f>
        <v/>
      </c>
      <c r="H27" s="24">
        <f>IF(D27&lt;E27,"Low","OK")</f>
        <v/>
      </c>
    </row>
    <row r="28">
      <c r="A28" s="28" t="inlineStr">
        <is>
          <t>Gin</t>
        </is>
      </c>
      <c r="B28" s="29" t="inlineStr">
        <is>
          <t>Bar / Liquor</t>
        </is>
      </c>
      <c r="C28" s="29" t="inlineStr">
        <is>
          <t>bottle</t>
        </is>
      </c>
      <c r="D28" s="39" t="n">
        <v>20</v>
      </c>
      <c r="E28" s="39" t="n">
        <v>15</v>
      </c>
      <c r="F28" s="30" t="n">
        <v>28</v>
      </c>
      <c r="G28" s="40">
        <f>D28*F28</f>
        <v/>
      </c>
      <c r="H28" s="29">
        <f>IF(D28&lt;E28,"Low","OK")</f>
        <v/>
      </c>
    </row>
    <row r="29">
      <c r="A29" s="23" t="inlineStr">
        <is>
          <t>Vodka</t>
        </is>
      </c>
      <c r="B29" s="24" t="inlineStr">
        <is>
          <t>Bar / Liquor</t>
        </is>
      </c>
      <c r="C29" s="24" t="inlineStr">
        <is>
          <t>bottle</t>
        </is>
      </c>
      <c r="D29" s="37" t="n">
        <v>22</v>
      </c>
      <c r="E29" s="37" t="n">
        <v>15</v>
      </c>
      <c r="F29" s="25" t="n">
        <v>26</v>
      </c>
      <c r="G29" s="38">
        <f>D29*F29</f>
        <v/>
      </c>
      <c r="H29" s="24">
        <f>IF(D29&lt;E29,"Low","OK")</f>
        <v/>
      </c>
    </row>
    <row r="30">
      <c r="A30" s="28" t="inlineStr">
        <is>
          <t>Tequila</t>
        </is>
      </c>
      <c r="B30" s="29" t="inlineStr">
        <is>
          <t>Bar / Liquor</t>
        </is>
      </c>
      <c r="C30" s="29" t="inlineStr">
        <is>
          <t>bottle</t>
        </is>
      </c>
      <c r="D30" s="39" t="n">
        <v>14</v>
      </c>
      <c r="E30" s="39" t="n">
        <v>12</v>
      </c>
      <c r="F30" s="30" t="n">
        <v>34</v>
      </c>
      <c r="G30" s="40">
        <f>D30*F30</f>
        <v/>
      </c>
      <c r="H30" s="29">
        <f>IF(D30&lt;E30,"Low","OK")</f>
        <v/>
      </c>
    </row>
    <row r="31">
      <c r="A31" s="23" t="inlineStr">
        <is>
          <t>To-Go Containers</t>
        </is>
      </c>
      <c r="B31" s="24" t="inlineStr">
        <is>
          <t>Paper &amp; Disposables</t>
        </is>
      </c>
      <c r="C31" s="24" t="inlineStr">
        <is>
          <t>case</t>
        </is>
      </c>
      <c r="D31" s="37" t="n">
        <v>5</v>
      </c>
      <c r="E31" s="37" t="n">
        <v>6</v>
      </c>
      <c r="F31" s="25" t="n">
        <v>34</v>
      </c>
      <c r="G31" s="38">
        <f>D31*F31</f>
        <v/>
      </c>
      <c r="H31" s="24">
        <f>IF(D31&lt;E31,"Low","OK")</f>
        <v/>
      </c>
    </row>
    <row r="32">
      <c r="A32" s="9" t="inlineStr">
        <is>
          <t>INVENTORY VALUE</t>
        </is>
      </c>
      <c r="B32" s="9" t="n"/>
      <c r="C32" s="9" t="n"/>
      <c r="D32" s="9" t="n"/>
      <c r="E32" s="9" t="n"/>
      <c r="F32" s="9" t="n"/>
      <c r="G32" s="41">
        <f>SUM(G5:G31)</f>
        <v/>
      </c>
      <c r="H32" s="42" t="n"/>
    </row>
  </sheetData>
  <mergeCells count="2">
    <mergeCell ref="A2:H2"/>
    <mergeCell ref="A1:H1"/>
  </mergeCells>
  <conditionalFormatting sqref="H5:H31">
    <cfRule type="cellIs" priority="1" operator="equal" dxfId="0">
      <formula>"Low"</formula>
    </cfRule>
    <cfRule type="cellIs" priority="2" operator="equal" dxfId="1">
      <formula>"OK"</formula>
    </cfRule>
  </conditionalFormatting>
  <dataValidations count="2">
    <dataValidation sqref="B5:B31" showDropDown="0" showInputMessage="0" showErrorMessage="0" allowBlank="1" type="list">
      <formula1>=InvCatList</formula1>
    </dataValidation>
    <dataValidation sqref="C5:C31" showDropDown="0" showInputMessage="0" showErrorMessage="0" allowBlank="1" type="list">
      <formula1>=UnitList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10" customWidth="1" min="4" max="4"/>
    <col width="12" customWidth="1" min="5" max="5"/>
    <col width="18" customWidth="1" min="6" max="6"/>
    <col width="16" customWidth="1" min="7" max="7"/>
  </cols>
  <sheetData>
    <row r="1" ht="46" customHeight="1">
      <c r="A1" s="1" t="inlineStr">
        <is>
          <t xml:space="preserve">  📋  PAR LEVELS &amp; ORDER GUIDE</t>
        </is>
      </c>
    </row>
    <row r="2" ht="22" customHeight="1">
      <c r="A2" s="2" t="inlineStr">
        <is>
          <t xml:space="preserve">  Never 86 a dish — on-hand vs par tells you exactly what to reorder.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Item</t>
        </is>
      </c>
      <c r="B4" s="9" t="inlineStr">
        <is>
          <t>Category</t>
        </is>
      </c>
      <c r="C4" s="9" t="inlineStr">
        <is>
          <t>On Hand</t>
        </is>
      </c>
      <c r="D4" s="9" t="inlineStr">
        <is>
          <t>Par</t>
        </is>
      </c>
      <c r="E4" s="9" t="inlineStr">
        <is>
          <t>Order Qty</t>
        </is>
      </c>
      <c r="F4" s="9" t="inlineStr">
        <is>
          <t>Supplier</t>
        </is>
      </c>
      <c r="G4" s="9" t="inlineStr">
        <is>
          <t>Order Days</t>
        </is>
      </c>
    </row>
    <row r="5">
      <c r="A5" s="33" t="inlineStr">
        <is>
          <t>Ribeye (dry-aged)</t>
        </is>
      </c>
      <c r="B5" s="34" t="inlineStr">
        <is>
          <t>Meat &amp; Seafood</t>
        </is>
      </c>
      <c r="C5" s="43" t="n">
        <v>18</v>
      </c>
      <c r="D5" s="43" t="n">
        <v>20</v>
      </c>
      <c r="E5" s="43">
        <f>MAX(D5-C5,0)</f>
        <v/>
      </c>
      <c r="F5" s="33" t="inlineStr">
        <is>
          <t>Prime Cuts Co.</t>
        </is>
      </c>
      <c r="G5" s="33" t="inlineStr">
        <is>
          <t>Tue / Fri</t>
        </is>
      </c>
    </row>
    <row r="6">
      <c r="A6" s="28" t="inlineStr">
        <is>
          <t>Salmon Fillet</t>
        </is>
      </c>
      <c r="B6" s="29" t="inlineStr">
        <is>
          <t>Meat &amp; Seafood</t>
        </is>
      </c>
      <c r="C6" s="44" t="n">
        <v>12</v>
      </c>
      <c r="D6" s="44" t="n">
        <v>15</v>
      </c>
      <c r="E6" s="44">
        <f>MAX(D6-C6,0)</f>
        <v/>
      </c>
      <c r="F6" s="28" t="inlineStr">
        <is>
          <t>Harbor Fish</t>
        </is>
      </c>
      <c r="G6" s="28" t="inlineStr">
        <is>
          <t>Daily</t>
        </is>
      </c>
    </row>
    <row r="7">
      <c r="A7" s="33" t="inlineStr">
        <is>
          <t>Mixed Greens</t>
        </is>
      </c>
      <c r="B7" s="34" t="inlineStr">
        <is>
          <t>Produce</t>
        </is>
      </c>
      <c r="C7" s="43" t="n">
        <v>4</v>
      </c>
      <c r="D7" s="43" t="n">
        <v>5</v>
      </c>
      <c r="E7" s="43">
        <f>MAX(D7-C7,0)</f>
        <v/>
      </c>
      <c r="F7" s="33" t="inlineStr">
        <is>
          <t>Green Valley</t>
        </is>
      </c>
      <c r="G7" s="33" t="inlineStr">
        <is>
          <t>Mon/Wed/Fri</t>
        </is>
      </c>
    </row>
    <row r="8">
      <c r="A8" s="28" t="inlineStr">
        <is>
          <t>House Red Wine</t>
        </is>
      </c>
      <c r="B8" s="29" t="inlineStr">
        <is>
          <t>Bar / Liquor</t>
        </is>
      </c>
      <c r="C8" s="44" t="n">
        <v>36</v>
      </c>
      <c r="D8" s="44" t="n">
        <v>24</v>
      </c>
      <c r="E8" s="44">
        <f>MAX(D8-C8,0)</f>
        <v/>
      </c>
      <c r="F8" s="28" t="inlineStr">
        <is>
          <t>Vintners Direct</t>
        </is>
      </c>
      <c r="G8" s="28" t="inlineStr">
        <is>
          <t>Weekly</t>
        </is>
      </c>
    </row>
    <row r="9">
      <c r="A9" s="33" t="inlineStr">
        <is>
          <t>Craft Lager</t>
        </is>
      </c>
      <c r="B9" s="34" t="inlineStr">
        <is>
          <t>Beverage</t>
        </is>
      </c>
      <c r="C9" s="43" t="n">
        <v>10</v>
      </c>
      <c r="D9" s="43" t="n">
        <v>8</v>
      </c>
      <c r="E9" s="43">
        <f>MAX(D9-C9,0)</f>
        <v/>
      </c>
      <c r="F9" s="33" t="inlineStr">
        <is>
          <t>City Beverage</t>
        </is>
      </c>
      <c r="G9" s="33" t="inlineStr">
        <is>
          <t>Weekly</t>
        </is>
      </c>
    </row>
    <row r="10">
      <c r="A10" s="28" t="inlineStr">
        <is>
          <t>Frozen Fries</t>
        </is>
      </c>
      <c r="B10" s="29" t="inlineStr">
        <is>
          <t>Frozen</t>
        </is>
      </c>
      <c r="C10" s="44" t="n">
        <v>6</v>
      </c>
      <c r="D10" s="44" t="n">
        <v>8</v>
      </c>
      <c r="E10" s="44">
        <f>MAX(D10-C10,0)</f>
        <v/>
      </c>
      <c r="F10" s="28" t="inlineStr">
        <is>
          <t>US Foods</t>
        </is>
      </c>
      <c r="G10" s="28" t="inlineStr">
        <is>
          <t>Tue</t>
        </is>
      </c>
    </row>
    <row r="11">
      <c r="A11" s="33" t="inlineStr">
        <is>
          <t>To-Go Containers</t>
        </is>
      </c>
      <c r="B11" s="34" t="inlineStr">
        <is>
          <t>Paper &amp; Disposables</t>
        </is>
      </c>
      <c r="C11" s="43" t="n">
        <v>5</v>
      </c>
      <c r="D11" s="43" t="n">
        <v>6</v>
      </c>
      <c r="E11" s="43">
        <f>MAX(D11-C11,0)</f>
        <v/>
      </c>
      <c r="F11" s="33" t="inlineStr">
        <is>
          <t>RestaurantDepot</t>
        </is>
      </c>
      <c r="G11" s="33" t="inlineStr">
        <is>
          <t>As needed</t>
        </is>
      </c>
    </row>
    <row r="12">
      <c r="A12" s="28" t="inlineStr">
        <is>
          <t>00 Flour</t>
        </is>
      </c>
      <c r="B12" s="29" t="inlineStr">
        <is>
          <t>Dry Goods</t>
        </is>
      </c>
      <c r="C12" s="44" t="n">
        <v>55</v>
      </c>
      <c r="D12" s="44" t="n">
        <v>30</v>
      </c>
      <c r="E12" s="44">
        <f>MAX(D12-C12,0)</f>
        <v/>
      </c>
      <c r="F12" s="28" t="inlineStr">
        <is>
          <t>Bulk Pantry</t>
        </is>
      </c>
      <c r="G12" s="28" t="inlineStr">
        <is>
          <t>Bi-weekly</t>
        </is>
      </c>
    </row>
    <row r="13">
      <c r="A13" s="33" t="n"/>
      <c r="B13" s="34" t="n"/>
      <c r="C13" s="43" t="n"/>
      <c r="D13" s="43" t="n"/>
      <c r="E13" s="43" t="n"/>
      <c r="F13" s="33" t="n"/>
      <c r="G13" s="33" t="n"/>
    </row>
    <row r="14">
      <c r="A14" s="28" t="n"/>
      <c r="B14" s="29" t="n"/>
      <c r="C14" s="44" t="n"/>
      <c r="D14" s="44" t="n"/>
      <c r="E14" s="44" t="n"/>
      <c r="F14" s="28" t="n"/>
      <c r="G14" s="28" t="n"/>
    </row>
    <row r="15">
      <c r="A15" s="33" t="n"/>
      <c r="B15" s="34" t="n"/>
      <c r="C15" s="43" t="n"/>
      <c r="D15" s="43" t="n"/>
      <c r="E15" s="43" t="n"/>
      <c r="F15" s="33" t="n"/>
      <c r="G15" s="33" t="n"/>
    </row>
    <row r="16">
      <c r="A16" s="28" t="n"/>
      <c r="B16" s="29" t="n"/>
      <c r="C16" s="44" t="n"/>
      <c r="D16" s="44" t="n"/>
      <c r="E16" s="44" t="n"/>
      <c r="F16" s="28" t="n"/>
      <c r="G16" s="28" t="n"/>
    </row>
    <row r="17">
      <c r="A17" s="33" t="n"/>
      <c r="B17" s="34" t="n"/>
      <c r="C17" s="43" t="n"/>
      <c r="D17" s="43" t="n"/>
      <c r="E17" s="43" t="n"/>
      <c r="F17" s="33" t="n"/>
      <c r="G17" s="33" t="n"/>
    </row>
    <row r="18">
      <c r="A18" s="28" t="n"/>
      <c r="B18" s="29" t="n"/>
      <c r="C18" s="44" t="n"/>
      <c r="D18" s="44" t="n"/>
      <c r="E18" s="44" t="n"/>
      <c r="F18" s="28" t="n"/>
      <c r="G18" s="28" t="n"/>
    </row>
    <row r="19">
      <c r="A19" s="33" t="n"/>
      <c r="B19" s="34" t="n"/>
      <c r="C19" s="43" t="n"/>
      <c r="D19" s="43" t="n"/>
      <c r="E19" s="43" t="n"/>
      <c r="F19" s="33" t="n"/>
      <c r="G19" s="33" t="n"/>
    </row>
    <row r="20">
      <c r="A20" s="28" t="n"/>
      <c r="B20" s="29" t="n"/>
      <c r="C20" s="44" t="n"/>
      <c r="D20" s="44" t="n"/>
      <c r="E20" s="44" t="n"/>
      <c r="F20" s="28" t="n"/>
      <c r="G20" s="28" t="n"/>
    </row>
    <row r="21">
      <c r="A21" s="33" t="n"/>
      <c r="B21" s="34" t="n"/>
      <c r="C21" s="43" t="n"/>
      <c r="D21" s="43" t="n"/>
      <c r="E21" s="43" t="n"/>
      <c r="F21" s="33" t="n"/>
      <c r="G21" s="33" t="n"/>
    </row>
    <row r="22">
      <c r="A22" s="28" t="n"/>
      <c r="B22" s="29" t="n"/>
      <c r="C22" s="44" t="n"/>
      <c r="D22" s="44" t="n"/>
      <c r="E22" s="44" t="n"/>
      <c r="F22" s="28" t="n"/>
      <c r="G22" s="28" t="n"/>
    </row>
    <row r="23">
      <c r="A23" s="33" t="n"/>
      <c r="B23" s="34" t="n"/>
      <c r="C23" s="43" t="n"/>
      <c r="D23" s="43" t="n"/>
      <c r="E23" s="43" t="n"/>
      <c r="F23" s="33" t="n"/>
      <c r="G23" s="33" t="n"/>
    </row>
    <row r="24">
      <c r="A24" s="28" t="n"/>
      <c r="B24" s="29" t="n"/>
      <c r="C24" s="44" t="n"/>
      <c r="D24" s="44" t="n"/>
      <c r="E24" s="44" t="n"/>
      <c r="F24" s="28" t="n"/>
      <c r="G24" s="28" t="n"/>
    </row>
    <row r="25">
      <c r="A25" s="33" t="n"/>
      <c r="B25" s="34" t="n"/>
      <c r="C25" s="43" t="n"/>
      <c r="D25" s="43" t="n"/>
      <c r="E25" s="43" t="n"/>
      <c r="F25" s="33" t="n"/>
      <c r="G25" s="33" t="n"/>
    </row>
    <row r="26">
      <c r="A26" s="28" t="n"/>
      <c r="B26" s="29" t="n"/>
      <c r="C26" s="44" t="n"/>
      <c r="D26" s="44" t="n"/>
      <c r="E26" s="44" t="n"/>
      <c r="F26" s="28" t="n"/>
      <c r="G26" s="28" t="n"/>
    </row>
    <row r="27">
      <c r="A27" s="33" t="n"/>
      <c r="B27" s="34" t="n"/>
      <c r="C27" s="43" t="n"/>
      <c r="D27" s="43" t="n"/>
      <c r="E27" s="43" t="n"/>
      <c r="F27" s="33" t="n"/>
      <c r="G27" s="33" t="n"/>
    </row>
    <row r="28">
      <c r="A28" s="28" t="n"/>
      <c r="B28" s="29" t="n"/>
      <c r="C28" s="44" t="n"/>
      <c r="D28" s="44" t="n"/>
      <c r="E28" s="44" t="n"/>
      <c r="F28" s="28" t="n"/>
      <c r="G28" s="28" t="n"/>
    </row>
  </sheetData>
  <mergeCells count="2">
    <mergeCell ref="A2:G2"/>
    <mergeCell ref="A1:G1"/>
  </mergeCells>
  <conditionalFormatting sqref="E5:E28">
    <cfRule type="cellIs" priority="1" operator="greaterThan" dxfId="2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6" customWidth="1" min="5" max="5"/>
    <col width="12" customWidth="1" min="6" max="6"/>
    <col width="10" customWidth="1" min="7" max="7"/>
    <col width="24" customWidth="1" min="8" max="8"/>
  </cols>
  <sheetData>
    <row r="1" ht="46" customHeight="1">
      <c r="A1" s="1" t="inlineStr">
        <is>
          <t xml:space="preserve">  🚚  SUPPLIERS &amp; ORDERING</t>
        </is>
      </c>
    </row>
    <row r="2" ht="22" customHeight="1">
      <c r="A2" s="2" t="inlineStr">
        <is>
          <t xml:space="preserve">  Your vendor book — contacts, order days, terms &amp; a reliability rating.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Supplier</t>
        </is>
      </c>
      <c r="B4" s="9" t="inlineStr">
        <is>
          <t>Category</t>
        </is>
      </c>
      <c r="C4" s="9" t="inlineStr">
        <is>
          <t>Contact</t>
        </is>
      </c>
      <c r="D4" s="9" t="inlineStr">
        <is>
          <t>Phone</t>
        </is>
      </c>
      <c r="E4" s="9" t="inlineStr">
        <is>
          <t>Order Days</t>
        </is>
      </c>
      <c r="F4" s="9" t="inlineStr">
        <is>
          <t>Terms</t>
        </is>
      </c>
      <c r="G4" s="9" t="inlineStr">
        <is>
          <t>Rating</t>
        </is>
      </c>
      <c r="H4" s="9" t="inlineStr">
        <is>
          <t>Notes</t>
        </is>
      </c>
    </row>
    <row r="5">
      <c r="A5" s="33" t="inlineStr">
        <is>
          <t>Prime Cuts Co.</t>
        </is>
      </c>
      <c r="B5" s="34" t="inlineStr">
        <is>
          <t>Meat &amp; Seafood</t>
        </is>
      </c>
      <c r="C5" s="33" t="inlineStr">
        <is>
          <t>Sal M.</t>
        </is>
      </c>
      <c r="D5" s="34" t="inlineStr">
        <is>
          <t>555-0201</t>
        </is>
      </c>
      <c r="E5" s="34" t="inlineStr">
        <is>
          <t>Tue / Fri</t>
        </is>
      </c>
      <c r="F5" s="34" t="inlineStr">
        <is>
          <t>Net 14</t>
        </is>
      </c>
      <c r="G5" s="45" t="n">
        <v>4.8</v>
      </c>
      <c r="H5" s="33" t="inlineStr">
        <is>
          <t>Reliable, premium</t>
        </is>
      </c>
    </row>
    <row r="6">
      <c r="A6" s="28" t="inlineStr">
        <is>
          <t>Harbor Fish</t>
        </is>
      </c>
      <c r="B6" s="29" t="inlineStr">
        <is>
          <t>Meat &amp; Seafood</t>
        </is>
      </c>
      <c r="C6" s="28" t="inlineStr">
        <is>
          <t>Lena K.</t>
        </is>
      </c>
      <c r="D6" s="29" t="inlineStr">
        <is>
          <t>555-0202</t>
        </is>
      </c>
      <c r="E6" s="29" t="inlineStr">
        <is>
          <t>Daily</t>
        </is>
      </c>
      <c r="F6" s="29" t="inlineStr">
        <is>
          <t>Net 7</t>
        </is>
      </c>
      <c r="G6" s="46" t="n">
        <v>4.6</v>
      </c>
      <c r="H6" s="28" t="inlineStr">
        <is>
          <t>Freshest catch</t>
        </is>
      </c>
    </row>
    <row r="7">
      <c r="A7" s="33" t="inlineStr">
        <is>
          <t>Green Valley</t>
        </is>
      </c>
      <c r="B7" s="34" t="inlineStr">
        <is>
          <t>Produce</t>
        </is>
      </c>
      <c r="C7" s="33" t="inlineStr">
        <is>
          <t>Omar R.</t>
        </is>
      </c>
      <c r="D7" s="34" t="inlineStr">
        <is>
          <t>555-0203</t>
        </is>
      </c>
      <c r="E7" s="34" t="inlineStr">
        <is>
          <t>Mon/Wed/Fri</t>
        </is>
      </c>
      <c r="F7" s="34" t="inlineStr">
        <is>
          <t>Net 14</t>
        </is>
      </c>
      <c r="G7" s="45" t="n">
        <v>4.5</v>
      </c>
      <c r="H7" s="33" t="inlineStr">
        <is>
          <t>Local &amp; organic</t>
        </is>
      </c>
    </row>
    <row r="8">
      <c r="A8" s="28" t="inlineStr">
        <is>
          <t>US Foods</t>
        </is>
      </c>
      <c r="B8" s="29" t="inlineStr">
        <is>
          <t>Broadline</t>
        </is>
      </c>
      <c r="C8" s="28" t="inlineStr">
        <is>
          <t>Rep line</t>
        </is>
      </c>
      <c r="D8" s="29" t="inlineStr">
        <is>
          <t>800-555-0204</t>
        </is>
      </c>
      <c r="E8" s="29" t="inlineStr">
        <is>
          <t>Tue</t>
        </is>
      </c>
      <c r="F8" s="29" t="inlineStr">
        <is>
          <t>Net 21</t>
        </is>
      </c>
      <c r="G8" s="46" t="n">
        <v>4.2</v>
      </c>
      <c r="H8" s="28" t="inlineStr">
        <is>
          <t>Everything else</t>
        </is>
      </c>
    </row>
    <row r="9">
      <c r="A9" s="33" t="inlineStr">
        <is>
          <t>Vintners Direct</t>
        </is>
      </c>
      <c r="B9" s="34" t="inlineStr">
        <is>
          <t>Bar / Liquor</t>
        </is>
      </c>
      <c r="C9" s="33" t="inlineStr">
        <is>
          <t>Chris P.</t>
        </is>
      </c>
      <c r="D9" s="34" t="inlineStr">
        <is>
          <t>555-0205</t>
        </is>
      </c>
      <c r="E9" s="34" t="inlineStr">
        <is>
          <t>Weekly</t>
        </is>
      </c>
      <c r="F9" s="34" t="inlineStr">
        <is>
          <t>Net 30</t>
        </is>
      </c>
      <c r="G9" s="45" t="n">
        <v>4.7</v>
      </c>
      <c r="H9" s="33" t="inlineStr">
        <is>
          <t>Great wine list</t>
        </is>
      </c>
    </row>
    <row r="10">
      <c r="A10" s="28" t="inlineStr">
        <is>
          <t>City Beverage</t>
        </is>
      </c>
      <c r="B10" s="29" t="inlineStr">
        <is>
          <t>Beverage</t>
        </is>
      </c>
      <c r="C10" s="28" t="inlineStr">
        <is>
          <t>Dana T.</t>
        </is>
      </c>
      <c r="D10" s="29" t="inlineStr">
        <is>
          <t>555-0206</t>
        </is>
      </c>
      <c r="E10" s="29" t="inlineStr">
        <is>
          <t>Weekly</t>
        </is>
      </c>
      <c r="F10" s="29" t="inlineStr">
        <is>
          <t>COD</t>
        </is>
      </c>
      <c r="G10" s="46" t="n">
        <v>4.4</v>
      </c>
      <c r="H10" s="28" t="inlineStr">
        <is>
          <t>Beer &amp; NA</t>
        </is>
      </c>
    </row>
    <row r="11">
      <c r="A11" s="33" t="inlineStr">
        <is>
          <t>Bulk Pantry</t>
        </is>
      </c>
      <c r="B11" s="34" t="inlineStr">
        <is>
          <t>Dry Goods</t>
        </is>
      </c>
      <c r="C11" s="33" t="inlineStr">
        <is>
          <t>Ivy S.</t>
        </is>
      </c>
      <c r="D11" s="34" t="inlineStr">
        <is>
          <t>555-0207</t>
        </is>
      </c>
      <c r="E11" s="34" t="inlineStr">
        <is>
          <t>Bi-weekly</t>
        </is>
      </c>
      <c r="F11" s="34" t="inlineStr">
        <is>
          <t>Net 14</t>
        </is>
      </c>
      <c r="G11" s="45" t="n">
        <v>4.3</v>
      </c>
      <c r="H11" s="33" t="inlineStr">
        <is>
          <t>Best dry-goods pricing</t>
        </is>
      </c>
    </row>
    <row r="12">
      <c r="A12" s="28" t="inlineStr">
        <is>
          <t>RestaurantDepot</t>
        </is>
      </c>
      <c r="B12" s="29" t="inlineStr">
        <is>
          <t>Paper &amp; Disposables</t>
        </is>
      </c>
      <c r="C12" s="28" t="inlineStr">
        <is>
          <t>Walk-in</t>
        </is>
      </c>
      <c r="D12" s="29" t="inlineStr">
        <is>
          <t>—</t>
        </is>
      </c>
      <c r="E12" s="29" t="inlineStr">
        <is>
          <t>As needed</t>
        </is>
      </c>
      <c r="F12" s="29" t="inlineStr">
        <is>
          <t>COD</t>
        </is>
      </c>
      <c r="G12" s="46" t="n">
        <v>4</v>
      </c>
      <c r="H12" s="28" t="inlineStr">
        <is>
          <t>Backup / emergencies</t>
        </is>
      </c>
    </row>
    <row r="13">
      <c r="A13" s="33" t="n"/>
      <c r="B13" s="34" t="n"/>
      <c r="C13" s="33" t="n"/>
      <c r="D13" s="34" t="n"/>
      <c r="E13" s="34" t="n"/>
      <c r="F13" s="34" t="n"/>
      <c r="G13" s="45" t="n"/>
      <c r="H13" s="33" t="n"/>
    </row>
    <row r="14">
      <c r="A14" s="28" t="n"/>
      <c r="B14" s="29" t="n"/>
      <c r="C14" s="28" t="n"/>
      <c r="D14" s="29" t="n"/>
      <c r="E14" s="29" t="n"/>
      <c r="F14" s="29" t="n"/>
      <c r="G14" s="46" t="n"/>
      <c r="H14" s="28" t="n"/>
    </row>
    <row r="15">
      <c r="A15" s="33" t="n"/>
      <c r="B15" s="34" t="n"/>
      <c r="C15" s="33" t="n"/>
      <c r="D15" s="34" t="n"/>
      <c r="E15" s="34" t="n"/>
      <c r="F15" s="34" t="n"/>
      <c r="G15" s="45" t="n"/>
      <c r="H15" s="33" t="n"/>
    </row>
    <row r="16">
      <c r="A16" s="28" t="n"/>
      <c r="B16" s="29" t="n"/>
      <c r="C16" s="28" t="n"/>
      <c r="D16" s="29" t="n"/>
      <c r="E16" s="29" t="n"/>
      <c r="F16" s="29" t="n"/>
      <c r="G16" s="46" t="n"/>
      <c r="H16" s="28" t="n"/>
    </row>
    <row r="17">
      <c r="A17" s="33" t="n"/>
      <c r="B17" s="34" t="n"/>
      <c r="C17" s="33" t="n"/>
      <c r="D17" s="34" t="n"/>
      <c r="E17" s="34" t="n"/>
      <c r="F17" s="34" t="n"/>
      <c r="G17" s="45" t="n"/>
      <c r="H17" s="33" t="n"/>
    </row>
    <row r="18">
      <c r="A18" s="28" t="n"/>
      <c r="B18" s="29" t="n"/>
      <c r="C18" s="28" t="n"/>
      <c r="D18" s="29" t="n"/>
      <c r="E18" s="29" t="n"/>
      <c r="F18" s="29" t="n"/>
      <c r="G18" s="46" t="n"/>
      <c r="H18" s="28" t="n"/>
    </row>
    <row r="19">
      <c r="A19" s="33" t="n"/>
      <c r="B19" s="34" t="n"/>
      <c r="C19" s="33" t="n"/>
      <c r="D19" s="34" t="n"/>
      <c r="E19" s="34" t="n"/>
      <c r="F19" s="34" t="n"/>
      <c r="G19" s="45" t="n"/>
      <c r="H19" s="33" t="n"/>
    </row>
    <row r="20">
      <c r="A20" s="28" t="n"/>
      <c r="B20" s="29" t="n"/>
      <c r="C20" s="28" t="n"/>
      <c r="D20" s="29" t="n"/>
      <c r="E20" s="29" t="n"/>
      <c r="F20" s="29" t="n"/>
      <c r="G20" s="46" t="n"/>
      <c r="H20" s="28" t="n"/>
    </row>
    <row r="21">
      <c r="A21" s="33" t="n"/>
      <c r="B21" s="34" t="n"/>
      <c r="C21" s="33" t="n"/>
      <c r="D21" s="34" t="n"/>
      <c r="E21" s="34" t="n"/>
      <c r="F21" s="34" t="n"/>
      <c r="G21" s="45" t="n"/>
      <c r="H21" s="33" t="n"/>
    </row>
    <row r="22">
      <c r="A22" s="28" t="n"/>
      <c r="B22" s="29" t="n"/>
      <c r="C22" s="28" t="n"/>
      <c r="D22" s="29" t="n"/>
      <c r="E22" s="29" t="n"/>
      <c r="F22" s="29" t="n"/>
      <c r="G22" s="46" t="n"/>
      <c r="H22" s="28" t="n"/>
    </row>
    <row r="23">
      <c r="A23" s="33" t="n"/>
      <c r="B23" s="34" t="n"/>
      <c r="C23" s="33" t="n"/>
      <c r="D23" s="34" t="n"/>
      <c r="E23" s="34" t="n"/>
      <c r="F23" s="34" t="n"/>
      <c r="G23" s="45" t="n"/>
      <c r="H23" s="33" t="n"/>
    </row>
    <row r="24">
      <c r="A24" s="28" t="n"/>
      <c r="B24" s="29" t="n"/>
      <c r="C24" s="28" t="n"/>
      <c r="D24" s="29" t="n"/>
      <c r="E24" s="29" t="n"/>
      <c r="F24" s="29" t="n"/>
      <c r="G24" s="46" t="n"/>
      <c r="H24" s="28" t="n"/>
    </row>
  </sheetData>
  <mergeCells count="2">
    <mergeCell ref="A2:H2"/>
    <mergeCell ref="A1:H1"/>
  </mergeCells>
  <conditionalFormatting sqref="G5:G24">
    <cfRule type="dataBar" priority="1">
      <dataBar showValue="1">
        <cfvo type="num" val="0"/>
        <cfvo type="num" val="5"/>
        <color rgb="00C9A86A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26" customWidth="1" min="6" max="6"/>
  </cols>
  <sheetData>
    <row r="1" ht="46" customHeight="1">
      <c r="A1" s="1" t="inlineStr">
        <is>
          <t xml:space="preserve">  💵  SALES TRACKER</t>
        </is>
      </c>
    </row>
    <row r="2" ht="22" customHeight="1">
      <c r="A2" s="2" t="inlineStr">
        <is>
          <t xml:space="preserve">  Every service, logged — covers, net sales &amp; average check, totaled live.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Day</t>
        </is>
      </c>
      <c r="C4" s="9" t="inlineStr">
        <is>
          <t>Covers</t>
        </is>
      </c>
      <c r="D4" s="9" t="inlineStr">
        <is>
          <t>Net Sales</t>
        </is>
      </c>
      <c r="E4" s="9" t="inlineStr">
        <is>
          <t>Avg Check</t>
        </is>
      </c>
      <c r="F4" s="9" t="inlineStr">
        <is>
          <t>Notes</t>
        </is>
      </c>
    </row>
    <row r="5">
      <c r="A5" s="47" t="n">
        <v>46184</v>
      </c>
      <c r="B5" s="24" t="inlineStr">
        <is>
          <t>Thu</t>
        </is>
      </c>
      <c r="C5" s="37" t="n">
        <v>135</v>
      </c>
      <c r="D5" s="48" t="n">
        <v>4050</v>
      </c>
      <c r="E5" s="27">
        <f>IFERROR(D5/C5,0)</f>
        <v/>
      </c>
      <c r="F5" s="23" t="inlineStr"/>
    </row>
    <row r="6">
      <c r="A6" s="49" t="n">
        <v>46185</v>
      </c>
      <c r="B6" s="29" t="inlineStr">
        <is>
          <t>Fri</t>
        </is>
      </c>
      <c r="C6" s="39" t="n">
        <v>180</v>
      </c>
      <c r="D6" s="50" t="n">
        <v>5580</v>
      </c>
      <c r="E6" s="32">
        <f>IFERROR(D6/C6,0)</f>
        <v/>
      </c>
      <c r="F6" s="28" t="inlineStr">
        <is>
          <t>Fri rush</t>
        </is>
      </c>
    </row>
    <row r="7">
      <c r="A7" s="47" t="n">
        <v>46186</v>
      </c>
      <c r="B7" s="24" t="inlineStr">
        <is>
          <t>Sat</t>
        </is>
      </c>
      <c r="C7" s="37" t="n">
        <v>220</v>
      </c>
      <c r="D7" s="48" t="n">
        <v>7260</v>
      </c>
      <c r="E7" s="27">
        <f>IFERROR(D7/C7,0)</f>
        <v/>
      </c>
      <c r="F7" s="23" t="inlineStr">
        <is>
          <t>Sat — busiest</t>
        </is>
      </c>
    </row>
    <row r="8">
      <c r="A8" s="49" t="n">
        <v>46187</v>
      </c>
      <c r="B8" s="29" t="inlineStr">
        <is>
          <t>Sun</t>
        </is>
      </c>
      <c r="C8" s="39" t="n">
        <v>150</v>
      </c>
      <c r="D8" s="50" t="n">
        <v>4500</v>
      </c>
      <c r="E8" s="32">
        <f>IFERROR(D8/C8,0)</f>
        <v/>
      </c>
      <c r="F8" s="28" t="inlineStr">
        <is>
          <t>Sun brunch</t>
        </is>
      </c>
    </row>
    <row r="9">
      <c r="A9" s="47" t="n">
        <v>46188</v>
      </c>
      <c r="B9" s="24" t="inlineStr">
        <is>
          <t>Mon</t>
        </is>
      </c>
      <c r="C9" s="37" t="n">
        <v>95</v>
      </c>
      <c r="D9" s="48" t="n">
        <v>2660</v>
      </c>
      <c r="E9" s="27">
        <f>IFERROR(D9/C9,0)</f>
        <v/>
      </c>
      <c r="F9" s="23" t="inlineStr"/>
    </row>
    <row r="10">
      <c r="A10" s="49" t="n">
        <v>46189</v>
      </c>
      <c r="B10" s="29" t="inlineStr">
        <is>
          <t>Tue</t>
        </is>
      </c>
      <c r="C10" s="39" t="n">
        <v>105</v>
      </c>
      <c r="D10" s="50" t="n">
        <v>2940</v>
      </c>
      <c r="E10" s="32">
        <f>IFERROR(D10/C10,0)</f>
        <v/>
      </c>
      <c r="F10" s="28" t="inlineStr"/>
    </row>
    <row r="11">
      <c r="A11" s="47" t="n">
        <v>46190</v>
      </c>
      <c r="B11" s="24" t="inlineStr">
        <is>
          <t>Wed</t>
        </is>
      </c>
      <c r="C11" s="37" t="n">
        <v>120</v>
      </c>
      <c r="D11" s="48" t="n">
        <v>3480</v>
      </c>
      <c r="E11" s="27">
        <f>IFERROR(D11/C11,0)</f>
        <v/>
      </c>
      <c r="F11" s="23" t="inlineStr"/>
    </row>
    <row r="12">
      <c r="A12" s="49" t="n">
        <v>46191</v>
      </c>
      <c r="B12" s="29" t="inlineStr">
        <is>
          <t>Thu</t>
        </is>
      </c>
      <c r="C12" s="39" t="n">
        <v>135</v>
      </c>
      <c r="D12" s="50" t="n">
        <v>4050</v>
      </c>
      <c r="E12" s="32">
        <f>IFERROR(D12/C12,0)</f>
        <v/>
      </c>
      <c r="F12" s="28" t="inlineStr"/>
    </row>
    <row r="13">
      <c r="A13" s="47" t="n">
        <v>46192</v>
      </c>
      <c r="B13" s="24" t="inlineStr">
        <is>
          <t>Fri</t>
        </is>
      </c>
      <c r="C13" s="37" t="n">
        <v>180</v>
      </c>
      <c r="D13" s="48" t="n">
        <v>5580</v>
      </c>
      <c r="E13" s="27">
        <f>IFERROR(D13/C13,0)</f>
        <v/>
      </c>
      <c r="F13" s="23" t="inlineStr">
        <is>
          <t>Fri rush</t>
        </is>
      </c>
    </row>
    <row r="14">
      <c r="A14" s="49" t="n">
        <v>46193</v>
      </c>
      <c r="B14" s="29" t="inlineStr">
        <is>
          <t>Sat</t>
        </is>
      </c>
      <c r="C14" s="39" t="n">
        <v>220</v>
      </c>
      <c r="D14" s="50" t="n">
        <v>7260</v>
      </c>
      <c r="E14" s="32">
        <f>IFERROR(D14/C14,0)</f>
        <v/>
      </c>
      <c r="F14" s="28" t="inlineStr">
        <is>
          <t>Sat — busiest</t>
        </is>
      </c>
    </row>
    <row r="15">
      <c r="A15" s="47" t="n">
        <v>46194</v>
      </c>
      <c r="B15" s="24" t="inlineStr">
        <is>
          <t>Sun</t>
        </is>
      </c>
      <c r="C15" s="37" t="n">
        <v>150</v>
      </c>
      <c r="D15" s="48" t="n">
        <v>4500</v>
      </c>
      <c r="E15" s="27">
        <f>IFERROR(D15/C15,0)</f>
        <v/>
      </c>
      <c r="F15" s="23" t="inlineStr">
        <is>
          <t>Sun brunch</t>
        </is>
      </c>
    </row>
    <row r="16">
      <c r="A16" s="49" t="n">
        <v>46195</v>
      </c>
      <c r="B16" s="29" t="inlineStr">
        <is>
          <t>Mon</t>
        </is>
      </c>
      <c r="C16" s="39" t="n">
        <v>95</v>
      </c>
      <c r="D16" s="50" t="n">
        <v>2660</v>
      </c>
      <c r="E16" s="32">
        <f>IFERROR(D16/C16,0)</f>
        <v/>
      </c>
      <c r="F16" s="28" t="inlineStr"/>
    </row>
    <row r="17">
      <c r="A17" s="47" t="n">
        <v>46196</v>
      </c>
      <c r="B17" s="24" t="inlineStr">
        <is>
          <t>Tue</t>
        </is>
      </c>
      <c r="C17" s="37" t="n">
        <v>105</v>
      </c>
      <c r="D17" s="48" t="n">
        <v>2940</v>
      </c>
      <c r="E17" s="27">
        <f>IFERROR(D17/C17,0)</f>
        <v/>
      </c>
      <c r="F17" s="23" t="inlineStr"/>
    </row>
    <row r="18">
      <c r="A18" s="49" t="n">
        <v>46197</v>
      </c>
      <c r="B18" s="29" t="inlineStr">
        <is>
          <t>Wed</t>
        </is>
      </c>
      <c r="C18" s="39" t="n">
        <v>120</v>
      </c>
      <c r="D18" s="50" t="n">
        <v>3480</v>
      </c>
      <c r="E18" s="32">
        <f>IFERROR(D18/C18,0)</f>
        <v/>
      </c>
      <c r="F18" s="28" t="inlineStr"/>
    </row>
    <row r="19">
      <c r="A19" s="47" t="n">
        <v>46198</v>
      </c>
      <c r="B19" s="24" t="inlineStr">
        <is>
          <t>Thu</t>
        </is>
      </c>
      <c r="C19" s="37" t="n">
        <v>135</v>
      </c>
      <c r="D19" s="48" t="n">
        <v>4050</v>
      </c>
      <c r="E19" s="27">
        <f>IFERROR(D19/C19,0)</f>
        <v/>
      </c>
      <c r="F19" s="23" t="inlineStr"/>
    </row>
    <row r="20">
      <c r="A20" s="49" t="n">
        <v>46199</v>
      </c>
      <c r="B20" s="29" t="inlineStr">
        <is>
          <t>Fri</t>
        </is>
      </c>
      <c r="C20" s="39" t="n">
        <v>180</v>
      </c>
      <c r="D20" s="50" t="n">
        <v>5580</v>
      </c>
      <c r="E20" s="32">
        <f>IFERROR(D20/C20,0)</f>
        <v/>
      </c>
      <c r="F20" s="28" t="inlineStr">
        <is>
          <t>Fri rush</t>
        </is>
      </c>
    </row>
    <row r="21">
      <c r="A21" s="47" t="n">
        <v>46200</v>
      </c>
      <c r="B21" s="24" t="inlineStr">
        <is>
          <t>Sat</t>
        </is>
      </c>
      <c r="C21" s="37" t="n">
        <v>220</v>
      </c>
      <c r="D21" s="48" t="n">
        <v>7260</v>
      </c>
      <c r="E21" s="27">
        <f>IFERROR(D21/C21,0)</f>
        <v/>
      </c>
      <c r="F21" s="23" t="inlineStr">
        <is>
          <t>Sat — busiest</t>
        </is>
      </c>
    </row>
    <row r="22">
      <c r="A22" s="49" t="n">
        <v>46201</v>
      </c>
      <c r="B22" s="29" t="inlineStr">
        <is>
          <t>Sun</t>
        </is>
      </c>
      <c r="C22" s="39" t="n">
        <v>150</v>
      </c>
      <c r="D22" s="50" t="n">
        <v>4500</v>
      </c>
      <c r="E22" s="32">
        <f>IFERROR(D22/C22,0)</f>
        <v/>
      </c>
      <c r="F22" s="28" t="inlineStr">
        <is>
          <t>Sun brunch</t>
        </is>
      </c>
    </row>
    <row r="23">
      <c r="A23" s="47" t="n">
        <v>46202</v>
      </c>
      <c r="B23" s="24" t="inlineStr">
        <is>
          <t>Mon</t>
        </is>
      </c>
      <c r="C23" s="37" t="n">
        <v>95</v>
      </c>
      <c r="D23" s="48" t="n">
        <v>2660</v>
      </c>
      <c r="E23" s="27">
        <f>IFERROR(D23/C23,0)</f>
        <v/>
      </c>
      <c r="F23" s="23" t="inlineStr"/>
    </row>
    <row r="24">
      <c r="A24" s="49" t="n">
        <v>46203</v>
      </c>
      <c r="B24" s="29" t="inlineStr">
        <is>
          <t>Tue</t>
        </is>
      </c>
      <c r="C24" s="39" t="n">
        <v>105</v>
      </c>
      <c r="D24" s="50" t="n">
        <v>2940</v>
      </c>
      <c r="E24" s="32">
        <f>IFERROR(D24/C24,0)</f>
        <v/>
      </c>
      <c r="F24" s="28" t="inlineStr"/>
    </row>
    <row r="25">
      <c r="A25" s="47" t="n">
        <v>46204</v>
      </c>
      <c r="B25" s="24" t="inlineStr">
        <is>
          <t>Wed</t>
        </is>
      </c>
      <c r="C25" s="37" t="n">
        <v>120</v>
      </c>
      <c r="D25" s="48" t="n">
        <v>3480</v>
      </c>
      <c r="E25" s="27">
        <f>IFERROR(D25/C25,0)</f>
        <v/>
      </c>
      <c r="F25" s="23" t="inlineStr"/>
    </row>
    <row r="26">
      <c r="A26" s="49" t="n">
        <v>46205</v>
      </c>
      <c r="B26" s="29" t="inlineStr">
        <is>
          <t>Thu</t>
        </is>
      </c>
      <c r="C26" s="39" t="n">
        <v>135</v>
      </c>
      <c r="D26" s="50" t="n">
        <v>4050</v>
      </c>
      <c r="E26" s="32">
        <f>IFERROR(D26/C26,0)</f>
        <v/>
      </c>
      <c r="F26" s="28" t="inlineStr"/>
    </row>
    <row r="27">
      <c r="A27" s="47" t="n">
        <v>46206</v>
      </c>
      <c r="B27" s="24" t="inlineStr">
        <is>
          <t>Fri</t>
        </is>
      </c>
      <c r="C27" s="37" t="n">
        <v>180</v>
      </c>
      <c r="D27" s="48" t="n">
        <v>5580</v>
      </c>
      <c r="E27" s="27">
        <f>IFERROR(D27/C27,0)</f>
        <v/>
      </c>
      <c r="F27" s="23" t="inlineStr">
        <is>
          <t>Fri rush</t>
        </is>
      </c>
    </row>
    <row r="28">
      <c r="A28" s="49" t="n">
        <v>46207</v>
      </c>
      <c r="B28" s="29" t="inlineStr">
        <is>
          <t>Sat</t>
        </is>
      </c>
      <c r="C28" s="39" t="n">
        <v>220</v>
      </c>
      <c r="D28" s="50" t="n">
        <v>7260</v>
      </c>
      <c r="E28" s="32">
        <f>IFERROR(D28/C28,0)</f>
        <v/>
      </c>
      <c r="F28" s="28" t="inlineStr">
        <is>
          <t>Sat — busiest</t>
        </is>
      </c>
    </row>
    <row r="29">
      <c r="A29" s="47" t="n">
        <v>46208</v>
      </c>
      <c r="B29" s="24" t="inlineStr">
        <is>
          <t>Sun</t>
        </is>
      </c>
      <c r="C29" s="37" t="n">
        <v>150</v>
      </c>
      <c r="D29" s="48" t="n">
        <v>4500</v>
      </c>
      <c r="E29" s="27">
        <f>IFERROR(D29/C29,0)</f>
        <v/>
      </c>
      <c r="F29" s="23" t="inlineStr">
        <is>
          <t>Sun brunch</t>
        </is>
      </c>
    </row>
    <row r="30">
      <c r="A30" s="49" t="n">
        <v>46209</v>
      </c>
      <c r="B30" s="29" t="inlineStr">
        <is>
          <t>Mon</t>
        </is>
      </c>
      <c r="C30" s="39" t="n">
        <v>95</v>
      </c>
      <c r="D30" s="50" t="n">
        <v>2660</v>
      </c>
      <c r="E30" s="32">
        <f>IFERROR(D30/C30,0)</f>
        <v/>
      </c>
      <c r="F30" s="28" t="inlineStr"/>
    </row>
    <row r="31">
      <c r="A31" s="47" t="n">
        <v>46210</v>
      </c>
      <c r="B31" s="24" t="inlineStr">
        <is>
          <t>Tue</t>
        </is>
      </c>
      <c r="C31" s="37" t="n">
        <v>105</v>
      </c>
      <c r="D31" s="48" t="n">
        <v>2940</v>
      </c>
      <c r="E31" s="27">
        <f>IFERROR(D31/C31,0)</f>
        <v/>
      </c>
      <c r="F31" s="23" t="inlineStr"/>
    </row>
    <row r="32">
      <c r="A32" s="49" t="n">
        <v>46211</v>
      </c>
      <c r="B32" s="29" t="inlineStr">
        <is>
          <t>Wed</t>
        </is>
      </c>
      <c r="C32" s="39" t="n">
        <v>120</v>
      </c>
      <c r="D32" s="50" t="n">
        <v>3480</v>
      </c>
      <c r="E32" s="32">
        <f>IFERROR(D32/C32,0)</f>
        <v/>
      </c>
      <c r="F32" s="28" t="inlineStr"/>
    </row>
    <row r="33">
      <c r="A33" s="47" t="n">
        <v>46212</v>
      </c>
      <c r="B33" s="24" t="inlineStr">
        <is>
          <t>Thu</t>
        </is>
      </c>
      <c r="C33" s="37" t="n">
        <v>135</v>
      </c>
      <c r="D33" s="48" t="n">
        <v>4050</v>
      </c>
      <c r="E33" s="27">
        <f>IFERROR(D33/C33,0)</f>
        <v/>
      </c>
      <c r="F33" s="23" t="inlineStr"/>
    </row>
    <row r="34">
      <c r="A34" s="49" t="n">
        <v>46213</v>
      </c>
      <c r="B34" s="29" t="inlineStr">
        <is>
          <t>Fri</t>
        </is>
      </c>
      <c r="C34" s="39" t="n">
        <v>180</v>
      </c>
      <c r="D34" s="50" t="n">
        <v>5580</v>
      </c>
      <c r="E34" s="32">
        <f>IFERROR(D34/C34,0)</f>
        <v/>
      </c>
      <c r="F34" s="28" t="inlineStr">
        <is>
          <t>Fri rush</t>
        </is>
      </c>
    </row>
    <row r="35">
      <c r="A35" s="9" t="inlineStr">
        <is>
          <t>MONTH TOTAL</t>
        </is>
      </c>
      <c r="B35" s="9" t="n"/>
      <c r="C35" s="51">
        <f>SUM(C5:C34)</f>
        <v/>
      </c>
      <c r="D35" s="41">
        <f>SUM(D5:D34)</f>
        <v/>
      </c>
      <c r="E35" s="52">
        <f>IFERROR(D35/C35,0)</f>
        <v/>
      </c>
      <c r="F35" s="42" t="n"/>
    </row>
  </sheetData>
  <mergeCells count="2">
    <mergeCell ref="A2:F2"/>
    <mergeCell ref="A1:F1"/>
  </mergeCells>
  <conditionalFormatting sqref="D5:D34">
    <cfRule type="dataBar" priority="1">
      <dataBar showValue="1">
        <cfvo type="num" val="0"/>
        <cfvo type="num" val="8000"/>
        <color rgb="001B4F48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46" customHeight="1">
      <c r="A1" s="1" t="inlineStr">
        <is>
          <t xml:space="preserve">  👥  LABOR &amp; SCHEDULING</t>
        </is>
      </c>
    </row>
    <row r="2" ht="22" customHeight="1">
      <c r="A2" s="2" t="inlineStr">
        <is>
          <t xml:space="preserve">  Control your second-biggest cost — hours, rate &amp; monthly labor by role.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Role</t>
        </is>
      </c>
      <c r="B4" s="9" t="inlineStr">
        <is>
          <t>Station</t>
        </is>
      </c>
      <c r="C4" s="9" t="inlineStr">
        <is>
          <t>Count</t>
        </is>
      </c>
      <c r="D4" s="9" t="inlineStr">
        <is>
          <t>Hrs / Mo</t>
        </is>
      </c>
      <c r="E4" s="9" t="inlineStr">
        <is>
          <t>Rate</t>
        </is>
      </c>
      <c r="F4" s="9" t="inlineStr">
        <is>
          <t>Monthly Cost</t>
        </is>
      </c>
      <c r="G4" s="9" t="inlineStr">
        <is>
          <t>% of Sales</t>
        </is>
      </c>
    </row>
    <row r="5">
      <c r="A5" s="23" t="inlineStr">
        <is>
          <t>Executive Chef</t>
        </is>
      </c>
      <c r="B5" s="24" t="inlineStr">
        <is>
          <t>Kitchen</t>
        </is>
      </c>
      <c r="C5" s="24" t="n">
        <v>1</v>
      </c>
      <c r="D5" s="24" t="n">
        <v>168</v>
      </c>
      <c r="E5" s="24" t="inlineStr">
        <is>
          <t>Salary</t>
        </is>
      </c>
      <c r="F5" s="48" t="n">
        <v>5800</v>
      </c>
      <c r="G5" s="53">
        <f>IFERROR(F5/RevenueTotal,0)</f>
        <v/>
      </c>
    </row>
    <row r="6">
      <c r="A6" s="28" t="inlineStr">
        <is>
          <t>Sous Chef</t>
        </is>
      </c>
      <c r="B6" s="29" t="inlineStr">
        <is>
          <t>Kitchen</t>
        </is>
      </c>
      <c r="C6" s="29" t="n">
        <v>1</v>
      </c>
      <c r="D6" s="29" t="n">
        <v>176</v>
      </c>
      <c r="E6" s="32" t="n">
        <v>24</v>
      </c>
      <c r="F6" s="50" t="n">
        <v>4224</v>
      </c>
      <c r="G6" s="54">
        <f>IFERROR(F6/RevenueTotal,0)</f>
        <v/>
      </c>
    </row>
    <row r="7">
      <c r="A7" s="23" t="inlineStr">
        <is>
          <t>Line Cooks</t>
        </is>
      </c>
      <c r="B7" s="24" t="inlineStr">
        <is>
          <t>Kitchen</t>
        </is>
      </c>
      <c r="C7" s="24" t="n">
        <v>3</v>
      </c>
      <c r="D7" s="24" t="n">
        <v>480</v>
      </c>
      <c r="E7" s="27" t="n">
        <v>19</v>
      </c>
      <c r="F7" s="48" t="n">
        <v>9120</v>
      </c>
      <c r="G7" s="53">
        <f>IFERROR(F7/RevenueTotal,0)</f>
        <v/>
      </c>
    </row>
    <row r="8">
      <c r="A8" s="28" t="inlineStr">
        <is>
          <t>Prep Cook</t>
        </is>
      </c>
      <c r="B8" s="29" t="inlineStr">
        <is>
          <t>Kitchen</t>
        </is>
      </c>
      <c r="C8" s="29" t="n">
        <v>1</v>
      </c>
      <c r="D8" s="29" t="n">
        <v>160</v>
      </c>
      <c r="E8" s="32" t="n">
        <v>17</v>
      </c>
      <c r="F8" s="50" t="n">
        <v>2720</v>
      </c>
      <c r="G8" s="54">
        <f>IFERROR(F8/RevenueTotal,0)</f>
        <v/>
      </c>
    </row>
    <row r="9">
      <c r="A9" s="23" t="inlineStr">
        <is>
          <t>Dishwashers</t>
        </is>
      </c>
      <c r="B9" s="24" t="inlineStr">
        <is>
          <t>Support</t>
        </is>
      </c>
      <c r="C9" s="24" t="n">
        <v>2</v>
      </c>
      <c r="D9" s="24" t="n">
        <v>300</v>
      </c>
      <c r="E9" s="27" t="n">
        <v>15</v>
      </c>
      <c r="F9" s="48" t="n">
        <v>4500</v>
      </c>
      <c r="G9" s="53">
        <f>IFERROR(F9/RevenueTotal,0)</f>
        <v/>
      </c>
    </row>
    <row r="10">
      <c r="A10" s="28" t="inlineStr">
        <is>
          <t>Servers</t>
        </is>
      </c>
      <c r="B10" s="29" t="inlineStr">
        <is>
          <t>Front of House</t>
        </is>
      </c>
      <c r="C10" s="29" t="n">
        <v>6</v>
      </c>
      <c r="D10" s="29" t="n">
        <v>540</v>
      </c>
      <c r="E10" s="32" t="n">
        <v>12</v>
      </c>
      <c r="F10" s="50" t="n">
        <v>6480</v>
      </c>
      <c r="G10" s="54">
        <f>IFERROR(F10/RevenueTotal,0)</f>
        <v/>
      </c>
    </row>
    <row r="11">
      <c r="A11" s="23" t="inlineStr">
        <is>
          <t>Bartenders</t>
        </is>
      </c>
      <c r="B11" s="24" t="inlineStr">
        <is>
          <t>Bar</t>
        </is>
      </c>
      <c r="C11" s="24" t="n">
        <v>2</v>
      </c>
      <c r="D11" s="24" t="n">
        <v>200</v>
      </c>
      <c r="E11" s="27" t="n">
        <v>15</v>
      </c>
      <c r="F11" s="48" t="n">
        <v>3000</v>
      </c>
      <c r="G11" s="53">
        <f>IFERROR(F11/RevenueTotal,0)</f>
        <v/>
      </c>
    </row>
    <row r="12">
      <c r="A12" s="28" t="inlineStr">
        <is>
          <t>Host</t>
        </is>
      </c>
      <c r="B12" s="29" t="inlineStr">
        <is>
          <t>Front of House</t>
        </is>
      </c>
      <c r="C12" s="29" t="n">
        <v>1</v>
      </c>
      <c r="D12" s="29" t="n">
        <v>140</v>
      </c>
      <c r="E12" s="32" t="n">
        <v>15</v>
      </c>
      <c r="F12" s="50" t="n">
        <v>2100</v>
      </c>
      <c r="G12" s="54">
        <f>IFERROR(F12/RevenueTotal,0)</f>
        <v/>
      </c>
    </row>
    <row r="13">
      <c r="A13" s="23" t="inlineStr">
        <is>
          <t>General Manager</t>
        </is>
      </c>
      <c r="B13" s="24" t="inlineStr">
        <is>
          <t>Management</t>
        </is>
      </c>
      <c r="C13" s="24" t="n">
        <v>1</v>
      </c>
      <c r="D13" s="24" t="n">
        <v>180</v>
      </c>
      <c r="E13" s="24" t="inlineStr">
        <is>
          <t>Salary</t>
        </is>
      </c>
      <c r="F13" s="48" t="n">
        <v>5200</v>
      </c>
      <c r="G13" s="53">
        <f>IFERROR(F13/RevenueTotal,0)</f>
        <v/>
      </c>
    </row>
    <row r="14">
      <c r="A14" s="9" t="inlineStr">
        <is>
          <t>TOTAL LABOR</t>
        </is>
      </c>
      <c r="B14" s="9" t="n"/>
      <c r="C14" s="9" t="n"/>
      <c r="D14" s="9" t="n"/>
      <c r="E14" s="9" t="n"/>
      <c r="F14" s="41">
        <f>SUM(F5:F13)</f>
        <v/>
      </c>
      <c r="G14" s="55">
        <f>IFERROR(F14/RevenueTotal,0)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2" customWidth="1" min="4" max="4"/>
    <col width="13" customWidth="1" min="5" max="5"/>
    <col width="16" customWidth="1" min="6" max="6"/>
    <col width="13" customWidth="1" min="7" max="7"/>
  </cols>
  <sheetData>
    <row r="1" ht="46" customHeight="1">
      <c r="A1" s="1" t="inlineStr">
        <is>
          <t xml:space="preserve">  🧑‍🍳  STAFF ROSTER</t>
        </is>
      </c>
    </row>
    <row r="2" ht="22" customHeight="1">
      <c r="A2" s="2" t="inlineStr">
        <is>
          <t xml:space="preserve">  Your team, organized — role, station, tenure, certifications &amp; contact.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Name</t>
        </is>
      </c>
      <c r="B4" s="9" t="inlineStr">
        <is>
          <t>Role</t>
        </is>
      </c>
      <c r="C4" s="9" t="inlineStr">
        <is>
          <t>Station</t>
        </is>
      </c>
      <c r="D4" s="9" t="inlineStr">
        <is>
          <t>Type</t>
        </is>
      </c>
      <c r="E4" s="9" t="inlineStr">
        <is>
          <t>Since</t>
        </is>
      </c>
      <c r="F4" s="9" t="inlineStr">
        <is>
          <t>Certification</t>
        </is>
      </c>
      <c r="G4" s="9" t="inlineStr">
        <is>
          <t>Phone</t>
        </is>
      </c>
    </row>
    <row r="5">
      <c r="A5" s="33" t="inlineStr">
        <is>
          <t>Marco Ellis</t>
        </is>
      </c>
      <c r="B5" s="34" t="inlineStr">
        <is>
          <t>Executive Chef</t>
        </is>
      </c>
      <c r="C5" s="34" t="inlineStr">
        <is>
          <t>Kitchen</t>
        </is>
      </c>
      <c r="D5" s="34" t="inlineStr">
        <is>
          <t>Full-time</t>
        </is>
      </c>
      <c r="E5" s="56" t="n">
        <v>44614</v>
      </c>
      <c r="F5" s="33" t="inlineStr">
        <is>
          <t>ServSafe (2027)</t>
        </is>
      </c>
      <c r="G5" s="34" t="inlineStr">
        <is>
          <t>555-0301</t>
        </is>
      </c>
    </row>
    <row r="6">
      <c r="A6" s="28" t="inlineStr">
        <is>
          <t>Priya Shah</t>
        </is>
      </c>
      <c r="B6" s="29" t="inlineStr">
        <is>
          <t>Sous Chef</t>
        </is>
      </c>
      <c r="C6" s="29" t="inlineStr">
        <is>
          <t>Kitchen</t>
        </is>
      </c>
      <c r="D6" s="29" t="inlineStr">
        <is>
          <t>Full-time</t>
        </is>
      </c>
      <c r="E6" s="49" t="n">
        <v>45314</v>
      </c>
      <c r="F6" s="28" t="inlineStr">
        <is>
          <t>ServSafe (2026)</t>
        </is>
      </c>
      <c r="G6" s="29" t="inlineStr">
        <is>
          <t>555-0302</t>
        </is>
      </c>
    </row>
    <row r="7">
      <c r="A7" s="33" t="inlineStr">
        <is>
          <t>Diego Ramos</t>
        </is>
      </c>
      <c r="B7" s="34" t="inlineStr">
        <is>
          <t>Line Cook</t>
        </is>
      </c>
      <c r="C7" s="34" t="inlineStr">
        <is>
          <t>Kitchen</t>
        </is>
      </c>
      <c r="D7" s="34" t="inlineStr">
        <is>
          <t>Full-time</t>
        </is>
      </c>
      <c r="E7" s="56" t="n">
        <v>45614</v>
      </c>
      <c r="F7" s="33" t="inlineStr">
        <is>
          <t>Food Handler</t>
        </is>
      </c>
      <c r="G7" s="34" t="inlineStr">
        <is>
          <t>555-0303</t>
        </is>
      </c>
    </row>
    <row r="8">
      <c r="A8" s="28" t="inlineStr">
        <is>
          <t>Aya Tanaka</t>
        </is>
      </c>
      <c r="B8" s="29" t="inlineStr">
        <is>
          <t>Line Cook</t>
        </is>
      </c>
      <c r="C8" s="29" t="inlineStr">
        <is>
          <t>Kitchen</t>
        </is>
      </c>
      <c r="D8" s="29" t="inlineStr">
        <is>
          <t>Full-time</t>
        </is>
      </c>
      <c r="E8" s="49" t="n">
        <v>45794</v>
      </c>
      <c r="F8" s="28" t="inlineStr">
        <is>
          <t>Food Handler</t>
        </is>
      </c>
      <c r="G8" s="29" t="inlineStr">
        <is>
          <t>555-0304</t>
        </is>
      </c>
    </row>
    <row r="9">
      <c r="A9" s="33" t="inlineStr">
        <is>
          <t>Sam Okoye</t>
        </is>
      </c>
      <c r="B9" s="34" t="inlineStr">
        <is>
          <t>Line Cook</t>
        </is>
      </c>
      <c r="C9" s="34" t="inlineStr">
        <is>
          <t>Kitchen</t>
        </is>
      </c>
      <c r="D9" s="34" t="inlineStr">
        <is>
          <t>Part-time</t>
        </is>
      </c>
      <c r="E9" s="56" t="n">
        <v>46014</v>
      </c>
      <c r="F9" s="33" t="inlineStr">
        <is>
          <t>Food Handler</t>
        </is>
      </c>
      <c r="G9" s="34" t="inlineStr">
        <is>
          <t>555-0305</t>
        </is>
      </c>
    </row>
    <row r="10">
      <c r="A10" s="28" t="inlineStr">
        <is>
          <t>Nora Bishop</t>
        </is>
      </c>
      <c r="B10" s="29" t="inlineStr">
        <is>
          <t>Server</t>
        </is>
      </c>
      <c r="C10" s="29" t="inlineStr">
        <is>
          <t>Front of House</t>
        </is>
      </c>
      <c r="D10" s="29" t="inlineStr">
        <is>
          <t>Full-time</t>
        </is>
      </c>
      <c r="E10" s="49" t="n">
        <v>45114</v>
      </c>
      <c r="F10" s="28" t="inlineStr">
        <is>
          <t>Alcohol Cert</t>
        </is>
      </c>
      <c r="G10" s="29" t="inlineStr">
        <is>
          <t>555-0306</t>
        </is>
      </c>
    </row>
    <row r="11">
      <c r="A11" s="33" t="inlineStr">
        <is>
          <t>Leo Martins</t>
        </is>
      </c>
      <c r="B11" s="34" t="inlineStr">
        <is>
          <t>Server</t>
        </is>
      </c>
      <c r="C11" s="34" t="inlineStr">
        <is>
          <t>Front of House</t>
        </is>
      </c>
      <c r="D11" s="34" t="inlineStr">
        <is>
          <t>Part-time</t>
        </is>
      </c>
      <c r="E11" s="56" t="n">
        <v>45914</v>
      </c>
      <c r="F11" s="33" t="inlineStr">
        <is>
          <t>Alcohol Cert</t>
        </is>
      </c>
      <c r="G11" s="34" t="inlineStr">
        <is>
          <t>555-0307</t>
        </is>
      </c>
    </row>
    <row r="12">
      <c r="A12" s="28" t="inlineStr">
        <is>
          <t>Ivy Chen</t>
        </is>
      </c>
      <c r="B12" s="29" t="inlineStr">
        <is>
          <t>Bartender</t>
        </is>
      </c>
      <c r="C12" s="29" t="inlineStr">
        <is>
          <t>Bar</t>
        </is>
      </c>
      <c r="D12" s="29" t="inlineStr">
        <is>
          <t>Full-time</t>
        </is>
      </c>
      <c r="E12" s="49" t="n">
        <v>45414</v>
      </c>
      <c r="F12" s="28" t="inlineStr">
        <is>
          <t>Alcohol Cert</t>
        </is>
      </c>
      <c r="G12" s="29" t="inlineStr">
        <is>
          <t>555-0308</t>
        </is>
      </c>
    </row>
    <row r="13">
      <c r="A13" s="33" t="inlineStr">
        <is>
          <t>Dana Reyes</t>
        </is>
      </c>
      <c r="B13" s="34" t="inlineStr">
        <is>
          <t>General Manager</t>
        </is>
      </c>
      <c r="C13" s="34" t="inlineStr">
        <is>
          <t>Management</t>
        </is>
      </c>
      <c r="D13" s="34" t="inlineStr">
        <is>
          <t>Full-time</t>
        </is>
      </c>
      <c r="E13" s="56" t="n">
        <v>44714</v>
      </c>
      <c r="F13" s="33" t="inlineStr">
        <is>
          <t>ServSafe Mgr</t>
        </is>
      </c>
      <c r="G13" s="34" t="inlineStr">
        <is>
          <t>555-0309</t>
        </is>
      </c>
    </row>
    <row r="14">
      <c r="A14" s="28" t="inlineStr">
        <is>
          <t>Owen Park</t>
        </is>
      </c>
      <c r="B14" s="29" t="inlineStr">
        <is>
          <t>Host</t>
        </is>
      </c>
      <c r="C14" s="29" t="inlineStr">
        <is>
          <t>Front of House</t>
        </is>
      </c>
      <c r="D14" s="29" t="inlineStr">
        <is>
          <t>Part-time</t>
        </is>
      </c>
      <c r="E14" s="49" t="n">
        <v>46064</v>
      </c>
      <c r="F14" s="28" t="inlineStr">
        <is>
          <t>—</t>
        </is>
      </c>
      <c r="G14" s="29" t="inlineStr">
        <is>
          <t>555-0310</t>
        </is>
      </c>
    </row>
    <row r="15">
      <c r="A15" s="33" t="n"/>
      <c r="B15" s="34" t="n"/>
      <c r="C15" s="34" t="n"/>
      <c r="D15" s="34" t="n"/>
      <c r="E15" s="56" t="n"/>
      <c r="F15" s="33" t="n"/>
      <c r="G15" s="34" t="n"/>
    </row>
    <row r="16">
      <c r="A16" s="28" t="n"/>
      <c r="B16" s="29" t="n"/>
      <c r="C16" s="29" t="n"/>
      <c r="D16" s="29" t="n"/>
      <c r="E16" s="49" t="n"/>
      <c r="F16" s="28" t="n"/>
      <c r="G16" s="29" t="n"/>
    </row>
    <row r="17">
      <c r="A17" s="33" t="n"/>
      <c r="B17" s="34" t="n"/>
      <c r="C17" s="34" t="n"/>
      <c r="D17" s="34" t="n"/>
      <c r="E17" s="56" t="n"/>
      <c r="F17" s="33" t="n"/>
      <c r="G17" s="34" t="n"/>
    </row>
    <row r="18">
      <c r="A18" s="28" t="n"/>
      <c r="B18" s="29" t="n"/>
      <c r="C18" s="29" t="n"/>
      <c r="D18" s="29" t="n"/>
      <c r="E18" s="49" t="n"/>
      <c r="F18" s="28" t="n"/>
      <c r="G18" s="29" t="n"/>
    </row>
    <row r="19">
      <c r="A19" s="33" t="n"/>
      <c r="B19" s="34" t="n"/>
      <c r="C19" s="34" t="n"/>
      <c r="D19" s="34" t="n"/>
      <c r="E19" s="56" t="n"/>
      <c r="F19" s="33" t="n"/>
      <c r="G19" s="34" t="n"/>
    </row>
    <row r="20">
      <c r="A20" s="28" t="n"/>
      <c r="B20" s="29" t="n"/>
      <c r="C20" s="29" t="n"/>
      <c r="D20" s="29" t="n"/>
      <c r="E20" s="49" t="n"/>
      <c r="F20" s="28" t="n"/>
      <c r="G20" s="29" t="n"/>
    </row>
    <row r="21">
      <c r="A21" s="33" t="n"/>
      <c r="B21" s="34" t="n"/>
      <c r="C21" s="34" t="n"/>
      <c r="D21" s="34" t="n"/>
      <c r="E21" s="56" t="n"/>
      <c r="F21" s="33" t="n"/>
      <c r="G21" s="34" t="n"/>
    </row>
    <row r="22">
      <c r="A22" s="28" t="n"/>
      <c r="B22" s="29" t="n"/>
      <c r="C22" s="29" t="n"/>
      <c r="D22" s="29" t="n"/>
      <c r="E22" s="49" t="n"/>
      <c r="F22" s="28" t="n"/>
      <c r="G22" s="29" t="n"/>
    </row>
    <row r="23">
      <c r="A23" s="33" t="n"/>
      <c r="B23" s="34" t="n"/>
      <c r="C23" s="34" t="n"/>
      <c r="D23" s="34" t="n"/>
      <c r="E23" s="56" t="n"/>
      <c r="F23" s="33" t="n"/>
      <c r="G23" s="34" t="n"/>
    </row>
    <row r="24">
      <c r="A24" s="28" t="n"/>
      <c r="B24" s="29" t="n"/>
      <c r="C24" s="29" t="n"/>
      <c r="D24" s="29" t="n"/>
      <c r="E24" s="49" t="n"/>
      <c r="F24" s="28" t="n"/>
      <c r="G24" s="29" t="n"/>
    </row>
    <row r="25">
      <c r="A25" s="33" t="n"/>
      <c r="B25" s="34" t="n"/>
      <c r="C25" s="34" t="n"/>
      <c r="D25" s="34" t="n"/>
      <c r="E25" s="56" t="n"/>
      <c r="F25" s="33" t="n"/>
      <c r="G25" s="34" t="n"/>
    </row>
    <row r="26">
      <c r="A26" s="28" t="n"/>
      <c r="B26" s="29" t="n"/>
      <c r="C26" s="29" t="n"/>
      <c r="D26" s="29" t="n"/>
      <c r="E26" s="49" t="n"/>
      <c r="F26" s="28" t="n"/>
      <c r="G26" s="29" t="n"/>
    </row>
    <row r="27">
      <c r="A27" s="33" t="n"/>
      <c r="B27" s="34" t="n"/>
      <c r="C27" s="34" t="n"/>
      <c r="D27" s="34" t="n"/>
      <c r="E27" s="56" t="n"/>
      <c r="F27" s="33" t="n"/>
      <c r="G27" s="34" t="n"/>
    </row>
    <row r="28">
      <c r="A28" s="28" t="n"/>
      <c r="B28" s="29" t="n"/>
      <c r="C28" s="29" t="n"/>
      <c r="D28" s="29" t="n"/>
      <c r="E28" s="49" t="n"/>
      <c r="F28" s="28" t="n"/>
      <c r="G28" s="29" t="n"/>
    </row>
  </sheetData>
  <mergeCells count="2">
    <mergeCell ref="A2:G2"/>
    <mergeCell ref="A1:G1"/>
  </mergeCells>
  <dataValidations count="1">
    <dataValidation sqref="C5:C28" showDropDown="0" showInputMessage="0" showErrorMessage="0" allowBlank="1" type="list">
      <formula1>=StationList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4" customWidth="1" min="4" max="4"/>
    <col width="3" customWidth="1" min="5" max="5"/>
    <col width="26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📈  P&amp;L / PRIME COST</t>
        </is>
      </c>
    </row>
    <row r="2" ht="22" customHeight="1">
      <c r="A2" s="2" t="inlineStr">
        <is>
          <t xml:space="preserve">  The bottom line, live — prime cost, gross profit &amp; net margin,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MONTHLY P&amp;L</t>
        </is>
      </c>
      <c r="F5" s="4" t="inlineStr">
        <is>
          <t>TARGET vs ACTUAL</t>
        </is>
      </c>
    </row>
    <row r="6" ht="30" customHeight="1">
      <c r="B6" s="9" t="inlineStr">
        <is>
          <t>Line</t>
        </is>
      </c>
      <c r="C6" s="9" t="inlineStr">
        <is>
          <t>Amount</t>
        </is>
      </c>
      <c r="D6" s="9" t="inlineStr">
        <is>
          <t>% of Sales</t>
        </is>
      </c>
      <c r="F6" s="9" t="inlineStr">
        <is>
          <t>Metric</t>
        </is>
      </c>
      <c r="G6" s="9" t="inlineStr">
        <is>
          <t>Actual / Target</t>
        </is>
      </c>
    </row>
    <row r="7">
      <c r="B7" s="21" t="inlineStr">
        <is>
          <t>Net Sales (Revenue)</t>
        </is>
      </c>
      <c r="C7" s="57">
        <f>RevenueTotal</f>
        <v/>
      </c>
      <c r="D7" s="53">
        <f>1</f>
        <v/>
      </c>
      <c r="F7" s="21" t="inlineStr">
        <is>
          <t>Food Cost %</t>
        </is>
      </c>
      <c r="G7" s="58">
        <f>C8/RevenueTotal</f>
        <v/>
      </c>
    </row>
    <row r="8">
      <c r="B8" s="21" t="inlineStr">
        <is>
          <t>Food Cost (COGS)</t>
        </is>
      </c>
      <c r="C8" s="48" t="n">
        <v>42240</v>
      </c>
      <c r="D8" s="53">
        <f>C8/RevenueTotal</f>
        <v/>
      </c>
      <c r="F8" s="21" t="inlineStr">
        <is>
          <t>Labor Cost %</t>
        </is>
      </c>
      <c r="G8" s="58">
        <f>LaborTotal/RevenueTotal</f>
        <v/>
      </c>
    </row>
    <row r="9">
      <c r="B9" s="21" t="inlineStr">
        <is>
          <t>Labor Cost</t>
        </is>
      </c>
      <c r="C9" s="57">
        <f>LaborTotal</f>
        <v/>
      </c>
      <c r="D9" s="53">
        <f>C9/RevenueTotal</f>
        <v/>
      </c>
      <c r="F9" s="21" t="inlineStr">
        <is>
          <t>Prime Cost %</t>
        </is>
      </c>
      <c r="G9" s="58">
        <f>(C8+LaborTotal)/RevenueTotal</f>
        <v/>
      </c>
    </row>
    <row r="10">
      <c r="B10" s="59" t="inlineStr">
        <is>
          <t>PRIME COST</t>
        </is>
      </c>
      <c r="C10" s="60">
        <f>C8+C9</f>
        <v/>
      </c>
      <c r="D10" s="55">
        <f>C10/RevenueTotal</f>
        <v/>
      </c>
      <c r="F10" s="21" t="inlineStr">
        <is>
          <t>Net Margin %</t>
        </is>
      </c>
      <c r="G10" s="58">
        <f>(C7-C10-C12)/RevenueTotal</f>
        <v/>
      </c>
    </row>
    <row r="11">
      <c r="B11" s="21" t="inlineStr">
        <is>
          <t>Gross Profit</t>
        </is>
      </c>
      <c r="C11" s="57">
        <f>C7-C10</f>
        <v/>
      </c>
      <c r="D11" s="53">
        <f>C11/RevenueTotal</f>
        <v/>
      </c>
    </row>
    <row r="12">
      <c r="B12" s="21" t="inlineStr">
        <is>
          <t>Overhead / Opex</t>
        </is>
      </c>
      <c r="C12" s="57">
        <f>OpexTotal</f>
        <v/>
      </c>
      <c r="D12" s="53">
        <f>C12/RevenueTotal</f>
        <v/>
      </c>
      <c r="F12" s="61" t="inlineStr">
        <is>
          <t>Targets: 30% food · 32% labor · 60% prime · 15% margin</t>
        </is>
      </c>
    </row>
    <row r="13">
      <c r="B13" s="59" t="inlineStr">
        <is>
          <t>NET PROFIT</t>
        </is>
      </c>
      <c r="C13" s="62">
        <f>C7-C10-C12</f>
        <v/>
      </c>
      <c r="D13" s="55">
        <f>C13/RevenueTotal</f>
        <v/>
      </c>
    </row>
  </sheetData>
  <mergeCells count="4">
    <mergeCell ref="A2:G2"/>
    <mergeCell ref="B5:D5"/>
    <mergeCell ref="A1:G1"/>
    <mergeCell ref="F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6" customWidth="1" min="4" max="4"/>
  </cols>
  <sheetData>
    <row r="1" ht="46" customHeight="1">
      <c r="A1" s="1" t="inlineStr">
        <is>
          <t xml:space="preserve">  🧾  EXPENSES &amp; OVERHEAD</t>
        </is>
      </c>
    </row>
    <row r="2" ht="22" customHeight="1">
      <c r="A2" s="2" t="inlineStr">
        <is>
          <t xml:space="preserve">  Every fixed &amp; variable cost beyond food and labor — your true overhead.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Category</t>
        </is>
      </c>
      <c r="B4" s="9" t="inlineStr">
        <is>
          <t>Monthly</t>
        </is>
      </c>
      <c r="C4" s="9" t="inlineStr">
        <is>
          <t>Annual</t>
        </is>
      </c>
      <c r="D4" s="9" t="inlineStr">
        <is>
          <t>Notes</t>
        </is>
      </c>
    </row>
    <row r="5">
      <c r="A5" s="23" t="inlineStr">
        <is>
          <t>Rent</t>
        </is>
      </c>
      <c r="B5" s="48" t="n">
        <v>9500</v>
      </c>
      <c r="C5" s="38">
        <f>B5*12</f>
        <v/>
      </c>
      <c r="D5" s="23" t="inlineStr">
        <is>
          <t>Base + CAM</t>
        </is>
      </c>
    </row>
    <row r="6">
      <c r="A6" s="28" t="inlineStr">
        <is>
          <t>Utilities</t>
        </is>
      </c>
      <c r="B6" s="50" t="n">
        <v>3200</v>
      </c>
      <c r="C6" s="40">
        <f>B6*12</f>
        <v/>
      </c>
      <c r="D6" s="28" t="inlineStr"/>
    </row>
    <row r="7">
      <c r="A7" s="23" t="inlineStr">
        <is>
          <t>Insurance</t>
        </is>
      </c>
      <c r="B7" s="48" t="n">
        <v>1400</v>
      </c>
      <c r="C7" s="38">
        <f>B7*12</f>
        <v/>
      </c>
      <c r="D7" s="23" t="inlineStr"/>
    </row>
    <row r="8">
      <c r="A8" s="28" t="inlineStr">
        <is>
          <t>Marketing</t>
        </is>
      </c>
      <c r="B8" s="50" t="n">
        <v>2000</v>
      </c>
      <c r="C8" s="40">
        <f>B8*12</f>
        <v/>
      </c>
      <c r="D8" s="28" t="inlineStr">
        <is>
          <t>Ads + social</t>
        </is>
      </c>
    </row>
    <row r="9">
      <c r="A9" s="23" t="inlineStr">
        <is>
          <t>Repairs &amp; Maint.</t>
        </is>
      </c>
      <c r="B9" s="48" t="n">
        <v>1500</v>
      </c>
      <c r="C9" s="38">
        <f>B9*12</f>
        <v/>
      </c>
      <c r="D9" s="23" t="inlineStr"/>
    </row>
    <row r="10">
      <c r="A10" s="28" t="inlineStr">
        <is>
          <t>POS / Software</t>
        </is>
      </c>
      <c r="B10" s="50" t="n">
        <v>900</v>
      </c>
      <c r="C10" s="40">
        <f>B10*12</f>
        <v/>
      </c>
      <c r="D10" s="28" t="inlineStr"/>
    </row>
    <row r="11">
      <c r="A11" s="23" t="inlineStr">
        <is>
          <t>Cleaning &amp; Supplies</t>
        </is>
      </c>
      <c r="B11" s="48" t="n">
        <v>1600</v>
      </c>
      <c r="C11" s="38">
        <f>B11*12</f>
        <v/>
      </c>
      <c r="D11" s="23" t="inlineStr"/>
    </row>
    <row r="12">
      <c r="A12" s="28" t="inlineStr">
        <is>
          <t>Licenses &amp; Permits</t>
        </is>
      </c>
      <c r="B12" s="50" t="n">
        <v>700</v>
      </c>
      <c r="C12" s="40">
        <f>B12*12</f>
        <v/>
      </c>
      <c r="D12" s="28" t="inlineStr"/>
    </row>
    <row r="13">
      <c r="A13" s="23" t="inlineStr">
        <is>
          <t>Accounting</t>
        </is>
      </c>
      <c r="B13" s="48" t="n">
        <v>1200</v>
      </c>
      <c r="C13" s="38">
        <f>B13*12</f>
        <v/>
      </c>
      <c r="D13" s="23" t="inlineStr"/>
    </row>
    <row r="14">
      <c r="A14" s="28" t="inlineStr">
        <is>
          <t>Card Fees</t>
        </is>
      </c>
      <c r="B14" s="50" t="n">
        <v>3600</v>
      </c>
      <c r="C14" s="40">
        <f>B14*12</f>
        <v/>
      </c>
      <c r="D14" s="28" t="inlineStr">
        <is>
          <t>~2.8% of card sales</t>
        </is>
      </c>
    </row>
    <row r="15">
      <c r="A15" s="23" t="inlineStr">
        <is>
          <t>Miscellaneous</t>
        </is>
      </c>
      <c r="B15" s="48" t="n">
        <v>1000</v>
      </c>
      <c r="C15" s="38">
        <f>B15*12</f>
        <v/>
      </c>
      <c r="D15" s="23" t="inlineStr"/>
    </row>
    <row r="16">
      <c r="A16" s="9" t="inlineStr">
        <is>
          <t>TOTAL OVERHEAD</t>
        </is>
      </c>
      <c r="B16" s="41">
        <f>SUM(B5:B15)</f>
        <v/>
      </c>
      <c r="C16" s="41">
        <f>SUM(C5:C15)</f>
        <v/>
      </c>
      <c r="D16" s="42" t="n"/>
    </row>
  </sheetData>
  <mergeCells count="2">
    <mergeCell ref="A1:D1"/>
    <mergeCell ref="A2:D2"/>
  </mergeCells>
  <dataValidations count="1">
    <dataValidation sqref="A5:A15" showDropDown="0" showInputMessage="0" showErrorMessage="0" allowBlank="1" type="list">
      <formula1>=ExpCatList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46" customHeight="1">
      <c r="A1" s="1" t="inlineStr">
        <is>
          <t xml:space="preserve">  🧮  CASH, TIPS &amp; DEPOSITS</t>
        </is>
      </c>
    </row>
    <row r="2" ht="22" customHeight="1">
      <c r="A2" s="2" t="inlineStr">
        <is>
          <t xml:space="preserve">  Nightly reconciliation — card vs cash, tip pool &amp; bank deposit, balanced.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Date</t>
        </is>
      </c>
      <c r="B4" s="9" t="inlineStr">
        <is>
          <t>Net Sales</t>
        </is>
      </c>
      <c r="C4" s="9" t="inlineStr">
        <is>
          <t>Card</t>
        </is>
      </c>
      <c r="D4" s="9" t="inlineStr">
        <is>
          <t>Cash</t>
        </is>
      </c>
      <c r="E4" s="9" t="inlineStr">
        <is>
          <t>Tips Pool</t>
        </is>
      </c>
      <c r="F4" s="9" t="inlineStr">
        <is>
          <t>Deposit</t>
        </is>
      </c>
      <c r="G4" s="9" t="inlineStr">
        <is>
          <t>Drawer</t>
        </is>
      </c>
    </row>
    <row r="5">
      <c r="A5" s="56" t="n">
        <v>46208</v>
      </c>
      <c r="B5" s="63" t="n">
        <v>6435</v>
      </c>
      <c r="C5" s="63" t="n">
        <v>4820</v>
      </c>
      <c r="D5" s="63" t="n">
        <v>1615</v>
      </c>
      <c r="E5" s="63" t="n">
        <v>965</v>
      </c>
      <c r="F5" s="63" t="n">
        <v>1050</v>
      </c>
      <c r="G5" s="33" t="inlineStr">
        <is>
          <t>Balanced</t>
        </is>
      </c>
    </row>
    <row r="6">
      <c r="A6" s="49" t="n">
        <v>46209</v>
      </c>
      <c r="B6" s="40" t="n">
        <v>3800</v>
      </c>
      <c r="C6" s="40" t="n">
        <v>2760</v>
      </c>
      <c r="D6" s="40" t="n">
        <v>1040</v>
      </c>
      <c r="E6" s="40" t="n">
        <v>570</v>
      </c>
      <c r="F6" s="40" t="n">
        <v>780</v>
      </c>
      <c r="G6" s="28" t="inlineStr">
        <is>
          <t>Balanced</t>
        </is>
      </c>
    </row>
    <row r="7">
      <c r="A7" s="56" t="n">
        <v>46210</v>
      </c>
      <c r="B7" s="63" t="n">
        <v>3480</v>
      </c>
      <c r="C7" s="63" t="n">
        <v>2510</v>
      </c>
      <c r="D7" s="63" t="n">
        <v>970</v>
      </c>
      <c r="E7" s="63" t="n">
        <v>522</v>
      </c>
      <c r="F7" s="63" t="n">
        <v>620</v>
      </c>
      <c r="G7" s="33" t="inlineStr">
        <is>
          <t>Balanced</t>
        </is>
      </c>
    </row>
    <row r="8">
      <c r="A8" s="49" t="n">
        <v>46211</v>
      </c>
      <c r="B8" s="40" t="n">
        <v>4050</v>
      </c>
      <c r="C8" s="40" t="n">
        <v>2900</v>
      </c>
      <c r="D8" s="40" t="n">
        <v>1150</v>
      </c>
      <c r="E8" s="40" t="n">
        <v>608</v>
      </c>
      <c r="F8" s="40" t="n">
        <v>700</v>
      </c>
      <c r="G8" s="28" t="inlineStr">
        <is>
          <t>-$4 over</t>
        </is>
      </c>
    </row>
    <row r="9">
      <c r="A9" s="56" t="n">
        <v>46212</v>
      </c>
      <c r="B9" s="63" t="n">
        <v>5580</v>
      </c>
      <c r="C9" s="63" t="n">
        <v>4180</v>
      </c>
      <c r="D9" s="63" t="n">
        <v>1400</v>
      </c>
      <c r="E9" s="63" t="n">
        <v>837</v>
      </c>
      <c r="F9" s="63" t="n">
        <v>900</v>
      </c>
      <c r="G9" s="33" t="inlineStr">
        <is>
          <t>Balanced</t>
        </is>
      </c>
    </row>
    <row r="10">
      <c r="A10" s="49" t="n">
        <v>46213</v>
      </c>
      <c r="B10" s="40" t="n">
        <v>7260</v>
      </c>
      <c r="C10" s="40" t="n">
        <v>5560</v>
      </c>
      <c r="D10" s="40" t="n">
        <v>1700</v>
      </c>
      <c r="E10" s="40" t="n">
        <v>1089</v>
      </c>
      <c r="F10" s="40" t="n">
        <v>1180</v>
      </c>
      <c r="G10" s="28" t="inlineStr">
        <is>
          <t>Balanced</t>
        </is>
      </c>
    </row>
    <row r="11">
      <c r="A11" s="56" t="n"/>
      <c r="B11" s="63" t="n"/>
      <c r="C11" s="63" t="n"/>
      <c r="D11" s="63" t="n"/>
      <c r="E11" s="63" t="n"/>
      <c r="F11" s="63" t="n"/>
      <c r="G11" s="33" t="n"/>
    </row>
    <row r="12">
      <c r="A12" s="49" t="n"/>
      <c r="B12" s="40" t="n"/>
      <c r="C12" s="40" t="n"/>
      <c r="D12" s="40" t="n"/>
      <c r="E12" s="40" t="n"/>
      <c r="F12" s="40" t="n"/>
      <c r="G12" s="28" t="n"/>
    </row>
    <row r="13">
      <c r="A13" s="56" t="n"/>
      <c r="B13" s="63" t="n"/>
      <c r="C13" s="63" t="n"/>
      <c r="D13" s="63" t="n"/>
      <c r="E13" s="63" t="n"/>
      <c r="F13" s="63" t="n"/>
      <c r="G13" s="33" t="n"/>
    </row>
    <row r="14">
      <c r="A14" s="49" t="n"/>
      <c r="B14" s="40" t="n"/>
      <c r="C14" s="40" t="n"/>
      <c r="D14" s="40" t="n"/>
      <c r="E14" s="40" t="n"/>
      <c r="F14" s="40" t="n"/>
      <c r="G14" s="28" t="n"/>
    </row>
    <row r="15">
      <c r="A15" s="56" t="n"/>
      <c r="B15" s="63" t="n"/>
      <c r="C15" s="63" t="n"/>
      <c r="D15" s="63" t="n"/>
      <c r="E15" s="63" t="n"/>
      <c r="F15" s="63" t="n"/>
      <c r="G15" s="33" t="n"/>
    </row>
    <row r="16">
      <c r="A16" s="49" t="n"/>
      <c r="B16" s="40" t="n"/>
      <c r="C16" s="40" t="n"/>
      <c r="D16" s="40" t="n"/>
      <c r="E16" s="40" t="n"/>
      <c r="F16" s="40" t="n"/>
      <c r="G16" s="28" t="n"/>
    </row>
    <row r="17">
      <c r="A17" s="56" t="n"/>
      <c r="B17" s="63" t="n"/>
      <c r="C17" s="63" t="n"/>
      <c r="D17" s="63" t="n"/>
      <c r="E17" s="63" t="n"/>
      <c r="F17" s="63" t="n"/>
      <c r="G17" s="33" t="n"/>
    </row>
    <row r="18">
      <c r="A18" s="49" t="n"/>
      <c r="B18" s="40" t="n"/>
      <c r="C18" s="40" t="n"/>
      <c r="D18" s="40" t="n"/>
      <c r="E18" s="40" t="n"/>
      <c r="F18" s="40" t="n"/>
      <c r="G18" s="28" t="n"/>
    </row>
    <row r="19">
      <c r="A19" s="56" t="n"/>
      <c r="B19" s="63" t="n"/>
      <c r="C19" s="63" t="n"/>
      <c r="D19" s="63" t="n"/>
      <c r="E19" s="63" t="n"/>
      <c r="F19" s="63" t="n"/>
      <c r="G19" s="33" t="n"/>
    </row>
    <row r="20">
      <c r="A20" s="49" t="n"/>
      <c r="B20" s="40" t="n"/>
      <c r="C20" s="40" t="n"/>
      <c r="D20" s="40" t="n"/>
      <c r="E20" s="40" t="n"/>
      <c r="F20" s="40" t="n"/>
      <c r="G20" s="28" t="n"/>
    </row>
    <row r="21">
      <c r="A21" s="56" t="n"/>
      <c r="B21" s="63" t="n"/>
      <c r="C21" s="63" t="n"/>
      <c r="D21" s="63" t="n"/>
      <c r="E21" s="63" t="n"/>
      <c r="F21" s="63" t="n"/>
      <c r="G21" s="33" t="n"/>
    </row>
    <row r="22">
      <c r="A22" s="49" t="n"/>
      <c r="B22" s="40" t="n"/>
      <c r="C22" s="40" t="n"/>
      <c r="D22" s="40" t="n"/>
      <c r="E22" s="40" t="n"/>
      <c r="F22" s="40" t="n"/>
      <c r="G22" s="28" t="n"/>
    </row>
    <row r="23">
      <c r="A23" s="56" t="n"/>
      <c r="B23" s="63" t="n"/>
      <c r="C23" s="63" t="n"/>
      <c r="D23" s="63" t="n"/>
      <c r="E23" s="63" t="n"/>
      <c r="F23" s="63" t="n"/>
      <c r="G23" s="33" t="n"/>
    </row>
    <row r="24">
      <c r="A24" s="49" t="n"/>
      <c r="B24" s="40" t="n"/>
      <c r="C24" s="40" t="n"/>
      <c r="D24" s="40" t="n"/>
      <c r="E24" s="40" t="n"/>
      <c r="F24" s="40" t="n"/>
      <c r="G24" s="28" t="n"/>
    </row>
  </sheetData>
  <mergeCells count="2">
    <mergeCell ref="A2:G2"/>
    <mergeCell ref="A1:G1"/>
  </mergeCells>
  <conditionalFormatting sqref="G5:G24">
    <cfRule type="cellIs" priority="1" operator="equal" dxfId="1">
      <formula>"Balanced"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0" customWidth="1" min="4" max="4"/>
    <col width="14" customWidth="1" min="5" max="5"/>
    <col width="26" customWidth="1" min="6" max="6"/>
    <col width="13" customWidth="1" min="7" max="7"/>
  </cols>
  <sheetData>
    <row r="1" ht="46" customHeight="1">
      <c r="A1" s="1" t="inlineStr">
        <is>
          <t xml:space="preserve">  📆  RESERVATIONS &amp; EVENTS</t>
        </is>
      </c>
    </row>
    <row r="2" ht="22" customHeight="1">
      <c r="A2" s="2" t="inlineStr">
        <is>
          <t xml:space="preserve">  Big tables &amp; private events — covers, status &amp; every special request.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Date</t>
        </is>
      </c>
      <c r="B4" s="9" t="inlineStr">
        <is>
          <t>Time</t>
        </is>
      </c>
      <c r="C4" s="9" t="inlineStr">
        <is>
          <t>Party / Host</t>
        </is>
      </c>
      <c r="D4" s="9" t="inlineStr">
        <is>
          <t>Guests</t>
        </is>
      </c>
      <c r="E4" s="9" t="inlineStr">
        <is>
          <t>Status</t>
        </is>
      </c>
      <c r="F4" s="9" t="inlineStr">
        <is>
          <t>Notes</t>
        </is>
      </c>
      <c r="G4" s="9" t="inlineStr">
        <is>
          <t>Phone</t>
        </is>
      </c>
    </row>
    <row r="5">
      <c r="A5" s="56" t="n">
        <v>46215</v>
      </c>
      <c r="B5" s="34" t="inlineStr">
        <is>
          <t>7:00p</t>
        </is>
      </c>
      <c r="C5" s="33" t="inlineStr">
        <is>
          <t>Whitman party</t>
        </is>
      </c>
      <c r="D5" s="43" t="n">
        <v>8</v>
      </c>
      <c r="E5" s="34" t="inlineStr">
        <is>
          <t>Confirmed</t>
        </is>
      </c>
      <c r="F5" s="33" t="inlineStr">
        <is>
          <t>Anniversary — window</t>
        </is>
      </c>
      <c r="G5" s="34" t="inlineStr">
        <is>
          <t>555-0410</t>
        </is>
      </c>
    </row>
    <row r="6">
      <c r="A6" s="49" t="n">
        <v>46215</v>
      </c>
      <c r="B6" s="29" t="inlineStr">
        <is>
          <t>8:30p</t>
        </is>
      </c>
      <c r="C6" s="28" t="inlineStr">
        <is>
          <t>Corporate dinner</t>
        </is>
      </c>
      <c r="D6" s="44" t="n">
        <v>12</v>
      </c>
      <c r="E6" s="29" t="inlineStr">
        <is>
          <t>Confirmed</t>
        </is>
      </c>
      <c r="F6" s="28" t="inlineStr">
        <is>
          <t>Set menu · wine pairing</t>
        </is>
      </c>
      <c r="G6" s="29" t="inlineStr">
        <is>
          <t>555-0411</t>
        </is>
      </c>
    </row>
    <row r="7">
      <c r="A7" s="56" t="n">
        <v>46216</v>
      </c>
      <c r="B7" s="34" t="inlineStr">
        <is>
          <t>6:30p</t>
        </is>
      </c>
      <c r="C7" s="33" t="inlineStr">
        <is>
          <t>Nguyen</t>
        </is>
      </c>
      <c r="D7" s="43" t="n">
        <v>4</v>
      </c>
      <c r="E7" s="34" t="inlineStr">
        <is>
          <t>Confirmed</t>
        </is>
      </c>
      <c r="F7" s="33" t="inlineStr">
        <is>
          <t>Highchair</t>
        </is>
      </c>
      <c r="G7" s="34" t="inlineStr">
        <is>
          <t>555-0412</t>
        </is>
      </c>
    </row>
    <row r="8">
      <c r="A8" s="49" t="n">
        <v>46217</v>
      </c>
      <c r="B8" s="29" t="inlineStr">
        <is>
          <t>7:30p</t>
        </is>
      </c>
      <c r="C8" s="28" t="inlineStr">
        <is>
          <t>Birthday — Dana</t>
        </is>
      </c>
      <c r="D8" s="44" t="n">
        <v>10</v>
      </c>
      <c r="E8" s="29" t="inlineStr">
        <is>
          <t>Pending</t>
        </is>
      </c>
      <c r="F8" s="28" t="inlineStr">
        <is>
          <t>Cake at 9pm</t>
        </is>
      </c>
      <c r="G8" s="29" t="inlineStr">
        <is>
          <t>555-0413</t>
        </is>
      </c>
    </row>
    <row r="9">
      <c r="A9" s="56" t="n">
        <v>46219</v>
      </c>
      <c r="B9" s="34" t="inlineStr">
        <is>
          <t>12:00p</t>
        </is>
      </c>
      <c r="C9" s="33" t="inlineStr">
        <is>
          <t>Rotary lunch</t>
        </is>
      </c>
      <c r="D9" s="43" t="n">
        <v>20</v>
      </c>
      <c r="E9" s="34" t="inlineStr">
        <is>
          <t>Confirmed</t>
        </is>
      </c>
      <c r="F9" s="33" t="inlineStr">
        <is>
          <t>Private room</t>
        </is>
      </c>
      <c r="G9" s="34" t="inlineStr">
        <is>
          <t>555-0414</t>
        </is>
      </c>
    </row>
    <row r="10">
      <c r="A10" s="49" t="n">
        <v>46221</v>
      </c>
      <c r="B10" s="29" t="inlineStr">
        <is>
          <t>6:00p</t>
        </is>
      </c>
      <c r="C10" s="28" t="inlineStr">
        <is>
          <t>Rehearsal dinner</t>
        </is>
      </c>
      <c r="D10" s="44" t="n">
        <v>30</v>
      </c>
      <c r="E10" s="29" t="inlineStr">
        <is>
          <t>Pending</t>
        </is>
      </c>
      <c r="F10" s="28" t="inlineStr">
        <is>
          <t>Buyout inquiry</t>
        </is>
      </c>
      <c r="G10" s="29" t="inlineStr">
        <is>
          <t>555-0415</t>
        </is>
      </c>
    </row>
    <row r="11">
      <c r="A11" s="56" t="n">
        <v>46223</v>
      </c>
      <c r="B11" s="34" t="inlineStr">
        <is>
          <t>7:00p</t>
        </is>
      </c>
      <c r="C11" s="33" t="inlineStr">
        <is>
          <t>Wine club</t>
        </is>
      </c>
      <c r="D11" s="43" t="n">
        <v>16</v>
      </c>
      <c r="E11" s="34" t="inlineStr">
        <is>
          <t>Confirmed</t>
        </is>
      </c>
      <c r="F11" s="33" t="inlineStr">
        <is>
          <t>5-course tasting</t>
        </is>
      </c>
      <c r="G11" s="34" t="inlineStr">
        <is>
          <t>555-0416</t>
        </is>
      </c>
    </row>
    <row r="12">
      <c r="A12" s="49" t="n">
        <v>46226</v>
      </c>
      <c r="B12" s="29" t="inlineStr">
        <is>
          <t>5:30p</t>
        </is>
      </c>
      <c r="C12" s="28" t="inlineStr">
        <is>
          <t>Retirement party</t>
        </is>
      </c>
      <c r="D12" s="44" t="n">
        <v>24</v>
      </c>
      <c r="E12" s="29" t="inlineStr">
        <is>
          <t>Pending</t>
        </is>
      </c>
      <c r="F12" s="28" t="inlineStr">
        <is>
          <t>Deposit due</t>
        </is>
      </c>
      <c r="G12" s="29" t="inlineStr">
        <is>
          <t>555-0417</t>
        </is>
      </c>
    </row>
    <row r="13">
      <c r="A13" s="56" t="n"/>
      <c r="B13" s="34" t="n"/>
      <c r="C13" s="33" t="n"/>
      <c r="D13" s="43" t="n"/>
      <c r="E13" s="34" t="n"/>
      <c r="F13" s="33" t="n"/>
      <c r="G13" s="34" t="n"/>
    </row>
    <row r="14">
      <c r="A14" s="49" t="n"/>
      <c r="B14" s="29" t="n"/>
      <c r="C14" s="28" t="n"/>
      <c r="D14" s="44" t="n"/>
      <c r="E14" s="29" t="n"/>
      <c r="F14" s="28" t="n"/>
      <c r="G14" s="29" t="n"/>
    </row>
    <row r="15">
      <c r="A15" s="56" t="n"/>
      <c r="B15" s="34" t="n"/>
      <c r="C15" s="33" t="n"/>
      <c r="D15" s="43" t="n"/>
      <c r="E15" s="34" t="n"/>
      <c r="F15" s="33" t="n"/>
      <c r="G15" s="34" t="n"/>
    </row>
    <row r="16">
      <c r="A16" s="49" t="n"/>
      <c r="B16" s="29" t="n"/>
      <c r="C16" s="28" t="n"/>
      <c r="D16" s="44" t="n"/>
      <c r="E16" s="29" t="n"/>
      <c r="F16" s="28" t="n"/>
      <c r="G16" s="29" t="n"/>
    </row>
    <row r="17">
      <c r="A17" s="56" t="n"/>
      <c r="B17" s="34" t="n"/>
      <c r="C17" s="33" t="n"/>
      <c r="D17" s="43" t="n"/>
      <c r="E17" s="34" t="n"/>
      <c r="F17" s="33" t="n"/>
      <c r="G17" s="34" t="n"/>
    </row>
    <row r="18">
      <c r="A18" s="49" t="n"/>
      <c r="B18" s="29" t="n"/>
      <c r="C18" s="28" t="n"/>
      <c r="D18" s="44" t="n"/>
      <c r="E18" s="29" t="n"/>
      <c r="F18" s="28" t="n"/>
      <c r="G18" s="29" t="n"/>
    </row>
    <row r="19">
      <c r="A19" s="56" t="n"/>
      <c r="B19" s="34" t="n"/>
      <c r="C19" s="33" t="n"/>
      <c r="D19" s="43" t="n"/>
      <c r="E19" s="34" t="n"/>
      <c r="F19" s="33" t="n"/>
      <c r="G19" s="34" t="n"/>
    </row>
    <row r="20">
      <c r="A20" s="49" t="n"/>
      <c r="B20" s="29" t="n"/>
      <c r="C20" s="28" t="n"/>
      <c r="D20" s="44" t="n"/>
      <c r="E20" s="29" t="n"/>
      <c r="F20" s="28" t="n"/>
      <c r="G20" s="29" t="n"/>
    </row>
    <row r="21">
      <c r="A21" s="56" t="n"/>
      <c r="B21" s="34" t="n"/>
      <c r="C21" s="33" t="n"/>
      <c r="D21" s="43" t="n"/>
      <c r="E21" s="34" t="n"/>
      <c r="F21" s="33" t="n"/>
      <c r="G21" s="34" t="n"/>
    </row>
    <row r="22">
      <c r="A22" s="49" t="n"/>
      <c r="B22" s="29" t="n"/>
      <c r="C22" s="28" t="n"/>
      <c r="D22" s="44" t="n"/>
      <c r="E22" s="29" t="n"/>
      <c r="F22" s="28" t="n"/>
      <c r="G22" s="29" t="n"/>
    </row>
    <row r="23">
      <c r="A23" s="56" t="n"/>
      <c r="B23" s="34" t="n"/>
      <c r="C23" s="33" t="n"/>
      <c r="D23" s="43" t="n"/>
      <c r="E23" s="34" t="n"/>
      <c r="F23" s="33" t="n"/>
      <c r="G23" s="34" t="n"/>
    </row>
    <row r="24">
      <c r="A24" s="49" t="n"/>
      <c r="B24" s="29" t="n"/>
      <c r="C24" s="28" t="n"/>
      <c r="D24" s="44" t="n"/>
      <c r="E24" s="29" t="n"/>
      <c r="F24" s="28" t="n"/>
      <c r="G24" s="29" t="n"/>
    </row>
    <row r="25">
      <c r="A25" s="56" t="n"/>
      <c r="B25" s="34" t="n"/>
      <c r="C25" s="33" t="n"/>
      <c r="D25" s="43" t="n"/>
      <c r="E25" s="34" t="n"/>
      <c r="F25" s="33" t="n"/>
      <c r="G25" s="34" t="n"/>
    </row>
    <row r="26">
      <c r="A26" s="49" t="n"/>
      <c r="B26" s="29" t="n"/>
      <c r="C26" s="28" t="n"/>
      <c r="D26" s="44" t="n"/>
      <c r="E26" s="29" t="n"/>
      <c r="F26" s="28" t="n"/>
      <c r="G26" s="29" t="n"/>
    </row>
    <row r="27">
      <c r="A27" s="56" t="n"/>
      <c r="B27" s="34" t="n"/>
      <c r="C27" s="33" t="n"/>
      <c r="D27" s="43" t="n"/>
      <c r="E27" s="34" t="n"/>
      <c r="F27" s="33" t="n"/>
      <c r="G27" s="34" t="n"/>
    </row>
    <row r="28">
      <c r="A28" s="49" t="n"/>
      <c r="B28" s="29" t="n"/>
      <c r="C28" s="28" t="n"/>
      <c r="D28" s="44" t="n"/>
      <c r="E28" s="29" t="n"/>
      <c r="F28" s="28" t="n"/>
      <c r="G28" s="29" t="n"/>
    </row>
    <row r="29">
      <c r="A29" s="56" t="n"/>
      <c r="B29" s="34" t="n"/>
      <c r="C29" s="33" t="n"/>
      <c r="D29" s="43" t="n"/>
      <c r="E29" s="34" t="n"/>
      <c r="F29" s="33" t="n"/>
      <c r="G29" s="34" t="n"/>
    </row>
    <row r="30">
      <c r="A30" s="49" t="n"/>
      <c r="B30" s="29" t="n"/>
      <c r="C30" s="28" t="n"/>
      <c r="D30" s="44" t="n"/>
      <c r="E30" s="29" t="n"/>
      <c r="F30" s="28" t="n"/>
      <c r="G30" s="29" t="n"/>
    </row>
    <row r="31">
      <c r="A31" s="56" t="n"/>
      <c r="B31" s="34" t="n"/>
      <c r="C31" s="33" t="n"/>
      <c r="D31" s="43" t="n"/>
      <c r="E31" s="34" t="n"/>
      <c r="F31" s="33" t="n"/>
      <c r="G31" s="34" t="n"/>
    </row>
    <row r="32">
      <c r="A32" s="49" t="n"/>
      <c r="B32" s="29" t="n"/>
      <c r="C32" s="28" t="n"/>
      <c r="D32" s="44" t="n"/>
      <c r="E32" s="29" t="n"/>
      <c r="F32" s="28" t="n"/>
      <c r="G32" s="29" t="n"/>
    </row>
    <row r="33">
      <c r="A33" s="56" t="n"/>
      <c r="B33" s="34" t="n"/>
      <c r="C33" s="33" t="n"/>
      <c r="D33" s="43" t="n"/>
      <c r="E33" s="34" t="n"/>
      <c r="F33" s="33" t="n"/>
      <c r="G33" s="34" t="n"/>
    </row>
    <row r="34">
      <c r="A34" s="49" t="n"/>
      <c r="B34" s="29" t="n"/>
      <c r="C34" s="28" t="n"/>
      <c r="D34" s="44" t="n"/>
      <c r="E34" s="29" t="n"/>
      <c r="F34" s="28" t="n"/>
      <c r="G34" s="29" t="n"/>
    </row>
  </sheetData>
  <mergeCells count="2">
    <mergeCell ref="A2:G2"/>
    <mergeCell ref="A1:G1"/>
  </mergeCells>
  <conditionalFormatting sqref="E5:E34">
    <cfRule type="cellIs" priority="1" operator="equal" dxfId="1">
      <formula>"Confirmed"</formula>
    </cfRule>
    <cfRule type="cellIs" priority="2" operator="equal" dxfId="2">
      <formula>"Pending"</formula>
    </cfRule>
    <cfRule type="cellIs" priority="3" operator="equal" dxfId="3">
      <formula>"Cancelled"</formula>
    </cfRule>
  </conditionalFormatting>
  <dataValidations count="1">
    <dataValidation sqref="E5:E34" showDropDown="0" showInputMessage="0" showErrorMessage="0" allowBlank="1" type="list">
      <formula1>=ResStatusList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22" customWidth="1" min="8" max="8"/>
  </cols>
  <sheetData>
    <row r="1" ht="46" customHeight="1">
      <c r="A1" s="1" t="inlineStr">
        <is>
          <t xml:space="preserve">  📣  MARKETING &amp; PROMOS</t>
        </is>
      </c>
    </row>
    <row r="2" ht="22" customHeight="1">
      <c r="A2" s="2" t="inlineStr">
        <is>
          <t xml:space="preserve">  Fill more seats — campaigns, reach, attributed revenue &amp; status.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Campaign</t>
        </is>
      </c>
      <c r="B4" s="9" t="inlineStr">
        <is>
          <t>Channel</t>
        </is>
      </c>
      <c r="C4" s="9" t="inlineStr">
        <is>
          <t>Start</t>
        </is>
      </c>
      <c r="D4" s="9" t="inlineStr">
        <is>
          <t>End</t>
        </is>
      </c>
      <c r="E4" s="9" t="inlineStr">
        <is>
          <t>Status</t>
        </is>
      </c>
      <c r="F4" s="9" t="inlineStr">
        <is>
          <t>Reach</t>
        </is>
      </c>
      <c r="G4" s="9" t="inlineStr">
        <is>
          <t>Est. Revenue</t>
        </is>
      </c>
      <c r="H4" s="9" t="inlineStr">
        <is>
          <t>Notes</t>
        </is>
      </c>
    </row>
    <row r="5">
      <c r="A5" s="33" t="inlineStr">
        <is>
          <t>Weekday Prix Fixe</t>
        </is>
      </c>
      <c r="B5" s="34" t="inlineStr">
        <is>
          <t>Dine-in</t>
        </is>
      </c>
      <c r="C5" s="56" t="n">
        <v>46194</v>
      </c>
      <c r="D5" s="56" t="n">
        <v>46254</v>
      </c>
      <c r="E5" s="34" t="inlineStr">
        <is>
          <t>Live</t>
        </is>
      </c>
      <c r="F5" s="43" t="n">
        <v>600</v>
      </c>
      <c r="G5" s="34" t="inlineStr">
        <is>
          <t>$4,800</t>
        </is>
      </c>
      <c r="H5" s="33" t="inlineStr">
        <is>
          <t>3-course $39</t>
        </is>
      </c>
    </row>
    <row r="6">
      <c r="A6" s="28" t="inlineStr">
        <is>
          <t>Happy Hour 4–6</t>
        </is>
      </c>
      <c r="B6" s="29" t="inlineStr">
        <is>
          <t>Bar</t>
        </is>
      </c>
      <c r="C6" s="49" t="n">
        <v>46124</v>
      </c>
      <c r="D6" s="49" t="n">
        <v>46304</v>
      </c>
      <c r="E6" s="29" t="inlineStr">
        <is>
          <t>Live</t>
        </is>
      </c>
      <c r="F6" s="44" t="n">
        <v>300</v>
      </c>
      <c r="G6" s="29" t="inlineStr">
        <is>
          <t>$3,200</t>
        </is>
      </c>
      <c r="H6" s="28" t="inlineStr">
        <is>
          <t>Half-price apps</t>
        </is>
      </c>
    </row>
    <row r="7">
      <c r="A7" s="33" t="inlineStr">
        <is>
          <t>Instagram Reels</t>
        </is>
      </c>
      <c r="B7" s="34" t="inlineStr">
        <is>
          <t>Social</t>
        </is>
      </c>
      <c r="C7" s="56" t="n">
        <v>46200</v>
      </c>
      <c r="D7" s="56" t="n">
        <v>46230</v>
      </c>
      <c r="E7" s="34" t="inlineStr">
        <is>
          <t>Live</t>
        </is>
      </c>
      <c r="F7" s="43" t="n">
        <v>250</v>
      </c>
      <c r="G7" s="34" t="inlineStr">
        <is>
          <t>$1,900</t>
        </is>
      </c>
      <c r="H7" s="33" t="inlineStr">
        <is>
          <t>Chef behind-the-scenes</t>
        </is>
      </c>
    </row>
    <row r="8">
      <c r="A8" s="28" t="inlineStr">
        <is>
          <t>Loyalty Club</t>
        </is>
      </c>
      <c r="B8" s="29" t="inlineStr">
        <is>
          <t>CRM</t>
        </is>
      </c>
      <c r="C8" s="49" t="n">
        <v>46094</v>
      </c>
      <c r="D8" s="49" t="n">
        <v>46454</v>
      </c>
      <c r="E8" s="29" t="inlineStr">
        <is>
          <t>Live</t>
        </is>
      </c>
      <c r="F8" s="44" t="n">
        <v>900</v>
      </c>
      <c r="G8" s="29" t="inlineStr">
        <is>
          <t>$6,400</t>
        </is>
      </c>
      <c r="H8" s="28" t="inlineStr">
        <is>
          <t>9th meal free</t>
        </is>
      </c>
    </row>
    <row r="9">
      <c r="A9" s="33" t="inlineStr">
        <is>
          <t>Restaurant Week</t>
        </is>
      </c>
      <c r="B9" s="34" t="inlineStr">
        <is>
          <t>Event</t>
        </is>
      </c>
      <c r="C9" s="56" t="n">
        <v>46228</v>
      </c>
      <c r="D9" s="56" t="n">
        <v>46238</v>
      </c>
      <c r="E9" s="34" t="inlineStr">
        <is>
          <t>Planned</t>
        </is>
      </c>
      <c r="F9" s="43" t="n">
        <v>400</v>
      </c>
      <c r="G9" s="34" t="inlineStr">
        <is>
          <t>$5,000</t>
        </is>
      </c>
      <c r="H9" s="33" t="inlineStr">
        <is>
          <t>City promo</t>
        </is>
      </c>
    </row>
    <row r="10">
      <c r="A10" s="28" t="inlineStr">
        <is>
          <t>Google / Yelp Ads</t>
        </is>
      </c>
      <c r="B10" s="29" t="inlineStr">
        <is>
          <t>Paid</t>
        </is>
      </c>
      <c r="C10" s="49" t="n">
        <v>46184</v>
      </c>
      <c r="D10" s="49" t="n">
        <v>46244</v>
      </c>
      <c r="E10" s="29" t="inlineStr">
        <is>
          <t>Live</t>
        </is>
      </c>
      <c r="F10" s="44" t="n">
        <v>500</v>
      </c>
      <c r="G10" s="29" t="inlineStr">
        <is>
          <t>$4,100</t>
        </is>
      </c>
      <c r="H10" s="28" t="inlineStr">
        <is>
          <t>$2k spend</t>
        </is>
      </c>
    </row>
    <row r="11">
      <c r="A11" s="33" t="inlineStr">
        <is>
          <t>Wine Dinner Series</t>
        </is>
      </c>
      <c r="B11" s="34" t="inlineStr">
        <is>
          <t>Event</t>
        </is>
      </c>
      <c r="C11" s="56" t="n">
        <v>46234</v>
      </c>
      <c r="D11" s="56" t="n">
        <v>46235</v>
      </c>
      <c r="E11" s="34" t="inlineStr">
        <is>
          <t>Planned</t>
        </is>
      </c>
      <c r="F11" s="43" t="n">
        <v>60</v>
      </c>
      <c r="G11" s="34" t="inlineStr">
        <is>
          <t>$3,900</t>
        </is>
      </c>
      <c r="H11" s="33" t="inlineStr">
        <is>
          <t>Ticketed $95</t>
        </is>
      </c>
    </row>
    <row r="12">
      <c r="A12" s="28" t="inlineStr">
        <is>
          <t>Email Newsletter</t>
        </is>
      </c>
      <c r="B12" s="29" t="inlineStr">
        <is>
          <t>CRM</t>
        </is>
      </c>
      <c r="C12" s="49" t="n">
        <v>46014</v>
      </c>
      <c r="D12" s="49" t="n">
        <v>46374</v>
      </c>
      <c r="E12" s="29" t="inlineStr">
        <is>
          <t>Live</t>
        </is>
      </c>
      <c r="F12" s="44" t="n">
        <v>350</v>
      </c>
      <c r="G12" s="29" t="inlineStr">
        <is>
          <t>$2,000</t>
        </is>
      </c>
      <c r="H12" s="28" t="inlineStr">
        <is>
          <t>Monthly</t>
        </is>
      </c>
    </row>
    <row r="13">
      <c r="A13" s="33" t="n"/>
      <c r="B13" s="34" t="n"/>
      <c r="C13" s="56" t="n"/>
      <c r="D13" s="56" t="n"/>
      <c r="E13" s="34" t="n"/>
      <c r="F13" s="43" t="n"/>
      <c r="G13" s="34" t="n"/>
      <c r="H13" s="33" t="n"/>
    </row>
    <row r="14">
      <c r="A14" s="28" t="n"/>
      <c r="B14" s="29" t="n"/>
      <c r="C14" s="49" t="n"/>
      <c r="D14" s="49" t="n"/>
      <c r="E14" s="29" t="n"/>
      <c r="F14" s="44" t="n"/>
      <c r="G14" s="29" t="n"/>
      <c r="H14" s="28" t="n"/>
    </row>
    <row r="15">
      <c r="A15" s="33" t="n"/>
      <c r="B15" s="34" t="n"/>
      <c r="C15" s="56" t="n"/>
      <c r="D15" s="56" t="n"/>
      <c r="E15" s="34" t="n"/>
      <c r="F15" s="43" t="n"/>
      <c r="G15" s="34" t="n"/>
      <c r="H15" s="33" t="n"/>
    </row>
    <row r="16">
      <c r="A16" s="28" t="n"/>
      <c r="B16" s="29" t="n"/>
      <c r="C16" s="49" t="n"/>
      <c r="D16" s="49" t="n"/>
      <c r="E16" s="29" t="n"/>
      <c r="F16" s="44" t="n"/>
      <c r="G16" s="29" t="n"/>
      <c r="H16" s="28" t="n"/>
    </row>
    <row r="17">
      <c r="A17" s="33" t="n"/>
      <c r="B17" s="34" t="n"/>
      <c r="C17" s="56" t="n"/>
      <c r="D17" s="56" t="n"/>
      <c r="E17" s="34" t="n"/>
      <c r="F17" s="43" t="n"/>
      <c r="G17" s="34" t="n"/>
      <c r="H17" s="33" t="n"/>
    </row>
    <row r="18">
      <c r="A18" s="28" t="n"/>
      <c r="B18" s="29" t="n"/>
      <c r="C18" s="49" t="n"/>
      <c r="D18" s="49" t="n"/>
      <c r="E18" s="29" t="n"/>
      <c r="F18" s="44" t="n"/>
      <c r="G18" s="29" t="n"/>
      <c r="H18" s="28" t="n"/>
    </row>
    <row r="19">
      <c r="A19" s="33" t="n"/>
      <c r="B19" s="34" t="n"/>
      <c r="C19" s="56" t="n"/>
      <c r="D19" s="56" t="n"/>
      <c r="E19" s="34" t="n"/>
      <c r="F19" s="43" t="n"/>
      <c r="G19" s="34" t="n"/>
      <c r="H19" s="33" t="n"/>
    </row>
    <row r="20">
      <c r="A20" s="28" t="n"/>
      <c r="B20" s="29" t="n"/>
      <c r="C20" s="49" t="n"/>
      <c r="D20" s="49" t="n"/>
      <c r="E20" s="29" t="n"/>
      <c r="F20" s="44" t="n"/>
      <c r="G20" s="29" t="n"/>
      <c r="H20" s="28" t="n"/>
    </row>
    <row r="21">
      <c r="A21" s="33" t="n"/>
      <c r="B21" s="34" t="n"/>
      <c r="C21" s="56" t="n"/>
      <c r="D21" s="56" t="n"/>
      <c r="E21" s="34" t="n"/>
      <c r="F21" s="43" t="n"/>
      <c r="G21" s="34" t="n"/>
      <c r="H21" s="33" t="n"/>
    </row>
    <row r="22">
      <c r="A22" s="28" t="n"/>
      <c r="B22" s="29" t="n"/>
      <c r="C22" s="49" t="n"/>
      <c r="D22" s="49" t="n"/>
      <c r="E22" s="29" t="n"/>
      <c r="F22" s="44" t="n"/>
      <c r="G22" s="29" t="n"/>
      <c r="H22" s="28" t="n"/>
    </row>
    <row r="23">
      <c r="A23" s="33" t="n"/>
      <c r="B23" s="34" t="n"/>
      <c r="C23" s="56" t="n"/>
      <c r="D23" s="56" t="n"/>
      <c r="E23" s="34" t="n"/>
      <c r="F23" s="43" t="n"/>
      <c r="G23" s="34" t="n"/>
      <c r="H23" s="33" t="n"/>
    </row>
    <row r="24">
      <c r="A24" s="28" t="n"/>
      <c r="B24" s="29" t="n"/>
      <c r="C24" s="49" t="n"/>
      <c r="D24" s="49" t="n"/>
      <c r="E24" s="29" t="n"/>
      <c r="F24" s="44" t="n"/>
      <c r="G24" s="29" t="n"/>
      <c r="H24" s="28" t="n"/>
    </row>
  </sheetData>
  <mergeCells count="2">
    <mergeCell ref="A2:H2"/>
    <mergeCell ref="A1:H1"/>
  </mergeCells>
  <conditionalFormatting sqref="E5:E24">
    <cfRule type="cellIs" priority="1" operator="equal" dxfId="1">
      <formula>"Live"</formula>
    </cfRule>
    <cfRule type="cellIs" priority="2" operator="equal" dxfId="2">
      <formula>"Planned"</formula>
    </cfRule>
    <cfRule type="cellIs" priority="3" operator="equal" dxfId="4">
      <formula>"Ended"</formula>
    </cfRule>
  </conditionalFormatting>
  <dataValidations count="1">
    <dataValidation sqref="E5:E24" showDropDown="0" showInputMessage="0" showErrorMessage="0" allowBlank="1" type="list">
      <formula1>=PromoStatusList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4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⭐  REVIEWS &amp; REPUTATION</t>
        </is>
      </c>
    </row>
    <row r="2" ht="22" customHeight="1">
      <c r="A2" s="2" t="inlineStr">
        <is>
          <t xml:space="preserve">  Your online reputation — ratings by platform and the themes guests mention.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PLATFORM RATINGS</t>
        </is>
      </c>
    </row>
    <row r="6" ht="30" customHeight="1">
      <c r="B6" s="9" t="inlineStr">
        <is>
          <t>Platform</t>
        </is>
      </c>
      <c r="C6" s="9" t="inlineStr">
        <is>
          <t>Rating</t>
        </is>
      </c>
      <c r="D6" s="9" t="inlineStr">
        <is>
          <t>Reviews</t>
        </is>
      </c>
      <c r="E6" s="9" t="inlineStr">
        <is>
          <t>Trend</t>
        </is>
      </c>
      <c r="F6" s="9" t="inlineStr">
        <is>
          <t>Focus / Notes</t>
        </is>
      </c>
    </row>
    <row r="7">
      <c r="B7" s="23" t="inlineStr">
        <is>
          <t>Google</t>
        </is>
      </c>
      <c r="C7" s="64" t="n">
        <v>4.6</v>
      </c>
      <c r="D7" s="24" t="n">
        <v>320</v>
      </c>
      <c r="E7" s="24" t="inlineStr">
        <is>
          <t>▲ +0.1</t>
        </is>
      </c>
      <c r="F7" s="23" t="inlineStr">
        <is>
          <t>Service &amp; ambiance praised</t>
        </is>
      </c>
    </row>
    <row r="8">
      <c r="B8" s="28" t="inlineStr">
        <is>
          <t>Yelp</t>
        </is>
      </c>
      <c r="C8" s="46" t="n">
        <v>4.4</v>
      </c>
      <c r="D8" s="29" t="n">
        <v>180</v>
      </c>
      <c r="E8" s="29" t="inlineStr">
        <is>
          <t>▲ +0.2</t>
        </is>
      </c>
      <c r="F8" s="28" t="inlineStr">
        <is>
          <t>Watch wait times</t>
        </is>
      </c>
    </row>
    <row r="9">
      <c r="B9" s="23" t="inlineStr">
        <is>
          <t>TripAdvisor</t>
        </is>
      </c>
      <c r="C9" s="64" t="n">
        <v>4.7</v>
      </c>
      <c r="D9" s="24" t="n">
        <v>95</v>
      </c>
      <c r="E9" s="24" t="inlineStr">
        <is>
          <t>► flat</t>
        </is>
      </c>
      <c r="F9" s="23" t="inlineStr">
        <is>
          <t>Tourists love the ribeye</t>
        </is>
      </c>
    </row>
    <row r="10">
      <c r="B10" s="28" t="inlineStr">
        <is>
          <t>OpenTable</t>
        </is>
      </c>
      <c r="C10" s="46" t="n">
        <v>4.8</v>
      </c>
      <c r="D10" s="29" t="n">
        <v>140</v>
      </c>
      <c r="E10" s="29" t="inlineStr">
        <is>
          <t>▲ +0.1</t>
        </is>
      </c>
      <c r="F10" s="28" t="inlineStr">
        <is>
          <t>Great for special occasions</t>
        </is>
      </c>
    </row>
    <row r="11">
      <c r="B11" s="23" t="inlineStr">
        <is>
          <t>Facebook</t>
        </is>
      </c>
      <c r="C11" s="64" t="n">
        <v>4.5</v>
      </c>
      <c r="D11" s="24" t="n">
        <v>60</v>
      </c>
      <c r="E11" s="24" t="inlineStr">
        <is>
          <t>► flat</t>
        </is>
      </c>
      <c r="F11" s="23" t="inlineStr">
        <is>
          <t>Event bookings source</t>
        </is>
      </c>
    </row>
    <row r="12">
      <c r="B12" s="9" t="inlineStr">
        <is>
          <t>AVG RATING</t>
        </is>
      </c>
      <c r="C12" s="65">
        <f>AVERAGE(C7:C11)</f>
        <v/>
      </c>
      <c r="D12" s="51">
        <f>SUM(D7:D11)</f>
        <v/>
      </c>
      <c r="E12" s="42" t="n"/>
      <c r="F12" s="42" t="n"/>
    </row>
  </sheetData>
  <mergeCells count="3">
    <mergeCell ref="A2:G2"/>
    <mergeCell ref="A1:G1"/>
    <mergeCell ref="B5:F5"/>
  </mergeCells>
  <conditionalFormatting sqref="C7:C11">
    <cfRule type="dataBar" priority="1">
      <dataBar showValue="1">
        <cfvo type="num" val="0"/>
        <cfvo type="num" val="5"/>
        <color rgb="00C9A86A"/>
      </dataBar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6" customWidth="1" min="4" max="4"/>
    <col width="30" customWidth="1" min="5" max="5"/>
  </cols>
  <sheetData>
    <row r="1" ht="46" customHeight="1">
      <c r="A1" s="1" t="inlineStr">
        <is>
          <t xml:space="preserve">  🛡  HEALTH &amp; SAFETY COMPLIANCE</t>
        </is>
      </c>
    </row>
    <row r="2" ht="22" customHeight="1">
      <c r="A2" s="2" t="inlineStr">
        <is>
          <t xml:space="preserve">  Inspection-ready every day — logs, cadence, status &amp; corrective notes.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Check</t>
        </is>
      </c>
      <c r="B4" s="9" t="inlineStr">
        <is>
          <t>Cadence</t>
        </is>
      </c>
      <c r="C4" s="9" t="inlineStr">
        <is>
          <t>Last Done</t>
        </is>
      </c>
      <c r="D4" s="9" t="inlineStr">
        <is>
          <t>Status</t>
        </is>
      </c>
      <c r="E4" s="9" t="inlineStr">
        <is>
          <t>Notes</t>
        </is>
      </c>
    </row>
    <row r="5">
      <c r="A5" s="33" t="inlineStr">
        <is>
          <t>Walk-in cooler temp (≤40°F)</t>
        </is>
      </c>
      <c r="B5" s="34" t="inlineStr">
        <is>
          <t>Daily</t>
        </is>
      </c>
      <c r="C5" s="56" t="n">
        <v>46214</v>
      </c>
      <c r="D5" s="34" t="inlineStr">
        <is>
          <t>Pass</t>
        </is>
      </c>
      <c r="E5" s="33" t="inlineStr">
        <is>
          <t>38°F logged AM &amp; PM</t>
        </is>
      </c>
    </row>
    <row r="6">
      <c r="A6" s="28" t="inlineStr">
        <is>
          <t>Freezer temp (≤0°F)</t>
        </is>
      </c>
      <c r="B6" s="29" t="inlineStr">
        <is>
          <t>Daily</t>
        </is>
      </c>
      <c r="C6" s="49" t="n">
        <v>46214</v>
      </c>
      <c r="D6" s="29" t="inlineStr">
        <is>
          <t>Pass</t>
        </is>
      </c>
      <c r="E6" s="28" t="inlineStr">
        <is>
          <t>-2°F</t>
        </is>
      </c>
    </row>
    <row r="7">
      <c r="A7" s="33" t="inlineStr">
        <is>
          <t>Line hot-hold (≥135°F)</t>
        </is>
      </c>
      <c r="B7" s="34" t="inlineStr">
        <is>
          <t>Daily</t>
        </is>
      </c>
      <c r="C7" s="56" t="n">
        <v>46214</v>
      </c>
      <c r="D7" s="34" t="inlineStr">
        <is>
          <t>Pass</t>
        </is>
      </c>
      <c r="E7" s="33" t="inlineStr">
        <is>
          <t>Checked each service</t>
        </is>
      </c>
    </row>
    <row r="8">
      <c r="A8" s="28" t="inlineStr">
        <is>
          <t>Handwash stations stocked</t>
        </is>
      </c>
      <c r="B8" s="29" t="inlineStr">
        <is>
          <t>Daily</t>
        </is>
      </c>
      <c r="C8" s="49" t="n">
        <v>46214</v>
      </c>
      <c r="D8" s="29" t="inlineStr">
        <is>
          <t>Pass</t>
        </is>
      </c>
      <c r="E8" s="28" t="inlineStr">
        <is>
          <t>Soap + towels</t>
        </is>
      </c>
    </row>
    <row r="9">
      <c r="A9" s="33" t="inlineStr">
        <is>
          <t>Sanitizer buckets (200-400ppm)</t>
        </is>
      </c>
      <c r="B9" s="34" t="inlineStr">
        <is>
          <t>Daily</t>
        </is>
      </c>
      <c r="C9" s="56" t="n">
        <v>46214</v>
      </c>
      <c r="D9" s="34" t="inlineStr">
        <is>
          <t>Action Needed</t>
        </is>
      </c>
      <c r="E9" s="33" t="inlineStr">
        <is>
          <t>Re-test PM bucket</t>
        </is>
      </c>
    </row>
    <row r="10">
      <c r="A10" s="28" t="inlineStr">
        <is>
          <t>Health inspection</t>
        </is>
      </c>
      <c r="B10" s="29" t="inlineStr">
        <is>
          <t>Annual</t>
        </is>
      </c>
      <c r="C10" s="49" t="n">
        <v>46094</v>
      </c>
      <c r="D10" s="29" t="inlineStr">
        <is>
          <t>Pass</t>
        </is>
      </c>
      <c r="E10" s="28" t="inlineStr">
        <is>
          <t>Score 96 — next in 8 mo</t>
        </is>
      </c>
    </row>
    <row r="11">
      <c r="A11" s="33" t="inlineStr">
        <is>
          <t>Fire suppression service</t>
        </is>
      </c>
      <c r="B11" s="34" t="inlineStr">
        <is>
          <t>Semi-annual</t>
        </is>
      </c>
      <c r="C11" s="56" t="n">
        <v>46144</v>
      </c>
      <c r="D11" s="34" t="inlineStr">
        <is>
          <t>Pass</t>
        </is>
      </c>
      <c r="E11" s="33" t="inlineStr">
        <is>
          <t>Ansul certified</t>
        </is>
      </c>
    </row>
    <row r="12">
      <c r="A12" s="28" t="inlineStr">
        <is>
          <t>Hood cleaning</t>
        </is>
      </c>
      <c r="B12" s="29" t="inlineStr">
        <is>
          <t>Quarterly</t>
        </is>
      </c>
      <c r="C12" s="49" t="n">
        <v>46174</v>
      </c>
      <c r="D12" s="29" t="inlineStr">
        <is>
          <t>Pass</t>
        </is>
      </c>
      <c r="E12" s="28" t="inlineStr">
        <is>
          <t>Next due in 2 mo</t>
        </is>
      </c>
    </row>
    <row r="13">
      <c r="A13" s="33" t="inlineStr">
        <is>
          <t>Pest control</t>
        </is>
      </c>
      <c r="B13" s="34" t="inlineStr">
        <is>
          <t>Monthly</t>
        </is>
      </c>
      <c r="C13" s="56" t="n">
        <v>46202</v>
      </c>
      <c r="D13" s="34" t="inlineStr">
        <is>
          <t>Pass</t>
        </is>
      </c>
      <c r="E13" s="33" t="inlineStr">
        <is>
          <t>No activity</t>
        </is>
      </c>
    </row>
    <row r="14">
      <c r="A14" s="28" t="inlineStr">
        <is>
          <t>Grease trap service</t>
        </is>
      </c>
      <c r="B14" s="29" t="inlineStr">
        <is>
          <t>Quarterly</t>
        </is>
      </c>
      <c r="C14" s="49" t="n">
        <v>46119</v>
      </c>
      <c r="D14" s="29" t="inlineStr">
        <is>
          <t>Action Needed</t>
        </is>
      </c>
      <c r="E14" s="28" t="inlineStr">
        <is>
          <t>Schedule this week</t>
        </is>
      </c>
    </row>
    <row r="15">
      <c r="A15" s="33" t="inlineStr">
        <is>
          <t>Allergen matrix current</t>
        </is>
      </c>
      <c r="B15" s="34" t="inlineStr">
        <is>
          <t>Menu change</t>
        </is>
      </c>
      <c r="C15" s="56" t="n">
        <v>46194</v>
      </c>
      <c r="D15" s="34" t="inlineStr">
        <is>
          <t>Pass</t>
        </is>
      </c>
      <c r="E15" s="33" t="inlineStr">
        <is>
          <t>Updated with new menu</t>
        </is>
      </c>
    </row>
    <row r="16">
      <c r="A16" s="28" t="inlineStr">
        <is>
          <t>Liquor license</t>
        </is>
      </c>
      <c r="B16" s="29" t="inlineStr">
        <is>
          <t>Annual</t>
        </is>
      </c>
      <c r="C16" s="49" t="n">
        <v>46014</v>
      </c>
      <c r="D16" s="29" t="inlineStr">
        <is>
          <t>Pass</t>
        </is>
      </c>
      <c r="E16" s="28" t="inlineStr">
        <is>
          <t>Renews in 5 mo</t>
        </is>
      </c>
    </row>
    <row r="17">
      <c r="A17" s="33" t="n"/>
      <c r="B17" s="34" t="n"/>
      <c r="C17" s="56" t="n"/>
      <c r="D17" s="34" t="n"/>
      <c r="E17" s="33" t="n"/>
    </row>
    <row r="18">
      <c r="A18" s="28" t="n"/>
      <c r="B18" s="29" t="n"/>
      <c r="C18" s="49" t="n"/>
      <c r="D18" s="29" t="n"/>
      <c r="E18" s="28" t="n"/>
    </row>
    <row r="19">
      <c r="A19" s="33" t="n"/>
      <c r="B19" s="34" t="n"/>
      <c r="C19" s="56" t="n"/>
      <c r="D19" s="34" t="n"/>
      <c r="E19" s="33" t="n"/>
    </row>
    <row r="20">
      <c r="A20" s="28" t="n"/>
      <c r="B20" s="29" t="n"/>
      <c r="C20" s="49" t="n"/>
      <c r="D20" s="29" t="n"/>
      <c r="E20" s="28" t="n"/>
    </row>
    <row r="21">
      <c r="A21" s="33" t="n"/>
      <c r="B21" s="34" t="n"/>
      <c r="C21" s="56" t="n"/>
      <c r="D21" s="34" t="n"/>
      <c r="E21" s="33" t="n"/>
    </row>
    <row r="22">
      <c r="A22" s="28" t="n"/>
      <c r="B22" s="29" t="n"/>
      <c r="C22" s="49" t="n"/>
      <c r="D22" s="29" t="n"/>
      <c r="E22" s="28" t="n"/>
    </row>
    <row r="23">
      <c r="A23" s="33" t="n"/>
      <c r="B23" s="34" t="n"/>
      <c r="C23" s="56" t="n"/>
      <c r="D23" s="34" t="n"/>
      <c r="E23" s="33" t="n"/>
    </row>
    <row r="24">
      <c r="A24" s="28" t="n"/>
      <c r="B24" s="29" t="n"/>
      <c r="C24" s="49" t="n"/>
      <c r="D24" s="29" t="n"/>
      <c r="E24" s="28" t="n"/>
    </row>
    <row r="25">
      <c r="A25" s="33" t="n"/>
      <c r="B25" s="34" t="n"/>
      <c r="C25" s="56" t="n"/>
      <c r="D25" s="34" t="n"/>
      <c r="E25" s="33" t="n"/>
    </row>
    <row r="26">
      <c r="A26" s="28" t="n"/>
      <c r="B26" s="29" t="n"/>
      <c r="C26" s="49" t="n"/>
      <c r="D26" s="29" t="n"/>
      <c r="E26" s="28" t="n"/>
    </row>
    <row r="27">
      <c r="A27" s="33" t="n"/>
      <c r="B27" s="34" t="n"/>
      <c r="C27" s="56" t="n"/>
      <c r="D27" s="34" t="n"/>
      <c r="E27" s="33" t="n"/>
    </row>
    <row r="28">
      <c r="A28" s="28" t="n"/>
      <c r="B28" s="29" t="n"/>
      <c r="C28" s="49" t="n"/>
      <c r="D28" s="29" t="n"/>
      <c r="E28" s="28" t="n"/>
    </row>
  </sheetData>
  <mergeCells count="2">
    <mergeCell ref="A2:E2"/>
    <mergeCell ref="A1:E1"/>
  </mergeCells>
  <conditionalFormatting sqref="D5:D28">
    <cfRule type="cellIs" priority="1" operator="equal" dxfId="1">
      <formula>"Pass"</formula>
    </cfRule>
    <cfRule type="cellIs" priority="2" operator="equal" dxfId="2">
      <formula>"Action Needed"</formula>
    </cfRule>
    <cfRule type="cellIs" priority="3" operator="equal" dxfId="3">
      <formula>"Overdue"</formula>
    </cfRule>
  </conditionalFormatting>
  <dataValidations count="1">
    <dataValidation sqref="D5:D28" showDropDown="0" showInputMessage="0" showErrorMessage="0" allowBlank="1" type="list">
      <formula1>=ComplyStatusList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4" customWidth="1" min="4" max="4"/>
    <col width="30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🧽  CLEANING &amp; MAINTENANCE</t>
        </is>
      </c>
    </row>
    <row r="2" ht="22" customHeight="1">
      <c r="A2" s="2" t="inlineStr">
        <is>
          <t xml:space="preserve">  Open and close like clockwork — side-work &amp; equipment upkeep, checked off.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OPENING CHECKLIST</t>
        </is>
      </c>
      <c r="E5" s="4" t="inlineStr">
        <is>
          <t>CLOSING &amp; EQUIPMENT</t>
        </is>
      </c>
    </row>
    <row r="6">
      <c r="B6" s="23" t="inlineStr">
        <is>
          <t>Unlock &amp; disarm</t>
        </is>
      </c>
      <c r="C6" s="24" t="inlineStr">
        <is>
          <t>Yes</t>
        </is>
      </c>
      <c r="E6" s="23" t="inlineStr">
        <is>
          <t>Break down &amp; clean line</t>
        </is>
      </c>
      <c r="F6" s="24" t="inlineStr">
        <is>
          <t>Yes</t>
        </is>
      </c>
    </row>
    <row r="7">
      <c r="B7" s="28" t="inlineStr">
        <is>
          <t>Turn on hood &amp; line</t>
        </is>
      </c>
      <c r="C7" s="29" t="inlineStr">
        <is>
          <t>Yes</t>
        </is>
      </c>
      <c r="E7" s="28" t="inlineStr">
        <is>
          <t>Wrap &amp; label all prep</t>
        </is>
      </c>
      <c r="F7" s="29" t="inlineStr">
        <is>
          <t>Yes</t>
        </is>
      </c>
    </row>
    <row r="8">
      <c r="B8" s="23" t="inlineStr">
        <is>
          <t>Temp-check coolers</t>
        </is>
      </c>
      <c r="C8" s="24" t="inlineStr">
        <is>
          <t>Yes</t>
        </is>
      </c>
      <c r="E8" s="23" t="inlineStr">
        <is>
          <t>Log waste</t>
        </is>
      </c>
      <c r="F8" s="24" t="inlineStr">
        <is>
          <t>Yes</t>
        </is>
      </c>
    </row>
    <row r="9">
      <c r="B9" s="28" t="inlineStr">
        <is>
          <t>Prep par check</t>
        </is>
      </c>
      <c r="C9" s="29" t="inlineStr">
        <is>
          <t>Yes</t>
        </is>
      </c>
      <c r="E9" s="28" t="inlineStr">
        <is>
          <t>Clean hood filters</t>
        </is>
      </c>
      <c r="F9" s="29" t="inlineStr">
        <is>
          <t>No</t>
        </is>
      </c>
    </row>
    <row r="10">
      <c r="B10" s="23" t="inlineStr">
        <is>
          <t>Sanitizer buckets set</t>
        </is>
      </c>
      <c r="C10" s="24" t="inlineStr">
        <is>
          <t>Yes</t>
        </is>
      </c>
      <c r="E10" s="23" t="inlineStr">
        <is>
          <t>Mop floors</t>
        </is>
      </c>
      <c r="F10" s="24" t="inlineStr">
        <is>
          <t>Yes</t>
        </is>
      </c>
    </row>
    <row r="11">
      <c r="B11" s="28" t="inlineStr">
        <is>
          <t>FOH tables &amp; menus</t>
        </is>
      </c>
      <c r="C11" s="29" t="inlineStr">
        <is>
          <t>Yes</t>
        </is>
      </c>
      <c r="E11" s="28" t="inlineStr">
        <is>
          <t>Trash &amp; recycling out</t>
        </is>
      </c>
      <c r="F11" s="29" t="inlineStr">
        <is>
          <t>Yes</t>
        </is>
      </c>
    </row>
    <row r="12">
      <c r="B12" s="23" t="inlineStr">
        <is>
          <t>POS &amp; float count</t>
        </is>
      </c>
      <c r="C12" s="24" t="inlineStr">
        <is>
          <t>Yes</t>
        </is>
      </c>
      <c r="E12" s="23" t="inlineStr">
        <is>
          <t>Count drawer &amp; deposit</t>
        </is>
      </c>
      <c r="F12" s="24" t="inlineStr">
        <is>
          <t>Yes</t>
        </is>
      </c>
    </row>
    <row r="13">
      <c r="B13" s="28" t="inlineStr">
        <is>
          <t>Restrooms stocked</t>
        </is>
      </c>
      <c r="C13" s="29" t="inlineStr">
        <is>
          <t>No</t>
        </is>
      </c>
      <c r="E13" s="28" t="inlineStr">
        <is>
          <t>Descale espresso machine</t>
        </is>
      </c>
      <c r="F13" s="29" t="inlineStr">
        <is>
          <t>No</t>
        </is>
      </c>
    </row>
    <row r="14">
      <c r="B14" s="23" t="inlineStr">
        <is>
          <t>Music &amp; lights</t>
        </is>
      </c>
      <c r="C14" s="24" t="inlineStr">
        <is>
          <t>Yes</t>
        </is>
      </c>
      <c r="E14" s="23" t="inlineStr">
        <is>
          <t>Set alarm &amp; lock</t>
        </is>
      </c>
      <c r="F14" s="24" t="inlineStr">
        <is>
          <t>Yes</t>
        </is>
      </c>
    </row>
    <row r="15">
      <c r="B15" s="28" t="inlineStr">
        <is>
          <t>Pre-shift meeting</t>
        </is>
      </c>
      <c r="C15" s="29" t="inlineStr">
        <is>
          <t>No</t>
        </is>
      </c>
      <c r="E15" s="28" t="inlineStr">
        <is>
          <t>Equipment issue log</t>
        </is>
      </c>
      <c r="F15" s="29" t="inlineStr">
        <is>
          <t>No</t>
        </is>
      </c>
    </row>
  </sheetData>
  <mergeCells count="4">
    <mergeCell ref="E5:F5"/>
    <mergeCell ref="B5:C5"/>
    <mergeCell ref="A2:G2"/>
    <mergeCell ref="A1:G1"/>
  </mergeCells>
  <conditionalFormatting sqref="C6:C15">
    <cfRule type="cellIs" priority="1" operator="equal" dxfId="1">
      <formula>"Yes"</formula>
    </cfRule>
    <cfRule type="cellIs" priority="2" operator="equal" dxfId="2">
      <formula>"No"</formula>
    </cfRule>
  </conditionalFormatting>
  <conditionalFormatting sqref="F6:F15">
    <cfRule type="cellIs" priority="3" operator="equal" dxfId="1">
      <formula>"Yes"</formula>
    </cfRule>
    <cfRule type="cellIs" priority="4" operator="equal" dxfId="2">
      <formula>"No"</formula>
    </cfRule>
  </conditionalFormatting>
  <dataValidations count="2">
    <dataValidation sqref="C6:C15" showDropDown="0" showInputMessage="0" showErrorMessage="0" allowBlank="1" type="list">
      <formula1>=YesNoList</formula1>
    </dataValidation>
    <dataValidation sqref="F6:F15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8" customWidth="1" min="4" max="4"/>
    <col width="10" customWidth="1" min="5" max="5"/>
    <col width="11" customWidth="1" min="6" max="6"/>
    <col width="18" customWidth="1" min="7" max="7"/>
    <col width="14" customWidth="1" min="8" max="8"/>
  </cols>
  <sheetData>
    <row r="1" ht="46" customHeight="1">
      <c r="A1" s="1" t="inlineStr">
        <is>
          <t xml:space="preserve">  🗑  WASTE &amp; LOSS TRACKER</t>
        </is>
      </c>
    </row>
    <row r="2" ht="22" customHeight="1">
      <c r="A2" s="2" t="inlineStr">
        <is>
          <t xml:space="preserve">  Plug the leaks — every dollar of waste logged by reason to protect food cost.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Date</t>
        </is>
      </c>
      <c r="B4" s="9" t="inlineStr">
        <is>
          <t>Item</t>
        </is>
      </c>
      <c r="C4" s="9" t="inlineStr">
        <is>
          <t>Category</t>
        </is>
      </c>
      <c r="D4" s="9" t="inlineStr">
        <is>
          <t>Qty</t>
        </is>
      </c>
      <c r="E4" s="9" t="inlineStr">
        <is>
          <t>Unit</t>
        </is>
      </c>
      <c r="F4" s="9" t="inlineStr">
        <is>
          <t>Cost</t>
        </is>
      </c>
      <c r="G4" s="9" t="inlineStr">
        <is>
          <t>Reason</t>
        </is>
      </c>
      <c r="H4" s="9" t="inlineStr">
        <is>
          <t>Type</t>
        </is>
      </c>
    </row>
    <row r="5">
      <c r="A5" s="56" t="n">
        <v>46208</v>
      </c>
      <c r="B5" s="33" t="inlineStr">
        <is>
          <t>Salmon Fillet</t>
        </is>
      </c>
      <c r="C5" s="34" t="inlineStr">
        <is>
          <t>Meat &amp; Seafood</t>
        </is>
      </c>
      <c r="D5" s="45" t="n">
        <v>3</v>
      </c>
      <c r="E5" s="34" t="inlineStr">
        <is>
          <t>lb</t>
        </is>
      </c>
      <c r="F5" s="63" t="n">
        <v>33</v>
      </c>
      <c r="G5" s="33" t="inlineStr">
        <is>
          <t>Over-portioned</t>
        </is>
      </c>
      <c r="H5" s="34" t="inlineStr">
        <is>
          <t>Spoilage</t>
        </is>
      </c>
    </row>
    <row r="6">
      <c r="A6" s="49" t="n">
        <v>46209</v>
      </c>
      <c r="B6" s="28" t="inlineStr">
        <is>
          <t>Mixed Greens</t>
        </is>
      </c>
      <c r="C6" s="29" t="inlineStr">
        <is>
          <t>Produce</t>
        </is>
      </c>
      <c r="D6" s="46" t="n">
        <v>1</v>
      </c>
      <c r="E6" s="29" t="inlineStr">
        <is>
          <t>case</t>
        </is>
      </c>
      <c r="F6" s="40" t="n">
        <v>28</v>
      </c>
      <c r="G6" s="28" t="inlineStr">
        <is>
          <t>Wilted</t>
        </is>
      </c>
      <c r="H6" s="29" t="inlineStr">
        <is>
          <t>Spoilage</t>
        </is>
      </c>
    </row>
    <row r="7">
      <c r="A7" s="56" t="n">
        <v>46210</v>
      </c>
      <c r="B7" s="33" t="inlineStr">
        <is>
          <t>Ribeye</t>
        </is>
      </c>
      <c r="C7" s="34" t="inlineStr">
        <is>
          <t>Meat &amp; Seafood</t>
        </is>
      </c>
      <c r="D7" s="45" t="n">
        <v>1</v>
      </c>
      <c r="E7" s="34" t="inlineStr">
        <is>
          <t>lb</t>
        </is>
      </c>
      <c r="F7" s="63" t="n">
        <v>17</v>
      </c>
      <c r="G7" s="33" t="inlineStr">
        <is>
          <t>Sent back</t>
        </is>
      </c>
      <c r="H7" s="34" t="inlineStr">
        <is>
          <t>Comp / error</t>
        </is>
      </c>
    </row>
    <row r="8">
      <c r="A8" s="49" t="n">
        <v>46211</v>
      </c>
      <c r="B8" s="28" t="inlineStr">
        <is>
          <t>Bread</t>
        </is>
      </c>
      <c r="C8" s="29" t="inlineStr">
        <is>
          <t>Dry Goods</t>
        </is>
      </c>
      <c r="D8" s="46" t="n">
        <v>12</v>
      </c>
      <c r="E8" s="29" t="inlineStr">
        <is>
          <t>each</t>
        </is>
      </c>
      <c r="F8" s="40" t="n">
        <v>9</v>
      </c>
      <c r="G8" s="28" t="inlineStr">
        <is>
          <t>Day-old</t>
        </is>
      </c>
      <c r="H8" s="29" t="inlineStr">
        <is>
          <t>Overproduction</t>
        </is>
      </c>
    </row>
    <row r="9">
      <c r="A9" s="56" t="n">
        <v>46212</v>
      </c>
      <c r="B9" s="33" t="inlineStr">
        <is>
          <t>Milk</t>
        </is>
      </c>
      <c r="C9" s="34" t="inlineStr">
        <is>
          <t>Dairy</t>
        </is>
      </c>
      <c r="D9" s="45" t="n">
        <v>1</v>
      </c>
      <c r="E9" s="34" t="inlineStr">
        <is>
          <t>gal</t>
        </is>
      </c>
      <c r="F9" s="63" t="n">
        <v>4</v>
      </c>
      <c r="G9" s="33" t="inlineStr">
        <is>
          <t>Expired</t>
        </is>
      </c>
      <c r="H9" s="34" t="inlineStr">
        <is>
          <t>Spoilage</t>
        </is>
      </c>
    </row>
    <row r="10">
      <c r="A10" s="49" t="n">
        <v>46213</v>
      </c>
      <c r="B10" s="28" t="inlineStr">
        <is>
          <t>House Red</t>
        </is>
      </c>
      <c r="C10" s="29" t="inlineStr">
        <is>
          <t>Bar / Liquor</t>
        </is>
      </c>
      <c r="D10" s="46" t="n">
        <v>1</v>
      </c>
      <c r="E10" s="29" t="inlineStr">
        <is>
          <t>bottle</t>
        </is>
      </c>
      <c r="F10" s="40" t="n">
        <v>9</v>
      </c>
      <c r="G10" s="28" t="inlineStr">
        <is>
          <t>Corked</t>
        </is>
      </c>
      <c r="H10" s="29" t="inlineStr">
        <is>
          <t>Quality</t>
        </is>
      </c>
    </row>
    <row r="11">
      <c r="A11" s="56" t="n"/>
      <c r="B11" s="33" t="n"/>
      <c r="C11" s="34" t="n"/>
      <c r="D11" s="45" t="n"/>
      <c r="E11" s="34" t="n"/>
      <c r="F11" s="63" t="n"/>
      <c r="G11" s="33" t="n"/>
      <c r="H11" s="34" t="n"/>
    </row>
    <row r="12">
      <c r="A12" s="49" t="n"/>
      <c r="B12" s="28" t="n"/>
      <c r="C12" s="29" t="n"/>
      <c r="D12" s="46" t="n"/>
      <c r="E12" s="29" t="n"/>
      <c r="F12" s="40" t="n"/>
      <c r="G12" s="28" t="n"/>
      <c r="H12" s="29" t="n"/>
    </row>
    <row r="13">
      <c r="A13" s="56" t="n"/>
      <c r="B13" s="33" t="n"/>
      <c r="C13" s="34" t="n"/>
      <c r="D13" s="45" t="n"/>
      <c r="E13" s="34" t="n"/>
      <c r="F13" s="63" t="n"/>
      <c r="G13" s="33" t="n"/>
      <c r="H13" s="34" t="n"/>
    </row>
    <row r="14">
      <c r="A14" s="49" t="n"/>
      <c r="B14" s="28" t="n"/>
      <c r="C14" s="29" t="n"/>
      <c r="D14" s="46" t="n"/>
      <c r="E14" s="29" t="n"/>
      <c r="F14" s="40" t="n"/>
      <c r="G14" s="28" t="n"/>
      <c r="H14" s="29" t="n"/>
    </row>
    <row r="15">
      <c r="A15" s="56" t="n"/>
      <c r="B15" s="33" t="n"/>
      <c r="C15" s="34" t="n"/>
      <c r="D15" s="45" t="n"/>
      <c r="E15" s="34" t="n"/>
      <c r="F15" s="63" t="n"/>
      <c r="G15" s="33" t="n"/>
      <c r="H15" s="34" t="n"/>
    </row>
    <row r="16">
      <c r="A16" s="49" t="n"/>
      <c r="B16" s="28" t="n"/>
      <c r="C16" s="29" t="n"/>
      <c r="D16" s="46" t="n"/>
      <c r="E16" s="29" t="n"/>
      <c r="F16" s="40" t="n"/>
      <c r="G16" s="28" t="n"/>
      <c r="H16" s="29" t="n"/>
    </row>
    <row r="17">
      <c r="A17" s="56" t="n"/>
      <c r="B17" s="33" t="n"/>
      <c r="C17" s="34" t="n"/>
      <c r="D17" s="45" t="n"/>
      <c r="E17" s="34" t="n"/>
      <c r="F17" s="63" t="n"/>
      <c r="G17" s="33" t="n"/>
      <c r="H17" s="34" t="n"/>
    </row>
    <row r="18">
      <c r="A18" s="49" t="n"/>
      <c r="B18" s="28" t="n"/>
      <c r="C18" s="29" t="n"/>
      <c r="D18" s="46" t="n"/>
      <c r="E18" s="29" t="n"/>
      <c r="F18" s="40" t="n"/>
      <c r="G18" s="28" t="n"/>
      <c r="H18" s="29" t="n"/>
    </row>
    <row r="19">
      <c r="A19" s="56" t="n"/>
      <c r="B19" s="33" t="n"/>
      <c r="C19" s="34" t="n"/>
      <c r="D19" s="45" t="n"/>
      <c r="E19" s="34" t="n"/>
      <c r="F19" s="63" t="n"/>
      <c r="G19" s="33" t="n"/>
      <c r="H19" s="34" t="n"/>
    </row>
    <row r="20">
      <c r="A20" s="49" t="n"/>
      <c r="B20" s="28" t="n"/>
      <c r="C20" s="29" t="n"/>
      <c r="D20" s="46" t="n"/>
      <c r="E20" s="29" t="n"/>
      <c r="F20" s="40" t="n"/>
      <c r="G20" s="28" t="n"/>
      <c r="H20" s="29" t="n"/>
    </row>
    <row r="21">
      <c r="A21" s="56" t="n"/>
      <c r="B21" s="33" t="n"/>
      <c r="C21" s="34" t="n"/>
      <c r="D21" s="45" t="n"/>
      <c r="E21" s="34" t="n"/>
      <c r="F21" s="63" t="n"/>
      <c r="G21" s="33" t="n"/>
      <c r="H21" s="34" t="n"/>
    </row>
    <row r="22">
      <c r="A22" s="49" t="n"/>
      <c r="B22" s="28" t="n"/>
      <c r="C22" s="29" t="n"/>
      <c r="D22" s="46" t="n"/>
      <c r="E22" s="29" t="n"/>
      <c r="F22" s="40" t="n"/>
      <c r="G22" s="28" t="n"/>
      <c r="H22" s="29" t="n"/>
    </row>
    <row r="23">
      <c r="A23" s="56" t="n"/>
      <c r="B23" s="33" t="n"/>
      <c r="C23" s="34" t="n"/>
      <c r="D23" s="45" t="n"/>
      <c r="E23" s="34" t="n"/>
      <c r="F23" s="63" t="n"/>
      <c r="G23" s="33" t="n"/>
      <c r="H23" s="34" t="n"/>
    </row>
    <row r="24">
      <c r="A24" s="49" t="n"/>
      <c r="B24" s="28" t="n"/>
      <c r="C24" s="29" t="n"/>
      <c r="D24" s="46" t="n"/>
      <c r="E24" s="29" t="n"/>
      <c r="F24" s="40" t="n"/>
      <c r="G24" s="28" t="n"/>
      <c r="H24" s="29" t="n"/>
    </row>
    <row r="25">
      <c r="A25" s="56" t="n"/>
      <c r="B25" s="33" t="n"/>
      <c r="C25" s="34" t="n"/>
      <c r="D25" s="45" t="n"/>
      <c r="E25" s="34" t="n"/>
      <c r="F25" s="63" t="n"/>
      <c r="G25" s="33" t="n"/>
      <c r="H25" s="34" t="n"/>
    </row>
    <row r="26">
      <c r="A26" s="49" t="n"/>
      <c r="B26" s="28" t="n"/>
      <c r="C26" s="29" t="n"/>
      <c r="D26" s="46" t="n"/>
      <c r="E26" s="29" t="n"/>
      <c r="F26" s="40" t="n"/>
      <c r="G26" s="28" t="n"/>
      <c r="H26" s="29" t="n"/>
    </row>
    <row r="27">
      <c r="A27" s="56" t="n"/>
      <c r="B27" s="33" t="n"/>
      <c r="C27" s="34" t="n"/>
      <c r="D27" s="45" t="n"/>
      <c r="E27" s="34" t="n"/>
      <c r="F27" s="63" t="n"/>
      <c r="G27" s="33" t="n"/>
      <c r="H27" s="34" t="n"/>
    </row>
    <row r="28">
      <c r="A28" s="49" t="n"/>
      <c r="B28" s="28" t="n"/>
      <c r="C28" s="29" t="n"/>
      <c r="D28" s="46" t="n"/>
      <c r="E28" s="29" t="n"/>
      <c r="F28" s="40" t="n"/>
      <c r="G28" s="28" t="n"/>
      <c r="H28" s="29" t="n"/>
    </row>
    <row r="29">
      <c r="A29" s="56" t="n"/>
      <c r="B29" s="33" t="n"/>
      <c r="C29" s="34" t="n"/>
      <c r="D29" s="45" t="n"/>
      <c r="E29" s="34" t="n"/>
      <c r="F29" s="63" t="n"/>
      <c r="G29" s="33" t="n"/>
      <c r="H29" s="34" t="n"/>
    </row>
    <row r="30">
      <c r="A30" s="49" t="n"/>
      <c r="B30" s="28" t="n"/>
      <c r="C30" s="29" t="n"/>
      <c r="D30" s="46" t="n"/>
      <c r="E30" s="29" t="n"/>
      <c r="F30" s="40" t="n"/>
      <c r="G30" s="28" t="n"/>
      <c r="H30" s="29" t="n"/>
    </row>
    <row r="31">
      <c r="A31" s="56" t="n"/>
      <c r="B31" s="33" t="n"/>
      <c r="C31" s="34" t="n"/>
      <c r="D31" s="45" t="n"/>
      <c r="E31" s="34" t="n"/>
      <c r="F31" s="63" t="n"/>
      <c r="G31" s="33" t="n"/>
      <c r="H31" s="34" t="n"/>
    </row>
    <row r="32">
      <c r="A32" s="49" t="n"/>
      <c r="B32" s="28" t="n"/>
      <c r="C32" s="29" t="n"/>
      <c r="D32" s="46" t="n"/>
      <c r="E32" s="29" t="n"/>
      <c r="F32" s="40" t="n"/>
      <c r="G32" s="28" t="n"/>
      <c r="H32" s="29" t="n"/>
    </row>
    <row r="33">
      <c r="A33" s="56" t="n"/>
      <c r="B33" s="33" t="n"/>
      <c r="C33" s="34" t="n"/>
      <c r="D33" s="45" t="n"/>
      <c r="E33" s="34" t="n"/>
      <c r="F33" s="63" t="n"/>
      <c r="G33" s="33" t="n"/>
      <c r="H33" s="34" t="n"/>
    </row>
    <row r="34">
      <c r="A34" s="49" t="n"/>
      <c r="B34" s="28" t="n"/>
      <c r="C34" s="29" t="n"/>
      <c r="D34" s="46" t="n"/>
      <c r="E34" s="29" t="n"/>
      <c r="F34" s="40" t="n"/>
      <c r="G34" s="28" t="n"/>
      <c r="H34" s="29" t="n"/>
    </row>
    <row r="35">
      <c r="A35" s="9" t="inlineStr">
        <is>
          <t>TOTAL WASTE</t>
        </is>
      </c>
      <c r="F35" s="41">
        <f>SUM(F5:F34)</f>
        <v/>
      </c>
    </row>
  </sheetData>
  <mergeCells count="2">
    <mergeCell ref="A2:H2"/>
    <mergeCell ref="A1:H1"/>
  </mergeCells>
  <conditionalFormatting sqref="F5:F34">
    <cfRule type="dataBar" priority="1">
      <dataBar showValue="1">
        <cfvo type="num" val="0"/>
        <cfvo type="num" val="40"/>
        <color rgb="00C94C4C"/>
      </dataBar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2" customWidth="1" min="5" max="5"/>
    <col width="13" customWidth="1" min="6" max="6"/>
    <col width="12" customWidth="1" min="7" max="7"/>
  </cols>
  <sheetData>
    <row r="1" ht="46" customHeight="1">
      <c r="A1" s="1" t="inlineStr">
        <is>
          <t xml:space="preserve">  💳  VENDOR PAYMENTS (AP)</t>
        </is>
      </c>
    </row>
    <row r="2" ht="22" customHeight="1">
      <c r="A2" s="2" t="inlineStr">
        <is>
          <t xml:space="preserve">  Never miss a due date — invoices, amounts, terms &amp; payment status.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Vendor</t>
        </is>
      </c>
      <c r="B4" s="9" t="inlineStr">
        <is>
          <t>Invoice</t>
        </is>
      </c>
      <c r="C4" s="9" t="inlineStr">
        <is>
          <t>Date</t>
        </is>
      </c>
      <c r="D4" s="9" t="inlineStr">
        <is>
          <t>Due</t>
        </is>
      </c>
      <c r="E4" s="9" t="inlineStr">
        <is>
          <t>Amount</t>
        </is>
      </c>
      <c r="F4" s="9" t="inlineStr">
        <is>
          <t>Status</t>
        </is>
      </c>
      <c r="G4" s="9" t="inlineStr">
        <is>
          <t>Terms</t>
        </is>
      </c>
    </row>
    <row r="5">
      <c r="A5" s="34" t="inlineStr">
        <is>
          <t>Prime Cuts Co.</t>
        </is>
      </c>
      <c r="B5" s="34" t="inlineStr">
        <is>
          <t>INV-8841</t>
        </is>
      </c>
      <c r="C5" s="56" t="n">
        <v>46204</v>
      </c>
      <c r="D5" s="56" t="n">
        <v>46218</v>
      </c>
      <c r="E5" s="63" t="n">
        <v>2860</v>
      </c>
      <c r="F5" s="34" t="inlineStr">
        <is>
          <t>Due</t>
        </is>
      </c>
      <c r="G5" s="34" t="inlineStr">
        <is>
          <t>Net 14</t>
        </is>
      </c>
    </row>
    <row r="6">
      <c r="A6" s="29" t="inlineStr">
        <is>
          <t>Harbor Fish</t>
        </is>
      </c>
      <c r="B6" s="29" t="inlineStr">
        <is>
          <t>INV-2207</t>
        </is>
      </c>
      <c r="C6" s="49" t="n">
        <v>46210</v>
      </c>
      <c r="D6" s="49" t="n">
        <v>46217</v>
      </c>
      <c r="E6" s="40" t="n">
        <v>1240</v>
      </c>
      <c r="F6" s="29" t="inlineStr">
        <is>
          <t>Due</t>
        </is>
      </c>
      <c r="G6" s="29" t="inlineStr">
        <is>
          <t>Net 7</t>
        </is>
      </c>
    </row>
    <row r="7">
      <c r="A7" s="34" t="inlineStr">
        <is>
          <t>Green Valley</t>
        </is>
      </c>
      <c r="B7" s="34" t="inlineStr">
        <is>
          <t>INV-5590</t>
        </is>
      </c>
      <c r="C7" s="56" t="n">
        <v>46202</v>
      </c>
      <c r="D7" s="56" t="n">
        <v>46216</v>
      </c>
      <c r="E7" s="63" t="n">
        <v>980</v>
      </c>
      <c r="F7" s="34" t="inlineStr">
        <is>
          <t>Due</t>
        </is>
      </c>
      <c r="G7" s="34" t="inlineStr">
        <is>
          <t>Net 14</t>
        </is>
      </c>
    </row>
    <row r="8">
      <c r="A8" s="29" t="inlineStr">
        <is>
          <t>US Foods</t>
        </is>
      </c>
      <c r="B8" s="29" t="inlineStr">
        <is>
          <t>INV-7781</t>
        </is>
      </c>
      <c r="C8" s="49" t="n">
        <v>46196</v>
      </c>
      <c r="D8" s="49" t="n">
        <v>46217</v>
      </c>
      <c r="E8" s="40" t="n">
        <v>3420</v>
      </c>
      <c r="F8" s="29" t="inlineStr">
        <is>
          <t>Due</t>
        </is>
      </c>
      <c r="G8" s="29" t="inlineStr">
        <is>
          <t>Net 21</t>
        </is>
      </c>
    </row>
    <row r="9">
      <c r="A9" s="34" t="inlineStr">
        <is>
          <t>Vintners Direct</t>
        </is>
      </c>
      <c r="B9" s="34" t="inlineStr">
        <is>
          <t>INV-3320</t>
        </is>
      </c>
      <c r="C9" s="56" t="n">
        <v>46189</v>
      </c>
      <c r="D9" s="56" t="n">
        <v>46219</v>
      </c>
      <c r="E9" s="63" t="n">
        <v>2100</v>
      </c>
      <c r="F9" s="34" t="inlineStr">
        <is>
          <t>Scheduled</t>
        </is>
      </c>
      <c r="G9" s="34" t="inlineStr">
        <is>
          <t>Net 30</t>
        </is>
      </c>
    </row>
    <row r="10">
      <c r="A10" s="29" t="inlineStr">
        <is>
          <t>City Beverage</t>
        </is>
      </c>
      <c r="B10" s="29" t="inlineStr">
        <is>
          <t>INV-1188</t>
        </is>
      </c>
      <c r="C10" s="49" t="n">
        <v>46212</v>
      </c>
      <c r="D10" s="49" t="n">
        <v>46212</v>
      </c>
      <c r="E10" s="40" t="n">
        <v>640</v>
      </c>
      <c r="F10" s="29" t="inlineStr">
        <is>
          <t>Paid</t>
        </is>
      </c>
      <c r="G10" s="29" t="inlineStr">
        <is>
          <t>COD</t>
        </is>
      </c>
    </row>
    <row r="11">
      <c r="A11" s="34" t="inlineStr">
        <is>
          <t>Bulk Pantry</t>
        </is>
      </c>
      <c r="B11" s="34" t="inlineStr">
        <is>
          <t>INV-4471</t>
        </is>
      </c>
      <c r="C11" s="56" t="n">
        <v>46194</v>
      </c>
      <c r="D11" s="56" t="n">
        <v>46213</v>
      </c>
      <c r="E11" s="63" t="n">
        <v>720</v>
      </c>
      <c r="F11" s="34" t="inlineStr">
        <is>
          <t>Overdue</t>
        </is>
      </c>
      <c r="G11" s="34" t="inlineStr">
        <is>
          <t>Net 14</t>
        </is>
      </c>
    </row>
    <row r="12">
      <c r="A12" s="29" t="inlineStr">
        <is>
          <t>RestaurantDepot</t>
        </is>
      </c>
      <c r="B12" s="29" t="inlineStr">
        <is>
          <t>INV-9002</t>
        </is>
      </c>
      <c r="C12" s="49" t="n">
        <v>46213</v>
      </c>
      <c r="D12" s="49" t="n">
        <v>46213</v>
      </c>
      <c r="E12" s="40" t="n">
        <v>310</v>
      </c>
      <c r="F12" s="29" t="inlineStr">
        <is>
          <t>Paid</t>
        </is>
      </c>
      <c r="G12" s="29" t="inlineStr">
        <is>
          <t>COD</t>
        </is>
      </c>
    </row>
    <row r="13">
      <c r="A13" s="34" t="n"/>
      <c r="B13" s="34" t="n"/>
      <c r="C13" s="56" t="n"/>
      <c r="D13" s="56" t="n"/>
      <c r="E13" s="63" t="n"/>
      <c r="F13" s="34" t="n"/>
      <c r="G13" s="34" t="n"/>
    </row>
    <row r="14">
      <c r="A14" s="29" t="n"/>
      <c r="B14" s="29" t="n"/>
      <c r="C14" s="49" t="n"/>
      <c r="D14" s="49" t="n"/>
      <c r="E14" s="40" t="n"/>
      <c r="F14" s="29" t="n"/>
      <c r="G14" s="29" t="n"/>
    </row>
    <row r="15">
      <c r="A15" s="34" t="n"/>
      <c r="B15" s="34" t="n"/>
      <c r="C15" s="56" t="n"/>
      <c r="D15" s="56" t="n"/>
      <c r="E15" s="63" t="n"/>
      <c r="F15" s="34" t="n"/>
      <c r="G15" s="34" t="n"/>
    </row>
    <row r="16">
      <c r="A16" s="29" t="n"/>
      <c r="B16" s="29" t="n"/>
      <c r="C16" s="49" t="n"/>
      <c r="D16" s="49" t="n"/>
      <c r="E16" s="40" t="n"/>
      <c r="F16" s="29" t="n"/>
      <c r="G16" s="29" t="n"/>
    </row>
    <row r="17">
      <c r="A17" s="34" t="n"/>
      <c r="B17" s="34" t="n"/>
      <c r="C17" s="56" t="n"/>
      <c r="D17" s="56" t="n"/>
      <c r="E17" s="63" t="n"/>
      <c r="F17" s="34" t="n"/>
      <c r="G17" s="34" t="n"/>
    </row>
    <row r="18">
      <c r="A18" s="29" t="n"/>
      <c r="B18" s="29" t="n"/>
      <c r="C18" s="49" t="n"/>
      <c r="D18" s="49" t="n"/>
      <c r="E18" s="40" t="n"/>
      <c r="F18" s="29" t="n"/>
      <c r="G18" s="29" t="n"/>
    </row>
    <row r="19">
      <c r="A19" s="34" t="n"/>
      <c r="B19" s="34" t="n"/>
      <c r="C19" s="56" t="n"/>
      <c r="D19" s="56" t="n"/>
      <c r="E19" s="63" t="n"/>
      <c r="F19" s="34" t="n"/>
      <c r="G19" s="34" t="n"/>
    </row>
    <row r="20">
      <c r="A20" s="29" t="n"/>
      <c r="B20" s="29" t="n"/>
      <c r="C20" s="49" t="n"/>
      <c r="D20" s="49" t="n"/>
      <c r="E20" s="40" t="n"/>
      <c r="F20" s="29" t="n"/>
      <c r="G20" s="29" t="n"/>
    </row>
    <row r="21">
      <c r="A21" s="34" t="n"/>
      <c r="B21" s="34" t="n"/>
      <c r="C21" s="56" t="n"/>
      <c r="D21" s="56" t="n"/>
      <c r="E21" s="63" t="n"/>
      <c r="F21" s="34" t="n"/>
      <c r="G21" s="34" t="n"/>
    </row>
    <row r="22">
      <c r="A22" s="29" t="n"/>
      <c r="B22" s="29" t="n"/>
      <c r="C22" s="49" t="n"/>
      <c r="D22" s="49" t="n"/>
      <c r="E22" s="40" t="n"/>
      <c r="F22" s="29" t="n"/>
      <c r="G22" s="29" t="n"/>
    </row>
    <row r="23">
      <c r="A23" s="34" t="n"/>
      <c r="B23" s="34" t="n"/>
      <c r="C23" s="56" t="n"/>
      <c r="D23" s="56" t="n"/>
      <c r="E23" s="63" t="n"/>
      <c r="F23" s="34" t="n"/>
      <c r="G23" s="34" t="n"/>
    </row>
    <row r="24">
      <c r="A24" s="29" t="n"/>
      <c r="B24" s="29" t="n"/>
      <c r="C24" s="49" t="n"/>
      <c r="D24" s="49" t="n"/>
      <c r="E24" s="40" t="n"/>
      <c r="F24" s="29" t="n"/>
      <c r="G24" s="29" t="n"/>
    </row>
    <row r="25">
      <c r="A25" s="34" t="n"/>
      <c r="B25" s="34" t="n"/>
      <c r="C25" s="56" t="n"/>
      <c r="D25" s="56" t="n"/>
      <c r="E25" s="63" t="n"/>
      <c r="F25" s="34" t="n"/>
      <c r="G25" s="34" t="n"/>
    </row>
    <row r="26">
      <c r="A26" s="29" t="n"/>
      <c r="B26" s="29" t="n"/>
      <c r="C26" s="49" t="n"/>
      <c r="D26" s="49" t="n"/>
      <c r="E26" s="40" t="n"/>
      <c r="F26" s="29" t="n"/>
      <c r="G26" s="29" t="n"/>
    </row>
    <row r="27">
      <c r="A27" s="34" t="n"/>
      <c r="B27" s="34" t="n"/>
      <c r="C27" s="56" t="n"/>
      <c r="D27" s="56" t="n"/>
      <c r="E27" s="63" t="n"/>
      <c r="F27" s="34" t="n"/>
      <c r="G27" s="34" t="n"/>
    </row>
    <row r="28">
      <c r="A28" s="29" t="n"/>
      <c r="B28" s="29" t="n"/>
      <c r="C28" s="49" t="n"/>
      <c r="D28" s="49" t="n"/>
      <c r="E28" s="40" t="n"/>
      <c r="F28" s="29" t="n"/>
      <c r="G28" s="29" t="n"/>
    </row>
    <row r="29">
      <c r="A29" s="9" t="inlineStr">
        <is>
          <t>TOTAL AP</t>
        </is>
      </c>
      <c r="E29" s="41">
        <f>SUM(E5:E28)</f>
        <v/>
      </c>
    </row>
  </sheetData>
  <mergeCells count="2">
    <mergeCell ref="A2:G2"/>
    <mergeCell ref="A1:G1"/>
  </mergeCells>
  <conditionalFormatting sqref="F5:F28">
    <cfRule type="cellIs" priority="1" operator="equal" dxfId="1">
      <formula>"Paid"</formula>
    </cfRule>
    <cfRule type="cellIs" priority="2" operator="equal" dxfId="2">
      <formula>"Due"</formula>
    </cfRule>
    <cfRule type="cellIs" priority="3" operator="equal" dxfId="3">
      <formula>"Overdue"</formula>
    </cfRule>
    <cfRule type="cellIs" priority="4" operator="equal" dxfId="5">
      <formula>"Scheduled"</formula>
    </cfRule>
  </conditionalFormatting>
  <dataValidations count="1">
    <dataValidation sqref="F5:F28" showDropDown="0" showInputMessage="0" showErrorMessage="0" allowBlank="1" type="list">
      <formula1>=PayStatusList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13" customWidth="1" min="4" max="4"/>
    <col width="14" customWidth="1" min="5" max="5"/>
    <col width="22" customWidth="1" min="6" max="6"/>
  </cols>
  <sheetData>
    <row r="1" ht="46" customHeight="1">
      <c r="A1" s="1" t="inlineStr">
        <is>
          <t xml:space="preserve">  🎓  TRAINING &amp; CERTIFICATIONS</t>
        </is>
      </c>
    </row>
    <row r="2" ht="22" customHeight="1">
      <c r="A2" s="2" t="inlineStr">
        <is>
          <t xml:space="preserve">  Keep everyone certified — courses, expiries &amp; renewal alerts.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Who</t>
        </is>
      </c>
      <c r="B4" s="9" t="inlineStr">
        <is>
          <t>Course / Cert</t>
        </is>
      </c>
      <c r="C4" s="9" t="inlineStr">
        <is>
          <t>Completed</t>
        </is>
      </c>
      <c r="D4" s="9" t="inlineStr">
        <is>
          <t>Expires</t>
        </is>
      </c>
      <c r="E4" s="9" t="inlineStr">
        <is>
          <t>Status</t>
        </is>
      </c>
      <c r="F4" s="9" t="inlineStr">
        <is>
          <t>Action</t>
        </is>
      </c>
    </row>
    <row r="5">
      <c r="A5" s="34" t="inlineStr">
        <is>
          <t>Marco Ellis</t>
        </is>
      </c>
      <c r="B5" s="33" t="inlineStr">
        <is>
          <t>ServSafe Manager</t>
        </is>
      </c>
      <c r="C5" s="56" t="n">
        <v>45814</v>
      </c>
      <c r="D5" s="56" t="n">
        <v>46914</v>
      </c>
      <c r="E5" s="34" t="inlineStr">
        <is>
          <t>Current</t>
        </is>
      </c>
      <c r="F5" s="33" t="inlineStr">
        <is>
          <t>Renew online</t>
        </is>
      </c>
    </row>
    <row r="6">
      <c r="A6" s="29" t="inlineStr">
        <is>
          <t>Priya Shah</t>
        </is>
      </c>
      <c r="B6" s="28" t="inlineStr">
        <is>
          <t>ServSafe Food Handler</t>
        </is>
      </c>
      <c r="C6" s="49" t="n">
        <v>45914</v>
      </c>
      <c r="D6" s="49" t="n">
        <v>46279</v>
      </c>
      <c r="E6" s="29" t="inlineStr">
        <is>
          <t>Renew Soon</t>
        </is>
      </c>
      <c r="F6" s="28" t="inlineStr">
        <is>
          <t>Book class</t>
        </is>
      </c>
    </row>
    <row r="7">
      <c r="A7" s="34" t="inlineStr">
        <is>
          <t>Diego Ramos</t>
        </is>
      </c>
      <c r="B7" s="33" t="inlineStr">
        <is>
          <t>Food Handler</t>
        </is>
      </c>
      <c r="C7" s="56" t="n">
        <v>46014</v>
      </c>
      <c r="D7" s="56" t="n">
        <v>46379</v>
      </c>
      <c r="E7" s="34" t="inlineStr">
        <is>
          <t>Current</t>
        </is>
      </c>
      <c r="F7" s="33" t="inlineStr">
        <is>
          <t>—</t>
        </is>
      </c>
    </row>
    <row r="8">
      <c r="A8" s="29" t="inlineStr">
        <is>
          <t>Nora Bishop</t>
        </is>
      </c>
      <c r="B8" s="28" t="inlineStr">
        <is>
          <t>Alcohol Service</t>
        </is>
      </c>
      <c r="C8" s="49" t="n">
        <v>45714</v>
      </c>
      <c r="D8" s="49" t="n">
        <v>46234</v>
      </c>
      <c r="E8" s="29" t="inlineStr">
        <is>
          <t>Renew Soon</t>
        </is>
      </c>
      <c r="F8" s="28" t="inlineStr">
        <is>
          <t>Expiring — schedule</t>
        </is>
      </c>
    </row>
    <row r="9">
      <c r="A9" s="34" t="inlineStr">
        <is>
          <t>Ivy Chen</t>
        </is>
      </c>
      <c r="B9" s="33" t="inlineStr">
        <is>
          <t>Alcohol Service</t>
        </is>
      </c>
      <c r="C9" s="56" t="n">
        <v>46064</v>
      </c>
      <c r="D9" s="56" t="n">
        <v>46429</v>
      </c>
      <c r="E9" s="34" t="inlineStr">
        <is>
          <t>Current</t>
        </is>
      </c>
      <c r="F9" s="33" t="inlineStr">
        <is>
          <t>—</t>
        </is>
      </c>
    </row>
    <row r="10">
      <c r="A10" s="29" t="inlineStr">
        <is>
          <t>All FOH</t>
        </is>
      </c>
      <c r="B10" s="28" t="inlineStr">
        <is>
          <t>POS &amp; Upselling</t>
        </is>
      </c>
      <c r="C10" s="49" t="n">
        <v>46184</v>
      </c>
      <c r="D10" s="49" t="n">
        <v>46364</v>
      </c>
      <c r="E10" s="29" t="inlineStr">
        <is>
          <t>Current</t>
        </is>
      </c>
      <c r="F10" s="28" t="inlineStr">
        <is>
          <t>Quarterly refresher</t>
        </is>
      </c>
    </row>
    <row r="11">
      <c r="A11" s="34" t="inlineStr">
        <is>
          <t>All Kitchen</t>
        </is>
      </c>
      <c r="B11" s="33" t="inlineStr">
        <is>
          <t>Knife Skills &amp; Safety</t>
        </is>
      </c>
      <c r="C11" s="56" t="n">
        <v>46154</v>
      </c>
      <c r="D11" s="56" t="n">
        <v>46334</v>
      </c>
      <c r="E11" s="34" t="inlineStr">
        <is>
          <t>Current</t>
        </is>
      </c>
      <c r="F11" s="33" t="inlineStr">
        <is>
          <t>New hires pending</t>
        </is>
      </c>
    </row>
    <row r="12">
      <c r="A12" s="29" t="inlineStr">
        <is>
          <t>Owen Park</t>
        </is>
      </c>
      <c r="B12" s="28" t="inlineStr">
        <is>
          <t>Food Handler</t>
        </is>
      </c>
      <c r="C12" s="49" t="n"/>
      <c r="D12" s="49" t="n">
        <v>46228</v>
      </c>
      <c r="E12" s="29" t="inlineStr">
        <is>
          <t>Overdue</t>
        </is>
      </c>
      <c r="F12" s="28" t="inlineStr">
        <is>
          <t>New hire — must complete</t>
        </is>
      </c>
    </row>
    <row r="13">
      <c r="A13" s="34" t="n"/>
      <c r="B13" s="33" t="n"/>
      <c r="C13" s="56" t="n"/>
      <c r="D13" s="56" t="n"/>
      <c r="E13" s="34" t="n"/>
      <c r="F13" s="33" t="n"/>
    </row>
    <row r="14">
      <c r="A14" s="29" t="n"/>
      <c r="B14" s="28" t="n"/>
      <c r="C14" s="49" t="n"/>
      <c r="D14" s="49" t="n"/>
      <c r="E14" s="29" t="n"/>
      <c r="F14" s="28" t="n"/>
    </row>
    <row r="15">
      <c r="A15" s="34" t="n"/>
      <c r="B15" s="33" t="n"/>
      <c r="C15" s="56" t="n"/>
      <c r="D15" s="56" t="n"/>
      <c r="E15" s="34" t="n"/>
      <c r="F15" s="33" t="n"/>
    </row>
    <row r="16">
      <c r="A16" s="29" t="n"/>
      <c r="B16" s="28" t="n"/>
      <c r="C16" s="49" t="n"/>
      <c r="D16" s="49" t="n"/>
      <c r="E16" s="29" t="n"/>
      <c r="F16" s="28" t="n"/>
    </row>
    <row r="17">
      <c r="A17" s="34" t="n"/>
      <c r="B17" s="33" t="n"/>
      <c r="C17" s="56" t="n"/>
      <c r="D17" s="56" t="n"/>
      <c r="E17" s="34" t="n"/>
      <c r="F17" s="33" t="n"/>
    </row>
    <row r="18">
      <c r="A18" s="29" t="n"/>
      <c r="B18" s="28" t="n"/>
      <c r="C18" s="49" t="n"/>
      <c r="D18" s="49" t="n"/>
      <c r="E18" s="29" t="n"/>
      <c r="F18" s="28" t="n"/>
    </row>
    <row r="19">
      <c r="A19" s="34" t="n"/>
      <c r="B19" s="33" t="n"/>
      <c r="C19" s="56" t="n"/>
      <c r="D19" s="56" t="n"/>
      <c r="E19" s="34" t="n"/>
      <c r="F19" s="33" t="n"/>
    </row>
    <row r="20">
      <c r="A20" s="29" t="n"/>
      <c r="B20" s="28" t="n"/>
      <c r="C20" s="49" t="n"/>
      <c r="D20" s="49" t="n"/>
      <c r="E20" s="29" t="n"/>
      <c r="F20" s="28" t="n"/>
    </row>
    <row r="21">
      <c r="A21" s="34" t="n"/>
      <c r="B21" s="33" t="n"/>
      <c r="C21" s="56" t="n"/>
      <c r="D21" s="56" t="n"/>
      <c r="E21" s="34" t="n"/>
      <c r="F21" s="33" t="n"/>
    </row>
    <row r="22">
      <c r="A22" s="29" t="n"/>
      <c r="B22" s="28" t="n"/>
      <c r="C22" s="49" t="n"/>
      <c r="D22" s="49" t="n"/>
      <c r="E22" s="29" t="n"/>
      <c r="F22" s="28" t="n"/>
    </row>
    <row r="23">
      <c r="A23" s="34" t="n"/>
      <c r="B23" s="33" t="n"/>
      <c r="C23" s="56" t="n"/>
      <c r="D23" s="56" t="n"/>
      <c r="E23" s="34" t="n"/>
      <c r="F23" s="33" t="n"/>
    </row>
    <row r="24">
      <c r="A24" s="29" t="n"/>
      <c r="B24" s="28" t="n"/>
      <c r="C24" s="49" t="n"/>
      <c r="D24" s="49" t="n"/>
      <c r="E24" s="29" t="n"/>
      <c r="F24" s="28" t="n"/>
    </row>
    <row r="25">
      <c r="A25" s="34" t="n"/>
      <c r="B25" s="33" t="n"/>
      <c r="C25" s="56" t="n"/>
      <c r="D25" s="56" t="n"/>
      <c r="E25" s="34" t="n"/>
      <c r="F25" s="33" t="n"/>
    </row>
    <row r="26">
      <c r="A26" s="29" t="n"/>
      <c r="B26" s="28" t="n"/>
      <c r="C26" s="49" t="n"/>
      <c r="D26" s="49" t="n"/>
      <c r="E26" s="29" t="n"/>
      <c r="F26" s="28" t="n"/>
    </row>
    <row r="27">
      <c r="A27" s="34" t="n"/>
      <c r="B27" s="33" t="n"/>
      <c r="C27" s="56" t="n"/>
      <c r="D27" s="56" t="n"/>
      <c r="E27" s="34" t="n"/>
      <c r="F27" s="33" t="n"/>
    </row>
    <row r="28">
      <c r="A28" s="29" t="n"/>
      <c r="B28" s="28" t="n"/>
      <c r="C28" s="49" t="n"/>
      <c r="D28" s="49" t="n"/>
      <c r="E28" s="29" t="n"/>
      <c r="F28" s="28" t="n"/>
    </row>
  </sheetData>
  <mergeCells count="2">
    <mergeCell ref="A2:F2"/>
    <mergeCell ref="A1:F1"/>
  </mergeCells>
  <conditionalFormatting sqref="E5:E28">
    <cfRule type="cellIs" priority="1" operator="equal" dxfId="1">
      <formula>"Current"</formula>
    </cfRule>
    <cfRule type="cellIs" priority="2" operator="equal" dxfId="2">
      <formula>"Renew Soon"</formula>
    </cfRule>
    <cfRule type="cellIs" priority="3" operator="equal" dxfId="3">
      <formula>"Overdue"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3" customWidth="1" min="4" max="4"/>
    <col width="20" customWidth="1" min="5" max="5"/>
    <col width="14" customWidth="1" min="6" max="6"/>
    <col width="3" customWidth="1" min="7" max="7"/>
    <col width="18" customWidth="1" min="8" max="8"/>
    <col width="12" customWidth="1" min="9" max="9"/>
    <col width="2" customWidth="1" min="10" max="10"/>
  </cols>
  <sheetData>
    <row r="1" ht="46" customHeight="1">
      <c r="A1" s="1" t="inlineStr">
        <is>
          <t xml:space="preserve">  📊  OPERATIONS ANALYTICS</t>
        </is>
      </c>
    </row>
    <row r="2" ht="22" customHeight="1">
      <c r="A2" s="2" t="inlineStr">
        <is>
          <t xml:space="preserve">  The whole operation by the numbers — plus a live Operations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>
      <c r="B5" s="4" t="inlineStr">
        <is>
          <t>OPERATIONS HEALTH</t>
        </is>
      </c>
      <c r="E5" s="7" t="inlineStr">
        <is>
          <t>COST STRUCTURE</t>
        </is>
      </c>
      <c r="H5" s="7" t="inlineStr">
        <is>
          <t>SNAPSHOT</t>
        </is>
      </c>
    </row>
    <row r="6" ht="30" customHeight="1">
      <c r="B6" s="9" t="inlineStr">
        <is>
          <t>Dimension</t>
        </is>
      </c>
      <c r="C6" s="9" t="inlineStr">
        <is>
          <t>Score</t>
        </is>
      </c>
      <c r="E6" s="9" t="inlineStr">
        <is>
          <t>Component</t>
        </is>
      </c>
      <c r="F6" s="9" t="inlineStr">
        <is>
          <t>Amount</t>
        </is>
      </c>
      <c r="H6" s="21" t="inlineStr">
        <is>
          <t>Revenue</t>
        </is>
      </c>
      <c r="I6" s="57">
        <f>RevenueTotal</f>
        <v/>
      </c>
    </row>
    <row r="7">
      <c r="B7" s="23" t="inlineStr">
        <is>
          <t>Food cost control</t>
        </is>
      </c>
      <c r="C7" s="26">
        <f>IFERROR(MIN(FoodTarget/(FoodCostTotal/RevenueTotal),1),0)</f>
        <v/>
      </c>
      <c r="E7" s="23" t="inlineStr">
        <is>
          <t>Food Cost</t>
        </is>
      </c>
      <c r="F7" s="38">
        <f>FoodCostTotal</f>
        <v/>
      </c>
      <c r="H7" s="21" t="inlineStr">
        <is>
          <t>Covers</t>
        </is>
      </c>
      <c r="I7" s="66">
        <f>CoversTotal</f>
        <v/>
      </c>
    </row>
    <row r="8">
      <c r="B8" s="28" t="inlineStr">
        <is>
          <t>Labor cost control</t>
        </is>
      </c>
      <c r="C8" s="31">
        <f>IFERROR(MIN(LaborTarget/(LaborTotal/RevenueTotal),1),0)</f>
        <v/>
      </c>
      <c r="E8" s="28" t="inlineStr">
        <is>
          <t>Labor</t>
        </is>
      </c>
      <c r="F8" s="40">
        <f>LaborTotal</f>
        <v/>
      </c>
      <c r="H8" s="21" t="inlineStr">
        <is>
          <t>Avg check</t>
        </is>
      </c>
      <c r="I8" s="67">
        <f>IFERROR(RevenueTotal/CoversTotal,0)</f>
        <v/>
      </c>
    </row>
    <row r="9">
      <c r="B9" s="23" t="inlineStr">
        <is>
          <t>Prime cost control</t>
        </is>
      </c>
      <c r="C9" s="26">
        <f>IFERROR(MIN(PrimeTarget/((FoodCostTotal+LaborTotal)/RevenueTotal),1),0)</f>
        <v/>
      </c>
      <c r="E9" s="23" t="inlineStr">
        <is>
          <t>Overhead</t>
        </is>
      </c>
      <c r="F9" s="38">
        <f>OpexTotal</f>
        <v/>
      </c>
      <c r="H9" s="21" t="inlineStr">
        <is>
          <t>Inventory value</t>
        </is>
      </c>
      <c r="I9" s="57">
        <f>InvValue</f>
        <v/>
      </c>
    </row>
    <row r="10">
      <c r="B10" s="28" t="inlineStr">
        <is>
          <t>Profit margin</t>
        </is>
      </c>
      <c r="C10" s="31">
        <f>IFERROR(MIN(((RevenueTotal-FoodCostTotal-LaborTotal-OpexTotal)/RevenueTotal)/MarginTarget,1),0)</f>
        <v/>
      </c>
      <c r="E10" s="28" t="inlineStr">
        <is>
          <t>Net Profit</t>
        </is>
      </c>
      <c r="F10" s="40">
        <f>RevenueTotal-FoodCostTotal-LaborTotal-OpexTotal</f>
        <v/>
      </c>
      <c r="H10" s="21" t="inlineStr">
        <is>
          <t>Low-stock items</t>
        </is>
      </c>
      <c r="I10" s="66">
        <f>COUNTIF(InvStatus,"Low")</f>
        <v/>
      </c>
    </row>
    <row r="11">
      <c r="B11" s="23" t="inlineStr">
        <is>
          <t>Guest rating</t>
        </is>
      </c>
      <c r="C11" s="26">
        <f>IFERROR(AvgRating/5,0)</f>
        <v/>
      </c>
      <c r="H11" s="21" t="inlineStr">
        <is>
          <t>Health score</t>
        </is>
      </c>
      <c r="I11" s="68">
        <f>IFERROR(AVERAGE(HealthRange),0)</f>
        <v/>
      </c>
    </row>
    <row r="12">
      <c r="B12" s="28" t="inlineStr">
        <is>
          <t>Inventory in-stock</t>
        </is>
      </c>
      <c r="C12" s="31">
        <f>IFERROR(COUNTIF(InvStatus,"OK")/COUNTA(InvStatus),0)</f>
        <v/>
      </c>
    </row>
    <row r="15" ht="20" customHeight="1">
      <c r="B15" s="7" t="inlineStr">
        <is>
          <t>WEEKLY SALES</t>
        </is>
      </c>
    </row>
    <row r="16">
      <c r="B16" s="9" t="inlineStr">
        <is>
          <t>Week</t>
        </is>
      </c>
      <c r="C16" s="9" t="inlineStr">
        <is>
          <t>Sales</t>
        </is>
      </c>
    </row>
    <row r="17">
      <c r="B17" s="23" t="inlineStr">
        <is>
          <t>Week 1</t>
        </is>
      </c>
      <c r="C17" s="38" t="n">
        <v>30470</v>
      </c>
    </row>
    <row r="18">
      <c r="B18" s="28" t="inlineStr">
        <is>
          <t>Week 2</t>
        </is>
      </c>
      <c r="C18" s="40" t="n">
        <v>30470</v>
      </c>
    </row>
    <row r="19">
      <c r="B19" s="23" t="inlineStr">
        <is>
          <t>Week 3</t>
        </is>
      </c>
      <c r="C19" s="38" t="n">
        <v>30470</v>
      </c>
    </row>
    <row r="20">
      <c r="B20" s="28" t="inlineStr">
        <is>
          <t>Week 4</t>
        </is>
      </c>
      <c r="C20" s="40" t="n">
        <v>30470</v>
      </c>
    </row>
  </sheetData>
  <mergeCells count="6">
    <mergeCell ref="A2:I2"/>
    <mergeCell ref="B15:C15"/>
    <mergeCell ref="B5:C5"/>
    <mergeCell ref="A1:I1"/>
    <mergeCell ref="E5:F5"/>
    <mergeCell ref="H5:I5"/>
  </mergeCells>
  <conditionalFormatting sqref="C7:C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restaurant details &amp; targets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RESTAURANT INPUTS</t>
        </is>
      </c>
      <c r="E5" s="4" t="inlineStr">
        <is>
          <t>DROPDOWN LISTS</t>
        </is>
      </c>
    </row>
    <row r="6">
      <c r="B6" s="21" t="inlineStr">
        <is>
          <t>Restaurant Name</t>
        </is>
      </c>
      <c r="C6" s="69" t="inlineStr">
        <is>
          <t>Olive &amp; Ember</t>
        </is>
      </c>
      <c r="E6" s="9" t="inlineStr">
        <is>
          <t>Menu Category</t>
        </is>
      </c>
      <c r="F6" s="9" t="inlineStr">
        <is>
          <t>Expense Category</t>
        </is>
      </c>
      <c r="G6" s="9" t="inlineStr">
        <is>
          <t>Inventory Category</t>
        </is>
      </c>
      <c r="H6" s="9" t="inlineStr">
        <is>
          <t>Unit</t>
        </is>
      </c>
      <c r="I6" s="9" t="inlineStr">
        <is>
          <t>Station</t>
        </is>
      </c>
      <c r="J6" s="9" t="inlineStr">
        <is>
          <t>Shift</t>
        </is>
      </c>
      <c r="K6" s="9" t="inlineStr">
        <is>
          <t>Daypart</t>
        </is>
      </c>
      <c r="L6" s="9" t="inlineStr">
        <is>
          <t>Reservation</t>
        </is>
      </c>
    </row>
    <row r="7">
      <c r="B7" s="21" t="inlineStr">
        <is>
          <t>Concept</t>
        </is>
      </c>
      <c r="C7" s="69" t="inlineStr">
        <is>
          <t>Modern American Bistro</t>
        </is>
      </c>
      <c r="E7" s="23" t="inlineStr">
        <is>
          <t>Starters</t>
        </is>
      </c>
      <c r="F7" s="23" t="inlineStr">
        <is>
          <t>Rent</t>
        </is>
      </c>
      <c r="G7" s="23" t="inlineStr">
        <is>
          <t>Produce</t>
        </is>
      </c>
      <c r="H7" s="23" t="inlineStr">
        <is>
          <t>lb</t>
        </is>
      </c>
      <c r="I7" s="23" t="inlineStr">
        <is>
          <t>Kitchen</t>
        </is>
      </c>
      <c r="J7" s="23" t="inlineStr">
        <is>
          <t>Open</t>
        </is>
      </c>
      <c r="K7" s="23" t="inlineStr">
        <is>
          <t>Breakfast</t>
        </is>
      </c>
      <c r="L7" s="23" t="inlineStr">
        <is>
          <t>Confirmed</t>
        </is>
      </c>
    </row>
    <row r="8">
      <c r="B8" s="21" t="inlineStr">
        <is>
          <t>Seats</t>
        </is>
      </c>
      <c r="C8" s="70" t="n">
        <v>84</v>
      </c>
      <c r="E8" s="23" t="inlineStr">
        <is>
          <t>Mains</t>
        </is>
      </c>
      <c r="F8" s="23" t="inlineStr">
        <is>
          <t>Utilities</t>
        </is>
      </c>
      <c r="G8" s="23" t="inlineStr">
        <is>
          <t>Meat &amp; Seafood</t>
        </is>
      </c>
      <c r="H8" s="23" t="inlineStr">
        <is>
          <t>kg</t>
        </is>
      </c>
      <c r="I8" s="23" t="inlineStr">
        <is>
          <t>Front of House</t>
        </is>
      </c>
      <c r="J8" s="23" t="inlineStr">
        <is>
          <t>Mid</t>
        </is>
      </c>
      <c r="K8" s="23" t="inlineStr">
        <is>
          <t>Lunch</t>
        </is>
      </c>
      <c r="L8" s="23" t="inlineStr">
        <is>
          <t>Pending</t>
        </is>
      </c>
    </row>
    <row r="9">
      <c r="B9" s="21" t="inlineStr">
        <is>
          <t>Food Cost Target</t>
        </is>
      </c>
      <c r="C9" s="71" t="n">
        <v>0.3</v>
      </c>
      <c r="E9" s="23" t="inlineStr">
        <is>
          <t>Sides</t>
        </is>
      </c>
      <c r="F9" s="23" t="inlineStr">
        <is>
          <t>Insurance</t>
        </is>
      </c>
      <c r="G9" s="23" t="inlineStr">
        <is>
          <t>Dairy</t>
        </is>
      </c>
      <c r="H9" s="23" t="inlineStr">
        <is>
          <t>each</t>
        </is>
      </c>
      <c r="I9" s="23" t="inlineStr">
        <is>
          <t>Bar</t>
        </is>
      </c>
      <c r="J9" s="23" t="inlineStr">
        <is>
          <t>Close</t>
        </is>
      </c>
      <c r="K9" s="23" t="inlineStr">
        <is>
          <t>Dinner</t>
        </is>
      </c>
      <c r="L9" s="23" t="inlineStr">
        <is>
          <t>Seated</t>
        </is>
      </c>
    </row>
    <row r="10">
      <c r="B10" s="21" t="inlineStr">
        <is>
          <t>Labor Cost Target</t>
        </is>
      </c>
      <c r="C10" s="71" t="n">
        <v>0.32</v>
      </c>
      <c r="E10" s="23" t="inlineStr">
        <is>
          <t>Desserts</t>
        </is>
      </c>
      <c r="F10" s="23" t="inlineStr">
        <is>
          <t>Marketing</t>
        </is>
      </c>
      <c r="G10" s="23" t="inlineStr">
        <is>
          <t>Dry Goods</t>
        </is>
      </c>
      <c r="H10" s="23" t="inlineStr">
        <is>
          <t>case</t>
        </is>
      </c>
      <c r="I10" s="23" t="inlineStr">
        <is>
          <t>Management</t>
        </is>
      </c>
      <c r="J10" s="23" t="inlineStr">
        <is>
          <t>Double</t>
        </is>
      </c>
      <c r="K10" s="23" t="inlineStr">
        <is>
          <t>Late Night</t>
        </is>
      </c>
      <c r="L10" s="23" t="inlineStr">
        <is>
          <t>Cancelled</t>
        </is>
      </c>
    </row>
    <row r="11">
      <c r="B11" s="21" t="inlineStr">
        <is>
          <t>Prime Cost Target</t>
        </is>
      </c>
      <c r="C11" s="71" t="n">
        <v>0.6</v>
      </c>
      <c r="E11" s="23" t="inlineStr">
        <is>
          <t>Drinks</t>
        </is>
      </c>
      <c r="F11" s="23" t="inlineStr">
        <is>
          <t>Repairs &amp; Maint.</t>
        </is>
      </c>
      <c r="G11" s="23" t="inlineStr">
        <is>
          <t>Frozen</t>
        </is>
      </c>
      <c r="H11" s="23" t="inlineStr">
        <is>
          <t>bottle</t>
        </is>
      </c>
      <c r="I11" s="23" t="inlineStr">
        <is>
          <t>Support</t>
        </is>
      </c>
      <c r="J11" s="23" t="inlineStr">
        <is>
          <t>Off</t>
        </is>
      </c>
      <c r="K11" s="23" t="inlineStr">
        <is>
          <t>Brunch</t>
        </is>
      </c>
      <c r="L11" s="23" t="inlineStr">
        <is>
          <t>No-Show</t>
        </is>
      </c>
    </row>
    <row r="12">
      <c r="B12" s="21" t="inlineStr">
        <is>
          <t>Net Margin Target</t>
        </is>
      </c>
      <c r="C12" s="71" t="n">
        <v>0.15</v>
      </c>
      <c r="E12" s="23" t="inlineStr">
        <is>
          <t>Cocktails</t>
        </is>
      </c>
      <c r="F12" s="23" t="inlineStr">
        <is>
          <t>POS / Software</t>
        </is>
      </c>
      <c r="G12" s="23" t="inlineStr">
        <is>
          <t>Beverage</t>
        </is>
      </c>
      <c r="H12" s="23" t="inlineStr">
        <is>
          <t>gal</t>
        </is>
      </c>
    </row>
    <row r="13">
      <c r="B13" s="21" t="inlineStr">
        <is>
          <t>Avg Check Goal</t>
        </is>
      </c>
      <c r="C13" s="48" t="n">
        <v>32</v>
      </c>
      <c r="F13" s="23" t="inlineStr">
        <is>
          <t>Cleaning &amp; Supplies</t>
        </is>
      </c>
      <c r="G13" s="23" t="inlineStr">
        <is>
          <t>Bar / Liquor</t>
        </is>
      </c>
      <c r="H13" s="23" t="inlineStr">
        <is>
          <t>L</t>
        </is>
      </c>
    </row>
    <row r="14">
      <c r="F14" s="23" t="inlineStr">
        <is>
          <t>Licenses &amp; Permits</t>
        </is>
      </c>
      <c r="G14" s="23" t="inlineStr">
        <is>
          <t>Paper &amp; Disposables</t>
        </is>
      </c>
      <c r="H14" s="23" t="inlineStr">
        <is>
          <t>dozen</t>
        </is>
      </c>
    </row>
    <row r="15">
      <c r="F15" s="23" t="inlineStr">
        <is>
          <t>Accounting</t>
        </is>
      </c>
    </row>
    <row r="16">
      <c r="F16" s="23" t="inlineStr">
        <is>
          <t>Card Fees</t>
        </is>
      </c>
    </row>
    <row r="17">
      <c r="F17" s="23" t="inlineStr">
        <is>
          <t>Miscellaneous</t>
        </is>
      </c>
    </row>
    <row r="18">
      <c r="E18" s="9" t="inlineStr">
        <is>
          <t>Pay Status</t>
        </is>
      </c>
      <c r="F18" s="9" t="inlineStr">
        <is>
          <t>Promo</t>
        </is>
      </c>
      <c r="G18" s="9" t="inlineStr">
        <is>
          <t>Compliance</t>
        </is>
      </c>
      <c r="H18" s="9" t="inlineStr">
        <is>
          <t>Priority</t>
        </is>
      </c>
      <c r="I18" s="9" t="inlineStr">
        <is>
          <t>Yes / No</t>
        </is>
      </c>
    </row>
    <row r="19">
      <c r="E19" s="23" t="inlineStr">
        <is>
          <t>Paid</t>
        </is>
      </c>
      <c r="F19" s="23" t="inlineStr">
        <is>
          <t>Live</t>
        </is>
      </c>
      <c r="G19" s="23" t="inlineStr">
        <is>
          <t>Pass</t>
        </is>
      </c>
      <c r="H19" s="23" t="inlineStr">
        <is>
          <t>High</t>
        </is>
      </c>
      <c r="I19" s="23" t="inlineStr">
        <is>
          <t>Yes</t>
        </is>
      </c>
    </row>
    <row r="20">
      <c r="E20" s="23" t="inlineStr">
        <is>
          <t>Due</t>
        </is>
      </c>
      <c r="F20" s="23" t="inlineStr">
        <is>
          <t>Planned</t>
        </is>
      </c>
      <c r="G20" s="23" t="inlineStr">
        <is>
          <t>Action Needed</t>
        </is>
      </c>
      <c r="H20" s="23" t="inlineStr">
        <is>
          <t>Medium</t>
        </is>
      </c>
      <c r="I20" s="23" t="inlineStr">
        <is>
          <t>No</t>
        </is>
      </c>
    </row>
    <row r="21">
      <c r="E21" s="23" t="inlineStr">
        <is>
          <t>Overdue</t>
        </is>
      </c>
      <c r="F21" s="23" t="inlineStr">
        <is>
          <t>Ended</t>
        </is>
      </c>
      <c r="G21" s="23" t="inlineStr">
        <is>
          <t>Overdue</t>
        </is>
      </c>
      <c r="H21" s="23" t="inlineStr">
        <is>
          <t>Low</t>
        </is>
      </c>
    </row>
    <row r="22">
      <c r="E22" s="23" t="inlineStr">
        <is>
          <t>Scheduled</t>
        </is>
      </c>
      <c r="F22" s="23" t="inlineStr">
        <is>
          <t>Paused</t>
        </is>
      </c>
      <c r="G22" s="23" t="inlineStr">
        <is>
          <t>N/A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2026-07-11T04:53:56Z</dcterms:created>
  <dcterms:modified xsi:type="dcterms:W3CDTF">2026-07-11T04:53:56Z</dcterms:modified>
</cp:coreProperties>
</file>