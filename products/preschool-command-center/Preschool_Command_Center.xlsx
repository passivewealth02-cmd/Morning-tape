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Child Profiles" sheetId="3" state="visible" r:id="rId3"/>
    <sheet name="Skills &amp; Milestones" sheetId="4" state="visible" r:id="rId4"/>
    <sheet name="ABC &amp; 123" sheetId="5" state="visible" r:id="rId5"/>
    <sheet name="Weekly Themes" sheetId="6" state="visible" r:id="rId6"/>
    <sheet name="Daily Rhythm" sheetId="7" state="visible" r:id="rId7"/>
    <sheet name="Activity Planner" sheetId="8" state="visible" r:id="rId8"/>
    <sheet name="Read-Aloud Log" sheetId="9" state="visible" r:id="rId9"/>
    <sheet name="Arts &amp; Sensory" sheetId="10" state="visible" r:id="rId10"/>
    <sheet name="Field Trips" sheetId="11" state="visible" r:id="rId11"/>
    <sheet name="Attendance" sheetId="12" state="visible" r:id="rId12"/>
    <sheet name="Portfolio" sheetId="13" state="visible" r:id="rId13"/>
    <sheet name="Supplies" sheetId="14" state="visible" r:id="rId14"/>
    <sheet name="Kindergarten Readiness" sheetId="15" state="visible" r:id="rId15"/>
    <sheet name="Goals" sheetId="16" state="visible" r:id="rId16"/>
    <sheet name="Settings" sheetId="17" state="visible" r:id="rId17"/>
  </sheets>
  <definedNames>
    <definedName name="FamilyName">Settings!$C$6</definedName>
    <definedName name="SchoolYear">Settings!$C$7</definedName>
    <definedName name="Children">Settings!$C$8</definedName>
    <definedName name="DaysGoal">Settings!$C$9</definedName>
    <definedName name="BooksRead">Settings!$C$10</definedName>
    <definedName name="SuppliesBudget">Settings!$C$11</definedName>
    <definedName name="KinderDate">Settings!$C$12</definedName>
    <definedName name="DomainList">Settings!$E$7:$E$13</definedName>
    <definedName name="SkillStatusList">Settings!$F$7:$F$9</definedName>
    <definedName name="ActStatusList">Settings!$G$7:$G$9</definedName>
    <definedName name="ThemeStatusList">Settings!$H$7:$H$9</definedName>
    <definedName name="SupplyStatusList">Settings!$I$7:$I$9</definedName>
    <definedName name="LovedList">Settings!$J$7:$J$9</definedName>
    <definedName name="YesNoList">Settings!$K$7:$K$8</definedName>
    <definedName name="SkillDomain">'Skills &amp; Milestones'!$A$5:$A$49</definedName>
    <definedName name="SkillName">'Skills &amp; Milestones'!$B$5:$B$49</definedName>
    <definedName name="SkillStatus">'Skills &amp; Milestones'!$D$5:$D$49</definedName>
    <definedName name="DomSumLabels">'Skills &amp; Milestones'!$B$52:$B$58</definedName>
    <definedName name="DomSumVals">'Skills &amp; Milestones'!$C$52:$C$58</definedName>
    <definedName name="AbcRecognize">'ABC &amp; 123'!$B$5:$B$30</definedName>
    <definedName name="AbcSound">'ABC &amp; 123'!$C$5:$C$30</definedName>
    <definedName name="AbcWrite">'ABC &amp; 123'!$D$5:$D$30</definedName>
    <definedName name="ThemeName">'Weekly Themes'!$A$5:$A$34</definedName>
    <definedName name="ThemeStatus">'Weekly Themes'!$C$5:$C$34</definedName>
    <definedName name="ActName">'Activity Planner'!$B$5:$B$49</definedName>
    <definedName name="ActStatus">'Activity Planner'!$D$5:$D$49</definedName>
    <definedName name="TripName">'Field Trips'!$B$5:$B$34</definedName>
    <definedName name="AttDays">'Attendance'!$B$5:$B$44</definedName>
    <definedName name="DaysDone">'Attendance'!$B$45</definedName>
    <definedName name="SuppliesPlanTotal">'Supplies'!$C$13</definedName>
    <definedName name="SuppliesSpent">'Supplies'!$D$13</definedName>
    <definedName name="RdyName">'Kindergarten Readiness'!$A$5:$A$24</definedName>
    <definedName name="RdyDone">'Kindergarten Readiness'!$B$5:$B$24</definedName>
    <definedName name="GoalProgress">'Goals'!$D$5:$D$10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mm/dd/yyyy"/>
    <numFmt numFmtId="167" formatCode="&quot;$&quot;#,##0;[Red]-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51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0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2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3" fillId="8" borderId="2" applyAlignment="1" pivotButton="0" quotePrefix="0" xfId="0">
      <alignment horizontal="center" vertical="center"/>
    </xf>
    <xf numFmtId="0" fontId="0" fillId="8" borderId="2" pivotButton="0" quotePrefix="0" xfId="0"/>
    <xf numFmtId="9" fontId="13" fillId="8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3" fontId="6" fillId="0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3" fontId="7" fillId="6" borderId="2" applyAlignment="1" pivotButton="0" quotePrefix="0" xfId="10">
      <alignment horizontal="left" vertical="center" indent="1"/>
    </xf>
    <xf numFmtId="3" fontId="6" fillId="8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3" fontId="11" fillId="3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164" fontId="7" fillId="3" borderId="2" applyAlignment="1" pivotButton="0" quotePrefix="0" xfId="8">
      <alignment horizontal="center" vertical="center"/>
    </xf>
    <xf numFmtId="167" fontId="6" fillId="0" borderId="2" applyAlignment="1" pivotButton="0" quotePrefix="0" xfId="6">
      <alignment horizontal="center" vertical="center" wrapText="1"/>
    </xf>
    <xf numFmtId="164" fontId="7" fillId="9" borderId="2" applyAlignment="1" pivotButton="0" quotePrefix="0" xfId="8">
      <alignment horizontal="center" vertical="center"/>
    </xf>
    <xf numFmtId="167" fontId="6" fillId="9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9" fontId="7" fillId="9" borderId="2" applyAlignment="1" pivotButton="0" quotePrefix="0" xfId="8">
      <alignment horizontal="center" vertical="center"/>
    </xf>
    <xf numFmtId="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Skills Mastered by Domain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'Skills &amp; Milestones'!$B$52:$B$58</f>
            </numRef>
          </cat>
          <val>
            <numRef>
              <f>'Skills &amp; Milestones'!$C$52:$C$58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🧸  PRESCHOOL COMMAND CENTER™</t>
        </is>
      </c>
    </row>
    <row r="2" ht="24" customHeight="1">
      <c r="A2" s="2" t="inlineStr">
        <is>
          <t xml:space="preserve">  Play with a plan — themes, skills &amp; sweet memories, all in one calm system.</t>
        </is>
      </c>
    </row>
    <row r="3" ht="6" customHeight="1">
      <c r="A3" s="3" t="n"/>
      <c r="B3" s="3" t="n"/>
      <c r="C3" s="3" t="n"/>
    </row>
    <row r="5">
      <c r="B5" s="4" t="inlineStr">
        <is>
          <t>YOUR WHOLE PRESCHOOL, IN ONE PLACE</t>
        </is>
      </c>
    </row>
    <row r="6" ht="22" customHeight="1">
      <c r="B6" s="5" t="inlineStr">
        <is>
          <t>Weekly themes, a play-based activity planner, a developmental skills &amp; milestones tracker, ABC &amp; 123 mastery, read-alouds, arts &amp; sensory, nature walks, a portfolio and a kindergarten-readiness checklist — all in ONE premium Google Sheets &amp; Excel system. A profile for every child and a live dashboard that shows how they're growing. Play-based and gentle, it works for one little one or a houseful — no teaching degree required.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family, children &amp; days goal.</t>
        </is>
      </c>
    </row>
    <row r="13" ht="22" customHeight="1">
      <c r="B13" s="8" t="inlineStr">
        <is>
          <t>2.  Fill a Child Profile for each little one — age, interests, what they're working on.</t>
        </is>
      </c>
    </row>
    <row r="14" ht="22" customHeight="1">
      <c r="B14" s="8" t="inlineStr">
        <is>
          <t>3.  Pick this week's Theme, then plan a few Activities from the play bank.</t>
        </is>
      </c>
    </row>
    <row r="15" ht="22" customHeight="1">
      <c r="B15" s="8" t="inlineStr">
        <is>
          <t>4.  As they grow, mark Skills &amp; Milestones and check off ABC &amp; 123 mastery.</t>
        </is>
      </c>
    </row>
    <row r="16" ht="22" customHeight="1">
      <c r="B16" s="8" t="inlineStr">
        <is>
          <t>5.  Log read-alouds, nature walks &amp; save a few portfolio photos as you go.</t>
        </is>
      </c>
    </row>
    <row r="17" ht="22" customHeight="1">
      <c r="B17" s="8" t="inlineStr">
        <is>
          <t>6.  Watch the Dashboard track letters, skills, themes &amp; a Ready-for-K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the Bennett family (Millie, 4, and Owen, 3) is included so you can see how it all connects — just type over it with your own. Letters, skills, themes, activities and the readiness checklist roll up into a live Ready-for-Kindergarten Score. Twelve matching printable pages (weekly theme plan, skills checklist, ABC &amp; 123 chart, readiness list, portfolio &amp; more) are included to print and keep. This is a planning &amp; keepsake tool — every child grows at their own pace, so use it as a gentle guide, not a test.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Follow the fun — the learning follows. You've got this.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🧸  PRESCHOOL COMMAND CENTER™</t>
        </is>
      </c>
    </row>
    <row r="2" ht="24" customHeight="1">
      <c r="A2" s="2" t="inlineStr">
        <is>
          <t xml:space="preserve">  Letters, skills, themes &amp; sweet memories — your whole preschool year,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CHILDREN</t>
        </is>
      </c>
      <c r="C5" s="13" t="n"/>
      <c r="D5" s="12" t="inlineStr">
        <is>
          <t>PRESCHOOL DAYS</t>
        </is>
      </c>
      <c r="E5" s="13" t="n"/>
      <c r="F5" s="12" t="inlineStr">
        <is>
          <t>LETTERS KNOWN</t>
        </is>
      </c>
      <c r="G5" s="13" t="n"/>
      <c r="H5" s="12" t="inlineStr">
        <is>
          <t>SKILLS MASTERED</t>
        </is>
      </c>
      <c r="I5" s="13" t="n"/>
      <c r="J5" s="12" t="inlineStr">
        <is>
          <t>THEMES DONE</t>
        </is>
      </c>
      <c r="K5" s="13" t="n"/>
      <c r="L5" s="12" t="inlineStr">
        <is>
          <t>ACTIVITIES DONE</t>
        </is>
      </c>
      <c r="M5" s="13" t="n"/>
    </row>
    <row r="6" ht="40" customHeight="1">
      <c r="B6" s="14">
        <f>Children</f>
        <v/>
      </c>
      <c r="C6" s="15" t="n"/>
      <c r="D6" s="14">
        <f>DaysDone</f>
        <v/>
      </c>
      <c r="E6" s="15" t="n"/>
      <c r="F6" s="14">
        <f>COUNTIF(AbcRecognize,"Yes")</f>
        <v/>
      </c>
      <c r="G6" s="15" t="n"/>
      <c r="H6" s="14">
        <f>COUNTIF(SkillStatus,"Mastered")</f>
        <v/>
      </c>
      <c r="I6" s="15" t="n"/>
      <c r="J6" s="14">
        <f>COUNTIF(ThemeStatus,"Done")</f>
        <v/>
      </c>
      <c r="K6" s="15" t="n"/>
      <c r="L6" s="16">
        <f>IFERROR(COUNTIF(ActStatus,"Done")/COUNTA(ActName),0)</f>
        <v/>
      </c>
      <c r="M6" s="15" t="n"/>
    </row>
    <row r="8" ht="18" customHeight="1">
      <c r="B8" s="12" t="inlineStr">
        <is>
          <t>BOOKS READ</t>
        </is>
      </c>
      <c r="C8" s="13" t="n"/>
      <c r="D8" s="12" t="inlineStr">
        <is>
          <t>FIELD TRIPS</t>
        </is>
      </c>
      <c r="E8" s="13" t="n"/>
      <c r="F8" s="12" t="inlineStr">
        <is>
          <t>SUPPLIES SPENT</t>
        </is>
      </c>
      <c r="G8" s="13" t="n"/>
      <c r="H8" s="12" t="inlineStr">
        <is>
          <t>READY FOR K</t>
        </is>
      </c>
      <c r="I8" s="13" t="n"/>
      <c r="J8" s="12" t="inlineStr">
        <is>
          <t>GOALS</t>
        </is>
      </c>
      <c r="K8" s="13" t="n"/>
      <c r="L8" s="12" t="inlineStr">
        <is>
          <t>READY SCORE</t>
        </is>
      </c>
      <c r="M8" s="13" t="n"/>
    </row>
    <row r="9" ht="40" customHeight="1">
      <c r="B9" s="14">
        <f>BooksRead</f>
        <v/>
      </c>
      <c r="C9" s="15" t="n"/>
      <c r="D9" s="14">
        <f>COUNTA(TripName)</f>
        <v/>
      </c>
      <c r="E9" s="15" t="n"/>
      <c r="F9" s="17">
        <f>SuppliesSpent</f>
        <v/>
      </c>
      <c r="G9" s="15" t="n"/>
      <c r="H9" s="16">
        <f>IFERROR(COUNTIF(RdyDone,"Yes")/COUNTA(RdyName),0)</f>
        <v/>
      </c>
      <c r="I9" s="15" t="n"/>
      <c r="J9" s="16">
        <f>IFERROR(AVERAGE(GoalProgress),0)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GROWING WELL?</t>
        </is>
      </c>
      <c r="H11" s="4" t="inlineStr">
        <is>
          <t>SKILLS MASTERED BY DOMAIN</t>
        </is>
      </c>
    </row>
    <row r="12" ht="30" customHeight="1">
      <c r="B12" s="9" t="inlineStr">
        <is>
          <t>Area</t>
        </is>
      </c>
      <c r="C12" s="9" t="inlineStr">
        <is>
          <t>Progress</t>
        </is>
      </c>
      <c r="D12" s="9" t="inlineStr">
        <is>
          <t>Status</t>
        </is>
      </c>
    </row>
    <row r="13">
      <c r="B13" s="18" t="inlineStr">
        <is>
          <t>Letters known (of 26)</t>
        </is>
      </c>
      <c r="C13" s="19">
        <f>IFERROR(COUNTIF(AbcRecognize,"Yes")/26,0)</f>
        <v/>
      </c>
      <c r="D13" s="20">
        <f>IF(C13&gt;=0.85,"Soaring",IF(C13&gt;=0.6,"Growing","Emerging"))</f>
        <v/>
      </c>
    </row>
    <row r="14">
      <c r="B14" s="21" t="inlineStr">
        <is>
          <t>Skills mastered</t>
        </is>
      </c>
      <c r="C14" s="22">
        <f>IFERROR(COUNTIF(SkillStatus,"Mastered")/COUNTA(SkillName),0)</f>
        <v/>
      </c>
      <c r="D14" s="23">
        <f>IF(C14&gt;=0.85,"Soaring",IF(C14&gt;=0.6,"Growing","Emerging"))</f>
        <v/>
      </c>
    </row>
    <row r="15">
      <c r="B15" s="18" t="inlineStr">
        <is>
          <t>Themes done</t>
        </is>
      </c>
      <c r="C15" s="19">
        <f>IFERROR(COUNTIF(ThemeStatus,"Done")/COUNTA(ThemeName),0)</f>
        <v/>
      </c>
      <c r="D15" s="20">
        <f>IF(C15&gt;=0.85,"Soaring",IF(C15&gt;=0.6,"Growing","Emerging"))</f>
        <v/>
      </c>
    </row>
    <row r="16">
      <c r="B16" s="21" t="inlineStr">
        <is>
          <t>Activities done</t>
        </is>
      </c>
      <c r="C16" s="22">
        <f>IFERROR(COUNTIF(ActStatus,"Done")/COUNTA(ActName),0)</f>
        <v/>
      </c>
      <c r="D16" s="23">
        <f>IF(C16&gt;=0.85,"Soaring",IF(C16&gt;=0.6,"Growing","Emerging"))</f>
        <v/>
      </c>
    </row>
    <row r="17">
      <c r="B17" s="18" t="inlineStr">
        <is>
          <t>Kindergarten readiness</t>
        </is>
      </c>
      <c r="C17" s="19">
        <f>IFERROR(COUNTIF(RdyDone,"Yes")/COUNTA(RdyName),0)</f>
        <v/>
      </c>
      <c r="D17" s="20">
        <f>IF(C17&gt;=0.85,"Soaring",IF(C17&gt;=0.6,"Growing","Emerging"))</f>
        <v/>
      </c>
    </row>
    <row r="18">
      <c r="B18" s="21" t="inlineStr">
        <is>
          <t>Goals &amp; milestones</t>
        </is>
      </c>
      <c r="C18" s="22">
        <f>IFERROR(AVERAGE(GoalProgress),0)</f>
        <v/>
      </c>
      <c r="D18" s="23">
        <f>IF(C18&gt;=0.85,"Soaring",IF(C18&gt;=0.6,"Growing","Emerging"))</f>
        <v/>
      </c>
    </row>
    <row r="21" ht="26" customHeight="1">
      <c r="B21" s="2" t="inlineStr">
        <is>
          <t>Preschool Command Center™ — play with a plan, and watch them grow. Edit anything in Settings.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22" customWidth="1" min="3" max="3"/>
    <col width="4" customWidth="1" min="4" max="4"/>
    <col width="18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🧒  CHILD PROFILES</t>
        </is>
      </c>
    </row>
    <row r="2" ht="22" customHeight="1">
      <c r="A2" s="2" t="inlineStr">
        <is>
          <t xml:space="preserve">  A profile for every little one — age, interests, strengths &amp; what they're working 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Millie Bennett</t>
        </is>
      </c>
    </row>
    <row r="6" ht="22" customHeight="1">
      <c r="B6" s="24" t="inlineStr">
        <is>
          <t>Stage</t>
        </is>
      </c>
      <c r="C6" s="25" t="inlineStr">
        <is>
          <t>PreK (4)</t>
        </is>
      </c>
      <c r="E6" s="24" t="inlineStr">
        <is>
          <t>Age</t>
        </is>
      </c>
      <c r="F6" s="25" t="n">
        <v>4</v>
      </c>
    </row>
    <row r="7" ht="22" customHeight="1">
      <c r="B7" s="24" t="inlineStr">
        <is>
          <t>Personality</t>
        </is>
      </c>
      <c r="C7" s="25" t="inlineStr">
        <is>
          <t>Loves art, animals &amp; books · chatty</t>
        </is>
      </c>
      <c r="E7" s="24" t="inlineStr">
        <is>
          <t>Loves</t>
        </is>
      </c>
      <c r="F7" s="25" t="inlineStr">
        <is>
          <t>—</t>
        </is>
      </c>
    </row>
    <row r="8" ht="22" customHeight="1">
      <c r="B8" s="24" t="inlineStr">
        <is>
          <t>Working on</t>
        </is>
      </c>
      <c r="C8" s="25" t="inlineStr">
        <is>
          <t>See Skills tab</t>
        </is>
      </c>
      <c r="E8" s="24" t="inlineStr">
        <is>
          <t>Favorite book</t>
        </is>
      </c>
      <c r="F8" s="25" t="inlineStr">
        <is>
          <t>—</t>
        </is>
      </c>
    </row>
    <row r="9" ht="22" customHeight="1">
      <c r="B9" s="24" t="inlineStr">
        <is>
          <t>Favorite play</t>
        </is>
      </c>
      <c r="C9" s="25" t="inlineStr">
        <is>
          <t>—</t>
        </is>
      </c>
      <c r="E9" s="24" t="inlineStr">
        <is>
          <t>Naps?</t>
        </is>
      </c>
      <c r="F9" s="25" t="inlineStr">
        <is>
          <t>—</t>
        </is>
      </c>
    </row>
    <row r="10" ht="22" customHeight="1">
      <c r="B10" s="24" t="inlineStr">
        <is>
          <t>Allergies / notes</t>
        </is>
      </c>
      <c r="C10" s="25" t="inlineStr">
        <is>
          <t>—</t>
        </is>
      </c>
      <c r="E10" s="24" t="inlineStr">
        <is>
          <t>Big goal</t>
        </is>
      </c>
      <c r="F10" s="25" t="inlineStr">
        <is>
          <t>See Goals tab</t>
        </is>
      </c>
    </row>
    <row r="12" ht="22" customHeight="1">
      <c r="B12" s="4" t="inlineStr">
        <is>
          <t>Owen Bennett</t>
        </is>
      </c>
    </row>
    <row r="13" ht="22" customHeight="1">
      <c r="B13" s="24" t="inlineStr">
        <is>
          <t>Stage</t>
        </is>
      </c>
      <c r="C13" s="25" t="inlineStr">
        <is>
          <t>Preschool (3)</t>
        </is>
      </c>
      <c r="E13" s="24" t="inlineStr">
        <is>
          <t>Age</t>
        </is>
      </c>
      <c r="F13" s="25" t="n">
        <v>3</v>
      </c>
    </row>
    <row r="14" ht="22" customHeight="1">
      <c r="B14" s="24" t="inlineStr">
        <is>
          <t>Personality</t>
        </is>
      </c>
      <c r="C14" s="25" t="inlineStr">
        <is>
          <t>Busy builder · lots of energy · hands-on</t>
        </is>
      </c>
      <c r="E14" s="24" t="inlineStr">
        <is>
          <t>Loves</t>
        </is>
      </c>
      <c r="F14" s="25" t="inlineStr">
        <is>
          <t>—</t>
        </is>
      </c>
    </row>
    <row r="15" ht="22" customHeight="1">
      <c r="B15" s="24" t="inlineStr">
        <is>
          <t>Working on</t>
        </is>
      </c>
      <c r="C15" s="25" t="inlineStr">
        <is>
          <t>See Skills tab</t>
        </is>
      </c>
      <c r="E15" s="24" t="inlineStr">
        <is>
          <t>Favorite book</t>
        </is>
      </c>
      <c r="F15" s="25" t="inlineStr">
        <is>
          <t>—</t>
        </is>
      </c>
    </row>
    <row r="16" ht="22" customHeight="1">
      <c r="B16" s="24" t="inlineStr">
        <is>
          <t>Favorite play</t>
        </is>
      </c>
      <c r="C16" s="25" t="inlineStr">
        <is>
          <t>—</t>
        </is>
      </c>
      <c r="E16" s="24" t="inlineStr">
        <is>
          <t>Naps?</t>
        </is>
      </c>
      <c r="F16" s="25" t="inlineStr">
        <is>
          <t>—</t>
        </is>
      </c>
    </row>
    <row r="17" ht="22" customHeight="1">
      <c r="B17" s="24" t="inlineStr">
        <is>
          <t>Allergies / notes</t>
        </is>
      </c>
      <c r="C17" s="25" t="inlineStr">
        <is>
          <t>—</t>
        </is>
      </c>
      <c r="E17" s="24" t="inlineStr">
        <is>
          <t>Big goal</t>
        </is>
      </c>
      <c r="F17" s="25" t="inlineStr">
        <is>
          <t>See Goals tab</t>
        </is>
      </c>
    </row>
  </sheetData>
  <mergeCells count="4">
    <mergeCell ref="A2:G2"/>
    <mergeCell ref="A1:G1"/>
    <mergeCell ref="B12:F12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4" customWidth="1" min="4" max="4"/>
  </cols>
  <sheetData>
    <row r="1" ht="46" customHeight="1">
      <c r="A1" s="1" t="inlineStr">
        <is>
          <t xml:space="preserve">  🌱  SKILLS &amp; MILESTONES</t>
        </is>
      </c>
    </row>
    <row r="2" ht="22" customHeight="1">
      <c r="A2" s="2" t="inlineStr">
        <is>
          <t xml:space="preserve">  The whole-child picture — fine &amp; gross motor, language, pre-math, pre-reading, social &amp; self-help.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Domain</t>
        </is>
      </c>
      <c r="B4" s="9" t="inlineStr">
        <is>
          <t>Skill / Milestone</t>
        </is>
      </c>
      <c r="C4" s="9" t="inlineStr">
        <is>
          <t>Child</t>
        </is>
      </c>
      <c r="D4" s="9" t="inlineStr">
        <is>
          <t>Status</t>
        </is>
      </c>
    </row>
    <row r="5">
      <c r="A5" s="26" t="inlineStr">
        <is>
          <t>Fine Motor</t>
        </is>
      </c>
      <c r="B5" s="27" t="inlineStr">
        <is>
          <t>Holds a crayon with a tripod grip</t>
        </is>
      </c>
      <c r="C5" s="26" t="inlineStr">
        <is>
          <t>Millie</t>
        </is>
      </c>
      <c r="D5" s="26" t="inlineStr">
        <is>
          <t>Mastered</t>
        </is>
      </c>
    </row>
    <row r="6">
      <c r="A6" s="23" t="inlineStr">
        <is>
          <t>Fine Motor</t>
        </is>
      </c>
      <c r="B6" s="21" t="inlineStr">
        <is>
          <t>Cuts along a line with scissors</t>
        </is>
      </c>
      <c r="C6" s="23" t="inlineStr">
        <is>
          <t>Millie</t>
        </is>
      </c>
      <c r="D6" s="23" t="inlineStr">
        <is>
          <t>Emerging</t>
        </is>
      </c>
    </row>
    <row r="7">
      <c r="A7" s="26" t="inlineStr">
        <is>
          <t>Fine Motor</t>
        </is>
      </c>
      <c r="B7" s="27" t="inlineStr">
        <is>
          <t>Buttons &amp; zips clothing</t>
        </is>
      </c>
      <c r="C7" s="26" t="inlineStr">
        <is>
          <t>Millie</t>
        </is>
      </c>
      <c r="D7" s="26" t="inlineStr">
        <is>
          <t>Mastered</t>
        </is>
      </c>
    </row>
    <row r="8">
      <c r="A8" s="23" t="inlineStr">
        <is>
          <t>Fine Motor</t>
        </is>
      </c>
      <c r="B8" s="21" t="inlineStr">
        <is>
          <t>Strings beads / laces cards</t>
        </is>
      </c>
      <c r="C8" s="23" t="inlineStr">
        <is>
          <t>Owen</t>
        </is>
      </c>
      <c r="D8" s="23" t="inlineStr">
        <is>
          <t>Mastered</t>
        </is>
      </c>
    </row>
    <row r="9">
      <c r="A9" s="26" t="inlineStr">
        <is>
          <t>Fine Motor</t>
        </is>
      </c>
      <c r="B9" s="27" t="inlineStr">
        <is>
          <t>Builds a tower of 8+ blocks</t>
        </is>
      </c>
      <c r="C9" s="26" t="inlineStr">
        <is>
          <t>Owen</t>
        </is>
      </c>
      <c r="D9" s="26" t="inlineStr">
        <is>
          <t>Mastered</t>
        </is>
      </c>
    </row>
    <row r="10">
      <c r="A10" s="23" t="inlineStr">
        <is>
          <t>Gross Motor</t>
        </is>
      </c>
      <c r="B10" s="21" t="inlineStr">
        <is>
          <t>Hops on one foot</t>
        </is>
      </c>
      <c r="C10" s="23" t="inlineStr">
        <is>
          <t>Millie</t>
        </is>
      </c>
      <c r="D10" s="23" t="inlineStr">
        <is>
          <t>Mastered</t>
        </is>
      </c>
    </row>
    <row r="11">
      <c r="A11" s="26" t="inlineStr">
        <is>
          <t>Gross Motor</t>
        </is>
      </c>
      <c r="B11" s="27" t="inlineStr">
        <is>
          <t>Pedals a tricycle</t>
        </is>
      </c>
      <c r="C11" s="26" t="inlineStr">
        <is>
          <t>Owen</t>
        </is>
      </c>
      <c r="D11" s="26" t="inlineStr">
        <is>
          <t>Mastered</t>
        </is>
      </c>
    </row>
    <row r="12">
      <c r="A12" s="23" t="inlineStr">
        <is>
          <t>Gross Motor</t>
        </is>
      </c>
      <c r="B12" s="21" t="inlineStr">
        <is>
          <t>Throws &amp; catches a ball</t>
        </is>
      </c>
      <c r="C12" s="23" t="inlineStr">
        <is>
          <t>Millie</t>
        </is>
      </c>
      <c r="D12" s="23" t="inlineStr">
        <is>
          <t>Emerging</t>
        </is>
      </c>
    </row>
    <row r="13">
      <c r="A13" s="26" t="inlineStr">
        <is>
          <t>Gross Motor</t>
        </is>
      </c>
      <c r="B13" s="27" t="inlineStr">
        <is>
          <t>Walks up stairs alternating feet</t>
        </is>
      </c>
      <c r="C13" s="26" t="inlineStr">
        <is>
          <t>Owen</t>
        </is>
      </c>
      <c r="D13" s="26" t="inlineStr">
        <is>
          <t>Emerging</t>
        </is>
      </c>
    </row>
    <row r="14">
      <c r="A14" s="23" t="inlineStr">
        <is>
          <t>Gross Motor</t>
        </is>
      </c>
      <c r="B14" s="21" t="inlineStr">
        <is>
          <t>Balances on a beam</t>
        </is>
      </c>
      <c r="C14" s="23" t="inlineStr">
        <is>
          <t>Millie</t>
        </is>
      </c>
      <c r="D14" s="23" t="inlineStr">
        <is>
          <t>Mastered</t>
        </is>
      </c>
    </row>
    <row r="15">
      <c r="A15" s="26" t="inlineStr">
        <is>
          <t>Language</t>
        </is>
      </c>
      <c r="B15" s="27" t="inlineStr">
        <is>
          <t>Speaks in full sentences</t>
        </is>
      </c>
      <c r="C15" s="26" t="inlineStr">
        <is>
          <t>Millie</t>
        </is>
      </c>
      <c r="D15" s="26" t="inlineStr">
        <is>
          <t>Mastered</t>
        </is>
      </c>
    </row>
    <row r="16">
      <c r="A16" s="23" t="inlineStr">
        <is>
          <t>Language</t>
        </is>
      </c>
      <c r="B16" s="21" t="inlineStr">
        <is>
          <t>Follows 2-step directions</t>
        </is>
      </c>
      <c r="C16" s="23" t="inlineStr">
        <is>
          <t>Millie</t>
        </is>
      </c>
      <c r="D16" s="23" t="inlineStr">
        <is>
          <t>Mastered</t>
        </is>
      </c>
    </row>
    <row r="17">
      <c r="A17" s="26" t="inlineStr">
        <is>
          <t>Language</t>
        </is>
      </c>
      <c r="B17" s="27" t="inlineStr">
        <is>
          <t>Names 8+ colors</t>
        </is>
      </c>
      <c r="C17" s="26" t="inlineStr">
        <is>
          <t>Millie</t>
        </is>
      </c>
      <c r="D17" s="26" t="inlineStr">
        <is>
          <t>Mastered</t>
        </is>
      </c>
    </row>
    <row r="18">
      <c r="A18" s="23" t="inlineStr">
        <is>
          <t>Language</t>
        </is>
      </c>
      <c r="B18" s="21" t="inlineStr">
        <is>
          <t>Identifies rhyming words</t>
        </is>
      </c>
      <c r="C18" s="23" t="inlineStr">
        <is>
          <t>Millie</t>
        </is>
      </c>
      <c r="D18" s="23" t="inlineStr">
        <is>
          <t>Emerging</t>
        </is>
      </c>
    </row>
    <row r="19">
      <c r="A19" s="26" t="inlineStr">
        <is>
          <t>Language</t>
        </is>
      </c>
      <c r="B19" s="27" t="inlineStr">
        <is>
          <t>Uses 3–4 word sentences</t>
        </is>
      </c>
      <c r="C19" s="26" t="inlineStr">
        <is>
          <t>Owen</t>
        </is>
      </c>
      <c r="D19" s="26" t="inlineStr">
        <is>
          <t>Mastered</t>
        </is>
      </c>
    </row>
    <row r="20">
      <c r="A20" s="23" t="inlineStr">
        <is>
          <t>Pre-Math</t>
        </is>
      </c>
      <c r="B20" s="21" t="inlineStr">
        <is>
          <t>Counts to 20</t>
        </is>
      </c>
      <c r="C20" s="23" t="inlineStr">
        <is>
          <t>Millie</t>
        </is>
      </c>
      <c r="D20" s="23" t="inlineStr">
        <is>
          <t>Mastered</t>
        </is>
      </c>
    </row>
    <row r="21">
      <c r="A21" s="26" t="inlineStr">
        <is>
          <t>Pre-Math</t>
        </is>
      </c>
      <c r="B21" s="27" t="inlineStr">
        <is>
          <t>Counts to 10</t>
        </is>
      </c>
      <c r="C21" s="26" t="inlineStr">
        <is>
          <t>Owen</t>
        </is>
      </c>
      <c r="D21" s="26" t="inlineStr">
        <is>
          <t>Emerging</t>
        </is>
      </c>
    </row>
    <row r="22">
      <c r="A22" s="23" t="inlineStr">
        <is>
          <t>Pre-Math</t>
        </is>
      </c>
      <c r="B22" s="21" t="inlineStr">
        <is>
          <t>Sorts by color &amp; size</t>
        </is>
      </c>
      <c r="C22" s="23" t="inlineStr">
        <is>
          <t>Millie</t>
        </is>
      </c>
      <c r="D22" s="23" t="inlineStr">
        <is>
          <t>Mastered</t>
        </is>
      </c>
    </row>
    <row r="23">
      <c r="A23" s="26" t="inlineStr">
        <is>
          <t>Pre-Math</t>
        </is>
      </c>
      <c r="B23" s="27" t="inlineStr">
        <is>
          <t>Recognizes numerals 0–10</t>
        </is>
      </c>
      <c r="C23" s="26" t="inlineStr">
        <is>
          <t>Millie</t>
        </is>
      </c>
      <c r="D23" s="26" t="inlineStr">
        <is>
          <t>Emerging</t>
        </is>
      </c>
    </row>
    <row r="24">
      <c r="A24" s="23" t="inlineStr">
        <is>
          <t>Pre-Math</t>
        </is>
      </c>
      <c r="B24" s="21" t="inlineStr">
        <is>
          <t>Copies an AB pattern</t>
        </is>
      </c>
      <c r="C24" s="23" t="inlineStr">
        <is>
          <t>Millie</t>
        </is>
      </c>
      <c r="D24" s="23" t="inlineStr">
        <is>
          <t>Mastered</t>
        </is>
      </c>
    </row>
    <row r="25">
      <c r="A25" s="26" t="inlineStr">
        <is>
          <t>Pre-Math</t>
        </is>
      </c>
      <c r="B25" s="27" t="inlineStr">
        <is>
          <t>Names basic shapes</t>
        </is>
      </c>
      <c r="C25" s="26" t="inlineStr">
        <is>
          <t>Millie</t>
        </is>
      </c>
      <c r="D25" s="26" t="inlineStr">
        <is>
          <t>Mastered</t>
        </is>
      </c>
    </row>
    <row r="26">
      <c r="A26" s="23" t="inlineStr">
        <is>
          <t>Pre-Reading</t>
        </is>
      </c>
      <c r="B26" s="21" t="inlineStr">
        <is>
          <t>Recognizes own name</t>
        </is>
      </c>
      <c r="C26" s="23" t="inlineStr">
        <is>
          <t>Millie</t>
        </is>
      </c>
      <c r="D26" s="23" t="inlineStr">
        <is>
          <t>Mastered</t>
        </is>
      </c>
    </row>
    <row r="27">
      <c r="A27" s="26" t="inlineStr">
        <is>
          <t>Pre-Reading</t>
        </is>
      </c>
      <c r="B27" s="27" t="inlineStr">
        <is>
          <t>Knows most letters</t>
        </is>
      </c>
      <c r="C27" s="26" t="inlineStr">
        <is>
          <t>Millie</t>
        </is>
      </c>
      <c r="D27" s="26" t="inlineStr">
        <is>
          <t>Mastered</t>
        </is>
      </c>
    </row>
    <row r="28">
      <c r="A28" s="23" t="inlineStr">
        <is>
          <t>Pre-Reading</t>
        </is>
      </c>
      <c r="B28" s="21" t="inlineStr">
        <is>
          <t>Retells a simple story</t>
        </is>
      </c>
      <c r="C28" s="23" t="inlineStr">
        <is>
          <t>Millie</t>
        </is>
      </c>
      <c r="D28" s="23" t="inlineStr">
        <is>
          <t>Emerging</t>
        </is>
      </c>
    </row>
    <row r="29">
      <c r="A29" s="26" t="inlineStr">
        <is>
          <t>Pre-Reading</t>
        </is>
      </c>
      <c r="B29" s="27" t="inlineStr">
        <is>
          <t>Holds a book &amp; turns pages</t>
        </is>
      </c>
      <c r="C29" s="26" t="inlineStr">
        <is>
          <t>Owen</t>
        </is>
      </c>
      <c r="D29" s="26" t="inlineStr">
        <is>
          <t>Mastered</t>
        </is>
      </c>
    </row>
    <row r="30">
      <c r="A30" s="23" t="inlineStr">
        <is>
          <t>Pre-Reading</t>
        </is>
      </c>
      <c r="B30" s="21" t="inlineStr">
        <is>
          <t>Print awareness (left-to-right)</t>
        </is>
      </c>
      <c r="C30" s="23" t="inlineStr">
        <is>
          <t>Millie</t>
        </is>
      </c>
      <c r="D30" s="23" t="inlineStr">
        <is>
          <t>Emerging</t>
        </is>
      </c>
    </row>
    <row r="31">
      <c r="A31" s="26" t="inlineStr">
        <is>
          <t>Social-Emotional</t>
        </is>
      </c>
      <c r="B31" s="27" t="inlineStr">
        <is>
          <t>Takes turns</t>
        </is>
      </c>
      <c r="C31" s="26" t="inlineStr">
        <is>
          <t>Millie</t>
        </is>
      </c>
      <c r="D31" s="26" t="inlineStr">
        <is>
          <t>Mastered</t>
        </is>
      </c>
    </row>
    <row r="32">
      <c r="A32" s="23" t="inlineStr">
        <is>
          <t>Social-Emotional</t>
        </is>
      </c>
      <c r="B32" s="21" t="inlineStr">
        <is>
          <t>Shares with a reminder</t>
        </is>
      </c>
      <c r="C32" s="23" t="inlineStr">
        <is>
          <t>Owen</t>
        </is>
      </c>
      <c r="D32" s="23" t="inlineStr">
        <is>
          <t>Emerging</t>
        </is>
      </c>
    </row>
    <row r="33">
      <c r="A33" s="26" t="inlineStr">
        <is>
          <t>Social-Emotional</t>
        </is>
      </c>
      <c r="B33" s="27" t="inlineStr">
        <is>
          <t>Names her feelings</t>
        </is>
      </c>
      <c r="C33" s="26" t="inlineStr">
        <is>
          <t>Millie</t>
        </is>
      </c>
      <c r="D33" s="26" t="inlineStr">
        <is>
          <t>Mastered</t>
        </is>
      </c>
    </row>
    <row r="34">
      <c r="A34" s="23" t="inlineStr">
        <is>
          <t>Social-Emotional</t>
        </is>
      </c>
      <c r="B34" s="21" t="inlineStr">
        <is>
          <t>Separates from parent easily</t>
        </is>
      </c>
      <c r="C34" s="23" t="inlineStr">
        <is>
          <t>Millie</t>
        </is>
      </c>
      <c r="D34" s="23" t="inlineStr">
        <is>
          <t>Mastered</t>
        </is>
      </c>
    </row>
    <row r="35">
      <c r="A35" s="26" t="inlineStr">
        <is>
          <t>Self-Help</t>
        </is>
      </c>
      <c r="B35" s="27" t="inlineStr">
        <is>
          <t>Dresses self</t>
        </is>
      </c>
      <c r="C35" s="26" t="inlineStr">
        <is>
          <t>Millie</t>
        </is>
      </c>
      <c r="D35" s="26" t="inlineStr">
        <is>
          <t>Mastered</t>
        </is>
      </c>
    </row>
    <row r="36">
      <c r="A36" s="23" t="inlineStr">
        <is>
          <t>Self-Help</t>
        </is>
      </c>
      <c r="B36" s="21" t="inlineStr">
        <is>
          <t>Uses the toilet independently</t>
        </is>
      </c>
      <c r="C36" s="23" t="inlineStr">
        <is>
          <t>Millie</t>
        </is>
      </c>
      <c r="D36" s="23" t="inlineStr">
        <is>
          <t>Mastered</t>
        </is>
      </c>
    </row>
    <row r="37">
      <c r="A37" s="26" t="inlineStr">
        <is>
          <t>Self-Help</t>
        </is>
      </c>
      <c r="B37" s="27" t="inlineStr">
        <is>
          <t>Washes hands</t>
        </is>
      </c>
      <c r="C37" s="26" t="inlineStr">
        <is>
          <t>Owen</t>
        </is>
      </c>
      <c r="D37" s="26" t="inlineStr">
        <is>
          <t>Mastered</t>
        </is>
      </c>
    </row>
    <row r="38">
      <c r="A38" s="23" t="inlineStr">
        <is>
          <t>Self-Help</t>
        </is>
      </c>
      <c r="B38" s="21" t="inlineStr">
        <is>
          <t>Cleans up toys</t>
        </is>
      </c>
      <c r="C38" s="23" t="inlineStr">
        <is>
          <t>Owen</t>
        </is>
      </c>
      <c r="D38" s="23" t="inlineStr">
        <is>
          <t>Emerging</t>
        </is>
      </c>
    </row>
    <row r="39">
      <c r="A39" s="26" t="inlineStr">
        <is>
          <t>Self-Help</t>
        </is>
      </c>
      <c r="B39" s="27" t="inlineStr">
        <is>
          <t>Uses a fork &amp; spoon</t>
        </is>
      </c>
      <c r="C39" s="26" t="inlineStr">
        <is>
          <t>Owen</t>
        </is>
      </c>
      <c r="D39" s="26" t="inlineStr">
        <is>
          <t>Mastered</t>
        </is>
      </c>
    </row>
    <row r="40">
      <c r="A40" s="23" t="n"/>
      <c r="B40" s="21" t="n"/>
      <c r="C40" s="23" t="n"/>
      <c r="D40" s="23" t="n"/>
    </row>
    <row r="41">
      <c r="A41" s="26" t="n"/>
      <c r="B41" s="27" t="n"/>
      <c r="C41" s="26" t="n"/>
      <c r="D41" s="26" t="n"/>
    </row>
    <row r="42">
      <c r="A42" s="23" t="n"/>
      <c r="B42" s="21" t="n"/>
      <c r="C42" s="23" t="n"/>
      <c r="D42" s="23" t="n"/>
    </row>
    <row r="43">
      <c r="A43" s="26" t="n"/>
      <c r="B43" s="27" t="n"/>
      <c r="C43" s="26" t="n"/>
      <c r="D43" s="26" t="n"/>
    </row>
    <row r="44">
      <c r="A44" s="23" t="n"/>
      <c r="B44" s="21" t="n"/>
      <c r="C44" s="23" t="n"/>
      <c r="D44" s="23" t="n"/>
    </row>
    <row r="45">
      <c r="A45" s="26" t="n"/>
      <c r="B45" s="27" t="n"/>
      <c r="C45" s="26" t="n"/>
      <c r="D45" s="26" t="n"/>
    </row>
    <row r="46">
      <c r="A46" s="23" t="n"/>
      <c r="B46" s="21" t="n"/>
      <c r="C46" s="23" t="n"/>
      <c r="D46" s="23" t="n"/>
    </row>
    <row r="47">
      <c r="A47" s="26" t="n"/>
      <c r="B47" s="27" t="n"/>
      <c r="C47" s="26" t="n"/>
      <c r="D47" s="26" t="n"/>
    </row>
    <row r="48">
      <c r="A48" s="23" t="n"/>
      <c r="B48" s="21" t="n"/>
      <c r="C48" s="23" t="n"/>
      <c r="D48" s="23" t="n"/>
    </row>
    <row r="49">
      <c r="A49" s="26" t="n"/>
      <c r="B49" s="27" t="n"/>
      <c r="C49" s="26" t="n"/>
      <c r="D49" s="26" t="n"/>
    </row>
    <row r="51">
      <c r="B51" s="4" t="inlineStr">
        <is>
          <t>MASTERED BY DOMAIN</t>
        </is>
      </c>
    </row>
    <row r="52">
      <c r="B52" s="18" t="inlineStr">
        <is>
          <t>Fine Motor</t>
        </is>
      </c>
      <c r="C52" s="28">
        <f>COUNTIFS(SkillDomain,B52,SkillStatus,"Mastered")</f>
        <v/>
      </c>
    </row>
    <row r="53">
      <c r="B53" s="18" t="inlineStr">
        <is>
          <t>Gross Motor</t>
        </is>
      </c>
      <c r="C53" s="28">
        <f>COUNTIFS(SkillDomain,B53,SkillStatus,"Mastered")</f>
        <v/>
      </c>
    </row>
    <row r="54">
      <c r="B54" s="18" t="inlineStr">
        <is>
          <t>Language</t>
        </is>
      </c>
      <c r="C54" s="28">
        <f>COUNTIFS(SkillDomain,B54,SkillStatus,"Mastered")</f>
        <v/>
      </c>
    </row>
    <row r="55">
      <c r="B55" s="18" t="inlineStr">
        <is>
          <t>Pre-Math</t>
        </is>
      </c>
      <c r="C55" s="28">
        <f>COUNTIFS(SkillDomain,B55,SkillStatus,"Mastered")</f>
        <v/>
      </c>
    </row>
    <row r="56">
      <c r="B56" s="18" t="inlineStr">
        <is>
          <t>Pre-Reading</t>
        </is>
      </c>
      <c r="C56" s="28">
        <f>COUNTIFS(SkillDomain,B56,SkillStatus,"Mastered")</f>
        <v/>
      </c>
    </row>
    <row r="57">
      <c r="B57" s="18" t="inlineStr">
        <is>
          <t>Social-Emotional</t>
        </is>
      </c>
      <c r="C57" s="28">
        <f>COUNTIFS(SkillDomain,B57,SkillStatus,"Mastered")</f>
        <v/>
      </c>
    </row>
    <row r="58">
      <c r="B58" s="18" t="inlineStr">
        <is>
          <t>Self-Help</t>
        </is>
      </c>
      <c r="C58" s="28">
        <f>COUNTIFS(SkillDomain,B58,SkillStatus,"Mastered")</f>
        <v/>
      </c>
    </row>
  </sheetData>
  <mergeCells count="2">
    <mergeCell ref="A1:D1"/>
    <mergeCell ref="A2:D2"/>
  </mergeCells>
  <conditionalFormatting sqref="D5:D49">
    <cfRule type="cellIs" priority="1" operator="equal" dxfId="0">
      <formula>"Mastered"</formula>
    </cfRule>
    <cfRule type="cellIs" priority="2" operator="equal" dxfId="1">
      <formula>"Emerging"</formula>
    </cfRule>
    <cfRule type="cellIs" priority="3" operator="equal" dxfId="2">
      <formula>"Not Yet"</formula>
    </cfRule>
  </conditionalFormatting>
  <dataValidations count="2">
    <dataValidation sqref="A5:A49" showDropDown="0" showInputMessage="0" showErrorMessage="0" allowBlank="1" type="list">
      <formula1>=DomainList</formula1>
    </dataValidation>
    <dataValidation sqref="D5:D49" showDropDown="0" showInputMessage="0" showErrorMessage="0" allowBlank="1" type="list">
      <formula1>=SkillStatusList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26" customWidth="1" min="6" max="6"/>
    <col width="12" customWidth="1" min="7" max="7"/>
  </cols>
  <sheetData>
    <row r="1" ht="46" customHeight="1">
      <c r="A1" s="1" t="inlineStr">
        <is>
          <t xml:space="preserve">  🔤  ABC &amp; 123 MASTERY</t>
        </is>
      </c>
    </row>
    <row r="2" ht="22" customHeight="1">
      <c r="A2" s="2" t="inlineStr">
        <is>
          <t xml:space="preserve">  Letter by letter — recognizes, says the sound &amp; writes it. Set the focus child in the header note.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Letter</t>
        </is>
      </c>
      <c r="B4" s="9" t="inlineStr">
        <is>
          <t>Recognizes?</t>
        </is>
      </c>
      <c r="C4" s="9" t="inlineStr">
        <is>
          <t>Says Sound?</t>
        </is>
      </c>
      <c r="D4" s="9" t="inlineStr">
        <is>
          <t>Writes?</t>
        </is>
      </c>
      <c r="F4" s="9" t="inlineStr">
        <is>
          <t>COUNTING &amp; NUMBERS</t>
        </is>
      </c>
    </row>
    <row r="5">
      <c r="A5" s="26" t="inlineStr">
        <is>
          <t>A</t>
        </is>
      </c>
      <c r="B5" s="26" t="inlineStr">
        <is>
          <t>Yes</t>
        </is>
      </c>
      <c r="C5" s="26" t="inlineStr">
        <is>
          <t>Yes</t>
        </is>
      </c>
      <c r="D5" s="26" t="inlineStr">
        <is>
          <t>Yes</t>
        </is>
      </c>
      <c r="F5" s="24" t="inlineStr">
        <is>
          <t>Counts aloud to</t>
        </is>
      </c>
      <c r="G5" s="29" t="n">
        <v>20</v>
      </c>
    </row>
    <row r="6">
      <c r="A6" s="23" t="inlineStr">
        <is>
          <t>B</t>
        </is>
      </c>
      <c r="B6" s="23" t="inlineStr">
        <is>
          <t>Yes</t>
        </is>
      </c>
      <c r="C6" s="23" t="inlineStr">
        <is>
          <t>Yes</t>
        </is>
      </c>
      <c r="D6" s="23" t="inlineStr">
        <is>
          <t>Yes</t>
        </is>
      </c>
      <c r="F6" s="24" t="inlineStr">
        <is>
          <t>Recognizes numerals 0–</t>
        </is>
      </c>
      <c r="G6" s="29" t="n">
        <v>8</v>
      </c>
    </row>
    <row r="7">
      <c r="A7" s="26" t="inlineStr">
        <is>
          <t>C</t>
        </is>
      </c>
      <c r="B7" s="26" t="inlineStr">
        <is>
          <t>Yes</t>
        </is>
      </c>
      <c r="C7" s="26" t="inlineStr">
        <is>
          <t>Yes</t>
        </is>
      </c>
      <c r="D7" s="26" t="inlineStr">
        <is>
          <t>No</t>
        </is>
      </c>
      <c r="F7" s="24" t="inlineStr">
        <is>
          <t>1:1 correspondence to</t>
        </is>
      </c>
      <c r="G7" s="29" t="n">
        <v>12</v>
      </c>
    </row>
    <row r="8">
      <c r="A8" s="23" t="inlineStr">
        <is>
          <t>D</t>
        </is>
      </c>
      <c r="B8" s="23" t="inlineStr">
        <is>
          <t>Yes</t>
        </is>
      </c>
      <c r="C8" s="23" t="inlineStr">
        <is>
          <t>Yes</t>
        </is>
      </c>
      <c r="D8" s="23" t="inlineStr">
        <is>
          <t>No</t>
        </is>
      </c>
      <c r="F8" s="24" t="inlineStr">
        <is>
          <t>Writes numerals 0–</t>
        </is>
      </c>
      <c r="G8" s="29" t="n">
        <v>5</v>
      </c>
    </row>
    <row r="9">
      <c r="A9" s="26" t="inlineStr">
        <is>
          <t>E</t>
        </is>
      </c>
      <c r="B9" s="26" t="inlineStr">
        <is>
          <t>Yes</t>
        </is>
      </c>
      <c r="C9" s="26" t="inlineStr">
        <is>
          <t>Yes</t>
        </is>
      </c>
      <c r="D9" s="26" t="inlineStr">
        <is>
          <t>Yes</t>
        </is>
      </c>
    </row>
    <row r="10">
      <c r="A10" s="23" t="inlineStr">
        <is>
          <t>F</t>
        </is>
      </c>
      <c r="B10" s="23" t="inlineStr">
        <is>
          <t>Yes</t>
        </is>
      </c>
      <c r="C10" s="23" t="inlineStr">
        <is>
          <t>Yes</t>
        </is>
      </c>
      <c r="D10" s="23" t="inlineStr">
        <is>
          <t>No</t>
        </is>
      </c>
      <c r="F10" s="24" t="inlineStr">
        <is>
          <t>LETTERS KNOWN (of 26)</t>
        </is>
      </c>
      <c r="G10" s="30">
        <f>COUNTIF(AbcRecognize,"Yes")</f>
        <v/>
      </c>
    </row>
    <row r="11">
      <c r="A11" s="26" t="inlineStr">
        <is>
          <t>G</t>
        </is>
      </c>
      <c r="B11" s="26" t="inlineStr">
        <is>
          <t>Yes</t>
        </is>
      </c>
      <c r="C11" s="26" t="inlineStr">
        <is>
          <t>Yes</t>
        </is>
      </c>
      <c r="D11" s="26" t="inlineStr">
        <is>
          <t>No</t>
        </is>
      </c>
    </row>
    <row r="12">
      <c r="A12" s="23" t="inlineStr">
        <is>
          <t>H</t>
        </is>
      </c>
      <c r="B12" s="23" t="inlineStr">
        <is>
          <t>Yes</t>
        </is>
      </c>
      <c r="C12" s="23" t="inlineStr">
        <is>
          <t>Yes</t>
        </is>
      </c>
      <c r="D12" s="23" t="inlineStr">
        <is>
          <t>Yes</t>
        </is>
      </c>
    </row>
    <row r="13">
      <c r="A13" s="26" t="inlineStr">
        <is>
          <t>I</t>
        </is>
      </c>
      <c r="B13" s="26" t="inlineStr">
        <is>
          <t>Yes</t>
        </is>
      </c>
      <c r="C13" s="26" t="inlineStr">
        <is>
          <t>Yes</t>
        </is>
      </c>
      <c r="D13" s="26" t="inlineStr">
        <is>
          <t>Yes</t>
        </is>
      </c>
    </row>
    <row r="14">
      <c r="A14" s="23" t="inlineStr">
        <is>
          <t>J</t>
        </is>
      </c>
      <c r="B14" s="23" t="inlineStr">
        <is>
          <t>Yes</t>
        </is>
      </c>
      <c r="C14" s="23" t="inlineStr">
        <is>
          <t>Yes</t>
        </is>
      </c>
      <c r="D14" s="23" t="inlineStr">
        <is>
          <t>No</t>
        </is>
      </c>
    </row>
    <row r="15">
      <c r="A15" s="26" t="inlineStr">
        <is>
          <t>K</t>
        </is>
      </c>
      <c r="B15" s="26" t="inlineStr">
        <is>
          <t>Yes</t>
        </is>
      </c>
      <c r="C15" s="26" t="inlineStr">
        <is>
          <t>Yes</t>
        </is>
      </c>
      <c r="D15" s="26" t="inlineStr">
        <is>
          <t>No</t>
        </is>
      </c>
    </row>
    <row r="16">
      <c r="A16" s="23" t="inlineStr">
        <is>
          <t>L</t>
        </is>
      </c>
      <c r="B16" s="23" t="inlineStr">
        <is>
          <t>Yes</t>
        </is>
      </c>
      <c r="C16" s="23" t="inlineStr">
        <is>
          <t>Yes</t>
        </is>
      </c>
      <c r="D16" s="23" t="inlineStr">
        <is>
          <t>Yes</t>
        </is>
      </c>
    </row>
    <row r="17">
      <c r="A17" s="26" t="inlineStr">
        <is>
          <t>M</t>
        </is>
      </c>
      <c r="B17" s="26" t="inlineStr">
        <is>
          <t>Yes</t>
        </is>
      </c>
      <c r="C17" s="26" t="inlineStr">
        <is>
          <t>Yes</t>
        </is>
      </c>
      <c r="D17" s="26" t="inlineStr">
        <is>
          <t>Yes</t>
        </is>
      </c>
    </row>
    <row r="18">
      <c r="A18" s="23" t="inlineStr">
        <is>
          <t>N</t>
        </is>
      </c>
      <c r="B18" s="23" t="inlineStr">
        <is>
          <t>Yes</t>
        </is>
      </c>
      <c r="C18" s="23" t="inlineStr">
        <is>
          <t>Yes</t>
        </is>
      </c>
      <c r="D18" s="23" t="inlineStr">
        <is>
          <t>No</t>
        </is>
      </c>
    </row>
    <row r="19">
      <c r="A19" s="26" t="inlineStr">
        <is>
          <t>O</t>
        </is>
      </c>
      <c r="B19" s="26" t="inlineStr">
        <is>
          <t>Yes</t>
        </is>
      </c>
      <c r="C19" s="26" t="inlineStr">
        <is>
          <t>Yes</t>
        </is>
      </c>
      <c r="D19" s="26" t="inlineStr">
        <is>
          <t>Yes</t>
        </is>
      </c>
    </row>
    <row r="20">
      <c r="A20" s="23" t="inlineStr">
        <is>
          <t>P</t>
        </is>
      </c>
      <c r="B20" s="23" t="inlineStr">
        <is>
          <t>Yes</t>
        </is>
      </c>
      <c r="C20" s="23" t="inlineStr">
        <is>
          <t>Yes</t>
        </is>
      </c>
      <c r="D20" s="23" t="inlineStr">
        <is>
          <t>Yes</t>
        </is>
      </c>
    </row>
    <row r="21">
      <c r="A21" s="26" t="inlineStr">
        <is>
          <t>Q</t>
        </is>
      </c>
      <c r="B21" s="26" t="inlineStr">
        <is>
          <t>No</t>
        </is>
      </c>
      <c r="C21" s="26" t="inlineStr">
        <is>
          <t>No</t>
        </is>
      </c>
      <c r="D21" s="26" t="inlineStr">
        <is>
          <t>No</t>
        </is>
      </c>
    </row>
    <row r="22">
      <c r="A22" s="23" t="inlineStr">
        <is>
          <t>R</t>
        </is>
      </c>
      <c r="B22" s="23" t="inlineStr">
        <is>
          <t>Yes</t>
        </is>
      </c>
      <c r="C22" s="23" t="inlineStr">
        <is>
          <t>Yes</t>
        </is>
      </c>
      <c r="D22" s="23" t="inlineStr">
        <is>
          <t>Yes</t>
        </is>
      </c>
    </row>
    <row r="23">
      <c r="A23" s="26" t="inlineStr">
        <is>
          <t>S</t>
        </is>
      </c>
      <c r="B23" s="26" t="inlineStr">
        <is>
          <t>Yes</t>
        </is>
      </c>
      <c r="C23" s="26" t="inlineStr">
        <is>
          <t>Yes</t>
        </is>
      </c>
      <c r="D23" s="26" t="inlineStr">
        <is>
          <t>Yes</t>
        </is>
      </c>
    </row>
    <row r="24">
      <c r="A24" s="23" t="inlineStr">
        <is>
          <t>T</t>
        </is>
      </c>
      <c r="B24" s="23" t="inlineStr">
        <is>
          <t>Yes</t>
        </is>
      </c>
      <c r="C24" s="23" t="inlineStr">
        <is>
          <t>Yes</t>
        </is>
      </c>
      <c r="D24" s="23" t="inlineStr">
        <is>
          <t>Yes</t>
        </is>
      </c>
    </row>
    <row r="25">
      <c r="A25" s="26" t="inlineStr">
        <is>
          <t>U</t>
        </is>
      </c>
      <c r="B25" s="26" t="inlineStr">
        <is>
          <t>Yes</t>
        </is>
      </c>
      <c r="C25" s="26" t="inlineStr">
        <is>
          <t>No</t>
        </is>
      </c>
      <c r="D25" s="26" t="inlineStr">
        <is>
          <t>No</t>
        </is>
      </c>
    </row>
    <row r="26">
      <c r="A26" s="23" t="inlineStr">
        <is>
          <t>V</t>
        </is>
      </c>
      <c r="B26" s="23" t="inlineStr">
        <is>
          <t>Yes</t>
        </is>
      </c>
      <c r="C26" s="23" t="inlineStr">
        <is>
          <t>No</t>
        </is>
      </c>
      <c r="D26" s="23" t="inlineStr">
        <is>
          <t>No</t>
        </is>
      </c>
    </row>
    <row r="27">
      <c r="A27" s="26" t="inlineStr">
        <is>
          <t>W</t>
        </is>
      </c>
      <c r="B27" s="26" t="inlineStr">
        <is>
          <t>Yes</t>
        </is>
      </c>
      <c r="C27" s="26" t="inlineStr">
        <is>
          <t>Yes</t>
        </is>
      </c>
      <c r="D27" s="26" t="inlineStr">
        <is>
          <t>No</t>
        </is>
      </c>
    </row>
    <row r="28">
      <c r="A28" s="23" t="inlineStr">
        <is>
          <t>X</t>
        </is>
      </c>
      <c r="B28" s="23" t="inlineStr">
        <is>
          <t>No</t>
        </is>
      </c>
      <c r="C28" s="23" t="inlineStr">
        <is>
          <t>No</t>
        </is>
      </c>
      <c r="D28" s="23" t="inlineStr">
        <is>
          <t>No</t>
        </is>
      </c>
    </row>
    <row r="29">
      <c r="A29" s="26" t="inlineStr">
        <is>
          <t>Y</t>
        </is>
      </c>
      <c r="B29" s="26" t="inlineStr">
        <is>
          <t>Yes</t>
        </is>
      </c>
      <c r="C29" s="26" t="inlineStr">
        <is>
          <t>No</t>
        </is>
      </c>
      <c r="D29" s="26" t="inlineStr">
        <is>
          <t>No</t>
        </is>
      </c>
    </row>
    <row r="30">
      <c r="A30" s="23" t="inlineStr">
        <is>
          <t>Z</t>
        </is>
      </c>
      <c r="B30" s="23" t="inlineStr">
        <is>
          <t>Yes</t>
        </is>
      </c>
      <c r="C30" s="23" t="inlineStr">
        <is>
          <t>No</t>
        </is>
      </c>
      <c r="D30" s="23" t="inlineStr">
        <is>
          <t>No</t>
        </is>
      </c>
    </row>
  </sheetData>
  <mergeCells count="2">
    <mergeCell ref="A1:D1"/>
    <mergeCell ref="A2:D2"/>
  </mergeCells>
  <conditionalFormatting sqref="B5:B30">
    <cfRule type="cellIs" priority="1" operator="equal" dxfId="0">
      <formula>"Yes"</formula>
    </cfRule>
  </conditionalFormatting>
  <conditionalFormatting sqref="C5:C30">
    <cfRule type="cellIs" priority="2" operator="equal" dxfId="0">
      <formula>"Yes"</formula>
    </cfRule>
  </conditionalFormatting>
  <conditionalFormatting sqref="D5:D30">
    <cfRule type="cellIs" priority="3" operator="equal" dxfId="0">
      <formula>"Yes"</formula>
    </cfRule>
  </conditionalFormatting>
  <dataValidations count="3">
    <dataValidation sqref="B5:B30" showDropDown="0" showInputMessage="0" showErrorMessage="0" allowBlank="1" type="list">
      <formula1>=YesNoList</formula1>
    </dataValidation>
    <dataValidation sqref="C5:C30" showDropDown="0" showInputMessage="0" showErrorMessage="0" allowBlank="1" type="list">
      <formula1>=YesNoList</formula1>
    </dataValidation>
    <dataValidation sqref="D5:D30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</cols>
  <sheetData>
    <row r="1" ht="46" customHeight="1">
      <c r="A1" s="1" t="inlineStr">
        <is>
          <t xml:space="preserve">  🗓  WEEKLY THEMES</t>
        </is>
      </c>
    </row>
    <row r="2" ht="22" customHeight="1">
      <c r="A2" s="2" t="inlineStr">
        <is>
          <t xml:space="preserve">  A gentle theme a week — pair a letter, a few books and some play. Plan the whole year at a glance.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Theme</t>
        </is>
      </c>
      <c r="B4" s="9" t="inlineStr">
        <is>
          <t>Focus / Letter</t>
        </is>
      </c>
      <c r="C4" s="9" t="inlineStr">
        <is>
          <t>Status</t>
        </is>
      </c>
    </row>
    <row r="5">
      <c r="A5" s="27" t="inlineStr">
        <is>
          <t>All About Me</t>
        </is>
      </c>
      <c r="B5" s="27" t="inlineStr">
        <is>
          <t>Letter M · self &amp; family</t>
        </is>
      </c>
      <c r="C5" s="26" t="inlineStr">
        <is>
          <t>Done</t>
        </is>
      </c>
    </row>
    <row r="6">
      <c r="A6" s="21" t="inlineStr">
        <is>
          <t>My Family &amp; Home</t>
        </is>
      </c>
      <c r="B6" s="21" t="inlineStr">
        <is>
          <t>Letter F · homes</t>
        </is>
      </c>
      <c r="C6" s="23" t="inlineStr">
        <is>
          <t>Done</t>
        </is>
      </c>
    </row>
    <row r="7">
      <c r="A7" s="27" t="inlineStr">
        <is>
          <t>Fall &amp; Leaves</t>
        </is>
      </c>
      <c r="B7" s="27" t="inlineStr">
        <is>
          <t>Letter L · seasons</t>
        </is>
      </c>
      <c r="C7" s="26" t="inlineStr">
        <is>
          <t>Done</t>
        </is>
      </c>
    </row>
    <row r="8">
      <c r="A8" s="21" t="inlineStr">
        <is>
          <t>Farm Animals</t>
        </is>
      </c>
      <c r="B8" s="21" t="inlineStr">
        <is>
          <t>Letter A · animal sounds</t>
        </is>
      </c>
      <c r="C8" s="23" t="inlineStr">
        <is>
          <t>Done</t>
        </is>
      </c>
    </row>
    <row r="9">
      <c r="A9" s="27" t="inlineStr">
        <is>
          <t>Community Helpers</t>
        </is>
      </c>
      <c r="B9" s="27" t="inlineStr">
        <is>
          <t>Letter H · jobs</t>
        </is>
      </c>
      <c r="C9" s="26" t="inlineStr">
        <is>
          <t>Done</t>
        </is>
      </c>
    </row>
    <row r="10">
      <c r="A10" s="21" t="inlineStr">
        <is>
          <t>Pumpkins &amp; Harvest</t>
        </is>
      </c>
      <c r="B10" s="21" t="inlineStr">
        <is>
          <t>Letter P · counting</t>
        </is>
      </c>
      <c r="C10" s="23" t="inlineStr">
        <is>
          <t>Done</t>
        </is>
      </c>
    </row>
    <row r="11">
      <c r="A11" s="27" t="inlineStr">
        <is>
          <t>Colors &amp; Shapes</t>
        </is>
      </c>
      <c r="B11" s="27" t="inlineStr">
        <is>
          <t>Sorting · patterns</t>
        </is>
      </c>
      <c r="C11" s="26" t="inlineStr">
        <is>
          <t>Done</t>
        </is>
      </c>
    </row>
    <row r="12">
      <c r="A12" s="21" t="inlineStr">
        <is>
          <t>Weather &amp; Seasons</t>
        </is>
      </c>
      <c r="B12" s="21" t="inlineStr">
        <is>
          <t>Letter W · calendar</t>
        </is>
      </c>
      <c r="C12" s="23" t="inlineStr">
        <is>
          <t>In Progress</t>
        </is>
      </c>
    </row>
    <row r="13">
      <c r="A13" s="27" t="inlineStr">
        <is>
          <t>Under the Sea</t>
        </is>
      </c>
      <c r="B13" s="27" t="inlineStr">
        <is>
          <t>Letter S · ocean</t>
        </is>
      </c>
      <c r="C13" s="26" t="inlineStr">
        <is>
          <t>Upcoming</t>
        </is>
      </c>
    </row>
    <row r="14">
      <c r="A14" s="21" t="inlineStr">
        <is>
          <t>Outer Space</t>
        </is>
      </c>
      <c r="B14" s="21" t="inlineStr">
        <is>
          <t>Letter R · rockets</t>
        </is>
      </c>
      <c r="C14" s="23" t="inlineStr">
        <is>
          <t>Upcoming</t>
        </is>
      </c>
    </row>
    <row r="15">
      <c r="A15" s="27" t="inlineStr">
        <is>
          <t>Dinosaurs</t>
        </is>
      </c>
      <c r="B15" s="27" t="inlineStr">
        <is>
          <t>Letter D · big/small</t>
        </is>
      </c>
      <c r="C15" s="26" t="inlineStr">
        <is>
          <t>Upcoming</t>
        </is>
      </c>
    </row>
    <row r="16">
      <c r="A16" s="21" t="inlineStr">
        <is>
          <t>Spring &amp; Bugs</t>
        </is>
      </c>
      <c r="B16" s="21" t="inlineStr">
        <is>
          <t>Letter B · life cycles</t>
        </is>
      </c>
      <c r="C16" s="23" t="inlineStr">
        <is>
          <t>Upcoming</t>
        </is>
      </c>
    </row>
    <row r="17">
      <c r="A17" s="27" t="inlineStr">
        <is>
          <t>Transportation</t>
        </is>
      </c>
      <c r="B17" s="27" t="inlineStr">
        <is>
          <t>Letter T · go/stop</t>
        </is>
      </c>
      <c r="C17" s="26" t="inlineStr">
        <is>
          <t>Upcoming</t>
        </is>
      </c>
    </row>
    <row r="18">
      <c r="A18" s="21" t="inlineStr">
        <is>
          <t>Zoo Animals</t>
        </is>
      </c>
      <c r="B18" s="21" t="inlineStr">
        <is>
          <t>Letter Z · habitats</t>
        </is>
      </c>
      <c r="C18" s="23" t="inlineStr">
        <is>
          <t>Upcoming</t>
        </is>
      </c>
    </row>
    <row r="19">
      <c r="A19" s="27" t="n"/>
      <c r="B19" s="27" t="n"/>
      <c r="C19" s="26" t="n"/>
    </row>
    <row r="20">
      <c r="A20" s="21" t="n"/>
      <c r="B20" s="21" t="n"/>
      <c r="C20" s="23" t="n"/>
    </row>
    <row r="21">
      <c r="A21" s="27" t="n"/>
      <c r="B21" s="27" t="n"/>
      <c r="C21" s="26" t="n"/>
    </row>
    <row r="22">
      <c r="A22" s="21" t="n"/>
      <c r="B22" s="21" t="n"/>
      <c r="C22" s="23" t="n"/>
    </row>
    <row r="23">
      <c r="A23" s="27" t="n"/>
      <c r="B23" s="27" t="n"/>
      <c r="C23" s="26" t="n"/>
    </row>
    <row r="24">
      <c r="A24" s="21" t="n"/>
      <c r="B24" s="21" t="n"/>
      <c r="C24" s="23" t="n"/>
    </row>
    <row r="25">
      <c r="A25" s="27" t="n"/>
      <c r="B25" s="27" t="n"/>
      <c r="C25" s="26" t="n"/>
    </row>
    <row r="26">
      <c r="A26" s="21" t="n"/>
      <c r="B26" s="21" t="n"/>
      <c r="C26" s="23" t="n"/>
    </row>
    <row r="27">
      <c r="A27" s="27" t="n"/>
      <c r="B27" s="27" t="n"/>
      <c r="C27" s="26" t="n"/>
    </row>
    <row r="28">
      <c r="A28" s="21" t="n"/>
      <c r="B28" s="21" t="n"/>
      <c r="C28" s="23" t="n"/>
    </row>
    <row r="29">
      <c r="A29" s="27" t="n"/>
      <c r="B29" s="27" t="n"/>
      <c r="C29" s="26" t="n"/>
    </row>
    <row r="30">
      <c r="A30" s="21" t="n"/>
      <c r="B30" s="21" t="n"/>
      <c r="C30" s="23" t="n"/>
    </row>
    <row r="31">
      <c r="A31" s="27" t="n"/>
      <c r="B31" s="27" t="n"/>
      <c r="C31" s="26" t="n"/>
    </row>
    <row r="32">
      <c r="A32" s="21" t="n"/>
      <c r="B32" s="21" t="n"/>
      <c r="C32" s="23" t="n"/>
    </row>
    <row r="33">
      <c r="A33" s="27" t="n"/>
      <c r="B33" s="27" t="n"/>
      <c r="C33" s="26" t="n"/>
    </row>
    <row r="34">
      <c r="A34" s="21" t="n"/>
      <c r="B34" s="21" t="n"/>
      <c r="C34" s="23" t="n"/>
    </row>
  </sheetData>
  <mergeCells count="2">
    <mergeCell ref="A1:C1"/>
    <mergeCell ref="A2:C2"/>
  </mergeCells>
  <conditionalFormatting sqref="C5:C3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"Upcoming"</formula>
    </cfRule>
  </conditionalFormatting>
  <dataValidations count="1">
    <dataValidation sqref="C5:C34" showDropDown="0" showInputMessage="0" showErrorMessage="0" allowBlank="1" type="list">
      <formula1>=ThemeStatusList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26" customWidth="1" min="3" max="3"/>
    <col width="30" customWidth="1" min="4" max="4"/>
    <col width="2" customWidth="1" min="5" max="5"/>
  </cols>
  <sheetData>
    <row r="1" ht="46" customHeight="1">
      <c r="A1" s="1" t="inlineStr">
        <is>
          <t xml:space="preserve">  🌤  DAILY RHYTHM &amp; CIRCLE TIME</t>
        </is>
      </c>
    </row>
    <row r="2" ht="22" customHeight="1">
      <c r="A2" s="2" t="inlineStr">
        <is>
          <t xml:space="preserve">  A loose, repeatable flow — little ones thrive on rhythm, not a rigid clock.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When</t>
        </is>
      </c>
      <c r="C4" s="9" t="inlineStr">
        <is>
          <t>Block</t>
        </is>
      </c>
      <c r="D4" s="9" t="inlineStr">
        <is>
          <t>What we do</t>
        </is>
      </c>
    </row>
    <row r="5">
      <c r="B5" s="20" t="inlineStr">
        <is>
          <t>Morning</t>
        </is>
      </c>
      <c r="C5" s="18" t="inlineStr">
        <is>
          <t>Welcome &amp; breakfast</t>
        </is>
      </c>
      <c r="D5" s="18" t="inlineStr">
        <is>
          <t>Free play while the day gets going</t>
        </is>
      </c>
    </row>
    <row r="6">
      <c r="B6" s="23" t="inlineStr">
        <is>
          <t>~9:00</t>
        </is>
      </c>
      <c r="C6" s="21" t="inlineStr">
        <is>
          <t>Circle time</t>
        </is>
      </c>
      <c r="D6" s="21" t="inlineStr">
        <is>
          <t>Calendar, weather, songs, letter &amp; theme intro</t>
        </is>
      </c>
    </row>
    <row r="7">
      <c r="B7" s="20" t="inlineStr">
        <is>
          <t>~9:30</t>
        </is>
      </c>
      <c r="C7" s="18" t="inlineStr">
        <is>
          <t>Theme activity</t>
        </is>
      </c>
      <c r="D7" s="18" t="inlineStr">
        <is>
          <t>The day's planned play-based activity</t>
        </is>
      </c>
    </row>
    <row r="8">
      <c r="B8" s="23" t="inlineStr">
        <is>
          <t>~10:00</t>
        </is>
      </c>
      <c r="C8" s="21" t="inlineStr">
        <is>
          <t>Snack &amp; story</t>
        </is>
      </c>
      <c r="D8" s="21" t="inlineStr">
        <is>
          <t>Snack + a theme read-aloud</t>
        </is>
      </c>
    </row>
    <row r="9">
      <c r="B9" s="20" t="inlineStr">
        <is>
          <t>~10:30</t>
        </is>
      </c>
      <c r="C9" s="18" t="inlineStr">
        <is>
          <t>Outside / gross motor</t>
        </is>
      </c>
      <c r="D9" s="18" t="inlineStr">
        <is>
          <t>Nature walk, park or backyard play</t>
        </is>
      </c>
    </row>
    <row r="10">
      <c r="B10" s="23" t="inlineStr">
        <is>
          <t>~11:15</t>
        </is>
      </c>
      <c r="C10" s="21" t="inlineStr">
        <is>
          <t>Table time</t>
        </is>
      </c>
      <c r="D10" s="21" t="inlineStr">
        <is>
          <t>ABC/123, fine-motor tray, art or sensory bin</t>
        </is>
      </c>
    </row>
    <row r="11">
      <c r="B11" s="20" t="inlineStr">
        <is>
          <t>Noon</t>
        </is>
      </c>
      <c r="C11" s="18" t="inlineStr">
        <is>
          <t>Lunch &amp; rest</t>
        </is>
      </c>
      <c r="D11" s="18" t="inlineStr">
        <is>
          <t>Lunch, then quiet time or nap</t>
        </is>
      </c>
    </row>
    <row r="12">
      <c r="B12" s="23" t="inlineStr">
        <is>
          <t>Afternoon</t>
        </is>
      </c>
      <c r="C12" s="21" t="inlineStr">
        <is>
          <t>Open play</t>
        </is>
      </c>
      <c r="D12" s="21" t="inlineStr">
        <is>
          <t>Blocks, dramatic play, puzzles, books</t>
        </is>
      </c>
    </row>
    <row r="13">
      <c r="B13" s="20" t="inlineStr">
        <is>
          <t>Late day</t>
        </is>
      </c>
      <c r="C13" s="18" t="inlineStr">
        <is>
          <t>Tidy &amp; wind-down</t>
        </is>
      </c>
      <c r="D13" s="18" t="inlineStr">
        <is>
          <t>Clean-up song, one more story, reflect</t>
        </is>
      </c>
    </row>
    <row r="15">
      <c r="B15" s="4" t="inlineStr">
        <is>
          <t>Follow your child: skip, swap or repeat blocks freely. Consistency of order matters more than the clock.</t>
        </is>
      </c>
    </row>
  </sheetData>
  <mergeCells count="3">
    <mergeCell ref="B15:D15"/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4" customWidth="1" min="4" max="4"/>
  </cols>
  <sheetData>
    <row r="1" ht="46" customHeight="1">
      <c r="A1" s="1" t="inlineStr">
        <is>
          <t xml:space="preserve">  🎨  ACTIVITY PLANNER</t>
        </is>
      </c>
    </row>
    <row r="2" ht="22" customHeight="1">
      <c r="A2" s="2" t="inlineStr">
        <is>
          <t xml:space="preserve">  Play with a purpose — every activity tagged to a theme and a skill. Plan it, do it, check it off.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Theme / Area</t>
        </is>
      </c>
      <c r="B4" s="9" t="inlineStr">
        <is>
          <t>Activity</t>
        </is>
      </c>
      <c r="C4" s="9" t="inlineStr">
        <is>
          <t>Skill Domain</t>
        </is>
      </c>
      <c r="D4" s="9" t="inlineStr">
        <is>
          <t>Status</t>
        </is>
      </c>
    </row>
    <row r="5">
      <c r="A5" s="26" t="inlineStr">
        <is>
          <t>All About Me</t>
        </is>
      </c>
      <c r="B5" s="27" t="inlineStr">
        <is>
          <t>Paint a self-portrait</t>
        </is>
      </c>
      <c r="C5" s="26" t="inlineStr">
        <is>
          <t>Fine Motor</t>
        </is>
      </c>
      <c r="D5" s="26" t="inlineStr">
        <is>
          <t>Done</t>
        </is>
      </c>
    </row>
    <row r="6">
      <c r="A6" s="23" t="inlineStr">
        <is>
          <t>All About Me</t>
        </is>
      </c>
      <c r="B6" s="21" t="inlineStr">
        <is>
          <t>Name puzzle with letters</t>
        </is>
      </c>
      <c r="C6" s="23" t="inlineStr">
        <is>
          <t>Pre-Reading</t>
        </is>
      </c>
      <c r="D6" s="23" t="inlineStr">
        <is>
          <t>Done</t>
        </is>
      </c>
    </row>
    <row r="7">
      <c r="A7" s="26" t="inlineStr">
        <is>
          <t>My Family</t>
        </is>
      </c>
      <c r="B7" s="27" t="inlineStr">
        <is>
          <t>Family photo sorting &amp; counting</t>
        </is>
      </c>
      <c r="C7" s="26" t="inlineStr">
        <is>
          <t>Pre-Math</t>
        </is>
      </c>
      <c r="D7" s="26" t="inlineStr">
        <is>
          <t>Done</t>
        </is>
      </c>
    </row>
    <row r="8">
      <c r="A8" s="23" t="inlineStr">
        <is>
          <t>Fall &amp; Leaves</t>
        </is>
      </c>
      <c r="B8" s="21" t="inlineStr">
        <is>
          <t>Leaf-rubbing crayon art</t>
        </is>
      </c>
      <c r="C8" s="23" t="inlineStr">
        <is>
          <t>Fine Motor</t>
        </is>
      </c>
      <c r="D8" s="23" t="inlineStr">
        <is>
          <t>Done</t>
        </is>
      </c>
    </row>
    <row r="9">
      <c r="A9" s="26" t="inlineStr">
        <is>
          <t>Fall &amp; Leaves</t>
        </is>
      </c>
      <c r="B9" s="27" t="inlineStr">
        <is>
          <t>Nature walk &amp; leaf hunt</t>
        </is>
      </c>
      <c r="C9" s="26" t="inlineStr">
        <is>
          <t>Gross Motor</t>
        </is>
      </c>
      <c r="D9" s="26" t="inlineStr">
        <is>
          <t>Done</t>
        </is>
      </c>
    </row>
    <row r="10">
      <c r="A10" s="23" t="inlineStr">
        <is>
          <t>Farm Animals</t>
        </is>
      </c>
      <c r="B10" s="21" t="inlineStr">
        <is>
          <t>Animal-sound matching game</t>
        </is>
      </c>
      <c r="C10" s="23" t="inlineStr">
        <is>
          <t>Language</t>
        </is>
      </c>
      <c r="D10" s="23" t="inlineStr">
        <is>
          <t>Done</t>
        </is>
      </c>
    </row>
    <row r="11">
      <c r="A11" s="26" t="inlineStr">
        <is>
          <t>Farm Animals</t>
        </is>
      </c>
      <c r="B11" s="27" t="inlineStr">
        <is>
          <t>Count the farm animals 1–10</t>
        </is>
      </c>
      <c r="C11" s="26" t="inlineStr">
        <is>
          <t>Pre-Math</t>
        </is>
      </c>
      <c r="D11" s="26" t="inlineStr">
        <is>
          <t>Done</t>
        </is>
      </c>
    </row>
    <row r="12">
      <c r="A12" s="23" t="inlineStr">
        <is>
          <t>Community Helpers</t>
        </is>
      </c>
      <c r="B12" s="21" t="inlineStr">
        <is>
          <t>Dress-up dramatic play</t>
        </is>
      </c>
      <c r="C12" s="23" t="inlineStr">
        <is>
          <t>Social-Emotional</t>
        </is>
      </c>
      <c r="D12" s="23" t="inlineStr">
        <is>
          <t>Done</t>
        </is>
      </c>
    </row>
    <row r="13">
      <c r="A13" s="26" t="inlineStr">
        <is>
          <t>Pumpkins</t>
        </is>
      </c>
      <c r="B13" s="27" t="inlineStr">
        <is>
          <t>Pumpkin sensory bin</t>
        </is>
      </c>
      <c r="C13" s="26" t="inlineStr">
        <is>
          <t>Fine Motor</t>
        </is>
      </c>
      <c r="D13" s="26" t="inlineStr">
        <is>
          <t>Done</t>
        </is>
      </c>
    </row>
    <row r="14">
      <c r="A14" s="23" t="inlineStr">
        <is>
          <t>Pumpkins</t>
        </is>
      </c>
      <c r="B14" s="21" t="inlineStr">
        <is>
          <t>Pumpkin seed counting</t>
        </is>
      </c>
      <c r="C14" s="23" t="inlineStr">
        <is>
          <t>Pre-Math</t>
        </is>
      </c>
      <c r="D14" s="23" t="inlineStr">
        <is>
          <t>Done</t>
        </is>
      </c>
    </row>
    <row r="15">
      <c r="A15" s="26" t="inlineStr">
        <is>
          <t>Colors &amp; Shapes</t>
        </is>
      </c>
      <c r="B15" s="27" t="inlineStr">
        <is>
          <t>Shape hunt around the house</t>
        </is>
      </c>
      <c r="C15" s="26" t="inlineStr">
        <is>
          <t>Pre-Math</t>
        </is>
      </c>
      <c r="D15" s="26" t="inlineStr">
        <is>
          <t>Done</t>
        </is>
      </c>
    </row>
    <row r="16">
      <c r="A16" s="23" t="inlineStr">
        <is>
          <t>Colors &amp; Shapes</t>
        </is>
      </c>
      <c r="B16" s="21" t="inlineStr">
        <is>
          <t>Rainbow AB pattern beads</t>
        </is>
      </c>
      <c r="C16" s="23" t="inlineStr">
        <is>
          <t>Fine Motor</t>
        </is>
      </c>
      <c r="D16" s="23" t="inlineStr">
        <is>
          <t>Done</t>
        </is>
      </c>
    </row>
    <row r="17">
      <c r="A17" s="26" t="inlineStr">
        <is>
          <t>Colors &amp; Shapes</t>
        </is>
      </c>
      <c r="B17" s="27" t="inlineStr">
        <is>
          <t>Color-sorting pom-poms</t>
        </is>
      </c>
      <c r="C17" s="26" t="inlineStr">
        <is>
          <t>Pre-Math</t>
        </is>
      </c>
      <c r="D17" s="26" t="inlineStr">
        <is>
          <t>Done</t>
        </is>
      </c>
    </row>
    <row r="18">
      <c r="A18" s="23" t="inlineStr">
        <is>
          <t>Weather</t>
        </is>
      </c>
      <c r="B18" s="21" t="inlineStr">
        <is>
          <t>Weather chart &amp; calendar</t>
        </is>
      </c>
      <c r="C18" s="23" t="inlineStr">
        <is>
          <t>Pre-Math</t>
        </is>
      </c>
      <c r="D18" s="23" t="inlineStr">
        <is>
          <t>Done</t>
        </is>
      </c>
    </row>
    <row r="19">
      <c r="A19" s="26" t="inlineStr">
        <is>
          <t>Weather</t>
        </is>
      </c>
      <c r="B19" s="27" t="inlineStr">
        <is>
          <t>Cloud-dough sensory play</t>
        </is>
      </c>
      <c r="C19" s="26" t="inlineStr">
        <is>
          <t>Fine Motor</t>
        </is>
      </c>
      <c r="D19" s="26" t="inlineStr">
        <is>
          <t>Planned</t>
        </is>
      </c>
    </row>
    <row r="20">
      <c r="A20" s="23" t="inlineStr">
        <is>
          <t>Weather</t>
        </is>
      </c>
      <c r="B20" s="21" t="inlineStr">
        <is>
          <t>Rain-cloud science jar</t>
        </is>
      </c>
      <c r="C20" s="23" t="inlineStr">
        <is>
          <t>Pre-Reading</t>
        </is>
      </c>
      <c r="D20" s="23" t="inlineStr">
        <is>
          <t>Planned</t>
        </is>
      </c>
    </row>
    <row r="21">
      <c r="A21" s="26" t="inlineStr">
        <is>
          <t>Under the Sea</t>
        </is>
      </c>
      <c r="B21" s="27" t="inlineStr">
        <is>
          <t>Ocean sensory small world</t>
        </is>
      </c>
      <c r="C21" s="26" t="inlineStr">
        <is>
          <t>Language</t>
        </is>
      </c>
      <c r="D21" s="26" t="inlineStr">
        <is>
          <t>Planned</t>
        </is>
      </c>
    </row>
    <row r="22">
      <c r="A22" s="23" t="inlineStr">
        <is>
          <t>Under the Sea</t>
        </is>
      </c>
      <c r="B22" s="21" t="inlineStr">
        <is>
          <t>Fish counting clip cards</t>
        </is>
      </c>
      <c r="C22" s="23" t="inlineStr">
        <is>
          <t>Pre-Math</t>
        </is>
      </c>
      <c r="D22" s="23" t="inlineStr">
        <is>
          <t>Planned</t>
        </is>
      </c>
    </row>
    <row r="23">
      <c r="A23" s="26" t="inlineStr">
        <is>
          <t>Outer Space</t>
        </is>
      </c>
      <c r="B23" s="27" t="inlineStr">
        <is>
          <t>Build a cardboard rocket</t>
        </is>
      </c>
      <c r="C23" s="26" t="inlineStr">
        <is>
          <t>Gross Motor</t>
        </is>
      </c>
      <c r="D23" s="26" t="inlineStr">
        <is>
          <t>Planned</t>
        </is>
      </c>
    </row>
    <row r="24">
      <c r="A24" s="23" t="inlineStr">
        <is>
          <t>Dinosaurs</t>
        </is>
      </c>
      <c r="B24" s="21" t="inlineStr">
        <is>
          <t>Dino dig excavation bin</t>
        </is>
      </c>
      <c r="C24" s="23" t="inlineStr">
        <is>
          <t>Fine Motor</t>
        </is>
      </c>
      <c r="D24" s="23" t="inlineStr">
        <is>
          <t>Planned</t>
        </is>
      </c>
    </row>
    <row r="25">
      <c r="A25" s="26" t="inlineStr">
        <is>
          <t>Spring &amp; Bugs</t>
        </is>
      </c>
      <c r="B25" s="27" t="inlineStr">
        <is>
          <t>Butterfly life-cycle craft</t>
        </is>
      </c>
      <c r="C25" s="26" t="inlineStr">
        <is>
          <t>Pre-Reading</t>
        </is>
      </c>
      <c r="D25" s="26" t="inlineStr">
        <is>
          <t>Planned</t>
        </is>
      </c>
    </row>
    <row r="26">
      <c r="A26" s="23" t="inlineStr">
        <is>
          <t>Transportation</t>
        </is>
      </c>
      <c r="B26" s="21" t="inlineStr">
        <is>
          <t>Ramp &amp; car races</t>
        </is>
      </c>
      <c r="C26" s="23" t="inlineStr">
        <is>
          <t>Pre-Math</t>
        </is>
      </c>
      <c r="D26" s="23" t="inlineStr">
        <is>
          <t>Planned</t>
        </is>
      </c>
    </row>
    <row r="27">
      <c r="A27" s="26" t="inlineStr">
        <is>
          <t>Zoo Animals</t>
        </is>
      </c>
      <c r="B27" s="27" t="inlineStr">
        <is>
          <t>Zoo animal habitat sort</t>
        </is>
      </c>
      <c r="C27" s="26" t="inlineStr">
        <is>
          <t>Language</t>
        </is>
      </c>
      <c r="D27" s="26" t="inlineStr">
        <is>
          <t>Planned</t>
        </is>
      </c>
    </row>
    <row r="28">
      <c r="A28" s="23" t="inlineStr">
        <is>
          <t>Any</t>
        </is>
      </c>
      <c r="B28" s="21" t="inlineStr">
        <is>
          <t>Play-dough letter formation</t>
        </is>
      </c>
      <c r="C28" s="23" t="inlineStr">
        <is>
          <t>Fine Motor</t>
        </is>
      </c>
      <c r="D28" s="23" t="inlineStr">
        <is>
          <t>Done</t>
        </is>
      </c>
    </row>
    <row r="29">
      <c r="A29" s="26" t="n"/>
      <c r="B29" s="27" t="n"/>
      <c r="C29" s="26" t="n"/>
      <c r="D29" s="26" t="n"/>
    </row>
    <row r="30">
      <c r="A30" s="23" t="n"/>
      <c r="B30" s="21" t="n"/>
      <c r="C30" s="23" t="n"/>
      <c r="D30" s="23" t="n"/>
    </row>
    <row r="31">
      <c r="A31" s="26" t="n"/>
      <c r="B31" s="27" t="n"/>
      <c r="C31" s="26" t="n"/>
      <c r="D31" s="26" t="n"/>
    </row>
    <row r="32">
      <c r="A32" s="23" t="n"/>
      <c r="B32" s="21" t="n"/>
      <c r="C32" s="23" t="n"/>
      <c r="D32" s="23" t="n"/>
    </row>
    <row r="33">
      <c r="A33" s="26" t="n"/>
      <c r="B33" s="27" t="n"/>
      <c r="C33" s="26" t="n"/>
      <c r="D33" s="26" t="n"/>
    </row>
    <row r="34">
      <c r="A34" s="23" t="n"/>
      <c r="B34" s="21" t="n"/>
      <c r="C34" s="23" t="n"/>
      <c r="D34" s="23" t="n"/>
    </row>
    <row r="35">
      <c r="A35" s="26" t="n"/>
      <c r="B35" s="27" t="n"/>
      <c r="C35" s="26" t="n"/>
      <c r="D35" s="26" t="n"/>
    </row>
    <row r="36">
      <c r="A36" s="23" t="n"/>
      <c r="B36" s="21" t="n"/>
      <c r="C36" s="23" t="n"/>
      <c r="D36" s="23" t="n"/>
    </row>
    <row r="37">
      <c r="A37" s="26" t="n"/>
      <c r="B37" s="27" t="n"/>
      <c r="C37" s="26" t="n"/>
      <c r="D37" s="26" t="n"/>
    </row>
    <row r="38">
      <c r="A38" s="23" t="n"/>
      <c r="B38" s="21" t="n"/>
      <c r="C38" s="23" t="n"/>
      <c r="D38" s="23" t="n"/>
    </row>
    <row r="39">
      <c r="A39" s="26" t="n"/>
      <c r="B39" s="27" t="n"/>
      <c r="C39" s="26" t="n"/>
      <c r="D39" s="26" t="n"/>
    </row>
    <row r="40">
      <c r="A40" s="23" t="n"/>
      <c r="B40" s="21" t="n"/>
      <c r="C40" s="23" t="n"/>
      <c r="D40" s="23" t="n"/>
    </row>
    <row r="41">
      <c r="A41" s="26" t="n"/>
      <c r="B41" s="27" t="n"/>
      <c r="C41" s="26" t="n"/>
      <c r="D41" s="26" t="n"/>
    </row>
    <row r="42">
      <c r="A42" s="23" t="n"/>
      <c r="B42" s="21" t="n"/>
      <c r="C42" s="23" t="n"/>
      <c r="D42" s="23" t="n"/>
    </row>
    <row r="43">
      <c r="A43" s="26" t="n"/>
      <c r="B43" s="27" t="n"/>
      <c r="C43" s="26" t="n"/>
      <c r="D43" s="26" t="n"/>
    </row>
    <row r="44">
      <c r="A44" s="23" t="n"/>
      <c r="B44" s="21" t="n"/>
      <c r="C44" s="23" t="n"/>
      <c r="D44" s="23" t="n"/>
    </row>
    <row r="45">
      <c r="A45" s="26" t="n"/>
      <c r="B45" s="27" t="n"/>
      <c r="C45" s="26" t="n"/>
      <c r="D45" s="26" t="n"/>
    </row>
    <row r="46">
      <c r="A46" s="23" t="n"/>
      <c r="B46" s="21" t="n"/>
      <c r="C46" s="23" t="n"/>
      <c r="D46" s="23" t="n"/>
    </row>
    <row r="47">
      <c r="A47" s="26" t="n"/>
      <c r="B47" s="27" t="n"/>
      <c r="C47" s="26" t="n"/>
      <c r="D47" s="26" t="n"/>
    </row>
    <row r="48">
      <c r="A48" s="23" t="n"/>
      <c r="B48" s="21" t="n"/>
      <c r="C48" s="23" t="n"/>
      <c r="D48" s="23" t="n"/>
    </row>
    <row r="49">
      <c r="A49" s="26" t="n"/>
      <c r="B49" s="27" t="n"/>
      <c r="C49" s="26" t="n"/>
      <c r="D49" s="26" t="n"/>
    </row>
  </sheetData>
  <mergeCells count="2">
    <mergeCell ref="A1:D1"/>
    <mergeCell ref="A2:D2"/>
  </mergeCells>
  <conditionalFormatting sqref="D5:D49">
    <cfRule type="cellIs" priority="1" operator="equal" dxfId="0">
      <formula>"Done"</formula>
    </cfRule>
    <cfRule type="cellIs" priority="2" operator="equal" dxfId="1">
      <formula>"Planned"</formula>
    </cfRule>
    <cfRule type="cellIs" priority="3" operator="equal" dxfId="3">
      <formula>"Skipped"</formula>
    </cfRule>
  </conditionalFormatting>
  <dataValidations count="2">
    <dataValidation sqref="C5:C49" showDropDown="0" showInputMessage="0" showErrorMessage="0" allowBlank="1" type="list">
      <formula1>=DomainList</formula1>
    </dataValidation>
    <dataValidation sqref="D5:D49" showDropDown="0" showInputMessage="0" showErrorMessage="0" allowBlank="1" type="list">
      <formula1>=ActStatusList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4" customWidth="1" min="5" max="5"/>
  </cols>
  <sheetData>
    <row r="1" ht="46" customHeight="1">
      <c r="A1" s="1" t="inlineStr">
        <is>
          <t xml:space="preserve">  📖  READ-ALOUD LOG</t>
        </is>
      </c>
    </row>
    <row r="2" ht="22" customHeight="1">
      <c r="A2" s="2" t="inlineStr">
        <is>
          <t xml:space="preserve">  The heart of preschool — every favorite, how many times &amp; who loved it. Set the year's count in Settings.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Title</t>
        </is>
      </c>
      <c r="B4" s="9" t="inlineStr">
        <is>
          <t>Author</t>
        </is>
      </c>
      <c r="C4" s="9" t="inlineStr">
        <is>
          <t>Theme Tie-in</t>
        </is>
      </c>
      <c r="D4" s="9" t="inlineStr">
        <is>
          <t>Times Read</t>
        </is>
      </c>
      <c r="E4" s="9" t="inlineStr">
        <is>
          <t>Loved?</t>
        </is>
      </c>
    </row>
    <row r="5">
      <c r="A5" s="27" t="inlineStr">
        <is>
          <t>Brown Bear, Brown Bear</t>
        </is>
      </c>
      <c r="B5" s="27" t="inlineStr">
        <is>
          <t>Bill Martin Jr.</t>
        </is>
      </c>
      <c r="C5" s="27" t="inlineStr">
        <is>
          <t>Colors</t>
        </is>
      </c>
      <c r="D5" s="31" t="n">
        <v>12</v>
      </c>
      <c r="E5" s="26" t="inlineStr">
        <is>
          <t>Loved it</t>
        </is>
      </c>
    </row>
    <row r="6">
      <c r="A6" s="21" t="inlineStr">
        <is>
          <t>The Very Hungry Caterpillar</t>
        </is>
      </c>
      <c r="B6" s="21" t="inlineStr">
        <is>
          <t>Eric Carle</t>
        </is>
      </c>
      <c r="C6" s="21" t="inlineStr">
        <is>
          <t>Bugs / counting</t>
        </is>
      </c>
      <c r="D6" s="32" t="n">
        <v>9</v>
      </c>
      <c r="E6" s="23" t="inlineStr">
        <is>
          <t>Loved it</t>
        </is>
      </c>
    </row>
    <row r="7">
      <c r="A7" s="27" t="inlineStr">
        <is>
          <t>Chicka Chicka Boom Boom</t>
        </is>
      </c>
      <c r="B7" s="27" t="inlineStr">
        <is>
          <t>Bill Martin Jr.</t>
        </is>
      </c>
      <c r="C7" s="27" t="inlineStr">
        <is>
          <t>Letters</t>
        </is>
      </c>
      <c r="D7" s="31" t="n">
        <v>14</v>
      </c>
      <c r="E7" s="26" t="inlineStr">
        <is>
          <t>Loved it</t>
        </is>
      </c>
    </row>
    <row r="8">
      <c r="A8" s="21" t="inlineStr">
        <is>
          <t>Goodnight Moon</t>
        </is>
      </c>
      <c r="B8" s="21" t="inlineStr">
        <is>
          <t>Margaret Wise Brown</t>
        </is>
      </c>
      <c r="C8" s="21" t="inlineStr">
        <is>
          <t>Bedtime</t>
        </is>
      </c>
      <c r="D8" s="32" t="n">
        <v>20</v>
      </c>
      <c r="E8" s="23" t="inlineStr">
        <is>
          <t>Loved it</t>
        </is>
      </c>
    </row>
    <row r="9">
      <c r="A9" s="27" t="inlineStr">
        <is>
          <t>The Gruffalo</t>
        </is>
      </c>
      <c r="B9" s="27" t="inlineStr">
        <is>
          <t>Julia Donaldson</t>
        </is>
      </c>
      <c r="C9" s="27" t="inlineStr">
        <is>
          <t>Rhyming</t>
        </is>
      </c>
      <c r="D9" s="31" t="n">
        <v>7</v>
      </c>
      <c r="E9" s="26" t="inlineStr">
        <is>
          <t>Loved it</t>
        </is>
      </c>
    </row>
    <row r="10">
      <c r="A10" s="21" t="inlineStr">
        <is>
          <t>Dragons Love Tacos</t>
        </is>
      </c>
      <c r="B10" s="21" t="inlineStr">
        <is>
          <t>Adam Rubin</t>
        </is>
      </c>
      <c r="C10" s="21" t="inlineStr">
        <is>
          <t>Silly</t>
        </is>
      </c>
      <c r="D10" s="32" t="n">
        <v>8</v>
      </c>
      <c r="E10" s="23" t="inlineStr">
        <is>
          <t>Liked it</t>
        </is>
      </c>
    </row>
    <row r="11">
      <c r="A11" s="27" t="inlineStr">
        <is>
          <t>Press Here</t>
        </is>
      </c>
      <c r="B11" s="27" t="inlineStr">
        <is>
          <t>Hervé Tullet</t>
        </is>
      </c>
      <c r="C11" s="27" t="inlineStr">
        <is>
          <t>Colors / interactive</t>
        </is>
      </c>
      <c r="D11" s="31" t="n">
        <v>6</v>
      </c>
      <c r="E11" s="26" t="inlineStr">
        <is>
          <t>Loved it</t>
        </is>
      </c>
    </row>
    <row r="12">
      <c r="A12" s="21" t="inlineStr">
        <is>
          <t>The Pout-Pout Fish</t>
        </is>
      </c>
      <c r="B12" s="21" t="inlineStr">
        <is>
          <t>Deborah Diesen</t>
        </is>
      </c>
      <c r="C12" s="21" t="inlineStr">
        <is>
          <t>Under the sea</t>
        </is>
      </c>
      <c r="D12" s="32" t="n">
        <v>5</v>
      </c>
      <c r="E12" s="23" t="inlineStr">
        <is>
          <t>Liked it</t>
        </is>
      </c>
    </row>
    <row r="13">
      <c r="A13" s="27" t="inlineStr">
        <is>
          <t>Room on the Broom</t>
        </is>
      </c>
      <c r="B13" s="27" t="inlineStr">
        <is>
          <t>Julia Donaldson</t>
        </is>
      </c>
      <c r="C13" s="27" t="inlineStr">
        <is>
          <t>Rhyming</t>
        </is>
      </c>
      <c r="D13" s="31" t="n">
        <v>6</v>
      </c>
      <c r="E13" s="26" t="inlineStr">
        <is>
          <t>Loved it</t>
        </is>
      </c>
    </row>
    <row r="14">
      <c r="A14" s="21" t="inlineStr">
        <is>
          <t>Little Blue Truck</t>
        </is>
      </c>
      <c r="B14" s="21" t="inlineStr">
        <is>
          <t>Alice Schertle</t>
        </is>
      </c>
      <c r="C14" s="21" t="inlineStr">
        <is>
          <t>Transportation</t>
        </is>
      </c>
      <c r="D14" s="32" t="n">
        <v>10</v>
      </c>
      <c r="E14" s="23" t="inlineStr">
        <is>
          <t>Loved it</t>
        </is>
      </c>
    </row>
    <row r="15">
      <c r="A15" s="27" t="inlineStr">
        <is>
          <t>We're Going on a Bear Hunt</t>
        </is>
      </c>
      <c r="B15" s="27" t="inlineStr">
        <is>
          <t>Michael Rosen</t>
        </is>
      </c>
      <c r="C15" s="27" t="inlineStr">
        <is>
          <t>Movement</t>
        </is>
      </c>
      <c r="D15" s="31" t="n">
        <v>8</v>
      </c>
      <c r="E15" s="26" t="inlineStr">
        <is>
          <t>Loved it</t>
        </is>
      </c>
    </row>
    <row r="16">
      <c r="A16" s="21" t="inlineStr">
        <is>
          <t>Dear Zoo</t>
        </is>
      </c>
      <c r="B16" s="21" t="inlineStr">
        <is>
          <t>Rod Campbell</t>
        </is>
      </c>
      <c r="C16" s="21" t="inlineStr">
        <is>
          <t>Zoo animals</t>
        </is>
      </c>
      <c r="D16" s="32" t="n">
        <v>7</v>
      </c>
      <c r="E16" s="23" t="inlineStr">
        <is>
          <t>Liked it</t>
        </is>
      </c>
    </row>
    <row r="17">
      <c r="A17" s="27" t="n"/>
      <c r="B17" s="27" t="n"/>
      <c r="C17" s="27" t="n"/>
      <c r="D17" s="31" t="n"/>
      <c r="E17" s="26" t="n"/>
    </row>
    <row r="18">
      <c r="A18" s="21" t="n"/>
      <c r="B18" s="21" t="n"/>
      <c r="C18" s="21" t="n"/>
      <c r="D18" s="32" t="n"/>
      <c r="E18" s="23" t="n"/>
    </row>
    <row r="19">
      <c r="A19" s="27" t="n"/>
      <c r="B19" s="27" t="n"/>
      <c r="C19" s="27" t="n"/>
      <c r="D19" s="31" t="n"/>
      <c r="E19" s="26" t="n"/>
    </row>
    <row r="20">
      <c r="A20" s="21" t="n"/>
      <c r="B20" s="21" t="n"/>
      <c r="C20" s="21" t="n"/>
      <c r="D20" s="32" t="n"/>
      <c r="E20" s="23" t="n"/>
    </row>
    <row r="21">
      <c r="A21" s="27" t="n"/>
      <c r="B21" s="27" t="n"/>
      <c r="C21" s="27" t="n"/>
      <c r="D21" s="31" t="n"/>
      <c r="E21" s="26" t="n"/>
    </row>
    <row r="22">
      <c r="A22" s="21" t="n"/>
      <c r="B22" s="21" t="n"/>
      <c r="C22" s="21" t="n"/>
      <c r="D22" s="32" t="n"/>
      <c r="E22" s="23" t="n"/>
    </row>
    <row r="23">
      <c r="A23" s="27" t="n"/>
      <c r="B23" s="27" t="n"/>
      <c r="C23" s="27" t="n"/>
      <c r="D23" s="31" t="n"/>
      <c r="E23" s="26" t="n"/>
    </row>
    <row r="24">
      <c r="A24" s="21" t="n"/>
      <c r="B24" s="21" t="n"/>
      <c r="C24" s="21" t="n"/>
      <c r="D24" s="32" t="n"/>
      <c r="E24" s="23" t="n"/>
    </row>
    <row r="25">
      <c r="A25" s="27" t="n"/>
      <c r="B25" s="27" t="n"/>
      <c r="C25" s="27" t="n"/>
      <c r="D25" s="31" t="n"/>
      <c r="E25" s="26" t="n"/>
    </row>
    <row r="26">
      <c r="A26" s="21" t="n"/>
      <c r="B26" s="21" t="n"/>
      <c r="C26" s="21" t="n"/>
      <c r="D26" s="32" t="n"/>
      <c r="E26" s="23" t="n"/>
    </row>
    <row r="27">
      <c r="A27" s="27" t="n"/>
      <c r="B27" s="27" t="n"/>
      <c r="C27" s="27" t="n"/>
      <c r="D27" s="31" t="n"/>
      <c r="E27" s="26" t="n"/>
    </row>
    <row r="28">
      <c r="A28" s="21" t="n"/>
      <c r="B28" s="21" t="n"/>
      <c r="C28" s="21" t="n"/>
      <c r="D28" s="32" t="n"/>
      <c r="E28" s="23" t="n"/>
    </row>
    <row r="29">
      <c r="A29" s="27" t="n"/>
      <c r="B29" s="27" t="n"/>
      <c r="C29" s="27" t="n"/>
      <c r="D29" s="31" t="n"/>
      <c r="E29" s="26" t="n"/>
    </row>
    <row r="30">
      <c r="A30" s="21" t="n"/>
      <c r="B30" s="21" t="n"/>
      <c r="C30" s="21" t="n"/>
      <c r="D30" s="32" t="n"/>
      <c r="E30" s="23" t="n"/>
    </row>
    <row r="31">
      <c r="A31" s="27" t="n"/>
      <c r="B31" s="27" t="n"/>
      <c r="C31" s="27" t="n"/>
      <c r="D31" s="31" t="n"/>
      <c r="E31" s="26" t="n"/>
    </row>
    <row r="32">
      <c r="A32" s="21" t="n"/>
      <c r="B32" s="21" t="n"/>
      <c r="C32" s="21" t="n"/>
      <c r="D32" s="32" t="n"/>
      <c r="E32" s="23" t="n"/>
    </row>
    <row r="33">
      <c r="A33" s="27" t="n"/>
      <c r="B33" s="27" t="n"/>
      <c r="C33" s="27" t="n"/>
      <c r="D33" s="31" t="n"/>
      <c r="E33" s="26" t="n"/>
    </row>
    <row r="34">
      <c r="A34" s="21" t="n"/>
      <c r="B34" s="21" t="n"/>
      <c r="C34" s="21" t="n"/>
      <c r="D34" s="32" t="n"/>
      <c r="E34" s="23" t="n"/>
    </row>
    <row r="35">
      <c r="A35" s="27" t="n"/>
      <c r="B35" s="27" t="n"/>
      <c r="C35" s="27" t="n"/>
      <c r="D35" s="31" t="n"/>
      <c r="E35" s="26" t="n"/>
    </row>
    <row r="36">
      <c r="A36" s="21" t="n"/>
      <c r="B36" s="21" t="n"/>
      <c r="C36" s="21" t="n"/>
      <c r="D36" s="32" t="n"/>
      <c r="E36" s="23" t="n"/>
    </row>
    <row r="37">
      <c r="A37" s="27" t="n"/>
      <c r="B37" s="27" t="n"/>
      <c r="C37" s="27" t="n"/>
      <c r="D37" s="31" t="n"/>
      <c r="E37" s="26" t="n"/>
    </row>
    <row r="38">
      <c r="A38" s="21" t="n"/>
      <c r="B38" s="21" t="n"/>
      <c r="C38" s="21" t="n"/>
      <c r="D38" s="32" t="n"/>
      <c r="E38" s="23" t="n"/>
    </row>
    <row r="39">
      <c r="A39" s="27" t="n"/>
      <c r="B39" s="27" t="n"/>
      <c r="C39" s="27" t="n"/>
      <c r="D39" s="31" t="n"/>
      <c r="E39" s="26" t="n"/>
    </row>
    <row r="40">
      <c r="A40" s="21" t="n"/>
      <c r="B40" s="21" t="n"/>
      <c r="C40" s="21" t="n"/>
      <c r="D40" s="32" t="n"/>
      <c r="E40" s="23" t="n"/>
    </row>
    <row r="41">
      <c r="A41" s="27" t="n"/>
      <c r="B41" s="27" t="n"/>
      <c r="C41" s="27" t="n"/>
      <c r="D41" s="31" t="n"/>
      <c r="E41" s="26" t="n"/>
    </row>
    <row r="42">
      <c r="A42" s="21" t="n"/>
      <c r="B42" s="21" t="n"/>
      <c r="C42" s="21" t="n"/>
      <c r="D42" s="32" t="n"/>
      <c r="E42" s="23" t="n"/>
    </row>
    <row r="43">
      <c r="A43" s="27" t="n"/>
      <c r="B43" s="27" t="n"/>
      <c r="C43" s="27" t="n"/>
      <c r="D43" s="31" t="n"/>
      <c r="E43" s="26" t="n"/>
    </row>
    <row r="44">
      <c r="A44" s="21" t="n"/>
      <c r="B44" s="21" t="n"/>
      <c r="C44" s="21" t="n"/>
      <c r="D44" s="32" t="n"/>
      <c r="E44" s="23" t="n"/>
    </row>
  </sheetData>
  <mergeCells count="2">
    <mergeCell ref="A2:E2"/>
    <mergeCell ref="A1:E1"/>
  </mergeCells>
  <conditionalFormatting sqref="E5:E44">
    <cfRule type="cellIs" priority="1" operator="equal" dxfId="0">
      <formula>"Loved it"</formula>
    </cfRule>
  </conditionalFormatting>
  <conditionalFormatting sqref="D5:D44">
    <cfRule type="dataBar" priority="2">
      <dataBar showValue="1">
        <cfvo type="num" val="0"/>
        <cfvo type="num" val="20"/>
        <color rgb="001B4F48"/>
      </dataBar>
    </cfRule>
  </conditionalFormatting>
  <dataValidations count="1">
    <dataValidation sqref="E5:E44" showDropDown="0" showInputMessage="0" showErrorMessage="0" allowBlank="1" type="list">
      <formula1>=LovedList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22" customWidth="1" min="4" max="4"/>
  </cols>
  <sheetData>
    <row r="1" ht="46" customHeight="1">
      <c r="A1" s="1" t="inlineStr">
        <is>
          <t xml:space="preserve">  🖐  ARTS, CRAFTS &amp; SENSORY BANK</t>
        </is>
      </c>
    </row>
    <row r="2" ht="22" customHeight="1">
      <c r="A2" s="2" t="inlineStr">
        <is>
          <t xml:space="preserve">  A grab-and-go idea bank — pick one when you need calm, busy hands. Materials you likely already have.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Activity</t>
        </is>
      </c>
      <c r="B4" s="9" t="inlineStr">
        <is>
          <t>Area</t>
        </is>
      </c>
      <c r="C4" s="9" t="inlineStr">
        <is>
          <t>Materials</t>
        </is>
      </c>
      <c r="D4" s="9" t="inlineStr">
        <is>
          <t>Builds</t>
        </is>
      </c>
    </row>
    <row r="5">
      <c r="A5" s="27" t="inlineStr">
        <is>
          <t>Rainbow rice sensory bin</t>
        </is>
      </c>
      <c r="B5" s="26" t="inlineStr">
        <is>
          <t>Sensory</t>
        </is>
      </c>
      <c r="C5" s="27" t="inlineStr">
        <is>
          <t>Rice, food color, cups, scoops</t>
        </is>
      </c>
      <c r="D5" s="27" t="inlineStr">
        <is>
          <t>Fine motor · pouring</t>
        </is>
      </c>
    </row>
    <row r="6">
      <c r="A6" s="21" t="inlineStr">
        <is>
          <t>Salt-tray letter writing</t>
        </is>
      </c>
      <c r="B6" s="23" t="inlineStr">
        <is>
          <t>Pre-Reading</t>
        </is>
      </c>
      <c r="C6" s="21" t="inlineStr">
        <is>
          <t>Tray, salt, letter cards</t>
        </is>
      </c>
      <c r="D6" s="21" t="inlineStr">
        <is>
          <t>Letter formation</t>
        </is>
      </c>
    </row>
    <row r="7">
      <c r="A7" s="27" t="inlineStr">
        <is>
          <t>Cotton-ball painting</t>
        </is>
      </c>
      <c r="B7" s="26" t="inlineStr">
        <is>
          <t>Art</t>
        </is>
      </c>
      <c r="C7" s="27" t="inlineStr">
        <is>
          <t>Cotton balls, clips, paint</t>
        </is>
      </c>
      <c r="D7" s="27" t="inlineStr">
        <is>
          <t>Grip · color mixing</t>
        </is>
      </c>
    </row>
    <row r="8">
      <c r="A8" s="21" t="inlineStr">
        <is>
          <t>Play-dough station</t>
        </is>
      </c>
      <c r="B8" s="23" t="inlineStr">
        <is>
          <t>Fine Motor</t>
        </is>
      </c>
      <c r="C8" s="21" t="inlineStr">
        <is>
          <t>Dough, cutters, rollers</t>
        </is>
      </c>
      <c r="D8" s="21" t="inlineStr">
        <is>
          <t>Hand strength</t>
        </is>
      </c>
    </row>
    <row r="9">
      <c r="A9" s="27" t="inlineStr">
        <is>
          <t>Water-bead tweezing</t>
        </is>
      </c>
      <c r="B9" s="26" t="inlineStr">
        <is>
          <t>Fine Motor</t>
        </is>
      </c>
      <c r="C9" s="27" t="inlineStr">
        <is>
          <t>Water beads, tweezers, tray</t>
        </is>
      </c>
      <c r="D9" s="27" t="inlineStr">
        <is>
          <t>Pincer grasp</t>
        </is>
      </c>
    </row>
    <row r="10">
      <c r="A10" s="21" t="inlineStr">
        <is>
          <t>Nature paintbrushes</t>
        </is>
      </c>
      <c r="B10" s="23" t="inlineStr">
        <is>
          <t>Art</t>
        </is>
      </c>
      <c r="C10" s="21" t="inlineStr">
        <is>
          <t>Leaves, twigs, paint</t>
        </is>
      </c>
      <c r="D10" s="21" t="inlineStr">
        <is>
          <t>Creativity · texture</t>
        </is>
      </c>
    </row>
    <row r="11">
      <c r="A11" s="27" t="inlineStr">
        <is>
          <t>Ice excavation</t>
        </is>
      </c>
      <c r="B11" s="26" t="inlineStr">
        <is>
          <t>Science</t>
        </is>
      </c>
      <c r="C11" s="27" t="inlineStr">
        <is>
          <t>Frozen toys, warm water, droppers</t>
        </is>
      </c>
      <c r="D11" s="27" t="inlineStr">
        <is>
          <t>Cause &amp; effect</t>
        </is>
      </c>
    </row>
    <row r="12">
      <c r="A12" s="21" t="inlineStr">
        <is>
          <t>Pom-pom color sort</t>
        </is>
      </c>
      <c r="B12" s="23" t="inlineStr">
        <is>
          <t>Pre-Math</t>
        </is>
      </c>
      <c r="C12" s="21" t="inlineStr">
        <is>
          <t>Pom-poms, muffin tin, scoop</t>
        </is>
      </c>
      <c r="D12" s="21" t="inlineStr">
        <is>
          <t>Sorting · counting</t>
        </is>
      </c>
    </row>
    <row r="13">
      <c r="A13" s="27" t="inlineStr">
        <is>
          <t>Sticker line-up</t>
        </is>
      </c>
      <c r="B13" s="26" t="inlineStr">
        <is>
          <t>Fine Motor</t>
        </is>
      </c>
      <c r="C13" s="27" t="inlineStr">
        <is>
          <t>Stickers, lined paper</t>
        </is>
      </c>
      <c r="D13" s="27" t="inlineStr">
        <is>
          <t>Placement · control</t>
        </is>
      </c>
    </row>
    <row r="14">
      <c r="A14" s="21" t="inlineStr">
        <is>
          <t>Kinetic-sand molds</t>
        </is>
      </c>
      <c r="B14" s="23" t="inlineStr">
        <is>
          <t>Sensory</t>
        </is>
      </c>
      <c r="C14" s="21" t="inlineStr">
        <is>
          <t>Kinetic sand, molds</t>
        </is>
      </c>
      <c r="D14" s="21" t="inlineStr">
        <is>
          <t>Calming · shapes</t>
        </is>
      </c>
    </row>
    <row r="15">
      <c r="A15" s="27" t="inlineStr">
        <is>
          <t>Contact-paper collage</t>
        </is>
      </c>
      <c r="B15" s="26" t="inlineStr">
        <is>
          <t>Art</t>
        </is>
      </c>
      <c r="C15" s="27" t="inlineStr">
        <is>
          <t>Contact paper, tissue scraps</t>
        </is>
      </c>
      <c r="D15" s="27" t="inlineStr">
        <is>
          <t>Sticky exploration</t>
        </is>
      </c>
    </row>
    <row r="16">
      <c r="A16" s="21" t="inlineStr">
        <is>
          <t>Sink-or-float tub</t>
        </is>
      </c>
      <c r="B16" s="23" t="inlineStr">
        <is>
          <t>Science</t>
        </is>
      </c>
      <c r="C16" s="21" t="inlineStr">
        <is>
          <t>Tub, small objects, chart</t>
        </is>
      </c>
      <c r="D16" s="21" t="inlineStr">
        <is>
          <t>Predict · observe</t>
        </is>
      </c>
    </row>
    <row r="17">
      <c r="A17" s="27" t="n"/>
      <c r="B17" s="26" t="n"/>
      <c r="C17" s="27" t="n"/>
      <c r="D17" s="27" t="n"/>
    </row>
    <row r="18">
      <c r="A18" s="21" t="n"/>
      <c r="B18" s="23" t="n"/>
      <c r="C18" s="21" t="n"/>
      <c r="D18" s="21" t="n"/>
    </row>
    <row r="19">
      <c r="A19" s="27" t="n"/>
      <c r="B19" s="26" t="n"/>
      <c r="C19" s="27" t="n"/>
      <c r="D19" s="27" t="n"/>
    </row>
    <row r="20">
      <c r="A20" s="21" t="n"/>
      <c r="B20" s="23" t="n"/>
      <c r="C20" s="21" t="n"/>
      <c r="D20" s="21" t="n"/>
    </row>
    <row r="21">
      <c r="A21" s="27" t="n"/>
      <c r="B21" s="26" t="n"/>
      <c r="C21" s="27" t="n"/>
      <c r="D21" s="27" t="n"/>
    </row>
    <row r="22">
      <c r="A22" s="21" t="n"/>
      <c r="B22" s="23" t="n"/>
      <c r="C22" s="21" t="n"/>
      <c r="D22" s="21" t="n"/>
    </row>
    <row r="23">
      <c r="A23" s="27" t="n"/>
      <c r="B23" s="26" t="n"/>
      <c r="C23" s="27" t="n"/>
      <c r="D23" s="27" t="n"/>
    </row>
    <row r="24">
      <c r="A24" s="21" t="n"/>
      <c r="B24" s="23" t="n"/>
      <c r="C24" s="21" t="n"/>
      <c r="D24" s="21" t="n"/>
    </row>
    <row r="25">
      <c r="A25" s="27" t="n"/>
      <c r="B25" s="26" t="n"/>
      <c r="C25" s="27" t="n"/>
      <c r="D25" s="27" t="n"/>
    </row>
    <row r="26">
      <c r="A26" s="21" t="n"/>
      <c r="B26" s="23" t="n"/>
      <c r="C26" s="21" t="n"/>
      <c r="D26" s="21" t="n"/>
    </row>
    <row r="27">
      <c r="A27" s="27" t="n"/>
      <c r="B27" s="26" t="n"/>
      <c r="C27" s="27" t="n"/>
      <c r="D27" s="27" t="n"/>
    </row>
    <row r="28">
      <c r="A28" s="21" t="n"/>
      <c r="B28" s="23" t="n"/>
      <c r="C28" s="21" t="n"/>
      <c r="D28" s="21" t="n"/>
    </row>
    <row r="29">
      <c r="A29" s="27" t="n"/>
      <c r="B29" s="26" t="n"/>
      <c r="C29" s="27" t="n"/>
      <c r="D29" s="27" t="n"/>
    </row>
    <row r="30">
      <c r="A30" s="21" t="n"/>
      <c r="B30" s="23" t="n"/>
      <c r="C30" s="21" t="n"/>
      <c r="D30" s="21" t="n"/>
    </row>
    <row r="31">
      <c r="A31" s="27" t="n"/>
      <c r="B31" s="26" t="n"/>
      <c r="C31" s="27" t="n"/>
      <c r="D31" s="27" t="n"/>
    </row>
    <row r="32">
      <c r="A32" s="21" t="n"/>
      <c r="B32" s="23" t="n"/>
      <c r="C32" s="21" t="n"/>
      <c r="D32" s="21" t="n"/>
    </row>
    <row r="33">
      <c r="A33" s="27" t="n"/>
      <c r="B33" s="26" t="n"/>
      <c r="C33" s="27" t="n"/>
      <c r="D33" s="27" t="n"/>
    </row>
    <row r="34">
      <c r="A34" s="21" t="n"/>
      <c r="B34" s="23" t="n"/>
      <c r="C34" s="21" t="n"/>
      <c r="D34" s="21" t="n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8" customWidth="1" min="4" max="4"/>
  </cols>
  <sheetData>
    <row r="1" ht="46" customHeight="1">
      <c r="A1" s="1" t="inlineStr">
        <is>
          <t xml:space="preserve">  🌳  NATURE WALKS &amp; FIELD TRIPS</t>
        </is>
      </c>
    </row>
    <row r="2" ht="22" customHeight="1">
      <c r="A2" s="2" t="inlineStr">
        <is>
          <t xml:space="preserve">  Learning beyond the table — every outing, what it tied to &amp; a memory to keep.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Date</t>
        </is>
      </c>
      <c r="B4" s="9" t="inlineStr">
        <is>
          <t>Place</t>
        </is>
      </c>
      <c r="C4" s="9" t="inlineStr">
        <is>
          <t>Theme Tie-in</t>
        </is>
      </c>
      <c r="D4" s="9" t="inlineStr">
        <is>
          <t>Notes / Memory</t>
        </is>
      </c>
    </row>
    <row r="5">
      <c r="A5" s="33" t="n">
        <v>46177</v>
      </c>
      <c r="B5" s="27" t="inlineStr">
        <is>
          <t>Pumpkin patch</t>
        </is>
      </c>
      <c r="C5" s="26" t="inlineStr">
        <is>
          <t>Pumpkins</t>
        </is>
      </c>
      <c r="D5" s="27" t="inlineStr">
        <is>
          <t>Picked &amp; counted pumpkins</t>
        </is>
      </c>
    </row>
    <row r="6">
      <c r="A6" s="34" t="n">
        <v>46189</v>
      </c>
      <c r="B6" s="21" t="inlineStr">
        <is>
          <t>Children's library story time</t>
        </is>
      </c>
      <c r="C6" s="23" t="inlineStr">
        <is>
          <t>Letters</t>
        </is>
      </c>
      <c r="D6" s="21" t="inlineStr">
        <is>
          <t>Weekly · loves it</t>
        </is>
      </c>
    </row>
    <row r="7">
      <c r="A7" s="33" t="n">
        <v>46197</v>
      </c>
      <c r="B7" s="27" t="inlineStr">
        <is>
          <t>Local farm</t>
        </is>
      </c>
      <c r="C7" s="26" t="inlineStr">
        <is>
          <t>Farm animals</t>
        </is>
      </c>
      <c r="D7" s="27" t="inlineStr">
        <is>
          <t>Fed the goats</t>
        </is>
      </c>
    </row>
    <row r="8">
      <c r="A8" s="34" t="n">
        <v>46205</v>
      </c>
      <c r="B8" s="21" t="inlineStr">
        <is>
          <t>Nature-center leaf walk</t>
        </is>
      </c>
      <c r="C8" s="23" t="inlineStr">
        <is>
          <t>Fall</t>
        </is>
      </c>
      <c r="D8" s="21" t="inlineStr">
        <is>
          <t>Collected 6 leaf types</t>
        </is>
      </c>
    </row>
    <row r="9">
      <c r="A9" s="33" t="n">
        <v>46213</v>
      </c>
      <c r="B9" s="27" t="inlineStr">
        <is>
          <t>Fire station tour</t>
        </is>
      </c>
      <c r="C9" s="26" t="inlineStr">
        <is>
          <t>Community helpers</t>
        </is>
      </c>
      <c r="D9" s="27" t="inlineStr">
        <is>
          <t>Sat in the truck</t>
        </is>
      </c>
    </row>
    <row r="10">
      <c r="A10" s="34" t="n">
        <v>46226</v>
      </c>
      <c r="B10" s="21" t="inlineStr">
        <is>
          <t>Aquarium</t>
        </is>
      </c>
      <c r="C10" s="23" t="inlineStr">
        <is>
          <t>Under the sea</t>
        </is>
      </c>
      <c r="D10" s="21" t="inlineStr">
        <is>
          <t>Booked for theme week</t>
        </is>
      </c>
    </row>
    <row r="11">
      <c r="A11" s="33" t="n">
        <v>46235</v>
      </c>
      <c r="B11" s="27" t="inlineStr">
        <is>
          <t>Botanical garden bug hunt</t>
        </is>
      </c>
      <c r="C11" s="26" t="inlineStr">
        <is>
          <t>Spring &amp; bugs</t>
        </is>
      </c>
      <c r="D11" s="27" t="inlineStr">
        <is>
          <t>Magnifying glasses</t>
        </is>
      </c>
    </row>
    <row r="12">
      <c r="A12" s="34" t="n"/>
      <c r="B12" s="21" t="n"/>
      <c r="C12" s="23" t="n"/>
      <c r="D12" s="21" t="n"/>
    </row>
    <row r="13">
      <c r="A13" s="33" t="n"/>
      <c r="B13" s="27" t="n"/>
      <c r="C13" s="26" t="n"/>
      <c r="D13" s="27" t="n"/>
    </row>
    <row r="14">
      <c r="A14" s="34" t="n"/>
      <c r="B14" s="21" t="n"/>
      <c r="C14" s="23" t="n"/>
      <c r="D14" s="21" t="n"/>
    </row>
    <row r="15">
      <c r="A15" s="33" t="n"/>
      <c r="B15" s="27" t="n"/>
      <c r="C15" s="26" t="n"/>
      <c r="D15" s="27" t="n"/>
    </row>
    <row r="16">
      <c r="A16" s="34" t="n"/>
      <c r="B16" s="21" t="n"/>
      <c r="C16" s="23" t="n"/>
      <c r="D16" s="21" t="n"/>
    </row>
    <row r="17">
      <c r="A17" s="33" t="n"/>
      <c r="B17" s="27" t="n"/>
      <c r="C17" s="26" t="n"/>
      <c r="D17" s="27" t="n"/>
    </row>
    <row r="18">
      <c r="A18" s="34" t="n"/>
      <c r="B18" s="21" t="n"/>
      <c r="C18" s="23" t="n"/>
      <c r="D18" s="21" t="n"/>
    </row>
    <row r="19">
      <c r="A19" s="33" t="n"/>
      <c r="B19" s="27" t="n"/>
      <c r="C19" s="26" t="n"/>
      <c r="D19" s="27" t="n"/>
    </row>
    <row r="20">
      <c r="A20" s="34" t="n"/>
      <c r="B20" s="21" t="n"/>
      <c r="C20" s="23" t="n"/>
      <c r="D20" s="21" t="n"/>
    </row>
    <row r="21">
      <c r="A21" s="33" t="n"/>
      <c r="B21" s="27" t="n"/>
      <c r="C21" s="26" t="n"/>
      <c r="D21" s="27" t="n"/>
    </row>
    <row r="22">
      <c r="A22" s="34" t="n"/>
      <c r="B22" s="21" t="n"/>
      <c r="C22" s="23" t="n"/>
      <c r="D22" s="21" t="n"/>
    </row>
    <row r="23">
      <c r="A23" s="33" t="n"/>
      <c r="B23" s="27" t="n"/>
      <c r="C23" s="26" t="n"/>
      <c r="D23" s="27" t="n"/>
    </row>
    <row r="24">
      <c r="A24" s="34" t="n"/>
      <c r="B24" s="21" t="n"/>
      <c r="C24" s="23" t="n"/>
      <c r="D24" s="21" t="n"/>
    </row>
    <row r="25">
      <c r="A25" s="33" t="n"/>
      <c r="B25" s="27" t="n"/>
      <c r="C25" s="26" t="n"/>
      <c r="D25" s="27" t="n"/>
    </row>
    <row r="26">
      <c r="A26" s="34" t="n"/>
      <c r="B26" s="21" t="n"/>
      <c r="C26" s="23" t="n"/>
      <c r="D26" s="21" t="n"/>
    </row>
    <row r="27">
      <c r="A27" s="33" t="n"/>
      <c r="B27" s="27" t="n"/>
      <c r="C27" s="26" t="n"/>
      <c r="D27" s="27" t="n"/>
    </row>
    <row r="28">
      <c r="A28" s="34" t="n"/>
      <c r="B28" s="21" t="n"/>
      <c r="C28" s="23" t="n"/>
      <c r="D28" s="21" t="n"/>
    </row>
    <row r="29">
      <c r="A29" s="33" t="n"/>
      <c r="B29" s="27" t="n"/>
      <c r="C29" s="26" t="n"/>
      <c r="D29" s="27" t="n"/>
    </row>
    <row r="30">
      <c r="A30" s="34" t="n"/>
      <c r="B30" s="21" t="n"/>
      <c r="C30" s="23" t="n"/>
      <c r="D30" s="21" t="n"/>
    </row>
    <row r="31">
      <c r="A31" s="33" t="n"/>
      <c r="B31" s="27" t="n"/>
      <c r="C31" s="26" t="n"/>
      <c r="D31" s="27" t="n"/>
    </row>
    <row r="32">
      <c r="A32" s="34" t="n"/>
      <c r="B32" s="21" t="n"/>
      <c r="C32" s="23" t="n"/>
      <c r="D32" s="21" t="n"/>
    </row>
    <row r="33">
      <c r="A33" s="33" t="n"/>
      <c r="B33" s="27" t="n"/>
      <c r="C33" s="26" t="n"/>
      <c r="D33" s="27" t="n"/>
    </row>
    <row r="34">
      <c r="A34" s="34" t="n"/>
      <c r="B34" s="21" t="n"/>
      <c r="C34" s="23" t="n"/>
      <c r="D34" s="21" t="n"/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 ht="46" customHeight="1">
      <c r="A1" s="1" t="inlineStr">
        <is>
          <t xml:space="preserve">  📅  ATTENDANCE &amp; DAYS</t>
        </is>
      </c>
    </row>
    <row r="2" ht="22" customHeight="1">
      <c r="A2" s="2" t="inlineStr">
        <is>
          <t xml:space="preserve">  Preschool days by week — a light record of the rhythm you're keeping. Set your days goal in Settings.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Week</t>
        </is>
      </c>
      <c r="B4" s="9" t="inlineStr">
        <is>
          <t>Days</t>
        </is>
      </c>
      <c r="C4" s="9" t="inlineStr">
        <is>
          <t>Notes</t>
        </is>
      </c>
    </row>
    <row r="5">
      <c r="A5" s="26" t="inlineStr">
        <is>
          <t>Week 1</t>
        </is>
      </c>
      <c r="B5" s="31" t="n">
        <v>4</v>
      </c>
      <c r="C5" s="27" t="inlineStr"/>
    </row>
    <row r="6">
      <c r="A6" s="23" t="inlineStr">
        <is>
          <t>Week 2</t>
        </is>
      </c>
      <c r="B6" s="32" t="n">
        <v>4</v>
      </c>
      <c r="C6" s="21" t="inlineStr"/>
    </row>
    <row r="7">
      <c r="A7" s="26" t="inlineStr">
        <is>
          <t>Week 3</t>
        </is>
      </c>
      <c r="B7" s="31" t="n">
        <v>4</v>
      </c>
      <c r="C7" s="27" t="inlineStr"/>
    </row>
    <row r="8">
      <c r="A8" s="23" t="inlineStr">
        <is>
          <t>Week 4</t>
        </is>
      </c>
      <c r="B8" s="32" t="n">
        <v>4</v>
      </c>
      <c r="C8" s="21" t="inlineStr"/>
    </row>
    <row r="9">
      <c r="A9" s="26" t="inlineStr">
        <is>
          <t>Week 5</t>
        </is>
      </c>
      <c r="B9" s="31" t="n">
        <v>4</v>
      </c>
      <c r="C9" s="27" t="inlineStr"/>
    </row>
    <row r="10">
      <c r="A10" s="23" t="inlineStr">
        <is>
          <t>Week 6</t>
        </is>
      </c>
      <c r="B10" s="32" t="n">
        <v>4</v>
      </c>
      <c r="C10" s="21" t="inlineStr"/>
    </row>
    <row r="11">
      <c r="A11" s="26" t="inlineStr">
        <is>
          <t>Week 7</t>
        </is>
      </c>
      <c r="B11" s="31" t="n">
        <v>4</v>
      </c>
      <c r="C11" s="27" t="inlineStr"/>
    </row>
    <row r="12">
      <c r="A12" s="23" t="inlineStr">
        <is>
          <t>Week 8</t>
        </is>
      </c>
      <c r="B12" s="32" t="n">
        <v>4</v>
      </c>
      <c r="C12" s="21" t="inlineStr"/>
    </row>
    <row r="13">
      <c r="A13" s="26" t="inlineStr">
        <is>
          <t>Week 9</t>
        </is>
      </c>
      <c r="B13" s="31" t="n">
        <v>4</v>
      </c>
      <c r="C13" s="27" t="inlineStr"/>
    </row>
    <row r="14">
      <c r="A14" s="23" t="inlineStr">
        <is>
          <t>Week 10</t>
        </is>
      </c>
      <c r="B14" s="32" t="n">
        <v>4</v>
      </c>
      <c r="C14" s="21" t="inlineStr"/>
    </row>
    <row r="15">
      <c r="A15" s="26" t="inlineStr">
        <is>
          <t>Week 11</t>
        </is>
      </c>
      <c r="B15" s="31" t="n">
        <v>4</v>
      </c>
      <c r="C15" s="27" t="inlineStr"/>
    </row>
    <row r="16">
      <c r="A16" s="23" t="inlineStr">
        <is>
          <t>Week 12</t>
        </is>
      </c>
      <c r="B16" s="32" t="n">
        <v>4</v>
      </c>
      <c r="C16" s="21" t="inlineStr"/>
    </row>
    <row r="17">
      <c r="A17" s="26" t="inlineStr">
        <is>
          <t>Week 13</t>
        </is>
      </c>
      <c r="B17" s="31" t="n">
        <v>4</v>
      </c>
      <c r="C17" s="27" t="inlineStr"/>
    </row>
    <row r="18">
      <c r="A18" s="23" t="inlineStr">
        <is>
          <t>Week 14</t>
        </is>
      </c>
      <c r="B18" s="32" t="n">
        <v>4</v>
      </c>
      <c r="C18" s="21" t="inlineStr"/>
    </row>
    <row r="19">
      <c r="A19" s="26" t="inlineStr">
        <is>
          <t>Week 15</t>
        </is>
      </c>
      <c r="B19" s="31" t="n">
        <v>4</v>
      </c>
      <c r="C19" s="27" t="inlineStr"/>
    </row>
    <row r="20">
      <c r="A20" s="23" t="inlineStr">
        <is>
          <t>Week 16</t>
        </is>
      </c>
      <c r="B20" s="32" t="n">
        <v>4</v>
      </c>
      <c r="C20" s="21" t="inlineStr"/>
    </row>
    <row r="21">
      <c r="A21" s="26" t="inlineStr">
        <is>
          <t>Week 17</t>
        </is>
      </c>
      <c r="B21" s="31" t="n">
        <v>4</v>
      </c>
      <c r="C21" s="27" t="inlineStr"/>
    </row>
    <row r="22">
      <c r="A22" s="23" t="inlineStr">
        <is>
          <t>Week 18</t>
        </is>
      </c>
      <c r="B22" s="32" t="n">
        <v>4</v>
      </c>
      <c r="C22" s="21" t="inlineStr"/>
    </row>
    <row r="23">
      <c r="A23" s="26" t="inlineStr">
        <is>
          <t>Week 19</t>
        </is>
      </c>
      <c r="B23" s="31" t="n">
        <v>4</v>
      </c>
      <c r="C23" s="27" t="inlineStr"/>
    </row>
    <row r="24">
      <c r="A24" s="23" t="inlineStr">
        <is>
          <t>Week 20</t>
        </is>
      </c>
      <c r="B24" s="32" t="n">
        <v>4</v>
      </c>
      <c r="C24" s="21" t="inlineStr"/>
    </row>
    <row r="25">
      <c r="A25" s="26" t="inlineStr">
        <is>
          <t>Week 21</t>
        </is>
      </c>
      <c r="B25" s="31" t="n">
        <v>4</v>
      </c>
      <c r="C25" s="27" t="inlineStr"/>
    </row>
    <row r="26">
      <c r="A26" s="23" t="inlineStr">
        <is>
          <t>Week 22</t>
        </is>
      </c>
      <c r="B26" s="32" t="n">
        <v>4</v>
      </c>
      <c r="C26" s="21" t="inlineStr"/>
    </row>
    <row r="27">
      <c r="A27" s="26" t="inlineStr">
        <is>
          <t>Week 23</t>
        </is>
      </c>
      <c r="B27" s="31" t="n">
        <v>4</v>
      </c>
      <c r="C27" s="27" t="inlineStr"/>
    </row>
    <row r="28">
      <c r="A28" s="23" t="inlineStr">
        <is>
          <t>Week 24</t>
        </is>
      </c>
      <c r="B28" s="32" t="n">
        <v>4</v>
      </c>
      <c r="C28" s="21" t="inlineStr"/>
    </row>
    <row r="29">
      <c r="A29" s="26" t="n"/>
      <c r="B29" s="31" t="n"/>
      <c r="C29" s="27" t="n"/>
    </row>
    <row r="30">
      <c r="A30" s="23" t="n"/>
      <c r="B30" s="32" t="n"/>
      <c r="C30" s="21" t="n"/>
    </row>
    <row r="31">
      <c r="A31" s="26" t="n"/>
      <c r="B31" s="31" t="n"/>
      <c r="C31" s="27" t="n"/>
    </row>
    <row r="32">
      <c r="A32" s="23" t="n"/>
      <c r="B32" s="32" t="n"/>
      <c r="C32" s="21" t="n"/>
    </row>
    <row r="33">
      <c r="A33" s="26" t="n"/>
      <c r="B33" s="31" t="n"/>
      <c r="C33" s="27" t="n"/>
    </row>
    <row r="34">
      <c r="A34" s="23" t="n"/>
      <c r="B34" s="32" t="n"/>
      <c r="C34" s="21" t="n"/>
    </row>
    <row r="35">
      <c r="A35" s="26" t="n"/>
      <c r="B35" s="31" t="n"/>
      <c r="C35" s="27" t="n"/>
    </row>
    <row r="36">
      <c r="A36" s="23" t="n"/>
      <c r="B36" s="32" t="n"/>
      <c r="C36" s="21" t="n"/>
    </row>
    <row r="37">
      <c r="A37" s="26" t="n"/>
      <c r="B37" s="31" t="n"/>
      <c r="C37" s="27" t="n"/>
    </row>
    <row r="38">
      <c r="A38" s="23" t="n"/>
      <c r="B38" s="32" t="n"/>
      <c r="C38" s="21" t="n"/>
    </row>
    <row r="39">
      <c r="A39" s="26" t="n"/>
      <c r="B39" s="31" t="n"/>
      <c r="C39" s="27" t="n"/>
    </row>
    <row r="40">
      <c r="A40" s="23" t="n"/>
      <c r="B40" s="32" t="n"/>
      <c r="C40" s="21" t="n"/>
    </row>
    <row r="41">
      <c r="A41" s="26" t="n"/>
      <c r="B41" s="31" t="n"/>
      <c r="C41" s="27" t="n"/>
    </row>
    <row r="42">
      <c r="A42" s="23" t="n"/>
      <c r="B42" s="32" t="n"/>
      <c r="C42" s="21" t="n"/>
    </row>
    <row r="43">
      <c r="A43" s="26" t="n"/>
      <c r="B43" s="31" t="n"/>
      <c r="C43" s="27" t="n"/>
    </row>
    <row r="44">
      <c r="A44" s="23" t="n"/>
      <c r="B44" s="32" t="n"/>
      <c r="C44" s="21" t="n"/>
    </row>
    <row r="45">
      <c r="A45" s="9" t="inlineStr">
        <is>
          <t>TOTAL</t>
        </is>
      </c>
      <c r="B45" s="35">
        <f>SUM(AttDays)</f>
        <v/>
      </c>
      <c r="C45" s="36" t="n"/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🖼  PORTFOLIO &amp; KEEPSAKES</t>
        </is>
      </c>
    </row>
    <row r="2" ht="22" customHeight="1">
      <c r="A2" s="2" t="inlineStr">
        <is>
          <t xml:space="preserve">  Snap a few favorites each month — the art, the milestones, the sweet little wins.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PHOTOS</t>
        </is>
      </c>
    </row>
    <row r="6" ht="26" customHeight="1">
      <c r="B6" s="37" t="inlineStr">
        <is>
          <t>Google Sheets: click a box, Insert ▸ Image ▸ Image in cell, or paste =IMAGE("link"). Excel: Insert ▸ Pictures ▸ Place in Cell. Photograph a painting, a first name written, a block tower or a proud face and caption it — child, date &amp; what it shows. A few a month is plenty.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38" t="inlineStr">
        <is>
          <t>🖼
First Name Written
(add photo)</t>
        </is>
      </c>
      <c r="C9" s="38" t="inlineStr">
        <is>
          <t>🖼
Best Painting
(add photo)</t>
        </is>
      </c>
      <c r="D9" s="38" t="inlineStr">
        <is>
          <t>🖼
Block Tower
(add photo)</t>
        </is>
      </c>
    </row>
    <row r="10"/>
    <row r="11"/>
    <row r="12"/>
    <row r="13" ht="30" customHeight="1">
      <c r="B13" s="39" t="inlineStr">
        <is>
          <t>Child · what it shows · date…</t>
        </is>
      </c>
      <c r="C13" s="39" t="inlineStr">
        <is>
          <t>Child · what it shows · date…</t>
        </is>
      </c>
      <c r="D13" s="39" t="inlineStr">
        <is>
          <t>Child · what it shows · date…</t>
        </is>
      </c>
    </row>
    <row r="15" ht="120" customHeight="1">
      <c r="B15" s="38" t="inlineStr">
        <is>
          <t>🖼
Nature Find
(add photo)</t>
        </is>
      </c>
      <c r="C15" s="38" t="inlineStr">
        <is>
          <t>🖼
Dress-Up Play
(add photo)</t>
        </is>
      </c>
      <c r="D15" s="38" t="inlineStr">
        <is>
          <t>🖼
Milestone Moment
(add photo)</t>
        </is>
      </c>
    </row>
    <row r="16"/>
    <row r="17"/>
    <row r="18"/>
    <row r="19" ht="30" customHeight="1">
      <c r="B19" s="39" t="inlineStr">
        <is>
          <t>Child · what it shows · date…</t>
        </is>
      </c>
      <c r="C19" s="39" t="inlineStr">
        <is>
          <t>Child · what it shows · date…</t>
        </is>
      </c>
      <c r="D19" s="39" t="inlineStr">
        <is>
          <t>Child · what it shows · date…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3" customWidth="1" min="6" max="6"/>
    <col width="2" customWidth="1" min="7" max="7"/>
  </cols>
  <sheetData>
    <row r="1" ht="46" customHeight="1">
      <c r="A1" s="1" t="inlineStr">
        <is>
          <t xml:space="preserve">  🧺  SUPPLIES &amp; BUDGET</t>
        </is>
      </c>
    </row>
    <row r="2" ht="22" customHeight="1">
      <c r="A2" s="2" t="inlineStr">
        <is>
          <t xml:space="preserve">  Art, sensory, books &amp; printables — planned vs actual, so preschool stays low-cost &amp; low-stress.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Category</t>
        </is>
      </c>
      <c r="C4" s="9" t="inlineStr">
        <is>
          <t>Planned</t>
        </is>
      </c>
      <c r="D4" s="9" t="inlineStr">
        <is>
          <t>Actual</t>
        </is>
      </c>
      <c r="E4" s="9" t="inlineStr">
        <is>
          <t>Remaining</t>
        </is>
      </c>
    </row>
    <row r="5">
      <c r="B5" s="18" t="inlineStr">
        <is>
          <t>Art supplies</t>
        </is>
      </c>
      <c r="C5" s="40" t="n">
        <v>90</v>
      </c>
      <c r="D5" s="40" t="n">
        <v>74</v>
      </c>
      <c r="E5" s="41">
        <f>C5-D5</f>
        <v/>
      </c>
    </row>
    <row r="6">
      <c r="B6" s="21" t="inlineStr">
        <is>
          <t>Sensory bin fillers</t>
        </is>
      </c>
      <c r="C6" s="42" t="n">
        <v>60</v>
      </c>
      <c r="D6" s="42" t="n">
        <v>48</v>
      </c>
      <c r="E6" s="43">
        <f>C6-D6</f>
        <v/>
      </c>
    </row>
    <row r="7">
      <c r="B7" s="18" t="inlineStr">
        <is>
          <t>Books &amp; library</t>
        </is>
      </c>
      <c r="C7" s="40" t="n">
        <v>70</v>
      </c>
      <c r="D7" s="40" t="n">
        <v>52</v>
      </c>
      <c r="E7" s="41">
        <f>C7-D7</f>
        <v/>
      </c>
    </row>
    <row r="8">
      <c r="B8" s="21" t="inlineStr">
        <is>
          <t>Printables &amp; laminating</t>
        </is>
      </c>
      <c r="C8" s="42" t="n">
        <v>40</v>
      </c>
      <c r="D8" s="42" t="n">
        <v>33</v>
      </c>
      <c r="E8" s="43">
        <f>C8-D8</f>
        <v/>
      </c>
    </row>
    <row r="9">
      <c r="B9" s="18" t="inlineStr">
        <is>
          <t>Manipulatives / toys</t>
        </is>
      </c>
      <c r="C9" s="40" t="n">
        <v>80</v>
      </c>
      <c r="D9" s="40" t="n">
        <v>61</v>
      </c>
      <c r="E9" s="41">
        <f>C9-D9</f>
        <v/>
      </c>
    </row>
    <row r="10">
      <c r="B10" s="21" t="inlineStr">
        <is>
          <t>Craft &amp; consumables</t>
        </is>
      </c>
      <c r="C10" s="42" t="n">
        <v>40</v>
      </c>
      <c r="D10" s="42" t="n">
        <v>28</v>
      </c>
      <c r="E10" s="43">
        <f>C10-D10</f>
        <v/>
      </c>
    </row>
    <row r="11">
      <c r="B11" s="18" t="inlineStr">
        <is>
          <t>Field trips</t>
        </is>
      </c>
      <c r="C11" s="40" t="n">
        <v>60</v>
      </c>
      <c r="D11" s="40" t="n">
        <v>42</v>
      </c>
      <c r="E11" s="41">
        <f>C11-D11</f>
        <v/>
      </c>
    </row>
    <row r="12">
      <c r="B12" s="21" t="inlineStr">
        <is>
          <t>Misc</t>
        </is>
      </c>
      <c r="C12" s="42" t="n">
        <v>30</v>
      </c>
      <c r="D12" s="42" t="n">
        <v>12</v>
      </c>
      <c r="E12" s="43">
        <f>C12-D12</f>
        <v/>
      </c>
    </row>
    <row r="13">
      <c r="B13" s="9" t="inlineStr">
        <is>
          <t>TOTAL</t>
        </is>
      </c>
      <c r="C13" s="44">
        <f>SUM(C5:C12)</f>
        <v/>
      </c>
      <c r="D13" s="44">
        <f>SUM(D5:D12)</f>
        <v/>
      </c>
      <c r="E13" s="44">
        <f>SUM(E5:E12)</f>
        <v/>
      </c>
    </row>
    <row r="15">
      <c r="B15" s="4" t="inlineStr">
        <is>
          <t>THE BOTTOM LINE</t>
        </is>
      </c>
    </row>
    <row r="16">
      <c r="B16" s="24" t="inlineStr">
        <is>
          <t>Total budget</t>
        </is>
      </c>
      <c r="C16" s="45">
        <f>SuppliesPlanTotal</f>
        <v/>
      </c>
    </row>
    <row r="17">
      <c r="B17" s="24" t="inlineStr">
        <is>
          <t>Spent so far</t>
        </is>
      </c>
      <c r="C17" s="45">
        <f>SuppliesSpent</f>
        <v/>
      </c>
    </row>
    <row r="18">
      <c r="B18" s="24" t="inlineStr">
        <is>
          <t>Remaining</t>
        </is>
      </c>
      <c r="C18" s="46">
        <f>SuppliesPlanTotal-SuppliesSpent</f>
        <v/>
      </c>
    </row>
    <row r="19">
      <c r="B19" s="24" t="inlineStr">
        <is>
          <t>Per child (avg)</t>
        </is>
      </c>
      <c r="C19" s="46">
        <f>IFERROR(SuppliesSpent/Children,0)</f>
        <v/>
      </c>
    </row>
  </sheetData>
  <mergeCells count="3">
    <mergeCell ref="A2:E2"/>
    <mergeCell ref="B15:E15"/>
    <mergeCell ref="A1:E1"/>
  </mergeCells>
  <conditionalFormatting sqref="D5:D12">
    <cfRule type="dataBar" priority="1">
      <dataBar showValue="1">
        <cfvo type="num" val="0"/>
        <cfvo type="num" val="90"/>
        <color rgb="001B4F48"/>
      </dataBar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</cols>
  <sheetData>
    <row r="1" ht="46" customHeight="1">
      <c r="A1" s="1" t="inlineStr">
        <is>
          <t xml:space="preserve">  🎒  KINDERGARTEN READINESS</t>
        </is>
      </c>
    </row>
    <row r="2" ht="22" customHeight="1">
      <c r="A2" s="2" t="inlineStr">
        <is>
          <t xml:space="preserve">  The gentle checklist — the skills most kindergartens hope for. A guide, never a test; every child is different.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Readiness Skill</t>
        </is>
      </c>
      <c r="B4" s="9" t="inlineStr">
        <is>
          <t>Ready?</t>
        </is>
      </c>
      <c r="C4" s="9" t="inlineStr">
        <is>
          <t>Notes</t>
        </is>
      </c>
    </row>
    <row r="5">
      <c r="A5" s="27" t="inlineStr">
        <is>
          <t>Writes first name</t>
        </is>
      </c>
      <c r="B5" s="26" t="inlineStr">
        <is>
          <t>Yes</t>
        </is>
      </c>
      <c r="C5" s="27" t="inlineStr">
        <is>
          <t>—</t>
        </is>
      </c>
    </row>
    <row r="6">
      <c r="A6" s="21" t="inlineStr">
        <is>
          <t>Recognizes 20+ letters</t>
        </is>
      </c>
      <c r="B6" s="23" t="inlineStr">
        <is>
          <t>Yes</t>
        </is>
      </c>
      <c r="C6" s="21" t="inlineStr">
        <is>
          <t>—</t>
        </is>
      </c>
    </row>
    <row r="7">
      <c r="A7" s="27" t="inlineStr">
        <is>
          <t>Says most letter sounds</t>
        </is>
      </c>
      <c r="B7" s="26" t="inlineStr">
        <is>
          <t>No</t>
        </is>
      </c>
      <c r="C7" s="27" t="inlineStr">
        <is>
          <t>—</t>
        </is>
      </c>
    </row>
    <row r="8">
      <c r="A8" s="21" t="inlineStr">
        <is>
          <t>Counts to 20</t>
        </is>
      </c>
      <c r="B8" s="23" t="inlineStr">
        <is>
          <t>Yes</t>
        </is>
      </c>
      <c r="C8" s="21" t="inlineStr">
        <is>
          <t>—</t>
        </is>
      </c>
    </row>
    <row r="9">
      <c r="A9" s="27" t="inlineStr">
        <is>
          <t>Recognizes numerals 0–10</t>
        </is>
      </c>
      <c r="B9" s="26" t="inlineStr">
        <is>
          <t>No</t>
        </is>
      </c>
      <c r="C9" s="27" t="inlineStr">
        <is>
          <t>—</t>
        </is>
      </c>
    </row>
    <row r="10">
      <c r="A10" s="21" t="inlineStr">
        <is>
          <t>Knows 8+ colors</t>
        </is>
      </c>
      <c r="B10" s="23" t="inlineStr">
        <is>
          <t>Yes</t>
        </is>
      </c>
      <c r="C10" s="21" t="inlineStr">
        <is>
          <t>—</t>
        </is>
      </c>
    </row>
    <row r="11">
      <c r="A11" s="27" t="inlineStr">
        <is>
          <t>Names basic shapes</t>
        </is>
      </c>
      <c r="B11" s="26" t="inlineStr">
        <is>
          <t>Yes</t>
        </is>
      </c>
      <c r="C11" s="27" t="inlineStr">
        <is>
          <t>—</t>
        </is>
      </c>
    </row>
    <row r="12">
      <c r="A12" s="21" t="inlineStr">
        <is>
          <t>Holds a pencil correctly</t>
        </is>
      </c>
      <c r="B12" s="23" t="inlineStr">
        <is>
          <t>Yes</t>
        </is>
      </c>
      <c r="C12" s="21" t="inlineStr">
        <is>
          <t>—</t>
        </is>
      </c>
    </row>
    <row r="13">
      <c r="A13" s="27" t="inlineStr">
        <is>
          <t>Cuts with scissors on a line</t>
        </is>
      </c>
      <c r="B13" s="26" t="inlineStr">
        <is>
          <t>No</t>
        </is>
      </c>
      <c r="C13" s="27" t="inlineStr">
        <is>
          <t>—</t>
        </is>
      </c>
    </row>
    <row r="14">
      <c r="A14" s="21" t="inlineStr">
        <is>
          <t>Uses the bathroom independently</t>
        </is>
      </c>
      <c r="B14" s="23" t="inlineStr">
        <is>
          <t>Yes</t>
        </is>
      </c>
      <c r="C14" s="21" t="inlineStr">
        <is>
          <t>—</t>
        </is>
      </c>
    </row>
    <row r="15">
      <c r="A15" s="27" t="inlineStr">
        <is>
          <t>Dresses self</t>
        </is>
      </c>
      <c r="B15" s="26" t="inlineStr">
        <is>
          <t>Yes</t>
        </is>
      </c>
      <c r="C15" s="27" t="inlineStr">
        <is>
          <t>—</t>
        </is>
      </c>
    </row>
    <row r="16">
      <c r="A16" s="21" t="inlineStr">
        <is>
          <t>Follows 2-step directions</t>
        </is>
      </c>
      <c r="B16" s="23" t="inlineStr">
        <is>
          <t>Yes</t>
        </is>
      </c>
      <c r="C16" s="21" t="inlineStr">
        <is>
          <t>—</t>
        </is>
      </c>
    </row>
    <row r="17">
      <c r="A17" s="27" t="inlineStr">
        <is>
          <t>Takes turns &amp; shares</t>
        </is>
      </c>
      <c r="B17" s="26" t="inlineStr">
        <is>
          <t>Yes</t>
        </is>
      </c>
      <c r="C17" s="27" t="inlineStr">
        <is>
          <t>—</t>
        </is>
      </c>
    </row>
    <row r="18">
      <c r="A18" s="21" t="inlineStr">
        <is>
          <t>Separates from caregiver calmly</t>
        </is>
      </c>
      <c r="B18" s="23" t="inlineStr">
        <is>
          <t>Yes</t>
        </is>
      </c>
      <c r="C18" s="21" t="inlineStr">
        <is>
          <t>—</t>
        </is>
      </c>
    </row>
    <row r="19">
      <c r="A19" s="27" t="inlineStr">
        <is>
          <t>Sits &amp; listens to a short lesson</t>
        </is>
      </c>
      <c r="B19" s="26" t="inlineStr">
        <is>
          <t>Yes</t>
        </is>
      </c>
      <c r="C19" s="27" t="inlineStr">
        <is>
          <t>—</t>
        </is>
      </c>
    </row>
    <row r="20">
      <c r="A20" s="21" t="inlineStr">
        <is>
          <t>Identifies rhyming words</t>
        </is>
      </c>
      <c r="B20" s="23" t="inlineStr">
        <is>
          <t>No</t>
        </is>
      </c>
      <c r="C20" s="21" t="inlineStr">
        <is>
          <t>—</t>
        </is>
      </c>
    </row>
    <row r="21">
      <c r="A21" s="27" t="n"/>
      <c r="B21" s="26" t="n"/>
      <c r="C21" s="27" t="n"/>
    </row>
    <row r="22">
      <c r="A22" s="21" t="n"/>
      <c r="B22" s="23" t="n"/>
      <c r="C22" s="21" t="n"/>
    </row>
    <row r="23">
      <c r="A23" s="27" t="n"/>
      <c r="B23" s="26" t="n"/>
      <c r="C23" s="27" t="n"/>
    </row>
    <row r="24">
      <c r="A24" s="21" t="n"/>
      <c r="B24" s="23" t="n"/>
      <c r="C24" s="21" t="n"/>
    </row>
  </sheetData>
  <mergeCells count="2">
    <mergeCell ref="A1:C1"/>
    <mergeCell ref="A2:C2"/>
  </mergeCells>
  <conditionalFormatting sqref="B5:B24">
    <cfRule type="cellIs" priority="1" operator="equal" dxfId="0">
      <formula>"Yes"</formula>
    </cfRule>
    <cfRule type="cellIs" priority="2" operator="equal" dxfId="1">
      <formula>"No"</formula>
    </cfRule>
  </conditionalFormatting>
  <dataValidations count="1">
    <dataValidation sqref="B5:B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🎯  GOALS &amp; MILESTONES</t>
        </is>
      </c>
    </row>
    <row r="2" ht="22" customHeight="1">
      <c r="A2" s="2" t="inlineStr">
        <is>
          <t xml:space="preserve">  The little wins that matter — one meaningful goal per child, plus family goals.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Goal</t>
        </is>
      </c>
      <c r="C4" s="9" t="inlineStr">
        <is>
          <t>Child</t>
        </is>
      </c>
      <c r="D4" s="9" t="inlineStr">
        <is>
          <t>Progress</t>
        </is>
      </c>
    </row>
    <row r="5">
      <c r="B5" s="18" t="inlineStr">
        <is>
          <t>Learn all letter sounds</t>
        </is>
      </c>
      <c r="C5" s="20" t="inlineStr">
        <is>
          <t>Millie</t>
        </is>
      </c>
      <c r="D5" s="47" t="n">
        <v>0.77</v>
      </c>
    </row>
    <row r="6">
      <c r="B6" s="21" t="inlineStr">
        <is>
          <t>Count to 30</t>
        </is>
      </c>
      <c r="C6" s="23" t="inlineStr">
        <is>
          <t>Millie</t>
        </is>
      </c>
      <c r="D6" s="48" t="n">
        <v>0.66</v>
      </c>
    </row>
    <row r="7">
      <c r="B7" s="18" t="inlineStr">
        <is>
          <t>Write her whole first name</t>
        </is>
      </c>
      <c r="C7" s="20" t="inlineStr">
        <is>
          <t>Millie</t>
        </is>
      </c>
      <c r="D7" s="47" t="n">
        <v>0.9</v>
      </c>
    </row>
    <row r="8">
      <c r="B8" s="21" t="inlineStr">
        <is>
          <t>Fully potty trained</t>
        </is>
      </c>
      <c r="C8" s="23" t="inlineStr">
        <is>
          <t>Owen</t>
        </is>
      </c>
      <c r="D8" s="48" t="n">
        <v>0.8</v>
      </c>
    </row>
    <row r="9">
      <c r="B9" s="18" t="inlineStr">
        <is>
          <t>Cut on a line with scissors</t>
        </is>
      </c>
      <c r="C9" s="20" t="inlineStr">
        <is>
          <t>Millie</t>
        </is>
      </c>
      <c r="D9" s="47" t="n">
        <v>0.6</v>
      </c>
    </row>
    <row r="10">
      <c r="B10" s="21" t="inlineStr">
        <is>
          <t>Share without a reminder</t>
        </is>
      </c>
      <c r="C10" s="23" t="inlineStr">
        <is>
          <t>Owen</t>
        </is>
      </c>
      <c r="D10" s="48" t="n">
        <v>0.55</v>
      </c>
    </row>
  </sheetData>
  <mergeCells count="2">
    <mergeCell ref="A1:D1"/>
    <mergeCell ref="A2:D2"/>
  </mergeCells>
  <conditionalFormatting sqref="D5:D10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family details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PRESCHOOL INPUTS</t>
        </is>
      </c>
      <c r="E5" s="4" t="inlineStr">
        <is>
          <t>DROPDOWN LISTS</t>
        </is>
      </c>
    </row>
    <row r="6">
      <c r="B6" s="24" t="inlineStr">
        <is>
          <t>Family Name</t>
        </is>
      </c>
      <c r="C6" s="49" t="inlineStr">
        <is>
          <t>The Bennett Family</t>
        </is>
      </c>
      <c r="E6" s="9" t="inlineStr">
        <is>
          <t>Domain</t>
        </is>
      </c>
      <c r="F6" s="9" t="inlineStr">
        <is>
          <t>Skill Status</t>
        </is>
      </c>
      <c r="G6" s="9" t="inlineStr">
        <is>
          <t>Activity</t>
        </is>
      </c>
      <c r="H6" s="9" t="inlineStr">
        <is>
          <t>Theme</t>
        </is>
      </c>
      <c r="I6" s="9" t="inlineStr">
        <is>
          <t>Supplies</t>
        </is>
      </c>
      <c r="J6" s="9" t="inlineStr">
        <is>
          <t>Loved?</t>
        </is>
      </c>
      <c r="K6" s="9" t="inlineStr">
        <is>
          <t>Yes / No</t>
        </is>
      </c>
    </row>
    <row r="7">
      <c r="B7" s="24" t="inlineStr">
        <is>
          <t>School Year</t>
        </is>
      </c>
      <c r="C7" s="49" t="inlineStr">
        <is>
          <t>2026–2027</t>
        </is>
      </c>
      <c r="E7" s="18" t="inlineStr">
        <is>
          <t>Fine Motor</t>
        </is>
      </c>
      <c r="F7" s="18" t="inlineStr">
        <is>
          <t>Mastered</t>
        </is>
      </c>
      <c r="G7" s="18" t="inlineStr">
        <is>
          <t>Done</t>
        </is>
      </c>
      <c r="H7" s="18" t="inlineStr">
        <is>
          <t>Done</t>
        </is>
      </c>
      <c r="I7" s="18" t="inlineStr">
        <is>
          <t>Have</t>
        </is>
      </c>
      <c r="J7" s="18" t="inlineStr">
        <is>
          <t>Loved it</t>
        </is>
      </c>
      <c r="K7" s="18" t="inlineStr">
        <is>
          <t>Yes</t>
        </is>
      </c>
    </row>
    <row r="8">
      <c r="B8" s="24" t="inlineStr">
        <is>
          <t>Children</t>
        </is>
      </c>
      <c r="C8" s="50" t="n">
        <v>2</v>
      </c>
      <c r="E8" s="18" t="inlineStr">
        <is>
          <t>Gross Motor</t>
        </is>
      </c>
      <c r="F8" s="18" t="inlineStr">
        <is>
          <t>Emerging</t>
        </is>
      </c>
      <c r="G8" s="18" t="inlineStr">
        <is>
          <t>Planned</t>
        </is>
      </c>
      <c r="H8" s="18" t="inlineStr">
        <is>
          <t>In Progress</t>
        </is>
      </c>
      <c r="I8" s="18" t="inlineStr">
        <is>
          <t>Ordered</t>
        </is>
      </c>
      <c r="J8" s="18" t="inlineStr">
        <is>
          <t>Liked it</t>
        </is>
      </c>
      <c r="K8" s="18" t="inlineStr">
        <is>
          <t>No</t>
        </is>
      </c>
    </row>
    <row r="9">
      <c r="B9" s="24" t="inlineStr">
        <is>
          <t>Days Goal (year)</t>
        </is>
      </c>
      <c r="C9" s="50" t="n">
        <v>150</v>
      </c>
      <c r="E9" s="18" t="inlineStr">
        <is>
          <t>Language</t>
        </is>
      </c>
      <c r="F9" s="18" t="inlineStr">
        <is>
          <t>Not Yet</t>
        </is>
      </c>
      <c r="G9" s="18" t="inlineStr">
        <is>
          <t>Skipped</t>
        </is>
      </c>
      <c r="H9" s="18" t="inlineStr">
        <is>
          <t>Upcoming</t>
        </is>
      </c>
      <c r="I9" s="18" t="inlineStr">
        <is>
          <t>Need</t>
        </is>
      </c>
      <c r="J9" s="18" t="inlineStr">
        <is>
          <t>Meh</t>
        </is>
      </c>
    </row>
    <row r="10">
      <c r="B10" s="24" t="inlineStr">
        <is>
          <t>Books Read (year)</t>
        </is>
      </c>
      <c r="C10" s="29" t="n">
        <v>38</v>
      </c>
      <c r="E10" s="18" t="inlineStr">
        <is>
          <t>Pre-Math</t>
        </is>
      </c>
    </row>
    <row r="11">
      <c r="B11" s="24" t="inlineStr">
        <is>
          <t>Supplies Budget</t>
        </is>
      </c>
      <c r="C11" s="40" t="n">
        <v>400</v>
      </c>
      <c r="E11" s="18" t="inlineStr">
        <is>
          <t>Pre-Reading</t>
        </is>
      </c>
    </row>
    <row r="12">
      <c r="B12" s="24" t="inlineStr">
        <is>
          <t>Kindergarten Date</t>
        </is>
      </c>
      <c r="C12" s="49" t="inlineStr">
        <is>
          <t>Fall 2028</t>
        </is>
      </c>
      <c r="E12" s="18" t="inlineStr">
        <is>
          <t>Social-Emotional</t>
        </is>
      </c>
    </row>
    <row r="13">
      <c r="E13" s="18" t="inlineStr">
        <is>
          <t>Self-Help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2026-07-16T02:11:40Z</dcterms:created>
  <dcterms:modified xsi:type="dcterms:W3CDTF">2026-07-16T02:11:40Z</dcterms:modified>
</cp:coreProperties>
</file>