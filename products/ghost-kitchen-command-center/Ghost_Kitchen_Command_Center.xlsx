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Item Margin" sheetId="3" state="visible" r:id="rId3"/>
    <sheet name="Menu &amp; Margins" sheetId="4" state="visible" r:id="rId4"/>
    <sheet name="Platform P&amp;L" sheetId="5" state="visible" r:id="rId5"/>
    <sheet name="Virtual Brands" sheetId="6" state="visible" r:id="rId6"/>
    <sheet name="Packaging" sheetId="7" state="visible" r:id="rId7"/>
    <sheet name="Order Volume" sheetId="8" state="visible" r:id="rId8"/>
    <sheet name="Inventory" sheetId="9" state="visible" r:id="rId9"/>
    <sheet name="Waste Log" sheetId="10" state="visible" r:id="rId10"/>
    <sheet name="Ordering" sheetId="11" state="visible" r:id="rId11"/>
    <sheet name="Payouts" sheetId="12" state="visible" r:id="rId12"/>
    <sheet name="Promotions" sheetId="13" state="visible" r:id="rId13"/>
    <sheet name="Settings" sheetId="14" state="visible" r:id="rId14"/>
  </sheets>
  <definedNames>
    <definedName name="Kitchen">Settings!$C$6</definedName>
    <definedName name="Owner">Settings!$C$7</definedName>
    <definedName name="TargetFC">Settings!$C$8</definedName>
    <definedName name="MarginGoal">Settings!$C$9</definedName>
    <definedName name="CommLimit">Settings!$C$10</definedName>
    <definedName name="DirectGoal">Settings!$C$11</definedName>
    <definedName name="Commission">Settings!$C$12</definedName>
    <definedName name="Currency">Settings!$C$13</definedName>
    <definedName name="UnitList">Settings!$E$7:$E$14</definedName>
    <definedName name="PlatformList">Settings!$F$7:$F$11</definedName>
    <definedName name="StatusList">Settings!$G$7:$G$10</definedName>
    <definedName name="YesNoList">Settings!$H$7:$H$8</definedName>
    <definedName name="SigItemNet">'Item Margin'!$C$11</definedName>
    <definedName name="MenuItem">'Menu &amp; Margins'!$B$5:$B$12</definedName>
    <definedName name="MenuPrice">'Menu &amp; Margins'!$C$5:$C$12</definedName>
    <definedName name="MenuFood">'Menu &amp; Margins'!$D$5:$D$12</definedName>
    <definedName name="MenuNet">'Menu &amp; Margins'!$F$5:$F$12</definedName>
    <definedName name="MenuNetPct">'Menu &amp; Margins'!$G$5:$G$12</definedName>
    <definedName name="MenuFoodPct">'Menu &amp; Margins'!$H$5:$H$12</definedName>
    <definedName name="AvgNetPct">'Menu &amp; Margins'!$G$14</definedName>
    <definedName name="FoodCostPct">'Menu &amp; Margins'!$G$15</definedName>
    <definedName name="PlatName">'Platform P&amp;L'!$B$5:$B$8</definedName>
    <definedName name="PlatOrders">'Platform P&amp;L'!$C$5:$C$8</definedName>
    <definedName name="PlatGross">'Platform P&amp;L'!$E$5:$E$8</definedName>
    <definedName name="PlatNet">'Platform P&amp;L'!$G$5:$G$8</definedName>
    <definedName name="TotalOrders">'Platform P&amp;L'!$C$9</definedName>
    <definedName name="TotalGross">'Platform P&amp;L'!$E$9</definedName>
    <definedName name="BlendedComm">'Platform P&amp;L'!$F$9</definedName>
    <definedName name="NetPayout">'Platform P&amp;L'!$G$9</definedName>
    <definedName name="DirectShare">'Platform P&amp;L'!$C$11</definedName>
    <definedName name="AvgOrder">'Platform P&amp;L'!$C$12</definedName>
    <definedName name="BrandName">'Virtual Brands'!$B$5:$B$8</definedName>
    <definedName name="BrandOrders">'Virtual Brands'!$D$5:$D$8</definedName>
    <definedName name="BrandRev">'Virtual Brands'!$E$5:$E$8</definedName>
    <definedName name="WasteCost">'Waste Log'!$D$5:$D$28</definedName>
    <definedName name="WasteTotal">'Waste Log'!$D$29</definedName>
    <definedName name="OrderCost">'Ordering'!$E$5:$E$28</definedName>
    <definedName name="HealthRange">'Dashboard'!$C$13:$C$18</definedName>
  </definedNames>
  <calcPr calcId="124519" fullCalcOnLoad="1"/>
</workbook>
</file>

<file path=xl/styles.xml><?xml version="1.0" encoding="utf-8"?>
<styleSheet xmlns="http://schemas.openxmlformats.org/spreadsheetml/2006/main">
  <numFmts count="3">
    <numFmt numFmtId="164" formatCode="&quot;$&quot;#,##0.00"/>
    <numFmt numFmtId="165" formatCode="&quot;$&quot;#,##0"/>
    <numFmt numFmtId="166" formatCode="0.0%"/>
  </numFmts>
  <fonts count="15">
    <font>
      <name val="Calibri"/>
      <family val="2"/>
      <color theme="1"/>
      <sz val="11"/>
      <scheme val="minor"/>
    </font>
    <font>
      <name val="Calibri"/>
      <b val="1"/>
      <color rgb="00FFFFFF"/>
      <sz val="24"/>
    </font>
    <font>
      <name val="Calibri"/>
      <i val="1"/>
      <color rgb="00E5D3BA"/>
      <sz val="11"/>
    </font>
    <font>
      <name val="Calibri"/>
      <b val="1"/>
      <color rgb="001B4F48"/>
      <sz val="12"/>
    </font>
    <font>
      <name val="Calibri"/>
      <b val="1"/>
      <color rgb="00937356"/>
      <sz val="12"/>
    </font>
    <font>
      <name val="Calibri"/>
      <b val="1"/>
      <color rgb="00FFFFFF"/>
      <sz val="11"/>
    </font>
    <font>
      <name val="Calibri"/>
      <color rgb="00333333"/>
      <sz val="11"/>
    </font>
    <font>
      <name val="Calibri"/>
      <b val="1"/>
      <color rgb="001B4F48"/>
      <sz val="11"/>
    </font>
    <font>
      <name val="Calibri"/>
      <b val="1"/>
      <color rgb="00937356"/>
      <sz val="10"/>
    </font>
    <font>
      <color rgb="00333333"/>
      <sz val="11"/>
    </font>
    <font>
      <b val="1"/>
      <color rgb="001B4F48"/>
    </font>
    <font>
      <b val="1"/>
      <color rgb="00C94C4C"/>
    </font>
    <font>
      <b val="1"/>
      <color rgb="00937356"/>
      <sz val="9"/>
    </font>
    <font>
      <b val="1"/>
      <color rgb="001B4F48"/>
      <sz val="18"/>
    </font>
    <font>
      <b val="1"/>
      <color rgb="001B4F48"/>
      <sz val="12"/>
    </font>
  </fonts>
  <fills count="10">
    <fill>
      <patternFill/>
    </fill>
    <fill>
      <patternFill patternType="gray125"/>
    </fill>
    <fill>
      <patternFill patternType="solid">
        <fgColor rgb="001B4F48"/>
      </patternFill>
    </fill>
    <fill>
      <patternFill patternType="solid">
        <fgColor rgb="00E5D3BA"/>
      </patternFill>
    </fill>
    <fill>
      <patternFill patternType="solid">
        <fgColor rgb="00FAF7F1"/>
      </patternFill>
    </fill>
    <fill>
      <patternFill patternType="solid">
        <fgColor rgb="00C9A86A"/>
      </patternFill>
    </fill>
    <fill>
      <patternFill patternType="solid">
        <fgColor rgb="00E3F8EF"/>
      </patternFill>
    </fill>
    <fill>
      <patternFill patternType="solid">
        <fgColor rgb="00FBF0E2"/>
      </patternFill>
    </fill>
    <fill>
      <patternFill patternType="solid">
        <fgColor rgb="00F4ECDE"/>
      </patternFill>
    </fill>
    <fill>
      <patternFill patternType="solid">
        <fgColor rgb="00FFFFFF"/>
      </patternFill>
    </fill>
  </fills>
  <borders count="4">
    <border>
      <left/>
      <right/>
      <top/>
      <bottom/>
      <diagonal/>
    </border>
    <border/>
    <border>
      <left style="thin">
        <color rgb="00D6D2C8"/>
      </left>
      <right style="thin">
        <color rgb="00D6D2C8"/>
      </right>
      <top style="thin">
        <color rgb="00D6D2C8"/>
      </top>
      <bottom style="thin">
        <color rgb="00D6D2C8"/>
      </bottom>
    </border>
    <border>
      <left style="thin">
        <color rgb="00D6D2C8"/>
      </left>
      <right style="thin">
        <color rgb="00D6D2C8"/>
      </right>
      <top style="medium">
        <color rgb="00C9A86A"/>
      </top>
      <bottom style="thin">
        <color rgb="00D6D2C8"/>
      </bottom>
    </border>
  </borders>
  <cellStyleXfs count="12">
    <xf numFmtId="0" fontId="0" fillId="0" borderId="0"/>
    <xf numFmtId="0" fontId="1" fillId="2" borderId="1" applyAlignment="1">
      <alignment horizontal="left" vertical="center" indent="2"/>
    </xf>
    <xf numFmtId="0" fontId="2" fillId="2" borderId="1" applyAlignment="1">
      <alignment horizontal="left" vertical="center" indent="2"/>
    </xf>
    <xf numFmtId="0" fontId="3" fillId="0" borderId="1" applyAlignment="1">
      <alignment horizontal="left" vertical="center"/>
    </xf>
    <xf numFmtId="0" fontId="4" fillId="0" borderId="1" applyAlignment="1">
      <alignment horizontal="left" vertical="center"/>
    </xf>
    <xf numFmtId="0" fontId="5" fillId="2" borderId="2" applyAlignment="1">
      <alignment horizontal="center" vertical="center" wrapText="1"/>
    </xf>
    <xf numFmtId="0" fontId="6" fillId="0" borderId="2" applyAlignment="1">
      <alignment horizontal="center" vertical="center" wrapText="1"/>
    </xf>
    <xf numFmtId="0" fontId="6" fillId="0" borderId="2" applyAlignment="1">
      <alignment horizontal="left" vertical="center" wrapText="1" indent="1"/>
    </xf>
    <xf numFmtId="0" fontId="7" fillId="3" borderId="2" applyAlignment="1">
      <alignment horizontal="center" vertical="center"/>
    </xf>
    <xf numFmtId="0" fontId="8" fillId="4" borderId="2" applyAlignment="1">
      <alignment horizontal="left" vertical="center" indent="1"/>
    </xf>
    <xf numFmtId="0" fontId="7" fillId="0" borderId="2" applyAlignment="1">
      <alignment horizontal="left" vertical="center" indent="1"/>
    </xf>
    <xf numFmtId="0" fontId="6" fillId="0" borderId="1" applyAlignment="1">
      <alignment horizontal="left" vertical="top" wrapText="1" indent="1"/>
    </xf>
  </cellStyleXfs>
  <cellXfs count="59">
    <xf numFmtId="0" fontId="0" fillId="0" borderId="0" pivotButton="0" quotePrefix="0" xfId="0"/>
    <xf numFmtId="0" fontId="1" fillId="2" borderId="1" applyAlignment="1" pivotButton="0" quotePrefix="0" xfId="1">
      <alignment horizontal="left" vertical="center" indent="2"/>
    </xf>
    <xf numFmtId="0" fontId="2" fillId="2" borderId="1" applyAlignment="1" pivotButton="0" quotePrefix="0" xfId="2">
      <alignment horizontal="left" vertical="center" indent="2"/>
    </xf>
    <xf numFmtId="0" fontId="0" fillId="5" borderId="0" pivotButton="0" quotePrefix="0" xfId="0"/>
    <xf numFmtId="0" fontId="4" fillId="0" borderId="1" applyAlignment="1" pivotButton="0" quotePrefix="0" xfId="4">
      <alignment horizontal="left" vertical="center"/>
    </xf>
    <xf numFmtId="0" fontId="6" fillId="6" borderId="2" applyAlignment="1" pivotButton="0" quotePrefix="0" xfId="11">
      <alignment horizontal="left" vertical="top" wrapText="1" indent="1"/>
    </xf>
    <xf numFmtId="0" fontId="0" fillId="6" borderId="0" pivotButton="0" quotePrefix="0" xfId="0"/>
    <xf numFmtId="0" fontId="3" fillId="0" borderId="1" applyAlignment="1" pivotButton="0" quotePrefix="0" xfId="3">
      <alignment horizontal="left" vertical="center"/>
    </xf>
    <xf numFmtId="0" fontId="6" fillId="0" borderId="1" applyAlignment="1" pivotButton="0" quotePrefix="0" xfId="11">
      <alignment horizontal="left" vertical="top" wrapText="1" indent="1"/>
    </xf>
    <xf numFmtId="0" fontId="5" fillId="2" borderId="2" applyAlignment="1" pivotButton="0" quotePrefix="0" xfId="5">
      <alignment horizontal="center" vertical="center" wrapText="1"/>
    </xf>
    <xf numFmtId="0" fontId="9" fillId="7" borderId="2" applyAlignment="1" pivotButton="0" quotePrefix="0" xfId="0">
      <alignment horizontal="left" vertical="top" wrapText="1" indent="1"/>
    </xf>
    <xf numFmtId="0" fontId="0" fillId="7" borderId="0" pivotButton="0" quotePrefix="0" xfId="0"/>
    <xf numFmtId="0" fontId="12" fillId="9" borderId="3" applyAlignment="1" pivotButton="0" quotePrefix="0" xfId="0">
      <alignment horizontal="center" vertical="center"/>
    </xf>
    <xf numFmtId="0" fontId="0" fillId="9" borderId="3" pivotButton="0" quotePrefix="0" xfId="0"/>
    <xf numFmtId="3" fontId="13" fillId="9" borderId="2" applyAlignment="1" pivotButton="0" quotePrefix="0" xfId="0">
      <alignment horizontal="center" vertical="center"/>
    </xf>
    <xf numFmtId="0" fontId="0" fillId="9" borderId="2" pivotButton="0" quotePrefix="0" xfId="0"/>
    <xf numFmtId="164" fontId="13" fillId="9" borderId="2" applyAlignment="1" pivotButton="0" quotePrefix="0" xfId="0">
      <alignment horizontal="center" vertical="center"/>
    </xf>
    <xf numFmtId="9" fontId="13" fillId="9" borderId="2" applyAlignment="1" pivotButton="0" quotePrefix="0" xfId="0">
      <alignment horizontal="center" vertical="center"/>
    </xf>
    <xf numFmtId="0" fontId="14" fillId="9" borderId="2" applyAlignment="1" pivotButton="0" quotePrefix="0" xfId="0">
      <alignment horizontal="center" vertical="center"/>
    </xf>
    <xf numFmtId="165" fontId="13" fillId="9" borderId="2" applyAlignment="1" pivotButton="0" quotePrefix="0" xfId="0">
      <alignment horizontal="center" vertical="center"/>
    </xf>
    <xf numFmtId="0" fontId="6" fillId="0" borderId="2" applyAlignment="1" pivotButton="0" quotePrefix="0" xfId="7">
      <alignment horizontal="left" vertical="center" wrapText="1" indent="1"/>
    </xf>
    <xf numFmtId="9" fontId="6" fillId="0" borderId="2" applyAlignment="1" pivotButton="0" quotePrefix="0" xfId="6">
      <alignment horizontal="center" vertical="center" wrapText="1"/>
    </xf>
    <xf numFmtId="0" fontId="6" fillId="0" borderId="2" applyAlignment="1" pivotButton="0" quotePrefix="0" xfId="6">
      <alignment horizontal="center" vertical="center" wrapText="1"/>
    </xf>
    <xf numFmtId="0" fontId="6" fillId="8" borderId="2" applyAlignment="1" pivotButton="0" quotePrefix="0" xfId="7">
      <alignment horizontal="left" vertical="center" wrapText="1" indent="1"/>
    </xf>
    <xf numFmtId="9" fontId="6" fillId="8" borderId="2" applyAlignment="1" pivotButton="0" quotePrefix="0" xfId="6">
      <alignment horizontal="center" vertical="center" wrapText="1"/>
    </xf>
    <xf numFmtId="0" fontId="6" fillId="8" borderId="2" applyAlignment="1" pivotButton="0" quotePrefix="0" xfId="6">
      <alignment horizontal="center" vertical="center" wrapText="1"/>
    </xf>
    <xf numFmtId="0" fontId="10" fillId="0" borderId="0" pivotButton="0" quotePrefix="0" xfId="0"/>
    <xf numFmtId="164" fontId="7" fillId="3" borderId="2" applyAlignment="1" pivotButton="0" quotePrefix="0" xfId="8">
      <alignment horizontal="center" vertical="center"/>
    </xf>
    <xf numFmtId="164" fontId="6" fillId="8" borderId="2" applyAlignment="1" pivotButton="0" quotePrefix="0" xfId="6">
      <alignment horizontal="center" vertical="center" wrapText="1"/>
    </xf>
    <xf numFmtId="164" fontId="7" fillId="8" borderId="2" applyAlignment="1" pivotButton="0" quotePrefix="0" xfId="8">
      <alignment horizontal="center" vertical="center"/>
    </xf>
    <xf numFmtId="164" fontId="10" fillId="6" borderId="2" applyAlignment="1" pivotButton="0" quotePrefix="0" xfId="6">
      <alignment horizontal="center" vertical="center" wrapText="1"/>
    </xf>
    <xf numFmtId="0" fontId="8" fillId="4" borderId="2" applyAlignment="1" pivotButton="0" quotePrefix="0" xfId="9">
      <alignment horizontal="left" vertical="center" indent="1"/>
    </xf>
    <xf numFmtId="9" fontId="7" fillId="6" borderId="2" applyAlignment="1" pivotButton="0" quotePrefix="0" xfId="10">
      <alignment horizontal="left" vertical="center" indent="1"/>
    </xf>
    <xf numFmtId="164" fontId="10" fillId="0" borderId="2" applyAlignment="1" pivotButton="0" quotePrefix="0" xfId="6">
      <alignment horizontal="center" vertical="center" wrapText="1"/>
    </xf>
    <xf numFmtId="164" fontId="10" fillId="8" borderId="2" applyAlignment="1" pivotButton="0" quotePrefix="0" xfId="6">
      <alignment horizontal="center" vertical="center" wrapText="1"/>
    </xf>
    <xf numFmtId="3" fontId="7" fillId="3" borderId="2" applyAlignment="1" pivotButton="0" quotePrefix="0" xfId="8">
      <alignment horizontal="center" vertical="center"/>
    </xf>
    <xf numFmtId="165" fontId="6" fillId="0" borderId="2" applyAlignment="1" pivotButton="0" quotePrefix="0" xfId="6">
      <alignment horizontal="center" vertical="center" wrapText="1"/>
    </xf>
    <xf numFmtId="9" fontId="7" fillId="3" borderId="2" applyAlignment="1" pivotButton="0" quotePrefix="0" xfId="8">
      <alignment horizontal="center" vertical="center"/>
    </xf>
    <xf numFmtId="165" fontId="10" fillId="0" borderId="2" applyAlignment="1" pivotButton="0" quotePrefix="0" xfId="6">
      <alignment horizontal="center" vertical="center" wrapText="1"/>
    </xf>
    <xf numFmtId="3" fontId="7" fillId="8" borderId="2" applyAlignment="1" pivotButton="0" quotePrefix="0" xfId="8">
      <alignment horizontal="center" vertical="center"/>
    </xf>
    <xf numFmtId="165" fontId="6" fillId="8" borderId="2" applyAlignment="1" pivotButton="0" quotePrefix="0" xfId="6">
      <alignment horizontal="center" vertical="center" wrapText="1"/>
    </xf>
    <xf numFmtId="9" fontId="7" fillId="8" borderId="2" applyAlignment="1" pivotButton="0" quotePrefix="0" xfId="8">
      <alignment horizontal="center" vertical="center"/>
    </xf>
    <xf numFmtId="165" fontId="10" fillId="8" borderId="2" applyAlignment="1" pivotButton="0" quotePrefix="0" xfId="6">
      <alignment horizontal="center" vertical="center" wrapText="1"/>
    </xf>
    <xf numFmtId="3" fontId="10" fillId="3" borderId="2" applyAlignment="1" pivotButton="0" quotePrefix="0" xfId="6">
      <alignment horizontal="center" vertical="center" wrapText="1"/>
    </xf>
    <xf numFmtId="0" fontId="6" fillId="3" borderId="2" applyAlignment="1" pivotButton="0" quotePrefix="0" xfId="6">
      <alignment horizontal="center" vertical="center" wrapText="1"/>
    </xf>
    <xf numFmtId="165" fontId="10" fillId="3" borderId="2" applyAlignment="1" pivotButton="0" quotePrefix="0" xfId="6">
      <alignment horizontal="center" vertical="center" wrapText="1"/>
    </xf>
    <xf numFmtId="166" fontId="11" fillId="3" borderId="2" applyAlignment="1" pivotButton="0" quotePrefix="0" xfId="6">
      <alignment horizontal="center" vertical="center" wrapText="1"/>
    </xf>
    <xf numFmtId="164" fontId="7" fillId="6" borderId="2" applyAlignment="1" pivotButton="0" quotePrefix="0" xfId="10">
      <alignment horizontal="left" vertical="center" indent="1"/>
    </xf>
    <xf numFmtId="165" fontId="7" fillId="3" borderId="2" applyAlignment="1" pivotButton="0" quotePrefix="0" xfId="8">
      <alignment horizontal="center" vertical="center"/>
    </xf>
    <xf numFmtId="165" fontId="7" fillId="8" borderId="2" applyAlignment="1" pivotButton="0" quotePrefix="0" xfId="8">
      <alignment horizontal="center" vertical="center"/>
    </xf>
    <xf numFmtId="164" fontId="10" fillId="3" borderId="2" applyAlignment="1" pivotButton="0" quotePrefix="0" xfId="6">
      <alignment horizontal="center" vertical="center" wrapText="1"/>
    </xf>
    <xf numFmtId="3" fontId="10" fillId="0" borderId="2" applyAlignment="1" pivotButton="0" quotePrefix="0" xfId="6">
      <alignment horizontal="center" vertical="center" wrapText="1"/>
    </xf>
    <xf numFmtId="3" fontId="10" fillId="8" borderId="2" applyAlignment="1" pivotButton="0" quotePrefix="0" xfId="6">
      <alignment horizontal="center" vertical="center" wrapText="1"/>
    </xf>
    <xf numFmtId="0" fontId="6" fillId="9" borderId="2" applyAlignment="1" pivotButton="0" quotePrefix="0" xfId="7">
      <alignment horizontal="left" vertical="center" wrapText="1" indent="1"/>
    </xf>
    <xf numFmtId="164" fontId="6" fillId="9" borderId="2" applyAlignment="1" pivotButton="0" quotePrefix="0" xfId="6">
      <alignment horizontal="center" vertical="center" wrapText="1"/>
    </xf>
    <xf numFmtId="164" fontId="11" fillId="3" borderId="2" applyAlignment="1" pivotButton="0" quotePrefix="0" xfId="6">
      <alignment horizontal="center" vertical="center" wrapText="1"/>
    </xf>
    <xf numFmtId="3" fontId="6" fillId="9" borderId="2" applyAlignment="1" pivotButton="0" quotePrefix="0" xfId="6">
      <alignment horizontal="center" vertical="center" wrapText="1"/>
    </xf>
    <xf numFmtId="3" fontId="6" fillId="8" borderId="2" applyAlignment="1" pivotButton="0" quotePrefix="0" xfId="6">
      <alignment horizontal="center" vertical="center" wrapText="1"/>
    </xf>
    <xf numFmtId="0" fontId="7" fillId="3" borderId="2" applyAlignment="1" pivotButton="0" quotePrefix="0" xfId="8">
      <alignment horizontal="center" vertical="center"/>
    </xf>
  </cellXfs>
  <cellStyles count="12">
    <cellStyle name="Normal" xfId="0" builtinId="0" hidden="0"/>
    <cellStyle name="title" xfId="1" hidden="0"/>
    <cellStyle name="subtitle" xfId="2" hidden="0"/>
    <cellStyle name="section" xfId="3" hidden="0"/>
    <cellStyle name="section_gold" xfId="4" hidden="0"/>
    <cellStyle name="th" xfId="5" hidden="0"/>
    <cellStyle name="td" xfId="6" hidden="0"/>
    <cellStyle name="td_left" xfId="7" hidden="0"/>
    <cellStyle name="input" xfId="8" hidden="0"/>
    <cellStyle name="field_label" xfId="9" hidden="0"/>
    <cellStyle name="field_value" xfId="10" hidden="0"/>
    <cellStyle name="body" xfId="11" hidden="0"/>
  </cellStyles>
  <dxfs count="1">
    <dxf>
      <fill>
        <patternFill patternType="solid">
          <fgColor rgb="00FB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Net Payout by Platform</a:t>
            </a:r>
          </a:p>
        </rich>
      </tx>
    </title>
    <plotArea>
      <barChart>
        <barDir val="col"/>
        <grouping val="clustered"/>
        <ser>
          <idx val="0"/>
          <order val="0"/>
          <spPr>
            <a:ln>
              <a:prstDash val="solid"/>
            </a:ln>
          </spPr>
          <cat>
            <numRef>
              <f>'Platform P&amp;L'!$B$5:$B$8</f>
            </numRef>
          </cat>
          <val>
            <numRef>
              <f>'Platform P&amp;L'!$G$5:$G$8</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Orders by Day</a:t>
            </a:r>
          </a:p>
        </rich>
      </tx>
    </title>
    <plotArea>
      <barChart>
        <barDir val="col"/>
        <grouping val="clustered"/>
        <ser>
          <idx val="0"/>
          <order val="0"/>
          <spPr>
            <a:ln>
              <a:prstDash val="solid"/>
            </a:ln>
          </spPr>
          <cat>
            <numRef>
              <f>'Order Volume'!$B$5:$B$11</f>
            </numRef>
          </cat>
          <val>
            <numRef>
              <f>'Order Volume'!$C$5:$C$11</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12</row>
      <rowOff>0</rowOff>
    </from>
    <ext cx="3096000" cy="2664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4320000" cy="2664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8.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3" customWidth="1" min="1" max="1"/>
    <col width="84" customWidth="1" min="2" max="2"/>
    <col width="3" customWidth="1" min="3" max="3"/>
  </cols>
  <sheetData>
    <row r="1" ht="58" customHeight="1">
      <c r="A1" s="1" t="inlineStr">
        <is>
          <t xml:space="preserve">  👻  GHOST KITCHEN COMMAND CENTER™</t>
        </is>
      </c>
    </row>
    <row r="2" ht="24" customHeight="1">
      <c r="A2" s="2" t="inlineStr">
        <is>
          <t xml:space="preserve">  Beat the apps — know your real margin after commission.</t>
        </is>
      </c>
    </row>
    <row r="3" ht="6" customHeight="1">
      <c r="A3" s="3" t="n"/>
      <c r="B3" s="3" t="n"/>
      <c r="C3" s="3" t="n"/>
    </row>
    <row r="5">
      <c r="B5" s="4" t="inlineStr">
        <is>
          <t>YOUR WHOLE DELIVERY BUSINESS, IN ONE PLACE</t>
        </is>
      </c>
    </row>
    <row r="6" ht="22" customHeight="1">
      <c r="B6" s="5" t="inlineStr">
        <is>
          <t>Delivery apps take 15–30% of every order — so the menu price is not your margin. This system fixes that: an item-margin engine that starts from the app price, subtracts the app's commission, your food cost and your packaging, and shows the true net you keep. Run multiple virtual brands from one kitchen, see a full P&amp;L for each platform, and track packaging, order volume, inventory, waste, ordering, payouts and promos — all in ONE premium Google Sheets &amp; Excel system built for delivery-only kitchens.</t>
        </is>
      </c>
    </row>
    <row r="7" ht="22" customHeight="1">
      <c r="B7" s="6" t="n"/>
    </row>
    <row r="8" ht="22" customHeight="1">
      <c r="B8" s="6" t="n"/>
    </row>
    <row r="9" ht="22" customHeight="1">
      <c r="B9" s="6" t="n"/>
    </row>
    <row r="11">
      <c r="B11" s="7" t="inlineStr">
        <is>
          <t>START HERE — 6 QUICK STEPS</t>
        </is>
      </c>
    </row>
    <row r="12" ht="22" customHeight="1">
      <c r="B12" s="8" t="inlineStr">
        <is>
          <t>1.  Open Settings — add your kitchen name &amp; default commission %.</t>
        </is>
      </c>
    </row>
    <row r="13" ht="22" customHeight="1">
      <c r="B13" s="8" t="inlineStr">
        <is>
          <t>2.  Cost an item in Item Margin — see the true net after the app's cut.</t>
        </is>
      </c>
    </row>
    <row r="14" ht="22" customHeight="1">
      <c r="B14" s="8" t="inlineStr">
        <is>
          <t>3.  Build your Menu — net margin $ and % show on every item.</t>
        </is>
      </c>
    </row>
    <row r="15" ht="22" customHeight="1">
      <c r="B15" s="8" t="inlineStr">
        <is>
          <t>4.  Enter each platform's orders &amp; commission in Platform P&amp;L.</t>
        </is>
      </c>
    </row>
    <row r="16" ht="22" customHeight="1">
      <c r="B16" s="8" t="inlineStr">
        <is>
          <t>5.  Add your Virtual Brands, packaging, order volume &amp; promos.</t>
        </is>
      </c>
    </row>
    <row r="17" ht="22" customHeight="1">
      <c r="B17" s="8" t="inlineStr">
        <is>
          <t>6.  Check the Dashboard: revenue, net payout &amp; a Kitchen Score.</t>
        </is>
      </c>
    </row>
    <row r="20" ht="26" customHeight="1">
      <c r="B20" s="9" t="inlineStr">
        <is>
          <t xml:space="preserve">  GOOD TO KNOW</t>
        </is>
      </c>
    </row>
    <row r="21" ht="22" customHeight="1">
      <c r="B21" s="10" t="inlineStr">
        <is>
          <t>Sample data for a fictional ghost kitchen (Midnight Kitchen Collective) is included so you can see how it all connects — just type over it with your own items and platforms. Commission and food cost are the two numbers that decide whether a delivery-only kitchen makes money, and they roll into a live Kitchen Score. Twelve matching printable pages (item-margin card, platform P&amp;L, packaging sheet, prep list &amp; more) are included. This is a business tool, not financial or legal advice — confirm figures with your own books.</t>
        </is>
      </c>
    </row>
    <row r="22" ht="22" customHeight="1">
      <c r="B22" s="11" t="n"/>
    </row>
    <row r="23" ht="22" customHeight="1">
      <c r="B23" s="11" t="n"/>
    </row>
    <row r="25">
      <c r="B25" s="4" t="inlineStr">
        <is>
          <t>The menu price is not your margin — the app takes its cut first. Know the real number.</t>
        </is>
      </c>
    </row>
  </sheetData>
  <mergeCells count="14">
    <mergeCell ref="B17"/>
    <mergeCell ref="B12"/>
    <mergeCell ref="B13"/>
    <mergeCell ref="A1:C1"/>
    <mergeCell ref="B15"/>
    <mergeCell ref="B11"/>
    <mergeCell ref="B21:B23"/>
    <mergeCell ref="B6:B9"/>
    <mergeCell ref="B16"/>
    <mergeCell ref="B20"/>
    <mergeCell ref="B25"/>
    <mergeCell ref="B5"/>
    <mergeCell ref="B1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 customWidth="1" min="14" max="14"/>
  </cols>
  <sheetData>
    <row r="1" ht="56" customHeight="1">
      <c r="A1" s="1" t="inlineStr">
        <is>
          <t xml:space="preserve">  👻  GHOST KITCHEN COMMAND CENTER™</t>
        </is>
      </c>
    </row>
    <row r="2" ht="24" customHeight="1">
      <c r="A2" s="2" t="inlineStr">
        <is>
          <t xml:space="preserve">  Revenue, commission, net payout &amp; a Kitchen Score — your whole delivery business, at a glance.</t>
        </is>
      </c>
    </row>
    <row r="3" ht="6" customHeight="1">
      <c r="A3" s="3" t="n"/>
      <c r="B3" s="3" t="n"/>
      <c r="C3" s="3" t="n"/>
      <c r="D3" s="3" t="n"/>
      <c r="E3" s="3" t="n"/>
      <c r="F3" s="3" t="n"/>
      <c r="G3" s="3" t="n"/>
      <c r="H3" s="3" t="n"/>
      <c r="I3" s="3" t="n"/>
      <c r="J3" s="3" t="n"/>
      <c r="K3" s="3" t="n"/>
      <c r="L3" s="3" t="n"/>
      <c r="M3" s="3" t="n"/>
      <c r="N3" s="3" t="n"/>
    </row>
    <row r="5" ht="18" customHeight="1">
      <c r="B5" s="12" t="inlineStr">
        <is>
          <t>MENU ITEMS</t>
        </is>
      </c>
      <c r="C5" s="13" t="n"/>
      <c r="D5" s="12" t="inlineStr">
        <is>
          <t>AVG APP PRICE</t>
        </is>
      </c>
      <c r="E5" s="13" t="n"/>
      <c r="F5" s="12" t="inlineStr">
        <is>
          <t>FOOD COST</t>
        </is>
      </c>
      <c r="G5" s="13" t="n"/>
      <c r="H5" s="12" t="inlineStr">
        <is>
          <t>AVG NET MARGIN</t>
        </is>
      </c>
      <c r="I5" s="13" t="n"/>
      <c r="J5" s="12" t="inlineStr">
        <is>
          <t>BLENDED COMM</t>
        </is>
      </c>
      <c r="K5" s="13" t="n"/>
      <c r="L5" s="12" t="inlineStr">
        <is>
          <t>TOP ITEM</t>
        </is>
      </c>
      <c r="M5" s="13" t="n"/>
    </row>
    <row r="6" ht="40" customHeight="1">
      <c r="B6" s="14">
        <f>COUNTA(MenuItem)</f>
        <v/>
      </c>
      <c r="C6" s="15" t="n"/>
      <c r="D6" s="16">
        <f>AVERAGE(MenuPrice)</f>
        <v/>
      </c>
      <c r="E6" s="15" t="n"/>
      <c r="F6" s="17">
        <f>FoodCostPct</f>
        <v/>
      </c>
      <c r="G6" s="15" t="n"/>
      <c r="H6" s="17">
        <f>AvgNetPct</f>
        <v/>
      </c>
      <c r="I6" s="15" t="n"/>
      <c r="J6" s="17">
        <f>BlendedComm</f>
        <v/>
      </c>
      <c r="K6" s="15" t="n"/>
      <c r="L6" s="18">
        <f>INDEX(MenuItem,MATCH(MAX(MenuNet),MenuNet,0))</f>
        <v/>
      </c>
      <c r="M6" s="15" t="n"/>
    </row>
    <row r="8" ht="18" customHeight="1">
      <c r="B8" s="12" t="inlineStr">
        <is>
          <t>WEEKLY ORDERS</t>
        </is>
      </c>
      <c r="C8" s="13" t="n"/>
      <c r="D8" s="12" t="inlineStr">
        <is>
          <t>WEEKLY REVENUE</t>
        </is>
      </c>
      <c r="E8" s="13" t="n"/>
      <c r="F8" s="12" t="inlineStr">
        <is>
          <t>NET PAYOUT</t>
        </is>
      </c>
      <c r="G8" s="13" t="n"/>
      <c r="H8" s="12" t="inlineStr">
        <is>
          <t>AVG ORDER</t>
        </is>
      </c>
      <c r="I8" s="13" t="n"/>
      <c r="J8" s="12" t="inlineStr">
        <is>
          <t>VIRTUAL BRANDS</t>
        </is>
      </c>
      <c r="K8" s="13" t="n"/>
      <c r="L8" s="12" t="inlineStr">
        <is>
          <t>KITCHEN SCORE</t>
        </is>
      </c>
      <c r="M8" s="13" t="n"/>
    </row>
    <row r="9" ht="40" customHeight="1">
      <c r="B9" s="14">
        <f>TotalOrders</f>
        <v/>
      </c>
      <c r="C9" s="15" t="n"/>
      <c r="D9" s="19">
        <f>TotalGross</f>
        <v/>
      </c>
      <c r="E9" s="15" t="n"/>
      <c r="F9" s="19">
        <f>NetPayout</f>
        <v/>
      </c>
      <c r="G9" s="15" t="n"/>
      <c r="H9" s="16">
        <f>AvgOrder</f>
        <v/>
      </c>
      <c r="I9" s="15" t="n"/>
      <c r="J9" s="14">
        <f>COUNTA(BrandName)</f>
        <v/>
      </c>
      <c r="K9" s="15" t="n"/>
      <c r="L9" s="17">
        <f>IFERROR(AVERAGE(HealthRange),0)</f>
        <v/>
      </c>
      <c r="M9" s="15" t="n"/>
    </row>
    <row r="11" ht="26" customHeight="1">
      <c r="B11" s="4" t="inlineStr">
        <is>
          <t>KITCHEN HEALTH</t>
        </is>
      </c>
      <c r="H11" s="4" t="inlineStr">
        <is>
          <t>NET PAYOUT BY PLATFORM</t>
        </is>
      </c>
    </row>
    <row r="12" ht="30" customHeight="1">
      <c r="B12" s="9" t="inlineStr">
        <is>
          <t>Check</t>
        </is>
      </c>
      <c r="C12" s="9" t="inlineStr">
        <is>
          <t>Score</t>
        </is>
      </c>
      <c r="D12" s="9" t="inlineStr">
        <is>
          <t>Status</t>
        </is>
      </c>
    </row>
    <row r="13">
      <c r="B13" s="20" t="inlineStr">
        <is>
          <t>Food cost on target</t>
        </is>
      </c>
      <c r="C13" s="21">
        <f>IFERROR(MIN(TargetFC/FoodCostPct,1),0)</f>
        <v/>
      </c>
      <c r="D13" s="22">
        <f>IF(C13&gt;=0.85,"Strong",IF(C13&gt;=0.6,"OK","Watch"))</f>
        <v/>
      </c>
    </row>
    <row r="14">
      <c r="B14" s="23" t="inlineStr">
        <is>
          <t>Net margin healthy</t>
        </is>
      </c>
      <c r="C14" s="24">
        <f>IFERROR(MIN(AvgNetPct/MarginGoal,1),0)</f>
        <v/>
      </c>
      <c r="D14" s="25">
        <f>IF(C14&gt;=0.85,"Strong",IF(C14&gt;=0.6,"OK","Watch"))</f>
        <v/>
      </c>
    </row>
    <row r="15">
      <c r="B15" s="20" t="inlineStr">
        <is>
          <t>Menu fully costed</t>
        </is>
      </c>
      <c r="C15" s="21">
        <f>IFERROR(COUNTIF(MenuFood,"&gt;0")/COUNTA(MenuItem),0)</f>
        <v/>
      </c>
      <c r="D15" s="22">
        <f>IF(C15&gt;=0.85,"Strong",IF(C15&gt;=0.6,"OK","Watch"))</f>
        <v/>
      </c>
    </row>
    <row r="16">
      <c r="B16" s="23" t="inlineStr">
        <is>
          <t>Commission in control</t>
        </is>
      </c>
      <c r="C16" s="24">
        <f>IFERROR(1-MIN(BlendedComm/CommLimit,1),0)</f>
        <v/>
      </c>
      <c r="D16" s="25">
        <f>IF(C16&gt;=0.85,"Strong",IF(C16&gt;=0.6,"OK","Watch"))</f>
        <v/>
      </c>
    </row>
    <row r="17">
      <c r="B17" s="20" t="inlineStr">
        <is>
          <t>Direct-order mix</t>
        </is>
      </c>
      <c r="C17" s="21">
        <f>IFERROR(MIN(DirectShare/DirectGoal,1),0)</f>
        <v/>
      </c>
      <c r="D17" s="22">
        <f>IF(C17&gt;=0.85,"Strong",IF(C17&gt;=0.6,"OK","Watch"))</f>
        <v/>
      </c>
    </row>
    <row r="18">
      <c r="B18" s="23" t="inlineStr">
        <is>
          <t>Gross margin</t>
        </is>
      </c>
      <c r="C18" s="24">
        <f>IFERROR(MIN((1-FoodCostPct)/0.7,1),0)</f>
        <v/>
      </c>
      <c r="D18" s="25">
        <f>IF(C18&gt;=0.85,"Strong",IF(C18&gt;=0.6,"OK","Watch"))</f>
        <v/>
      </c>
    </row>
    <row r="21" ht="26" customHeight="1">
      <c r="B21" s="2" t="inlineStr">
        <is>
          <t>Ghost Kitchen Command Center™ — beat the apps, know your real margin after commission.</t>
        </is>
      </c>
    </row>
  </sheetData>
  <mergeCells count="29">
    <mergeCell ref="J5:K5"/>
    <mergeCell ref="F6:G6"/>
    <mergeCell ref="H11:M11"/>
    <mergeCell ref="H9:I9"/>
    <mergeCell ref="A1:N1"/>
    <mergeCell ref="J9:K9"/>
    <mergeCell ref="D6:E6"/>
    <mergeCell ref="H6:I6"/>
    <mergeCell ref="J6:K6"/>
    <mergeCell ref="B21:M21"/>
    <mergeCell ref="F5:G5"/>
    <mergeCell ref="L5:M5"/>
    <mergeCell ref="L8:M8"/>
    <mergeCell ref="B8:C8"/>
    <mergeCell ref="F8:G8"/>
    <mergeCell ref="A2:N2"/>
    <mergeCell ref="B9:C9"/>
    <mergeCell ref="D9:E9"/>
    <mergeCell ref="F9:G9"/>
    <mergeCell ref="L9:M9"/>
    <mergeCell ref="D8:E8"/>
    <mergeCell ref="B6:C6"/>
    <mergeCell ref="L6:M6"/>
    <mergeCell ref="B5:C5"/>
    <mergeCell ref="D5:E5"/>
    <mergeCell ref="H5:I5"/>
    <mergeCell ref="H8:I8"/>
    <mergeCell ref="J8:K8"/>
    <mergeCell ref="B11:G11"/>
  </mergeCells>
  <conditionalFormatting sqref="C13:C18">
    <cfRule type="colorScale" priority="1">
      <colorScale>
        <cfvo type="num" val="0"/>
        <cfvo type="num" val="0.5"/>
        <cfvo type="num" val="1"/>
        <color rgb="FFFBF0E2"/>
        <color rgb="FFFFF3CD"/>
        <color rgb="FF75E6C1"/>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2" customWidth="1" min="1" max="1"/>
    <col width="32" customWidth="1" min="2" max="2"/>
    <col width="16" customWidth="1" min="3" max="3"/>
    <col width="2" customWidth="1" min="4" max="4"/>
  </cols>
  <sheetData>
    <row r="1" ht="46" customHeight="1">
      <c r="A1" s="1" t="inlineStr">
        <is>
          <t xml:space="preserve">  🧮  ITEM MARGIN</t>
        </is>
      </c>
    </row>
    <row r="2" ht="22" customHeight="1">
      <c r="A2" s="2" t="inlineStr">
        <is>
          <t xml:space="preserve">  Start from the app price, subtract the commission, food &amp; packaging — see the true net you keep.</t>
        </is>
      </c>
    </row>
    <row r="3" ht="6" customHeight="1">
      <c r="A3" s="3" t="n"/>
      <c r="B3" s="3" t="n"/>
      <c r="C3" s="3" t="n"/>
    </row>
    <row r="5">
      <c r="B5" s="4" t="inlineStr">
        <is>
          <t>ITEM</t>
        </is>
      </c>
      <c r="C5" s="26" t="inlineStr">
        <is>
          <t>Signature Burrito</t>
        </is>
      </c>
    </row>
    <row r="6" ht="30" customHeight="1">
      <c r="B6" s="9" t="inlineStr">
        <is>
          <t>Line</t>
        </is>
      </c>
      <c r="C6" s="9" t="inlineStr">
        <is>
          <t>Amount</t>
        </is>
      </c>
    </row>
    <row r="7">
      <c r="B7" s="20" t="inlineStr">
        <is>
          <t>App menu price</t>
        </is>
      </c>
      <c r="C7" s="27" t="n">
        <v>13.95</v>
      </c>
    </row>
    <row r="8">
      <c r="B8" s="23" t="inlineStr">
        <is>
          <t>App commission (=Commission)</t>
        </is>
      </c>
      <c r="C8" s="28">
        <f>-C7*Commission</f>
        <v/>
      </c>
    </row>
    <row r="9">
      <c r="B9" s="20" t="inlineStr">
        <is>
          <t>Food cost</t>
        </is>
      </c>
      <c r="C9" s="27" t="n">
        <v>-3.8</v>
      </c>
    </row>
    <row r="10">
      <c r="B10" s="23" t="inlineStr">
        <is>
          <t>Packaging</t>
        </is>
      </c>
      <c r="C10" s="29" t="n">
        <v>-0.65</v>
      </c>
    </row>
    <row r="11">
      <c r="B11" s="9" t="inlineStr">
        <is>
          <t>NET MARGIN YOU KEEP</t>
        </is>
      </c>
      <c r="C11" s="30">
        <f>C7+C8+C9+C10</f>
        <v/>
      </c>
    </row>
    <row r="13">
      <c r="B13" s="31" t="inlineStr">
        <is>
          <t>Net margin % of app price</t>
        </is>
      </c>
      <c r="C13" s="32">
        <f>IFERROR(C11/C7,0)</f>
        <v/>
      </c>
    </row>
    <row r="15">
      <c r="B15" s="7" t="inlineStr">
        <is>
          <t>The app takes its cut FIRST — this is the number that actually pays your rent.</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12" customWidth="1" min="3" max="3"/>
    <col width="12" customWidth="1" min="4" max="4"/>
    <col width="12" customWidth="1" min="5" max="5"/>
    <col width="13" customWidth="1" min="6" max="6"/>
    <col width="12" customWidth="1" min="7" max="7"/>
    <col width="12" customWidth="1" min="8" max="8"/>
    <col width="2" customWidth="1" min="9" max="9"/>
  </cols>
  <sheetData>
    <row r="1" ht="46" customHeight="1">
      <c r="A1" s="1" t="inlineStr">
        <is>
          <t xml:space="preserve">  🍔  MENU &amp; MARGINS</t>
        </is>
      </c>
    </row>
    <row r="2" ht="22" customHeight="1">
      <c r="A2" s="2" t="inlineStr">
        <is>
          <t xml:space="preserve">  App price, food, packaging &amp; the app's commission — the true net margin on every item.</t>
        </is>
      </c>
    </row>
    <row r="3" ht="6" customHeight="1">
      <c r="A3" s="3" t="n"/>
      <c r="B3" s="3" t="n"/>
      <c r="C3" s="3" t="n"/>
      <c r="D3" s="3" t="n"/>
      <c r="E3" s="3" t="n"/>
      <c r="F3" s="3" t="n"/>
      <c r="G3" s="3" t="n"/>
      <c r="H3" s="3" t="n"/>
    </row>
    <row r="4" ht="30" customHeight="1">
      <c r="B4" s="9" t="inlineStr">
        <is>
          <t>Item</t>
        </is>
      </c>
      <c r="C4" s="9" t="inlineStr">
        <is>
          <t>App Price</t>
        </is>
      </c>
      <c r="D4" s="9" t="inlineStr">
        <is>
          <t>Food</t>
        </is>
      </c>
      <c r="E4" s="9" t="inlineStr">
        <is>
          <t>Packaging</t>
        </is>
      </c>
      <c r="F4" s="9" t="inlineStr">
        <is>
          <t>Net Margin</t>
        </is>
      </c>
      <c r="G4" s="9" t="inlineStr">
        <is>
          <t>Net %</t>
        </is>
      </c>
      <c r="H4" s="9" t="inlineStr">
        <is>
          <t>Food %</t>
        </is>
      </c>
    </row>
    <row r="5">
      <c r="B5" s="20" t="inlineStr">
        <is>
          <t>Signature Burrito</t>
        </is>
      </c>
      <c r="C5" s="27" t="n">
        <v>13.95</v>
      </c>
      <c r="D5" s="27" t="n">
        <v>3.8</v>
      </c>
      <c r="E5" s="27" t="n">
        <v>0.65</v>
      </c>
      <c r="F5" s="33">
        <f>C5*(1-Commission)-D5-E5</f>
        <v/>
      </c>
      <c r="G5" s="21">
        <f>IFERROR(F5/C5,0)</f>
        <v/>
      </c>
      <c r="H5" s="21">
        <f>IFERROR(D5/C5,0)</f>
        <v/>
      </c>
    </row>
    <row r="6">
      <c r="B6" s="23" t="inlineStr">
        <is>
          <t>Loaded Fries</t>
        </is>
      </c>
      <c r="C6" s="29" t="n">
        <v>8.949999999999999</v>
      </c>
      <c r="D6" s="29" t="n">
        <v>2.1</v>
      </c>
      <c r="E6" s="29" t="n">
        <v>0.45</v>
      </c>
      <c r="F6" s="34">
        <f>C6*(1-Commission)-D6-E6</f>
        <v/>
      </c>
      <c r="G6" s="24">
        <f>IFERROR(F6/C6,0)</f>
        <v/>
      </c>
      <c r="H6" s="24">
        <f>IFERROR(D6/C6,0)</f>
        <v/>
      </c>
    </row>
    <row r="7">
      <c r="B7" s="20" t="inlineStr">
        <is>
          <t>Crispy Chicken Sandwich</t>
        </is>
      </c>
      <c r="C7" s="27" t="n">
        <v>11.95</v>
      </c>
      <c r="D7" s="27" t="n">
        <v>3.2</v>
      </c>
      <c r="E7" s="27" t="n">
        <v>0.55</v>
      </c>
      <c r="F7" s="33">
        <f>C7*(1-Commission)-D7-E7</f>
        <v/>
      </c>
      <c r="G7" s="21">
        <f>IFERROR(F7/C7,0)</f>
        <v/>
      </c>
      <c r="H7" s="21">
        <f>IFERROR(D7/C7,0)</f>
        <v/>
      </c>
    </row>
    <row r="8">
      <c r="B8" s="23" t="inlineStr">
        <is>
          <t>Birria Tacos (3)</t>
        </is>
      </c>
      <c r="C8" s="29" t="n">
        <v>14.95</v>
      </c>
      <c r="D8" s="29" t="n">
        <v>4.4</v>
      </c>
      <c r="E8" s="29" t="n">
        <v>0.7</v>
      </c>
      <c r="F8" s="34">
        <f>C8*(1-Commission)-D8-E8</f>
        <v/>
      </c>
      <c r="G8" s="24">
        <f>IFERROR(F8/C8,0)</f>
        <v/>
      </c>
      <c r="H8" s="24">
        <f>IFERROR(D8/C8,0)</f>
        <v/>
      </c>
    </row>
    <row r="9">
      <c r="B9" s="20" t="inlineStr">
        <is>
          <t>Vegan Power Bowl</t>
        </is>
      </c>
      <c r="C9" s="27" t="n">
        <v>12.95</v>
      </c>
      <c r="D9" s="27" t="n">
        <v>3.3</v>
      </c>
      <c r="E9" s="27" t="n">
        <v>0.6</v>
      </c>
      <c r="F9" s="33">
        <f>C9*(1-Commission)-D9-E9</f>
        <v/>
      </c>
      <c r="G9" s="21">
        <f>IFERROR(F9/C9,0)</f>
        <v/>
      </c>
      <c r="H9" s="21">
        <f>IFERROR(D9/C9,0)</f>
        <v/>
      </c>
    </row>
    <row r="10">
      <c r="B10" s="23" t="inlineStr">
        <is>
          <t>Wings (10 pc)</t>
        </is>
      </c>
      <c r="C10" s="29" t="n">
        <v>13.95</v>
      </c>
      <c r="D10" s="29" t="n">
        <v>4.1</v>
      </c>
      <c r="E10" s="29" t="n">
        <v>0.65</v>
      </c>
      <c r="F10" s="34">
        <f>C10*(1-Commission)-D10-E10</f>
        <v/>
      </c>
      <c r="G10" s="24">
        <f>IFERROR(F10/C10,0)</f>
        <v/>
      </c>
      <c r="H10" s="24">
        <f>IFERROR(D10/C10,0)</f>
        <v/>
      </c>
    </row>
    <row r="11">
      <c r="B11" s="20" t="inlineStr">
        <is>
          <t>Loaded Nachos</t>
        </is>
      </c>
      <c r="C11" s="27" t="n">
        <v>10.95</v>
      </c>
      <c r="D11" s="27" t="n">
        <v>2.8</v>
      </c>
      <c r="E11" s="27" t="n">
        <v>0.55</v>
      </c>
      <c r="F11" s="33">
        <f>C11*(1-Commission)-D11-E11</f>
        <v/>
      </c>
      <c r="G11" s="21">
        <f>IFERROR(F11/C11,0)</f>
        <v/>
      </c>
      <c r="H11" s="21">
        <f>IFERROR(D11/C11,0)</f>
        <v/>
      </c>
    </row>
    <row r="12">
      <c r="B12" s="23" t="inlineStr">
        <is>
          <t>Milkshake</t>
        </is>
      </c>
      <c r="C12" s="29" t="n">
        <v>6.95</v>
      </c>
      <c r="D12" s="29" t="n">
        <v>1.6</v>
      </c>
      <c r="E12" s="29" t="n">
        <v>0.4</v>
      </c>
      <c r="F12" s="34">
        <f>C12*(1-Commission)-D12-E12</f>
        <v/>
      </c>
      <c r="G12" s="24">
        <f>IFERROR(F12/C12,0)</f>
        <v/>
      </c>
      <c r="H12" s="24">
        <f>IFERROR(D12/C12,0)</f>
        <v/>
      </c>
    </row>
    <row r="14">
      <c r="B14" s="31" t="inlineStr">
        <is>
          <t>Avg net margin %</t>
        </is>
      </c>
      <c r="G14" s="32">
        <f>IFERROR(AVERAGE(MenuNetPct),0)</f>
        <v/>
      </c>
    </row>
    <row r="15">
      <c r="B15" s="31" t="inlineStr">
        <is>
          <t>Avg food cost %</t>
        </is>
      </c>
      <c r="G15" s="32">
        <f>IFERROR(AVERAGE(MenuFoodPct),0)</f>
        <v/>
      </c>
    </row>
  </sheetData>
  <mergeCells count="2">
    <mergeCell ref="A2:H2"/>
    <mergeCell ref="A1:H1"/>
  </mergeCells>
  <conditionalFormatting sqref="G5:G12">
    <cfRule type="colorScale" priority="1">
      <colorScale>
        <cfvo type="num" val="0.25"/>
        <cfvo type="num" val="0.4"/>
        <cfvo type="num" val="0.55"/>
        <color rgb="FFFBE6E6"/>
        <color rgb="FFFFF3CD"/>
        <color rgb="FF75E6C1"/>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2" customWidth="1" min="1" max="1"/>
    <col width="20" customWidth="1" min="2" max="2"/>
    <col width="12" customWidth="1" min="3" max="3"/>
    <col width="14" customWidth="1" min="4" max="4"/>
    <col width="14" customWidth="1" min="5" max="5"/>
    <col width="14" customWidth="1" min="6" max="6"/>
    <col width="14" customWidth="1" min="7" max="7"/>
    <col width="2" customWidth="1" min="8" max="8"/>
  </cols>
  <sheetData>
    <row r="1" ht="46" customHeight="1">
      <c r="A1" s="1" t="inlineStr">
        <is>
          <t xml:space="preserve">  📱  PLATFORM P&amp;L</t>
        </is>
      </c>
    </row>
    <row r="2" ht="22" customHeight="1">
      <c r="A2" s="2" t="inlineStr">
        <is>
          <t xml:space="preserve">  Every platform's orders, commission &amp; net payout — see what each app really pays you.</t>
        </is>
      </c>
    </row>
    <row r="3" ht="6" customHeight="1">
      <c r="A3" s="3" t="n"/>
      <c r="B3" s="3" t="n"/>
      <c r="C3" s="3" t="n"/>
      <c r="D3" s="3" t="n"/>
      <c r="E3" s="3" t="n"/>
      <c r="F3" s="3" t="n"/>
      <c r="G3" s="3" t="n"/>
    </row>
    <row r="4" ht="30" customHeight="1">
      <c r="B4" s="9" t="inlineStr">
        <is>
          <t>Platform</t>
        </is>
      </c>
      <c r="C4" s="9" t="inlineStr">
        <is>
          <t>Orders</t>
        </is>
      </c>
      <c r="D4" s="9" t="inlineStr">
        <is>
          <t>Avg Order</t>
        </is>
      </c>
      <c r="E4" s="9" t="inlineStr">
        <is>
          <t>Gross</t>
        </is>
      </c>
      <c r="F4" s="9" t="inlineStr">
        <is>
          <t>Commission</t>
        </is>
      </c>
      <c r="G4" s="9" t="inlineStr">
        <is>
          <t>Net Payout</t>
        </is>
      </c>
    </row>
    <row r="5">
      <c r="B5" s="20" t="inlineStr">
        <is>
          <t>DoorDash</t>
        </is>
      </c>
      <c r="C5" s="35" t="n">
        <v>320</v>
      </c>
      <c r="D5" s="27" t="n">
        <v>22</v>
      </c>
      <c r="E5" s="36">
        <f>C5*D5</f>
        <v/>
      </c>
      <c r="F5" s="37" t="n">
        <v>0.27</v>
      </c>
      <c r="G5" s="38">
        <f>E5*(1-F5)</f>
        <v/>
      </c>
    </row>
    <row r="6">
      <c r="B6" s="23" t="inlineStr">
        <is>
          <t>Uber Eats</t>
        </is>
      </c>
      <c r="C6" s="39" t="n">
        <v>240</v>
      </c>
      <c r="D6" s="29" t="n">
        <v>21</v>
      </c>
      <c r="E6" s="40">
        <f>C6*D6</f>
        <v/>
      </c>
      <c r="F6" s="41" t="n">
        <v>0.3</v>
      </c>
      <c r="G6" s="42">
        <f>E6*(1-F6)</f>
        <v/>
      </c>
    </row>
    <row r="7">
      <c r="B7" s="20" t="inlineStr">
        <is>
          <t>Grubhub</t>
        </is>
      </c>
      <c r="C7" s="35" t="n">
        <v>120</v>
      </c>
      <c r="D7" s="27" t="n">
        <v>20</v>
      </c>
      <c r="E7" s="36">
        <f>C7*D7</f>
        <v/>
      </c>
      <c r="F7" s="37" t="n">
        <v>0.25</v>
      </c>
      <c r="G7" s="38">
        <f>E7*(1-F7)</f>
        <v/>
      </c>
    </row>
    <row r="8">
      <c r="B8" s="23" t="inlineStr">
        <is>
          <t>Direct Web</t>
        </is>
      </c>
      <c r="C8" s="39" t="n">
        <v>120</v>
      </c>
      <c r="D8" s="29" t="n">
        <v>24</v>
      </c>
      <c r="E8" s="40">
        <f>C8*D8</f>
        <v/>
      </c>
      <c r="F8" s="41" t="n">
        <v>0.08</v>
      </c>
      <c r="G8" s="42">
        <f>E8*(1-F8)</f>
        <v/>
      </c>
    </row>
    <row r="9">
      <c r="B9" s="9" t="inlineStr">
        <is>
          <t>TOTAL</t>
        </is>
      </c>
      <c r="C9" s="43">
        <f>SUM(PlatOrders)</f>
        <v/>
      </c>
      <c r="D9" s="44" t="n"/>
      <c r="E9" s="45">
        <f>SUM(PlatGross)</f>
        <v/>
      </c>
      <c r="F9" s="46">
        <f>IFERROR((E9-G9)/E9,0)</f>
        <v/>
      </c>
      <c r="G9" s="45">
        <f>SUM(PlatNet)</f>
        <v/>
      </c>
    </row>
    <row r="11">
      <c r="B11" s="31" t="inlineStr">
        <is>
          <t>Direct-order share</t>
        </is>
      </c>
      <c r="C11" s="32">
        <f>IFERROR(C8/TotalOrders,0)</f>
        <v/>
      </c>
    </row>
    <row r="12">
      <c r="B12" s="31" t="inlineStr">
        <is>
          <t>Avg order value</t>
        </is>
      </c>
      <c r="C12" s="47">
        <f>IFERROR(TotalGross/TotalOrders,0)</f>
        <v/>
      </c>
    </row>
  </sheetData>
  <mergeCells count="2">
    <mergeCell ref="A2:G2"/>
    <mergeCell ref="A1:G1"/>
  </mergeCells>
  <conditionalFormatting sqref="F5:F8">
    <cfRule type="cellIs" priority="1" operator="greaterThan" dxfId="0">
      <formula>0.28</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showGridLines="0" workbookViewId="0">
      <pane ySplit="4" topLeftCell="A5" activePane="bottomLeft" state="frozen"/>
      <selection pane="bottomLeft" activeCell="A1" sqref="A1"/>
    </sheetView>
  </sheetViews>
  <sheetFormatPr baseColWidth="8" defaultRowHeight="15"/>
  <cols>
    <col width="2" customWidth="1" min="1" max="1"/>
    <col width="24" customWidth="1" min="2" max="2"/>
    <col width="20" customWidth="1" min="3" max="3"/>
    <col width="12" customWidth="1" min="4" max="4"/>
    <col width="14" customWidth="1" min="5" max="5"/>
    <col width="14" customWidth="1" min="6" max="6"/>
    <col width="2" customWidth="1" min="7" max="7"/>
  </cols>
  <sheetData>
    <row r="1" ht="46" customHeight="1">
      <c r="A1" s="1" t="inlineStr">
        <is>
          <t xml:space="preserve">  🏷  VIRTUAL BRANDS</t>
        </is>
      </c>
    </row>
    <row r="2" ht="22" customHeight="1">
      <c r="A2" s="2" t="inlineStr">
        <is>
          <t xml:space="preserve">  Run many brands from one kitchen — orders, revenue &amp; share, all from the same line.</t>
        </is>
      </c>
    </row>
    <row r="3" ht="6" customHeight="1">
      <c r="A3" s="3" t="n"/>
      <c r="B3" s="3" t="n"/>
      <c r="C3" s="3" t="n"/>
      <c r="D3" s="3" t="n"/>
      <c r="E3" s="3" t="n"/>
      <c r="F3" s="3" t="n"/>
    </row>
    <row r="4" ht="30" customHeight="1">
      <c r="B4" s="9" t="inlineStr">
        <is>
          <t>Brand</t>
        </is>
      </c>
      <c r="C4" s="9" t="inlineStr">
        <is>
          <t>Cuisine</t>
        </is>
      </c>
      <c r="D4" s="9" t="inlineStr">
        <is>
          <t>Orders</t>
        </is>
      </c>
      <c r="E4" s="9" t="inlineStr">
        <is>
          <t>Revenue</t>
        </is>
      </c>
      <c r="F4" s="9" t="inlineStr">
        <is>
          <t>Rev Share</t>
        </is>
      </c>
    </row>
    <row r="5">
      <c r="B5" s="20" t="inlineStr">
        <is>
          <t>Burrito Barrio</t>
        </is>
      </c>
      <c r="C5" s="20" t="inlineStr">
        <is>
          <t>Mexican</t>
        </is>
      </c>
      <c r="D5" s="35" t="n">
        <v>300</v>
      </c>
      <c r="E5" s="48" t="n">
        <v>6600</v>
      </c>
      <c r="F5" s="21">
        <f>IFERROR(E5/SUM(BrandRev),0)</f>
        <v/>
      </c>
    </row>
    <row r="6">
      <c r="B6" s="23" t="inlineStr">
        <is>
          <t>Cluckin' Wings</t>
        </is>
      </c>
      <c r="C6" s="23" t="inlineStr">
        <is>
          <t>Wings</t>
        </is>
      </c>
      <c r="D6" s="39" t="n">
        <v>220</v>
      </c>
      <c r="E6" s="49" t="n">
        <v>4900</v>
      </c>
      <c r="F6" s="24">
        <f>IFERROR(E6/SUM(BrandRev),0)</f>
        <v/>
      </c>
    </row>
    <row r="7">
      <c r="B7" s="20" t="inlineStr">
        <is>
          <t>Green Fork</t>
        </is>
      </c>
      <c r="C7" s="20" t="inlineStr">
        <is>
          <t>Vegan Bowls</t>
        </is>
      </c>
      <c r="D7" s="35" t="n">
        <v>160</v>
      </c>
      <c r="E7" s="48" t="n">
        <v>3300</v>
      </c>
      <c r="F7" s="21">
        <f>IFERROR(E7/SUM(BrandRev),0)</f>
        <v/>
      </c>
    </row>
    <row r="8">
      <c r="B8" s="23" t="inlineStr">
        <is>
          <t>Shake Yard</t>
        </is>
      </c>
      <c r="C8" s="23" t="inlineStr">
        <is>
          <t>Shakes &amp; Sweets</t>
        </is>
      </c>
      <c r="D8" s="39" t="n">
        <v>120</v>
      </c>
      <c r="E8" s="49" t="n">
        <v>2560</v>
      </c>
      <c r="F8" s="24">
        <f>IFERROR(E8/SUM(BrandRev),0)</f>
        <v/>
      </c>
    </row>
    <row r="9">
      <c r="B9" s="9" t="inlineStr">
        <is>
          <t>ALL BRANDS</t>
        </is>
      </c>
      <c r="C9" s="44" t="n"/>
      <c r="D9" s="43">
        <f>SUM(BrandOrders)</f>
        <v/>
      </c>
      <c r="E9" s="45">
        <f>SUM(BrandRev)</f>
        <v/>
      </c>
      <c r="F9" s="44" t="n"/>
    </row>
  </sheetData>
  <mergeCells count="2">
    <mergeCell ref="A2:F2"/>
    <mergeCell ref="A1:F1"/>
  </mergeCells>
  <conditionalFormatting sqref="F5:F8">
    <cfRule type="dataBar" priority="1">
      <dataBar showValue="1">
        <cfvo type="num" val="0"/>
        <cfvo type="max"/>
        <color rgb="001B4F48"/>
      </dataBar>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showGridLines="0" workbookViewId="0">
      <pane ySplit="4" topLeftCell="A5" activePane="bottomLeft" state="frozen"/>
      <selection pane="bottomLeft" activeCell="A1" sqref="A1"/>
    </sheetView>
  </sheetViews>
  <sheetFormatPr baseColWidth="8" defaultRowHeight="15"/>
  <cols>
    <col width="2" customWidth="1" min="1" max="1"/>
    <col width="28" customWidth="1" min="2" max="2"/>
    <col width="16" customWidth="1" min="3" max="3"/>
    <col width="2" customWidth="1" min="4" max="4"/>
  </cols>
  <sheetData>
    <row r="1" ht="46" customHeight="1">
      <c r="A1" s="1" t="inlineStr">
        <is>
          <t xml:space="preserve">  📦  PACKAGING</t>
        </is>
      </c>
    </row>
    <row r="2" ht="22" customHeight="1">
      <c r="A2" s="2" t="inlineStr">
        <is>
          <t xml:space="preserve">  Every order ships in a box — packaging is a real cost per order, so track it here.</t>
        </is>
      </c>
    </row>
    <row r="3" ht="6" customHeight="1">
      <c r="A3" s="3" t="n"/>
      <c r="B3" s="3" t="n"/>
      <c r="C3" s="3" t="n"/>
    </row>
    <row r="4" ht="30" customHeight="1">
      <c r="B4" s="9" t="inlineStr">
        <is>
          <t>Package</t>
        </is>
      </c>
      <c r="C4" s="9" t="inlineStr">
        <is>
          <t>Cost / Order</t>
        </is>
      </c>
    </row>
    <row r="5">
      <c r="B5" s="20" t="inlineStr">
        <is>
          <t>Entrée box + bag</t>
        </is>
      </c>
      <c r="C5" s="27" t="n">
        <v>0.65</v>
      </c>
    </row>
    <row r="6">
      <c r="B6" s="23" t="inlineStr">
        <is>
          <t>Fries sleeve</t>
        </is>
      </c>
      <c r="C6" s="29" t="n">
        <v>0.45</v>
      </c>
    </row>
    <row r="7">
      <c r="B7" s="20" t="inlineStr">
        <is>
          <t>Sandwich clamshell</t>
        </is>
      </c>
      <c r="C7" s="27" t="n">
        <v>0.55</v>
      </c>
    </row>
    <row r="8">
      <c r="B8" s="23" t="inlineStr">
        <is>
          <t>Taco tray</t>
        </is>
      </c>
      <c r="C8" s="29" t="n">
        <v>0.7</v>
      </c>
    </row>
    <row r="9">
      <c r="B9" s="20" t="inlineStr">
        <is>
          <t>Bowl + lid</t>
        </is>
      </c>
      <c r="C9" s="27" t="n">
        <v>0.6</v>
      </c>
    </row>
    <row r="10">
      <c r="B10" s="23" t="inlineStr">
        <is>
          <t>Wing box</t>
        </is>
      </c>
      <c r="C10" s="29" t="n">
        <v>0.65</v>
      </c>
    </row>
    <row r="11">
      <c r="B11" s="20" t="inlineStr">
        <is>
          <t>Nacho tray</t>
        </is>
      </c>
      <c r="C11" s="27" t="n">
        <v>0.55</v>
      </c>
    </row>
    <row r="12">
      <c r="B12" s="23" t="inlineStr">
        <is>
          <t>Shake cup + lid</t>
        </is>
      </c>
      <c r="C12" s="29" t="n">
        <v>0.4</v>
      </c>
    </row>
    <row r="13">
      <c r="B13" s="9" t="inlineStr">
        <is>
          <t>AVG PACKAGING / ORDER</t>
        </is>
      </c>
      <c r="C13" s="50">
        <f>AVERAGE(C5:C12)</f>
        <v/>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showGridLines="0" workbookViewId="0">
      <pane ySplit="4" topLeftCell="A5" activePane="bottomLeft" state="frozen"/>
      <selection pane="bottomLeft" activeCell="A1" sqref="A1"/>
    </sheetView>
  </sheetViews>
  <sheetFormatPr baseColWidth="8" defaultRowHeight="15"/>
  <cols>
    <col width="2" customWidth="1" min="1" max="1"/>
    <col width="16" customWidth="1" min="2" max="2"/>
    <col width="14" customWidth="1" min="3" max="3"/>
    <col width="14" customWidth="1" min="4" max="4"/>
    <col width="14" customWidth="1" min="5" max="5"/>
    <col width="2" customWidth="1" min="6" max="6"/>
  </cols>
  <sheetData>
    <row r="1" ht="46" customHeight="1">
      <c r="A1" s="1" t="inlineStr">
        <is>
          <t xml:space="preserve">  📊  ORDER VOLUME</t>
        </is>
      </c>
    </row>
    <row r="2" ht="22" customHeight="1">
      <c r="A2" s="2" t="inlineStr">
        <is>
          <t xml:space="preserve">  Orders &amp; average order value by day — see when the delivery rush really hits.</t>
        </is>
      </c>
    </row>
    <row r="3" ht="6" customHeight="1">
      <c r="A3" s="3" t="n"/>
      <c r="B3" s="3" t="n"/>
      <c r="C3" s="3" t="n"/>
      <c r="D3" s="3" t="n"/>
      <c r="E3" s="3" t="n"/>
    </row>
    <row r="4" ht="30" customHeight="1">
      <c r="B4" s="9" t="inlineStr">
        <is>
          <t>Day</t>
        </is>
      </c>
      <c r="C4" s="9" t="inlineStr">
        <is>
          <t>Orders</t>
        </is>
      </c>
      <c r="D4" s="9" t="inlineStr">
        <is>
          <t>Avg Order</t>
        </is>
      </c>
      <c r="E4" s="9" t="inlineStr">
        <is>
          <t>Gross</t>
        </is>
      </c>
    </row>
    <row r="5">
      <c r="B5" s="20" t="inlineStr">
        <is>
          <t>Monday</t>
        </is>
      </c>
      <c r="C5" s="35" t="n">
        <v>90</v>
      </c>
      <c r="D5" s="27" t="n">
        <v>20</v>
      </c>
      <c r="E5" s="38">
        <f>C5*D5</f>
        <v/>
      </c>
    </row>
    <row r="6">
      <c r="B6" s="23" t="inlineStr">
        <is>
          <t>Tuesday</t>
        </is>
      </c>
      <c r="C6" s="39" t="n">
        <v>95</v>
      </c>
      <c r="D6" s="29" t="n">
        <v>20</v>
      </c>
      <c r="E6" s="42">
        <f>C6*D6</f>
        <v/>
      </c>
    </row>
    <row r="7">
      <c r="B7" s="20" t="inlineStr">
        <is>
          <t>Wednesday</t>
        </is>
      </c>
      <c r="C7" s="35" t="n">
        <v>110</v>
      </c>
      <c r="D7" s="27" t="n">
        <v>21</v>
      </c>
      <c r="E7" s="38">
        <f>C7*D7</f>
        <v/>
      </c>
    </row>
    <row r="8">
      <c r="B8" s="23" t="inlineStr">
        <is>
          <t>Thursday</t>
        </is>
      </c>
      <c r="C8" s="39" t="n">
        <v>120</v>
      </c>
      <c r="D8" s="29" t="n">
        <v>22</v>
      </c>
      <c r="E8" s="42">
        <f>C8*D8</f>
        <v/>
      </c>
    </row>
    <row r="9">
      <c r="B9" s="20" t="inlineStr">
        <is>
          <t>Friday</t>
        </is>
      </c>
      <c r="C9" s="35" t="n">
        <v>160</v>
      </c>
      <c r="D9" s="27" t="n">
        <v>23</v>
      </c>
      <c r="E9" s="38">
        <f>C9*D9</f>
        <v/>
      </c>
    </row>
    <row r="10">
      <c r="B10" s="23" t="inlineStr">
        <is>
          <t>Saturday</t>
        </is>
      </c>
      <c r="C10" s="39" t="n">
        <v>150</v>
      </c>
      <c r="D10" s="29" t="n">
        <v>23</v>
      </c>
      <c r="E10" s="42">
        <f>C10*D10</f>
        <v/>
      </c>
    </row>
    <row r="11">
      <c r="B11" s="20" t="inlineStr">
        <is>
          <t>Sunday</t>
        </is>
      </c>
      <c r="C11" s="35" t="n">
        <v>75</v>
      </c>
      <c r="D11" s="27" t="n">
        <v>21</v>
      </c>
      <c r="E11" s="38">
        <f>C11*D11</f>
        <v/>
      </c>
    </row>
    <row r="12">
      <c r="B12" s="9" t="inlineStr">
        <is>
          <t>WEEK TOTAL</t>
        </is>
      </c>
      <c r="C12" s="43">
        <f>SUM(C5:C11)</f>
        <v/>
      </c>
      <c r="D12" s="44" t="n"/>
      <c r="E12" s="45">
        <f>SUM(E5:E11)</f>
        <v/>
      </c>
    </row>
  </sheetData>
  <mergeCells count="2">
    <mergeCell ref="A2:E2"/>
    <mergeCell ref="A1:E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F12"/>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12" customWidth="1" min="3" max="3"/>
    <col width="12" customWidth="1" min="4" max="4"/>
    <col width="12" customWidth="1" min="5" max="5"/>
    <col width="14" customWidth="1" min="6" max="6"/>
    <col width="2" customWidth="1" min="7" max="7"/>
  </cols>
  <sheetData>
    <row r="1" ht="46" customHeight="1">
      <c r="A1" s="1" t="inlineStr">
        <is>
          <t xml:space="preserve">  📦  INVENTORY &amp; PAR</t>
        </is>
      </c>
    </row>
    <row r="2" ht="22" customHeight="1">
      <c r="A2" s="2" t="inlineStr">
        <is>
          <t xml:space="preserve">  Par vs on hand — never 86 an item mid-rush when the orders are stacking up.</t>
        </is>
      </c>
    </row>
    <row r="3" ht="6" customHeight="1">
      <c r="A3" s="3" t="n"/>
      <c r="B3" s="3" t="n"/>
      <c r="C3" s="3" t="n"/>
      <c r="D3" s="3" t="n"/>
      <c r="E3" s="3" t="n"/>
      <c r="F3" s="3" t="n"/>
    </row>
    <row r="4" ht="30" customHeight="1">
      <c r="B4" s="9" t="inlineStr">
        <is>
          <t>Item</t>
        </is>
      </c>
      <c r="C4" s="9" t="inlineStr">
        <is>
          <t>Par</t>
        </is>
      </c>
      <c r="D4" s="9" t="inlineStr">
        <is>
          <t>On Hand</t>
        </is>
      </c>
      <c r="E4" s="9" t="inlineStr">
        <is>
          <t>Unit</t>
        </is>
      </c>
      <c r="F4" s="9" t="inlineStr">
        <is>
          <t>To Order</t>
        </is>
      </c>
    </row>
    <row r="5">
      <c r="B5" s="20" t="inlineStr">
        <is>
          <t>Tortillas</t>
        </is>
      </c>
      <c r="C5" s="35" t="n">
        <v>40</v>
      </c>
      <c r="D5" s="35" t="n">
        <v>18</v>
      </c>
      <c r="E5" s="22" t="inlineStr">
        <is>
          <t>case</t>
        </is>
      </c>
      <c r="F5" s="51">
        <f>MAX(C5-D5,0)</f>
        <v/>
      </c>
    </row>
    <row r="6">
      <c r="B6" s="23" t="inlineStr">
        <is>
          <t>Chicken</t>
        </is>
      </c>
      <c r="C6" s="39" t="n">
        <v>60</v>
      </c>
      <c r="D6" s="39" t="n">
        <v>25</v>
      </c>
      <c r="E6" s="25" t="inlineStr">
        <is>
          <t>lb</t>
        </is>
      </c>
      <c r="F6" s="52">
        <f>MAX(C6-D6,0)</f>
        <v/>
      </c>
    </row>
    <row r="7">
      <c r="B7" s="20" t="inlineStr">
        <is>
          <t>Ground beef</t>
        </is>
      </c>
      <c r="C7" s="35" t="n">
        <v>50</v>
      </c>
      <c r="D7" s="35" t="n">
        <v>20</v>
      </c>
      <c r="E7" s="22" t="inlineStr">
        <is>
          <t>lb</t>
        </is>
      </c>
      <c r="F7" s="51">
        <f>MAX(C7-D7,0)</f>
        <v/>
      </c>
    </row>
    <row r="8">
      <c r="B8" s="23" t="inlineStr">
        <is>
          <t>Fryer oil</t>
        </is>
      </c>
      <c r="C8" s="39" t="n">
        <v>20</v>
      </c>
      <c r="D8" s="39" t="n">
        <v>8</v>
      </c>
      <c r="E8" s="25" t="inlineStr">
        <is>
          <t>jug</t>
        </is>
      </c>
      <c r="F8" s="52">
        <f>MAX(C8-D8,0)</f>
        <v/>
      </c>
    </row>
    <row r="9">
      <c r="B9" s="20" t="inlineStr">
        <is>
          <t>Cheese</t>
        </is>
      </c>
      <c r="C9" s="35" t="n">
        <v>30</v>
      </c>
      <c r="D9" s="35" t="n">
        <v>12</v>
      </c>
      <c r="E9" s="22" t="inlineStr">
        <is>
          <t>case</t>
        </is>
      </c>
      <c r="F9" s="51">
        <f>MAX(C9-D9,0)</f>
        <v/>
      </c>
    </row>
    <row r="10">
      <c r="B10" s="23" t="inlineStr">
        <is>
          <t>Produce</t>
        </is>
      </c>
      <c r="C10" s="39" t="n">
        <v>25</v>
      </c>
      <c r="D10" s="39" t="n">
        <v>10</v>
      </c>
      <c r="E10" s="25" t="inlineStr">
        <is>
          <t>box</t>
        </is>
      </c>
      <c r="F10" s="52">
        <f>MAX(C10-D10,0)</f>
        <v/>
      </c>
    </row>
    <row r="11">
      <c r="B11" s="20" t="inlineStr">
        <is>
          <t>Packaging</t>
        </is>
      </c>
      <c r="C11" s="35" t="n">
        <v>40</v>
      </c>
      <c r="D11" s="35" t="n">
        <v>15</v>
      </c>
      <c r="E11" s="22" t="inlineStr">
        <is>
          <t>case</t>
        </is>
      </c>
      <c r="F11" s="51">
        <f>MAX(C11-D11,0)</f>
        <v/>
      </c>
    </row>
    <row r="12">
      <c r="B12" s="23" t="inlineStr">
        <is>
          <t>Beverages</t>
        </is>
      </c>
      <c r="C12" s="39" t="n">
        <v>30</v>
      </c>
      <c r="D12" s="39" t="n">
        <v>12</v>
      </c>
      <c r="E12" s="25" t="inlineStr">
        <is>
          <t>case</t>
        </is>
      </c>
      <c r="F12" s="52">
        <f>MAX(C12-D12,0)</f>
        <v/>
      </c>
    </row>
  </sheetData>
  <mergeCells count="2">
    <mergeCell ref="A2:F2"/>
    <mergeCell ref="A1:F1"/>
  </mergeCells>
  <conditionalFormatting sqref="D5:D12">
    <cfRule type="cellIs" priority="1" operator="lessThan" dxfId="0">
      <formula>C5*0.5</formula>
    </cfRule>
  </conditionalFormatting>
  <dataValidations count="1">
    <dataValidation sqref="E5:E12" showDropDown="0" showInputMessage="0" showErrorMessage="0" allowBlank="1" type="list">
      <formula1>=UnitList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9"/>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24" customWidth="1" min="3" max="3"/>
    <col width="14" customWidth="1" min="4" max="4"/>
    <col width="2" customWidth="1" min="5" max="5"/>
  </cols>
  <sheetData>
    <row r="1" ht="46" customHeight="1">
      <c r="A1" s="1" t="inlineStr">
        <is>
          <t xml:space="preserve">  🗑  WASTE LOG</t>
        </is>
      </c>
    </row>
    <row r="2" ht="22" customHeight="1">
      <c r="A2" s="2" t="inlineStr">
        <is>
          <t xml:space="preserve">  Cancelled orders, remakes &amp; spoilage — the delivery-only leaks that eat your net.</t>
        </is>
      </c>
    </row>
    <row r="3" ht="6" customHeight="1">
      <c r="A3" s="3" t="n"/>
      <c r="B3" s="3" t="n"/>
      <c r="C3" s="3" t="n"/>
      <c r="D3" s="3" t="n"/>
    </row>
    <row r="4" ht="30" customHeight="1">
      <c r="B4" s="9" t="inlineStr">
        <is>
          <t>Item</t>
        </is>
      </c>
      <c r="C4" s="9" t="inlineStr">
        <is>
          <t>Reason</t>
        </is>
      </c>
      <c r="D4" s="9" t="inlineStr">
        <is>
          <t>Cost</t>
        </is>
      </c>
    </row>
    <row r="5">
      <c r="B5" s="53" t="inlineStr">
        <is>
          <t>Prep over-run</t>
        </is>
      </c>
      <c r="C5" s="53" t="inlineStr">
        <is>
          <t>Batch surplus</t>
        </is>
      </c>
      <c r="D5" s="54" t="n">
        <v>95</v>
      </c>
    </row>
    <row r="6">
      <c r="B6" s="23" t="inlineStr">
        <is>
          <t>Cancelled orders</t>
        </is>
      </c>
      <c r="C6" s="23" t="inlineStr">
        <is>
          <t>App glitch</t>
        </is>
      </c>
      <c r="D6" s="28" t="n">
        <v>70</v>
      </c>
    </row>
    <row r="7">
      <c r="B7" s="53" t="inlineStr">
        <is>
          <t>Spoilage</t>
        </is>
      </c>
      <c r="C7" s="53" t="inlineStr">
        <is>
          <t>Cold-chain break</t>
        </is>
      </c>
      <c r="D7" s="54" t="n">
        <v>60</v>
      </c>
    </row>
    <row r="8">
      <c r="B8" s="23" t="inlineStr">
        <is>
          <t>Remakes</t>
        </is>
      </c>
      <c r="C8" s="23" t="inlineStr">
        <is>
          <t>Order error</t>
        </is>
      </c>
      <c r="D8" s="28" t="n">
        <v>45</v>
      </c>
    </row>
    <row r="9">
      <c r="B9" s="53" t="n"/>
      <c r="C9" s="53" t="n"/>
      <c r="D9" s="54" t="n"/>
    </row>
    <row r="10">
      <c r="B10" s="23" t="n"/>
      <c r="C10" s="23" t="n"/>
      <c r="D10" s="28" t="n"/>
    </row>
    <row r="11">
      <c r="B11" s="53" t="n"/>
      <c r="C11" s="53" t="n"/>
      <c r="D11" s="54" t="n"/>
    </row>
    <row r="12">
      <c r="B12" s="23" t="n"/>
      <c r="C12" s="23" t="n"/>
      <c r="D12" s="28" t="n"/>
    </row>
    <row r="13">
      <c r="B13" s="53" t="n"/>
      <c r="C13" s="53" t="n"/>
      <c r="D13" s="54" t="n"/>
    </row>
    <row r="14">
      <c r="B14" s="23" t="n"/>
      <c r="C14" s="23" t="n"/>
      <c r="D14" s="28" t="n"/>
    </row>
    <row r="15">
      <c r="B15" s="53" t="n"/>
      <c r="C15" s="53" t="n"/>
      <c r="D15" s="54" t="n"/>
    </row>
    <row r="16">
      <c r="B16" s="23" t="n"/>
      <c r="C16" s="23" t="n"/>
      <c r="D16" s="28" t="n"/>
    </row>
    <row r="17">
      <c r="B17" s="53" t="n"/>
      <c r="C17" s="53" t="n"/>
      <c r="D17" s="54" t="n"/>
    </row>
    <row r="18">
      <c r="B18" s="23" t="n"/>
      <c r="C18" s="23" t="n"/>
      <c r="D18" s="28" t="n"/>
    </row>
    <row r="19">
      <c r="B19" s="53" t="n"/>
      <c r="C19" s="53" t="n"/>
      <c r="D19" s="54" t="n"/>
    </row>
    <row r="20">
      <c r="B20" s="23" t="n"/>
      <c r="C20" s="23" t="n"/>
      <c r="D20" s="28" t="n"/>
    </row>
    <row r="21">
      <c r="B21" s="53" t="n"/>
      <c r="C21" s="53" t="n"/>
      <c r="D21" s="54" t="n"/>
    </row>
    <row r="22">
      <c r="B22" s="23" t="n"/>
      <c r="C22" s="23" t="n"/>
      <c r="D22" s="28" t="n"/>
    </row>
    <row r="23">
      <c r="B23" s="53" t="n"/>
      <c r="C23" s="53" t="n"/>
      <c r="D23" s="54" t="n"/>
    </row>
    <row r="24">
      <c r="B24" s="23" t="n"/>
      <c r="C24" s="23" t="n"/>
      <c r="D24" s="28" t="n"/>
    </row>
    <row r="25">
      <c r="B25" s="53" t="n"/>
      <c r="C25" s="53" t="n"/>
      <c r="D25" s="54" t="n"/>
    </row>
    <row r="26">
      <c r="B26" s="23" t="n"/>
      <c r="C26" s="23" t="n"/>
      <c r="D26" s="28" t="n"/>
    </row>
    <row r="27">
      <c r="B27" s="53" t="n"/>
      <c r="C27" s="53" t="n"/>
      <c r="D27" s="54" t="n"/>
    </row>
    <row r="28">
      <c r="B28" s="23" t="n"/>
      <c r="C28" s="23" t="n"/>
      <c r="D28" s="28" t="n"/>
    </row>
    <row r="29">
      <c r="B29" s="9" t="inlineStr">
        <is>
          <t>TOTAL WASTE</t>
        </is>
      </c>
      <c r="C29" s="44" t="n"/>
      <c r="D29" s="55">
        <f>SUM(WasteCost)</f>
        <v/>
      </c>
    </row>
  </sheetData>
  <mergeCells count="2">
    <mergeCell ref="A1:D1"/>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9"/>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20" customWidth="1" min="3" max="3"/>
    <col width="12" customWidth="1" min="4" max="4"/>
    <col width="14" customWidth="1" min="5" max="5"/>
    <col width="2" customWidth="1" min="6" max="6"/>
  </cols>
  <sheetData>
    <row r="1" ht="46" customHeight="1">
      <c r="A1" s="1" t="inlineStr">
        <is>
          <t xml:space="preserve">  🚚  ORDERING &amp; SUPPLIERS</t>
        </is>
      </c>
    </row>
    <row r="2" ht="22" customHeight="1">
      <c r="A2" s="2" t="inlineStr">
        <is>
          <t xml:space="preserve">  Your standing order — par quantities &amp; cost, by supplier.</t>
        </is>
      </c>
    </row>
    <row r="3" ht="6" customHeight="1">
      <c r="A3" s="3" t="n"/>
      <c r="B3" s="3" t="n"/>
      <c r="C3" s="3" t="n"/>
      <c r="D3" s="3" t="n"/>
      <c r="E3" s="3" t="n"/>
    </row>
    <row r="4" ht="30" customHeight="1">
      <c r="B4" s="9" t="inlineStr">
        <is>
          <t>Item</t>
        </is>
      </c>
      <c r="C4" s="9" t="inlineStr">
        <is>
          <t>Supplier</t>
        </is>
      </c>
      <c r="D4" s="9" t="inlineStr">
        <is>
          <t>Par Order</t>
        </is>
      </c>
      <c r="E4" s="9" t="inlineStr">
        <is>
          <t>Cost</t>
        </is>
      </c>
    </row>
    <row r="5">
      <c r="B5" s="53" t="inlineStr">
        <is>
          <t>Proteins (case)</t>
        </is>
      </c>
      <c r="C5" s="53" t="inlineStr">
        <is>
          <t>US Foods</t>
        </is>
      </c>
      <c r="D5" s="56" t="n">
        <v>1</v>
      </c>
      <c r="E5" s="54" t="n">
        <v>420</v>
      </c>
    </row>
    <row r="6">
      <c r="B6" s="23" t="inlineStr">
        <is>
          <t>Produce (box)</t>
        </is>
      </c>
      <c r="C6" s="23" t="inlineStr">
        <is>
          <t>Green Farms</t>
        </is>
      </c>
      <c r="D6" s="57" t="n">
        <v>2</v>
      </c>
      <c r="E6" s="28" t="n">
        <v>180</v>
      </c>
    </row>
    <row r="7">
      <c r="B7" s="53" t="inlineStr">
        <is>
          <t>Packaging (case)</t>
        </is>
      </c>
      <c r="C7" s="53" t="inlineStr">
        <is>
          <t>PackCo</t>
        </is>
      </c>
      <c r="D7" s="56" t="n">
        <v>2</v>
      </c>
      <c r="E7" s="54" t="n">
        <v>240</v>
      </c>
    </row>
    <row r="8">
      <c r="B8" s="23" t="inlineStr">
        <is>
          <t>Dry goods</t>
        </is>
      </c>
      <c r="C8" s="23" t="inlineStr">
        <is>
          <t>Restaurant Depot</t>
        </is>
      </c>
      <c r="D8" s="57" t="n">
        <v>1</v>
      </c>
      <c r="E8" s="28" t="n">
        <v>160</v>
      </c>
    </row>
    <row r="9">
      <c r="B9" s="53" t="inlineStr">
        <is>
          <t>Beverages</t>
        </is>
      </c>
      <c r="C9" s="53" t="inlineStr">
        <is>
          <t>BevCo</t>
        </is>
      </c>
      <c r="D9" s="56" t="n">
        <v>1</v>
      </c>
      <c r="E9" s="54" t="n">
        <v>150</v>
      </c>
    </row>
    <row r="10">
      <c r="B10" s="23" t="n"/>
      <c r="C10" s="23" t="n"/>
      <c r="D10" s="57" t="n"/>
      <c r="E10" s="28" t="n"/>
    </row>
    <row r="11">
      <c r="B11" s="53" t="n"/>
      <c r="C11" s="53" t="n"/>
      <c r="D11" s="56" t="n"/>
      <c r="E11" s="54" t="n"/>
    </row>
    <row r="12">
      <c r="B12" s="23" t="n"/>
      <c r="C12" s="23" t="n"/>
      <c r="D12" s="57" t="n"/>
      <c r="E12" s="28" t="n"/>
    </row>
    <row r="13">
      <c r="B13" s="53" t="n"/>
      <c r="C13" s="53" t="n"/>
      <c r="D13" s="56" t="n"/>
      <c r="E13" s="54" t="n"/>
    </row>
    <row r="14">
      <c r="B14" s="23" t="n"/>
      <c r="C14" s="23" t="n"/>
      <c r="D14" s="57" t="n"/>
      <c r="E14" s="28" t="n"/>
    </row>
    <row r="15">
      <c r="B15" s="53" t="n"/>
      <c r="C15" s="53" t="n"/>
      <c r="D15" s="56" t="n"/>
      <c r="E15" s="54" t="n"/>
    </row>
    <row r="16">
      <c r="B16" s="23" t="n"/>
      <c r="C16" s="23" t="n"/>
      <c r="D16" s="57" t="n"/>
      <c r="E16" s="28" t="n"/>
    </row>
    <row r="17">
      <c r="B17" s="53" t="n"/>
      <c r="C17" s="53" t="n"/>
      <c r="D17" s="56" t="n"/>
      <c r="E17" s="54" t="n"/>
    </row>
    <row r="18">
      <c r="B18" s="23" t="n"/>
      <c r="C18" s="23" t="n"/>
      <c r="D18" s="57" t="n"/>
      <c r="E18" s="28" t="n"/>
    </row>
    <row r="19">
      <c r="B19" s="53" t="n"/>
      <c r="C19" s="53" t="n"/>
      <c r="D19" s="56" t="n"/>
      <c r="E19" s="54" t="n"/>
    </row>
    <row r="20">
      <c r="B20" s="23" t="n"/>
      <c r="C20" s="23" t="n"/>
      <c r="D20" s="57" t="n"/>
      <c r="E20" s="28" t="n"/>
    </row>
    <row r="21">
      <c r="B21" s="53" t="n"/>
      <c r="C21" s="53" t="n"/>
      <c r="D21" s="56" t="n"/>
      <c r="E21" s="54" t="n"/>
    </row>
    <row r="22">
      <c r="B22" s="23" t="n"/>
      <c r="C22" s="23" t="n"/>
      <c r="D22" s="57" t="n"/>
      <c r="E22" s="28" t="n"/>
    </row>
    <row r="23">
      <c r="B23" s="53" t="n"/>
      <c r="C23" s="53" t="n"/>
      <c r="D23" s="56" t="n"/>
      <c r="E23" s="54" t="n"/>
    </row>
    <row r="24">
      <c r="B24" s="23" t="n"/>
      <c r="C24" s="23" t="n"/>
      <c r="D24" s="57" t="n"/>
      <c r="E24" s="28" t="n"/>
    </row>
    <row r="25">
      <c r="B25" s="53" t="n"/>
      <c r="C25" s="53" t="n"/>
      <c r="D25" s="56" t="n"/>
      <c r="E25" s="54" t="n"/>
    </row>
    <row r="26">
      <c r="B26" s="23" t="n"/>
      <c r="C26" s="23" t="n"/>
      <c r="D26" s="57" t="n"/>
      <c r="E26" s="28" t="n"/>
    </row>
    <row r="27">
      <c r="B27" s="53" t="n"/>
      <c r="C27" s="53" t="n"/>
      <c r="D27" s="56" t="n"/>
      <c r="E27" s="54" t="n"/>
    </row>
    <row r="28">
      <c r="B28" s="23" t="n"/>
      <c r="C28" s="23" t="n"/>
      <c r="D28" s="57" t="n"/>
      <c r="E28" s="28" t="n"/>
    </row>
    <row r="29">
      <c r="B29" s="9" t="inlineStr">
        <is>
          <t>ORDER TOTAL</t>
        </is>
      </c>
      <c r="C29" s="44" t="n"/>
      <c r="D29" s="44" t="n"/>
      <c r="E29" s="50">
        <f>SUM(OrderCost)</f>
        <v/>
      </c>
    </row>
  </sheetData>
  <mergeCells count="2">
    <mergeCell ref="A2:E2"/>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showGridLines="0" workbookViewId="0">
      <pane ySplit="4" topLeftCell="A5" activePane="bottomLeft" state="frozen"/>
      <selection pane="bottomLeft" activeCell="A1" sqref="A1"/>
    </sheetView>
  </sheetViews>
  <sheetFormatPr baseColWidth="8" defaultRowHeight="15"/>
  <cols>
    <col width="2" customWidth="1" min="1" max="1"/>
    <col width="20" customWidth="1" min="2" max="2"/>
    <col width="14" customWidth="1" min="3" max="3"/>
    <col width="14" customWidth="1" min="4" max="4"/>
    <col width="14" customWidth="1" min="5" max="5"/>
    <col width="14" customWidth="1" min="6" max="6"/>
    <col width="2" customWidth="1" min="7" max="7"/>
  </cols>
  <sheetData>
    <row r="1" ht="46" customHeight="1">
      <c r="A1" s="1" t="inlineStr">
        <is>
          <t xml:space="preserve">  💵  PAYOUTS</t>
        </is>
      </c>
    </row>
    <row r="2" ht="22" customHeight="1">
      <c r="A2" s="2" t="inlineStr">
        <is>
          <t xml:space="preserve">  What each platform actually deposits — gross, fees &amp; the net that lands in your bank.</t>
        </is>
      </c>
    </row>
    <row r="3" ht="6" customHeight="1">
      <c r="A3" s="3" t="n"/>
      <c r="B3" s="3" t="n"/>
      <c r="C3" s="3" t="n"/>
      <c r="D3" s="3" t="n"/>
      <c r="E3" s="3" t="n"/>
      <c r="F3" s="3" t="n"/>
    </row>
    <row r="4" ht="30" customHeight="1">
      <c r="B4" s="9" t="inlineStr">
        <is>
          <t>Platform</t>
        </is>
      </c>
      <c r="C4" s="9" t="inlineStr">
        <is>
          <t>Gross</t>
        </is>
      </c>
      <c r="D4" s="9" t="inlineStr">
        <is>
          <t>Fees</t>
        </is>
      </c>
      <c r="E4" s="9" t="inlineStr">
        <is>
          <t>Net Payout</t>
        </is>
      </c>
      <c r="F4" s="9" t="inlineStr">
        <is>
          <t>Status</t>
        </is>
      </c>
    </row>
    <row r="5">
      <c r="B5" s="20" t="inlineStr">
        <is>
          <t>DoorDash</t>
        </is>
      </c>
      <c r="C5" s="48" t="n">
        <v>7040</v>
      </c>
      <c r="D5" s="48" t="n">
        <v>1900</v>
      </c>
      <c r="E5" s="38">
        <f>C5-D5</f>
        <v/>
      </c>
      <c r="F5" s="22" t="inlineStr">
        <is>
          <t>Received</t>
        </is>
      </c>
    </row>
    <row r="6">
      <c r="B6" s="23" t="inlineStr">
        <is>
          <t>Uber Eats</t>
        </is>
      </c>
      <c r="C6" s="49" t="n">
        <v>5040</v>
      </c>
      <c r="D6" s="49" t="n">
        <v>1512</v>
      </c>
      <c r="E6" s="42">
        <f>C6-D6</f>
        <v/>
      </c>
      <c r="F6" s="25" t="inlineStr">
        <is>
          <t>Received</t>
        </is>
      </c>
    </row>
    <row r="7">
      <c r="B7" s="20" t="inlineStr">
        <is>
          <t>Grubhub</t>
        </is>
      </c>
      <c r="C7" s="48" t="n">
        <v>2400</v>
      </c>
      <c r="D7" s="48" t="n">
        <v>600</v>
      </c>
      <c r="E7" s="38">
        <f>C7-D7</f>
        <v/>
      </c>
      <c r="F7" s="22" t="inlineStr">
        <is>
          <t>Pending</t>
        </is>
      </c>
    </row>
    <row r="8">
      <c r="B8" s="23" t="inlineStr">
        <is>
          <t>Direct Web</t>
        </is>
      </c>
      <c r="C8" s="49" t="n">
        <v>2880</v>
      </c>
      <c r="D8" s="49" t="n">
        <v>230</v>
      </c>
      <c r="E8" s="42">
        <f>C8-D8</f>
        <v/>
      </c>
      <c r="F8" s="25" t="inlineStr">
        <is>
          <t>Received</t>
        </is>
      </c>
    </row>
    <row r="9">
      <c r="B9" s="9" t="inlineStr">
        <is>
          <t>TOTAL NET PAYOUT</t>
        </is>
      </c>
      <c r="C9" s="44" t="n"/>
      <c r="D9" s="44" t="n"/>
      <c r="E9" s="45">
        <f>SUM(E5:E8)</f>
        <v/>
      </c>
      <c r="F9" s="44" t="n"/>
    </row>
  </sheetData>
  <mergeCells count="2">
    <mergeCell ref="A2:F2"/>
    <mergeCell ref="A1:F1"/>
  </mergeCells>
  <dataValidations count="4">
    <dataValidation sqref="F5" showDropDown="0" showInputMessage="0" showErrorMessage="0" allowBlank="1" type="list">
      <formula1>=StatusList</formula1>
    </dataValidation>
    <dataValidation sqref="F6" showDropDown="0" showInputMessage="0" showErrorMessage="0" allowBlank="1" type="list">
      <formula1>=StatusList</formula1>
    </dataValidation>
    <dataValidation sqref="F7" showDropDown="0" showInputMessage="0" showErrorMessage="0" allowBlank="1" type="list">
      <formula1>=StatusList</formula1>
    </dataValidation>
    <dataValidation sqref="F8" showDropDown="0" showInputMessage="0" showErrorMessage="0" allowBlank="1" type="list">
      <formula1>=StatusList</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16" customWidth="1" min="3" max="3"/>
    <col width="12" customWidth="1" min="4" max="4"/>
    <col width="14" customWidth="1" min="5" max="5"/>
    <col width="14" customWidth="1" min="6" max="6"/>
    <col width="2" customWidth="1" min="7" max="7"/>
  </cols>
  <sheetData>
    <row r="1" ht="46" customHeight="1">
      <c r="A1" s="1" t="inlineStr">
        <is>
          <t xml:space="preserve">  🎯  PROMOTIONS</t>
        </is>
      </c>
    </row>
    <row r="2" ht="22" customHeight="1">
      <c r="A2" s="2" t="inlineStr">
        <is>
          <t xml:space="preserve">  Promo &amp; ad spend by platform — cost per order driven, so you only pay for what works.</t>
        </is>
      </c>
    </row>
    <row r="3" ht="6" customHeight="1">
      <c r="A3" s="3" t="n"/>
      <c r="B3" s="3" t="n"/>
      <c r="C3" s="3" t="n"/>
      <c r="D3" s="3" t="n"/>
      <c r="E3" s="3" t="n"/>
      <c r="F3" s="3" t="n"/>
    </row>
    <row r="4" ht="30" customHeight="1">
      <c r="B4" s="9" t="inlineStr">
        <is>
          <t>Promotion</t>
        </is>
      </c>
      <c r="C4" s="9" t="inlineStr">
        <is>
          <t>Platform</t>
        </is>
      </c>
      <c r="D4" s="9" t="inlineStr">
        <is>
          <t>Spend</t>
        </is>
      </c>
      <c r="E4" s="9" t="inlineStr">
        <is>
          <t>Orders</t>
        </is>
      </c>
      <c r="F4" s="9" t="inlineStr">
        <is>
          <t>Cost / Order</t>
        </is>
      </c>
    </row>
    <row r="5">
      <c r="B5" s="20" t="inlineStr">
        <is>
          <t>New-customer 20% off</t>
        </is>
      </c>
      <c r="C5" s="22" t="inlineStr">
        <is>
          <t>DoorDash</t>
        </is>
      </c>
      <c r="D5" s="48" t="n">
        <v>180</v>
      </c>
      <c r="E5" s="35" t="n">
        <v>42</v>
      </c>
      <c r="F5" s="33">
        <f>IFERROR(D5/E5,0)</f>
        <v/>
      </c>
    </row>
    <row r="6">
      <c r="B6" s="23" t="inlineStr">
        <is>
          <t>Free delivery</t>
        </is>
      </c>
      <c r="C6" s="25" t="inlineStr">
        <is>
          <t>Uber Eats</t>
        </is>
      </c>
      <c r="D6" s="49" t="n">
        <v>150</v>
      </c>
      <c r="E6" s="39" t="n">
        <v>38</v>
      </c>
      <c r="F6" s="34">
        <f>IFERROR(D6/E6,0)</f>
        <v/>
      </c>
    </row>
    <row r="7">
      <c r="B7" s="20" t="inlineStr">
        <is>
          <t>BOGO wings</t>
        </is>
      </c>
      <c r="C7" s="22" t="inlineStr">
        <is>
          <t>Grubhub</t>
        </is>
      </c>
      <c r="D7" s="48" t="n">
        <v>90</v>
      </c>
      <c r="E7" s="35" t="n">
        <v>20</v>
      </c>
      <c r="F7" s="33">
        <f>IFERROR(D7/E7,0)</f>
        <v/>
      </c>
    </row>
    <row r="8">
      <c r="B8" s="23" t="inlineStr">
        <is>
          <t>Loyalty 10%</t>
        </is>
      </c>
      <c r="C8" s="25" t="inlineStr">
        <is>
          <t>Direct Web</t>
        </is>
      </c>
      <c r="D8" s="49" t="n">
        <v>60</v>
      </c>
      <c r="E8" s="39" t="n">
        <v>25</v>
      </c>
      <c r="F8" s="34">
        <f>IFERROR(D8/E8,0)</f>
        <v/>
      </c>
    </row>
    <row r="9">
      <c r="B9" s="9" t="inlineStr">
        <is>
          <t>TOTAL PROMO SPEND</t>
        </is>
      </c>
      <c r="C9" s="44" t="n"/>
      <c r="D9" s="45">
        <f>SUM(D5:D8)</f>
        <v/>
      </c>
      <c r="E9" s="43">
        <f>SUM(E5:E8)</f>
        <v/>
      </c>
      <c r="F9" s="44" t="n"/>
    </row>
  </sheetData>
  <mergeCells count="2">
    <mergeCell ref="A2:F2"/>
    <mergeCell ref="A1:F1"/>
  </mergeCells>
  <dataValidations count="4">
    <dataValidation sqref="C5" showDropDown="0" showInputMessage="0" showErrorMessage="0" allowBlank="1" type="list">
      <formula1>=PlatformList</formula1>
    </dataValidation>
    <dataValidation sqref="C6" showDropDown="0" showInputMessage="0" showErrorMessage="0" allowBlank="1" type="list">
      <formula1>=PlatformList</formula1>
    </dataValidation>
    <dataValidation sqref="C7" showDropDown="0" showInputMessage="0" showErrorMessage="0" allowBlank="1" type="list">
      <formula1>=PlatformList</formula1>
    </dataValidation>
    <dataValidation sqref="C8" showDropDown="0" showInputMessage="0" showErrorMessage="0" allowBlank="1" type="list">
      <formula1>=PlatformList</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4"/>
  <sheetViews>
    <sheetView showGridLines="0" workbookViewId="0">
      <selection activeCell="A1" sqref="A1"/>
    </sheetView>
  </sheetViews>
  <sheetFormatPr baseColWidth="8" defaultRowHeight="15"/>
  <cols>
    <col width="2" customWidth="1" min="1" max="1"/>
    <col width="28" customWidth="1" min="2" max="2"/>
    <col width="20" customWidth="1" min="3" max="3"/>
    <col width="3" customWidth="1" min="4" max="4"/>
    <col width="16" customWidth="1" min="5" max="5"/>
    <col width="16" customWidth="1" min="6" max="6"/>
    <col width="16" customWidth="1" min="7" max="7"/>
    <col width="16" customWidth="1" min="8" max="8"/>
    <col width="16" customWidth="1" min="9" max="9"/>
    <col width="16" customWidth="1" min="10" max="10"/>
  </cols>
  <sheetData>
    <row r="1" ht="46" customHeight="1">
      <c r="A1" s="1" t="inlineStr">
        <is>
          <t xml:space="preserve">  ⚙  SETTINGS</t>
        </is>
      </c>
    </row>
    <row r="2" ht="22" customHeight="1">
      <c r="A2" s="2" t="inlineStr">
        <is>
          <t xml:space="preserve">  Set your kitchen, targets &amp; lists once — every tab follows.</t>
        </is>
      </c>
    </row>
    <row r="3" ht="6" customHeight="1">
      <c r="A3" s="3" t="n"/>
      <c r="B3" s="3" t="n"/>
      <c r="C3" s="3" t="n"/>
      <c r="D3" s="3" t="n"/>
      <c r="E3" s="3" t="n"/>
      <c r="F3" s="3" t="n"/>
      <c r="G3" s="3" t="n"/>
      <c r="H3" s="3" t="n"/>
      <c r="I3" s="3" t="n"/>
      <c r="J3" s="3" t="n"/>
    </row>
    <row r="5">
      <c r="B5" s="7" t="inlineStr">
        <is>
          <t>YOUR KITCHEN</t>
        </is>
      </c>
      <c r="E5" s="4" t="inlineStr">
        <is>
          <t>DROPDOWN LISTS</t>
        </is>
      </c>
    </row>
    <row r="6">
      <c r="B6" s="31" t="inlineStr">
        <is>
          <t>Kitchen name</t>
        </is>
      </c>
      <c r="C6" s="58" t="inlineStr">
        <is>
          <t>Midnight Kitchen Collective</t>
        </is>
      </c>
      <c r="E6" s="9" t="inlineStr">
        <is>
          <t>Unit</t>
        </is>
      </c>
      <c r="F6" s="9" t="inlineStr">
        <is>
          <t>Platform</t>
        </is>
      </c>
      <c r="G6" s="9" t="inlineStr">
        <is>
          <t>Status</t>
        </is>
      </c>
      <c r="H6" s="9" t="inlineStr">
        <is>
          <t>Yes / No</t>
        </is>
      </c>
    </row>
    <row r="7">
      <c r="B7" s="31" t="inlineStr">
        <is>
          <t>Owner</t>
        </is>
      </c>
      <c r="C7" s="58" t="inlineStr">
        <is>
          <t>Devin</t>
        </is>
      </c>
      <c r="E7" s="20" t="inlineStr">
        <is>
          <t>each</t>
        </is>
      </c>
      <c r="F7" s="20" t="inlineStr">
        <is>
          <t>DoorDash</t>
        </is>
      </c>
      <c r="G7" s="20" t="inlineStr">
        <is>
          <t>Live</t>
        </is>
      </c>
      <c r="H7" s="20" t="inlineStr">
        <is>
          <t>Yes</t>
        </is>
      </c>
    </row>
    <row r="8">
      <c r="B8" s="31" t="inlineStr">
        <is>
          <t>Target food-cost %</t>
        </is>
      </c>
      <c r="C8" s="37" t="n">
        <v>0.3</v>
      </c>
      <c r="E8" s="20" t="inlineStr">
        <is>
          <t>lb</t>
        </is>
      </c>
      <c r="F8" s="20" t="inlineStr">
        <is>
          <t>Uber Eats</t>
        </is>
      </c>
      <c r="G8" s="20" t="inlineStr">
        <is>
          <t>Paused</t>
        </is>
      </c>
      <c r="H8" s="20" t="inlineStr">
        <is>
          <t>No</t>
        </is>
      </c>
    </row>
    <row r="9">
      <c r="B9" s="31" t="inlineStr">
        <is>
          <t>Net-margin goal %</t>
        </is>
      </c>
      <c r="C9" s="37" t="n">
        <v>0.4</v>
      </c>
      <c r="E9" s="20" t="inlineStr">
        <is>
          <t>oz</t>
        </is>
      </c>
      <c r="F9" s="20" t="inlineStr">
        <is>
          <t>Grubhub</t>
        </is>
      </c>
      <c r="G9" s="20" t="inlineStr">
        <is>
          <t>Testing</t>
        </is>
      </c>
    </row>
    <row r="10">
      <c r="B10" s="31" t="inlineStr">
        <is>
          <t>Commission limit %</t>
        </is>
      </c>
      <c r="C10" s="37" t="n">
        <v>0.4</v>
      </c>
      <c r="E10" s="20" t="inlineStr">
        <is>
          <t>case</t>
        </is>
      </c>
      <c r="F10" s="20" t="inlineStr">
        <is>
          <t>Direct Web</t>
        </is>
      </c>
      <c r="G10" s="20" t="inlineStr">
        <is>
          <t>New</t>
        </is>
      </c>
    </row>
    <row r="11">
      <c r="B11" s="31" t="inlineStr">
        <is>
          <t>Direct-order goal %</t>
        </is>
      </c>
      <c r="C11" s="37" t="n">
        <v>0.15</v>
      </c>
      <c r="E11" s="20" t="inlineStr">
        <is>
          <t>box</t>
        </is>
      </c>
      <c r="F11" s="20" t="inlineStr">
        <is>
          <t>Other</t>
        </is>
      </c>
    </row>
    <row r="12">
      <c r="B12" s="31" t="inlineStr">
        <is>
          <t>Default commission %</t>
        </is>
      </c>
      <c r="C12" s="37" t="n">
        <v>0.25</v>
      </c>
      <c r="E12" s="20" t="inlineStr">
        <is>
          <t>jug</t>
        </is>
      </c>
    </row>
    <row r="13">
      <c r="B13" s="31" t="inlineStr">
        <is>
          <t>Currency</t>
        </is>
      </c>
      <c r="C13" s="58" t="inlineStr">
        <is>
          <t>USD ($)</t>
        </is>
      </c>
      <c r="E13" s="20" t="inlineStr">
        <is>
          <t>bag</t>
        </is>
      </c>
    </row>
    <row r="14">
      <c r="E14" s="20" t="inlineStr">
        <is>
          <t>tray</t>
        </is>
      </c>
    </row>
  </sheetData>
  <mergeCells count="4">
    <mergeCell ref="A1:J1"/>
    <mergeCell ref="B5:C5"/>
    <mergeCell ref="E5:J5"/>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2026-07-22T13:48:55Z</dcterms:created>
  <dcterms:modified xsi:type="dcterms:W3CDTF">2026-07-22T13:48:55Z</dcterms:modified>
</cp:coreProperties>
</file>