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3.xml" ContentType="application/vnd.openxmlformats-officedocument.drawing+xml"/>
  <Override PartName="/xl/worksheets/sheet9.xml" ContentType="application/vnd.openxmlformats-officedocument.spreadsheetml.worksheet+xml"/>
  <Override PartName="/xl/drawings/drawing4.xml" ContentType="application/vnd.openxmlformats-officedocument.drawing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lcome" sheetId="1" state="visible" r:id="rId1"/>
    <sheet name="Dashboard" sheetId="2" state="visible" r:id="rId2"/>
    <sheet name="Orders" sheetId="3" state="visible" r:id="rId3"/>
    <sheet name="Product Calc" sheetId="4" state="visible" r:id="rId4"/>
    <sheet name="Fees" sheetId="5" state="visible" r:id="rId5"/>
    <sheet name="Ads" sheetId="6" state="visible" r:id="rId6"/>
    <sheet name="Expenses" sheetId="7" state="visible" r:id="rId7"/>
    <sheet name="Library" sheetId="8" state="visible" r:id="rId8"/>
    <sheet name="Monthly" sheetId="9" state="visible" r:id="rId9"/>
    <sheet name="Insights" sheetId="10" state="visible" r:id="rId10"/>
    <sheet name="Goals" sheetId="11" state="visible" r:id="rId11"/>
    <sheet name="Cash Flow" sheetId="12" state="visible" r:id="rId12"/>
    <sheet name="Tax Prep" sheetId="13" state="visible" r:id="rId13"/>
    <sheet name="Strategy" sheetId="14" state="visible" r:id="rId14"/>
    <sheet name="Settings" sheetId="15" state="visible" r:id="rId15"/>
  </sheets>
  <definedNames>
    <definedName name="ShopName">Settings!$C$6</definedName>
    <definedName name="FeeListing">Settings!$C$7</definedName>
    <definedName name="FeeTxn">Settings!$C$8</definedName>
    <definedName name="FeeProc">Settings!$C$9</definedName>
    <definedName name="FeeProcFixed">Settings!$C$10</definedName>
    <definedName name="FeeOffsite">Settings!$C$11</definedName>
    <definedName name="FeeSubscription">Settings!$C$12</definedName>
    <definedName name="TaxRate">Settings!$C$13</definedName>
    <definedName name="RevGoal">Settings!$C$14</definedName>
    <definedName name="ProfitGoal">Settings!$C$15</definedName>
    <definedName name="CategoryList">Settings!$E$7:$E$12</definedName>
    <definedName name="ExpenseTypeList">Settings!$F$7:$F$13</definedName>
    <definedName name="FeeTypeList">Settings!$G$7:$G$12</definedName>
    <definedName name="AdTypeList">Settings!$H$7:$H$10</definedName>
    <definedName name="GoalTypeList">Settings!$I$7:$I$12</definedName>
    <definedName name="StatusList">Settings!$J$7:$J$13</definedName>
    <definedName name="YesNoList">Settings!$J$11:$J$12</definedName>
    <definedName name="AdProduct">'Ads'!$B$5:$B$29</definedName>
    <definedName name="AdSpend">'Ads'!$C$5:$C$29</definedName>
    <definedName name="AdOrders">'Ads'!$F$5:$F$29</definedName>
    <definedName name="AdRevenue">'Ads'!$G$5:$G$29</definedName>
    <definedName name="CalcName">'Product Calc'!$A$5:$A$10</definedName>
    <definedName name="CalcCOGS">'Product Calc'!$C$5:$C$10</definedName>
    <definedName name="CalcNet">'Product Calc'!$I$5:$I$10</definedName>
    <definedName name="OrdID">'Orders'!$A$5:$A$47</definedName>
    <definedName name="OrdDate">'Orders'!$B$5:$B$47</definedName>
    <definedName name="OrdProduct">'Orders'!$C$5:$C$47</definedName>
    <definedName name="OrdQty">'Orders'!$D$5:$D$47</definedName>
    <definedName name="OrdSale">'Orders'!$F$5:$F$47</definedName>
    <definedName name="OrdShip">'Orders'!$G$5:$G$47</definedName>
    <definedName name="OrdOffsite">'Orders'!$H$5:$H$47</definedName>
    <definedName name="OrdFees">'Orders'!$I$5:$I$47</definedName>
    <definedName name="OrdRefunded">'Orders'!$K$5:$K$47</definedName>
    <definedName name="OrdProfit">'Orders'!$L$5:$L$47</definedName>
    <definedName name="FeeLabels">'Fees'!$A$6:$A$11</definedName>
    <definedName name="FeeVals">'Fees'!$B$6:$B$11</definedName>
    <definedName name="FeesTotal">Fees!$B$12</definedName>
    <definedName name="ExpAmount">'Expenses'!$D$5:$D$44</definedName>
    <definedName name="ExpensesTotal">Expenses!$I$5</definedName>
    <definedName name="LibName">'Library'!$A$5:$A$10</definedName>
    <definedName name="LibCat">'Library'!$B$5:$B$10</definedName>
    <definedName name="LibUnits">'Library'!$E$5:$E$10</definedName>
    <definedName name="LibRevenue">'Library'!$F$5:$F$10</definedName>
    <definedName name="LibProfit">'Library'!$G$5:$G$10</definedName>
    <definedName name="LibMargin">'Library'!$H$5:$H$10</definedName>
    <definedName name="MonLabel">'Monthly'!$A$5:$A$10</definedName>
    <definedName name="MonRevenue">'Monthly'!$B$5:$B$10</definedName>
    <definedName name="MonProfit">'Monthly'!$F$5:$F$10</definedName>
  </definedNames>
  <calcPr calcId="124519" fullCalcOnLoad="1"/>
</workbook>
</file>

<file path=xl/styles.xml><?xml version="1.0" encoding="utf-8"?>
<styleSheet xmlns="http://schemas.openxmlformats.org/spreadsheetml/2006/main">
  <numFmts count="8">
    <numFmt numFmtId="164" formatCode="&quot;$&quot;#,##0.00"/>
    <numFmt numFmtId="165" formatCode="0.0%"/>
    <numFmt numFmtId="166" formatCode="&quot;$&quot;#,##0"/>
    <numFmt numFmtId="167" formatCode="0.0&quot;x&quot;"/>
    <numFmt numFmtId="168" formatCode="yyyy-mm-dd"/>
    <numFmt numFmtId="169" formatCode="mm/dd/yyyy"/>
    <numFmt numFmtId="170" formatCode="0.0"/>
    <numFmt numFmtId="171" formatCode="&quot;$&quot;#,##0.00;[Red]-&quot;$&quot;#,##0.00"/>
  </numFmts>
  <fonts count="16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i val="1"/>
      <color rgb="00E5D3BA"/>
      <sz val="11"/>
    </font>
    <font>
      <name val="Calibri"/>
      <b val="1"/>
      <color rgb="001B4F48"/>
      <sz val="12"/>
    </font>
    <font>
      <name val="Calibri"/>
      <b val="1"/>
      <color rgb="00937356"/>
      <sz val="12"/>
    </font>
    <font>
      <name val="Calibri"/>
      <b val="1"/>
      <color rgb="00FFFFFF"/>
      <sz val="11"/>
    </font>
    <font>
      <name val="Calibri"/>
      <color rgb="00333333"/>
      <sz val="11"/>
    </font>
    <font>
      <name val="Calibri"/>
      <b val="1"/>
      <color rgb="001B4F48"/>
      <sz val="11"/>
    </font>
    <font>
      <name val="Calibri"/>
      <b val="1"/>
      <color rgb="00937356"/>
      <sz val="10"/>
    </font>
    <font>
      <name val="Calibri"/>
      <i val="1"/>
      <color rgb="00333333"/>
      <sz val="11"/>
    </font>
    <font>
      <color rgb="00333333"/>
      <sz val="11"/>
    </font>
    <font>
      <b val="1"/>
      <color rgb="001B4F48"/>
    </font>
    <font>
      <b val="1"/>
      <color rgb="001B4F48"/>
      <sz val="12"/>
    </font>
    <font>
      <b val="1"/>
      <color rgb="00937356"/>
      <sz val="9"/>
    </font>
    <font>
      <b val="1"/>
      <color rgb="001B4F48"/>
      <sz val="19"/>
    </font>
    <font>
      <b val="1"/>
      <color rgb="001B4F48"/>
      <sz val="13"/>
    </font>
  </fonts>
  <fills count="11">
    <fill>
      <patternFill/>
    </fill>
    <fill>
      <patternFill patternType="gray125"/>
    </fill>
    <fill>
      <patternFill patternType="solid">
        <fgColor rgb="001B4F48"/>
      </patternFill>
    </fill>
    <fill>
      <patternFill patternType="solid">
        <fgColor rgb="00E5D3BA"/>
      </patternFill>
    </fill>
    <fill>
      <patternFill patternType="solid">
        <fgColor rgb="00FAF7F1"/>
      </patternFill>
    </fill>
    <fill>
      <patternFill patternType="solid">
        <fgColor rgb="00FBF8F2"/>
      </patternFill>
    </fill>
    <fill>
      <patternFill patternType="solid">
        <fgColor rgb="00C9A86A"/>
      </patternFill>
    </fill>
    <fill>
      <patternFill patternType="solid">
        <fgColor rgb="00FBF0E2"/>
      </patternFill>
    </fill>
    <fill>
      <patternFill patternType="solid">
        <fgColor rgb="00FFFFFF"/>
      </patternFill>
    </fill>
    <fill>
      <patternFill patternType="solid">
        <fgColor rgb="00F4ECDE"/>
      </patternFill>
    </fill>
    <fill>
      <patternFill patternType="solid">
        <fgColor rgb="00E3F8EF"/>
      </patternFill>
    </fill>
  </fills>
  <borders count="4">
    <border>
      <left/>
      <right/>
      <top/>
      <bottom/>
      <diagonal/>
    </border>
    <border/>
    <border>
      <left style="thin">
        <color rgb="00D6D2C8"/>
      </left>
      <right style="thin">
        <color rgb="00D6D2C8"/>
      </right>
      <top style="thin">
        <color rgb="00D6D2C8"/>
      </top>
      <bottom style="thin">
        <color rgb="00D6D2C8"/>
      </bottom>
    </border>
    <border>
      <left style="thin">
        <color rgb="00D6D2C8"/>
      </left>
      <right style="thin">
        <color rgb="00D6D2C8"/>
      </right>
      <top style="medium">
        <color rgb="00C9A86A"/>
      </top>
      <bottom style="thin">
        <color rgb="00D6D2C8"/>
      </bottom>
    </border>
  </borders>
  <cellStyleXfs count="13">
    <xf numFmtId="0" fontId="0" fillId="0" borderId="0"/>
    <xf numFmtId="0" fontId="1" fillId="2" borderId="1" applyAlignment="1">
      <alignment horizontal="left" vertical="center" indent="2"/>
    </xf>
    <xf numFmtId="0" fontId="2" fillId="2" borderId="1" applyAlignment="1">
      <alignment horizontal="left" vertical="center" indent="2"/>
    </xf>
    <xf numFmtId="0" fontId="3" fillId="0" borderId="1" applyAlignment="1">
      <alignment horizontal="left" vertical="center"/>
    </xf>
    <xf numFmtId="0" fontId="4" fillId="0" borderId="1" applyAlignment="1">
      <alignment horizontal="left" vertical="center"/>
    </xf>
    <xf numFmtId="0" fontId="5" fillId="2" borderId="2" applyAlignment="1">
      <alignment horizontal="center" vertical="center" wrapText="1"/>
    </xf>
    <xf numFmtId="0" fontId="6" fillId="0" borderId="2" applyAlignment="1">
      <alignment horizontal="center" vertical="center" wrapText="1"/>
    </xf>
    <xf numFmtId="0" fontId="6" fillId="0" borderId="2" applyAlignment="1">
      <alignment horizontal="left" vertical="center" wrapText="1" indent="1"/>
    </xf>
    <xf numFmtId="0" fontId="7" fillId="3" borderId="2" applyAlignment="1">
      <alignment horizontal="center" vertical="center"/>
    </xf>
    <xf numFmtId="0" fontId="8" fillId="4" borderId="2" applyAlignment="1">
      <alignment horizontal="left" vertical="center" indent="1"/>
    </xf>
    <xf numFmtId="0" fontId="7" fillId="0" borderId="2" applyAlignment="1">
      <alignment horizontal="left" vertical="center" indent="1"/>
    </xf>
    <xf numFmtId="0" fontId="9" fillId="5" borderId="2" applyAlignment="1">
      <alignment horizontal="left" vertical="top" wrapText="1" indent="1"/>
    </xf>
    <xf numFmtId="0" fontId="6" fillId="0" borderId="1" applyAlignment="1">
      <alignment horizontal="left" vertical="top" wrapText="1" indent="1"/>
    </xf>
  </cellStyleXfs>
  <cellXfs count="70">
    <xf numFmtId="0" fontId="0" fillId="0" borderId="0" pivotButton="0" quotePrefix="0" xfId="0"/>
    <xf numFmtId="0" fontId="1" fillId="2" borderId="1" applyAlignment="1" pivotButton="0" quotePrefix="0" xfId="1">
      <alignment horizontal="left" vertical="center" indent="2"/>
    </xf>
    <xf numFmtId="0" fontId="2" fillId="2" borderId="1" applyAlignment="1" pivotButton="0" quotePrefix="0" xfId="2">
      <alignment horizontal="left" vertical="center" indent="2"/>
    </xf>
    <xf numFmtId="0" fontId="0" fillId="6" borderId="0" pivotButton="0" quotePrefix="0" xfId="0"/>
    <xf numFmtId="0" fontId="4" fillId="0" borderId="1" applyAlignment="1" pivotButton="0" quotePrefix="0" xfId="4">
      <alignment horizontal="left" vertical="center"/>
    </xf>
    <xf numFmtId="0" fontId="6" fillId="0" borderId="1" applyAlignment="1" pivotButton="0" quotePrefix="0" xfId="12">
      <alignment horizontal="left" vertical="top" wrapText="1" indent="1"/>
    </xf>
    <xf numFmtId="0" fontId="3" fillId="0" borderId="1" applyAlignment="1" pivotButton="0" quotePrefix="0" xfId="3">
      <alignment horizontal="left" vertical="center"/>
    </xf>
    <xf numFmtId="0" fontId="5" fillId="2" borderId="2" applyAlignment="1" pivotButton="0" quotePrefix="0" xfId="5">
      <alignment horizontal="center" vertical="center" wrapText="1"/>
    </xf>
    <xf numFmtId="0" fontId="10" fillId="7" borderId="2" applyAlignment="1" pivotButton="0" quotePrefix="0" xfId="0">
      <alignment horizontal="left" vertical="top" wrapText="1" indent="1"/>
    </xf>
    <xf numFmtId="0" fontId="0" fillId="7" borderId="0" pivotButton="0" quotePrefix="0" xfId="0"/>
    <xf numFmtId="0" fontId="13" fillId="8" borderId="3" applyAlignment="1" pivotButton="0" quotePrefix="0" xfId="0">
      <alignment horizontal="center" vertical="center"/>
    </xf>
    <xf numFmtId="0" fontId="0" fillId="8" borderId="3" pivotButton="0" quotePrefix="0" xfId="0"/>
    <xf numFmtId="166" fontId="14" fillId="8" borderId="2" applyAlignment="1" pivotButton="0" quotePrefix="0" xfId="0">
      <alignment horizontal="center" vertical="center"/>
    </xf>
    <xf numFmtId="0" fontId="0" fillId="8" borderId="2" pivotButton="0" quotePrefix="0" xfId="0"/>
    <xf numFmtId="9" fontId="14" fillId="8" borderId="2" applyAlignment="1" pivotButton="0" quotePrefix="0" xfId="0">
      <alignment horizontal="center" vertical="center"/>
    </xf>
    <xf numFmtId="164" fontId="14" fillId="8" borderId="2" applyAlignment="1" pivotButton="0" quotePrefix="0" xfId="0">
      <alignment horizontal="center" vertical="center"/>
    </xf>
    <xf numFmtId="0" fontId="14" fillId="8" borderId="2" applyAlignment="1" pivotButton="0" quotePrefix="0" xfId="0">
      <alignment horizontal="center" vertical="center"/>
    </xf>
    <xf numFmtId="0" fontId="15" fillId="8" borderId="2" applyAlignment="1" pivotButton="0" quotePrefix="0" xfId="0">
      <alignment horizontal="center" vertical="center"/>
    </xf>
    <xf numFmtId="0" fontId="6" fillId="8" borderId="2" applyAlignment="1" pivotButton="0" quotePrefix="0" xfId="7">
      <alignment horizontal="left" vertical="center" wrapText="1" indent="1"/>
    </xf>
    <xf numFmtId="169" fontId="6" fillId="8" borderId="2" applyAlignment="1" pivotButton="0" quotePrefix="0" xfId="6">
      <alignment horizontal="center" vertical="center" wrapText="1"/>
    </xf>
    <xf numFmtId="1" fontId="6" fillId="8" borderId="2" applyAlignment="1" pivotButton="0" quotePrefix="0" xfId="6">
      <alignment horizontal="center" vertical="center" wrapText="1"/>
    </xf>
    <xf numFmtId="164" fontId="6" fillId="8" borderId="2" applyAlignment="1" pivotButton="0" quotePrefix="0" xfId="6">
      <alignment horizontal="center" vertical="center" wrapText="1"/>
    </xf>
    <xf numFmtId="0" fontId="6" fillId="8" borderId="2" applyAlignment="1" pivotButton="0" quotePrefix="0" xfId="6">
      <alignment horizontal="center" vertical="center" wrapText="1"/>
    </xf>
    <xf numFmtId="0" fontId="6" fillId="9" borderId="2" applyAlignment="1" pivotButton="0" quotePrefix="0" xfId="7">
      <alignment horizontal="left" vertical="center" wrapText="1" indent="1"/>
    </xf>
    <xf numFmtId="169" fontId="6" fillId="9" borderId="2" applyAlignment="1" pivotButton="0" quotePrefix="0" xfId="6">
      <alignment horizontal="center" vertical="center" wrapText="1"/>
    </xf>
    <xf numFmtId="1" fontId="6" fillId="9" borderId="2" applyAlignment="1" pivotButton="0" quotePrefix="0" xfId="6">
      <alignment horizontal="center" vertical="center" wrapText="1"/>
    </xf>
    <xf numFmtId="164" fontId="6" fillId="9" borderId="2" applyAlignment="1" pivotButton="0" quotePrefix="0" xfId="6">
      <alignment horizontal="center" vertical="center" wrapText="1"/>
    </xf>
    <xf numFmtId="0" fontId="6" fillId="9" borderId="2" applyAlignment="1" pivotButton="0" quotePrefix="0" xfId="6">
      <alignment horizontal="center" vertical="center" wrapText="1"/>
    </xf>
    <xf numFmtId="164" fontId="6" fillId="3" borderId="2" applyAlignment="1" pivotButton="0" quotePrefix="0" xfId="6">
      <alignment horizontal="center" vertical="center" wrapText="1"/>
    </xf>
    <xf numFmtId="0" fontId="6" fillId="3" borderId="2" applyAlignment="1" pivotButton="0" quotePrefix="0" xfId="6">
      <alignment horizontal="center" vertical="center" wrapText="1"/>
    </xf>
    <xf numFmtId="0" fontId="6" fillId="0" borderId="2" applyAlignment="1" pivotButton="0" quotePrefix="0" xfId="7">
      <alignment horizontal="left" vertical="center" wrapText="1" indent="1"/>
    </xf>
    <xf numFmtId="164" fontId="6" fillId="0" borderId="2" applyAlignment="1" pivotButton="0" quotePrefix="0" xfId="6">
      <alignment horizontal="center" vertical="center" wrapText="1"/>
    </xf>
    <xf numFmtId="165" fontId="6" fillId="0" borderId="2" applyAlignment="1" pivotButton="0" quotePrefix="0" xfId="6">
      <alignment horizontal="center" vertical="center" wrapText="1"/>
    </xf>
    <xf numFmtId="165" fontId="6" fillId="9" borderId="2" applyAlignment="1" pivotButton="0" quotePrefix="0" xfId="6">
      <alignment horizontal="center" vertical="center" wrapText="1"/>
    </xf>
    <xf numFmtId="164" fontId="11" fillId="3" borderId="2" applyAlignment="1" pivotButton="0" quotePrefix="0" xfId="6">
      <alignment horizontal="center" vertical="center" wrapText="1"/>
    </xf>
    <xf numFmtId="165" fontId="11" fillId="3" borderId="2" applyAlignment="1" pivotButton="0" quotePrefix="0" xfId="6">
      <alignment horizontal="center" vertical="center" wrapText="1"/>
    </xf>
    <xf numFmtId="166" fontId="6" fillId="8" borderId="2" applyAlignment="1" pivotButton="0" quotePrefix="0" xfId="6">
      <alignment horizontal="center" vertical="center" wrapText="1"/>
    </xf>
    <xf numFmtId="165" fontId="6" fillId="8" borderId="2" applyAlignment="1" pivotButton="0" quotePrefix="0" xfId="6">
      <alignment horizontal="center" vertical="center" wrapText="1"/>
    </xf>
    <xf numFmtId="167" fontId="6" fillId="8" borderId="2" applyAlignment="1" pivotButton="0" quotePrefix="0" xfId="6">
      <alignment horizontal="center" vertical="center" wrapText="1"/>
    </xf>
    <xf numFmtId="0" fontId="8" fillId="4" borderId="2" applyAlignment="1" pivotButton="0" quotePrefix="0" xfId="9">
      <alignment horizontal="left" vertical="center" indent="1"/>
    </xf>
    <xf numFmtId="166" fontId="7" fillId="0" borderId="2" applyAlignment="1" pivotButton="0" quotePrefix="0" xfId="10">
      <alignment horizontal="left" vertical="center" indent="1"/>
    </xf>
    <xf numFmtId="166" fontId="6" fillId="9" borderId="2" applyAlignment="1" pivotButton="0" quotePrefix="0" xfId="6">
      <alignment horizontal="center" vertical="center" wrapText="1"/>
    </xf>
    <xf numFmtId="167" fontId="6" fillId="9" borderId="2" applyAlignment="1" pivotButton="0" quotePrefix="0" xfId="6">
      <alignment horizontal="center" vertical="center" wrapText="1"/>
    </xf>
    <xf numFmtId="167" fontId="7" fillId="0" borderId="2" applyAlignment="1" pivotButton="0" quotePrefix="0" xfId="10">
      <alignment horizontal="left" vertical="center" indent="1"/>
    </xf>
    <xf numFmtId="1" fontId="7" fillId="0" borderId="2" applyAlignment="1" pivotButton="0" quotePrefix="0" xfId="10">
      <alignment horizontal="left" vertical="center" indent="1"/>
    </xf>
    <xf numFmtId="164" fontId="7" fillId="0" borderId="2" applyAlignment="1" pivotButton="0" quotePrefix="0" xfId="10">
      <alignment horizontal="left" vertical="center" indent="1"/>
    </xf>
    <xf numFmtId="164" fontId="7" fillId="3" borderId="2" applyAlignment="1" pivotButton="0" quotePrefix="0" xfId="8">
      <alignment horizontal="center" vertical="center"/>
    </xf>
    <xf numFmtId="0" fontId="6" fillId="0" borderId="2" applyAlignment="1" pivotButton="0" quotePrefix="0" xfId="6">
      <alignment horizontal="center" vertical="center" wrapText="1"/>
    </xf>
    <xf numFmtId="9" fontId="6" fillId="0" borderId="2" applyAlignment="1" pivotButton="0" quotePrefix="0" xfId="6">
      <alignment horizontal="center" vertical="center" wrapText="1"/>
    </xf>
    <xf numFmtId="164" fontId="7" fillId="9" borderId="2" applyAlignment="1" pivotButton="0" quotePrefix="0" xfId="8">
      <alignment horizontal="center" vertical="center"/>
    </xf>
    <xf numFmtId="9" fontId="6" fillId="9" borderId="2" applyAlignment="1" pivotButton="0" quotePrefix="0" xfId="6">
      <alignment horizontal="center" vertical="center" wrapText="1"/>
    </xf>
    <xf numFmtId="166" fontId="7" fillId="3" borderId="2" applyAlignment="1" pivotButton="0" quotePrefix="0" xfId="8">
      <alignment horizontal="center" vertical="center"/>
    </xf>
    <xf numFmtId="166" fontId="6" fillId="0" borderId="2" applyAlignment="1" pivotButton="0" quotePrefix="0" xfId="6">
      <alignment horizontal="center" vertical="center" wrapText="1"/>
    </xf>
    <xf numFmtId="166" fontId="7" fillId="9" borderId="2" applyAlignment="1" pivotButton="0" quotePrefix="0" xfId="8">
      <alignment horizontal="center" vertical="center"/>
    </xf>
    <xf numFmtId="165" fontId="7" fillId="0" borderId="2" applyAlignment="1" pivotButton="0" quotePrefix="0" xfId="10">
      <alignment horizontal="left" vertical="center" indent="1"/>
    </xf>
    <xf numFmtId="170" fontId="7" fillId="0" borderId="2" applyAlignment="1" pivotButton="0" quotePrefix="0" xfId="10">
      <alignment horizontal="left" vertical="center" indent="1"/>
    </xf>
    <xf numFmtId="0" fontId="6" fillId="5" borderId="1" applyAlignment="1" pivotButton="0" quotePrefix="0" xfId="12">
      <alignment horizontal="left" vertical="top" wrapText="1" indent="1"/>
    </xf>
    <xf numFmtId="1" fontId="7" fillId="3" borderId="2" applyAlignment="1" pivotButton="0" quotePrefix="0" xfId="8">
      <alignment horizontal="center" vertical="center"/>
    </xf>
    <xf numFmtId="1" fontId="6" fillId="0" borderId="2" applyAlignment="1" pivotButton="0" quotePrefix="0" xfId="6">
      <alignment horizontal="center" vertical="center" wrapText="1"/>
    </xf>
    <xf numFmtId="167" fontId="7" fillId="9" borderId="2" applyAlignment="1" pivotButton="0" quotePrefix="0" xfId="8">
      <alignment horizontal="center" vertical="center"/>
    </xf>
    <xf numFmtId="9" fontId="7" fillId="3" borderId="2" applyAlignment="1" pivotButton="0" quotePrefix="0" xfId="8">
      <alignment horizontal="center" vertical="center"/>
    </xf>
    <xf numFmtId="171" fontId="7" fillId="0" borderId="2" applyAlignment="1" pivotButton="0" quotePrefix="0" xfId="10">
      <alignment horizontal="left" vertical="center" indent="1"/>
    </xf>
    <xf numFmtId="9" fontId="7" fillId="0" borderId="2" applyAlignment="1" pivotButton="0" quotePrefix="0" xfId="10">
      <alignment horizontal="left" vertical="center" indent="1"/>
    </xf>
    <xf numFmtId="0" fontId="12" fillId="4" borderId="2" applyAlignment="1" pivotButton="0" quotePrefix="0" xfId="9">
      <alignment horizontal="left" vertical="center" indent="1"/>
    </xf>
    <xf numFmtId="164" fontId="7" fillId="10" borderId="2" applyAlignment="1" pivotButton="0" quotePrefix="0" xfId="10">
      <alignment horizontal="left" vertical="center" indent="1"/>
    </xf>
    <xf numFmtId="0" fontId="2" fillId="5" borderId="1" applyAlignment="1" pivotButton="0" quotePrefix="0" xfId="2">
      <alignment horizontal="left" vertical="center" wrapText="1" indent="1"/>
    </xf>
    <xf numFmtId="0" fontId="0" fillId="0" borderId="0" applyAlignment="1" pivotButton="0" quotePrefix="0" xfId="0">
      <alignment horizontal="left" vertical="center" wrapText="1" indent="1"/>
    </xf>
    <xf numFmtId="0" fontId="7" fillId="0" borderId="2" applyAlignment="1" pivotButton="0" quotePrefix="0" xfId="10">
      <alignment horizontal="left" vertical="center" indent="1"/>
    </xf>
    <xf numFmtId="0" fontId="7" fillId="3" borderId="2" applyAlignment="1" pivotButton="0" quotePrefix="0" xfId="8">
      <alignment horizontal="center" vertical="center"/>
    </xf>
    <xf numFmtId="165" fontId="7" fillId="3" borderId="2" applyAlignment="1" pivotButton="0" quotePrefix="0" xfId="8">
      <alignment horizontal="center" vertical="center"/>
    </xf>
  </cellXfs>
  <cellStyles count="13">
    <cellStyle name="Normal" xfId="0" builtinId="0" hidden="0"/>
    <cellStyle name="title" xfId="1" hidden="0"/>
    <cellStyle name="subtitle" xfId="2" hidden="0"/>
    <cellStyle name="section" xfId="3" hidden="0"/>
    <cellStyle name="section_gold" xfId="4" hidden="0"/>
    <cellStyle name="th" xfId="5" hidden="0"/>
    <cellStyle name="td" xfId="6" hidden="0"/>
    <cellStyle name="td_left" xfId="7" hidden="0"/>
    <cellStyle name="input" xfId="8" hidden="0"/>
    <cellStyle name="field_label" xfId="9" hidden="0"/>
    <cellStyle name="field_value" xfId="10" hidden="0"/>
    <cellStyle name="prompt" xfId="11" hidden="0"/>
    <cellStyle name="body" xfId="12" hidden="0"/>
  </cellStyles>
  <dxfs count="2">
    <dxf>
      <fill>
        <patternFill patternType="solid">
          <fgColor rgb="00FBE6E6"/>
        </patternFill>
      </fill>
    </dxf>
    <dxf>
      <fill>
        <patternFill patternType="solid">
          <fgColor rgb="00E3F8E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Revenue vs Profit Trend</a:t>
            </a:r>
          </a:p>
        </rich>
      </tx>
    </title>
    <plotArea>
      <lineChart>
        <grouping val="standard"/>
        <ser>
          <idx val="0"/>
          <order val="0"/>
          <tx>
            <strRef>
              <f>'Monthly'!B4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'Monthly'!$A$5:$A$10</f>
            </numRef>
          </cat>
          <val>
            <numRef>
              <f>'Monthly'!$B$5:$B$10</f>
            </numRef>
          </val>
        </ser>
        <ser>
          <idx val="1"/>
          <order val="1"/>
          <tx>
            <strRef>
              <f>'Monthly'!F4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'Monthly'!$A$5:$A$10</f>
            </numRef>
          </cat>
          <val>
            <numRef>
              <f>'Monthly'!$F$5:$F$10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Etsy Fees Breakdown</a:t>
            </a:r>
          </a:p>
        </rich>
      </tx>
    </title>
    <plotArea>
      <doughnutChart>
        <varyColors val="1"/>
        <ser>
          <idx val="0"/>
          <order val="0"/>
          <spPr>
            <a:ln>
              <a:prstDash val="solid"/>
            </a:ln>
          </spPr>
          <cat>
            <numRef>
              <f>'Fees'!$A$6:$A$11</f>
            </numRef>
          </cat>
          <val>
            <numRef>
              <f>'Fees'!$B$6:$B$11</f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firstSliceAng val="0"/>
        <holeSize val="10"/>
      </doughnut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Profit by Product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'Library'!G4</f>
            </strRef>
          </tx>
          <spPr>
            <a:ln>
              <a:prstDash val="solid"/>
            </a:ln>
          </spPr>
          <cat>
            <numRef>
              <f>'Library'!$A$5:$A$9</f>
            </numRef>
          </cat>
          <val>
            <numRef>
              <f>'Library'!$G$5:$G$9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Ad Revenue vs Spend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'Ads'!C4</f>
            </strRef>
          </tx>
          <spPr>
            <a:ln>
              <a:prstDash val="solid"/>
            </a:ln>
          </spPr>
          <cat>
            <numRef>
              <f>'Ads'!$B$5:$B$9</f>
            </numRef>
          </cat>
          <val>
            <numRef>
              <f>'Ads'!$C$5:$C$9</f>
            </numRef>
          </val>
        </ser>
        <ser>
          <idx val="1"/>
          <order val="1"/>
          <tx>
            <strRef>
              <f>'Ads'!G4</f>
            </strRef>
          </tx>
          <spPr>
            <a:ln>
              <a:prstDash val="solid"/>
            </a:ln>
          </spPr>
          <cat>
            <numRef>
              <f>'Ads'!$B$5:$B$9</f>
            </numRef>
          </cat>
          <val>
            <numRef>
              <f>'Ads'!$G$5:$G$9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Fee Breakdown by Type</a:t>
            </a:r>
          </a:p>
        </rich>
      </tx>
    </title>
    <plotArea>
      <doughnutChart>
        <varyColors val="1"/>
        <ser>
          <idx val="0"/>
          <order val="0"/>
          <spPr>
            <a:ln>
              <a:prstDash val="solid"/>
            </a:ln>
          </spPr>
          <cat>
            <numRef>
              <f>'Fees'!$A$6:$A$11</f>
            </numRef>
          </cat>
          <val>
            <numRef>
              <f>'Fees'!$B$6:$B$11</f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firstSliceAng val="0"/>
        <holeSize val="10"/>
      </doughnutChart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Profit by Product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'Library'!G4</f>
            </strRef>
          </tx>
          <spPr>
            <a:ln>
              <a:prstDash val="solid"/>
            </a:ln>
          </spPr>
          <cat>
            <numRef>
              <f>'Library'!$A$5:$A$10</f>
            </numRef>
          </cat>
          <val>
            <numRef>
              <f>'Library'!$G$5:$G$10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Revenue vs Profit</a:t>
            </a:r>
          </a:p>
        </rich>
      </tx>
    </title>
    <plotArea>
      <lineChart>
        <grouping val="standard"/>
        <ser>
          <idx val="0"/>
          <order val="0"/>
          <tx>
            <strRef>
              <f>'Monthly'!B4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'Monthly'!$A$5:$A$10</f>
            </numRef>
          </cat>
          <val>
            <numRef>
              <f>'Monthly'!$B$5:$B$10</f>
            </numRef>
          </val>
        </ser>
        <ser>
          <idx val="1"/>
          <order val="1"/>
          <tx>
            <strRef>
              <f>'Monthly'!F4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'Monthly'!$A$5:$A$10</f>
            </numRef>
          </cat>
          <val>
            <numRef>
              <f>'Monthly'!$F$5:$F$10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7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11</row>
      <rowOff>0</rowOff>
    </from>
    <ext cx="4140000" cy="2951999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11</row>
      <rowOff>0</rowOff>
    </from>
    <ext cx="4140000" cy="2951999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</col>
      <colOff>0</colOff>
      <row>29</row>
      <rowOff>0</rowOff>
    </from>
    <ext cx="4140000" cy="2951999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7</col>
      <colOff>0</colOff>
      <row>29</row>
      <rowOff>0</rowOff>
    </from>
    <ext cx="4140000" cy="2951999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4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12</row>
      <rowOff>0</rowOff>
    </from>
    <ext cx="468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12</row>
      <rowOff>0</rowOff>
    </from>
    <ext cx="5040000" cy="30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tabColor rgb="001B4F48"/>
    <outlinePr summaryBelow="1" summaryRight="1"/>
    <pageSetUpPr/>
  </sheetPr>
  <dimension ref="A1:C2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74" customWidth="1" min="2" max="2"/>
    <col width="3" customWidth="1" min="3" max="3"/>
  </cols>
  <sheetData>
    <row r="1" ht="58" customHeight="1">
      <c r="A1" s="1" t="inlineStr">
        <is>
          <t xml:space="preserve">  🧾  ETSY SELLER PROFIT DASHBOARD™</t>
        </is>
      </c>
    </row>
    <row r="2" ht="24" customHeight="1">
      <c r="A2" s="2" t="inlineStr">
        <is>
          <t xml:space="preserve">  The ultimate Etsy finance &amp; profit tracking system — 2026 edition.</t>
        </is>
      </c>
    </row>
    <row r="3" ht="6" customHeight="1">
      <c r="A3" s="3" t="n"/>
      <c r="B3" s="3" t="n"/>
      <c r="C3" s="3" t="n"/>
    </row>
    <row r="5">
      <c r="B5" s="4" t="inlineStr">
        <is>
          <t>STOP GUESSING — SEE REAL PROFIT</t>
        </is>
      </c>
    </row>
    <row r="6" ht="22" customHeight="1">
      <c r="B6" s="5" t="inlineStr">
        <is>
          <t>Every Etsy seller eventually asks the same question: “How much am I ACTUALLY making after fees?” Etsy fees, transaction fees, ads, refunds and taxes make that almost impossible to see. This dashboard is your mini Etsy CFO — enter your orders and it shows exactly what you make per product, per order, and per month. Real profit, not just revenue.</t>
        </is>
      </c>
    </row>
    <row r="7" ht="22" customHeight="1"/>
    <row r="8" ht="22" customHeight="1"/>
    <row r="10">
      <c r="B10" s="6" t="inlineStr">
        <is>
          <t>HOW TO USE IT</t>
        </is>
      </c>
    </row>
    <row r="11" ht="22" customHeight="1">
      <c r="B11" s="5" t="inlineStr">
        <is>
          <t>1.  Open Settings — the 2026 Etsy fee rates are pre-filled (edit if yours differ).</t>
        </is>
      </c>
    </row>
    <row r="12" ht="22" customHeight="1">
      <c r="B12" s="5" t="inlineStr">
        <is>
          <t>2.  Add your products in the Product Profit Calculator &amp; Product Library.</t>
        </is>
      </c>
    </row>
    <row r="13" ht="22" customHeight="1">
      <c r="B13" s="5" t="inlineStr">
        <is>
          <t>3.  Log sales in the Order Tracker — fees &amp; profit calculate automatically.</t>
        </is>
      </c>
    </row>
    <row r="14" ht="22" customHeight="1">
      <c r="B14" s="5" t="inlineStr">
        <is>
          <t>4.  Track Etsy Ads and business Expenses on their tabs.</t>
        </is>
      </c>
    </row>
    <row r="15" ht="22" customHeight="1">
      <c r="B15" s="5" t="inlineStr">
        <is>
          <t>5.  Watch the Seller Dashboard reveal your true profit, margin &amp; best sellers.</t>
        </is>
      </c>
    </row>
    <row r="18" ht="26" customHeight="1">
      <c r="B18" s="7" t="inlineStr">
        <is>
          <t xml:space="preserve">  GOOD TO KNOW</t>
        </is>
      </c>
    </row>
    <row r="19" ht="22" customHeight="1">
      <c r="B19" s="8" t="inlineStr">
        <is>
          <t>Sample data is included so you can see how everything connects — just type over it with your own numbers. Fee rates are estimates; confirm your exact rates in your Etsy Payment account. This tool is for tracking only and is not tax or accounting advice.</t>
        </is>
      </c>
    </row>
    <row r="20" ht="22" customHeight="1">
      <c r="B20" s="9" t="n"/>
    </row>
    <row r="21" ht="22" customHeight="1">
      <c r="B21" s="9" t="n"/>
    </row>
    <row r="23">
      <c r="B23" s="4" t="inlineStr">
        <is>
          <t>Know your numbers, scale what works — let's find your real profit.</t>
        </is>
      </c>
    </row>
  </sheetData>
  <mergeCells count="13">
    <mergeCell ref="B12"/>
    <mergeCell ref="B13"/>
    <mergeCell ref="A1:C1"/>
    <mergeCell ref="B18"/>
    <mergeCell ref="A2:C2"/>
    <mergeCell ref="B15"/>
    <mergeCell ref="B11"/>
    <mergeCell ref="B10"/>
    <mergeCell ref="B19:B21"/>
    <mergeCell ref="B5"/>
    <mergeCell ref="B14"/>
    <mergeCell ref="B6:B8"/>
    <mergeCell ref="B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B4F48"/>
    <outlinePr summaryBelow="1" summaryRight="1"/>
    <pageSetUpPr/>
  </sheetPr>
  <dimension ref="A1:N4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2" customWidth="1" min="14" max="14"/>
  </cols>
  <sheetData>
    <row r="1" ht="56" customHeight="1">
      <c r="A1" s="1" t="inlineStr">
        <is>
          <t xml:space="preserve">  🧾  ETSY SELLER PROFIT DASHBOARD™</t>
        </is>
      </c>
    </row>
    <row r="2" ht="24" customHeight="1">
      <c r="A2" s="2" t="inlineStr">
        <is>
          <t xml:space="preserve">  Revenue is vanity. Profit is sanity. See exactly what you make after every Etsy fee, ad &amp; refund.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</row>
    <row r="5" ht="18" customHeight="1">
      <c r="B5" s="10" t="inlineStr">
        <is>
          <t>TOTAL REVENUE</t>
        </is>
      </c>
      <c r="C5" s="11" t="n"/>
      <c r="D5" s="10" t="inlineStr">
        <is>
          <t>NET PROFIT</t>
        </is>
      </c>
      <c r="E5" s="11" t="n"/>
      <c r="F5" s="10" t="inlineStr">
        <is>
          <t>ETSY FEES PAID</t>
        </is>
      </c>
      <c r="G5" s="11" t="n"/>
      <c r="H5" s="10" t="inlineStr">
        <is>
          <t>AD SPEND</t>
        </is>
      </c>
      <c r="I5" s="11" t="n"/>
      <c r="J5" s="10" t="inlineStr">
        <is>
          <t>REFUNDS</t>
        </is>
      </c>
      <c r="K5" s="11" t="n"/>
    </row>
    <row r="6" ht="44" customHeight="1">
      <c r="B6" s="12">
        <f>(SUM(OrdSale)+SUM(OrdShip))</f>
        <v/>
      </c>
      <c r="C6" s="13" t="n"/>
      <c r="D6" s="12">
        <f>(SUM(OrdProfit)-SUM(AdSpend)-ExpensesTotal)</f>
        <v/>
      </c>
      <c r="E6" s="13" t="n"/>
      <c r="F6" s="12">
        <f>FeesTotal</f>
        <v/>
      </c>
      <c r="G6" s="13" t="n"/>
      <c r="H6" s="12">
        <f>SUM(AdSpend)</f>
        <v/>
      </c>
      <c r="I6" s="13" t="n"/>
      <c r="J6" s="12">
        <f>SUMIFS(OrdSale,OrdRefunded,"Yes")</f>
        <v/>
      </c>
      <c r="K6" s="13" t="n"/>
    </row>
    <row r="8" ht="18" customHeight="1">
      <c r="B8" s="10" t="inlineStr">
        <is>
          <t>PROFIT MARGIN</t>
        </is>
      </c>
      <c r="C8" s="11" t="n"/>
      <c r="D8" s="10" t="inlineStr">
        <is>
          <t>AVG ORDER VALUE</t>
        </is>
      </c>
      <c r="E8" s="11" t="n"/>
      <c r="F8" s="10" t="inlineStr">
        <is>
          <t>ORDERS</t>
        </is>
      </c>
      <c r="G8" s="11" t="n"/>
      <c r="H8" s="10" t="inlineStr">
        <is>
          <t>BEST SELLER</t>
        </is>
      </c>
      <c r="I8" s="11" t="n"/>
      <c r="J8" s="10" t="inlineStr">
        <is>
          <t>NEEDS WORK</t>
        </is>
      </c>
      <c r="K8" s="11" t="n"/>
    </row>
    <row r="9" ht="44" customHeight="1">
      <c r="B9" s="14">
        <f>IFERROR((SUM(OrdProfit)-SUM(AdSpend)-ExpensesTotal)/(SUM(OrdSale)+SUM(OrdShip)),0)</f>
        <v/>
      </c>
      <c r="C9" s="13" t="n"/>
      <c r="D9" s="15">
        <f>IFERROR((SUM(OrdSale)+SUM(OrdShip))/COUNTA(OrdID),0)</f>
        <v/>
      </c>
      <c r="E9" s="13" t="n"/>
      <c r="F9" s="16">
        <f>COUNTA(OrdID)</f>
        <v/>
      </c>
      <c r="G9" s="13" t="n"/>
      <c r="H9" s="17">
        <f>INDEX(LibName,MATCH(MAX(LibRevenue),LibRevenue,0))</f>
        <v/>
      </c>
      <c r="I9" s="13" t="n"/>
      <c r="J9" s="17">
        <f>INDEX(LibName,MATCH(MIN(LibProfit),LibProfit,0))</f>
        <v/>
      </c>
      <c r="K9" s="13" t="n"/>
    </row>
    <row r="11" ht="26" customHeight="1">
      <c r="B11" s="4" t="inlineStr">
        <is>
          <t>PROFIT &amp; FEES</t>
        </is>
      </c>
    </row>
    <row r="29" ht="26" customHeight="1">
      <c r="B29" s="4" t="inlineStr">
        <is>
          <t>PRODUCTS &amp; ADS</t>
        </is>
      </c>
    </row>
    <row r="47" ht="26" customHeight="1">
      <c r="B47" s="2" t="inlineStr">
        <is>
          <t>Etsy Seller Profit Dashboard™ — your mini Etsy CFO. Enter orders; everything else is automatic.</t>
        </is>
      </c>
    </row>
  </sheetData>
  <mergeCells count="25">
    <mergeCell ref="B11:M11"/>
    <mergeCell ref="J5:K5"/>
    <mergeCell ref="F6:G6"/>
    <mergeCell ref="H9:I9"/>
    <mergeCell ref="B29:M29"/>
    <mergeCell ref="A1:N1"/>
    <mergeCell ref="J9:K9"/>
    <mergeCell ref="D6:E6"/>
    <mergeCell ref="H6:I6"/>
    <mergeCell ref="J6:K6"/>
    <mergeCell ref="F5:G5"/>
    <mergeCell ref="B8:C8"/>
    <mergeCell ref="F8:G8"/>
    <mergeCell ref="A2:N2"/>
    <mergeCell ref="B9:C9"/>
    <mergeCell ref="D9:E9"/>
    <mergeCell ref="F9:G9"/>
    <mergeCell ref="D8:E8"/>
    <mergeCell ref="B47:M47"/>
    <mergeCell ref="B6:C6"/>
    <mergeCell ref="B5:C5"/>
    <mergeCell ref="D5:E5"/>
    <mergeCell ref="H5:I5"/>
    <mergeCell ref="H8:I8"/>
    <mergeCell ref="J8:K8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75E6C1"/>
    <outlinePr summaryBelow="1" summaryRight="1"/>
    <pageSetUpPr/>
  </sheetPr>
  <dimension ref="A1:L4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8" customWidth="1" min="3" max="3"/>
    <col width="6" customWidth="1" min="4" max="4"/>
    <col width="11" customWidth="1" min="5" max="5"/>
    <col width="11" customWidth="1" min="6" max="6"/>
    <col width="11" customWidth="1" min="7" max="7"/>
    <col width="12" customWidth="1" min="8" max="8"/>
    <col width="12" customWidth="1" min="9" max="9"/>
    <col width="11" customWidth="1" min="10" max="10"/>
    <col width="12" customWidth="1" min="11" max="11"/>
    <col width="12" customWidth="1" min="12" max="12"/>
  </cols>
  <sheetData>
    <row r="1" ht="46" customHeight="1">
      <c r="A1" s="1" t="inlineStr">
        <is>
          <t xml:space="preserve">  🧾  ORDER TRACKER</t>
        </is>
      </c>
    </row>
    <row r="2" ht="22" customHeight="1">
      <c r="A2" s="2" t="inlineStr">
        <is>
          <t xml:space="preserve">  Log every sale — Etsy fees, net revenue &amp; final profit calculate automatically.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</row>
    <row r="4" ht="30" customHeight="1">
      <c r="A4" s="7" t="inlineStr">
        <is>
          <t>Order ID</t>
        </is>
      </c>
      <c r="B4" s="7" t="inlineStr">
        <is>
          <t>Date</t>
        </is>
      </c>
      <c r="C4" s="7" t="inlineStr">
        <is>
          <t>Product</t>
        </is>
      </c>
      <c r="D4" s="7" t="inlineStr">
        <is>
          <t>Qty</t>
        </is>
      </c>
      <c r="E4" s="7" t="inlineStr">
        <is>
          <t>Unit Price</t>
        </is>
      </c>
      <c r="F4" s="7" t="inlineStr">
        <is>
          <t>Sale Total</t>
        </is>
      </c>
      <c r="G4" s="7" t="inlineStr">
        <is>
          <t>Shipping</t>
        </is>
      </c>
      <c r="H4" s="7" t="inlineStr">
        <is>
          <t>Offsite Ad?</t>
        </is>
      </c>
      <c r="I4" s="7" t="inlineStr">
        <is>
          <t>Etsy Fees</t>
        </is>
      </c>
      <c r="J4" s="7" t="inlineStr">
        <is>
          <t>COGS</t>
        </is>
      </c>
      <c r="K4" s="7" t="inlineStr">
        <is>
          <t>Refunded?</t>
        </is>
      </c>
      <c r="L4" s="7" t="inlineStr">
        <is>
          <t>Net Profit</t>
        </is>
      </c>
    </row>
    <row r="5">
      <c r="A5" s="18" t="inlineStr">
        <is>
          <t>#2401</t>
        </is>
      </c>
      <c r="B5" s="19" t="n">
        <v>46176</v>
      </c>
      <c r="C5" s="18" t="inlineStr">
        <is>
          <t>Budget Planner</t>
        </is>
      </c>
      <c r="D5" s="20" t="n">
        <v>2</v>
      </c>
      <c r="E5" s="21" t="n">
        <v>12</v>
      </c>
      <c r="F5" s="21">
        <f>D5*E5</f>
        <v/>
      </c>
      <c r="G5" s="21" t="n">
        <v>0</v>
      </c>
      <c r="H5" s="22" t="inlineStr">
        <is>
          <t>Yes</t>
        </is>
      </c>
      <c r="I5" s="21">
        <f>IF(F5="","",FeeListing*D5+FeeTxn*(F5+G5)+(FeeProc*(F5+G5)+FeeProcFixed)+IF(H5="Yes",FeeOffsite*(F5+G5),0))</f>
        <v/>
      </c>
      <c r="J5" s="21">
        <f>IFERROR(SUMIF(CalcName,C5,CalcCOGS)*D5,0)</f>
        <v/>
      </c>
      <c r="K5" s="22" t="inlineStr">
        <is>
          <t>No</t>
        </is>
      </c>
      <c r="L5" s="21">
        <f>IF(F5="","",IF(K5="Yes",0,F5+G5-I5-J5))</f>
        <v/>
      </c>
    </row>
    <row r="6">
      <c r="A6" s="23" t="inlineStr">
        <is>
          <t>#2402</t>
        </is>
      </c>
      <c r="B6" s="24" t="n">
        <v>46176</v>
      </c>
      <c r="C6" s="23" t="inlineStr">
        <is>
          <t>Wedding Suite</t>
        </is>
      </c>
      <c r="D6" s="25" t="n">
        <v>1</v>
      </c>
      <c r="E6" s="26" t="n">
        <v>18</v>
      </c>
      <c r="F6" s="26">
        <f>D6*E6</f>
        <v/>
      </c>
      <c r="G6" s="26" t="n">
        <v>0</v>
      </c>
      <c r="H6" s="27" t="inlineStr">
        <is>
          <t>No</t>
        </is>
      </c>
      <c r="I6" s="26">
        <f>IF(F6="","",FeeListing*D6+FeeTxn*(F6+G6)+(FeeProc*(F6+G6)+FeeProcFixed)+IF(H6="Yes",FeeOffsite*(F6+G6),0))</f>
        <v/>
      </c>
      <c r="J6" s="26">
        <f>IFERROR(SUMIF(CalcName,C6,CalcCOGS)*D6,0)</f>
        <v/>
      </c>
      <c r="K6" s="27" t="inlineStr">
        <is>
          <t>No</t>
        </is>
      </c>
      <c r="L6" s="26">
        <f>IF(F6="","",IF(K6="Yes",0,F6+G6-I6-J6))</f>
        <v/>
      </c>
    </row>
    <row r="7">
      <c r="A7" s="18" t="inlineStr">
        <is>
          <t>#2403</t>
        </is>
      </c>
      <c r="B7" s="19" t="n">
        <v>46177</v>
      </c>
      <c r="C7" s="18" t="inlineStr">
        <is>
          <t>Resume Bundle</t>
        </is>
      </c>
      <c r="D7" s="20" t="n">
        <v>1</v>
      </c>
      <c r="E7" s="21" t="n">
        <v>14</v>
      </c>
      <c r="F7" s="21">
        <f>D7*E7</f>
        <v/>
      </c>
      <c r="G7" s="21" t="n">
        <v>0</v>
      </c>
      <c r="H7" s="22" t="inlineStr">
        <is>
          <t>No</t>
        </is>
      </c>
      <c r="I7" s="21">
        <f>IF(F7="","",FeeListing*D7+FeeTxn*(F7+G7)+(FeeProc*(F7+G7)+FeeProcFixed)+IF(H7="Yes",FeeOffsite*(F7+G7),0))</f>
        <v/>
      </c>
      <c r="J7" s="21">
        <f>IFERROR(SUMIF(CalcName,C7,CalcCOGS)*D7,0)</f>
        <v/>
      </c>
      <c r="K7" s="22" t="inlineStr">
        <is>
          <t>No</t>
        </is>
      </c>
      <c r="L7" s="21">
        <f>IF(F7="","",IF(K7="Yes",0,F7+G7-I7-J7))</f>
        <v/>
      </c>
    </row>
    <row r="8">
      <c r="A8" s="23" t="inlineStr">
        <is>
          <t>#2404</t>
        </is>
      </c>
      <c r="B8" s="24" t="n">
        <v>46177</v>
      </c>
      <c r="C8" s="23" t="inlineStr">
        <is>
          <t>IG Templates</t>
        </is>
      </c>
      <c r="D8" s="25" t="n">
        <v>1</v>
      </c>
      <c r="E8" s="26" t="n">
        <v>9</v>
      </c>
      <c r="F8" s="26">
        <f>D8*E8</f>
        <v/>
      </c>
      <c r="G8" s="26" t="n">
        <v>0</v>
      </c>
      <c r="H8" s="27" t="inlineStr">
        <is>
          <t>No</t>
        </is>
      </c>
      <c r="I8" s="26">
        <f>IF(F8="","",FeeListing*D8+FeeTxn*(F8+G8)+(FeeProc*(F8+G8)+FeeProcFixed)+IF(H8="Yes",FeeOffsite*(F8+G8),0))</f>
        <v/>
      </c>
      <c r="J8" s="26">
        <f>IFERROR(SUMIF(CalcName,C8,CalcCOGS)*D8,0)</f>
        <v/>
      </c>
      <c r="K8" s="27" t="inlineStr">
        <is>
          <t>No</t>
        </is>
      </c>
      <c r="L8" s="26">
        <f>IF(F8="","",IF(K8="Yes",0,F8+G8-I8-J8))</f>
        <v/>
      </c>
    </row>
    <row r="9">
      <c r="A9" s="18" t="inlineStr">
        <is>
          <t>#2405</t>
        </is>
      </c>
      <c r="B9" s="19" t="n">
        <v>46178</v>
      </c>
      <c r="C9" s="18" t="inlineStr">
        <is>
          <t>Mega Bundle</t>
        </is>
      </c>
      <c r="D9" s="20" t="n">
        <v>1</v>
      </c>
      <c r="E9" s="21" t="n">
        <v>29</v>
      </c>
      <c r="F9" s="21">
        <f>D9*E9</f>
        <v/>
      </c>
      <c r="G9" s="21" t="n">
        <v>0</v>
      </c>
      <c r="H9" s="22" t="inlineStr">
        <is>
          <t>Yes</t>
        </is>
      </c>
      <c r="I9" s="21">
        <f>IF(F9="","",FeeListing*D9+FeeTxn*(F9+G9)+(FeeProc*(F9+G9)+FeeProcFixed)+IF(H9="Yes",FeeOffsite*(F9+G9),0))</f>
        <v/>
      </c>
      <c r="J9" s="21">
        <f>IFERROR(SUMIF(CalcName,C9,CalcCOGS)*D9,0)</f>
        <v/>
      </c>
      <c r="K9" s="22" t="inlineStr">
        <is>
          <t>No</t>
        </is>
      </c>
      <c r="L9" s="21">
        <f>IF(F9="","",IF(K9="Yes",0,F9+G9-I9-J9))</f>
        <v/>
      </c>
    </row>
    <row r="10">
      <c r="A10" s="23" t="inlineStr">
        <is>
          <t>#2406</t>
        </is>
      </c>
      <c r="B10" s="24" t="n">
        <v>46179</v>
      </c>
      <c r="C10" s="23" t="inlineStr">
        <is>
          <t>Sticker Pack</t>
        </is>
      </c>
      <c r="D10" s="25" t="n">
        <v>1</v>
      </c>
      <c r="E10" s="26" t="n">
        <v>6</v>
      </c>
      <c r="F10" s="26">
        <f>D10*E10</f>
        <v/>
      </c>
      <c r="G10" s="26" t="n">
        <v>0</v>
      </c>
      <c r="H10" s="27" t="inlineStr">
        <is>
          <t>No</t>
        </is>
      </c>
      <c r="I10" s="26">
        <f>IF(F10="","",FeeListing*D10+FeeTxn*(F10+G10)+(FeeProc*(F10+G10)+FeeProcFixed)+IF(H10="Yes",FeeOffsite*(F10+G10),0))</f>
        <v/>
      </c>
      <c r="J10" s="26">
        <f>IFERROR(SUMIF(CalcName,C10,CalcCOGS)*D10,0)</f>
        <v/>
      </c>
      <c r="K10" s="27" t="inlineStr">
        <is>
          <t>Yes</t>
        </is>
      </c>
      <c r="L10" s="26">
        <f>IF(F10="","",IF(K10="Yes",0,F10+G10-I10-J10))</f>
        <v/>
      </c>
    </row>
    <row r="11">
      <c r="A11" s="18" t="inlineStr">
        <is>
          <t>#2407</t>
        </is>
      </c>
      <c r="B11" s="19" t="n">
        <v>46179</v>
      </c>
      <c r="C11" s="18" t="inlineStr">
        <is>
          <t>Budget Planner</t>
        </is>
      </c>
      <c r="D11" s="20" t="n">
        <v>1</v>
      </c>
      <c r="E11" s="21" t="n">
        <v>12</v>
      </c>
      <c r="F11" s="21">
        <f>D11*E11</f>
        <v/>
      </c>
      <c r="G11" s="21" t="n">
        <v>0</v>
      </c>
      <c r="H11" s="22" t="inlineStr">
        <is>
          <t>No</t>
        </is>
      </c>
      <c r="I11" s="21">
        <f>IF(F11="","",FeeListing*D11+FeeTxn*(F11+G11)+(FeeProc*(F11+G11)+FeeProcFixed)+IF(H11="Yes",FeeOffsite*(F11+G11),0))</f>
        <v/>
      </c>
      <c r="J11" s="21">
        <f>IFERROR(SUMIF(CalcName,C11,CalcCOGS)*D11,0)</f>
        <v/>
      </c>
      <c r="K11" s="22" t="inlineStr">
        <is>
          <t>No</t>
        </is>
      </c>
      <c r="L11" s="21">
        <f>IF(F11="","",IF(K11="Yes",0,F11+G11-I11-J11))</f>
        <v/>
      </c>
    </row>
    <row r="12">
      <c r="A12" s="23" t="inlineStr">
        <is>
          <t>#2408</t>
        </is>
      </c>
      <c r="B12" s="24" t="n">
        <v>46180</v>
      </c>
      <c r="C12" s="23" t="inlineStr">
        <is>
          <t>Wedding Suite</t>
        </is>
      </c>
      <c r="D12" s="25" t="n">
        <v>2</v>
      </c>
      <c r="E12" s="26" t="n">
        <v>18</v>
      </c>
      <c r="F12" s="26">
        <f>D12*E12</f>
        <v/>
      </c>
      <c r="G12" s="26" t="n">
        <v>0</v>
      </c>
      <c r="H12" s="27" t="inlineStr">
        <is>
          <t>No</t>
        </is>
      </c>
      <c r="I12" s="26">
        <f>IF(F12="","",FeeListing*D12+FeeTxn*(F12+G12)+(FeeProc*(F12+G12)+FeeProcFixed)+IF(H12="Yes",FeeOffsite*(F12+G12),0))</f>
        <v/>
      </c>
      <c r="J12" s="26">
        <f>IFERROR(SUMIF(CalcName,C12,CalcCOGS)*D12,0)</f>
        <v/>
      </c>
      <c r="K12" s="27" t="inlineStr">
        <is>
          <t>No</t>
        </is>
      </c>
      <c r="L12" s="26">
        <f>IF(F12="","",IF(K12="Yes",0,F12+G12-I12-J12))</f>
        <v/>
      </c>
    </row>
    <row r="13">
      <c r="A13" s="18" t="inlineStr">
        <is>
          <t>#2409</t>
        </is>
      </c>
      <c r="B13" s="19" t="n">
        <v>46181</v>
      </c>
      <c r="C13" s="18" t="inlineStr">
        <is>
          <t>Resume Bundle</t>
        </is>
      </c>
      <c r="D13" s="20" t="n">
        <v>1</v>
      </c>
      <c r="E13" s="21" t="n">
        <v>14</v>
      </c>
      <c r="F13" s="21">
        <f>D13*E13</f>
        <v/>
      </c>
      <c r="G13" s="21" t="n">
        <v>0</v>
      </c>
      <c r="H13" s="22" t="inlineStr">
        <is>
          <t>Yes</t>
        </is>
      </c>
      <c r="I13" s="21">
        <f>IF(F13="","",FeeListing*D13+FeeTxn*(F13+G13)+(FeeProc*(F13+G13)+FeeProcFixed)+IF(H13="Yes",FeeOffsite*(F13+G13),0))</f>
        <v/>
      </c>
      <c r="J13" s="21">
        <f>IFERROR(SUMIF(CalcName,C13,CalcCOGS)*D13,0)</f>
        <v/>
      </c>
      <c r="K13" s="22" t="inlineStr">
        <is>
          <t>No</t>
        </is>
      </c>
      <c r="L13" s="21">
        <f>IF(F13="","",IF(K13="Yes",0,F13+G13-I13-J13))</f>
        <v/>
      </c>
    </row>
    <row r="14">
      <c r="A14" s="23" t="inlineStr">
        <is>
          <t>#2410</t>
        </is>
      </c>
      <c r="B14" s="24" t="n">
        <v>46181</v>
      </c>
      <c r="C14" s="23" t="inlineStr">
        <is>
          <t>IG Templates</t>
        </is>
      </c>
      <c r="D14" s="25" t="n">
        <v>1</v>
      </c>
      <c r="E14" s="26" t="n">
        <v>9</v>
      </c>
      <c r="F14" s="26">
        <f>D14*E14</f>
        <v/>
      </c>
      <c r="G14" s="26" t="n">
        <v>0</v>
      </c>
      <c r="H14" s="27" t="inlineStr">
        <is>
          <t>No</t>
        </is>
      </c>
      <c r="I14" s="26">
        <f>IF(F14="","",FeeListing*D14+FeeTxn*(F14+G14)+(FeeProc*(F14+G14)+FeeProcFixed)+IF(H14="Yes",FeeOffsite*(F14+G14),0))</f>
        <v/>
      </c>
      <c r="J14" s="26">
        <f>IFERROR(SUMIF(CalcName,C14,CalcCOGS)*D14,0)</f>
        <v/>
      </c>
      <c r="K14" s="27" t="inlineStr">
        <is>
          <t>No</t>
        </is>
      </c>
      <c r="L14" s="26">
        <f>IF(F14="","",IF(K14="Yes",0,F14+G14-I14-J14))</f>
        <v/>
      </c>
    </row>
    <row r="15">
      <c r="A15" s="18" t="inlineStr">
        <is>
          <t>#2411</t>
        </is>
      </c>
      <c r="B15" s="19" t="n">
        <v>46182</v>
      </c>
      <c r="C15" s="18" t="inlineStr">
        <is>
          <t>Mega Bundle</t>
        </is>
      </c>
      <c r="D15" s="20" t="n">
        <v>1</v>
      </c>
      <c r="E15" s="21" t="n">
        <v>29</v>
      </c>
      <c r="F15" s="21">
        <f>D15*E15</f>
        <v/>
      </c>
      <c r="G15" s="21" t="n">
        <v>0</v>
      </c>
      <c r="H15" s="22" t="inlineStr">
        <is>
          <t>No</t>
        </is>
      </c>
      <c r="I15" s="21">
        <f>IF(F15="","",FeeListing*D15+FeeTxn*(F15+G15)+(FeeProc*(F15+G15)+FeeProcFixed)+IF(H15="Yes",FeeOffsite*(F15+G15),0))</f>
        <v/>
      </c>
      <c r="J15" s="21">
        <f>IFERROR(SUMIF(CalcName,C15,CalcCOGS)*D15,0)</f>
        <v/>
      </c>
      <c r="K15" s="22" t="inlineStr">
        <is>
          <t>No</t>
        </is>
      </c>
      <c r="L15" s="21">
        <f>IF(F15="","",IF(K15="Yes",0,F15+G15-I15-J15))</f>
        <v/>
      </c>
    </row>
    <row r="16">
      <c r="A16" s="23" t="inlineStr">
        <is>
          <t>#2412</t>
        </is>
      </c>
      <c r="B16" s="24" t="n">
        <v>46183</v>
      </c>
      <c r="C16" s="23" t="inlineStr">
        <is>
          <t>Sticker Pack</t>
        </is>
      </c>
      <c r="D16" s="25" t="n">
        <v>1</v>
      </c>
      <c r="E16" s="26" t="n">
        <v>6</v>
      </c>
      <c r="F16" s="26">
        <f>D16*E16</f>
        <v/>
      </c>
      <c r="G16" s="26" t="n">
        <v>0</v>
      </c>
      <c r="H16" s="27" t="inlineStr">
        <is>
          <t>No</t>
        </is>
      </c>
      <c r="I16" s="26">
        <f>IF(F16="","",FeeListing*D16+FeeTxn*(F16+G16)+(FeeProc*(F16+G16)+FeeProcFixed)+IF(H16="Yes",FeeOffsite*(F16+G16),0))</f>
        <v/>
      </c>
      <c r="J16" s="26">
        <f>IFERROR(SUMIF(CalcName,C16,CalcCOGS)*D16,0)</f>
        <v/>
      </c>
      <c r="K16" s="27" t="inlineStr">
        <is>
          <t>No</t>
        </is>
      </c>
      <c r="L16" s="26">
        <f>IF(F16="","",IF(K16="Yes",0,F16+G16-I16-J16))</f>
        <v/>
      </c>
    </row>
    <row r="17">
      <c r="A17" s="18" t="inlineStr">
        <is>
          <t>#2413</t>
        </is>
      </c>
      <c r="B17" s="19" t="n">
        <v>46183</v>
      </c>
      <c r="C17" s="18" t="inlineStr">
        <is>
          <t>Budget Planner</t>
        </is>
      </c>
      <c r="D17" s="20" t="n">
        <v>1</v>
      </c>
      <c r="E17" s="21" t="n">
        <v>12</v>
      </c>
      <c r="F17" s="21">
        <f>D17*E17</f>
        <v/>
      </c>
      <c r="G17" s="21" t="n">
        <v>0</v>
      </c>
      <c r="H17" s="22" t="inlineStr">
        <is>
          <t>Yes</t>
        </is>
      </c>
      <c r="I17" s="21">
        <f>IF(F17="","",FeeListing*D17+FeeTxn*(F17+G17)+(FeeProc*(F17+G17)+FeeProcFixed)+IF(H17="Yes",FeeOffsite*(F17+G17),0))</f>
        <v/>
      </c>
      <c r="J17" s="21">
        <f>IFERROR(SUMIF(CalcName,C17,CalcCOGS)*D17,0)</f>
        <v/>
      </c>
      <c r="K17" s="22" t="inlineStr">
        <is>
          <t>No</t>
        </is>
      </c>
      <c r="L17" s="21">
        <f>IF(F17="","",IF(K17="Yes",0,F17+G17-I17-J17))</f>
        <v/>
      </c>
    </row>
    <row r="18">
      <c r="A18" s="23" t="inlineStr">
        <is>
          <t>#2414</t>
        </is>
      </c>
      <c r="B18" s="24" t="n">
        <v>46184</v>
      </c>
      <c r="C18" s="23" t="inlineStr">
        <is>
          <t>Wedding Suite</t>
        </is>
      </c>
      <c r="D18" s="25" t="n">
        <v>1</v>
      </c>
      <c r="E18" s="26" t="n">
        <v>18</v>
      </c>
      <c r="F18" s="26">
        <f>D18*E18</f>
        <v/>
      </c>
      <c r="G18" s="26" t="n">
        <v>0</v>
      </c>
      <c r="H18" s="27" t="inlineStr">
        <is>
          <t>No</t>
        </is>
      </c>
      <c r="I18" s="26">
        <f>IF(F18="","",FeeListing*D18+FeeTxn*(F18+G18)+(FeeProc*(F18+G18)+FeeProcFixed)+IF(H18="Yes",FeeOffsite*(F18+G18),0))</f>
        <v/>
      </c>
      <c r="J18" s="26">
        <f>IFERROR(SUMIF(CalcName,C18,CalcCOGS)*D18,0)</f>
        <v/>
      </c>
      <c r="K18" s="27" t="inlineStr">
        <is>
          <t>No</t>
        </is>
      </c>
      <c r="L18" s="26">
        <f>IF(F18="","",IF(K18="Yes",0,F18+G18-I18-J18))</f>
        <v/>
      </c>
    </row>
    <row r="19">
      <c r="A19" s="18" t="inlineStr">
        <is>
          <t>#2415</t>
        </is>
      </c>
      <c r="B19" s="19" t="n">
        <v>46185</v>
      </c>
      <c r="C19" s="18" t="inlineStr">
        <is>
          <t>Resume Bundle</t>
        </is>
      </c>
      <c r="D19" s="20" t="n">
        <v>2</v>
      </c>
      <c r="E19" s="21" t="n">
        <v>14</v>
      </c>
      <c r="F19" s="21">
        <f>D19*E19</f>
        <v/>
      </c>
      <c r="G19" s="21" t="n">
        <v>0</v>
      </c>
      <c r="H19" s="22" t="inlineStr">
        <is>
          <t>No</t>
        </is>
      </c>
      <c r="I19" s="21">
        <f>IF(F19="","",FeeListing*D19+FeeTxn*(F19+G19)+(FeeProc*(F19+G19)+FeeProcFixed)+IF(H19="Yes",FeeOffsite*(F19+G19),0))</f>
        <v/>
      </c>
      <c r="J19" s="21">
        <f>IFERROR(SUMIF(CalcName,C19,CalcCOGS)*D19,0)</f>
        <v/>
      </c>
      <c r="K19" s="22" t="inlineStr">
        <is>
          <t>No</t>
        </is>
      </c>
      <c r="L19" s="21">
        <f>IF(F19="","",IF(K19="Yes",0,F19+G19-I19-J19))</f>
        <v/>
      </c>
    </row>
    <row r="20">
      <c r="A20" s="23" t="inlineStr">
        <is>
          <t>#2416</t>
        </is>
      </c>
      <c r="B20" s="24" t="n">
        <v>46185</v>
      </c>
      <c r="C20" s="23" t="inlineStr">
        <is>
          <t>IG Templates</t>
        </is>
      </c>
      <c r="D20" s="25" t="n">
        <v>1</v>
      </c>
      <c r="E20" s="26" t="n">
        <v>9</v>
      </c>
      <c r="F20" s="26">
        <f>D20*E20</f>
        <v/>
      </c>
      <c r="G20" s="26" t="n">
        <v>0</v>
      </c>
      <c r="H20" s="27" t="inlineStr">
        <is>
          <t>No</t>
        </is>
      </c>
      <c r="I20" s="26">
        <f>IF(F20="","",FeeListing*D20+FeeTxn*(F20+G20)+(FeeProc*(F20+G20)+FeeProcFixed)+IF(H20="Yes",FeeOffsite*(F20+G20),0))</f>
        <v/>
      </c>
      <c r="J20" s="26">
        <f>IFERROR(SUMIF(CalcName,C20,CalcCOGS)*D20,0)</f>
        <v/>
      </c>
      <c r="K20" s="27" t="inlineStr">
        <is>
          <t>No</t>
        </is>
      </c>
      <c r="L20" s="26">
        <f>IF(F20="","",IF(K20="Yes",0,F20+G20-I20-J20))</f>
        <v/>
      </c>
    </row>
    <row r="21">
      <c r="A21" s="18" t="inlineStr">
        <is>
          <t>#2417</t>
        </is>
      </c>
      <c r="B21" s="19" t="n">
        <v>46186</v>
      </c>
      <c r="C21" s="18" t="inlineStr">
        <is>
          <t>Mega Bundle</t>
        </is>
      </c>
      <c r="D21" s="20" t="n">
        <v>1</v>
      </c>
      <c r="E21" s="21" t="n">
        <v>29</v>
      </c>
      <c r="F21" s="21">
        <f>D21*E21</f>
        <v/>
      </c>
      <c r="G21" s="21" t="n">
        <v>0</v>
      </c>
      <c r="H21" s="22" t="inlineStr">
        <is>
          <t>Yes</t>
        </is>
      </c>
      <c r="I21" s="21">
        <f>IF(F21="","",FeeListing*D21+FeeTxn*(F21+G21)+(FeeProc*(F21+G21)+FeeProcFixed)+IF(H21="Yes",FeeOffsite*(F21+G21),0))</f>
        <v/>
      </c>
      <c r="J21" s="21">
        <f>IFERROR(SUMIF(CalcName,C21,CalcCOGS)*D21,0)</f>
        <v/>
      </c>
      <c r="K21" s="22" t="inlineStr">
        <is>
          <t>No</t>
        </is>
      </c>
      <c r="L21" s="21">
        <f>IF(F21="","",IF(K21="Yes",0,F21+G21-I21-J21))</f>
        <v/>
      </c>
    </row>
    <row r="22">
      <c r="A22" s="23" t="inlineStr">
        <is>
          <t>#2418</t>
        </is>
      </c>
      <c r="B22" s="24" t="n">
        <v>46187</v>
      </c>
      <c r="C22" s="23" t="inlineStr">
        <is>
          <t>Sticker Pack</t>
        </is>
      </c>
      <c r="D22" s="25" t="n">
        <v>1</v>
      </c>
      <c r="E22" s="26" t="n">
        <v>6</v>
      </c>
      <c r="F22" s="26">
        <f>D22*E22</f>
        <v/>
      </c>
      <c r="G22" s="26" t="n">
        <v>0</v>
      </c>
      <c r="H22" s="27" t="inlineStr">
        <is>
          <t>No</t>
        </is>
      </c>
      <c r="I22" s="26">
        <f>IF(F22="","",FeeListing*D22+FeeTxn*(F22+G22)+(FeeProc*(F22+G22)+FeeProcFixed)+IF(H22="Yes",FeeOffsite*(F22+G22),0))</f>
        <v/>
      </c>
      <c r="J22" s="26">
        <f>IFERROR(SUMIF(CalcName,C22,CalcCOGS)*D22,0)</f>
        <v/>
      </c>
      <c r="K22" s="27" t="inlineStr">
        <is>
          <t>No</t>
        </is>
      </c>
      <c r="L22" s="26">
        <f>IF(F22="","",IF(K22="Yes",0,F22+G22-I22-J22))</f>
        <v/>
      </c>
    </row>
    <row r="23">
      <c r="A23" s="18" t="inlineStr">
        <is>
          <t>#2419</t>
        </is>
      </c>
      <c r="B23" s="19" t="n">
        <v>46187</v>
      </c>
      <c r="C23" s="18" t="inlineStr">
        <is>
          <t>Budget Planner</t>
        </is>
      </c>
      <c r="D23" s="20" t="n">
        <v>1</v>
      </c>
      <c r="E23" s="21" t="n">
        <v>12</v>
      </c>
      <c r="F23" s="21">
        <f>D23*E23</f>
        <v/>
      </c>
      <c r="G23" s="21" t="n">
        <v>0</v>
      </c>
      <c r="H23" s="22" t="inlineStr">
        <is>
          <t>No</t>
        </is>
      </c>
      <c r="I23" s="21">
        <f>IF(F23="","",FeeListing*D23+FeeTxn*(F23+G23)+(FeeProc*(F23+G23)+FeeProcFixed)+IF(H23="Yes",FeeOffsite*(F23+G23),0))</f>
        <v/>
      </c>
      <c r="J23" s="21">
        <f>IFERROR(SUMIF(CalcName,C23,CalcCOGS)*D23,0)</f>
        <v/>
      </c>
      <c r="K23" s="22" t="inlineStr">
        <is>
          <t>No</t>
        </is>
      </c>
      <c r="L23" s="21">
        <f>IF(F23="","",IF(K23="Yes",0,F23+G23-I23-J23))</f>
        <v/>
      </c>
    </row>
    <row r="24">
      <c r="A24" s="23" t="inlineStr">
        <is>
          <t>#2420</t>
        </is>
      </c>
      <c r="B24" s="24" t="n">
        <v>46188</v>
      </c>
      <c r="C24" s="23" t="inlineStr">
        <is>
          <t>Wedding Suite</t>
        </is>
      </c>
      <c r="D24" s="25" t="n">
        <v>1</v>
      </c>
      <c r="E24" s="26" t="n">
        <v>18</v>
      </c>
      <c r="F24" s="26">
        <f>D24*E24</f>
        <v/>
      </c>
      <c r="G24" s="26" t="n">
        <v>0</v>
      </c>
      <c r="H24" s="27" t="inlineStr">
        <is>
          <t>No</t>
        </is>
      </c>
      <c r="I24" s="26">
        <f>IF(F24="","",FeeListing*D24+FeeTxn*(F24+G24)+(FeeProc*(F24+G24)+FeeProcFixed)+IF(H24="Yes",FeeOffsite*(F24+G24),0))</f>
        <v/>
      </c>
      <c r="J24" s="26">
        <f>IFERROR(SUMIF(CalcName,C24,CalcCOGS)*D24,0)</f>
        <v/>
      </c>
      <c r="K24" s="27" t="inlineStr">
        <is>
          <t>No</t>
        </is>
      </c>
      <c r="L24" s="26">
        <f>IF(F24="","",IF(K24="Yes",0,F24+G24-I24-J24))</f>
        <v/>
      </c>
    </row>
    <row r="25">
      <c r="A25" s="18" t="inlineStr">
        <is>
          <t>#2421</t>
        </is>
      </c>
      <c r="B25" s="19" t="n">
        <v>46189</v>
      </c>
      <c r="C25" s="18" t="inlineStr">
        <is>
          <t>Resume Bundle</t>
        </is>
      </c>
      <c r="D25" s="20" t="n">
        <v>1</v>
      </c>
      <c r="E25" s="21" t="n">
        <v>14</v>
      </c>
      <c r="F25" s="21">
        <f>D25*E25</f>
        <v/>
      </c>
      <c r="G25" s="21" t="n">
        <v>0</v>
      </c>
      <c r="H25" s="22" t="inlineStr">
        <is>
          <t>Yes</t>
        </is>
      </c>
      <c r="I25" s="21">
        <f>IF(F25="","",FeeListing*D25+FeeTxn*(F25+G25)+(FeeProc*(F25+G25)+FeeProcFixed)+IF(H25="Yes",FeeOffsite*(F25+G25),0))</f>
        <v/>
      </c>
      <c r="J25" s="21">
        <f>IFERROR(SUMIF(CalcName,C25,CalcCOGS)*D25,0)</f>
        <v/>
      </c>
      <c r="K25" s="22" t="inlineStr">
        <is>
          <t>No</t>
        </is>
      </c>
      <c r="L25" s="21">
        <f>IF(F25="","",IF(K25="Yes",0,F25+G25-I25-J25))</f>
        <v/>
      </c>
    </row>
    <row r="26">
      <c r="A26" s="23" t="inlineStr">
        <is>
          <t>#2422</t>
        </is>
      </c>
      <c r="B26" s="24" t="n">
        <v>46189</v>
      </c>
      <c r="C26" s="23" t="inlineStr">
        <is>
          <t>IG Templates</t>
        </is>
      </c>
      <c r="D26" s="25" t="n">
        <v>2</v>
      </c>
      <c r="E26" s="26" t="n">
        <v>9</v>
      </c>
      <c r="F26" s="26">
        <f>D26*E26</f>
        <v/>
      </c>
      <c r="G26" s="26" t="n">
        <v>0</v>
      </c>
      <c r="H26" s="27" t="inlineStr">
        <is>
          <t>No</t>
        </is>
      </c>
      <c r="I26" s="26">
        <f>IF(F26="","",FeeListing*D26+FeeTxn*(F26+G26)+(FeeProc*(F26+G26)+FeeProcFixed)+IF(H26="Yes",FeeOffsite*(F26+G26),0))</f>
        <v/>
      </c>
      <c r="J26" s="26">
        <f>IFERROR(SUMIF(CalcName,C26,CalcCOGS)*D26,0)</f>
        <v/>
      </c>
      <c r="K26" s="27" t="inlineStr">
        <is>
          <t>No</t>
        </is>
      </c>
      <c r="L26" s="26">
        <f>IF(F26="","",IF(K26="Yes",0,F26+G26-I26-J26))</f>
        <v/>
      </c>
    </row>
    <row r="27">
      <c r="A27" s="18" t="inlineStr">
        <is>
          <t>#2423</t>
        </is>
      </c>
      <c r="B27" s="19" t="n">
        <v>46190</v>
      </c>
      <c r="C27" s="18" t="inlineStr">
        <is>
          <t>Mega Bundle</t>
        </is>
      </c>
      <c r="D27" s="20" t="n">
        <v>1</v>
      </c>
      <c r="E27" s="21" t="n">
        <v>29</v>
      </c>
      <c r="F27" s="21">
        <f>D27*E27</f>
        <v/>
      </c>
      <c r="G27" s="21" t="n">
        <v>0</v>
      </c>
      <c r="H27" s="22" t="inlineStr">
        <is>
          <t>No</t>
        </is>
      </c>
      <c r="I27" s="21">
        <f>IF(F27="","",FeeListing*D27+FeeTxn*(F27+G27)+(FeeProc*(F27+G27)+FeeProcFixed)+IF(H27="Yes",FeeOffsite*(F27+G27),0))</f>
        <v/>
      </c>
      <c r="J27" s="21">
        <f>IFERROR(SUMIF(CalcName,C27,CalcCOGS)*D27,0)</f>
        <v/>
      </c>
      <c r="K27" s="22" t="inlineStr">
        <is>
          <t>No</t>
        </is>
      </c>
      <c r="L27" s="21">
        <f>IF(F27="","",IF(K27="Yes",0,F27+G27-I27-J27))</f>
        <v/>
      </c>
    </row>
    <row r="28">
      <c r="A28" s="23" t="inlineStr">
        <is>
          <t>#2424</t>
        </is>
      </c>
      <c r="B28" s="24" t="n">
        <v>46190</v>
      </c>
      <c r="C28" s="23" t="inlineStr">
        <is>
          <t>Sticker Pack</t>
        </is>
      </c>
      <c r="D28" s="25" t="n">
        <v>1</v>
      </c>
      <c r="E28" s="26" t="n">
        <v>6</v>
      </c>
      <c r="F28" s="26">
        <f>D28*E28</f>
        <v/>
      </c>
      <c r="G28" s="26" t="n">
        <v>0</v>
      </c>
      <c r="H28" s="27" t="inlineStr">
        <is>
          <t>No</t>
        </is>
      </c>
      <c r="I28" s="26">
        <f>IF(F28="","",FeeListing*D28+FeeTxn*(F28+G28)+(FeeProc*(F28+G28)+FeeProcFixed)+IF(H28="Yes",FeeOffsite*(F28+G28),0))</f>
        <v/>
      </c>
      <c r="J28" s="26">
        <f>IFERROR(SUMIF(CalcName,C28,CalcCOGS)*D28,0)</f>
        <v/>
      </c>
      <c r="K28" s="27" t="inlineStr">
        <is>
          <t>No</t>
        </is>
      </c>
      <c r="L28" s="26">
        <f>IF(F28="","",IF(K28="Yes",0,F28+G28-I28-J28))</f>
        <v/>
      </c>
    </row>
    <row r="29">
      <c r="A29" s="18" t="inlineStr">
        <is>
          <t>#2425</t>
        </is>
      </c>
      <c r="B29" s="19" t="n">
        <v>46191</v>
      </c>
      <c r="C29" s="18" t="inlineStr">
        <is>
          <t>Budget Planner</t>
        </is>
      </c>
      <c r="D29" s="20" t="n">
        <v>1</v>
      </c>
      <c r="E29" s="21" t="n">
        <v>12</v>
      </c>
      <c r="F29" s="21">
        <f>D29*E29</f>
        <v/>
      </c>
      <c r="G29" s="21" t="n">
        <v>0</v>
      </c>
      <c r="H29" s="22" t="inlineStr">
        <is>
          <t>Yes</t>
        </is>
      </c>
      <c r="I29" s="21">
        <f>IF(F29="","",FeeListing*D29+FeeTxn*(F29+G29)+(FeeProc*(F29+G29)+FeeProcFixed)+IF(H29="Yes",FeeOffsite*(F29+G29),0))</f>
        <v/>
      </c>
      <c r="J29" s="21">
        <f>IFERROR(SUMIF(CalcName,C29,CalcCOGS)*D29,0)</f>
        <v/>
      </c>
      <c r="K29" s="22" t="inlineStr">
        <is>
          <t>No</t>
        </is>
      </c>
      <c r="L29" s="21">
        <f>IF(F29="","",IF(K29="Yes",0,F29+G29-I29-J29))</f>
        <v/>
      </c>
    </row>
    <row r="30">
      <c r="A30" s="23" t="inlineStr">
        <is>
          <t>#2426</t>
        </is>
      </c>
      <c r="B30" s="24" t="n">
        <v>46192</v>
      </c>
      <c r="C30" s="23" t="inlineStr">
        <is>
          <t>Wedding Suite</t>
        </is>
      </c>
      <c r="D30" s="25" t="n">
        <v>1</v>
      </c>
      <c r="E30" s="26" t="n">
        <v>18</v>
      </c>
      <c r="F30" s="26">
        <f>D30*E30</f>
        <v/>
      </c>
      <c r="G30" s="26" t="n">
        <v>0</v>
      </c>
      <c r="H30" s="27" t="inlineStr">
        <is>
          <t>No</t>
        </is>
      </c>
      <c r="I30" s="26">
        <f>IF(F30="","",FeeListing*D30+FeeTxn*(F30+G30)+(FeeProc*(F30+G30)+FeeProcFixed)+IF(H30="Yes",FeeOffsite*(F30+G30),0))</f>
        <v/>
      </c>
      <c r="J30" s="26">
        <f>IFERROR(SUMIF(CalcName,C30,CalcCOGS)*D30,0)</f>
        <v/>
      </c>
      <c r="K30" s="27" t="inlineStr">
        <is>
          <t>No</t>
        </is>
      </c>
      <c r="L30" s="26">
        <f>IF(F30="","",IF(K30="Yes",0,F30+G30-I30-J30))</f>
        <v/>
      </c>
    </row>
    <row r="31">
      <c r="A31" s="18" t="inlineStr">
        <is>
          <t>#2427</t>
        </is>
      </c>
      <c r="B31" s="19" t="n">
        <v>46192</v>
      </c>
      <c r="C31" s="18" t="inlineStr">
        <is>
          <t>Resume Bundle</t>
        </is>
      </c>
      <c r="D31" s="20" t="n">
        <v>1</v>
      </c>
      <c r="E31" s="21" t="n">
        <v>14</v>
      </c>
      <c r="F31" s="21">
        <f>D31*E31</f>
        <v/>
      </c>
      <c r="G31" s="21" t="n">
        <v>0</v>
      </c>
      <c r="H31" s="22" t="inlineStr">
        <is>
          <t>No</t>
        </is>
      </c>
      <c r="I31" s="21">
        <f>IF(F31="","",FeeListing*D31+FeeTxn*(F31+G31)+(FeeProc*(F31+G31)+FeeProcFixed)+IF(H31="Yes",FeeOffsite*(F31+G31),0))</f>
        <v/>
      </c>
      <c r="J31" s="21">
        <f>IFERROR(SUMIF(CalcName,C31,CalcCOGS)*D31,0)</f>
        <v/>
      </c>
      <c r="K31" s="22" t="inlineStr">
        <is>
          <t>No</t>
        </is>
      </c>
      <c r="L31" s="21">
        <f>IF(F31="","",IF(K31="Yes",0,F31+G31-I31-J31))</f>
        <v/>
      </c>
    </row>
    <row r="32">
      <c r="A32" s="23" t="inlineStr">
        <is>
          <t>#2428</t>
        </is>
      </c>
      <c r="B32" s="24" t="n">
        <v>46193</v>
      </c>
      <c r="C32" s="23" t="inlineStr">
        <is>
          <t>IG Templates</t>
        </is>
      </c>
      <c r="D32" s="25" t="n">
        <v>1</v>
      </c>
      <c r="E32" s="26" t="n">
        <v>9</v>
      </c>
      <c r="F32" s="26">
        <f>D32*E32</f>
        <v/>
      </c>
      <c r="G32" s="26" t="n">
        <v>0</v>
      </c>
      <c r="H32" s="27" t="inlineStr">
        <is>
          <t>No</t>
        </is>
      </c>
      <c r="I32" s="26">
        <f>IF(F32="","",FeeListing*D32+FeeTxn*(F32+G32)+(FeeProc*(F32+G32)+FeeProcFixed)+IF(H32="Yes",FeeOffsite*(F32+G32),0))</f>
        <v/>
      </c>
      <c r="J32" s="26">
        <f>IFERROR(SUMIF(CalcName,C32,CalcCOGS)*D32,0)</f>
        <v/>
      </c>
      <c r="K32" s="27" t="inlineStr">
        <is>
          <t>No</t>
        </is>
      </c>
      <c r="L32" s="26">
        <f>IF(F32="","",IF(K32="Yes",0,F32+G32-I32-J32))</f>
        <v/>
      </c>
    </row>
    <row r="33">
      <c r="A33" s="18" t="inlineStr">
        <is>
          <t>#2429</t>
        </is>
      </c>
      <c r="B33" s="19" t="n">
        <v>46194</v>
      </c>
      <c r="C33" s="18" t="inlineStr">
        <is>
          <t>Mega Bundle</t>
        </is>
      </c>
      <c r="D33" s="20" t="n">
        <v>2</v>
      </c>
      <c r="E33" s="21" t="n">
        <v>29</v>
      </c>
      <c r="F33" s="21">
        <f>D33*E33</f>
        <v/>
      </c>
      <c r="G33" s="21" t="n">
        <v>0</v>
      </c>
      <c r="H33" s="22" t="inlineStr">
        <is>
          <t>Yes</t>
        </is>
      </c>
      <c r="I33" s="21">
        <f>IF(F33="","",FeeListing*D33+FeeTxn*(F33+G33)+(FeeProc*(F33+G33)+FeeProcFixed)+IF(H33="Yes",FeeOffsite*(F33+G33),0))</f>
        <v/>
      </c>
      <c r="J33" s="21">
        <f>IFERROR(SUMIF(CalcName,C33,CalcCOGS)*D33,0)</f>
        <v/>
      </c>
      <c r="K33" s="22" t="inlineStr">
        <is>
          <t>No</t>
        </is>
      </c>
      <c r="L33" s="21">
        <f>IF(F33="","",IF(K33="Yes",0,F33+G33-I33-J33))</f>
        <v/>
      </c>
    </row>
    <row r="34">
      <c r="A34" s="23" t="inlineStr">
        <is>
          <t>#2430</t>
        </is>
      </c>
      <c r="B34" s="24" t="n">
        <v>46194</v>
      </c>
      <c r="C34" s="23" t="inlineStr">
        <is>
          <t>Budget Planner</t>
        </is>
      </c>
      <c r="D34" s="25" t="n">
        <v>1</v>
      </c>
      <c r="E34" s="26" t="n">
        <v>12</v>
      </c>
      <c r="F34" s="26">
        <f>D34*E34</f>
        <v/>
      </c>
      <c r="G34" s="26" t="n">
        <v>0</v>
      </c>
      <c r="H34" s="27" t="inlineStr">
        <is>
          <t>No</t>
        </is>
      </c>
      <c r="I34" s="26">
        <f>IF(F34="","",FeeListing*D34+FeeTxn*(F34+G34)+(FeeProc*(F34+G34)+FeeProcFixed)+IF(H34="Yes",FeeOffsite*(F34+G34),0))</f>
        <v/>
      </c>
      <c r="J34" s="26">
        <f>IFERROR(SUMIF(CalcName,C34,CalcCOGS)*D34,0)</f>
        <v/>
      </c>
      <c r="K34" s="27" t="inlineStr">
        <is>
          <t>No</t>
        </is>
      </c>
      <c r="L34" s="26">
        <f>IF(F34="","",IF(K34="Yes",0,F34+G34-I34-J34))</f>
        <v/>
      </c>
    </row>
    <row r="35">
      <c r="A35" s="18" t="inlineStr">
        <is>
          <t>#2431</t>
        </is>
      </c>
      <c r="B35" s="19" t="n">
        <v>46195</v>
      </c>
      <c r="C35" s="18" t="inlineStr">
        <is>
          <t>Wedding Suite</t>
        </is>
      </c>
      <c r="D35" s="20" t="n">
        <v>1</v>
      </c>
      <c r="E35" s="21" t="n">
        <v>18</v>
      </c>
      <c r="F35" s="21">
        <f>D35*E35</f>
        <v/>
      </c>
      <c r="G35" s="21" t="n">
        <v>0</v>
      </c>
      <c r="H35" s="22" t="inlineStr">
        <is>
          <t>No</t>
        </is>
      </c>
      <c r="I35" s="21">
        <f>IF(F35="","",FeeListing*D35+FeeTxn*(F35+G35)+(FeeProc*(F35+G35)+FeeProcFixed)+IF(H35="Yes",FeeOffsite*(F35+G35),0))</f>
        <v/>
      </c>
      <c r="J35" s="21">
        <f>IFERROR(SUMIF(CalcName,C35,CalcCOGS)*D35,0)</f>
        <v/>
      </c>
      <c r="K35" s="22" t="inlineStr">
        <is>
          <t>No</t>
        </is>
      </c>
      <c r="L35" s="21">
        <f>IF(F35="","",IF(K35="Yes",0,F35+G35-I35-J35))</f>
        <v/>
      </c>
    </row>
    <row r="36">
      <c r="A36" s="23" t="inlineStr">
        <is>
          <t>#2432</t>
        </is>
      </c>
      <c r="B36" s="24" t="n">
        <v>46196</v>
      </c>
      <c r="C36" s="23" t="inlineStr">
        <is>
          <t>Resume Bundle</t>
        </is>
      </c>
      <c r="D36" s="25" t="n">
        <v>1</v>
      </c>
      <c r="E36" s="26" t="n">
        <v>14</v>
      </c>
      <c r="F36" s="26">
        <f>D36*E36</f>
        <v/>
      </c>
      <c r="G36" s="26" t="n">
        <v>0</v>
      </c>
      <c r="H36" s="27" t="inlineStr">
        <is>
          <t>No</t>
        </is>
      </c>
      <c r="I36" s="26">
        <f>IF(F36="","",FeeListing*D36+FeeTxn*(F36+G36)+(FeeProc*(F36+G36)+FeeProcFixed)+IF(H36="Yes",FeeOffsite*(F36+G36),0))</f>
        <v/>
      </c>
      <c r="J36" s="26">
        <f>IFERROR(SUMIF(CalcName,C36,CalcCOGS)*D36,0)</f>
        <v/>
      </c>
      <c r="K36" s="27" t="inlineStr">
        <is>
          <t>Yes</t>
        </is>
      </c>
      <c r="L36" s="26">
        <f>IF(F36="","",IF(K36="Yes",0,F36+G36-I36-J36))</f>
        <v/>
      </c>
    </row>
    <row r="37">
      <c r="A37" s="18" t="inlineStr">
        <is>
          <t>#2433</t>
        </is>
      </c>
      <c r="B37" s="19" t="n">
        <v>46196</v>
      </c>
      <c r="C37" s="18" t="inlineStr">
        <is>
          <t>IG Templates</t>
        </is>
      </c>
      <c r="D37" s="20" t="n">
        <v>1</v>
      </c>
      <c r="E37" s="21" t="n">
        <v>9</v>
      </c>
      <c r="F37" s="21">
        <f>D37*E37</f>
        <v/>
      </c>
      <c r="G37" s="21" t="n">
        <v>0</v>
      </c>
      <c r="H37" s="22" t="inlineStr">
        <is>
          <t>Yes</t>
        </is>
      </c>
      <c r="I37" s="21">
        <f>IF(F37="","",FeeListing*D37+FeeTxn*(F37+G37)+(FeeProc*(F37+G37)+FeeProcFixed)+IF(H37="Yes",FeeOffsite*(F37+G37),0))</f>
        <v/>
      </c>
      <c r="J37" s="21">
        <f>IFERROR(SUMIF(CalcName,C37,CalcCOGS)*D37,0)</f>
        <v/>
      </c>
      <c r="K37" s="22" t="inlineStr">
        <is>
          <t>No</t>
        </is>
      </c>
      <c r="L37" s="21">
        <f>IF(F37="","",IF(K37="Yes",0,F37+G37-I37-J37))</f>
        <v/>
      </c>
    </row>
    <row r="38">
      <c r="A38" s="23" t="inlineStr">
        <is>
          <t>#2434</t>
        </is>
      </c>
      <c r="B38" s="24" t="n">
        <v>46197</v>
      </c>
      <c r="C38" s="23" t="inlineStr">
        <is>
          <t>Mega Bundle</t>
        </is>
      </c>
      <c r="D38" s="25" t="n">
        <v>1</v>
      </c>
      <c r="E38" s="26" t="n">
        <v>29</v>
      </c>
      <c r="F38" s="26">
        <f>D38*E38</f>
        <v/>
      </c>
      <c r="G38" s="26" t="n">
        <v>0</v>
      </c>
      <c r="H38" s="27" t="inlineStr">
        <is>
          <t>No</t>
        </is>
      </c>
      <c r="I38" s="26">
        <f>IF(F38="","",FeeListing*D38+FeeTxn*(F38+G38)+(FeeProc*(F38+G38)+FeeProcFixed)+IF(H38="Yes",FeeOffsite*(F38+G38),0))</f>
        <v/>
      </c>
      <c r="J38" s="26">
        <f>IFERROR(SUMIF(CalcName,C38,CalcCOGS)*D38,0)</f>
        <v/>
      </c>
      <c r="K38" s="27" t="inlineStr">
        <is>
          <t>No</t>
        </is>
      </c>
      <c r="L38" s="26">
        <f>IF(F38="","",IF(K38="Yes",0,F38+G38-I38-J38))</f>
        <v/>
      </c>
    </row>
    <row r="39">
      <c r="A39" s="18" t="inlineStr">
        <is>
          <t>#2435</t>
        </is>
      </c>
      <c r="B39" s="19" t="n">
        <v>46198</v>
      </c>
      <c r="C39" s="18" t="inlineStr">
        <is>
          <t>Budget Planner</t>
        </is>
      </c>
      <c r="D39" s="20" t="n">
        <v>1</v>
      </c>
      <c r="E39" s="21" t="n">
        <v>12</v>
      </c>
      <c r="F39" s="21">
        <f>D39*E39</f>
        <v/>
      </c>
      <c r="G39" s="21" t="n">
        <v>0</v>
      </c>
      <c r="H39" s="22" t="inlineStr">
        <is>
          <t>No</t>
        </is>
      </c>
      <c r="I39" s="21">
        <f>IF(F39="","",FeeListing*D39+FeeTxn*(F39+G39)+(FeeProc*(F39+G39)+FeeProcFixed)+IF(H39="Yes",FeeOffsite*(F39+G39),0))</f>
        <v/>
      </c>
      <c r="J39" s="21">
        <f>IFERROR(SUMIF(CalcName,C39,CalcCOGS)*D39,0)</f>
        <v/>
      </c>
      <c r="K39" s="22" t="inlineStr">
        <is>
          <t>No</t>
        </is>
      </c>
      <c r="L39" s="21">
        <f>IF(F39="","",IF(K39="Yes",0,F39+G39-I39-J39))</f>
        <v/>
      </c>
    </row>
    <row r="40">
      <c r="A40" s="23" t="inlineStr">
        <is>
          <t>#2436</t>
        </is>
      </c>
      <c r="B40" s="24" t="n">
        <v>46198</v>
      </c>
      <c r="C40" s="23" t="inlineStr">
        <is>
          <t>Wedding Suite</t>
        </is>
      </c>
      <c r="D40" s="25" t="n">
        <v>2</v>
      </c>
      <c r="E40" s="26" t="n">
        <v>18</v>
      </c>
      <c r="F40" s="26">
        <f>D40*E40</f>
        <v/>
      </c>
      <c r="G40" s="26" t="n">
        <v>0</v>
      </c>
      <c r="H40" s="27" t="inlineStr">
        <is>
          <t>No</t>
        </is>
      </c>
      <c r="I40" s="26">
        <f>IF(F40="","",FeeListing*D40+FeeTxn*(F40+G40)+(FeeProc*(F40+G40)+FeeProcFixed)+IF(H40="Yes",FeeOffsite*(F40+G40),0))</f>
        <v/>
      </c>
      <c r="J40" s="26">
        <f>IFERROR(SUMIF(CalcName,C40,CalcCOGS)*D40,0)</f>
        <v/>
      </c>
      <c r="K40" s="27" t="inlineStr">
        <is>
          <t>No</t>
        </is>
      </c>
      <c r="L40" s="26">
        <f>IF(F40="","",IF(K40="Yes",0,F40+G40-I40-J40))</f>
        <v/>
      </c>
    </row>
    <row r="41">
      <c r="A41" s="18" t="inlineStr">
        <is>
          <t>#2437</t>
        </is>
      </c>
      <c r="B41" s="19" t="n">
        <v>46199</v>
      </c>
      <c r="C41" s="18" t="inlineStr">
        <is>
          <t>Resume Bundle</t>
        </is>
      </c>
      <c r="D41" s="20" t="n">
        <v>1</v>
      </c>
      <c r="E41" s="21" t="n">
        <v>14</v>
      </c>
      <c r="F41" s="21">
        <f>D41*E41</f>
        <v/>
      </c>
      <c r="G41" s="21" t="n">
        <v>0</v>
      </c>
      <c r="H41" s="22" t="inlineStr">
        <is>
          <t>Yes</t>
        </is>
      </c>
      <c r="I41" s="21">
        <f>IF(F41="","",FeeListing*D41+FeeTxn*(F41+G41)+(FeeProc*(F41+G41)+FeeProcFixed)+IF(H41="Yes",FeeOffsite*(F41+G41),0))</f>
        <v/>
      </c>
      <c r="J41" s="21">
        <f>IFERROR(SUMIF(CalcName,C41,CalcCOGS)*D41,0)</f>
        <v/>
      </c>
      <c r="K41" s="22" t="inlineStr">
        <is>
          <t>No</t>
        </is>
      </c>
      <c r="L41" s="21">
        <f>IF(F41="","",IF(K41="Yes",0,F41+G41-I41-J41))</f>
        <v/>
      </c>
    </row>
    <row r="42">
      <c r="A42" s="23" t="inlineStr">
        <is>
          <t>#2438</t>
        </is>
      </c>
      <c r="B42" s="24" t="n">
        <v>46200</v>
      </c>
      <c r="C42" s="23" t="inlineStr">
        <is>
          <t>Mega Bundle</t>
        </is>
      </c>
      <c r="D42" s="25" t="n">
        <v>1</v>
      </c>
      <c r="E42" s="26" t="n">
        <v>29</v>
      </c>
      <c r="F42" s="26">
        <f>D42*E42</f>
        <v/>
      </c>
      <c r="G42" s="26" t="n">
        <v>0</v>
      </c>
      <c r="H42" s="27" t="inlineStr">
        <is>
          <t>No</t>
        </is>
      </c>
      <c r="I42" s="26">
        <f>IF(F42="","",FeeListing*D42+FeeTxn*(F42+G42)+(FeeProc*(F42+G42)+FeeProcFixed)+IF(H42="Yes",FeeOffsite*(F42+G42),0))</f>
        <v/>
      </c>
      <c r="J42" s="26">
        <f>IFERROR(SUMIF(CalcName,C42,CalcCOGS)*D42,0)</f>
        <v/>
      </c>
      <c r="K42" s="27" t="inlineStr">
        <is>
          <t>No</t>
        </is>
      </c>
      <c r="L42" s="26">
        <f>IF(F42="","",IF(K42="Yes",0,F42+G42-I42-J42))</f>
        <v/>
      </c>
    </row>
    <row r="43">
      <c r="A43" s="18" t="inlineStr">
        <is>
          <t>#2439</t>
        </is>
      </c>
      <c r="B43" s="19" t="n">
        <v>46200</v>
      </c>
      <c r="C43" s="18" t="inlineStr">
        <is>
          <t>Budget Planner</t>
        </is>
      </c>
      <c r="D43" s="20" t="n">
        <v>1</v>
      </c>
      <c r="E43" s="21" t="n">
        <v>12</v>
      </c>
      <c r="F43" s="21">
        <f>D43*E43</f>
        <v/>
      </c>
      <c r="G43" s="21" t="n">
        <v>0</v>
      </c>
      <c r="H43" s="22" t="inlineStr">
        <is>
          <t>No</t>
        </is>
      </c>
      <c r="I43" s="21">
        <f>IF(F43="","",FeeListing*D43+FeeTxn*(F43+G43)+(FeeProc*(F43+G43)+FeeProcFixed)+IF(H43="Yes",FeeOffsite*(F43+G43),0))</f>
        <v/>
      </c>
      <c r="J43" s="21">
        <f>IFERROR(SUMIF(CalcName,C43,CalcCOGS)*D43,0)</f>
        <v/>
      </c>
      <c r="K43" s="22" t="inlineStr">
        <is>
          <t>No</t>
        </is>
      </c>
      <c r="L43" s="21">
        <f>IF(F43="","",IF(K43="Yes",0,F43+G43-I43-J43))</f>
        <v/>
      </c>
    </row>
    <row r="44">
      <c r="A44" s="23" t="inlineStr">
        <is>
          <t>#2440</t>
        </is>
      </c>
      <c r="B44" s="24" t="n">
        <v>46201</v>
      </c>
      <c r="C44" s="23" t="inlineStr">
        <is>
          <t>Budget Planner</t>
        </is>
      </c>
      <c r="D44" s="25" t="n">
        <v>1</v>
      </c>
      <c r="E44" s="26" t="n">
        <v>12</v>
      </c>
      <c r="F44" s="26">
        <f>D44*E44</f>
        <v/>
      </c>
      <c r="G44" s="26" t="n">
        <v>0</v>
      </c>
      <c r="H44" s="27" t="inlineStr">
        <is>
          <t>No</t>
        </is>
      </c>
      <c r="I44" s="26">
        <f>IF(F44="","",FeeListing*D44+FeeTxn*(F44+G44)+(FeeProc*(F44+G44)+FeeProcFixed)+IF(H44="Yes",FeeOffsite*(F44+G44),0))</f>
        <v/>
      </c>
      <c r="J44" s="26">
        <f>IFERROR(SUMIF(CalcName,C44,CalcCOGS)*D44,0)</f>
        <v/>
      </c>
      <c r="K44" s="27" t="inlineStr">
        <is>
          <t>No</t>
        </is>
      </c>
      <c r="L44" s="26">
        <f>IF(F44="","",IF(K44="Yes",0,F44+G44-I44-J44))</f>
        <v/>
      </c>
    </row>
    <row r="45">
      <c r="A45" s="18" t="inlineStr">
        <is>
          <t>#2441</t>
        </is>
      </c>
      <c r="B45" s="19" t="n">
        <v>46202</v>
      </c>
      <c r="C45" s="18" t="inlineStr">
        <is>
          <t>Budget Planner</t>
        </is>
      </c>
      <c r="D45" s="20" t="n">
        <v>1</v>
      </c>
      <c r="E45" s="21" t="n">
        <v>12</v>
      </c>
      <c r="F45" s="21">
        <f>D45*E45</f>
        <v/>
      </c>
      <c r="G45" s="21" t="n">
        <v>0</v>
      </c>
      <c r="H45" s="22" t="inlineStr">
        <is>
          <t>Yes</t>
        </is>
      </c>
      <c r="I45" s="21">
        <f>IF(F45="","",FeeListing*D45+FeeTxn*(F45+G45)+(FeeProc*(F45+G45)+FeeProcFixed)+IF(H45="Yes",FeeOffsite*(F45+G45),0))</f>
        <v/>
      </c>
      <c r="J45" s="21">
        <f>IFERROR(SUMIF(CalcName,C45,CalcCOGS)*D45,0)</f>
        <v/>
      </c>
      <c r="K45" s="22" t="inlineStr">
        <is>
          <t>No</t>
        </is>
      </c>
      <c r="L45" s="21">
        <f>IF(F45="","",IF(K45="Yes",0,F45+G45-I45-J45))</f>
        <v/>
      </c>
    </row>
    <row r="46">
      <c r="A46" s="23" t="inlineStr">
        <is>
          <t>#2442</t>
        </is>
      </c>
      <c r="B46" s="24" t="n">
        <v>46202</v>
      </c>
      <c r="C46" s="23" t="inlineStr">
        <is>
          <t>Budget Planner</t>
        </is>
      </c>
      <c r="D46" s="25" t="n">
        <v>1</v>
      </c>
      <c r="E46" s="26" t="n">
        <v>12</v>
      </c>
      <c r="F46" s="26">
        <f>D46*E46</f>
        <v/>
      </c>
      <c r="G46" s="26" t="n">
        <v>0</v>
      </c>
      <c r="H46" s="27" t="inlineStr">
        <is>
          <t>No</t>
        </is>
      </c>
      <c r="I46" s="26">
        <f>IF(F46="","",FeeListing*D46+FeeTxn*(F46+G46)+(FeeProc*(F46+G46)+FeeProcFixed)+IF(H46="Yes",FeeOffsite*(F46+G46),0))</f>
        <v/>
      </c>
      <c r="J46" s="26">
        <f>IFERROR(SUMIF(CalcName,C46,CalcCOGS)*D46,0)</f>
        <v/>
      </c>
      <c r="K46" s="27" t="inlineStr">
        <is>
          <t>No</t>
        </is>
      </c>
      <c r="L46" s="26">
        <f>IF(F46="","",IF(K46="Yes",0,F46+G46-I46-J46))</f>
        <v/>
      </c>
    </row>
    <row r="47">
      <c r="A47" s="18" t="inlineStr">
        <is>
          <t>#2443</t>
        </is>
      </c>
      <c r="B47" s="19" t="n">
        <v>46203</v>
      </c>
      <c r="C47" s="18" t="inlineStr">
        <is>
          <t>Budget Planner</t>
        </is>
      </c>
      <c r="D47" s="20" t="n">
        <v>2</v>
      </c>
      <c r="E47" s="21" t="n">
        <v>12</v>
      </c>
      <c r="F47" s="21">
        <f>D47*E47</f>
        <v/>
      </c>
      <c r="G47" s="21" t="n">
        <v>0</v>
      </c>
      <c r="H47" s="22" t="inlineStr">
        <is>
          <t>No</t>
        </is>
      </c>
      <c r="I47" s="21">
        <f>IF(F47="","",FeeListing*D47+FeeTxn*(F47+G47)+(FeeProc*(F47+G47)+FeeProcFixed)+IF(H47="Yes",FeeOffsite*(F47+G47),0))</f>
        <v/>
      </c>
      <c r="J47" s="21">
        <f>IFERROR(SUMIF(CalcName,C47,CalcCOGS)*D47,0)</f>
        <v/>
      </c>
      <c r="K47" s="22" t="inlineStr">
        <is>
          <t>No</t>
        </is>
      </c>
      <c r="L47" s="21">
        <f>IF(F47="","",IF(K47="Yes",0,F47+G47-I47-J47))</f>
        <v/>
      </c>
    </row>
  </sheetData>
  <mergeCells count="2">
    <mergeCell ref="A2:L2"/>
    <mergeCell ref="A1:L1"/>
  </mergeCells>
  <conditionalFormatting sqref="A5:L47">
    <cfRule type="expression" priority="1" dxfId="0">
      <formula>$K5="Yes"</formula>
    </cfRule>
  </conditionalFormatting>
  <conditionalFormatting sqref="L5:L47">
    <cfRule type="cellIs" priority="2" operator="lessThan" dxfId="0">
      <formula>0</formula>
    </cfRule>
  </conditionalFormatting>
  <dataValidations count="3">
    <dataValidation sqref="C5:C47" showDropDown="0" showInputMessage="0" showErrorMessage="0" allowBlank="1" type="list">
      <formula1>=CalcName</formula1>
    </dataValidation>
    <dataValidation sqref="H5:H47" showDropDown="0" showInputMessage="0" showErrorMessage="0" allowBlank="1" type="list">
      <formula1>=YesNoList</formula1>
    </dataValidation>
    <dataValidation sqref="K5:K47" showDropDown="0" showInputMessage="0" showErrorMessage="0" allowBlank="1" type="list">
      <formula1>=YesNoList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5D3BA"/>
    <outlinePr summaryBelow="1" summaryRight="1"/>
    <pageSetUpPr/>
  </sheetPr>
  <dimension ref="A1:J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1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3" customWidth="1" min="9" max="9"/>
    <col width="11" customWidth="1" min="10" max="10"/>
  </cols>
  <sheetData>
    <row r="1" ht="46" customHeight="1">
      <c r="A1" s="1" t="inlineStr">
        <is>
          <t xml:space="preserve">  🧮  PRODUCT PROFIT CALCULATOR</t>
        </is>
      </c>
    </row>
    <row r="2" ht="22" customHeight="1">
      <c r="A2" s="2" t="inlineStr">
        <is>
          <t xml:space="preserve">  Per-product profit after every Etsy fee — see your true margin on each listing.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</row>
    <row r="4" ht="30" customHeight="1">
      <c r="A4" s="7" t="inlineStr">
        <is>
          <t>Product</t>
        </is>
      </c>
      <c r="B4" s="7" t="inlineStr">
        <is>
          <t>Price</t>
        </is>
      </c>
      <c r="C4" s="7" t="inlineStr">
        <is>
          <t>COGS</t>
        </is>
      </c>
      <c r="D4" s="7" t="inlineStr">
        <is>
          <t>Listing Fee</t>
        </is>
      </c>
      <c r="E4" s="7" t="inlineStr">
        <is>
          <t>Txn Fee</t>
        </is>
      </c>
      <c r="F4" s="7" t="inlineStr">
        <is>
          <t>Proc Fee</t>
        </is>
      </c>
      <c r="G4" s="7" t="inlineStr">
        <is>
          <t>Ads / Sale</t>
        </is>
      </c>
      <c r="H4" s="7" t="inlineStr">
        <is>
          <t>Total Cost</t>
        </is>
      </c>
      <c r="I4" s="7" t="inlineStr">
        <is>
          <t>Net / Sale</t>
        </is>
      </c>
      <c r="J4" s="7" t="inlineStr">
        <is>
          <t>Margin</t>
        </is>
      </c>
    </row>
    <row r="5">
      <c r="A5" s="18" t="inlineStr">
        <is>
          <t>Budget Planner</t>
        </is>
      </c>
      <c r="B5" s="28" t="n">
        <v>12</v>
      </c>
      <c r="C5" s="29" t="n">
        <v>0</v>
      </c>
      <c r="D5" s="22">
        <f>FeeListing</f>
        <v/>
      </c>
      <c r="E5" s="22">
        <f>FeeTxn*B5</f>
        <v/>
      </c>
      <c r="F5" s="22">
        <f>FeeProc*B5+FeeProcFixed</f>
        <v/>
      </c>
      <c r="G5" s="22">
        <f>IFERROR(SUMIF(AdProduct,A5,AdSpend)/MAX(SUMIF(AdProduct,A5,AdOrders),1),0)</f>
        <v/>
      </c>
      <c r="H5" s="22">
        <f>C5+D5+E5+F5+G5</f>
        <v/>
      </c>
      <c r="I5" s="22">
        <f>B5-H5</f>
        <v/>
      </c>
      <c r="J5" s="22">
        <f>IFERROR(I5/B5,0)</f>
        <v/>
      </c>
    </row>
    <row r="6">
      <c r="A6" s="23" t="inlineStr">
        <is>
          <t>Wedding Suite</t>
        </is>
      </c>
      <c r="B6" s="27" t="n">
        <v>18</v>
      </c>
      <c r="C6" s="27" t="n">
        <v>0</v>
      </c>
      <c r="D6" s="27">
        <f>FeeListing</f>
        <v/>
      </c>
      <c r="E6" s="27">
        <f>FeeTxn*B6</f>
        <v/>
      </c>
      <c r="F6" s="27">
        <f>FeeProc*B6+FeeProcFixed</f>
        <v/>
      </c>
      <c r="G6" s="27">
        <f>IFERROR(SUMIF(AdProduct,A6,AdSpend)/MAX(SUMIF(AdProduct,A6,AdOrders),1),0)</f>
        <v/>
      </c>
      <c r="H6" s="27">
        <f>C6+D6+E6+F6+G6</f>
        <v/>
      </c>
      <c r="I6" s="27">
        <f>B6-H6</f>
        <v/>
      </c>
      <c r="J6" s="27">
        <f>IFERROR(I6/B6,0)</f>
        <v/>
      </c>
    </row>
    <row r="7">
      <c r="A7" s="18" t="inlineStr">
        <is>
          <t>Resume Bundle</t>
        </is>
      </c>
      <c r="B7" s="29" t="n">
        <v>14</v>
      </c>
      <c r="C7" s="29" t="n">
        <v>0</v>
      </c>
      <c r="D7" s="22">
        <f>FeeListing</f>
        <v/>
      </c>
      <c r="E7" s="22">
        <f>FeeTxn*B7</f>
        <v/>
      </c>
      <c r="F7" s="22">
        <f>FeeProc*B7+FeeProcFixed</f>
        <v/>
      </c>
      <c r="G7" s="22">
        <f>IFERROR(SUMIF(AdProduct,A7,AdSpend)/MAX(SUMIF(AdProduct,A7,AdOrders),1),0)</f>
        <v/>
      </c>
      <c r="H7" s="22">
        <f>C7+D7+E7+F7+G7</f>
        <v/>
      </c>
      <c r="I7" s="22">
        <f>B7-H7</f>
        <v/>
      </c>
      <c r="J7" s="22">
        <f>IFERROR(I7/B7,0)</f>
        <v/>
      </c>
    </row>
    <row r="8">
      <c r="A8" s="23" t="inlineStr">
        <is>
          <t>IG Templates</t>
        </is>
      </c>
      <c r="B8" s="27" t="n">
        <v>9</v>
      </c>
      <c r="C8" s="27" t="n">
        <v>0</v>
      </c>
      <c r="D8" s="27">
        <f>FeeListing</f>
        <v/>
      </c>
      <c r="E8" s="27">
        <f>FeeTxn*B8</f>
        <v/>
      </c>
      <c r="F8" s="27">
        <f>FeeProc*B8+FeeProcFixed</f>
        <v/>
      </c>
      <c r="G8" s="27">
        <f>IFERROR(SUMIF(AdProduct,A8,AdSpend)/MAX(SUMIF(AdProduct,A8,AdOrders),1),0)</f>
        <v/>
      </c>
      <c r="H8" s="27">
        <f>C8+D8+E8+F8+G8</f>
        <v/>
      </c>
      <c r="I8" s="27">
        <f>B8-H8</f>
        <v/>
      </c>
      <c r="J8" s="27">
        <f>IFERROR(I8/B8,0)</f>
        <v/>
      </c>
    </row>
    <row r="9">
      <c r="A9" s="18" t="inlineStr">
        <is>
          <t>Mega Bundle</t>
        </is>
      </c>
      <c r="B9" s="29" t="n">
        <v>29</v>
      </c>
      <c r="C9" s="29" t="n">
        <v>0</v>
      </c>
      <c r="D9" s="22">
        <f>FeeListing</f>
        <v/>
      </c>
      <c r="E9" s="22">
        <f>FeeTxn*B9</f>
        <v/>
      </c>
      <c r="F9" s="22">
        <f>FeeProc*B9+FeeProcFixed</f>
        <v/>
      </c>
      <c r="G9" s="22">
        <f>IFERROR(SUMIF(AdProduct,A9,AdSpend)/MAX(SUMIF(AdProduct,A9,AdOrders),1),0)</f>
        <v/>
      </c>
      <c r="H9" s="22">
        <f>C9+D9+E9+F9+G9</f>
        <v/>
      </c>
      <c r="I9" s="22">
        <f>B9-H9</f>
        <v/>
      </c>
      <c r="J9" s="22">
        <f>IFERROR(I9/B9,0)</f>
        <v/>
      </c>
    </row>
    <row r="10">
      <c r="A10" s="23" t="inlineStr">
        <is>
          <t>Sticker Pack</t>
        </is>
      </c>
      <c r="B10" s="27" t="n">
        <v>6</v>
      </c>
      <c r="C10" s="27" t="n">
        <v>0</v>
      </c>
      <c r="D10" s="27">
        <f>FeeListing</f>
        <v/>
      </c>
      <c r="E10" s="27">
        <f>FeeTxn*B10</f>
        <v/>
      </c>
      <c r="F10" s="27">
        <f>FeeProc*B10+FeeProcFixed</f>
        <v/>
      </c>
      <c r="G10" s="27">
        <f>IFERROR(SUMIF(AdProduct,A10,AdSpend)/MAX(SUMIF(AdProduct,A10,AdOrders),1),0)</f>
        <v/>
      </c>
      <c r="H10" s="27">
        <f>C10+D10+E10+F10+G10</f>
        <v/>
      </c>
      <c r="I10" s="27">
        <f>B10-H10</f>
        <v/>
      </c>
      <c r="J10" s="27">
        <f>IFERROR(I10/B10,0)</f>
        <v/>
      </c>
    </row>
  </sheetData>
  <mergeCells count="2">
    <mergeCell ref="A1:J1"/>
    <mergeCell ref="A2:J2"/>
  </mergeCells>
  <conditionalFormatting sqref="J5:J10">
    <cfRule type="dataBar" priority="1">
      <dataBar showValue="1">
        <cfvo type="num" val="0"/>
        <cfvo type="num" val="1"/>
        <color rgb="0075E6C1"/>
      </dataBar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B4F48"/>
    <outlinePr summaryBelow="1" summaryRight="1"/>
    <pageSetUpPr/>
  </sheetPr>
  <dimension ref="A1:F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4" customWidth="1" min="3" max="3"/>
    <col width="4" customWidth="1" min="4" max="4"/>
    <col width="24" customWidth="1" min="5" max="5"/>
    <col width="16" customWidth="1" min="6" max="6"/>
  </cols>
  <sheetData>
    <row r="1" ht="46" customHeight="1">
      <c r="A1" s="1" t="inlineStr">
        <is>
          <t xml:space="preserve">  💳  ETSY FEES BREAKDOWN</t>
        </is>
      </c>
    </row>
    <row r="2" ht="22" customHeight="1">
      <c r="A2" s="2" t="inlineStr">
        <is>
          <t xml:space="preserve">  Every fee, fully transparent — see exactly what Etsy takes and what % of revenue.</t>
        </is>
      </c>
    </row>
    <row r="3" ht="6" customHeight="1">
      <c r="A3" s="3" t="n"/>
      <c r="B3" s="3" t="n"/>
      <c r="C3" s="3" t="n"/>
      <c r="D3" s="3" t="n"/>
      <c r="E3" s="3" t="n"/>
      <c r="F3" s="3" t="n"/>
    </row>
    <row r="4">
      <c r="A4" s="4" t="inlineStr">
        <is>
          <t>FEES THIS MONTH</t>
        </is>
      </c>
    </row>
    <row r="5">
      <c r="A5" s="7" t="inlineStr">
        <is>
          <t>Fee Type</t>
        </is>
      </c>
      <c r="B5" s="7" t="inlineStr">
        <is>
          <t>Amount</t>
        </is>
      </c>
      <c r="C5" s="7" t="inlineStr">
        <is>
          <t>% of Rev</t>
        </is>
      </c>
    </row>
    <row r="6">
      <c r="A6" s="30" t="inlineStr">
        <is>
          <t>Listing Fees</t>
        </is>
      </c>
      <c r="B6" s="31">
        <f>FeeListing*SUM(OrdQty)</f>
        <v/>
      </c>
      <c r="C6" s="32">
        <f>IFERROR(B6/(SUM(OrdSale)+SUM(OrdShip)),0)</f>
        <v/>
      </c>
    </row>
    <row r="7">
      <c r="A7" s="23" t="inlineStr">
        <is>
          <t>Transaction Fees</t>
        </is>
      </c>
      <c r="B7" s="26">
        <f>FeeTxn*(SUM(OrdSale)+SUM(OrdShip))</f>
        <v/>
      </c>
      <c r="C7" s="33">
        <f>IFERROR(B7/(SUM(OrdSale)+SUM(OrdShip)),0)</f>
        <v/>
      </c>
    </row>
    <row r="8">
      <c r="A8" s="30" t="inlineStr">
        <is>
          <t>Processing Fees</t>
        </is>
      </c>
      <c r="B8" s="31">
        <f>FeeProc*(SUM(OrdSale)+SUM(OrdShip))+FeeProcFixed*COUNTA(OrdID)</f>
        <v/>
      </c>
      <c r="C8" s="32">
        <f>IFERROR(B8/(SUM(OrdSale)+SUM(OrdShip)),0)</f>
        <v/>
      </c>
    </row>
    <row r="9">
      <c r="A9" s="23" t="inlineStr">
        <is>
          <t>Offsite Ads Fees</t>
        </is>
      </c>
      <c r="B9" s="26">
        <f>FeeOffsite*SUMIFS(OrdSale,OrdOffsite,"Yes")</f>
        <v/>
      </c>
      <c r="C9" s="33">
        <f>IFERROR(B9/(SUM(OrdSale)+SUM(OrdShip)),0)</f>
        <v/>
      </c>
    </row>
    <row r="10">
      <c r="A10" s="30" t="inlineStr">
        <is>
          <t>Etsy Ads Spend</t>
        </is>
      </c>
      <c r="B10" s="31">
        <f>SUM(AdSpend)</f>
        <v/>
      </c>
      <c r="C10" s="32">
        <f>IFERROR(B10/(SUM(OrdSale)+SUM(OrdShip)),0)</f>
        <v/>
      </c>
    </row>
    <row r="11">
      <c r="A11" s="23" t="inlineStr">
        <is>
          <t>Subscription</t>
        </is>
      </c>
      <c r="B11" s="26">
        <f>FeeSubscription</f>
        <v/>
      </c>
      <c r="C11" s="33">
        <f>IFERROR(B11/(SUM(OrdSale)+SUM(OrdShip)),0)</f>
        <v/>
      </c>
    </row>
    <row r="12">
      <c r="A12" s="7" t="inlineStr">
        <is>
          <t>TOTAL FEES</t>
        </is>
      </c>
      <c r="B12" s="34">
        <f>SUM(B6:B11)</f>
        <v/>
      </c>
      <c r="C12" s="35">
        <f>IFERROR(B12/(SUM(OrdSale)+SUM(OrdShip)),0)</f>
        <v/>
      </c>
    </row>
  </sheetData>
  <mergeCells count="3">
    <mergeCell ref="A2:F2"/>
    <mergeCell ref="A4:C4"/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00937356"/>
    <outlinePr summaryBelow="1" summaryRight="1"/>
    <pageSetUpPr/>
  </sheetPr>
  <dimension ref="A1:M2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0" customWidth="1" min="3" max="3"/>
    <col width="13" customWidth="1" min="4" max="4"/>
    <col width="10" customWidth="1" min="5" max="5"/>
    <col width="9" customWidth="1" min="6" max="6"/>
    <col width="11" customWidth="1" min="7" max="7"/>
    <col width="11" customWidth="1" min="8" max="8"/>
    <col width="9" customWidth="1" min="9" max="9"/>
    <col width="9" customWidth="1" min="10" max="10"/>
    <col width="14" customWidth="1" min="12" max="12"/>
    <col width="12" customWidth="1" min="13" max="13"/>
  </cols>
  <sheetData>
    <row r="1" ht="46" customHeight="1">
      <c r="A1" s="1" t="inlineStr">
        <is>
          <t xml:space="preserve">  📣  ADS PERFORMANCE TRACKER</t>
        </is>
      </c>
    </row>
    <row r="2" ht="22" customHeight="1">
      <c r="A2" s="2" t="inlineStr">
        <is>
          <t xml:space="preserve">  Track Etsy Ads like a pro — ROAS and profit-after-ads calculate themselves.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  <c r="H3" s="3" t="n"/>
    </row>
    <row r="4" ht="30" customHeight="1">
      <c r="A4" s="7" t="inlineStr">
        <is>
          <t>Campaign</t>
        </is>
      </c>
      <c r="B4" s="7" t="inlineStr">
        <is>
          <t>Product</t>
        </is>
      </c>
      <c r="C4" s="7" t="inlineStr">
        <is>
          <t>Spend</t>
        </is>
      </c>
      <c r="D4" s="7" t="inlineStr">
        <is>
          <t>Impressions</t>
        </is>
      </c>
      <c r="E4" s="7" t="inlineStr">
        <is>
          <t>Clicks</t>
        </is>
      </c>
      <c r="F4" s="7" t="inlineStr">
        <is>
          <t>Orders</t>
        </is>
      </c>
      <c r="G4" s="7" t="inlineStr">
        <is>
          <t>Revenue</t>
        </is>
      </c>
      <c r="H4" s="7" t="inlineStr">
        <is>
          <t>Status</t>
        </is>
      </c>
      <c r="I4" s="7" t="inlineStr">
        <is>
          <t>CTR</t>
        </is>
      </c>
      <c r="J4" s="7" t="inlineStr">
        <is>
          <t>ROAS</t>
        </is>
      </c>
      <c r="L4" s="4" t="inlineStr">
        <is>
          <t>TOTALS</t>
        </is>
      </c>
    </row>
    <row r="5">
      <c r="A5" s="18" t="inlineStr">
        <is>
          <t>Budget Planner - Search</t>
        </is>
      </c>
      <c r="B5" s="18" t="inlineStr">
        <is>
          <t>Budget Planner</t>
        </is>
      </c>
      <c r="C5" s="36" t="n">
        <v>12</v>
      </c>
      <c r="D5" s="20" t="n">
        <v>4200</v>
      </c>
      <c r="E5" s="20" t="n">
        <v>168</v>
      </c>
      <c r="F5" s="20" t="n">
        <v>6</v>
      </c>
      <c r="G5" s="36" t="n">
        <v>72</v>
      </c>
      <c r="H5" s="18" t="inlineStr">
        <is>
          <t>Active</t>
        </is>
      </c>
      <c r="I5" s="37">
        <f>IF(D5="","",E5/D5)</f>
        <v/>
      </c>
      <c r="J5" s="38">
        <f>IF(C5="","",IFERROR(G5/C5,0))</f>
        <v/>
      </c>
      <c r="L5" s="39" t="inlineStr">
        <is>
          <t>Ad spend</t>
        </is>
      </c>
      <c r="M5" s="40">
        <f>SUM(AdSpend)</f>
        <v/>
      </c>
    </row>
    <row r="6">
      <c r="A6" s="23" t="inlineStr">
        <is>
          <t>Wedding Suite - Search</t>
        </is>
      </c>
      <c r="B6" s="23" t="inlineStr">
        <is>
          <t>Wedding Suite</t>
        </is>
      </c>
      <c r="C6" s="41" t="n">
        <v>15</v>
      </c>
      <c r="D6" s="25" t="n">
        <v>3100</v>
      </c>
      <c r="E6" s="25" t="n">
        <v>108</v>
      </c>
      <c r="F6" s="25" t="n">
        <v>5</v>
      </c>
      <c r="G6" s="41" t="n">
        <v>90</v>
      </c>
      <c r="H6" s="23" t="inlineStr">
        <is>
          <t>Active</t>
        </is>
      </c>
      <c r="I6" s="33">
        <f>IF(D6="","",E6/D6)</f>
        <v/>
      </c>
      <c r="J6" s="42">
        <f>IF(C6="","",IFERROR(G6/C6,0))</f>
        <v/>
      </c>
      <c r="L6" s="39" t="inlineStr">
        <is>
          <t>Ad revenue</t>
        </is>
      </c>
      <c r="M6" s="40">
        <f>SUM(AdRevenue)</f>
        <v/>
      </c>
    </row>
    <row r="7">
      <c r="A7" s="18" t="inlineStr">
        <is>
          <t>Mega Bundle - Promoted</t>
        </is>
      </c>
      <c r="B7" s="18" t="inlineStr">
        <is>
          <t>Mega Bundle</t>
        </is>
      </c>
      <c r="C7" s="36" t="n">
        <v>18</v>
      </c>
      <c r="D7" s="20" t="n">
        <v>5400</v>
      </c>
      <c r="E7" s="20" t="n">
        <v>210</v>
      </c>
      <c r="F7" s="20" t="n">
        <v>7</v>
      </c>
      <c r="G7" s="36" t="n">
        <v>203</v>
      </c>
      <c r="H7" s="18" t="inlineStr">
        <is>
          <t>Active</t>
        </is>
      </c>
      <c r="I7" s="37">
        <f>IF(D7="","",E7/D7)</f>
        <v/>
      </c>
      <c r="J7" s="38">
        <f>IF(C7="","",IFERROR(G7/C7,0))</f>
        <v/>
      </c>
      <c r="L7" s="39" t="inlineStr">
        <is>
          <t>Blended ROAS</t>
        </is>
      </c>
      <c r="M7" s="43">
        <f>IFERROR(SUM(AdRevenue)/SUM(AdSpend),0)</f>
        <v/>
      </c>
    </row>
    <row r="8">
      <c r="A8" s="23" t="inlineStr">
        <is>
          <t>Resume Bundle - Search</t>
        </is>
      </c>
      <c r="B8" s="23" t="inlineStr">
        <is>
          <t>Resume Bundle</t>
        </is>
      </c>
      <c r="C8" s="41" t="n">
        <v>6</v>
      </c>
      <c r="D8" s="25" t="n">
        <v>1500</v>
      </c>
      <c r="E8" s="25" t="n">
        <v>45</v>
      </c>
      <c r="F8" s="25" t="n">
        <v>2</v>
      </c>
      <c r="G8" s="41" t="n">
        <v>28</v>
      </c>
      <c r="H8" s="23" t="inlineStr">
        <is>
          <t>Paused</t>
        </is>
      </c>
      <c r="I8" s="33">
        <f>IF(D8="","",E8/D8)</f>
        <v/>
      </c>
      <c r="J8" s="42">
        <f>IF(C8="","",IFERROR(G8/C8,0))</f>
        <v/>
      </c>
      <c r="L8" s="39" t="inlineStr">
        <is>
          <t>Orders from ads</t>
        </is>
      </c>
      <c r="M8" s="44">
        <f>SUM(AdOrders)</f>
        <v/>
      </c>
    </row>
    <row r="9">
      <c r="A9" s="18" t="inlineStr">
        <is>
          <t>Sticker Pack - Promoted</t>
        </is>
      </c>
      <c r="B9" s="18" t="inlineStr">
        <is>
          <t>Sticker Pack</t>
        </is>
      </c>
      <c r="C9" s="36" t="n">
        <v>4</v>
      </c>
      <c r="D9" s="20" t="n">
        <v>2200</v>
      </c>
      <c r="E9" s="20" t="n">
        <v>55</v>
      </c>
      <c r="F9" s="20" t="n">
        <v>1</v>
      </c>
      <c r="G9" s="36" t="n">
        <v>6</v>
      </c>
      <c r="H9" s="18" t="inlineStr">
        <is>
          <t>Paused</t>
        </is>
      </c>
      <c r="I9" s="37">
        <f>IF(D9="","",E9/D9)</f>
        <v/>
      </c>
      <c r="J9" s="38">
        <f>IF(C9="","",IFERROR(G9/C9,0))</f>
        <v/>
      </c>
    </row>
    <row r="10">
      <c r="A10" s="23" t="n"/>
      <c r="B10" s="23" t="n"/>
      <c r="C10" s="41" t="n"/>
      <c r="D10" s="25" t="n"/>
      <c r="E10" s="25" t="n"/>
      <c r="F10" s="25" t="n"/>
      <c r="G10" s="41" t="n"/>
      <c r="H10" s="23" t="n"/>
      <c r="I10" s="33">
        <f>IF(D10="","",E10/D10)</f>
        <v/>
      </c>
      <c r="J10" s="42">
        <f>IF(C10="","",IFERROR(G10/C10,0))</f>
        <v/>
      </c>
    </row>
    <row r="11">
      <c r="A11" s="18" t="n"/>
      <c r="B11" s="18" t="n"/>
      <c r="C11" s="36" t="n"/>
      <c r="D11" s="20" t="n"/>
      <c r="E11" s="20" t="n"/>
      <c r="F11" s="20" t="n"/>
      <c r="G11" s="36" t="n"/>
      <c r="H11" s="18" t="n"/>
      <c r="I11" s="37">
        <f>IF(D11="","",E11/D11)</f>
        <v/>
      </c>
      <c r="J11" s="38">
        <f>IF(C11="","",IFERROR(G11/C11,0))</f>
        <v/>
      </c>
    </row>
    <row r="12">
      <c r="A12" s="23" t="n"/>
      <c r="B12" s="23" t="n"/>
      <c r="C12" s="41" t="n"/>
      <c r="D12" s="25" t="n"/>
      <c r="E12" s="25" t="n"/>
      <c r="F12" s="25" t="n"/>
      <c r="G12" s="41" t="n"/>
      <c r="H12" s="23" t="n"/>
      <c r="I12" s="33">
        <f>IF(D12="","",E12/D12)</f>
        <v/>
      </c>
      <c r="J12" s="42">
        <f>IF(C12="","",IFERROR(G12/C12,0))</f>
        <v/>
      </c>
    </row>
    <row r="13">
      <c r="A13" s="18" t="n"/>
      <c r="B13" s="18" t="n"/>
      <c r="C13" s="36" t="n"/>
      <c r="D13" s="20" t="n"/>
      <c r="E13" s="20" t="n"/>
      <c r="F13" s="20" t="n"/>
      <c r="G13" s="36" t="n"/>
      <c r="H13" s="18" t="n"/>
      <c r="I13" s="37">
        <f>IF(D13="","",E13/D13)</f>
        <v/>
      </c>
      <c r="J13" s="38">
        <f>IF(C13="","",IFERROR(G13/C13,0))</f>
        <v/>
      </c>
    </row>
    <row r="14">
      <c r="A14" s="23" t="n"/>
      <c r="B14" s="23" t="n"/>
      <c r="C14" s="41" t="n"/>
      <c r="D14" s="25" t="n"/>
      <c r="E14" s="25" t="n"/>
      <c r="F14" s="25" t="n"/>
      <c r="G14" s="41" t="n"/>
      <c r="H14" s="23" t="n"/>
      <c r="I14" s="33">
        <f>IF(D14="","",E14/D14)</f>
        <v/>
      </c>
      <c r="J14" s="42">
        <f>IF(C14="","",IFERROR(G14/C14,0))</f>
        <v/>
      </c>
    </row>
    <row r="15">
      <c r="A15" s="18" t="n"/>
      <c r="B15" s="18" t="n"/>
      <c r="C15" s="36" t="n"/>
      <c r="D15" s="20" t="n"/>
      <c r="E15" s="20" t="n"/>
      <c r="F15" s="20" t="n"/>
      <c r="G15" s="36" t="n"/>
      <c r="H15" s="18" t="n"/>
      <c r="I15" s="37">
        <f>IF(D15="","",E15/D15)</f>
        <v/>
      </c>
      <c r="J15" s="38">
        <f>IF(C15="","",IFERROR(G15/C15,0))</f>
        <v/>
      </c>
    </row>
    <row r="16">
      <c r="A16" s="23" t="n"/>
      <c r="B16" s="23" t="n"/>
      <c r="C16" s="41" t="n"/>
      <c r="D16" s="25" t="n"/>
      <c r="E16" s="25" t="n"/>
      <c r="F16" s="25" t="n"/>
      <c r="G16" s="41" t="n"/>
      <c r="H16" s="23" t="n"/>
      <c r="I16" s="33">
        <f>IF(D16="","",E16/D16)</f>
        <v/>
      </c>
      <c r="J16" s="42">
        <f>IF(C16="","",IFERROR(G16/C16,0))</f>
        <v/>
      </c>
    </row>
    <row r="17">
      <c r="A17" s="18" t="n"/>
      <c r="B17" s="18" t="n"/>
      <c r="C17" s="36" t="n"/>
      <c r="D17" s="20" t="n"/>
      <c r="E17" s="20" t="n"/>
      <c r="F17" s="20" t="n"/>
      <c r="G17" s="36" t="n"/>
      <c r="H17" s="18" t="n"/>
      <c r="I17" s="37">
        <f>IF(D17="","",E17/D17)</f>
        <v/>
      </c>
      <c r="J17" s="38">
        <f>IF(C17="","",IFERROR(G17/C17,0))</f>
        <v/>
      </c>
    </row>
    <row r="18">
      <c r="A18" s="23" t="n"/>
      <c r="B18" s="23" t="n"/>
      <c r="C18" s="41" t="n"/>
      <c r="D18" s="25" t="n"/>
      <c r="E18" s="25" t="n"/>
      <c r="F18" s="25" t="n"/>
      <c r="G18" s="41" t="n"/>
      <c r="H18" s="23" t="n"/>
      <c r="I18" s="33">
        <f>IF(D18="","",E18/D18)</f>
        <v/>
      </c>
      <c r="J18" s="42">
        <f>IF(C18="","",IFERROR(G18/C18,0))</f>
        <v/>
      </c>
    </row>
    <row r="19">
      <c r="A19" s="18" t="n"/>
      <c r="B19" s="18" t="n"/>
      <c r="C19" s="36" t="n"/>
      <c r="D19" s="20" t="n"/>
      <c r="E19" s="20" t="n"/>
      <c r="F19" s="20" t="n"/>
      <c r="G19" s="36" t="n"/>
      <c r="H19" s="18" t="n"/>
      <c r="I19" s="37">
        <f>IF(D19="","",E19/D19)</f>
        <v/>
      </c>
      <c r="J19" s="38">
        <f>IF(C19="","",IFERROR(G19/C19,0))</f>
        <v/>
      </c>
    </row>
    <row r="20">
      <c r="A20" s="23" t="n"/>
      <c r="B20" s="23" t="n"/>
      <c r="C20" s="41" t="n"/>
      <c r="D20" s="25" t="n"/>
      <c r="E20" s="25" t="n"/>
      <c r="F20" s="25" t="n"/>
      <c r="G20" s="41" t="n"/>
      <c r="H20" s="23" t="n"/>
      <c r="I20" s="33">
        <f>IF(D20="","",E20/D20)</f>
        <v/>
      </c>
      <c r="J20" s="42">
        <f>IF(C20="","",IFERROR(G20/C20,0))</f>
        <v/>
      </c>
    </row>
    <row r="21">
      <c r="A21" s="18" t="n"/>
      <c r="B21" s="18" t="n"/>
      <c r="C21" s="36" t="n"/>
      <c r="D21" s="20" t="n"/>
      <c r="E21" s="20" t="n"/>
      <c r="F21" s="20" t="n"/>
      <c r="G21" s="36" t="n"/>
      <c r="H21" s="18" t="n"/>
      <c r="I21" s="37">
        <f>IF(D21="","",E21/D21)</f>
        <v/>
      </c>
      <c r="J21" s="38">
        <f>IF(C21="","",IFERROR(G21/C21,0))</f>
        <v/>
      </c>
    </row>
    <row r="22">
      <c r="A22" s="23" t="n"/>
      <c r="B22" s="23" t="n"/>
      <c r="C22" s="41" t="n"/>
      <c r="D22" s="25" t="n"/>
      <c r="E22" s="25" t="n"/>
      <c r="F22" s="25" t="n"/>
      <c r="G22" s="41" t="n"/>
      <c r="H22" s="23" t="n"/>
      <c r="I22" s="33">
        <f>IF(D22="","",E22/D22)</f>
        <v/>
      </c>
      <c r="J22" s="42">
        <f>IF(C22="","",IFERROR(G22/C22,0))</f>
        <v/>
      </c>
    </row>
    <row r="23">
      <c r="A23" s="18" t="n"/>
      <c r="B23" s="18" t="n"/>
      <c r="C23" s="36" t="n"/>
      <c r="D23" s="20" t="n"/>
      <c r="E23" s="20" t="n"/>
      <c r="F23" s="20" t="n"/>
      <c r="G23" s="36" t="n"/>
      <c r="H23" s="18" t="n"/>
      <c r="I23" s="37">
        <f>IF(D23="","",E23/D23)</f>
        <v/>
      </c>
      <c r="J23" s="38">
        <f>IF(C23="","",IFERROR(G23/C23,0))</f>
        <v/>
      </c>
    </row>
    <row r="24">
      <c r="A24" s="23" t="n"/>
      <c r="B24" s="23" t="n"/>
      <c r="C24" s="41" t="n"/>
      <c r="D24" s="25" t="n"/>
      <c r="E24" s="25" t="n"/>
      <c r="F24" s="25" t="n"/>
      <c r="G24" s="41" t="n"/>
      <c r="H24" s="23" t="n"/>
      <c r="I24" s="33">
        <f>IF(D24="","",E24/D24)</f>
        <v/>
      </c>
      <c r="J24" s="42">
        <f>IF(C24="","",IFERROR(G24/C24,0))</f>
        <v/>
      </c>
    </row>
    <row r="25">
      <c r="A25" s="18" t="n"/>
      <c r="B25" s="18" t="n"/>
      <c r="C25" s="36" t="n"/>
      <c r="D25" s="20" t="n"/>
      <c r="E25" s="20" t="n"/>
      <c r="F25" s="20" t="n"/>
      <c r="G25" s="36" t="n"/>
      <c r="H25" s="18" t="n"/>
      <c r="I25" s="37">
        <f>IF(D25="","",E25/D25)</f>
        <v/>
      </c>
      <c r="J25" s="38">
        <f>IF(C25="","",IFERROR(G25/C25,0))</f>
        <v/>
      </c>
    </row>
    <row r="26">
      <c r="A26" s="23" t="n"/>
      <c r="B26" s="23" t="n"/>
      <c r="C26" s="41" t="n"/>
      <c r="D26" s="25" t="n"/>
      <c r="E26" s="25" t="n"/>
      <c r="F26" s="25" t="n"/>
      <c r="G26" s="41" t="n"/>
      <c r="H26" s="23" t="n"/>
      <c r="I26" s="33">
        <f>IF(D26="","",E26/D26)</f>
        <v/>
      </c>
      <c r="J26" s="42">
        <f>IF(C26="","",IFERROR(G26/C26,0))</f>
        <v/>
      </c>
    </row>
    <row r="27">
      <c r="A27" s="18" t="n"/>
      <c r="B27" s="18" t="n"/>
      <c r="C27" s="36" t="n"/>
      <c r="D27" s="20" t="n"/>
      <c r="E27" s="20" t="n"/>
      <c r="F27" s="20" t="n"/>
      <c r="G27" s="36" t="n"/>
      <c r="H27" s="18" t="n"/>
      <c r="I27" s="37">
        <f>IF(D27="","",E27/D27)</f>
        <v/>
      </c>
      <c r="J27" s="38">
        <f>IF(C27="","",IFERROR(G27/C27,0))</f>
        <v/>
      </c>
    </row>
    <row r="28">
      <c r="A28" s="23" t="n"/>
      <c r="B28" s="23" t="n"/>
      <c r="C28" s="41" t="n"/>
      <c r="D28" s="25" t="n"/>
      <c r="E28" s="25" t="n"/>
      <c r="F28" s="25" t="n"/>
      <c r="G28" s="41" t="n"/>
      <c r="H28" s="23" t="n"/>
      <c r="I28" s="33">
        <f>IF(D28="","",E28/D28)</f>
        <v/>
      </c>
      <c r="J28" s="42">
        <f>IF(C28="","",IFERROR(G28/C28,0))</f>
        <v/>
      </c>
    </row>
    <row r="29">
      <c r="A29" s="18" t="n"/>
      <c r="B29" s="18" t="n"/>
      <c r="C29" s="36" t="n"/>
      <c r="D29" s="20" t="n"/>
      <c r="E29" s="20" t="n"/>
      <c r="F29" s="20" t="n"/>
      <c r="G29" s="36" t="n"/>
      <c r="H29" s="18" t="n"/>
      <c r="I29" s="37">
        <f>IF(D29="","",E29/D29)</f>
        <v/>
      </c>
      <c r="J29" s="38">
        <f>IF(C29="","",IFERROR(G29/C29,0))</f>
        <v/>
      </c>
    </row>
  </sheetData>
  <mergeCells count="2">
    <mergeCell ref="A2:H2"/>
    <mergeCell ref="A1:H1"/>
  </mergeCells>
  <conditionalFormatting sqref="J5:J29">
    <cfRule type="cellIs" priority="1" operator="greaterThanOrEqual" dxfId="1">
      <formula>3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5E6C1"/>
    <outlinePr summaryBelow="1" summaryRight="1"/>
    <pageSetUpPr/>
  </sheetPr>
  <dimension ref="A1:I4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3" customWidth="1" min="3" max="3"/>
    <col width="12" customWidth="1" min="4" max="4"/>
    <col width="13" customWidth="1" min="5" max="5"/>
    <col width="20" customWidth="1" min="6" max="6"/>
    <col width="16" customWidth="1" min="8" max="8"/>
    <col width="12" customWidth="1" min="9" max="9"/>
  </cols>
  <sheetData>
    <row r="1" ht="46" customHeight="1">
      <c r="A1" s="1" t="inlineStr">
        <is>
          <t xml:space="preserve">  🧰  EXPENSE TRACKER</t>
        </is>
      </c>
    </row>
    <row r="2" ht="22" customHeight="1">
      <c r="A2" s="2" t="inlineStr">
        <is>
          <t xml:space="preserve">  Non-product business costs — because tools &amp; courses eat into profit too.</t>
        </is>
      </c>
    </row>
    <row r="3" ht="6" customHeight="1">
      <c r="A3" s="3" t="n"/>
      <c r="B3" s="3" t="n"/>
      <c r="C3" s="3" t="n"/>
      <c r="D3" s="3" t="n"/>
      <c r="E3" s="3" t="n"/>
      <c r="F3" s="3" t="n"/>
    </row>
    <row r="4" ht="30" customHeight="1">
      <c r="A4" s="7" t="inlineStr">
        <is>
          <t>Expense</t>
        </is>
      </c>
      <c r="B4" s="7" t="inlineStr">
        <is>
          <t>Type</t>
        </is>
      </c>
      <c r="C4" s="7" t="inlineStr">
        <is>
          <t>Date</t>
        </is>
      </c>
      <c r="D4" s="7" t="inlineStr">
        <is>
          <t>Amount</t>
        </is>
      </c>
      <c r="E4" s="7" t="inlineStr">
        <is>
          <t>Frequency</t>
        </is>
      </c>
      <c r="F4" s="7" t="inlineStr">
        <is>
          <t>Notes</t>
        </is>
      </c>
      <c r="H4" s="4" t="inlineStr">
        <is>
          <t>TOTALS</t>
        </is>
      </c>
    </row>
    <row r="5">
      <c r="A5" s="18" t="inlineStr">
        <is>
          <t>Canva Pro</t>
        </is>
      </c>
      <c r="B5" s="22" t="inlineStr">
        <is>
          <t>Software / Tools</t>
        </is>
      </c>
      <c r="C5" s="19" t="n">
        <v>46192</v>
      </c>
      <c r="D5" s="21" t="n">
        <v>13</v>
      </c>
      <c r="E5" s="22" t="inlineStr">
        <is>
          <t>Monthly</t>
        </is>
      </c>
      <c r="F5" s="18" t="inlineStr">
        <is>
          <t>Design</t>
        </is>
      </c>
      <c r="H5" s="39" t="inlineStr">
        <is>
          <t>Total expenses</t>
        </is>
      </c>
      <c r="I5" s="45">
        <f>SUM(ExpAmount)</f>
        <v/>
      </c>
    </row>
    <row r="6">
      <c r="A6" s="23" t="inlineStr">
        <is>
          <t>Creative Market fonts</t>
        </is>
      </c>
      <c r="B6" s="27" t="inlineStr">
        <is>
          <t>Software / Tools</t>
        </is>
      </c>
      <c r="C6" s="24" t="n">
        <v>46184</v>
      </c>
      <c r="D6" s="26" t="n">
        <v>18</v>
      </c>
      <c r="E6" s="27" t="inlineStr">
        <is>
          <t>One-time</t>
        </is>
      </c>
      <c r="F6" s="23" t="inlineStr"/>
    </row>
    <row r="7">
      <c r="A7" s="18" t="inlineStr">
        <is>
          <t>Placeit mockups</t>
        </is>
      </c>
      <c r="B7" s="22" t="inlineStr">
        <is>
          <t>Mockups</t>
        </is>
      </c>
      <c r="C7" s="19" t="n">
        <v>46196</v>
      </c>
      <c r="D7" s="21" t="n">
        <v>15</v>
      </c>
      <c r="E7" s="22" t="inlineStr">
        <is>
          <t>Monthly</t>
        </is>
      </c>
      <c r="F7" s="18" t="inlineStr"/>
    </row>
    <row r="8">
      <c r="A8" s="23" t="inlineStr">
        <is>
          <t>Etsy SEO course</t>
        </is>
      </c>
      <c r="B8" s="27" t="inlineStr">
        <is>
          <t>Education</t>
        </is>
      </c>
      <c r="C8" s="24" t="n">
        <v>46164</v>
      </c>
      <c r="D8" s="26" t="n">
        <v>47</v>
      </c>
      <c r="E8" s="27" t="inlineStr">
        <is>
          <t>One-time</t>
        </is>
      </c>
      <c r="F8" s="23" t="inlineStr">
        <is>
          <t>eRank guide</t>
        </is>
      </c>
    </row>
    <row r="9">
      <c r="A9" s="18" t="inlineStr">
        <is>
          <t>eRank Pro</t>
        </is>
      </c>
      <c r="B9" s="22" t="inlineStr">
        <is>
          <t>Marketing</t>
        </is>
      </c>
      <c r="C9" s="19" t="n">
        <v>46199</v>
      </c>
      <c r="D9" s="21" t="n">
        <v>6</v>
      </c>
      <c r="E9" s="22" t="inlineStr">
        <is>
          <t>Monthly</t>
        </is>
      </c>
      <c r="F9" s="18" t="inlineStr">
        <is>
          <t>Keyword research</t>
        </is>
      </c>
    </row>
    <row r="10">
      <c r="A10" s="23" t="inlineStr">
        <is>
          <t>Domain (shop link)</t>
        </is>
      </c>
      <c r="B10" s="27" t="inlineStr">
        <is>
          <t>Website / Domain</t>
        </is>
      </c>
      <c r="C10" s="24" t="n">
        <v>46144</v>
      </c>
      <c r="D10" s="26" t="n">
        <v>12</v>
      </c>
      <c r="E10" s="27" t="inlineStr">
        <is>
          <t>Annual</t>
        </is>
      </c>
      <c r="F10" s="23" t="inlineStr"/>
    </row>
    <row r="11">
      <c r="A11" s="18" t="n"/>
      <c r="B11" s="22" t="n"/>
      <c r="C11" s="19" t="n"/>
      <c r="D11" s="21" t="n"/>
      <c r="E11" s="22" t="n"/>
      <c r="F11" s="18" t="n"/>
    </row>
    <row r="12">
      <c r="A12" s="23" t="n"/>
      <c r="B12" s="27" t="n"/>
      <c r="C12" s="24" t="n"/>
      <c r="D12" s="26" t="n"/>
      <c r="E12" s="27" t="n"/>
      <c r="F12" s="23" t="n"/>
    </row>
    <row r="13">
      <c r="A13" s="18" t="n"/>
      <c r="B13" s="22" t="n"/>
      <c r="C13" s="19" t="n"/>
      <c r="D13" s="21" t="n"/>
      <c r="E13" s="22" t="n"/>
      <c r="F13" s="18" t="n"/>
    </row>
    <row r="14">
      <c r="A14" s="23" t="n"/>
      <c r="B14" s="27" t="n"/>
      <c r="C14" s="24" t="n"/>
      <c r="D14" s="26" t="n"/>
      <c r="E14" s="27" t="n"/>
      <c r="F14" s="23" t="n"/>
    </row>
    <row r="15">
      <c r="A15" s="18" t="n"/>
      <c r="B15" s="22" t="n"/>
      <c r="C15" s="19" t="n"/>
      <c r="D15" s="21" t="n"/>
      <c r="E15" s="22" t="n"/>
      <c r="F15" s="18" t="n"/>
    </row>
    <row r="16">
      <c r="A16" s="23" t="n"/>
      <c r="B16" s="27" t="n"/>
      <c r="C16" s="24" t="n"/>
      <c r="D16" s="26" t="n"/>
      <c r="E16" s="27" t="n"/>
      <c r="F16" s="23" t="n"/>
    </row>
    <row r="17">
      <c r="A17" s="18" t="n"/>
      <c r="B17" s="22" t="n"/>
      <c r="C17" s="19" t="n"/>
      <c r="D17" s="21" t="n"/>
      <c r="E17" s="22" t="n"/>
      <c r="F17" s="18" t="n"/>
    </row>
    <row r="18">
      <c r="A18" s="23" t="n"/>
      <c r="B18" s="27" t="n"/>
      <c r="C18" s="24" t="n"/>
      <c r="D18" s="26" t="n"/>
      <c r="E18" s="27" t="n"/>
      <c r="F18" s="23" t="n"/>
    </row>
    <row r="19">
      <c r="A19" s="18" t="n"/>
      <c r="B19" s="22" t="n"/>
      <c r="C19" s="19" t="n"/>
      <c r="D19" s="21" t="n"/>
      <c r="E19" s="22" t="n"/>
      <c r="F19" s="18" t="n"/>
    </row>
    <row r="20">
      <c r="A20" s="23" t="n"/>
      <c r="B20" s="27" t="n"/>
      <c r="C20" s="24" t="n"/>
      <c r="D20" s="26" t="n"/>
      <c r="E20" s="27" t="n"/>
      <c r="F20" s="23" t="n"/>
    </row>
    <row r="21">
      <c r="A21" s="18" t="n"/>
      <c r="B21" s="22" t="n"/>
      <c r="C21" s="19" t="n"/>
      <c r="D21" s="21" t="n"/>
      <c r="E21" s="22" t="n"/>
      <c r="F21" s="18" t="n"/>
    </row>
    <row r="22">
      <c r="A22" s="23" t="n"/>
      <c r="B22" s="27" t="n"/>
      <c r="C22" s="24" t="n"/>
      <c r="D22" s="26" t="n"/>
      <c r="E22" s="27" t="n"/>
      <c r="F22" s="23" t="n"/>
    </row>
    <row r="23">
      <c r="A23" s="18" t="n"/>
      <c r="B23" s="22" t="n"/>
      <c r="C23" s="19" t="n"/>
      <c r="D23" s="21" t="n"/>
      <c r="E23" s="22" t="n"/>
      <c r="F23" s="18" t="n"/>
    </row>
    <row r="24">
      <c r="A24" s="23" t="n"/>
      <c r="B24" s="27" t="n"/>
      <c r="C24" s="24" t="n"/>
      <c r="D24" s="26" t="n"/>
      <c r="E24" s="27" t="n"/>
      <c r="F24" s="23" t="n"/>
    </row>
    <row r="25">
      <c r="A25" s="18" t="n"/>
      <c r="B25" s="22" t="n"/>
      <c r="C25" s="19" t="n"/>
      <c r="D25" s="21" t="n"/>
      <c r="E25" s="22" t="n"/>
      <c r="F25" s="18" t="n"/>
    </row>
    <row r="26">
      <c r="A26" s="23" t="n"/>
      <c r="B26" s="27" t="n"/>
      <c r="C26" s="24" t="n"/>
      <c r="D26" s="26" t="n"/>
      <c r="E26" s="27" t="n"/>
      <c r="F26" s="23" t="n"/>
    </row>
    <row r="27">
      <c r="A27" s="18" t="n"/>
      <c r="B27" s="22" t="n"/>
      <c r="C27" s="19" t="n"/>
      <c r="D27" s="21" t="n"/>
      <c r="E27" s="22" t="n"/>
      <c r="F27" s="18" t="n"/>
    </row>
    <row r="28">
      <c r="A28" s="23" t="n"/>
      <c r="B28" s="27" t="n"/>
      <c r="C28" s="24" t="n"/>
      <c r="D28" s="26" t="n"/>
      <c r="E28" s="27" t="n"/>
      <c r="F28" s="23" t="n"/>
    </row>
    <row r="29">
      <c r="A29" s="18" t="n"/>
      <c r="B29" s="22" t="n"/>
      <c r="C29" s="19" t="n"/>
      <c r="D29" s="21" t="n"/>
      <c r="E29" s="22" t="n"/>
      <c r="F29" s="18" t="n"/>
    </row>
    <row r="30">
      <c r="A30" s="23" t="n"/>
      <c r="B30" s="27" t="n"/>
      <c r="C30" s="24" t="n"/>
      <c r="D30" s="26" t="n"/>
      <c r="E30" s="27" t="n"/>
      <c r="F30" s="23" t="n"/>
    </row>
    <row r="31">
      <c r="A31" s="18" t="n"/>
      <c r="B31" s="22" t="n"/>
      <c r="C31" s="19" t="n"/>
      <c r="D31" s="21" t="n"/>
      <c r="E31" s="22" t="n"/>
      <c r="F31" s="18" t="n"/>
    </row>
    <row r="32">
      <c r="A32" s="23" t="n"/>
      <c r="B32" s="27" t="n"/>
      <c r="C32" s="24" t="n"/>
      <c r="D32" s="26" t="n"/>
      <c r="E32" s="27" t="n"/>
      <c r="F32" s="23" t="n"/>
    </row>
    <row r="33">
      <c r="A33" s="18" t="n"/>
      <c r="B33" s="22" t="n"/>
      <c r="C33" s="19" t="n"/>
      <c r="D33" s="21" t="n"/>
      <c r="E33" s="22" t="n"/>
      <c r="F33" s="18" t="n"/>
    </row>
    <row r="34">
      <c r="A34" s="23" t="n"/>
      <c r="B34" s="27" t="n"/>
      <c r="C34" s="24" t="n"/>
      <c r="D34" s="26" t="n"/>
      <c r="E34" s="27" t="n"/>
      <c r="F34" s="23" t="n"/>
    </row>
    <row r="35">
      <c r="A35" s="18" t="n"/>
      <c r="B35" s="22" t="n"/>
      <c r="C35" s="19" t="n"/>
      <c r="D35" s="21" t="n"/>
      <c r="E35" s="22" t="n"/>
      <c r="F35" s="18" t="n"/>
    </row>
    <row r="36">
      <c r="A36" s="23" t="n"/>
      <c r="B36" s="27" t="n"/>
      <c r="C36" s="24" t="n"/>
      <c r="D36" s="26" t="n"/>
      <c r="E36" s="27" t="n"/>
      <c r="F36" s="23" t="n"/>
    </row>
    <row r="37">
      <c r="A37" s="18" t="n"/>
      <c r="B37" s="22" t="n"/>
      <c r="C37" s="19" t="n"/>
      <c r="D37" s="21" t="n"/>
      <c r="E37" s="22" t="n"/>
      <c r="F37" s="18" t="n"/>
    </row>
    <row r="38">
      <c r="A38" s="23" t="n"/>
      <c r="B38" s="27" t="n"/>
      <c r="C38" s="24" t="n"/>
      <c r="D38" s="26" t="n"/>
      <c r="E38" s="27" t="n"/>
      <c r="F38" s="23" t="n"/>
    </row>
    <row r="39">
      <c r="A39" s="18" t="n"/>
      <c r="B39" s="22" t="n"/>
      <c r="C39" s="19" t="n"/>
      <c r="D39" s="21" t="n"/>
      <c r="E39" s="22" t="n"/>
      <c r="F39" s="18" t="n"/>
    </row>
    <row r="40">
      <c r="A40" s="23" t="n"/>
      <c r="B40" s="27" t="n"/>
      <c r="C40" s="24" t="n"/>
      <c r="D40" s="26" t="n"/>
      <c r="E40" s="27" t="n"/>
      <c r="F40" s="23" t="n"/>
    </row>
    <row r="41">
      <c r="A41" s="18" t="n"/>
      <c r="B41" s="22" t="n"/>
      <c r="C41" s="19" t="n"/>
      <c r="D41" s="21" t="n"/>
      <c r="E41" s="22" t="n"/>
      <c r="F41" s="18" t="n"/>
    </row>
    <row r="42">
      <c r="A42" s="23" t="n"/>
      <c r="B42" s="27" t="n"/>
      <c r="C42" s="24" t="n"/>
      <c r="D42" s="26" t="n"/>
      <c r="E42" s="27" t="n"/>
      <c r="F42" s="23" t="n"/>
    </row>
    <row r="43">
      <c r="A43" s="18" t="n"/>
      <c r="B43" s="22" t="n"/>
      <c r="C43" s="19" t="n"/>
      <c r="D43" s="21" t="n"/>
      <c r="E43" s="22" t="n"/>
      <c r="F43" s="18" t="n"/>
    </row>
    <row r="44">
      <c r="A44" s="23" t="n"/>
      <c r="B44" s="27" t="n"/>
      <c r="C44" s="24" t="n"/>
      <c r="D44" s="26" t="n"/>
      <c r="E44" s="27" t="n"/>
      <c r="F44" s="23" t="n"/>
    </row>
  </sheetData>
  <mergeCells count="2">
    <mergeCell ref="A2:F2"/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E5D3BA"/>
    <outlinePr summaryBelow="1" summaryRight="1"/>
    <pageSetUpPr/>
  </sheetPr>
  <dimension ref="A1:H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4" customWidth="1" min="4" max="4"/>
    <col width="12" customWidth="1" min="5" max="5"/>
    <col width="13" customWidth="1" min="6" max="6"/>
    <col width="13" customWidth="1" min="7" max="7"/>
    <col width="13" customWidth="1" min="8" max="8"/>
  </cols>
  <sheetData>
    <row r="1" ht="46" customHeight="1">
      <c r="A1" s="1" t="inlineStr">
        <is>
          <t xml:space="preserve">  📚  PRODUCT LIBRARY</t>
        </is>
      </c>
    </row>
    <row r="2" ht="22" customHeight="1">
      <c r="A2" s="2" t="inlineStr">
        <is>
          <t xml:space="preserve">  Every listing ranked — sales, revenue &amp; profit pulled straight from your orders.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  <c r="H3" s="3" t="n"/>
    </row>
    <row r="4" ht="30" customHeight="1">
      <c r="A4" s="7" t="inlineStr">
        <is>
          <t>Product</t>
        </is>
      </c>
      <c r="B4" s="7" t="inlineStr">
        <is>
          <t>Category</t>
        </is>
      </c>
      <c r="C4" s="7" t="inlineStr">
        <is>
          <t>Price</t>
        </is>
      </c>
      <c r="D4" s="7" t="inlineStr">
        <is>
          <t>Status</t>
        </is>
      </c>
      <c r="E4" s="7" t="inlineStr">
        <is>
          <t>Units Sold</t>
        </is>
      </c>
      <c r="F4" s="7" t="inlineStr">
        <is>
          <t>Revenue</t>
        </is>
      </c>
      <c r="G4" s="7" t="inlineStr">
        <is>
          <t>Profit</t>
        </is>
      </c>
      <c r="H4" s="7" t="inlineStr">
        <is>
          <t>Margin</t>
        </is>
      </c>
    </row>
    <row r="5">
      <c r="A5" s="30" t="inlineStr">
        <is>
          <t>Budget Planner</t>
        </is>
      </c>
      <c r="B5" s="30" t="inlineStr">
        <is>
          <t>Printable</t>
        </is>
      </c>
      <c r="C5" s="46" t="n">
        <v>12</v>
      </c>
      <c r="D5" s="47" t="inlineStr">
        <is>
          <t>Active</t>
        </is>
      </c>
      <c r="E5" s="47">
        <f>SUMIF(OrdProduct,A5,OrdQty)</f>
        <v/>
      </c>
      <c r="F5" s="31">
        <f>SUMIF(OrdProduct,A5,OrdSale)</f>
        <v/>
      </c>
      <c r="G5" s="31">
        <f>SUMIF(OrdProduct,A5,OrdProfit)</f>
        <v/>
      </c>
      <c r="H5" s="48">
        <f>IFERROR(G5/F5,0)</f>
        <v/>
      </c>
    </row>
    <row r="6">
      <c r="A6" s="23" t="inlineStr">
        <is>
          <t>Wedding Suite</t>
        </is>
      </c>
      <c r="B6" s="23" t="inlineStr">
        <is>
          <t>Printable</t>
        </is>
      </c>
      <c r="C6" s="49" t="n">
        <v>18</v>
      </c>
      <c r="D6" s="27" t="inlineStr">
        <is>
          <t>Active</t>
        </is>
      </c>
      <c r="E6" s="27">
        <f>SUMIF(OrdProduct,A6,OrdQty)</f>
        <v/>
      </c>
      <c r="F6" s="26">
        <f>SUMIF(OrdProduct,A6,OrdSale)</f>
        <v/>
      </c>
      <c r="G6" s="26">
        <f>SUMIF(OrdProduct,A6,OrdProfit)</f>
        <v/>
      </c>
      <c r="H6" s="50">
        <f>IFERROR(G6/F6,0)</f>
        <v/>
      </c>
    </row>
    <row r="7">
      <c r="A7" s="30" t="inlineStr">
        <is>
          <t>Resume Bundle</t>
        </is>
      </c>
      <c r="B7" s="30" t="inlineStr">
        <is>
          <t>Template</t>
        </is>
      </c>
      <c r="C7" s="46" t="n">
        <v>14</v>
      </c>
      <c r="D7" s="47" t="inlineStr">
        <is>
          <t>Active</t>
        </is>
      </c>
      <c r="E7" s="47">
        <f>SUMIF(OrdProduct,A7,OrdQty)</f>
        <v/>
      </c>
      <c r="F7" s="31">
        <f>SUMIF(OrdProduct,A7,OrdSale)</f>
        <v/>
      </c>
      <c r="G7" s="31">
        <f>SUMIF(OrdProduct,A7,OrdProfit)</f>
        <v/>
      </c>
      <c r="H7" s="48">
        <f>IFERROR(G7/F7,0)</f>
        <v/>
      </c>
    </row>
    <row r="8">
      <c r="A8" s="23" t="inlineStr">
        <is>
          <t>IG Templates</t>
        </is>
      </c>
      <c r="B8" s="23" t="inlineStr">
        <is>
          <t>Digital</t>
        </is>
      </c>
      <c r="C8" s="49" t="n">
        <v>9</v>
      </c>
      <c r="D8" s="27" t="inlineStr">
        <is>
          <t>Active</t>
        </is>
      </c>
      <c r="E8" s="27">
        <f>SUMIF(OrdProduct,A8,OrdQty)</f>
        <v/>
      </c>
      <c r="F8" s="26">
        <f>SUMIF(OrdProduct,A8,OrdSale)</f>
        <v/>
      </c>
      <c r="G8" s="26">
        <f>SUMIF(OrdProduct,A8,OrdProfit)</f>
        <v/>
      </c>
      <c r="H8" s="50">
        <f>IFERROR(G8/F8,0)</f>
        <v/>
      </c>
    </row>
    <row r="9">
      <c r="A9" s="30" t="inlineStr">
        <is>
          <t>Mega Bundle</t>
        </is>
      </c>
      <c r="B9" s="30" t="inlineStr">
        <is>
          <t>Printable</t>
        </is>
      </c>
      <c r="C9" s="46" t="n">
        <v>29</v>
      </c>
      <c r="D9" s="47" t="inlineStr">
        <is>
          <t>Active</t>
        </is>
      </c>
      <c r="E9" s="47">
        <f>SUMIF(OrdProduct,A9,OrdQty)</f>
        <v/>
      </c>
      <c r="F9" s="31">
        <f>SUMIF(OrdProduct,A9,OrdSale)</f>
        <v/>
      </c>
      <c r="G9" s="31">
        <f>SUMIF(OrdProduct,A9,OrdProfit)</f>
        <v/>
      </c>
      <c r="H9" s="48">
        <f>IFERROR(G9/F9,0)</f>
        <v/>
      </c>
    </row>
    <row r="10">
      <c r="A10" s="23" t="inlineStr">
        <is>
          <t>Sticker Pack</t>
        </is>
      </c>
      <c r="B10" s="23" t="inlineStr">
        <is>
          <t>Digital</t>
        </is>
      </c>
      <c r="C10" s="49" t="n">
        <v>6</v>
      </c>
      <c r="D10" s="27" t="inlineStr">
        <is>
          <t>Active</t>
        </is>
      </c>
      <c r="E10" s="27">
        <f>SUMIF(OrdProduct,A10,OrdQty)</f>
        <v/>
      </c>
      <c r="F10" s="26">
        <f>SUMIF(OrdProduct,A10,OrdSale)</f>
        <v/>
      </c>
      <c r="G10" s="26">
        <f>SUMIF(OrdProduct,A10,OrdProfit)</f>
        <v/>
      </c>
      <c r="H10" s="50">
        <f>IFERROR(G10/F10,0)</f>
        <v/>
      </c>
    </row>
  </sheetData>
  <mergeCells count="2">
    <mergeCell ref="A2:H2"/>
    <mergeCell ref="A1:H1"/>
  </mergeCells>
  <conditionalFormatting sqref="G5:G10">
    <cfRule type="dataBar" priority="1">
      <dataBar showValue="1">
        <cfvo type="num" val="0"/>
        <cfvo type="max"/>
        <color rgb="001B4F48"/>
      </dataBar>
    </cfRule>
  </conditionalFormatting>
  <dataValidations count="2">
    <dataValidation sqref="B5:B10" showDropDown="0" showInputMessage="0" showErrorMessage="0" allowBlank="1" type="list">
      <formula1>=CategoryList</formula1>
    </dataValidation>
    <dataValidation sqref="D5:D10" showDropDown="0" showInputMessage="0" showErrorMessage="0" allowBlank="1" type="list">
      <formula1>=StatusList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tabColor rgb="001B4F48"/>
    <outlinePr summaryBelow="1" summaryRight="1"/>
    <pageSetUpPr/>
  </sheetPr>
  <dimension ref="A1:J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  <col width="12" customWidth="1" min="5" max="5"/>
    <col width="13" customWidth="1" min="6" max="6"/>
    <col width="12" customWidth="1" min="7" max="7"/>
    <col width="3" customWidth="1" min="8" max="8"/>
    <col width="12" customWidth="1" min="9" max="9"/>
    <col width="13" customWidth="1" min="10" max="10"/>
  </cols>
  <sheetData>
    <row r="1" ht="46" customHeight="1">
      <c r="A1" s="1" t="inlineStr">
        <is>
          <t xml:space="preserve">  📆  MONTHLY FINANCIAL SNAPSHOT</t>
        </is>
      </c>
    </row>
    <row r="2" ht="22" customHeight="1">
      <c r="A2" s="2" t="inlineStr">
        <is>
          <t xml:space="preserve">  Your shop's story month by month — revenue, fees, profit &amp; growth.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</row>
    <row r="4" ht="30" customHeight="1">
      <c r="A4" s="7" t="inlineStr">
        <is>
          <t>Month</t>
        </is>
      </c>
      <c r="B4" s="7" t="inlineStr">
        <is>
          <t>Revenue</t>
        </is>
      </c>
      <c r="C4" s="7" t="inlineStr">
        <is>
          <t>Etsy Fees</t>
        </is>
      </c>
      <c r="D4" s="7" t="inlineStr">
        <is>
          <t>Ad Spend</t>
        </is>
      </c>
      <c r="E4" s="7" t="inlineStr">
        <is>
          <t>Expenses</t>
        </is>
      </c>
      <c r="F4" s="7" t="inlineStr">
        <is>
          <t>Net Profit</t>
        </is>
      </c>
      <c r="G4" s="7" t="inlineStr">
        <is>
          <t>Margin</t>
        </is>
      </c>
      <c r="H4" s="7" t="inlineStr">
        <is>
          <t>Growth</t>
        </is>
      </c>
    </row>
    <row r="5">
      <c r="A5" s="30" t="inlineStr">
        <is>
          <t>Feb</t>
        </is>
      </c>
      <c r="B5" s="51" t="n">
        <v>210</v>
      </c>
      <c r="C5" s="52" t="n">
        <v>42</v>
      </c>
      <c r="D5" s="52" t="n">
        <v>20</v>
      </c>
      <c r="E5" s="52" t="n">
        <v>30</v>
      </c>
      <c r="F5" s="52">
        <f>B5-C5-D5-E5</f>
        <v/>
      </c>
      <c r="G5" s="48">
        <f>IFERROR(F5/B5,0)</f>
        <v/>
      </c>
      <c r="H5" s="47" t="inlineStr">
        <is>
          <t>—</t>
        </is>
      </c>
    </row>
    <row r="6">
      <c r="A6" s="23" t="inlineStr">
        <is>
          <t>Mar</t>
        </is>
      </c>
      <c r="B6" s="53" t="n">
        <v>340</v>
      </c>
      <c r="C6" s="41" t="n">
        <v>64</v>
      </c>
      <c r="D6" s="41" t="n">
        <v>25</v>
      </c>
      <c r="E6" s="41" t="n">
        <v>30</v>
      </c>
      <c r="F6" s="41">
        <f>B6-C6-D6-E6</f>
        <v/>
      </c>
      <c r="G6" s="50">
        <f>IFERROR(F6/B6,0)</f>
        <v/>
      </c>
      <c r="H6" s="27">
        <f>IFERROR(B6/B5-1,0)</f>
        <v/>
      </c>
    </row>
    <row r="7">
      <c r="A7" s="30" t="inlineStr">
        <is>
          <t>Apr</t>
        </is>
      </c>
      <c r="B7" s="51" t="n">
        <v>480</v>
      </c>
      <c r="C7" s="52" t="n">
        <v>88</v>
      </c>
      <c r="D7" s="52" t="n">
        <v>35</v>
      </c>
      <c r="E7" s="52" t="n">
        <v>45</v>
      </c>
      <c r="F7" s="52">
        <f>B7-C7-D7-E7</f>
        <v/>
      </c>
      <c r="G7" s="48">
        <f>IFERROR(F7/B7,0)</f>
        <v/>
      </c>
      <c r="H7" s="47">
        <f>IFERROR(B7/B6-1,0)</f>
        <v/>
      </c>
    </row>
    <row r="8">
      <c r="A8" s="23" t="inlineStr">
        <is>
          <t>May</t>
        </is>
      </c>
      <c r="B8" s="53" t="n">
        <v>610</v>
      </c>
      <c r="C8" s="41" t="n">
        <v>110</v>
      </c>
      <c r="D8" s="41" t="n">
        <v>40</v>
      </c>
      <c r="E8" s="41" t="n">
        <v>30</v>
      </c>
      <c r="F8" s="41">
        <f>B8-C8-D8-E8</f>
        <v/>
      </c>
      <c r="G8" s="50">
        <f>IFERROR(F8/B8,0)</f>
        <v/>
      </c>
      <c r="H8" s="27">
        <f>IFERROR(B8/B7-1,0)</f>
        <v/>
      </c>
    </row>
    <row r="9">
      <c r="A9" s="30" t="inlineStr">
        <is>
          <t>Jun</t>
        </is>
      </c>
      <c r="B9" s="51" t="n">
        <v>720</v>
      </c>
      <c r="C9" s="52" t="n">
        <v>128</v>
      </c>
      <c r="D9" s="52" t="n">
        <v>45</v>
      </c>
      <c r="E9" s="52" t="n">
        <v>35</v>
      </c>
      <c r="F9" s="52">
        <f>B9-C9-D9-E9</f>
        <v/>
      </c>
      <c r="G9" s="48">
        <f>IFERROR(F9/B9,0)</f>
        <v/>
      </c>
      <c r="H9" s="47">
        <f>IFERROR(B9/B8-1,0)</f>
        <v/>
      </c>
    </row>
    <row r="10">
      <c r="A10" s="23" t="inlineStr">
        <is>
          <t>Jul</t>
        </is>
      </c>
      <c r="B10" s="53" t="n">
        <v>740</v>
      </c>
      <c r="C10" s="41" t="n">
        <v>132</v>
      </c>
      <c r="D10" s="41" t="n">
        <v>55</v>
      </c>
      <c r="E10" s="41" t="n">
        <v>32</v>
      </c>
      <c r="F10" s="41">
        <f>B10-C10-D10-E10</f>
        <v/>
      </c>
      <c r="G10" s="50">
        <f>IFERROR(F10/B10,0)</f>
        <v/>
      </c>
      <c r="H10" s="27">
        <f>IFERROR(B10/B9-1,0)</f>
        <v/>
      </c>
    </row>
  </sheetData>
  <mergeCells count="2">
    <mergeCell ref="A1:J1"/>
    <mergeCell ref="A2:J2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tabColor rgb="00937356"/>
    <outlinePr summaryBelow="1" summaryRight="1"/>
    <pageSetUpPr/>
  </sheetPr>
  <dimension ref="A1:G1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16" customWidth="1" min="3" max="3"/>
    <col width="6" customWidth="1" min="4" max="4"/>
    <col width="24" customWidth="1" min="5" max="5"/>
    <col width="16" customWidth="1" min="6" max="6"/>
    <col width="2" customWidth="1" min="7" max="7"/>
  </cols>
  <sheetData>
    <row r="1" ht="46" customHeight="1">
      <c r="A1" s="1" t="inlineStr">
        <is>
          <t xml:space="preserve">  🌍  CUSTOMER &amp; ORDER INSIGHTS</t>
        </is>
      </c>
    </row>
    <row r="2" ht="22" customHeight="1">
      <c r="A2" s="2" t="inlineStr">
        <is>
          <t xml:space="preserve">  Who's buying and how — refund rate, order value &amp; repeat-buyer signals.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</row>
    <row r="5">
      <c r="B5" s="4" t="inlineStr">
        <is>
          <t>ORDER METRICS</t>
        </is>
      </c>
      <c r="E5" s="4" t="inlineStr">
        <is>
          <t>TOP COUNTRIES (sample)</t>
        </is>
      </c>
    </row>
    <row r="6">
      <c r="B6" s="39" t="inlineStr">
        <is>
          <t>Total orders</t>
        </is>
      </c>
      <c r="C6" s="44">
        <f>COUNTA(OrdID)</f>
        <v/>
      </c>
      <c r="E6" s="7" t="inlineStr">
        <is>
          <t>Country</t>
        </is>
      </c>
      <c r="F6" s="7" t="inlineStr">
        <is>
          <t>Orders</t>
        </is>
      </c>
    </row>
    <row r="7">
      <c r="B7" s="39" t="inlineStr">
        <is>
          <t>Refund rate</t>
        </is>
      </c>
      <c r="C7" s="54">
        <f>IFERROR(COUNTIF(OrdRefunded,"Yes")/COUNTA(OrdID),0)</f>
        <v/>
      </c>
      <c r="E7" s="30" t="inlineStr">
        <is>
          <t>United States</t>
        </is>
      </c>
      <c r="F7" s="47" t="n">
        <v>28</v>
      </c>
    </row>
    <row r="8">
      <c r="B8" s="39" t="inlineStr">
        <is>
          <t>Avg order value</t>
        </is>
      </c>
      <c r="C8" s="45">
        <f>IFERROR((SUM(OrdSale)+SUM(OrdShip))/COUNTA(OrdID),0)</f>
        <v/>
      </c>
      <c r="E8" s="30" t="inlineStr">
        <is>
          <t>Canada</t>
        </is>
      </c>
      <c r="F8" s="47" t="n">
        <v>6</v>
      </c>
    </row>
    <row r="9">
      <c r="B9" s="39" t="inlineStr">
        <is>
          <t>Avg profit / order</t>
        </is>
      </c>
      <c r="C9" s="45">
        <f>IFERROR(SUM(OrdProfit)/COUNTA(OrdID),0)</f>
        <v/>
      </c>
      <c r="E9" s="30" t="inlineStr">
        <is>
          <t>United Kingdom</t>
        </is>
      </c>
      <c r="F9" s="47" t="n">
        <v>5</v>
      </c>
    </row>
    <row r="10">
      <c r="B10" s="39" t="inlineStr">
        <is>
          <t>Units per order</t>
        </is>
      </c>
      <c r="C10" s="55">
        <f>IFERROR(SUM(OrdQty)/COUNTA(OrdID),0)</f>
        <v/>
      </c>
      <c r="E10" s="30" t="inlineStr">
        <is>
          <t>Australia</t>
        </is>
      </c>
      <c r="F10" s="47" t="n">
        <v>3</v>
      </c>
    </row>
    <row r="11">
      <c r="B11" s="39" t="inlineStr">
        <is>
          <t>Offsite-ad orders</t>
        </is>
      </c>
      <c r="C11" s="44">
        <f>COUNTIF(OrdOffsite,"Yes")</f>
        <v/>
      </c>
      <c r="E11" s="30" t="inlineStr">
        <is>
          <t>Germany</t>
        </is>
      </c>
      <c r="F11" s="47" t="n">
        <v>1</v>
      </c>
    </row>
    <row r="14">
      <c r="B14" s="6" t="inlineStr">
        <is>
          <t>TIP</t>
        </is>
      </c>
    </row>
    <row r="15">
      <c r="B15" s="56" t="inlineStr">
        <is>
          <t>Digital sellers rarely get repeat data from Etsy — watch your refund rate and AOV instead. A rising AOV (via bundles) is the fastest way to grow profit without more traffic.</t>
        </is>
      </c>
    </row>
    <row r="16"/>
  </sheetData>
  <mergeCells count="6">
    <mergeCell ref="A1:G1"/>
    <mergeCell ref="B5:C5"/>
    <mergeCell ref="E5:F5"/>
    <mergeCell ref="A2:G2"/>
    <mergeCell ref="B15:F16"/>
    <mergeCell ref="B14:F1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75E6C1"/>
    <outlinePr summaryBelow="1" summaryRight="1"/>
    <pageSetUpPr/>
  </sheetPr>
  <dimension ref="A1:G1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4" customWidth="1" min="6" max="6"/>
    <col width="22" customWidth="1" min="7" max="7"/>
  </cols>
  <sheetData>
    <row r="1" ht="46" customHeight="1">
      <c r="A1" s="1" t="inlineStr">
        <is>
          <t xml:space="preserve">  🎯  GOAL TRACKER</t>
        </is>
      </c>
    </row>
    <row r="2" ht="22" customHeight="1">
      <c r="A2" s="2" t="inlineStr">
        <is>
          <t xml:space="preserve">  Where your shop is headed — progress bars pull live from your real numbers.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</row>
    <row r="4" ht="30" customHeight="1">
      <c r="A4" s="7" t="inlineStr">
        <is>
          <t>Goal</t>
        </is>
      </c>
      <c r="B4" s="7" t="inlineStr">
        <is>
          <t>Type</t>
        </is>
      </c>
      <c r="C4" s="7" t="inlineStr">
        <is>
          <t>Target</t>
        </is>
      </c>
      <c r="D4" s="7" t="inlineStr">
        <is>
          <t>Current</t>
        </is>
      </c>
      <c r="E4" s="7" t="inlineStr">
        <is>
          <t>Progress</t>
        </is>
      </c>
    </row>
    <row r="5">
      <c r="A5" s="30" t="inlineStr">
        <is>
          <t>Monthly revenue</t>
        </is>
      </c>
      <c r="B5" s="47" t="inlineStr">
        <is>
          <t>Revenue</t>
        </is>
      </c>
      <c r="C5" s="51">
        <f>RevGoal</f>
        <v/>
      </c>
      <c r="D5" s="52">
        <f>SUM(OrdSale)+SUM(OrdShip)</f>
        <v/>
      </c>
      <c r="E5" s="48">
        <f>IFERROR(D5/C5,0)</f>
        <v/>
      </c>
    </row>
    <row r="6">
      <c r="A6" s="23" t="inlineStr">
        <is>
          <t>Monthly profit</t>
        </is>
      </c>
      <c r="B6" s="27" t="inlineStr">
        <is>
          <t>Profit</t>
        </is>
      </c>
      <c r="C6" s="53">
        <f>ProfitGoal</f>
        <v/>
      </c>
      <c r="D6" s="41">
        <f>SUM(OrdProfit)-SUM(AdSpend)-ExpensesTotal</f>
        <v/>
      </c>
      <c r="E6" s="50">
        <f>IFERROR(D6/C6,0)</f>
        <v/>
      </c>
    </row>
    <row r="7">
      <c r="A7" s="30" t="inlineStr">
        <is>
          <t>Active listings</t>
        </is>
      </c>
      <c r="B7" s="47" t="inlineStr">
        <is>
          <t>Listings</t>
        </is>
      </c>
      <c r="C7" s="57" t="n">
        <v>25</v>
      </c>
      <c r="D7" s="58">
        <f>COUNTA(LibName)</f>
        <v/>
      </c>
      <c r="E7" s="48">
        <f>IFERROR(D7/C7,0)</f>
        <v/>
      </c>
    </row>
    <row r="8">
      <c r="A8" s="23" t="inlineStr">
        <is>
          <t>Blended ROAS</t>
        </is>
      </c>
      <c r="B8" s="27" t="inlineStr">
        <is>
          <t>ROAS</t>
        </is>
      </c>
      <c r="C8" s="59" t="n">
        <v>3</v>
      </c>
      <c r="D8" s="42">
        <f>IFERROR(SUM(AdRevenue)/SUM(AdSpend),0)</f>
        <v/>
      </c>
      <c r="E8" s="50">
        <f>IFERROR(D8/C8,0)</f>
        <v/>
      </c>
    </row>
    <row r="9">
      <c r="A9" s="30" t="inlineStr">
        <is>
          <t>Profit margin</t>
        </is>
      </c>
      <c r="B9" s="47" t="inlineStr">
        <is>
          <t>Conversion</t>
        </is>
      </c>
      <c r="C9" s="60" t="n">
        <v>0.6</v>
      </c>
      <c r="D9" s="48">
        <f>IFERROR((SUM(OrdProfit)-SUM(AdSpend)-ExpensesTotal)/(SUM(OrdSale)+SUM(OrdShip)),0)</f>
        <v/>
      </c>
      <c r="E9" s="48">
        <f>IFERROR(D9/C9,0)</f>
        <v/>
      </c>
    </row>
    <row r="10">
      <c r="A10" s="23" t="inlineStr">
        <is>
          <t>Passive income / mo</t>
        </is>
      </c>
      <c r="B10" s="27" t="inlineStr">
        <is>
          <t>Passive</t>
        </is>
      </c>
      <c r="C10" s="53" t="n">
        <v>500</v>
      </c>
      <c r="D10" s="41">
        <f>SUM(OrdProfit)-SUM(AdSpend)-ExpensesTotal</f>
        <v/>
      </c>
      <c r="E10" s="50">
        <f>IFERROR(D10/C10,0)</f>
        <v/>
      </c>
    </row>
  </sheetData>
  <mergeCells count="2">
    <mergeCell ref="A2:G2"/>
    <mergeCell ref="A1:G1"/>
  </mergeCells>
  <conditionalFormatting sqref="E5:E10">
    <cfRule type="dataBar" priority="1">
      <dataBar showValue="1">
        <cfvo type="num" val="0"/>
        <cfvo type="num" val="1"/>
        <color rgb="0075E6C1"/>
      </dataBar>
    </cfRule>
  </conditionalFormatting>
  <dataValidations count="1">
    <dataValidation sqref="B5:B10" showDropDown="0" showInputMessage="0" showErrorMessage="0" allowBlank="1" type="list">
      <formula1>=GoalTypeList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E5D3BA"/>
    <outlinePr summaryBelow="1" summaryRight="1"/>
    <pageSetUpPr/>
  </sheetPr>
  <dimension ref="A1:G1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18" customWidth="1" min="3" max="3"/>
    <col width="6" customWidth="1" min="4" max="4"/>
    <col width="28" customWidth="1" min="5" max="5"/>
    <col width="18" customWidth="1" min="6" max="6"/>
    <col width="2" customWidth="1" min="7" max="7"/>
  </cols>
  <sheetData>
    <row r="1" ht="46" customHeight="1">
      <c r="A1" s="1" t="inlineStr">
        <is>
          <t xml:space="preserve">  💵  CASH FLOW DASHBOARD</t>
        </is>
      </c>
    </row>
    <row r="2" ht="22" customHeight="1">
      <c r="A2" s="2" t="inlineStr">
        <is>
          <t xml:space="preserve">  Money in, money out, and what you actually keep — plus a tax reserve.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</row>
    <row r="5">
      <c r="B5" s="4" t="inlineStr">
        <is>
          <t>THIS MONTH</t>
        </is>
      </c>
      <c r="E5" s="4" t="inlineStr">
        <is>
          <t>RETENTION &amp; TAX</t>
        </is>
      </c>
    </row>
    <row r="6">
      <c r="B6" s="39" t="inlineStr">
        <is>
          <t>Money In (sales + shipping)</t>
        </is>
      </c>
      <c r="C6" s="61">
        <f>SUM(OrdSale)+SUM(OrdShip)</f>
        <v/>
      </c>
      <c r="E6" s="39" t="inlineStr">
        <is>
          <t>Profit retention rate</t>
        </is>
      </c>
      <c r="F6" s="62">
        <f>IFERROR(((SUM(OrdSale)+SUM(OrdShip))-FeesTotal-SUM(AdSpend)-ExpensesTotal)/(SUM(OrdSale)+SUM(OrdShip)),0)</f>
        <v/>
      </c>
    </row>
    <row r="7">
      <c r="B7" s="39" t="inlineStr">
        <is>
          <t>Etsy Fees Out</t>
        </is>
      </c>
      <c r="C7" s="61">
        <f>-FeesTotal</f>
        <v/>
      </c>
      <c r="E7" s="39" t="inlineStr">
        <is>
          <t>Est. tax to set aside</t>
        </is>
      </c>
      <c r="F7" s="45">
        <f>MAX(((SUM(OrdSale)+SUM(OrdShip))-FeesTotal-SUM(AdSpend)-ExpensesTotal)*TaxRate,0)</f>
        <v/>
      </c>
    </row>
    <row r="8">
      <c r="B8" s="39" t="inlineStr">
        <is>
          <t>Ad Spend Out</t>
        </is>
      </c>
      <c r="C8" s="61">
        <f>-SUM(AdSpend)</f>
        <v/>
      </c>
      <c r="E8" s="39" t="inlineStr">
        <is>
          <t>Keep after tax</t>
        </is>
      </c>
      <c r="F8" s="45">
        <f>MAX(((SUM(OrdSale)+SUM(OrdShip))-FeesTotal-SUM(AdSpend)-ExpensesTotal)*(1-TaxRate),0)</f>
        <v/>
      </c>
    </row>
    <row r="9">
      <c r="B9" s="39" t="inlineStr">
        <is>
          <t>Expenses Out</t>
        </is>
      </c>
      <c r="C9" s="61">
        <f>-ExpensesTotal</f>
        <v/>
      </c>
    </row>
    <row r="10">
      <c r="B10" s="39" t="inlineStr">
        <is>
          <t>Refunds Out</t>
        </is>
      </c>
      <c r="C10" s="61">
        <f>-SUMIFS(OrdSale,OrdRefunded,"Yes")</f>
        <v/>
      </c>
    </row>
    <row r="11">
      <c r="B11" s="63" t="inlineStr">
        <is>
          <t>Net Cash Flow</t>
        </is>
      </c>
      <c r="C11" s="61">
        <f>(SUM(OrdSale)+SUM(OrdShip))-FeesTotal-SUM(AdSpend)-ExpensesTotal</f>
        <v/>
      </c>
    </row>
  </sheetData>
  <mergeCells count="4">
    <mergeCell ref="E5:F5"/>
    <mergeCell ref="B5:C5"/>
    <mergeCell ref="A2:G2"/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1B4F48"/>
    <outlinePr summaryBelow="1" summaryRight="1"/>
    <pageSetUpPr/>
  </sheetPr>
  <dimension ref="A1:D1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18" customWidth="1" min="3" max="3"/>
    <col width="2" customWidth="1" min="4" max="4"/>
  </cols>
  <sheetData>
    <row r="1" ht="46" customHeight="1">
      <c r="A1" s="1" t="inlineStr">
        <is>
          <t xml:space="preserve">  🧾  TAX PREPARATION</t>
        </is>
      </c>
    </row>
    <row r="2" ht="22" customHeight="1">
      <c r="A2" s="2" t="inlineStr">
        <is>
          <t xml:space="preserve">  A simple, tax-ready summary. Not tax advice — take this to your accountant.</t>
        </is>
      </c>
    </row>
    <row r="3" ht="6" customHeight="1">
      <c r="A3" s="3" t="n"/>
      <c r="B3" s="3" t="n"/>
      <c r="C3" s="3" t="n"/>
      <c r="D3" s="3" t="n"/>
    </row>
    <row r="5">
      <c r="B5" s="4" t="inlineStr">
        <is>
          <t>TAX-READY SUMMARY</t>
        </is>
      </c>
    </row>
    <row r="6">
      <c r="B6" s="39" t="inlineStr">
        <is>
          <t>Gross revenue</t>
        </is>
      </c>
      <c r="C6" s="45">
        <f>SUM(OrdSale)+SUM(OrdShip)</f>
        <v/>
      </c>
    </row>
    <row r="7">
      <c r="B7" s="39" t="inlineStr">
        <is>
          <t>Etsy fees (deductible)</t>
        </is>
      </c>
      <c r="C7" s="45">
        <f>FeesTotal</f>
        <v/>
      </c>
    </row>
    <row r="8">
      <c r="B8" s="39" t="inlineStr">
        <is>
          <t>Ad spend (deductible)</t>
        </is>
      </c>
      <c r="C8" s="45">
        <f>SUM(AdSpend)</f>
        <v/>
      </c>
    </row>
    <row r="9">
      <c r="B9" s="39" t="inlineStr">
        <is>
          <t>Business expenses (deductible)</t>
        </is>
      </c>
      <c r="C9" s="45">
        <f>ExpensesTotal</f>
        <v/>
      </c>
    </row>
    <row r="10">
      <c r="B10" s="39" t="inlineStr">
        <is>
          <t>Net taxable profit</t>
        </is>
      </c>
      <c r="C10" s="64">
        <f>(SUM(OrdSale)+SUM(OrdShip))-FeesTotal-SUM(AdSpend)-ExpensesTotal</f>
        <v/>
      </c>
    </row>
    <row r="11">
      <c r="B11" s="39" t="inlineStr">
        <is>
          <t>Tax set-aside %</t>
        </is>
      </c>
      <c r="C11" s="62">
        <f>TaxRate</f>
        <v/>
      </c>
    </row>
    <row r="12">
      <c r="B12" s="39" t="inlineStr">
        <is>
          <t>Estimated tax reserve</t>
        </is>
      </c>
      <c r="C12" s="64">
        <f>MAX(((SUM(OrdSale)+SUM(OrdShip))-FeesTotal-SUM(AdSpend)-ExpensesTotal)*TaxRate,0)</f>
        <v/>
      </c>
    </row>
    <row r="14">
      <c r="B14" s="65" t="inlineStr">
        <is>
          <t>Keep receipts for every deductible expense. Set the reserve aside each month so tax season is stress-free.</t>
        </is>
      </c>
      <c r="C14" s="66" t="n"/>
    </row>
  </sheetData>
  <mergeCells count="4">
    <mergeCell ref="B14:C14"/>
    <mergeCell ref="A1:D1"/>
    <mergeCell ref="B5:C5"/>
    <mergeCell ref="A2:D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937356"/>
    <outlinePr summaryBelow="1" summaryRight="1"/>
    <pageSetUpPr/>
  </sheetPr>
  <dimension ref="A1:D1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30" customWidth="1" min="3" max="3"/>
    <col width="2" customWidth="1" min="4" max="4"/>
  </cols>
  <sheetData>
    <row r="1" ht="46" customHeight="1">
      <c r="A1" s="1" t="inlineStr">
        <is>
          <t xml:space="preserve">  🧠  STRATEGY ANALYZER</t>
        </is>
      </c>
    </row>
    <row r="2" ht="22" customHeight="1">
      <c r="A2" s="2" t="inlineStr">
        <is>
          <t xml:space="preserve">  Formula-driven insights — what to scale, what to fix, what to cut.</t>
        </is>
      </c>
    </row>
    <row r="3" ht="6" customHeight="1">
      <c r="A3" s="3" t="n"/>
      <c r="B3" s="3" t="n"/>
      <c r="C3" s="3" t="n"/>
      <c r="D3" s="3" t="n"/>
    </row>
    <row r="5">
      <c r="B5" s="4" t="inlineStr">
        <is>
          <t>AUTOMATED INSIGHTS</t>
        </is>
      </c>
    </row>
    <row r="6" ht="26" customHeight="1">
      <c r="B6" s="39" t="inlineStr">
        <is>
          <t>🏆 Best-selling product</t>
        </is>
      </c>
      <c r="C6" s="67">
        <f>INDEX(LibName,MATCH(MAX(LibRevenue),LibRevenue,0))</f>
        <v/>
      </c>
    </row>
    <row r="7" ht="26" customHeight="1">
      <c r="B7" s="39" t="inlineStr">
        <is>
          <t>💰 Highest-profit product</t>
        </is>
      </c>
      <c r="C7" s="67">
        <f>INDEX(LibName,MATCH(MAX(LibProfit),LibProfit,0))</f>
        <v/>
      </c>
    </row>
    <row r="8" ht="26" customHeight="1">
      <c r="B8" s="39" t="inlineStr">
        <is>
          <t>📈 Best profit margin</t>
        </is>
      </c>
      <c r="C8" s="67">
        <f>INDEX(LibName,MATCH(MAX(LibMargin),LibMargin,0))</f>
        <v/>
      </c>
    </row>
    <row r="9" ht="26" customHeight="1">
      <c r="B9" s="39" t="inlineStr">
        <is>
          <t>⚠ Lowest-profit product</t>
        </is>
      </c>
      <c r="C9" s="67">
        <f>INDEX(LibName,MATCH(MIN(LibProfit),LibProfit,0))</f>
        <v/>
      </c>
    </row>
    <row r="10" ht="26" customHeight="1">
      <c r="B10" s="39" t="inlineStr">
        <is>
          <t>🔻 Fewest units sold</t>
        </is>
      </c>
      <c r="C10" s="67">
        <f>INDEX(LibName,MATCH(MIN(LibUnits),LibUnits,0))</f>
        <v/>
      </c>
    </row>
    <row r="11" ht="26" customHeight="1">
      <c r="B11" s="39" t="inlineStr">
        <is>
          <t>🚀 Best category (by revenue)</t>
        </is>
      </c>
      <c r="C11" s="67">
        <f>INDEX(LibCat,MATCH(MAX(LibRevenue),LibRevenue,0))</f>
        <v/>
      </c>
    </row>
    <row r="13">
      <c r="B13" s="6" t="inlineStr">
        <is>
          <t>PLAYBOOK</t>
        </is>
      </c>
    </row>
    <row r="14" ht="24" customHeight="1">
      <c r="B14" s="39" t="inlineStr">
        <is>
          <t>SCALE</t>
        </is>
      </c>
      <c r="C14" s="30" t="inlineStr">
        <is>
          <t>Put ad budget behind your best-seller &amp; highest-margin items.</t>
        </is>
      </c>
    </row>
    <row r="15" ht="24" customHeight="1">
      <c r="B15" s="39" t="inlineStr">
        <is>
          <t>IMPROVE</t>
        </is>
      </c>
      <c r="C15" s="30" t="inlineStr">
        <is>
          <t>Re-photograph or re-title low-unit listings before cutting them.</t>
        </is>
      </c>
    </row>
    <row r="16" ht="24" customHeight="1">
      <c r="B16" s="39" t="inlineStr">
        <is>
          <t>BUNDLE</t>
        </is>
      </c>
      <c r="C16" s="30" t="inlineStr">
        <is>
          <t>Combine two winners into a higher-priced bundle to lift AOV.</t>
        </is>
      </c>
    </row>
    <row r="17" ht="24" customHeight="1">
      <c r="B17" s="39" t="inlineStr">
        <is>
          <t>CUT</t>
        </is>
      </c>
      <c r="C17" s="30" t="inlineStr">
        <is>
          <t>Retire listings that lose money after ads &amp; fees.</t>
        </is>
      </c>
    </row>
    <row r="18" ht="24" customHeight="1">
      <c r="B18" s="39" t="inlineStr">
        <is>
          <t>RESERVE</t>
        </is>
      </c>
      <c r="C18" s="30" t="inlineStr">
        <is>
          <t>Set aside your tax % every month — see the Tax Prep tab.</t>
        </is>
      </c>
    </row>
  </sheetData>
  <mergeCells count="4">
    <mergeCell ref="B13:C13"/>
    <mergeCell ref="A1:D1"/>
    <mergeCell ref="B5:C5"/>
    <mergeCell ref="A2:D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E5D3BA"/>
    <outlinePr summaryBelow="1" summaryRight="1"/>
    <pageSetUpPr/>
  </sheetPr>
  <dimension ref="A1:J1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16" customWidth="1" min="3" max="3"/>
    <col width="3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46" customHeight="1">
      <c r="A1" s="1" t="inlineStr">
        <is>
          <t xml:space="preserve">  ⚙  SETTINGS</t>
        </is>
      </c>
    </row>
    <row r="2" ht="22" customHeight="1">
      <c r="A2" s="2" t="inlineStr">
        <is>
          <t xml:space="preserve">  Set your fee rates &amp; goals once — every calculation follows. 2026 Etsy defaults included.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</row>
    <row r="5">
      <c r="B5" s="6" t="inlineStr">
        <is>
          <t>FEE RATES &amp; GOALS</t>
        </is>
      </c>
      <c r="E5" s="4" t="inlineStr">
        <is>
          <t>DROPDOWN LISTS</t>
        </is>
      </c>
    </row>
    <row r="6">
      <c r="B6" s="39" t="inlineStr">
        <is>
          <t>Shop Name</t>
        </is>
      </c>
      <c r="C6" s="68" t="inlineStr">
        <is>
          <t>Willow &amp; Oak Co.</t>
        </is>
      </c>
      <c r="E6" s="7" t="inlineStr">
        <is>
          <t>Product Category</t>
        </is>
      </c>
      <c r="F6" s="7" t="inlineStr">
        <is>
          <t>Expense Type</t>
        </is>
      </c>
      <c r="G6" s="7" t="inlineStr">
        <is>
          <t>Fee Type</t>
        </is>
      </c>
      <c r="H6" s="7" t="inlineStr">
        <is>
          <t>Ad Type</t>
        </is>
      </c>
      <c r="I6" s="7" t="inlineStr">
        <is>
          <t>Goal Type</t>
        </is>
      </c>
      <c r="J6" s="7" t="inlineStr">
        <is>
          <t>Status / YesNo</t>
        </is>
      </c>
    </row>
    <row r="7">
      <c r="B7" s="39" t="inlineStr">
        <is>
          <t>Listing Fee ($)</t>
        </is>
      </c>
      <c r="C7" s="46" t="n">
        <v>0.2</v>
      </c>
      <c r="E7" s="30" t="inlineStr">
        <is>
          <t>Printable</t>
        </is>
      </c>
      <c r="F7" s="30" t="inlineStr">
        <is>
          <t>Software / Tools</t>
        </is>
      </c>
      <c r="G7" s="30" t="inlineStr">
        <is>
          <t>Listing</t>
        </is>
      </c>
      <c r="H7" s="30" t="inlineStr">
        <is>
          <t>Etsy Ads</t>
        </is>
      </c>
      <c r="I7" s="30" t="inlineStr">
        <is>
          <t>Revenue</t>
        </is>
      </c>
      <c r="J7" s="30" t="inlineStr">
        <is>
          <t>Active</t>
        </is>
      </c>
    </row>
    <row r="8">
      <c r="B8" s="39" t="inlineStr">
        <is>
          <t>Transaction Fee %</t>
        </is>
      </c>
      <c r="C8" s="69" t="n">
        <v>0.065</v>
      </c>
      <c r="E8" s="30" t="inlineStr">
        <is>
          <t>Digital</t>
        </is>
      </c>
      <c r="F8" s="30" t="inlineStr">
        <is>
          <t>Mockups</t>
        </is>
      </c>
      <c r="G8" s="30" t="inlineStr">
        <is>
          <t>Transaction</t>
        </is>
      </c>
      <c r="H8" s="30" t="inlineStr">
        <is>
          <t>Offsite Ads</t>
        </is>
      </c>
      <c r="I8" s="30" t="inlineStr">
        <is>
          <t>Profit</t>
        </is>
      </c>
      <c r="J8" s="30" t="inlineStr">
        <is>
          <t>Paused</t>
        </is>
      </c>
    </row>
    <row r="9">
      <c r="B9" s="39" t="inlineStr">
        <is>
          <t>Processing Fee %</t>
        </is>
      </c>
      <c r="C9" s="69" t="n">
        <v>0.03</v>
      </c>
      <c r="E9" s="30" t="inlineStr">
        <is>
          <t>Handmade</t>
        </is>
      </c>
      <c r="F9" s="30" t="inlineStr">
        <is>
          <t>Marketing</t>
        </is>
      </c>
      <c r="G9" s="30" t="inlineStr">
        <is>
          <t>Processing</t>
        </is>
      </c>
      <c r="H9" s="30" t="inlineStr">
        <is>
          <t>Social</t>
        </is>
      </c>
      <c r="I9" s="30" t="inlineStr">
        <is>
          <t>Listings</t>
        </is>
      </c>
      <c r="J9" s="30" t="inlineStr">
        <is>
          <t>Sold Out</t>
        </is>
      </c>
    </row>
    <row r="10">
      <c r="B10" s="39" t="inlineStr">
        <is>
          <t>Processing Fixed ($)</t>
        </is>
      </c>
      <c r="C10" s="46" t="n">
        <v>0.25</v>
      </c>
      <c r="E10" s="30" t="inlineStr">
        <is>
          <t>POD</t>
        </is>
      </c>
      <c r="F10" s="30" t="inlineStr">
        <is>
          <t>Education</t>
        </is>
      </c>
      <c r="G10" s="30" t="inlineStr">
        <is>
          <t>Offsite Ads</t>
        </is>
      </c>
      <c r="H10" s="30" t="inlineStr">
        <is>
          <t>Influencer</t>
        </is>
      </c>
      <c r="I10" s="30" t="inlineStr">
        <is>
          <t>ROAS</t>
        </is>
      </c>
      <c r="J10" s="30" t="inlineStr">
        <is>
          <t>Draft</t>
        </is>
      </c>
    </row>
    <row r="11">
      <c r="B11" s="39" t="inlineStr">
        <is>
          <t>Offsite Ads Fee %</t>
        </is>
      </c>
      <c r="C11" s="60" t="n">
        <v>0.15</v>
      </c>
      <c r="E11" s="30" t="inlineStr">
        <is>
          <t>Template</t>
        </is>
      </c>
      <c r="F11" s="30" t="inlineStr">
        <is>
          <t>Freelancers</t>
        </is>
      </c>
      <c r="G11" s="30" t="inlineStr">
        <is>
          <t>Etsy Ads</t>
        </is>
      </c>
      <c r="I11" s="30" t="inlineStr">
        <is>
          <t>Conversion</t>
        </is>
      </c>
      <c r="J11" s="30" t="inlineStr">
        <is>
          <t>—</t>
        </is>
      </c>
    </row>
    <row r="12">
      <c r="B12" s="39" t="inlineStr">
        <is>
          <t>Etsy Subscription ($/mo)</t>
        </is>
      </c>
      <c r="C12" s="51" t="n">
        <v>0</v>
      </c>
      <c r="E12" s="30" t="inlineStr">
        <is>
          <t>Other</t>
        </is>
      </c>
      <c r="F12" s="30" t="inlineStr">
        <is>
          <t>Website / Domain</t>
        </is>
      </c>
      <c r="G12" s="30" t="inlineStr">
        <is>
          <t>Subscription</t>
        </is>
      </c>
      <c r="I12" s="30" t="inlineStr">
        <is>
          <t>Passive</t>
        </is>
      </c>
      <c r="J12" s="30" t="inlineStr">
        <is>
          <t>Yes</t>
        </is>
      </c>
    </row>
    <row r="13">
      <c r="B13" s="39" t="inlineStr">
        <is>
          <t>Tax Set-Aside %</t>
        </is>
      </c>
      <c r="C13" s="60" t="n">
        <v>0.25</v>
      </c>
      <c r="F13" s="30" t="inlineStr">
        <is>
          <t>Other</t>
        </is>
      </c>
      <c r="J13" s="30" t="inlineStr">
        <is>
          <t>No</t>
        </is>
      </c>
    </row>
    <row r="14">
      <c r="B14" s="39" t="inlineStr">
        <is>
          <t>Monthly Revenue Goal</t>
        </is>
      </c>
      <c r="C14" s="51" t="n">
        <v>1000</v>
      </c>
    </row>
    <row r="15">
      <c r="B15" s="39" t="inlineStr">
        <is>
          <t>Monthly Profit Goal</t>
        </is>
      </c>
      <c r="C15" s="51" t="n">
        <v>700</v>
      </c>
    </row>
  </sheetData>
  <mergeCells count="4">
    <mergeCell ref="A1:J1"/>
    <mergeCell ref="B5:C5"/>
    <mergeCell ref="E5:J5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2026-07-01T18:43:06Z</dcterms:created>
  <dcterms:modified xsi:type="dcterms:W3CDTF">2026-07-01T18:43:06Z</dcterms:modified>
</cp:coreProperties>
</file>