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Family Dashboard" sheetId="2" state="visible" r:id="rId2"/>
    <sheet name="Child Profiles" sheetId="3" state="visible" r:id="rId3"/>
    <sheet name="Contacts" sheetId="4" state="visible" r:id="rId4"/>
    <sheet name="Calendar" sheetId="5" state="visible" r:id="rId5"/>
    <sheet name="Events" sheetId="6" state="visible" r:id="rId6"/>
    <sheet name="Supplies" sheetId="7" state="visible" r:id="rId7"/>
    <sheet name="Clothing" sheetId="8" state="visible" r:id="rId8"/>
    <sheet name="Budget" sheetId="9" state="visible" r:id="rId9"/>
    <sheet name="Fees" sheetId="10" state="visible" r:id="rId10"/>
    <sheet name="Extracurriculars" sheetId="11" state="visible" r:id="rId11"/>
    <sheet name="Lunch &amp; Grocery" sheetId="12" state="visible" r:id="rId12"/>
    <sheet name="Homework &amp; Reading" sheetId="13" state="visible" r:id="rId13"/>
    <sheet name="PT Comms" sheetId="14" state="visible" r:id="rId14"/>
    <sheet name="Absences" sheetId="15" state="visible" r:id="rId15"/>
    <sheet name="Grades" sheetId="16" state="visible" r:id="rId16"/>
    <sheet name="Documents" sheetId="17" state="visible" r:id="rId17"/>
    <sheet name="Settings" sheetId="18" state="visible" r:id="rId18"/>
  </sheets>
  <definedNames>
    <definedName name="FamilyName">Settings!$C$6</definedName>
    <definedName name="SchoolYear">Settings!$C$7</definedName>
    <definedName name="FirstDay">Settings!$C$8</definedName>
    <definedName name="Children">Settings!$C$9</definedName>
    <definedName name="Schools">Settings!$C$10</definedName>
    <definedName name="BudgetTotal">Settings!$C$11</definedName>
    <definedName name="Parent1">Settings!$C$12</definedName>
    <definedName name="Parent2">Settings!$C$13</definedName>
    <definedName name="GradeList">Settings!$E$7:$E$20</definedName>
    <definedName name="EventTypeList">Settings!$F$7:$F$14</definedName>
    <definedName name="SupCatList">Settings!$G$7:$G$14</definedName>
    <definedName name="StatusList">Settings!$H$7:$H$9</definedName>
    <definedName name="PaidList">Settings!$I$7:$I$9</definedName>
    <definedName name="ReadyList">Settings!$J$7:$J$9</definedName>
    <definedName name="SubjectList">Settings!$K$7:$K$13</definedName>
    <definedName name="YesNoList">Settings!$L$7:$L$8</definedName>
    <definedName name="ChildName">'Child Profiles'!$B$5:$B$47</definedName>
    <definedName name="EventDate">'Events'!$A$5:$A$54</definedName>
    <definedName name="EventStatus">'Events'!$E$5:$E$54</definedName>
    <definedName name="SupItem">'Supplies'!$A$5:$A$64</definedName>
    <definedName name="SupBought">'Supplies'!$F$5:$F$64</definedName>
    <definedName name="SupCost">'Supplies'!$E$5:$E$64</definedName>
    <definedName name="ClothItem">'Clothing'!$B$5:$B$44</definedName>
    <definedName name="ClothReady">'Clothing'!$D$5:$D$44</definedName>
    <definedName name="BudgetPlan">'Budget'!$C$5:$C$13</definedName>
    <definedName name="BudgetActual">'Budget'!$D$5:$D$13</definedName>
    <definedName name="BudgetPlanTotal">'Budget'!$C$14</definedName>
    <definedName name="BudgetSpent">'Budget'!$D$14</definedName>
    <definedName name="FeeAmt">'Fees'!$D$5:$D$14</definedName>
    <definedName name="FeePaid">'Fees'!$E$5:$E$14</definedName>
    <definedName name="FeeAmtTotal">'Fees'!$D$15</definedName>
    <definedName name="FeePaidTotal">'Fees'!$E$15</definedName>
    <definedName name="DocName">'Documents'!$A$5:$A$34</definedName>
    <definedName name="DocDone">'Documents'!$B$5:$B$34</definedName>
    <definedName name="HealthRange">'Family 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d, yyyy"/>
    <numFmt numFmtId="166" formatCode="&quot;$&quot;#,##0"/>
    <numFmt numFmtId="167" formatCode="mm/dd/yyyy"/>
    <numFmt numFmtId="168" formatCode="&quot;$&quot;#,##0;[Red]-&quot;$&quot;#,##0"/>
    <numFmt numFmtId="169" formatCode="mmm 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9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/>
      <right/>
      <top style="thin">
        <color rgb="00D6D2C8"/>
      </top>
      <bottom/>
      <diagonal/>
    </border>
    <border>
      <left/>
      <right style="thin">
        <color rgb="00D6D2C8"/>
      </right>
      <top style="thin">
        <color rgb="00D6D2C8"/>
      </top>
      <bottom/>
      <diagonal/>
    </border>
    <border>
      <left/>
      <right/>
      <top style="thin">
        <color rgb="00D6D2C8"/>
      </top>
      <bottom style="thin">
        <color rgb="00D6D2C8"/>
      </bottom>
      <diagonal/>
    </border>
    <border>
      <left/>
      <right style="thin">
        <color rgb="00D6D2C8"/>
      </right>
      <top style="thin">
        <color rgb="00D6D2C8"/>
      </top>
      <bottom style="thin">
        <color rgb="00D6D2C8"/>
      </bottom>
      <diagonal/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50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8" borderId="8" applyAlignment="1" pivotButton="0" quotePrefix="0" xfId="0">
      <alignment horizontal="center" vertical="center"/>
    </xf>
    <xf numFmtId="0" fontId="0" fillId="8" borderId="8" pivotButton="0" quotePrefix="0" xfId="0"/>
    <xf numFmtId="3" fontId="13" fillId="8" borderId="2" applyAlignment="1" pivotButton="0" quotePrefix="0" xfId="0">
      <alignment horizontal="center" vertical="center"/>
    </xf>
    <xf numFmtId="0" fontId="0" fillId="8" borderId="2" pivotButton="0" quotePrefix="0" xfId="0"/>
    <xf numFmtId="169" fontId="13" fillId="8" borderId="2" applyAlignment="1" pivotButton="0" quotePrefix="0" xfId="0">
      <alignment horizontal="center" vertical="center"/>
    </xf>
    <xf numFmtId="9" fontId="13" fillId="8" borderId="2" applyAlignment="1" pivotButton="0" quotePrefix="0" xfId="0">
      <alignment horizontal="center" vertical="center"/>
    </xf>
    <xf numFmtId="166" fontId="13" fillId="8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66" fontId="7" fillId="3" borderId="2" applyAlignment="1" pivotButton="0" quotePrefix="0" xfId="8">
      <alignment horizontal="center" vertical="center"/>
    </xf>
    <xf numFmtId="168" fontId="6" fillId="0" borderId="2" applyAlignment="1" pivotButton="0" quotePrefix="0" xfId="6">
      <alignment horizontal="center" vertical="center" wrapText="1"/>
    </xf>
    <xf numFmtId="166" fontId="7" fillId="9" borderId="2" applyAlignment="1" pivotButton="0" quotePrefix="0" xfId="8">
      <alignment horizontal="center" vertical="center"/>
    </xf>
    <xf numFmtId="168" fontId="6" fillId="9" borderId="2" applyAlignment="1" pivotButton="0" quotePrefix="0" xfId="6">
      <alignment horizontal="center" vertical="center" wrapText="1"/>
    </xf>
    <xf numFmtId="166" fontId="11" fillId="3" borderId="2" applyAlignment="1" pivotButton="0" quotePrefix="0" xfId="6">
      <alignment horizontal="center" vertical="center" wrapText="1"/>
    </xf>
    <xf numFmtId="166" fontId="7" fillId="0" borderId="2" applyAlignment="1" pivotButton="0" quotePrefix="0" xfId="10">
      <alignment horizontal="left" vertical="center" indent="1"/>
    </xf>
    <xf numFmtId="166" fontId="7" fillId="6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166" fontId="6" fillId="0" borderId="2" applyAlignment="1" pivotButton="0" quotePrefix="0" xfId="6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3" borderId="2" applyAlignment="1" pivotButton="0" quotePrefix="0" xfId="8">
      <alignment horizontal="center" vertical="center"/>
    </xf>
    <xf numFmtId="0" fontId="7" fillId="9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'Budget'!D4</f>
            </strRef>
          </tx>
          <spPr>
            <a:ln>
              <a:prstDash val="solid"/>
            </a:ln>
          </spPr>
          <cat>
            <numRef>
              <f>'Budget'!$B$5:$B$13</f>
            </numRef>
          </cat>
          <val>
            <numRef>
              <f>'Budget'!$D$5:$D$13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24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🎒  BACK-TO-SCHOOL COMMAND CENTER™</t>
        </is>
      </c>
    </row>
    <row r="2" ht="24" customHeight="1">
      <c r="A2" s="2" t="inlineStr">
        <is>
          <t xml:space="preserve">  The large-family back-to-school system — for 1 to 8 kids.</t>
        </is>
      </c>
    </row>
    <row r="3" ht="6" customHeight="1">
      <c r="A3" s="3" t="n"/>
      <c r="B3" s="3" t="n"/>
      <c r="C3" s="3" t="n"/>
    </row>
    <row r="5">
      <c r="B5" s="4" t="inlineStr">
        <is>
          <t>FROM ONE MOM OF SIX TO YOU</t>
        </is>
      </c>
    </row>
    <row r="6" ht="22" customHeight="1">
      <c r="B6" s="5" t="inlineStr">
        <is>
          <t>I built this because no planner could keep up with SIX kids, four schools and one budget. This is the whole back-to-school season — every child, contact, form, fee, supply, uniform, lunch and deadline — in ONE calm command center. A profile for every child, a live Family Dashboard, a budget that actually adds up, and matching printable pages for the fridge. Works in Google Sheets and Excel, and prints beautifully. Scales from 1 child to a full house.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family name, school year, first day &amp; budget.</t>
        </is>
      </c>
    </row>
    <row r="13" ht="22" customHeight="1">
      <c r="B13" s="8" t="inlineStr">
        <is>
          <t>2.  Fill a Child Profile for each kid — grade, school, sizes, allergies, teacher.</t>
        </is>
      </c>
    </row>
    <row r="14" ht="22" customHeight="1">
      <c r="B14" s="8" t="inlineStr">
        <is>
          <t>3.  Add School &amp; Teacher Contacts and the 2026–2027 Calendar &amp; Events.</t>
        </is>
      </c>
    </row>
    <row r="15" ht="22" customHeight="1">
      <c r="B15" s="8" t="inlineStr">
        <is>
          <t>4.  Work the Supply, Clothing &amp; Fees trackers — the Budget updates live.</t>
        </is>
      </c>
    </row>
    <row r="16" ht="22" customHeight="1">
      <c r="B16" s="8" t="inlineStr">
        <is>
          <t>5.  Use the daily tabs — lunch, homework, comms, absences &amp; grades — all year.</t>
        </is>
      </c>
    </row>
    <row r="17" ht="22" customHeight="1">
      <c r="B17" s="8" t="inlineStr">
        <is>
          <t>6.  Watch the Family Dashboard track readiness, budget &amp; what's still due.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the Rivera family (6 kids across 4 schools) is included so you can see how it all connects — just type over it with your own. Supplies, fees, uniforms, forms and budget roll up into a live Readiness Score. Twelve matching printable PDF pages (child info, backpack &amp; supply checklists, weekly schedule, lunchbox planner, memory pages &amp; more) are included to print and post. Everything works on desktop and phone.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a calmer September — you've got this.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🎒  BACK-TO-SCHOOL COMMAND CENTER™</t>
        </is>
      </c>
    </row>
    <row r="2" ht="24" customHeight="1">
      <c r="A2" s="2" t="inlineStr">
        <is>
          <t xml:space="preserve">  Every child, form, fee &amp; deadline — your whole back-to-school season,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CHILDREN</t>
        </is>
      </c>
      <c r="C5" s="13" t="n"/>
      <c r="D5" s="12" t="inlineStr">
        <is>
          <t>SCHOOLS</t>
        </is>
      </c>
      <c r="E5" s="13" t="n"/>
      <c r="F5" s="12" t="inlineStr">
        <is>
          <t>FIRST DAY</t>
        </is>
      </c>
      <c r="G5" s="13" t="n"/>
      <c r="H5" s="12" t="inlineStr">
        <is>
          <t>SUPPLIES BOUGHT</t>
        </is>
      </c>
      <c r="I5" s="13" t="n"/>
      <c r="J5" s="12" t="inlineStr">
        <is>
          <t>BUDGET SPENT</t>
        </is>
      </c>
      <c r="K5" s="13" t="n"/>
      <c r="L5" s="12" t="inlineStr">
        <is>
          <t>BUDGET LEFT</t>
        </is>
      </c>
      <c r="M5" s="13" t="n"/>
    </row>
    <row r="6" ht="40" customHeight="1">
      <c r="B6" s="14">
        <f>Children</f>
        <v/>
      </c>
      <c r="C6" s="15" t="n"/>
      <c r="D6" s="14">
        <f>Schools</f>
        <v/>
      </c>
      <c r="E6" s="15" t="n"/>
      <c r="F6" s="16">
        <f>FirstDay</f>
        <v/>
      </c>
      <c r="G6" s="15" t="n"/>
      <c r="H6" s="17">
        <f>IFERROR(COUNTIF(SupBought,"Yes")/COUNTA(SupItem),0)</f>
        <v/>
      </c>
      <c r="I6" s="15" t="n"/>
      <c r="J6" s="18">
        <f>BudgetSpent</f>
        <v/>
      </c>
      <c r="K6" s="15" t="n"/>
      <c r="L6" s="18">
        <f>BudgetPlanTotal-BudgetSpent</f>
        <v/>
      </c>
      <c r="M6" s="15" t="n"/>
    </row>
    <row r="8" ht="18" customHeight="1">
      <c r="B8" s="12" t="inlineStr">
        <is>
          <t>FEES PAID</t>
        </is>
      </c>
      <c r="C8" s="13" t="n"/>
      <c r="D8" s="12" t="inlineStr">
        <is>
          <t>FORMS DONE</t>
        </is>
      </c>
      <c r="E8" s="13" t="n"/>
      <c r="F8" s="12" t="inlineStr">
        <is>
          <t>UNIFORMS READY</t>
        </is>
      </c>
      <c r="G8" s="13" t="n"/>
      <c r="H8" s="12" t="inlineStr">
        <is>
          <t>EVENTS (30D)</t>
        </is>
      </c>
      <c r="I8" s="13" t="n"/>
      <c r="J8" s="12" t="inlineStr">
        <is>
          <t>TO-DO OPEN</t>
        </is>
      </c>
      <c r="K8" s="13" t="n"/>
      <c r="L8" s="12" t="inlineStr">
        <is>
          <t>READINESS</t>
        </is>
      </c>
      <c r="M8" s="13" t="n"/>
    </row>
    <row r="9" ht="40" customHeight="1">
      <c r="B9" s="17">
        <f>IFERROR(FeePaidTotal/FeeAmtTotal,0)</f>
        <v/>
      </c>
      <c r="C9" s="15" t="n"/>
      <c r="D9" s="17">
        <f>IFERROR(COUNTIF(DocDone,"Yes")/COUNTA(DocName),0)</f>
        <v/>
      </c>
      <c r="E9" s="15" t="n"/>
      <c r="F9" s="17">
        <f>IFERROR(COUNTIF(ClothReady,"Ready")/COUNTA(ClothItem),0)</f>
        <v/>
      </c>
      <c r="G9" s="15" t="n"/>
      <c r="H9" s="14">
        <f>COUNTIFS(EventDate,"&gt;="&amp;TODAY(),EventDate,"&lt;="&amp;TODAY()+30)</f>
        <v/>
      </c>
      <c r="I9" s="15" t="n"/>
      <c r="J9" s="14">
        <f>COUNTIF(EventStatus,"To Do")+COUNTIF(EventStatus,"In Progress")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BACK-TO-SCHOOL READINESS</t>
        </is>
      </c>
      <c r="H11" s="4" t="inlineStr">
        <is>
          <t>BUDGET BY CATEGORY</t>
        </is>
      </c>
    </row>
    <row r="12" ht="30" customHeight="1">
      <c r="B12" s="9" t="inlineStr">
        <is>
          <t>Area</t>
        </is>
      </c>
      <c r="C12" s="9" t="inlineStr">
        <is>
          <t>Ready</t>
        </is>
      </c>
      <c r="D12" s="9" t="inlineStr">
        <is>
          <t>Status</t>
        </is>
      </c>
    </row>
    <row r="13">
      <c r="B13" s="19" t="inlineStr">
        <is>
          <t>Supplies bought</t>
        </is>
      </c>
      <c r="C13" s="20">
        <f>IFERROR(COUNTIF(SupBought,"Yes")/COUNTA(SupItem),0)</f>
        <v/>
      </c>
      <c r="D13" s="21">
        <f>IF(C13&gt;=0.85,"On track",IF(C13&gt;=0.6,"Almost","Focus"))</f>
        <v/>
      </c>
    </row>
    <row r="14">
      <c r="B14" s="22" t="inlineStr">
        <is>
          <t>Clothing &amp; uniforms</t>
        </is>
      </c>
      <c r="C14" s="23">
        <f>IFERROR(COUNTIF(ClothReady,"Ready")/COUNTA(ClothItem),0)</f>
        <v/>
      </c>
      <c r="D14" s="24">
        <f>IF(C14&gt;=0.85,"On track",IF(C14&gt;=0.6,"Almost","Focus"))</f>
        <v/>
      </c>
    </row>
    <row r="15">
      <c r="B15" s="19" t="inlineStr">
        <is>
          <t>Fees paid</t>
        </is>
      </c>
      <c r="C15" s="20">
        <f>IFERROR(FeePaidTotal/FeeAmtTotal,0)</f>
        <v/>
      </c>
      <c r="D15" s="21">
        <f>IF(C15&gt;=0.85,"On track",IF(C15&gt;=0.6,"Almost","Focus"))</f>
        <v/>
      </c>
    </row>
    <row r="16">
      <c r="B16" s="22" t="inlineStr">
        <is>
          <t>Forms &amp; documents</t>
        </is>
      </c>
      <c r="C16" s="23">
        <f>IFERROR(COUNTIF(DocDone,"Yes")/COUNTA(DocName),0)</f>
        <v/>
      </c>
      <c r="D16" s="24">
        <f>IF(C16&gt;=0.85,"On track",IF(C16&gt;=0.6,"Almost","Focus"))</f>
        <v/>
      </c>
    </row>
    <row r="17">
      <c r="B17" s="19" t="inlineStr">
        <is>
          <t>Overdue caught up</t>
        </is>
      </c>
      <c r="C17" s="20">
        <f>IFERROR(COUNTIFS(EventDate,"&lt;"&amp;TODAY(),EventStatus,"Done")/COUNTIF(EventDate,"&lt;"&amp;TODAY()),0)</f>
        <v/>
      </c>
      <c r="D17" s="21">
        <f>IF(C17&gt;=0.85,"On track",IF(C17&gt;=0.6,"Almost","Focus"))</f>
        <v/>
      </c>
    </row>
    <row r="18">
      <c r="B18" s="22" t="inlineStr">
        <is>
          <t>Budget on track</t>
        </is>
      </c>
      <c r="C18" s="23">
        <f>IFERROR(1-MAX(BudgetSpent-BudgetPlanTotal,0)/BudgetPlanTotal,0)</f>
        <v/>
      </c>
      <c r="D18" s="24">
        <f>IF(C18&gt;=0.85,"On track",IF(C18&gt;=0.6,"Almost","Focus"))</f>
        <v/>
      </c>
    </row>
    <row r="21" ht="26" customHeight="1">
      <c r="B21" s="7" t="inlineStr">
        <is>
          <t>WHAT'S DUE NEXT — see the Events tab</t>
        </is>
      </c>
    </row>
    <row r="23">
      <c r="B23" s="2" t="inlineStr">
        <is>
          <t>Back-to-School Command Center™ — from one mom of six. Edit anything in Settings.</t>
        </is>
      </c>
    </row>
  </sheetData>
  <mergeCells count="30">
    <mergeCell ref="J5:K5"/>
    <mergeCell ref="B23:M23"/>
    <mergeCell ref="F6:G6"/>
    <mergeCell ref="H11:M11"/>
    <mergeCell ref="H9:I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B21:G21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4" customWidth="1" min="4" max="4"/>
    <col width="18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🧒  CHILD PROFILES</t>
        </is>
      </c>
    </row>
    <row r="2" ht="22" customHeight="1">
      <c r="A2" s="2" t="inlineStr">
        <is>
          <t xml:space="preserve">  A profile for every child — grade, school, sizes, allergies &amp; who to call.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Mateo Rivera</t>
        </is>
      </c>
    </row>
    <row r="6" ht="22" customHeight="1">
      <c r="B6" s="25" t="inlineStr">
        <is>
          <t>Grade</t>
        </is>
      </c>
      <c r="C6" s="26" t="inlineStr">
        <is>
          <t>9</t>
        </is>
      </c>
      <c r="E6" s="25" t="inlineStr">
        <is>
          <t>School</t>
        </is>
      </c>
      <c r="F6" s="26" t="inlineStr">
        <is>
          <t>Lincoln High</t>
        </is>
      </c>
    </row>
    <row r="7" ht="22" customHeight="1">
      <c r="B7" s="25" t="inlineStr">
        <is>
          <t>Age</t>
        </is>
      </c>
      <c r="C7" s="26" t="n">
        <v>14</v>
      </c>
      <c r="E7" s="25" t="inlineStr">
        <is>
          <t>Teacher</t>
        </is>
      </c>
      <c r="F7" s="26" t="inlineStr">
        <is>
          <t>TBD</t>
        </is>
      </c>
    </row>
    <row r="8" ht="22" customHeight="1">
      <c r="B8" s="25" t="inlineStr">
        <is>
          <t>Shirt / Dress</t>
        </is>
      </c>
      <c r="C8" s="26" t="inlineStr">
        <is>
          <t>—</t>
        </is>
      </c>
      <c r="E8" s="25" t="inlineStr">
        <is>
          <t>Shoe size</t>
        </is>
      </c>
      <c r="F8" s="26" t="inlineStr">
        <is>
          <t>—</t>
        </is>
      </c>
    </row>
    <row r="9" ht="22" customHeight="1">
      <c r="B9" s="25" t="inlineStr">
        <is>
          <t>Allergies</t>
        </is>
      </c>
      <c r="C9" s="26" t="inlineStr">
        <is>
          <t>None</t>
        </is>
      </c>
      <c r="E9" s="25" t="inlineStr">
        <is>
          <t>Bus / Pickup</t>
        </is>
      </c>
      <c r="F9" s="26" t="inlineStr">
        <is>
          <t>Pickup</t>
        </is>
      </c>
    </row>
    <row r="10" ht="22" customHeight="1">
      <c r="B10" s="25" t="inlineStr">
        <is>
          <t>Uniform</t>
        </is>
      </c>
      <c r="C10" s="26" t="inlineStr">
        <is>
          <t>Navy blazer + khaki</t>
        </is>
      </c>
      <c r="E10" s="25" t="inlineStr">
        <is>
          <t>Emergency #</t>
        </is>
      </c>
      <c r="F10" s="26" t="inlineStr">
        <is>
          <t>(555) 010-0000</t>
        </is>
      </c>
    </row>
    <row r="12" ht="22" customHeight="1">
      <c r="B12" s="4" t="inlineStr">
        <is>
          <t>Sofia Rivera</t>
        </is>
      </c>
    </row>
    <row r="13" ht="22" customHeight="1">
      <c r="B13" s="25" t="inlineStr">
        <is>
          <t>Grade</t>
        </is>
      </c>
      <c r="C13" s="26" t="inlineStr">
        <is>
          <t>7</t>
        </is>
      </c>
      <c r="E13" s="25" t="inlineStr">
        <is>
          <t>School</t>
        </is>
      </c>
      <c r="F13" s="26" t="inlineStr">
        <is>
          <t>Jefferson Middle</t>
        </is>
      </c>
    </row>
    <row r="14" ht="22" customHeight="1">
      <c r="B14" s="25" t="inlineStr">
        <is>
          <t>Age</t>
        </is>
      </c>
      <c r="C14" s="26" t="n">
        <v>12</v>
      </c>
      <c r="E14" s="25" t="inlineStr">
        <is>
          <t>Teacher</t>
        </is>
      </c>
      <c r="F14" s="26" t="inlineStr">
        <is>
          <t>TBD</t>
        </is>
      </c>
    </row>
    <row r="15" ht="22" customHeight="1">
      <c r="B15" s="25" t="inlineStr">
        <is>
          <t>Shirt / Dress</t>
        </is>
      </c>
      <c r="C15" s="26" t="inlineStr">
        <is>
          <t>—</t>
        </is>
      </c>
      <c r="E15" s="25" t="inlineStr">
        <is>
          <t>Shoe size</t>
        </is>
      </c>
      <c r="F15" s="26" t="inlineStr">
        <is>
          <t>—</t>
        </is>
      </c>
    </row>
    <row r="16" ht="22" customHeight="1">
      <c r="B16" s="25" t="inlineStr">
        <is>
          <t>Allergies</t>
        </is>
      </c>
      <c r="C16" s="26" t="inlineStr">
        <is>
          <t>None</t>
        </is>
      </c>
      <c r="E16" s="25" t="inlineStr">
        <is>
          <t>Bus / Pickup</t>
        </is>
      </c>
      <c r="F16" s="26" t="inlineStr">
        <is>
          <t>Pickup</t>
        </is>
      </c>
    </row>
    <row r="17" ht="22" customHeight="1">
      <c r="B17" s="25" t="inlineStr">
        <is>
          <t>Uniform</t>
        </is>
      </c>
      <c r="C17" s="26" t="inlineStr">
        <is>
          <t>No uniform</t>
        </is>
      </c>
      <c r="E17" s="25" t="inlineStr">
        <is>
          <t>Emergency #</t>
        </is>
      </c>
      <c r="F17" s="26" t="inlineStr">
        <is>
          <t>(555) 010-0000</t>
        </is>
      </c>
    </row>
    <row r="19" ht="22" customHeight="1">
      <c r="B19" s="4" t="inlineStr">
        <is>
          <t>Liam Rivera</t>
        </is>
      </c>
    </row>
    <row r="20" ht="22" customHeight="1">
      <c r="B20" s="25" t="inlineStr">
        <is>
          <t>Grade</t>
        </is>
      </c>
      <c r="C20" s="26" t="inlineStr">
        <is>
          <t>5</t>
        </is>
      </c>
      <c r="E20" s="25" t="inlineStr">
        <is>
          <t>School</t>
        </is>
      </c>
      <c r="F20" s="26" t="inlineStr">
        <is>
          <t>Oakwood Elementary</t>
        </is>
      </c>
    </row>
    <row r="21" ht="22" customHeight="1">
      <c r="B21" s="25" t="inlineStr">
        <is>
          <t>Age</t>
        </is>
      </c>
      <c r="C21" s="26" t="n">
        <v>10</v>
      </c>
      <c r="E21" s="25" t="inlineStr">
        <is>
          <t>Teacher</t>
        </is>
      </c>
      <c r="F21" s="26" t="inlineStr">
        <is>
          <t>TBD</t>
        </is>
      </c>
    </row>
    <row r="22" ht="22" customHeight="1">
      <c r="B22" s="25" t="inlineStr">
        <is>
          <t>Shirt / Dress</t>
        </is>
      </c>
      <c r="C22" s="26" t="inlineStr">
        <is>
          <t>—</t>
        </is>
      </c>
      <c r="E22" s="25" t="inlineStr">
        <is>
          <t>Shoe size</t>
        </is>
      </c>
      <c r="F22" s="26" t="inlineStr">
        <is>
          <t>—</t>
        </is>
      </c>
    </row>
    <row r="23" ht="22" customHeight="1">
      <c r="B23" s="25" t="inlineStr">
        <is>
          <t>Allergies</t>
        </is>
      </c>
      <c r="C23" s="26" t="inlineStr">
        <is>
          <t>None</t>
        </is>
      </c>
      <c r="E23" s="25" t="inlineStr">
        <is>
          <t>Bus / Pickup</t>
        </is>
      </c>
      <c r="F23" s="26" t="inlineStr">
        <is>
          <t>Pickup</t>
        </is>
      </c>
    </row>
    <row r="24" ht="22" customHeight="1">
      <c r="B24" s="25" t="inlineStr">
        <is>
          <t>Uniform</t>
        </is>
      </c>
      <c r="C24" s="26" t="inlineStr">
        <is>
          <t>Polo + navy</t>
        </is>
      </c>
      <c r="E24" s="25" t="inlineStr">
        <is>
          <t>Emergency #</t>
        </is>
      </c>
      <c r="F24" s="26" t="inlineStr">
        <is>
          <t>(555) 010-0000</t>
        </is>
      </c>
    </row>
    <row r="26" ht="22" customHeight="1">
      <c r="B26" s="4" t="inlineStr">
        <is>
          <t>Ava Rivera</t>
        </is>
      </c>
    </row>
    <row r="27" ht="22" customHeight="1">
      <c r="B27" s="25" t="inlineStr">
        <is>
          <t>Grade</t>
        </is>
      </c>
      <c r="C27" s="26" t="inlineStr">
        <is>
          <t>3</t>
        </is>
      </c>
      <c r="E27" s="25" t="inlineStr">
        <is>
          <t>School</t>
        </is>
      </c>
      <c r="F27" s="26" t="inlineStr">
        <is>
          <t>Oakwood Elementary</t>
        </is>
      </c>
    </row>
    <row r="28" ht="22" customHeight="1">
      <c r="B28" s="25" t="inlineStr">
        <is>
          <t>Age</t>
        </is>
      </c>
      <c r="C28" s="26" t="n">
        <v>8</v>
      </c>
      <c r="E28" s="25" t="inlineStr">
        <is>
          <t>Teacher</t>
        </is>
      </c>
      <c r="F28" s="26" t="inlineStr">
        <is>
          <t>TBD</t>
        </is>
      </c>
    </row>
    <row r="29" ht="22" customHeight="1">
      <c r="B29" s="25" t="inlineStr">
        <is>
          <t>Shirt / Dress</t>
        </is>
      </c>
      <c r="C29" s="26" t="inlineStr">
        <is>
          <t>—</t>
        </is>
      </c>
      <c r="E29" s="25" t="inlineStr">
        <is>
          <t>Shoe size</t>
        </is>
      </c>
      <c r="F29" s="26" t="inlineStr">
        <is>
          <t>—</t>
        </is>
      </c>
    </row>
    <row r="30" ht="22" customHeight="1">
      <c r="B30" s="25" t="inlineStr">
        <is>
          <t>Allergies</t>
        </is>
      </c>
      <c r="C30" s="26" t="inlineStr">
        <is>
          <t>None</t>
        </is>
      </c>
      <c r="E30" s="25" t="inlineStr">
        <is>
          <t>Bus / Pickup</t>
        </is>
      </c>
      <c r="F30" s="26" t="inlineStr">
        <is>
          <t>Pickup</t>
        </is>
      </c>
    </row>
    <row r="31" ht="22" customHeight="1">
      <c r="B31" s="25" t="inlineStr">
        <is>
          <t>Uniform</t>
        </is>
      </c>
      <c r="C31" s="26" t="inlineStr">
        <is>
          <t>Polo + navy</t>
        </is>
      </c>
      <c r="E31" s="25" t="inlineStr">
        <is>
          <t>Emergency #</t>
        </is>
      </c>
      <c r="F31" s="26" t="inlineStr">
        <is>
          <t>(555) 010-0000</t>
        </is>
      </c>
    </row>
    <row r="33" ht="22" customHeight="1">
      <c r="B33" s="4" t="inlineStr">
        <is>
          <t>Noah Rivera</t>
        </is>
      </c>
    </row>
    <row r="34" ht="22" customHeight="1">
      <c r="B34" s="25" t="inlineStr">
        <is>
          <t>Grade</t>
        </is>
      </c>
      <c r="C34" s="26" t="inlineStr">
        <is>
          <t>1</t>
        </is>
      </c>
      <c r="E34" s="25" t="inlineStr">
        <is>
          <t>School</t>
        </is>
      </c>
      <c r="F34" s="26" t="inlineStr">
        <is>
          <t>Oakwood Elementary</t>
        </is>
      </c>
    </row>
    <row r="35" ht="22" customHeight="1">
      <c r="B35" s="25" t="inlineStr">
        <is>
          <t>Age</t>
        </is>
      </c>
      <c r="C35" s="26" t="n">
        <v>6</v>
      </c>
      <c r="E35" s="25" t="inlineStr">
        <is>
          <t>Teacher</t>
        </is>
      </c>
      <c r="F35" s="26" t="inlineStr">
        <is>
          <t>TBD</t>
        </is>
      </c>
    </row>
    <row r="36" ht="22" customHeight="1">
      <c r="B36" s="25" t="inlineStr">
        <is>
          <t>Shirt / Dress</t>
        </is>
      </c>
      <c r="C36" s="26" t="inlineStr">
        <is>
          <t>—</t>
        </is>
      </c>
      <c r="E36" s="25" t="inlineStr">
        <is>
          <t>Shoe size</t>
        </is>
      </c>
      <c r="F36" s="26" t="inlineStr">
        <is>
          <t>—</t>
        </is>
      </c>
    </row>
    <row r="37" ht="22" customHeight="1">
      <c r="B37" s="25" t="inlineStr">
        <is>
          <t>Allergies</t>
        </is>
      </c>
      <c r="C37" s="26" t="inlineStr">
        <is>
          <t>None</t>
        </is>
      </c>
      <c r="E37" s="25" t="inlineStr">
        <is>
          <t>Bus / Pickup</t>
        </is>
      </c>
      <c r="F37" s="26" t="inlineStr">
        <is>
          <t>Pickup</t>
        </is>
      </c>
    </row>
    <row r="38" ht="22" customHeight="1">
      <c r="B38" s="25" t="inlineStr">
        <is>
          <t>Uniform</t>
        </is>
      </c>
      <c r="C38" s="26" t="inlineStr">
        <is>
          <t>Polo + navy</t>
        </is>
      </c>
      <c r="E38" s="25" t="inlineStr">
        <is>
          <t>Emergency #</t>
        </is>
      </c>
      <c r="F38" s="26" t="inlineStr">
        <is>
          <t>(555) 010-0000</t>
        </is>
      </c>
    </row>
    <row r="40" ht="22" customHeight="1">
      <c r="B40" s="4" t="inlineStr">
        <is>
          <t>Emma Rivera</t>
        </is>
      </c>
    </row>
    <row r="41" ht="22" customHeight="1">
      <c r="B41" s="25" t="inlineStr">
        <is>
          <t>Grade</t>
        </is>
      </c>
      <c r="C41" s="26" t="inlineStr">
        <is>
          <t>PreK</t>
        </is>
      </c>
      <c r="E41" s="25" t="inlineStr">
        <is>
          <t>School</t>
        </is>
      </c>
      <c r="F41" s="26" t="inlineStr">
        <is>
          <t>Little Sprouts</t>
        </is>
      </c>
    </row>
    <row r="42" ht="22" customHeight="1">
      <c r="B42" s="25" t="inlineStr">
        <is>
          <t>Age</t>
        </is>
      </c>
      <c r="C42" s="26" t="n">
        <v>4</v>
      </c>
      <c r="E42" s="25" t="inlineStr">
        <is>
          <t>Teacher</t>
        </is>
      </c>
      <c r="F42" s="26" t="inlineStr">
        <is>
          <t>TBD</t>
        </is>
      </c>
    </row>
    <row r="43" ht="22" customHeight="1">
      <c r="B43" s="25" t="inlineStr">
        <is>
          <t>Shirt / Dress</t>
        </is>
      </c>
      <c r="C43" s="26" t="inlineStr">
        <is>
          <t>—</t>
        </is>
      </c>
      <c r="E43" s="25" t="inlineStr">
        <is>
          <t>Shoe size</t>
        </is>
      </c>
      <c r="F43" s="26" t="inlineStr">
        <is>
          <t>—</t>
        </is>
      </c>
    </row>
    <row r="44" ht="22" customHeight="1">
      <c r="B44" s="25" t="inlineStr">
        <is>
          <t>Allergies</t>
        </is>
      </c>
      <c r="C44" s="26" t="inlineStr">
        <is>
          <t>None</t>
        </is>
      </c>
      <c r="E44" s="25" t="inlineStr">
        <is>
          <t>Bus / Pickup</t>
        </is>
      </c>
      <c r="F44" s="26" t="inlineStr">
        <is>
          <t>Pickup</t>
        </is>
      </c>
    </row>
    <row r="45" ht="22" customHeight="1">
      <c r="B45" s="25" t="inlineStr">
        <is>
          <t>Uniform</t>
        </is>
      </c>
      <c r="C45" s="26" t="inlineStr">
        <is>
          <t>Play clothes</t>
        </is>
      </c>
      <c r="E45" s="25" t="inlineStr">
        <is>
          <t>Emergency #</t>
        </is>
      </c>
      <c r="F45" s="26" t="inlineStr">
        <is>
          <t>(555) 010-0000</t>
        </is>
      </c>
    </row>
  </sheetData>
  <mergeCells count="8">
    <mergeCell ref="B12:F12"/>
    <mergeCell ref="A1:G1"/>
    <mergeCell ref="B33:F33"/>
    <mergeCell ref="B19:F19"/>
    <mergeCell ref="B5:F5"/>
    <mergeCell ref="A2:G2"/>
    <mergeCell ref="B40:F40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  <col width="22" customWidth="1" min="5" max="5"/>
    <col width="22" customWidth="1" min="6" max="6"/>
  </cols>
  <sheetData>
    <row r="1" ht="46" customHeight="1">
      <c r="A1" s="1" t="inlineStr">
        <is>
          <t xml:space="preserve">  ☎  SCHOOL &amp; TEACHER CONTACTS</t>
        </is>
      </c>
    </row>
    <row r="2" ht="22" customHeight="1">
      <c r="A2" s="2" t="inlineStr">
        <is>
          <t xml:space="preserve">  Every school, teacher &amp; office number — no more digging through emails.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School</t>
        </is>
      </c>
      <c r="B4" s="9" t="inlineStr">
        <is>
          <t>Child</t>
        </is>
      </c>
      <c r="C4" s="9" t="inlineStr">
        <is>
          <t>Contact</t>
        </is>
      </c>
      <c r="D4" s="9" t="inlineStr">
        <is>
          <t>Phone</t>
        </is>
      </c>
      <c r="E4" s="9" t="inlineStr">
        <is>
          <t>Email</t>
        </is>
      </c>
      <c r="F4" s="9" t="inlineStr">
        <is>
          <t>Notes</t>
        </is>
      </c>
    </row>
    <row r="5">
      <c r="A5" s="27" t="inlineStr">
        <is>
          <t>Lincoln High</t>
        </is>
      </c>
      <c r="B5" s="28" t="inlineStr">
        <is>
          <t>Mateo</t>
        </is>
      </c>
      <c r="C5" s="27" t="inlineStr">
        <is>
          <t>Front Office</t>
        </is>
      </c>
      <c r="D5" s="28" t="inlineStr">
        <is>
          <t>(555) 201-4000</t>
        </is>
      </c>
      <c r="E5" s="27" t="inlineStr">
        <is>
          <t>office@lincoln.edu</t>
        </is>
      </c>
      <c r="F5" s="27" t="inlineStr">
        <is>
          <t>Attendance line ext. 2</t>
        </is>
      </c>
    </row>
    <row r="6">
      <c r="A6" s="22" t="inlineStr">
        <is>
          <t>Lincoln High</t>
        </is>
      </c>
      <c r="B6" s="24" t="inlineStr">
        <is>
          <t>Mateo</t>
        </is>
      </c>
      <c r="C6" s="22" t="inlineStr">
        <is>
          <t>Ms. Alvarez (advisor)</t>
        </is>
      </c>
      <c r="D6" s="24" t="inlineStr">
        <is>
          <t>(555) 201-4021</t>
        </is>
      </c>
      <c r="E6" s="22" t="inlineStr">
        <is>
          <t>alvarez@lincoln.edu</t>
        </is>
      </c>
      <c r="F6" s="22" t="inlineStr">
        <is>
          <t>Homeroom + counselor</t>
        </is>
      </c>
    </row>
    <row r="7">
      <c r="A7" s="27" t="inlineStr">
        <is>
          <t>Jefferson Middle</t>
        </is>
      </c>
      <c r="B7" s="28" t="inlineStr">
        <is>
          <t>Sofia</t>
        </is>
      </c>
      <c r="C7" s="27" t="inlineStr">
        <is>
          <t>Front Office</t>
        </is>
      </c>
      <c r="D7" s="28" t="inlineStr">
        <is>
          <t>(555) 201-3000</t>
        </is>
      </c>
      <c r="E7" s="27" t="inlineStr">
        <is>
          <t>office@jeffms.edu</t>
        </is>
      </c>
      <c r="F7" s="27" t="inlineStr">
        <is>
          <t>Bell 8:10</t>
        </is>
      </c>
    </row>
    <row r="8">
      <c r="A8" s="22" t="inlineStr">
        <is>
          <t>Jefferson Middle</t>
        </is>
      </c>
      <c r="B8" s="24" t="inlineStr">
        <is>
          <t>Sofia</t>
        </is>
      </c>
      <c r="C8" s="22" t="inlineStr">
        <is>
          <t>Mr. Doyle (band)</t>
        </is>
      </c>
      <c r="D8" s="24" t="inlineStr">
        <is>
          <t>(555) 201-3044</t>
        </is>
      </c>
      <c r="E8" s="22" t="inlineStr">
        <is>
          <t>doyle@jeffms.edu</t>
        </is>
      </c>
      <c r="F8" s="22" t="inlineStr">
        <is>
          <t>Band fees due Sep 5</t>
        </is>
      </c>
    </row>
    <row r="9">
      <c r="A9" s="27" t="inlineStr">
        <is>
          <t>Oakwood Elementary</t>
        </is>
      </c>
      <c r="B9" s="28" t="inlineStr">
        <is>
          <t>Liam/Ava/Noah</t>
        </is>
      </c>
      <c r="C9" s="27" t="inlineStr">
        <is>
          <t>Front Office</t>
        </is>
      </c>
      <c r="D9" s="28" t="inlineStr">
        <is>
          <t>(555) 201-2000</t>
        </is>
      </c>
      <c r="E9" s="27" t="inlineStr">
        <is>
          <t>office@oakwood.edu</t>
        </is>
      </c>
      <c r="F9" s="27" t="inlineStr">
        <is>
          <t>Car line 3:05</t>
        </is>
      </c>
    </row>
    <row r="10">
      <c r="A10" s="22" t="inlineStr">
        <is>
          <t>Oakwood Elementary</t>
        </is>
      </c>
      <c r="B10" s="24" t="inlineStr">
        <is>
          <t>Liam</t>
        </is>
      </c>
      <c r="C10" s="22" t="inlineStr">
        <is>
          <t>Mrs. Kim (Rm 12)</t>
        </is>
      </c>
      <c r="D10" s="24" t="inlineStr">
        <is>
          <t>(555) 201-2012</t>
        </is>
      </c>
      <c r="E10" s="22" t="inlineStr">
        <is>
          <t>kim@oakwood.edu</t>
        </is>
      </c>
      <c r="F10" s="22" t="inlineStr">
        <is>
          <t>Reading log Fri</t>
        </is>
      </c>
    </row>
    <row r="11">
      <c r="A11" s="27" t="inlineStr">
        <is>
          <t>Oakwood Elementary</t>
        </is>
      </c>
      <c r="B11" s="28" t="inlineStr">
        <is>
          <t>Ava</t>
        </is>
      </c>
      <c r="C11" s="27" t="inlineStr">
        <is>
          <t>Ms. Patel (Rm 7)</t>
        </is>
      </c>
      <c r="D11" s="28" t="inlineStr">
        <is>
          <t>(555) 201-2007</t>
        </is>
      </c>
      <c r="E11" s="27" t="inlineStr">
        <is>
          <t>patel@oakwood.edu</t>
        </is>
      </c>
      <c r="F11" s="27" t="inlineStr">
        <is>
          <t>Snack helper list</t>
        </is>
      </c>
    </row>
    <row r="12">
      <c r="A12" s="22" t="inlineStr">
        <is>
          <t>Oakwood Elementary</t>
        </is>
      </c>
      <c r="B12" s="24" t="inlineStr">
        <is>
          <t>Noah</t>
        </is>
      </c>
      <c r="C12" s="22" t="inlineStr">
        <is>
          <t>Mr. Ross (Rm 3)</t>
        </is>
      </c>
      <c r="D12" s="24" t="inlineStr">
        <is>
          <t>(555) 201-2003</t>
        </is>
      </c>
      <c r="E12" s="22" t="inlineStr">
        <is>
          <t>ross@oakwood.edu</t>
        </is>
      </c>
      <c r="F12" s="22" t="inlineStr">
        <is>
          <t>Show &amp; tell Wed</t>
        </is>
      </c>
    </row>
    <row r="13">
      <c r="A13" s="27" t="inlineStr">
        <is>
          <t>Little Sprouts</t>
        </is>
      </c>
      <c r="B13" s="28" t="inlineStr">
        <is>
          <t>Emma</t>
        </is>
      </c>
      <c r="C13" s="27" t="inlineStr">
        <is>
          <t>Ms. Dana</t>
        </is>
      </c>
      <c r="D13" s="28" t="inlineStr">
        <is>
          <t>(555) 201-1000</t>
        </is>
      </c>
      <c r="E13" s="27" t="inlineStr">
        <is>
          <t>hello@littlesprouts.com</t>
        </is>
      </c>
      <c r="F13" s="27" t="inlineStr">
        <is>
          <t>Half day T/Th</t>
        </is>
      </c>
    </row>
    <row r="14">
      <c r="A14" s="22" t="inlineStr">
        <is>
          <t>District</t>
        </is>
      </c>
      <c r="B14" s="24" t="inlineStr">
        <is>
          <t>All</t>
        </is>
      </c>
      <c r="C14" s="22" t="inlineStr">
        <is>
          <t>Transportation</t>
        </is>
      </c>
      <c r="D14" s="24" t="inlineStr">
        <is>
          <t>(555) 201-9000</t>
        </is>
      </c>
      <c r="E14" s="22" t="inlineStr">
        <is>
          <t>bus@district.org</t>
        </is>
      </c>
      <c r="F14" s="22" t="inlineStr">
        <is>
          <t>Route Q — 7:42 am</t>
        </is>
      </c>
    </row>
    <row r="15">
      <c r="A15" s="27" t="inlineStr">
        <is>
          <t>District</t>
        </is>
      </c>
      <c r="B15" s="28" t="inlineStr">
        <is>
          <t>All</t>
        </is>
      </c>
      <c r="C15" s="27" t="inlineStr">
        <is>
          <t>Nurse (Oakwood)</t>
        </is>
      </c>
      <c r="D15" s="28" t="inlineStr">
        <is>
          <t>(555) 201-2050</t>
        </is>
      </c>
      <c r="E15" s="27" t="inlineStr">
        <is>
          <t>nurse@oakwood.edu</t>
        </is>
      </c>
      <c r="F15" s="27" t="inlineStr">
        <is>
          <t>Med forms on file</t>
        </is>
      </c>
    </row>
    <row r="16">
      <c r="A16" s="22" t="n"/>
      <c r="B16" s="24" t="n"/>
      <c r="C16" s="22" t="n"/>
      <c r="D16" s="24" t="n"/>
      <c r="E16" s="22" t="n"/>
      <c r="F16" s="22" t="n"/>
    </row>
    <row r="17">
      <c r="A17" s="27" t="n"/>
      <c r="B17" s="28" t="n"/>
      <c r="C17" s="27" t="n"/>
      <c r="D17" s="28" t="n"/>
      <c r="E17" s="27" t="n"/>
      <c r="F17" s="27" t="n"/>
    </row>
    <row r="18">
      <c r="A18" s="22" t="n"/>
      <c r="B18" s="24" t="n"/>
      <c r="C18" s="22" t="n"/>
      <c r="D18" s="24" t="n"/>
      <c r="E18" s="22" t="n"/>
      <c r="F18" s="22" t="n"/>
    </row>
    <row r="19">
      <c r="A19" s="27" t="n"/>
      <c r="B19" s="28" t="n"/>
      <c r="C19" s="27" t="n"/>
      <c r="D19" s="28" t="n"/>
      <c r="E19" s="27" t="n"/>
      <c r="F19" s="27" t="n"/>
    </row>
    <row r="20">
      <c r="A20" s="22" t="n"/>
      <c r="B20" s="24" t="n"/>
      <c r="C20" s="22" t="n"/>
      <c r="D20" s="24" t="n"/>
      <c r="E20" s="22" t="n"/>
      <c r="F20" s="22" t="n"/>
    </row>
    <row r="21">
      <c r="A21" s="27" t="n"/>
      <c r="B21" s="28" t="n"/>
      <c r="C21" s="27" t="n"/>
      <c r="D21" s="28" t="n"/>
      <c r="E21" s="27" t="n"/>
      <c r="F21" s="27" t="n"/>
    </row>
    <row r="22">
      <c r="A22" s="22" t="n"/>
      <c r="B22" s="24" t="n"/>
      <c r="C22" s="22" t="n"/>
      <c r="D22" s="24" t="n"/>
      <c r="E22" s="22" t="n"/>
      <c r="F22" s="22" t="n"/>
    </row>
    <row r="23">
      <c r="A23" s="27" t="n"/>
      <c r="B23" s="28" t="n"/>
      <c r="C23" s="27" t="n"/>
      <c r="D23" s="28" t="n"/>
      <c r="E23" s="27" t="n"/>
      <c r="F23" s="27" t="n"/>
    </row>
    <row r="24">
      <c r="A24" s="22" t="n"/>
      <c r="B24" s="24" t="n"/>
      <c r="C24" s="22" t="n"/>
      <c r="D24" s="24" t="n"/>
      <c r="E24" s="22" t="n"/>
      <c r="F24" s="22" t="n"/>
    </row>
    <row r="25">
      <c r="A25" s="27" t="n"/>
      <c r="B25" s="28" t="n"/>
      <c r="C25" s="27" t="n"/>
      <c r="D25" s="28" t="n"/>
      <c r="E25" s="27" t="n"/>
      <c r="F25" s="27" t="n"/>
    </row>
    <row r="26">
      <c r="A26" s="22" t="n"/>
      <c r="B26" s="24" t="n"/>
      <c r="C26" s="22" t="n"/>
      <c r="D26" s="24" t="n"/>
      <c r="E26" s="22" t="n"/>
      <c r="F26" s="22" t="n"/>
    </row>
    <row r="27">
      <c r="A27" s="27" t="n"/>
      <c r="B27" s="28" t="n"/>
      <c r="C27" s="27" t="n"/>
      <c r="D27" s="28" t="n"/>
      <c r="E27" s="27" t="n"/>
      <c r="F27" s="27" t="n"/>
    </row>
    <row r="28">
      <c r="A28" s="22" t="n"/>
      <c r="B28" s="24" t="n"/>
      <c r="C28" s="22" t="n"/>
      <c r="D28" s="24" t="n"/>
      <c r="E28" s="22" t="n"/>
      <c r="F28" s="22" t="n"/>
    </row>
    <row r="29">
      <c r="A29" s="27" t="n"/>
      <c r="B29" s="28" t="n"/>
      <c r="C29" s="27" t="n"/>
      <c r="D29" s="28" t="n"/>
      <c r="E29" s="27" t="n"/>
      <c r="F29" s="27" t="n"/>
    </row>
    <row r="30">
      <c r="A30" s="22" t="n"/>
      <c r="B30" s="24" t="n"/>
      <c r="C30" s="22" t="n"/>
      <c r="D30" s="24" t="n"/>
      <c r="E30" s="22" t="n"/>
      <c r="F30" s="22" t="n"/>
    </row>
    <row r="31">
      <c r="A31" s="27" t="n"/>
      <c r="B31" s="28" t="n"/>
      <c r="C31" s="27" t="n"/>
      <c r="D31" s="28" t="n"/>
      <c r="E31" s="27" t="n"/>
      <c r="F31" s="27" t="n"/>
    </row>
    <row r="32">
      <c r="A32" s="22" t="n"/>
      <c r="B32" s="24" t="n"/>
      <c r="C32" s="22" t="n"/>
      <c r="D32" s="24" t="n"/>
      <c r="E32" s="22" t="n"/>
      <c r="F32" s="22" t="n"/>
    </row>
    <row r="33">
      <c r="A33" s="27" t="n"/>
      <c r="B33" s="28" t="n"/>
      <c r="C33" s="27" t="n"/>
      <c r="D33" s="28" t="n"/>
      <c r="E33" s="27" t="n"/>
      <c r="F33" s="27" t="n"/>
    </row>
    <row r="34">
      <c r="A34" s="22" t="n"/>
      <c r="B34" s="24" t="n"/>
      <c r="C34" s="22" t="n"/>
      <c r="D34" s="24" t="n"/>
      <c r="E34" s="22" t="n"/>
      <c r="F34" s="22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6" customWidth="1" min="5" max="5"/>
  </cols>
  <sheetData>
    <row r="1" ht="46" customHeight="1">
      <c r="A1" s="1" t="inlineStr">
        <is>
          <t xml:space="preserve">  🗓  2026–2027 SCHOOL CALENDAR</t>
        </is>
      </c>
    </row>
    <row r="2" ht="22" customHeight="1">
      <c r="A2" s="2" t="inlineStr">
        <is>
          <t xml:space="preserve">  The whole year at a glance — holidays, deadlines, trips &amp; meetings.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Date</t>
        </is>
      </c>
      <c r="B4" s="9" t="inlineStr">
        <is>
          <t>What</t>
        </is>
      </c>
      <c r="C4" s="9" t="inlineStr">
        <is>
          <t>Type</t>
        </is>
      </c>
      <c r="D4" s="9" t="inlineStr">
        <is>
          <t>Who</t>
        </is>
      </c>
      <c r="E4" s="9" t="inlineStr">
        <is>
          <t>Notes</t>
        </is>
      </c>
    </row>
    <row r="5">
      <c r="A5" s="29" t="n">
        <v>46259</v>
      </c>
      <c r="B5" s="27" t="inlineStr">
        <is>
          <t>First Day of School</t>
        </is>
      </c>
      <c r="C5" s="28" t="inlineStr">
        <is>
          <t>Event</t>
        </is>
      </c>
      <c r="D5" s="28" t="inlineStr">
        <is>
          <t>All</t>
        </is>
      </c>
      <c r="E5" s="27" t="inlineStr">
        <is>
          <t>Bus 7:42 · pics ready</t>
        </is>
      </c>
    </row>
    <row r="6">
      <c r="A6" s="30" t="n">
        <v>46269</v>
      </c>
      <c r="B6" s="22" t="inlineStr">
        <is>
          <t>Band fees due</t>
        </is>
      </c>
      <c r="C6" s="24" t="inlineStr">
        <is>
          <t>Deadline</t>
        </is>
      </c>
      <c r="D6" s="24" t="inlineStr">
        <is>
          <t>Sofia</t>
        </is>
      </c>
      <c r="E6" s="22" t="inlineStr">
        <is>
          <t>$90</t>
        </is>
      </c>
    </row>
    <row r="7">
      <c r="A7" s="29" t="n">
        <v>46272</v>
      </c>
      <c r="B7" s="27" t="inlineStr">
        <is>
          <t>Labor Day — no school</t>
        </is>
      </c>
      <c r="C7" s="28" t="inlineStr">
        <is>
          <t>Holiday</t>
        </is>
      </c>
      <c r="D7" s="28" t="inlineStr">
        <is>
          <t>All</t>
        </is>
      </c>
      <c r="E7" s="27" t="inlineStr"/>
    </row>
    <row r="8">
      <c r="A8" s="30" t="n">
        <v>46276</v>
      </c>
      <c r="B8" s="22" t="inlineStr">
        <is>
          <t>Picture Day</t>
        </is>
      </c>
      <c r="C8" s="24" t="inlineStr">
        <is>
          <t>Picture Day</t>
        </is>
      </c>
      <c r="D8" s="24" t="inlineStr">
        <is>
          <t>All</t>
        </is>
      </c>
      <c r="E8" s="22" t="inlineStr">
        <is>
          <t>Order forms in backpacks</t>
        </is>
      </c>
    </row>
    <row r="9">
      <c r="A9" s="29" t="n">
        <v>46283</v>
      </c>
      <c r="B9" s="27" t="inlineStr">
        <is>
          <t>Back-to-School Night</t>
        </is>
      </c>
      <c r="C9" s="28" t="inlineStr">
        <is>
          <t>Meeting</t>
        </is>
      </c>
      <c r="D9" s="28" t="inlineStr">
        <is>
          <t>All</t>
        </is>
      </c>
      <c r="E9" s="27" t="inlineStr">
        <is>
          <t>6–8 pm, all schools</t>
        </is>
      </c>
    </row>
    <row r="10">
      <c r="A10" s="30" t="n">
        <v>46304</v>
      </c>
      <c r="B10" s="22" t="inlineStr">
        <is>
          <t>Zoo Field Trip</t>
        </is>
      </c>
      <c r="C10" s="24" t="inlineStr">
        <is>
          <t>Field Trip</t>
        </is>
      </c>
      <c r="D10" s="24" t="inlineStr">
        <is>
          <t>Ava</t>
        </is>
      </c>
      <c r="E10" s="22" t="inlineStr">
        <is>
          <t>$12 + permission slip</t>
        </is>
      </c>
    </row>
    <row r="11">
      <c r="A11" s="29" t="n">
        <v>46311</v>
      </c>
      <c r="B11" s="27" t="inlineStr">
        <is>
          <t>Early Release</t>
        </is>
      </c>
      <c r="C11" s="28" t="inlineStr">
        <is>
          <t>Early Release</t>
        </is>
      </c>
      <c r="D11" s="28" t="inlineStr">
        <is>
          <t>All</t>
        </is>
      </c>
      <c r="E11" s="27" t="inlineStr">
        <is>
          <t>Dismiss 12:30</t>
        </is>
      </c>
    </row>
    <row r="12">
      <c r="A12" s="30" t="n">
        <v>46325</v>
      </c>
      <c r="B12" s="22" t="inlineStr">
        <is>
          <t>Fall Festival</t>
        </is>
      </c>
      <c r="C12" s="24" t="inlineStr">
        <is>
          <t>Event</t>
        </is>
      </c>
      <c r="D12" s="24" t="inlineStr">
        <is>
          <t>All</t>
        </is>
      </c>
      <c r="E12" s="22" t="inlineStr">
        <is>
          <t>Volunteer 5–7</t>
        </is>
      </c>
    </row>
    <row r="13">
      <c r="A13" s="29" t="n">
        <v>46332</v>
      </c>
      <c r="B13" s="27" t="inlineStr">
        <is>
          <t>Report Cards</t>
        </is>
      </c>
      <c r="C13" s="28" t="inlineStr">
        <is>
          <t>Deadline</t>
        </is>
      </c>
      <c r="D13" s="28" t="inlineStr">
        <is>
          <t>All</t>
        </is>
      </c>
      <c r="E13" s="27" t="inlineStr">
        <is>
          <t>Q1 grades</t>
        </is>
      </c>
    </row>
    <row r="14">
      <c r="A14" s="30" t="n">
        <v>46338</v>
      </c>
      <c r="B14" s="22" t="inlineStr">
        <is>
          <t>Parent-Teacher Conferences</t>
        </is>
      </c>
      <c r="C14" s="24" t="inlineStr">
        <is>
          <t>Meeting</t>
        </is>
      </c>
      <c r="D14" s="24" t="inlineStr">
        <is>
          <t>All</t>
        </is>
      </c>
      <c r="E14" s="22" t="inlineStr">
        <is>
          <t>Sign up online</t>
        </is>
      </c>
    </row>
    <row r="15">
      <c r="A15" s="29" t="n">
        <v>46351</v>
      </c>
      <c r="B15" s="27" t="inlineStr">
        <is>
          <t>Thanksgiving Break</t>
        </is>
      </c>
      <c r="C15" s="28" t="inlineStr">
        <is>
          <t>Holiday</t>
        </is>
      </c>
      <c r="D15" s="28" t="inlineStr">
        <is>
          <t>All</t>
        </is>
      </c>
      <c r="E15" s="27" t="inlineStr">
        <is>
          <t>Nov 25–27</t>
        </is>
      </c>
    </row>
    <row r="16">
      <c r="A16" s="30" t="n">
        <v>46375</v>
      </c>
      <c r="B16" s="22" t="inlineStr">
        <is>
          <t>Winter Break begins</t>
        </is>
      </c>
      <c r="C16" s="24" t="inlineStr">
        <is>
          <t>Holiday</t>
        </is>
      </c>
      <c r="D16" s="24" t="inlineStr">
        <is>
          <t>All</t>
        </is>
      </c>
      <c r="E16" s="22" t="inlineStr">
        <is>
          <t>Return Jan 5</t>
        </is>
      </c>
    </row>
    <row r="17">
      <c r="A17" s="29" t="n"/>
      <c r="B17" s="27" t="n"/>
      <c r="C17" s="28" t="n"/>
      <c r="D17" s="28" t="n"/>
      <c r="E17" s="27" t="n"/>
    </row>
    <row r="18">
      <c r="A18" s="30" t="n"/>
      <c r="B18" s="22" t="n"/>
      <c r="C18" s="24" t="n"/>
      <c r="D18" s="24" t="n"/>
      <c r="E18" s="22" t="n"/>
    </row>
    <row r="19">
      <c r="A19" s="29" t="n"/>
      <c r="B19" s="27" t="n"/>
      <c r="C19" s="28" t="n"/>
      <c r="D19" s="28" t="n"/>
      <c r="E19" s="27" t="n"/>
    </row>
    <row r="20">
      <c r="A20" s="30" t="n"/>
      <c r="B20" s="22" t="n"/>
      <c r="C20" s="24" t="n"/>
      <c r="D20" s="24" t="n"/>
      <c r="E20" s="22" t="n"/>
    </row>
    <row r="21">
      <c r="A21" s="29" t="n"/>
      <c r="B21" s="27" t="n"/>
      <c r="C21" s="28" t="n"/>
      <c r="D21" s="28" t="n"/>
      <c r="E21" s="27" t="n"/>
    </row>
    <row r="22">
      <c r="A22" s="30" t="n"/>
      <c r="B22" s="22" t="n"/>
      <c r="C22" s="24" t="n"/>
      <c r="D22" s="24" t="n"/>
      <c r="E22" s="22" t="n"/>
    </row>
    <row r="23">
      <c r="A23" s="29" t="n"/>
      <c r="B23" s="27" t="n"/>
      <c r="C23" s="28" t="n"/>
      <c r="D23" s="28" t="n"/>
      <c r="E23" s="27" t="n"/>
    </row>
    <row r="24">
      <c r="A24" s="30" t="n"/>
      <c r="B24" s="22" t="n"/>
      <c r="C24" s="24" t="n"/>
      <c r="D24" s="24" t="n"/>
      <c r="E24" s="22" t="n"/>
    </row>
    <row r="25">
      <c r="A25" s="29" t="n"/>
      <c r="B25" s="27" t="n"/>
      <c r="C25" s="28" t="n"/>
      <c r="D25" s="28" t="n"/>
      <c r="E25" s="27" t="n"/>
    </row>
    <row r="26">
      <c r="A26" s="30" t="n"/>
      <c r="B26" s="22" t="n"/>
      <c r="C26" s="24" t="n"/>
      <c r="D26" s="24" t="n"/>
      <c r="E26" s="22" t="n"/>
    </row>
    <row r="27">
      <c r="A27" s="29" t="n"/>
      <c r="B27" s="27" t="n"/>
      <c r="C27" s="28" t="n"/>
      <c r="D27" s="28" t="n"/>
      <c r="E27" s="27" t="n"/>
    </row>
    <row r="28">
      <c r="A28" s="30" t="n"/>
      <c r="B28" s="22" t="n"/>
      <c r="C28" s="24" t="n"/>
      <c r="D28" s="24" t="n"/>
      <c r="E28" s="22" t="n"/>
    </row>
    <row r="29">
      <c r="A29" s="29" t="n"/>
      <c r="B29" s="27" t="n"/>
      <c r="C29" s="28" t="n"/>
      <c r="D29" s="28" t="n"/>
      <c r="E29" s="27" t="n"/>
    </row>
    <row r="30">
      <c r="A30" s="30" t="n"/>
      <c r="B30" s="22" t="n"/>
      <c r="C30" s="24" t="n"/>
      <c r="D30" s="24" t="n"/>
      <c r="E30" s="22" t="n"/>
    </row>
    <row r="31">
      <c r="A31" s="29" t="n"/>
      <c r="B31" s="27" t="n"/>
      <c r="C31" s="28" t="n"/>
      <c r="D31" s="28" t="n"/>
      <c r="E31" s="27" t="n"/>
    </row>
    <row r="32">
      <c r="A32" s="30" t="n"/>
      <c r="B32" s="22" t="n"/>
      <c r="C32" s="24" t="n"/>
      <c r="D32" s="24" t="n"/>
      <c r="E32" s="22" t="n"/>
    </row>
    <row r="33">
      <c r="A33" s="29" t="n"/>
      <c r="B33" s="27" t="n"/>
      <c r="C33" s="28" t="n"/>
      <c r="D33" s="28" t="n"/>
      <c r="E33" s="27" t="n"/>
    </row>
    <row r="34">
      <c r="A34" s="30" t="n"/>
      <c r="B34" s="22" t="n"/>
      <c r="C34" s="24" t="n"/>
      <c r="D34" s="24" t="n"/>
      <c r="E34" s="22" t="n"/>
    </row>
    <row r="35">
      <c r="A35" s="29" t="n"/>
      <c r="B35" s="27" t="n"/>
      <c r="C35" s="28" t="n"/>
      <c r="D35" s="28" t="n"/>
      <c r="E35" s="27" t="n"/>
    </row>
    <row r="36">
      <c r="A36" s="30" t="n"/>
      <c r="B36" s="22" t="n"/>
      <c r="C36" s="24" t="n"/>
      <c r="D36" s="24" t="n"/>
      <c r="E36" s="22" t="n"/>
    </row>
    <row r="37">
      <c r="A37" s="29" t="n"/>
      <c r="B37" s="27" t="n"/>
      <c r="C37" s="28" t="n"/>
      <c r="D37" s="28" t="n"/>
      <c r="E37" s="27" t="n"/>
    </row>
    <row r="38">
      <c r="A38" s="30" t="n"/>
      <c r="B38" s="22" t="n"/>
      <c r="C38" s="24" t="n"/>
      <c r="D38" s="24" t="n"/>
      <c r="E38" s="22" t="n"/>
    </row>
    <row r="39">
      <c r="A39" s="29" t="n"/>
      <c r="B39" s="27" t="n"/>
      <c r="C39" s="28" t="n"/>
      <c r="D39" s="28" t="n"/>
      <c r="E39" s="27" t="n"/>
    </row>
    <row r="40">
      <c r="A40" s="30" t="n"/>
      <c r="B40" s="22" t="n"/>
      <c r="C40" s="24" t="n"/>
      <c r="D40" s="24" t="n"/>
      <c r="E40" s="22" t="n"/>
    </row>
    <row r="41">
      <c r="A41" s="29" t="n"/>
      <c r="B41" s="27" t="n"/>
      <c r="C41" s="28" t="n"/>
      <c r="D41" s="28" t="n"/>
      <c r="E41" s="27" t="n"/>
    </row>
    <row r="42">
      <c r="A42" s="30" t="n"/>
      <c r="B42" s="22" t="n"/>
      <c r="C42" s="24" t="n"/>
      <c r="D42" s="24" t="n"/>
      <c r="E42" s="22" t="n"/>
    </row>
    <row r="43">
      <c r="A43" s="29" t="n"/>
      <c r="B43" s="27" t="n"/>
      <c r="C43" s="28" t="n"/>
      <c r="D43" s="28" t="n"/>
      <c r="E43" s="27" t="n"/>
    </row>
    <row r="44">
      <c r="A44" s="30" t="n"/>
      <c r="B44" s="22" t="n"/>
      <c r="C44" s="24" t="n"/>
      <c r="D44" s="24" t="n"/>
      <c r="E44" s="22" t="n"/>
    </row>
    <row r="45">
      <c r="A45" s="29" t="n"/>
      <c r="B45" s="27" t="n"/>
      <c r="C45" s="28" t="n"/>
      <c r="D45" s="28" t="n"/>
      <c r="E45" s="27" t="n"/>
    </row>
    <row r="46">
      <c r="A46" s="30" t="n"/>
      <c r="B46" s="22" t="n"/>
      <c r="C46" s="24" t="n"/>
      <c r="D46" s="24" t="n"/>
      <c r="E46" s="22" t="n"/>
    </row>
    <row r="47">
      <c r="A47" s="29" t="n"/>
      <c r="B47" s="27" t="n"/>
      <c r="C47" s="28" t="n"/>
      <c r="D47" s="28" t="n"/>
      <c r="E47" s="27" t="n"/>
    </row>
    <row r="48">
      <c r="A48" s="30" t="n"/>
      <c r="B48" s="22" t="n"/>
      <c r="C48" s="24" t="n"/>
      <c r="D48" s="24" t="n"/>
      <c r="E48" s="22" t="n"/>
    </row>
    <row r="49">
      <c r="A49" s="29" t="n"/>
      <c r="B49" s="27" t="n"/>
      <c r="C49" s="28" t="n"/>
      <c r="D49" s="28" t="n"/>
      <c r="E49" s="27" t="n"/>
    </row>
    <row r="50">
      <c r="A50" s="30" t="n"/>
      <c r="B50" s="22" t="n"/>
      <c r="C50" s="24" t="n"/>
      <c r="D50" s="24" t="n"/>
      <c r="E50" s="22" t="n"/>
    </row>
    <row r="51">
      <c r="A51" s="29" t="n"/>
      <c r="B51" s="27" t="n"/>
      <c r="C51" s="28" t="n"/>
      <c r="D51" s="28" t="n"/>
      <c r="E51" s="27" t="n"/>
    </row>
    <row r="52">
      <c r="A52" s="30" t="n"/>
      <c r="B52" s="22" t="n"/>
      <c r="C52" s="24" t="n"/>
      <c r="D52" s="24" t="n"/>
      <c r="E52" s="22" t="n"/>
    </row>
    <row r="53">
      <c r="A53" s="29" t="n"/>
      <c r="B53" s="27" t="n"/>
      <c r="C53" s="28" t="n"/>
      <c r="D53" s="28" t="n"/>
      <c r="E53" s="27" t="n"/>
    </row>
    <row r="54">
      <c r="A54" s="30" t="n"/>
      <c r="B54" s="22" t="n"/>
      <c r="C54" s="24" t="n"/>
      <c r="D54" s="24" t="n"/>
      <c r="E54" s="22" t="n"/>
    </row>
    <row r="55">
      <c r="A55" s="29" t="n"/>
      <c r="B55" s="27" t="n"/>
      <c r="C55" s="28" t="n"/>
      <c r="D55" s="28" t="n"/>
      <c r="E55" s="27" t="n"/>
    </row>
    <row r="56">
      <c r="A56" s="30" t="n"/>
      <c r="B56" s="22" t="n"/>
      <c r="C56" s="24" t="n"/>
      <c r="D56" s="24" t="n"/>
      <c r="E56" s="22" t="n"/>
    </row>
    <row r="57">
      <c r="A57" s="29" t="n"/>
      <c r="B57" s="27" t="n"/>
      <c r="C57" s="28" t="n"/>
      <c r="D57" s="28" t="n"/>
      <c r="E57" s="27" t="n"/>
    </row>
    <row r="58">
      <c r="A58" s="30" t="n"/>
      <c r="B58" s="22" t="n"/>
      <c r="C58" s="24" t="n"/>
      <c r="D58" s="24" t="n"/>
      <c r="E58" s="22" t="n"/>
    </row>
    <row r="59">
      <c r="A59" s="29" t="n"/>
      <c r="B59" s="27" t="n"/>
      <c r="C59" s="28" t="n"/>
      <c r="D59" s="28" t="n"/>
      <c r="E59" s="27" t="n"/>
    </row>
    <row r="60">
      <c r="A60" s="30" t="n"/>
      <c r="B60" s="22" t="n"/>
      <c r="C60" s="24" t="n"/>
      <c r="D60" s="24" t="n"/>
      <c r="E60" s="22" t="n"/>
    </row>
    <row r="61">
      <c r="A61" s="29" t="n"/>
      <c r="B61" s="27" t="n"/>
      <c r="C61" s="28" t="n"/>
      <c r="D61" s="28" t="n"/>
      <c r="E61" s="27" t="n"/>
    </row>
    <row r="62">
      <c r="A62" s="30" t="n"/>
      <c r="B62" s="22" t="n"/>
      <c r="C62" s="24" t="n"/>
      <c r="D62" s="24" t="n"/>
      <c r="E62" s="22" t="n"/>
    </row>
    <row r="63">
      <c r="A63" s="29" t="n"/>
      <c r="B63" s="27" t="n"/>
      <c r="C63" s="28" t="n"/>
      <c r="D63" s="28" t="n"/>
      <c r="E63" s="27" t="n"/>
    </row>
    <row r="64">
      <c r="A64" s="30" t="n"/>
      <c r="B64" s="22" t="n"/>
      <c r="C64" s="24" t="n"/>
      <c r="D64" s="24" t="n"/>
      <c r="E64" s="22" t="n"/>
    </row>
  </sheetData>
  <mergeCells count="2">
    <mergeCell ref="A2:E2"/>
    <mergeCell ref="A1:E1"/>
  </mergeCells>
  <dataValidations count="1">
    <dataValidation sqref="C5:C64" showDropDown="0" showInputMessage="0" showErrorMessage="0" allowBlank="1" type="list">
      <formula1>=EventTypeList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</cols>
  <sheetData>
    <row r="1" ht="46" customHeight="1">
      <c r="A1" s="1" t="inlineStr">
        <is>
          <t xml:space="preserve">  ⏰  EVENTS &amp; DEADLINES</t>
        </is>
      </c>
    </row>
    <row r="2" ht="22" customHeight="1">
      <c r="A2" s="2" t="inlineStr">
        <is>
          <t xml:space="preserve">  Everything with a due date — flagged before it sneaks up on you.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Due</t>
        </is>
      </c>
      <c r="B4" s="9" t="inlineStr">
        <is>
          <t>Task</t>
        </is>
      </c>
      <c r="C4" s="9" t="inlineStr">
        <is>
          <t>Type</t>
        </is>
      </c>
      <c r="D4" s="9" t="inlineStr">
        <is>
          <t>Child</t>
        </is>
      </c>
      <c r="E4" s="9" t="inlineStr">
        <is>
          <t>Status</t>
        </is>
      </c>
    </row>
    <row r="5">
      <c r="A5" s="29" t="n">
        <v>46220</v>
      </c>
      <c r="B5" s="27" t="inlineStr">
        <is>
          <t>Return media consent forms</t>
        </is>
      </c>
      <c r="C5" s="28" t="inlineStr">
        <is>
          <t>Deadline</t>
        </is>
      </c>
      <c r="D5" s="28" t="inlineStr">
        <is>
          <t>All</t>
        </is>
      </c>
      <c r="E5" s="28" t="inlineStr">
        <is>
          <t>To Do</t>
        </is>
      </c>
    </row>
    <row r="6">
      <c r="A6" s="30" t="n">
        <v>46222</v>
      </c>
      <c r="B6" s="22" t="inlineStr">
        <is>
          <t>Buy Sofia's backpack</t>
        </is>
      </c>
      <c r="C6" s="24" t="inlineStr">
        <is>
          <t>Deadline</t>
        </is>
      </c>
      <c r="D6" s="24" t="inlineStr">
        <is>
          <t>Sofia</t>
        </is>
      </c>
      <c r="E6" s="24" t="inlineStr">
        <is>
          <t>To Do</t>
        </is>
      </c>
    </row>
    <row r="7">
      <c r="A7" s="29" t="n">
        <v>46224</v>
      </c>
      <c r="B7" s="27" t="inlineStr">
        <is>
          <t>Band fee $90</t>
        </is>
      </c>
      <c r="C7" s="28" t="inlineStr">
        <is>
          <t>Deadline</t>
        </is>
      </c>
      <c r="D7" s="28" t="inlineStr">
        <is>
          <t>Sofia</t>
        </is>
      </c>
      <c r="E7" s="28" t="inlineStr">
        <is>
          <t>In Progress</t>
        </is>
      </c>
    </row>
    <row r="8">
      <c r="A8" s="30" t="n">
        <v>46227</v>
      </c>
      <c r="B8" s="22" t="inlineStr">
        <is>
          <t>Sports physical — Mateo</t>
        </is>
      </c>
      <c r="C8" s="24" t="inlineStr">
        <is>
          <t>Deadline</t>
        </is>
      </c>
      <c r="D8" s="24" t="inlineStr">
        <is>
          <t>Mateo</t>
        </is>
      </c>
      <c r="E8" s="24" t="inlineStr">
        <is>
          <t>To Do</t>
        </is>
      </c>
    </row>
    <row r="9">
      <c r="A9" s="29" t="n">
        <v>46229</v>
      </c>
      <c r="B9" s="27" t="inlineStr">
        <is>
          <t>Order Ava's sneakers</t>
        </is>
      </c>
      <c r="C9" s="28" t="inlineStr">
        <is>
          <t>Deadline</t>
        </is>
      </c>
      <c r="D9" s="28" t="inlineStr">
        <is>
          <t>Ava</t>
        </is>
      </c>
      <c r="E9" s="28" t="inlineStr">
        <is>
          <t>To Do</t>
        </is>
      </c>
    </row>
    <row r="10">
      <c r="A10" s="30" t="n">
        <v>46232</v>
      </c>
      <c r="B10" s="22" t="inlineStr">
        <is>
          <t>Picture Day forms</t>
        </is>
      </c>
      <c r="C10" s="24" t="inlineStr">
        <is>
          <t>Deadline</t>
        </is>
      </c>
      <c r="D10" s="24" t="inlineStr">
        <is>
          <t>All</t>
        </is>
      </c>
      <c r="E10" s="24" t="inlineStr">
        <is>
          <t>To Do</t>
        </is>
      </c>
    </row>
    <row r="11">
      <c r="A11" s="29" t="n">
        <v>46235</v>
      </c>
      <c r="B11" s="27" t="inlineStr">
        <is>
          <t>Zoo trip permission + $12</t>
        </is>
      </c>
      <c r="C11" s="28" t="inlineStr">
        <is>
          <t>Field Trip</t>
        </is>
      </c>
      <c r="D11" s="28" t="inlineStr">
        <is>
          <t>Ava</t>
        </is>
      </c>
      <c r="E11" s="28" t="inlineStr">
        <is>
          <t>To Do</t>
        </is>
      </c>
    </row>
    <row r="12">
      <c r="A12" s="30" t="n">
        <v>46239</v>
      </c>
      <c r="B12" s="22" t="inlineStr">
        <is>
          <t>Back-to-School Night</t>
        </is>
      </c>
      <c r="C12" s="24" t="inlineStr">
        <is>
          <t>Meeting</t>
        </is>
      </c>
      <c r="D12" s="24" t="inlineStr">
        <is>
          <t>All</t>
        </is>
      </c>
      <c r="E12" s="24" t="inlineStr">
        <is>
          <t>To Do</t>
        </is>
      </c>
    </row>
    <row r="13">
      <c r="A13" s="29" t="n">
        <v>46243</v>
      </c>
      <c r="B13" s="27" t="inlineStr">
        <is>
          <t>Headphones x3</t>
        </is>
      </c>
      <c r="C13" s="28" t="inlineStr">
        <is>
          <t>Deadline</t>
        </is>
      </c>
      <c r="D13" s="28" t="inlineStr">
        <is>
          <t>Family</t>
        </is>
      </c>
      <c r="E13" s="28" t="inlineStr">
        <is>
          <t>To Do</t>
        </is>
      </c>
    </row>
    <row r="14">
      <c r="A14" s="30" t="n">
        <v>46215</v>
      </c>
      <c r="B14" s="22" t="inlineStr">
        <is>
          <t>Immunization records</t>
        </is>
      </c>
      <c r="C14" s="24" t="inlineStr">
        <is>
          <t>Deadline</t>
        </is>
      </c>
      <c r="D14" s="24" t="inlineStr">
        <is>
          <t>All</t>
        </is>
      </c>
      <c r="E14" s="24" t="inlineStr">
        <is>
          <t>Done</t>
        </is>
      </c>
    </row>
    <row r="15">
      <c r="A15" s="29" t="n">
        <v>46212</v>
      </c>
      <c r="B15" s="27" t="inlineStr">
        <is>
          <t>Enrollment forms</t>
        </is>
      </c>
      <c r="C15" s="28" t="inlineStr">
        <is>
          <t>Deadline</t>
        </is>
      </c>
      <c r="D15" s="28" t="inlineStr">
        <is>
          <t>All</t>
        </is>
      </c>
      <c r="E15" s="28" t="inlineStr">
        <is>
          <t>Done</t>
        </is>
      </c>
    </row>
    <row r="16">
      <c r="A16" s="30" t="n">
        <v>46217</v>
      </c>
      <c r="B16" s="22" t="inlineStr">
        <is>
          <t>Noah registration fee</t>
        </is>
      </c>
      <c r="C16" s="24" t="inlineStr">
        <is>
          <t>Deadline</t>
        </is>
      </c>
      <c r="D16" s="24" t="inlineStr">
        <is>
          <t>Noah</t>
        </is>
      </c>
      <c r="E16" s="24" t="inlineStr">
        <is>
          <t>In Progress</t>
        </is>
      </c>
    </row>
    <row r="17">
      <c r="A17" s="29" t="n"/>
      <c r="B17" s="27" t="n"/>
      <c r="C17" s="28" t="n"/>
      <c r="D17" s="28" t="n"/>
      <c r="E17" s="28" t="n"/>
    </row>
    <row r="18">
      <c r="A18" s="30" t="n"/>
      <c r="B18" s="22" t="n"/>
      <c r="C18" s="24" t="n"/>
      <c r="D18" s="24" t="n"/>
      <c r="E18" s="24" t="n"/>
    </row>
    <row r="19">
      <c r="A19" s="29" t="n"/>
      <c r="B19" s="27" t="n"/>
      <c r="C19" s="28" t="n"/>
      <c r="D19" s="28" t="n"/>
      <c r="E19" s="28" t="n"/>
    </row>
    <row r="20">
      <c r="A20" s="30" t="n"/>
      <c r="B20" s="22" t="n"/>
      <c r="C20" s="24" t="n"/>
      <c r="D20" s="24" t="n"/>
      <c r="E20" s="24" t="n"/>
    </row>
    <row r="21">
      <c r="A21" s="29" t="n"/>
      <c r="B21" s="27" t="n"/>
      <c r="C21" s="28" t="n"/>
      <c r="D21" s="28" t="n"/>
      <c r="E21" s="28" t="n"/>
    </row>
    <row r="22">
      <c r="A22" s="30" t="n"/>
      <c r="B22" s="22" t="n"/>
      <c r="C22" s="24" t="n"/>
      <c r="D22" s="24" t="n"/>
      <c r="E22" s="24" t="n"/>
    </row>
    <row r="23">
      <c r="A23" s="29" t="n"/>
      <c r="B23" s="27" t="n"/>
      <c r="C23" s="28" t="n"/>
      <c r="D23" s="28" t="n"/>
      <c r="E23" s="28" t="n"/>
    </row>
    <row r="24">
      <c r="A24" s="30" t="n"/>
      <c r="B24" s="22" t="n"/>
      <c r="C24" s="24" t="n"/>
      <c r="D24" s="24" t="n"/>
      <c r="E24" s="24" t="n"/>
    </row>
    <row r="25">
      <c r="A25" s="29" t="n"/>
      <c r="B25" s="27" t="n"/>
      <c r="C25" s="28" t="n"/>
      <c r="D25" s="28" t="n"/>
      <c r="E25" s="28" t="n"/>
    </row>
    <row r="26">
      <c r="A26" s="30" t="n"/>
      <c r="B26" s="22" t="n"/>
      <c r="C26" s="24" t="n"/>
      <c r="D26" s="24" t="n"/>
      <c r="E26" s="24" t="n"/>
    </row>
    <row r="27">
      <c r="A27" s="29" t="n"/>
      <c r="B27" s="27" t="n"/>
      <c r="C27" s="28" t="n"/>
      <c r="D27" s="28" t="n"/>
      <c r="E27" s="28" t="n"/>
    </row>
    <row r="28">
      <c r="A28" s="30" t="n"/>
      <c r="B28" s="22" t="n"/>
      <c r="C28" s="24" t="n"/>
      <c r="D28" s="24" t="n"/>
      <c r="E28" s="24" t="n"/>
    </row>
    <row r="29">
      <c r="A29" s="29" t="n"/>
      <c r="B29" s="27" t="n"/>
      <c r="C29" s="28" t="n"/>
      <c r="D29" s="28" t="n"/>
      <c r="E29" s="28" t="n"/>
    </row>
    <row r="30">
      <c r="A30" s="30" t="n"/>
      <c r="B30" s="22" t="n"/>
      <c r="C30" s="24" t="n"/>
      <c r="D30" s="24" t="n"/>
      <c r="E30" s="24" t="n"/>
    </row>
    <row r="31">
      <c r="A31" s="29" t="n"/>
      <c r="B31" s="27" t="n"/>
      <c r="C31" s="28" t="n"/>
      <c r="D31" s="28" t="n"/>
      <c r="E31" s="28" t="n"/>
    </row>
    <row r="32">
      <c r="A32" s="30" t="n"/>
      <c r="B32" s="22" t="n"/>
      <c r="C32" s="24" t="n"/>
      <c r="D32" s="24" t="n"/>
      <c r="E32" s="24" t="n"/>
    </row>
    <row r="33">
      <c r="A33" s="29" t="n"/>
      <c r="B33" s="27" t="n"/>
      <c r="C33" s="28" t="n"/>
      <c r="D33" s="28" t="n"/>
      <c r="E33" s="28" t="n"/>
    </row>
    <row r="34">
      <c r="A34" s="30" t="n"/>
      <c r="B34" s="22" t="n"/>
      <c r="C34" s="24" t="n"/>
      <c r="D34" s="24" t="n"/>
      <c r="E34" s="24" t="n"/>
    </row>
    <row r="35">
      <c r="A35" s="29" t="n"/>
      <c r="B35" s="27" t="n"/>
      <c r="C35" s="28" t="n"/>
      <c r="D35" s="28" t="n"/>
      <c r="E35" s="28" t="n"/>
    </row>
    <row r="36">
      <c r="A36" s="30" t="n"/>
      <c r="B36" s="22" t="n"/>
      <c r="C36" s="24" t="n"/>
      <c r="D36" s="24" t="n"/>
      <c r="E36" s="24" t="n"/>
    </row>
    <row r="37">
      <c r="A37" s="29" t="n"/>
      <c r="B37" s="27" t="n"/>
      <c r="C37" s="28" t="n"/>
      <c r="D37" s="28" t="n"/>
      <c r="E37" s="28" t="n"/>
    </row>
    <row r="38">
      <c r="A38" s="30" t="n"/>
      <c r="B38" s="22" t="n"/>
      <c r="C38" s="24" t="n"/>
      <c r="D38" s="24" t="n"/>
      <c r="E38" s="24" t="n"/>
    </row>
    <row r="39">
      <c r="A39" s="29" t="n"/>
      <c r="B39" s="27" t="n"/>
      <c r="C39" s="28" t="n"/>
      <c r="D39" s="28" t="n"/>
      <c r="E39" s="28" t="n"/>
    </row>
    <row r="40">
      <c r="A40" s="30" t="n"/>
      <c r="B40" s="22" t="n"/>
      <c r="C40" s="24" t="n"/>
      <c r="D40" s="24" t="n"/>
      <c r="E40" s="24" t="n"/>
    </row>
    <row r="41">
      <c r="A41" s="29" t="n"/>
      <c r="B41" s="27" t="n"/>
      <c r="C41" s="28" t="n"/>
      <c r="D41" s="28" t="n"/>
      <c r="E41" s="28" t="n"/>
    </row>
    <row r="42">
      <c r="A42" s="30" t="n"/>
      <c r="B42" s="22" t="n"/>
      <c r="C42" s="24" t="n"/>
      <c r="D42" s="24" t="n"/>
      <c r="E42" s="24" t="n"/>
    </row>
    <row r="43">
      <c r="A43" s="29" t="n"/>
      <c r="B43" s="27" t="n"/>
      <c r="C43" s="28" t="n"/>
      <c r="D43" s="28" t="n"/>
      <c r="E43" s="28" t="n"/>
    </row>
    <row r="44">
      <c r="A44" s="30" t="n"/>
      <c r="B44" s="22" t="n"/>
      <c r="C44" s="24" t="n"/>
      <c r="D44" s="24" t="n"/>
      <c r="E44" s="24" t="n"/>
    </row>
    <row r="45">
      <c r="A45" s="29" t="n"/>
      <c r="B45" s="27" t="n"/>
      <c r="C45" s="28" t="n"/>
      <c r="D45" s="28" t="n"/>
      <c r="E45" s="28" t="n"/>
    </row>
    <row r="46">
      <c r="A46" s="30" t="n"/>
      <c r="B46" s="22" t="n"/>
      <c r="C46" s="24" t="n"/>
      <c r="D46" s="24" t="n"/>
      <c r="E46" s="24" t="n"/>
    </row>
    <row r="47">
      <c r="A47" s="29" t="n"/>
      <c r="B47" s="27" t="n"/>
      <c r="C47" s="28" t="n"/>
      <c r="D47" s="28" t="n"/>
      <c r="E47" s="28" t="n"/>
    </row>
    <row r="48">
      <c r="A48" s="30" t="n"/>
      <c r="B48" s="22" t="n"/>
      <c r="C48" s="24" t="n"/>
      <c r="D48" s="24" t="n"/>
      <c r="E48" s="24" t="n"/>
    </row>
    <row r="49">
      <c r="A49" s="29" t="n"/>
      <c r="B49" s="27" t="n"/>
      <c r="C49" s="28" t="n"/>
      <c r="D49" s="28" t="n"/>
      <c r="E49" s="28" t="n"/>
    </row>
    <row r="50">
      <c r="A50" s="30" t="n"/>
      <c r="B50" s="22" t="n"/>
      <c r="C50" s="24" t="n"/>
      <c r="D50" s="24" t="n"/>
      <c r="E50" s="24" t="n"/>
    </row>
    <row r="51">
      <c r="A51" s="29" t="n"/>
      <c r="B51" s="27" t="n"/>
      <c r="C51" s="28" t="n"/>
      <c r="D51" s="28" t="n"/>
      <c r="E51" s="28" t="n"/>
    </row>
    <row r="52">
      <c r="A52" s="30" t="n"/>
      <c r="B52" s="22" t="n"/>
      <c r="C52" s="24" t="n"/>
      <c r="D52" s="24" t="n"/>
      <c r="E52" s="24" t="n"/>
    </row>
    <row r="53">
      <c r="A53" s="29" t="n"/>
      <c r="B53" s="27" t="n"/>
      <c r="C53" s="28" t="n"/>
      <c r="D53" s="28" t="n"/>
      <c r="E53" s="28" t="n"/>
    </row>
    <row r="54">
      <c r="A54" s="30" t="n"/>
      <c r="B54" s="22" t="n"/>
      <c r="C54" s="24" t="n"/>
      <c r="D54" s="24" t="n"/>
      <c r="E54" s="24" t="n"/>
    </row>
  </sheetData>
  <mergeCells count="2">
    <mergeCell ref="A2:E2"/>
    <mergeCell ref="A1:E1"/>
  </mergeCells>
  <conditionalFormatting sqref="E5:E5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"To Do"</formula>
    </cfRule>
  </conditionalFormatting>
  <dataValidations count="2">
    <dataValidation sqref="C5:C54" showDropDown="0" showInputMessage="0" showErrorMessage="0" allowBlank="1" type="list">
      <formula1>=EventTypeList</formula1>
    </dataValidation>
    <dataValidation sqref="E5:E5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8" customWidth="1" min="4" max="4"/>
    <col width="12" customWidth="1" min="5" max="5"/>
    <col width="12" customWidth="1" min="6" max="6"/>
  </cols>
  <sheetData>
    <row r="1" ht="46" customHeight="1">
      <c r="A1" s="1" t="inlineStr">
        <is>
          <t xml:space="preserve">  ✏  SCHOOL SUPPLY SHOPPING TRACKER</t>
        </is>
      </c>
    </row>
    <row r="2" ht="22" customHeight="1">
      <c r="A2" s="2" t="inlineStr">
        <is>
          <t xml:space="preserve">  Every item, for every child — check it off and the budget &amp; readiness update.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Item</t>
        </is>
      </c>
      <c r="B4" s="9" t="inlineStr">
        <is>
          <t>Child</t>
        </is>
      </c>
      <c r="C4" s="9" t="inlineStr">
        <is>
          <t>Category</t>
        </is>
      </c>
      <c r="D4" s="9" t="inlineStr">
        <is>
          <t>Qty</t>
        </is>
      </c>
      <c r="E4" s="9" t="inlineStr">
        <is>
          <t>Est. Cost</t>
        </is>
      </c>
      <c r="F4" s="9" t="inlineStr">
        <is>
          <t>Bought?</t>
        </is>
      </c>
    </row>
    <row r="5">
      <c r="A5" s="27" t="inlineStr">
        <is>
          <t>Graphing calculator</t>
        </is>
      </c>
      <c r="B5" s="28" t="inlineStr">
        <is>
          <t>Mateo</t>
        </is>
      </c>
      <c r="C5" s="28" t="inlineStr">
        <is>
          <t>Devices</t>
        </is>
      </c>
      <c r="D5" s="31" t="n">
        <v>1</v>
      </c>
      <c r="E5" s="32" t="n">
        <v>95</v>
      </c>
      <c r="F5" s="28" t="inlineStr">
        <is>
          <t>Yes</t>
        </is>
      </c>
    </row>
    <row r="6">
      <c r="A6" s="22" t="inlineStr">
        <is>
          <t>Binders (5)</t>
        </is>
      </c>
      <c r="B6" s="24" t="inlineStr">
        <is>
          <t>Mateo</t>
        </is>
      </c>
      <c r="C6" s="24" t="inlineStr">
        <is>
          <t>Binders</t>
        </is>
      </c>
      <c r="D6" s="33" t="n">
        <v>5</v>
      </c>
      <c r="E6" s="34" t="n">
        <v>22</v>
      </c>
      <c r="F6" s="24" t="inlineStr">
        <is>
          <t>Yes</t>
        </is>
      </c>
    </row>
    <row r="7">
      <c r="A7" s="27" t="inlineStr">
        <is>
          <t>Composition books</t>
        </is>
      </c>
      <c r="B7" s="28" t="inlineStr">
        <is>
          <t>Mateo</t>
        </is>
      </c>
      <c r="C7" s="28" t="inlineStr">
        <is>
          <t>Supplies</t>
        </is>
      </c>
      <c r="D7" s="31" t="n">
        <v>6</v>
      </c>
      <c r="E7" s="32" t="n">
        <v>9</v>
      </c>
      <c r="F7" s="28" t="inlineStr">
        <is>
          <t>Yes</t>
        </is>
      </c>
    </row>
    <row r="8">
      <c r="A8" s="22" t="inlineStr">
        <is>
          <t>Backpack</t>
        </is>
      </c>
      <c r="B8" s="24" t="inlineStr">
        <is>
          <t>Mateo</t>
        </is>
      </c>
      <c r="C8" s="24" t="inlineStr">
        <is>
          <t>Backpack</t>
        </is>
      </c>
      <c r="D8" s="33" t="n">
        <v>1</v>
      </c>
      <c r="E8" s="34" t="n">
        <v>45</v>
      </c>
      <c r="F8" s="24" t="inlineStr">
        <is>
          <t>Yes</t>
        </is>
      </c>
    </row>
    <row r="9">
      <c r="A9" s="27" t="inlineStr">
        <is>
          <t>Loose-leaf paper</t>
        </is>
      </c>
      <c r="B9" s="28" t="inlineStr">
        <is>
          <t>Sofia</t>
        </is>
      </c>
      <c r="C9" s="28" t="inlineStr">
        <is>
          <t>Supplies</t>
        </is>
      </c>
      <c r="D9" s="31" t="n">
        <v>4</v>
      </c>
      <c r="E9" s="32" t="n">
        <v>8</v>
      </c>
      <c r="F9" s="28" t="inlineStr">
        <is>
          <t>Yes</t>
        </is>
      </c>
    </row>
    <row r="10">
      <c r="A10" s="22" t="inlineStr">
        <is>
          <t>Colored pencils</t>
        </is>
      </c>
      <c r="B10" s="24" t="inlineStr">
        <is>
          <t>Sofia</t>
        </is>
      </c>
      <c r="C10" s="24" t="inlineStr">
        <is>
          <t>Art</t>
        </is>
      </c>
      <c r="D10" s="33" t="n">
        <v>1</v>
      </c>
      <c r="E10" s="34" t="n">
        <v>6</v>
      </c>
      <c r="F10" s="24" t="inlineStr">
        <is>
          <t>Yes</t>
        </is>
      </c>
    </row>
    <row r="11">
      <c r="A11" s="27" t="inlineStr">
        <is>
          <t>Binders (4)</t>
        </is>
      </c>
      <c r="B11" s="28" t="inlineStr">
        <is>
          <t>Sofia</t>
        </is>
      </c>
      <c r="C11" s="28" t="inlineStr">
        <is>
          <t>Binders</t>
        </is>
      </c>
      <c r="D11" s="31" t="n">
        <v>4</v>
      </c>
      <c r="E11" s="32" t="n">
        <v>18</v>
      </c>
      <c r="F11" s="28" t="inlineStr">
        <is>
          <t>Yes</t>
        </is>
      </c>
    </row>
    <row r="12">
      <c r="A12" s="22" t="inlineStr">
        <is>
          <t>Backpack</t>
        </is>
      </c>
      <c r="B12" s="24" t="inlineStr">
        <is>
          <t>Sofia</t>
        </is>
      </c>
      <c r="C12" s="24" t="inlineStr">
        <is>
          <t>Backpack</t>
        </is>
      </c>
      <c r="D12" s="33" t="n">
        <v>1</v>
      </c>
      <c r="E12" s="34" t="n">
        <v>40</v>
      </c>
      <c r="F12" s="24" t="inlineStr">
        <is>
          <t>No</t>
        </is>
      </c>
    </row>
    <row r="13">
      <c r="A13" s="27" t="inlineStr">
        <is>
          <t>Pencils (24)</t>
        </is>
      </c>
      <c r="B13" s="28" t="inlineStr">
        <is>
          <t>Liam</t>
        </is>
      </c>
      <c r="C13" s="28" t="inlineStr">
        <is>
          <t>Supplies</t>
        </is>
      </c>
      <c r="D13" s="31" t="n">
        <v>2</v>
      </c>
      <c r="E13" s="32" t="n">
        <v>7</v>
      </c>
      <c r="F13" s="28" t="inlineStr">
        <is>
          <t>Yes</t>
        </is>
      </c>
    </row>
    <row r="14">
      <c r="A14" s="22" t="inlineStr">
        <is>
          <t>Glue sticks</t>
        </is>
      </c>
      <c r="B14" s="24" t="inlineStr">
        <is>
          <t>Liam</t>
        </is>
      </c>
      <c r="C14" s="24" t="inlineStr">
        <is>
          <t>Supplies</t>
        </is>
      </c>
      <c r="D14" s="33" t="n">
        <v>8</v>
      </c>
      <c r="E14" s="34" t="n">
        <v>5</v>
      </c>
      <c r="F14" s="24" t="inlineStr">
        <is>
          <t>Yes</t>
        </is>
      </c>
    </row>
    <row r="15">
      <c r="A15" s="27" t="inlineStr">
        <is>
          <t>Crayons</t>
        </is>
      </c>
      <c r="B15" s="28" t="inlineStr">
        <is>
          <t>Liam</t>
        </is>
      </c>
      <c r="C15" s="28" t="inlineStr">
        <is>
          <t>Art</t>
        </is>
      </c>
      <c r="D15" s="31" t="n">
        <v>2</v>
      </c>
      <c r="E15" s="32" t="n">
        <v>4</v>
      </c>
      <c r="F15" s="28" t="inlineStr">
        <is>
          <t>Yes</t>
        </is>
      </c>
    </row>
    <row r="16">
      <c r="A16" s="22" t="inlineStr">
        <is>
          <t>Backpack</t>
        </is>
      </c>
      <c r="B16" s="24" t="inlineStr">
        <is>
          <t>Liam</t>
        </is>
      </c>
      <c r="C16" s="24" t="inlineStr">
        <is>
          <t>Backpack</t>
        </is>
      </c>
      <c r="D16" s="33" t="n">
        <v>1</v>
      </c>
      <c r="E16" s="34" t="n">
        <v>30</v>
      </c>
      <c r="F16" s="24" t="inlineStr">
        <is>
          <t>Yes</t>
        </is>
      </c>
    </row>
    <row r="17">
      <c r="A17" s="27" t="inlineStr">
        <is>
          <t>Markers</t>
        </is>
      </c>
      <c r="B17" s="28" t="inlineStr">
        <is>
          <t>Ava</t>
        </is>
      </c>
      <c r="C17" s="28" t="inlineStr">
        <is>
          <t>Art</t>
        </is>
      </c>
      <c r="D17" s="31" t="n">
        <v>1</v>
      </c>
      <c r="E17" s="32" t="n">
        <v>6</v>
      </c>
      <c r="F17" s="28" t="inlineStr">
        <is>
          <t>Yes</t>
        </is>
      </c>
    </row>
    <row r="18">
      <c r="A18" s="22" t="inlineStr">
        <is>
          <t>Folders</t>
        </is>
      </c>
      <c r="B18" s="24" t="inlineStr">
        <is>
          <t>Ava</t>
        </is>
      </c>
      <c r="C18" s="24" t="inlineStr">
        <is>
          <t>Supplies</t>
        </is>
      </c>
      <c r="D18" s="33" t="n">
        <v>6</v>
      </c>
      <c r="E18" s="34" t="n">
        <v>6</v>
      </c>
      <c r="F18" s="24" t="inlineStr">
        <is>
          <t>Yes</t>
        </is>
      </c>
    </row>
    <row r="19">
      <c r="A19" s="27" t="inlineStr">
        <is>
          <t>Scissors</t>
        </is>
      </c>
      <c r="B19" s="28" t="inlineStr">
        <is>
          <t>Ava</t>
        </is>
      </c>
      <c r="C19" s="28" t="inlineStr">
        <is>
          <t>Supplies</t>
        </is>
      </c>
      <c r="D19" s="31" t="n">
        <v>1</v>
      </c>
      <c r="E19" s="32" t="n">
        <v>4</v>
      </c>
      <c r="F19" s="28" t="inlineStr">
        <is>
          <t>Yes</t>
        </is>
      </c>
    </row>
    <row r="20">
      <c r="A20" s="22" t="inlineStr">
        <is>
          <t>Backpack</t>
        </is>
      </c>
      <c r="B20" s="24" t="inlineStr">
        <is>
          <t>Ava</t>
        </is>
      </c>
      <c r="C20" s="24" t="inlineStr">
        <is>
          <t>Backpack</t>
        </is>
      </c>
      <c r="D20" s="33" t="n">
        <v>1</v>
      </c>
      <c r="E20" s="34" t="n">
        <v>28</v>
      </c>
      <c r="F20" s="24" t="inlineStr">
        <is>
          <t>No</t>
        </is>
      </c>
    </row>
    <row r="21">
      <c r="A21" s="27" t="inlineStr">
        <is>
          <t>Pencils (24)</t>
        </is>
      </c>
      <c r="B21" s="28" t="inlineStr">
        <is>
          <t>Noah</t>
        </is>
      </c>
      <c r="C21" s="28" t="inlineStr">
        <is>
          <t>Supplies</t>
        </is>
      </c>
      <c r="D21" s="31" t="n">
        <v>1</v>
      </c>
      <c r="E21" s="32" t="n">
        <v>4</v>
      </c>
      <c r="F21" s="28" t="inlineStr">
        <is>
          <t>Yes</t>
        </is>
      </c>
    </row>
    <row r="22">
      <c r="A22" s="22" t="inlineStr">
        <is>
          <t>Watercolors</t>
        </is>
      </c>
      <c r="B22" s="24" t="inlineStr">
        <is>
          <t>Noah</t>
        </is>
      </c>
      <c r="C22" s="24" t="inlineStr">
        <is>
          <t>Art</t>
        </is>
      </c>
      <c r="D22" s="33" t="n">
        <v>1</v>
      </c>
      <c r="E22" s="34" t="n">
        <v>5</v>
      </c>
      <c r="F22" s="24" t="inlineStr">
        <is>
          <t>Yes</t>
        </is>
      </c>
    </row>
    <row r="23">
      <c r="A23" s="27" t="inlineStr">
        <is>
          <t>Rest mat</t>
        </is>
      </c>
      <c r="B23" s="28" t="inlineStr">
        <is>
          <t>Noah</t>
        </is>
      </c>
      <c r="C23" s="28" t="inlineStr">
        <is>
          <t>Other</t>
        </is>
      </c>
      <c r="D23" s="31" t="n">
        <v>1</v>
      </c>
      <c r="E23" s="32" t="n">
        <v>15</v>
      </c>
      <c r="F23" s="28" t="inlineStr">
        <is>
          <t>Yes</t>
        </is>
      </c>
    </row>
    <row r="24">
      <c r="A24" s="22" t="inlineStr">
        <is>
          <t>Backpack</t>
        </is>
      </c>
      <c r="B24" s="24" t="inlineStr">
        <is>
          <t>Noah</t>
        </is>
      </c>
      <c r="C24" s="24" t="inlineStr">
        <is>
          <t>Backpack</t>
        </is>
      </c>
      <c r="D24" s="33" t="n">
        <v>1</v>
      </c>
      <c r="E24" s="34" t="n">
        <v>24</v>
      </c>
      <c r="F24" s="24" t="inlineStr">
        <is>
          <t>Yes</t>
        </is>
      </c>
    </row>
    <row r="25">
      <c r="A25" s="27" t="inlineStr">
        <is>
          <t>Nap mat</t>
        </is>
      </c>
      <c r="B25" s="28" t="inlineStr">
        <is>
          <t>Emma</t>
        </is>
      </c>
      <c r="C25" s="28" t="inlineStr">
        <is>
          <t>Other</t>
        </is>
      </c>
      <c r="D25" s="31" t="n">
        <v>1</v>
      </c>
      <c r="E25" s="32" t="n">
        <v>18</v>
      </c>
      <c r="F25" s="28" t="inlineStr">
        <is>
          <t>Yes</t>
        </is>
      </c>
    </row>
    <row r="26">
      <c r="A26" s="22" t="inlineStr">
        <is>
          <t>Crayons (jumbo)</t>
        </is>
      </c>
      <c r="B26" s="24" t="inlineStr">
        <is>
          <t>Emma</t>
        </is>
      </c>
      <c r="C26" s="24" t="inlineStr">
        <is>
          <t>Art</t>
        </is>
      </c>
      <c r="D26" s="33" t="n">
        <v>2</v>
      </c>
      <c r="E26" s="34" t="n">
        <v>4</v>
      </c>
      <c r="F26" s="24" t="inlineStr">
        <is>
          <t>Yes</t>
        </is>
      </c>
    </row>
    <row r="27">
      <c r="A27" s="27" t="inlineStr">
        <is>
          <t>Change of clothes</t>
        </is>
      </c>
      <c r="B27" s="28" t="inlineStr">
        <is>
          <t>Emma</t>
        </is>
      </c>
      <c r="C27" s="28" t="inlineStr">
        <is>
          <t>Clothing</t>
        </is>
      </c>
      <c r="D27" s="31" t="n">
        <v>1</v>
      </c>
      <c r="E27" s="32" t="n">
        <v>12</v>
      </c>
      <c r="F27" s="28" t="inlineStr">
        <is>
          <t>No</t>
        </is>
      </c>
    </row>
    <row r="28">
      <c r="A28" s="22" t="inlineStr">
        <is>
          <t>Backpack (mini)</t>
        </is>
      </c>
      <c r="B28" s="24" t="inlineStr">
        <is>
          <t>Emma</t>
        </is>
      </c>
      <c r="C28" s="24" t="inlineStr">
        <is>
          <t>Backpack</t>
        </is>
      </c>
      <c r="D28" s="33" t="n">
        <v>1</v>
      </c>
      <c r="E28" s="34" t="n">
        <v>20</v>
      </c>
      <c r="F28" s="24" t="inlineStr">
        <is>
          <t>Yes</t>
        </is>
      </c>
    </row>
    <row r="29">
      <c r="A29" s="27" t="inlineStr">
        <is>
          <t>Family label pack</t>
        </is>
      </c>
      <c r="B29" s="28" t="inlineStr">
        <is>
          <t>Family</t>
        </is>
      </c>
      <c r="C29" s="28" t="inlineStr">
        <is>
          <t>Other</t>
        </is>
      </c>
      <c r="D29" s="31" t="n">
        <v>1</v>
      </c>
      <c r="E29" s="32" t="n">
        <v>14</v>
      </c>
      <c r="F29" s="28" t="inlineStr">
        <is>
          <t>Yes</t>
        </is>
      </c>
    </row>
    <row r="30">
      <c r="A30" s="22" t="inlineStr">
        <is>
          <t>Headphones x3</t>
        </is>
      </c>
      <c r="B30" s="24" t="inlineStr">
        <is>
          <t>Family</t>
        </is>
      </c>
      <c r="C30" s="24" t="inlineStr">
        <is>
          <t>Devices</t>
        </is>
      </c>
      <c r="D30" s="33" t="n">
        <v>3</v>
      </c>
      <c r="E30" s="34" t="n">
        <v>15</v>
      </c>
      <c r="F30" s="24" t="inlineStr">
        <is>
          <t>No</t>
        </is>
      </c>
    </row>
    <row r="31">
      <c r="A31" s="27" t="inlineStr">
        <is>
          <t>Hand sanitizer</t>
        </is>
      </c>
      <c r="B31" s="28" t="inlineStr">
        <is>
          <t>Family</t>
        </is>
      </c>
      <c r="C31" s="28" t="inlineStr">
        <is>
          <t>Supplies</t>
        </is>
      </c>
      <c r="D31" s="31" t="n">
        <v>6</v>
      </c>
      <c r="E31" s="32" t="n">
        <v>3</v>
      </c>
      <c r="F31" s="28" t="inlineStr">
        <is>
          <t>Yes</t>
        </is>
      </c>
    </row>
    <row r="32">
      <c r="A32" s="22" t="n"/>
      <c r="B32" s="24" t="n"/>
      <c r="C32" s="24" t="n"/>
      <c r="D32" s="33" t="n"/>
      <c r="E32" s="34" t="n"/>
      <c r="F32" s="24" t="n"/>
    </row>
    <row r="33">
      <c r="A33" s="27" t="n"/>
      <c r="B33" s="28" t="n"/>
      <c r="C33" s="28" t="n"/>
      <c r="D33" s="31" t="n"/>
      <c r="E33" s="32" t="n"/>
      <c r="F33" s="28" t="n"/>
    </row>
    <row r="34">
      <c r="A34" s="22" t="n"/>
      <c r="B34" s="24" t="n"/>
      <c r="C34" s="24" t="n"/>
      <c r="D34" s="33" t="n"/>
      <c r="E34" s="34" t="n"/>
      <c r="F34" s="24" t="n"/>
    </row>
    <row r="35">
      <c r="A35" s="27" t="n"/>
      <c r="B35" s="28" t="n"/>
      <c r="C35" s="28" t="n"/>
      <c r="D35" s="31" t="n"/>
      <c r="E35" s="32" t="n"/>
      <c r="F35" s="28" t="n"/>
    </row>
    <row r="36">
      <c r="A36" s="22" t="n"/>
      <c r="B36" s="24" t="n"/>
      <c r="C36" s="24" t="n"/>
      <c r="D36" s="33" t="n"/>
      <c r="E36" s="34" t="n"/>
      <c r="F36" s="24" t="n"/>
    </row>
    <row r="37">
      <c r="A37" s="27" t="n"/>
      <c r="B37" s="28" t="n"/>
      <c r="C37" s="28" t="n"/>
      <c r="D37" s="31" t="n"/>
      <c r="E37" s="32" t="n"/>
      <c r="F37" s="28" t="n"/>
    </row>
    <row r="38">
      <c r="A38" s="22" t="n"/>
      <c r="B38" s="24" t="n"/>
      <c r="C38" s="24" t="n"/>
      <c r="D38" s="33" t="n"/>
      <c r="E38" s="34" t="n"/>
      <c r="F38" s="24" t="n"/>
    </row>
    <row r="39">
      <c r="A39" s="27" t="n"/>
      <c r="B39" s="28" t="n"/>
      <c r="C39" s="28" t="n"/>
      <c r="D39" s="31" t="n"/>
      <c r="E39" s="32" t="n"/>
      <c r="F39" s="28" t="n"/>
    </row>
    <row r="40">
      <c r="A40" s="22" t="n"/>
      <c r="B40" s="24" t="n"/>
      <c r="C40" s="24" t="n"/>
      <c r="D40" s="33" t="n"/>
      <c r="E40" s="34" t="n"/>
      <c r="F40" s="24" t="n"/>
    </row>
    <row r="41">
      <c r="A41" s="27" t="n"/>
      <c r="B41" s="28" t="n"/>
      <c r="C41" s="28" t="n"/>
      <c r="D41" s="31" t="n"/>
      <c r="E41" s="32" t="n"/>
      <c r="F41" s="28" t="n"/>
    </row>
    <row r="42">
      <c r="A42" s="22" t="n"/>
      <c r="B42" s="24" t="n"/>
      <c r="C42" s="24" t="n"/>
      <c r="D42" s="33" t="n"/>
      <c r="E42" s="34" t="n"/>
      <c r="F42" s="24" t="n"/>
    </row>
    <row r="43">
      <c r="A43" s="27" t="n"/>
      <c r="B43" s="28" t="n"/>
      <c r="C43" s="28" t="n"/>
      <c r="D43" s="31" t="n"/>
      <c r="E43" s="32" t="n"/>
      <c r="F43" s="28" t="n"/>
    </row>
    <row r="44">
      <c r="A44" s="22" t="n"/>
      <c r="B44" s="24" t="n"/>
      <c r="C44" s="24" t="n"/>
      <c r="D44" s="33" t="n"/>
      <c r="E44" s="34" t="n"/>
      <c r="F44" s="24" t="n"/>
    </row>
    <row r="45">
      <c r="A45" s="27" t="n"/>
      <c r="B45" s="28" t="n"/>
      <c r="C45" s="28" t="n"/>
      <c r="D45" s="31" t="n"/>
      <c r="E45" s="32" t="n"/>
      <c r="F45" s="28" t="n"/>
    </row>
    <row r="46">
      <c r="A46" s="22" t="n"/>
      <c r="B46" s="24" t="n"/>
      <c r="C46" s="24" t="n"/>
      <c r="D46" s="33" t="n"/>
      <c r="E46" s="34" t="n"/>
      <c r="F46" s="24" t="n"/>
    </row>
    <row r="47">
      <c r="A47" s="27" t="n"/>
      <c r="B47" s="28" t="n"/>
      <c r="C47" s="28" t="n"/>
      <c r="D47" s="31" t="n"/>
      <c r="E47" s="32" t="n"/>
      <c r="F47" s="28" t="n"/>
    </row>
    <row r="48">
      <c r="A48" s="22" t="n"/>
      <c r="B48" s="24" t="n"/>
      <c r="C48" s="24" t="n"/>
      <c r="D48" s="33" t="n"/>
      <c r="E48" s="34" t="n"/>
      <c r="F48" s="24" t="n"/>
    </row>
    <row r="49">
      <c r="A49" s="27" t="n"/>
      <c r="B49" s="28" t="n"/>
      <c r="C49" s="28" t="n"/>
      <c r="D49" s="31" t="n"/>
      <c r="E49" s="32" t="n"/>
      <c r="F49" s="28" t="n"/>
    </row>
    <row r="50">
      <c r="A50" s="22" t="n"/>
      <c r="B50" s="24" t="n"/>
      <c r="C50" s="24" t="n"/>
      <c r="D50" s="33" t="n"/>
      <c r="E50" s="34" t="n"/>
      <c r="F50" s="24" t="n"/>
    </row>
    <row r="51">
      <c r="A51" s="27" t="n"/>
      <c r="B51" s="28" t="n"/>
      <c r="C51" s="28" t="n"/>
      <c r="D51" s="31" t="n"/>
      <c r="E51" s="32" t="n"/>
      <c r="F51" s="28" t="n"/>
    </row>
    <row r="52">
      <c r="A52" s="22" t="n"/>
      <c r="B52" s="24" t="n"/>
      <c r="C52" s="24" t="n"/>
      <c r="D52" s="33" t="n"/>
      <c r="E52" s="34" t="n"/>
      <c r="F52" s="24" t="n"/>
    </row>
    <row r="53">
      <c r="A53" s="27" t="n"/>
      <c r="B53" s="28" t="n"/>
      <c r="C53" s="28" t="n"/>
      <c r="D53" s="31" t="n"/>
      <c r="E53" s="32" t="n"/>
      <c r="F53" s="28" t="n"/>
    </row>
    <row r="54">
      <c r="A54" s="22" t="n"/>
      <c r="B54" s="24" t="n"/>
      <c r="C54" s="24" t="n"/>
      <c r="D54" s="33" t="n"/>
      <c r="E54" s="34" t="n"/>
      <c r="F54" s="24" t="n"/>
    </row>
    <row r="55">
      <c r="A55" s="27" t="n"/>
      <c r="B55" s="28" t="n"/>
      <c r="C55" s="28" t="n"/>
      <c r="D55" s="31" t="n"/>
      <c r="E55" s="32" t="n"/>
      <c r="F55" s="28" t="n"/>
    </row>
    <row r="56">
      <c r="A56" s="22" t="n"/>
      <c r="B56" s="24" t="n"/>
      <c r="C56" s="24" t="n"/>
      <c r="D56" s="33" t="n"/>
      <c r="E56" s="34" t="n"/>
      <c r="F56" s="24" t="n"/>
    </row>
    <row r="57">
      <c r="A57" s="27" t="n"/>
      <c r="B57" s="28" t="n"/>
      <c r="C57" s="28" t="n"/>
      <c r="D57" s="31" t="n"/>
      <c r="E57" s="32" t="n"/>
      <c r="F57" s="28" t="n"/>
    </row>
    <row r="58">
      <c r="A58" s="22" t="n"/>
      <c r="B58" s="24" t="n"/>
      <c r="C58" s="24" t="n"/>
      <c r="D58" s="33" t="n"/>
      <c r="E58" s="34" t="n"/>
      <c r="F58" s="24" t="n"/>
    </row>
    <row r="59">
      <c r="A59" s="27" t="n"/>
      <c r="B59" s="28" t="n"/>
      <c r="C59" s="28" t="n"/>
      <c r="D59" s="31" t="n"/>
      <c r="E59" s="32" t="n"/>
      <c r="F59" s="28" t="n"/>
    </row>
    <row r="60">
      <c r="A60" s="22" t="n"/>
      <c r="B60" s="24" t="n"/>
      <c r="C60" s="24" t="n"/>
      <c r="D60" s="33" t="n"/>
      <c r="E60" s="34" t="n"/>
      <c r="F60" s="24" t="n"/>
    </row>
    <row r="61">
      <c r="A61" s="27" t="n"/>
      <c r="B61" s="28" t="n"/>
      <c r="C61" s="28" t="n"/>
      <c r="D61" s="31" t="n"/>
      <c r="E61" s="32" t="n"/>
      <c r="F61" s="28" t="n"/>
    </row>
    <row r="62">
      <c r="A62" s="22" t="n"/>
      <c r="B62" s="24" t="n"/>
      <c r="C62" s="24" t="n"/>
      <c r="D62" s="33" t="n"/>
      <c r="E62" s="34" t="n"/>
      <c r="F62" s="24" t="n"/>
    </row>
    <row r="63">
      <c r="A63" s="27" t="n"/>
      <c r="B63" s="28" t="n"/>
      <c r="C63" s="28" t="n"/>
      <c r="D63" s="31" t="n"/>
      <c r="E63" s="32" t="n"/>
      <c r="F63" s="28" t="n"/>
    </row>
    <row r="64">
      <c r="A64" s="22" t="n"/>
      <c r="B64" s="24" t="n"/>
      <c r="C64" s="24" t="n"/>
      <c r="D64" s="33" t="n"/>
      <c r="E64" s="34" t="n"/>
      <c r="F64" s="24" t="n"/>
    </row>
  </sheetData>
  <mergeCells count="2">
    <mergeCell ref="A2:F2"/>
    <mergeCell ref="A1:F1"/>
  </mergeCells>
  <conditionalFormatting sqref="F5:F64">
    <cfRule type="cellIs" priority="1" operator="equal" dxfId="0">
      <formula>"Yes"</formula>
    </cfRule>
    <cfRule type="cellIs" priority="2" operator="equal" dxfId="1">
      <formula>"No"</formula>
    </cfRule>
  </conditionalFormatting>
  <dataValidations count="2">
    <dataValidation sqref="C5:C64" showDropDown="0" showInputMessage="0" showErrorMessage="0" allowBlank="1" type="list">
      <formula1>=SupCatList</formula1>
    </dataValidation>
    <dataValidation sqref="F5:F6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4" customWidth="1" min="4" max="4"/>
  </cols>
  <sheetData>
    <row r="1" ht="46" customHeight="1">
      <c r="A1" s="1" t="inlineStr">
        <is>
          <t xml:space="preserve">  👕  CLOTHING, SHOES &amp; UNIFORM INVENTORY</t>
        </is>
      </c>
    </row>
    <row r="2" ht="22" customHeight="1">
      <c r="A2" s="2" t="inlineStr">
        <is>
          <t xml:space="preserve">  Who has what, in which size — and what still needs ordering before day one.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Child</t>
        </is>
      </c>
      <c r="B4" s="9" t="inlineStr">
        <is>
          <t>Item</t>
        </is>
      </c>
      <c r="C4" s="9" t="inlineStr">
        <is>
          <t>Size</t>
        </is>
      </c>
      <c r="D4" s="9" t="inlineStr">
        <is>
          <t>Status</t>
        </is>
      </c>
    </row>
    <row r="5">
      <c r="A5" s="28" t="inlineStr">
        <is>
          <t>Mateo</t>
        </is>
      </c>
      <c r="B5" s="27" t="inlineStr">
        <is>
          <t>Blazer</t>
        </is>
      </c>
      <c r="C5" s="28" t="inlineStr">
        <is>
          <t>16</t>
        </is>
      </c>
      <c r="D5" s="28" t="inlineStr">
        <is>
          <t>Ready</t>
        </is>
      </c>
    </row>
    <row r="6">
      <c r="A6" s="24" t="inlineStr">
        <is>
          <t>Mateo</t>
        </is>
      </c>
      <c r="B6" s="22" t="inlineStr">
        <is>
          <t>Khaki pants x3</t>
        </is>
      </c>
      <c r="C6" s="24" t="inlineStr">
        <is>
          <t>16</t>
        </is>
      </c>
      <c r="D6" s="24" t="inlineStr">
        <is>
          <t>Ready</t>
        </is>
      </c>
    </row>
    <row r="7">
      <c r="A7" s="28" t="inlineStr">
        <is>
          <t>Mateo</t>
        </is>
      </c>
      <c r="B7" s="27" t="inlineStr">
        <is>
          <t>Dress shoes</t>
        </is>
      </c>
      <c r="C7" s="28" t="inlineStr">
        <is>
          <t>8</t>
        </is>
      </c>
      <c r="D7" s="28" t="inlineStr">
        <is>
          <t>Need</t>
        </is>
      </c>
    </row>
    <row r="8">
      <c r="A8" s="24" t="inlineStr">
        <is>
          <t>Sofia</t>
        </is>
      </c>
      <c r="B8" s="22" t="inlineStr">
        <is>
          <t>Fall wardrobe</t>
        </is>
      </c>
      <c r="C8" s="24" t="inlineStr">
        <is>
          <t>12</t>
        </is>
      </c>
      <c r="D8" s="24" t="inlineStr">
        <is>
          <t>Ready</t>
        </is>
      </c>
    </row>
    <row r="9">
      <c r="A9" s="28" t="inlineStr">
        <is>
          <t>Sofia</t>
        </is>
      </c>
      <c r="B9" s="27" t="inlineStr">
        <is>
          <t>Sneakers</t>
        </is>
      </c>
      <c r="C9" s="28" t="inlineStr">
        <is>
          <t>6</t>
        </is>
      </c>
      <c r="D9" s="28" t="inlineStr">
        <is>
          <t>Ready</t>
        </is>
      </c>
    </row>
    <row r="10">
      <c r="A10" s="24" t="inlineStr">
        <is>
          <t>Liam</t>
        </is>
      </c>
      <c r="B10" s="22" t="inlineStr">
        <is>
          <t>Polos x5</t>
        </is>
      </c>
      <c r="C10" s="24" t="inlineStr">
        <is>
          <t>10</t>
        </is>
      </c>
      <c r="D10" s="24" t="inlineStr">
        <is>
          <t>Ready</t>
        </is>
      </c>
    </row>
    <row r="11">
      <c r="A11" s="28" t="inlineStr">
        <is>
          <t>Liam</t>
        </is>
      </c>
      <c r="B11" s="27" t="inlineStr">
        <is>
          <t>Navy pants x3</t>
        </is>
      </c>
      <c r="C11" s="28" t="inlineStr">
        <is>
          <t>10</t>
        </is>
      </c>
      <c r="D11" s="28" t="inlineStr">
        <is>
          <t>Need</t>
        </is>
      </c>
    </row>
    <row r="12">
      <c r="A12" s="24" t="inlineStr">
        <is>
          <t>Liam</t>
        </is>
      </c>
      <c r="B12" s="22" t="inlineStr">
        <is>
          <t>Sneakers</t>
        </is>
      </c>
      <c r="C12" s="24" t="inlineStr">
        <is>
          <t>3</t>
        </is>
      </c>
      <c r="D12" s="24" t="inlineStr">
        <is>
          <t>Ready</t>
        </is>
      </c>
    </row>
    <row r="13">
      <c r="A13" s="28" t="inlineStr">
        <is>
          <t>Ava</t>
        </is>
      </c>
      <c r="B13" s="27" t="inlineStr">
        <is>
          <t>Polos x5</t>
        </is>
      </c>
      <c r="C13" s="28" t="inlineStr">
        <is>
          <t>8</t>
        </is>
      </c>
      <c r="D13" s="28" t="inlineStr">
        <is>
          <t>Ready</t>
        </is>
      </c>
    </row>
    <row r="14">
      <c r="A14" s="24" t="inlineStr">
        <is>
          <t>Ava</t>
        </is>
      </c>
      <c r="B14" s="22" t="inlineStr">
        <is>
          <t>Navy skirts x2</t>
        </is>
      </c>
      <c r="C14" s="24" t="inlineStr">
        <is>
          <t>8</t>
        </is>
      </c>
      <c r="D14" s="24" t="inlineStr">
        <is>
          <t>Ready</t>
        </is>
      </c>
    </row>
    <row r="15">
      <c r="A15" s="28" t="inlineStr">
        <is>
          <t>Ava</t>
        </is>
      </c>
      <c r="B15" s="27" t="inlineStr">
        <is>
          <t>Sneakers</t>
        </is>
      </c>
      <c r="C15" s="28" t="inlineStr">
        <is>
          <t>1</t>
        </is>
      </c>
      <c r="D15" s="28" t="inlineStr">
        <is>
          <t>Need</t>
        </is>
      </c>
    </row>
    <row r="16">
      <c r="A16" s="24" t="inlineStr">
        <is>
          <t>Noah</t>
        </is>
      </c>
      <c r="B16" s="22" t="inlineStr">
        <is>
          <t>Polos x5</t>
        </is>
      </c>
      <c r="C16" s="24" t="inlineStr">
        <is>
          <t>6</t>
        </is>
      </c>
      <c r="D16" s="24" t="inlineStr">
        <is>
          <t>Ready</t>
        </is>
      </c>
    </row>
    <row r="17">
      <c r="A17" s="28" t="inlineStr">
        <is>
          <t>Noah</t>
        </is>
      </c>
      <c r="B17" s="27" t="inlineStr">
        <is>
          <t>Navy pants x3</t>
        </is>
      </c>
      <c r="C17" s="28" t="inlineStr">
        <is>
          <t>6</t>
        </is>
      </c>
      <c r="D17" s="28" t="inlineStr">
        <is>
          <t>Ready</t>
        </is>
      </c>
    </row>
    <row r="18">
      <c r="A18" s="24" t="inlineStr">
        <is>
          <t>Noah</t>
        </is>
      </c>
      <c r="B18" s="22" t="inlineStr">
        <is>
          <t>Sneakers</t>
        </is>
      </c>
      <c r="C18" s="24" t="inlineStr">
        <is>
          <t>12</t>
        </is>
      </c>
      <c r="D18" s="24" t="inlineStr">
        <is>
          <t>Ready</t>
        </is>
      </c>
    </row>
    <row r="19">
      <c r="A19" s="28" t="inlineStr">
        <is>
          <t>Emma</t>
        </is>
      </c>
      <c r="B19" s="27" t="inlineStr">
        <is>
          <t>Play outfits</t>
        </is>
      </c>
      <c r="C19" s="28" t="inlineStr">
        <is>
          <t>5</t>
        </is>
      </c>
      <c r="D19" s="28" t="inlineStr">
        <is>
          <t>Ready</t>
        </is>
      </c>
    </row>
    <row r="20">
      <c r="A20" s="24" t="inlineStr">
        <is>
          <t>Emma</t>
        </is>
      </c>
      <c r="B20" s="22" t="inlineStr">
        <is>
          <t>Rain boots</t>
        </is>
      </c>
      <c r="C20" s="24" t="inlineStr">
        <is>
          <t>9</t>
        </is>
      </c>
      <c r="D20" s="24" t="inlineStr">
        <is>
          <t>Ordered</t>
        </is>
      </c>
    </row>
    <row r="21">
      <c r="A21" s="28" t="n"/>
      <c r="B21" s="27" t="n"/>
      <c r="C21" s="28" t="n"/>
      <c r="D21" s="28" t="n"/>
    </row>
    <row r="22">
      <c r="A22" s="24" t="n"/>
      <c r="B22" s="22" t="n"/>
      <c r="C22" s="24" t="n"/>
      <c r="D22" s="24" t="n"/>
    </row>
    <row r="23">
      <c r="A23" s="28" t="n"/>
      <c r="B23" s="27" t="n"/>
      <c r="C23" s="28" t="n"/>
      <c r="D23" s="28" t="n"/>
    </row>
    <row r="24">
      <c r="A24" s="24" t="n"/>
      <c r="B24" s="22" t="n"/>
      <c r="C24" s="24" t="n"/>
      <c r="D24" s="24" t="n"/>
    </row>
    <row r="25">
      <c r="A25" s="28" t="n"/>
      <c r="B25" s="27" t="n"/>
      <c r="C25" s="28" t="n"/>
      <c r="D25" s="28" t="n"/>
    </row>
    <row r="26">
      <c r="A26" s="24" t="n"/>
      <c r="B26" s="22" t="n"/>
      <c r="C26" s="24" t="n"/>
      <c r="D26" s="24" t="n"/>
    </row>
    <row r="27">
      <c r="A27" s="28" t="n"/>
      <c r="B27" s="27" t="n"/>
      <c r="C27" s="28" t="n"/>
      <c r="D27" s="28" t="n"/>
    </row>
    <row r="28">
      <c r="A28" s="24" t="n"/>
      <c r="B28" s="22" t="n"/>
      <c r="C28" s="24" t="n"/>
      <c r="D28" s="24" t="n"/>
    </row>
    <row r="29">
      <c r="A29" s="28" t="n"/>
      <c r="B29" s="27" t="n"/>
      <c r="C29" s="28" t="n"/>
      <c r="D29" s="28" t="n"/>
    </row>
    <row r="30">
      <c r="A30" s="24" t="n"/>
      <c r="B30" s="22" t="n"/>
      <c r="C30" s="24" t="n"/>
      <c r="D30" s="24" t="n"/>
    </row>
    <row r="31">
      <c r="A31" s="28" t="n"/>
      <c r="B31" s="27" t="n"/>
      <c r="C31" s="28" t="n"/>
      <c r="D31" s="28" t="n"/>
    </row>
    <row r="32">
      <c r="A32" s="24" t="n"/>
      <c r="B32" s="22" t="n"/>
      <c r="C32" s="24" t="n"/>
      <c r="D32" s="24" t="n"/>
    </row>
    <row r="33">
      <c r="A33" s="28" t="n"/>
      <c r="B33" s="27" t="n"/>
      <c r="C33" s="28" t="n"/>
      <c r="D33" s="28" t="n"/>
    </row>
    <row r="34">
      <c r="A34" s="24" t="n"/>
      <c r="B34" s="22" t="n"/>
      <c r="C34" s="24" t="n"/>
      <c r="D34" s="24" t="n"/>
    </row>
    <row r="35">
      <c r="A35" s="28" t="n"/>
      <c r="B35" s="27" t="n"/>
      <c r="C35" s="28" t="n"/>
      <c r="D35" s="28" t="n"/>
    </row>
    <row r="36">
      <c r="A36" s="24" t="n"/>
      <c r="B36" s="22" t="n"/>
      <c r="C36" s="24" t="n"/>
      <c r="D36" s="24" t="n"/>
    </row>
    <row r="37">
      <c r="A37" s="28" t="n"/>
      <c r="B37" s="27" t="n"/>
      <c r="C37" s="28" t="n"/>
      <c r="D37" s="28" t="n"/>
    </row>
    <row r="38">
      <c r="A38" s="24" t="n"/>
      <c r="B38" s="22" t="n"/>
      <c r="C38" s="24" t="n"/>
      <c r="D38" s="24" t="n"/>
    </row>
    <row r="39">
      <c r="A39" s="28" t="n"/>
      <c r="B39" s="27" t="n"/>
      <c r="C39" s="28" t="n"/>
      <c r="D39" s="28" t="n"/>
    </row>
    <row r="40">
      <c r="A40" s="24" t="n"/>
      <c r="B40" s="22" t="n"/>
      <c r="C40" s="24" t="n"/>
      <c r="D40" s="24" t="n"/>
    </row>
    <row r="41">
      <c r="A41" s="28" t="n"/>
      <c r="B41" s="27" t="n"/>
      <c r="C41" s="28" t="n"/>
      <c r="D41" s="28" t="n"/>
    </row>
    <row r="42">
      <c r="A42" s="24" t="n"/>
      <c r="B42" s="22" t="n"/>
      <c r="C42" s="24" t="n"/>
      <c r="D42" s="24" t="n"/>
    </row>
    <row r="43">
      <c r="A43" s="28" t="n"/>
      <c r="B43" s="27" t="n"/>
      <c r="C43" s="28" t="n"/>
      <c r="D43" s="28" t="n"/>
    </row>
    <row r="44">
      <c r="A44" s="24" t="n"/>
      <c r="B44" s="22" t="n"/>
      <c r="C44" s="24" t="n"/>
      <c r="D44" s="24" t="n"/>
    </row>
  </sheetData>
  <mergeCells count="2">
    <mergeCell ref="A1:D1"/>
    <mergeCell ref="A2:D2"/>
  </mergeCells>
  <conditionalFormatting sqref="D5:D44">
    <cfRule type="cellIs" priority="1" operator="equal" dxfId="0">
      <formula>"Ready"</formula>
    </cfRule>
    <cfRule type="cellIs" priority="2" operator="equal" dxfId="1">
      <formula>"Ordered"</formula>
    </cfRule>
    <cfRule type="cellIs" priority="3" operator="equal" dxfId="3">
      <formula>"Need"</formula>
    </cfRule>
  </conditionalFormatting>
  <dataValidations count="1">
    <dataValidation sqref="D5:D44" showDropDown="0" showInputMessage="0" showErrorMessage="0" allowBlank="1" type="list">
      <formula1>=ReadyList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3" customWidth="1" min="6" max="6"/>
    <col width="2" customWidth="1" min="7" max="7"/>
  </cols>
  <sheetData>
    <row r="1" ht="46" customHeight="1">
      <c r="A1" s="1" t="inlineStr">
        <is>
          <t xml:space="preserve">  💰  BUDGET VS ACTUAL</t>
        </is>
      </c>
    </row>
    <row r="2" ht="22" customHeight="1">
      <c r="A2" s="2" t="inlineStr">
        <is>
          <t xml:space="preserve">  Set a number, track every dollar — see exactly where back-to-school money goes.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Category</t>
        </is>
      </c>
      <c r="C4" s="9" t="inlineStr">
        <is>
          <t>Planned</t>
        </is>
      </c>
      <c r="D4" s="9" t="inlineStr">
        <is>
          <t>Actual</t>
        </is>
      </c>
      <c r="E4" s="9" t="inlineStr">
        <is>
          <t>Remaining</t>
        </is>
      </c>
    </row>
    <row r="5">
      <c r="B5" s="19" t="inlineStr">
        <is>
          <t>School Supplies</t>
        </is>
      </c>
      <c r="C5" s="35" t="n">
        <v>320</v>
      </c>
      <c r="D5" s="35" t="n">
        <v>300</v>
      </c>
      <c r="E5" s="36">
        <f>C5-D5</f>
        <v/>
      </c>
    </row>
    <row r="6">
      <c r="B6" s="22" t="inlineStr">
        <is>
          <t>Clothing</t>
        </is>
      </c>
      <c r="C6" s="37" t="n">
        <v>480</v>
      </c>
      <c r="D6" s="37" t="n">
        <v>415</v>
      </c>
      <c r="E6" s="38">
        <f>C6-D6</f>
        <v/>
      </c>
    </row>
    <row r="7">
      <c r="B7" s="19" t="inlineStr">
        <is>
          <t>Shoes</t>
        </is>
      </c>
      <c r="C7" s="35" t="n">
        <v>300</v>
      </c>
      <c r="D7" s="35" t="n">
        <v>255</v>
      </c>
      <c r="E7" s="36">
        <f>C7-D7</f>
        <v/>
      </c>
    </row>
    <row r="8">
      <c r="B8" s="22" t="inlineStr">
        <is>
          <t>Uniforms</t>
        </is>
      </c>
      <c r="C8" s="37" t="n">
        <v>250</v>
      </c>
      <c r="D8" s="37" t="n">
        <v>210</v>
      </c>
      <c r="E8" s="38">
        <f>C8-D8</f>
        <v/>
      </c>
    </row>
    <row r="9">
      <c r="B9" s="19" t="inlineStr">
        <is>
          <t>Backpacks &amp; Lunchboxes</t>
        </is>
      </c>
      <c r="C9" s="35" t="n">
        <v>180</v>
      </c>
      <c r="D9" s="35" t="n">
        <v>165</v>
      </c>
      <c r="E9" s="36">
        <f>C9-D9</f>
        <v/>
      </c>
    </row>
    <row r="10">
      <c r="B10" s="22" t="inlineStr">
        <is>
          <t>Devices &amp; Tech</t>
        </is>
      </c>
      <c r="C10" s="37" t="n">
        <v>280</v>
      </c>
      <c r="D10" s="37" t="n">
        <v>0</v>
      </c>
      <c r="E10" s="38">
        <f>C10-D10</f>
        <v/>
      </c>
    </row>
    <row r="11">
      <c r="B11" s="19" t="inlineStr">
        <is>
          <t>School Fees</t>
        </is>
      </c>
      <c r="C11" s="35" t="n">
        <v>380</v>
      </c>
      <c r="D11" s="35" t="n">
        <v>300</v>
      </c>
      <c r="E11" s="36">
        <f>C11-D11</f>
        <v/>
      </c>
    </row>
    <row r="12">
      <c r="B12" s="22" t="inlineStr">
        <is>
          <t>Extracurriculars</t>
        </is>
      </c>
      <c r="C12" s="37" t="n">
        <v>200</v>
      </c>
      <c r="D12" s="37" t="n">
        <v>120</v>
      </c>
      <c r="E12" s="38">
        <f>C12-D12</f>
        <v/>
      </c>
    </row>
    <row r="13">
      <c r="B13" s="19" t="inlineStr">
        <is>
          <t>Haircuts &amp; Misc</t>
        </is>
      </c>
      <c r="C13" s="35" t="n">
        <v>110</v>
      </c>
      <c r="D13" s="35" t="n">
        <v>85</v>
      </c>
      <c r="E13" s="36">
        <f>C13-D13</f>
        <v/>
      </c>
    </row>
    <row r="14">
      <c r="B14" s="9" t="inlineStr">
        <is>
          <t>TOTAL</t>
        </is>
      </c>
      <c r="C14" s="39">
        <f>SUM(C5:C13)</f>
        <v/>
      </c>
      <c r="D14" s="39">
        <f>SUM(D5:D13)</f>
        <v/>
      </c>
      <c r="E14" s="39">
        <f>SUM(E5:E13)</f>
        <v/>
      </c>
    </row>
    <row r="15">
      <c r="B15" s="4" t="inlineStr">
        <is>
          <t>THE BOTTOM LINE</t>
        </is>
      </c>
    </row>
    <row r="16">
      <c r="B16" s="25" t="inlineStr">
        <is>
          <t>Total budget</t>
        </is>
      </c>
      <c r="C16" s="40">
        <f>BudgetPlanTotal</f>
        <v/>
      </c>
    </row>
    <row r="17">
      <c r="B17" s="25" t="inlineStr">
        <is>
          <t>Spent so far</t>
        </is>
      </c>
      <c r="C17" s="40">
        <f>BudgetSpent</f>
        <v/>
      </c>
    </row>
    <row r="18">
      <c r="B18" s="25" t="inlineStr">
        <is>
          <t>Remaining</t>
        </is>
      </c>
      <c r="C18" s="41">
        <f>BudgetPlanTotal-BudgetSpent</f>
        <v/>
      </c>
    </row>
    <row r="19">
      <c r="B19" s="25" t="inlineStr">
        <is>
          <t>% of budget used</t>
        </is>
      </c>
      <c r="C19" s="42">
        <f>IFERROR(BudgetSpent/BudgetPlanTotal,0)</f>
        <v/>
      </c>
    </row>
    <row r="20">
      <c r="B20" s="25" t="inlineStr">
        <is>
          <t>Per child (avg)</t>
        </is>
      </c>
      <c r="C20" s="41">
        <f>IFERROR(BudgetSpent/Children,0)</f>
        <v/>
      </c>
    </row>
  </sheetData>
  <mergeCells count="3">
    <mergeCell ref="A2:E2"/>
    <mergeCell ref="B15:E15"/>
    <mergeCell ref="A1:E1"/>
  </mergeCells>
  <conditionalFormatting sqref="D5:D13">
    <cfRule type="dataBar" priority="1">
      <dataBar showValue="1">
        <cfvo type="num" val="0"/>
        <cfvo type="num" val="480"/>
        <color rgb="001B4F48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🧾  SCHOOL FEES &amp; PAYMENT TRACKER</t>
        </is>
      </c>
    </row>
    <row r="2" ht="22" customHeight="1">
      <c r="A2" s="2" t="inlineStr">
        <is>
          <t xml:space="preserve">  Every registration, activity &amp; fee — paid, partial or still owed.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Child</t>
        </is>
      </c>
      <c r="C4" s="9" t="inlineStr">
        <is>
          <t>Fee</t>
        </is>
      </c>
      <c r="D4" s="9" t="inlineStr">
        <is>
          <t>Amount</t>
        </is>
      </c>
      <c r="E4" s="9" t="inlineStr">
        <is>
          <t>Paid</t>
        </is>
      </c>
      <c r="F4" s="9" t="inlineStr">
        <is>
          <t>Owed</t>
        </is>
      </c>
    </row>
    <row r="5">
      <c r="B5" s="19" t="inlineStr">
        <is>
          <t>Mateo</t>
        </is>
      </c>
      <c r="C5" s="19" t="inlineStr">
        <is>
          <t>Registration</t>
        </is>
      </c>
      <c r="D5" s="35" t="n">
        <v>75</v>
      </c>
      <c r="E5" s="35" t="n">
        <v>75</v>
      </c>
      <c r="F5" s="43">
        <f>D5-E5</f>
        <v/>
      </c>
    </row>
    <row r="6">
      <c r="B6" s="22" t="inlineStr">
        <is>
          <t>Mateo</t>
        </is>
      </c>
      <c r="C6" s="22" t="inlineStr">
        <is>
          <t>Athletics</t>
        </is>
      </c>
      <c r="D6" s="37" t="n">
        <v>120</v>
      </c>
      <c r="E6" s="37" t="n">
        <v>120</v>
      </c>
      <c r="F6" s="34">
        <f>D6-E6</f>
        <v/>
      </c>
    </row>
    <row r="7">
      <c r="B7" s="19" t="inlineStr">
        <is>
          <t>Sofia</t>
        </is>
      </c>
      <c r="C7" s="19" t="inlineStr">
        <is>
          <t>Registration</t>
        </is>
      </c>
      <c r="D7" s="35" t="n">
        <v>75</v>
      </c>
      <c r="E7" s="35" t="n">
        <v>75</v>
      </c>
      <c r="F7" s="43">
        <f>D7-E7</f>
        <v/>
      </c>
    </row>
    <row r="8">
      <c r="B8" s="22" t="inlineStr">
        <is>
          <t>Sofia</t>
        </is>
      </c>
      <c r="C8" s="22" t="inlineStr">
        <is>
          <t>Band</t>
        </is>
      </c>
      <c r="D8" s="37" t="n">
        <v>90</v>
      </c>
      <c r="E8" s="37" t="n">
        <v>45</v>
      </c>
      <c r="F8" s="34">
        <f>D8-E8</f>
        <v/>
      </c>
    </row>
    <row r="9">
      <c r="B9" s="19" t="inlineStr">
        <is>
          <t>Liam</t>
        </is>
      </c>
      <c r="C9" s="19" t="inlineStr">
        <is>
          <t>Registration</t>
        </is>
      </c>
      <c r="D9" s="35" t="n">
        <v>50</v>
      </c>
      <c r="E9" s="35" t="n">
        <v>50</v>
      </c>
      <c r="F9" s="43">
        <f>D9-E9</f>
        <v/>
      </c>
    </row>
    <row r="10">
      <c r="B10" s="22" t="inlineStr">
        <is>
          <t>Ava</t>
        </is>
      </c>
      <c r="C10" s="22" t="inlineStr">
        <is>
          <t>Registration</t>
        </is>
      </c>
      <c r="D10" s="37" t="n">
        <v>50</v>
      </c>
      <c r="E10" s="37" t="n">
        <v>50</v>
      </c>
      <c r="F10" s="34">
        <f>D10-E10</f>
        <v/>
      </c>
    </row>
    <row r="11">
      <c r="B11" s="19" t="inlineStr">
        <is>
          <t>Noah</t>
        </is>
      </c>
      <c r="C11" s="19" t="inlineStr">
        <is>
          <t>Registration</t>
        </is>
      </c>
      <c r="D11" s="35" t="n">
        <v>50</v>
      </c>
      <c r="E11" s="35" t="n">
        <v>0</v>
      </c>
      <c r="F11" s="43">
        <f>D11-E11</f>
        <v/>
      </c>
    </row>
    <row r="12">
      <c r="B12" s="22" t="inlineStr">
        <is>
          <t>Emma</t>
        </is>
      </c>
      <c r="C12" s="22" t="inlineStr">
        <is>
          <t>Preschool deposit</t>
        </is>
      </c>
      <c r="D12" s="37" t="n">
        <v>150</v>
      </c>
      <c r="E12" s="37" t="n">
        <v>150</v>
      </c>
      <c r="F12" s="34">
        <f>D12-E12</f>
        <v/>
      </c>
    </row>
    <row r="13">
      <c r="B13" s="19" t="inlineStr">
        <is>
          <t>Family</t>
        </is>
      </c>
      <c r="C13" s="19" t="inlineStr">
        <is>
          <t>PTA</t>
        </is>
      </c>
      <c r="D13" s="35" t="n">
        <v>40</v>
      </c>
      <c r="E13" s="35" t="n">
        <v>40</v>
      </c>
      <c r="F13" s="43">
        <f>D13-E13</f>
        <v/>
      </c>
    </row>
    <row r="14">
      <c r="B14" s="22" t="inlineStr">
        <is>
          <t>Family</t>
        </is>
      </c>
      <c r="C14" s="22" t="inlineStr">
        <is>
          <t>Yearbooks x3</t>
        </is>
      </c>
      <c r="D14" s="37" t="n">
        <v>90</v>
      </c>
      <c r="E14" s="37" t="n">
        <v>90</v>
      </c>
      <c r="F14" s="34">
        <f>D14-E14</f>
        <v/>
      </c>
    </row>
    <row r="15">
      <c r="B15" s="9" t="inlineStr">
        <is>
          <t>TOTAL</t>
        </is>
      </c>
      <c r="C15" s="9" t="n"/>
      <c r="D15" s="39">
        <f>SUM(D5:D14)</f>
        <v/>
      </c>
      <c r="E15" s="39">
        <f>SUM(E5:E14)</f>
        <v/>
      </c>
      <c r="F15" s="39">
        <f>SUM(F5:F14)</f>
        <v/>
      </c>
    </row>
  </sheetData>
  <mergeCells count="2">
    <mergeCell ref="A2:F2"/>
    <mergeCell ref="A1:F1"/>
  </mergeCells>
  <conditionalFormatting sqref="F5:F14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6" customWidth="1" min="5" max="5"/>
    <col width="24" customWidth="1" min="6" max="6"/>
  </cols>
  <sheetData>
    <row r="1" ht="46" customHeight="1">
      <c r="A1" s="1" t="inlineStr">
        <is>
          <t xml:space="preserve">  ⚽  EXTRACURRICULAR SCHEDULE</t>
        </is>
      </c>
    </row>
    <row r="2" ht="22" customHeight="1">
      <c r="A2" s="2" t="inlineStr">
        <is>
          <t xml:space="preserve">  Every practice, class &amp; club — the master carpool &amp; conflict view.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Child</t>
        </is>
      </c>
      <c r="B4" s="9" t="inlineStr">
        <is>
          <t>Activity</t>
        </is>
      </c>
      <c r="C4" s="9" t="inlineStr">
        <is>
          <t>Days</t>
        </is>
      </c>
      <c r="D4" s="9" t="inlineStr">
        <is>
          <t>Time</t>
        </is>
      </c>
      <c r="E4" s="9" t="inlineStr">
        <is>
          <t>Coach / Lead</t>
        </is>
      </c>
      <c r="F4" s="9" t="inlineStr">
        <is>
          <t>Notes</t>
        </is>
      </c>
    </row>
    <row r="5">
      <c r="A5" s="28" t="inlineStr">
        <is>
          <t>Mateo</t>
        </is>
      </c>
      <c r="B5" s="28" t="inlineStr">
        <is>
          <t>JV Soccer</t>
        </is>
      </c>
      <c r="C5" s="28" t="inlineStr">
        <is>
          <t>Mon/Wed/Fri</t>
        </is>
      </c>
      <c r="D5" s="28" t="inlineStr">
        <is>
          <t>3:30–5:30</t>
        </is>
      </c>
      <c r="E5" s="27" t="inlineStr">
        <is>
          <t>Coach Ruiz</t>
        </is>
      </c>
      <c r="F5" s="27" t="inlineStr">
        <is>
          <t>$120 · cleats size 8</t>
        </is>
      </c>
    </row>
    <row r="6">
      <c r="A6" s="24" t="inlineStr">
        <is>
          <t>Sofia</t>
        </is>
      </c>
      <c r="B6" s="24" t="inlineStr">
        <is>
          <t>Concert Band</t>
        </is>
      </c>
      <c r="C6" s="24" t="inlineStr">
        <is>
          <t>Tue/Thu</t>
        </is>
      </c>
      <c r="D6" s="24" t="inlineStr">
        <is>
          <t>3:15–4:30</t>
        </is>
      </c>
      <c r="E6" s="22" t="inlineStr">
        <is>
          <t>Mr. Doyle</t>
        </is>
      </c>
      <c r="F6" s="22" t="inlineStr">
        <is>
          <t>$90 · clarinet reeds</t>
        </is>
      </c>
    </row>
    <row r="7">
      <c r="A7" s="28" t="inlineStr">
        <is>
          <t>Sofia</t>
        </is>
      </c>
      <c r="B7" s="28" t="inlineStr">
        <is>
          <t>Art Club</t>
        </is>
      </c>
      <c r="C7" s="28" t="inlineStr">
        <is>
          <t>Wed</t>
        </is>
      </c>
      <c r="D7" s="28" t="inlineStr">
        <is>
          <t>3:15–4:15</t>
        </is>
      </c>
      <c r="E7" s="27" t="inlineStr">
        <is>
          <t>Ms. Lane</t>
        </is>
      </c>
      <c r="F7" s="27" t="inlineStr">
        <is>
          <t>Free</t>
        </is>
      </c>
    </row>
    <row r="8">
      <c r="A8" s="24" t="inlineStr">
        <is>
          <t>Liam</t>
        </is>
      </c>
      <c r="B8" s="24" t="inlineStr">
        <is>
          <t>Chess Club</t>
        </is>
      </c>
      <c r="C8" s="24" t="inlineStr">
        <is>
          <t>Thu</t>
        </is>
      </c>
      <c r="D8" s="24" t="inlineStr">
        <is>
          <t>3:15–4:15</t>
        </is>
      </c>
      <c r="E8" s="22" t="inlineStr">
        <is>
          <t>Mrs. Kim</t>
        </is>
      </c>
      <c r="F8" s="22" t="inlineStr">
        <is>
          <t>Free · rides needed</t>
        </is>
      </c>
    </row>
    <row r="9">
      <c r="A9" s="28" t="inlineStr">
        <is>
          <t>Ava</t>
        </is>
      </c>
      <c r="B9" s="28" t="inlineStr">
        <is>
          <t>Ballet</t>
        </is>
      </c>
      <c r="C9" s="28" t="inlineStr">
        <is>
          <t>Sat</t>
        </is>
      </c>
      <c r="D9" s="28" t="inlineStr">
        <is>
          <t>10:00–11:00</t>
        </is>
      </c>
      <c r="E9" s="27" t="inlineStr">
        <is>
          <t>Miss Tara</t>
        </is>
      </c>
      <c r="F9" s="27" t="inlineStr">
        <is>
          <t>$65/mo · shoes 12.5</t>
        </is>
      </c>
    </row>
    <row r="10">
      <c r="A10" s="24" t="inlineStr">
        <is>
          <t>Noah</t>
        </is>
      </c>
      <c r="B10" s="24" t="inlineStr">
        <is>
          <t>Soccer Tots</t>
        </is>
      </c>
      <c r="C10" s="24" t="inlineStr">
        <is>
          <t>Sat</t>
        </is>
      </c>
      <c r="D10" s="24" t="inlineStr">
        <is>
          <t>9:00–9:45</t>
        </is>
      </c>
      <c r="E10" s="22" t="inlineStr">
        <is>
          <t>Coach Ben</t>
        </is>
      </c>
      <c r="F10" s="22" t="inlineStr">
        <is>
          <t>$50 · shin guards</t>
        </is>
      </c>
    </row>
    <row r="11">
      <c r="A11" s="28" t="inlineStr">
        <is>
          <t>Emma</t>
        </is>
      </c>
      <c r="B11" s="28" t="inlineStr">
        <is>
          <t>Story Time</t>
        </is>
      </c>
      <c r="C11" s="28" t="inlineStr">
        <is>
          <t>Fri</t>
        </is>
      </c>
      <c r="D11" s="28" t="inlineStr">
        <is>
          <t>10:30–11:00</t>
        </is>
      </c>
      <c r="E11" s="27" t="inlineStr">
        <is>
          <t>Library</t>
        </is>
      </c>
      <c r="F11" s="27" t="inlineStr">
        <is>
          <t>Free</t>
        </is>
      </c>
    </row>
    <row r="12">
      <c r="A12" s="24" t="n"/>
      <c r="B12" s="24" t="n"/>
      <c r="C12" s="24" t="n"/>
      <c r="D12" s="24" t="n"/>
      <c r="E12" s="22" t="n"/>
      <c r="F12" s="22" t="n"/>
    </row>
    <row r="13">
      <c r="A13" s="28" t="n"/>
      <c r="B13" s="28" t="n"/>
      <c r="C13" s="28" t="n"/>
      <c r="D13" s="28" t="n"/>
      <c r="E13" s="27" t="n"/>
      <c r="F13" s="27" t="n"/>
    </row>
    <row r="14">
      <c r="A14" s="24" t="n"/>
      <c r="B14" s="24" t="n"/>
      <c r="C14" s="24" t="n"/>
      <c r="D14" s="24" t="n"/>
      <c r="E14" s="22" t="n"/>
      <c r="F14" s="22" t="n"/>
    </row>
    <row r="15">
      <c r="A15" s="28" t="n"/>
      <c r="B15" s="28" t="n"/>
      <c r="C15" s="28" t="n"/>
      <c r="D15" s="28" t="n"/>
      <c r="E15" s="27" t="n"/>
      <c r="F15" s="27" t="n"/>
    </row>
    <row r="16">
      <c r="A16" s="24" t="n"/>
      <c r="B16" s="24" t="n"/>
      <c r="C16" s="24" t="n"/>
      <c r="D16" s="24" t="n"/>
      <c r="E16" s="22" t="n"/>
      <c r="F16" s="22" t="n"/>
    </row>
    <row r="17">
      <c r="A17" s="28" t="n"/>
      <c r="B17" s="28" t="n"/>
      <c r="C17" s="28" t="n"/>
      <c r="D17" s="28" t="n"/>
      <c r="E17" s="27" t="n"/>
      <c r="F17" s="27" t="n"/>
    </row>
    <row r="18">
      <c r="A18" s="24" t="n"/>
      <c r="B18" s="24" t="n"/>
      <c r="C18" s="24" t="n"/>
      <c r="D18" s="24" t="n"/>
      <c r="E18" s="22" t="n"/>
      <c r="F18" s="22" t="n"/>
    </row>
    <row r="19">
      <c r="A19" s="28" t="n"/>
      <c r="B19" s="28" t="n"/>
      <c r="C19" s="28" t="n"/>
      <c r="D19" s="28" t="n"/>
      <c r="E19" s="27" t="n"/>
      <c r="F19" s="27" t="n"/>
    </row>
    <row r="20">
      <c r="A20" s="24" t="n"/>
      <c r="B20" s="24" t="n"/>
      <c r="C20" s="24" t="n"/>
      <c r="D20" s="24" t="n"/>
      <c r="E20" s="22" t="n"/>
      <c r="F20" s="22" t="n"/>
    </row>
    <row r="21">
      <c r="A21" s="28" t="n"/>
      <c r="B21" s="28" t="n"/>
      <c r="C21" s="28" t="n"/>
      <c r="D21" s="28" t="n"/>
      <c r="E21" s="27" t="n"/>
      <c r="F21" s="27" t="n"/>
    </row>
    <row r="22">
      <c r="A22" s="24" t="n"/>
      <c r="B22" s="24" t="n"/>
      <c r="C22" s="24" t="n"/>
      <c r="D22" s="24" t="n"/>
      <c r="E22" s="22" t="n"/>
      <c r="F22" s="22" t="n"/>
    </row>
    <row r="23">
      <c r="A23" s="28" t="n"/>
      <c r="B23" s="28" t="n"/>
      <c r="C23" s="28" t="n"/>
      <c r="D23" s="28" t="n"/>
      <c r="E23" s="27" t="n"/>
      <c r="F23" s="27" t="n"/>
    </row>
    <row r="24">
      <c r="A24" s="24" t="n"/>
      <c r="B24" s="24" t="n"/>
      <c r="C24" s="24" t="n"/>
      <c r="D24" s="24" t="n"/>
      <c r="E24" s="22" t="n"/>
      <c r="F24" s="22" t="n"/>
    </row>
    <row r="25">
      <c r="A25" s="28" t="n"/>
      <c r="B25" s="28" t="n"/>
      <c r="C25" s="28" t="n"/>
      <c r="D25" s="28" t="n"/>
      <c r="E25" s="27" t="n"/>
      <c r="F25" s="27" t="n"/>
    </row>
    <row r="26">
      <c r="A26" s="24" t="n"/>
      <c r="B26" s="24" t="n"/>
      <c r="C26" s="24" t="n"/>
      <c r="D26" s="24" t="n"/>
      <c r="E26" s="22" t="n"/>
      <c r="F26" s="22" t="n"/>
    </row>
    <row r="27">
      <c r="A27" s="28" t="n"/>
      <c r="B27" s="28" t="n"/>
      <c r="C27" s="28" t="n"/>
      <c r="D27" s="28" t="n"/>
      <c r="E27" s="27" t="n"/>
      <c r="F27" s="27" t="n"/>
    </row>
    <row r="28">
      <c r="A28" s="24" t="n"/>
      <c r="B28" s="24" t="n"/>
      <c r="C28" s="24" t="n"/>
      <c r="D28" s="24" t="n"/>
      <c r="E28" s="22" t="n"/>
      <c r="F28" s="22" t="n"/>
    </row>
    <row r="29">
      <c r="A29" s="28" t="n"/>
      <c r="B29" s="28" t="n"/>
      <c r="C29" s="28" t="n"/>
      <c r="D29" s="28" t="n"/>
      <c r="E29" s="27" t="n"/>
      <c r="F29" s="27" t="n"/>
    </row>
    <row r="30">
      <c r="A30" s="24" t="n"/>
      <c r="B30" s="24" t="n"/>
      <c r="C30" s="24" t="n"/>
      <c r="D30" s="24" t="n"/>
      <c r="E30" s="22" t="n"/>
      <c r="F30" s="22" t="n"/>
    </row>
    <row r="31">
      <c r="A31" s="28" t="n"/>
      <c r="B31" s="28" t="n"/>
      <c r="C31" s="28" t="n"/>
      <c r="D31" s="28" t="n"/>
      <c r="E31" s="27" t="n"/>
      <c r="F31" s="27" t="n"/>
    </row>
    <row r="32">
      <c r="A32" s="24" t="n"/>
      <c r="B32" s="24" t="n"/>
      <c r="C32" s="24" t="n"/>
      <c r="D32" s="24" t="n"/>
      <c r="E32" s="22" t="n"/>
      <c r="F32" s="22" t="n"/>
    </row>
    <row r="33">
      <c r="A33" s="28" t="n"/>
      <c r="B33" s="28" t="n"/>
      <c r="C33" s="28" t="n"/>
      <c r="D33" s="28" t="n"/>
      <c r="E33" s="27" t="n"/>
      <c r="F33" s="27" t="n"/>
    </row>
    <row r="34">
      <c r="A34" s="24" t="n"/>
      <c r="B34" s="24" t="n"/>
      <c r="C34" s="24" t="n"/>
      <c r="D34" s="24" t="n"/>
      <c r="E34" s="22" t="n"/>
      <c r="F34" s="22" t="n"/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12" customWidth="1" min="5" max="5"/>
    <col width="24" customWidth="1" min="6" max="6"/>
  </cols>
  <sheetData>
    <row r="1" ht="46" customHeight="1">
      <c r="A1" s="1" t="inlineStr">
        <is>
          <t xml:space="preserve">  🍎  LUNCH ROTATION &amp; GROCERY PLANNER</t>
        </is>
      </c>
    </row>
    <row r="2" ht="22" customHeight="1">
      <c r="A2" s="2" t="inlineStr">
        <is>
          <t xml:space="preserve">  A week of lunches everyone will actually eat — plus the grocery list it makes.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Day</t>
        </is>
      </c>
      <c r="B4" s="9" t="inlineStr">
        <is>
          <t>Main</t>
        </is>
      </c>
      <c r="C4" s="9" t="inlineStr">
        <is>
          <t>Fruit / Veg</t>
        </is>
      </c>
      <c r="D4" s="9" t="inlineStr">
        <is>
          <t>Snack</t>
        </is>
      </c>
      <c r="E4" s="9" t="inlineStr">
        <is>
          <t>Drink</t>
        </is>
      </c>
      <c r="F4" s="9" t="inlineStr">
        <is>
          <t>Grocery Notes</t>
        </is>
      </c>
    </row>
    <row r="5">
      <c r="A5" s="28" t="inlineStr">
        <is>
          <t>Monday</t>
        </is>
      </c>
      <c r="B5" s="27" t="inlineStr">
        <is>
          <t>Turkey wraps</t>
        </is>
      </c>
      <c r="C5" s="28" t="inlineStr">
        <is>
          <t>Apple slices</t>
        </is>
      </c>
      <c r="D5" s="28" t="inlineStr">
        <is>
          <t>Cheese stick</t>
        </is>
      </c>
      <c r="E5" s="28" t="inlineStr">
        <is>
          <t>Water</t>
        </is>
      </c>
      <c r="F5" s="27" t="inlineStr">
        <is>
          <t>Buy: wraps, turkey</t>
        </is>
      </c>
    </row>
    <row r="6">
      <c r="A6" s="24" t="inlineStr">
        <is>
          <t>Tuesday</t>
        </is>
      </c>
      <c r="B6" s="22" t="inlineStr">
        <is>
          <t>PB&amp;J (Mateo: SunButter)</t>
        </is>
      </c>
      <c r="C6" s="24" t="inlineStr">
        <is>
          <t>Grapes</t>
        </is>
      </c>
      <c r="D6" s="24" t="inlineStr">
        <is>
          <t>Pretzels</t>
        </is>
      </c>
      <c r="E6" s="24" t="inlineStr">
        <is>
          <t>Milk</t>
        </is>
      </c>
      <c r="F6" s="22" t="inlineStr">
        <is>
          <t>Emma: no nuts nearby</t>
        </is>
      </c>
    </row>
    <row r="7">
      <c r="A7" s="28" t="inlineStr">
        <is>
          <t>Wednesday</t>
        </is>
      </c>
      <c r="B7" s="27" t="inlineStr">
        <is>
          <t>Pasta salad</t>
        </is>
      </c>
      <c r="C7" s="28" t="inlineStr">
        <is>
          <t>Carrots</t>
        </is>
      </c>
      <c r="D7" s="28" t="inlineStr">
        <is>
          <t>Yogurt</t>
        </is>
      </c>
      <c r="E7" s="28" t="inlineStr">
        <is>
          <t>Water</t>
        </is>
      </c>
      <c r="F7" s="27" t="inlineStr">
        <is>
          <t>Pizza day for K-2</t>
        </is>
      </c>
    </row>
    <row r="8">
      <c r="A8" s="24" t="inlineStr">
        <is>
          <t>Thursday</t>
        </is>
      </c>
      <c r="B8" s="22" t="inlineStr">
        <is>
          <t>Ham &amp; cheese</t>
        </is>
      </c>
      <c r="C8" s="24" t="inlineStr">
        <is>
          <t>Orange</t>
        </is>
      </c>
      <c r="D8" s="24" t="inlineStr">
        <is>
          <t>Crackers</t>
        </is>
      </c>
      <c r="E8" s="24" t="inlineStr">
        <is>
          <t>Water</t>
        </is>
      </c>
      <c r="F8" s="22" t="inlineStr">
        <is>
          <t>Buy: deli ham</t>
        </is>
      </c>
    </row>
    <row r="9">
      <c r="A9" s="28" t="inlineStr">
        <is>
          <t>Friday</t>
        </is>
      </c>
      <c r="B9" s="27" t="inlineStr">
        <is>
          <t>Bagel &amp; cream cheese</t>
        </is>
      </c>
      <c r="C9" s="28" t="inlineStr">
        <is>
          <t>Berries</t>
        </is>
      </c>
      <c r="D9" s="28" t="inlineStr">
        <is>
          <t>Granola bar</t>
        </is>
      </c>
      <c r="E9" s="28" t="inlineStr">
        <is>
          <t>Juice</t>
        </is>
      </c>
      <c r="F9" s="27" t="inlineStr">
        <is>
          <t>Hot lunch option</t>
        </is>
      </c>
    </row>
    <row r="10">
      <c r="A10" s="24" t="n"/>
      <c r="B10" s="22" t="n"/>
      <c r="C10" s="24" t="n"/>
      <c r="D10" s="24" t="n"/>
      <c r="E10" s="24" t="n"/>
      <c r="F10" s="22" t="n"/>
    </row>
    <row r="11">
      <c r="A11" s="28" t="n"/>
      <c r="B11" s="27" t="n"/>
      <c r="C11" s="28" t="n"/>
      <c r="D11" s="28" t="n"/>
      <c r="E11" s="28" t="n"/>
      <c r="F11" s="27" t="n"/>
    </row>
    <row r="12">
      <c r="A12" s="24" t="n"/>
      <c r="B12" s="22" t="n"/>
      <c r="C12" s="24" t="n"/>
      <c r="D12" s="24" t="n"/>
      <c r="E12" s="24" t="n"/>
      <c r="F12" s="22" t="n"/>
    </row>
    <row r="13">
      <c r="A13" s="28" t="n"/>
      <c r="B13" s="27" t="n"/>
      <c r="C13" s="28" t="n"/>
      <c r="D13" s="28" t="n"/>
      <c r="E13" s="28" t="n"/>
      <c r="F13" s="27" t="n"/>
    </row>
    <row r="14">
      <c r="A14" s="24" t="n"/>
      <c r="B14" s="22" t="n"/>
      <c r="C14" s="24" t="n"/>
      <c r="D14" s="24" t="n"/>
      <c r="E14" s="24" t="n"/>
      <c r="F14" s="22" t="n"/>
    </row>
    <row r="15">
      <c r="A15" s="28" t="n"/>
      <c r="B15" s="27" t="n"/>
      <c r="C15" s="28" t="n"/>
      <c r="D15" s="28" t="n"/>
      <c r="E15" s="28" t="n"/>
      <c r="F15" s="27" t="n"/>
    </row>
    <row r="16">
      <c r="A16" s="24" t="n"/>
      <c r="B16" s="22" t="n"/>
      <c r="C16" s="24" t="n"/>
      <c r="D16" s="24" t="n"/>
      <c r="E16" s="24" t="n"/>
      <c r="F16" s="22" t="n"/>
    </row>
    <row r="19" ht="22" customHeight="1">
      <c r="A19" s="4" t="inlineStr">
        <is>
          <t>GROCERY LIST — TAP TO CHECK OFF</t>
        </is>
      </c>
    </row>
    <row r="20">
      <c r="A20" s="19" t="inlineStr">
        <is>
          <t>☐ Sandwich wraps &amp; bread</t>
        </is>
      </c>
      <c r="B20" s="44" t="n"/>
      <c r="C20" s="45" t="n"/>
    </row>
    <row r="21">
      <c r="A21" s="19" t="inlineStr">
        <is>
          <t>☐ Turkey, ham, SunButter</t>
        </is>
      </c>
      <c r="B21" s="44" t="n"/>
      <c r="C21" s="45" t="n"/>
    </row>
    <row r="22">
      <c r="A22" s="19" t="inlineStr">
        <is>
          <t>☐ Apples, grapes, oranges, berries</t>
        </is>
      </c>
      <c r="B22" s="44" t="n"/>
      <c r="C22" s="45" t="n"/>
    </row>
    <row r="23">
      <c r="A23" s="19" t="inlineStr">
        <is>
          <t>☐ Carrots &amp; cucumbers</t>
        </is>
      </c>
      <c r="B23" s="44" t="n"/>
      <c r="C23" s="45" t="n"/>
    </row>
    <row r="24">
      <c r="A24" s="19" t="inlineStr">
        <is>
          <t>☐ Cheese sticks &amp; yogurt</t>
        </is>
      </c>
      <c r="B24" s="44" t="n"/>
      <c r="C24" s="45" t="n"/>
    </row>
    <row r="25">
      <c r="A25" s="19" t="inlineStr">
        <is>
          <t>☐ Pretzels, crackers, granola bars</t>
        </is>
      </c>
      <c r="B25" s="44" t="n"/>
      <c r="C25" s="45" t="n"/>
    </row>
    <row r="26">
      <c r="A26" s="19" t="inlineStr">
        <is>
          <t>☐ Milk &amp; juice boxes</t>
        </is>
      </c>
      <c r="B26" s="44" t="n"/>
      <c r="C26" s="45" t="n"/>
    </row>
    <row r="27">
      <c r="A27" s="19" t="inlineStr">
        <is>
          <t>☐ Pasta &amp; pizza night items</t>
        </is>
      </c>
      <c r="B27" s="44" t="n"/>
      <c r="C27" s="45" t="n"/>
    </row>
  </sheetData>
  <mergeCells count="11">
    <mergeCell ref="A2:F2"/>
    <mergeCell ref="A25:C25"/>
    <mergeCell ref="A19:F19"/>
    <mergeCell ref="A23:C23"/>
    <mergeCell ref="A1:F1"/>
    <mergeCell ref="A22:C22"/>
    <mergeCell ref="A27:C27"/>
    <mergeCell ref="A21:C21"/>
    <mergeCell ref="A26:C26"/>
    <mergeCell ref="A20:C20"/>
    <mergeCell ref="A24:C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26" customWidth="1" min="4" max="4"/>
    <col width="10" customWidth="1" min="5" max="5"/>
    <col width="20" customWidth="1" min="6" max="6"/>
  </cols>
  <sheetData>
    <row r="1" ht="46" customHeight="1">
      <c r="A1" s="1" t="inlineStr">
        <is>
          <t xml:space="preserve">  📚  HOMEWORK &amp; READING LOG</t>
        </is>
      </c>
    </row>
    <row r="2" ht="22" customHeight="1">
      <c r="A2" s="2" t="inlineStr">
        <is>
          <t xml:space="preserve">  Nightly reading minutes &amp; homework, per child — no more forgotten worksheets.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Child</t>
        </is>
      </c>
      <c r="C4" s="9" t="inlineStr">
        <is>
          <t>Subject</t>
        </is>
      </c>
      <c r="D4" s="9" t="inlineStr">
        <is>
          <t>Assignment</t>
        </is>
      </c>
      <c r="E4" s="9" t="inlineStr">
        <is>
          <t>Done?</t>
        </is>
      </c>
      <c r="F4" s="9" t="inlineStr">
        <is>
          <t>Notes</t>
        </is>
      </c>
    </row>
    <row r="5">
      <c r="A5" s="29" t="n">
        <v>46217</v>
      </c>
      <c r="B5" s="28" t="inlineStr">
        <is>
          <t>Liam</t>
        </is>
      </c>
      <c r="C5" s="28" t="inlineStr">
        <is>
          <t>Reading</t>
        </is>
      </c>
      <c r="D5" s="27" t="inlineStr">
        <is>
          <t>20 min — Magic Tree House</t>
        </is>
      </c>
      <c r="E5" s="28" t="inlineStr">
        <is>
          <t>Yes</t>
        </is>
      </c>
      <c r="F5" s="27" t="inlineStr">
        <is>
          <t>Signed log</t>
        </is>
      </c>
    </row>
    <row r="6">
      <c r="A6" s="30" t="n">
        <v>46217</v>
      </c>
      <c r="B6" s="24" t="inlineStr">
        <is>
          <t>Ava</t>
        </is>
      </c>
      <c r="C6" s="24" t="inlineStr">
        <is>
          <t>Math</t>
        </is>
      </c>
      <c r="D6" s="22" t="inlineStr">
        <is>
          <t>Worksheet p.12</t>
        </is>
      </c>
      <c r="E6" s="24" t="inlineStr">
        <is>
          <t>Yes</t>
        </is>
      </c>
      <c r="F6" s="22" t="inlineStr"/>
    </row>
    <row r="7">
      <c r="A7" s="29" t="n">
        <v>46217</v>
      </c>
      <c r="B7" s="28" t="inlineStr">
        <is>
          <t>Noah</t>
        </is>
      </c>
      <c r="C7" s="28" t="inlineStr">
        <is>
          <t>Reading</t>
        </is>
      </c>
      <c r="D7" s="27" t="inlineStr">
        <is>
          <t>Sight words</t>
        </is>
      </c>
      <c r="E7" s="28" t="inlineStr">
        <is>
          <t>Yes</t>
        </is>
      </c>
      <c r="F7" s="27" t="inlineStr">
        <is>
          <t>Great job!</t>
        </is>
      </c>
    </row>
    <row r="8">
      <c r="A8" s="30" t="n">
        <v>46217</v>
      </c>
      <c r="B8" s="24" t="inlineStr">
        <is>
          <t>Sofia</t>
        </is>
      </c>
      <c r="C8" s="24" t="inlineStr">
        <is>
          <t>Science</t>
        </is>
      </c>
      <c r="D8" s="22" t="inlineStr">
        <is>
          <t>Lab writeup</t>
        </is>
      </c>
      <c r="E8" s="24" t="inlineStr">
        <is>
          <t>No</t>
        </is>
      </c>
      <c r="F8" s="22" t="inlineStr">
        <is>
          <t>Due Fri</t>
        </is>
      </c>
    </row>
    <row r="9">
      <c r="A9" s="29" t="n">
        <v>46217</v>
      </c>
      <c r="B9" s="28" t="inlineStr">
        <is>
          <t>Mateo</t>
        </is>
      </c>
      <c r="C9" s="28" t="inlineStr">
        <is>
          <t>History</t>
        </is>
      </c>
      <c r="D9" s="27" t="inlineStr">
        <is>
          <t>Ch. 3 notes</t>
        </is>
      </c>
      <c r="E9" s="28" t="inlineStr">
        <is>
          <t>Yes</t>
        </is>
      </c>
      <c r="F9" s="27" t="inlineStr"/>
    </row>
    <row r="10">
      <c r="A10" s="30" t="n">
        <v>46218</v>
      </c>
      <c r="B10" s="24" t="inlineStr">
        <is>
          <t>Liam</t>
        </is>
      </c>
      <c r="C10" s="24" t="inlineStr">
        <is>
          <t>Reading</t>
        </is>
      </c>
      <c r="D10" s="22" t="inlineStr">
        <is>
          <t>20 min</t>
        </is>
      </c>
      <c r="E10" s="24" t="inlineStr">
        <is>
          <t>No</t>
        </is>
      </c>
      <c r="F10" s="22" t="inlineStr"/>
    </row>
    <row r="11">
      <c r="A11" s="29" t="n">
        <v>46218</v>
      </c>
      <c r="B11" s="28" t="inlineStr">
        <is>
          <t>Ava</t>
        </is>
      </c>
      <c r="C11" s="28" t="inlineStr">
        <is>
          <t>Spanish</t>
        </is>
      </c>
      <c r="D11" s="27" t="inlineStr">
        <is>
          <t>Vocab</t>
        </is>
      </c>
      <c r="E11" s="28" t="inlineStr">
        <is>
          <t>No</t>
        </is>
      </c>
      <c r="F11" s="27" t="inlineStr"/>
    </row>
    <row r="12">
      <c r="A12" s="30" t="n"/>
      <c r="B12" s="24" t="n"/>
      <c r="C12" s="24" t="n"/>
      <c r="D12" s="22" t="n"/>
      <c r="E12" s="24" t="n"/>
      <c r="F12" s="22" t="n"/>
    </row>
    <row r="13">
      <c r="A13" s="29" t="n"/>
      <c r="B13" s="28" t="n"/>
      <c r="C13" s="28" t="n"/>
      <c r="D13" s="27" t="n"/>
      <c r="E13" s="28" t="n"/>
      <c r="F13" s="27" t="n"/>
    </row>
    <row r="14">
      <c r="A14" s="30" t="n"/>
      <c r="B14" s="24" t="n"/>
      <c r="C14" s="24" t="n"/>
      <c r="D14" s="22" t="n"/>
      <c r="E14" s="24" t="n"/>
      <c r="F14" s="22" t="n"/>
    </row>
    <row r="15">
      <c r="A15" s="29" t="n"/>
      <c r="B15" s="28" t="n"/>
      <c r="C15" s="28" t="n"/>
      <c r="D15" s="27" t="n"/>
      <c r="E15" s="28" t="n"/>
      <c r="F15" s="27" t="n"/>
    </row>
    <row r="16">
      <c r="A16" s="30" t="n"/>
      <c r="B16" s="24" t="n"/>
      <c r="C16" s="24" t="n"/>
      <c r="D16" s="22" t="n"/>
      <c r="E16" s="24" t="n"/>
      <c r="F16" s="22" t="n"/>
    </row>
    <row r="17">
      <c r="A17" s="29" t="n"/>
      <c r="B17" s="28" t="n"/>
      <c r="C17" s="28" t="n"/>
      <c r="D17" s="27" t="n"/>
      <c r="E17" s="28" t="n"/>
      <c r="F17" s="27" t="n"/>
    </row>
    <row r="18">
      <c r="A18" s="30" t="n"/>
      <c r="B18" s="24" t="n"/>
      <c r="C18" s="24" t="n"/>
      <c r="D18" s="22" t="n"/>
      <c r="E18" s="24" t="n"/>
      <c r="F18" s="22" t="n"/>
    </row>
    <row r="19">
      <c r="A19" s="29" t="n"/>
      <c r="B19" s="28" t="n"/>
      <c r="C19" s="28" t="n"/>
      <c r="D19" s="27" t="n"/>
      <c r="E19" s="28" t="n"/>
      <c r="F19" s="27" t="n"/>
    </row>
    <row r="20">
      <c r="A20" s="30" t="n"/>
      <c r="B20" s="24" t="n"/>
      <c r="C20" s="24" t="n"/>
      <c r="D20" s="22" t="n"/>
      <c r="E20" s="24" t="n"/>
      <c r="F20" s="22" t="n"/>
    </row>
    <row r="21">
      <c r="A21" s="29" t="n"/>
      <c r="B21" s="28" t="n"/>
      <c r="C21" s="28" t="n"/>
      <c r="D21" s="27" t="n"/>
      <c r="E21" s="28" t="n"/>
      <c r="F21" s="27" t="n"/>
    </row>
    <row r="22">
      <c r="A22" s="30" t="n"/>
      <c r="B22" s="24" t="n"/>
      <c r="C22" s="24" t="n"/>
      <c r="D22" s="22" t="n"/>
      <c r="E22" s="24" t="n"/>
      <c r="F22" s="22" t="n"/>
    </row>
    <row r="23">
      <c r="A23" s="29" t="n"/>
      <c r="B23" s="28" t="n"/>
      <c r="C23" s="28" t="n"/>
      <c r="D23" s="27" t="n"/>
      <c r="E23" s="28" t="n"/>
      <c r="F23" s="27" t="n"/>
    </row>
    <row r="24">
      <c r="A24" s="30" t="n"/>
      <c r="B24" s="24" t="n"/>
      <c r="C24" s="24" t="n"/>
      <c r="D24" s="22" t="n"/>
      <c r="E24" s="24" t="n"/>
      <c r="F24" s="22" t="n"/>
    </row>
    <row r="25">
      <c r="A25" s="29" t="n"/>
      <c r="B25" s="28" t="n"/>
      <c r="C25" s="28" t="n"/>
      <c r="D25" s="27" t="n"/>
      <c r="E25" s="28" t="n"/>
      <c r="F25" s="27" t="n"/>
    </row>
    <row r="26">
      <c r="A26" s="30" t="n"/>
      <c r="B26" s="24" t="n"/>
      <c r="C26" s="24" t="n"/>
      <c r="D26" s="22" t="n"/>
      <c r="E26" s="24" t="n"/>
      <c r="F26" s="22" t="n"/>
    </row>
    <row r="27">
      <c r="A27" s="29" t="n"/>
      <c r="B27" s="28" t="n"/>
      <c r="C27" s="28" t="n"/>
      <c r="D27" s="27" t="n"/>
      <c r="E27" s="28" t="n"/>
      <c r="F27" s="27" t="n"/>
    </row>
    <row r="28">
      <c r="A28" s="30" t="n"/>
      <c r="B28" s="24" t="n"/>
      <c r="C28" s="24" t="n"/>
      <c r="D28" s="22" t="n"/>
      <c r="E28" s="24" t="n"/>
      <c r="F28" s="22" t="n"/>
    </row>
    <row r="29">
      <c r="A29" s="29" t="n"/>
      <c r="B29" s="28" t="n"/>
      <c r="C29" s="28" t="n"/>
      <c r="D29" s="27" t="n"/>
      <c r="E29" s="28" t="n"/>
      <c r="F29" s="27" t="n"/>
    </row>
    <row r="30">
      <c r="A30" s="30" t="n"/>
      <c r="B30" s="24" t="n"/>
      <c r="C30" s="24" t="n"/>
      <c r="D30" s="22" t="n"/>
      <c r="E30" s="24" t="n"/>
      <c r="F30" s="22" t="n"/>
    </row>
    <row r="31">
      <c r="A31" s="29" t="n"/>
      <c r="B31" s="28" t="n"/>
      <c r="C31" s="28" t="n"/>
      <c r="D31" s="27" t="n"/>
      <c r="E31" s="28" t="n"/>
      <c r="F31" s="27" t="n"/>
    </row>
    <row r="32">
      <c r="A32" s="30" t="n"/>
      <c r="B32" s="24" t="n"/>
      <c r="C32" s="24" t="n"/>
      <c r="D32" s="22" t="n"/>
      <c r="E32" s="24" t="n"/>
      <c r="F32" s="22" t="n"/>
    </row>
    <row r="33">
      <c r="A33" s="29" t="n"/>
      <c r="B33" s="28" t="n"/>
      <c r="C33" s="28" t="n"/>
      <c r="D33" s="27" t="n"/>
      <c r="E33" s="28" t="n"/>
      <c r="F33" s="27" t="n"/>
    </row>
    <row r="34">
      <c r="A34" s="30" t="n"/>
      <c r="B34" s="24" t="n"/>
      <c r="C34" s="24" t="n"/>
      <c r="D34" s="22" t="n"/>
      <c r="E34" s="24" t="n"/>
      <c r="F34" s="22" t="n"/>
    </row>
    <row r="35">
      <c r="A35" s="29" t="n"/>
      <c r="B35" s="28" t="n"/>
      <c r="C35" s="28" t="n"/>
      <c r="D35" s="27" t="n"/>
      <c r="E35" s="28" t="n"/>
      <c r="F35" s="27" t="n"/>
    </row>
    <row r="36">
      <c r="A36" s="30" t="n"/>
      <c r="B36" s="24" t="n"/>
      <c r="C36" s="24" t="n"/>
      <c r="D36" s="22" t="n"/>
      <c r="E36" s="24" t="n"/>
      <c r="F36" s="22" t="n"/>
    </row>
    <row r="37">
      <c r="A37" s="29" t="n"/>
      <c r="B37" s="28" t="n"/>
      <c r="C37" s="28" t="n"/>
      <c r="D37" s="27" t="n"/>
      <c r="E37" s="28" t="n"/>
      <c r="F37" s="27" t="n"/>
    </row>
    <row r="38">
      <c r="A38" s="30" t="n"/>
      <c r="B38" s="24" t="n"/>
      <c r="C38" s="24" t="n"/>
      <c r="D38" s="22" t="n"/>
      <c r="E38" s="24" t="n"/>
      <c r="F38" s="22" t="n"/>
    </row>
    <row r="39">
      <c r="A39" s="29" t="n"/>
      <c r="B39" s="28" t="n"/>
      <c r="C39" s="28" t="n"/>
      <c r="D39" s="27" t="n"/>
      <c r="E39" s="28" t="n"/>
      <c r="F39" s="27" t="n"/>
    </row>
    <row r="40">
      <c r="A40" s="30" t="n"/>
      <c r="B40" s="24" t="n"/>
      <c r="C40" s="24" t="n"/>
      <c r="D40" s="22" t="n"/>
      <c r="E40" s="24" t="n"/>
      <c r="F40" s="22" t="n"/>
    </row>
    <row r="41">
      <c r="A41" s="29" t="n"/>
      <c r="B41" s="28" t="n"/>
      <c r="C41" s="28" t="n"/>
      <c r="D41" s="27" t="n"/>
      <c r="E41" s="28" t="n"/>
      <c r="F41" s="27" t="n"/>
    </row>
    <row r="42">
      <c r="A42" s="30" t="n"/>
      <c r="B42" s="24" t="n"/>
      <c r="C42" s="24" t="n"/>
      <c r="D42" s="22" t="n"/>
      <c r="E42" s="24" t="n"/>
      <c r="F42" s="22" t="n"/>
    </row>
    <row r="43">
      <c r="A43" s="29" t="n"/>
      <c r="B43" s="28" t="n"/>
      <c r="C43" s="28" t="n"/>
      <c r="D43" s="27" t="n"/>
      <c r="E43" s="28" t="n"/>
      <c r="F43" s="27" t="n"/>
    </row>
    <row r="44">
      <c r="A44" s="30" t="n"/>
      <c r="B44" s="24" t="n"/>
      <c r="C44" s="24" t="n"/>
      <c r="D44" s="22" t="n"/>
      <c r="E44" s="24" t="n"/>
      <c r="F44" s="22" t="n"/>
    </row>
    <row r="45">
      <c r="A45" s="29" t="n"/>
      <c r="B45" s="28" t="n"/>
      <c r="C45" s="28" t="n"/>
      <c r="D45" s="27" t="n"/>
      <c r="E45" s="28" t="n"/>
      <c r="F45" s="27" t="n"/>
    </row>
    <row r="46">
      <c r="A46" s="30" t="n"/>
      <c r="B46" s="24" t="n"/>
      <c r="C46" s="24" t="n"/>
      <c r="D46" s="22" t="n"/>
      <c r="E46" s="24" t="n"/>
      <c r="F46" s="22" t="n"/>
    </row>
    <row r="47">
      <c r="A47" s="29" t="n"/>
      <c r="B47" s="28" t="n"/>
      <c r="C47" s="28" t="n"/>
      <c r="D47" s="27" t="n"/>
      <c r="E47" s="28" t="n"/>
      <c r="F47" s="27" t="n"/>
    </row>
    <row r="48">
      <c r="A48" s="30" t="n"/>
      <c r="B48" s="24" t="n"/>
      <c r="C48" s="24" t="n"/>
      <c r="D48" s="22" t="n"/>
      <c r="E48" s="24" t="n"/>
      <c r="F48" s="22" t="n"/>
    </row>
    <row r="49">
      <c r="A49" s="29" t="n"/>
      <c r="B49" s="28" t="n"/>
      <c r="C49" s="28" t="n"/>
      <c r="D49" s="27" t="n"/>
      <c r="E49" s="28" t="n"/>
      <c r="F49" s="27" t="n"/>
    </row>
    <row r="50">
      <c r="A50" s="30" t="n"/>
      <c r="B50" s="24" t="n"/>
      <c r="C50" s="24" t="n"/>
      <c r="D50" s="22" t="n"/>
      <c r="E50" s="24" t="n"/>
      <c r="F50" s="22" t="n"/>
    </row>
    <row r="51">
      <c r="A51" s="29" t="n"/>
      <c r="B51" s="28" t="n"/>
      <c r="C51" s="28" t="n"/>
      <c r="D51" s="27" t="n"/>
      <c r="E51" s="28" t="n"/>
      <c r="F51" s="27" t="n"/>
    </row>
    <row r="52">
      <c r="A52" s="30" t="n"/>
      <c r="B52" s="24" t="n"/>
      <c r="C52" s="24" t="n"/>
      <c r="D52" s="22" t="n"/>
      <c r="E52" s="24" t="n"/>
      <c r="F52" s="22" t="n"/>
    </row>
    <row r="53">
      <c r="A53" s="29" t="n"/>
      <c r="B53" s="28" t="n"/>
      <c r="C53" s="28" t="n"/>
      <c r="D53" s="27" t="n"/>
      <c r="E53" s="28" t="n"/>
      <c r="F53" s="27" t="n"/>
    </row>
    <row r="54">
      <c r="A54" s="30" t="n"/>
      <c r="B54" s="24" t="n"/>
      <c r="C54" s="24" t="n"/>
      <c r="D54" s="22" t="n"/>
      <c r="E54" s="24" t="n"/>
      <c r="F54" s="22" t="n"/>
    </row>
  </sheetData>
  <mergeCells count="2">
    <mergeCell ref="A2:F2"/>
    <mergeCell ref="A1:F1"/>
  </mergeCells>
  <conditionalFormatting sqref="E5:E54">
    <cfRule type="cellIs" priority="1" operator="equal" dxfId="0">
      <formula>"Yes"</formula>
    </cfRule>
  </conditionalFormatting>
  <dataValidations count="2">
    <dataValidation sqref="C5:C54" showDropDown="0" showInputMessage="0" showErrorMessage="0" allowBlank="1" type="list">
      <formula1>=SubjectList</formula1>
    </dataValidation>
    <dataValidation sqref="E5:E5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3" customWidth="1" min="4" max="4"/>
    <col width="24" customWidth="1" min="5" max="5"/>
    <col width="22" customWidth="1" min="6" max="6"/>
  </cols>
  <sheetData>
    <row r="1" ht="46" customHeight="1">
      <c r="A1" s="1" t="inlineStr">
        <is>
          <t xml:space="preserve">  ✉  PARENT-TEACHER COMMUNICATION LOG</t>
        </is>
      </c>
    </row>
    <row r="2" ht="22" customHeight="1">
      <c r="A2" s="2" t="inlineStr">
        <is>
          <t xml:space="preserve">  Every email, note &amp; conversation — dated, so nothing falls through.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Teacher / Staff</t>
        </is>
      </c>
      <c r="C4" s="9" t="inlineStr">
        <is>
          <t>Child</t>
        </is>
      </c>
      <c r="D4" s="9" t="inlineStr">
        <is>
          <t>Method</t>
        </is>
      </c>
      <c r="E4" s="9" t="inlineStr">
        <is>
          <t>Topic</t>
        </is>
      </c>
      <c r="F4" s="9" t="inlineStr">
        <is>
          <t>Follow-up</t>
        </is>
      </c>
    </row>
    <row r="5">
      <c r="A5" s="29" t="n">
        <v>46214</v>
      </c>
      <c r="B5" s="28" t="inlineStr">
        <is>
          <t>Mrs. Kim</t>
        </is>
      </c>
      <c r="C5" s="28" t="inlineStr">
        <is>
          <t>Liam</t>
        </is>
      </c>
      <c r="D5" s="28" t="inlineStr">
        <is>
          <t>Email</t>
        </is>
      </c>
      <c r="E5" s="27" t="inlineStr">
        <is>
          <t>Reading group placement</t>
        </is>
      </c>
      <c r="F5" s="27" t="inlineStr">
        <is>
          <t>Follow up in 2 wks</t>
        </is>
      </c>
    </row>
    <row r="6">
      <c r="A6" s="30" t="n">
        <v>46216</v>
      </c>
      <c r="B6" s="24" t="inlineStr">
        <is>
          <t>Mr. Doyle</t>
        </is>
      </c>
      <c r="C6" s="24" t="inlineStr">
        <is>
          <t>Sofia</t>
        </is>
      </c>
      <c r="D6" s="24" t="inlineStr">
        <is>
          <t>Note home</t>
        </is>
      </c>
      <c r="E6" s="22" t="inlineStr">
        <is>
          <t>Band fee reminder</t>
        </is>
      </c>
      <c r="F6" s="22" t="inlineStr">
        <is>
          <t>Paid partial</t>
        </is>
      </c>
    </row>
    <row r="7">
      <c r="A7" s="29" t="n">
        <v>46217</v>
      </c>
      <c r="B7" s="28" t="inlineStr">
        <is>
          <t>Ms. Patel</t>
        </is>
      </c>
      <c r="C7" s="28" t="inlineStr">
        <is>
          <t>Ava</t>
        </is>
      </c>
      <c r="D7" s="28" t="inlineStr">
        <is>
          <t>App message</t>
        </is>
      </c>
      <c r="E7" s="27" t="inlineStr">
        <is>
          <t>Snack helper sign-up</t>
        </is>
      </c>
      <c r="F7" s="27" t="inlineStr">
        <is>
          <t>Signed up 9/20</t>
        </is>
      </c>
    </row>
    <row r="8">
      <c r="A8" s="30" t="n">
        <v>46218</v>
      </c>
      <c r="B8" s="24" t="inlineStr">
        <is>
          <t>Coach Ruiz</t>
        </is>
      </c>
      <c r="C8" s="24" t="inlineStr">
        <is>
          <t>Mateo</t>
        </is>
      </c>
      <c r="D8" s="24" t="inlineStr">
        <is>
          <t>Text</t>
        </is>
      </c>
      <c r="E8" s="22" t="inlineStr">
        <is>
          <t>Practice moved to 4pm</t>
        </is>
      </c>
      <c r="F8" s="22" t="inlineStr">
        <is>
          <t>Update calendar</t>
        </is>
      </c>
    </row>
    <row r="9">
      <c r="A9" s="29" t="n">
        <v>46221</v>
      </c>
      <c r="B9" s="28" t="inlineStr">
        <is>
          <t>Ms. Alvarez</t>
        </is>
      </c>
      <c r="C9" s="28" t="inlineStr">
        <is>
          <t>Mateo</t>
        </is>
      </c>
      <c r="D9" s="28" t="inlineStr">
        <is>
          <t>Meeting</t>
        </is>
      </c>
      <c r="E9" s="27" t="inlineStr">
        <is>
          <t>Course schedule check</t>
        </is>
      </c>
      <c r="F9" s="27" t="inlineStr">
        <is>
          <t>Scheduled 3:15</t>
        </is>
      </c>
    </row>
    <row r="10">
      <c r="A10" s="30" t="n"/>
      <c r="B10" s="24" t="n"/>
      <c r="C10" s="24" t="n"/>
      <c r="D10" s="24" t="n"/>
      <c r="E10" s="22" t="n"/>
      <c r="F10" s="22" t="n"/>
    </row>
    <row r="11">
      <c r="A11" s="29" t="n"/>
      <c r="B11" s="28" t="n"/>
      <c r="C11" s="28" t="n"/>
      <c r="D11" s="28" t="n"/>
      <c r="E11" s="27" t="n"/>
      <c r="F11" s="27" t="n"/>
    </row>
    <row r="12">
      <c r="A12" s="30" t="n"/>
      <c r="B12" s="24" t="n"/>
      <c r="C12" s="24" t="n"/>
      <c r="D12" s="24" t="n"/>
      <c r="E12" s="22" t="n"/>
      <c r="F12" s="22" t="n"/>
    </row>
    <row r="13">
      <c r="A13" s="29" t="n"/>
      <c r="B13" s="28" t="n"/>
      <c r="C13" s="28" t="n"/>
      <c r="D13" s="28" t="n"/>
      <c r="E13" s="27" t="n"/>
      <c r="F13" s="27" t="n"/>
    </row>
    <row r="14">
      <c r="A14" s="30" t="n"/>
      <c r="B14" s="24" t="n"/>
      <c r="C14" s="24" t="n"/>
      <c r="D14" s="24" t="n"/>
      <c r="E14" s="22" t="n"/>
      <c r="F14" s="22" t="n"/>
    </row>
    <row r="15">
      <c r="A15" s="29" t="n"/>
      <c r="B15" s="28" t="n"/>
      <c r="C15" s="28" t="n"/>
      <c r="D15" s="28" t="n"/>
      <c r="E15" s="27" t="n"/>
      <c r="F15" s="27" t="n"/>
    </row>
    <row r="16">
      <c r="A16" s="30" t="n"/>
      <c r="B16" s="24" t="n"/>
      <c r="C16" s="24" t="n"/>
      <c r="D16" s="24" t="n"/>
      <c r="E16" s="22" t="n"/>
      <c r="F16" s="22" t="n"/>
    </row>
    <row r="17">
      <c r="A17" s="29" t="n"/>
      <c r="B17" s="28" t="n"/>
      <c r="C17" s="28" t="n"/>
      <c r="D17" s="28" t="n"/>
      <c r="E17" s="27" t="n"/>
      <c r="F17" s="27" t="n"/>
    </row>
    <row r="18">
      <c r="A18" s="30" t="n"/>
      <c r="B18" s="24" t="n"/>
      <c r="C18" s="24" t="n"/>
      <c r="D18" s="24" t="n"/>
      <c r="E18" s="22" t="n"/>
      <c r="F18" s="22" t="n"/>
    </row>
    <row r="19">
      <c r="A19" s="29" t="n"/>
      <c r="B19" s="28" t="n"/>
      <c r="C19" s="28" t="n"/>
      <c r="D19" s="28" t="n"/>
      <c r="E19" s="27" t="n"/>
      <c r="F19" s="27" t="n"/>
    </row>
    <row r="20">
      <c r="A20" s="30" t="n"/>
      <c r="B20" s="24" t="n"/>
      <c r="C20" s="24" t="n"/>
      <c r="D20" s="24" t="n"/>
      <c r="E20" s="22" t="n"/>
      <c r="F20" s="22" t="n"/>
    </row>
    <row r="21">
      <c r="A21" s="29" t="n"/>
      <c r="B21" s="28" t="n"/>
      <c r="C21" s="28" t="n"/>
      <c r="D21" s="28" t="n"/>
      <c r="E21" s="27" t="n"/>
      <c r="F21" s="27" t="n"/>
    </row>
    <row r="22">
      <c r="A22" s="30" t="n"/>
      <c r="B22" s="24" t="n"/>
      <c r="C22" s="24" t="n"/>
      <c r="D22" s="24" t="n"/>
      <c r="E22" s="22" t="n"/>
      <c r="F22" s="22" t="n"/>
    </row>
    <row r="23">
      <c r="A23" s="29" t="n"/>
      <c r="B23" s="28" t="n"/>
      <c r="C23" s="28" t="n"/>
      <c r="D23" s="28" t="n"/>
      <c r="E23" s="27" t="n"/>
      <c r="F23" s="27" t="n"/>
    </row>
    <row r="24">
      <c r="A24" s="30" t="n"/>
      <c r="B24" s="24" t="n"/>
      <c r="C24" s="24" t="n"/>
      <c r="D24" s="24" t="n"/>
      <c r="E24" s="22" t="n"/>
      <c r="F24" s="22" t="n"/>
    </row>
    <row r="25">
      <c r="A25" s="29" t="n"/>
      <c r="B25" s="28" t="n"/>
      <c r="C25" s="28" t="n"/>
      <c r="D25" s="28" t="n"/>
      <c r="E25" s="27" t="n"/>
      <c r="F25" s="27" t="n"/>
    </row>
    <row r="26">
      <c r="A26" s="30" t="n"/>
      <c r="B26" s="24" t="n"/>
      <c r="C26" s="24" t="n"/>
      <c r="D26" s="24" t="n"/>
      <c r="E26" s="22" t="n"/>
      <c r="F26" s="22" t="n"/>
    </row>
    <row r="27">
      <c r="A27" s="29" t="n"/>
      <c r="B27" s="28" t="n"/>
      <c r="C27" s="28" t="n"/>
      <c r="D27" s="28" t="n"/>
      <c r="E27" s="27" t="n"/>
      <c r="F27" s="27" t="n"/>
    </row>
    <row r="28">
      <c r="A28" s="30" t="n"/>
      <c r="B28" s="24" t="n"/>
      <c r="C28" s="24" t="n"/>
      <c r="D28" s="24" t="n"/>
      <c r="E28" s="22" t="n"/>
      <c r="F28" s="22" t="n"/>
    </row>
    <row r="29">
      <c r="A29" s="29" t="n"/>
      <c r="B29" s="28" t="n"/>
      <c r="C29" s="28" t="n"/>
      <c r="D29" s="28" t="n"/>
      <c r="E29" s="27" t="n"/>
      <c r="F29" s="27" t="n"/>
    </row>
    <row r="30">
      <c r="A30" s="30" t="n"/>
      <c r="B30" s="24" t="n"/>
      <c r="C30" s="24" t="n"/>
      <c r="D30" s="24" t="n"/>
      <c r="E30" s="22" t="n"/>
      <c r="F30" s="22" t="n"/>
    </row>
    <row r="31">
      <c r="A31" s="29" t="n"/>
      <c r="B31" s="28" t="n"/>
      <c r="C31" s="28" t="n"/>
      <c r="D31" s="28" t="n"/>
      <c r="E31" s="27" t="n"/>
      <c r="F31" s="27" t="n"/>
    </row>
    <row r="32">
      <c r="A32" s="30" t="n"/>
      <c r="B32" s="24" t="n"/>
      <c r="C32" s="24" t="n"/>
      <c r="D32" s="24" t="n"/>
      <c r="E32" s="22" t="n"/>
      <c r="F32" s="22" t="n"/>
    </row>
    <row r="33">
      <c r="A33" s="29" t="n"/>
      <c r="B33" s="28" t="n"/>
      <c r="C33" s="28" t="n"/>
      <c r="D33" s="28" t="n"/>
      <c r="E33" s="27" t="n"/>
      <c r="F33" s="27" t="n"/>
    </row>
    <row r="34">
      <c r="A34" s="30" t="n"/>
      <c r="B34" s="24" t="n"/>
      <c r="C34" s="24" t="n"/>
      <c r="D34" s="24" t="n"/>
      <c r="E34" s="22" t="n"/>
      <c r="F34" s="22" t="n"/>
    </row>
    <row r="35">
      <c r="A35" s="29" t="n"/>
      <c r="B35" s="28" t="n"/>
      <c r="C35" s="28" t="n"/>
      <c r="D35" s="28" t="n"/>
      <c r="E35" s="27" t="n"/>
      <c r="F35" s="27" t="n"/>
    </row>
    <row r="36">
      <c r="A36" s="30" t="n"/>
      <c r="B36" s="24" t="n"/>
      <c r="C36" s="24" t="n"/>
      <c r="D36" s="24" t="n"/>
      <c r="E36" s="22" t="n"/>
      <c r="F36" s="22" t="n"/>
    </row>
    <row r="37">
      <c r="A37" s="29" t="n"/>
      <c r="B37" s="28" t="n"/>
      <c r="C37" s="28" t="n"/>
      <c r="D37" s="28" t="n"/>
      <c r="E37" s="27" t="n"/>
      <c r="F37" s="27" t="n"/>
    </row>
    <row r="38">
      <c r="A38" s="30" t="n"/>
      <c r="B38" s="24" t="n"/>
      <c r="C38" s="24" t="n"/>
      <c r="D38" s="24" t="n"/>
      <c r="E38" s="22" t="n"/>
      <c r="F38" s="22" t="n"/>
    </row>
    <row r="39">
      <c r="A39" s="29" t="n"/>
      <c r="B39" s="28" t="n"/>
      <c r="C39" s="28" t="n"/>
      <c r="D39" s="28" t="n"/>
      <c r="E39" s="27" t="n"/>
      <c r="F39" s="27" t="n"/>
    </row>
    <row r="40">
      <c r="A40" s="30" t="n"/>
      <c r="B40" s="24" t="n"/>
      <c r="C40" s="24" t="n"/>
      <c r="D40" s="24" t="n"/>
      <c r="E40" s="22" t="n"/>
      <c r="F40" s="22" t="n"/>
    </row>
    <row r="41">
      <c r="A41" s="29" t="n"/>
      <c r="B41" s="28" t="n"/>
      <c r="C41" s="28" t="n"/>
      <c r="D41" s="28" t="n"/>
      <c r="E41" s="27" t="n"/>
      <c r="F41" s="27" t="n"/>
    </row>
    <row r="42">
      <c r="A42" s="30" t="n"/>
      <c r="B42" s="24" t="n"/>
      <c r="C42" s="24" t="n"/>
      <c r="D42" s="24" t="n"/>
      <c r="E42" s="22" t="n"/>
      <c r="F42" s="22" t="n"/>
    </row>
    <row r="43">
      <c r="A43" s="29" t="n"/>
      <c r="B43" s="28" t="n"/>
      <c r="C43" s="28" t="n"/>
      <c r="D43" s="28" t="n"/>
      <c r="E43" s="27" t="n"/>
      <c r="F43" s="27" t="n"/>
    </row>
    <row r="44">
      <c r="A44" s="30" t="n"/>
      <c r="B44" s="24" t="n"/>
      <c r="C44" s="24" t="n"/>
      <c r="D44" s="24" t="n"/>
      <c r="E44" s="22" t="n"/>
      <c r="F44" s="22" t="n"/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8" customWidth="1" min="4" max="4"/>
    <col width="12" customWidth="1" min="5" max="5"/>
    <col width="22" customWidth="1" min="6" max="6"/>
  </cols>
  <sheetData>
    <row r="1" ht="46" customHeight="1">
      <c r="A1" s="1" t="inlineStr">
        <is>
          <t xml:space="preserve">  🗒  ABSENCE &amp; LATE-DAY TRACKER</t>
        </is>
      </c>
    </row>
    <row r="2" ht="22" customHeight="1">
      <c r="A2" s="2" t="inlineStr">
        <is>
          <t xml:space="preserve">  A dated record for every school — handy when the office asks.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Child</t>
        </is>
      </c>
      <c r="C4" s="9" t="inlineStr">
        <is>
          <t>Type</t>
        </is>
      </c>
      <c r="D4" s="9" t="inlineStr">
        <is>
          <t>Reason</t>
        </is>
      </c>
      <c r="E4" s="9" t="inlineStr">
        <is>
          <t>Excused?</t>
        </is>
      </c>
      <c r="F4" s="9" t="inlineStr">
        <is>
          <t>Notes</t>
        </is>
      </c>
    </row>
    <row r="5">
      <c r="A5" s="29" t="n">
        <v>46210</v>
      </c>
      <c r="B5" s="28" t="inlineStr">
        <is>
          <t>Noah</t>
        </is>
      </c>
      <c r="C5" s="28" t="inlineStr">
        <is>
          <t>Absent</t>
        </is>
      </c>
      <c r="D5" s="27" t="inlineStr">
        <is>
          <t>Fever</t>
        </is>
      </c>
      <c r="E5" s="28" t="inlineStr">
        <is>
          <t>Yes</t>
        </is>
      </c>
      <c r="F5" s="27" t="inlineStr">
        <is>
          <t>Called office</t>
        </is>
      </c>
    </row>
    <row r="6">
      <c r="A6" s="30" t="n">
        <v>46213</v>
      </c>
      <c r="B6" s="24" t="inlineStr">
        <is>
          <t>Ava</t>
        </is>
      </c>
      <c r="C6" s="24" t="inlineStr">
        <is>
          <t>Late</t>
        </is>
      </c>
      <c r="D6" s="22" t="inlineStr">
        <is>
          <t>Dentist</t>
        </is>
      </c>
      <c r="E6" s="24" t="inlineStr">
        <is>
          <t>Yes</t>
        </is>
      </c>
      <c r="F6" s="22" t="inlineStr">
        <is>
          <t>Note sent</t>
        </is>
      </c>
    </row>
    <row r="7">
      <c r="A7" s="29" t="n">
        <v>46216</v>
      </c>
      <c r="B7" s="28" t="inlineStr">
        <is>
          <t>Mateo</t>
        </is>
      </c>
      <c r="C7" s="28" t="inlineStr">
        <is>
          <t>Late</t>
        </is>
      </c>
      <c r="D7" s="27" t="inlineStr">
        <is>
          <t>Traffic</t>
        </is>
      </c>
      <c r="E7" s="28" t="inlineStr">
        <is>
          <t>No</t>
        </is>
      </c>
      <c r="F7" s="27" t="inlineStr">
        <is>
          <t>5 min</t>
        </is>
      </c>
    </row>
    <row r="8">
      <c r="A8" s="30" t="n"/>
      <c r="B8" s="24" t="n"/>
      <c r="C8" s="24" t="n"/>
      <c r="D8" s="22" t="n"/>
      <c r="E8" s="24" t="n"/>
      <c r="F8" s="22" t="n"/>
    </row>
    <row r="9">
      <c r="A9" s="29" t="n"/>
      <c r="B9" s="28" t="n"/>
      <c r="C9" s="28" t="n"/>
      <c r="D9" s="27" t="n"/>
      <c r="E9" s="28" t="n"/>
      <c r="F9" s="27" t="n"/>
    </row>
    <row r="10">
      <c r="A10" s="30" t="n"/>
      <c r="B10" s="24" t="n"/>
      <c r="C10" s="24" t="n"/>
      <c r="D10" s="22" t="n"/>
      <c r="E10" s="24" t="n"/>
      <c r="F10" s="22" t="n"/>
    </row>
    <row r="11">
      <c r="A11" s="29" t="n"/>
      <c r="B11" s="28" t="n"/>
      <c r="C11" s="28" t="n"/>
      <c r="D11" s="27" t="n"/>
      <c r="E11" s="28" t="n"/>
      <c r="F11" s="27" t="n"/>
    </row>
    <row r="12">
      <c r="A12" s="30" t="n"/>
      <c r="B12" s="24" t="n"/>
      <c r="C12" s="24" t="n"/>
      <c r="D12" s="22" t="n"/>
      <c r="E12" s="24" t="n"/>
      <c r="F12" s="22" t="n"/>
    </row>
    <row r="13">
      <c r="A13" s="29" t="n"/>
      <c r="B13" s="28" t="n"/>
      <c r="C13" s="28" t="n"/>
      <c r="D13" s="27" t="n"/>
      <c r="E13" s="28" t="n"/>
      <c r="F13" s="27" t="n"/>
    </row>
    <row r="14">
      <c r="A14" s="30" t="n"/>
      <c r="B14" s="24" t="n"/>
      <c r="C14" s="24" t="n"/>
      <c r="D14" s="22" t="n"/>
      <c r="E14" s="24" t="n"/>
      <c r="F14" s="22" t="n"/>
    </row>
    <row r="15">
      <c r="A15" s="29" t="n"/>
      <c r="B15" s="28" t="n"/>
      <c r="C15" s="28" t="n"/>
      <c r="D15" s="27" t="n"/>
      <c r="E15" s="28" t="n"/>
      <c r="F15" s="27" t="n"/>
    </row>
    <row r="16">
      <c r="A16" s="30" t="n"/>
      <c r="B16" s="24" t="n"/>
      <c r="C16" s="24" t="n"/>
      <c r="D16" s="22" t="n"/>
      <c r="E16" s="24" t="n"/>
      <c r="F16" s="22" t="n"/>
    </row>
    <row r="17">
      <c r="A17" s="29" t="n"/>
      <c r="B17" s="28" t="n"/>
      <c r="C17" s="28" t="n"/>
      <c r="D17" s="27" t="n"/>
      <c r="E17" s="28" t="n"/>
      <c r="F17" s="27" t="n"/>
    </row>
    <row r="18">
      <c r="A18" s="30" t="n"/>
      <c r="B18" s="24" t="n"/>
      <c r="C18" s="24" t="n"/>
      <c r="D18" s="22" t="n"/>
      <c r="E18" s="24" t="n"/>
      <c r="F18" s="22" t="n"/>
    </row>
    <row r="19">
      <c r="A19" s="29" t="n"/>
      <c r="B19" s="28" t="n"/>
      <c r="C19" s="28" t="n"/>
      <c r="D19" s="27" t="n"/>
      <c r="E19" s="28" t="n"/>
      <c r="F19" s="27" t="n"/>
    </row>
    <row r="20">
      <c r="A20" s="30" t="n"/>
      <c r="B20" s="24" t="n"/>
      <c r="C20" s="24" t="n"/>
      <c r="D20" s="22" t="n"/>
      <c r="E20" s="24" t="n"/>
      <c r="F20" s="22" t="n"/>
    </row>
    <row r="21">
      <c r="A21" s="29" t="n"/>
      <c r="B21" s="28" t="n"/>
      <c r="C21" s="28" t="n"/>
      <c r="D21" s="27" t="n"/>
      <c r="E21" s="28" t="n"/>
      <c r="F21" s="27" t="n"/>
    </row>
    <row r="22">
      <c r="A22" s="30" t="n"/>
      <c r="B22" s="24" t="n"/>
      <c r="C22" s="24" t="n"/>
      <c r="D22" s="22" t="n"/>
      <c r="E22" s="24" t="n"/>
      <c r="F22" s="22" t="n"/>
    </row>
    <row r="23">
      <c r="A23" s="29" t="n"/>
      <c r="B23" s="28" t="n"/>
      <c r="C23" s="28" t="n"/>
      <c r="D23" s="27" t="n"/>
      <c r="E23" s="28" t="n"/>
      <c r="F23" s="27" t="n"/>
    </row>
    <row r="24">
      <c r="A24" s="30" t="n"/>
      <c r="B24" s="24" t="n"/>
      <c r="C24" s="24" t="n"/>
      <c r="D24" s="22" t="n"/>
      <c r="E24" s="24" t="n"/>
      <c r="F24" s="22" t="n"/>
    </row>
    <row r="25">
      <c r="A25" s="29" t="n"/>
      <c r="B25" s="28" t="n"/>
      <c r="C25" s="28" t="n"/>
      <c r="D25" s="27" t="n"/>
      <c r="E25" s="28" t="n"/>
      <c r="F25" s="27" t="n"/>
    </row>
    <row r="26">
      <c r="A26" s="30" t="n"/>
      <c r="B26" s="24" t="n"/>
      <c r="C26" s="24" t="n"/>
      <c r="D26" s="22" t="n"/>
      <c r="E26" s="24" t="n"/>
      <c r="F26" s="22" t="n"/>
    </row>
    <row r="27">
      <c r="A27" s="29" t="n"/>
      <c r="B27" s="28" t="n"/>
      <c r="C27" s="28" t="n"/>
      <c r="D27" s="27" t="n"/>
      <c r="E27" s="28" t="n"/>
      <c r="F27" s="27" t="n"/>
    </row>
    <row r="28">
      <c r="A28" s="30" t="n"/>
      <c r="B28" s="24" t="n"/>
      <c r="C28" s="24" t="n"/>
      <c r="D28" s="22" t="n"/>
      <c r="E28" s="24" t="n"/>
      <c r="F28" s="22" t="n"/>
    </row>
    <row r="29">
      <c r="A29" s="29" t="n"/>
      <c r="B29" s="28" t="n"/>
      <c r="C29" s="28" t="n"/>
      <c r="D29" s="27" t="n"/>
      <c r="E29" s="28" t="n"/>
      <c r="F29" s="27" t="n"/>
    </row>
    <row r="30">
      <c r="A30" s="30" t="n"/>
      <c r="B30" s="24" t="n"/>
      <c r="C30" s="24" t="n"/>
      <c r="D30" s="22" t="n"/>
      <c r="E30" s="24" t="n"/>
      <c r="F30" s="22" t="n"/>
    </row>
    <row r="31">
      <c r="A31" s="29" t="n"/>
      <c r="B31" s="28" t="n"/>
      <c r="C31" s="28" t="n"/>
      <c r="D31" s="27" t="n"/>
      <c r="E31" s="28" t="n"/>
      <c r="F31" s="27" t="n"/>
    </row>
    <row r="32">
      <c r="A32" s="30" t="n"/>
      <c r="B32" s="24" t="n"/>
      <c r="C32" s="24" t="n"/>
      <c r="D32" s="22" t="n"/>
      <c r="E32" s="24" t="n"/>
      <c r="F32" s="22" t="n"/>
    </row>
    <row r="33">
      <c r="A33" s="29" t="n"/>
      <c r="B33" s="28" t="n"/>
      <c r="C33" s="28" t="n"/>
      <c r="D33" s="27" t="n"/>
      <c r="E33" s="28" t="n"/>
      <c r="F33" s="27" t="n"/>
    </row>
    <row r="34">
      <c r="A34" s="30" t="n"/>
      <c r="B34" s="24" t="n"/>
      <c r="C34" s="24" t="n"/>
      <c r="D34" s="22" t="n"/>
      <c r="E34" s="24" t="n"/>
      <c r="F34" s="22" t="n"/>
    </row>
    <row r="35">
      <c r="A35" s="29" t="n"/>
      <c r="B35" s="28" t="n"/>
      <c r="C35" s="28" t="n"/>
      <c r="D35" s="27" t="n"/>
      <c r="E35" s="28" t="n"/>
      <c r="F35" s="27" t="n"/>
    </row>
    <row r="36">
      <c r="A36" s="30" t="n"/>
      <c r="B36" s="24" t="n"/>
      <c r="C36" s="24" t="n"/>
      <c r="D36" s="22" t="n"/>
      <c r="E36" s="24" t="n"/>
      <c r="F36" s="22" t="n"/>
    </row>
    <row r="37">
      <c r="A37" s="29" t="n"/>
      <c r="B37" s="28" t="n"/>
      <c r="C37" s="28" t="n"/>
      <c r="D37" s="27" t="n"/>
      <c r="E37" s="28" t="n"/>
      <c r="F37" s="27" t="n"/>
    </row>
    <row r="38">
      <c r="A38" s="30" t="n"/>
      <c r="B38" s="24" t="n"/>
      <c r="C38" s="24" t="n"/>
      <c r="D38" s="22" t="n"/>
      <c r="E38" s="24" t="n"/>
      <c r="F38" s="22" t="n"/>
    </row>
    <row r="39">
      <c r="A39" s="29" t="n"/>
      <c r="B39" s="28" t="n"/>
      <c r="C39" s="28" t="n"/>
      <c r="D39" s="27" t="n"/>
      <c r="E39" s="28" t="n"/>
      <c r="F39" s="27" t="n"/>
    </row>
    <row r="40">
      <c r="A40" s="30" t="n"/>
      <c r="B40" s="24" t="n"/>
      <c r="C40" s="24" t="n"/>
      <c r="D40" s="22" t="n"/>
      <c r="E40" s="24" t="n"/>
      <c r="F40" s="22" t="n"/>
    </row>
    <row r="41">
      <c r="A41" s="29" t="n"/>
      <c r="B41" s="28" t="n"/>
      <c r="C41" s="28" t="n"/>
      <c r="D41" s="27" t="n"/>
      <c r="E41" s="28" t="n"/>
      <c r="F41" s="27" t="n"/>
    </row>
    <row r="42">
      <c r="A42" s="30" t="n"/>
      <c r="B42" s="24" t="n"/>
      <c r="C42" s="24" t="n"/>
      <c r="D42" s="22" t="n"/>
      <c r="E42" s="24" t="n"/>
      <c r="F42" s="22" t="n"/>
    </row>
    <row r="43">
      <c r="A43" s="29" t="n"/>
      <c r="B43" s="28" t="n"/>
      <c r="C43" s="28" t="n"/>
      <c r="D43" s="27" t="n"/>
      <c r="E43" s="28" t="n"/>
      <c r="F43" s="27" t="n"/>
    </row>
    <row r="44">
      <c r="A44" s="30" t="n"/>
      <c r="B44" s="24" t="n"/>
      <c r="C44" s="24" t="n"/>
      <c r="D44" s="22" t="n"/>
      <c r="E44" s="24" t="n"/>
      <c r="F44" s="22" t="n"/>
    </row>
  </sheetData>
  <mergeCells count="2">
    <mergeCell ref="A2:F2"/>
    <mergeCell ref="A1:F1"/>
  </mergeCells>
  <dataValidations count="1">
    <dataValidation sqref="E5:E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" customWidth="1" min="8" max="8"/>
  </cols>
  <sheetData>
    <row r="1" ht="46" customHeight="1">
      <c r="A1" s="1" t="inlineStr">
        <is>
          <t xml:space="preserve">  🎓  GRADES &amp; REPORT-CARD OVERVIEW</t>
        </is>
      </c>
    </row>
    <row r="2" ht="22" customHeight="1">
      <c r="A2" s="2" t="inlineStr">
        <is>
          <t xml:space="preserve">  A simple term-by-term snapshot per child — celebrate wins, catch dips early.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Child</t>
        </is>
      </c>
      <c r="C4" s="9" t="inlineStr">
        <is>
          <t>Q1</t>
        </is>
      </c>
      <c r="D4" s="9" t="inlineStr">
        <is>
          <t>Q2</t>
        </is>
      </c>
      <c r="E4" s="9" t="inlineStr">
        <is>
          <t>Q3</t>
        </is>
      </c>
      <c r="F4" s="9" t="inlineStr">
        <is>
          <t>Q4</t>
        </is>
      </c>
      <c r="G4" s="9" t="inlineStr">
        <is>
          <t>Notes</t>
        </is>
      </c>
    </row>
    <row r="5">
      <c r="B5" s="19" t="inlineStr">
        <is>
          <t>Mateo</t>
        </is>
      </c>
      <c r="C5" s="46" t="inlineStr">
        <is>
          <t>A-</t>
        </is>
      </c>
      <c r="D5" s="46" t="inlineStr"/>
      <c r="E5" s="46" t="inlineStr"/>
      <c r="F5" s="46" t="inlineStr"/>
      <c r="G5" s="19" t="inlineStr">
        <is>
          <t>—</t>
        </is>
      </c>
    </row>
    <row r="6">
      <c r="B6" s="22" t="inlineStr">
        <is>
          <t>Sofia</t>
        </is>
      </c>
      <c r="C6" s="47" t="inlineStr">
        <is>
          <t>B+</t>
        </is>
      </c>
      <c r="D6" s="47" t="inlineStr"/>
      <c r="E6" s="47" t="inlineStr"/>
      <c r="F6" s="47" t="inlineStr"/>
      <c r="G6" s="22" t="inlineStr">
        <is>
          <t>—</t>
        </is>
      </c>
    </row>
    <row r="7">
      <c r="B7" s="19" t="inlineStr">
        <is>
          <t>Liam</t>
        </is>
      </c>
      <c r="C7" s="46" t="inlineStr">
        <is>
          <t>S</t>
        </is>
      </c>
      <c r="D7" s="46" t="inlineStr"/>
      <c r="E7" s="46" t="inlineStr"/>
      <c r="F7" s="46" t="inlineStr"/>
      <c r="G7" s="19" t="inlineStr">
        <is>
          <t>—</t>
        </is>
      </c>
    </row>
    <row r="8">
      <c r="B8" s="22" t="inlineStr">
        <is>
          <t>Ava</t>
        </is>
      </c>
      <c r="C8" s="47" t="inlineStr">
        <is>
          <t>S+</t>
        </is>
      </c>
      <c r="D8" s="47" t="inlineStr"/>
      <c r="E8" s="47" t="inlineStr"/>
      <c r="F8" s="47" t="inlineStr"/>
      <c r="G8" s="22" t="inlineStr">
        <is>
          <t>—</t>
        </is>
      </c>
    </row>
    <row r="9">
      <c r="B9" s="19" t="inlineStr">
        <is>
          <t>Noah</t>
        </is>
      </c>
      <c r="C9" s="46" t="inlineStr">
        <is>
          <t>S</t>
        </is>
      </c>
      <c r="D9" s="46" t="inlineStr"/>
      <c r="E9" s="46" t="inlineStr"/>
      <c r="F9" s="46" t="inlineStr"/>
      <c r="G9" s="19" t="inlineStr">
        <is>
          <t>—</t>
        </is>
      </c>
    </row>
    <row r="10">
      <c r="B10" s="22" t="inlineStr">
        <is>
          <t>Emma</t>
        </is>
      </c>
      <c r="C10" s="47" t="inlineStr">
        <is>
          <t>😊</t>
        </is>
      </c>
      <c r="D10" s="47" t="inlineStr"/>
      <c r="E10" s="47" t="inlineStr"/>
      <c r="F10" s="47" t="inlineStr"/>
      <c r="G10" s="22" t="inlineStr">
        <is>
          <t>—</t>
        </is>
      </c>
    </row>
    <row r="12" ht="22" customHeight="1">
      <c r="B12" s="4" t="inlineStr">
        <is>
          <t>REPORT-CARD DATES</t>
        </is>
      </c>
    </row>
    <row r="13">
      <c r="B13" s="25" t="inlineStr">
        <is>
          <t>Q1 report cards</t>
        </is>
      </c>
      <c r="C13" s="26" t="inlineStr">
        <is>
          <t>Nov 6, 2026</t>
        </is>
      </c>
    </row>
    <row r="14">
      <c r="B14" s="25" t="inlineStr">
        <is>
          <t>Q2 report cards</t>
        </is>
      </c>
      <c r="C14" s="26" t="inlineStr">
        <is>
          <t>Jan 29, 2027</t>
        </is>
      </c>
    </row>
    <row r="15">
      <c r="B15" s="25" t="inlineStr">
        <is>
          <t>Q3 report cards</t>
        </is>
      </c>
      <c r="C15" s="26" t="inlineStr">
        <is>
          <t>Apr 9, 2027</t>
        </is>
      </c>
    </row>
    <row r="16">
      <c r="B16" s="25" t="inlineStr">
        <is>
          <t>Q4 / final</t>
        </is>
      </c>
      <c r="C16" s="26" t="inlineStr">
        <is>
          <t>Jun 11, 2027</t>
        </is>
      </c>
    </row>
  </sheetData>
  <mergeCells count="3">
    <mergeCell ref="A2:G2"/>
    <mergeCell ref="A1:G1"/>
    <mergeCell ref="B12:F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</cols>
  <sheetData>
    <row r="1" ht="46" customHeight="1">
      <c r="A1" s="1" t="inlineStr">
        <is>
          <t xml:space="preserve">  🔗  IMPORTANT DOCUMENTS &amp; FORMS</t>
        </is>
      </c>
    </row>
    <row r="2" ht="22" customHeight="1">
      <c r="A2" s="2" t="inlineStr">
        <is>
          <t xml:space="preserve">  Every form &amp; where it lives — paste the link and check it off when it's done.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Document / Form</t>
        </is>
      </c>
      <c r="B4" s="9" t="inlineStr">
        <is>
          <t>Done?</t>
        </is>
      </c>
      <c r="C4" s="9" t="inlineStr">
        <is>
          <t>Link / Location</t>
        </is>
      </c>
    </row>
    <row r="5">
      <c r="A5" s="27" t="inlineStr">
        <is>
          <t>Enrollment forms (all)</t>
        </is>
      </c>
      <c r="B5" s="28" t="inlineStr">
        <is>
          <t>Yes</t>
        </is>
      </c>
      <c r="C5" s="27" t="inlineStr">
        <is>
          <t>—</t>
        </is>
      </c>
    </row>
    <row r="6">
      <c r="A6" s="22" t="inlineStr">
        <is>
          <t>Immunization records</t>
        </is>
      </c>
      <c r="B6" s="24" t="inlineStr">
        <is>
          <t>Yes</t>
        </is>
      </c>
      <c r="C6" s="22" t="inlineStr">
        <is>
          <t>—</t>
        </is>
      </c>
    </row>
    <row r="7">
      <c r="A7" s="27" t="inlineStr">
        <is>
          <t>Emergency contacts</t>
        </is>
      </c>
      <c r="B7" s="28" t="inlineStr">
        <is>
          <t>Yes</t>
        </is>
      </c>
      <c r="C7" s="27" t="inlineStr">
        <is>
          <t>—</t>
        </is>
      </c>
    </row>
    <row r="8">
      <c r="A8" s="22" t="inlineStr">
        <is>
          <t>Free/reduced lunch app</t>
        </is>
      </c>
      <c r="B8" s="24" t="inlineStr">
        <is>
          <t>Yes</t>
        </is>
      </c>
      <c r="C8" s="22" t="inlineStr">
        <is>
          <t>—</t>
        </is>
      </c>
    </row>
    <row r="9">
      <c r="A9" s="27" t="inlineStr">
        <is>
          <t>Media consent forms</t>
        </is>
      </c>
      <c r="B9" s="28" t="inlineStr">
        <is>
          <t>Yes</t>
        </is>
      </c>
      <c r="C9" s="27" t="inlineStr">
        <is>
          <t>—</t>
        </is>
      </c>
    </row>
    <row r="10">
      <c r="A10" s="22" t="inlineStr">
        <is>
          <t>Transportation forms</t>
        </is>
      </c>
      <c r="B10" s="24" t="inlineStr">
        <is>
          <t>Yes</t>
        </is>
      </c>
      <c r="C10" s="22" t="inlineStr">
        <is>
          <t>—</t>
        </is>
      </c>
    </row>
    <row r="11">
      <c r="A11" s="27" t="inlineStr">
        <is>
          <t>Physical / sports forms</t>
        </is>
      </c>
      <c r="B11" s="28" t="inlineStr">
        <is>
          <t>No</t>
        </is>
      </c>
      <c r="C11" s="27" t="inlineStr">
        <is>
          <t>—</t>
        </is>
      </c>
    </row>
    <row r="12">
      <c r="A12" s="22" t="inlineStr">
        <is>
          <t>Medication authorizations</t>
        </is>
      </c>
      <c r="B12" s="24" t="inlineStr">
        <is>
          <t>Yes</t>
        </is>
      </c>
      <c r="C12" s="22" t="inlineStr">
        <is>
          <t>—</t>
        </is>
      </c>
    </row>
    <row r="13">
      <c r="A13" s="27" t="inlineStr">
        <is>
          <t>Photo order forms</t>
        </is>
      </c>
      <c r="B13" s="28" t="inlineStr">
        <is>
          <t>No</t>
        </is>
      </c>
      <c r="C13" s="27" t="inlineStr">
        <is>
          <t>—</t>
        </is>
      </c>
    </row>
    <row r="14">
      <c r="A14" s="22" t="inlineStr">
        <is>
          <t>Volunteer background check</t>
        </is>
      </c>
      <c r="B14" s="24" t="inlineStr">
        <is>
          <t>Yes</t>
        </is>
      </c>
      <c r="C14" s="22" t="inlineStr">
        <is>
          <t>—</t>
        </is>
      </c>
    </row>
    <row r="15">
      <c r="A15" s="27" t="n"/>
      <c r="B15" s="28" t="n"/>
      <c r="C15" s="27" t="n"/>
    </row>
    <row r="16">
      <c r="A16" s="22" t="n"/>
      <c r="B16" s="24" t="n"/>
      <c r="C16" s="22" t="n"/>
    </row>
    <row r="17">
      <c r="A17" s="27" t="n"/>
      <c r="B17" s="28" t="n"/>
      <c r="C17" s="27" t="n"/>
    </row>
    <row r="18">
      <c r="A18" s="22" t="n"/>
      <c r="B18" s="24" t="n"/>
      <c r="C18" s="22" t="n"/>
    </row>
    <row r="19">
      <c r="A19" s="27" t="n"/>
      <c r="B19" s="28" t="n"/>
      <c r="C19" s="27" t="n"/>
    </row>
    <row r="20">
      <c r="A20" s="22" t="n"/>
      <c r="B20" s="24" t="n"/>
      <c r="C20" s="22" t="n"/>
    </row>
    <row r="21">
      <c r="A21" s="27" t="n"/>
      <c r="B21" s="28" t="n"/>
      <c r="C21" s="27" t="n"/>
    </row>
    <row r="22">
      <c r="A22" s="22" t="n"/>
      <c r="B22" s="24" t="n"/>
      <c r="C22" s="22" t="n"/>
    </row>
    <row r="23">
      <c r="A23" s="27" t="n"/>
      <c r="B23" s="28" t="n"/>
      <c r="C23" s="27" t="n"/>
    </row>
    <row r="24">
      <c r="A24" s="22" t="n"/>
      <c r="B24" s="24" t="n"/>
      <c r="C24" s="22" t="n"/>
    </row>
    <row r="25">
      <c r="A25" s="27" t="n"/>
      <c r="B25" s="28" t="n"/>
      <c r="C25" s="27" t="n"/>
    </row>
    <row r="26">
      <c r="A26" s="22" t="n"/>
      <c r="B26" s="24" t="n"/>
      <c r="C26" s="22" t="n"/>
    </row>
    <row r="27">
      <c r="A27" s="27" t="n"/>
      <c r="B27" s="28" t="n"/>
      <c r="C27" s="27" t="n"/>
    </row>
    <row r="28">
      <c r="A28" s="22" t="n"/>
      <c r="B28" s="24" t="n"/>
      <c r="C28" s="22" t="n"/>
    </row>
    <row r="29">
      <c r="A29" s="27" t="n"/>
      <c r="B29" s="28" t="n"/>
      <c r="C29" s="27" t="n"/>
    </row>
    <row r="30">
      <c r="A30" s="22" t="n"/>
      <c r="B30" s="24" t="n"/>
      <c r="C30" s="22" t="n"/>
    </row>
    <row r="31">
      <c r="A31" s="27" t="n"/>
      <c r="B31" s="28" t="n"/>
      <c r="C31" s="27" t="n"/>
    </row>
    <row r="32">
      <c r="A32" s="22" t="n"/>
      <c r="B32" s="24" t="n"/>
      <c r="C32" s="22" t="n"/>
    </row>
    <row r="33">
      <c r="A33" s="27" t="n"/>
      <c r="B33" s="28" t="n"/>
      <c r="C33" s="27" t="n"/>
    </row>
    <row r="34">
      <c r="A34" s="22" t="n"/>
      <c r="B34" s="24" t="n"/>
      <c r="C34" s="22" t="n"/>
    </row>
  </sheetData>
  <mergeCells count="2">
    <mergeCell ref="A1:C1"/>
    <mergeCell ref="A2:C2"/>
  </mergeCells>
  <conditionalFormatting sqref="B5:B34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B5:B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family details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FAMILY INPUTS</t>
        </is>
      </c>
      <c r="E5" s="4" t="inlineStr">
        <is>
          <t>DROPDOWN LISTS</t>
        </is>
      </c>
    </row>
    <row r="6">
      <c r="B6" s="25" t="inlineStr">
        <is>
          <t>Family Name</t>
        </is>
      </c>
      <c r="C6" s="46" t="inlineStr">
        <is>
          <t>The Rivera Family</t>
        </is>
      </c>
      <c r="E6" s="9" t="inlineStr">
        <is>
          <t>Grade</t>
        </is>
      </c>
      <c r="F6" s="9" t="inlineStr">
        <is>
          <t>Event Type</t>
        </is>
      </c>
      <c r="G6" s="9" t="inlineStr">
        <is>
          <t>Supply Category</t>
        </is>
      </c>
      <c r="H6" s="9" t="inlineStr">
        <is>
          <t>Status</t>
        </is>
      </c>
      <c r="I6" s="9" t="inlineStr">
        <is>
          <t>Payment</t>
        </is>
      </c>
      <c r="J6" s="9" t="inlineStr">
        <is>
          <t>Ready?</t>
        </is>
      </c>
      <c r="K6" s="9" t="inlineStr">
        <is>
          <t>Subject</t>
        </is>
      </c>
      <c r="L6" s="9" t="inlineStr">
        <is>
          <t>Yes / No</t>
        </is>
      </c>
    </row>
    <row r="7">
      <c r="B7" s="25" t="inlineStr">
        <is>
          <t>School Year</t>
        </is>
      </c>
      <c r="C7" s="46" t="inlineStr">
        <is>
          <t>2026–2027</t>
        </is>
      </c>
      <c r="E7" s="19" t="inlineStr">
        <is>
          <t>PreK</t>
        </is>
      </c>
      <c r="F7" s="19" t="inlineStr">
        <is>
          <t>Deadline</t>
        </is>
      </c>
      <c r="G7" s="19" t="inlineStr">
        <is>
          <t>Supplies</t>
        </is>
      </c>
      <c r="H7" s="19" t="inlineStr">
        <is>
          <t>To Do</t>
        </is>
      </c>
      <c r="I7" s="19" t="inlineStr">
        <is>
          <t>Paid</t>
        </is>
      </c>
      <c r="J7" s="19" t="inlineStr">
        <is>
          <t>Ready</t>
        </is>
      </c>
      <c r="K7" s="19" t="inlineStr">
        <is>
          <t>Math</t>
        </is>
      </c>
      <c r="L7" s="19" t="inlineStr">
        <is>
          <t>Yes</t>
        </is>
      </c>
    </row>
    <row r="8">
      <c r="B8" s="25" t="inlineStr">
        <is>
          <t>First Day</t>
        </is>
      </c>
      <c r="C8" s="48" t="n">
        <v>46259</v>
      </c>
      <c r="E8" s="19" t="inlineStr">
        <is>
          <t>K</t>
        </is>
      </c>
      <c r="F8" s="19" t="inlineStr">
        <is>
          <t>Event</t>
        </is>
      </c>
      <c r="G8" s="19" t="inlineStr">
        <is>
          <t>Backpack</t>
        </is>
      </c>
      <c r="H8" s="19" t="inlineStr">
        <is>
          <t>In Progress</t>
        </is>
      </c>
      <c r="I8" s="19" t="inlineStr">
        <is>
          <t>Partial</t>
        </is>
      </c>
      <c r="J8" s="19" t="inlineStr">
        <is>
          <t>Need</t>
        </is>
      </c>
      <c r="K8" s="19" t="inlineStr">
        <is>
          <t>Reading</t>
        </is>
      </c>
      <c r="L8" s="19" t="inlineStr">
        <is>
          <t>No</t>
        </is>
      </c>
    </row>
    <row r="9">
      <c r="B9" s="25" t="inlineStr">
        <is>
          <t>Number of Children</t>
        </is>
      </c>
      <c r="C9" s="49" t="n">
        <v>6</v>
      </c>
      <c r="E9" s="19" t="inlineStr">
        <is>
          <t>1</t>
        </is>
      </c>
      <c r="F9" s="19" t="inlineStr">
        <is>
          <t>Field Trip</t>
        </is>
      </c>
      <c r="G9" s="19" t="inlineStr">
        <is>
          <t>Binders</t>
        </is>
      </c>
      <c r="H9" s="19" t="inlineStr">
        <is>
          <t>Done</t>
        </is>
      </c>
      <c r="I9" s="19" t="inlineStr">
        <is>
          <t>Unpaid</t>
        </is>
      </c>
      <c r="J9" s="19" t="inlineStr">
        <is>
          <t>Ordered</t>
        </is>
      </c>
      <c r="K9" s="19" t="inlineStr">
        <is>
          <t>Science</t>
        </is>
      </c>
    </row>
    <row r="10">
      <c r="B10" s="25" t="inlineStr">
        <is>
          <t>Number of Schools</t>
        </is>
      </c>
      <c r="C10" s="49" t="n">
        <v>4</v>
      </c>
      <c r="E10" s="19" t="inlineStr">
        <is>
          <t>2</t>
        </is>
      </c>
      <c r="F10" s="19" t="inlineStr">
        <is>
          <t>Meeting</t>
        </is>
      </c>
      <c r="G10" s="19" t="inlineStr">
        <is>
          <t>Devices</t>
        </is>
      </c>
      <c r="K10" s="19" t="inlineStr">
        <is>
          <t>Writing</t>
        </is>
      </c>
    </row>
    <row r="11">
      <c r="B11" s="25" t="inlineStr">
        <is>
          <t>Back-to-School Budget</t>
        </is>
      </c>
      <c r="C11" s="35">
        <f>BudgetPlanTotal</f>
        <v/>
      </c>
      <c r="E11" s="19" t="inlineStr">
        <is>
          <t>3</t>
        </is>
      </c>
      <c r="F11" s="19" t="inlineStr">
        <is>
          <t>Holiday</t>
        </is>
      </c>
      <c r="G11" s="19" t="inlineStr">
        <is>
          <t>Art</t>
        </is>
      </c>
      <c r="K11" s="19" t="inlineStr">
        <is>
          <t>History</t>
        </is>
      </c>
    </row>
    <row r="12">
      <c r="B12" s="25" t="inlineStr">
        <is>
          <t>Parent 1</t>
        </is>
      </c>
      <c r="C12" s="46" t="inlineStr">
        <is>
          <t>Elena Rivera</t>
        </is>
      </c>
      <c r="E12" s="19" t="inlineStr">
        <is>
          <t>4</t>
        </is>
      </c>
      <c r="F12" s="19" t="inlineStr">
        <is>
          <t>Early Release</t>
        </is>
      </c>
      <c r="G12" s="19" t="inlineStr">
        <is>
          <t>PE / Sports</t>
        </is>
      </c>
      <c r="K12" s="19" t="inlineStr">
        <is>
          <t>Spanish</t>
        </is>
      </c>
    </row>
    <row r="13">
      <c r="B13" s="25" t="inlineStr">
        <is>
          <t>Parent 2</t>
        </is>
      </c>
      <c r="C13" s="46" t="inlineStr">
        <is>
          <t>Marco Rivera</t>
        </is>
      </c>
      <c r="E13" s="19" t="inlineStr">
        <is>
          <t>5</t>
        </is>
      </c>
      <c r="F13" s="19" t="inlineStr">
        <is>
          <t>Picture Day</t>
        </is>
      </c>
      <c r="G13" s="19" t="inlineStr">
        <is>
          <t>Clothing</t>
        </is>
      </c>
      <c r="K13" s="19" t="inlineStr">
        <is>
          <t>Other</t>
        </is>
      </c>
    </row>
    <row r="14">
      <c r="E14" s="19" t="inlineStr">
        <is>
          <t>6</t>
        </is>
      </c>
      <c r="F14" s="19" t="inlineStr">
        <is>
          <t>Other</t>
        </is>
      </c>
      <c r="G14" s="19" t="inlineStr">
        <is>
          <t>Other</t>
        </is>
      </c>
    </row>
    <row r="15">
      <c r="E15" s="19" t="inlineStr">
        <is>
          <t>7</t>
        </is>
      </c>
    </row>
    <row r="16">
      <c r="E16" s="19" t="inlineStr">
        <is>
          <t>8</t>
        </is>
      </c>
    </row>
    <row r="17">
      <c r="E17" s="19" t="inlineStr">
        <is>
          <t>9</t>
        </is>
      </c>
    </row>
    <row r="18">
      <c r="E18" s="19" t="inlineStr">
        <is>
          <t>10</t>
        </is>
      </c>
    </row>
    <row r="19">
      <c r="E19" s="19" t="inlineStr">
        <is>
          <t>11</t>
        </is>
      </c>
    </row>
    <row r="20">
      <c r="E20" s="19" t="inlineStr">
        <is>
          <t>12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2026-07-15T03:33:24Z</dcterms:created>
  <dcterms:modified xsi:type="dcterms:W3CDTF">2026-07-15T03:33:24Z</dcterms:modified>
</cp:coreProperties>
</file>