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Subscription Audit" sheetId="3" state="visible" r:id="rId3"/>
    <sheet name="Subscriptions" sheetId="4" state="visible" r:id="rId4"/>
    <sheet name="Bills" sheetId="5" state="visible" r:id="rId5"/>
    <sheet name="Cancel Finder" sheetId="6" state="visible" r:id="rId6"/>
    <sheet name="Categories" sheetId="7" state="visible" r:id="rId7"/>
    <sheet name="Renewals" sheetId="8" state="visible" r:id="rId8"/>
    <sheet name="Free Trials" sheetId="9" state="visible" r:id="rId9"/>
    <sheet name="Price Hikes" sheetId="10" state="visible" r:id="rId10"/>
    <sheet name="Savings" sheetId="11" state="visible" r:id="rId11"/>
    <sheet name="Negotiation" sheetId="12" state="visible" r:id="rId12"/>
    <sheet name="Monthly Summary" sheetId="13" state="visible" r:id="rId13"/>
    <sheet name="Settings" sheetId="14" state="visible" r:id="rId14"/>
  </sheets>
  <definedNames>
    <definedName name="Owner">Settings!$C$6</definedName>
    <definedName name="AuditName">Settings!$C$7</definedName>
    <definedName name="SubBudget">Settings!$C$8</definedName>
    <definedName name="SaveGoal">Settings!$C$9</definedName>
    <definedName name="AnnualGoal">Settings!$C$10</definedName>
    <definedName name="CategoryList">Settings!$E$7:$E$16</definedName>
    <definedName name="BillingList">Settings!$F$7:$F$9</definedName>
    <definedName name="ActionList">Settings!$G$7:$G$9</definedName>
    <definedName name="YesNoList">Settings!$H$7:$H$8</definedName>
    <definedName name="SubName">'Subscriptions'!$B$5:$B$18</definedName>
    <definedName name="SubCategory">'Subscriptions'!$C$5:$C$18</definedName>
    <definedName name="SubBilling">'Subscriptions'!$D$5:$D$18</definedName>
    <definedName name="SubMonthlyRange">'Subscriptions'!$E$5:$E$18</definedName>
    <definedName name="SubAction">'Subscriptions'!$F$5:$F$18</definedName>
    <definedName name="SubMonthly">'Subscriptions'!$E$19</definedName>
    <definedName name="SubCount">'Subscriptions'!$E$20</definedName>
    <definedName name="AnnualBilled">'Subscriptions'!$E$21</definedName>
    <definedName name="CancelMonthly">'Subscription Audit'!$C$10</definedName>
    <definedName name="CancelCount">'Subscription Audit'!$C$11</definedName>
    <definedName name="KeepMonthly">'Subscription Audit'!$C$14</definedName>
    <definedName name="BillMonthlyRange">'Bills'!$D$5:$D$10</definedName>
    <definedName name="BillMonthly">'Bills'!$D$11</definedName>
    <definedName name="RenewAmt">'Renewals'!$D$5:$D$28</definedName>
    <definedName name="TrialName">'Free Trials'!$B$5:$B$7</definedName>
    <definedName name="TrialCancelBy">'Free Trials'!$D$5:$D$7</definedName>
    <definedName name="TrialCount">'Free Trials'!$D$9</definedName>
    <definedName name="HikeTotal">'Price Hikes'!$E$10</definedName>
    <definedName name="CutSaved">'Savings'!$C$5:$C$28</definedName>
    <definedName name="NegCurrent">'Negotiation'!$D$5:$D$26</definedName>
    <definedName name="NegTarget">'Negotiation'!$E$5:$E$26</definedName>
    <definedName name="SpendTrend">'Monthly Summary'!$C$7:$C$12</definedName>
    <definedName name="HealthRange">'Dashboard'!$C$13:$C$18</definedName>
  </definedNames>
  <calcPr calcId="124519" fullCalcOnLoad="1"/>
</workbook>
</file>

<file path=xl/styles.xml><?xml version="1.0" encoding="utf-8"?>
<styleSheet xmlns="http://schemas.openxmlformats.org/spreadsheetml/2006/main">
  <numFmts count="2">
    <numFmt numFmtId="164" formatCode="&quot;$&quot;#,##0"/>
    <numFmt numFmtId="165" formatCode="&quot;$&quot;#,##0.00"/>
  </numFmts>
  <fonts count="16">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1B4F48"/>
    </font>
    <font>
      <b val="1"/>
      <color rgb="001B4F48"/>
      <sz val="13"/>
    </font>
    <font>
      <b val="1"/>
      <color rgb="001B4F48"/>
      <sz val="14"/>
    </font>
    <font>
      <b val="1"/>
      <color rgb="00C94C4C"/>
    </font>
    <font>
      <b val="1"/>
      <color rgb="00937356"/>
      <sz val="9"/>
    </font>
    <font>
      <b val="1"/>
      <color rgb="001B4F48"/>
      <sz val="18"/>
    </font>
  </fonts>
  <fills count="10">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56">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14" fillId="9" borderId="3" applyAlignment="1" pivotButton="0" quotePrefix="0" xfId="0">
      <alignment horizontal="center" vertical="center"/>
    </xf>
    <xf numFmtId="0" fontId="0" fillId="9" borderId="3" pivotButton="0" quotePrefix="0" xfId="0"/>
    <xf numFmtId="165" fontId="15" fillId="9" borderId="2" applyAlignment="1" pivotButton="0" quotePrefix="0" xfId="0">
      <alignment horizontal="center" vertical="center"/>
    </xf>
    <xf numFmtId="0" fontId="0" fillId="9" borderId="2" pivotButton="0" quotePrefix="0" xfId="0"/>
    <xf numFmtId="164" fontId="15" fillId="9" borderId="2" applyAlignment="1" pivotButton="0" quotePrefix="0" xfId="0">
      <alignment horizontal="center" vertical="center"/>
    </xf>
    <xf numFmtId="3" fontId="15" fillId="9" borderId="2" applyAlignment="1" pivotButton="0" quotePrefix="0" xfId="0">
      <alignment horizontal="center" vertical="center"/>
    </xf>
    <xf numFmtId="9" fontId="15" fillId="9"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0" fontId="8" fillId="4" borderId="2" applyAlignment="1" pivotButton="0" quotePrefix="0" xfId="9">
      <alignment horizontal="left" vertical="center" indent="1"/>
    </xf>
    <xf numFmtId="165" fontId="7" fillId="6" borderId="2" applyAlignment="1" pivotButton="0" quotePrefix="0" xfId="10">
      <alignment horizontal="left" vertical="center" indent="1"/>
    </xf>
    <xf numFmtId="164" fontId="7" fillId="0" borderId="2" applyAlignment="1" pivotButton="0" quotePrefix="0" xfId="10">
      <alignment horizontal="left" vertical="center" indent="1"/>
    </xf>
    <xf numFmtId="164" fontId="11" fillId="6" borderId="2" applyAlignment="1" pivotButton="0" quotePrefix="0" xfId="6">
      <alignment horizontal="center" vertical="center" wrapText="1"/>
    </xf>
    <xf numFmtId="165" fontId="7" fillId="0" borderId="2" applyAlignment="1" pivotButton="0" quotePrefix="0" xfId="10">
      <alignment horizontal="left" vertical="center" indent="1"/>
    </xf>
    <xf numFmtId="3" fontId="7" fillId="0" borderId="2" applyAlignment="1" pivotButton="0" quotePrefix="0" xfId="10">
      <alignment horizontal="left" vertical="center" indent="1"/>
    </xf>
    <xf numFmtId="164" fontId="12" fillId="6" borderId="2" applyAlignment="1" pivotButton="0" quotePrefix="0" xfId="6">
      <alignment horizontal="center" vertical="center" wrapText="1"/>
    </xf>
    <xf numFmtId="165" fontId="11" fillId="6" borderId="2" applyAlignment="1" pivotButton="0" quotePrefix="0" xfId="6">
      <alignment horizontal="center" vertical="center" wrapText="1"/>
    </xf>
    <xf numFmtId="165" fontId="7" fillId="3" borderId="2" applyAlignment="1" pivotButton="0" quotePrefix="0" xfId="8">
      <alignment horizontal="center" vertical="center"/>
    </xf>
    <xf numFmtId="165" fontId="7" fillId="8" borderId="2" applyAlignment="1" pivotButton="0" quotePrefix="0" xfId="8">
      <alignment horizontal="center" vertical="center"/>
    </xf>
    <xf numFmtId="0" fontId="6" fillId="3" borderId="2" applyAlignment="1" pivotButton="0" quotePrefix="0" xfId="6">
      <alignment horizontal="center" vertical="center" wrapText="1"/>
    </xf>
    <xf numFmtId="165" fontId="10" fillId="6" borderId="2" applyAlignment="1" pivotButton="0" quotePrefix="0" xfId="6">
      <alignment horizontal="center" vertical="center" wrapText="1"/>
    </xf>
    <xf numFmtId="164" fontId="7" fillId="3" borderId="2" applyAlignment="1" pivotButton="0" quotePrefix="0" xfId="8">
      <alignment horizontal="center" vertical="center"/>
    </xf>
    <xf numFmtId="164" fontId="7" fillId="8" borderId="2" applyAlignment="1" pivotButton="0" quotePrefix="0" xfId="8">
      <alignment horizontal="center" vertical="center"/>
    </xf>
    <xf numFmtId="164" fontId="10" fillId="6" borderId="2" applyAlignment="1" pivotButton="0" quotePrefix="0" xfId="6">
      <alignment horizontal="center" vertical="center" wrapText="1"/>
    </xf>
    <xf numFmtId="165" fontId="6" fillId="0" borderId="2" applyAlignment="1" pivotButton="0" quotePrefix="0" xfId="6">
      <alignment horizontal="center" vertical="center" wrapText="1"/>
    </xf>
    <xf numFmtId="164" fontId="10" fillId="0" borderId="2" applyAlignment="1" pivotButton="0" quotePrefix="0" xfId="6">
      <alignment horizontal="center" vertical="center" wrapText="1"/>
    </xf>
    <xf numFmtId="165" fontId="6" fillId="8" borderId="2" applyAlignment="1" pivotButton="0" quotePrefix="0" xfId="6">
      <alignment horizontal="center" vertical="center" wrapText="1"/>
    </xf>
    <xf numFmtId="164" fontId="10" fillId="8" borderId="2" applyAlignment="1" pivotButton="0" quotePrefix="0" xfId="6">
      <alignment horizontal="center" vertical="center" wrapText="1"/>
    </xf>
    <xf numFmtId="165" fontId="10" fillId="3" borderId="2" applyAlignment="1" pivotButton="0" quotePrefix="0" xfId="6">
      <alignment horizontal="center" vertical="center" wrapText="1"/>
    </xf>
    <xf numFmtId="164" fontId="6" fillId="0" borderId="2" applyAlignment="1" pivotButton="0" quotePrefix="0" xfId="6">
      <alignment horizontal="center" vertical="center" wrapText="1"/>
    </xf>
    <xf numFmtId="164" fontId="6" fillId="8" borderId="2" applyAlignment="1" pivotButton="0" quotePrefix="0" xfId="6">
      <alignment horizontal="center" vertical="center" wrapText="1"/>
    </xf>
    <xf numFmtId="0" fontId="6" fillId="9" borderId="2" applyAlignment="1" pivotButton="0" quotePrefix="0" xfId="7">
      <alignment horizontal="left" vertical="center" wrapText="1" indent="1"/>
    </xf>
    <xf numFmtId="164" fontId="6" fillId="9" borderId="2" applyAlignment="1" pivotButton="0" quotePrefix="0" xfId="6">
      <alignment horizontal="center" vertical="center" wrapText="1"/>
    </xf>
    <xf numFmtId="0" fontId="7" fillId="3" borderId="2" applyAlignment="1" pivotButton="0" quotePrefix="0" xfId="8">
      <alignment horizontal="center" vertical="center"/>
    </xf>
    <xf numFmtId="0" fontId="7" fillId="8" borderId="2" applyAlignment="1" pivotButton="0" quotePrefix="0" xfId="8">
      <alignment horizontal="center" vertical="center"/>
    </xf>
    <xf numFmtId="164" fontId="13" fillId="0" borderId="2" applyAlignment="1" pivotButton="0" quotePrefix="0" xfId="6">
      <alignment horizontal="center" vertical="center" wrapText="1"/>
    </xf>
    <xf numFmtId="164" fontId="13" fillId="8" borderId="2" applyAlignment="1" pivotButton="0" quotePrefix="0" xfId="6">
      <alignment horizontal="center" vertical="center" wrapText="1"/>
    </xf>
    <xf numFmtId="164" fontId="13" fillId="3" borderId="2" applyAlignment="1" pivotButton="0" quotePrefix="0" xfId="6">
      <alignment horizontal="center" vertical="center" wrapText="1"/>
    </xf>
    <xf numFmtId="0" fontId="6" fillId="9" borderId="2" applyAlignment="1" pivotButton="0" quotePrefix="0" xfId="6">
      <alignment horizontal="center" vertical="center" wrapText="1"/>
    </xf>
    <xf numFmtId="1"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dxfs count="1">
    <dxf>
      <fill>
        <patternFill patternType="solid">
          <fgColor rgb="00FB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Recurring by Month</a:t>
            </a:r>
          </a:p>
        </rich>
      </tx>
    </title>
    <plotArea>
      <barChart>
        <barDir val="col"/>
        <grouping val="clustered"/>
        <ser>
          <idx val="0"/>
          <order val="0"/>
          <spPr>
            <a:ln>
              <a:prstDash val="solid"/>
            </a:ln>
          </spPr>
          <cat>
            <numRef>
              <f>'Monthly Summary'!$B$7:$B$12</f>
            </numRef>
          </cat>
          <val>
            <numRef>
              <f>'Monthly Summary'!$C$7:$C$12</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Recurring by Month</a:t>
            </a:r>
          </a:p>
        </rich>
      </tx>
    </title>
    <plotArea>
      <barChart>
        <barDir val="col"/>
        <grouping val="clustered"/>
        <ser>
          <idx val="0"/>
          <order val="0"/>
          <spPr>
            <a:ln>
              <a:prstDash val="solid"/>
            </a:ln>
          </spPr>
          <cat>
            <numRef>
              <f>'Monthly Summary'!$B$7:$B$12</f>
            </numRef>
          </cat>
          <val>
            <numRef>
              <f>'Monthly Summary'!$C$7:$C$12</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SUBSCRIPTION &amp; BILLS AUDIT COMMAND CENTER™</t>
        </is>
      </c>
    </row>
    <row r="2" ht="24" customHeight="1">
      <c r="A2" s="2" t="inlineStr">
        <is>
          <t xml:space="preserve">  See every recurring charge, and cut the ones you forgot.</t>
        </is>
      </c>
    </row>
    <row r="3" ht="6" customHeight="1">
      <c r="A3" s="3" t="n"/>
      <c r="B3" s="3" t="n"/>
      <c r="C3" s="3" t="n"/>
    </row>
    <row r="5">
      <c r="B5" s="4" t="inlineStr">
        <is>
          <t>YOUR WHOLE RECURRING SPEND, IN ONE PLACE</t>
        </is>
      </c>
    </row>
    <row r="6" ht="22" customHeight="1">
      <c r="B6" s="5" t="inlineStr">
        <is>
          <t>The average household leaks hundreds a year to subscriptions it forgot it had. This finds them: an audit engine lists every subscription and bill, totals your true monthly and annual recurring spend, and a cancel-savings finder adds up exactly what you'd save by cutting the ones you flag. Track price hikes, renewals and free trials before they charge you — all in ONE premium Google Sheets &amp; Excel system built to plug the leaks.</t>
        </is>
      </c>
    </row>
    <row r="7" ht="22" customHeight="1">
      <c r="B7" s="6" t="n"/>
    </row>
    <row r="8" ht="22" customHeight="1">
      <c r="B8" s="6" t="n"/>
    </row>
    <row r="9" ht="22" customHeight="1">
      <c r="B9" s="6" t="n"/>
    </row>
    <row r="11">
      <c r="B11" s="7" t="inlineStr">
        <is>
          <t>START HERE — 6 QUICK STEPS</t>
        </is>
      </c>
    </row>
    <row r="12" ht="22" customHeight="1">
      <c r="B12" s="8" t="inlineStr">
        <is>
          <t>1.  Open Settings — set your subscription budget &amp; goals.</t>
        </is>
      </c>
    </row>
    <row r="13" ht="22" customHeight="1">
      <c r="B13" s="8" t="inlineStr">
        <is>
          <t>2.  List every Subscription and Bill you pay.</t>
        </is>
      </c>
    </row>
    <row r="14" ht="22" customHeight="1">
      <c r="B14" s="8" t="inlineStr">
        <is>
          <t>3.  Flag the ones to cancel — the Cancel Finder totals your savings.</t>
        </is>
      </c>
    </row>
    <row r="15" ht="22" customHeight="1">
      <c r="B15" s="8" t="inlineStr">
        <is>
          <t>4.  Log Price Hikes, Renewals and Free Trials.</t>
        </is>
      </c>
    </row>
    <row r="16" ht="22" customHeight="1">
      <c r="B16" s="8" t="inlineStr">
        <is>
          <t>5.  Work the Negotiation list to lower the keepers.</t>
        </is>
      </c>
    </row>
    <row r="17" ht="22" customHeight="1">
      <c r="B17" s="8" t="inlineStr">
        <is>
          <t>6.  Check the Dashboard: recurring spend, savings &amp; an Audit Score.</t>
        </is>
      </c>
    </row>
    <row r="20" ht="26" customHeight="1">
      <c r="B20" s="9" t="inlineStr">
        <is>
          <t xml:space="preserve">  GOOD TO KNOW</t>
        </is>
      </c>
    </row>
    <row r="21" ht="22" customHeight="1">
      <c r="B21" s="10" t="inlineStr">
        <is>
          <t>Sample data for a fictional audit (Clearing House, Devon) is included so you can see how it all connects — just type over it with your own subscriptions and bills. Your monthly recurring spend and the annual savings you'd get from cancelling are the two numbers that decide whether an audit pays off, and they roll into a live Audit Score. Twelve matching printable pages (subscription audit, cancel list, renewal calendar, bill negotiation &amp; more) are included. This is a budgeting &amp; organizing tool, not financial advice — confirm figures with your own statements.</t>
        </is>
      </c>
    </row>
    <row r="22" ht="22" customHeight="1">
      <c r="B22" s="11" t="n"/>
    </row>
    <row r="23" ht="22" customHeight="1">
      <c r="B23" s="11" t="n"/>
    </row>
    <row r="25">
      <c r="B25" s="4" t="inlineStr">
        <is>
          <t>Every charge you forgot is money you're giving away. Find them all.</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SUBSCRIPTION &amp; BILLS AUDIT COMMAND CENTER™</t>
        </is>
      </c>
    </row>
    <row r="2" ht="24" customHeight="1">
      <c r="A2" s="2" t="inlineStr">
        <is>
          <t xml:space="preserve">  Recurring spend, cancel savings &amp; an Audit Score — every charge you pay, at a glance.</t>
        </is>
      </c>
    </row>
    <row r="3" ht="6" customHeight="1">
      <c r="A3" s="3" t="n"/>
      <c r="B3" s="3" t="n"/>
      <c r="C3" s="3" t="n"/>
      <c r="D3" s="3" t="n"/>
      <c r="E3" s="3" t="n"/>
      <c r="F3" s="3" t="n"/>
      <c r="G3" s="3" t="n"/>
      <c r="H3" s="3" t="n"/>
      <c r="I3" s="3" t="n"/>
      <c r="J3" s="3" t="n"/>
      <c r="K3" s="3" t="n"/>
      <c r="L3" s="3" t="n"/>
      <c r="M3" s="3" t="n"/>
      <c r="N3" s="3" t="n"/>
    </row>
    <row r="5" ht="18" customHeight="1">
      <c r="B5" s="12" t="inlineStr">
        <is>
          <t>MONTHLY SUBS</t>
        </is>
      </c>
      <c r="C5" s="13" t="n"/>
      <c r="D5" s="12" t="inlineStr">
        <is>
          <t>ANNUAL SUBS</t>
        </is>
      </c>
      <c r="E5" s="13" t="n"/>
      <c r="F5" s="12" t="inlineStr">
        <is>
          <t>SUBSCRIPTIONS</t>
        </is>
      </c>
      <c r="G5" s="13" t="n"/>
      <c r="H5" s="12" t="inlineStr">
        <is>
          <t>AVG / SUB</t>
        </is>
      </c>
      <c r="I5" s="13" t="n"/>
      <c r="J5" s="12" t="inlineStr">
        <is>
          <t>FLAGGED</t>
        </is>
      </c>
      <c r="K5" s="13" t="n"/>
      <c r="L5" s="12" t="inlineStr">
        <is>
          <t>MONTHLY SAVINGS</t>
        </is>
      </c>
      <c r="M5" s="13" t="n"/>
    </row>
    <row r="6" ht="40" customHeight="1">
      <c r="B6" s="14">
        <f>SubMonthly</f>
        <v/>
      </c>
      <c r="C6" s="15" t="n"/>
      <c r="D6" s="16">
        <f>SubMonthly*12</f>
        <v/>
      </c>
      <c r="E6" s="15" t="n"/>
      <c r="F6" s="17">
        <f>SubCount</f>
        <v/>
      </c>
      <c r="G6" s="15" t="n"/>
      <c r="H6" s="14">
        <f>IFERROR(SubMonthly/SubCount,0)</f>
        <v/>
      </c>
      <c r="I6" s="15" t="n"/>
      <c r="J6" s="17">
        <f>CancelCount</f>
        <v/>
      </c>
      <c r="K6" s="15" t="n"/>
      <c r="L6" s="14">
        <f>CancelMonthly</f>
        <v/>
      </c>
      <c r="M6" s="15" t="n"/>
    </row>
    <row r="8" ht="18" customHeight="1">
      <c r="B8" s="12" t="inlineStr">
        <is>
          <t>ANNUAL SAVINGS</t>
        </is>
      </c>
      <c r="C8" s="13" t="n"/>
      <c r="D8" s="12" t="inlineStr">
        <is>
          <t>MONTHLY BILLS</t>
        </is>
      </c>
      <c r="E8" s="13" t="n"/>
      <c r="F8" s="12" t="inlineStr">
        <is>
          <t>KEEP MONTHLY</t>
        </is>
      </c>
      <c r="G8" s="13" t="n"/>
      <c r="H8" s="12" t="inlineStr">
        <is>
          <t>HIKES ADD / YR</t>
        </is>
      </c>
      <c r="I8" s="13" t="n"/>
      <c r="J8" s="12" t="inlineStr">
        <is>
          <t>TRIALS ENDING</t>
        </is>
      </c>
      <c r="K8" s="13" t="n"/>
      <c r="L8" s="12" t="inlineStr">
        <is>
          <t>AUDIT SCORE</t>
        </is>
      </c>
      <c r="M8" s="13" t="n"/>
    </row>
    <row r="9" ht="40" customHeight="1">
      <c r="B9" s="16">
        <f>CancelMonthly*12</f>
        <v/>
      </c>
      <c r="C9" s="15" t="n"/>
      <c r="D9" s="16">
        <f>BillMonthly</f>
        <v/>
      </c>
      <c r="E9" s="15" t="n"/>
      <c r="F9" s="14">
        <f>KeepMonthly</f>
        <v/>
      </c>
      <c r="G9" s="15" t="n"/>
      <c r="H9" s="16">
        <f>HikeTotal</f>
        <v/>
      </c>
      <c r="I9" s="15" t="n"/>
      <c r="J9" s="17">
        <f>TrialCount</f>
        <v/>
      </c>
      <c r="K9" s="15" t="n"/>
      <c r="L9" s="18">
        <f>IFERROR(AVERAGE(HealthRange),0)</f>
        <v/>
      </c>
      <c r="M9" s="15" t="n"/>
    </row>
    <row r="11" ht="26" customHeight="1">
      <c r="B11" s="4" t="inlineStr">
        <is>
          <t>AUDIT HEALTH</t>
        </is>
      </c>
      <c r="H11" s="4" t="inlineStr">
        <is>
          <t>RECURRING BY MONTH</t>
        </is>
      </c>
    </row>
    <row r="12" ht="30" customHeight="1">
      <c r="B12" s="9" t="inlineStr">
        <is>
          <t>Check</t>
        </is>
      </c>
      <c r="C12" s="9" t="inlineStr">
        <is>
          <t>Score</t>
        </is>
      </c>
      <c r="D12" s="9" t="inlineStr">
        <is>
          <t>Status</t>
        </is>
      </c>
    </row>
    <row r="13">
      <c r="B13" s="19" t="inlineStr">
        <is>
          <t>Everything reviewed</t>
        </is>
      </c>
      <c r="C13" s="20">
        <f>IFERROR((COUNTIF(SubAction,"Keep")+COUNTIF(SubAction,"Cancel"))/SubCount,0)</f>
        <v/>
      </c>
      <c r="D13" s="21">
        <f>IF(C13&gt;=0.85,"Strong",IF(C13&gt;=0.6,"OK","Watch"))</f>
        <v/>
      </c>
    </row>
    <row r="14">
      <c r="B14" s="22" t="inlineStr">
        <is>
          <t>Cutting waste</t>
        </is>
      </c>
      <c r="C14" s="23">
        <f>IFERROR(MIN(CancelMonthly/SaveGoal,1),0)</f>
        <v/>
      </c>
      <c r="D14" s="24">
        <f>IF(C14&gt;=0.85,"Strong",IF(C14&gt;=0.6,"OK","Watch"))</f>
        <v/>
      </c>
    </row>
    <row r="15">
      <c r="B15" s="19" t="inlineStr">
        <is>
          <t>Every sub categorized</t>
        </is>
      </c>
      <c r="C15" s="20">
        <f>IFERROR(COUNTA(SubCategory)/SubCount,0)</f>
        <v/>
      </c>
      <c r="D15" s="21">
        <f>IF(C15&gt;=0.85,"Strong",IF(C15&gt;=0.6,"OK","Watch"))</f>
        <v/>
      </c>
    </row>
    <row r="16">
      <c r="B16" s="22" t="inlineStr">
        <is>
          <t>Under budget</t>
        </is>
      </c>
      <c r="C16" s="23">
        <f>IF(SubMonthly&lt;=SubBudget,1,IFERROR(SubBudget/SubMonthly,0))</f>
        <v/>
      </c>
      <c r="D16" s="24">
        <f>IF(C16&gt;=0.85,"Strong",IF(C16&gt;=0.6,"OK","Watch"))</f>
        <v/>
      </c>
    </row>
    <row r="17">
      <c r="B17" s="19" t="inlineStr">
        <is>
          <t>Free trials tracked</t>
        </is>
      </c>
      <c r="C17" s="20">
        <f>IFERROR(MIN(COUNTA(TrialCancelBy)/TrialCount,1),0)</f>
        <v/>
      </c>
      <c r="D17" s="21">
        <f>IF(C17&gt;=0.85,"Strong",IF(C17&gt;=0.6,"OK","Watch"))</f>
        <v/>
      </c>
    </row>
    <row r="18">
      <c r="B18" s="22" t="inlineStr">
        <is>
          <t>Billed annually where cheaper</t>
        </is>
      </c>
      <c r="C18" s="23">
        <f>IFERROR(MIN(AnnualBilled/AnnualGoal,1),0)</f>
        <v/>
      </c>
      <c r="D18" s="24">
        <f>IF(C18&gt;=0.85,"Strong",IF(C18&gt;=0.6,"OK","Watch"))</f>
        <v/>
      </c>
    </row>
    <row r="21" ht="26" customHeight="1">
      <c r="B21" s="2" t="inlineStr">
        <is>
          <t>Subscription &amp; Bills Audit Command Center™ — see every charge, and cut the ones you forgot.</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2" customWidth="1" min="1" max="1"/>
    <col width="36" customWidth="1" min="2" max="2"/>
    <col width="18" customWidth="1" min="3" max="3"/>
    <col width="2" customWidth="1" min="4" max="4"/>
  </cols>
  <sheetData>
    <row r="1" ht="46" customHeight="1">
      <c r="A1" s="1" t="inlineStr">
        <is>
          <t xml:space="preserve">  🔍  SUBSCRIPTION AUDIT</t>
        </is>
      </c>
    </row>
    <row r="2" ht="22" customHeight="1">
      <c r="A2" s="2" t="inlineStr">
        <is>
          <t xml:space="preserve">  Every recurring charge, totalled monthly and annually — and exactly what you'd save by cutting the flagged ones.</t>
        </is>
      </c>
    </row>
    <row r="3" ht="6" customHeight="1">
      <c r="A3" s="3" t="n"/>
      <c r="B3" s="3" t="n"/>
      <c r="C3" s="3" t="n"/>
    </row>
    <row r="5">
      <c r="B5" s="25" t="inlineStr">
        <is>
          <t>Monthly subscriptions</t>
        </is>
      </c>
      <c r="C5" s="26">
        <f>SubMonthly</f>
        <v/>
      </c>
    </row>
    <row r="6">
      <c r="B6" s="25" t="inlineStr">
        <is>
          <t>× 12 months</t>
        </is>
      </c>
      <c r="C6" s="27">
        <f>SubMonthly*12</f>
        <v/>
      </c>
    </row>
    <row r="7">
      <c r="B7" s="9">
        <f> ANNUAL SUBSCRIPTION SPEND</f>
        <v/>
      </c>
      <c r="C7" s="28">
        <f>SubMonthly*12</f>
        <v/>
      </c>
    </row>
    <row r="9">
      <c r="B9" s="4" t="inlineStr">
        <is>
          <t>CANCEL-SAVINGS FINDER</t>
        </is>
      </c>
    </row>
    <row r="10">
      <c r="B10" s="25" t="inlineStr">
        <is>
          <t>Flagged to cancel (monthly)</t>
        </is>
      </c>
      <c r="C10" s="29">
        <f>SUMIF(SubAction,"Cancel",SubMonthlyRange)</f>
        <v/>
      </c>
    </row>
    <row r="11">
      <c r="B11" s="25" t="inlineStr">
        <is>
          <t>Flagged to cancel (count)</t>
        </is>
      </c>
      <c r="C11" s="30">
        <f>COUNTIF(SubAction,"Cancel")</f>
        <v/>
      </c>
    </row>
    <row r="12">
      <c r="B12" s="9">
        <f> ANNUAL SAVINGS IF YOU CANCEL</f>
        <v/>
      </c>
      <c r="C12" s="31">
        <f>SUMIF(SubAction,"Cancel",SubMonthlyRange)*12</f>
        <v/>
      </c>
    </row>
    <row r="14">
      <c r="B14" s="9">
        <f> YOU KEEP (monthly)</f>
        <v/>
      </c>
      <c r="C14" s="32">
        <f>SubMonthly-SUMIF(SubAction,"Cancel",SubMonthlyRange)</f>
        <v/>
      </c>
    </row>
    <row r="16">
      <c r="B16" s="4" t="inlineStr">
        <is>
          <t>Flag a subscription 'Cancel' and watch your annual savings climb.</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16" customWidth="1" min="3" max="3"/>
    <col width="14" customWidth="1" min="4" max="4"/>
    <col width="14" customWidth="1" min="5" max="5"/>
    <col width="14" customWidth="1" min="6" max="6"/>
    <col width="2" customWidth="1" min="7" max="7"/>
  </cols>
  <sheetData>
    <row r="1" ht="46" customHeight="1">
      <c r="A1" s="1" t="inlineStr">
        <is>
          <t xml:space="preserve">  📺  SUBSCRIPTIONS</t>
        </is>
      </c>
    </row>
    <row r="2" ht="22" customHeight="1">
      <c r="A2" s="2" t="inlineStr">
        <is>
          <t xml:space="preserve">  Every recurring subscription — category, billing, monthly cost and keep-or-cancel. The whole leak, listed.</t>
        </is>
      </c>
    </row>
    <row r="3" ht="6" customHeight="1">
      <c r="A3" s="3" t="n"/>
      <c r="B3" s="3" t="n"/>
      <c r="C3" s="3" t="n"/>
      <c r="D3" s="3" t="n"/>
      <c r="E3" s="3" t="n"/>
      <c r="F3" s="3" t="n"/>
    </row>
    <row r="4" ht="30" customHeight="1">
      <c r="B4" s="9" t="inlineStr">
        <is>
          <t>Subscription</t>
        </is>
      </c>
      <c r="C4" s="9" t="inlineStr">
        <is>
          <t>Category</t>
        </is>
      </c>
      <c r="D4" s="9" t="inlineStr">
        <is>
          <t>Billing</t>
        </is>
      </c>
      <c r="E4" s="9" t="inlineStr">
        <is>
          <t>Monthly</t>
        </is>
      </c>
      <c r="F4" s="9" t="inlineStr">
        <is>
          <t>Action</t>
        </is>
      </c>
    </row>
    <row r="5">
      <c r="B5" s="19" t="inlineStr">
        <is>
          <t>Netflix</t>
        </is>
      </c>
      <c r="C5" s="21" t="inlineStr">
        <is>
          <t>Streaming</t>
        </is>
      </c>
      <c r="D5" s="21" t="inlineStr">
        <is>
          <t>Monthly</t>
        </is>
      </c>
      <c r="E5" s="33" t="n">
        <v>15.49</v>
      </c>
      <c r="F5" s="21" t="inlineStr">
        <is>
          <t>Keep</t>
        </is>
      </c>
    </row>
    <row r="6">
      <c r="B6" s="22" t="inlineStr">
        <is>
          <t>Spotify</t>
        </is>
      </c>
      <c r="C6" s="24" t="inlineStr">
        <is>
          <t>Music</t>
        </is>
      </c>
      <c r="D6" s="24" t="inlineStr">
        <is>
          <t>Monthly</t>
        </is>
      </c>
      <c r="E6" s="34" t="n">
        <v>11.99</v>
      </c>
      <c r="F6" s="24" t="inlineStr">
        <is>
          <t>Keep</t>
        </is>
      </c>
    </row>
    <row r="7">
      <c r="B7" s="19" t="inlineStr">
        <is>
          <t>Disney+</t>
        </is>
      </c>
      <c r="C7" s="21" t="inlineStr">
        <is>
          <t>Streaming</t>
        </is>
      </c>
      <c r="D7" s="21" t="inlineStr">
        <is>
          <t>Monthly</t>
        </is>
      </c>
      <c r="E7" s="33" t="n">
        <v>13.99</v>
      </c>
      <c r="F7" s="21" t="inlineStr">
        <is>
          <t>Keep</t>
        </is>
      </c>
    </row>
    <row r="8">
      <c r="B8" s="22" t="inlineStr">
        <is>
          <t>Hulu</t>
        </is>
      </c>
      <c r="C8" s="24" t="inlineStr">
        <is>
          <t>Streaming</t>
        </is>
      </c>
      <c r="D8" s="24" t="inlineStr">
        <is>
          <t>Monthly</t>
        </is>
      </c>
      <c r="E8" s="34" t="n">
        <v>17.99</v>
      </c>
      <c r="F8" s="24" t="inlineStr">
        <is>
          <t>Cancel</t>
        </is>
      </c>
    </row>
    <row r="9">
      <c r="B9" s="19" t="inlineStr">
        <is>
          <t>Amazon Prime</t>
        </is>
      </c>
      <c r="C9" s="21" t="inlineStr">
        <is>
          <t>Shopping</t>
        </is>
      </c>
      <c r="D9" s="21" t="inlineStr">
        <is>
          <t>Yearly</t>
        </is>
      </c>
      <c r="E9" s="33" t="n">
        <v>12.42</v>
      </c>
      <c r="F9" s="21" t="inlineStr">
        <is>
          <t>Keep</t>
        </is>
      </c>
    </row>
    <row r="10">
      <c r="B10" s="22" t="inlineStr">
        <is>
          <t>iCloud 200GB</t>
        </is>
      </c>
      <c r="C10" s="24" t="inlineStr">
        <is>
          <t>Cloud</t>
        </is>
      </c>
      <c r="D10" s="24" t="inlineStr">
        <is>
          <t>Monthly</t>
        </is>
      </c>
      <c r="E10" s="34" t="n">
        <v>2.99</v>
      </c>
      <c r="F10" s="24" t="inlineStr">
        <is>
          <t>Keep</t>
        </is>
      </c>
    </row>
    <row r="11">
      <c r="B11" s="19" t="inlineStr">
        <is>
          <t>Adobe CC</t>
        </is>
      </c>
      <c r="C11" s="21" t="inlineStr">
        <is>
          <t>Software</t>
        </is>
      </c>
      <c r="D11" s="21" t="inlineStr">
        <is>
          <t>Monthly</t>
        </is>
      </c>
      <c r="E11" s="33" t="n">
        <v>22.99</v>
      </c>
      <c r="F11" s="21" t="inlineStr">
        <is>
          <t>Cancel</t>
        </is>
      </c>
    </row>
    <row r="12">
      <c r="B12" s="22" t="inlineStr">
        <is>
          <t>NYT</t>
        </is>
      </c>
      <c r="C12" s="24" t="inlineStr">
        <is>
          <t>News</t>
        </is>
      </c>
      <c r="D12" s="24" t="inlineStr">
        <is>
          <t>Monthly</t>
        </is>
      </c>
      <c r="E12" s="34" t="n">
        <v>17</v>
      </c>
      <c r="F12" s="24" t="inlineStr">
        <is>
          <t>Keep</t>
        </is>
      </c>
    </row>
    <row r="13">
      <c r="B13" s="19" t="inlineStr">
        <is>
          <t>Gym membership</t>
        </is>
      </c>
      <c r="C13" s="21" t="inlineStr">
        <is>
          <t>Fitness</t>
        </is>
      </c>
      <c r="D13" s="21" t="inlineStr">
        <is>
          <t>Monthly</t>
        </is>
      </c>
      <c r="E13" s="33" t="n">
        <v>40</v>
      </c>
      <c r="F13" s="21" t="inlineStr">
        <is>
          <t>Cancel</t>
        </is>
      </c>
    </row>
    <row r="14">
      <c r="B14" s="22" t="inlineStr">
        <is>
          <t>YouTube Premium</t>
        </is>
      </c>
      <c r="C14" s="24" t="inlineStr">
        <is>
          <t>Streaming</t>
        </is>
      </c>
      <c r="D14" s="24" t="inlineStr">
        <is>
          <t>Monthly</t>
        </is>
      </c>
      <c r="E14" s="34" t="n">
        <v>13.99</v>
      </c>
      <c r="F14" s="24" t="inlineStr">
        <is>
          <t>Keep</t>
        </is>
      </c>
    </row>
    <row r="15">
      <c r="B15" s="19" t="inlineStr">
        <is>
          <t>Audible</t>
        </is>
      </c>
      <c r="C15" s="21" t="inlineStr">
        <is>
          <t>Books</t>
        </is>
      </c>
      <c r="D15" s="21" t="inlineStr">
        <is>
          <t>Monthly</t>
        </is>
      </c>
      <c r="E15" s="33" t="n">
        <v>14.95</v>
      </c>
      <c r="F15" s="21" t="inlineStr">
        <is>
          <t>Cancel</t>
        </is>
      </c>
    </row>
    <row r="16">
      <c r="B16" s="22" t="inlineStr">
        <is>
          <t>Dropbox</t>
        </is>
      </c>
      <c r="C16" s="24" t="inlineStr">
        <is>
          <t>Cloud</t>
        </is>
      </c>
      <c r="D16" s="24" t="inlineStr">
        <is>
          <t>Yearly</t>
        </is>
      </c>
      <c r="E16" s="34" t="n">
        <v>9.99</v>
      </c>
      <c r="F16" s="24" t="inlineStr">
        <is>
          <t>Keep</t>
        </is>
      </c>
    </row>
    <row r="17">
      <c r="B17" s="19" t="inlineStr">
        <is>
          <t>Peloton App</t>
        </is>
      </c>
      <c r="C17" s="21" t="inlineStr">
        <is>
          <t>Fitness</t>
        </is>
      </c>
      <c r="D17" s="21" t="inlineStr">
        <is>
          <t>Monthly</t>
        </is>
      </c>
      <c r="E17" s="33" t="n">
        <v>12.99</v>
      </c>
      <c r="F17" s="21" t="inlineStr">
        <is>
          <t>Keep</t>
        </is>
      </c>
    </row>
    <row r="18">
      <c r="B18" s="22" t="inlineStr">
        <is>
          <t>DoorDash DashPass</t>
        </is>
      </c>
      <c r="C18" s="24" t="inlineStr">
        <is>
          <t>Food</t>
        </is>
      </c>
      <c r="D18" s="24" t="inlineStr">
        <is>
          <t>Monthly</t>
        </is>
      </c>
      <c r="E18" s="34" t="n">
        <v>9.99</v>
      </c>
      <c r="F18" s="24" t="inlineStr">
        <is>
          <t>Cancel</t>
        </is>
      </c>
    </row>
    <row r="19">
      <c r="B19" s="9" t="inlineStr">
        <is>
          <t>MONTHLY SUBS</t>
        </is>
      </c>
      <c r="C19" s="35" t="n"/>
      <c r="D19" s="35" t="n"/>
      <c r="E19" s="36">
        <f>SUM(SubMonthlyRange)</f>
        <v/>
      </c>
      <c r="F19" s="35" t="n"/>
    </row>
    <row r="20">
      <c r="B20" s="25" t="inlineStr">
        <is>
          <t>Subscriptions counted</t>
        </is>
      </c>
      <c r="E20" s="30">
        <f>COUNTA(SubName)</f>
        <v/>
      </c>
    </row>
    <row r="21">
      <c r="B21" s="25" t="inlineStr">
        <is>
          <t>On annual billing</t>
        </is>
      </c>
      <c r="E21" s="30">
        <f>COUNTIF(SubBilling,"Yearly")</f>
        <v/>
      </c>
    </row>
  </sheetData>
  <mergeCells count="2">
    <mergeCell ref="A2:F2"/>
    <mergeCell ref="A1:F1"/>
  </mergeCells>
  <conditionalFormatting sqref="F5:F18">
    <cfRule type="cellIs" priority="1" operator="equal" dxfId="0">
      <formula>"Cancel"</formula>
    </cfRule>
  </conditionalFormatting>
  <dataValidations count="3">
    <dataValidation sqref="C5:C18" showDropDown="0" showInputMessage="0" showErrorMessage="0" allowBlank="1" type="list">
      <formula1>=CategoryList</formula1>
    </dataValidation>
    <dataValidation sqref="D5:D18" showDropDown="0" showInputMessage="0" showErrorMessage="0" allowBlank="1" type="list">
      <formula1>=BillingList</formula1>
    </dataValidation>
    <dataValidation sqref="F5:F18" showDropDown="0" showInputMessage="0" showErrorMessage="0" allowBlank="1" type="list">
      <formula1>=ActionList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8" customWidth="1" min="3" max="3"/>
    <col width="14" customWidth="1" min="4" max="4"/>
    <col width="2" customWidth="1" min="5" max="5"/>
  </cols>
  <sheetData>
    <row r="1" ht="46" customHeight="1">
      <c r="A1" s="1" t="inlineStr">
        <is>
          <t xml:space="preserve">  🧾  BILLS</t>
        </is>
      </c>
    </row>
    <row r="2" ht="22" customHeight="1">
      <c r="A2" s="2" t="inlineStr">
        <is>
          <t xml:space="preserve">  Your recurring bills — utilities, insurance and more. The other half of what leaves every month.</t>
        </is>
      </c>
    </row>
    <row r="3" ht="6" customHeight="1">
      <c r="A3" s="3" t="n"/>
      <c r="B3" s="3" t="n"/>
      <c r="C3" s="3" t="n"/>
      <c r="D3" s="3" t="n"/>
    </row>
    <row r="4" ht="30" customHeight="1">
      <c r="B4" s="9" t="inlineStr">
        <is>
          <t>Bill</t>
        </is>
      </c>
      <c r="C4" s="9" t="inlineStr">
        <is>
          <t>Category</t>
        </is>
      </c>
      <c r="D4" s="9" t="inlineStr">
        <is>
          <t>Monthly</t>
        </is>
      </c>
    </row>
    <row r="5">
      <c r="B5" s="19" t="inlineStr">
        <is>
          <t>Electric</t>
        </is>
      </c>
      <c r="C5" s="21" t="inlineStr">
        <is>
          <t>Utilities</t>
        </is>
      </c>
      <c r="D5" s="37" t="n">
        <v>120</v>
      </c>
    </row>
    <row r="6">
      <c r="B6" s="22" t="inlineStr">
        <is>
          <t>Internet</t>
        </is>
      </c>
      <c r="C6" s="24" t="inlineStr">
        <is>
          <t>Utilities</t>
        </is>
      </c>
      <c r="D6" s="38" t="n">
        <v>70</v>
      </c>
    </row>
    <row r="7">
      <c r="B7" s="19" t="inlineStr">
        <is>
          <t>Phone</t>
        </is>
      </c>
      <c r="C7" s="21" t="inlineStr">
        <is>
          <t>Utilities</t>
        </is>
      </c>
      <c r="D7" s="37" t="n">
        <v>85</v>
      </c>
    </row>
    <row r="8">
      <c r="B8" s="22" t="inlineStr">
        <is>
          <t>Car insurance</t>
        </is>
      </c>
      <c r="C8" s="24" t="inlineStr">
        <is>
          <t>Insurance</t>
        </is>
      </c>
      <c r="D8" s="38" t="n">
        <v>130</v>
      </c>
    </row>
    <row r="9">
      <c r="B9" s="19" t="inlineStr">
        <is>
          <t>Renters insurance</t>
        </is>
      </c>
      <c r="C9" s="21" t="inlineStr">
        <is>
          <t>Insurance</t>
        </is>
      </c>
      <c r="D9" s="37" t="n">
        <v>18</v>
      </c>
    </row>
    <row r="10">
      <c r="B10" s="22" t="inlineStr">
        <is>
          <t>Water</t>
        </is>
      </c>
      <c r="C10" s="24" t="inlineStr">
        <is>
          <t>Utilities</t>
        </is>
      </c>
      <c r="D10" s="38" t="n">
        <v>45</v>
      </c>
    </row>
    <row r="11">
      <c r="B11" s="9" t="inlineStr">
        <is>
          <t>MONTHLY BILLS</t>
        </is>
      </c>
      <c r="C11" s="35" t="n"/>
      <c r="D11" s="39">
        <f>SUM(BillMonthlyRange)</f>
        <v/>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6" customWidth="1" min="3" max="3"/>
    <col width="14" customWidth="1" min="4" max="4"/>
    <col width="16" customWidth="1" min="5" max="5"/>
    <col width="2" customWidth="1" min="6" max="6"/>
  </cols>
  <sheetData>
    <row r="1" ht="46" customHeight="1">
      <c r="A1" s="1" t="inlineStr">
        <is>
          <t xml:space="preserve">  ✂  CANCEL FINDER</t>
        </is>
      </c>
    </row>
    <row r="2" ht="22" customHeight="1">
      <c r="A2" s="2" t="inlineStr">
        <is>
          <t xml:space="preserve">  Every subscription you flagged 'Cancel' — the monthly and annual savings, ranked. Your hit list.</t>
        </is>
      </c>
    </row>
    <row r="3" ht="6" customHeight="1">
      <c r="A3" s="3" t="n"/>
      <c r="B3" s="3" t="n"/>
      <c r="C3" s="3" t="n"/>
      <c r="D3" s="3" t="n"/>
      <c r="E3" s="3" t="n"/>
    </row>
    <row r="4" ht="30" customHeight="1">
      <c r="B4" s="9" t="inlineStr">
        <is>
          <t>Subscription</t>
        </is>
      </c>
      <c r="C4" s="9" t="inlineStr">
        <is>
          <t>Category</t>
        </is>
      </c>
      <c r="D4" s="9" t="inlineStr">
        <is>
          <t>Monthly</t>
        </is>
      </c>
      <c r="E4" s="9" t="inlineStr">
        <is>
          <t>Annual Save</t>
        </is>
      </c>
    </row>
    <row r="5">
      <c r="B5" s="19" t="inlineStr">
        <is>
          <t>Hulu</t>
        </is>
      </c>
      <c r="C5" s="21" t="inlineStr">
        <is>
          <t>Streaming</t>
        </is>
      </c>
      <c r="D5" s="40" t="n">
        <v>17.99</v>
      </c>
      <c r="E5" s="41">
        <f>D5*12</f>
        <v/>
      </c>
    </row>
    <row r="6">
      <c r="B6" s="22" t="inlineStr">
        <is>
          <t>Adobe CC</t>
        </is>
      </c>
      <c r="C6" s="24" t="inlineStr">
        <is>
          <t>Software</t>
        </is>
      </c>
      <c r="D6" s="42" t="n">
        <v>22.99</v>
      </c>
      <c r="E6" s="43">
        <f>D6*12</f>
        <v/>
      </c>
    </row>
    <row r="7">
      <c r="B7" s="19" t="inlineStr">
        <is>
          <t>Gym membership</t>
        </is>
      </c>
      <c r="C7" s="21" t="inlineStr">
        <is>
          <t>Fitness</t>
        </is>
      </c>
      <c r="D7" s="40" t="n">
        <v>40</v>
      </c>
      <c r="E7" s="41">
        <f>D7*12</f>
        <v/>
      </c>
    </row>
    <row r="8">
      <c r="B8" s="22" t="inlineStr">
        <is>
          <t>Audible</t>
        </is>
      </c>
      <c r="C8" s="24" t="inlineStr">
        <is>
          <t>Books</t>
        </is>
      </c>
      <c r="D8" s="42" t="n">
        <v>14.95</v>
      </c>
      <c r="E8" s="43">
        <f>D8*12</f>
        <v/>
      </c>
    </row>
    <row r="9">
      <c r="B9" s="19" t="inlineStr">
        <is>
          <t>DoorDash DashPass</t>
        </is>
      </c>
      <c r="C9" s="21" t="inlineStr">
        <is>
          <t>Food</t>
        </is>
      </c>
      <c r="D9" s="40" t="n">
        <v>9.99</v>
      </c>
      <c r="E9" s="41">
        <f>D9*12</f>
        <v/>
      </c>
    </row>
    <row r="10">
      <c r="B10" s="9" t="inlineStr">
        <is>
          <t>TOTAL SAVINGS</t>
        </is>
      </c>
      <c r="C10" s="35" t="n"/>
      <c r="D10" s="44">
        <f>CancelMonthly</f>
        <v/>
      </c>
      <c r="E10" s="39">
        <f>CancelMonthly*12</f>
        <v/>
      </c>
    </row>
    <row r="12">
      <c r="B12" s="4" t="inlineStr">
        <is>
          <t>This list is your fastest money back — cancel from the top down.</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2" customWidth="1" min="1" max="1"/>
    <col width="22" customWidth="1" min="2" max="2"/>
    <col width="16" customWidth="1" min="3" max="3"/>
    <col width="16" customWidth="1" min="4" max="4"/>
    <col width="2" customWidth="1" min="5" max="5"/>
  </cols>
  <sheetData>
    <row r="1" ht="46" customHeight="1">
      <c r="A1" s="1" t="inlineStr">
        <is>
          <t xml:space="preserve">  🗂  CATEGORIES</t>
        </is>
      </c>
    </row>
    <row r="2" ht="22" customHeight="1">
      <c r="A2" s="2" t="inlineStr">
        <is>
          <t xml:space="preserve">  Where your subscription money goes — spend by category, so you can see the biggest bucket at a glance.</t>
        </is>
      </c>
    </row>
    <row r="3" ht="6" customHeight="1">
      <c r="A3" s="3" t="n"/>
      <c r="B3" s="3" t="n"/>
      <c r="C3" s="3" t="n"/>
      <c r="D3" s="3" t="n"/>
    </row>
    <row r="4" ht="30" customHeight="1">
      <c r="B4" s="9" t="inlineStr">
        <is>
          <t>Category</t>
        </is>
      </c>
      <c r="C4" s="9" t="inlineStr">
        <is>
          <t>Monthly</t>
        </is>
      </c>
      <c r="D4" s="9" t="inlineStr">
        <is>
          <t>Annual</t>
        </is>
      </c>
    </row>
    <row r="5">
      <c r="B5" s="19" t="inlineStr">
        <is>
          <t>Streaming</t>
        </is>
      </c>
      <c r="C5" s="40">
        <f>SUMIF(SubCategory,B5,SubMonthlyRange)</f>
        <v/>
      </c>
      <c r="D5" s="45">
        <f>C5*12</f>
        <v/>
      </c>
    </row>
    <row r="6">
      <c r="B6" s="22" t="inlineStr">
        <is>
          <t>Music</t>
        </is>
      </c>
      <c r="C6" s="42">
        <f>SUMIF(SubCategory,B6,SubMonthlyRange)</f>
        <v/>
      </c>
      <c r="D6" s="46">
        <f>C6*12</f>
        <v/>
      </c>
    </row>
    <row r="7">
      <c r="B7" s="19" t="inlineStr">
        <is>
          <t>Software</t>
        </is>
      </c>
      <c r="C7" s="40">
        <f>SUMIF(SubCategory,B7,SubMonthlyRange)</f>
        <v/>
      </c>
      <c r="D7" s="45">
        <f>C7*12</f>
        <v/>
      </c>
    </row>
    <row r="8">
      <c r="B8" s="22" t="inlineStr">
        <is>
          <t>Cloud</t>
        </is>
      </c>
      <c r="C8" s="42">
        <f>SUMIF(SubCategory,B8,SubMonthlyRange)</f>
        <v/>
      </c>
      <c r="D8" s="46">
        <f>C8*12</f>
        <v/>
      </c>
    </row>
    <row r="9">
      <c r="B9" s="19" t="inlineStr">
        <is>
          <t>Fitness</t>
        </is>
      </c>
      <c r="C9" s="40">
        <f>SUMIF(SubCategory,B9,SubMonthlyRange)</f>
        <v/>
      </c>
      <c r="D9" s="45">
        <f>C9*12</f>
        <v/>
      </c>
    </row>
    <row r="10">
      <c r="B10" s="22" t="inlineStr">
        <is>
          <t>News</t>
        </is>
      </c>
      <c r="C10" s="42">
        <f>SUMIF(SubCategory,B10,SubMonthlyRange)</f>
        <v/>
      </c>
      <c r="D10" s="46">
        <f>C10*12</f>
        <v/>
      </c>
    </row>
    <row r="11">
      <c r="B11" s="19" t="inlineStr">
        <is>
          <t>Shopping</t>
        </is>
      </c>
      <c r="C11" s="40">
        <f>SUMIF(SubCategory,B11,SubMonthlyRange)</f>
        <v/>
      </c>
      <c r="D11" s="45">
        <f>C11*12</f>
        <v/>
      </c>
    </row>
    <row r="12">
      <c r="B12" s="22" t="inlineStr">
        <is>
          <t>Food</t>
        </is>
      </c>
      <c r="C12" s="42">
        <f>SUMIF(SubCategory,B12,SubMonthlyRange)</f>
        <v/>
      </c>
      <c r="D12" s="46">
        <f>C12*12</f>
        <v/>
      </c>
    </row>
    <row r="13">
      <c r="B13" s="19" t="inlineStr">
        <is>
          <t>Books</t>
        </is>
      </c>
      <c r="C13" s="40">
        <f>SUMIF(SubCategory,B13,SubMonthlyRange)</f>
        <v/>
      </c>
      <c r="D13" s="45">
        <f>C13*12</f>
        <v/>
      </c>
    </row>
    <row r="14">
      <c r="B14" s="9" t="inlineStr">
        <is>
          <t>ALL CATEGORIES</t>
        </is>
      </c>
      <c r="C14" s="36">
        <f>SUM(C5:C13)</f>
        <v/>
      </c>
      <c r="D14" s="39">
        <f>SUM(D5:D13)</f>
        <v/>
      </c>
    </row>
  </sheetData>
  <mergeCells count="2">
    <mergeCell ref="A1:D1"/>
    <mergeCell ref="A2:D2"/>
  </mergeCells>
  <conditionalFormatting sqref="C5:C13">
    <cfRule type="dataBar" priority="1">
      <dataBar>
        <cfvo type="min"/>
        <cfvo type="max"/>
        <color rgb="0075E6C1"/>
      </dataBar>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9"/>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16" customWidth="1" min="3" max="3"/>
    <col width="16" customWidth="1" min="4" max="4"/>
    <col width="2" customWidth="1" min="5" max="5"/>
  </cols>
  <sheetData>
    <row r="1" ht="46" customHeight="1">
      <c r="A1" s="1" t="inlineStr">
        <is>
          <t xml:space="preserve">  📅  RENEWALS</t>
        </is>
      </c>
    </row>
    <row r="2" ht="22" customHeight="1">
      <c r="A2" s="2" t="inlineStr">
        <is>
          <t xml:space="preserve">  The big annual charges and when they hit — so a $149 renewal is never a surprise on your statement.</t>
        </is>
      </c>
    </row>
    <row r="3" ht="6" customHeight="1">
      <c r="A3" s="3" t="n"/>
      <c r="B3" s="3" t="n"/>
      <c r="C3" s="3" t="n"/>
      <c r="D3" s="3" t="n"/>
    </row>
    <row r="4" ht="30" customHeight="1">
      <c r="B4" s="9" t="inlineStr">
        <is>
          <t>Service</t>
        </is>
      </c>
      <c r="C4" s="9" t="inlineStr">
        <is>
          <t>Renews</t>
        </is>
      </c>
      <c r="D4" s="9" t="inlineStr">
        <is>
          <t>Amount</t>
        </is>
      </c>
    </row>
    <row r="5">
      <c r="B5" s="47" t="inlineStr">
        <is>
          <t>Amazon Prime</t>
        </is>
      </c>
      <c r="C5" s="47" t="inlineStr">
        <is>
          <t>Feb 14</t>
        </is>
      </c>
      <c r="D5" s="48" t="n">
        <v>149</v>
      </c>
    </row>
    <row r="6">
      <c r="B6" s="22" t="inlineStr">
        <is>
          <t>Dropbox</t>
        </is>
      </c>
      <c r="C6" s="22" t="inlineStr">
        <is>
          <t>Mar 2</t>
        </is>
      </c>
      <c r="D6" s="46" t="n">
        <v>119</v>
      </c>
    </row>
    <row r="7">
      <c r="B7" s="47" t="inlineStr">
        <is>
          <t>NYT (annual roll)</t>
        </is>
      </c>
      <c r="C7" s="47" t="inlineStr">
        <is>
          <t>Apr 9</t>
        </is>
      </c>
      <c r="D7" s="48" t="n">
        <v>204</v>
      </c>
    </row>
    <row r="8">
      <c r="B8" s="22" t="inlineStr">
        <is>
          <t>Car insurance</t>
        </is>
      </c>
      <c r="C8" s="22" t="inlineStr">
        <is>
          <t>May 1</t>
        </is>
      </c>
      <c r="D8" s="46" t="n">
        <v>780</v>
      </c>
    </row>
    <row r="9">
      <c r="B9" s="47" t="inlineStr">
        <is>
          <t>Adobe CC</t>
        </is>
      </c>
      <c r="C9" s="47" t="inlineStr">
        <is>
          <t>Jun 20</t>
        </is>
      </c>
      <c r="D9" s="48" t="n">
        <v>276</v>
      </c>
    </row>
    <row r="10">
      <c r="B10" s="22" t="n"/>
      <c r="C10" s="22" t="n"/>
      <c r="D10" s="46" t="n"/>
    </row>
    <row r="11">
      <c r="B11" s="47" t="n"/>
      <c r="C11" s="47" t="n"/>
      <c r="D11" s="48" t="n"/>
    </row>
    <row r="12">
      <c r="B12" s="22" t="n"/>
      <c r="C12" s="22" t="n"/>
      <c r="D12" s="46" t="n"/>
    </row>
    <row r="13">
      <c r="B13" s="47" t="n"/>
      <c r="C13" s="47" t="n"/>
      <c r="D13" s="48" t="n"/>
    </row>
    <row r="14">
      <c r="B14" s="22" t="n"/>
      <c r="C14" s="22" t="n"/>
      <c r="D14" s="46" t="n"/>
    </row>
    <row r="15">
      <c r="B15" s="47" t="n"/>
      <c r="C15" s="47" t="n"/>
      <c r="D15" s="48" t="n"/>
    </row>
    <row r="16">
      <c r="B16" s="22" t="n"/>
      <c r="C16" s="22" t="n"/>
      <c r="D16" s="46" t="n"/>
    </row>
    <row r="17">
      <c r="B17" s="47" t="n"/>
      <c r="C17" s="47" t="n"/>
      <c r="D17" s="48" t="n"/>
    </row>
    <row r="18">
      <c r="B18" s="22" t="n"/>
      <c r="C18" s="22" t="n"/>
      <c r="D18" s="46" t="n"/>
    </row>
    <row r="19">
      <c r="B19" s="47" t="n"/>
      <c r="C19" s="47" t="n"/>
      <c r="D19" s="48" t="n"/>
    </row>
    <row r="20">
      <c r="B20" s="22" t="n"/>
      <c r="C20" s="22" t="n"/>
      <c r="D20" s="46" t="n"/>
    </row>
    <row r="21">
      <c r="B21" s="47" t="n"/>
      <c r="C21" s="47" t="n"/>
      <c r="D21" s="48" t="n"/>
    </row>
    <row r="22">
      <c r="B22" s="22" t="n"/>
      <c r="C22" s="22" t="n"/>
      <c r="D22" s="46" t="n"/>
    </row>
    <row r="23">
      <c r="B23" s="47" t="n"/>
      <c r="C23" s="47" t="n"/>
      <c r="D23" s="48" t="n"/>
    </row>
    <row r="24">
      <c r="B24" s="22" t="n"/>
      <c r="C24" s="22" t="n"/>
      <c r="D24" s="46" t="n"/>
    </row>
    <row r="25">
      <c r="B25" s="47" t="n"/>
      <c r="C25" s="47" t="n"/>
      <c r="D25" s="48" t="n"/>
    </row>
    <row r="26">
      <c r="B26" s="22" t="n"/>
      <c r="C26" s="22" t="n"/>
      <c r="D26" s="46" t="n"/>
    </row>
    <row r="27">
      <c r="B27" s="47" t="n"/>
      <c r="C27" s="47" t="n"/>
      <c r="D27" s="48" t="n"/>
    </row>
    <row r="28">
      <c r="B28" s="22" t="n"/>
      <c r="C28" s="22" t="n"/>
      <c r="D28" s="46" t="n"/>
    </row>
    <row r="29">
      <c r="B29" s="9" t="inlineStr">
        <is>
          <t>ANNUAL RENEWALS</t>
        </is>
      </c>
      <c r="C29" s="35" t="n"/>
      <c r="D29" s="39">
        <f>SUM(RenewAmt)</f>
        <v/>
      </c>
    </row>
  </sheetData>
  <mergeCells count="2">
    <mergeCell ref="A1:D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16" customWidth="1" min="3" max="3"/>
    <col width="16" customWidth="1" min="4" max="4"/>
    <col width="2" customWidth="1" min="5" max="5"/>
  </cols>
  <sheetData>
    <row r="1" ht="46" customHeight="1">
      <c r="A1" s="1" t="inlineStr">
        <is>
          <t xml:space="preserve">  ⏳  FREE TRIALS</t>
        </is>
      </c>
    </row>
    <row r="2" ht="22" customHeight="1">
      <c r="A2" s="2" t="inlineStr">
        <is>
          <t xml:space="preserve">  Every trial and the date to cancel by — the calendar reminder that saves you from the auto-charge.</t>
        </is>
      </c>
    </row>
    <row r="3" ht="6" customHeight="1">
      <c r="A3" s="3" t="n"/>
      <c r="B3" s="3" t="n"/>
      <c r="C3" s="3" t="n"/>
      <c r="D3" s="3" t="n"/>
    </row>
    <row r="4" ht="30" customHeight="1">
      <c r="B4" s="9" t="inlineStr">
        <is>
          <t>Service</t>
        </is>
      </c>
      <c r="C4" s="9" t="inlineStr">
        <is>
          <t>Started</t>
        </is>
      </c>
      <c r="D4" s="9" t="inlineStr">
        <is>
          <t>Cancel By</t>
        </is>
      </c>
    </row>
    <row r="5">
      <c r="B5" s="19" t="inlineStr">
        <is>
          <t>Paramount+</t>
        </is>
      </c>
      <c r="C5" s="21" t="inlineStr">
        <is>
          <t>Jul 1</t>
        </is>
      </c>
      <c r="D5" s="49" t="inlineStr">
        <is>
          <t>Jul 8</t>
        </is>
      </c>
    </row>
    <row r="6">
      <c r="B6" s="22" t="inlineStr">
        <is>
          <t>Masterclass</t>
        </is>
      </c>
      <c r="C6" s="24" t="inlineStr">
        <is>
          <t>Jul 3</t>
        </is>
      </c>
      <c r="D6" s="50" t="inlineStr">
        <is>
          <t>Jul 10</t>
        </is>
      </c>
    </row>
    <row r="7">
      <c r="B7" s="19" t="inlineStr">
        <is>
          <t>Canva Pro</t>
        </is>
      </c>
      <c r="C7" s="21" t="inlineStr">
        <is>
          <t>Jul 5</t>
        </is>
      </c>
      <c r="D7" s="49" t="inlineStr">
        <is>
          <t>Aug 4</t>
        </is>
      </c>
    </row>
    <row r="9">
      <c r="B9" s="25" t="inlineStr">
        <is>
          <t>Trials tracked</t>
        </is>
      </c>
      <c r="D9" s="30">
        <f>COUNTA(TrialName)</f>
        <v/>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14" customWidth="1" min="3" max="3"/>
    <col width="14" customWidth="1" min="4" max="4"/>
    <col width="16" customWidth="1" min="5" max="5"/>
    <col width="2" customWidth="1" min="6" max="6"/>
  </cols>
  <sheetData>
    <row r="1" ht="46" customHeight="1">
      <c r="A1" s="1" t="inlineStr">
        <is>
          <t xml:space="preserve">  📈  PRICE HIKES</t>
        </is>
      </c>
    </row>
    <row r="2" ht="22" customHeight="1">
      <c r="A2" s="2" t="inlineStr">
        <is>
          <t xml:space="preserve">  Every stealth price increase — old vs new, and what the hikes add per year. The creep, caught.</t>
        </is>
      </c>
    </row>
    <row r="3" ht="6" customHeight="1">
      <c r="A3" s="3" t="n"/>
      <c r="B3" s="3" t="n"/>
      <c r="C3" s="3" t="n"/>
      <c r="D3" s="3" t="n"/>
      <c r="E3" s="3" t="n"/>
    </row>
    <row r="4" ht="30" customHeight="1">
      <c r="B4" s="9" t="inlineStr">
        <is>
          <t>Service</t>
        </is>
      </c>
      <c r="C4" s="9" t="inlineStr">
        <is>
          <t>Was</t>
        </is>
      </c>
      <c r="D4" s="9" t="inlineStr">
        <is>
          <t>Now</t>
        </is>
      </c>
      <c r="E4" s="9" t="inlineStr">
        <is>
          <t>+ / Year</t>
        </is>
      </c>
    </row>
    <row r="5">
      <c r="B5" s="19" t="inlineStr">
        <is>
          <t>Netflix</t>
        </is>
      </c>
      <c r="C5" s="33" t="n">
        <v>13.49</v>
      </c>
      <c r="D5" s="33" t="n">
        <v>15.49</v>
      </c>
      <c r="E5" s="51">
        <f>(D5-C5)*12</f>
        <v/>
      </c>
    </row>
    <row r="6">
      <c r="B6" s="22" t="inlineStr">
        <is>
          <t>Disney+</t>
        </is>
      </c>
      <c r="C6" s="34" t="n">
        <v>10.99</v>
      </c>
      <c r="D6" s="34" t="n">
        <v>13.99</v>
      </c>
      <c r="E6" s="52">
        <f>(D6-C6)*12</f>
        <v/>
      </c>
    </row>
    <row r="7">
      <c r="B7" s="19" t="inlineStr">
        <is>
          <t>Spotify</t>
        </is>
      </c>
      <c r="C7" s="33" t="n">
        <v>10.99</v>
      </c>
      <c r="D7" s="33" t="n">
        <v>11.99</v>
      </c>
      <c r="E7" s="51">
        <f>(D7-C7)*12</f>
        <v/>
      </c>
    </row>
    <row r="8">
      <c r="B8" s="22" t="inlineStr">
        <is>
          <t>YouTube Premium</t>
        </is>
      </c>
      <c r="C8" s="34" t="n">
        <v>11.99</v>
      </c>
      <c r="D8" s="34" t="n">
        <v>13.99</v>
      </c>
      <c r="E8" s="52">
        <f>(D8-C8)*12</f>
        <v/>
      </c>
    </row>
    <row r="9">
      <c r="B9" s="19" t="inlineStr">
        <is>
          <t>NYT</t>
        </is>
      </c>
      <c r="C9" s="33" t="n">
        <v>15</v>
      </c>
      <c r="D9" s="33" t="n">
        <v>17</v>
      </c>
      <c r="E9" s="51">
        <f>(D9-C9)*12</f>
        <v/>
      </c>
    </row>
    <row r="10">
      <c r="B10" s="9" t="inlineStr">
        <is>
          <t>HIKES ADD / YEAR</t>
        </is>
      </c>
      <c r="C10" s="35" t="n"/>
      <c r="D10" s="35" t="n"/>
      <c r="E10" s="53">
        <f>SUM(E5:E9)</f>
        <v/>
      </c>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9"/>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6" customWidth="1" min="3" max="3"/>
    <col width="14" customWidth="1" min="4" max="4"/>
    <col width="2" customWidth="1" min="5" max="5"/>
  </cols>
  <sheetData>
    <row r="1" ht="46" customHeight="1">
      <c r="A1" s="1" t="inlineStr">
        <is>
          <t xml:space="preserve">  🌿  SAVINGS LOG</t>
        </is>
      </c>
    </row>
    <row r="2" ht="22" customHeight="1">
      <c r="A2" s="2" t="inlineStr">
        <is>
          <t xml:space="preserve">  What you've already cut and when — proof the audit pays off, month after month.</t>
        </is>
      </c>
    </row>
    <row r="3" ht="6" customHeight="1">
      <c r="A3" s="3" t="n"/>
      <c r="B3" s="3" t="n"/>
      <c r="C3" s="3" t="n"/>
      <c r="D3" s="3" t="n"/>
    </row>
    <row r="4" ht="30" customHeight="1">
      <c r="B4" s="9" t="inlineStr">
        <is>
          <t>Cut item</t>
        </is>
      </c>
      <c r="C4" s="9" t="inlineStr">
        <is>
          <t>Monthly Saved</t>
        </is>
      </c>
      <c r="D4" s="9" t="inlineStr">
        <is>
          <t>Date</t>
        </is>
      </c>
    </row>
    <row r="5">
      <c r="B5" s="47" t="inlineStr">
        <is>
          <t>Cable TV</t>
        </is>
      </c>
      <c r="C5" s="48" t="n">
        <v>89</v>
      </c>
      <c r="D5" s="47" t="inlineStr">
        <is>
          <t>Jan 2</t>
        </is>
      </c>
    </row>
    <row r="6">
      <c r="B6" s="22" t="inlineStr">
        <is>
          <t>Duplicate cloud</t>
        </is>
      </c>
      <c r="C6" s="46" t="n">
        <v>10</v>
      </c>
      <c r="D6" s="22" t="inlineStr">
        <is>
          <t>Feb 8</t>
        </is>
      </c>
    </row>
    <row r="7">
      <c r="B7" s="47" t="inlineStr">
        <is>
          <t>Unused magazine</t>
        </is>
      </c>
      <c r="C7" s="48" t="n">
        <v>8</v>
      </c>
      <c r="D7" s="47" t="inlineStr">
        <is>
          <t>Mar 3</t>
        </is>
      </c>
    </row>
    <row r="8">
      <c r="B8" s="22" t="inlineStr">
        <is>
          <t>Old gym</t>
        </is>
      </c>
      <c r="C8" s="46" t="n">
        <v>25</v>
      </c>
      <c r="D8" s="22" t="inlineStr">
        <is>
          <t>Apr 1</t>
        </is>
      </c>
    </row>
    <row r="9">
      <c r="B9" s="47" t="n"/>
      <c r="C9" s="48" t="n"/>
      <c r="D9" s="47" t="n"/>
    </row>
    <row r="10">
      <c r="B10" s="22" t="n"/>
      <c r="C10" s="46" t="n"/>
      <c r="D10" s="22" t="n"/>
    </row>
    <row r="11">
      <c r="B11" s="47" t="n"/>
      <c r="C11" s="48" t="n"/>
      <c r="D11" s="47" t="n"/>
    </row>
    <row r="12">
      <c r="B12" s="22" t="n"/>
      <c r="C12" s="46" t="n"/>
      <c r="D12" s="22" t="n"/>
    </row>
    <row r="13">
      <c r="B13" s="47" t="n"/>
      <c r="C13" s="48" t="n"/>
      <c r="D13" s="47" t="n"/>
    </row>
    <row r="14">
      <c r="B14" s="22" t="n"/>
      <c r="C14" s="46" t="n"/>
      <c r="D14" s="22" t="n"/>
    </row>
    <row r="15">
      <c r="B15" s="47" t="n"/>
      <c r="C15" s="48" t="n"/>
      <c r="D15" s="47" t="n"/>
    </row>
    <row r="16">
      <c r="B16" s="22" t="n"/>
      <c r="C16" s="46" t="n"/>
      <c r="D16" s="22" t="n"/>
    </row>
    <row r="17">
      <c r="B17" s="47" t="n"/>
      <c r="C17" s="48" t="n"/>
      <c r="D17" s="47" t="n"/>
    </row>
    <row r="18">
      <c r="B18" s="22" t="n"/>
      <c r="C18" s="46" t="n"/>
      <c r="D18" s="22" t="n"/>
    </row>
    <row r="19">
      <c r="B19" s="47" t="n"/>
      <c r="C19" s="48" t="n"/>
      <c r="D19" s="47" t="n"/>
    </row>
    <row r="20">
      <c r="B20" s="22" t="n"/>
      <c r="C20" s="46" t="n"/>
      <c r="D20" s="22" t="n"/>
    </row>
    <row r="21">
      <c r="B21" s="47" t="n"/>
      <c r="C21" s="48" t="n"/>
      <c r="D21" s="47" t="n"/>
    </row>
    <row r="22">
      <c r="B22" s="22" t="n"/>
      <c r="C22" s="46" t="n"/>
      <c r="D22" s="22" t="n"/>
    </row>
    <row r="23">
      <c r="B23" s="47" t="n"/>
      <c r="C23" s="48" t="n"/>
      <c r="D23" s="47" t="n"/>
    </row>
    <row r="24">
      <c r="B24" s="22" t="n"/>
      <c r="C24" s="46" t="n"/>
      <c r="D24" s="22" t="n"/>
    </row>
    <row r="25">
      <c r="B25" s="47" t="n"/>
      <c r="C25" s="48" t="n"/>
      <c r="D25" s="47" t="n"/>
    </row>
    <row r="26">
      <c r="B26" s="22" t="n"/>
      <c r="C26" s="46" t="n"/>
      <c r="D26" s="22" t="n"/>
    </row>
    <row r="27">
      <c r="B27" s="47" t="n"/>
      <c r="C27" s="48" t="n"/>
      <c r="D27" s="47" t="n"/>
    </row>
    <row r="28">
      <c r="B28" s="22" t="n"/>
      <c r="C28" s="46" t="n"/>
      <c r="D28" s="22" t="n"/>
    </row>
    <row r="29">
      <c r="B29" s="9" t="inlineStr">
        <is>
          <t>ALREADY CUT (mo)</t>
        </is>
      </c>
      <c r="C29" s="39">
        <f>SUM(CutSaved)</f>
        <v/>
      </c>
      <c r="D29" s="35" t="n"/>
    </row>
  </sheetData>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7"/>
  <sheetViews>
    <sheetView showGridLines="0" workbookViewId="0">
      <pane ySplit="4" topLeftCell="A5" activePane="bottomLeft" state="frozen"/>
      <selection pane="bottomLeft" activeCell="A1" sqref="A1"/>
    </sheetView>
  </sheetViews>
  <sheetFormatPr baseColWidth="8" defaultRowHeight="15"/>
  <cols>
    <col width="2" customWidth="1" min="1" max="1"/>
    <col width="20" customWidth="1" min="2" max="2"/>
    <col width="18" customWidth="1" min="3" max="3"/>
    <col width="14" customWidth="1" min="4" max="4"/>
    <col width="14" customWidth="1" min="5" max="5"/>
    <col width="14" customWidth="1" min="6" max="6"/>
    <col width="2" customWidth="1" min="7" max="7"/>
  </cols>
  <sheetData>
    <row r="1" ht="46" customHeight="1">
      <c r="A1" s="1" t="inlineStr">
        <is>
          <t xml:space="preserve">  📞  NEGOTIATION LIST</t>
        </is>
      </c>
    </row>
    <row r="2" ht="22" customHeight="1">
      <c r="A2" s="2" t="inlineStr">
        <is>
          <t xml:space="preserve">  The bills worth a phone call — current vs target, and whether you've called. Ten minutes can save $20 a month.</t>
        </is>
      </c>
    </row>
    <row r="3" ht="6" customHeight="1">
      <c r="A3" s="3" t="n"/>
      <c r="B3" s="3" t="n"/>
      <c r="C3" s="3" t="n"/>
      <c r="D3" s="3" t="n"/>
      <c r="E3" s="3" t="n"/>
      <c r="F3" s="3" t="n"/>
    </row>
    <row r="4" ht="30" customHeight="1">
      <c r="B4" s="9" t="inlineStr">
        <is>
          <t>Bill</t>
        </is>
      </c>
      <c r="C4" s="9" t="inlineStr">
        <is>
          <t>Provider</t>
        </is>
      </c>
      <c r="D4" s="9" t="inlineStr">
        <is>
          <t>Current</t>
        </is>
      </c>
      <c r="E4" s="9" t="inlineStr">
        <is>
          <t>Target</t>
        </is>
      </c>
      <c r="F4" s="9" t="inlineStr">
        <is>
          <t>Called?</t>
        </is>
      </c>
    </row>
    <row r="5">
      <c r="B5" s="47" t="inlineStr">
        <is>
          <t>Internet</t>
        </is>
      </c>
      <c r="C5" s="47" t="inlineStr">
        <is>
          <t>Xfinity</t>
        </is>
      </c>
      <c r="D5" s="48" t="n">
        <v>70</v>
      </c>
      <c r="E5" s="48" t="n">
        <v>50</v>
      </c>
      <c r="F5" s="54" t="inlineStr">
        <is>
          <t>No</t>
        </is>
      </c>
    </row>
    <row r="6">
      <c r="B6" s="22" t="inlineStr">
        <is>
          <t>Phone</t>
        </is>
      </c>
      <c r="C6" s="22" t="inlineStr">
        <is>
          <t>Verizon</t>
        </is>
      </c>
      <c r="D6" s="46" t="n">
        <v>85</v>
      </c>
      <c r="E6" s="46" t="n">
        <v>65</v>
      </c>
      <c r="F6" s="24" t="inlineStr">
        <is>
          <t>No</t>
        </is>
      </c>
    </row>
    <row r="7">
      <c r="B7" s="47" t="inlineStr">
        <is>
          <t>Car insurance</t>
        </is>
      </c>
      <c r="C7" s="47" t="inlineStr">
        <is>
          <t>Geico</t>
        </is>
      </c>
      <c r="D7" s="48" t="n">
        <v>130</v>
      </c>
      <c r="E7" s="48" t="n">
        <v>110</v>
      </c>
      <c r="F7" s="54" t="inlineStr">
        <is>
          <t>Yes</t>
        </is>
      </c>
    </row>
    <row r="8">
      <c r="B8" s="22" t="inlineStr">
        <is>
          <t>Electric</t>
        </is>
      </c>
      <c r="C8" s="22" t="inlineStr">
        <is>
          <t>Utility</t>
        </is>
      </c>
      <c r="D8" s="46" t="n">
        <v>120</v>
      </c>
      <c r="E8" s="46" t="n">
        <v>105</v>
      </c>
      <c r="F8" s="24" t="inlineStr">
        <is>
          <t>No</t>
        </is>
      </c>
    </row>
    <row r="9">
      <c r="B9" s="47" t="n"/>
      <c r="C9" s="47" t="n"/>
      <c r="D9" s="48" t="n"/>
      <c r="E9" s="48" t="n"/>
      <c r="F9" s="54" t="n"/>
    </row>
    <row r="10">
      <c r="B10" s="22" t="n"/>
      <c r="C10" s="22" t="n"/>
      <c r="D10" s="46" t="n"/>
      <c r="E10" s="46" t="n"/>
      <c r="F10" s="24" t="n"/>
    </row>
    <row r="11">
      <c r="B11" s="47" t="n"/>
      <c r="C11" s="47" t="n"/>
      <c r="D11" s="48" t="n"/>
      <c r="E11" s="48" t="n"/>
      <c r="F11" s="54" t="n"/>
    </row>
    <row r="12">
      <c r="B12" s="22" t="n"/>
      <c r="C12" s="22" t="n"/>
      <c r="D12" s="46" t="n"/>
      <c r="E12" s="46" t="n"/>
      <c r="F12" s="24" t="n"/>
    </row>
    <row r="13">
      <c r="B13" s="47" t="n"/>
      <c r="C13" s="47" t="n"/>
      <c r="D13" s="48" t="n"/>
      <c r="E13" s="48" t="n"/>
      <c r="F13" s="54" t="n"/>
    </row>
    <row r="14">
      <c r="B14" s="22" t="n"/>
      <c r="C14" s="22" t="n"/>
      <c r="D14" s="46" t="n"/>
      <c r="E14" s="46" t="n"/>
      <c r="F14" s="24" t="n"/>
    </row>
    <row r="15">
      <c r="B15" s="47" t="n"/>
      <c r="C15" s="47" t="n"/>
      <c r="D15" s="48" t="n"/>
      <c r="E15" s="48" t="n"/>
      <c r="F15" s="54" t="n"/>
    </row>
    <row r="16">
      <c r="B16" s="22" t="n"/>
      <c r="C16" s="22" t="n"/>
      <c r="D16" s="46" t="n"/>
      <c r="E16" s="46" t="n"/>
      <c r="F16" s="24" t="n"/>
    </row>
    <row r="17">
      <c r="B17" s="47" t="n"/>
      <c r="C17" s="47" t="n"/>
      <c r="D17" s="48" t="n"/>
      <c r="E17" s="48" t="n"/>
      <c r="F17" s="54" t="n"/>
    </row>
    <row r="18">
      <c r="B18" s="22" t="n"/>
      <c r="C18" s="22" t="n"/>
      <c r="D18" s="46" t="n"/>
      <c r="E18" s="46" t="n"/>
      <c r="F18" s="24" t="n"/>
    </row>
    <row r="19">
      <c r="B19" s="47" t="n"/>
      <c r="C19" s="47" t="n"/>
      <c r="D19" s="48" t="n"/>
      <c r="E19" s="48" t="n"/>
      <c r="F19" s="54" t="n"/>
    </row>
    <row r="20">
      <c r="B20" s="22" t="n"/>
      <c r="C20" s="22" t="n"/>
      <c r="D20" s="46" t="n"/>
      <c r="E20" s="46" t="n"/>
      <c r="F20" s="24" t="n"/>
    </row>
    <row r="21">
      <c r="B21" s="47" t="n"/>
      <c r="C21" s="47" t="n"/>
      <c r="D21" s="48" t="n"/>
      <c r="E21" s="48" t="n"/>
      <c r="F21" s="54" t="n"/>
    </row>
    <row r="22">
      <c r="B22" s="22" t="n"/>
      <c r="C22" s="22" t="n"/>
      <c r="D22" s="46" t="n"/>
      <c r="E22" s="46" t="n"/>
      <c r="F22" s="24" t="n"/>
    </row>
    <row r="23">
      <c r="B23" s="47" t="n"/>
      <c r="C23" s="47" t="n"/>
      <c r="D23" s="48" t="n"/>
      <c r="E23" s="48" t="n"/>
      <c r="F23" s="54" t="n"/>
    </row>
    <row r="24">
      <c r="B24" s="22" t="n"/>
      <c r="C24" s="22" t="n"/>
      <c r="D24" s="46" t="n"/>
      <c r="E24" s="46" t="n"/>
      <c r="F24" s="24" t="n"/>
    </row>
    <row r="25">
      <c r="B25" s="47" t="n"/>
      <c r="C25" s="47" t="n"/>
      <c r="D25" s="48" t="n"/>
      <c r="E25" s="48" t="n"/>
      <c r="F25" s="54" t="n"/>
    </row>
    <row r="26">
      <c r="B26" s="22" t="n"/>
      <c r="C26" s="22" t="n"/>
      <c r="D26" s="46" t="n"/>
      <c r="E26" s="46" t="n"/>
      <c r="F26" s="24" t="n"/>
    </row>
    <row r="27">
      <c r="B27" s="9" t="inlineStr">
        <is>
          <t>POTENTIAL / MONTH</t>
        </is>
      </c>
      <c r="C27" s="35" t="n"/>
      <c r="D27" s="39">
        <f>SUM(NegCurrent)-SUM(NegTarget)</f>
        <v/>
      </c>
      <c r="E27" s="35" t="n"/>
      <c r="F27" s="35" t="n"/>
    </row>
  </sheetData>
  <mergeCells count="2">
    <mergeCell ref="A2:F2"/>
    <mergeCell ref="A1:F1"/>
  </mergeCells>
  <dataValidations count="1">
    <dataValidation sqref="F5:F26" showDropDown="0" showInputMessage="0" showErrorMessage="0" allowBlank="1" type="list">
      <formula1>=YesNoList</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2" customWidth="1" min="1" max="1"/>
    <col width="30" customWidth="1" min="2" max="2"/>
    <col width="16" customWidth="1" min="3" max="3"/>
    <col width="2" customWidth="1" min="4" max="4"/>
  </cols>
  <sheetData>
    <row r="1" ht="46" customHeight="1">
      <c r="A1" s="1" t="inlineStr">
        <is>
          <t xml:space="preserve">  📉  MONTHLY SUMMARY</t>
        </is>
      </c>
    </row>
    <row r="2" ht="22" customHeight="1">
      <c r="A2" s="2" t="inlineStr">
        <is>
          <t xml:space="preserve">  Your recurring spend, month by month — the line that should go DOWN as you cut.</t>
        </is>
      </c>
    </row>
    <row r="3" ht="6" customHeight="1">
      <c r="A3" s="3" t="n"/>
      <c r="B3" s="3" t="n"/>
      <c r="C3" s="3" t="n"/>
    </row>
    <row r="5">
      <c r="B5" s="4" t="inlineStr">
        <is>
          <t>THE TREND</t>
        </is>
      </c>
    </row>
    <row r="6" ht="30" customHeight="1">
      <c r="B6" s="9" t="inlineStr">
        <is>
          <t>Month</t>
        </is>
      </c>
      <c r="C6" s="9" t="inlineStr">
        <is>
          <t>Recurring</t>
        </is>
      </c>
    </row>
    <row r="7">
      <c r="B7" s="19" t="inlineStr">
        <is>
          <t>Feb</t>
        </is>
      </c>
      <c r="C7" s="37" t="n">
        <v>322</v>
      </c>
    </row>
    <row r="8">
      <c r="B8" s="22" t="inlineStr">
        <is>
          <t>Mar</t>
        </is>
      </c>
      <c r="C8" s="38" t="n">
        <v>315</v>
      </c>
    </row>
    <row r="9">
      <c r="B9" s="19" t="inlineStr">
        <is>
          <t>Apr</t>
        </is>
      </c>
      <c r="C9" s="37" t="n">
        <v>300</v>
      </c>
    </row>
    <row r="10">
      <c r="B10" s="22" t="inlineStr">
        <is>
          <t>May</t>
        </is>
      </c>
      <c r="C10" s="38" t="n">
        <v>280</v>
      </c>
    </row>
    <row r="11">
      <c r="B11" s="19" t="inlineStr">
        <is>
          <t>Jun</t>
        </is>
      </c>
      <c r="C11" s="37" t="n">
        <v>250</v>
      </c>
    </row>
    <row r="12">
      <c r="B12" s="22" t="inlineStr">
        <is>
          <t>Jul</t>
        </is>
      </c>
      <c r="C12" s="38" t="n">
        <v>217</v>
      </c>
    </row>
  </sheetData>
  <mergeCells count="2">
    <mergeCell ref="A1:C1"/>
    <mergeCell ref="A2:C2"/>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J16"/>
  <sheetViews>
    <sheetView showGridLines="0" workbookViewId="0">
      <selection activeCell="A1" sqref="A1"/>
    </sheetView>
  </sheetViews>
  <sheetFormatPr baseColWidth="8" defaultRowHeight="15"/>
  <cols>
    <col width="2" customWidth="1" min="1" max="1"/>
    <col width="30" customWidth="1" min="2" max="2"/>
    <col width="20" customWidth="1" min="3" max="3"/>
    <col width="3" customWidth="1" min="4" max="4"/>
    <col width="16" customWidth="1" min="5" max="5"/>
    <col width="16" customWidth="1" min="6" max="6"/>
    <col width="16" customWidth="1" min="7" max="7"/>
    <col width="16" customWidth="1" min="8" max="8"/>
    <col width="16" customWidth="1" min="9" max="9"/>
    <col width="16" customWidth="1" min="10" max="10"/>
  </cols>
  <sheetData>
    <row r="1" ht="46" customHeight="1">
      <c r="A1" s="1" t="inlineStr">
        <is>
          <t xml:space="preserve">  ⚙  SETTINGS</t>
        </is>
      </c>
    </row>
    <row r="2" ht="22" customHeight="1">
      <c r="A2" s="2" t="inlineStr">
        <is>
          <t xml:space="preserve">  Set your goals &amp; lists once — every tab follows.</t>
        </is>
      </c>
    </row>
    <row r="3" ht="6" customHeight="1">
      <c r="A3" s="3" t="n"/>
      <c r="B3" s="3" t="n"/>
      <c r="C3" s="3" t="n"/>
      <c r="D3" s="3" t="n"/>
      <c r="E3" s="3" t="n"/>
      <c r="F3" s="3" t="n"/>
      <c r="G3" s="3" t="n"/>
      <c r="H3" s="3" t="n"/>
      <c r="I3" s="3" t="n"/>
      <c r="J3" s="3" t="n"/>
    </row>
    <row r="5">
      <c r="B5" s="7" t="inlineStr">
        <is>
          <t>YOUR GOALS</t>
        </is>
      </c>
      <c r="E5" s="4" t="inlineStr">
        <is>
          <t>DROPDOWN LISTS</t>
        </is>
      </c>
    </row>
    <row r="6">
      <c r="B6" s="25" t="inlineStr">
        <is>
          <t>Your name</t>
        </is>
      </c>
      <c r="C6" s="49" t="inlineStr">
        <is>
          <t>Devon</t>
        </is>
      </c>
      <c r="E6" s="9" t="inlineStr">
        <is>
          <t>Category</t>
        </is>
      </c>
      <c r="F6" s="9" t="inlineStr">
        <is>
          <t>Billing</t>
        </is>
      </c>
      <c r="G6" s="9" t="inlineStr">
        <is>
          <t>Action</t>
        </is>
      </c>
      <c r="H6" s="9" t="inlineStr">
        <is>
          <t>Yes / No</t>
        </is>
      </c>
    </row>
    <row r="7">
      <c r="B7" s="25" t="inlineStr">
        <is>
          <t>Audit name</t>
        </is>
      </c>
      <c r="C7" s="49" t="inlineStr">
        <is>
          <t>Clearing House</t>
        </is>
      </c>
      <c r="E7" s="19" t="inlineStr">
        <is>
          <t>Streaming</t>
        </is>
      </c>
      <c r="F7" s="19" t="inlineStr">
        <is>
          <t>Monthly</t>
        </is>
      </c>
      <c r="G7" s="19" t="inlineStr">
        <is>
          <t>Keep</t>
        </is>
      </c>
      <c r="H7" s="19" t="inlineStr">
        <is>
          <t>Yes</t>
        </is>
      </c>
    </row>
    <row r="8">
      <c r="B8" s="25" t="inlineStr">
        <is>
          <t>Monthly subscription budget</t>
        </is>
      </c>
      <c r="C8" s="37" t="n">
        <v>250</v>
      </c>
      <c r="E8" s="19" t="inlineStr">
        <is>
          <t>Music</t>
        </is>
      </c>
      <c r="F8" s="19" t="inlineStr">
        <is>
          <t>Yearly</t>
        </is>
      </c>
      <c r="G8" s="19" t="inlineStr">
        <is>
          <t>Cancel</t>
        </is>
      </c>
      <c r="H8" s="19" t="inlineStr">
        <is>
          <t>No</t>
        </is>
      </c>
    </row>
    <row r="9">
      <c r="B9" s="25" t="inlineStr">
        <is>
          <t>Monthly-savings goal</t>
        </is>
      </c>
      <c r="C9" s="37" t="n">
        <v>40</v>
      </c>
      <c r="E9" s="19" t="inlineStr">
        <is>
          <t>Software</t>
        </is>
      </c>
      <c r="F9" s="19" t="inlineStr">
        <is>
          <t>Quarterly</t>
        </is>
      </c>
      <c r="G9" s="19" t="inlineStr">
        <is>
          <t>Review</t>
        </is>
      </c>
    </row>
    <row r="10">
      <c r="B10" s="25" t="inlineStr">
        <is>
          <t>Annual-billing goal (count)</t>
        </is>
      </c>
      <c r="C10" s="55" t="n">
        <v>5</v>
      </c>
      <c r="E10" s="19" t="inlineStr">
        <is>
          <t>Cloud</t>
        </is>
      </c>
    </row>
    <row r="11">
      <c r="E11" s="19" t="inlineStr">
        <is>
          <t>Fitness</t>
        </is>
      </c>
    </row>
    <row r="12">
      <c r="E12" s="19" t="inlineStr">
        <is>
          <t>News</t>
        </is>
      </c>
    </row>
    <row r="13">
      <c r="E13" s="19" t="inlineStr">
        <is>
          <t>Shopping</t>
        </is>
      </c>
    </row>
    <row r="14">
      <c r="E14" s="19" t="inlineStr">
        <is>
          <t>Food</t>
        </is>
      </c>
    </row>
    <row r="15">
      <c r="E15" s="19" t="inlineStr">
        <is>
          <t>Books</t>
        </is>
      </c>
    </row>
    <row r="16">
      <c r="E16" s="19" t="inlineStr">
        <is>
          <t>Other</t>
        </is>
      </c>
    </row>
  </sheetData>
  <mergeCells count="4">
    <mergeCell ref="A1:J1"/>
    <mergeCell ref="B5:C5"/>
    <mergeCell ref="E5:J5"/>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2026-07-24T05:45:40Z</dcterms:created>
  <dcterms:modified xsi:type="dcterms:W3CDTF">2026-07-24T05:45:40Z</dcterms:modified>
</cp:coreProperties>
</file>