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Recipe Costing" sheetId="3" state="visible" r:id="rId3"/>
    <sheet name="Product List" sheetId="4" state="visible" r:id="rId4"/>
    <sheet name="Pre-Orders" sheetId="5" state="visible" r:id="rId5"/>
    <sheet name="Wholesale" sheetId="6" state="visible" r:id="rId6"/>
    <sheet name="Production Plan" sheetId="7" state="visible" r:id="rId7"/>
    <sheet name="Inventory &amp; Par" sheetId="8" state="visible" r:id="rId8"/>
    <sheet name="Waste Log" sheetId="9" state="visible" r:id="rId9"/>
    <sheet name="Sales Log" sheetId="10" state="visible" r:id="rId10"/>
    <sheet name="Ordering" sheetId="11" state="visible" r:id="rId11"/>
    <sheet name="Cash &amp; Deposits" sheetId="12" state="visible" r:id="rId12"/>
    <sheet name="Market Days" sheetId="13" state="visible" r:id="rId13"/>
    <sheet name="Settings" sheetId="14" state="visible" r:id="rId14"/>
  </sheets>
  <definedNames>
    <definedName name="Bakery">Settings!$C$6</definedName>
    <definedName name="Owner">Settings!$C$7</definedName>
    <definedName name="TargetFC">Settings!$C$8</definedName>
    <definedName name="MarginGoal">Settings!$C$9</definedName>
    <definedName name="PreOrderGoal">Settings!$C$10</definedName>
    <definedName name="Currency">Settings!$C$11</definedName>
    <definedName name="UnitList">Settings!$E$7:$E$13</definedName>
    <definedName name="CatList">Settings!$F$7:$F$13</definedName>
    <definedName name="StatusList">Settings!$G$7:$G$10</definedName>
    <definedName name="YesNoList">Settings!$H$7:$H$8</definedName>
    <definedName name="SourdoughBatch">'Recipe Costing'!$F$14</definedName>
    <definedName name="ProdItem">'Product List'!$B$5:$B$12</definedName>
    <definedName name="ProdUnitCost">'Product List'!$E$5:$E$12</definedName>
    <definedName name="ProdRetail">'Product List'!$F$5:$F$12</definedName>
    <definedName name="ProdMargin">'Product List'!$H$5:$H$12</definedName>
    <definedName name="ProdWkUnits">'Product List'!$J$5:$J$12</definedName>
    <definedName name="ProdRev">'Product List'!$K$5:$K$12</definedName>
    <definedName name="RetailRev">'Product List'!$F$14</definedName>
    <definedName name="FoodCostPct">'Product List'!$F$15</definedName>
    <definedName name="PreOrderName">'Pre-Orders'!$B$5:$B$10</definedName>
    <definedName name="PreOrderPrice">'Pre-Orders'!$E$5:$E$10</definedName>
    <definedName name="PreOrderStatus">'Pre-Orders'!$G$5:$G$10</definedName>
    <definedName name="PreOrderValue">'Pre-Orders'!$E$11</definedName>
    <definedName name="WholeRev">'Wholesale'!$F$13</definedName>
    <definedName name="WasteCost">'Waste Log'!$D$5:$D$28</definedName>
    <definedName name="WasteTotal">'Waste Log'!$D$29</definedName>
    <definedName name="OrderCost">'Ordering'!$E$5:$E$28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0.###"/>
    <numFmt numFmtId="166" formatCode="&quot;$&quot;#,##0.0000"/>
    <numFmt numFmtId="167" formatCode="&quot;$&quot;#,##0.00"/>
    <numFmt numFmtId="168" formatCode="yyyy-mm-dd"/>
    <numFmt numFmtId="169" formatCode="mm/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1B4F48"/>
    </font>
    <font>
      <i val="1"/>
      <color rgb="00937356"/>
    </font>
    <font>
      <b val="1"/>
      <color rgb="001B4F48"/>
      <sz val="13"/>
    </font>
    <font>
      <b val="1"/>
      <color rgb="00C94C4C"/>
    </font>
    <font>
      <b val="1"/>
      <color rgb="00937356"/>
      <sz val="9"/>
    </font>
    <font>
      <b val="1"/>
      <color rgb="001B4F48"/>
      <sz val="18"/>
    </font>
    <font>
      <b val="1"/>
      <color rgb="001B4F48"/>
      <sz val="12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66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4" fillId="9" borderId="3" applyAlignment="1" pivotButton="0" quotePrefix="0" xfId="0">
      <alignment horizontal="center" vertical="center"/>
    </xf>
    <xf numFmtId="0" fontId="0" fillId="9" borderId="3" pivotButton="0" quotePrefix="0" xfId="0"/>
    <xf numFmtId="3" fontId="15" fillId="9" borderId="2" applyAlignment="1" pivotButton="0" quotePrefix="0" xfId="0">
      <alignment horizontal="center" vertical="center"/>
    </xf>
    <xf numFmtId="0" fontId="0" fillId="9" borderId="2" pivotButton="0" quotePrefix="0" xfId="0"/>
    <xf numFmtId="167" fontId="15" fillId="9" borderId="2" applyAlignment="1" pivotButton="0" quotePrefix="0" xfId="0">
      <alignment horizontal="center" vertical="center"/>
    </xf>
    <xf numFmtId="9" fontId="15" fillId="9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164" fontId="15" fillId="9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165" fontId="7" fillId="3" borderId="2" applyAlignment="1" pivotButton="0" quotePrefix="0" xfId="8">
      <alignment horizontal="center" vertical="center"/>
    </xf>
    <xf numFmtId="166" fontId="7" fillId="3" borderId="2" applyAlignment="1" pivotButton="0" quotePrefix="0" xfId="8">
      <alignment horizontal="center" vertical="center"/>
    </xf>
    <xf numFmtId="167" fontId="6" fillId="0" borderId="2" applyAlignment="1" pivotButton="0" quotePrefix="0" xfId="6">
      <alignment horizontal="center" vertical="center" wrapText="1"/>
    </xf>
    <xf numFmtId="165" fontId="7" fillId="8" borderId="2" applyAlignment="1" pivotButton="0" quotePrefix="0" xfId="8">
      <alignment horizontal="center" vertical="center"/>
    </xf>
    <xf numFmtId="166" fontId="7" fillId="8" borderId="2" applyAlignment="1" pivotButton="0" quotePrefix="0" xfId="8">
      <alignment horizontal="center" vertical="center"/>
    </xf>
    <xf numFmtId="167" fontId="6" fillId="8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167" fontId="10" fillId="3" borderId="2" applyAlignment="1" pivotButton="0" quotePrefix="0" xfId="6">
      <alignment horizontal="center" vertical="center" wrapText="1"/>
    </xf>
    <xf numFmtId="167" fontId="12" fillId="6" borderId="2" applyAlignment="1" pivotButton="0" quotePrefix="0" xfId="10">
      <alignment horizontal="left" vertical="center" indent="1"/>
    </xf>
    <xf numFmtId="167" fontId="7" fillId="3" borderId="2" applyAlignment="1" pivotButton="0" quotePrefix="0" xfId="8">
      <alignment horizontal="center" vertical="center"/>
    </xf>
    <xf numFmtId="3" fontId="7" fillId="3" borderId="2" applyAlignment="1" pivotButton="0" quotePrefix="0" xfId="8">
      <alignment horizontal="center" vertical="center"/>
    </xf>
    <xf numFmtId="3" fontId="6" fillId="0" borderId="2" applyAlignment="1" pivotButton="0" quotePrefix="0" xfId="6">
      <alignment horizontal="center" vertical="center" wrapText="1"/>
    </xf>
    <xf numFmtId="164" fontId="6" fillId="0" borderId="2" applyAlignment="1" pivotButton="0" quotePrefix="0" xfId="6">
      <alignment horizontal="center" vertical="center" wrapText="1"/>
    </xf>
    <xf numFmtId="167" fontId="7" fillId="8" borderId="2" applyAlignment="1" pivotButton="0" quotePrefix="0" xfId="8">
      <alignment horizontal="center" vertical="center"/>
    </xf>
    <xf numFmtId="3" fontId="7" fillId="8" borderId="2" applyAlignment="1" pivotButton="0" quotePrefix="0" xfId="8">
      <alignment horizontal="center" vertical="center"/>
    </xf>
    <xf numFmtId="0" fontId="8" fillId="4" borderId="2" applyAlignment="1" pivotButton="0" quotePrefix="0" xfId="9">
      <alignment horizontal="left" vertical="center" indent="1"/>
    </xf>
    <xf numFmtId="164" fontId="7" fillId="6" borderId="2" applyAlignment="1" pivotButton="0" quotePrefix="0" xfId="10">
      <alignment horizontal="left" vertical="center" indent="1"/>
    </xf>
    <xf numFmtId="9" fontId="7" fillId="6" borderId="2" applyAlignment="1" pivotButton="0" quotePrefix="0" xfId="10">
      <alignment horizontal="left" vertical="center" indent="1"/>
    </xf>
    <xf numFmtId="169" fontId="7" fillId="3" borderId="2" applyAlignment="1" pivotButton="0" quotePrefix="0" xfId="8">
      <alignment horizontal="center" vertical="center"/>
    </xf>
    <xf numFmtId="164" fontId="7" fillId="3" borderId="2" applyAlignment="1" pivotButton="0" quotePrefix="0" xfId="8">
      <alignment horizontal="center" vertical="center"/>
    </xf>
    <xf numFmtId="169" fontId="7" fillId="8" borderId="2" applyAlignment="1" pivotButton="0" quotePrefix="0" xfId="8">
      <alignment horizontal="center" vertical="center"/>
    </xf>
    <xf numFmtId="164" fontId="7" fillId="8" borderId="2" applyAlignment="1" pivotButton="0" quotePrefix="0" xfId="8">
      <alignment horizontal="center" vertical="center"/>
    </xf>
    <xf numFmtId="164" fontId="10" fillId="3" borderId="2" applyAlignment="1" pivotButton="0" quotePrefix="0" xfId="6">
      <alignment horizontal="center" vertical="center" wrapText="1"/>
    </xf>
    <xf numFmtId="164" fontId="10" fillId="0" borderId="2" applyAlignment="1" pivotButton="0" quotePrefix="0" xfId="6">
      <alignment horizontal="center" vertical="center" wrapText="1"/>
    </xf>
    <xf numFmtId="164" fontId="10" fillId="8" borderId="2" applyAlignment="1" pivotButton="0" quotePrefix="0" xfId="6">
      <alignment horizontal="center" vertical="center" wrapText="1"/>
    </xf>
    <xf numFmtId="0" fontId="10" fillId="0" borderId="2" applyAlignment="1" pivotButton="0" quotePrefix="0" xfId="7">
      <alignment horizontal="left" vertical="center" wrapText="1" indent="1"/>
    </xf>
    <xf numFmtId="0" fontId="10" fillId="8" borderId="2" applyAlignment="1" pivotButton="0" quotePrefix="0" xfId="7">
      <alignment horizontal="left" vertical="center" wrapText="1" indent="1"/>
    </xf>
    <xf numFmtId="3" fontId="10" fillId="0" borderId="2" applyAlignment="1" pivotButton="0" quotePrefix="0" xfId="6">
      <alignment horizontal="center" vertical="center" wrapText="1"/>
    </xf>
    <xf numFmtId="3" fontId="10" fillId="8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167" fontId="6" fillId="9" borderId="2" applyAlignment="1" pivotButton="0" quotePrefix="0" xfId="6">
      <alignment horizontal="center" vertical="center" wrapText="1"/>
    </xf>
    <xf numFmtId="167" fontId="13" fillId="3" borderId="2" applyAlignment="1" pivotButton="0" quotePrefix="0" xfId="6">
      <alignment horizontal="center" vertical="center" wrapText="1"/>
    </xf>
    <xf numFmtId="3" fontId="10" fillId="3" borderId="2" applyAlignment="1" pivotButton="0" quotePrefix="0" xfId="6">
      <alignment horizontal="center" vertical="center" wrapText="1"/>
    </xf>
    <xf numFmtId="3" fontId="6" fillId="9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9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dxfs count="4">
    <dxf>
      <fill>
        <patternFill patternType="solid">
          <fgColor rgb="00E3F8EF"/>
        </patternFill>
      </fill>
    </dxf>
    <dxf>
      <fill>
        <patternFill patternType="solid">
          <fgColor rgb="00FBF0E2"/>
        </patternFill>
      </fill>
    </dxf>
    <dxf>
      <fill>
        <patternFill patternType="solid">
          <fgColor rgb="00E5D3BA"/>
        </patternFill>
      </fill>
    </dxf>
    <dxf>
      <fill>
        <patternFill patternType="solid">
          <fgColor rgb="00FB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Day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'Sales Log'!$B$5:$B$11</f>
            </numRef>
          </cat>
          <val>
            <numRef>
              <f>'Sales Log'!$C$5:$C$11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Day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'Sales Log'!$B$5:$B$11</f>
            </numRef>
          </cat>
          <val>
            <numRef>
              <f>'Sales Log'!$C$5:$C$11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432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🥖  BAKERY COMMAND CENTER™</t>
        </is>
      </c>
    </row>
    <row r="2" ht="24" customHeight="1">
      <c r="A2" s="2" t="inlineStr">
        <is>
          <t xml:space="preserve">  Cost every batch, price retail &amp; wholesale, and bake more profit.</t>
        </is>
      </c>
    </row>
    <row r="3" ht="6" customHeight="1">
      <c r="A3" s="3" t="n"/>
      <c r="B3" s="3" t="n"/>
      <c r="C3" s="3" t="n"/>
    </row>
    <row r="5">
      <c r="B5" s="4" t="inlineStr">
        <is>
          <t>YOUR WHOLE BAKERY, IN ONE PLACE</t>
        </is>
      </c>
    </row>
    <row r="6" ht="22" customHeight="1">
      <c r="B6" s="5" t="inlineStr">
        <is>
          <t>Cost each recipe by the batch, then let the sheet divide by yield for a true cost per loaf, cookie or croissant. See each product's food-cost % and both retail and wholesale margin, keep a pre-orders board for custom cakes, manage wholesale accounts, and run a production plan, inventory, waste, sales, ordering, cash and market days — all in ONE premium Google Sheets &amp; Excel system built for bakers.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your bakery name &amp; target food-cost %.</t>
        </is>
      </c>
    </row>
    <row r="13" ht="22" customHeight="1">
      <c r="B13" s="8" t="inlineStr">
        <is>
          <t>2.  Cost a recipe by the batch; the sheet divides by yield for cost per unit.</t>
        </is>
      </c>
    </row>
    <row r="14" ht="22" customHeight="1">
      <c r="B14" s="8" t="inlineStr">
        <is>
          <t>3.  Fill the Product List — retail &amp; wholesale price, margin &amp; food-cost %.</t>
        </is>
      </c>
    </row>
    <row r="15" ht="22" customHeight="1">
      <c r="B15" s="8" t="inlineStr">
        <is>
          <t>4.  Keep the Pre-Orders board &amp; Wholesale Accounts current.</t>
        </is>
      </c>
    </row>
    <row r="16" ht="22" customHeight="1">
      <c r="B16" s="8" t="inlineStr">
        <is>
          <t>5.  Run the Production Plan, Inventory, Waste, Sales, Ordering &amp; Markets.</t>
        </is>
      </c>
    </row>
    <row r="17" ht="22" customHeight="1">
      <c r="B17" s="8" t="inlineStr">
        <is>
          <t>6.  Check the Dashboard: revenue, margins, pre-orders &amp; a Bakery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a fictional bakery (Rise &amp; Crumb) is included so you can see how it all connects — just type over it with your own recipes and prices. Costing by the batch and dividing by yield is the secret to real bakery pricing, and it rolls up into a live Bakery Score. Twelve matching printable pages (recipe cost card, pre-order form, production plan, waste log &amp; more) are included for the kitchen. This is a business tool, not financial or accounting advice — confirm figures with your books.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Cost by the batch, divide by yield — that's how bakeries actually price.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🥖  BAKERY COMMAND CENTER™</t>
        </is>
      </c>
    </row>
    <row r="2" ht="24" customHeight="1">
      <c r="A2" s="2" t="inlineStr">
        <is>
          <t xml:space="preserve">  Revenue, retail &amp; wholesale margins, pre-orders &amp; a Bakery Score — your whole bakery, at a glance.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PRODUCTS</t>
        </is>
      </c>
      <c r="C5" s="13" t="n"/>
      <c r="D5" s="12" t="inlineStr">
        <is>
          <t>AVG UNIT COST</t>
        </is>
      </c>
      <c r="E5" s="13" t="n"/>
      <c r="F5" s="12" t="inlineStr">
        <is>
          <t>AVG RETAIL</t>
        </is>
      </c>
      <c r="G5" s="13" t="n"/>
      <c r="H5" s="12" t="inlineStr">
        <is>
          <t>AVG MARGIN</t>
        </is>
      </c>
      <c r="I5" s="13" t="n"/>
      <c r="J5" s="12" t="inlineStr">
        <is>
          <t>FOOD COST</t>
        </is>
      </c>
      <c r="K5" s="13" t="n"/>
      <c r="L5" s="12" t="inlineStr">
        <is>
          <t>TOP SELLER</t>
        </is>
      </c>
      <c r="M5" s="13" t="n"/>
    </row>
    <row r="6" ht="40" customHeight="1">
      <c r="B6" s="14">
        <f>COUNTA(ProdItem)</f>
        <v/>
      </c>
      <c r="C6" s="15" t="n"/>
      <c r="D6" s="16">
        <f>AVERAGE(ProdUnitCost)</f>
        <v/>
      </c>
      <c r="E6" s="15" t="n"/>
      <c r="F6" s="16">
        <f>AVERAGE(ProdRetail)</f>
        <v/>
      </c>
      <c r="G6" s="15" t="n"/>
      <c r="H6" s="16">
        <f>AVERAGE(ProdMargin)</f>
        <v/>
      </c>
      <c r="I6" s="15" t="n"/>
      <c r="J6" s="17">
        <f>FoodCostPct</f>
        <v/>
      </c>
      <c r="K6" s="15" t="n"/>
      <c r="L6" s="18">
        <f>INDEX(ProdItem,MATCH(MAX(ProdRev),ProdRev,0))</f>
        <v/>
      </c>
      <c r="M6" s="15" t="n"/>
    </row>
    <row r="8" ht="18" customHeight="1">
      <c r="B8" s="12" t="inlineStr">
        <is>
          <t>WEEKLY REVENUE</t>
        </is>
      </c>
      <c r="C8" s="13" t="n"/>
      <c r="D8" s="12" t="inlineStr">
        <is>
          <t>WEEKLY UNITS</t>
        </is>
      </c>
      <c r="E8" s="13" t="n"/>
      <c r="F8" s="12" t="inlineStr">
        <is>
          <t>PRE-ORDERS</t>
        </is>
      </c>
      <c r="G8" s="13" t="n"/>
      <c r="H8" s="12" t="inlineStr">
        <is>
          <t>WHOLESALE REV</t>
        </is>
      </c>
      <c r="I8" s="13" t="n"/>
      <c r="J8" s="12" t="inlineStr">
        <is>
          <t>WASTE %</t>
        </is>
      </c>
      <c r="K8" s="13" t="n"/>
      <c r="L8" s="12" t="inlineStr">
        <is>
          <t>BAKERY SCORE</t>
        </is>
      </c>
      <c r="M8" s="13" t="n"/>
    </row>
    <row r="9" ht="40" customHeight="1">
      <c r="B9" s="19">
        <f>RetailRev+WholeRev</f>
        <v/>
      </c>
      <c r="C9" s="15" t="n"/>
      <c r="D9" s="14">
        <f>SUM(ProdWkUnits)</f>
        <v/>
      </c>
      <c r="E9" s="15" t="n"/>
      <c r="F9" s="14">
        <f>COUNTA(PreOrderName)</f>
        <v/>
      </c>
      <c r="G9" s="15" t="n"/>
      <c r="H9" s="19">
        <f>WholeRev</f>
        <v/>
      </c>
      <c r="I9" s="15" t="n"/>
      <c r="J9" s="17">
        <f>IFERROR(WasteTotal/RetailRev,0)</f>
        <v/>
      </c>
      <c r="K9" s="15" t="n"/>
      <c r="L9" s="17">
        <f>IFERROR(AVERAGE(HealthRange),0)</f>
        <v/>
      </c>
      <c r="M9" s="15" t="n"/>
    </row>
    <row r="11" ht="26" customHeight="1">
      <c r="B11" s="4" t="inlineStr">
        <is>
          <t>BAKERY HEALTH</t>
        </is>
      </c>
      <c r="H11" s="4" t="inlineStr">
        <is>
          <t>SALES BY DAY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20" t="inlineStr">
        <is>
          <t>Food cost on target</t>
        </is>
      </c>
      <c r="C13" s="21">
        <f>IFERROR(MIN(TargetFC/FoodCostPct,1),0)</f>
        <v/>
      </c>
      <c r="D13" s="22">
        <f>IF(C13&gt;=0.85,"Strong",IF(C13&gt;=0.6,"OK","Watch"))</f>
        <v/>
      </c>
    </row>
    <row r="14">
      <c r="B14" s="23" t="inlineStr">
        <is>
          <t>Margin per unit</t>
        </is>
      </c>
      <c r="C14" s="24">
        <f>IFERROR(MIN(AVERAGE(ProdMargin)/MarginGoal,1),0)</f>
        <v/>
      </c>
      <c r="D14" s="25">
        <f>IF(C14&gt;=0.85,"Strong",IF(C14&gt;=0.6,"OK","Watch"))</f>
        <v/>
      </c>
    </row>
    <row r="15">
      <c r="B15" s="20" t="inlineStr">
        <is>
          <t>Products fully costed</t>
        </is>
      </c>
      <c r="C15" s="21">
        <f>IFERROR(COUNTIF(ProdUnitCost,"&gt;0")/COUNTA(ProdItem),0)</f>
        <v/>
      </c>
      <c r="D15" s="22">
        <f>IF(C15&gt;=0.85,"Strong",IF(C15&gt;=0.6,"OK","Watch"))</f>
        <v/>
      </c>
    </row>
    <row r="16">
      <c r="B16" s="23" t="inlineStr">
        <is>
          <t>Pre-orders vs goal</t>
        </is>
      </c>
      <c r="C16" s="24">
        <f>IFERROR(MIN(COUNTA(PreOrderName)/PreOrderGoal,1),0)</f>
        <v/>
      </c>
      <c r="D16" s="25">
        <f>IF(C16&gt;=0.85,"Strong",IF(C16&gt;=0.6,"OK","Watch"))</f>
        <v/>
      </c>
    </row>
    <row r="17">
      <c r="B17" s="20" t="inlineStr">
        <is>
          <t>Low waste</t>
        </is>
      </c>
      <c r="C17" s="21">
        <f>IFERROR(1-MIN((WasteTotal/RetailRev)/0.08,1),0)</f>
        <v/>
      </c>
      <c r="D17" s="22">
        <f>IF(C17&gt;=0.85,"Strong",IF(C17&gt;=0.6,"OK","Watch"))</f>
        <v/>
      </c>
    </row>
    <row r="18">
      <c r="B18" s="23" t="inlineStr">
        <is>
          <t>Gross margin</t>
        </is>
      </c>
      <c r="C18" s="24">
        <f>IFERROR(MIN((1-FoodCostPct)/0.7,1),0)</f>
        <v/>
      </c>
      <c r="D18" s="25">
        <f>IF(C18&gt;=0.85,"Strong",IF(C18&gt;=0.6,"OK","Watch"))</f>
        <v/>
      </c>
    </row>
    <row r="21" ht="26" customHeight="1">
      <c r="B21" s="2" t="inlineStr">
        <is>
          <t>Bakery Command Center™ — cost every batch, price retail &amp; wholesale, bake more profit.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0" customWidth="1" min="3" max="3"/>
    <col width="10" customWidth="1" min="4" max="4"/>
    <col width="14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🧾  RECIPE COSTING</t>
        </is>
      </c>
    </row>
    <row r="2" ht="22" customHeight="1">
      <c r="A2" s="2" t="inlineStr">
        <is>
          <t xml:space="preserve">  Cost a recipe by the batch, then divide by yield — the true cost per loaf, cookie or roll.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5">
      <c r="B5" s="4" t="inlineStr">
        <is>
          <t>RECIPE</t>
        </is>
      </c>
      <c r="D5" s="26" t="inlineStr">
        <is>
          <t>Sourdough Loaf</t>
        </is>
      </c>
      <c r="E5" s="27" t="inlineStr">
        <is>
          <t>Yield →</t>
        </is>
      </c>
      <c r="F5" s="26" t="n">
        <v>8</v>
      </c>
    </row>
    <row r="6" ht="30" customHeight="1">
      <c r="B6" s="9" t="inlineStr">
        <is>
          <t>Component</t>
        </is>
      </c>
      <c r="C6" s="9" t="inlineStr">
        <is>
          <t>Qty</t>
        </is>
      </c>
      <c r="D6" s="9" t="inlineStr">
        <is>
          <t>Unit</t>
        </is>
      </c>
      <c r="E6" s="9" t="inlineStr">
        <is>
          <t>Cost/Unit</t>
        </is>
      </c>
      <c r="F6" s="9" t="inlineStr">
        <is>
          <t>Ext. Cost</t>
        </is>
      </c>
    </row>
    <row r="7">
      <c r="B7" s="20" t="inlineStr">
        <is>
          <t>Bread flour</t>
        </is>
      </c>
      <c r="C7" s="28" t="n">
        <v>2000</v>
      </c>
      <c r="D7" s="22" t="inlineStr">
        <is>
          <t>g</t>
        </is>
      </c>
      <c r="E7" s="29" t="n">
        <v>0.0022</v>
      </c>
      <c r="F7" s="30">
        <f>C7*E7</f>
        <v/>
      </c>
    </row>
    <row r="8">
      <c r="B8" s="23" t="inlineStr">
        <is>
          <t>Whole wheat flour</t>
        </is>
      </c>
      <c r="C8" s="31" t="n">
        <v>400</v>
      </c>
      <c r="D8" s="25" t="inlineStr">
        <is>
          <t>g</t>
        </is>
      </c>
      <c r="E8" s="32" t="n">
        <v>0.003</v>
      </c>
      <c r="F8" s="33">
        <f>C8*E8</f>
        <v/>
      </c>
    </row>
    <row r="9">
      <c r="B9" s="20" t="inlineStr">
        <is>
          <t>Water</t>
        </is>
      </c>
      <c r="C9" s="28" t="n">
        <v>1400</v>
      </c>
      <c r="D9" s="22" t="inlineStr">
        <is>
          <t>g</t>
        </is>
      </c>
      <c r="E9" s="29" t="n">
        <v>0.0003</v>
      </c>
      <c r="F9" s="30">
        <f>C9*E9</f>
        <v/>
      </c>
    </row>
    <row r="10">
      <c r="B10" s="23" t="inlineStr">
        <is>
          <t>Sea salt</t>
        </is>
      </c>
      <c r="C10" s="31" t="n">
        <v>40</v>
      </c>
      <c r="D10" s="25" t="inlineStr">
        <is>
          <t>g</t>
        </is>
      </c>
      <c r="E10" s="32" t="n">
        <v>0.005</v>
      </c>
      <c r="F10" s="33">
        <f>C10*E10</f>
        <v/>
      </c>
    </row>
    <row r="11">
      <c r="B11" s="20" t="inlineStr">
        <is>
          <t>Levain / starter</t>
        </is>
      </c>
      <c r="C11" s="28" t="n">
        <v>400</v>
      </c>
      <c r="D11" s="22" t="inlineStr">
        <is>
          <t>g</t>
        </is>
      </c>
      <c r="E11" s="29" t="n">
        <v>0.0025</v>
      </c>
      <c r="F11" s="30">
        <f>C11*E11</f>
        <v/>
      </c>
    </row>
    <row r="12">
      <c r="B12" s="23" t="inlineStr">
        <is>
          <t>Oven / energy</t>
        </is>
      </c>
      <c r="C12" s="31" t="n">
        <v>1</v>
      </c>
      <c r="D12" s="25" t="inlineStr">
        <is>
          <t>batch</t>
        </is>
      </c>
      <c r="E12" s="32" t="n">
        <v>2.38</v>
      </c>
      <c r="F12" s="33">
        <f>C12*E12</f>
        <v/>
      </c>
    </row>
    <row r="13">
      <c r="B13" s="20" t="inlineStr">
        <is>
          <t>Bags &amp; labels</t>
        </is>
      </c>
      <c r="C13" s="28" t="n">
        <v>8</v>
      </c>
      <c r="D13" s="22" t="inlineStr">
        <is>
          <t>each</t>
        </is>
      </c>
      <c r="E13" s="29" t="n">
        <v>0.4</v>
      </c>
      <c r="F13" s="30">
        <f>C13*E13</f>
        <v/>
      </c>
    </row>
    <row r="14">
      <c r="B14" s="9" t="inlineStr">
        <is>
          <t>BATCH COST</t>
        </is>
      </c>
      <c r="C14" s="34" t="n"/>
      <c r="D14" s="34" t="n"/>
      <c r="E14" s="34" t="n"/>
      <c r="F14" s="35">
        <f>SUM(F7:F13)</f>
        <v/>
      </c>
    </row>
    <row r="15">
      <c r="B15" s="7" t="inlineStr">
        <is>
          <t>COST PER UNIT  (batch ÷ yield)</t>
        </is>
      </c>
      <c r="F15" s="36">
        <f>IFERROR(F14/F5,0)</f>
        <v/>
      </c>
    </row>
    <row r="17">
      <c r="B17" s="7" t="inlineStr">
        <is>
          <t>Copy this build for every recipe — bread, pastry, cookies, cakes.</t>
        </is>
      </c>
    </row>
  </sheetData>
  <mergeCells count="4">
    <mergeCell ref="A2:F2"/>
    <mergeCell ref="B5:C5"/>
    <mergeCell ref="A1:F1"/>
    <mergeCell ref="B15:E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2" customWidth="1" min="12" max="12"/>
  </cols>
  <sheetData>
    <row r="1" ht="46" customHeight="1">
      <c r="A1" s="1" t="inlineStr">
        <is>
          <t xml:space="preserve">  🍞  PRODUCT LIST</t>
        </is>
      </c>
    </row>
    <row r="2" ht="22" customHeight="1">
      <c r="A2" s="2" t="inlineStr">
        <is>
          <t xml:space="preserve">  Every product's unit cost, retail &amp; wholesale price, margin &amp; food-cost %.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B4" s="9" t="inlineStr">
        <is>
          <t>Product</t>
        </is>
      </c>
      <c r="C4" s="9" t="inlineStr">
        <is>
          <t>Batch Cost</t>
        </is>
      </c>
      <c r="D4" s="9" t="inlineStr">
        <is>
          <t>Yield</t>
        </is>
      </c>
      <c r="E4" s="9" t="inlineStr">
        <is>
          <t>Unit Cost</t>
        </is>
      </c>
      <c r="F4" s="9" t="inlineStr">
        <is>
          <t>Retail</t>
        </is>
      </c>
      <c r="G4" s="9" t="inlineStr">
        <is>
          <t>Wholesale</t>
        </is>
      </c>
      <c r="H4" s="9" t="inlineStr">
        <is>
          <t>Retail Margin</t>
        </is>
      </c>
      <c r="I4" s="9" t="inlineStr">
        <is>
          <t>Food %</t>
        </is>
      </c>
      <c r="J4" s="9" t="inlineStr">
        <is>
          <t>Units/wk</t>
        </is>
      </c>
      <c r="K4" s="9" t="inlineStr">
        <is>
          <t>Wk Rev</t>
        </is>
      </c>
    </row>
    <row r="5">
      <c r="B5" s="20" t="inlineStr">
        <is>
          <t>Sourdough Loaf</t>
        </is>
      </c>
      <c r="C5" s="37">
        <f>SourdoughBatch</f>
        <v/>
      </c>
      <c r="D5" s="38" t="n">
        <v>8</v>
      </c>
      <c r="E5" s="30">
        <f>IFERROR(C5/D5,0)</f>
        <v/>
      </c>
      <c r="F5" s="37" t="n">
        <v>8</v>
      </c>
      <c r="G5" s="37" t="n">
        <v>5</v>
      </c>
      <c r="H5" s="30">
        <f>F5-E5</f>
        <v/>
      </c>
      <c r="I5" s="21">
        <f>IFERROR(E5/F5,0)</f>
        <v/>
      </c>
      <c r="J5" s="39" t="n">
        <v>120</v>
      </c>
      <c r="K5" s="40">
        <f>F5*J5</f>
        <v/>
      </c>
    </row>
    <row r="6">
      <c r="B6" s="23" t="inlineStr">
        <is>
          <t>Butter Croissant</t>
        </is>
      </c>
      <c r="C6" s="41" t="n">
        <v>21.6</v>
      </c>
      <c r="D6" s="42" t="n">
        <v>24</v>
      </c>
      <c r="E6" s="33">
        <f>IFERROR(C6/D6,0)</f>
        <v/>
      </c>
      <c r="F6" s="41" t="n">
        <v>4.25</v>
      </c>
      <c r="G6" s="41" t="n">
        <v>2.65</v>
      </c>
      <c r="H6" s="33">
        <f>F6-E6</f>
        <v/>
      </c>
      <c r="I6" s="24">
        <f>IFERROR(E6/F6,0)</f>
        <v/>
      </c>
      <c r="J6" s="39" t="n">
        <v>300</v>
      </c>
      <c r="K6" s="40">
        <f>F6*J6</f>
        <v/>
      </c>
    </row>
    <row r="7">
      <c r="B7" s="20" t="inlineStr">
        <is>
          <t>Baguette</t>
        </is>
      </c>
      <c r="C7" s="37" t="n">
        <v>7.2</v>
      </c>
      <c r="D7" s="38" t="n">
        <v>10</v>
      </c>
      <c r="E7" s="30">
        <f>IFERROR(C7/D7,0)</f>
        <v/>
      </c>
      <c r="F7" s="37" t="n">
        <v>4.5</v>
      </c>
      <c r="G7" s="37" t="n">
        <v>2.8</v>
      </c>
      <c r="H7" s="30">
        <f>F7-E7</f>
        <v/>
      </c>
      <c r="I7" s="21">
        <f>IFERROR(E7/F7,0)</f>
        <v/>
      </c>
      <c r="J7" s="39" t="n">
        <v>90</v>
      </c>
      <c r="K7" s="40">
        <f>F7*J7</f>
        <v/>
      </c>
    </row>
    <row r="8">
      <c r="B8" s="23" t="inlineStr">
        <is>
          <t>Cinnamon Roll</t>
        </is>
      </c>
      <c r="C8" s="41" t="n">
        <v>24</v>
      </c>
      <c r="D8" s="42" t="n">
        <v>12</v>
      </c>
      <c r="E8" s="33">
        <f>IFERROR(C8/D8,0)</f>
        <v/>
      </c>
      <c r="F8" s="41" t="n">
        <v>5.5</v>
      </c>
      <c r="G8" s="41" t="n">
        <v>3.5</v>
      </c>
      <c r="H8" s="33">
        <f>F8-E8</f>
        <v/>
      </c>
      <c r="I8" s="24">
        <f>IFERROR(E8/F8,0)</f>
        <v/>
      </c>
      <c r="J8" s="39" t="n">
        <v>150</v>
      </c>
      <c r="K8" s="40">
        <f>F8*J8</f>
        <v/>
      </c>
    </row>
    <row r="9">
      <c r="B9" s="20" t="inlineStr">
        <is>
          <t>Choc Chip Cookie</t>
        </is>
      </c>
      <c r="C9" s="37" t="n">
        <v>19.2</v>
      </c>
      <c r="D9" s="38" t="n">
        <v>48</v>
      </c>
      <c r="E9" s="30">
        <f>IFERROR(C9/D9,0)</f>
        <v/>
      </c>
      <c r="F9" s="37" t="n">
        <v>3</v>
      </c>
      <c r="G9" s="37" t="n">
        <v>1.85</v>
      </c>
      <c r="H9" s="30">
        <f>F9-E9</f>
        <v/>
      </c>
      <c r="I9" s="21">
        <f>IFERROR(E9/F9,0)</f>
        <v/>
      </c>
      <c r="J9" s="39" t="n">
        <v>400</v>
      </c>
      <c r="K9" s="40">
        <f>F9*J9</f>
        <v/>
      </c>
    </row>
    <row r="10">
      <c r="B10" s="23" t="inlineStr">
        <is>
          <t>Blueberry Muffin</t>
        </is>
      </c>
      <c r="C10" s="41" t="n">
        <v>21.6</v>
      </c>
      <c r="D10" s="42" t="n">
        <v>18</v>
      </c>
      <c r="E10" s="33">
        <f>IFERROR(C10/D10,0)</f>
        <v/>
      </c>
      <c r="F10" s="41" t="n">
        <v>4</v>
      </c>
      <c r="G10" s="41" t="n">
        <v>2.5</v>
      </c>
      <c r="H10" s="33">
        <f>F10-E10</f>
        <v/>
      </c>
      <c r="I10" s="24">
        <f>IFERROR(E10/F10,0)</f>
        <v/>
      </c>
      <c r="J10" s="39" t="n">
        <v>160</v>
      </c>
      <c r="K10" s="40">
        <f>F10*J10</f>
        <v/>
      </c>
    </row>
    <row r="11">
      <c r="B11" s="20" t="inlineStr">
        <is>
          <t>Focaccia</t>
        </is>
      </c>
      <c r="C11" s="37" t="n">
        <v>11.2</v>
      </c>
      <c r="D11" s="38" t="n">
        <v>8</v>
      </c>
      <c r="E11" s="30">
        <f>IFERROR(C11/D11,0)</f>
        <v/>
      </c>
      <c r="F11" s="37" t="n">
        <v>9</v>
      </c>
      <c r="G11" s="37" t="n">
        <v>5.75</v>
      </c>
      <c r="H11" s="30">
        <f>F11-E11</f>
        <v/>
      </c>
      <c r="I11" s="21">
        <f>IFERROR(E11/F11,0)</f>
        <v/>
      </c>
      <c r="J11" s="39" t="n">
        <v>60</v>
      </c>
      <c r="K11" s="40">
        <f>F11*J11</f>
        <v/>
      </c>
    </row>
    <row r="12">
      <c r="B12" s="23" t="inlineStr">
        <is>
          <t>Everything Bagel</t>
        </is>
      </c>
      <c r="C12" s="41" t="n">
        <v>9.6</v>
      </c>
      <c r="D12" s="42" t="n">
        <v>12</v>
      </c>
      <c r="E12" s="33">
        <f>IFERROR(C12/D12,0)</f>
        <v/>
      </c>
      <c r="F12" s="41" t="n">
        <v>3.25</v>
      </c>
      <c r="G12" s="41" t="n">
        <v>2</v>
      </c>
      <c r="H12" s="33">
        <f>F12-E12</f>
        <v/>
      </c>
      <c r="I12" s="24">
        <f>IFERROR(E12/F12,0)</f>
        <v/>
      </c>
      <c r="J12" s="39" t="n">
        <v>200</v>
      </c>
      <c r="K12" s="40">
        <f>F12*J12</f>
        <v/>
      </c>
    </row>
    <row r="14">
      <c r="B14" s="43" t="inlineStr">
        <is>
          <t>Retail revenue / wk</t>
        </is>
      </c>
      <c r="F14" s="44">
        <f>SUMPRODUCT(ProdRetail,ProdWkUnits)</f>
        <v/>
      </c>
    </row>
    <row r="15">
      <c r="B15" s="43" t="inlineStr">
        <is>
          <t>Overall food-cost %</t>
        </is>
      </c>
      <c r="F15" s="45">
        <f>IFERROR(SUMPRODUCT(ProdUnitCost,ProdWkUnits)/SUMPRODUCT(ProdRetail,ProdWkUnits),0)</f>
        <v/>
      </c>
    </row>
  </sheetData>
  <mergeCells count="2">
    <mergeCell ref="A1:I1"/>
    <mergeCell ref="A2:I2"/>
  </mergeCells>
  <conditionalFormatting sqref="I5:I12">
    <cfRule type="colorScale" priority="1">
      <colorScale>
        <cfvo type="num" val="0.12"/>
        <cfvo type="num" val="0.3"/>
        <cfvo type="num" val="0.45"/>
        <color rgb="FF75E6C1"/>
        <color rgb="FFFFF3CD"/>
        <color rgb="FFFBE6E6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26" customWidth="1" min="3" max="3"/>
    <col width="12" customWidth="1" min="4" max="4"/>
    <col width="12" customWidth="1" min="5" max="5"/>
    <col width="12" customWidth="1" min="6" max="6"/>
    <col width="14" customWidth="1" min="7" max="7"/>
    <col width="2" customWidth="1" min="8" max="8"/>
  </cols>
  <sheetData>
    <row r="1" ht="46" customHeight="1">
      <c r="A1" s="1" t="inlineStr">
        <is>
          <t xml:space="preserve">  🎂  PRE-ORDERS</t>
        </is>
      </c>
    </row>
    <row r="2" ht="22" customHeight="1">
      <c r="A2" s="2" t="inlineStr">
        <is>
          <t xml:space="preserve">  The custom &amp; special-order board — cakes, platters &amp; catering, with deposits.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B4" s="9" t="inlineStr">
        <is>
          <t>Customer</t>
        </is>
      </c>
      <c r="C4" s="9" t="inlineStr">
        <is>
          <t>Order</t>
        </is>
      </c>
      <c r="D4" s="9" t="inlineStr">
        <is>
          <t>Due</t>
        </is>
      </c>
      <c r="E4" s="9" t="inlineStr">
        <is>
          <t>Price</t>
        </is>
      </c>
      <c r="F4" s="9" t="inlineStr">
        <is>
          <t>Deposit</t>
        </is>
      </c>
      <c r="G4" s="9" t="inlineStr">
        <is>
          <t>Status</t>
        </is>
      </c>
    </row>
    <row r="5">
      <c r="B5" s="20" t="inlineStr">
        <is>
          <t>Sarah M.</t>
        </is>
      </c>
      <c r="C5" s="20" t="inlineStr">
        <is>
          <t>Birthday Cake (2-tier)</t>
        </is>
      </c>
      <c r="D5" s="46" t="n">
        <v>46228</v>
      </c>
      <c r="E5" s="47" t="n">
        <v>85</v>
      </c>
      <c r="F5" s="47" t="n">
        <v>40</v>
      </c>
      <c r="G5" s="22" t="inlineStr">
        <is>
          <t>Confirmed</t>
        </is>
      </c>
    </row>
    <row r="6">
      <c r="B6" s="23" t="inlineStr">
        <is>
          <t>James T.</t>
        </is>
      </c>
      <c r="C6" s="23" t="inlineStr">
        <is>
          <t>Croissant platter x3</t>
        </is>
      </c>
      <c r="D6" s="48" t="n">
        <v>46230</v>
      </c>
      <c r="E6" s="49" t="n">
        <v>45</v>
      </c>
      <c r="F6" s="49" t="n">
        <v>0</v>
      </c>
      <c r="G6" s="25" t="inlineStr">
        <is>
          <t>Confirmed</t>
        </is>
      </c>
    </row>
    <row r="7">
      <c r="B7" s="20" t="inlineStr">
        <is>
          <t>Office Corp</t>
        </is>
      </c>
      <c r="C7" s="20" t="inlineStr">
        <is>
          <t>Muffin boxes x10</t>
        </is>
      </c>
      <c r="D7" s="46" t="n">
        <v>46227</v>
      </c>
      <c r="E7" s="47" t="n">
        <v>60</v>
      </c>
      <c r="F7" s="47" t="n">
        <v>30</v>
      </c>
      <c r="G7" s="22" t="inlineStr">
        <is>
          <t>Confirmed</t>
        </is>
      </c>
    </row>
    <row r="8">
      <c r="B8" s="23" t="inlineStr">
        <is>
          <t>Wedding — Lee</t>
        </is>
      </c>
      <c r="C8" s="23" t="inlineStr">
        <is>
          <t>Dessert table</t>
        </is>
      </c>
      <c r="D8" s="48" t="n">
        <v>46237</v>
      </c>
      <c r="E8" s="49" t="n">
        <v>320</v>
      </c>
      <c r="F8" s="49" t="n">
        <v>150</v>
      </c>
      <c r="G8" s="25" t="inlineStr">
        <is>
          <t>Deposit</t>
        </is>
      </c>
    </row>
    <row r="9">
      <c r="B9" s="20" t="inlineStr">
        <is>
          <t>Mia R.</t>
        </is>
      </c>
      <c r="C9" s="20" t="inlineStr">
        <is>
          <t>Custom cookies x4dz</t>
        </is>
      </c>
      <c r="D9" s="46" t="n">
        <v>46231</v>
      </c>
      <c r="E9" s="47" t="n">
        <v>96</v>
      </c>
      <c r="F9" s="47" t="n">
        <v>48</v>
      </c>
      <c r="G9" s="22" t="inlineStr">
        <is>
          <t>Confirmed</t>
        </is>
      </c>
    </row>
    <row r="10">
      <c r="B10" s="23" t="inlineStr">
        <is>
          <t>Dan K.</t>
        </is>
      </c>
      <c r="C10" s="23" t="inlineStr">
        <is>
          <t>Focaccia catering</t>
        </is>
      </c>
      <c r="D10" s="48" t="n">
        <v>46229</v>
      </c>
      <c r="E10" s="49" t="n">
        <v>72</v>
      </c>
      <c r="F10" s="49" t="n">
        <v>0</v>
      </c>
      <c r="G10" s="25" t="inlineStr">
        <is>
          <t>Pending</t>
        </is>
      </c>
    </row>
    <row r="11">
      <c r="B11" s="9" t="inlineStr">
        <is>
          <t>PRE-ORDER VALUE</t>
        </is>
      </c>
      <c r="C11" s="34" t="n"/>
      <c r="D11" s="34" t="n"/>
      <c r="E11" s="50">
        <f>SUM(PreOrderPrice)</f>
        <v/>
      </c>
      <c r="F11" s="34" t="n"/>
      <c r="G11" s="34" t="n"/>
    </row>
  </sheetData>
  <mergeCells count="2">
    <mergeCell ref="A2:G2"/>
    <mergeCell ref="A1:G1"/>
  </mergeCells>
  <conditionalFormatting sqref="G5:G10">
    <cfRule type="cellIs" priority="1" operator="equal" dxfId="0">
      <formula>"Confirmed"</formula>
    </cfRule>
    <cfRule type="cellIs" priority="2" operator="equal" dxfId="1">
      <formula>"Deposit"</formula>
    </cfRule>
    <cfRule type="cellIs" priority="3" operator="equal" dxfId="2">
      <formula>"Pending"</formula>
    </cfRule>
    <cfRule type="cellIs" priority="4" operator="equal" dxfId="0">
      <formula>"Done"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20" customWidth="1" min="3" max="3"/>
    <col width="12" customWidth="1" min="4" max="4"/>
    <col width="14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🏪  WHOLESALE ACCOUNTS</t>
        </is>
      </c>
    </row>
    <row r="2" ht="22" customHeight="1">
      <c r="A2" s="2" t="inlineStr">
        <is>
          <t xml:space="preserve">  Standing wholesale orders — steady revenue that fills the ovens between rushes.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Account</t>
        </is>
      </c>
      <c r="C4" s="9" t="inlineStr">
        <is>
          <t>Item</t>
        </is>
      </c>
      <c r="D4" s="9" t="inlineStr">
        <is>
          <t>Weekly Qty</t>
        </is>
      </c>
      <c r="E4" s="9" t="inlineStr">
        <is>
          <t>Unit Price</t>
        </is>
      </c>
      <c r="F4" s="9" t="inlineStr">
        <is>
          <t>Weekly Rev</t>
        </is>
      </c>
    </row>
    <row r="5">
      <c r="B5" s="20" t="inlineStr">
        <is>
          <t>Corner Cafe</t>
        </is>
      </c>
      <c r="C5" s="20" t="inlineStr">
        <is>
          <t>Croissants</t>
        </is>
      </c>
      <c r="D5" s="38" t="n">
        <v>80</v>
      </c>
      <c r="E5" s="37" t="n">
        <v>2.65</v>
      </c>
      <c r="F5" s="51">
        <f>D5*E5</f>
        <v/>
      </c>
    </row>
    <row r="6">
      <c r="B6" s="23" t="inlineStr">
        <is>
          <t>Green Grocer</t>
        </is>
      </c>
      <c r="C6" s="23" t="inlineStr">
        <is>
          <t>Sourdough</t>
        </is>
      </c>
      <c r="D6" s="42" t="n">
        <v>40</v>
      </c>
      <c r="E6" s="41" t="n">
        <v>5</v>
      </c>
      <c r="F6" s="52">
        <f>D6*E6</f>
        <v/>
      </c>
    </row>
    <row r="7">
      <c r="B7" s="20" t="inlineStr">
        <is>
          <t>Bistro 21</t>
        </is>
      </c>
      <c r="C7" s="20" t="inlineStr">
        <is>
          <t>Baguettes</t>
        </is>
      </c>
      <c r="D7" s="38" t="n">
        <v>60</v>
      </c>
      <c r="E7" s="37" t="n">
        <v>2.8</v>
      </c>
      <c r="F7" s="51">
        <f>D7*E7</f>
        <v/>
      </c>
    </row>
    <row r="8">
      <c r="B8" s="23" t="inlineStr">
        <is>
          <t>Hotel Vera</t>
        </is>
      </c>
      <c r="C8" s="23" t="inlineStr">
        <is>
          <t>Assorted</t>
        </is>
      </c>
      <c r="D8" s="42" t="n">
        <v>120</v>
      </c>
      <c r="E8" s="41" t="n">
        <v>3.5</v>
      </c>
      <c r="F8" s="52">
        <f>D8*E8</f>
        <v/>
      </c>
    </row>
    <row r="9">
      <c r="B9" s="20" t="inlineStr">
        <is>
          <t>Deli Fresh</t>
        </is>
      </c>
      <c r="C9" s="20" t="inlineStr">
        <is>
          <t>Bagels</t>
        </is>
      </c>
      <c r="D9" s="38" t="n">
        <v>150</v>
      </c>
      <c r="E9" s="37" t="n">
        <v>2</v>
      </c>
      <c r="F9" s="51">
        <f>D9*E9</f>
        <v/>
      </c>
    </row>
    <row r="10">
      <c r="B10" s="23" t="inlineStr">
        <is>
          <t>Market Co-op</t>
        </is>
      </c>
      <c r="C10" s="23" t="inlineStr">
        <is>
          <t>Muffins</t>
        </is>
      </c>
      <c r="D10" s="42" t="n">
        <v>90</v>
      </c>
      <c r="E10" s="41" t="n">
        <v>2.5</v>
      </c>
      <c r="F10" s="52">
        <f>D10*E10</f>
        <v/>
      </c>
    </row>
    <row r="11">
      <c r="B11" s="20" t="inlineStr">
        <is>
          <t>Campus Cafe</t>
        </is>
      </c>
      <c r="C11" s="20" t="inlineStr">
        <is>
          <t>Cookies</t>
        </is>
      </c>
      <c r="D11" s="38" t="n">
        <v>200</v>
      </c>
      <c r="E11" s="37" t="n">
        <v>1.85</v>
      </c>
      <c r="F11" s="51">
        <f>D11*E11</f>
        <v/>
      </c>
    </row>
    <row r="12">
      <c r="B12" s="23" t="inlineStr">
        <is>
          <t>Wine Bar</t>
        </is>
      </c>
      <c r="C12" s="23" t="inlineStr">
        <is>
          <t>Focaccia</t>
        </is>
      </c>
      <c r="D12" s="42" t="n">
        <v>50</v>
      </c>
      <c r="E12" s="41" t="n">
        <v>5.75</v>
      </c>
      <c r="F12" s="52">
        <f>D12*E12</f>
        <v/>
      </c>
    </row>
    <row r="13">
      <c r="B13" s="9" t="inlineStr">
        <is>
          <t>WHOLESALE REV / WK</t>
        </is>
      </c>
      <c r="C13" s="34" t="n"/>
      <c r="D13" s="34" t="n"/>
      <c r="E13" s="34" t="n"/>
      <c r="F13" s="50">
        <f>SUM(F5:F12)</f>
        <v/>
      </c>
    </row>
  </sheetData>
  <mergeCells count="2">
    <mergeCell ref="A2:F2"/>
    <mergeCell ref="A1:F1"/>
  </mergeCells>
  <conditionalFormatting sqref="F5:F12">
    <cfRule type="dataBar" priority="1">
      <dataBar showValue="1">
        <cfvo type="num" val="0"/>
        <cfvo type="max"/>
        <color rgb="001B4F48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  <col width="30" customWidth="1" min="4" max="4"/>
    <col width="2" customWidth="1" min="5" max="5"/>
  </cols>
  <sheetData>
    <row r="1" ht="46" customHeight="1">
      <c r="A1" s="1" t="inlineStr">
        <is>
          <t xml:space="preserve">  🗓  PRODUCTION PLAN</t>
        </is>
      </c>
    </row>
    <row r="2" ht="22" customHeight="1">
      <c r="A2" s="2" t="inlineStr">
        <is>
          <t xml:space="preserve">  The weekly bake schedule — morning &amp; afternoon, so nothing's missed.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Day</t>
        </is>
      </c>
      <c r="C4" s="9" t="inlineStr">
        <is>
          <t>Morning Bake</t>
        </is>
      </c>
      <c r="D4" s="9" t="inlineStr">
        <is>
          <t>Afternoon Bake</t>
        </is>
      </c>
    </row>
    <row r="5">
      <c r="B5" s="53" t="inlineStr">
        <is>
          <t>Monday</t>
        </is>
      </c>
      <c r="C5" s="20" t="inlineStr">
        <is>
          <t>Sourdough, Baguette</t>
        </is>
      </c>
      <c r="D5" s="20" t="inlineStr">
        <is>
          <t>Cookies, Muffins</t>
        </is>
      </c>
    </row>
    <row r="6">
      <c r="B6" s="54" t="inlineStr">
        <is>
          <t>Tuesday</t>
        </is>
      </c>
      <c r="C6" s="23" t="inlineStr">
        <is>
          <t>Croissants, Focaccia</t>
        </is>
      </c>
      <c r="D6" s="23" t="inlineStr">
        <is>
          <t>Cinnamon Rolls</t>
        </is>
      </c>
    </row>
    <row r="7">
      <c r="B7" s="53" t="inlineStr">
        <is>
          <t>Wednesday</t>
        </is>
      </c>
      <c r="C7" s="20" t="inlineStr">
        <is>
          <t>Sourdough, Bagels</t>
        </is>
      </c>
      <c r="D7" s="20" t="inlineStr">
        <is>
          <t>Cookies, Muffins</t>
        </is>
      </c>
    </row>
    <row r="8">
      <c r="B8" s="54" t="inlineStr">
        <is>
          <t>Thursday</t>
        </is>
      </c>
      <c r="C8" s="23" t="inlineStr">
        <is>
          <t>Croissants, Baguette</t>
        </is>
      </c>
      <c r="D8" s="23" t="inlineStr">
        <is>
          <t>Pre-orders</t>
        </is>
      </c>
    </row>
    <row r="9">
      <c r="B9" s="53" t="inlineStr">
        <is>
          <t>Friday</t>
        </is>
      </c>
      <c r="C9" s="20" t="inlineStr">
        <is>
          <t>Sourdough, Focaccia</t>
        </is>
      </c>
      <c r="D9" s="20" t="inlineStr">
        <is>
          <t>Cookies, Muffins</t>
        </is>
      </c>
    </row>
    <row r="10">
      <c r="B10" s="54" t="inlineStr">
        <is>
          <t>Saturday</t>
        </is>
      </c>
      <c r="C10" s="23" t="inlineStr">
        <is>
          <t>Everything (market)</t>
        </is>
      </c>
      <c r="D10" s="23" t="inlineStr">
        <is>
          <t>Restock</t>
        </is>
      </c>
    </row>
    <row r="11">
      <c r="B11" s="53" t="inlineStr">
        <is>
          <t>Sunday</t>
        </is>
      </c>
      <c r="C11" s="20" t="inlineStr">
        <is>
          <t>Rest / prep levain</t>
        </is>
      </c>
      <c r="D11" s="20" t="inlineStr">
        <is>
          <t>—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0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📦  INVENTORY &amp; PAR</t>
        </is>
      </c>
    </row>
    <row r="2" ht="22" customHeight="1">
      <c r="A2" s="2" t="inlineStr">
        <is>
          <t xml:space="preserve">  Par vs on hand — order flour &amp; butter before the Saturday bake, not during it.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Ingredient</t>
        </is>
      </c>
      <c r="C4" s="9" t="inlineStr">
        <is>
          <t>Par</t>
        </is>
      </c>
      <c r="D4" s="9" t="inlineStr">
        <is>
          <t>On Hand</t>
        </is>
      </c>
      <c r="E4" s="9" t="inlineStr">
        <is>
          <t>Unit</t>
        </is>
      </c>
      <c r="F4" s="9" t="inlineStr">
        <is>
          <t>To Order</t>
        </is>
      </c>
    </row>
    <row r="5">
      <c r="B5" s="20" t="inlineStr">
        <is>
          <t>Bread flour</t>
        </is>
      </c>
      <c r="C5" s="38" t="n">
        <v>100</v>
      </c>
      <c r="D5" s="38" t="n">
        <v>48</v>
      </c>
      <c r="E5" s="22" t="inlineStr">
        <is>
          <t>lb</t>
        </is>
      </c>
      <c r="F5" s="55">
        <f>MAX(C5-D5,0)</f>
        <v/>
      </c>
    </row>
    <row r="6">
      <c r="B6" s="23" t="inlineStr">
        <is>
          <t>Whole wheat flour</t>
        </is>
      </c>
      <c r="C6" s="42" t="n">
        <v>40</v>
      </c>
      <c r="D6" s="42" t="n">
        <v>18</v>
      </c>
      <c r="E6" s="25" t="inlineStr">
        <is>
          <t>lb</t>
        </is>
      </c>
      <c r="F6" s="56">
        <f>MAX(C6-D6,0)</f>
        <v/>
      </c>
    </row>
    <row r="7">
      <c r="B7" s="20" t="inlineStr">
        <is>
          <t>Butter</t>
        </is>
      </c>
      <c r="C7" s="38" t="n">
        <v>60</v>
      </c>
      <c r="D7" s="38" t="n">
        <v>22</v>
      </c>
      <c r="E7" s="22" t="inlineStr">
        <is>
          <t>lb</t>
        </is>
      </c>
      <c r="F7" s="55">
        <f>MAX(C7-D7,0)</f>
        <v/>
      </c>
    </row>
    <row r="8">
      <c r="B8" s="23" t="inlineStr">
        <is>
          <t>Sugar</t>
        </is>
      </c>
      <c r="C8" s="42" t="n">
        <v>50</v>
      </c>
      <c r="D8" s="42" t="n">
        <v>30</v>
      </c>
      <c r="E8" s="25" t="inlineStr">
        <is>
          <t>lb</t>
        </is>
      </c>
      <c r="F8" s="56">
        <f>MAX(C8-D8,0)</f>
        <v/>
      </c>
    </row>
    <row r="9">
      <c r="B9" s="20" t="inlineStr">
        <is>
          <t>Eggs</t>
        </is>
      </c>
      <c r="C9" s="38" t="n">
        <v>30</v>
      </c>
      <c r="D9" s="38" t="n">
        <v>12</v>
      </c>
      <c r="E9" s="22" t="inlineStr">
        <is>
          <t>dozen</t>
        </is>
      </c>
      <c r="F9" s="55">
        <f>MAX(C9-D9,0)</f>
        <v/>
      </c>
    </row>
    <row r="10">
      <c r="B10" s="23" t="inlineStr">
        <is>
          <t>Chocolate chips</t>
        </is>
      </c>
      <c r="C10" s="42" t="n">
        <v>25</v>
      </c>
      <c r="D10" s="42" t="n">
        <v>9</v>
      </c>
      <c r="E10" s="25" t="inlineStr">
        <is>
          <t>lb</t>
        </is>
      </c>
      <c r="F10" s="56">
        <f>MAX(C10-D10,0)</f>
        <v/>
      </c>
    </row>
    <row r="11">
      <c r="B11" s="20" t="inlineStr">
        <is>
          <t>Yeast</t>
        </is>
      </c>
      <c r="C11" s="38" t="n">
        <v>10</v>
      </c>
      <c r="D11" s="38" t="n">
        <v>6</v>
      </c>
      <c r="E11" s="22" t="inlineStr">
        <is>
          <t>lb</t>
        </is>
      </c>
      <c r="F11" s="55">
        <f>MAX(C11-D11,0)</f>
        <v/>
      </c>
    </row>
    <row r="12">
      <c r="B12" s="23" t="inlineStr">
        <is>
          <t>Bags &amp; boxes</t>
        </is>
      </c>
      <c r="C12" s="42" t="n">
        <v>800</v>
      </c>
      <c r="D12" s="42" t="n">
        <v>320</v>
      </c>
      <c r="E12" s="25" t="inlineStr">
        <is>
          <t>each</t>
        </is>
      </c>
      <c r="F12" s="56">
        <f>MAX(C12-D12,0)</f>
        <v/>
      </c>
    </row>
  </sheetData>
  <mergeCells count="2">
    <mergeCell ref="A2:F2"/>
    <mergeCell ref="A1:F1"/>
  </mergeCells>
  <conditionalFormatting sqref="D5:D12">
    <cfRule type="cellIs" priority="1" operator="lessThan" dxfId="3">
      <formula>C5*0.5</formula>
    </cfRule>
  </conditionalFormatting>
  <dataValidations count="5">
    <dataValidation sqref="E5:E12" showDropDown="0" showInputMessage="0" showErrorMessage="0" allowBlank="1" type="list">
      <formula1>=UnitList</formula1>
    </dataValidation>
    <dataValidation sqref="E5:E12" showDropDown="0" showInputMessage="0" showErrorMessage="0" allowBlank="1" type="list">
      <formula1>=UnitList</formula1>
    </dataValidation>
    <dataValidation sqref="E5:E12" showDropDown="0" showInputMessage="0" showErrorMessage="0" allowBlank="1" type="list">
      <formula1>=UnitList</formula1>
    </dataValidation>
    <dataValidation sqref="E5:E12" showDropDown="0" showInputMessage="0" showErrorMessage="0" allowBlank="1" type="list">
      <formula1>=UnitList</formula1>
    </dataValidation>
    <dataValidation sqref="E5:E12" showDropDown="0" showInputMessage="0" showErrorMessage="0" allowBlank="1" type="list">
      <formula1>=UnitList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24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🗑  WASTE &amp; DAY-OLD LOG</t>
        </is>
      </c>
    </row>
    <row r="2" ht="22" customHeight="1">
      <c r="A2" s="2" t="inlineStr">
        <is>
          <t xml:space="preserve">  Day-old, broken &amp; failed bakes — track it, donate it, and shrink it over time.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Item</t>
        </is>
      </c>
      <c r="C4" s="9" t="inlineStr">
        <is>
          <t>Reason</t>
        </is>
      </c>
      <c r="D4" s="9" t="inlineStr">
        <is>
          <t>Cost</t>
        </is>
      </c>
    </row>
    <row r="5">
      <c r="B5" s="57" t="inlineStr">
        <is>
          <t>Day-old bread</t>
        </is>
      </c>
      <c r="C5" s="57" t="inlineStr">
        <is>
          <t>Donated</t>
        </is>
      </c>
      <c r="D5" s="58" t="n">
        <v>120</v>
      </c>
    </row>
    <row r="6">
      <c r="B6" s="23" t="inlineStr">
        <is>
          <t>Broken pastries</t>
        </is>
      </c>
      <c r="C6" s="23" t="inlineStr">
        <is>
          <t>Handling</t>
        </is>
      </c>
      <c r="D6" s="33" t="n">
        <v>85</v>
      </c>
    </row>
    <row r="7">
      <c r="B7" s="57" t="inlineStr">
        <is>
          <t>Failed bake</t>
        </is>
      </c>
      <c r="C7" s="57" t="inlineStr">
        <is>
          <t>Oven issue</t>
        </is>
      </c>
      <c r="D7" s="58" t="n">
        <v>52</v>
      </c>
    </row>
    <row r="8">
      <c r="B8" s="23" t="inlineStr">
        <is>
          <t>Trim &amp; scraps</t>
        </is>
      </c>
      <c r="C8" s="23" t="inlineStr">
        <is>
          <t>Normal loss</t>
        </is>
      </c>
      <c r="D8" s="33" t="n">
        <v>35</v>
      </c>
    </row>
    <row r="9">
      <c r="B9" s="57" t="n"/>
      <c r="C9" s="57" t="n"/>
      <c r="D9" s="58" t="n"/>
    </row>
    <row r="10">
      <c r="B10" s="23" t="n"/>
      <c r="C10" s="23" t="n"/>
      <c r="D10" s="33" t="n"/>
    </row>
    <row r="11">
      <c r="B11" s="57" t="n"/>
      <c r="C11" s="57" t="n"/>
      <c r="D11" s="58" t="n"/>
    </row>
    <row r="12">
      <c r="B12" s="23" t="n"/>
      <c r="C12" s="23" t="n"/>
      <c r="D12" s="33" t="n"/>
    </row>
    <row r="13">
      <c r="B13" s="57" t="n"/>
      <c r="C13" s="57" t="n"/>
      <c r="D13" s="58" t="n"/>
    </row>
    <row r="14">
      <c r="B14" s="23" t="n"/>
      <c r="C14" s="23" t="n"/>
      <c r="D14" s="33" t="n"/>
    </row>
    <row r="15">
      <c r="B15" s="57" t="n"/>
      <c r="C15" s="57" t="n"/>
      <c r="D15" s="58" t="n"/>
    </row>
    <row r="16">
      <c r="B16" s="23" t="n"/>
      <c r="C16" s="23" t="n"/>
      <c r="D16" s="33" t="n"/>
    </row>
    <row r="17">
      <c r="B17" s="57" t="n"/>
      <c r="C17" s="57" t="n"/>
      <c r="D17" s="58" t="n"/>
    </row>
    <row r="18">
      <c r="B18" s="23" t="n"/>
      <c r="C18" s="23" t="n"/>
      <c r="D18" s="33" t="n"/>
    </row>
    <row r="19">
      <c r="B19" s="57" t="n"/>
      <c r="C19" s="57" t="n"/>
      <c r="D19" s="58" t="n"/>
    </row>
    <row r="20">
      <c r="B20" s="23" t="n"/>
      <c r="C20" s="23" t="n"/>
      <c r="D20" s="33" t="n"/>
    </row>
    <row r="21">
      <c r="B21" s="57" t="n"/>
      <c r="C21" s="57" t="n"/>
      <c r="D21" s="58" t="n"/>
    </row>
    <row r="22">
      <c r="B22" s="23" t="n"/>
      <c r="C22" s="23" t="n"/>
      <c r="D22" s="33" t="n"/>
    </row>
    <row r="23">
      <c r="B23" s="57" t="n"/>
      <c r="C23" s="57" t="n"/>
      <c r="D23" s="58" t="n"/>
    </row>
    <row r="24">
      <c r="B24" s="23" t="n"/>
      <c r="C24" s="23" t="n"/>
      <c r="D24" s="33" t="n"/>
    </row>
    <row r="25">
      <c r="B25" s="57" t="n"/>
      <c r="C25" s="57" t="n"/>
      <c r="D25" s="58" t="n"/>
    </row>
    <row r="26">
      <c r="B26" s="23" t="n"/>
      <c r="C26" s="23" t="n"/>
      <c r="D26" s="33" t="n"/>
    </row>
    <row r="27">
      <c r="B27" s="57" t="n"/>
      <c r="C27" s="57" t="n"/>
      <c r="D27" s="58" t="n"/>
    </row>
    <row r="28">
      <c r="B28" s="23" t="n"/>
      <c r="C28" s="23" t="n"/>
      <c r="D28" s="33" t="n"/>
    </row>
    <row r="29">
      <c r="B29" s="9" t="inlineStr">
        <is>
          <t>WEEKLY WASTE</t>
        </is>
      </c>
      <c r="C29" s="34" t="n"/>
      <c r="D29" s="59">
        <f>SUM(WasteCost)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4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📈  SALES LOG</t>
        </is>
      </c>
    </row>
    <row r="2" ht="22" customHeight="1">
      <c r="A2" s="2" t="inlineStr">
        <is>
          <t xml:space="preserve">  Retail sales &amp; units by day — the pulse of the counter.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Day</t>
        </is>
      </c>
      <c r="C4" s="9" t="inlineStr">
        <is>
          <t>Retail Sales</t>
        </is>
      </c>
      <c r="D4" s="9" t="inlineStr">
        <is>
          <t>Units</t>
        </is>
      </c>
      <c r="E4" s="9" t="inlineStr">
        <is>
          <t>Avg Sale</t>
        </is>
      </c>
    </row>
    <row r="5">
      <c r="B5" s="20" t="inlineStr">
        <is>
          <t>Monday</t>
        </is>
      </c>
      <c r="C5" s="47" t="n">
        <v>820</v>
      </c>
      <c r="D5" s="38" t="n">
        <v>190</v>
      </c>
      <c r="E5" s="30">
        <f>IFERROR(C5/D5,0)</f>
        <v/>
      </c>
    </row>
    <row r="6">
      <c r="B6" s="23" t="inlineStr">
        <is>
          <t>Tuesday</t>
        </is>
      </c>
      <c r="C6" s="49" t="n">
        <v>910</v>
      </c>
      <c r="D6" s="42" t="n">
        <v>210</v>
      </c>
      <c r="E6" s="33">
        <f>IFERROR(C6/D6,0)</f>
        <v/>
      </c>
    </row>
    <row r="7">
      <c r="B7" s="20" t="inlineStr">
        <is>
          <t>Wednesday</t>
        </is>
      </c>
      <c r="C7" s="47" t="n">
        <v>980</v>
      </c>
      <c r="D7" s="38" t="n">
        <v>226</v>
      </c>
      <c r="E7" s="30">
        <f>IFERROR(C7/D7,0)</f>
        <v/>
      </c>
    </row>
    <row r="8">
      <c r="B8" s="23" t="inlineStr">
        <is>
          <t>Thursday</t>
        </is>
      </c>
      <c r="C8" s="49" t="n">
        <v>1040</v>
      </c>
      <c r="D8" s="42" t="n">
        <v>240</v>
      </c>
      <c r="E8" s="33">
        <f>IFERROR(C8/D8,0)</f>
        <v/>
      </c>
    </row>
    <row r="9">
      <c r="B9" s="20" t="inlineStr">
        <is>
          <t>Friday</t>
        </is>
      </c>
      <c r="C9" s="47" t="n">
        <v>1180</v>
      </c>
      <c r="D9" s="38" t="n">
        <v>272</v>
      </c>
      <c r="E9" s="30">
        <f>IFERROR(C9/D9,0)</f>
        <v/>
      </c>
    </row>
    <row r="10">
      <c r="B10" s="23" t="inlineStr">
        <is>
          <t>Saturday</t>
        </is>
      </c>
      <c r="C10" s="49" t="n">
        <v>1465</v>
      </c>
      <c r="D10" s="42" t="n">
        <v>342</v>
      </c>
      <c r="E10" s="33">
        <f>IFERROR(C10/D10,0)</f>
        <v/>
      </c>
    </row>
    <row r="11">
      <c r="B11" s="20" t="inlineStr">
        <is>
          <t>Sunday</t>
        </is>
      </c>
      <c r="C11" s="47" t="n">
        <v>100</v>
      </c>
      <c r="D11" s="38" t="n">
        <v>0</v>
      </c>
      <c r="E11" s="30">
        <f>IFERROR(C11/D11,0)</f>
        <v/>
      </c>
    </row>
    <row r="12">
      <c r="B12" s="9" t="inlineStr">
        <is>
          <t>WEEK TOTAL</t>
        </is>
      </c>
      <c r="C12" s="50">
        <f>SUM(C5:C11)</f>
        <v/>
      </c>
      <c r="D12" s="60">
        <f>SUM(D5:D11)</f>
        <v/>
      </c>
      <c r="E12" s="34" t="n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12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🚚  ORDERING &amp; SUPPLIERS</t>
        </is>
      </c>
    </row>
    <row r="2" ht="22" customHeight="1">
      <c r="A2" s="2" t="inlineStr">
        <is>
          <t xml:space="preserve">  Your standing order — par quantities &amp; cost, by supplier.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Item</t>
        </is>
      </c>
      <c r="C4" s="9" t="inlineStr">
        <is>
          <t>Supplier</t>
        </is>
      </c>
      <c r="D4" s="9" t="inlineStr">
        <is>
          <t>Par Order</t>
        </is>
      </c>
      <c r="E4" s="9" t="inlineStr">
        <is>
          <t>Cost</t>
        </is>
      </c>
    </row>
    <row r="5">
      <c r="B5" s="57" t="inlineStr">
        <is>
          <t>Bread flour (50 lb)</t>
        </is>
      </c>
      <c r="C5" s="57" t="inlineStr">
        <is>
          <t>Mill Direct</t>
        </is>
      </c>
      <c r="D5" s="61" t="n">
        <v>4</v>
      </c>
      <c r="E5" s="58" t="n">
        <v>96</v>
      </c>
    </row>
    <row r="6">
      <c r="B6" s="23" t="inlineStr">
        <is>
          <t>Butter (case)</t>
        </is>
      </c>
      <c r="C6" s="23" t="inlineStr">
        <is>
          <t>Dairy Co.</t>
        </is>
      </c>
      <c r="D6" s="62" t="n">
        <v>2</v>
      </c>
      <c r="E6" s="33" t="n">
        <v>168</v>
      </c>
    </row>
    <row r="7">
      <c r="B7" s="57" t="inlineStr">
        <is>
          <t>Eggs (15 dz)</t>
        </is>
      </c>
      <c r="C7" s="57" t="inlineStr">
        <is>
          <t>Farm Fresh</t>
        </is>
      </c>
      <c r="D7" s="61" t="n">
        <v>2</v>
      </c>
      <c r="E7" s="58" t="n">
        <v>90</v>
      </c>
    </row>
    <row r="8">
      <c r="B8" s="23" t="inlineStr">
        <is>
          <t>Chocolate chips (25 lb)</t>
        </is>
      </c>
      <c r="C8" s="23" t="inlineStr">
        <is>
          <t>SweetSupply</t>
        </is>
      </c>
      <c r="D8" s="62" t="n">
        <v>1</v>
      </c>
      <c r="E8" s="33" t="n">
        <v>78</v>
      </c>
    </row>
    <row r="9">
      <c r="B9" s="57" t="inlineStr">
        <is>
          <t>Bags &amp; boxes</t>
        </is>
      </c>
      <c r="C9" s="57" t="inlineStr">
        <is>
          <t>PackCo</t>
        </is>
      </c>
      <c r="D9" s="61" t="n">
        <v>1000</v>
      </c>
      <c r="E9" s="58" t="n">
        <v>140</v>
      </c>
    </row>
    <row r="10">
      <c r="B10" s="23" t="n"/>
      <c r="C10" s="23" t="n"/>
      <c r="D10" s="62" t="n"/>
      <c r="E10" s="33" t="n"/>
    </row>
    <row r="11">
      <c r="B11" s="57" t="n"/>
      <c r="C11" s="57" t="n"/>
      <c r="D11" s="61" t="n"/>
      <c r="E11" s="58" t="n"/>
    </row>
    <row r="12">
      <c r="B12" s="23" t="n"/>
      <c r="C12" s="23" t="n"/>
      <c r="D12" s="62" t="n"/>
      <c r="E12" s="33" t="n"/>
    </row>
    <row r="13">
      <c r="B13" s="57" t="n"/>
      <c r="C13" s="57" t="n"/>
      <c r="D13" s="61" t="n"/>
      <c r="E13" s="58" t="n"/>
    </row>
    <row r="14">
      <c r="B14" s="23" t="n"/>
      <c r="C14" s="23" t="n"/>
      <c r="D14" s="62" t="n"/>
      <c r="E14" s="33" t="n"/>
    </row>
    <row r="15">
      <c r="B15" s="57" t="n"/>
      <c r="C15" s="57" t="n"/>
      <c r="D15" s="61" t="n"/>
      <c r="E15" s="58" t="n"/>
    </row>
    <row r="16">
      <c r="B16" s="23" t="n"/>
      <c r="C16" s="23" t="n"/>
      <c r="D16" s="62" t="n"/>
      <c r="E16" s="33" t="n"/>
    </row>
    <row r="17">
      <c r="B17" s="57" t="n"/>
      <c r="C17" s="57" t="n"/>
      <c r="D17" s="61" t="n"/>
      <c r="E17" s="58" t="n"/>
    </row>
    <row r="18">
      <c r="B18" s="23" t="n"/>
      <c r="C18" s="23" t="n"/>
      <c r="D18" s="62" t="n"/>
      <c r="E18" s="33" t="n"/>
    </row>
    <row r="19">
      <c r="B19" s="57" t="n"/>
      <c r="C19" s="57" t="n"/>
      <c r="D19" s="61" t="n"/>
      <c r="E19" s="58" t="n"/>
    </row>
    <row r="20">
      <c r="B20" s="23" t="n"/>
      <c r="C20" s="23" t="n"/>
      <c r="D20" s="62" t="n"/>
      <c r="E20" s="33" t="n"/>
    </row>
    <row r="21">
      <c r="B21" s="57" t="n"/>
      <c r="C21" s="57" t="n"/>
      <c r="D21" s="61" t="n"/>
      <c r="E21" s="58" t="n"/>
    </row>
    <row r="22">
      <c r="B22" s="23" t="n"/>
      <c r="C22" s="23" t="n"/>
      <c r="D22" s="62" t="n"/>
      <c r="E22" s="33" t="n"/>
    </row>
    <row r="23">
      <c r="B23" s="57" t="n"/>
      <c r="C23" s="57" t="n"/>
      <c r="D23" s="61" t="n"/>
      <c r="E23" s="58" t="n"/>
    </row>
    <row r="24">
      <c r="B24" s="23" t="n"/>
      <c r="C24" s="23" t="n"/>
      <c r="D24" s="62" t="n"/>
      <c r="E24" s="33" t="n"/>
    </row>
    <row r="25">
      <c r="B25" s="57" t="n"/>
      <c r="C25" s="57" t="n"/>
      <c r="D25" s="61" t="n"/>
      <c r="E25" s="58" t="n"/>
    </row>
    <row r="26">
      <c r="B26" s="23" t="n"/>
      <c r="C26" s="23" t="n"/>
      <c r="D26" s="62" t="n"/>
      <c r="E26" s="33" t="n"/>
    </row>
    <row r="27">
      <c r="B27" s="57" t="n"/>
      <c r="C27" s="57" t="n"/>
      <c r="D27" s="61" t="n"/>
      <c r="E27" s="58" t="n"/>
    </row>
    <row r="28">
      <c r="B28" s="23" t="n"/>
      <c r="C28" s="23" t="n"/>
      <c r="D28" s="62" t="n"/>
      <c r="E28" s="33" t="n"/>
    </row>
    <row r="29">
      <c r="B29" s="9" t="inlineStr">
        <is>
          <t>ORDER TOTAL</t>
        </is>
      </c>
      <c r="C29" s="34" t="n"/>
      <c r="D29" s="34" t="n"/>
      <c r="E29" s="35">
        <f>SUM(OrderCost)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💵  CASH &amp; DEPOSITS</t>
        </is>
      </c>
    </row>
    <row r="2" ht="22" customHeight="1">
      <c r="A2" s="2" t="inlineStr">
        <is>
          <t xml:space="preserve">  Reconcile the till daily — cash, card &amp; pre-order deposits.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Day</t>
        </is>
      </c>
      <c r="C4" s="9" t="inlineStr">
        <is>
          <t>Cash</t>
        </is>
      </c>
      <c r="D4" s="9" t="inlineStr">
        <is>
          <t>Card</t>
        </is>
      </c>
      <c r="E4" s="9" t="inlineStr">
        <is>
          <t>Deposits</t>
        </is>
      </c>
      <c r="F4" s="9" t="inlineStr">
        <is>
          <t>Total</t>
        </is>
      </c>
    </row>
    <row r="5">
      <c r="B5" s="20" t="inlineStr">
        <is>
          <t>Monday</t>
        </is>
      </c>
      <c r="C5" s="47" t="n">
        <v>210</v>
      </c>
      <c r="D5" s="47" t="n">
        <v>610</v>
      </c>
      <c r="E5" s="47" t="n">
        <v>0</v>
      </c>
      <c r="F5" s="51">
        <f>C5+D5+E5</f>
        <v/>
      </c>
    </row>
    <row r="6">
      <c r="B6" s="23" t="inlineStr">
        <is>
          <t>Tuesday</t>
        </is>
      </c>
      <c r="C6" s="49" t="n">
        <v>240</v>
      </c>
      <c r="D6" s="49" t="n">
        <v>670</v>
      </c>
      <c r="E6" s="49" t="n">
        <v>40</v>
      </c>
      <c r="F6" s="52">
        <f>C6+D6+E6</f>
        <v/>
      </c>
    </row>
    <row r="7">
      <c r="B7" s="20" t="inlineStr">
        <is>
          <t>Wednesday</t>
        </is>
      </c>
      <c r="C7" s="47" t="n">
        <v>250</v>
      </c>
      <c r="D7" s="47" t="n">
        <v>730</v>
      </c>
      <c r="E7" s="47" t="n">
        <v>30</v>
      </c>
      <c r="F7" s="51">
        <f>C7+D7+E7</f>
        <v/>
      </c>
    </row>
    <row r="8">
      <c r="B8" s="23" t="inlineStr">
        <is>
          <t>Thursday</t>
        </is>
      </c>
      <c r="C8" s="49" t="n">
        <v>260</v>
      </c>
      <c r="D8" s="49" t="n">
        <v>780</v>
      </c>
      <c r="E8" s="49" t="n">
        <v>0</v>
      </c>
      <c r="F8" s="52">
        <f>C8+D8+E8</f>
        <v/>
      </c>
    </row>
    <row r="9">
      <c r="B9" s="20" t="inlineStr">
        <is>
          <t>Friday</t>
        </is>
      </c>
      <c r="C9" s="47" t="n">
        <v>300</v>
      </c>
      <c r="D9" s="47" t="n">
        <v>880</v>
      </c>
      <c r="E9" s="47" t="n">
        <v>150</v>
      </c>
      <c r="F9" s="51">
        <f>C9+D9+E9</f>
        <v/>
      </c>
    </row>
    <row r="10">
      <c r="B10" s="23" t="inlineStr">
        <is>
          <t>Saturday</t>
        </is>
      </c>
      <c r="C10" s="49" t="n">
        <v>420</v>
      </c>
      <c r="D10" s="49" t="n">
        <v>1045</v>
      </c>
      <c r="E10" s="49" t="n">
        <v>0</v>
      </c>
      <c r="F10" s="52">
        <f>C10+D10+E10</f>
        <v/>
      </c>
    </row>
    <row r="11">
      <c r="B11" s="20" t="inlineStr">
        <is>
          <t>Sunday</t>
        </is>
      </c>
      <c r="C11" s="47" t="n">
        <v>40</v>
      </c>
      <c r="D11" s="47" t="n">
        <v>60</v>
      </c>
      <c r="E11" s="47" t="n">
        <v>48</v>
      </c>
      <c r="F11" s="51">
        <f>C11+D11+E11</f>
        <v/>
      </c>
    </row>
    <row r="12">
      <c r="B12" s="9" t="inlineStr">
        <is>
          <t>WEEK TOTAL</t>
        </is>
      </c>
      <c r="C12" s="50">
        <f>SUM(C5:C11)</f>
        <v/>
      </c>
      <c r="D12" s="50">
        <f>SUM(D5:D11)</f>
        <v/>
      </c>
      <c r="E12" s="50">
        <f>SUM(E5:E11)</f>
        <v/>
      </c>
      <c r="F12" s="50">
        <f>SUM(F5:F11)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2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⛺  MARKET DAYS</t>
        </is>
      </c>
    </row>
    <row r="2" ht="22" customHeight="1">
      <c r="A2" s="2" t="inlineStr">
        <is>
          <t xml:space="preserve">  Farmers markets &amp; fairs — sales, booth fee &amp; the net you actually take home.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Market</t>
        </is>
      </c>
      <c r="C4" s="9" t="inlineStr">
        <is>
          <t>Date</t>
        </is>
      </c>
      <c r="D4" s="9" t="inlineStr">
        <is>
          <t>Sales</t>
        </is>
      </c>
      <c r="E4" s="9" t="inlineStr">
        <is>
          <t>Booth Fee</t>
        </is>
      </c>
      <c r="F4" s="9" t="inlineStr">
        <is>
          <t>Net</t>
        </is>
      </c>
    </row>
    <row r="5">
      <c r="B5" s="20" t="inlineStr">
        <is>
          <t>Saturday Farmers Market</t>
        </is>
      </c>
      <c r="C5" s="46" t="n">
        <v>46227</v>
      </c>
      <c r="D5" s="47" t="n">
        <v>1465</v>
      </c>
      <c r="E5" s="47" t="n">
        <v>50</v>
      </c>
      <c r="F5" s="51">
        <f>D5-E5</f>
        <v/>
      </c>
    </row>
    <row r="6">
      <c r="B6" s="23" t="inlineStr">
        <is>
          <t>Sunday Artisan Fair</t>
        </is>
      </c>
      <c r="C6" s="48" t="n">
        <v>46234</v>
      </c>
      <c r="D6" s="49" t="n">
        <v>980</v>
      </c>
      <c r="E6" s="49" t="n">
        <v>40</v>
      </c>
      <c r="F6" s="52">
        <f>D6-E6</f>
        <v/>
      </c>
    </row>
    <row r="7">
      <c r="B7" s="20" t="inlineStr">
        <is>
          <t>Holiday Market</t>
        </is>
      </c>
      <c r="C7" s="46" t="n">
        <v>46245</v>
      </c>
      <c r="D7" s="47" t="n">
        <v>2200</v>
      </c>
      <c r="E7" s="47" t="n">
        <v>120</v>
      </c>
      <c r="F7" s="51">
        <f>D7-E7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3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bakery, targets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YOUR BAKERY</t>
        </is>
      </c>
      <c r="E5" s="4" t="inlineStr">
        <is>
          <t>DROPDOWN LISTS</t>
        </is>
      </c>
    </row>
    <row r="6">
      <c r="B6" s="43" t="inlineStr">
        <is>
          <t>Bakery name</t>
        </is>
      </c>
      <c r="C6" s="63" t="inlineStr">
        <is>
          <t>Rise &amp; Crumb Bakery</t>
        </is>
      </c>
      <c r="E6" s="9" t="inlineStr">
        <is>
          <t>Unit</t>
        </is>
      </c>
      <c r="F6" s="9" t="inlineStr">
        <is>
          <t>Category</t>
        </is>
      </c>
      <c r="G6" s="9" t="inlineStr">
        <is>
          <t>Order Status</t>
        </is>
      </c>
      <c r="H6" s="9" t="inlineStr">
        <is>
          <t>Yes / No</t>
        </is>
      </c>
    </row>
    <row r="7">
      <c r="B7" s="43" t="inlineStr">
        <is>
          <t>Owner / baker</t>
        </is>
      </c>
      <c r="C7" s="63" t="inlineStr">
        <is>
          <t>Nora</t>
        </is>
      </c>
      <c r="E7" s="20" t="inlineStr">
        <is>
          <t>g</t>
        </is>
      </c>
      <c r="F7" s="20" t="inlineStr">
        <is>
          <t>Bread</t>
        </is>
      </c>
      <c r="G7" s="20" t="inlineStr">
        <is>
          <t>Confirmed</t>
        </is>
      </c>
      <c r="H7" s="20" t="inlineStr">
        <is>
          <t>Yes</t>
        </is>
      </c>
    </row>
    <row r="8">
      <c r="B8" s="43" t="inlineStr">
        <is>
          <t>Target food-cost %</t>
        </is>
      </c>
      <c r="C8" s="64" t="n">
        <v>0.3</v>
      </c>
      <c r="E8" s="20" t="inlineStr">
        <is>
          <t>kg</t>
        </is>
      </c>
      <c r="F8" s="20" t="inlineStr">
        <is>
          <t>Pastry</t>
        </is>
      </c>
      <c r="G8" s="20" t="inlineStr">
        <is>
          <t>Deposit</t>
        </is>
      </c>
      <c r="H8" s="20" t="inlineStr">
        <is>
          <t>No</t>
        </is>
      </c>
    </row>
    <row r="9">
      <c r="B9" s="43" t="inlineStr">
        <is>
          <t>Margin goal ($/unit)</t>
        </is>
      </c>
      <c r="C9" s="47" t="n">
        <v>3</v>
      </c>
      <c r="E9" s="20" t="inlineStr">
        <is>
          <t>oz</t>
        </is>
      </c>
      <c r="F9" s="20" t="inlineStr">
        <is>
          <t>Cookie</t>
        </is>
      </c>
      <c r="G9" s="20" t="inlineStr">
        <is>
          <t>Pending</t>
        </is>
      </c>
    </row>
    <row r="10">
      <c r="B10" s="43" t="inlineStr">
        <is>
          <t>Pre-order goal / wk</t>
        </is>
      </c>
      <c r="C10" s="65" t="n">
        <v>7</v>
      </c>
      <c r="E10" s="20" t="inlineStr">
        <is>
          <t>lb</t>
        </is>
      </c>
      <c r="F10" s="20" t="inlineStr">
        <is>
          <t>Muffin</t>
        </is>
      </c>
      <c r="G10" s="20" t="inlineStr">
        <is>
          <t>Done</t>
        </is>
      </c>
    </row>
    <row r="11">
      <c r="B11" s="43" t="inlineStr">
        <is>
          <t>Currency</t>
        </is>
      </c>
      <c r="C11" s="63" t="inlineStr">
        <is>
          <t>USD ($)</t>
        </is>
      </c>
      <c r="E11" s="20" t="inlineStr">
        <is>
          <t>each</t>
        </is>
      </c>
      <c r="F11" s="20" t="inlineStr">
        <is>
          <t>Cake</t>
        </is>
      </c>
    </row>
    <row r="12">
      <c r="E12" s="20" t="inlineStr">
        <is>
          <t>batch</t>
        </is>
      </c>
      <c r="F12" s="20" t="inlineStr">
        <is>
          <t>Savory</t>
        </is>
      </c>
    </row>
    <row r="13">
      <c r="E13" s="20" t="inlineStr">
        <is>
          <t>dozen</t>
        </is>
      </c>
      <c r="F13" s="20" t="inlineStr">
        <is>
          <t>Seasonal</t>
        </is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2026-07-22T02:51:48Z</dcterms:created>
  <dcterms:modified xsi:type="dcterms:W3CDTF">2026-07-22T02:51:48Z</dcterms:modified>
</cp:coreProperties>
</file>