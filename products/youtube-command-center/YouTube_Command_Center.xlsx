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Channel Profile" sheetId="3" state="visible" r:id="rId3"/>
    <sheet name="Calendar" sheetId="4" state="visible" r:id="rId4"/>
    <sheet name="Pipeline" sheetId="5" state="visible" r:id="rId5"/>
    <sheet name="Ideas" sheetId="6" state="visible" r:id="rId6"/>
    <sheet name="Scripts" sheetId="7" state="visible" r:id="rId7"/>
    <sheet name="Thumbnails" sheetId="8" state="visible" r:id="rId8"/>
    <sheet name="SEO" sheetId="9" state="visible" r:id="rId9"/>
    <sheet name="Analytics" sheetId="10" state="visible" r:id="rId10"/>
    <sheet name="Long Form" sheetId="11" state="visible" r:id="rId11"/>
    <sheet name="Shorts" sheetId="12" state="visible" r:id="rId12"/>
    <sheet name="Community" sheetId="13" state="visible" r:id="rId13"/>
    <sheet name="Live" sheetId="14" state="visible" r:id="rId14"/>
    <sheet name="Playlists" sheetId="15" state="visible" r:id="rId15"/>
    <sheet name="Sponsors" sheetId="16" state="visible" r:id="rId16"/>
    <sheet name="Affiliate" sheetId="17" state="visible" r:id="rId17"/>
    <sheet name="Products" sheetId="18" state="visible" r:id="rId18"/>
    <sheet name="Finance" sheetId="19" state="visible" r:id="rId19"/>
    <sheet name="Equipment" sheetId="20" state="visible" r:id="rId20"/>
    <sheet name="Repurposing" sheetId="21" state="visible" r:id="rId21"/>
    <sheet name="Brand Kit" sheetId="22" state="visible" r:id="rId22"/>
    <sheet name="Assets" sheetId="23" state="visible" r:id="rId23"/>
    <sheet name="AI Prompts" sheetId="24" state="visible" r:id="rId24"/>
    <sheet name="Goals" sheetId="25" state="visible" r:id="rId25"/>
    <sheet name="Collabs" sheetId="26" state="visible" r:id="rId26"/>
    <sheet name="Audience" sheetId="27" state="visible" r:id="rId27"/>
    <sheet name="Taxes" sheetId="28" state="visible" r:id="rId28"/>
    <sheet name="Annual Plan" sheetId="29" state="visible" r:id="rId29"/>
    <sheet name="Gallery" sheetId="30" state="visible" r:id="rId30"/>
    <sheet name="Settings" sheetId="31" state="visible" r:id="rId31"/>
  </sheets>
  <definedNames>
    <definedName name="ChannelName">Settings!$C$6</definedName>
    <definedName name="CreatorName">Settings!$C$7</definedName>
    <definedName name="Niche">Settings!$C$8</definedName>
    <definedName name="HomeCurr">Settings!$C$9</definedName>
    <definedName name="RevenueGoal">Settings!$C$10</definedName>
    <definedName name="UploadGoal">Settings!$C$11</definedName>
    <definedName name="DealTarget">Settings!$C$12</definedName>
    <definedName name="AVDTarget">Settings!$C$13</definedName>
    <definedName name="PillarList">Settings!$E$7:$E$12</definedName>
    <definedName name="VideoTypeList">Settings!$F$7:$F$12</definedName>
    <definedName name="StatusList">Settings!$G$7:$G$14</definedName>
    <definedName name="RevCatList">Settings!$H$7:$H$14</definedName>
    <definedName name="ExpCatList">Settings!$I$7:$I$14</definedName>
    <definedName name="CampaignList">Settings!$J$7:$J$12</definedName>
    <definedName name="GoalCatList">Settings!$K$7:$K$13</definedName>
    <definedName name="SponStageList">Settings!$L$7:$L$12</definedName>
    <definedName name="PriorityList">Settings!$E$17:$E$19</definedName>
    <definedName name="CurrencyList">Settings!$F$17:$F$21</definedName>
    <definedName name="YesNoList">Settings!$G$17:$G$18</definedName>
    <definedName name="CalDate">'Calendar'!$A$5:$A$64</definedName>
    <definedName name="CalStatus">'Calendar'!$F$5:$F$64</definedName>
    <definedName name="PipeTitle">'Pipeline'!$A$5:$A$44</definedName>
    <definedName name="PipeProgress">'Pipeline'!$C$5:$C$44</definedName>
    <definedName name="SubNow">'Analytics'!$C$6</definedName>
    <definedName name="Views28">'Analytics'!$C$7</definedName>
    <definedName name="WatchHrs">'Analytics'!$C$8</definedName>
    <definedName name="AvgCTR">'Analytics'!$C$9</definedName>
    <definedName name="AvgViewDur">'Analytics'!$C$10</definedName>
    <definedName name="Returning">'Analytics'!$C$11</definedName>
    <definedName name="RPM">'Analytics'!$C$12</definedName>
    <definedName name="CPM">'Analytics'!$C$13</definedName>
    <definedName name="HealthRange">'Analytics'!$F$7:$F$12</definedName>
    <definedName name="VidTitle">'Analytics'!$B$17:$B$22</definedName>
    <definedName name="VidViews">'Analytics'!$C$17:$C$22</definedName>
    <definedName name="SubMonth">'Analytics'!$B$27:$B$32</definedName>
    <definedName name="SubVal">'Analytics'!$C$27:$C$32</definedName>
    <definedName name="SponRate">'Sponsors'!$D$5:$D$34</definedName>
    <definedName name="SponStage">'Sponsors'!$E$5:$E$34</definedName>
    <definedName name="AffRevenue">'Affiliate'!$F$5:$F$34</definedName>
    <definedName name="RevSource">'Finance'!$A$5:$A$12</definedName>
    <definedName name="RevMonthly">'Finance'!$B$5:$B$12</definedName>
    <definedName name="RevenueTotal">'Finance'!$B$13</definedName>
    <definedName name="RevAdsense">'Finance'!$B$5</definedName>
    <definedName name="RevSponsorCell">'Finance'!$B$6</definedName>
    <definedName name="ExpCat">'Finance'!$F$6:$F$13</definedName>
    <definedName name="ExpMonthly">'Finance'!$G$6:$G$13</definedName>
    <definedName name="ExpenseTotal">'Finance'!$G$14</definedName>
    <definedName name="EquipName">'Equipment'!$A$5:$A$34</definedName>
    <definedName name="EquipReplace">'Equipment'!$G$5:$G$34</definedName>
    <definedName name="GoalCategory">'Goals'!$B$5:$B$11</definedName>
    <definedName name="GoalProgress">'Goals'!$E$5:$E$11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yyyy-mm-dd"/>
    <numFmt numFmtId="166" formatCode="mm/dd/yyyy"/>
    <numFmt numFmtId="167" formatCode="0.0%"/>
    <numFmt numFmtId="168" formatCode="&quot;$&quot;#,##0.00"/>
    <numFmt numFmtId="169" formatCode="0.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name val="Calibri"/>
      <color rgb="00333333"/>
      <sz val="10"/>
    </font>
    <font>
      <color rgb="00333333"/>
      <sz val="11"/>
    </font>
    <font>
      <b val="1"/>
      <color rgb="001B4F48"/>
    </font>
    <font>
      <b val="1"/>
      <color rgb="00D6D2C8"/>
    </font>
    <font>
      <b val="1"/>
      <color rgb="00FFFFFF"/>
    </font>
    <font>
      <color rgb="00937356"/>
      <sz val="11"/>
    </font>
    <font>
      <b val="1"/>
      <color rgb="00937356"/>
      <sz val="9"/>
    </font>
    <font>
      <b val="1"/>
      <color rgb="001B4F48"/>
      <sz val="18"/>
    </font>
    <font>
      <b val="1"/>
      <color rgb="001B4F48"/>
      <sz val="15"/>
    </font>
  </fonts>
  <fills count="12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  <fill>
      <patternFill patternType="solid">
        <fgColor rgb="00E3F8EF"/>
      </patternFill>
    </fill>
    <fill>
      <patternFill patternType="solid">
        <fgColor rgb="00937356"/>
      </patternFill>
    </fill>
    <fill>
      <patternFill patternType="solid">
        <fgColor rgb="0075E6C1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4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  <xf numFmtId="0" fontId="10" fillId="0" borderId="2" applyAlignment="1">
      <alignment horizontal="left" vertical="top" wrapText="1" indent="1"/>
    </xf>
  </cellStyleXfs>
  <cellXfs count="78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3" fillId="0" borderId="1" applyAlignment="1" pivotButton="0" quotePrefix="0" xfId="3">
      <alignment horizontal="left" vertical="center"/>
    </xf>
    <xf numFmtId="0" fontId="5" fillId="2" borderId="2" applyAlignment="1" pivotButton="0" quotePrefix="0" xfId="5">
      <alignment horizontal="center" vertical="center" wrapText="1"/>
    </xf>
    <xf numFmtId="0" fontId="11" fillId="6" borderId="2" applyAlignment="1" pivotButton="0" quotePrefix="0" xfId="0">
      <alignment horizontal="left" vertical="top" wrapText="1" indent="1"/>
    </xf>
    <xf numFmtId="0" fontId="0" fillId="6" borderId="0" pivotButton="0" quotePrefix="0" xfId="0"/>
    <xf numFmtId="0" fontId="16" fillId="7" borderId="4" applyAlignment="1" pivotButton="0" quotePrefix="0" xfId="0">
      <alignment horizontal="center" vertical="center"/>
    </xf>
    <xf numFmtId="0" fontId="0" fillId="7" borderId="4" pivotButton="0" quotePrefix="0" xfId="0"/>
    <xf numFmtId="3" fontId="17" fillId="7" borderId="2" applyAlignment="1" pivotButton="0" quotePrefix="0" xfId="0">
      <alignment horizontal="center" vertical="center"/>
    </xf>
    <xf numFmtId="0" fontId="0" fillId="7" borderId="2" pivotButton="0" quotePrefix="0" xfId="0"/>
    <xf numFmtId="164" fontId="17" fillId="7" borderId="2" applyAlignment="1" pivotButton="0" quotePrefix="0" xfId="0">
      <alignment horizontal="center" vertical="center"/>
    </xf>
    <xf numFmtId="168" fontId="17" fillId="7" borderId="2" applyAlignment="1" pivotButton="0" quotePrefix="0" xfId="0">
      <alignment horizontal="center" vertical="center"/>
    </xf>
    <xf numFmtId="167" fontId="17" fillId="7" borderId="2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9" fontId="17" fillId="7" borderId="2" applyAlignment="1" pivotButton="0" quotePrefix="0" xfId="0">
      <alignment horizontal="center" vertical="center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166" fontId="6" fillId="7" borderId="2" applyAlignment="1" pivotButton="0" quotePrefix="0" xfId="6">
      <alignment horizontal="center" vertical="center" wrapText="1"/>
    </xf>
    <xf numFmtId="0" fontId="6" fillId="7" borderId="2" applyAlignment="1" pivotButton="0" quotePrefix="0" xfId="7">
      <alignment horizontal="left" vertical="center" wrapText="1" indent="1"/>
    </xf>
    <xf numFmtId="0" fontId="6" fillId="7" borderId="2" applyAlignment="1" pivotButton="0" quotePrefix="0" xfId="6">
      <alignment horizontal="center" vertical="center" wrapText="1"/>
    </xf>
    <xf numFmtId="166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0" fontId="6" fillId="8" borderId="2" applyAlignment="1" pivotButton="0" quotePrefix="0" xfId="6">
      <alignment horizontal="center" vertical="center" wrapText="1"/>
    </xf>
    <xf numFmtId="9" fontId="6" fillId="7" borderId="2" applyAlignment="1" pivotButton="0" quotePrefix="0" xfId="6">
      <alignment horizontal="center" vertical="center" wrapText="1"/>
    </xf>
    <xf numFmtId="9" fontId="6" fillId="8" borderId="2" applyAlignment="1" pivotButton="0" quotePrefix="0" xfId="6">
      <alignment horizontal="center" vertical="center" wrapText="1"/>
    </xf>
    <xf numFmtId="3" fontId="6" fillId="7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0" fontId="9" fillId="4" borderId="3" applyAlignment="1" pivotButton="0" quotePrefix="0" xfId="11">
      <alignment horizontal="center" vertical="center" wrapText="1"/>
    </xf>
    <xf numFmtId="0" fontId="7" fillId="9" borderId="2" applyAlignment="1" pivotButton="0" quotePrefix="0" xfId="10">
      <alignment horizontal="left" vertical="center" indent="1"/>
    </xf>
    <xf numFmtId="3" fontId="7" fillId="9" borderId="2" applyAlignment="1" pivotButton="0" quotePrefix="0" xfId="10">
      <alignment horizontal="left" vertical="center" indent="1"/>
    </xf>
    <xf numFmtId="3" fontId="7" fillId="0" borderId="2" applyAlignment="1" pivotButton="0" quotePrefix="0" xfId="10">
      <alignment horizontal="left" vertical="center" indent="1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10">
      <alignment horizontal="left" vertical="center" indent="1"/>
    </xf>
    <xf numFmtId="9" fontId="7" fillId="0" borderId="2" applyAlignment="1" pivotButton="0" quotePrefix="0" xfId="10">
      <alignment horizontal="left" vertical="center" indent="1"/>
    </xf>
    <xf numFmtId="168" fontId="7" fillId="9" borderId="2" applyAlignment="1" pivotButton="0" quotePrefix="0" xfId="10">
      <alignment horizontal="left" vertical="center" indent="1"/>
    </xf>
    <xf numFmtId="168" fontId="7" fillId="0" borderId="2" applyAlignment="1" pivotButton="0" quotePrefix="0" xfId="10">
      <alignment horizontal="left" vertical="center" indent="1"/>
    </xf>
    <xf numFmtId="3" fontId="6" fillId="0" borderId="2" applyAlignment="1" pivotButton="0" quotePrefix="0" xfId="6">
      <alignment horizontal="center" vertical="center" wrapText="1"/>
    </xf>
    <xf numFmtId="167" fontId="6" fillId="0" borderId="2" applyAlignment="1" pivotButton="0" quotePrefix="0" xfId="6">
      <alignment horizontal="center" vertical="center" wrapText="1"/>
    </xf>
    <xf numFmtId="168" fontId="6" fillId="0" borderId="2" applyAlignment="1" pivotButton="0" quotePrefix="0" xfId="6">
      <alignment horizontal="center" vertical="center" wrapText="1"/>
    </xf>
    <xf numFmtId="167" fontId="6" fillId="8" borderId="2" applyAlignment="1" pivotButton="0" quotePrefix="0" xfId="6">
      <alignment horizontal="center" vertical="center" wrapText="1"/>
    </xf>
    <xf numFmtId="168" fontId="6" fillId="8" borderId="2" applyAlignment="1" pivotButton="0" quotePrefix="0" xfId="6">
      <alignment horizontal="center" vertical="center" wrapText="1"/>
    </xf>
    <xf numFmtId="169" fontId="6" fillId="0" borderId="2" applyAlignment="1" pivotButton="0" quotePrefix="0" xfId="6">
      <alignment horizontal="center" vertical="center" wrapText="1"/>
    </xf>
    <xf numFmtId="169" fontId="6" fillId="8" borderId="2" applyAlignment="1" pivotButton="0" quotePrefix="0" xfId="6">
      <alignment horizontal="center" vertical="center" wrapText="1"/>
    </xf>
    <xf numFmtId="164" fontId="6" fillId="7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3" fontId="0" fillId="0" borderId="0" pivotButton="0" quotePrefix="0" xfId="0"/>
    <xf numFmtId="3" fontId="12" fillId="3" borderId="2" applyAlignment="1" pivotButton="0" quotePrefix="0" xfId="6">
      <alignment horizontal="center" vertical="center" wrapText="1"/>
    </xf>
    <xf numFmtId="164" fontId="12" fillId="3" borderId="2" applyAlignment="1" pivotButton="0" quotePrefix="0" xfId="6">
      <alignment horizontal="center" vertical="center" wrapText="1"/>
    </xf>
    <xf numFmtId="169" fontId="6" fillId="7" borderId="2" applyAlignment="1" pivotButton="0" quotePrefix="0" xfId="6">
      <alignment horizontal="center" vertical="center" wrapText="1"/>
    </xf>
    <xf numFmtId="164" fontId="7" fillId="3" borderId="2" applyAlignment="1" pivotButton="0" quotePrefix="0" xfId="8">
      <alignment horizontal="center" vertical="center"/>
    </xf>
    <xf numFmtId="164" fontId="6" fillId="0" borderId="2" applyAlignment="1" pivotButton="0" quotePrefix="0" xfId="6">
      <alignment horizontal="center" vertical="center" wrapText="1"/>
    </xf>
    <xf numFmtId="164" fontId="7" fillId="8" borderId="2" applyAlignment="1" pivotButton="0" quotePrefix="0" xfId="8">
      <alignment horizontal="center" vertical="center"/>
    </xf>
    <xf numFmtId="164" fontId="7" fillId="0" borderId="2" applyAlignment="1" pivotButton="0" quotePrefix="0" xfId="10">
      <alignment horizontal="left" vertical="center" indent="1"/>
    </xf>
    <xf numFmtId="164" fontId="7" fillId="9" borderId="2" applyAlignment="1" pivotButton="0" quotePrefix="0" xfId="10">
      <alignment horizontal="left" vertical="center" indent="1"/>
    </xf>
    <xf numFmtId="9" fontId="7" fillId="9" borderId="2" applyAlignment="1" pivotButton="0" quotePrefix="0" xfId="10">
      <alignment horizontal="left" vertical="center" indent="1"/>
    </xf>
    <xf numFmtId="0" fontId="12" fillId="9" borderId="2" applyAlignment="1" pivotButton="0" quotePrefix="0" xfId="6">
      <alignment horizontal="center" vertical="center" wrapText="1"/>
    </xf>
    <xf numFmtId="0" fontId="13" fillId="7" borderId="2" applyAlignment="1" pivotButton="0" quotePrefix="0" xfId="6">
      <alignment horizontal="center" vertical="center" wrapText="1"/>
    </xf>
    <xf numFmtId="9" fontId="12" fillId="0" borderId="2" applyAlignment="1" pivotButton="0" quotePrefix="0" xfId="6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0" fillId="0" borderId="2" applyAlignment="1" pivotButton="0" quotePrefix="0" xfId="13">
      <alignment horizontal="left" vertical="top" wrapText="1" indent="1"/>
    </xf>
    <xf numFmtId="0" fontId="8" fillId="8" borderId="2" applyAlignment="1" pivotButton="0" quotePrefix="0" xfId="9">
      <alignment horizontal="left" vertical="center" indent="1"/>
    </xf>
    <xf numFmtId="9" fontId="7" fillId="3" borderId="2" applyAlignment="1" pivotButton="0" quotePrefix="0" xfId="8">
      <alignment horizontal="center" vertical="center"/>
    </xf>
    <xf numFmtId="9" fontId="7" fillId="8" borderId="2" applyAlignment="1" pivotButton="0" quotePrefix="0" xfId="8">
      <alignment horizontal="center" vertical="center"/>
    </xf>
    <xf numFmtId="0" fontId="15" fillId="0" borderId="2" applyAlignment="1" pivotButton="0" quotePrefix="0" xfId="0">
      <alignment horizontal="center"/>
    </xf>
    <xf numFmtId="164" fontId="7" fillId="6" borderId="2" applyAlignment="1" pivotButton="0" quotePrefix="0" xfId="10">
      <alignment horizontal="left" vertical="center" indent="1"/>
    </xf>
    <xf numFmtId="166" fontId="7" fillId="0" borderId="2" applyAlignment="1" pivotButton="0" quotePrefix="0" xfId="10">
      <alignment horizontal="left" vertical="center" indent="1"/>
    </xf>
    <xf numFmtId="0" fontId="7" fillId="3" borderId="2" applyAlignment="1" pivotButton="0" quotePrefix="0" xfId="8">
      <alignment horizontal="center" vertical="center"/>
    </xf>
    <xf numFmtId="0" fontId="7" fillId="8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</cellXfs>
  <cellStyles count="14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  <cellStyle name="msg" xfId="13" hidden="0"/>
  </cellStyles>
  <dxfs count="6"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FAF7F1"/>
        </patternFill>
      </fill>
    </dxf>
    <dxf>
      <fill>
        <patternFill patternType="solid">
          <fgColor rgb="00FFFFFF"/>
        </patternFill>
      </fill>
    </dxf>
    <dxf>
      <font>
        <b val="1"/>
        <color rgb="00937356"/>
      </font>
      <fill>
        <patternFill patternType="solid">
          <fgColor rgb="00FBF0E2"/>
        </patternFill>
      </fill>
    </dxf>
    <dxf>
      <fill>
        <patternFill patternType="solid">
          <fgColor rgb="00FB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Subscriber Growth (K)</a:t>
            </a:r>
          </a:p>
        </rich>
      </tx>
    </title>
    <plotArea>
      <lineChart>
        <grouping val="standard"/>
        <ser>
          <idx val="0"/>
          <order val="0"/>
          <tx>
            <strRef>
              <f>'Analytics'!C26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'Analytics'!$B$27:$B$32</f>
            </numRef>
          </cat>
          <val>
            <numRef>
              <f>'Analytics'!$C$27:$C$32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Source</a:t>
            </a:r>
          </a:p>
        </rich>
      </tx>
    </title>
    <plotArea>
      <doughnutChart>
        <varyColors val="1"/>
        <ser>
          <idx val="0"/>
          <order val="0"/>
          <tx>
            <strRef>
              <f>'Finance'!B4</f>
            </strRef>
          </tx>
          <spPr>
            <a:ln>
              <a:prstDash val="solid"/>
            </a:ln>
          </spPr>
          <cat>
            <numRef>
              <f>'Finance'!$A$5:$A$12</f>
            </numRef>
          </cat>
          <val>
            <numRef>
              <f>'Finance'!$B$5:$B$12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Videos by Views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'Analytics'!C16</f>
            </strRef>
          </tx>
          <spPr>
            <a:ln>
              <a:prstDash val="solid"/>
            </a:ln>
          </spPr>
          <cat>
            <numRef>
              <f>'Analytics'!$B$17:$B$22</f>
            </numRef>
          </cat>
          <val>
            <numRef>
              <f>'Analytics'!$C$17:$C$22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'Finance'!G6</f>
            </strRef>
          </tx>
          <spPr>
            <a:ln>
              <a:prstDash val="solid"/>
            </a:ln>
          </spPr>
          <cat>
            <numRef>
              <f>'Finance'!$F$6:$F$13</f>
            </numRef>
          </cat>
          <val>
            <numRef>
              <f>'Finance'!$G$7:$G$13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4F48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▶  YOUTUBE COMMAND CENTER™</t>
        </is>
      </c>
    </row>
    <row r="2" ht="24" customHeight="1">
      <c r="A2" s="2" t="inlineStr">
        <is>
          <t xml:space="preserve">  The ultimate YouTube business operating system.</t>
        </is>
      </c>
    </row>
    <row r="3" ht="6" customHeight="1">
      <c r="A3" s="3" t="n"/>
      <c r="B3" s="3" t="n"/>
      <c r="C3" s="3" t="n"/>
    </row>
    <row r="5">
      <c r="B5" s="4" t="inlineStr">
        <is>
          <t>RUN YOUR ENTIRE YOUTUBE BUSINESS FROM ONE FILE</t>
        </is>
      </c>
    </row>
    <row r="6" ht="22" customHeight="1">
      <c r="B6" s="5" t="inlineStr">
        <is>
          <t>From idea to income — YouTube Command Center™ manages ideation, production, publishing, SEO, analytics, sponsorships, finances and long-term growth in ONE premium Excel &amp; Google Sheets system. Stay consistent, publish higher-quality videos, track your growth, land brand deals, grow revenue and scale a real business — all with academy-level automation. This isn't a content calendar. It's your YouTube business OS.</t>
        </is>
      </c>
    </row>
    <row r="7" ht="22" customHeight="1"/>
    <row r="8" ht="22" customHeight="1"/>
    <row r="9" ht="22" customHeight="1"/>
    <row r="11">
      <c r="B11" s="6" t="inlineStr">
        <is>
          <t>START HERE</t>
        </is>
      </c>
    </row>
    <row r="12" ht="22" customHeight="1">
      <c r="B12" s="5" t="inlineStr">
        <is>
          <t>1.  Open Settings and add your channel name, niche &amp; monthly goals.</t>
        </is>
      </c>
    </row>
    <row r="13" ht="22" customHeight="1">
      <c r="B13" s="5" t="inlineStr">
        <is>
          <t>2.  Fill in the Channel Profile &amp; Brand Kit (pillars, colors, links).</t>
        </is>
      </c>
    </row>
    <row r="14" ht="22" customHeight="1">
      <c r="B14" s="5" t="inlineStr">
        <is>
          <t>3.  Capture ideas in the Idea Vault, then move them through the Pipeline.</t>
        </is>
      </c>
    </row>
    <row r="15" ht="22" customHeight="1">
      <c r="B15" s="5" t="inlineStr">
        <is>
          <t>4.  Plan uploads in the Content Calendar; optimize with the SEO Center.</t>
        </is>
      </c>
    </row>
    <row r="16" ht="22" customHeight="1">
      <c r="B16" s="5" t="inlineStr">
        <is>
          <t>5.  Log analytics, sponsors, affiliates &amp; finances — profit updates live.</t>
        </is>
      </c>
    </row>
    <row r="17" ht="22" customHeight="1">
      <c r="B17" s="5" t="inlineStr">
        <is>
          <t>6.  Watch the Executive Dashboard track growth, revenue &amp; channel health.</t>
        </is>
      </c>
    </row>
    <row r="20" ht="26" customHeight="1">
      <c r="B20" s="7" t="inlineStr">
        <is>
          <t xml:space="preserve">  GOOD TO KNOW</t>
        </is>
      </c>
    </row>
    <row r="21" ht="22" customHeight="1">
      <c r="B21" s="8" t="inlineStr">
        <is>
          <t>Realistic sample data (an 84k-subscriber channel earning $9,840/mo) is included so you can see how everything connects — just type over it with your own. Revenue, net profit, subscriber growth, upload consistency, sponsorship pipeline and the Channel Health Score all update automatically. Every sheet is print-friendly and works in Excel and Google Sheets, on desktop and mobile.</t>
        </is>
      </c>
    </row>
    <row r="22" ht="22" customHeight="1">
      <c r="B22" s="9" t="n"/>
    </row>
    <row r="23" ht="22" customHeight="1">
      <c r="B23" s="9" t="n"/>
    </row>
    <row r="25">
      <c r="B25" s="4" t="inlineStr">
        <is>
          <t>One organized system, more time to create — let's grow your channel.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F48"/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▶  YOUTUBE COMMAND CENTER™</t>
        </is>
      </c>
    </row>
    <row r="2" ht="24" customHeight="1">
      <c r="A2" s="2" t="inlineStr">
        <is>
          <t xml:space="preserve">  Subscribers, revenue, sponsors &amp; content — your whole YouTube business,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0" t="inlineStr">
        <is>
          <t>SUBSCRIBERS</t>
        </is>
      </c>
      <c r="C5" s="11" t="n"/>
      <c r="D5" s="10" t="inlineStr">
        <is>
          <t>VIEWS (28D)</t>
        </is>
      </c>
      <c r="E5" s="11" t="n"/>
      <c r="F5" s="10" t="inlineStr">
        <is>
          <t>WATCH HOURS</t>
        </is>
      </c>
      <c r="G5" s="11" t="n"/>
      <c r="H5" s="10" t="inlineStr">
        <is>
          <t>PUBLISHED (28D)</t>
        </is>
      </c>
      <c r="I5" s="11" t="n"/>
      <c r="J5" s="10" t="inlineStr">
        <is>
          <t>MONTHLY REVENUE</t>
        </is>
      </c>
      <c r="K5" s="11" t="n"/>
      <c r="L5" s="10" t="inlineStr">
        <is>
          <t>NET PROFIT</t>
        </is>
      </c>
      <c r="M5" s="11" t="n"/>
    </row>
    <row r="6" ht="40" customHeight="1">
      <c r="B6" s="12">
        <f>SubNow</f>
        <v/>
      </c>
      <c r="C6" s="13" t="n"/>
      <c r="D6" s="12">
        <f>Views28</f>
        <v/>
      </c>
      <c r="E6" s="13" t="n"/>
      <c r="F6" s="12">
        <f>WatchHrs</f>
        <v/>
      </c>
      <c r="G6" s="13" t="n"/>
      <c r="H6" s="12">
        <f>COUNTIFS(CalDate,"&gt;="&amp;TODAY()-28,CalStatus,"Published")</f>
        <v/>
      </c>
      <c r="I6" s="13" t="n"/>
      <c r="J6" s="14">
        <f>RevenueTotal</f>
        <v/>
      </c>
      <c r="K6" s="13" t="n"/>
      <c r="L6" s="14">
        <f>RevenueTotal-ExpenseTotal</f>
        <v/>
      </c>
      <c r="M6" s="13" t="n"/>
    </row>
    <row r="8" ht="18" customHeight="1">
      <c r="B8" s="10" t="inlineStr">
        <is>
          <t>RPM</t>
        </is>
      </c>
      <c r="C8" s="11" t="n"/>
      <c r="D8" s="10" t="inlineStr">
        <is>
          <t>AVG CTR</t>
        </is>
      </c>
      <c r="E8" s="11" t="n"/>
      <c r="F8" s="10" t="inlineStr">
        <is>
          <t>AVG VIEW DUR</t>
        </is>
      </c>
      <c r="G8" s="11" t="n"/>
      <c r="H8" s="10" t="inlineStr">
        <is>
          <t>BRAND DEALS</t>
        </is>
      </c>
      <c r="I8" s="11" t="n"/>
      <c r="J8" s="10" t="inlineStr">
        <is>
          <t>UPLOAD CONSISTENCY</t>
        </is>
      </c>
      <c r="K8" s="11" t="n"/>
      <c r="L8" s="10" t="inlineStr">
        <is>
          <t>CHANNEL HEALTH</t>
        </is>
      </c>
      <c r="M8" s="11" t="n"/>
    </row>
    <row r="9" ht="40" customHeight="1">
      <c r="B9" s="15">
        <f>RPM</f>
        <v/>
      </c>
      <c r="C9" s="13" t="n"/>
      <c r="D9" s="16">
        <f>AvgCTR</f>
        <v/>
      </c>
      <c r="E9" s="13" t="n"/>
      <c r="F9" s="17">
        <f>AvgViewDur</f>
        <v/>
      </c>
      <c r="G9" s="13" t="n"/>
      <c r="H9" s="12">
        <f>COUNTIF(SponStage,"Signed")+COUNTIF(SponStage,"Delivered")+COUNTIF(SponStage,"Negotiation")</f>
        <v/>
      </c>
      <c r="I9" s="13" t="n"/>
      <c r="J9" s="18">
        <f>IFERROR(MIN(COUNTIFS(CalDate,"&gt;="&amp;TODAY()-28,CalStatus,"Published")/UploadGoal,1),0)</f>
        <v/>
      </c>
      <c r="K9" s="13" t="n"/>
      <c r="L9" s="18">
        <f>IFERROR(AVERAGE(HealthRange),0)</f>
        <v/>
      </c>
      <c r="M9" s="13" t="n"/>
    </row>
    <row r="11" ht="26" customHeight="1">
      <c r="B11" s="4" t="inlineStr">
        <is>
          <t>AUDIENCE &amp; REVENUE</t>
        </is>
      </c>
    </row>
    <row r="29" ht="26" customHeight="1">
      <c r="B29" s="4" t="inlineStr">
        <is>
          <t>CONTENT &amp; PROFIT</t>
        </is>
      </c>
    </row>
    <row r="47" ht="26" customHeight="1">
      <c r="B47" s="2" t="inlineStr">
        <is>
          <t>YouTube Command Center™ — from idea to income, all in one place. Edit anything in Settings.</t>
        </is>
      </c>
    </row>
  </sheetData>
  <mergeCells count="29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47:M47"/>
    <mergeCell ref="B6:C6"/>
    <mergeCell ref="L6:M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5E6C1"/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0" customWidth="1" min="3" max="3"/>
    <col width="6" customWidth="1" min="4" max="4"/>
    <col width="24" customWidth="1" min="5" max="5"/>
    <col width="24" customWidth="1" min="6" max="6"/>
    <col width="2" customWidth="1" min="7" max="7"/>
  </cols>
  <sheetData>
    <row r="1" ht="46" customHeight="1">
      <c r="A1" s="1" t="inlineStr">
        <is>
          <t xml:space="preserve">  📺  CHANNEL PROFILE</t>
        </is>
      </c>
    </row>
    <row r="2" ht="22" customHeight="1">
      <c r="A2" s="2" t="inlineStr">
        <is>
          <t xml:space="preserve">  Your channel, defined — the identity every video flows from.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THE CHANNEL</t>
        </is>
      </c>
    </row>
    <row r="6" ht="24" customHeight="1">
      <c r="B6" s="19" t="inlineStr">
        <is>
          <t>Channel Name</t>
        </is>
      </c>
      <c r="C6" s="20">
        <f>ChannelName</f>
        <v/>
      </c>
      <c r="E6" s="19" t="inlineStr">
        <is>
          <t>Creator</t>
        </is>
      </c>
      <c r="F6" s="20">
        <f>CreatorName</f>
        <v/>
      </c>
    </row>
    <row r="7" ht="24" customHeight="1">
      <c r="B7" s="19" t="inlineStr">
        <is>
          <t>Niche</t>
        </is>
      </c>
      <c r="C7" s="20">
        <f>Niche</f>
        <v/>
      </c>
      <c r="E7" s="19" t="inlineStr">
        <is>
          <t>Upload Schedule</t>
        </is>
      </c>
      <c r="F7" s="20" t="inlineStr">
        <is>
          <t>Tue &amp; Fri, 9am ET</t>
        </is>
      </c>
    </row>
    <row r="8" ht="24" customHeight="1">
      <c r="B8" s="19" t="inlineStr">
        <is>
          <t>Founded</t>
        </is>
      </c>
      <c r="C8" s="20" t="inlineStr">
        <is>
          <t>2021</t>
        </is>
      </c>
      <c r="E8" s="19" t="inlineStr">
        <is>
          <t>Business Email</t>
        </is>
      </c>
      <c r="F8" s="20" t="inlineStr">
        <is>
          <t>hi@valestudio.co</t>
        </is>
      </c>
    </row>
    <row r="10" ht="22" customHeight="1">
      <c r="B10" s="4" t="inlineStr">
        <is>
          <t>STRATEGY</t>
        </is>
      </c>
    </row>
    <row r="11" ht="24" customHeight="1">
      <c r="B11" s="19" t="inlineStr">
        <is>
          <t>Mission</t>
        </is>
      </c>
      <c r="C11" s="20" t="inlineStr">
        <is>
          <t>Turn creators into CEOs</t>
        </is>
      </c>
      <c r="E11" s="19" t="inlineStr">
        <is>
          <t>Target Audience</t>
        </is>
      </c>
      <c r="F11" s="20" t="inlineStr">
        <is>
          <t>Aspiring creators 24–38</t>
        </is>
      </c>
    </row>
    <row r="12" ht="24" customHeight="1">
      <c r="B12" s="19" t="inlineStr">
        <is>
          <t>Content Pillars</t>
        </is>
      </c>
      <c r="C12" s="20" t="inlineStr">
        <is>
          <t>Systems · Money · Growth</t>
        </is>
      </c>
      <c r="E12" s="19" t="inlineStr">
        <is>
          <t>Manager</t>
        </is>
      </c>
      <c r="F12" s="20" t="inlineStr">
        <is>
          <t>Self-managed</t>
        </is>
      </c>
    </row>
    <row r="13" ht="24" customHeight="1">
      <c r="B13" s="19" t="inlineStr">
        <is>
          <t>Tax Entity</t>
        </is>
      </c>
      <c r="C13" s="20" t="inlineStr">
        <is>
          <t>Vale Studio LLC</t>
        </is>
      </c>
      <c r="E13" s="19" t="inlineStr">
        <is>
          <t>Website</t>
        </is>
      </c>
      <c r="F13" s="20" t="inlineStr">
        <is>
          <t>valestudio.co</t>
        </is>
      </c>
    </row>
    <row r="15" ht="22" customHeight="1">
      <c r="B15" s="4" t="inlineStr">
        <is>
          <t>SOCIAL LINKS</t>
        </is>
      </c>
    </row>
    <row r="16">
      <c r="B16" s="19" t="inlineStr">
        <is>
          <t>YouTube</t>
        </is>
      </c>
      <c r="C16" s="20" t="inlineStr">
        <is>
          <t>@valestudio</t>
        </is>
      </c>
      <c r="E16" s="19" t="inlineStr">
        <is>
          <t>Instagram</t>
        </is>
      </c>
      <c r="F16" s="20" t="inlineStr">
        <is>
          <t>@vale.studio</t>
        </is>
      </c>
    </row>
    <row r="17">
      <c r="B17" s="19" t="inlineStr">
        <is>
          <t>TikTok</t>
        </is>
      </c>
      <c r="C17" s="20" t="inlineStr">
        <is>
          <t>@valestudio</t>
        </is>
      </c>
      <c r="E17" s="19" t="inlineStr">
        <is>
          <t>X</t>
        </is>
      </c>
      <c r="F17" s="20" t="inlineStr">
        <is>
          <t>@valestudio</t>
        </is>
      </c>
    </row>
    <row r="18">
      <c r="B18" s="19" t="inlineStr">
        <is>
          <t>Newsletter</t>
        </is>
      </c>
      <c r="C18" s="20" t="inlineStr">
        <is>
          <t>The Vale Note</t>
        </is>
      </c>
      <c r="E18" s="19" t="inlineStr">
        <is>
          <t>LinkedIn</t>
        </is>
      </c>
      <c r="F18" s="20" t="inlineStr">
        <is>
          <t>Jordan Vale</t>
        </is>
      </c>
    </row>
  </sheetData>
  <mergeCells count="5">
    <mergeCell ref="A1:G1"/>
    <mergeCell ref="B15:F15"/>
    <mergeCell ref="B10:F10"/>
    <mergeCell ref="B5:F5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5D3BA"/>
    <outlinePr summaryBelow="1" summaryRight="1"/>
    <pageSetUpPr/>
  </sheetPr>
  <dimension ref="A1:F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3" customWidth="1" min="4" max="4"/>
    <col width="11" customWidth="1" min="5" max="5"/>
    <col width="14" customWidth="1" min="6" max="6"/>
  </cols>
  <sheetData>
    <row r="1" ht="46" customHeight="1">
      <c r="A1" s="1" t="inlineStr">
        <is>
          <t xml:space="preserve">  🗓  CONTENT MASTER CALENDAR</t>
        </is>
      </c>
    </row>
    <row r="2" ht="22" customHeight="1">
      <c r="A2" s="2" t="inlineStr">
        <is>
          <t xml:space="preserve">  Plan every upload in one view — publishing status calculates itself.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Publish Date</t>
        </is>
      </c>
      <c r="B4" s="7" t="inlineStr">
        <is>
          <t>Title</t>
        </is>
      </c>
      <c r="C4" s="7" t="inlineStr">
        <is>
          <t>Pillar</t>
        </is>
      </c>
      <c r="D4" s="7" t="inlineStr">
        <is>
          <t>Type</t>
        </is>
      </c>
      <c r="E4" s="7" t="inlineStr">
        <is>
          <t>Priority</t>
        </is>
      </c>
      <c r="F4" s="7" t="inlineStr">
        <is>
          <t>Status</t>
        </is>
      </c>
    </row>
    <row r="5">
      <c r="A5" s="21" t="n">
        <v>46190</v>
      </c>
      <c r="B5" s="22" t="inlineStr">
        <is>
          <t>5 Systems That 10x Your Output</t>
        </is>
      </c>
      <c r="C5" s="23" t="inlineStr">
        <is>
          <t>Systems</t>
        </is>
      </c>
      <c r="D5" s="23" t="inlineStr">
        <is>
          <t>Long-form</t>
        </is>
      </c>
      <c r="E5" s="23" t="inlineStr">
        <is>
          <t>High</t>
        </is>
      </c>
      <c r="F5" s="23" t="inlineStr">
        <is>
          <t>Published</t>
        </is>
      </c>
    </row>
    <row r="6">
      <c r="A6" s="24" t="n">
        <v>46194</v>
      </c>
      <c r="B6" s="25" t="inlineStr">
        <is>
          <t>The $0 editing workflow</t>
        </is>
      </c>
      <c r="C6" s="26" t="inlineStr">
        <is>
          <t>Tools</t>
        </is>
      </c>
      <c r="D6" s="26" t="inlineStr">
        <is>
          <t>Long-form</t>
        </is>
      </c>
      <c r="E6" s="26" t="inlineStr">
        <is>
          <t>High</t>
        </is>
      </c>
      <c r="F6" s="26" t="inlineStr">
        <is>
          <t>Published</t>
        </is>
      </c>
    </row>
    <row r="7">
      <c r="A7" s="21" t="n">
        <v>46197</v>
      </c>
      <c r="B7" s="22" t="inlineStr">
        <is>
          <t>How I plan a month in 90 min</t>
        </is>
      </c>
      <c r="C7" s="23" t="inlineStr">
        <is>
          <t>Systems</t>
        </is>
      </c>
      <c r="D7" s="23" t="inlineStr">
        <is>
          <t>Long-form</t>
        </is>
      </c>
      <c r="E7" s="23" t="inlineStr">
        <is>
          <t>High</t>
        </is>
      </c>
      <c r="F7" s="23" t="inlineStr">
        <is>
          <t>Published</t>
        </is>
      </c>
    </row>
    <row r="8">
      <c r="A8" s="24" t="n">
        <v>46200</v>
      </c>
      <c r="B8" s="25" t="inlineStr">
        <is>
          <t>I quit my job. Here's the math</t>
        </is>
      </c>
      <c r="C8" s="26" t="inlineStr">
        <is>
          <t>Money</t>
        </is>
      </c>
      <c r="D8" s="26" t="inlineStr">
        <is>
          <t>Long-form</t>
        </is>
      </c>
      <c r="E8" s="26" t="inlineStr">
        <is>
          <t>High</t>
        </is>
      </c>
      <c r="F8" s="26" t="inlineStr">
        <is>
          <t>Published</t>
        </is>
      </c>
    </row>
    <row r="9">
      <c r="A9" s="21" t="n">
        <v>46204</v>
      </c>
      <c r="B9" s="22" t="inlineStr">
        <is>
          <t>3 tools I can't live without</t>
        </is>
      </c>
      <c r="C9" s="23" t="inlineStr">
        <is>
          <t>Tools</t>
        </is>
      </c>
      <c r="D9" s="23" t="inlineStr">
        <is>
          <t>Short</t>
        </is>
      </c>
      <c r="E9" s="23" t="inlineStr">
        <is>
          <t>Medium</t>
        </is>
      </c>
      <c r="F9" s="23" t="inlineStr">
        <is>
          <t>Published</t>
        </is>
      </c>
    </row>
    <row r="10">
      <c r="A10" s="24" t="n">
        <v>46206</v>
      </c>
      <c r="B10" s="25" t="inlineStr">
        <is>
          <t>Reply: how much I actually make</t>
        </is>
      </c>
      <c r="C10" s="26" t="inlineStr">
        <is>
          <t>Money</t>
        </is>
      </c>
      <c r="D10" s="26" t="inlineStr">
        <is>
          <t>Short</t>
        </is>
      </c>
      <c r="E10" s="26" t="inlineStr">
        <is>
          <t>Medium</t>
        </is>
      </c>
      <c r="F10" s="26" t="inlineStr">
        <is>
          <t>Published</t>
        </is>
      </c>
    </row>
    <row r="11">
      <c r="A11" s="21" t="n">
        <v>46209</v>
      </c>
      <c r="B11" s="22" t="inlineStr">
        <is>
          <t>My full content OS (2024)</t>
        </is>
      </c>
      <c r="C11" s="23" t="inlineStr">
        <is>
          <t>Systems</t>
        </is>
      </c>
      <c r="D11" s="23" t="inlineStr">
        <is>
          <t>Long-form</t>
        </is>
      </c>
      <c r="E11" s="23" t="inlineStr">
        <is>
          <t>High</t>
        </is>
      </c>
      <c r="F11" s="23" t="inlineStr">
        <is>
          <t>Scheduled</t>
        </is>
      </c>
    </row>
    <row r="12">
      <c r="A12" s="24" t="n">
        <v>46210</v>
      </c>
      <c r="B12" s="25" t="inlineStr">
        <is>
          <t>Launch week: behind the build</t>
        </is>
      </c>
      <c r="C12" s="26" t="inlineStr">
        <is>
          <t>Behind-the-scenes</t>
        </is>
      </c>
      <c r="D12" s="26" t="inlineStr">
        <is>
          <t>Short</t>
        </is>
      </c>
      <c r="E12" s="26" t="inlineStr">
        <is>
          <t>Medium</t>
        </is>
      </c>
      <c r="F12" s="26" t="inlineStr">
        <is>
          <t>Scheduled</t>
        </is>
      </c>
    </row>
    <row r="13">
      <c r="A13" s="21" t="n">
        <v>46213</v>
      </c>
      <c r="B13" s="22" t="inlineStr">
        <is>
          <t>Sponsor integration: Riverside</t>
        </is>
      </c>
      <c r="C13" s="23" t="inlineStr">
        <is>
          <t>Tools</t>
        </is>
      </c>
      <c r="D13" s="23" t="inlineStr">
        <is>
          <t>Long-form</t>
        </is>
      </c>
      <c r="E13" s="23" t="inlineStr">
        <is>
          <t>High</t>
        </is>
      </c>
      <c r="F13" s="23" t="inlineStr">
        <is>
          <t>Scheduled</t>
        </is>
      </c>
    </row>
    <row r="14">
      <c r="A14" s="24" t="n">
        <v>46216</v>
      </c>
      <c r="B14" s="25" t="inlineStr">
        <is>
          <t>Faceless channel playbook</t>
        </is>
      </c>
      <c r="C14" s="26" t="inlineStr">
        <is>
          <t>Growth</t>
        </is>
      </c>
      <c r="D14" s="26" t="inlineStr">
        <is>
          <t>Long-form</t>
        </is>
      </c>
      <c r="E14" s="26" t="inlineStr">
        <is>
          <t>High</t>
        </is>
      </c>
      <c r="F14" s="26" t="inlineStr">
        <is>
          <t>Scheduled</t>
        </is>
      </c>
    </row>
    <row r="15">
      <c r="A15" s="21" t="n">
        <v>46211</v>
      </c>
      <c r="B15" s="22" t="inlineStr">
        <is>
          <t>Repurpose 1 video into 10</t>
        </is>
      </c>
      <c r="C15" s="23" t="inlineStr">
        <is>
          <t>Systems</t>
        </is>
      </c>
      <c r="D15" s="23" t="inlineStr">
        <is>
          <t>Long-form</t>
        </is>
      </c>
      <c r="E15" s="23" t="inlineStr">
        <is>
          <t>High</t>
        </is>
      </c>
      <c r="F15" s="23" t="inlineStr">
        <is>
          <t>Editing</t>
        </is>
      </c>
    </row>
    <row r="16">
      <c r="A16" s="24" t="n">
        <v>46214</v>
      </c>
      <c r="B16" s="25" t="inlineStr">
        <is>
          <t>AI tools tier list</t>
        </is>
      </c>
      <c r="C16" s="26" t="inlineStr">
        <is>
          <t>Tools</t>
        </is>
      </c>
      <c r="D16" s="26" t="inlineStr">
        <is>
          <t>Long-form</t>
        </is>
      </c>
      <c r="E16" s="26" t="inlineStr">
        <is>
          <t>High</t>
        </is>
      </c>
      <c r="F16" s="26" t="inlineStr">
        <is>
          <t>Filming</t>
        </is>
      </c>
    </row>
    <row r="17">
      <c r="A17" s="21" t="n">
        <v>46218</v>
      </c>
      <c r="B17" s="22" t="inlineStr">
        <is>
          <t>How creators actually get sponsors</t>
        </is>
      </c>
      <c r="C17" s="23" t="inlineStr">
        <is>
          <t>Money</t>
        </is>
      </c>
      <c r="D17" s="23" t="inlineStr">
        <is>
          <t>Long-form</t>
        </is>
      </c>
      <c r="E17" s="23" t="inlineStr">
        <is>
          <t>High</t>
        </is>
      </c>
      <c r="F17" s="23" t="inlineStr">
        <is>
          <t>Scripting</t>
        </is>
      </c>
    </row>
    <row r="18">
      <c r="A18" s="24" t="n">
        <v>46220</v>
      </c>
      <c r="B18" s="25" t="inlineStr">
        <is>
          <t>Studio tour + gear</t>
        </is>
      </c>
      <c r="C18" s="26" t="inlineStr">
        <is>
          <t>Behind-the-scenes</t>
        </is>
      </c>
      <c r="D18" s="26" t="inlineStr">
        <is>
          <t>Long-form</t>
        </is>
      </c>
      <c r="E18" s="26" t="inlineStr">
        <is>
          <t>High</t>
        </is>
      </c>
      <c r="F18" s="26" t="inlineStr">
        <is>
          <t>Idea</t>
        </is>
      </c>
    </row>
    <row r="19">
      <c r="A19" s="21" t="n"/>
      <c r="B19" s="22" t="n"/>
      <c r="C19" s="23" t="n"/>
      <c r="D19" s="23" t="n"/>
      <c r="E19" s="23" t="n"/>
      <c r="F19" s="23" t="n"/>
    </row>
    <row r="20">
      <c r="A20" s="24" t="n"/>
      <c r="B20" s="25" t="n"/>
      <c r="C20" s="26" t="n"/>
      <c r="D20" s="26" t="n"/>
      <c r="E20" s="26" t="n"/>
      <c r="F20" s="26" t="n"/>
    </row>
    <row r="21">
      <c r="A21" s="21" t="n"/>
      <c r="B21" s="22" t="n"/>
      <c r="C21" s="23" t="n"/>
      <c r="D21" s="23" t="n"/>
      <c r="E21" s="23" t="n"/>
      <c r="F21" s="23" t="n"/>
    </row>
    <row r="22">
      <c r="A22" s="24" t="n"/>
      <c r="B22" s="25" t="n"/>
      <c r="C22" s="26" t="n"/>
      <c r="D22" s="26" t="n"/>
      <c r="E22" s="26" t="n"/>
      <c r="F22" s="26" t="n"/>
    </row>
    <row r="23">
      <c r="A23" s="21" t="n"/>
      <c r="B23" s="22" t="n"/>
      <c r="C23" s="23" t="n"/>
      <c r="D23" s="23" t="n"/>
      <c r="E23" s="23" t="n"/>
      <c r="F23" s="23" t="n"/>
    </row>
    <row r="24">
      <c r="A24" s="24" t="n"/>
      <c r="B24" s="25" t="n"/>
      <c r="C24" s="26" t="n"/>
      <c r="D24" s="26" t="n"/>
      <c r="E24" s="26" t="n"/>
      <c r="F24" s="26" t="n"/>
    </row>
    <row r="25">
      <c r="A25" s="21" t="n"/>
      <c r="B25" s="22" t="n"/>
      <c r="C25" s="23" t="n"/>
      <c r="D25" s="23" t="n"/>
      <c r="E25" s="23" t="n"/>
      <c r="F25" s="23" t="n"/>
    </row>
    <row r="26">
      <c r="A26" s="24" t="n"/>
      <c r="B26" s="25" t="n"/>
      <c r="C26" s="26" t="n"/>
      <c r="D26" s="26" t="n"/>
      <c r="E26" s="26" t="n"/>
      <c r="F26" s="26" t="n"/>
    </row>
    <row r="27">
      <c r="A27" s="21" t="n"/>
      <c r="B27" s="22" t="n"/>
      <c r="C27" s="23" t="n"/>
      <c r="D27" s="23" t="n"/>
      <c r="E27" s="23" t="n"/>
      <c r="F27" s="23" t="n"/>
    </row>
    <row r="28">
      <c r="A28" s="24" t="n"/>
      <c r="B28" s="25" t="n"/>
      <c r="C28" s="26" t="n"/>
      <c r="D28" s="26" t="n"/>
      <c r="E28" s="26" t="n"/>
      <c r="F28" s="26" t="n"/>
    </row>
    <row r="29">
      <c r="A29" s="21" t="n"/>
      <c r="B29" s="22" t="n"/>
      <c r="C29" s="23" t="n"/>
      <c r="D29" s="23" t="n"/>
      <c r="E29" s="23" t="n"/>
      <c r="F29" s="23" t="n"/>
    </row>
    <row r="30">
      <c r="A30" s="24" t="n"/>
      <c r="B30" s="25" t="n"/>
      <c r="C30" s="26" t="n"/>
      <c r="D30" s="26" t="n"/>
      <c r="E30" s="26" t="n"/>
      <c r="F30" s="26" t="n"/>
    </row>
    <row r="31">
      <c r="A31" s="21" t="n"/>
      <c r="B31" s="22" t="n"/>
      <c r="C31" s="23" t="n"/>
      <c r="D31" s="23" t="n"/>
      <c r="E31" s="23" t="n"/>
      <c r="F31" s="23" t="n"/>
    </row>
    <row r="32">
      <c r="A32" s="24" t="n"/>
      <c r="B32" s="25" t="n"/>
      <c r="C32" s="26" t="n"/>
      <c r="D32" s="26" t="n"/>
      <c r="E32" s="26" t="n"/>
      <c r="F32" s="26" t="n"/>
    </row>
    <row r="33">
      <c r="A33" s="21" t="n"/>
      <c r="B33" s="22" t="n"/>
      <c r="C33" s="23" t="n"/>
      <c r="D33" s="23" t="n"/>
      <c r="E33" s="23" t="n"/>
      <c r="F33" s="23" t="n"/>
    </row>
    <row r="34">
      <c r="A34" s="24" t="n"/>
      <c r="B34" s="25" t="n"/>
      <c r="C34" s="26" t="n"/>
      <c r="D34" s="26" t="n"/>
      <c r="E34" s="26" t="n"/>
      <c r="F34" s="26" t="n"/>
    </row>
    <row r="35">
      <c r="A35" s="21" t="n"/>
      <c r="B35" s="22" t="n"/>
      <c r="C35" s="23" t="n"/>
      <c r="D35" s="23" t="n"/>
      <c r="E35" s="23" t="n"/>
      <c r="F35" s="23" t="n"/>
    </row>
    <row r="36">
      <c r="A36" s="24" t="n"/>
      <c r="B36" s="25" t="n"/>
      <c r="C36" s="26" t="n"/>
      <c r="D36" s="26" t="n"/>
      <c r="E36" s="26" t="n"/>
      <c r="F36" s="26" t="n"/>
    </row>
    <row r="37">
      <c r="A37" s="21" t="n"/>
      <c r="B37" s="22" t="n"/>
      <c r="C37" s="23" t="n"/>
      <c r="D37" s="23" t="n"/>
      <c r="E37" s="23" t="n"/>
      <c r="F37" s="23" t="n"/>
    </row>
    <row r="38">
      <c r="A38" s="24" t="n"/>
      <c r="B38" s="25" t="n"/>
      <c r="C38" s="26" t="n"/>
      <c r="D38" s="26" t="n"/>
      <c r="E38" s="26" t="n"/>
      <c r="F38" s="26" t="n"/>
    </row>
    <row r="39">
      <c r="A39" s="21" t="n"/>
      <c r="B39" s="22" t="n"/>
      <c r="C39" s="23" t="n"/>
      <c r="D39" s="23" t="n"/>
      <c r="E39" s="23" t="n"/>
      <c r="F39" s="23" t="n"/>
    </row>
    <row r="40">
      <c r="A40" s="24" t="n"/>
      <c r="B40" s="25" t="n"/>
      <c r="C40" s="26" t="n"/>
      <c r="D40" s="26" t="n"/>
      <c r="E40" s="26" t="n"/>
      <c r="F40" s="26" t="n"/>
    </row>
    <row r="41">
      <c r="A41" s="21" t="n"/>
      <c r="B41" s="22" t="n"/>
      <c r="C41" s="23" t="n"/>
      <c r="D41" s="23" t="n"/>
      <c r="E41" s="23" t="n"/>
      <c r="F41" s="23" t="n"/>
    </row>
    <row r="42">
      <c r="A42" s="24" t="n"/>
      <c r="B42" s="25" t="n"/>
      <c r="C42" s="26" t="n"/>
      <c r="D42" s="26" t="n"/>
      <c r="E42" s="26" t="n"/>
      <c r="F42" s="26" t="n"/>
    </row>
    <row r="43">
      <c r="A43" s="21" t="n"/>
      <c r="B43" s="22" t="n"/>
      <c r="C43" s="23" t="n"/>
      <c r="D43" s="23" t="n"/>
      <c r="E43" s="23" t="n"/>
      <c r="F43" s="23" t="n"/>
    </row>
    <row r="44">
      <c r="A44" s="24" t="n"/>
      <c r="B44" s="25" t="n"/>
      <c r="C44" s="26" t="n"/>
      <c r="D44" s="26" t="n"/>
      <c r="E44" s="26" t="n"/>
      <c r="F44" s="26" t="n"/>
    </row>
    <row r="45">
      <c r="A45" s="21" t="n"/>
      <c r="B45" s="22" t="n"/>
      <c r="C45" s="23" t="n"/>
      <c r="D45" s="23" t="n"/>
      <c r="E45" s="23" t="n"/>
      <c r="F45" s="23" t="n"/>
    </row>
    <row r="46">
      <c r="A46" s="24" t="n"/>
      <c r="B46" s="25" t="n"/>
      <c r="C46" s="26" t="n"/>
      <c r="D46" s="26" t="n"/>
      <c r="E46" s="26" t="n"/>
      <c r="F46" s="26" t="n"/>
    </row>
    <row r="47">
      <c r="A47" s="21" t="n"/>
      <c r="B47" s="22" t="n"/>
      <c r="C47" s="23" t="n"/>
      <c r="D47" s="23" t="n"/>
      <c r="E47" s="23" t="n"/>
      <c r="F47" s="23" t="n"/>
    </row>
    <row r="48">
      <c r="A48" s="24" t="n"/>
      <c r="B48" s="25" t="n"/>
      <c r="C48" s="26" t="n"/>
      <c r="D48" s="26" t="n"/>
      <c r="E48" s="26" t="n"/>
      <c r="F48" s="26" t="n"/>
    </row>
    <row r="49">
      <c r="A49" s="21" t="n"/>
      <c r="B49" s="22" t="n"/>
      <c r="C49" s="23" t="n"/>
      <c r="D49" s="23" t="n"/>
      <c r="E49" s="23" t="n"/>
      <c r="F49" s="23" t="n"/>
    </row>
    <row r="50">
      <c r="A50" s="24" t="n"/>
      <c r="B50" s="25" t="n"/>
      <c r="C50" s="26" t="n"/>
      <c r="D50" s="26" t="n"/>
      <c r="E50" s="26" t="n"/>
      <c r="F50" s="26" t="n"/>
    </row>
    <row r="51">
      <c r="A51" s="21" t="n"/>
      <c r="B51" s="22" t="n"/>
      <c r="C51" s="23" t="n"/>
      <c r="D51" s="23" t="n"/>
      <c r="E51" s="23" t="n"/>
      <c r="F51" s="23" t="n"/>
    </row>
    <row r="52">
      <c r="A52" s="24" t="n"/>
      <c r="B52" s="25" t="n"/>
      <c r="C52" s="26" t="n"/>
      <c r="D52" s="26" t="n"/>
      <c r="E52" s="26" t="n"/>
      <c r="F52" s="26" t="n"/>
    </row>
    <row r="53">
      <c r="A53" s="21" t="n"/>
      <c r="B53" s="22" t="n"/>
      <c r="C53" s="23" t="n"/>
      <c r="D53" s="23" t="n"/>
      <c r="E53" s="23" t="n"/>
      <c r="F53" s="23" t="n"/>
    </row>
    <row r="54">
      <c r="A54" s="24" t="n"/>
      <c r="B54" s="25" t="n"/>
      <c r="C54" s="26" t="n"/>
      <c r="D54" s="26" t="n"/>
      <c r="E54" s="26" t="n"/>
      <c r="F54" s="26" t="n"/>
    </row>
    <row r="55">
      <c r="A55" s="21" t="n"/>
      <c r="B55" s="22" t="n"/>
      <c r="C55" s="23" t="n"/>
      <c r="D55" s="23" t="n"/>
      <c r="E55" s="23" t="n"/>
      <c r="F55" s="23" t="n"/>
    </row>
    <row r="56">
      <c r="A56" s="24" t="n"/>
      <c r="B56" s="25" t="n"/>
      <c r="C56" s="26" t="n"/>
      <c r="D56" s="26" t="n"/>
      <c r="E56" s="26" t="n"/>
      <c r="F56" s="26" t="n"/>
    </row>
    <row r="57">
      <c r="A57" s="21" t="n"/>
      <c r="B57" s="22" t="n"/>
      <c r="C57" s="23" t="n"/>
      <c r="D57" s="23" t="n"/>
      <c r="E57" s="23" t="n"/>
      <c r="F57" s="23" t="n"/>
    </row>
    <row r="58">
      <c r="A58" s="24" t="n"/>
      <c r="B58" s="25" t="n"/>
      <c r="C58" s="26" t="n"/>
      <c r="D58" s="26" t="n"/>
      <c r="E58" s="26" t="n"/>
      <c r="F58" s="26" t="n"/>
    </row>
    <row r="59">
      <c r="A59" s="21" t="n"/>
      <c r="B59" s="22" t="n"/>
      <c r="C59" s="23" t="n"/>
      <c r="D59" s="23" t="n"/>
      <c r="E59" s="23" t="n"/>
      <c r="F59" s="23" t="n"/>
    </row>
    <row r="60">
      <c r="A60" s="24" t="n"/>
      <c r="B60" s="25" t="n"/>
      <c r="C60" s="26" t="n"/>
      <c r="D60" s="26" t="n"/>
      <c r="E60" s="26" t="n"/>
      <c r="F60" s="26" t="n"/>
    </row>
    <row r="61">
      <c r="A61" s="21" t="n"/>
      <c r="B61" s="22" t="n"/>
      <c r="C61" s="23" t="n"/>
      <c r="D61" s="23" t="n"/>
      <c r="E61" s="23" t="n"/>
      <c r="F61" s="23" t="n"/>
    </row>
    <row r="62">
      <c r="A62" s="24" t="n"/>
      <c r="B62" s="25" t="n"/>
      <c r="C62" s="26" t="n"/>
      <c r="D62" s="26" t="n"/>
      <c r="E62" s="26" t="n"/>
      <c r="F62" s="26" t="n"/>
    </row>
    <row r="63">
      <c r="A63" s="21" t="n"/>
      <c r="B63" s="22" t="n"/>
      <c r="C63" s="23" t="n"/>
      <c r="D63" s="23" t="n"/>
      <c r="E63" s="23" t="n"/>
      <c r="F63" s="23" t="n"/>
    </row>
    <row r="64">
      <c r="A64" s="24" t="n"/>
      <c r="B64" s="25" t="n"/>
      <c r="C64" s="26" t="n"/>
      <c r="D64" s="26" t="n"/>
      <c r="E64" s="26" t="n"/>
      <c r="F64" s="26" t="n"/>
    </row>
  </sheetData>
  <mergeCells count="2">
    <mergeCell ref="A2:F2"/>
    <mergeCell ref="A1:F1"/>
  </mergeCells>
  <conditionalFormatting sqref="F5:F64">
    <cfRule type="cellIs" priority="1" operator="equal" dxfId="0">
      <formula>"Published"</formula>
    </cfRule>
    <cfRule type="cellIs" priority="2" operator="equal" dxfId="1">
      <formula>"Scheduled"</formula>
    </cfRule>
    <cfRule type="cellIs" priority="3" operator="equal" dxfId="2">
      <formula>"Editing"</formula>
    </cfRule>
    <cfRule type="cellIs" priority="4" operator="equal" dxfId="2">
      <formula>"Filming"</formula>
    </cfRule>
    <cfRule type="cellIs" priority="5" operator="equal" dxfId="3">
      <formula>"Idea"</formula>
    </cfRule>
  </conditionalFormatting>
  <dataValidations count="4">
    <dataValidation sqref="C5:C64" showDropDown="0" showInputMessage="0" showErrorMessage="0" allowBlank="1" type="list">
      <formula1>=PillarList</formula1>
    </dataValidation>
    <dataValidation sqref="D5:D64" showDropDown="0" showInputMessage="0" showErrorMessage="0" allowBlank="1" type="list">
      <formula1>=VideoTypeList</formula1>
    </dataValidation>
    <dataValidation sqref="E5:E64" showDropDown="0" showInputMessage="0" showErrorMessage="0" allowBlank="1" type="list">
      <formula1>=PriorityList</formula1>
    </dataValidation>
    <dataValidation sqref="F5:F6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F48"/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6" customWidth="1" min="4" max="4"/>
    <col width="13" customWidth="1" min="5" max="5"/>
    <col width="22" customWidth="1" min="6" max="6"/>
  </cols>
  <sheetData>
    <row r="1" ht="46" customHeight="1">
      <c r="A1" s="1" t="inlineStr">
        <is>
          <t xml:space="preserve">  🎬  VIDEO PRODUCTION PIPELINE</t>
        </is>
      </c>
    </row>
    <row r="2" ht="22" customHeight="1">
      <c r="A2" s="2" t="inlineStr">
        <is>
          <t xml:space="preserve">  Every video, every stage — from idea to published, with live progress %.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Title</t>
        </is>
      </c>
      <c r="B4" s="7" t="inlineStr">
        <is>
          <t>Stage</t>
        </is>
      </c>
      <c r="C4" s="7" t="inlineStr">
        <is>
          <t>Progress</t>
        </is>
      </c>
      <c r="D4" s="7" t="inlineStr">
        <is>
          <t>Owner</t>
        </is>
      </c>
      <c r="E4" s="7" t="inlineStr">
        <is>
          <t>Due Date</t>
        </is>
      </c>
      <c r="F4" s="7" t="inlineStr">
        <is>
          <t>Notes</t>
        </is>
      </c>
    </row>
    <row r="5">
      <c r="A5" s="22" t="inlineStr">
        <is>
          <t>My full content OS (2024)</t>
        </is>
      </c>
      <c r="B5" s="23" t="inlineStr">
        <is>
          <t>Editing</t>
        </is>
      </c>
      <c r="C5" s="27" t="n">
        <v>0.82</v>
      </c>
      <c r="D5" s="22" t="inlineStr">
        <is>
          <t>Jordan</t>
        </is>
      </c>
      <c r="E5" s="21" t="n">
        <v>46209</v>
      </c>
      <c r="F5" s="22" t="inlineStr">
        <is>
          <t>Final cut</t>
        </is>
      </c>
    </row>
    <row r="6">
      <c r="A6" s="25" t="inlineStr">
        <is>
          <t>Sponsor integration: Riverside</t>
        </is>
      </c>
      <c r="B6" s="26" t="inlineStr">
        <is>
          <t>Script</t>
        </is>
      </c>
      <c r="C6" s="28" t="n">
        <v>0.4</v>
      </c>
      <c r="D6" s="25" t="inlineStr">
        <is>
          <t>Jordan</t>
        </is>
      </c>
      <c r="E6" s="24" t="n">
        <v>46213</v>
      </c>
      <c r="F6" s="25" t="inlineStr">
        <is>
          <t>Brief approved</t>
        </is>
      </c>
    </row>
    <row r="7">
      <c r="A7" s="22" t="inlineStr">
        <is>
          <t>Repurpose 1 video into 10</t>
        </is>
      </c>
      <c r="B7" s="23" t="inlineStr">
        <is>
          <t>Editing</t>
        </is>
      </c>
      <c r="C7" s="27" t="n">
        <v>0.7</v>
      </c>
      <c r="D7" s="22" t="inlineStr">
        <is>
          <t>Editor — Jon</t>
        </is>
      </c>
      <c r="E7" s="21" t="n">
        <v>46211</v>
      </c>
      <c r="F7" s="22" t="inlineStr">
        <is>
          <t>3 of 10 cut</t>
        </is>
      </c>
    </row>
    <row r="8">
      <c r="A8" s="25" t="inlineStr">
        <is>
          <t>AI tools tier list</t>
        </is>
      </c>
      <c r="B8" s="26" t="inlineStr">
        <is>
          <t>Filming</t>
        </is>
      </c>
      <c r="C8" s="28" t="n">
        <v>0.55</v>
      </c>
      <c r="D8" s="25" t="inlineStr">
        <is>
          <t>Jordan</t>
        </is>
      </c>
      <c r="E8" s="24" t="n">
        <v>46214</v>
      </c>
      <c r="F8" s="25" t="inlineStr">
        <is>
          <t>Recorded, editing</t>
        </is>
      </c>
    </row>
    <row r="9">
      <c r="A9" s="22" t="inlineStr">
        <is>
          <t>Faceless channel playbook</t>
        </is>
      </c>
      <c r="B9" s="23" t="inlineStr">
        <is>
          <t>Outline</t>
        </is>
      </c>
      <c r="C9" s="27" t="n">
        <v>0.3</v>
      </c>
      <c r="D9" s="22" t="inlineStr">
        <is>
          <t>Jordan</t>
        </is>
      </c>
      <c r="E9" s="21" t="n">
        <v>46216</v>
      </c>
      <c r="F9" s="22" t="inlineStr">
        <is>
          <t>Keyword map done</t>
        </is>
      </c>
    </row>
    <row r="10">
      <c r="A10" s="25" t="inlineStr">
        <is>
          <t>How creators get sponsors</t>
        </is>
      </c>
      <c r="B10" s="26" t="inlineStr">
        <is>
          <t>Research</t>
        </is>
      </c>
      <c r="C10" s="28" t="n">
        <v>0.2</v>
      </c>
      <c r="D10" s="25" t="inlineStr">
        <is>
          <t>Writer — Mia</t>
        </is>
      </c>
      <c r="E10" s="24" t="n">
        <v>46218</v>
      </c>
      <c r="F10" s="25" t="inlineStr">
        <is>
          <t>Interviews booked</t>
        </is>
      </c>
    </row>
    <row r="11">
      <c r="A11" s="22" t="inlineStr">
        <is>
          <t>Launch week short</t>
        </is>
      </c>
      <c r="B11" s="23" t="inlineStr">
        <is>
          <t>Thumbnail</t>
        </is>
      </c>
      <c r="C11" s="27" t="n">
        <v>0.9</v>
      </c>
      <c r="D11" s="22" t="inlineStr">
        <is>
          <t>Designer</t>
        </is>
      </c>
      <c r="E11" s="21" t="n">
        <v>46210</v>
      </c>
      <c r="F11" s="22" t="inlineStr">
        <is>
          <t>A/B thumbs ready</t>
        </is>
      </c>
    </row>
    <row r="12">
      <c r="A12" s="25" t="inlineStr">
        <is>
          <t>Studio tour + gear</t>
        </is>
      </c>
      <c r="B12" s="26" t="inlineStr">
        <is>
          <t>Idea</t>
        </is>
      </c>
      <c r="C12" s="28" t="n">
        <v>0.1</v>
      </c>
      <c r="D12" s="25" t="inlineStr">
        <is>
          <t>Jordan</t>
        </is>
      </c>
      <c r="E12" s="24" t="n">
        <v>46220</v>
      </c>
      <c r="F12" s="25" t="inlineStr">
        <is>
          <t>Shot list</t>
        </is>
      </c>
    </row>
    <row r="13">
      <c r="A13" s="22" t="n"/>
      <c r="B13" s="23" t="n"/>
      <c r="C13" s="27" t="n"/>
      <c r="D13" s="22" t="n"/>
      <c r="E13" s="21" t="n"/>
      <c r="F13" s="22" t="n"/>
    </row>
    <row r="14">
      <c r="A14" s="25" t="n"/>
      <c r="B14" s="26" t="n"/>
      <c r="C14" s="28" t="n"/>
      <c r="D14" s="25" t="n"/>
      <c r="E14" s="24" t="n"/>
      <c r="F14" s="25" t="n"/>
    </row>
    <row r="15">
      <c r="A15" s="22" t="n"/>
      <c r="B15" s="23" t="n"/>
      <c r="C15" s="27" t="n"/>
      <c r="D15" s="22" t="n"/>
      <c r="E15" s="21" t="n"/>
      <c r="F15" s="22" t="n"/>
    </row>
    <row r="16">
      <c r="A16" s="25" t="n"/>
      <c r="B16" s="26" t="n"/>
      <c r="C16" s="28" t="n"/>
      <c r="D16" s="25" t="n"/>
      <c r="E16" s="24" t="n"/>
      <c r="F16" s="25" t="n"/>
    </row>
    <row r="17">
      <c r="A17" s="22" t="n"/>
      <c r="B17" s="23" t="n"/>
      <c r="C17" s="27" t="n"/>
      <c r="D17" s="22" t="n"/>
      <c r="E17" s="21" t="n"/>
      <c r="F17" s="22" t="n"/>
    </row>
    <row r="18">
      <c r="A18" s="25" t="n"/>
      <c r="B18" s="26" t="n"/>
      <c r="C18" s="28" t="n"/>
      <c r="D18" s="25" t="n"/>
      <c r="E18" s="24" t="n"/>
      <c r="F18" s="25" t="n"/>
    </row>
    <row r="19">
      <c r="A19" s="22" t="n"/>
      <c r="B19" s="23" t="n"/>
      <c r="C19" s="27" t="n"/>
      <c r="D19" s="22" t="n"/>
      <c r="E19" s="21" t="n"/>
      <c r="F19" s="22" t="n"/>
    </row>
    <row r="20">
      <c r="A20" s="25" t="n"/>
      <c r="B20" s="26" t="n"/>
      <c r="C20" s="28" t="n"/>
      <c r="D20" s="25" t="n"/>
      <c r="E20" s="24" t="n"/>
      <c r="F20" s="25" t="n"/>
    </row>
    <row r="21">
      <c r="A21" s="22" t="n"/>
      <c r="B21" s="23" t="n"/>
      <c r="C21" s="27" t="n"/>
      <c r="D21" s="22" t="n"/>
      <c r="E21" s="21" t="n"/>
      <c r="F21" s="22" t="n"/>
    </row>
    <row r="22">
      <c r="A22" s="25" t="n"/>
      <c r="B22" s="26" t="n"/>
      <c r="C22" s="28" t="n"/>
      <c r="D22" s="25" t="n"/>
      <c r="E22" s="24" t="n"/>
      <c r="F22" s="25" t="n"/>
    </row>
    <row r="23">
      <c r="A23" s="22" t="n"/>
      <c r="B23" s="23" t="n"/>
      <c r="C23" s="27" t="n"/>
      <c r="D23" s="22" t="n"/>
      <c r="E23" s="21" t="n"/>
      <c r="F23" s="22" t="n"/>
    </row>
    <row r="24">
      <c r="A24" s="25" t="n"/>
      <c r="B24" s="26" t="n"/>
      <c r="C24" s="28" t="n"/>
      <c r="D24" s="25" t="n"/>
      <c r="E24" s="24" t="n"/>
      <c r="F24" s="25" t="n"/>
    </row>
    <row r="25">
      <c r="A25" s="22" t="n"/>
      <c r="B25" s="23" t="n"/>
      <c r="C25" s="27" t="n"/>
      <c r="D25" s="22" t="n"/>
      <c r="E25" s="21" t="n"/>
      <c r="F25" s="22" t="n"/>
    </row>
    <row r="26">
      <c r="A26" s="25" t="n"/>
      <c r="B26" s="26" t="n"/>
      <c r="C26" s="28" t="n"/>
      <c r="D26" s="25" t="n"/>
      <c r="E26" s="24" t="n"/>
      <c r="F26" s="25" t="n"/>
    </row>
    <row r="27">
      <c r="A27" s="22" t="n"/>
      <c r="B27" s="23" t="n"/>
      <c r="C27" s="27" t="n"/>
      <c r="D27" s="22" t="n"/>
      <c r="E27" s="21" t="n"/>
      <c r="F27" s="22" t="n"/>
    </row>
    <row r="28">
      <c r="A28" s="25" t="n"/>
      <c r="B28" s="26" t="n"/>
      <c r="C28" s="28" t="n"/>
      <c r="D28" s="25" t="n"/>
      <c r="E28" s="24" t="n"/>
      <c r="F28" s="25" t="n"/>
    </row>
    <row r="29">
      <c r="A29" s="22" t="n"/>
      <c r="B29" s="23" t="n"/>
      <c r="C29" s="27" t="n"/>
      <c r="D29" s="22" t="n"/>
      <c r="E29" s="21" t="n"/>
      <c r="F29" s="22" t="n"/>
    </row>
    <row r="30">
      <c r="A30" s="25" t="n"/>
      <c r="B30" s="26" t="n"/>
      <c r="C30" s="28" t="n"/>
      <c r="D30" s="25" t="n"/>
      <c r="E30" s="24" t="n"/>
      <c r="F30" s="25" t="n"/>
    </row>
    <row r="31">
      <c r="A31" s="22" t="n"/>
      <c r="B31" s="23" t="n"/>
      <c r="C31" s="27" t="n"/>
      <c r="D31" s="22" t="n"/>
      <c r="E31" s="21" t="n"/>
      <c r="F31" s="22" t="n"/>
    </row>
    <row r="32">
      <c r="A32" s="25" t="n"/>
      <c r="B32" s="26" t="n"/>
      <c r="C32" s="28" t="n"/>
      <c r="D32" s="25" t="n"/>
      <c r="E32" s="24" t="n"/>
      <c r="F32" s="25" t="n"/>
    </row>
    <row r="33">
      <c r="A33" s="22" t="n"/>
      <c r="B33" s="23" t="n"/>
      <c r="C33" s="27" t="n"/>
      <c r="D33" s="22" t="n"/>
      <c r="E33" s="21" t="n"/>
      <c r="F33" s="22" t="n"/>
    </row>
    <row r="34">
      <c r="A34" s="25" t="n"/>
      <c r="B34" s="26" t="n"/>
      <c r="C34" s="28" t="n"/>
      <c r="D34" s="25" t="n"/>
      <c r="E34" s="24" t="n"/>
      <c r="F34" s="25" t="n"/>
    </row>
    <row r="35">
      <c r="A35" s="22" t="n"/>
      <c r="B35" s="23" t="n"/>
      <c r="C35" s="27" t="n"/>
      <c r="D35" s="22" t="n"/>
      <c r="E35" s="21" t="n"/>
      <c r="F35" s="22" t="n"/>
    </row>
    <row r="36">
      <c r="A36" s="25" t="n"/>
      <c r="B36" s="26" t="n"/>
      <c r="C36" s="28" t="n"/>
      <c r="D36" s="25" t="n"/>
      <c r="E36" s="24" t="n"/>
      <c r="F36" s="25" t="n"/>
    </row>
    <row r="37">
      <c r="A37" s="22" t="n"/>
      <c r="B37" s="23" t="n"/>
      <c r="C37" s="27" t="n"/>
      <c r="D37" s="22" t="n"/>
      <c r="E37" s="21" t="n"/>
      <c r="F37" s="22" t="n"/>
    </row>
    <row r="38">
      <c r="A38" s="25" t="n"/>
      <c r="B38" s="26" t="n"/>
      <c r="C38" s="28" t="n"/>
      <c r="D38" s="25" t="n"/>
      <c r="E38" s="24" t="n"/>
      <c r="F38" s="25" t="n"/>
    </row>
    <row r="39">
      <c r="A39" s="22" t="n"/>
      <c r="B39" s="23" t="n"/>
      <c r="C39" s="27" t="n"/>
      <c r="D39" s="22" t="n"/>
      <c r="E39" s="21" t="n"/>
      <c r="F39" s="22" t="n"/>
    </row>
    <row r="40">
      <c r="A40" s="25" t="n"/>
      <c r="B40" s="26" t="n"/>
      <c r="C40" s="28" t="n"/>
      <c r="D40" s="25" t="n"/>
      <c r="E40" s="24" t="n"/>
      <c r="F40" s="25" t="n"/>
    </row>
    <row r="41">
      <c r="A41" s="22" t="n"/>
      <c r="B41" s="23" t="n"/>
      <c r="C41" s="27" t="n"/>
      <c r="D41" s="22" t="n"/>
      <c r="E41" s="21" t="n"/>
      <c r="F41" s="22" t="n"/>
    </row>
    <row r="42">
      <c r="A42" s="25" t="n"/>
      <c r="B42" s="26" t="n"/>
      <c r="C42" s="28" t="n"/>
      <c r="D42" s="25" t="n"/>
      <c r="E42" s="24" t="n"/>
      <c r="F42" s="25" t="n"/>
    </row>
    <row r="43">
      <c r="A43" s="22" t="n"/>
      <c r="B43" s="23" t="n"/>
      <c r="C43" s="27" t="n"/>
      <c r="D43" s="22" t="n"/>
      <c r="E43" s="21" t="n"/>
      <c r="F43" s="22" t="n"/>
    </row>
    <row r="44">
      <c r="A44" s="25" t="n"/>
      <c r="B44" s="26" t="n"/>
      <c r="C44" s="28" t="n"/>
      <c r="D44" s="25" t="n"/>
      <c r="E44" s="24" t="n"/>
      <c r="F44" s="25" t="n"/>
    </row>
  </sheetData>
  <mergeCells count="2">
    <mergeCell ref="A2:F2"/>
    <mergeCell ref="A1:F1"/>
  </mergeCells>
  <conditionalFormatting sqref="C5:C44">
    <cfRule type="dataBar" priority="1">
      <dataBar showValue="1">
        <cfvo type="num" val="0"/>
        <cfvo type="num" val="1"/>
        <color rgb="001B4F48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37356"/>
    <outlinePr summaryBelow="1" summaryRight="1"/>
    <pageSetUpPr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20" customWidth="1" min="3" max="3"/>
    <col width="28" customWidth="1" min="4" max="4"/>
    <col width="14" customWidth="1" min="5" max="5"/>
    <col width="9" customWidth="1" min="6" max="6"/>
    <col width="11" customWidth="1" min="7" max="7"/>
    <col width="12" customWidth="1" min="8" max="8"/>
    <col width="12" customWidth="1" min="9" max="9"/>
  </cols>
  <sheetData>
    <row r="1" ht="46" customHeight="1">
      <c r="A1" s="1" t="inlineStr">
        <is>
          <t xml:space="preserve">  💡  IDEA VAULT</t>
        </is>
      </c>
    </row>
    <row r="2" ht="22" customHeight="1">
      <c r="A2" s="2" t="inlineStr">
        <is>
          <t xml:space="preserve">  Never run dry — capture ideas and let an AI Opportunity Score (views ÷ difficulty) rank them.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Idea</t>
        </is>
      </c>
      <c r="B4" s="7" t="inlineStr">
        <is>
          <t>Category</t>
        </is>
      </c>
      <c r="C4" s="7" t="inlineStr">
        <is>
          <t>Keyword</t>
        </is>
      </c>
      <c r="D4" s="7" t="inlineStr">
        <is>
          <t>Hook</t>
        </is>
      </c>
      <c r="E4" s="7" t="inlineStr">
        <is>
          <t>Est. Views</t>
        </is>
      </c>
      <c r="F4" s="7" t="inlineStr">
        <is>
          <t>Diff.</t>
        </is>
      </c>
      <c r="G4" s="7" t="inlineStr">
        <is>
          <t>AI Score</t>
        </is>
      </c>
      <c r="H4" s="7" t="inlineStr">
        <is>
          <t>Priority</t>
        </is>
      </c>
      <c r="I4" s="7" t="inlineStr">
        <is>
          <t>Status</t>
        </is>
      </c>
    </row>
    <row r="5">
      <c r="A5" s="22" t="inlineStr">
        <is>
          <t>Creator tax masterclass</t>
        </is>
      </c>
      <c r="B5" s="23" t="inlineStr">
        <is>
          <t>Money</t>
        </is>
      </c>
      <c r="C5" s="22" t="inlineStr">
        <is>
          <t>youtube taxes</t>
        </is>
      </c>
      <c r="D5" s="22" t="inlineStr">
        <is>
          <t>The tax bill that shocked me</t>
        </is>
      </c>
      <c r="E5" s="29" t="n">
        <v>120000</v>
      </c>
      <c r="F5" s="29" t="n">
        <v>8</v>
      </c>
      <c r="G5" s="29">
        <f>IFERROR(ROUND(E5/1000/F5,0),0)</f>
        <v/>
      </c>
      <c r="H5" s="23" t="inlineStr">
        <is>
          <t>Medium</t>
        </is>
      </c>
      <c r="I5" s="23" t="inlineStr">
        <is>
          <t>Planned</t>
        </is>
      </c>
    </row>
    <row r="6">
      <c r="A6" s="25" t="inlineStr">
        <is>
          <t>Notion vs Sheets for creators</t>
        </is>
      </c>
      <c r="B6" s="26" t="inlineStr">
        <is>
          <t>Tools</t>
        </is>
      </c>
      <c r="C6" s="25" t="inlineStr">
        <is>
          <t>notion vs sheets</t>
        </is>
      </c>
      <c r="D6" s="25" t="inlineStr">
        <is>
          <t>I switched back. Here's why</t>
        </is>
      </c>
      <c r="E6" s="30" t="n">
        <v>90000</v>
      </c>
      <c r="F6" s="30" t="n">
        <v>7</v>
      </c>
      <c r="G6" s="30">
        <f>IFERROR(ROUND(E6/1000/F6,0),0)</f>
        <v/>
      </c>
      <c r="H6" s="26" t="inlineStr">
        <is>
          <t>Low</t>
        </is>
      </c>
      <c r="I6" s="26" t="inlineStr">
        <is>
          <t>Idea</t>
        </is>
      </c>
    </row>
    <row r="7">
      <c r="A7" s="22" t="inlineStr">
        <is>
          <t>30-day upload challenge</t>
        </is>
      </c>
      <c r="B7" s="23" t="inlineStr">
        <is>
          <t>Growth</t>
        </is>
      </c>
      <c r="C7" s="22" t="inlineStr">
        <is>
          <t>posting consistency</t>
        </is>
      </c>
      <c r="D7" s="22" t="inlineStr">
        <is>
          <t>Day 1 of daily uploads</t>
        </is>
      </c>
      <c r="E7" s="29" t="n">
        <v>60000</v>
      </c>
      <c r="F7" s="29" t="n">
        <v>6</v>
      </c>
      <c r="G7" s="29">
        <f>IFERROR(ROUND(E7/1000/F7,0),0)</f>
        <v/>
      </c>
      <c r="H7" s="23" t="inlineStr">
        <is>
          <t>Low</t>
        </is>
      </c>
      <c r="I7" s="23" t="inlineStr">
        <is>
          <t>Idea</t>
        </is>
      </c>
    </row>
    <row r="8">
      <c r="A8" s="25" t="inlineStr">
        <is>
          <t>How I price digital products</t>
        </is>
      </c>
      <c r="B8" s="26" t="inlineStr">
        <is>
          <t>Money</t>
        </is>
      </c>
      <c r="C8" s="25" t="inlineStr">
        <is>
          <t>digital product pricing</t>
        </is>
      </c>
      <c r="D8" s="25" t="inlineStr">
        <is>
          <t>$9 vs $49: what sold more</t>
        </is>
      </c>
      <c r="E8" s="30" t="n">
        <v>140000</v>
      </c>
      <c r="F8" s="30" t="n">
        <v>9</v>
      </c>
      <c r="G8" s="30">
        <f>IFERROR(ROUND(E8/1000/F8,0),0)</f>
        <v/>
      </c>
      <c r="H8" s="26" t="inlineStr">
        <is>
          <t>Low</t>
        </is>
      </c>
      <c r="I8" s="26" t="inlineStr">
        <is>
          <t>Planned</t>
        </is>
      </c>
    </row>
    <row r="9">
      <c r="A9" s="22" t="inlineStr">
        <is>
          <t>$2k home studio tour</t>
        </is>
      </c>
      <c r="B9" s="23" t="inlineStr">
        <is>
          <t>Behind-the-scenes</t>
        </is>
      </c>
      <c r="C9" s="22" t="inlineStr">
        <is>
          <t>creator studio setup</t>
        </is>
      </c>
      <c r="D9" s="22" t="inlineStr">
        <is>
          <t>My entire setup</t>
        </is>
      </c>
      <c r="E9" s="29" t="n">
        <v>80000</v>
      </c>
      <c r="F9" s="29" t="n">
        <v>6</v>
      </c>
      <c r="G9" s="29">
        <f>IFERROR(ROUND(E9/1000/F9,0),0)</f>
        <v/>
      </c>
      <c r="H9" s="23" t="inlineStr">
        <is>
          <t>Low</t>
        </is>
      </c>
      <c r="I9" s="23" t="inlineStr">
        <is>
          <t>Idea</t>
        </is>
      </c>
    </row>
    <row r="10">
      <c r="A10" s="25" t="inlineStr">
        <is>
          <t>Faceless automation playbook</t>
        </is>
      </c>
      <c r="B10" s="26" t="inlineStr">
        <is>
          <t>Growth</t>
        </is>
      </c>
      <c r="C10" s="25" t="inlineStr">
        <is>
          <t>faceless youtube</t>
        </is>
      </c>
      <c r="D10" s="25" t="inlineStr">
        <is>
          <t>No face, 100k subs</t>
        </is>
      </c>
      <c r="E10" s="30" t="n">
        <v>180000</v>
      </c>
      <c r="F10" s="30" t="n">
        <v>9</v>
      </c>
      <c r="G10" s="30">
        <f>IFERROR(ROUND(E10/1000/F10,0),0)</f>
        <v/>
      </c>
      <c r="H10" s="26" t="inlineStr">
        <is>
          <t>Low</t>
        </is>
      </c>
      <c r="I10" s="26" t="inlineStr">
        <is>
          <t>Idea</t>
        </is>
      </c>
    </row>
    <row r="11">
      <c r="A11" s="22" t="inlineStr">
        <is>
          <t>Sponsor email templates</t>
        </is>
      </c>
      <c r="B11" s="23" t="inlineStr">
        <is>
          <t>Money</t>
        </is>
      </c>
      <c r="C11" s="22" t="inlineStr">
        <is>
          <t>sponsorship outreach</t>
        </is>
      </c>
      <c r="D11" s="22" t="inlineStr">
        <is>
          <t>The email that landed $3k</t>
        </is>
      </c>
      <c r="E11" s="29" t="n">
        <v>110000</v>
      </c>
      <c r="F11" s="29" t="n">
        <v>8</v>
      </c>
      <c r="G11" s="29">
        <f>IFERROR(ROUND(E11/1000/F11,0),0)</f>
        <v/>
      </c>
      <c r="H11" s="23" t="inlineStr">
        <is>
          <t>Low</t>
        </is>
      </c>
      <c r="I11" s="23" t="inlineStr">
        <is>
          <t>Planned</t>
        </is>
      </c>
    </row>
    <row r="12">
      <c r="A12" s="25" t="inlineStr">
        <is>
          <t>Batch a month in a weekend</t>
        </is>
      </c>
      <c r="B12" s="26" t="inlineStr">
        <is>
          <t>Systems</t>
        </is>
      </c>
      <c r="C12" s="25" t="inlineStr">
        <is>
          <t>batch content</t>
        </is>
      </c>
      <c r="D12" s="25" t="inlineStr">
        <is>
          <t>12 videos in 2 days</t>
        </is>
      </c>
      <c r="E12" s="30" t="n">
        <v>130000</v>
      </c>
      <c r="F12" s="30" t="n">
        <v>8</v>
      </c>
      <c r="G12" s="30">
        <f>IFERROR(ROUND(E12/1000/F12,0),0)</f>
        <v/>
      </c>
      <c r="H12" s="26" t="inlineStr">
        <is>
          <t>Low</t>
        </is>
      </c>
      <c r="I12" s="26" t="inlineStr">
        <is>
          <t>Idea</t>
        </is>
      </c>
    </row>
    <row r="13">
      <c r="A13" s="22" t="inlineStr">
        <is>
          <t>AI tools I actually use</t>
        </is>
      </c>
      <c r="B13" s="23" t="inlineStr">
        <is>
          <t>Tools</t>
        </is>
      </c>
      <c r="C13" s="22" t="inlineStr">
        <is>
          <t>ai for youtube</t>
        </is>
      </c>
      <c r="D13" s="22" t="inlineStr">
        <is>
          <t>3 tools that save hours</t>
        </is>
      </c>
      <c r="E13" s="29" t="n">
        <v>95000</v>
      </c>
      <c r="F13" s="29" t="n">
        <v>7</v>
      </c>
      <c r="G13" s="29">
        <f>IFERROR(ROUND(E13/1000/F13,0),0)</f>
        <v/>
      </c>
      <c r="H13" s="23" t="inlineStr">
        <is>
          <t>Low</t>
        </is>
      </c>
      <c r="I13" s="23" t="inlineStr">
        <is>
          <t>Idea</t>
        </is>
      </c>
    </row>
    <row r="14">
      <c r="A14" s="25" t="inlineStr">
        <is>
          <t>Best camera for YouTube 2024</t>
        </is>
      </c>
      <c r="B14" s="26" t="inlineStr">
        <is>
          <t>Tools</t>
        </is>
      </c>
      <c r="C14" s="25" t="inlineStr">
        <is>
          <t>best youtube camera</t>
        </is>
      </c>
      <c r="D14" s="25" t="inlineStr">
        <is>
          <t>Don't buy the wrong one</t>
        </is>
      </c>
      <c r="E14" s="30" t="n">
        <v>160000</v>
      </c>
      <c r="F14" s="30" t="n">
        <v>8</v>
      </c>
      <c r="G14" s="30">
        <f>IFERROR(ROUND(E14/1000/F14,0),0)</f>
        <v/>
      </c>
      <c r="H14" s="26" t="inlineStr">
        <is>
          <t>Low</t>
        </is>
      </c>
      <c r="I14" s="26" t="inlineStr">
        <is>
          <t>Idea</t>
        </is>
      </c>
    </row>
    <row r="15">
      <c r="A15" s="22" t="n"/>
      <c r="B15" s="23" t="n"/>
      <c r="C15" s="22" t="n"/>
      <c r="D15" s="22" t="n"/>
      <c r="E15" s="29" t="n"/>
      <c r="F15" s="29" t="n"/>
      <c r="G15" s="29" t="n"/>
      <c r="H15" s="23" t="n"/>
      <c r="I15" s="23" t="n"/>
    </row>
    <row r="16">
      <c r="A16" s="25" t="n"/>
      <c r="B16" s="26" t="n"/>
      <c r="C16" s="25" t="n"/>
      <c r="D16" s="25" t="n"/>
      <c r="E16" s="30" t="n"/>
      <c r="F16" s="30" t="n"/>
      <c r="G16" s="30" t="n"/>
      <c r="H16" s="26" t="n"/>
      <c r="I16" s="26" t="n"/>
    </row>
    <row r="17">
      <c r="A17" s="22" t="n"/>
      <c r="B17" s="23" t="n"/>
      <c r="C17" s="22" t="n"/>
      <c r="D17" s="22" t="n"/>
      <c r="E17" s="29" t="n"/>
      <c r="F17" s="29" t="n"/>
      <c r="G17" s="29" t="n"/>
      <c r="H17" s="23" t="n"/>
      <c r="I17" s="23" t="n"/>
    </row>
    <row r="18">
      <c r="A18" s="25" t="n"/>
      <c r="B18" s="26" t="n"/>
      <c r="C18" s="25" t="n"/>
      <c r="D18" s="25" t="n"/>
      <c r="E18" s="30" t="n"/>
      <c r="F18" s="30" t="n"/>
      <c r="G18" s="30" t="n"/>
      <c r="H18" s="26" t="n"/>
      <c r="I18" s="26" t="n"/>
    </row>
    <row r="19">
      <c r="A19" s="22" t="n"/>
      <c r="B19" s="23" t="n"/>
      <c r="C19" s="22" t="n"/>
      <c r="D19" s="22" t="n"/>
      <c r="E19" s="29" t="n"/>
      <c r="F19" s="29" t="n"/>
      <c r="G19" s="29" t="n"/>
      <c r="H19" s="23" t="n"/>
      <c r="I19" s="23" t="n"/>
    </row>
    <row r="20">
      <c r="A20" s="25" t="n"/>
      <c r="B20" s="26" t="n"/>
      <c r="C20" s="25" t="n"/>
      <c r="D20" s="25" t="n"/>
      <c r="E20" s="30" t="n"/>
      <c r="F20" s="30" t="n"/>
      <c r="G20" s="30" t="n"/>
      <c r="H20" s="26" t="n"/>
      <c r="I20" s="26" t="n"/>
    </row>
    <row r="21">
      <c r="A21" s="22" t="n"/>
      <c r="B21" s="23" t="n"/>
      <c r="C21" s="22" t="n"/>
      <c r="D21" s="22" t="n"/>
      <c r="E21" s="29" t="n"/>
      <c r="F21" s="29" t="n"/>
      <c r="G21" s="29" t="n"/>
      <c r="H21" s="23" t="n"/>
      <c r="I21" s="23" t="n"/>
    </row>
    <row r="22">
      <c r="A22" s="25" t="n"/>
      <c r="B22" s="26" t="n"/>
      <c r="C22" s="25" t="n"/>
      <c r="D22" s="25" t="n"/>
      <c r="E22" s="30" t="n"/>
      <c r="F22" s="30" t="n"/>
      <c r="G22" s="30" t="n"/>
      <c r="H22" s="26" t="n"/>
      <c r="I22" s="26" t="n"/>
    </row>
    <row r="23">
      <c r="A23" s="22" t="n"/>
      <c r="B23" s="23" t="n"/>
      <c r="C23" s="22" t="n"/>
      <c r="D23" s="22" t="n"/>
      <c r="E23" s="29" t="n"/>
      <c r="F23" s="29" t="n"/>
      <c r="G23" s="29" t="n"/>
      <c r="H23" s="23" t="n"/>
      <c r="I23" s="23" t="n"/>
    </row>
    <row r="24">
      <c r="A24" s="25" t="n"/>
      <c r="B24" s="26" t="n"/>
      <c r="C24" s="25" t="n"/>
      <c r="D24" s="25" t="n"/>
      <c r="E24" s="30" t="n"/>
      <c r="F24" s="30" t="n"/>
      <c r="G24" s="30" t="n"/>
      <c r="H24" s="26" t="n"/>
      <c r="I24" s="26" t="n"/>
    </row>
    <row r="25">
      <c r="A25" s="22" t="n"/>
      <c r="B25" s="23" t="n"/>
      <c r="C25" s="22" t="n"/>
      <c r="D25" s="22" t="n"/>
      <c r="E25" s="29" t="n"/>
      <c r="F25" s="29" t="n"/>
      <c r="G25" s="29" t="n"/>
      <c r="H25" s="23" t="n"/>
      <c r="I25" s="23" t="n"/>
    </row>
    <row r="26">
      <c r="A26" s="25" t="n"/>
      <c r="B26" s="26" t="n"/>
      <c r="C26" s="25" t="n"/>
      <c r="D26" s="25" t="n"/>
      <c r="E26" s="30" t="n"/>
      <c r="F26" s="30" t="n"/>
      <c r="G26" s="30" t="n"/>
      <c r="H26" s="26" t="n"/>
      <c r="I26" s="26" t="n"/>
    </row>
    <row r="27">
      <c r="A27" s="22" t="n"/>
      <c r="B27" s="23" t="n"/>
      <c r="C27" s="22" t="n"/>
      <c r="D27" s="22" t="n"/>
      <c r="E27" s="29" t="n"/>
      <c r="F27" s="29" t="n"/>
      <c r="G27" s="29" t="n"/>
      <c r="H27" s="23" t="n"/>
      <c r="I27" s="23" t="n"/>
    </row>
    <row r="28">
      <c r="A28" s="25" t="n"/>
      <c r="B28" s="26" t="n"/>
      <c r="C28" s="25" t="n"/>
      <c r="D28" s="25" t="n"/>
      <c r="E28" s="30" t="n"/>
      <c r="F28" s="30" t="n"/>
      <c r="G28" s="30" t="n"/>
      <c r="H28" s="26" t="n"/>
      <c r="I28" s="26" t="n"/>
    </row>
    <row r="29">
      <c r="A29" s="22" t="n"/>
      <c r="B29" s="23" t="n"/>
      <c r="C29" s="22" t="n"/>
      <c r="D29" s="22" t="n"/>
      <c r="E29" s="29" t="n"/>
      <c r="F29" s="29" t="n"/>
      <c r="G29" s="29" t="n"/>
      <c r="H29" s="23" t="n"/>
      <c r="I29" s="23" t="n"/>
    </row>
    <row r="30">
      <c r="A30" s="25" t="n"/>
      <c r="B30" s="26" t="n"/>
      <c r="C30" s="25" t="n"/>
      <c r="D30" s="25" t="n"/>
      <c r="E30" s="30" t="n"/>
      <c r="F30" s="30" t="n"/>
      <c r="G30" s="30" t="n"/>
      <c r="H30" s="26" t="n"/>
      <c r="I30" s="26" t="n"/>
    </row>
    <row r="31">
      <c r="A31" s="22" t="n"/>
      <c r="B31" s="23" t="n"/>
      <c r="C31" s="22" t="n"/>
      <c r="D31" s="22" t="n"/>
      <c r="E31" s="29" t="n"/>
      <c r="F31" s="29" t="n"/>
      <c r="G31" s="29" t="n"/>
      <c r="H31" s="23" t="n"/>
      <c r="I31" s="23" t="n"/>
    </row>
    <row r="32">
      <c r="A32" s="25" t="n"/>
      <c r="B32" s="26" t="n"/>
      <c r="C32" s="25" t="n"/>
      <c r="D32" s="25" t="n"/>
      <c r="E32" s="30" t="n"/>
      <c r="F32" s="30" t="n"/>
      <c r="G32" s="30" t="n"/>
      <c r="H32" s="26" t="n"/>
      <c r="I32" s="26" t="n"/>
    </row>
    <row r="33">
      <c r="A33" s="22" t="n"/>
      <c r="B33" s="23" t="n"/>
      <c r="C33" s="22" t="n"/>
      <c r="D33" s="22" t="n"/>
      <c r="E33" s="29" t="n"/>
      <c r="F33" s="29" t="n"/>
      <c r="G33" s="29" t="n"/>
      <c r="H33" s="23" t="n"/>
      <c r="I33" s="23" t="n"/>
    </row>
    <row r="34">
      <c r="A34" s="25" t="n"/>
      <c r="B34" s="26" t="n"/>
      <c r="C34" s="25" t="n"/>
      <c r="D34" s="25" t="n"/>
      <c r="E34" s="30" t="n"/>
      <c r="F34" s="30" t="n"/>
      <c r="G34" s="30" t="n"/>
      <c r="H34" s="26" t="n"/>
      <c r="I34" s="26" t="n"/>
    </row>
    <row r="35">
      <c r="A35" s="22" t="n"/>
      <c r="B35" s="23" t="n"/>
      <c r="C35" s="22" t="n"/>
      <c r="D35" s="22" t="n"/>
      <c r="E35" s="29" t="n"/>
      <c r="F35" s="29" t="n"/>
      <c r="G35" s="29" t="n"/>
      <c r="H35" s="23" t="n"/>
      <c r="I35" s="23" t="n"/>
    </row>
    <row r="36">
      <c r="A36" s="25" t="n"/>
      <c r="B36" s="26" t="n"/>
      <c r="C36" s="25" t="n"/>
      <c r="D36" s="25" t="n"/>
      <c r="E36" s="30" t="n"/>
      <c r="F36" s="30" t="n"/>
      <c r="G36" s="30" t="n"/>
      <c r="H36" s="26" t="n"/>
      <c r="I36" s="26" t="n"/>
    </row>
    <row r="37">
      <c r="A37" s="22" t="n"/>
      <c r="B37" s="23" t="n"/>
      <c r="C37" s="22" t="n"/>
      <c r="D37" s="22" t="n"/>
      <c r="E37" s="29" t="n"/>
      <c r="F37" s="29" t="n"/>
      <c r="G37" s="29" t="n"/>
      <c r="H37" s="23" t="n"/>
      <c r="I37" s="23" t="n"/>
    </row>
    <row r="38">
      <c r="A38" s="25" t="n"/>
      <c r="B38" s="26" t="n"/>
      <c r="C38" s="25" t="n"/>
      <c r="D38" s="25" t="n"/>
      <c r="E38" s="30" t="n"/>
      <c r="F38" s="30" t="n"/>
      <c r="G38" s="30" t="n"/>
      <c r="H38" s="26" t="n"/>
      <c r="I38" s="26" t="n"/>
    </row>
    <row r="39">
      <c r="A39" s="22" t="n"/>
      <c r="B39" s="23" t="n"/>
      <c r="C39" s="22" t="n"/>
      <c r="D39" s="22" t="n"/>
      <c r="E39" s="29" t="n"/>
      <c r="F39" s="29" t="n"/>
      <c r="G39" s="29" t="n"/>
      <c r="H39" s="23" t="n"/>
      <c r="I39" s="23" t="n"/>
    </row>
    <row r="40">
      <c r="A40" s="25" t="n"/>
      <c r="B40" s="26" t="n"/>
      <c r="C40" s="25" t="n"/>
      <c r="D40" s="25" t="n"/>
      <c r="E40" s="30" t="n"/>
      <c r="F40" s="30" t="n"/>
      <c r="G40" s="30" t="n"/>
      <c r="H40" s="26" t="n"/>
      <c r="I40" s="26" t="n"/>
    </row>
    <row r="41">
      <c r="A41" s="22" t="n"/>
      <c r="B41" s="23" t="n"/>
      <c r="C41" s="22" t="n"/>
      <c r="D41" s="22" t="n"/>
      <c r="E41" s="29" t="n"/>
      <c r="F41" s="29" t="n"/>
      <c r="G41" s="29" t="n"/>
      <c r="H41" s="23" t="n"/>
      <c r="I41" s="23" t="n"/>
    </row>
    <row r="42">
      <c r="A42" s="25" t="n"/>
      <c r="B42" s="26" t="n"/>
      <c r="C42" s="25" t="n"/>
      <c r="D42" s="25" t="n"/>
      <c r="E42" s="30" t="n"/>
      <c r="F42" s="30" t="n"/>
      <c r="G42" s="30" t="n"/>
      <c r="H42" s="26" t="n"/>
      <c r="I42" s="26" t="n"/>
    </row>
    <row r="43">
      <c r="A43" s="22" t="n"/>
      <c r="B43" s="23" t="n"/>
      <c r="C43" s="22" t="n"/>
      <c r="D43" s="22" t="n"/>
      <c r="E43" s="29" t="n"/>
      <c r="F43" s="29" t="n"/>
      <c r="G43" s="29" t="n"/>
      <c r="H43" s="23" t="n"/>
      <c r="I43" s="23" t="n"/>
    </row>
    <row r="44">
      <c r="A44" s="25" t="n"/>
      <c r="B44" s="26" t="n"/>
      <c r="C44" s="25" t="n"/>
      <c r="D44" s="25" t="n"/>
      <c r="E44" s="30" t="n"/>
      <c r="F44" s="30" t="n"/>
      <c r="G44" s="30" t="n"/>
      <c r="H44" s="26" t="n"/>
      <c r="I44" s="26" t="n"/>
    </row>
  </sheetData>
  <mergeCells count="2">
    <mergeCell ref="A1:I1"/>
    <mergeCell ref="A2:I2"/>
  </mergeCells>
  <conditionalFormatting sqref="G5:G44">
    <cfRule type="colorScale" priority="1">
      <colorScale>
        <cfvo type="num" val="5"/>
        <cfvo type="num" val="30"/>
        <color rgb="FFFBF0E2"/>
        <color rgb="FF75E6C1"/>
      </colorScale>
    </cfRule>
  </conditionalFormatting>
  <dataValidations count="2">
    <dataValidation sqref="B5:B44" showDropDown="0" showInputMessage="0" showErrorMessage="0" allowBlank="1" type="list">
      <formula1>=PillarList</formula1>
    </dataValidation>
    <dataValidation sqref="H5:H44" showDropDown="0" showInputMessage="0" showErrorMessage="0" allowBlank="1" type="list">
      <formula1>=PriorityList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5E6C1"/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11" customWidth="1" min="4" max="4"/>
    <col width="14" customWidth="1" min="5" max="5"/>
    <col width="10" customWidth="1" min="6" max="6"/>
    <col width="12" customWidth="1" min="7" max="7"/>
    <col width="11" customWidth="1" min="8" max="8"/>
  </cols>
  <sheetData>
    <row r="1" ht="46" customHeight="1">
      <c r="A1" s="1" t="inlineStr">
        <is>
          <t xml:space="preserve">  📝  SCRIPT MANAGER</t>
        </is>
      </c>
    </row>
    <row r="2" ht="22" customHeight="1">
      <c r="A2" s="2" t="inlineStr">
        <is>
          <t xml:space="preserve">  Every script, structured — hook, story beats, CTA &amp; sponsor placement with completion %.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Video</t>
        </is>
      </c>
      <c r="B4" s="7" t="inlineStr">
        <is>
          <t>Opening Hook</t>
        </is>
      </c>
      <c r="C4" s="7" t="inlineStr">
        <is>
          <t>Structure</t>
        </is>
      </c>
      <c r="D4" s="7" t="inlineStr">
        <is>
          <t>Sponsor?</t>
        </is>
      </c>
      <c r="E4" s="7" t="inlineStr">
        <is>
          <t>Sponsor Slot</t>
        </is>
      </c>
      <c r="F4" s="7" t="inlineStr">
        <is>
          <t>Est. Min</t>
        </is>
      </c>
      <c r="G4" s="7" t="inlineStr">
        <is>
          <t>Status</t>
        </is>
      </c>
      <c r="H4" s="7" t="inlineStr">
        <is>
          <t>Complete</t>
        </is>
      </c>
    </row>
    <row r="5">
      <c r="A5" s="22" t="inlineStr">
        <is>
          <t>My full content OS (2024)</t>
        </is>
      </c>
      <c r="B5" s="22" t="inlineStr">
        <is>
          <t>You're wasting 10 hrs/week…</t>
        </is>
      </c>
      <c r="C5" s="22" t="inlineStr">
        <is>
          <t>Problem→System→Proof→CTA</t>
        </is>
      </c>
      <c r="D5" s="23" t="inlineStr">
        <is>
          <t>Yes</t>
        </is>
      </c>
      <c r="E5" s="23" t="inlineStr">
        <is>
          <t>Mid-roll</t>
        </is>
      </c>
      <c r="F5" s="29" t="n">
        <v>14</v>
      </c>
      <c r="G5" s="23" t="inlineStr">
        <is>
          <t>Final</t>
        </is>
      </c>
      <c r="H5" s="27" t="n">
        <v>1</v>
      </c>
    </row>
    <row r="6">
      <c r="A6" s="25" t="inlineStr">
        <is>
          <t>Sponsor integration: Riverside</t>
        </is>
      </c>
      <c r="B6" s="25" t="inlineStr">
        <is>
          <t>Recording just got easier…</t>
        </is>
      </c>
      <c r="C6" s="25" t="inlineStr">
        <is>
          <t>Hook→Value→Sponsor→CTA</t>
        </is>
      </c>
      <c r="D6" s="26" t="inlineStr">
        <is>
          <t>Yes</t>
        </is>
      </c>
      <c r="E6" s="26" t="inlineStr">
        <is>
          <t>60s @ 5:00</t>
        </is>
      </c>
      <c r="F6" s="30" t="n">
        <v>12</v>
      </c>
      <c r="G6" s="26" t="inlineStr">
        <is>
          <t>Draft</t>
        </is>
      </c>
      <c r="H6" s="28" t="n">
        <v>0.5</v>
      </c>
    </row>
    <row r="7">
      <c r="A7" s="22" t="inlineStr">
        <is>
          <t>Faceless channel playbook</t>
        </is>
      </c>
      <c r="B7" s="22" t="inlineStr">
        <is>
          <t>You don't need to show your face…</t>
        </is>
      </c>
      <c r="C7" s="22" t="inlineStr">
        <is>
          <t>Myth→Method→Results→CTA</t>
        </is>
      </c>
      <c r="D7" s="23" t="inlineStr">
        <is>
          <t>Yes</t>
        </is>
      </c>
      <c r="E7" s="23" t="inlineStr">
        <is>
          <t>Mid-roll</t>
        </is>
      </c>
      <c r="F7" s="29" t="n">
        <v>16</v>
      </c>
      <c r="G7" s="23" t="inlineStr">
        <is>
          <t>Outline</t>
        </is>
      </c>
      <c r="H7" s="27" t="n">
        <v>0.3</v>
      </c>
    </row>
    <row r="8">
      <c r="A8" s="25" t="inlineStr">
        <is>
          <t>AI tools tier list</t>
        </is>
      </c>
      <c r="B8" s="25" t="inlineStr">
        <is>
          <t>I tested 30 AI tools so you don't…</t>
        </is>
      </c>
      <c r="C8" s="25" t="inlineStr">
        <is>
          <t>List→Tiers→Winners→CTA</t>
        </is>
      </c>
      <c r="D8" s="26" t="inlineStr">
        <is>
          <t>No</t>
        </is>
      </c>
      <c r="E8" s="26" t="inlineStr">
        <is>
          <t>None</t>
        </is>
      </c>
      <c r="F8" s="30" t="n">
        <v>11</v>
      </c>
      <c r="G8" s="26" t="inlineStr">
        <is>
          <t>Draft</t>
        </is>
      </c>
      <c r="H8" s="28" t="n">
        <v>0.6</v>
      </c>
    </row>
    <row r="9">
      <c r="A9" s="22" t="inlineStr">
        <is>
          <t>How creators get sponsors</t>
        </is>
      </c>
      <c r="B9" s="22" t="inlineStr">
        <is>
          <t>The email that landed $3k…</t>
        </is>
      </c>
      <c r="C9" s="22" t="inlineStr">
        <is>
          <t>Story→Template→Steps→CTA</t>
        </is>
      </c>
      <c r="D9" s="23" t="inlineStr">
        <is>
          <t>No</t>
        </is>
      </c>
      <c r="E9" s="23" t="inlineStr">
        <is>
          <t>None</t>
        </is>
      </c>
      <c r="F9" s="29" t="n">
        <v>13</v>
      </c>
      <c r="G9" s="23" t="inlineStr">
        <is>
          <t>Idea</t>
        </is>
      </c>
      <c r="H9" s="27" t="n">
        <v>0.15</v>
      </c>
    </row>
    <row r="10">
      <c r="A10" s="25" t="n"/>
      <c r="B10" s="25" t="n"/>
      <c r="C10" s="25" t="n"/>
      <c r="D10" s="26" t="n"/>
      <c r="E10" s="26" t="n"/>
      <c r="F10" s="30" t="n"/>
      <c r="G10" s="26" t="n"/>
      <c r="H10" s="28" t="n"/>
    </row>
    <row r="11">
      <c r="A11" s="22" t="n"/>
      <c r="B11" s="22" t="n"/>
      <c r="C11" s="22" t="n"/>
      <c r="D11" s="23" t="n"/>
      <c r="E11" s="23" t="n"/>
      <c r="F11" s="29" t="n"/>
      <c r="G11" s="23" t="n"/>
      <c r="H11" s="27" t="n"/>
    </row>
    <row r="12">
      <c r="A12" s="25" t="n"/>
      <c r="B12" s="25" t="n"/>
      <c r="C12" s="25" t="n"/>
      <c r="D12" s="26" t="n"/>
      <c r="E12" s="26" t="n"/>
      <c r="F12" s="30" t="n"/>
      <c r="G12" s="26" t="n"/>
      <c r="H12" s="28" t="n"/>
    </row>
    <row r="13">
      <c r="A13" s="22" t="n"/>
      <c r="B13" s="22" t="n"/>
      <c r="C13" s="22" t="n"/>
      <c r="D13" s="23" t="n"/>
      <c r="E13" s="23" t="n"/>
      <c r="F13" s="29" t="n"/>
      <c r="G13" s="23" t="n"/>
      <c r="H13" s="27" t="n"/>
    </row>
    <row r="14">
      <c r="A14" s="25" t="n"/>
      <c r="B14" s="25" t="n"/>
      <c r="C14" s="25" t="n"/>
      <c r="D14" s="26" t="n"/>
      <c r="E14" s="26" t="n"/>
      <c r="F14" s="30" t="n"/>
      <c r="G14" s="26" t="n"/>
      <c r="H14" s="28" t="n"/>
    </row>
    <row r="15">
      <c r="A15" s="22" t="n"/>
      <c r="B15" s="22" t="n"/>
      <c r="C15" s="22" t="n"/>
      <c r="D15" s="23" t="n"/>
      <c r="E15" s="23" t="n"/>
      <c r="F15" s="29" t="n"/>
      <c r="G15" s="23" t="n"/>
      <c r="H15" s="27" t="n"/>
    </row>
    <row r="16">
      <c r="A16" s="25" t="n"/>
      <c r="B16" s="25" t="n"/>
      <c r="C16" s="25" t="n"/>
      <c r="D16" s="26" t="n"/>
      <c r="E16" s="26" t="n"/>
      <c r="F16" s="30" t="n"/>
      <c r="G16" s="26" t="n"/>
      <c r="H16" s="28" t="n"/>
    </row>
    <row r="17">
      <c r="A17" s="22" t="n"/>
      <c r="B17" s="22" t="n"/>
      <c r="C17" s="22" t="n"/>
      <c r="D17" s="23" t="n"/>
      <c r="E17" s="23" t="n"/>
      <c r="F17" s="29" t="n"/>
      <c r="G17" s="23" t="n"/>
      <c r="H17" s="27" t="n"/>
    </row>
    <row r="18">
      <c r="A18" s="25" t="n"/>
      <c r="B18" s="25" t="n"/>
      <c r="C18" s="25" t="n"/>
      <c r="D18" s="26" t="n"/>
      <c r="E18" s="26" t="n"/>
      <c r="F18" s="30" t="n"/>
      <c r="G18" s="26" t="n"/>
      <c r="H18" s="28" t="n"/>
    </row>
    <row r="19">
      <c r="A19" s="22" t="n"/>
      <c r="B19" s="22" t="n"/>
      <c r="C19" s="22" t="n"/>
      <c r="D19" s="23" t="n"/>
      <c r="E19" s="23" t="n"/>
      <c r="F19" s="29" t="n"/>
      <c r="G19" s="23" t="n"/>
      <c r="H19" s="27" t="n"/>
    </row>
    <row r="20">
      <c r="A20" s="25" t="n"/>
      <c r="B20" s="25" t="n"/>
      <c r="C20" s="25" t="n"/>
      <c r="D20" s="26" t="n"/>
      <c r="E20" s="26" t="n"/>
      <c r="F20" s="30" t="n"/>
      <c r="G20" s="26" t="n"/>
      <c r="H20" s="28" t="n"/>
    </row>
    <row r="21">
      <c r="A21" s="22" t="n"/>
      <c r="B21" s="22" t="n"/>
      <c r="C21" s="22" t="n"/>
      <c r="D21" s="23" t="n"/>
      <c r="E21" s="23" t="n"/>
      <c r="F21" s="29" t="n"/>
      <c r="G21" s="23" t="n"/>
      <c r="H21" s="27" t="n"/>
    </row>
    <row r="22">
      <c r="A22" s="25" t="n"/>
      <c r="B22" s="25" t="n"/>
      <c r="C22" s="25" t="n"/>
      <c r="D22" s="26" t="n"/>
      <c r="E22" s="26" t="n"/>
      <c r="F22" s="30" t="n"/>
      <c r="G22" s="26" t="n"/>
      <c r="H22" s="28" t="n"/>
    </row>
    <row r="23">
      <c r="A23" s="22" t="n"/>
      <c r="B23" s="22" t="n"/>
      <c r="C23" s="22" t="n"/>
      <c r="D23" s="23" t="n"/>
      <c r="E23" s="23" t="n"/>
      <c r="F23" s="29" t="n"/>
      <c r="G23" s="23" t="n"/>
      <c r="H23" s="27" t="n"/>
    </row>
    <row r="24">
      <c r="A24" s="25" t="n"/>
      <c r="B24" s="25" t="n"/>
      <c r="C24" s="25" t="n"/>
      <c r="D24" s="26" t="n"/>
      <c r="E24" s="26" t="n"/>
      <c r="F24" s="30" t="n"/>
      <c r="G24" s="26" t="n"/>
      <c r="H24" s="28" t="n"/>
    </row>
    <row r="25">
      <c r="A25" s="22" t="n"/>
      <c r="B25" s="22" t="n"/>
      <c r="C25" s="22" t="n"/>
      <c r="D25" s="23" t="n"/>
      <c r="E25" s="23" t="n"/>
      <c r="F25" s="29" t="n"/>
      <c r="G25" s="23" t="n"/>
      <c r="H25" s="27" t="n"/>
    </row>
    <row r="26">
      <c r="A26" s="25" t="n"/>
      <c r="B26" s="25" t="n"/>
      <c r="C26" s="25" t="n"/>
      <c r="D26" s="26" t="n"/>
      <c r="E26" s="26" t="n"/>
      <c r="F26" s="30" t="n"/>
      <c r="G26" s="26" t="n"/>
      <c r="H26" s="28" t="n"/>
    </row>
    <row r="27">
      <c r="A27" s="22" t="n"/>
      <c r="B27" s="22" t="n"/>
      <c r="C27" s="22" t="n"/>
      <c r="D27" s="23" t="n"/>
      <c r="E27" s="23" t="n"/>
      <c r="F27" s="29" t="n"/>
      <c r="G27" s="23" t="n"/>
      <c r="H27" s="27" t="n"/>
    </row>
    <row r="28">
      <c r="A28" s="25" t="n"/>
      <c r="B28" s="25" t="n"/>
      <c r="C28" s="25" t="n"/>
      <c r="D28" s="26" t="n"/>
      <c r="E28" s="26" t="n"/>
      <c r="F28" s="30" t="n"/>
      <c r="G28" s="26" t="n"/>
      <c r="H28" s="28" t="n"/>
    </row>
    <row r="29">
      <c r="A29" s="22" t="n"/>
      <c r="B29" s="22" t="n"/>
      <c r="C29" s="22" t="n"/>
      <c r="D29" s="23" t="n"/>
      <c r="E29" s="23" t="n"/>
      <c r="F29" s="29" t="n"/>
      <c r="G29" s="23" t="n"/>
      <c r="H29" s="27" t="n"/>
    </row>
    <row r="30">
      <c r="A30" s="25" t="n"/>
      <c r="B30" s="25" t="n"/>
      <c r="C30" s="25" t="n"/>
      <c r="D30" s="26" t="n"/>
      <c r="E30" s="26" t="n"/>
      <c r="F30" s="30" t="n"/>
      <c r="G30" s="26" t="n"/>
      <c r="H30" s="28" t="n"/>
    </row>
    <row r="31">
      <c r="A31" s="22" t="n"/>
      <c r="B31" s="22" t="n"/>
      <c r="C31" s="22" t="n"/>
      <c r="D31" s="23" t="n"/>
      <c r="E31" s="23" t="n"/>
      <c r="F31" s="29" t="n"/>
      <c r="G31" s="23" t="n"/>
      <c r="H31" s="27" t="n"/>
    </row>
    <row r="32">
      <c r="A32" s="25" t="n"/>
      <c r="B32" s="25" t="n"/>
      <c r="C32" s="25" t="n"/>
      <c r="D32" s="26" t="n"/>
      <c r="E32" s="26" t="n"/>
      <c r="F32" s="30" t="n"/>
      <c r="G32" s="26" t="n"/>
      <c r="H32" s="28" t="n"/>
    </row>
    <row r="33">
      <c r="A33" s="22" t="n"/>
      <c r="B33" s="22" t="n"/>
      <c r="C33" s="22" t="n"/>
      <c r="D33" s="23" t="n"/>
      <c r="E33" s="23" t="n"/>
      <c r="F33" s="29" t="n"/>
      <c r="G33" s="23" t="n"/>
      <c r="H33" s="27" t="n"/>
    </row>
    <row r="34">
      <c r="A34" s="25" t="n"/>
      <c r="B34" s="25" t="n"/>
      <c r="C34" s="25" t="n"/>
      <c r="D34" s="26" t="n"/>
      <c r="E34" s="26" t="n"/>
      <c r="F34" s="30" t="n"/>
      <c r="G34" s="26" t="n"/>
      <c r="H34" s="28" t="n"/>
    </row>
  </sheetData>
  <mergeCells count="2">
    <mergeCell ref="A2:H2"/>
    <mergeCell ref="A1:H1"/>
  </mergeCells>
  <conditionalFormatting sqref="H5:H34">
    <cfRule type="dataBar" priority="1">
      <dataBar showValue="1">
        <cfvo type="num" val="0"/>
        <cfvo type="num" val="1"/>
        <color rgb="001B4F48"/>
      </dataBar>
    </cfRule>
  </conditionalFormatting>
  <dataValidations count="1">
    <dataValidation sqref="D5:D3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5D3BA"/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3" customWidth="1" min="5" max="5"/>
    <col width="18" customWidth="1" min="6" max="6"/>
    <col width="14" customWidth="1" min="7" max="7"/>
    <col width="2" customWidth="1" min="8" max="8"/>
  </cols>
  <sheetData>
    <row r="1" ht="46" customHeight="1">
      <c r="A1" s="1" t="inlineStr">
        <is>
          <t xml:space="preserve">  🖼  THUMBNAIL STUDIO</t>
        </is>
      </c>
    </row>
    <row r="2" ht="22" customHeight="1">
      <c r="A2" s="2" t="inlineStr">
        <is>
          <t xml:space="preserve">  Win the click — A/B three thumbnails per video, paste them here and track CTR.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5" ht="24" customHeight="1">
      <c r="B5" s="7" t="inlineStr">
        <is>
          <t xml:space="preserve">  🎬  My full content OS</t>
        </is>
      </c>
    </row>
    <row r="6" ht="20" customHeight="1">
      <c r="B6" s="31" t="inlineStr">
        <is>
          <t>📷
V1
Paste thumb</t>
        </is>
      </c>
      <c r="C6" s="31" t="inlineStr">
        <is>
          <t>📷
V2
Paste thumb</t>
        </is>
      </c>
      <c r="D6" s="31" t="inlineStr">
        <is>
          <t>📷
V3
Paste thumb</t>
        </is>
      </c>
    </row>
    <row r="7" ht="20" customHeight="1"/>
    <row r="8" ht="20" customHeight="1"/>
    <row r="9" ht="20" customHeight="1"/>
    <row r="10">
      <c r="B10" s="19" t="inlineStr">
        <is>
          <t>Winning CTR</t>
        </is>
      </c>
      <c r="C10" s="32" t="inlineStr">
        <is>
          <t>8.4%</t>
        </is>
      </c>
      <c r="E10" s="19" t="inlineStr">
        <is>
          <t>Winner</t>
        </is>
      </c>
      <c r="F10" s="20" t="inlineStr">
        <is>
          <t>V2</t>
        </is>
      </c>
    </row>
    <row r="13" ht="24" customHeight="1">
      <c r="B13" s="7" t="inlineStr">
        <is>
          <t xml:space="preserve">  🎬  Faceless channel playbook</t>
        </is>
      </c>
    </row>
    <row r="14" ht="20" customHeight="1">
      <c r="B14" s="31" t="inlineStr">
        <is>
          <t>📷
V1
Paste thumb</t>
        </is>
      </c>
      <c r="C14" s="31" t="inlineStr">
        <is>
          <t>📷
V2
Paste thumb</t>
        </is>
      </c>
      <c r="D14" s="31" t="inlineStr">
        <is>
          <t>📷
V3
Paste thumb</t>
        </is>
      </c>
    </row>
    <row r="15" ht="20" customHeight="1"/>
    <row r="16" ht="20" customHeight="1"/>
    <row r="17" ht="20" customHeight="1"/>
    <row r="18">
      <c r="B18" s="19" t="inlineStr">
        <is>
          <t>Winning CTR</t>
        </is>
      </c>
      <c r="C18" s="32" t="inlineStr">
        <is>
          <t>—</t>
        </is>
      </c>
      <c r="E18" s="19" t="inlineStr">
        <is>
          <t>Winner</t>
        </is>
      </c>
      <c r="F18" s="20" t="inlineStr">
        <is>
          <t>testing</t>
        </is>
      </c>
    </row>
    <row r="21" ht="24" customHeight="1">
      <c r="B21" s="7" t="inlineStr">
        <is>
          <t xml:space="preserve">  🎬  $0 editing workflow</t>
        </is>
      </c>
    </row>
    <row r="22" ht="20" customHeight="1">
      <c r="B22" s="31" t="inlineStr">
        <is>
          <t>📷
V1
Paste thumb</t>
        </is>
      </c>
      <c r="C22" s="31" t="inlineStr">
        <is>
          <t>📷
V2
Paste thumb</t>
        </is>
      </c>
      <c r="D22" s="31" t="inlineStr">
        <is>
          <t>📷
V3
Paste thumb</t>
        </is>
      </c>
    </row>
    <row r="23" ht="20" customHeight="1"/>
    <row r="24" ht="20" customHeight="1"/>
    <row r="25" ht="20" customHeight="1"/>
    <row r="26">
      <c r="B26" s="19" t="inlineStr">
        <is>
          <t>Winning CTR</t>
        </is>
      </c>
      <c r="C26" s="32" t="inlineStr">
        <is>
          <t>7.1%</t>
        </is>
      </c>
      <c r="E26" s="19" t="inlineStr">
        <is>
          <t>Winner</t>
        </is>
      </c>
      <c r="F26" s="20" t="inlineStr">
        <is>
          <t>V1</t>
        </is>
      </c>
    </row>
    <row r="29" ht="24" customHeight="1">
      <c r="B29" s="7" t="inlineStr">
        <is>
          <t xml:space="preserve">  🎬  How I plan a month</t>
        </is>
      </c>
    </row>
    <row r="30" ht="20" customHeight="1">
      <c r="B30" s="31" t="inlineStr">
        <is>
          <t>📷
V1
Paste thumb</t>
        </is>
      </c>
      <c r="C30" s="31" t="inlineStr">
        <is>
          <t>📷
V2
Paste thumb</t>
        </is>
      </c>
      <c r="D30" s="31" t="inlineStr">
        <is>
          <t>📷
V3
Paste thumb</t>
        </is>
      </c>
    </row>
    <row r="31" ht="20" customHeight="1"/>
    <row r="32" ht="20" customHeight="1"/>
    <row r="33" ht="20" customHeight="1"/>
    <row r="34">
      <c r="B34" s="19" t="inlineStr">
        <is>
          <t>Winning CTR</t>
        </is>
      </c>
      <c r="C34" s="32" t="inlineStr">
        <is>
          <t>6.8%</t>
        </is>
      </c>
      <c r="E34" s="19" t="inlineStr">
        <is>
          <t>Winner</t>
        </is>
      </c>
      <c r="F34" s="20" t="inlineStr">
        <is>
          <t>V3</t>
        </is>
      </c>
    </row>
  </sheetData>
  <mergeCells count="18">
    <mergeCell ref="C14:C17"/>
    <mergeCell ref="B14:B17"/>
    <mergeCell ref="D14:D17"/>
    <mergeCell ref="B22:B25"/>
    <mergeCell ref="C22:C25"/>
    <mergeCell ref="D22:D25"/>
    <mergeCell ref="B5:G5"/>
    <mergeCell ref="A2:H2"/>
    <mergeCell ref="D6:D9"/>
    <mergeCell ref="B6:B9"/>
    <mergeCell ref="B30:B33"/>
    <mergeCell ref="D30:D33"/>
    <mergeCell ref="B13:G13"/>
    <mergeCell ref="A1:H1"/>
    <mergeCell ref="C30:C33"/>
    <mergeCell ref="B21:G21"/>
    <mergeCell ref="C6:C9"/>
    <mergeCell ref="B29:G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4F48"/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28" customWidth="1" min="4" max="4"/>
    <col width="12" customWidth="1" min="5" max="5"/>
    <col width="11" customWidth="1" min="6" max="6"/>
    <col width="12" customWidth="1" min="7" max="7"/>
    <col width="10" customWidth="1" min="8" max="8"/>
  </cols>
  <sheetData>
    <row r="1" ht="46" customHeight="1">
      <c r="A1" s="1" t="inlineStr">
        <is>
          <t xml:space="preserve">  🔍  SEO COMMAND CENTER</t>
        </is>
      </c>
    </row>
    <row r="2" ht="22" customHeight="1">
      <c r="A2" s="2" t="inlineStr">
        <is>
          <t xml:space="preserve">  Get found — primary keyword, title/description scores, chapters &amp; an SEO completion %.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Video</t>
        </is>
      </c>
      <c r="B4" s="7" t="inlineStr">
        <is>
          <t>Primary Keyword</t>
        </is>
      </c>
      <c r="C4" s="7" t="inlineStr">
        <is>
          <t>Tags</t>
        </is>
      </c>
      <c r="D4" s="7" t="inlineStr">
        <is>
          <t>Optimized Title</t>
        </is>
      </c>
      <c r="E4" s="7" t="inlineStr">
        <is>
          <t>Title Score</t>
        </is>
      </c>
      <c r="F4" s="7" t="inlineStr">
        <is>
          <t>Chapters</t>
        </is>
      </c>
      <c r="G4" s="7" t="inlineStr">
        <is>
          <t>End Screens</t>
        </is>
      </c>
      <c r="H4" s="7" t="inlineStr">
        <is>
          <t>SEO %</t>
        </is>
      </c>
    </row>
    <row r="5">
      <c r="A5" s="22" t="inlineStr">
        <is>
          <t>My full content OS (2024)</t>
        </is>
      </c>
      <c r="B5" s="22" t="inlineStr">
        <is>
          <t>content system</t>
        </is>
      </c>
      <c r="C5" s="22" t="inlineStr">
        <is>
          <t>productivity, workflow</t>
        </is>
      </c>
      <c r="D5" s="22" t="inlineStr">
        <is>
          <t>How I Built a Content OS</t>
        </is>
      </c>
      <c r="E5" s="29" t="n">
        <v>92</v>
      </c>
      <c r="F5" s="23" t="inlineStr">
        <is>
          <t>Yes</t>
        </is>
      </c>
      <c r="G5" s="23" t="inlineStr">
        <is>
          <t>Yes</t>
        </is>
      </c>
      <c r="H5" s="27" t="n">
        <v>0.95</v>
      </c>
    </row>
    <row r="6">
      <c r="A6" s="25" t="inlineStr">
        <is>
          <t>Faceless channel playbook</t>
        </is>
      </c>
      <c r="B6" s="25" t="inlineStr">
        <is>
          <t>faceless youtube</t>
        </is>
      </c>
      <c r="C6" s="25" t="inlineStr">
        <is>
          <t>automation, passive</t>
        </is>
      </c>
      <c r="D6" s="25" t="inlineStr">
        <is>
          <t>Faceless YouTube Playbook</t>
        </is>
      </c>
      <c r="E6" s="30" t="n">
        <v>88</v>
      </c>
      <c r="F6" s="26" t="inlineStr">
        <is>
          <t>Yes</t>
        </is>
      </c>
      <c r="G6" s="26" t="inlineStr">
        <is>
          <t>Yes</t>
        </is>
      </c>
      <c r="H6" s="28" t="n">
        <v>0.9</v>
      </c>
    </row>
    <row r="7">
      <c r="A7" s="22" t="inlineStr">
        <is>
          <t>$0 editing workflow</t>
        </is>
      </c>
      <c r="B7" s="22" t="inlineStr">
        <is>
          <t>free video editing</t>
        </is>
      </c>
      <c r="C7" s="22" t="inlineStr">
        <is>
          <t>capcut, davinci</t>
        </is>
      </c>
      <c r="D7" s="22" t="inlineStr">
        <is>
          <t>The $0 Editing Workflow</t>
        </is>
      </c>
      <c r="E7" s="29" t="n">
        <v>84</v>
      </c>
      <c r="F7" s="23" t="inlineStr">
        <is>
          <t>Yes</t>
        </is>
      </c>
      <c r="G7" s="23" t="inlineStr">
        <is>
          <t>No</t>
        </is>
      </c>
      <c r="H7" s="27" t="n">
        <v>0.75</v>
      </c>
    </row>
    <row r="8">
      <c r="A8" s="25" t="inlineStr">
        <is>
          <t>AI tools tier list</t>
        </is>
      </c>
      <c r="B8" s="25" t="inlineStr">
        <is>
          <t>ai tools for youtube</t>
        </is>
      </c>
      <c r="C8" s="25" t="inlineStr">
        <is>
          <t>chatgpt, ai video</t>
        </is>
      </c>
      <c r="D8" s="25" t="inlineStr">
        <is>
          <t>AI Tools Tier List 2024</t>
        </is>
      </c>
      <c r="E8" s="30" t="n">
        <v>90</v>
      </c>
      <c r="F8" s="26" t="inlineStr">
        <is>
          <t>Yes</t>
        </is>
      </c>
      <c r="G8" s="26" t="inlineStr">
        <is>
          <t>Yes</t>
        </is>
      </c>
      <c r="H8" s="28" t="n">
        <v>0.85</v>
      </c>
    </row>
    <row r="9">
      <c r="A9" s="22" t="inlineStr">
        <is>
          <t>How creators get sponsors</t>
        </is>
      </c>
      <c r="B9" s="22" t="inlineStr">
        <is>
          <t>youtube sponsorships</t>
        </is>
      </c>
      <c r="C9" s="22" t="inlineStr">
        <is>
          <t>brand deals, outreach</t>
        </is>
      </c>
      <c r="D9" s="22" t="inlineStr">
        <is>
          <t>How Creators Get Sponsors</t>
        </is>
      </c>
      <c r="E9" s="29" t="n">
        <v>86</v>
      </c>
      <c r="F9" s="23" t="inlineStr">
        <is>
          <t>No</t>
        </is>
      </c>
      <c r="G9" s="23" t="inlineStr">
        <is>
          <t>No</t>
        </is>
      </c>
      <c r="H9" s="27" t="n">
        <v>0.55</v>
      </c>
    </row>
    <row r="10">
      <c r="A10" s="25" t="inlineStr">
        <is>
          <t>Best camera 2024</t>
        </is>
      </c>
      <c r="B10" s="25" t="inlineStr">
        <is>
          <t>best youtube camera</t>
        </is>
      </c>
      <c r="C10" s="25" t="inlineStr">
        <is>
          <t>sony, canon, gear</t>
        </is>
      </c>
      <c r="D10" s="25" t="inlineStr">
        <is>
          <t>Best Camera for YouTube 2024</t>
        </is>
      </c>
      <c r="E10" s="30" t="n">
        <v>80</v>
      </c>
      <c r="F10" s="26" t="inlineStr">
        <is>
          <t>No</t>
        </is>
      </c>
      <c r="G10" s="26" t="inlineStr">
        <is>
          <t>No</t>
        </is>
      </c>
      <c r="H10" s="28" t="n">
        <v>0.4</v>
      </c>
    </row>
    <row r="11">
      <c r="A11" s="22" t="n"/>
      <c r="B11" s="22" t="n"/>
      <c r="C11" s="22" t="n"/>
      <c r="D11" s="22" t="n"/>
      <c r="E11" s="29" t="n"/>
      <c r="F11" s="23" t="n"/>
      <c r="G11" s="23" t="n"/>
      <c r="H11" s="27" t="n"/>
    </row>
    <row r="12">
      <c r="A12" s="25" t="n"/>
      <c r="B12" s="25" t="n"/>
      <c r="C12" s="25" t="n"/>
      <c r="D12" s="25" t="n"/>
      <c r="E12" s="30" t="n"/>
      <c r="F12" s="26" t="n"/>
      <c r="G12" s="26" t="n"/>
      <c r="H12" s="28" t="n"/>
    </row>
    <row r="13">
      <c r="A13" s="22" t="n"/>
      <c r="B13" s="22" t="n"/>
      <c r="C13" s="22" t="n"/>
      <c r="D13" s="22" t="n"/>
      <c r="E13" s="29" t="n"/>
      <c r="F13" s="23" t="n"/>
      <c r="G13" s="23" t="n"/>
      <c r="H13" s="27" t="n"/>
    </row>
    <row r="14">
      <c r="A14" s="25" t="n"/>
      <c r="B14" s="25" t="n"/>
      <c r="C14" s="25" t="n"/>
      <c r="D14" s="25" t="n"/>
      <c r="E14" s="30" t="n"/>
      <c r="F14" s="26" t="n"/>
      <c r="G14" s="26" t="n"/>
      <c r="H14" s="28" t="n"/>
    </row>
    <row r="15">
      <c r="A15" s="22" t="n"/>
      <c r="B15" s="22" t="n"/>
      <c r="C15" s="22" t="n"/>
      <c r="D15" s="22" t="n"/>
      <c r="E15" s="29" t="n"/>
      <c r="F15" s="23" t="n"/>
      <c r="G15" s="23" t="n"/>
      <c r="H15" s="27" t="n"/>
    </row>
    <row r="16">
      <c r="A16" s="25" t="n"/>
      <c r="B16" s="25" t="n"/>
      <c r="C16" s="25" t="n"/>
      <c r="D16" s="25" t="n"/>
      <c r="E16" s="30" t="n"/>
      <c r="F16" s="26" t="n"/>
      <c r="G16" s="26" t="n"/>
      <c r="H16" s="28" t="n"/>
    </row>
    <row r="17">
      <c r="A17" s="22" t="n"/>
      <c r="B17" s="22" t="n"/>
      <c r="C17" s="22" t="n"/>
      <c r="D17" s="22" t="n"/>
      <c r="E17" s="29" t="n"/>
      <c r="F17" s="23" t="n"/>
      <c r="G17" s="23" t="n"/>
      <c r="H17" s="27" t="n"/>
    </row>
    <row r="18">
      <c r="A18" s="25" t="n"/>
      <c r="B18" s="25" t="n"/>
      <c r="C18" s="25" t="n"/>
      <c r="D18" s="25" t="n"/>
      <c r="E18" s="30" t="n"/>
      <c r="F18" s="26" t="n"/>
      <c r="G18" s="26" t="n"/>
      <c r="H18" s="28" t="n"/>
    </row>
    <row r="19">
      <c r="A19" s="22" t="n"/>
      <c r="B19" s="22" t="n"/>
      <c r="C19" s="22" t="n"/>
      <c r="D19" s="22" t="n"/>
      <c r="E19" s="29" t="n"/>
      <c r="F19" s="23" t="n"/>
      <c r="G19" s="23" t="n"/>
      <c r="H19" s="27" t="n"/>
    </row>
    <row r="20">
      <c r="A20" s="25" t="n"/>
      <c r="B20" s="25" t="n"/>
      <c r="C20" s="25" t="n"/>
      <c r="D20" s="25" t="n"/>
      <c r="E20" s="30" t="n"/>
      <c r="F20" s="26" t="n"/>
      <c r="G20" s="26" t="n"/>
      <c r="H20" s="28" t="n"/>
    </row>
    <row r="21">
      <c r="A21" s="22" t="n"/>
      <c r="B21" s="22" t="n"/>
      <c r="C21" s="22" t="n"/>
      <c r="D21" s="22" t="n"/>
      <c r="E21" s="29" t="n"/>
      <c r="F21" s="23" t="n"/>
      <c r="G21" s="23" t="n"/>
      <c r="H21" s="27" t="n"/>
    </row>
    <row r="22">
      <c r="A22" s="25" t="n"/>
      <c r="B22" s="25" t="n"/>
      <c r="C22" s="25" t="n"/>
      <c r="D22" s="25" t="n"/>
      <c r="E22" s="30" t="n"/>
      <c r="F22" s="26" t="n"/>
      <c r="G22" s="26" t="n"/>
      <c r="H22" s="28" t="n"/>
    </row>
    <row r="23">
      <c r="A23" s="22" t="n"/>
      <c r="B23" s="22" t="n"/>
      <c r="C23" s="22" t="n"/>
      <c r="D23" s="22" t="n"/>
      <c r="E23" s="29" t="n"/>
      <c r="F23" s="23" t="n"/>
      <c r="G23" s="23" t="n"/>
      <c r="H23" s="27" t="n"/>
    </row>
    <row r="24">
      <c r="A24" s="25" t="n"/>
      <c r="B24" s="25" t="n"/>
      <c r="C24" s="25" t="n"/>
      <c r="D24" s="25" t="n"/>
      <c r="E24" s="30" t="n"/>
      <c r="F24" s="26" t="n"/>
      <c r="G24" s="26" t="n"/>
      <c r="H24" s="28" t="n"/>
    </row>
    <row r="25">
      <c r="A25" s="22" t="n"/>
      <c r="B25" s="22" t="n"/>
      <c r="C25" s="22" t="n"/>
      <c r="D25" s="22" t="n"/>
      <c r="E25" s="29" t="n"/>
      <c r="F25" s="23" t="n"/>
      <c r="G25" s="23" t="n"/>
      <c r="H25" s="27" t="n"/>
    </row>
    <row r="26">
      <c r="A26" s="25" t="n"/>
      <c r="B26" s="25" t="n"/>
      <c r="C26" s="25" t="n"/>
      <c r="D26" s="25" t="n"/>
      <c r="E26" s="30" t="n"/>
      <c r="F26" s="26" t="n"/>
      <c r="G26" s="26" t="n"/>
      <c r="H26" s="28" t="n"/>
    </row>
    <row r="27">
      <c r="A27" s="22" t="n"/>
      <c r="B27" s="22" t="n"/>
      <c r="C27" s="22" t="n"/>
      <c r="D27" s="22" t="n"/>
      <c r="E27" s="29" t="n"/>
      <c r="F27" s="23" t="n"/>
      <c r="G27" s="23" t="n"/>
      <c r="H27" s="27" t="n"/>
    </row>
    <row r="28">
      <c r="A28" s="25" t="n"/>
      <c r="B28" s="25" t="n"/>
      <c r="C28" s="25" t="n"/>
      <c r="D28" s="25" t="n"/>
      <c r="E28" s="30" t="n"/>
      <c r="F28" s="26" t="n"/>
      <c r="G28" s="26" t="n"/>
      <c r="H28" s="28" t="n"/>
    </row>
    <row r="29">
      <c r="A29" s="22" t="n"/>
      <c r="B29" s="22" t="n"/>
      <c r="C29" s="22" t="n"/>
      <c r="D29" s="22" t="n"/>
      <c r="E29" s="29" t="n"/>
      <c r="F29" s="23" t="n"/>
      <c r="G29" s="23" t="n"/>
      <c r="H29" s="27" t="n"/>
    </row>
    <row r="30">
      <c r="A30" s="25" t="n"/>
      <c r="B30" s="25" t="n"/>
      <c r="C30" s="25" t="n"/>
      <c r="D30" s="25" t="n"/>
      <c r="E30" s="30" t="n"/>
      <c r="F30" s="26" t="n"/>
      <c r="G30" s="26" t="n"/>
      <c r="H30" s="28" t="n"/>
    </row>
    <row r="31">
      <c r="A31" s="22" t="n"/>
      <c r="B31" s="22" t="n"/>
      <c r="C31" s="22" t="n"/>
      <c r="D31" s="22" t="n"/>
      <c r="E31" s="29" t="n"/>
      <c r="F31" s="23" t="n"/>
      <c r="G31" s="23" t="n"/>
      <c r="H31" s="27" t="n"/>
    </row>
    <row r="32">
      <c r="A32" s="25" t="n"/>
      <c r="B32" s="25" t="n"/>
      <c r="C32" s="25" t="n"/>
      <c r="D32" s="25" t="n"/>
      <c r="E32" s="30" t="n"/>
      <c r="F32" s="26" t="n"/>
      <c r="G32" s="26" t="n"/>
      <c r="H32" s="28" t="n"/>
    </row>
    <row r="33">
      <c r="A33" s="22" t="n"/>
      <c r="B33" s="22" t="n"/>
      <c r="C33" s="22" t="n"/>
      <c r="D33" s="22" t="n"/>
      <c r="E33" s="29" t="n"/>
      <c r="F33" s="23" t="n"/>
      <c r="G33" s="23" t="n"/>
      <c r="H33" s="27" t="n"/>
    </row>
    <row r="34">
      <c r="A34" s="25" t="n"/>
      <c r="B34" s="25" t="n"/>
      <c r="C34" s="25" t="n"/>
      <c r="D34" s="25" t="n"/>
      <c r="E34" s="30" t="n"/>
      <c r="F34" s="26" t="n"/>
      <c r="G34" s="26" t="n"/>
      <c r="H34" s="28" t="n"/>
    </row>
    <row r="35">
      <c r="A35" s="22" t="n"/>
      <c r="B35" s="22" t="n"/>
      <c r="C35" s="22" t="n"/>
      <c r="D35" s="22" t="n"/>
      <c r="E35" s="29" t="n"/>
      <c r="F35" s="23" t="n"/>
      <c r="G35" s="23" t="n"/>
      <c r="H35" s="27" t="n"/>
    </row>
    <row r="36">
      <c r="A36" s="25" t="n"/>
      <c r="B36" s="25" t="n"/>
      <c r="C36" s="25" t="n"/>
      <c r="D36" s="25" t="n"/>
      <c r="E36" s="30" t="n"/>
      <c r="F36" s="26" t="n"/>
      <c r="G36" s="26" t="n"/>
      <c r="H36" s="28" t="n"/>
    </row>
    <row r="37">
      <c r="A37" s="22" t="n"/>
      <c r="B37" s="22" t="n"/>
      <c r="C37" s="22" t="n"/>
      <c r="D37" s="22" t="n"/>
      <c r="E37" s="29" t="n"/>
      <c r="F37" s="23" t="n"/>
      <c r="G37" s="23" t="n"/>
      <c r="H37" s="27" t="n"/>
    </row>
    <row r="38">
      <c r="A38" s="25" t="n"/>
      <c r="B38" s="25" t="n"/>
      <c r="C38" s="25" t="n"/>
      <c r="D38" s="25" t="n"/>
      <c r="E38" s="30" t="n"/>
      <c r="F38" s="26" t="n"/>
      <c r="G38" s="26" t="n"/>
      <c r="H38" s="28" t="n"/>
    </row>
    <row r="39">
      <c r="A39" s="22" t="n"/>
      <c r="B39" s="22" t="n"/>
      <c r="C39" s="22" t="n"/>
      <c r="D39" s="22" t="n"/>
      <c r="E39" s="29" t="n"/>
      <c r="F39" s="23" t="n"/>
      <c r="G39" s="23" t="n"/>
      <c r="H39" s="27" t="n"/>
    </row>
    <row r="40">
      <c r="A40" s="25" t="n"/>
      <c r="B40" s="25" t="n"/>
      <c r="C40" s="25" t="n"/>
      <c r="D40" s="25" t="n"/>
      <c r="E40" s="30" t="n"/>
      <c r="F40" s="26" t="n"/>
      <c r="G40" s="26" t="n"/>
      <c r="H40" s="28" t="n"/>
    </row>
    <row r="41">
      <c r="A41" s="22" t="n"/>
      <c r="B41" s="22" t="n"/>
      <c r="C41" s="22" t="n"/>
      <c r="D41" s="22" t="n"/>
      <c r="E41" s="29" t="n"/>
      <c r="F41" s="23" t="n"/>
      <c r="G41" s="23" t="n"/>
      <c r="H41" s="27" t="n"/>
    </row>
    <row r="42">
      <c r="A42" s="25" t="n"/>
      <c r="B42" s="25" t="n"/>
      <c r="C42" s="25" t="n"/>
      <c r="D42" s="25" t="n"/>
      <c r="E42" s="30" t="n"/>
      <c r="F42" s="26" t="n"/>
      <c r="G42" s="26" t="n"/>
      <c r="H42" s="28" t="n"/>
    </row>
    <row r="43">
      <c r="A43" s="22" t="n"/>
      <c r="B43" s="22" t="n"/>
      <c r="C43" s="22" t="n"/>
      <c r="D43" s="22" t="n"/>
      <c r="E43" s="29" t="n"/>
      <c r="F43" s="23" t="n"/>
      <c r="G43" s="23" t="n"/>
      <c r="H43" s="27" t="n"/>
    </row>
    <row r="44">
      <c r="A44" s="25" t="n"/>
      <c r="B44" s="25" t="n"/>
      <c r="C44" s="25" t="n"/>
      <c r="D44" s="25" t="n"/>
      <c r="E44" s="30" t="n"/>
      <c r="F44" s="26" t="n"/>
      <c r="G44" s="26" t="n"/>
      <c r="H44" s="28" t="n"/>
    </row>
  </sheetData>
  <mergeCells count="2">
    <mergeCell ref="A2:H2"/>
    <mergeCell ref="A1:H1"/>
  </mergeCells>
  <conditionalFormatting sqref="H5:H44">
    <cfRule type="dataBar" priority="1">
      <dataBar showValue="1">
        <cfvo type="num" val="0"/>
        <cfvo type="num" val="1"/>
        <color rgb="001B4F48"/>
      </dataBar>
    </cfRule>
  </conditionalFormatting>
  <conditionalFormatting sqref="E5:E44">
    <cfRule type="colorScale" priority="2">
      <colorScale>
        <cfvo type="num" val="60"/>
        <cfvo type="num" val="100"/>
        <color rgb="FFFBF0E2"/>
        <color rgb="FF75E6C1"/>
      </colorScale>
    </cfRule>
  </conditionalFormatting>
  <dataValidations count="2">
    <dataValidation sqref="F5:F44" showDropDown="0" showInputMessage="0" showErrorMessage="0" allowBlank="1" type="list">
      <formula1>=YesNoList</formula1>
    </dataValidation>
    <dataValidation sqref="G5:G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37356"/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8" customWidth="1" min="4" max="4"/>
    <col width="3" customWidth="1" min="5" max="5"/>
    <col width="16" customWidth="1" min="6" max="6"/>
    <col width="12" customWidth="1" min="7" max="7"/>
    <col width="12" customWidth="1" min="8" max="8"/>
    <col width="2" customWidth="1" min="9" max="9"/>
  </cols>
  <sheetData>
    <row r="1" ht="46" customHeight="1">
      <c r="A1" s="1" t="inlineStr">
        <is>
          <t xml:space="preserve">  📊  ANALYTICS COMMAND CENTER</t>
        </is>
      </c>
    </row>
    <row r="2" ht="22" customHeight="1">
      <c r="A2" s="2" t="inlineStr">
        <is>
          <t xml:space="preserve">  Your channel by the numbers — a live snapshot, health dimensions &amp; the Channel Health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5">
      <c r="B5" s="6" t="inlineStr">
        <is>
          <t>CHANNEL SNAPSHOT (28 DAYS)</t>
        </is>
      </c>
      <c r="E5" s="4" t="inlineStr">
        <is>
          <t>CHANNEL HEALTH</t>
        </is>
      </c>
    </row>
    <row r="6" ht="30" customHeight="1">
      <c r="B6" s="19" t="inlineStr">
        <is>
          <t>Subscribers</t>
        </is>
      </c>
      <c r="C6" s="33" t="n">
        <v>84200</v>
      </c>
      <c r="E6" s="7" t="inlineStr">
        <is>
          <t>Dimension</t>
        </is>
      </c>
      <c r="F6" s="7" t="inlineStr">
        <is>
          <t>Score</t>
        </is>
      </c>
      <c r="G6" s="7" t="inlineStr">
        <is>
          <t>Status</t>
        </is>
      </c>
    </row>
    <row r="7">
      <c r="B7" s="19" t="inlineStr">
        <is>
          <t>Views</t>
        </is>
      </c>
      <c r="C7" s="34" t="n">
        <v>412000</v>
      </c>
      <c r="E7" s="35" t="inlineStr">
        <is>
          <t>Revenue vs goal</t>
        </is>
      </c>
      <c r="F7" s="36">
        <f>IFERROR(MIN(RevenueTotal/RevenueGoal,1),0)</f>
        <v/>
      </c>
      <c r="G7" s="37">
        <f>IF(F7&gt;=0.75,"Strong",IF(F7&gt;=0.5,"Growing","Focus"))</f>
        <v/>
      </c>
    </row>
    <row r="8">
      <c r="B8" s="19" t="inlineStr">
        <is>
          <t>Watch hours</t>
        </is>
      </c>
      <c r="C8" s="34" t="n">
        <v>14600</v>
      </c>
      <c r="E8" s="25" t="inlineStr">
        <is>
          <t>Upload consistency</t>
        </is>
      </c>
      <c r="F8" s="28">
        <f>IFERROR(MIN(COUNTIFS(CalDate,"&gt;="&amp;TODAY()-28,CalStatus,"Published")/UploadGoal,1),0)</f>
        <v/>
      </c>
      <c r="G8" s="26">
        <f>IF(F8&gt;=0.75,"Strong",IF(F8&gt;=0.5,"Growing","Focus"))</f>
        <v/>
      </c>
    </row>
    <row r="9">
      <c r="B9" s="19" t="inlineStr">
        <is>
          <t>Avg CTR</t>
        </is>
      </c>
      <c r="C9" s="38" t="n">
        <v>0.068</v>
      </c>
      <c r="E9" s="35" t="inlineStr">
        <is>
          <t>Audience / CTR</t>
        </is>
      </c>
      <c r="F9" s="36">
        <f>IFERROR(MIN(AvgCTR/0.08,1),0)</f>
        <v/>
      </c>
      <c r="G9" s="37">
        <f>IF(F9&gt;=0.75,"Strong",IF(F9&gt;=0.5,"Growing","Focus"))</f>
        <v/>
      </c>
    </row>
    <row r="10">
      <c r="B10" s="19" t="inlineStr">
        <is>
          <t>Avg view duration</t>
        </is>
      </c>
      <c r="C10" s="20" t="inlineStr">
        <is>
          <t>4:52</t>
        </is>
      </c>
      <c r="E10" s="25" t="inlineStr">
        <is>
          <t>Retention</t>
        </is>
      </c>
      <c r="F10" s="28">
        <f>IFERROR(MIN((LEFT(AvgViewDur,FIND(":",AvgViewDur)-1)+MID(AvgViewDur,FIND(":",AvgViewDur)+1,2)/60)/AVDTarget,1),0)</f>
        <v/>
      </c>
      <c r="G10" s="26">
        <f>IF(F10&gt;=0.75,"Strong",IF(F10&gt;=0.5,"Growing","Focus"))</f>
        <v/>
      </c>
    </row>
    <row r="11">
      <c r="B11" s="19" t="inlineStr">
        <is>
          <t>Returning viewers</t>
        </is>
      </c>
      <c r="C11" s="39" t="n">
        <v>0.38</v>
      </c>
      <c r="E11" s="35" t="inlineStr">
        <is>
          <t>Sponsorship pipeline</t>
        </is>
      </c>
      <c r="F11" s="36">
        <f>IFERROR(MIN((COUNTIF(SponStage,"Signed")+COUNTIF(SponStage,"Delivered")+COUNTIF(SponStage,"Negotiation"))/DealTarget,1),0)</f>
        <v/>
      </c>
      <c r="G11" s="37">
        <f>IF(F11&gt;=0.75,"Strong",IF(F11&gt;=0.5,"Growing","Focus"))</f>
        <v/>
      </c>
    </row>
    <row r="12">
      <c r="B12" s="19" t="inlineStr">
        <is>
          <t>RPM</t>
        </is>
      </c>
      <c r="C12" s="40" t="n">
        <v>8.4</v>
      </c>
      <c r="E12" s="25" t="inlineStr">
        <is>
          <t>Goal progress</t>
        </is>
      </c>
      <c r="F12" s="28">
        <f>IFERROR(AVERAGE(GoalProgress),0)</f>
        <v/>
      </c>
      <c r="G12" s="26">
        <f>IF(F12&gt;=0.75,"Strong",IF(F12&gt;=0.5,"Growing","Focus"))</f>
        <v/>
      </c>
    </row>
    <row r="13">
      <c r="B13" s="19" t="inlineStr">
        <is>
          <t>CPM</t>
        </is>
      </c>
      <c r="C13" s="41" t="n">
        <v>14.2</v>
      </c>
    </row>
    <row r="15" ht="22" customHeight="1">
      <c r="B15" s="4" t="inlineStr">
        <is>
          <t>RECENT VIDEO PERFORMANCE</t>
        </is>
      </c>
    </row>
    <row r="16" ht="30" customHeight="1">
      <c r="B16" s="7" t="inlineStr">
        <is>
          <t>Video</t>
        </is>
      </c>
      <c r="C16" s="7" t="inlineStr">
        <is>
          <t>Views</t>
        </is>
      </c>
      <c r="D16" s="7" t="inlineStr">
        <is>
          <t>CTR</t>
        </is>
      </c>
      <c r="E16" s="7" t="inlineStr">
        <is>
          <t>Avg Duration</t>
        </is>
      </c>
      <c r="F16" s="7" t="inlineStr">
        <is>
          <t>Subs +</t>
        </is>
      </c>
      <c r="G16" s="7" t="inlineStr">
        <is>
          <t>RPM</t>
        </is>
      </c>
    </row>
    <row r="17">
      <c r="B17" s="35" t="inlineStr">
        <is>
          <t>I quit my job. Here's the math</t>
        </is>
      </c>
      <c r="C17" s="42" t="n">
        <v>148000</v>
      </c>
      <c r="D17" s="43" t="n">
        <v>0.08400000000000001</v>
      </c>
      <c r="E17" s="37" t="inlineStr">
        <is>
          <t>6:42</t>
        </is>
      </c>
      <c r="F17" s="42" t="n">
        <v>2100</v>
      </c>
      <c r="G17" s="44" t="n">
        <v>6.2</v>
      </c>
    </row>
    <row r="18">
      <c r="B18" s="25" t="inlineStr">
        <is>
          <t>5 Systems That 10x Output</t>
        </is>
      </c>
      <c r="C18" s="30" t="n">
        <v>112000</v>
      </c>
      <c r="D18" s="45" t="n">
        <v>0.07199999999999999</v>
      </c>
      <c r="E18" s="26" t="inlineStr">
        <is>
          <t>7:15</t>
        </is>
      </c>
      <c r="F18" s="30" t="n">
        <v>1580</v>
      </c>
      <c r="G18" s="46" t="n">
        <v>8.4</v>
      </c>
    </row>
    <row r="19">
      <c r="B19" s="35" t="inlineStr">
        <is>
          <t>The $0 editing workflow</t>
        </is>
      </c>
      <c r="C19" s="42" t="n">
        <v>96000</v>
      </c>
      <c r="D19" s="43" t="n">
        <v>0.06900000000000001</v>
      </c>
      <c r="E19" s="37" t="inlineStr">
        <is>
          <t>5:48</t>
        </is>
      </c>
      <c r="F19" s="42" t="n">
        <v>1120</v>
      </c>
      <c r="G19" s="44" t="n">
        <v>7.1</v>
      </c>
    </row>
    <row r="20">
      <c r="B20" s="25" t="inlineStr">
        <is>
          <t>How I plan a month in 90 min</t>
        </is>
      </c>
      <c r="C20" s="30" t="n">
        <v>84000</v>
      </c>
      <c r="D20" s="45" t="n">
        <v>0.078</v>
      </c>
      <c r="E20" s="26" t="inlineStr">
        <is>
          <t>6:05</t>
        </is>
      </c>
      <c r="F20" s="30" t="n">
        <v>1580</v>
      </c>
      <c r="G20" s="46" t="n">
        <v>9.199999999999999</v>
      </c>
    </row>
    <row r="21">
      <c r="B21" s="35" t="inlineStr">
        <is>
          <t>3 tools I can't live without</t>
        </is>
      </c>
      <c r="C21" s="42" t="n">
        <v>58000</v>
      </c>
      <c r="D21" s="43" t="n">
        <v>0.061</v>
      </c>
      <c r="E21" s="37" t="inlineStr">
        <is>
          <t>0:42</t>
        </is>
      </c>
      <c r="F21" s="42" t="n">
        <v>720</v>
      </c>
      <c r="G21" s="44" t="n">
        <v>3.1</v>
      </c>
    </row>
    <row r="22">
      <c r="B22" s="25" t="inlineStr">
        <is>
          <t>Reply: how much I make</t>
        </is>
      </c>
      <c r="C22" s="30" t="n">
        <v>42000</v>
      </c>
      <c r="D22" s="45" t="n">
        <v>0.055</v>
      </c>
      <c r="E22" s="26" t="inlineStr">
        <is>
          <t>0:38</t>
        </is>
      </c>
      <c r="F22" s="30" t="n">
        <v>640</v>
      </c>
      <c r="G22" s="46" t="n">
        <v>2.8</v>
      </c>
    </row>
    <row r="25">
      <c r="B25" s="6" t="inlineStr">
        <is>
          <t>SUBSCRIBER GROWTH (K) — 6 MONTHS</t>
        </is>
      </c>
    </row>
    <row r="26">
      <c r="B26" s="7" t="inlineStr">
        <is>
          <t>Month</t>
        </is>
      </c>
      <c r="C26" s="7" t="inlineStr">
        <is>
          <t>Subs (K)</t>
        </is>
      </c>
    </row>
    <row r="27">
      <c r="B27" s="35" t="inlineStr">
        <is>
          <t>Feb</t>
        </is>
      </c>
      <c r="C27" s="47" t="n">
        <v>58.4</v>
      </c>
    </row>
    <row r="28">
      <c r="B28" s="25" t="inlineStr">
        <is>
          <t>Mar</t>
        </is>
      </c>
      <c r="C28" s="48" t="n">
        <v>64.09999999999999</v>
      </c>
    </row>
    <row r="29">
      <c r="B29" s="35" t="inlineStr">
        <is>
          <t>Apr</t>
        </is>
      </c>
      <c r="C29" s="47" t="n">
        <v>69.8</v>
      </c>
    </row>
    <row r="30">
      <c r="B30" s="25" t="inlineStr">
        <is>
          <t>May</t>
        </is>
      </c>
      <c r="C30" s="48" t="n">
        <v>74.5</v>
      </c>
    </row>
    <row r="31">
      <c r="B31" s="35" t="inlineStr">
        <is>
          <t>Jun</t>
        </is>
      </c>
      <c r="C31" s="47" t="n">
        <v>79.59999999999999</v>
      </c>
    </row>
    <row r="32">
      <c r="B32" s="25" t="inlineStr">
        <is>
          <t>Jul</t>
        </is>
      </c>
      <c r="C32" s="48" t="n">
        <v>84.2</v>
      </c>
    </row>
  </sheetData>
  <mergeCells count="6">
    <mergeCell ref="B25:C25"/>
    <mergeCell ref="B5:C5"/>
    <mergeCell ref="A2:H2"/>
    <mergeCell ref="B15:H15"/>
    <mergeCell ref="A1:H1"/>
    <mergeCell ref="E5:H5"/>
  </mergeCells>
  <conditionalFormatting sqref="F7:F12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conditionalFormatting sqref="C17:C22">
    <cfRule type="dataBar" priority="2">
      <dataBar showValue="1">
        <cfvo type="num" val="0"/>
        <cfvo type="num" val="150000"/>
        <color rgb="001B4F48"/>
      </dataBar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5E6C1"/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2" customWidth="1" min="6" max="6"/>
    <col width="12" customWidth="1" min="7" max="7"/>
  </cols>
  <sheetData>
    <row r="1" ht="46" customHeight="1">
      <c r="A1" s="1" t="inlineStr">
        <is>
          <t xml:space="preserve">  🎞  LONG-FORM VIDEO ANALYTICS</t>
        </is>
      </c>
    </row>
    <row r="2" ht="22" customHeight="1">
      <c r="A2" s="2" t="inlineStr">
        <is>
          <t xml:space="preserve">  How your videos age — first 24 hours vs 7, 30 days &amp; lifetime.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Video</t>
        </is>
      </c>
      <c r="B4" s="7" t="inlineStr">
        <is>
          <t>First 24h</t>
        </is>
      </c>
      <c r="C4" s="7" t="inlineStr">
        <is>
          <t>7 Days</t>
        </is>
      </c>
      <c r="D4" s="7" t="inlineStr">
        <is>
          <t>30 Days</t>
        </is>
      </c>
      <c r="E4" s="7" t="inlineStr">
        <is>
          <t>Lifetime</t>
        </is>
      </c>
      <c r="F4" s="7" t="inlineStr">
        <is>
          <t>CTR</t>
        </is>
      </c>
      <c r="G4" s="7" t="inlineStr">
        <is>
          <t>Avg Dur</t>
        </is>
      </c>
    </row>
    <row r="5">
      <c r="A5" s="22" t="inlineStr">
        <is>
          <t>I quit my job. Here's the math</t>
        </is>
      </c>
      <c r="B5" s="29" t="n">
        <v>22000</v>
      </c>
      <c r="C5" s="29" t="n">
        <v>68000</v>
      </c>
      <c r="D5" s="29" t="n">
        <v>121000</v>
      </c>
      <c r="E5" s="29" t="n">
        <v>148000</v>
      </c>
      <c r="F5" s="23" t="inlineStr">
        <is>
          <t>8.4%</t>
        </is>
      </c>
      <c r="G5" s="23" t="inlineStr">
        <is>
          <t>6:42</t>
        </is>
      </c>
    </row>
    <row r="6">
      <c r="A6" s="25" t="inlineStr">
        <is>
          <t>5 Systems That 10x Output</t>
        </is>
      </c>
      <c r="B6" s="30" t="n">
        <v>18000</v>
      </c>
      <c r="C6" s="30" t="n">
        <v>54000</v>
      </c>
      <c r="D6" s="30" t="n">
        <v>92000</v>
      </c>
      <c r="E6" s="30" t="n">
        <v>112000</v>
      </c>
      <c r="F6" s="26" t="inlineStr">
        <is>
          <t>7.2%</t>
        </is>
      </c>
      <c r="G6" s="26" t="inlineStr">
        <is>
          <t>7:15</t>
        </is>
      </c>
    </row>
    <row r="7">
      <c r="A7" s="22" t="inlineStr">
        <is>
          <t>The $0 editing workflow</t>
        </is>
      </c>
      <c r="B7" s="29" t="n">
        <v>14000</v>
      </c>
      <c r="C7" s="29" t="n">
        <v>46000</v>
      </c>
      <c r="D7" s="29" t="n">
        <v>78000</v>
      </c>
      <c r="E7" s="29" t="n">
        <v>96000</v>
      </c>
      <c r="F7" s="23" t="inlineStr">
        <is>
          <t>6.9%</t>
        </is>
      </c>
      <c r="G7" s="23" t="inlineStr">
        <is>
          <t>5:48</t>
        </is>
      </c>
    </row>
    <row r="8">
      <c r="A8" s="25" t="inlineStr">
        <is>
          <t>How I plan a month in 90 min</t>
        </is>
      </c>
      <c r="B8" s="30" t="n">
        <v>12000</v>
      </c>
      <c r="C8" s="30" t="n">
        <v>41000</v>
      </c>
      <c r="D8" s="30" t="n">
        <v>70000</v>
      </c>
      <c r="E8" s="30" t="n">
        <v>84000</v>
      </c>
      <c r="F8" s="26" t="inlineStr">
        <is>
          <t>7.8%</t>
        </is>
      </c>
      <c r="G8" s="26" t="inlineStr">
        <is>
          <t>6:05</t>
        </is>
      </c>
    </row>
    <row r="9">
      <c r="A9" s="22" t="inlineStr">
        <is>
          <t>Notion setup for creators</t>
        </is>
      </c>
      <c r="B9" s="29" t="n">
        <v>9000</v>
      </c>
      <c r="C9" s="29" t="n">
        <v>31000</v>
      </c>
      <c r="D9" s="29" t="n">
        <v>54000</v>
      </c>
      <c r="E9" s="29" t="n">
        <v>68000</v>
      </c>
      <c r="F9" s="23" t="inlineStr">
        <is>
          <t>6.4%</t>
        </is>
      </c>
      <c r="G9" s="23" t="inlineStr">
        <is>
          <t>8:10</t>
        </is>
      </c>
    </row>
    <row r="10">
      <c r="A10" s="25" t="n"/>
      <c r="B10" s="30" t="n"/>
      <c r="C10" s="30" t="n"/>
      <c r="D10" s="30" t="n"/>
      <c r="E10" s="30" t="n"/>
      <c r="F10" s="26" t="n"/>
      <c r="G10" s="26" t="n"/>
    </row>
    <row r="11">
      <c r="A11" s="22" t="n"/>
      <c r="B11" s="29" t="n"/>
      <c r="C11" s="29" t="n"/>
      <c r="D11" s="29" t="n"/>
      <c r="E11" s="29" t="n"/>
      <c r="F11" s="23" t="n"/>
      <c r="G11" s="23" t="n"/>
    </row>
    <row r="12">
      <c r="A12" s="25" t="n"/>
      <c r="B12" s="30" t="n"/>
      <c r="C12" s="30" t="n"/>
      <c r="D12" s="30" t="n"/>
      <c r="E12" s="30" t="n"/>
      <c r="F12" s="26" t="n"/>
      <c r="G12" s="26" t="n"/>
    </row>
    <row r="13">
      <c r="A13" s="22" t="n"/>
      <c r="B13" s="29" t="n"/>
      <c r="C13" s="29" t="n"/>
      <c r="D13" s="29" t="n"/>
      <c r="E13" s="29" t="n"/>
      <c r="F13" s="23" t="n"/>
      <c r="G13" s="23" t="n"/>
    </row>
    <row r="14">
      <c r="A14" s="25" t="n"/>
      <c r="B14" s="30" t="n"/>
      <c r="C14" s="30" t="n"/>
      <c r="D14" s="30" t="n"/>
      <c r="E14" s="30" t="n"/>
      <c r="F14" s="26" t="n"/>
      <c r="G14" s="26" t="n"/>
    </row>
    <row r="15">
      <c r="A15" s="22" t="n"/>
      <c r="B15" s="29" t="n"/>
      <c r="C15" s="29" t="n"/>
      <c r="D15" s="29" t="n"/>
      <c r="E15" s="29" t="n"/>
      <c r="F15" s="23" t="n"/>
      <c r="G15" s="23" t="n"/>
    </row>
    <row r="16">
      <c r="A16" s="25" t="n"/>
      <c r="B16" s="30" t="n"/>
      <c r="C16" s="30" t="n"/>
      <c r="D16" s="30" t="n"/>
      <c r="E16" s="30" t="n"/>
      <c r="F16" s="26" t="n"/>
      <c r="G16" s="26" t="n"/>
    </row>
    <row r="17">
      <c r="A17" s="22" t="n"/>
      <c r="B17" s="29" t="n"/>
      <c r="C17" s="29" t="n"/>
      <c r="D17" s="29" t="n"/>
      <c r="E17" s="29" t="n"/>
      <c r="F17" s="23" t="n"/>
      <c r="G17" s="23" t="n"/>
    </row>
    <row r="18">
      <c r="A18" s="25" t="n"/>
      <c r="B18" s="30" t="n"/>
      <c r="C18" s="30" t="n"/>
      <c r="D18" s="30" t="n"/>
      <c r="E18" s="30" t="n"/>
      <c r="F18" s="26" t="n"/>
      <c r="G18" s="26" t="n"/>
    </row>
    <row r="19">
      <c r="A19" s="22" t="n"/>
      <c r="B19" s="29" t="n"/>
      <c r="C19" s="29" t="n"/>
      <c r="D19" s="29" t="n"/>
      <c r="E19" s="29" t="n"/>
      <c r="F19" s="23" t="n"/>
      <c r="G19" s="23" t="n"/>
    </row>
    <row r="20">
      <c r="A20" s="25" t="n"/>
      <c r="B20" s="30" t="n"/>
      <c r="C20" s="30" t="n"/>
      <c r="D20" s="30" t="n"/>
      <c r="E20" s="30" t="n"/>
      <c r="F20" s="26" t="n"/>
      <c r="G20" s="26" t="n"/>
    </row>
    <row r="21">
      <c r="A21" s="22" t="n"/>
      <c r="B21" s="29" t="n"/>
      <c r="C21" s="29" t="n"/>
      <c r="D21" s="29" t="n"/>
      <c r="E21" s="29" t="n"/>
      <c r="F21" s="23" t="n"/>
      <c r="G21" s="23" t="n"/>
    </row>
    <row r="22">
      <c r="A22" s="25" t="n"/>
      <c r="B22" s="30" t="n"/>
      <c r="C22" s="30" t="n"/>
      <c r="D22" s="30" t="n"/>
      <c r="E22" s="30" t="n"/>
      <c r="F22" s="26" t="n"/>
      <c r="G22" s="26" t="n"/>
    </row>
    <row r="23">
      <c r="A23" s="22" t="n"/>
      <c r="B23" s="29" t="n"/>
      <c r="C23" s="29" t="n"/>
      <c r="D23" s="29" t="n"/>
      <c r="E23" s="29" t="n"/>
      <c r="F23" s="23" t="n"/>
      <c r="G23" s="23" t="n"/>
    </row>
    <row r="24">
      <c r="A24" s="25" t="n"/>
      <c r="B24" s="30" t="n"/>
      <c r="C24" s="30" t="n"/>
      <c r="D24" s="30" t="n"/>
      <c r="E24" s="30" t="n"/>
      <c r="F24" s="26" t="n"/>
      <c r="G24" s="26" t="n"/>
    </row>
    <row r="25">
      <c r="A25" s="22" t="n"/>
      <c r="B25" s="29" t="n"/>
      <c r="C25" s="29" t="n"/>
      <c r="D25" s="29" t="n"/>
      <c r="E25" s="29" t="n"/>
      <c r="F25" s="23" t="n"/>
      <c r="G25" s="23" t="n"/>
    </row>
    <row r="26">
      <c r="A26" s="25" t="n"/>
      <c r="B26" s="30" t="n"/>
      <c r="C26" s="30" t="n"/>
      <c r="D26" s="30" t="n"/>
      <c r="E26" s="30" t="n"/>
      <c r="F26" s="26" t="n"/>
      <c r="G26" s="26" t="n"/>
    </row>
    <row r="27">
      <c r="A27" s="22" t="n"/>
      <c r="B27" s="29" t="n"/>
      <c r="C27" s="29" t="n"/>
      <c r="D27" s="29" t="n"/>
      <c r="E27" s="29" t="n"/>
      <c r="F27" s="23" t="n"/>
      <c r="G27" s="23" t="n"/>
    </row>
    <row r="28">
      <c r="A28" s="25" t="n"/>
      <c r="B28" s="30" t="n"/>
      <c r="C28" s="30" t="n"/>
      <c r="D28" s="30" t="n"/>
      <c r="E28" s="30" t="n"/>
      <c r="F28" s="26" t="n"/>
      <c r="G28" s="26" t="n"/>
    </row>
    <row r="29">
      <c r="A29" s="22" t="n"/>
      <c r="B29" s="29" t="n"/>
      <c r="C29" s="29" t="n"/>
      <c r="D29" s="29" t="n"/>
      <c r="E29" s="29" t="n"/>
      <c r="F29" s="23" t="n"/>
      <c r="G29" s="23" t="n"/>
    </row>
    <row r="30">
      <c r="A30" s="25" t="n"/>
      <c r="B30" s="30" t="n"/>
      <c r="C30" s="30" t="n"/>
      <c r="D30" s="30" t="n"/>
      <c r="E30" s="30" t="n"/>
      <c r="F30" s="26" t="n"/>
      <c r="G30" s="26" t="n"/>
    </row>
    <row r="31">
      <c r="A31" s="22" t="n"/>
      <c r="B31" s="29" t="n"/>
      <c r="C31" s="29" t="n"/>
      <c r="D31" s="29" t="n"/>
      <c r="E31" s="29" t="n"/>
      <c r="F31" s="23" t="n"/>
      <c r="G31" s="23" t="n"/>
    </row>
    <row r="32">
      <c r="A32" s="25" t="n"/>
      <c r="B32" s="30" t="n"/>
      <c r="C32" s="30" t="n"/>
      <c r="D32" s="30" t="n"/>
      <c r="E32" s="30" t="n"/>
      <c r="F32" s="26" t="n"/>
      <c r="G32" s="26" t="n"/>
    </row>
    <row r="33">
      <c r="A33" s="22" t="n"/>
      <c r="B33" s="29" t="n"/>
      <c r="C33" s="29" t="n"/>
      <c r="D33" s="29" t="n"/>
      <c r="E33" s="29" t="n"/>
      <c r="F33" s="23" t="n"/>
      <c r="G33" s="23" t="n"/>
    </row>
    <row r="34">
      <c r="A34" s="25" t="n"/>
      <c r="B34" s="30" t="n"/>
      <c r="C34" s="30" t="n"/>
      <c r="D34" s="30" t="n"/>
      <c r="E34" s="30" t="n"/>
      <c r="F34" s="26" t="n"/>
      <c r="G34" s="26" t="n"/>
    </row>
  </sheetData>
  <mergeCells count="2">
    <mergeCell ref="A2:G2"/>
    <mergeCell ref="A1:G1"/>
  </mergeCells>
  <conditionalFormatting sqref="B5:B34">
    <cfRule type="dataBar" priority="1">
      <dataBar showValue="1">
        <cfvo type="num" val="0"/>
        <cfvo type="num" val="150000"/>
        <color rgb="001B4F48"/>
      </dataBar>
    </cfRule>
  </conditionalFormatting>
  <conditionalFormatting sqref="C5:C34">
    <cfRule type="dataBar" priority="2">
      <dataBar showValue="1">
        <cfvo type="num" val="0"/>
        <cfvo type="num" val="150000"/>
        <color rgb="001B4F48"/>
      </dataBar>
    </cfRule>
  </conditionalFormatting>
  <conditionalFormatting sqref="D5:D34">
    <cfRule type="dataBar" priority="3">
      <dataBar showValue="1">
        <cfvo type="num" val="0"/>
        <cfvo type="num" val="150000"/>
        <color rgb="001B4F48"/>
      </dataBar>
    </cfRule>
  </conditionalFormatting>
  <conditionalFormatting sqref="E5:E34">
    <cfRule type="dataBar" priority="4">
      <dataBar showValue="1">
        <cfvo type="num" val="0"/>
        <cfvo type="num" val="150000"/>
        <color rgb="001B4F48"/>
      </dataBar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5D3BA"/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3" customWidth="1" min="4" max="4"/>
    <col width="12" customWidth="1" min="5" max="5"/>
    <col width="11" customWidth="1" min="6" max="6"/>
  </cols>
  <sheetData>
    <row r="1" ht="46" customHeight="1">
      <c r="A1" s="1" t="inlineStr">
        <is>
          <t xml:space="preserve">  📱  SHORTS DASHBOARD</t>
        </is>
      </c>
    </row>
    <row r="2" ht="22" customHeight="1">
      <c r="A2" s="2" t="inlineStr">
        <is>
          <t xml:space="preserve">  Shorts are your top-of-funnel — views, completion rate &amp; subs gained per Short.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Date</t>
        </is>
      </c>
      <c r="B4" s="7" t="inlineStr">
        <is>
          <t>Short</t>
        </is>
      </c>
      <c r="C4" s="7" t="inlineStr">
        <is>
          <t>Views</t>
        </is>
      </c>
      <c r="D4" s="7" t="inlineStr">
        <is>
          <t>Completion</t>
        </is>
      </c>
      <c r="E4" s="7" t="inlineStr">
        <is>
          <t>Subs +</t>
        </is>
      </c>
      <c r="F4" s="7" t="inlineStr">
        <is>
          <t>Length</t>
        </is>
      </c>
    </row>
    <row r="5">
      <c r="A5" s="21" t="n">
        <v>46206</v>
      </c>
      <c r="B5" s="22" t="inlineStr">
        <is>
          <t>Reply: how much I make</t>
        </is>
      </c>
      <c r="C5" s="29" t="n">
        <v>420000</v>
      </c>
      <c r="D5" s="27" t="n">
        <v>0.78</v>
      </c>
      <c r="E5" s="29" t="n">
        <v>1820</v>
      </c>
      <c r="F5" s="23" t="inlineStr">
        <is>
          <t>0:38</t>
        </is>
      </c>
    </row>
    <row r="6">
      <c r="A6" s="24" t="n">
        <v>46203</v>
      </c>
      <c r="B6" s="25" t="inlineStr">
        <is>
          <t>3 tools I can't live without</t>
        </is>
      </c>
      <c r="C6" s="30" t="n">
        <v>260000</v>
      </c>
      <c r="D6" s="28" t="n">
        <v>0.71</v>
      </c>
      <c r="E6" s="30" t="n">
        <v>1120</v>
      </c>
      <c r="F6" s="26" t="inlineStr">
        <is>
          <t>0:42</t>
        </is>
      </c>
    </row>
    <row r="7">
      <c r="A7" s="21" t="n">
        <v>46199</v>
      </c>
      <c r="B7" s="22" t="inlineStr">
        <is>
          <t>POV: launch day</t>
        </is>
      </c>
      <c r="C7" s="29" t="n">
        <v>180000</v>
      </c>
      <c r="D7" s="27" t="n">
        <v>0.66</v>
      </c>
      <c r="E7" s="29" t="n">
        <v>640</v>
      </c>
      <c r="F7" s="23" t="inlineStr">
        <is>
          <t>0:31</t>
        </is>
      </c>
    </row>
    <row r="8">
      <c r="A8" s="24" t="n">
        <v>46195</v>
      </c>
      <c r="B8" s="25" t="inlineStr">
        <is>
          <t>1 tip that 2x'd my views</t>
        </is>
      </c>
      <c r="C8" s="30" t="n">
        <v>320000</v>
      </c>
      <c r="D8" s="28" t="n">
        <v>0.74</v>
      </c>
      <c r="E8" s="30" t="n">
        <v>1450</v>
      </c>
      <c r="F8" s="26" t="inlineStr">
        <is>
          <t>0:29</t>
        </is>
      </c>
    </row>
    <row r="9">
      <c r="A9" s="21" t="n">
        <v>46190</v>
      </c>
      <c r="B9" s="22" t="inlineStr">
        <is>
          <t>Editing hack</t>
        </is>
      </c>
      <c r="C9" s="29" t="n">
        <v>145000</v>
      </c>
      <c r="D9" s="27" t="n">
        <v>0.6899999999999999</v>
      </c>
      <c r="E9" s="29" t="n">
        <v>520</v>
      </c>
      <c r="F9" s="23" t="inlineStr">
        <is>
          <t>0:35</t>
        </is>
      </c>
    </row>
    <row r="10">
      <c r="A10" s="24" t="n">
        <v>46184</v>
      </c>
      <c r="B10" s="25" t="inlineStr">
        <is>
          <t>Don't buy this camera</t>
        </is>
      </c>
      <c r="C10" s="30" t="n">
        <v>98000</v>
      </c>
      <c r="D10" s="28" t="n">
        <v>0.62</v>
      </c>
      <c r="E10" s="30" t="n">
        <v>310</v>
      </c>
      <c r="F10" s="26" t="inlineStr">
        <is>
          <t>0:44</t>
        </is>
      </c>
    </row>
    <row r="11">
      <c r="A11" s="21" t="n"/>
      <c r="B11" s="22" t="n"/>
      <c r="C11" s="29" t="n"/>
      <c r="D11" s="27" t="n"/>
      <c r="E11" s="29" t="n"/>
      <c r="F11" s="23" t="n"/>
    </row>
    <row r="12">
      <c r="A12" s="24" t="n"/>
      <c r="B12" s="25" t="n"/>
      <c r="C12" s="30" t="n"/>
      <c r="D12" s="28" t="n"/>
      <c r="E12" s="30" t="n"/>
      <c r="F12" s="26" t="n"/>
    </row>
    <row r="13">
      <c r="A13" s="21" t="n"/>
      <c r="B13" s="22" t="n"/>
      <c r="C13" s="29" t="n"/>
      <c r="D13" s="27" t="n"/>
      <c r="E13" s="29" t="n"/>
      <c r="F13" s="23" t="n"/>
    </row>
    <row r="14">
      <c r="A14" s="24" t="n"/>
      <c r="B14" s="25" t="n"/>
      <c r="C14" s="30" t="n"/>
      <c r="D14" s="28" t="n"/>
      <c r="E14" s="30" t="n"/>
      <c r="F14" s="26" t="n"/>
    </row>
    <row r="15">
      <c r="A15" s="21" t="n"/>
      <c r="B15" s="22" t="n"/>
      <c r="C15" s="29" t="n"/>
      <c r="D15" s="27" t="n"/>
      <c r="E15" s="29" t="n"/>
      <c r="F15" s="23" t="n"/>
    </row>
    <row r="16">
      <c r="A16" s="24" t="n"/>
      <c r="B16" s="25" t="n"/>
      <c r="C16" s="30" t="n"/>
      <c r="D16" s="28" t="n"/>
      <c r="E16" s="30" t="n"/>
      <c r="F16" s="26" t="n"/>
    </row>
    <row r="17">
      <c r="A17" s="21" t="n"/>
      <c r="B17" s="22" t="n"/>
      <c r="C17" s="29" t="n"/>
      <c r="D17" s="27" t="n"/>
      <c r="E17" s="29" t="n"/>
      <c r="F17" s="23" t="n"/>
    </row>
    <row r="18">
      <c r="A18" s="24" t="n"/>
      <c r="B18" s="25" t="n"/>
      <c r="C18" s="30" t="n"/>
      <c r="D18" s="28" t="n"/>
      <c r="E18" s="30" t="n"/>
      <c r="F18" s="26" t="n"/>
    </row>
    <row r="19">
      <c r="A19" s="21" t="n"/>
      <c r="B19" s="22" t="n"/>
      <c r="C19" s="29" t="n"/>
      <c r="D19" s="27" t="n"/>
      <c r="E19" s="29" t="n"/>
      <c r="F19" s="23" t="n"/>
    </row>
    <row r="20">
      <c r="A20" s="24" t="n"/>
      <c r="B20" s="25" t="n"/>
      <c r="C20" s="30" t="n"/>
      <c r="D20" s="28" t="n"/>
      <c r="E20" s="30" t="n"/>
      <c r="F20" s="26" t="n"/>
    </row>
    <row r="21">
      <c r="A21" s="21" t="n"/>
      <c r="B21" s="22" t="n"/>
      <c r="C21" s="29" t="n"/>
      <c r="D21" s="27" t="n"/>
      <c r="E21" s="29" t="n"/>
      <c r="F21" s="23" t="n"/>
    </row>
    <row r="22">
      <c r="A22" s="24" t="n"/>
      <c r="B22" s="25" t="n"/>
      <c r="C22" s="30" t="n"/>
      <c r="D22" s="28" t="n"/>
      <c r="E22" s="30" t="n"/>
      <c r="F22" s="26" t="n"/>
    </row>
    <row r="23">
      <c r="A23" s="21" t="n"/>
      <c r="B23" s="22" t="n"/>
      <c r="C23" s="29" t="n"/>
      <c r="D23" s="27" t="n"/>
      <c r="E23" s="29" t="n"/>
      <c r="F23" s="23" t="n"/>
    </row>
    <row r="24">
      <c r="A24" s="24" t="n"/>
      <c r="B24" s="25" t="n"/>
      <c r="C24" s="30" t="n"/>
      <c r="D24" s="28" t="n"/>
      <c r="E24" s="30" t="n"/>
      <c r="F24" s="26" t="n"/>
    </row>
    <row r="25">
      <c r="A25" s="21" t="n"/>
      <c r="B25" s="22" t="n"/>
      <c r="C25" s="29" t="n"/>
      <c r="D25" s="27" t="n"/>
      <c r="E25" s="29" t="n"/>
      <c r="F25" s="23" t="n"/>
    </row>
    <row r="26">
      <c r="A26" s="24" t="n"/>
      <c r="B26" s="25" t="n"/>
      <c r="C26" s="30" t="n"/>
      <c r="D26" s="28" t="n"/>
      <c r="E26" s="30" t="n"/>
      <c r="F26" s="26" t="n"/>
    </row>
    <row r="27">
      <c r="A27" s="21" t="n"/>
      <c r="B27" s="22" t="n"/>
      <c r="C27" s="29" t="n"/>
      <c r="D27" s="27" t="n"/>
      <c r="E27" s="29" t="n"/>
      <c r="F27" s="23" t="n"/>
    </row>
    <row r="28">
      <c r="A28" s="24" t="n"/>
      <c r="B28" s="25" t="n"/>
      <c r="C28" s="30" t="n"/>
      <c r="D28" s="28" t="n"/>
      <c r="E28" s="30" t="n"/>
      <c r="F28" s="26" t="n"/>
    </row>
    <row r="29">
      <c r="A29" s="21" t="n"/>
      <c r="B29" s="22" t="n"/>
      <c r="C29" s="29" t="n"/>
      <c r="D29" s="27" t="n"/>
      <c r="E29" s="29" t="n"/>
      <c r="F29" s="23" t="n"/>
    </row>
    <row r="30">
      <c r="A30" s="24" t="n"/>
      <c r="B30" s="25" t="n"/>
      <c r="C30" s="30" t="n"/>
      <c r="D30" s="28" t="n"/>
      <c r="E30" s="30" t="n"/>
      <c r="F30" s="26" t="n"/>
    </row>
    <row r="31">
      <c r="A31" s="21" t="n"/>
      <c r="B31" s="22" t="n"/>
      <c r="C31" s="29" t="n"/>
      <c r="D31" s="27" t="n"/>
      <c r="E31" s="29" t="n"/>
      <c r="F31" s="23" t="n"/>
    </row>
    <row r="32">
      <c r="A32" s="24" t="n"/>
      <c r="B32" s="25" t="n"/>
      <c r="C32" s="30" t="n"/>
      <c r="D32" s="28" t="n"/>
      <c r="E32" s="30" t="n"/>
      <c r="F32" s="26" t="n"/>
    </row>
    <row r="33">
      <c r="A33" s="21" t="n"/>
      <c r="B33" s="22" t="n"/>
      <c r="C33" s="29" t="n"/>
      <c r="D33" s="27" t="n"/>
      <c r="E33" s="29" t="n"/>
      <c r="F33" s="23" t="n"/>
    </row>
    <row r="34">
      <c r="A34" s="24" t="n"/>
      <c r="B34" s="25" t="n"/>
      <c r="C34" s="30" t="n"/>
      <c r="D34" s="28" t="n"/>
      <c r="E34" s="30" t="n"/>
      <c r="F34" s="26" t="n"/>
    </row>
    <row r="35">
      <c r="A35" s="21" t="n"/>
      <c r="B35" s="22" t="n"/>
      <c r="C35" s="29" t="n"/>
      <c r="D35" s="27" t="n"/>
      <c r="E35" s="29" t="n"/>
      <c r="F35" s="23" t="n"/>
    </row>
    <row r="36">
      <c r="A36" s="24" t="n"/>
      <c r="B36" s="25" t="n"/>
      <c r="C36" s="30" t="n"/>
      <c r="D36" s="28" t="n"/>
      <c r="E36" s="30" t="n"/>
      <c r="F36" s="26" t="n"/>
    </row>
    <row r="37">
      <c r="A37" s="21" t="n"/>
      <c r="B37" s="22" t="n"/>
      <c r="C37" s="29" t="n"/>
      <c r="D37" s="27" t="n"/>
      <c r="E37" s="29" t="n"/>
      <c r="F37" s="23" t="n"/>
    </row>
    <row r="38">
      <c r="A38" s="24" t="n"/>
      <c r="B38" s="25" t="n"/>
      <c r="C38" s="30" t="n"/>
      <c r="D38" s="28" t="n"/>
      <c r="E38" s="30" t="n"/>
      <c r="F38" s="26" t="n"/>
    </row>
    <row r="39">
      <c r="A39" s="21" t="n"/>
      <c r="B39" s="22" t="n"/>
      <c r="C39" s="29" t="n"/>
      <c r="D39" s="27" t="n"/>
      <c r="E39" s="29" t="n"/>
      <c r="F39" s="23" t="n"/>
    </row>
    <row r="40">
      <c r="A40" s="24" t="n"/>
      <c r="B40" s="25" t="n"/>
      <c r="C40" s="30" t="n"/>
      <c r="D40" s="28" t="n"/>
      <c r="E40" s="30" t="n"/>
      <c r="F40" s="26" t="n"/>
    </row>
    <row r="41">
      <c r="A41" s="21" t="n"/>
      <c r="B41" s="22" t="n"/>
      <c r="C41" s="29" t="n"/>
      <c r="D41" s="27" t="n"/>
      <c r="E41" s="29" t="n"/>
      <c r="F41" s="23" t="n"/>
    </row>
    <row r="42">
      <c r="A42" s="24" t="n"/>
      <c r="B42" s="25" t="n"/>
      <c r="C42" s="30" t="n"/>
      <c r="D42" s="28" t="n"/>
      <c r="E42" s="30" t="n"/>
      <c r="F42" s="26" t="n"/>
    </row>
    <row r="43">
      <c r="A43" s="21" t="n"/>
      <c r="B43" s="22" t="n"/>
      <c r="C43" s="29" t="n"/>
      <c r="D43" s="27" t="n"/>
      <c r="E43" s="29" t="n"/>
      <c r="F43" s="23" t="n"/>
    </row>
    <row r="44">
      <c r="A44" s="24" t="n"/>
      <c r="B44" s="25" t="n"/>
      <c r="C44" s="30" t="n"/>
      <c r="D44" s="28" t="n"/>
      <c r="E44" s="30" t="n"/>
      <c r="F44" s="26" t="n"/>
    </row>
  </sheetData>
  <mergeCells count="2">
    <mergeCell ref="A2:F2"/>
    <mergeCell ref="A1:F1"/>
  </mergeCells>
  <conditionalFormatting sqref="C5:C44">
    <cfRule type="dataBar" priority="1">
      <dataBar showValue="1">
        <cfvo type="num" val="0"/>
        <cfvo type="num" val="420000"/>
        <color rgb="0075E6C1"/>
      </dataBar>
    </cfRule>
  </conditionalFormatting>
  <conditionalFormatting sqref="D5:D44">
    <cfRule type="colorScale" priority="2">
      <colorScale>
        <cfvo type="num" val="0.5"/>
        <cfvo type="num" val="0.8"/>
        <color rgb="FFFBF0E2"/>
        <color rgb="FF75E6C1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B4F48"/>
    <outlinePr summaryBelow="1" summaryRight="1"/>
    <pageSetUpPr/>
  </sheetPr>
  <dimension ref="A1:E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4" customWidth="1" min="3" max="3"/>
    <col width="14" customWidth="1" min="4" max="4"/>
    <col width="22" customWidth="1" min="5" max="5"/>
  </cols>
  <sheetData>
    <row r="1" ht="46" customHeight="1">
      <c r="A1" s="1" t="inlineStr">
        <is>
          <t xml:space="preserve">  💬  COMMUNITY TAB PLANNER</t>
        </is>
      </c>
    </row>
    <row r="2" ht="22" customHeight="1">
      <c r="A2" s="2" t="inlineStr">
        <is>
          <t xml:space="preserve">  Keep the algorithm warm between uploads — plan polls, images &amp; questions.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7" t="inlineStr">
        <is>
          <t>Date</t>
        </is>
      </c>
      <c r="B4" s="7" t="inlineStr">
        <is>
          <t>Type</t>
        </is>
      </c>
      <c r="C4" s="7" t="inlineStr">
        <is>
          <t>Content</t>
        </is>
      </c>
      <c r="D4" s="7" t="inlineStr">
        <is>
          <t>Status</t>
        </is>
      </c>
      <c r="E4" s="7" t="inlineStr">
        <is>
          <t>Notes</t>
        </is>
      </c>
    </row>
    <row r="5">
      <c r="A5" s="21" t="n">
        <v>46205</v>
      </c>
      <c r="B5" s="23" t="inlineStr">
        <is>
          <t>Poll</t>
        </is>
      </c>
      <c r="C5" s="22" t="inlineStr">
        <is>
          <t>Which video next? (3 options)</t>
        </is>
      </c>
      <c r="D5" s="23" t="inlineStr">
        <is>
          <t>Published</t>
        </is>
      </c>
      <c r="E5" s="22" t="inlineStr">
        <is>
          <t>1.2k votes</t>
        </is>
      </c>
    </row>
    <row r="6">
      <c r="A6" s="24" t="n">
        <v>46207</v>
      </c>
      <c r="B6" s="26" t="inlineStr">
        <is>
          <t>Image</t>
        </is>
      </c>
      <c r="C6" s="25" t="inlineStr">
        <is>
          <t>BTS of today's shoot</t>
        </is>
      </c>
      <c r="D6" s="26" t="inlineStr">
        <is>
          <t>Published</t>
        </is>
      </c>
      <c r="E6" s="25" t="inlineStr">
        <is>
          <t>High engagement</t>
        </is>
      </c>
    </row>
    <row r="7">
      <c r="A7" s="21" t="n">
        <v>46210</v>
      </c>
      <c r="B7" s="23" t="inlineStr">
        <is>
          <t>Question</t>
        </is>
      </c>
      <c r="C7" s="22" t="inlineStr">
        <is>
          <t>What's your #1 editing struggle?</t>
        </is>
      </c>
      <c r="D7" s="23" t="inlineStr">
        <is>
          <t>Scheduled</t>
        </is>
      </c>
      <c r="E7" s="22" t="inlineStr">
        <is>
          <t>For content ideas</t>
        </is>
      </c>
    </row>
    <row r="8">
      <c r="A8" s="24" t="n">
        <v>46212</v>
      </c>
      <c r="B8" s="26" t="inlineStr">
        <is>
          <t>Announcement</t>
        </is>
      </c>
      <c r="C8" s="25" t="inlineStr">
        <is>
          <t>New video Friday</t>
        </is>
      </c>
      <c r="D8" s="26" t="inlineStr">
        <is>
          <t>Scheduled</t>
        </is>
      </c>
      <c r="E8" s="25" t="inlineStr">
        <is>
          <t>Drive views</t>
        </is>
      </c>
    </row>
    <row r="9">
      <c r="A9" s="21" t="n">
        <v>46215</v>
      </c>
      <c r="B9" s="23" t="inlineStr">
        <is>
          <t>GIF</t>
        </is>
      </c>
      <c r="C9" s="22" t="inlineStr">
        <is>
          <t>Reaction to hitting 84k</t>
        </is>
      </c>
      <c r="D9" s="23" t="inlineStr">
        <is>
          <t>Idea</t>
        </is>
      </c>
      <c r="E9" s="22" t="inlineStr">
        <is>
          <t>Celebrate milestone</t>
        </is>
      </c>
    </row>
    <row r="10">
      <c r="A10" s="24" t="n">
        <v>46218</v>
      </c>
      <c r="B10" s="26" t="inlineStr">
        <is>
          <t>Poll</t>
        </is>
      </c>
      <c r="C10" s="25" t="inlineStr">
        <is>
          <t>Long-form vs Shorts this week?</t>
        </is>
      </c>
      <c r="D10" s="26" t="inlineStr">
        <is>
          <t>Idea</t>
        </is>
      </c>
      <c r="E10" s="25" t="inlineStr"/>
    </row>
    <row r="11">
      <c r="A11" s="21" t="n"/>
      <c r="B11" s="23" t="n"/>
      <c r="C11" s="22" t="n"/>
      <c r="D11" s="23" t="n"/>
      <c r="E11" s="22" t="n"/>
    </row>
    <row r="12">
      <c r="A12" s="24" t="n"/>
      <c r="B12" s="26" t="n"/>
      <c r="C12" s="25" t="n"/>
      <c r="D12" s="26" t="n"/>
      <c r="E12" s="25" t="n"/>
    </row>
    <row r="13">
      <c r="A13" s="21" t="n"/>
      <c r="B13" s="23" t="n"/>
      <c r="C13" s="22" t="n"/>
      <c r="D13" s="23" t="n"/>
      <c r="E13" s="22" t="n"/>
    </row>
    <row r="14">
      <c r="A14" s="24" t="n"/>
      <c r="B14" s="26" t="n"/>
      <c r="C14" s="25" t="n"/>
      <c r="D14" s="26" t="n"/>
      <c r="E14" s="25" t="n"/>
    </row>
    <row r="15">
      <c r="A15" s="21" t="n"/>
      <c r="B15" s="23" t="n"/>
      <c r="C15" s="22" t="n"/>
      <c r="D15" s="23" t="n"/>
      <c r="E15" s="22" t="n"/>
    </row>
    <row r="16">
      <c r="A16" s="24" t="n"/>
      <c r="B16" s="26" t="n"/>
      <c r="C16" s="25" t="n"/>
      <c r="D16" s="26" t="n"/>
      <c r="E16" s="25" t="n"/>
    </row>
    <row r="17">
      <c r="A17" s="21" t="n"/>
      <c r="B17" s="23" t="n"/>
      <c r="C17" s="22" t="n"/>
      <c r="D17" s="23" t="n"/>
      <c r="E17" s="22" t="n"/>
    </row>
    <row r="18">
      <c r="A18" s="24" t="n"/>
      <c r="B18" s="26" t="n"/>
      <c r="C18" s="25" t="n"/>
      <c r="D18" s="26" t="n"/>
      <c r="E18" s="25" t="n"/>
    </row>
    <row r="19">
      <c r="A19" s="21" t="n"/>
      <c r="B19" s="23" t="n"/>
      <c r="C19" s="22" t="n"/>
      <c r="D19" s="23" t="n"/>
      <c r="E19" s="22" t="n"/>
    </row>
    <row r="20">
      <c r="A20" s="24" t="n"/>
      <c r="B20" s="26" t="n"/>
      <c r="C20" s="25" t="n"/>
      <c r="D20" s="26" t="n"/>
      <c r="E20" s="25" t="n"/>
    </row>
    <row r="21">
      <c r="A21" s="21" t="n"/>
      <c r="B21" s="23" t="n"/>
      <c r="C21" s="22" t="n"/>
      <c r="D21" s="23" t="n"/>
      <c r="E21" s="22" t="n"/>
    </row>
    <row r="22">
      <c r="A22" s="24" t="n"/>
      <c r="B22" s="26" t="n"/>
      <c r="C22" s="25" t="n"/>
      <c r="D22" s="26" t="n"/>
      <c r="E22" s="25" t="n"/>
    </row>
    <row r="23">
      <c r="A23" s="21" t="n"/>
      <c r="B23" s="23" t="n"/>
      <c r="C23" s="22" t="n"/>
      <c r="D23" s="23" t="n"/>
      <c r="E23" s="22" t="n"/>
    </row>
    <row r="24">
      <c r="A24" s="24" t="n"/>
      <c r="B24" s="26" t="n"/>
      <c r="C24" s="25" t="n"/>
      <c r="D24" s="26" t="n"/>
      <c r="E24" s="25" t="n"/>
    </row>
    <row r="25">
      <c r="A25" s="21" t="n"/>
      <c r="B25" s="23" t="n"/>
      <c r="C25" s="22" t="n"/>
      <c r="D25" s="23" t="n"/>
      <c r="E25" s="22" t="n"/>
    </row>
    <row r="26">
      <c r="A26" s="24" t="n"/>
      <c r="B26" s="26" t="n"/>
      <c r="C26" s="25" t="n"/>
      <c r="D26" s="26" t="n"/>
      <c r="E26" s="25" t="n"/>
    </row>
    <row r="27">
      <c r="A27" s="21" t="n"/>
      <c r="B27" s="23" t="n"/>
      <c r="C27" s="22" t="n"/>
      <c r="D27" s="23" t="n"/>
      <c r="E27" s="22" t="n"/>
    </row>
    <row r="28">
      <c r="A28" s="24" t="n"/>
      <c r="B28" s="26" t="n"/>
      <c r="C28" s="25" t="n"/>
      <c r="D28" s="26" t="n"/>
      <c r="E28" s="25" t="n"/>
    </row>
    <row r="29">
      <c r="A29" s="21" t="n"/>
      <c r="B29" s="23" t="n"/>
      <c r="C29" s="22" t="n"/>
      <c r="D29" s="23" t="n"/>
      <c r="E29" s="22" t="n"/>
    </row>
    <row r="30">
      <c r="A30" s="24" t="n"/>
      <c r="B30" s="26" t="n"/>
      <c r="C30" s="25" t="n"/>
      <c r="D30" s="26" t="n"/>
      <c r="E30" s="25" t="n"/>
    </row>
    <row r="31">
      <c r="A31" s="21" t="n"/>
      <c r="B31" s="23" t="n"/>
      <c r="C31" s="22" t="n"/>
      <c r="D31" s="23" t="n"/>
      <c r="E31" s="22" t="n"/>
    </row>
    <row r="32">
      <c r="A32" s="24" t="n"/>
      <c r="B32" s="26" t="n"/>
      <c r="C32" s="25" t="n"/>
      <c r="D32" s="26" t="n"/>
      <c r="E32" s="25" t="n"/>
    </row>
    <row r="33">
      <c r="A33" s="21" t="n"/>
      <c r="B33" s="23" t="n"/>
      <c r="C33" s="22" t="n"/>
      <c r="D33" s="23" t="n"/>
      <c r="E33" s="22" t="n"/>
    </row>
    <row r="34">
      <c r="A34" s="24" t="n"/>
      <c r="B34" s="26" t="n"/>
      <c r="C34" s="25" t="n"/>
      <c r="D34" s="26" t="n"/>
      <c r="E34" s="25" t="n"/>
    </row>
  </sheetData>
  <mergeCells count="2">
    <mergeCell ref="A2:E2"/>
    <mergeCell ref="A1:E1"/>
  </mergeCells>
  <conditionalFormatting sqref="D5:D34">
    <cfRule type="cellIs" priority="1" operator="equal" dxfId="0">
      <formula>"Published"</formula>
    </cfRule>
    <cfRule type="cellIs" priority="2" operator="equal" dxfId="1">
      <formula>"Scheduled"</formula>
    </cfRule>
    <cfRule type="cellIs" priority="3" operator="equal" dxfId="3">
      <formula>"Idea"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37356"/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14" customWidth="1" min="4" max="4"/>
    <col width="14" customWidth="1" min="5" max="5"/>
    <col width="13" customWidth="1" min="6" max="6"/>
    <col width="20" customWidth="1" min="7" max="7"/>
  </cols>
  <sheetData>
    <row r="1" ht="46" customHeight="1">
      <c r="A1" s="1" t="inlineStr">
        <is>
          <t xml:space="preserve">  🔴  LIVE STREAM COMMAND CENTER</t>
        </is>
      </c>
    </row>
    <row r="2" ht="22" customHeight="1">
      <c r="A2" s="2" t="inlineStr">
        <is>
          <t xml:space="preserve">  Run great streams — topic, guests, super chats, memberships &amp; replay views.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Topic</t>
        </is>
      </c>
      <c r="B4" s="7" t="inlineStr">
        <is>
          <t>Guests</t>
        </is>
      </c>
      <c r="C4" s="7" t="inlineStr">
        <is>
          <t>Date</t>
        </is>
      </c>
      <c r="D4" s="7" t="inlineStr">
        <is>
          <t>Replay Views</t>
        </is>
      </c>
      <c r="E4" s="7" t="inlineStr">
        <is>
          <t>Super Chats $</t>
        </is>
      </c>
      <c r="F4" s="7" t="inlineStr">
        <is>
          <t>Memberships</t>
        </is>
      </c>
      <c r="G4" s="7" t="inlineStr">
        <is>
          <t>Notes</t>
        </is>
      </c>
    </row>
    <row r="5">
      <c r="A5" s="22" t="inlineStr">
        <is>
          <t>Q&amp;A: scaling to full-time</t>
        </is>
      </c>
      <c r="B5" s="22" t="inlineStr">
        <is>
          <t>Solo</t>
        </is>
      </c>
      <c r="C5" s="21" t="n">
        <v>46194</v>
      </c>
      <c r="D5" s="29" t="n">
        <v>4200</v>
      </c>
      <c r="E5" s="49" t="n">
        <v>320</v>
      </c>
      <c r="F5" s="23" t="n">
        <v>180</v>
      </c>
      <c r="G5" s="22" t="inlineStr">
        <is>
          <t>Great turnout</t>
        </is>
      </c>
    </row>
    <row r="6">
      <c r="A6" s="25" t="inlineStr">
        <is>
          <t>Building a content OS live</t>
        </is>
      </c>
      <c r="B6" s="25" t="inlineStr">
        <is>
          <t>Guest — Mia</t>
        </is>
      </c>
      <c r="C6" s="24" t="n">
        <v>46178</v>
      </c>
      <c r="D6" s="30" t="n">
        <v>3100</v>
      </c>
      <c r="E6" s="50" t="n">
        <v>210</v>
      </c>
      <c r="F6" s="26" t="n">
        <v>95</v>
      </c>
      <c r="G6" s="25" t="inlineStr">
        <is>
          <t>Collab boost</t>
        </is>
      </c>
    </row>
    <row r="7">
      <c r="A7" s="22" t="inlineStr">
        <is>
          <t>Launch day livestream</t>
        </is>
      </c>
      <c r="B7" s="22" t="inlineStr">
        <is>
          <t>Solo</t>
        </is>
      </c>
      <c r="C7" s="21" t="n">
        <v>46210</v>
      </c>
      <c r="D7" s="29" t="n">
        <v>0</v>
      </c>
      <c r="E7" s="49" t="n">
        <v>0</v>
      </c>
      <c r="F7" s="23" t="n">
        <v>0</v>
      </c>
      <c r="G7" s="22" t="inlineStr">
        <is>
          <t>Upcoming</t>
        </is>
      </c>
    </row>
    <row r="8">
      <c r="A8" s="25" t="inlineStr">
        <is>
          <t>Year in review + AMA</t>
        </is>
      </c>
      <c r="B8" s="25" t="inlineStr">
        <is>
          <t>Solo</t>
        </is>
      </c>
      <c r="C8" s="24" t="n">
        <v>46248</v>
      </c>
      <c r="D8" s="30" t="n">
        <v>0</v>
      </c>
      <c r="E8" s="50" t="n">
        <v>0</v>
      </c>
      <c r="F8" s="26" t="n">
        <v>0</v>
      </c>
      <c r="G8" s="25" t="inlineStr">
        <is>
          <t>Planned</t>
        </is>
      </c>
    </row>
    <row r="9">
      <c r="A9" s="22" t="n"/>
      <c r="B9" s="22" t="n"/>
      <c r="C9" s="21" t="n"/>
      <c r="D9" s="29" t="n"/>
      <c r="E9" s="49" t="n"/>
      <c r="F9" s="23" t="n"/>
      <c r="G9" s="22" t="n"/>
    </row>
    <row r="10">
      <c r="A10" s="25" t="n"/>
      <c r="B10" s="25" t="n"/>
      <c r="C10" s="24" t="n"/>
      <c r="D10" s="30" t="n"/>
      <c r="E10" s="50" t="n"/>
      <c r="F10" s="26" t="n"/>
      <c r="G10" s="25" t="n"/>
    </row>
    <row r="11">
      <c r="A11" s="22" t="n"/>
      <c r="B11" s="22" t="n"/>
      <c r="C11" s="21" t="n"/>
      <c r="D11" s="29" t="n"/>
      <c r="E11" s="49" t="n"/>
      <c r="F11" s="23" t="n"/>
      <c r="G11" s="22" t="n"/>
    </row>
    <row r="12">
      <c r="A12" s="25" t="n"/>
      <c r="B12" s="25" t="n"/>
      <c r="C12" s="24" t="n"/>
      <c r="D12" s="30" t="n"/>
      <c r="E12" s="50" t="n"/>
      <c r="F12" s="26" t="n"/>
      <c r="G12" s="25" t="n"/>
    </row>
    <row r="13">
      <c r="A13" s="22" t="n"/>
      <c r="B13" s="22" t="n"/>
      <c r="C13" s="21" t="n"/>
      <c r="D13" s="29" t="n"/>
      <c r="E13" s="49" t="n"/>
      <c r="F13" s="23" t="n"/>
      <c r="G13" s="22" t="n"/>
    </row>
    <row r="14">
      <c r="A14" s="25" t="n"/>
      <c r="B14" s="25" t="n"/>
      <c r="C14" s="24" t="n"/>
      <c r="D14" s="30" t="n"/>
      <c r="E14" s="50" t="n"/>
      <c r="F14" s="26" t="n"/>
      <c r="G14" s="25" t="n"/>
    </row>
    <row r="15">
      <c r="A15" s="22" t="n"/>
      <c r="B15" s="22" t="n"/>
      <c r="C15" s="21" t="n"/>
      <c r="D15" s="29" t="n"/>
      <c r="E15" s="49" t="n"/>
      <c r="F15" s="23" t="n"/>
      <c r="G15" s="22" t="n"/>
    </row>
    <row r="16">
      <c r="A16" s="25" t="n"/>
      <c r="B16" s="25" t="n"/>
      <c r="C16" s="24" t="n"/>
      <c r="D16" s="30" t="n"/>
      <c r="E16" s="50" t="n"/>
      <c r="F16" s="26" t="n"/>
      <c r="G16" s="25" t="n"/>
    </row>
    <row r="17">
      <c r="A17" s="22" t="n"/>
      <c r="B17" s="22" t="n"/>
      <c r="C17" s="21" t="n"/>
      <c r="D17" s="29" t="n"/>
      <c r="E17" s="49" t="n"/>
      <c r="F17" s="23" t="n"/>
      <c r="G17" s="22" t="n"/>
    </row>
    <row r="18">
      <c r="A18" s="25" t="n"/>
      <c r="B18" s="25" t="n"/>
      <c r="C18" s="24" t="n"/>
      <c r="D18" s="30" t="n"/>
      <c r="E18" s="50" t="n"/>
      <c r="F18" s="26" t="n"/>
      <c r="G18" s="25" t="n"/>
    </row>
    <row r="19">
      <c r="A19" s="22" t="n"/>
      <c r="B19" s="22" t="n"/>
      <c r="C19" s="21" t="n"/>
      <c r="D19" s="29" t="n"/>
      <c r="E19" s="49" t="n"/>
      <c r="F19" s="23" t="n"/>
      <c r="G19" s="22" t="n"/>
    </row>
    <row r="20">
      <c r="A20" s="25" t="n"/>
      <c r="B20" s="25" t="n"/>
      <c r="C20" s="24" t="n"/>
      <c r="D20" s="30" t="n"/>
      <c r="E20" s="50" t="n"/>
      <c r="F20" s="26" t="n"/>
      <c r="G20" s="25" t="n"/>
    </row>
    <row r="21">
      <c r="A21" s="22" t="n"/>
      <c r="B21" s="22" t="n"/>
      <c r="C21" s="21" t="n"/>
      <c r="D21" s="29" t="n"/>
      <c r="E21" s="49" t="n"/>
      <c r="F21" s="23" t="n"/>
      <c r="G21" s="22" t="n"/>
    </row>
    <row r="22">
      <c r="A22" s="25" t="n"/>
      <c r="B22" s="25" t="n"/>
      <c r="C22" s="24" t="n"/>
      <c r="D22" s="30" t="n"/>
      <c r="E22" s="50" t="n"/>
      <c r="F22" s="26" t="n"/>
      <c r="G22" s="25" t="n"/>
    </row>
    <row r="23">
      <c r="A23" s="22" t="n"/>
      <c r="B23" s="22" t="n"/>
      <c r="C23" s="21" t="n"/>
      <c r="D23" s="29" t="n"/>
      <c r="E23" s="49" t="n"/>
      <c r="F23" s="23" t="n"/>
      <c r="G23" s="22" t="n"/>
    </row>
    <row r="24">
      <c r="A24" s="25" t="n"/>
      <c r="B24" s="25" t="n"/>
      <c r="C24" s="24" t="n"/>
      <c r="D24" s="30" t="n"/>
      <c r="E24" s="50" t="n"/>
      <c r="F24" s="26" t="n"/>
      <c r="G24" s="25" t="n"/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5E6C1"/>
    <outlinePr summaryBelow="1" summaryRight="1"/>
    <pageSetUpPr/>
  </sheetPr>
  <dimension ref="A1:F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 ht="46" customHeight="1">
      <c r="A1" s="1" t="inlineStr">
        <is>
          <t xml:space="preserve">  🎵  PLAYLIST MANAGER</t>
        </is>
      </c>
    </row>
    <row r="2" ht="22" customHeight="1">
      <c r="A2" s="2" t="inlineStr">
        <is>
          <t xml:space="preserve">  Playlists drive session time — track videos, views, watch time &amp; optimization.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Playlist</t>
        </is>
      </c>
      <c r="B4" s="7" t="inlineStr">
        <is>
          <t>Videos</t>
        </is>
      </c>
      <c r="C4" s="7" t="inlineStr">
        <is>
          <t>Views</t>
        </is>
      </c>
      <c r="D4" s="7" t="inlineStr">
        <is>
          <t>Watch Hours</t>
        </is>
      </c>
      <c r="E4" s="7" t="inlineStr">
        <is>
          <t>Optimized</t>
        </is>
      </c>
      <c r="F4" s="7" t="inlineStr">
        <is>
          <t>Priority</t>
        </is>
      </c>
    </row>
    <row r="5">
      <c r="A5" s="22" t="inlineStr">
        <is>
          <t>Creator Systems</t>
        </is>
      </c>
      <c r="B5" s="29" t="n">
        <v>12</v>
      </c>
      <c r="C5" s="29" t="n">
        <v>640000</v>
      </c>
      <c r="D5" s="29" t="n">
        <v>18200</v>
      </c>
      <c r="E5" s="23" t="inlineStr">
        <is>
          <t>Yes</t>
        </is>
      </c>
      <c r="F5" s="23" t="inlineStr">
        <is>
          <t>High</t>
        </is>
      </c>
    </row>
    <row r="6">
      <c r="A6" s="25" t="inlineStr">
        <is>
          <t>Make Money on YouTube</t>
        </is>
      </c>
      <c r="B6" s="30" t="n">
        <v>9</v>
      </c>
      <c r="C6" s="30" t="n">
        <v>480000</v>
      </c>
      <c r="D6" s="30" t="n">
        <v>14100</v>
      </c>
      <c r="E6" s="26" t="inlineStr">
        <is>
          <t>Yes</t>
        </is>
      </c>
      <c r="F6" s="26" t="inlineStr">
        <is>
          <t>High</t>
        </is>
      </c>
    </row>
    <row r="7">
      <c r="A7" s="22" t="inlineStr">
        <is>
          <t>Editing &amp; Tools</t>
        </is>
      </c>
      <c r="B7" s="29" t="n">
        <v>14</v>
      </c>
      <c r="C7" s="29" t="n">
        <v>390000</v>
      </c>
      <c r="D7" s="29" t="n">
        <v>9800</v>
      </c>
      <c r="E7" s="23" t="inlineStr">
        <is>
          <t>No</t>
        </is>
      </c>
      <c r="F7" s="23" t="inlineStr">
        <is>
          <t>Medium</t>
        </is>
      </c>
    </row>
    <row r="8">
      <c r="A8" s="25" t="inlineStr">
        <is>
          <t>Faceless Channels</t>
        </is>
      </c>
      <c r="B8" s="30" t="n">
        <v>6</v>
      </c>
      <c r="C8" s="30" t="n">
        <v>220000</v>
      </c>
      <c r="D8" s="30" t="n">
        <v>7400</v>
      </c>
      <c r="E8" s="26" t="inlineStr">
        <is>
          <t>Yes</t>
        </is>
      </c>
      <c r="F8" s="26" t="inlineStr">
        <is>
          <t>High</t>
        </is>
      </c>
    </row>
    <row r="9">
      <c r="A9" s="22" t="inlineStr">
        <is>
          <t>Behind the Scenes</t>
        </is>
      </c>
      <c r="B9" s="29" t="n">
        <v>8</v>
      </c>
      <c r="C9" s="29" t="n">
        <v>110000</v>
      </c>
      <c r="D9" s="29" t="n">
        <v>3200</v>
      </c>
      <c r="E9" s="23" t="inlineStr">
        <is>
          <t>No</t>
        </is>
      </c>
      <c r="F9" s="23" t="inlineStr">
        <is>
          <t>Low</t>
        </is>
      </c>
    </row>
    <row r="10">
      <c r="A10" s="25" t="n"/>
      <c r="B10" s="30" t="n"/>
      <c r="C10" s="30" t="n"/>
      <c r="D10" s="30" t="n"/>
      <c r="E10" s="26" t="n"/>
      <c r="F10" s="26" t="n"/>
    </row>
    <row r="11">
      <c r="A11" s="22" t="n"/>
      <c r="B11" s="29" t="n"/>
      <c r="C11" s="29" t="n"/>
      <c r="D11" s="29" t="n"/>
      <c r="E11" s="23" t="n"/>
      <c r="F11" s="23" t="n"/>
    </row>
    <row r="12">
      <c r="A12" s="25" t="n"/>
      <c r="B12" s="30" t="n"/>
      <c r="C12" s="30" t="n"/>
      <c r="D12" s="30" t="n"/>
      <c r="E12" s="26" t="n"/>
      <c r="F12" s="26" t="n"/>
    </row>
    <row r="13">
      <c r="A13" s="22" t="n"/>
      <c r="B13" s="29" t="n"/>
      <c r="C13" s="29" t="n"/>
      <c r="D13" s="29" t="n"/>
      <c r="E13" s="23" t="n"/>
      <c r="F13" s="23" t="n"/>
    </row>
    <row r="14">
      <c r="A14" s="25" t="n"/>
      <c r="B14" s="30" t="n"/>
      <c r="C14" s="30" t="n"/>
      <c r="D14" s="30" t="n"/>
      <c r="E14" s="26" t="n"/>
      <c r="F14" s="26" t="n"/>
    </row>
    <row r="15">
      <c r="A15" s="22" t="n"/>
      <c r="B15" s="29" t="n"/>
      <c r="C15" s="29" t="n"/>
      <c r="D15" s="29" t="n"/>
      <c r="E15" s="23" t="n"/>
      <c r="F15" s="23" t="n"/>
    </row>
    <row r="16">
      <c r="A16" s="25" t="n"/>
      <c r="B16" s="30" t="n"/>
      <c r="C16" s="30" t="n"/>
      <c r="D16" s="30" t="n"/>
      <c r="E16" s="26" t="n"/>
      <c r="F16" s="26" t="n"/>
    </row>
    <row r="17">
      <c r="A17" s="22" t="n"/>
      <c r="B17" s="29" t="n"/>
      <c r="C17" s="29" t="n"/>
      <c r="D17" s="29" t="n"/>
      <c r="E17" s="23" t="n"/>
      <c r="F17" s="23" t="n"/>
    </row>
    <row r="18">
      <c r="A18" s="25" t="n"/>
      <c r="B18" s="30" t="n"/>
      <c r="C18" s="30" t="n"/>
      <c r="D18" s="30" t="n"/>
      <c r="E18" s="26" t="n"/>
      <c r="F18" s="26" t="n"/>
    </row>
    <row r="19">
      <c r="A19" s="22" t="n"/>
      <c r="B19" s="29" t="n"/>
      <c r="C19" s="29" t="n"/>
      <c r="D19" s="29" t="n"/>
      <c r="E19" s="23" t="n"/>
      <c r="F19" s="23" t="n"/>
    </row>
    <row r="20">
      <c r="A20" s="25" t="n"/>
      <c r="B20" s="30" t="n"/>
      <c r="C20" s="30" t="n"/>
      <c r="D20" s="30" t="n"/>
      <c r="E20" s="26" t="n"/>
      <c r="F20" s="26" t="n"/>
    </row>
    <row r="21">
      <c r="A21" s="22" t="n"/>
      <c r="B21" s="29" t="n"/>
      <c r="C21" s="29" t="n"/>
      <c r="D21" s="29" t="n"/>
      <c r="E21" s="23" t="n"/>
      <c r="F21" s="23" t="n"/>
    </row>
    <row r="22">
      <c r="A22" s="25" t="n"/>
      <c r="B22" s="30" t="n"/>
      <c r="C22" s="30" t="n"/>
      <c r="D22" s="30" t="n"/>
      <c r="E22" s="26" t="n"/>
      <c r="F22" s="26" t="n"/>
    </row>
    <row r="23">
      <c r="A23" s="22" t="n"/>
      <c r="B23" s="29" t="n"/>
      <c r="C23" s="29" t="n"/>
      <c r="D23" s="29" t="n"/>
      <c r="E23" s="23" t="n"/>
      <c r="F23" s="23" t="n"/>
    </row>
    <row r="24">
      <c r="A24" s="25" t="n"/>
      <c r="B24" s="30" t="n"/>
      <c r="C24" s="30" t="n"/>
      <c r="D24" s="30" t="n"/>
      <c r="E24" s="26" t="n"/>
      <c r="F24" s="26" t="n"/>
    </row>
    <row r="25">
      <c r="A25" s="22" t="n"/>
      <c r="B25" s="29" t="n"/>
      <c r="C25" s="29" t="n"/>
      <c r="D25" s="29" t="n"/>
      <c r="E25" s="23" t="n"/>
      <c r="F25" s="23" t="n"/>
    </row>
    <row r="26">
      <c r="A26" s="25" t="n"/>
      <c r="B26" s="30" t="n"/>
      <c r="C26" s="30" t="n"/>
      <c r="D26" s="30" t="n"/>
      <c r="E26" s="26" t="n"/>
      <c r="F26" s="26" t="n"/>
    </row>
    <row r="27">
      <c r="A27" s="22" t="n"/>
      <c r="B27" s="29" t="n"/>
      <c r="C27" s="29" t="n"/>
      <c r="D27" s="29" t="n"/>
      <c r="E27" s="23" t="n"/>
      <c r="F27" s="23" t="n"/>
    </row>
    <row r="28">
      <c r="A28" s="25" t="n"/>
      <c r="B28" s="30" t="n"/>
      <c r="C28" s="30" t="n"/>
      <c r="D28" s="30" t="n"/>
      <c r="E28" s="26" t="n"/>
      <c r="F28" s="26" t="n"/>
    </row>
    <row r="29">
      <c r="A29" s="22" t="n"/>
      <c r="B29" s="29" t="n"/>
      <c r="C29" s="29" t="n"/>
      <c r="D29" s="29" t="n"/>
      <c r="E29" s="23" t="n"/>
      <c r="F29" s="23" t="n"/>
    </row>
    <row r="30">
      <c r="A30" s="25" t="n"/>
      <c r="B30" s="30" t="n"/>
      <c r="C30" s="30" t="n"/>
      <c r="D30" s="30" t="n"/>
      <c r="E30" s="26" t="n"/>
      <c r="F30" s="26" t="n"/>
    </row>
    <row r="31">
      <c r="A31" s="22" t="n"/>
      <c r="B31" s="29" t="n"/>
      <c r="C31" s="29" t="n"/>
      <c r="D31" s="29" t="n"/>
      <c r="E31" s="23" t="n"/>
      <c r="F31" s="23" t="n"/>
    </row>
    <row r="32">
      <c r="A32" s="25" t="n"/>
      <c r="B32" s="30" t="n"/>
      <c r="C32" s="30" t="n"/>
      <c r="D32" s="30" t="n"/>
      <c r="E32" s="26" t="n"/>
      <c r="F32" s="26" t="n"/>
    </row>
    <row r="33">
      <c r="A33" s="22" t="n"/>
      <c r="B33" s="29" t="n"/>
      <c r="C33" s="29" t="n"/>
      <c r="D33" s="29" t="n"/>
      <c r="E33" s="23" t="n"/>
      <c r="F33" s="23" t="n"/>
    </row>
    <row r="34">
      <c r="A34" s="25" t="n"/>
      <c r="B34" s="30" t="n"/>
      <c r="C34" s="30" t="n"/>
      <c r="D34" s="30" t="n"/>
      <c r="E34" s="26" t="n"/>
      <c r="F34" s="26" t="n"/>
    </row>
    <row r="35">
      <c r="A35" s="7" t="inlineStr">
        <is>
          <t>TOTAL</t>
        </is>
      </c>
      <c r="B35" s="51">
        <f>SUM(B5:B34)</f>
        <v/>
      </c>
      <c r="C35" s="52">
        <f>SUM(C5:C34)</f>
        <v/>
      </c>
      <c r="D35" s="52">
        <f>SUM(D5:D34)</f>
        <v/>
      </c>
    </row>
  </sheetData>
  <mergeCells count="2">
    <mergeCell ref="A2:F2"/>
    <mergeCell ref="A1:F1"/>
  </mergeCells>
  <conditionalFormatting sqref="C5:C34">
    <cfRule type="dataBar" priority="1">
      <dataBar showValue="1">
        <cfvo type="num" val="0"/>
        <cfvo type="num" val="700000"/>
        <color rgb="001B4F48"/>
      </dataBar>
    </cfRule>
  </conditionalFormatting>
  <dataValidations count="2">
    <dataValidation sqref="E5:E34" showDropDown="0" showInputMessage="0" showErrorMessage="0" allowBlank="1" type="list">
      <formula1>=YesNoList</formula1>
    </dataValidation>
    <dataValidation sqref="F5:F34" showDropDown="0" showInputMessage="0" showErrorMessage="0" allowBlank="1" type="list">
      <formula1>=PriorityList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5D3BA"/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2" customWidth="1" min="4" max="4"/>
    <col width="14" customWidth="1" min="5" max="5"/>
    <col width="12" customWidth="1" min="6" max="6"/>
    <col width="13" customWidth="1" min="7" max="7"/>
  </cols>
  <sheetData>
    <row r="1" ht="46" customHeight="1">
      <c r="A1" s="1" t="inlineStr">
        <is>
          <t xml:space="preserve">  🤝  SPONSORSHIP CRM</t>
        </is>
      </c>
    </row>
    <row r="2" ht="22" customHeight="1">
      <c r="A2" s="2" t="inlineStr">
        <is>
          <t xml:space="preserve">  Turn brand deals into a pipeline — lead to paid, with rates &amp; invoice status.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Brand</t>
        </is>
      </c>
      <c r="B4" s="7" t="inlineStr">
        <is>
          <t>Contact</t>
        </is>
      </c>
      <c r="C4" s="7" t="inlineStr">
        <is>
          <t>Campaign</t>
        </is>
      </c>
      <c r="D4" s="7" t="inlineStr">
        <is>
          <t>Rate</t>
        </is>
      </c>
      <c r="E4" s="7" t="inlineStr">
        <is>
          <t>Stage</t>
        </is>
      </c>
      <c r="F4" s="7" t="inlineStr">
        <is>
          <t>Invoice</t>
        </is>
      </c>
      <c r="G4" s="7" t="inlineStr">
        <is>
          <t>Due / Paid</t>
        </is>
      </c>
    </row>
    <row r="5">
      <c r="A5" s="23" t="inlineStr">
        <is>
          <t>Riverside</t>
        </is>
      </c>
      <c r="B5" s="22" t="inlineStr">
        <is>
          <t>Dana K.</t>
        </is>
      </c>
      <c r="C5" s="22" t="inlineStr">
        <is>
          <t>Q3 integration</t>
        </is>
      </c>
      <c r="D5" s="49" t="n">
        <v>3200</v>
      </c>
      <c r="E5" s="23" t="inlineStr">
        <is>
          <t>Signed</t>
        </is>
      </c>
      <c r="F5" s="23" t="inlineStr">
        <is>
          <t>Sent</t>
        </is>
      </c>
      <c r="G5" s="21" t="n">
        <v>46220</v>
      </c>
    </row>
    <row r="6">
      <c r="A6" s="26" t="inlineStr">
        <is>
          <t>Skillshare</t>
        </is>
      </c>
      <c r="B6" s="25" t="inlineStr">
        <is>
          <t>Marco P.</t>
        </is>
      </c>
      <c r="C6" s="25" t="inlineStr">
        <is>
          <t>Course promo</t>
        </is>
      </c>
      <c r="D6" s="50" t="n">
        <v>2600</v>
      </c>
      <c r="E6" s="26" t="inlineStr">
        <is>
          <t>Negotiation</t>
        </is>
      </c>
      <c r="F6" s="26" t="inlineStr">
        <is>
          <t>Not Sent</t>
        </is>
      </c>
      <c r="G6" s="24" t="n">
        <v>46238</v>
      </c>
    </row>
    <row r="7">
      <c r="A7" s="23" t="inlineStr">
        <is>
          <t>Notion</t>
        </is>
      </c>
      <c r="B7" s="22" t="inlineStr">
        <is>
          <t>Lena R.</t>
        </is>
      </c>
      <c r="C7" s="22" t="inlineStr">
        <is>
          <t>Template collab</t>
        </is>
      </c>
      <c r="D7" s="49" t="n">
        <v>2200</v>
      </c>
      <c r="E7" s="23" t="inlineStr">
        <is>
          <t>Delivered</t>
        </is>
      </c>
      <c r="F7" s="23" t="inlineStr">
        <is>
          <t>Sent</t>
        </is>
      </c>
      <c r="G7" s="21" t="n">
        <v>46203</v>
      </c>
    </row>
    <row r="8">
      <c r="A8" s="26" t="inlineStr">
        <is>
          <t>Squarespace</t>
        </is>
      </c>
      <c r="B8" s="25" t="inlineStr">
        <is>
          <t>Ivy T.</t>
        </is>
      </c>
      <c r="C8" s="25" t="inlineStr">
        <is>
          <t>Website build</t>
        </is>
      </c>
      <c r="D8" s="50" t="n">
        <v>1800</v>
      </c>
      <c r="E8" s="26" t="inlineStr">
        <is>
          <t>Paid</t>
        </is>
      </c>
      <c r="F8" s="26" t="inlineStr">
        <is>
          <t>Paid</t>
        </is>
      </c>
      <c r="G8" s="24" t="n">
        <v>46183</v>
      </c>
    </row>
    <row r="9">
      <c r="A9" s="23" t="inlineStr">
        <is>
          <t>Adobe</t>
        </is>
      </c>
      <c r="B9" s="22" t="inlineStr">
        <is>
          <t>Priya S.</t>
        </is>
      </c>
      <c r="C9" s="22" t="inlineStr">
        <is>
          <t>Express feature</t>
        </is>
      </c>
      <c r="D9" s="49" t="n">
        <v>2400</v>
      </c>
      <c r="E9" s="23" t="inlineStr">
        <is>
          <t>Outreach</t>
        </is>
      </c>
      <c r="F9" s="23" t="inlineStr">
        <is>
          <t>Not Sent</t>
        </is>
      </c>
      <c r="G9" s="21" t="n">
        <v>46268</v>
      </c>
    </row>
    <row r="10">
      <c r="A10" s="26" t="inlineStr">
        <is>
          <t>NordVPN</t>
        </is>
      </c>
      <c r="B10" s="25" t="inlineStr">
        <is>
          <t>Chris N.</t>
        </is>
      </c>
      <c r="C10" s="25" t="inlineStr">
        <is>
          <t>VPN spot</t>
        </is>
      </c>
      <c r="D10" s="50" t="n">
        <v>1500</v>
      </c>
      <c r="E10" s="26" t="inlineStr">
        <is>
          <t>Lead</t>
        </is>
      </c>
      <c r="F10" s="26" t="inlineStr">
        <is>
          <t>Not Sent</t>
        </is>
      </c>
      <c r="G10" s="24" t="n">
        <v>46283</v>
      </c>
    </row>
    <row r="11">
      <c r="A11" s="23" t="inlineStr">
        <is>
          <t>HelloFresh</t>
        </is>
      </c>
      <c r="B11" s="22" t="inlineStr">
        <is>
          <t>Owen B.</t>
        </is>
      </c>
      <c r="C11" s="22" t="inlineStr">
        <is>
          <t>Meal kit</t>
        </is>
      </c>
      <c r="D11" s="49" t="n">
        <v>1100</v>
      </c>
      <c r="E11" s="23" t="inlineStr">
        <is>
          <t>Paid</t>
        </is>
      </c>
      <c r="F11" s="23" t="inlineStr">
        <is>
          <t>Paid</t>
        </is>
      </c>
      <c r="G11" s="21" t="n">
        <v>46168</v>
      </c>
    </row>
    <row r="12">
      <c r="A12" s="26" t="inlineStr">
        <is>
          <t>Epidemic Sound</t>
        </is>
      </c>
      <c r="B12" s="25" t="inlineStr">
        <is>
          <t>Sam W.</t>
        </is>
      </c>
      <c r="C12" s="25" t="inlineStr">
        <is>
          <t>Music partner</t>
        </is>
      </c>
      <c r="D12" s="50" t="n">
        <v>900</v>
      </c>
      <c r="E12" s="26" t="inlineStr">
        <is>
          <t>Signed</t>
        </is>
      </c>
      <c r="F12" s="26" t="inlineStr">
        <is>
          <t>Sent</t>
        </is>
      </c>
      <c r="G12" s="24" t="n">
        <v>46253</v>
      </c>
    </row>
    <row r="13">
      <c r="A13" s="23" t="n"/>
      <c r="B13" s="22" t="n"/>
      <c r="C13" s="22" t="n"/>
      <c r="D13" s="49" t="n"/>
      <c r="E13" s="23" t="n"/>
      <c r="F13" s="23" t="n"/>
      <c r="G13" s="21" t="n"/>
    </row>
    <row r="14">
      <c r="A14" s="26" t="n"/>
      <c r="B14" s="25" t="n"/>
      <c r="C14" s="25" t="n"/>
      <c r="D14" s="50" t="n"/>
      <c r="E14" s="26" t="n"/>
      <c r="F14" s="26" t="n"/>
      <c r="G14" s="24" t="n"/>
    </row>
    <row r="15">
      <c r="A15" s="23" t="n"/>
      <c r="B15" s="22" t="n"/>
      <c r="C15" s="22" t="n"/>
      <c r="D15" s="49" t="n"/>
      <c r="E15" s="23" t="n"/>
      <c r="F15" s="23" t="n"/>
      <c r="G15" s="21" t="n"/>
    </row>
    <row r="16">
      <c r="A16" s="26" t="n"/>
      <c r="B16" s="25" t="n"/>
      <c r="C16" s="25" t="n"/>
      <c r="D16" s="50" t="n"/>
      <c r="E16" s="26" t="n"/>
      <c r="F16" s="26" t="n"/>
      <c r="G16" s="24" t="n"/>
    </row>
    <row r="17">
      <c r="A17" s="23" t="n"/>
      <c r="B17" s="22" t="n"/>
      <c r="C17" s="22" t="n"/>
      <c r="D17" s="49" t="n"/>
      <c r="E17" s="23" t="n"/>
      <c r="F17" s="23" t="n"/>
      <c r="G17" s="21" t="n"/>
    </row>
    <row r="18">
      <c r="A18" s="26" t="n"/>
      <c r="B18" s="25" t="n"/>
      <c r="C18" s="25" t="n"/>
      <c r="D18" s="50" t="n"/>
      <c r="E18" s="26" t="n"/>
      <c r="F18" s="26" t="n"/>
      <c r="G18" s="24" t="n"/>
    </row>
    <row r="19">
      <c r="A19" s="23" t="n"/>
      <c r="B19" s="22" t="n"/>
      <c r="C19" s="22" t="n"/>
      <c r="D19" s="49" t="n"/>
      <c r="E19" s="23" t="n"/>
      <c r="F19" s="23" t="n"/>
      <c r="G19" s="21" t="n"/>
    </row>
    <row r="20">
      <c r="A20" s="26" t="n"/>
      <c r="B20" s="25" t="n"/>
      <c r="C20" s="25" t="n"/>
      <c r="D20" s="50" t="n"/>
      <c r="E20" s="26" t="n"/>
      <c r="F20" s="26" t="n"/>
      <c r="G20" s="24" t="n"/>
    </row>
    <row r="21">
      <c r="A21" s="23" t="n"/>
      <c r="B21" s="22" t="n"/>
      <c r="C21" s="22" t="n"/>
      <c r="D21" s="49" t="n"/>
      <c r="E21" s="23" t="n"/>
      <c r="F21" s="23" t="n"/>
      <c r="G21" s="21" t="n"/>
    </row>
    <row r="22">
      <c r="A22" s="26" t="n"/>
      <c r="B22" s="25" t="n"/>
      <c r="C22" s="25" t="n"/>
      <c r="D22" s="50" t="n"/>
      <c r="E22" s="26" t="n"/>
      <c r="F22" s="26" t="n"/>
      <c r="G22" s="24" t="n"/>
    </row>
    <row r="23">
      <c r="A23" s="23" t="n"/>
      <c r="B23" s="22" t="n"/>
      <c r="C23" s="22" t="n"/>
      <c r="D23" s="49" t="n"/>
      <c r="E23" s="23" t="n"/>
      <c r="F23" s="23" t="n"/>
      <c r="G23" s="21" t="n"/>
    </row>
    <row r="24">
      <c r="A24" s="26" t="n"/>
      <c r="B24" s="25" t="n"/>
      <c r="C24" s="25" t="n"/>
      <c r="D24" s="50" t="n"/>
      <c r="E24" s="26" t="n"/>
      <c r="F24" s="26" t="n"/>
      <c r="G24" s="24" t="n"/>
    </row>
    <row r="25">
      <c r="A25" s="23" t="n"/>
      <c r="B25" s="22" t="n"/>
      <c r="C25" s="22" t="n"/>
      <c r="D25" s="49" t="n"/>
      <c r="E25" s="23" t="n"/>
      <c r="F25" s="23" t="n"/>
      <c r="G25" s="21" t="n"/>
    </row>
    <row r="26">
      <c r="A26" s="26" t="n"/>
      <c r="B26" s="25" t="n"/>
      <c r="C26" s="25" t="n"/>
      <c r="D26" s="50" t="n"/>
      <c r="E26" s="26" t="n"/>
      <c r="F26" s="26" t="n"/>
      <c r="G26" s="24" t="n"/>
    </row>
    <row r="27">
      <c r="A27" s="23" t="n"/>
      <c r="B27" s="22" t="n"/>
      <c r="C27" s="22" t="n"/>
      <c r="D27" s="49" t="n"/>
      <c r="E27" s="23" t="n"/>
      <c r="F27" s="23" t="n"/>
      <c r="G27" s="21" t="n"/>
    </row>
    <row r="28">
      <c r="A28" s="26" t="n"/>
      <c r="B28" s="25" t="n"/>
      <c r="C28" s="25" t="n"/>
      <c r="D28" s="50" t="n"/>
      <c r="E28" s="26" t="n"/>
      <c r="F28" s="26" t="n"/>
      <c r="G28" s="24" t="n"/>
    </row>
    <row r="29">
      <c r="A29" s="23" t="n"/>
      <c r="B29" s="22" t="n"/>
      <c r="C29" s="22" t="n"/>
      <c r="D29" s="49" t="n"/>
      <c r="E29" s="23" t="n"/>
      <c r="F29" s="23" t="n"/>
      <c r="G29" s="21" t="n"/>
    </row>
    <row r="30">
      <c r="A30" s="26" t="n"/>
      <c r="B30" s="25" t="n"/>
      <c r="C30" s="25" t="n"/>
      <c r="D30" s="50" t="n"/>
      <c r="E30" s="26" t="n"/>
      <c r="F30" s="26" t="n"/>
      <c r="G30" s="24" t="n"/>
    </row>
    <row r="31">
      <c r="A31" s="23" t="n"/>
      <c r="B31" s="22" t="n"/>
      <c r="C31" s="22" t="n"/>
      <c r="D31" s="49" t="n"/>
      <c r="E31" s="23" t="n"/>
      <c r="F31" s="23" t="n"/>
      <c r="G31" s="21" t="n"/>
    </row>
    <row r="32">
      <c r="A32" s="26" t="n"/>
      <c r="B32" s="25" t="n"/>
      <c r="C32" s="25" t="n"/>
      <c r="D32" s="50" t="n"/>
      <c r="E32" s="26" t="n"/>
      <c r="F32" s="26" t="n"/>
      <c r="G32" s="24" t="n"/>
    </row>
    <row r="33">
      <c r="A33" s="23" t="n"/>
      <c r="B33" s="22" t="n"/>
      <c r="C33" s="22" t="n"/>
      <c r="D33" s="49" t="n"/>
      <c r="E33" s="23" t="n"/>
      <c r="F33" s="23" t="n"/>
      <c r="G33" s="21" t="n"/>
    </row>
    <row r="34">
      <c r="A34" s="26" t="n"/>
      <c r="B34" s="25" t="n"/>
      <c r="C34" s="25" t="n"/>
      <c r="D34" s="50" t="n"/>
      <c r="E34" s="26" t="n"/>
      <c r="F34" s="26" t="n"/>
      <c r="G34" s="24" t="n"/>
    </row>
  </sheetData>
  <mergeCells count="2">
    <mergeCell ref="A2:G2"/>
    <mergeCell ref="A1:G1"/>
  </mergeCells>
  <conditionalFormatting sqref="E5:E34">
    <cfRule type="cellIs" priority="1" operator="equal" dxfId="0">
      <formula>"Paid"</formula>
    </cfRule>
    <cfRule type="cellIs" priority="2" operator="equal" dxfId="1">
      <formula>"Signed"</formula>
    </cfRule>
    <cfRule type="cellIs" priority="3" operator="equal" dxfId="2">
      <formula>"Delivered"</formula>
    </cfRule>
    <cfRule type="cellIs" priority="4" operator="equal" dxfId="3">
      <formula>"Lead"</formula>
    </cfRule>
  </conditionalFormatting>
  <dataValidations count="1">
    <dataValidation sqref="E5:E34" showDropDown="0" showInputMessage="0" showErrorMessage="0" allowBlank="1" type="list">
      <formula1>=SponStageList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B4F48"/>
    <outlinePr summaryBelow="1" summaryRight="1"/>
    <pageSetUpPr/>
  </sheetPr>
  <dimension ref="A1:G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</cols>
  <sheetData>
    <row r="1" ht="46" customHeight="1">
      <c r="A1" s="1" t="inlineStr">
        <is>
          <t xml:space="preserve">  🔗  AFFILIATE DASHBOARD</t>
        </is>
      </c>
    </row>
    <row r="2" ht="22" customHeight="1">
      <c r="A2" s="2" t="inlineStr">
        <is>
          <t xml:space="preserve">  Passive income, tracked — clicks, conversions &amp; commission by program.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Program</t>
        </is>
      </c>
      <c r="B4" s="7" t="inlineStr">
        <is>
          <t>Product</t>
        </is>
      </c>
      <c r="C4" s="7" t="inlineStr">
        <is>
          <t>Commission</t>
        </is>
      </c>
      <c r="D4" s="7" t="inlineStr">
        <is>
          <t>Clicks</t>
        </is>
      </c>
      <c r="E4" s="7" t="inlineStr">
        <is>
          <t>Sales</t>
        </is>
      </c>
      <c r="F4" s="7" t="inlineStr">
        <is>
          <t>Revenue</t>
        </is>
      </c>
      <c r="G4" s="7" t="inlineStr">
        <is>
          <t>Payout</t>
        </is>
      </c>
    </row>
    <row r="5">
      <c r="A5" s="22" t="inlineStr">
        <is>
          <t>Amazon</t>
        </is>
      </c>
      <c r="B5" s="22" t="inlineStr">
        <is>
          <t>Gear picks</t>
        </is>
      </c>
      <c r="C5" s="27" t="n">
        <v>0.04</v>
      </c>
      <c r="D5" s="29" t="n">
        <v>4200</v>
      </c>
      <c r="E5" s="29" t="n">
        <v>128</v>
      </c>
      <c r="F5" s="49" t="n">
        <v>340</v>
      </c>
      <c r="G5" s="21" t="n">
        <v>46198</v>
      </c>
    </row>
    <row r="6">
      <c r="A6" s="25" t="inlineStr">
        <is>
          <t>Notion</t>
        </is>
      </c>
      <c r="B6" s="25" t="inlineStr">
        <is>
          <t>Template affiliate</t>
        </is>
      </c>
      <c r="C6" s="28" t="n">
        <v>0.5</v>
      </c>
      <c r="D6" s="30" t="n">
        <v>1100</v>
      </c>
      <c r="E6" s="30" t="n">
        <v>58</v>
      </c>
      <c r="F6" s="50" t="n">
        <v>290</v>
      </c>
      <c r="G6" s="24" t="n">
        <v>46223</v>
      </c>
    </row>
    <row r="7">
      <c r="A7" s="22" t="inlineStr">
        <is>
          <t>Riverside</t>
        </is>
      </c>
      <c r="B7" s="22" t="inlineStr">
        <is>
          <t>Recording tool</t>
        </is>
      </c>
      <c r="C7" s="27" t="n">
        <v>0.3</v>
      </c>
      <c r="D7" s="29" t="n">
        <v>680</v>
      </c>
      <c r="E7" s="29" t="n">
        <v>22</v>
      </c>
      <c r="F7" s="49" t="n">
        <v>180</v>
      </c>
      <c r="G7" s="21" t="n">
        <v>46213</v>
      </c>
    </row>
    <row r="8">
      <c r="A8" s="25" t="inlineStr">
        <is>
          <t>Epidemic Sound</t>
        </is>
      </c>
      <c r="B8" s="25" t="inlineStr">
        <is>
          <t>Music referrals</t>
        </is>
      </c>
      <c r="C8" s="28" t="n">
        <v>0.25</v>
      </c>
      <c r="D8" s="30" t="n">
        <v>540</v>
      </c>
      <c r="E8" s="30" t="n">
        <v>26</v>
      </c>
      <c r="F8" s="50" t="n">
        <v>110</v>
      </c>
      <c r="G8" s="24" t="n">
        <v>46200</v>
      </c>
    </row>
    <row r="9">
      <c r="A9" s="22" t="inlineStr">
        <is>
          <t>ConvertKit</t>
        </is>
      </c>
      <c r="B9" s="22" t="inlineStr">
        <is>
          <t>Email tool</t>
        </is>
      </c>
      <c r="C9" s="27" t="n">
        <v>0.3</v>
      </c>
      <c r="D9" s="29" t="n">
        <v>320</v>
      </c>
      <c r="E9" s="29" t="n">
        <v>12</v>
      </c>
      <c r="F9" s="49" t="n">
        <v>60</v>
      </c>
      <c r="G9" s="21" t="n">
        <v>46228</v>
      </c>
    </row>
    <row r="10">
      <c r="A10" s="25" t="n"/>
      <c r="B10" s="25" t="n"/>
      <c r="C10" s="28" t="n"/>
      <c r="D10" s="30" t="n"/>
      <c r="E10" s="30" t="n"/>
      <c r="F10" s="50" t="n"/>
      <c r="G10" s="24" t="n"/>
    </row>
    <row r="11">
      <c r="A11" s="22" t="n"/>
      <c r="B11" s="22" t="n"/>
      <c r="C11" s="27" t="n"/>
      <c r="D11" s="29" t="n"/>
      <c r="E11" s="29" t="n"/>
      <c r="F11" s="49" t="n"/>
      <c r="G11" s="21" t="n"/>
    </row>
    <row r="12">
      <c r="A12" s="25" t="n"/>
      <c r="B12" s="25" t="n"/>
      <c r="C12" s="28" t="n"/>
      <c r="D12" s="30" t="n"/>
      <c r="E12" s="30" t="n"/>
      <c r="F12" s="50" t="n"/>
      <c r="G12" s="24" t="n"/>
    </row>
    <row r="13">
      <c r="A13" s="22" t="n"/>
      <c r="B13" s="22" t="n"/>
      <c r="C13" s="27" t="n"/>
      <c r="D13" s="29" t="n"/>
      <c r="E13" s="29" t="n"/>
      <c r="F13" s="49" t="n"/>
      <c r="G13" s="21" t="n"/>
    </row>
    <row r="14">
      <c r="A14" s="25" t="n"/>
      <c r="B14" s="25" t="n"/>
      <c r="C14" s="28" t="n"/>
      <c r="D14" s="30" t="n"/>
      <c r="E14" s="30" t="n"/>
      <c r="F14" s="50" t="n"/>
      <c r="G14" s="24" t="n"/>
    </row>
    <row r="15">
      <c r="A15" s="22" t="n"/>
      <c r="B15" s="22" t="n"/>
      <c r="C15" s="27" t="n"/>
      <c r="D15" s="29" t="n"/>
      <c r="E15" s="29" t="n"/>
      <c r="F15" s="49" t="n"/>
      <c r="G15" s="21" t="n"/>
    </row>
    <row r="16">
      <c r="A16" s="25" t="n"/>
      <c r="B16" s="25" t="n"/>
      <c r="C16" s="28" t="n"/>
      <c r="D16" s="30" t="n"/>
      <c r="E16" s="30" t="n"/>
      <c r="F16" s="50" t="n"/>
      <c r="G16" s="24" t="n"/>
    </row>
    <row r="17">
      <c r="A17" s="22" t="n"/>
      <c r="B17" s="22" t="n"/>
      <c r="C17" s="27" t="n"/>
      <c r="D17" s="29" t="n"/>
      <c r="E17" s="29" t="n"/>
      <c r="F17" s="49" t="n"/>
      <c r="G17" s="21" t="n"/>
    </row>
    <row r="18">
      <c r="A18" s="25" t="n"/>
      <c r="B18" s="25" t="n"/>
      <c r="C18" s="28" t="n"/>
      <c r="D18" s="30" t="n"/>
      <c r="E18" s="30" t="n"/>
      <c r="F18" s="50" t="n"/>
      <c r="G18" s="24" t="n"/>
    </row>
    <row r="19">
      <c r="A19" s="22" t="n"/>
      <c r="B19" s="22" t="n"/>
      <c r="C19" s="27" t="n"/>
      <c r="D19" s="29" t="n"/>
      <c r="E19" s="29" t="n"/>
      <c r="F19" s="49" t="n"/>
      <c r="G19" s="21" t="n"/>
    </row>
    <row r="20">
      <c r="A20" s="25" t="n"/>
      <c r="B20" s="25" t="n"/>
      <c r="C20" s="28" t="n"/>
      <c r="D20" s="30" t="n"/>
      <c r="E20" s="30" t="n"/>
      <c r="F20" s="50" t="n"/>
      <c r="G20" s="24" t="n"/>
    </row>
    <row r="21">
      <c r="A21" s="22" t="n"/>
      <c r="B21" s="22" t="n"/>
      <c r="C21" s="27" t="n"/>
      <c r="D21" s="29" t="n"/>
      <c r="E21" s="29" t="n"/>
      <c r="F21" s="49" t="n"/>
      <c r="G21" s="21" t="n"/>
    </row>
    <row r="22">
      <c r="A22" s="25" t="n"/>
      <c r="B22" s="25" t="n"/>
      <c r="C22" s="28" t="n"/>
      <c r="D22" s="30" t="n"/>
      <c r="E22" s="30" t="n"/>
      <c r="F22" s="50" t="n"/>
      <c r="G22" s="24" t="n"/>
    </row>
    <row r="23">
      <c r="A23" s="22" t="n"/>
      <c r="B23" s="22" t="n"/>
      <c r="C23" s="27" t="n"/>
      <c r="D23" s="29" t="n"/>
      <c r="E23" s="29" t="n"/>
      <c r="F23" s="49" t="n"/>
      <c r="G23" s="21" t="n"/>
    </row>
    <row r="24">
      <c r="A24" s="25" t="n"/>
      <c r="B24" s="25" t="n"/>
      <c r="C24" s="28" t="n"/>
      <c r="D24" s="30" t="n"/>
      <c r="E24" s="30" t="n"/>
      <c r="F24" s="50" t="n"/>
      <c r="G24" s="24" t="n"/>
    </row>
    <row r="25">
      <c r="A25" s="22" t="n"/>
      <c r="B25" s="22" t="n"/>
      <c r="C25" s="27" t="n"/>
      <c r="D25" s="29" t="n"/>
      <c r="E25" s="29" t="n"/>
      <c r="F25" s="49" t="n"/>
      <c r="G25" s="21" t="n"/>
    </row>
    <row r="26">
      <c r="A26" s="25" t="n"/>
      <c r="B26" s="25" t="n"/>
      <c r="C26" s="28" t="n"/>
      <c r="D26" s="30" t="n"/>
      <c r="E26" s="30" t="n"/>
      <c r="F26" s="50" t="n"/>
      <c r="G26" s="24" t="n"/>
    </row>
    <row r="27">
      <c r="A27" s="22" t="n"/>
      <c r="B27" s="22" t="n"/>
      <c r="C27" s="27" t="n"/>
      <c r="D27" s="29" t="n"/>
      <c r="E27" s="29" t="n"/>
      <c r="F27" s="49" t="n"/>
      <c r="G27" s="21" t="n"/>
    </row>
    <row r="28">
      <c r="A28" s="25" t="n"/>
      <c r="B28" s="25" t="n"/>
      <c r="C28" s="28" t="n"/>
      <c r="D28" s="30" t="n"/>
      <c r="E28" s="30" t="n"/>
      <c r="F28" s="50" t="n"/>
      <c r="G28" s="24" t="n"/>
    </row>
    <row r="29">
      <c r="A29" s="22" t="n"/>
      <c r="B29" s="22" t="n"/>
      <c r="C29" s="27" t="n"/>
      <c r="D29" s="29" t="n"/>
      <c r="E29" s="29" t="n"/>
      <c r="F29" s="49" t="n"/>
      <c r="G29" s="21" t="n"/>
    </row>
    <row r="30">
      <c r="A30" s="25" t="n"/>
      <c r="B30" s="25" t="n"/>
      <c r="C30" s="28" t="n"/>
      <c r="D30" s="30" t="n"/>
      <c r="E30" s="30" t="n"/>
      <c r="F30" s="50" t="n"/>
      <c r="G30" s="24" t="n"/>
    </row>
    <row r="31">
      <c r="A31" s="22" t="n"/>
      <c r="B31" s="22" t="n"/>
      <c r="C31" s="27" t="n"/>
      <c r="D31" s="29" t="n"/>
      <c r="E31" s="29" t="n"/>
      <c r="F31" s="49" t="n"/>
      <c r="G31" s="21" t="n"/>
    </row>
    <row r="32">
      <c r="A32" s="25" t="n"/>
      <c r="B32" s="25" t="n"/>
      <c r="C32" s="28" t="n"/>
      <c r="D32" s="30" t="n"/>
      <c r="E32" s="30" t="n"/>
      <c r="F32" s="50" t="n"/>
      <c r="G32" s="24" t="n"/>
    </row>
    <row r="33">
      <c r="A33" s="22" t="n"/>
      <c r="B33" s="22" t="n"/>
      <c r="C33" s="27" t="n"/>
      <c r="D33" s="29" t="n"/>
      <c r="E33" s="29" t="n"/>
      <c r="F33" s="49" t="n"/>
      <c r="G33" s="21" t="n"/>
    </row>
    <row r="34">
      <c r="A34" s="25" t="n"/>
      <c r="B34" s="25" t="n"/>
      <c r="C34" s="28" t="n"/>
      <c r="D34" s="30" t="n"/>
      <c r="E34" s="30" t="n"/>
      <c r="F34" s="50" t="n"/>
      <c r="G34" s="24" t="n"/>
    </row>
    <row r="35">
      <c r="A35" s="7" t="inlineStr">
        <is>
          <t>TOTAL</t>
        </is>
      </c>
      <c r="F35" s="53">
        <f>SUM(F5:F34)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37356"/>
    <outlinePr summaryBelow="1" summaryRight="1"/>
    <pageSetUpPr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2" customWidth="1" min="4" max="4"/>
    <col width="13" customWidth="1" min="5" max="5"/>
    <col width="11" customWidth="1" min="6" max="6"/>
    <col width="13" customWidth="1" min="7" max="7"/>
    <col width="12" customWidth="1" min="8" max="8"/>
  </cols>
  <sheetData>
    <row r="1" ht="46" customHeight="1">
      <c r="A1" s="1" t="inlineStr">
        <is>
          <t xml:space="preserve">  📦  DIGITAL PRODUCT DASHBOARD</t>
        </is>
      </c>
    </row>
    <row r="2" ht="22" customHeight="1">
      <c r="A2" s="2" t="inlineStr">
        <is>
          <t xml:space="preserve">  Products that sell while you sleep — units, revenue, refunds &amp; profit per product.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Product</t>
        </is>
      </c>
      <c r="B4" s="7" t="inlineStr">
        <is>
          <t>Launched</t>
        </is>
      </c>
      <c r="C4" s="7" t="inlineStr">
        <is>
          <t>Price</t>
        </is>
      </c>
      <c r="D4" s="7" t="inlineStr">
        <is>
          <t>Units</t>
        </is>
      </c>
      <c r="E4" s="7" t="inlineStr">
        <is>
          <t>Revenue</t>
        </is>
      </c>
      <c r="F4" s="7" t="inlineStr">
        <is>
          <t>Refunds</t>
        </is>
      </c>
      <c r="G4" s="7" t="inlineStr">
        <is>
          <t>Net Profit</t>
        </is>
      </c>
      <c r="H4" s="7" t="inlineStr">
        <is>
          <t>Rating</t>
        </is>
      </c>
    </row>
    <row r="5">
      <c r="A5" s="22" t="inlineStr">
        <is>
          <t>Content OS (Notion)</t>
        </is>
      </c>
      <c r="B5" s="21" t="n">
        <v>46088</v>
      </c>
      <c r="C5" s="49" t="n">
        <v>49</v>
      </c>
      <c r="D5" s="29" t="n">
        <v>186</v>
      </c>
      <c r="E5" s="49">
        <f>C5*D5</f>
        <v/>
      </c>
      <c r="F5" s="29" t="n">
        <v>12</v>
      </c>
      <c r="G5" s="49">
        <f>E5-C5*F5</f>
        <v/>
      </c>
      <c r="H5" s="54" t="n">
        <v>4.9</v>
      </c>
    </row>
    <row r="6">
      <c r="A6" s="25" t="inlineStr">
        <is>
          <t>Faceless Channel Course</t>
        </is>
      </c>
      <c r="B6" s="24" t="n">
        <v>46148</v>
      </c>
      <c r="C6" s="50" t="n">
        <v>149</v>
      </c>
      <c r="D6" s="30" t="n">
        <v>84</v>
      </c>
      <c r="E6" s="50">
        <f>C6*D6</f>
        <v/>
      </c>
      <c r="F6" s="30" t="n">
        <v>4</v>
      </c>
      <c r="G6" s="50">
        <f>E6-C6*F6</f>
        <v/>
      </c>
      <c r="H6" s="48" t="n">
        <v>4.8</v>
      </c>
    </row>
    <row r="7">
      <c r="A7" s="22" t="inlineStr">
        <is>
          <t>Thumbnail Pack</t>
        </is>
      </c>
      <c r="B7" s="21" t="n">
        <v>46008</v>
      </c>
      <c r="C7" s="49" t="n">
        <v>19</v>
      </c>
      <c r="D7" s="29" t="n">
        <v>240</v>
      </c>
      <c r="E7" s="49">
        <f>C7*D7</f>
        <v/>
      </c>
      <c r="F7" s="29" t="n">
        <v>15</v>
      </c>
      <c r="G7" s="49">
        <f>E7-C7*F7</f>
        <v/>
      </c>
      <c r="H7" s="54" t="n">
        <v>4.7</v>
      </c>
    </row>
    <row r="8">
      <c r="A8" s="25" t="inlineStr">
        <is>
          <t>Sponsorship Templates</t>
        </is>
      </c>
      <c r="B8" s="24" t="n">
        <v>46168</v>
      </c>
      <c r="C8" s="50" t="n">
        <v>24</v>
      </c>
      <c r="D8" s="30" t="n">
        <v>96</v>
      </c>
      <c r="E8" s="50">
        <f>C8*D8</f>
        <v/>
      </c>
      <c r="F8" s="30" t="n">
        <v>3</v>
      </c>
      <c r="G8" s="50">
        <f>E8-C8*F8</f>
        <v/>
      </c>
      <c r="H8" s="48" t="n">
        <v>4.9</v>
      </c>
    </row>
    <row r="9">
      <c r="A9" s="22" t="inlineStr">
        <is>
          <t>Creator Tax Kit</t>
        </is>
      </c>
      <c r="B9" s="21" t="n">
        <v>46128</v>
      </c>
      <c r="C9" s="49" t="n">
        <v>29</v>
      </c>
      <c r="D9" s="29" t="n">
        <v>142</v>
      </c>
      <c r="E9" s="49">
        <f>C9*D9</f>
        <v/>
      </c>
      <c r="F9" s="29" t="n">
        <v>6</v>
      </c>
      <c r="G9" s="49">
        <f>E9-C9*F9</f>
        <v/>
      </c>
      <c r="H9" s="54" t="n">
        <v>4.8</v>
      </c>
    </row>
    <row r="10">
      <c r="A10" s="25" t="n"/>
      <c r="B10" s="24" t="n"/>
      <c r="C10" s="50" t="n"/>
      <c r="D10" s="30" t="n"/>
      <c r="E10" s="50" t="n"/>
      <c r="F10" s="30" t="n"/>
      <c r="G10" s="50" t="n"/>
      <c r="H10" s="48" t="n"/>
    </row>
    <row r="11">
      <c r="A11" s="22" t="n"/>
      <c r="B11" s="21" t="n"/>
      <c r="C11" s="49" t="n"/>
      <c r="D11" s="29" t="n"/>
      <c r="E11" s="49" t="n"/>
      <c r="F11" s="29" t="n"/>
      <c r="G11" s="49" t="n"/>
      <c r="H11" s="54" t="n"/>
    </row>
    <row r="12">
      <c r="A12" s="25" t="n"/>
      <c r="B12" s="24" t="n"/>
      <c r="C12" s="50" t="n"/>
      <c r="D12" s="30" t="n"/>
      <c r="E12" s="50" t="n"/>
      <c r="F12" s="30" t="n"/>
      <c r="G12" s="50" t="n"/>
      <c r="H12" s="48" t="n"/>
    </row>
    <row r="13">
      <c r="A13" s="22" t="n"/>
      <c r="B13" s="21" t="n"/>
      <c r="C13" s="49" t="n"/>
      <c r="D13" s="29" t="n"/>
      <c r="E13" s="49" t="n"/>
      <c r="F13" s="29" t="n"/>
      <c r="G13" s="49" t="n"/>
      <c r="H13" s="54" t="n"/>
    </row>
    <row r="14">
      <c r="A14" s="25" t="n"/>
      <c r="B14" s="24" t="n"/>
      <c r="C14" s="50" t="n"/>
      <c r="D14" s="30" t="n"/>
      <c r="E14" s="50" t="n"/>
      <c r="F14" s="30" t="n"/>
      <c r="G14" s="50" t="n"/>
      <c r="H14" s="48" t="n"/>
    </row>
    <row r="15">
      <c r="A15" s="22" t="n"/>
      <c r="B15" s="21" t="n"/>
      <c r="C15" s="49" t="n"/>
      <c r="D15" s="29" t="n"/>
      <c r="E15" s="49" t="n"/>
      <c r="F15" s="29" t="n"/>
      <c r="G15" s="49" t="n"/>
      <c r="H15" s="54" t="n"/>
    </row>
    <row r="16">
      <c r="A16" s="25" t="n"/>
      <c r="B16" s="24" t="n"/>
      <c r="C16" s="50" t="n"/>
      <c r="D16" s="30" t="n"/>
      <c r="E16" s="50" t="n"/>
      <c r="F16" s="30" t="n"/>
      <c r="G16" s="50" t="n"/>
      <c r="H16" s="48" t="n"/>
    </row>
    <row r="17">
      <c r="A17" s="22" t="n"/>
      <c r="B17" s="21" t="n"/>
      <c r="C17" s="49" t="n"/>
      <c r="D17" s="29" t="n"/>
      <c r="E17" s="49" t="n"/>
      <c r="F17" s="29" t="n"/>
      <c r="G17" s="49" t="n"/>
      <c r="H17" s="54" t="n"/>
    </row>
    <row r="18">
      <c r="A18" s="25" t="n"/>
      <c r="B18" s="24" t="n"/>
      <c r="C18" s="50" t="n"/>
      <c r="D18" s="30" t="n"/>
      <c r="E18" s="50" t="n"/>
      <c r="F18" s="30" t="n"/>
      <c r="G18" s="50" t="n"/>
      <c r="H18" s="48" t="n"/>
    </row>
    <row r="19">
      <c r="A19" s="22" t="n"/>
      <c r="B19" s="21" t="n"/>
      <c r="C19" s="49" t="n"/>
      <c r="D19" s="29" t="n"/>
      <c r="E19" s="49" t="n"/>
      <c r="F19" s="29" t="n"/>
      <c r="G19" s="49" t="n"/>
      <c r="H19" s="54" t="n"/>
    </row>
    <row r="20">
      <c r="A20" s="25" t="n"/>
      <c r="B20" s="24" t="n"/>
      <c r="C20" s="50" t="n"/>
      <c r="D20" s="30" t="n"/>
      <c r="E20" s="50" t="n"/>
      <c r="F20" s="30" t="n"/>
      <c r="G20" s="50" t="n"/>
      <c r="H20" s="48" t="n"/>
    </row>
    <row r="21">
      <c r="A21" s="22" t="n"/>
      <c r="B21" s="21" t="n"/>
      <c r="C21" s="49" t="n"/>
      <c r="D21" s="29" t="n"/>
      <c r="E21" s="49" t="n"/>
      <c r="F21" s="29" t="n"/>
      <c r="G21" s="49" t="n"/>
      <c r="H21" s="54" t="n"/>
    </row>
    <row r="22">
      <c r="A22" s="25" t="n"/>
      <c r="B22" s="24" t="n"/>
      <c r="C22" s="50" t="n"/>
      <c r="D22" s="30" t="n"/>
      <c r="E22" s="50" t="n"/>
      <c r="F22" s="30" t="n"/>
      <c r="G22" s="50" t="n"/>
      <c r="H22" s="48" t="n"/>
    </row>
    <row r="23">
      <c r="A23" s="22" t="n"/>
      <c r="B23" s="21" t="n"/>
      <c r="C23" s="49" t="n"/>
      <c r="D23" s="29" t="n"/>
      <c r="E23" s="49" t="n"/>
      <c r="F23" s="29" t="n"/>
      <c r="G23" s="49" t="n"/>
      <c r="H23" s="54" t="n"/>
    </row>
    <row r="24">
      <c r="A24" s="25" t="n"/>
      <c r="B24" s="24" t="n"/>
      <c r="C24" s="50" t="n"/>
      <c r="D24" s="30" t="n"/>
      <c r="E24" s="50" t="n"/>
      <c r="F24" s="30" t="n"/>
      <c r="G24" s="50" t="n"/>
      <c r="H24" s="48" t="n"/>
    </row>
    <row r="25">
      <c r="A25" s="22" t="n"/>
      <c r="B25" s="21" t="n"/>
      <c r="C25" s="49" t="n"/>
      <c r="D25" s="29" t="n"/>
      <c r="E25" s="49" t="n"/>
      <c r="F25" s="29" t="n"/>
      <c r="G25" s="49" t="n"/>
      <c r="H25" s="54" t="n"/>
    </row>
    <row r="26">
      <c r="A26" s="25" t="n"/>
      <c r="B26" s="24" t="n"/>
      <c r="C26" s="50" t="n"/>
      <c r="D26" s="30" t="n"/>
      <c r="E26" s="50" t="n"/>
      <c r="F26" s="30" t="n"/>
      <c r="G26" s="50" t="n"/>
      <c r="H26" s="48" t="n"/>
    </row>
    <row r="27">
      <c r="A27" s="22" t="n"/>
      <c r="B27" s="21" t="n"/>
      <c r="C27" s="49" t="n"/>
      <c r="D27" s="29" t="n"/>
      <c r="E27" s="49" t="n"/>
      <c r="F27" s="29" t="n"/>
      <c r="G27" s="49" t="n"/>
      <c r="H27" s="54" t="n"/>
    </row>
    <row r="28">
      <c r="A28" s="25" t="n"/>
      <c r="B28" s="24" t="n"/>
      <c r="C28" s="50" t="n"/>
      <c r="D28" s="30" t="n"/>
      <c r="E28" s="50" t="n"/>
      <c r="F28" s="30" t="n"/>
      <c r="G28" s="50" t="n"/>
      <c r="H28" s="48" t="n"/>
    </row>
    <row r="29">
      <c r="A29" s="22" t="n"/>
      <c r="B29" s="21" t="n"/>
      <c r="C29" s="49" t="n"/>
      <c r="D29" s="29" t="n"/>
      <c r="E29" s="49" t="n"/>
      <c r="F29" s="29" t="n"/>
      <c r="G29" s="49" t="n"/>
      <c r="H29" s="54" t="n"/>
    </row>
    <row r="30">
      <c r="A30" s="25" t="n"/>
      <c r="B30" s="24" t="n"/>
      <c r="C30" s="50" t="n"/>
      <c r="D30" s="30" t="n"/>
      <c r="E30" s="50" t="n"/>
      <c r="F30" s="30" t="n"/>
      <c r="G30" s="50" t="n"/>
      <c r="H30" s="48" t="n"/>
    </row>
    <row r="31">
      <c r="A31" s="22" t="n"/>
      <c r="B31" s="21" t="n"/>
      <c r="C31" s="49" t="n"/>
      <c r="D31" s="29" t="n"/>
      <c r="E31" s="49" t="n"/>
      <c r="F31" s="29" t="n"/>
      <c r="G31" s="49" t="n"/>
      <c r="H31" s="54" t="n"/>
    </row>
    <row r="32">
      <c r="A32" s="25" t="n"/>
      <c r="B32" s="24" t="n"/>
      <c r="C32" s="50" t="n"/>
      <c r="D32" s="30" t="n"/>
      <c r="E32" s="50" t="n"/>
      <c r="F32" s="30" t="n"/>
      <c r="G32" s="50" t="n"/>
      <c r="H32" s="48" t="n"/>
    </row>
    <row r="33">
      <c r="A33" s="22" t="n"/>
      <c r="B33" s="21" t="n"/>
      <c r="C33" s="49" t="n"/>
      <c r="D33" s="29" t="n"/>
      <c r="E33" s="49" t="n"/>
      <c r="F33" s="29" t="n"/>
      <c r="G33" s="49" t="n"/>
      <c r="H33" s="54" t="n"/>
    </row>
    <row r="34">
      <c r="A34" s="25" t="n"/>
      <c r="B34" s="24" t="n"/>
      <c r="C34" s="50" t="n"/>
      <c r="D34" s="30" t="n"/>
      <c r="E34" s="50" t="n"/>
      <c r="F34" s="30" t="n"/>
      <c r="G34" s="50" t="n"/>
      <c r="H34" s="48" t="n"/>
    </row>
    <row r="35">
      <c r="A35" s="7" t="inlineStr">
        <is>
          <t>TOTAL</t>
        </is>
      </c>
      <c r="D35" s="52">
        <f>SUM(D5:D34)</f>
        <v/>
      </c>
      <c r="E35" s="53">
        <f>SUM(E5:E34)</f>
        <v/>
      </c>
      <c r="G35" s="53">
        <f>SUM(G5:G34)</f>
        <v/>
      </c>
    </row>
  </sheetData>
  <mergeCells count="2">
    <mergeCell ref="A2:H2"/>
    <mergeCell ref="A1:H1"/>
  </mergeCells>
  <conditionalFormatting sqref="E5:E34">
    <cfRule type="dataBar" priority="1">
      <dataBar showValue="1">
        <cfvo type="num" val="0"/>
        <cfvo type="num" val="13000"/>
        <color rgb="001B4F48"/>
      </dataBar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5E6C1"/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2" customWidth="1" min="4" max="4"/>
    <col width="3" customWidth="1" min="5" max="5"/>
    <col width="22" customWidth="1" min="6" max="6"/>
    <col width="14" customWidth="1" min="7" max="7"/>
  </cols>
  <sheetData>
    <row r="1" ht="46" customHeight="1">
      <c r="A1" s="1" t="inlineStr">
        <is>
          <t xml:space="preserve">  💰  BUSINESS FINANCE CENTER</t>
        </is>
      </c>
    </row>
    <row r="2" ht="22" customHeight="1">
      <c r="A2" s="2" t="inlineStr">
        <is>
          <t xml:space="preserve">  Every income &amp; expense in one place — monthly, run-rate &amp; net profit, live.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Income Source</t>
        </is>
      </c>
      <c r="B4" s="7" t="inlineStr">
        <is>
          <t>This Month</t>
        </is>
      </c>
      <c r="C4" s="7" t="inlineStr">
        <is>
          <t>Annual (est.)</t>
        </is>
      </c>
      <c r="D4" s="7" t="inlineStr">
        <is>
          <t>% of Rev</t>
        </is>
      </c>
      <c r="F4" s="4" t="inlineStr">
        <is>
          <t>MONTHLY EXPENSES</t>
        </is>
      </c>
    </row>
    <row r="5">
      <c r="A5" s="35" t="inlineStr">
        <is>
          <t>AdSense</t>
        </is>
      </c>
      <c r="B5" s="55" t="n">
        <v>3850</v>
      </c>
      <c r="C5" s="56">
        <f>B5*12</f>
        <v/>
      </c>
      <c r="D5" s="36">
        <f>IFERROR(B5/$B$13,0)</f>
        <v/>
      </c>
    </row>
    <row r="6">
      <c r="A6" s="25" t="inlineStr">
        <is>
          <t>Sponsors</t>
        </is>
      </c>
      <c r="B6" s="57" t="n">
        <v>3200</v>
      </c>
      <c r="C6" s="50">
        <f>B6*12</f>
        <v/>
      </c>
      <c r="D6" s="28">
        <f>IFERROR(B6/$B$13,0)</f>
        <v/>
      </c>
      <c r="F6" s="35" t="inlineStr">
        <is>
          <t>Software</t>
        </is>
      </c>
      <c r="G6" s="55" t="n">
        <v>260</v>
      </c>
    </row>
    <row r="7">
      <c r="A7" s="35" t="inlineStr">
        <is>
          <t>Affiliate</t>
        </is>
      </c>
      <c r="B7" s="55" t="n">
        <v>980</v>
      </c>
      <c r="C7" s="56">
        <f>B7*12</f>
        <v/>
      </c>
      <c r="D7" s="36">
        <f>IFERROR(B7/$B$13,0)</f>
        <v/>
      </c>
      <c r="F7" s="25" t="inlineStr">
        <is>
          <t>Equipment</t>
        </is>
      </c>
      <c r="G7" s="57" t="n">
        <v>680</v>
      </c>
    </row>
    <row r="8">
      <c r="A8" s="25" t="inlineStr">
        <is>
          <t>Courses</t>
        </is>
      </c>
      <c r="B8" s="57" t="n">
        <v>1100</v>
      </c>
      <c r="C8" s="50">
        <f>B8*12</f>
        <v/>
      </c>
      <c r="D8" s="28">
        <f>IFERROR(B8/$B$13,0)</f>
        <v/>
      </c>
      <c r="F8" s="35" t="inlineStr">
        <is>
          <t>Contractors</t>
        </is>
      </c>
      <c r="G8" s="55" t="n">
        <v>1000</v>
      </c>
    </row>
    <row r="9">
      <c r="A9" s="35" t="inlineStr">
        <is>
          <t>Digital Products</t>
        </is>
      </c>
      <c r="B9" s="55" t="n">
        <v>410</v>
      </c>
      <c r="C9" s="56">
        <f>B9*12</f>
        <v/>
      </c>
      <c r="D9" s="36">
        <f>IFERROR(B9/$B$13,0)</f>
        <v/>
      </c>
      <c r="F9" s="25" t="inlineStr">
        <is>
          <t>Marketing</t>
        </is>
      </c>
      <c r="G9" s="57" t="n">
        <v>180</v>
      </c>
    </row>
    <row r="10">
      <c r="A10" s="25" t="inlineStr">
        <is>
          <t>Memberships</t>
        </is>
      </c>
      <c r="B10" s="57" t="n">
        <v>220</v>
      </c>
      <c r="C10" s="50">
        <f>B10*12</f>
        <v/>
      </c>
      <c r="D10" s="28">
        <f>IFERROR(B10/$B$13,0)</f>
        <v/>
      </c>
      <c r="F10" s="35" t="inlineStr">
        <is>
          <t>Office</t>
        </is>
      </c>
      <c r="G10" s="55" t="n">
        <v>90</v>
      </c>
    </row>
    <row r="11">
      <c r="A11" s="35" t="inlineStr">
        <is>
          <t>Consulting</t>
        </is>
      </c>
      <c r="B11" s="55" t="n">
        <v>0</v>
      </c>
      <c r="C11" s="56">
        <f>B11*12</f>
        <v/>
      </c>
      <c r="D11" s="36">
        <f>IFERROR(B11/$B$13,0)</f>
        <v/>
      </c>
      <c r="F11" s="25" t="inlineStr">
        <is>
          <t>Education</t>
        </is>
      </c>
      <c r="G11" s="57" t="n">
        <v>99</v>
      </c>
    </row>
    <row r="12">
      <c r="A12" s="25" t="inlineStr">
        <is>
          <t>Merchandise</t>
        </is>
      </c>
      <c r="B12" s="57" t="n">
        <v>80</v>
      </c>
      <c r="C12" s="50">
        <f>B12*12</f>
        <v/>
      </c>
      <c r="D12" s="28">
        <f>IFERROR(B12/$B$13,0)</f>
        <v/>
      </c>
      <c r="F12" s="35" t="inlineStr">
        <is>
          <t>Travel</t>
        </is>
      </c>
      <c r="G12" s="55" t="n">
        <v>0</v>
      </c>
    </row>
    <row r="13">
      <c r="A13" s="7" t="inlineStr">
        <is>
          <t>TOTAL REVENUE</t>
        </is>
      </c>
      <c r="B13" s="53">
        <f>SUM(B5:B12)</f>
        <v/>
      </c>
      <c r="C13" s="53">
        <f>SUM(C5:C12)</f>
        <v/>
      </c>
      <c r="F13" s="25" t="inlineStr">
        <is>
          <t>Miscellaneous</t>
        </is>
      </c>
      <c r="G13" s="57" t="n">
        <v>101</v>
      </c>
    </row>
    <row r="14">
      <c r="F14" s="7" t="inlineStr">
        <is>
          <t>TOTAL EXPENSES</t>
        </is>
      </c>
      <c r="G14" s="53">
        <f>SUM(G6:G13)</f>
        <v/>
      </c>
    </row>
    <row r="16">
      <c r="A16" s="4" t="inlineStr">
        <is>
          <t>THE BOTTOM LINE</t>
        </is>
      </c>
    </row>
    <row r="17">
      <c r="A17" s="19" t="inlineStr">
        <is>
          <t>Revenue (month)</t>
        </is>
      </c>
      <c r="B17" s="58">
        <f>RevenueTotal</f>
        <v/>
      </c>
    </row>
    <row r="18">
      <c r="A18" s="19" t="inlineStr">
        <is>
          <t>Annual run-rate</t>
        </is>
      </c>
      <c r="B18" s="58">
        <f>RevenueTotal*12</f>
        <v/>
      </c>
    </row>
    <row r="19">
      <c r="A19" s="19" t="inlineStr">
        <is>
          <t>Expenses (month)</t>
        </is>
      </c>
      <c r="B19" s="58">
        <f>ExpenseTotal</f>
        <v/>
      </c>
    </row>
    <row r="20">
      <c r="A20" s="19" t="inlineStr">
        <is>
          <t>Net profit</t>
        </is>
      </c>
      <c r="B20" s="59">
        <f>RevenueTotal-ExpenseTotal</f>
        <v/>
      </c>
    </row>
    <row r="21">
      <c r="A21" s="19" t="inlineStr">
        <is>
          <t>Profit margin</t>
        </is>
      </c>
      <c r="B21" s="60">
        <f>IFERROR((RevenueTotal-ExpenseTotal)/RevenueTotal,0)</f>
        <v/>
      </c>
    </row>
  </sheetData>
  <mergeCells count="4">
    <mergeCell ref="F4:G4"/>
    <mergeCell ref="A2:G2"/>
    <mergeCell ref="A1:G1"/>
    <mergeCell ref="A16:D16"/>
  </mergeCells>
  <conditionalFormatting sqref="D5:D12">
    <cfRule type="dataBar" priority="1">
      <dataBar showValue="1">
        <cfvo type="num" val="0"/>
        <cfvo type="num" val="0.45"/>
        <color rgb="001B4F48"/>
      </dataBar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5D3BA"/>
    <outlinePr summaryBelow="1" summaryRight="1"/>
    <pageSetUpPr/>
  </sheetPr>
  <dimension ref="A1:I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12" customWidth="1" min="4" max="4"/>
    <col width="11" customWidth="1" min="5" max="5"/>
    <col width="14" customWidth="1" min="6" max="6"/>
    <col width="13" customWidth="1" min="7" max="7"/>
    <col width="13" customWidth="1" min="8" max="8"/>
    <col width="16" customWidth="1" min="9" max="9"/>
  </cols>
  <sheetData>
    <row r="1" ht="46" customHeight="1">
      <c r="A1" s="1" t="inlineStr">
        <is>
          <t xml:space="preserve">  🎥  EQUIPMENT MANAGER</t>
        </is>
      </c>
    </row>
    <row r="2" ht="22" customHeight="1">
      <c r="A2" s="2" t="inlineStr">
        <is>
          <t xml:space="preserve">  Gear you rely on — condition, warranty &amp; automatic replacement reminders.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Item</t>
        </is>
      </c>
      <c r="B4" s="7" t="inlineStr">
        <is>
          <t>Type</t>
        </is>
      </c>
      <c r="C4" s="7" t="inlineStr">
        <is>
          <t>Detail</t>
        </is>
      </c>
      <c r="D4" s="7" t="inlineStr">
        <is>
          <t>Purchased</t>
        </is>
      </c>
      <c r="E4" s="7" t="inlineStr">
        <is>
          <t>Cost</t>
        </is>
      </c>
      <c r="F4" s="7" t="inlineStr">
        <is>
          <t>Warranty</t>
        </is>
      </c>
      <c r="G4" s="7" t="inlineStr">
        <is>
          <t>Replace By</t>
        </is>
      </c>
      <c r="H4" s="7" t="inlineStr">
        <is>
          <t>Status</t>
        </is>
      </c>
      <c r="I4" s="7" t="inlineStr">
        <is>
          <t>Notes</t>
        </is>
      </c>
    </row>
    <row r="5">
      <c r="A5" s="22" t="inlineStr">
        <is>
          <t>Main Camera</t>
        </is>
      </c>
      <c r="B5" s="23" t="inlineStr">
        <is>
          <t>Camera</t>
        </is>
      </c>
      <c r="C5" s="22" t="inlineStr">
        <is>
          <t>Sony ZV-E1</t>
        </is>
      </c>
      <c r="D5" s="21" t="n">
        <v>45808</v>
      </c>
      <c r="E5" s="49" t="n">
        <v>2200</v>
      </c>
      <c r="F5" s="23" t="inlineStr">
        <is>
          <t>Yes</t>
        </is>
      </c>
      <c r="G5" s="21" t="n">
        <v>46608</v>
      </c>
      <c r="H5" s="23">
        <f>IF(G5="","",IF(G5&lt;=TODAY()+45,"DUE SOON","OK"))</f>
        <v/>
      </c>
      <c r="I5" s="22" t="inlineStr">
        <is>
          <t>Primary</t>
        </is>
      </c>
    </row>
    <row r="6">
      <c r="A6" s="25" t="inlineStr">
        <is>
          <t>Backup Camera</t>
        </is>
      </c>
      <c r="B6" s="26" t="inlineStr">
        <is>
          <t>Camera</t>
        </is>
      </c>
      <c r="C6" s="25" t="inlineStr">
        <is>
          <t>Sony a6700</t>
        </is>
      </c>
      <c r="D6" s="24" t="n">
        <v>45988</v>
      </c>
      <c r="E6" s="50" t="n">
        <v>1400</v>
      </c>
      <c r="F6" s="26" t="inlineStr">
        <is>
          <t>Yes</t>
        </is>
      </c>
      <c r="G6" s="24" t="n">
        <v>46708</v>
      </c>
      <c r="H6" s="26">
        <f>IF(G6="","",IF(G6&lt;=TODAY()+45,"DUE SOON","OK"))</f>
        <v/>
      </c>
      <c r="I6" s="25" t="inlineStr">
        <is>
          <t>B-cam + BTS</t>
        </is>
      </c>
    </row>
    <row r="7">
      <c r="A7" s="22" t="inlineStr">
        <is>
          <t>Prime Lens</t>
        </is>
      </c>
      <c r="B7" s="23" t="inlineStr">
        <is>
          <t>Lens</t>
        </is>
      </c>
      <c r="C7" s="22" t="inlineStr">
        <is>
          <t>Sigma 24mm f1.4</t>
        </is>
      </c>
      <c r="D7" s="21" t="n">
        <v>46178</v>
      </c>
      <c r="E7" s="49" t="n">
        <v>680</v>
      </c>
      <c r="F7" s="23" t="inlineStr">
        <is>
          <t>Yes</t>
        </is>
      </c>
      <c r="G7" s="21" t="n">
        <v>47108</v>
      </c>
      <c r="H7" s="23">
        <f>IF(G7="","",IF(G7&lt;=TODAY()+45,"DUE SOON","OK"))</f>
        <v/>
      </c>
      <c r="I7" s="22" t="inlineStr">
        <is>
          <t>New pickup</t>
        </is>
      </c>
    </row>
    <row r="8">
      <c r="A8" s="25" t="inlineStr">
        <is>
          <t>Key Light</t>
        </is>
      </c>
      <c r="B8" s="26" t="inlineStr">
        <is>
          <t>Lighting</t>
        </is>
      </c>
      <c r="C8" s="25" t="inlineStr">
        <is>
          <t>Aputure 120D</t>
        </is>
      </c>
      <c r="D8" s="24" t="n">
        <v>45908</v>
      </c>
      <c r="E8" s="50" t="n">
        <v>400</v>
      </c>
      <c r="F8" s="26" t="inlineStr">
        <is>
          <t>No</t>
        </is>
      </c>
      <c r="G8" s="24" t="n">
        <v>46458</v>
      </c>
      <c r="H8" s="26">
        <f>IF(G8="","",IF(G8&lt;=TODAY()+45,"DUE SOON","OK"))</f>
        <v/>
      </c>
      <c r="I8" s="25" t="inlineStr">
        <is>
          <t>Workhorse</t>
        </is>
      </c>
    </row>
    <row r="9">
      <c r="A9" s="22" t="inlineStr">
        <is>
          <t>Shotgun Mic</t>
        </is>
      </c>
      <c r="B9" s="23" t="inlineStr">
        <is>
          <t>Microphone</t>
        </is>
      </c>
      <c r="C9" s="22" t="inlineStr">
        <is>
          <t>Rode NTG5</t>
        </is>
      </c>
      <c r="D9" s="21" t="n">
        <v>46008</v>
      </c>
      <c r="E9" s="49" t="n">
        <v>500</v>
      </c>
      <c r="F9" s="23" t="inlineStr">
        <is>
          <t>No</t>
        </is>
      </c>
      <c r="G9" s="21" t="n">
        <v>46248</v>
      </c>
      <c r="H9" s="23">
        <f>IF(G9="","",IF(G9&lt;=TODAY()+45,"DUE SOON","OK"))</f>
        <v/>
      </c>
      <c r="I9" s="22" t="inlineStr">
        <is>
          <t>Replace foam</t>
        </is>
      </c>
    </row>
    <row r="10">
      <c r="A10" s="25" t="inlineStr">
        <is>
          <t>Editing PC</t>
        </is>
      </c>
      <c r="B10" s="26" t="inlineStr">
        <is>
          <t>Computer</t>
        </is>
      </c>
      <c r="C10" s="25" t="inlineStr">
        <is>
          <t>M3 Max</t>
        </is>
      </c>
      <c r="D10" s="24" t="n">
        <v>45708</v>
      </c>
      <c r="E10" s="50" t="n">
        <v>3200</v>
      </c>
      <c r="F10" s="26" t="inlineStr">
        <is>
          <t>Yes</t>
        </is>
      </c>
      <c r="G10" s="24" t="n">
        <v>46908</v>
      </c>
      <c r="H10" s="26">
        <f>IF(G10="","",IF(G10&lt;=TODAY()+45,"DUE SOON","OK"))</f>
        <v/>
      </c>
      <c r="I10" s="25" t="inlineStr">
        <is>
          <t>Fast exports</t>
        </is>
      </c>
    </row>
    <row r="11">
      <c r="A11" s="22" t="inlineStr">
        <is>
          <t>SSD Storage</t>
        </is>
      </c>
      <c r="B11" s="23" t="inlineStr">
        <is>
          <t>Storage</t>
        </is>
      </c>
      <c r="C11" s="22" t="inlineStr">
        <is>
          <t>8TB RAID</t>
        </is>
      </c>
      <c r="D11" s="21" t="n">
        <v>46058</v>
      </c>
      <c r="E11" s="49" t="n">
        <v>600</v>
      </c>
      <c r="F11" s="23" t="inlineStr">
        <is>
          <t>No</t>
        </is>
      </c>
      <c r="G11" s="21" t="n">
        <v>46243</v>
      </c>
      <c r="H11" s="23">
        <f>IF(G11="","",IF(G11&lt;=TODAY()+45,"DUE SOON","OK"))</f>
        <v/>
      </c>
      <c r="I11" s="22" t="inlineStr">
        <is>
          <t>Filling up</t>
        </is>
      </c>
    </row>
    <row r="12">
      <c r="A12" s="25" t="inlineStr">
        <is>
          <t>Tripod</t>
        </is>
      </c>
      <c r="B12" s="26" t="inlineStr">
        <is>
          <t>Accessory</t>
        </is>
      </c>
      <c r="C12" s="25" t="inlineStr">
        <is>
          <t>Manfrotto</t>
        </is>
      </c>
      <c r="D12" s="24" t="n">
        <v>45608</v>
      </c>
      <c r="E12" s="50" t="n">
        <v>220</v>
      </c>
      <c r="F12" s="26" t="inlineStr">
        <is>
          <t>No</t>
        </is>
      </c>
      <c r="G12" s="24" t="n">
        <v>46408</v>
      </c>
      <c r="H12" s="26">
        <f>IF(G12="","",IF(G12&lt;=TODAY()+45,"DUE SOON","OK"))</f>
        <v/>
      </c>
      <c r="I12" s="25" t="inlineStr">
        <is>
          <t>Reliable</t>
        </is>
      </c>
    </row>
    <row r="13">
      <c r="A13" s="22" t="n"/>
      <c r="B13" s="23" t="n"/>
      <c r="C13" s="22" t="n"/>
      <c r="D13" s="21" t="n"/>
      <c r="E13" s="49" t="n"/>
      <c r="F13" s="23" t="n"/>
      <c r="G13" s="21" t="n"/>
      <c r="H13" s="23" t="n"/>
      <c r="I13" s="22" t="n"/>
    </row>
    <row r="14">
      <c r="A14" s="25" t="n"/>
      <c r="B14" s="26" t="n"/>
      <c r="C14" s="25" t="n"/>
      <c r="D14" s="24" t="n"/>
      <c r="E14" s="50" t="n"/>
      <c r="F14" s="26" t="n"/>
      <c r="G14" s="24" t="n"/>
      <c r="H14" s="26" t="n"/>
      <c r="I14" s="25" t="n"/>
    </row>
    <row r="15">
      <c r="A15" s="22" t="n"/>
      <c r="B15" s="23" t="n"/>
      <c r="C15" s="22" t="n"/>
      <c r="D15" s="21" t="n"/>
      <c r="E15" s="49" t="n"/>
      <c r="F15" s="23" t="n"/>
      <c r="G15" s="21" t="n"/>
      <c r="H15" s="23" t="n"/>
      <c r="I15" s="22" t="n"/>
    </row>
    <row r="16">
      <c r="A16" s="25" t="n"/>
      <c r="B16" s="26" t="n"/>
      <c r="C16" s="25" t="n"/>
      <c r="D16" s="24" t="n"/>
      <c r="E16" s="50" t="n"/>
      <c r="F16" s="26" t="n"/>
      <c r="G16" s="24" t="n"/>
      <c r="H16" s="26" t="n"/>
      <c r="I16" s="25" t="n"/>
    </row>
    <row r="17">
      <c r="A17" s="22" t="n"/>
      <c r="B17" s="23" t="n"/>
      <c r="C17" s="22" t="n"/>
      <c r="D17" s="21" t="n"/>
      <c r="E17" s="49" t="n"/>
      <c r="F17" s="23" t="n"/>
      <c r="G17" s="21" t="n"/>
      <c r="H17" s="23" t="n"/>
      <c r="I17" s="22" t="n"/>
    </row>
    <row r="18">
      <c r="A18" s="25" t="n"/>
      <c r="B18" s="26" t="n"/>
      <c r="C18" s="25" t="n"/>
      <c r="D18" s="24" t="n"/>
      <c r="E18" s="50" t="n"/>
      <c r="F18" s="26" t="n"/>
      <c r="G18" s="24" t="n"/>
      <c r="H18" s="26" t="n"/>
      <c r="I18" s="25" t="n"/>
    </row>
    <row r="19">
      <c r="A19" s="22" t="n"/>
      <c r="B19" s="23" t="n"/>
      <c r="C19" s="22" t="n"/>
      <c r="D19" s="21" t="n"/>
      <c r="E19" s="49" t="n"/>
      <c r="F19" s="23" t="n"/>
      <c r="G19" s="21" t="n"/>
      <c r="H19" s="23" t="n"/>
      <c r="I19" s="22" t="n"/>
    </row>
    <row r="20">
      <c r="A20" s="25" t="n"/>
      <c r="B20" s="26" t="n"/>
      <c r="C20" s="25" t="n"/>
      <c r="D20" s="24" t="n"/>
      <c r="E20" s="50" t="n"/>
      <c r="F20" s="26" t="n"/>
      <c r="G20" s="24" t="n"/>
      <c r="H20" s="26" t="n"/>
      <c r="I20" s="25" t="n"/>
    </row>
    <row r="21">
      <c r="A21" s="22" t="n"/>
      <c r="B21" s="23" t="n"/>
      <c r="C21" s="22" t="n"/>
      <c r="D21" s="21" t="n"/>
      <c r="E21" s="49" t="n"/>
      <c r="F21" s="23" t="n"/>
      <c r="G21" s="21" t="n"/>
      <c r="H21" s="23" t="n"/>
      <c r="I21" s="22" t="n"/>
    </row>
    <row r="22">
      <c r="A22" s="25" t="n"/>
      <c r="B22" s="26" t="n"/>
      <c r="C22" s="25" t="n"/>
      <c r="D22" s="24" t="n"/>
      <c r="E22" s="50" t="n"/>
      <c r="F22" s="26" t="n"/>
      <c r="G22" s="24" t="n"/>
      <c r="H22" s="26" t="n"/>
      <c r="I22" s="25" t="n"/>
    </row>
    <row r="23">
      <c r="A23" s="22" t="n"/>
      <c r="B23" s="23" t="n"/>
      <c r="C23" s="22" t="n"/>
      <c r="D23" s="21" t="n"/>
      <c r="E23" s="49" t="n"/>
      <c r="F23" s="23" t="n"/>
      <c r="G23" s="21" t="n"/>
      <c r="H23" s="23" t="n"/>
      <c r="I23" s="22" t="n"/>
    </row>
    <row r="24">
      <c r="A24" s="25" t="n"/>
      <c r="B24" s="26" t="n"/>
      <c r="C24" s="25" t="n"/>
      <c r="D24" s="24" t="n"/>
      <c r="E24" s="50" t="n"/>
      <c r="F24" s="26" t="n"/>
      <c r="G24" s="24" t="n"/>
      <c r="H24" s="26" t="n"/>
      <c r="I24" s="25" t="n"/>
    </row>
    <row r="25">
      <c r="A25" s="22" t="n"/>
      <c r="B25" s="23" t="n"/>
      <c r="C25" s="22" t="n"/>
      <c r="D25" s="21" t="n"/>
      <c r="E25" s="49" t="n"/>
      <c r="F25" s="23" t="n"/>
      <c r="G25" s="21" t="n"/>
      <c r="H25" s="23" t="n"/>
      <c r="I25" s="22" t="n"/>
    </row>
    <row r="26">
      <c r="A26" s="25" t="n"/>
      <c r="B26" s="26" t="n"/>
      <c r="C26" s="25" t="n"/>
      <c r="D26" s="24" t="n"/>
      <c r="E26" s="50" t="n"/>
      <c r="F26" s="26" t="n"/>
      <c r="G26" s="24" t="n"/>
      <c r="H26" s="26" t="n"/>
      <c r="I26" s="25" t="n"/>
    </row>
    <row r="27">
      <c r="A27" s="22" t="n"/>
      <c r="B27" s="23" t="n"/>
      <c r="C27" s="22" t="n"/>
      <c r="D27" s="21" t="n"/>
      <c r="E27" s="49" t="n"/>
      <c r="F27" s="23" t="n"/>
      <c r="G27" s="21" t="n"/>
      <c r="H27" s="23" t="n"/>
      <c r="I27" s="22" t="n"/>
    </row>
    <row r="28">
      <c r="A28" s="25" t="n"/>
      <c r="B28" s="26" t="n"/>
      <c r="C28" s="25" t="n"/>
      <c r="D28" s="24" t="n"/>
      <c r="E28" s="50" t="n"/>
      <c r="F28" s="26" t="n"/>
      <c r="G28" s="24" t="n"/>
      <c r="H28" s="26" t="n"/>
      <c r="I28" s="25" t="n"/>
    </row>
    <row r="29">
      <c r="A29" s="22" t="n"/>
      <c r="B29" s="23" t="n"/>
      <c r="C29" s="22" t="n"/>
      <c r="D29" s="21" t="n"/>
      <c r="E29" s="49" t="n"/>
      <c r="F29" s="23" t="n"/>
      <c r="G29" s="21" t="n"/>
      <c r="H29" s="23" t="n"/>
      <c r="I29" s="22" t="n"/>
    </row>
    <row r="30">
      <c r="A30" s="25" t="n"/>
      <c r="B30" s="26" t="n"/>
      <c r="C30" s="25" t="n"/>
      <c r="D30" s="24" t="n"/>
      <c r="E30" s="50" t="n"/>
      <c r="F30" s="26" t="n"/>
      <c r="G30" s="24" t="n"/>
      <c r="H30" s="26" t="n"/>
      <c r="I30" s="25" t="n"/>
    </row>
    <row r="31">
      <c r="A31" s="22" t="n"/>
      <c r="B31" s="23" t="n"/>
      <c r="C31" s="22" t="n"/>
      <c r="D31" s="21" t="n"/>
      <c r="E31" s="49" t="n"/>
      <c r="F31" s="23" t="n"/>
      <c r="G31" s="21" t="n"/>
      <c r="H31" s="23" t="n"/>
      <c r="I31" s="22" t="n"/>
    </row>
    <row r="32">
      <c r="A32" s="25" t="n"/>
      <c r="B32" s="26" t="n"/>
      <c r="C32" s="25" t="n"/>
      <c r="D32" s="24" t="n"/>
      <c r="E32" s="50" t="n"/>
      <c r="F32" s="26" t="n"/>
      <c r="G32" s="24" t="n"/>
      <c r="H32" s="26" t="n"/>
      <c r="I32" s="25" t="n"/>
    </row>
    <row r="33">
      <c r="A33" s="22" t="n"/>
      <c r="B33" s="23" t="n"/>
      <c r="C33" s="22" t="n"/>
      <c r="D33" s="21" t="n"/>
      <c r="E33" s="49" t="n"/>
      <c r="F33" s="23" t="n"/>
      <c r="G33" s="21" t="n"/>
      <c r="H33" s="23" t="n"/>
      <c r="I33" s="22" t="n"/>
    </row>
    <row r="34">
      <c r="A34" s="25" t="n"/>
      <c r="B34" s="26" t="n"/>
      <c r="C34" s="25" t="n"/>
      <c r="D34" s="24" t="n"/>
      <c r="E34" s="50" t="n"/>
      <c r="F34" s="26" t="n"/>
      <c r="G34" s="24" t="n"/>
      <c r="H34" s="26" t="n"/>
      <c r="I34" s="25" t="n"/>
    </row>
    <row r="35">
      <c r="A35" s="7" t="inlineStr">
        <is>
          <t>TOTAL INVESTED</t>
        </is>
      </c>
      <c r="E35" s="53">
        <f>SUM(E5:E34)</f>
        <v/>
      </c>
    </row>
  </sheetData>
  <mergeCells count="2">
    <mergeCell ref="A1:I1"/>
    <mergeCell ref="A2:I2"/>
  </mergeCells>
  <conditionalFormatting sqref="H5:H34">
    <cfRule type="cellIs" priority="1" operator="equal" dxfId="4">
      <formula>"DUE SOON"</formula>
    </cfRule>
    <cfRule type="cellIs" priority="2" operator="equal" dxfId="0">
      <formula>"OK"</formula>
    </cfRule>
  </conditionalFormatting>
  <dataValidations count="1">
    <dataValidation sqref="F5:F3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B4F48"/>
    <outlinePr summaryBelow="1" summaryRight="1"/>
    <pageSetUpPr/>
  </sheetPr>
  <dimension ref="A1:L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46" customHeight="1">
      <c r="A1" s="1" t="inlineStr">
        <is>
          <t xml:space="preserve">  ♻  CONTENT REPURPOSING CENTER</t>
        </is>
      </c>
    </row>
    <row r="2" ht="22" customHeight="1">
      <c r="A2" s="2" t="inlineStr">
        <is>
          <t xml:space="preserve">  One video → ten platforms — turn every upload into a week of content.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30" customHeight="1">
      <c r="A4" s="7" t="inlineStr">
        <is>
          <t>Source Video</t>
        </is>
      </c>
      <c r="B4" s="7" t="inlineStr">
        <is>
          <t>Shorts</t>
        </is>
      </c>
      <c r="C4" s="7" t="inlineStr">
        <is>
          <t>Reels</t>
        </is>
      </c>
      <c r="D4" s="7" t="inlineStr">
        <is>
          <t>TikTok</t>
        </is>
      </c>
      <c r="E4" s="7" t="inlineStr">
        <is>
          <t>Pins</t>
        </is>
      </c>
      <c r="F4" s="7" t="inlineStr">
        <is>
          <t>Newsletter</t>
        </is>
      </c>
      <c r="G4" s="7" t="inlineStr">
        <is>
          <t>Blog</t>
        </is>
      </c>
      <c r="H4" s="7" t="inlineStr">
        <is>
          <t>LinkedIn</t>
        </is>
      </c>
      <c r="I4" s="7" t="inlineStr">
        <is>
          <t>X</t>
        </is>
      </c>
      <c r="J4" s="7" t="inlineStr">
        <is>
          <t>Podcast</t>
        </is>
      </c>
      <c r="K4" s="7" t="inlineStr">
        <is>
          <t>Threads</t>
        </is>
      </c>
      <c r="L4" s="7" t="inlineStr">
        <is>
          <t>Done</t>
        </is>
      </c>
    </row>
    <row r="5">
      <c r="A5" s="35" t="inlineStr">
        <is>
          <t>I quit my job. Here's the math</t>
        </is>
      </c>
      <c r="B5" s="61" t="inlineStr">
        <is>
          <t>✓</t>
        </is>
      </c>
      <c r="C5" s="61" t="inlineStr">
        <is>
          <t>✓</t>
        </is>
      </c>
      <c r="D5" s="61" t="inlineStr">
        <is>
          <t>✓</t>
        </is>
      </c>
      <c r="E5" s="62" t="inlineStr">
        <is>
          <t>○</t>
        </is>
      </c>
      <c r="F5" s="61" t="inlineStr">
        <is>
          <t>✓</t>
        </is>
      </c>
      <c r="G5" s="61" t="inlineStr">
        <is>
          <t>✓</t>
        </is>
      </c>
      <c r="H5" s="61" t="inlineStr">
        <is>
          <t>✓</t>
        </is>
      </c>
      <c r="I5" s="61" t="inlineStr">
        <is>
          <t>✓</t>
        </is>
      </c>
      <c r="J5" s="61" t="inlineStr">
        <is>
          <t>✓</t>
        </is>
      </c>
      <c r="K5" s="61" t="inlineStr">
        <is>
          <t>✓</t>
        </is>
      </c>
      <c r="L5" s="63">
        <f>9/10</f>
        <v/>
      </c>
    </row>
    <row r="6">
      <c r="A6" s="35" t="inlineStr">
        <is>
          <t>5 Systems That 10x Output</t>
        </is>
      </c>
      <c r="B6" s="61" t="inlineStr">
        <is>
          <t>✓</t>
        </is>
      </c>
      <c r="C6" s="61" t="inlineStr">
        <is>
          <t>✓</t>
        </is>
      </c>
      <c r="D6" s="61" t="inlineStr">
        <is>
          <t>✓</t>
        </is>
      </c>
      <c r="E6" s="61" t="inlineStr">
        <is>
          <t>✓</t>
        </is>
      </c>
      <c r="F6" s="61" t="inlineStr">
        <is>
          <t>✓</t>
        </is>
      </c>
      <c r="G6" s="61" t="inlineStr">
        <is>
          <t>✓</t>
        </is>
      </c>
      <c r="H6" s="61" t="inlineStr">
        <is>
          <t>✓</t>
        </is>
      </c>
      <c r="I6" s="61" t="inlineStr">
        <is>
          <t>✓</t>
        </is>
      </c>
      <c r="J6" s="62" t="inlineStr">
        <is>
          <t>○</t>
        </is>
      </c>
      <c r="K6" s="62" t="inlineStr">
        <is>
          <t>○</t>
        </is>
      </c>
      <c r="L6" s="63">
        <f>8/10</f>
        <v/>
      </c>
    </row>
    <row r="7">
      <c r="A7" s="35" t="inlineStr">
        <is>
          <t>The $0 editing workflow</t>
        </is>
      </c>
      <c r="B7" s="61" t="inlineStr">
        <is>
          <t>✓</t>
        </is>
      </c>
      <c r="C7" s="61" t="inlineStr">
        <is>
          <t>✓</t>
        </is>
      </c>
      <c r="D7" s="61" t="inlineStr">
        <is>
          <t>✓</t>
        </is>
      </c>
      <c r="E7" s="62" t="inlineStr">
        <is>
          <t>○</t>
        </is>
      </c>
      <c r="F7" s="62" t="inlineStr">
        <is>
          <t>○</t>
        </is>
      </c>
      <c r="G7" s="62" t="inlineStr">
        <is>
          <t>○</t>
        </is>
      </c>
      <c r="H7" s="61" t="inlineStr">
        <is>
          <t>✓</t>
        </is>
      </c>
      <c r="I7" s="61" t="inlineStr">
        <is>
          <t>✓</t>
        </is>
      </c>
      <c r="J7" s="62" t="inlineStr">
        <is>
          <t>○</t>
        </is>
      </c>
      <c r="K7" s="61" t="inlineStr">
        <is>
          <t>✓</t>
        </is>
      </c>
      <c r="L7" s="63">
        <f>6/10</f>
        <v/>
      </c>
    </row>
    <row r="8">
      <c r="A8" s="35" t="inlineStr">
        <is>
          <t>How I plan a month</t>
        </is>
      </c>
      <c r="B8" s="61" t="inlineStr">
        <is>
          <t>✓</t>
        </is>
      </c>
      <c r="C8" s="62" t="inlineStr">
        <is>
          <t>○</t>
        </is>
      </c>
      <c r="D8" s="61" t="inlineStr">
        <is>
          <t>✓</t>
        </is>
      </c>
      <c r="E8" s="61" t="inlineStr">
        <is>
          <t>✓</t>
        </is>
      </c>
      <c r="F8" s="61" t="inlineStr">
        <is>
          <t>✓</t>
        </is>
      </c>
      <c r="G8" s="61" t="inlineStr">
        <is>
          <t>✓</t>
        </is>
      </c>
      <c r="H8" s="62" t="inlineStr">
        <is>
          <t>○</t>
        </is>
      </c>
      <c r="I8" s="62" t="inlineStr">
        <is>
          <t>○</t>
        </is>
      </c>
      <c r="J8" s="61" t="inlineStr">
        <is>
          <t>✓</t>
        </is>
      </c>
      <c r="K8" s="62" t="inlineStr">
        <is>
          <t>○</t>
        </is>
      </c>
      <c r="L8" s="63">
        <f>6/10</f>
        <v/>
      </c>
    </row>
    <row r="9">
      <c r="A9" s="35" t="inlineStr">
        <is>
          <t>My full content OS (2024)</t>
        </is>
      </c>
      <c r="B9" s="62" t="inlineStr">
        <is>
          <t>○</t>
        </is>
      </c>
      <c r="C9" s="62" t="inlineStr">
        <is>
          <t>○</t>
        </is>
      </c>
      <c r="D9" s="62" t="inlineStr">
        <is>
          <t>○</t>
        </is>
      </c>
      <c r="E9" s="62" t="inlineStr">
        <is>
          <t>○</t>
        </is>
      </c>
      <c r="F9" s="62" t="inlineStr">
        <is>
          <t>○</t>
        </is>
      </c>
      <c r="G9" s="62" t="inlineStr">
        <is>
          <t>○</t>
        </is>
      </c>
      <c r="H9" s="62" t="inlineStr">
        <is>
          <t>○</t>
        </is>
      </c>
      <c r="I9" s="62" t="inlineStr">
        <is>
          <t>○</t>
        </is>
      </c>
      <c r="J9" s="62" t="inlineStr">
        <is>
          <t>○</t>
        </is>
      </c>
      <c r="K9" s="62" t="inlineStr">
        <is>
          <t>○</t>
        </is>
      </c>
      <c r="L9" s="63">
        <f>0/10</f>
        <v/>
      </c>
    </row>
  </sheetData>
  <mergeCells count="2">
    <mergeCell ref="A2:L2"/>
    <mergeCell ref="A1:L1"/>
  </mergeCells>
  <conditionalFormatting sqref="L5:L9">
    <cfRule type="dataBar" priority="1">
      <dataBar showValue="1">
        <cfvo type="num" val="0"/>
        <cfvo type="num" val="1"/>
        <color rgb="001B4F48"/>
      </dataBar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937356"/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0" customWidth="1" min="3" max="3"/>
    <col width="6" customWidth="1" min="4" max="4"/>
    <col width="24" customWidth="1" min="5" max="5"/>
    <col width="24" customWidth="1" min="6" max="6"/>
    <col width="2" customWidth="1" min="7" max="7"/>
  </cols>
  <sheetData>
    <row r="1" ht="46" customHeight="1">
      <c r="A1" s="1" t="inlineStr">
        <is>
          <t xml:space="preserve">  🎨  BRAND KIT</t>
        </is>
      </c>
    </row>
    <row r="2" ht="22" customHeight="1">
      <c r="A2" s="2" t="inlineStr">
        <is>
          <t xml:space="preserve">  One source of truth for your channel's look, sound &amp; voice.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VISUAL</t>
        </is>
      </c>
    </row>
    <row r="6" ht="24" customHeight="1">
      <c r="B6" s="19" t="inlineStr">
        <is>
          <t>Logo</t>
        </is>
      </c>
      <c r="C6" s="20" t="inlineStr">
        <is>
          <t>Brand/Logos/vale.svg</t>
        </is>
      </c>
      <c r="E6" s="19" t="inlineStr">
        <is>
          <t>Fonts</t>
        </is>
      </c>
      <c r="F6" s="20" t="inlineStr">
        <is>
          <t>Sora + Inter</t>
        </is>
      </c>
    </row>
    <row r="7" ht="24" customHeight="1">
      <c r="B7" s="19" t="inlineStr">
        <is>
          <t>Thumbnail Style</t>
        </is>
      </c>
      <c r="C7" s="20" t="inlineStr">
        <is>
          <t>Bold text · face · 1 idea</t>
        </is>
      </c>
      <c r="E7" s="19" t="inlineStr">
        <is>
          <t>Intro</t>
        </is>
      </c>
      <c r="F7" s="20" t="inlineStr">
        <is>
          <t>3s animated wordmark</t>
        </is>
      </c>
    </row>
    <row r="8" ht="24" customHeight="1">
      <c r="B8" s="19" t="inlineStr">
        <is>
          <t>Outro</t>
        </is>
      </c>
      <c r="C8" s="20" t="inlineStr">
        <is>
          <t>20s end screen template</t>
        </is>
      </c>
      <c r="E8" s="19" t="inlineStr">
        <is>
          <t>LUTs</t>
        </is>
      </c>
      <c r="F8" s="20" t="inlineStr">
        <is>
          <t>Vale-Warm.cube</t>
        </is>
      </c>
    </row>
    <row r="10" ht="22" customHeight="1">
      <c r="B10" s="4" t="inlineStr">
        <is>
          <t>SOUND &amp; VOICE</t>
        </is>
      </c>
    </row>
    <row r="11" ht="24" customHeight="1">
      <c r="B11" s="19" t="inlineStr">
        <is>
          <t>Intro Music</t>
        </is>
      </c>
      <c r="C11" s="20" t="inlineStr">
        <is>
          <t>Epidemic — 'Momentum'</t>
        </is>
      </c>
      <c r="E11" s="19" t="inlineStr">
        <is>
          <t>Background Music</t>
        </is>
      </c>
      <c r="F11" s="20" t="inlineStr">
        <is>
          <t>Lo-fi playlist</t>
        </is>
      </c>
    </row>
    <row r="12" ht="24" customHeight="1">
      <c r="B12" s="19" t="inlineStr">
        <is>
          <t>Brand Voice</t>
        </is>
      </c>
      <c r="C12" s="20" t="inlineStr">
        <is>
          <t>Warm, sharp, encouraging</t>
        </is>
      </c>
      <c r="E12" s="19" t="inlineStr">
        <is>
          <t>Tagline</t>
        </is>
      </c>
      <c r="F12" s="20" t="inlineStr">
        <is>
          <t>Turn creators into CEOs</t>
        </is>
      </c>
    </row>
    <row r="13" ht="24" customHeight="1">
      <c r="B13" s="19" t="inlineStr">
        <is>
          <t>Animations</t>
        </is>
      </c>
      <c r="C13" s="20" t="inlineStr">
        <is>
          <t>Lower-thirds pack v3</t>
        </is>
      </c>
      <c r="E13" s="19" t="inlineStr">
        <is>
          <t>Sound Effects</t>
        </is>
      </c>
      <c r="F13" s="20" t="inlineStr">
        <is>
          <t>SFX/Vale-pack</t>
        </is>
      </c>
    </row>
    <row r="15" ht="22" customHeight="1">
      <c r="B15" s="4" t="inlineStr">
        <is>
          <t>BRAND COLORS</t>
        </is>
      </c>
    </row>
    <row r="16">
      <c r="B16" s="19" t="inlineStr">
        <is>
          <t>Primary</t>
        </is>
      </c>
      <c r="C16" s="19" t="inlineStr">
        <is>
          <t>Accent</t>
        </is>
      </c>
      <c r="D16" s="19" t="inlineStr">
        <is>
          <t>Surface</t>
        </is>
      </c>
      <c r="E16" s="19" t="inlineStr">
        <is>
          <t>Highlight</t>
        </is>
      </c>
    </row>
    <row r="17" ht="26" customHeight="1">
      <c r="B17" s="64" t="inlineStr">
        <is>
          <t>#1B4F48</t>
        </is>
      </c>
      <c r="C17" s="65" t="inlineStr">
        <is>
          <t>#937356</t>
        </is>
      </c>
      <c r="D17" s="66" t="inlineStr">
        <is>
          <t>#E5D3BA</t>
        </is>
      </c>
      <c r="E17" s="67" t="inlineStr">
        <is>
          <t>#75E6C1</t>
        </is>
      </c>
    </row>
  </sheetData>
  <mergeCells count="5">
    <mergeCell ref="A1:G1"/>
    <mergeCell ref="B15:F15"/>
    <mergeCell ref="B10:F10"/>
    <mergeCell ref="B5:F5"/>
    <mergeCell ref="A2:G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75E6C1"/>
    <outlinePr summaryBelow="1" summaryRight="1"/>
    <pageSetUpPr/>
  </sheetPr>
  <dimension ref="A1:E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4" customWidth="1" min="3" max="3"/>
    <col width="12" customWidth="1" min="4" max="4"/>
    <col width="24" customWidth="1" min="5" max="5"/>
  </cols>
  <sheetData>
    <row r="1" ht="46" customHeight="1">
      <c r="A1" s="1" t="inlineStr">
        <is>
          <t xml:space="preserve">  🗂  ASSET LIBRARY</t>
        </is>
      </c>
    </row>
    <row r="2" ht="22" customHeight="1">
      <c r="A2" s="2" t="inlineStr">
        <is>
          <t xml:space="preserve">  Find any file in seconds — a searchable index of every asset &amp; where it lives.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7" t="inlineStr">
        <is>
          <t>Asset</t>
        </is>
      </c>
      <c r="B4" s="7" t="inlineStr">
        <is>
          <t>Type</t>
        </is>
      </c>
      <c r="C4" s="7" t="inlineStr">
        <is>
          <t>Storage Location</t>
        </is>
      </c>
      <c r="D4" s="7" t="inlineStr">
        <is>
          <t>Backed Up</t>
        </is>
      </c>
      <c r="E4" s="7" t="inlineStr">
        <is>
          <t>Notes</t>
        </is>
      </c>
    </row>
    <row r="5">
      <c r="A5" s="22" t="inlineStr">
        <is>
          <t>B-roll — studio</t>
        </is>
      </c>
      <c r="B5" s="23" t="inlineStr">
        <is>
          <t>B-roll</t>
        </is>
      </c>
      <c r="C5" s="22" t="inlineStr">
        <is>
          <t>Drive/B-roll/Studio</t>
        </is>
      </c>
      <c r="D5" s="23" t="inlineStr">
        <is>
          <t>Yes</t>
        </is>
      </c>
      <c r="E5" s="22" t="inlineStr">
        <is>
          <t>4K, 60 clips</t>
        </is>
      </c>
    </row>
    <row r="6">
      <c r="A6" s="25" t="inlineStr">
        <is>
          <t>B-roll — city</t>
        </is>
      </c>
      <c r="B6" s="26" t="inlineStr">
        <is>
          <t>B-roll</t>
        </is>
      </c>
      <c r="C6" s="25" t="inlineStr">
        <is>
          <t>Drive/B-roll/City</t>
        </is>
      </c>
      <c r="D6" s="26" t="inlineStr">
        <is>
          <t>Yes</t>
        </is>
      </c>
      <c r="E6" s="25" t="inlineStr">
        <is>
          <t>Establishing shots</t>
        </is>
      </c>
    </row>
    <row r="7">
      <c r="A7" s="22" t="inlineStr">
        <is>
          <t>Music license — Epidemic</t>
        </is>
      </c>
      <c r="B7" s="23" t="inlineStr">
        <is>
          <t>Music</t>
        </is>
      </c>
      <c r="C7" s="22" t="inlineStr">
        <is>
          <t>Licenses/Epidemic</t>
        </is>
      </c>
      <c r="D7" s="23" t="inlineStr">
        <is>
          <t>Yes</t>
        </is>
      </c>
      <c r="E7" s="22" t="inlineStr">
        <is>
          <t>Active subscription</t>
        </is>
      </c>
    </row>
    <row r="8">
      <c r="A8" s="25" t="inlineStr">
        <is>
          <t>SFX pack</t>
        </is>
      </c>
      <c r="B8" s="26" t="inlineStr">
        <is>
          <t>Sound FX</t>
        </is>
      </c>
      <c r="C8" s="25" t="inlineStr">
        <is>
          <t>SFX/Vale-pack</t>
        </is>
      </c>
      <c r="D8" s="26" t="inlineStr">
        <is>
          <t>Yes</t>
        </is>
      </c>
      <c r="E8" s="25" t="inlineStr">
        <is>
          <t>200 effects</t>
        </is>
      </c>
    </row>
    <row r="9">
      <c r="A9" s="22" t="inlineStr">
        <is>
          <t>Motion graphics pack</t>
        </is>
      </c>
      <c r="B9" s="23" t="inlineStr">
        <is>
          <t>Motion</t>
        </is>
      </c>
      <c r="C9" s="22" t="inlineStr">
        <is>
          <t>Drive/Motion</t>
        </is>
      </c>
      <c r="D9" s="23" t="inlineStr">
        <is>
          <t>Yes</t>
        </is>
      </c>
      <c r="E9" s="22" t="inlineStr">
        <is>
          <t>Lower-thirds v3</t>
        </is>
      </c>
    </row>
    <row r="10">
      <c r="A10" s="25" t="inlineStr">
        <is>
          <t>Thumbnail template (PSD)</t>
        </is>
      </c>
      <c r="B10" s="26" t="inlineStr">
        <is>
          <t>Template</t>
        </is>
      </c>
      <c r="C10" s="25" t="inlineStr">
        <is>
          <t>Templates/Thumbs</t>
        </is>
      </c>
      <c r="D10" s="26" t="inlineStr">
        <is>
          <t>Yes</t>
        </is>
      </c>
      <c r="E10" s="25" t="inlineStr">
        <is>
          <t>3 layouts</t>
        </is>
      </c>
    </row>
    <row r="11">
      <c r="A11" s="22" t="inlineStr">
        <is>
          <t>Stock footage — Storyblocks</t>
        </is>
      </c>
      <c r="B11" s="23" t="inlineStr">
        <is>
          <t>Stock</t>
        </is>
      </c>
      <c r="C11" s="22" t="inlineStr">
        <is>
          <t>Licenses/Storyblocks</t>
        </is>
      </c>
      <c r="D11" s="23" t="inlineStr">
        <is>
          <t>Yes</t>
        </is>
      </c>
      <c r="E11" s="22" t="inlineStr">
        <is>
          <t>Unlimited plan</t>
        </is>
      </c>
    </row>
    <row r="12">
      <c r="A12" s="25" t="inlineStr">
        <is>
          <t>Intro / outro stingers</t>
        </is>
      </c>
      <c r="B12" s="26" t="inlineStr">
        <is>
          <t>Motion</t>
        </is>
      </c>
      <c r="C12" s="25" t="inlineStr">
        <is>
          <t>Drive/Motion/Stingers</t>
        </is>
      </c>
      <c r="D12" s="26" t="inlineStr">
        <is>
          <t>Yes</t>
        </is>
      </c>
      <c r="E12" s="25" t="inlineStr">
        <is>
          <t>5s each</t>
        </is>
      </c>
    </row>
    <row r="13">
      <c r="A13" s="22" t="n"/>
      <c r="B13" s="23" t="n"/>
      <c r="C13" s="22" t="n"/>
      <c r="D13" s="23" t="n"/>
      <c r="E13" s="22" t="n"/>
    </row>
    <row r="14">
      <c r="A14" s="25" t="n"/>
      <c r="B14" s="26" t="n"/>
      <c r="C14" s="25" t="n"/>
      <c r="D14" s="26" t="n"/>
      <c r="E14" s="25" t="n"/>
    </row>
    <row r="15">
      <c r="A15" s="22" t="n"/>
      <c r="B15" s="23" t="n"/>
      <c r="C15" s="22" t="n"/>
      <c r="D15" s="23" t="n"/>
      <c r="E15" s="22" t="n"/>
    </row>
    <row r="16">
      <c r="A16" s="25" t="n"/>
      <c r="B16" s="26" t="n"/>
      <c r="C16" s="25" t="n"/>
      <c r="D16" s="26" t="n"/>
      <c r="E16" s="25" t="n"/>
    </row>
    <row r="17">
      <c r="A17" s="22" t="n"/>
      <c r="B17" s="23" t="n"/>
      <c r="C17" s="22" t="n"/>
      <c r="D17" s="23" t="n"/>
      <c r="E17" s="22" t="n"/>
    </row>
    <row r="18">
      <c r="A18" s="25" t="n"/>
      <c r="B18" s="26" t="n"/>
      <c r="C18" s="25" t="n"/>
      <c r="D18" s="26" t="n"/>
      <c r="E18" s="25" t="n"/>
    </row>
    <row r="19">
      <c r="A19" s="22" t="n"/>
      <c r="B19" s="23" t="n"/>
      <c r="C19" s="22" t="n"/>
      <c r="D19" s="23" t="n"/>
      <c r="E19" s="22" t="n"/>
    </row>
    <row r="20">
      <c r="A20" s="25" t="n"/>
      <c r="B20" s="26" t="n"/>
      <c r="C20" s="25" t="n"/>
      <c r="D20" s="26" t="n"/>
      <c r="E20" s="25" t="n"/>
    </row>
    <row r="21">
      <c r="A21" s="22" t="n"/>
      <c r="B21" s="23" t="n"/>
      <c r="C21" s="22" t="n"/>
      <c r="D21" s="23" t="n"/>
      <c r="E21" s="22" t="n"/>
    </row>
    <row r="22">
      <c r="A22" s="25" t="n"/>
      <c r="B22" s="26" t="n"/>
      <c r="C22" s="25" t="n"/>
      <c r="D22" s="26" t="n"/>
      <c r="E22" s="25" t="n"/>
    </row>
    <row r="23">
      <c r="A23" s="22" t="n"/>
      <c r="B23" s="23" t="n"/>
      <c r="C23" s="22" t="n"/>
      <c r="D23" s="23" t="n"/>
      <c r="E23" s="22" t="n"/>
    </row>
    <row r="24">
      <c r="A24" s="25" t="n"/>
      <c r="B24" s="26" t="n"/>
      <c r="C24" s="25" t="n"/>
      <c r="D24" s="26" t="n"/>
      <c r="E24" s="25" t="n"/>
    </row>
    <row r="25">
      <c r="A25" s="22" t="n"/>
      <c r="B25" s="23" t="n"/>
      <c r="C25" s="22" t="n"/>
      <c r="D25" s="23" t="n"/>
      <c r="E25" s="22" t="n"/>
    </row>
    <row r="26">
      <c r="A26" s="25" t="n"/>
      <c r="B26" s="26" t="n"/>
      <c r="C26" s="25" t="n"/>
      <c r="D26" s="26" t="n"/>
      <c r="E26" s="25" t="n"/>
    </row>
    <row r="27">
      <c r="A27" s="22" t="n"/>
      <c r="B27" s="23" t="n"/>
      <c r="C27" s="22" t="n"/>
      <c r="D27" s="23" t="n"/>
      <c r="E27" s="22" t="n"/>
    </row>
    <row r="28">
      <c r="A28" s="25" t="n"/>
      <c r="B28" s="26" t="n"/>
      <c r="C28" s="25" t="n"/>
      <c r="D28" s="26" t="n"/>
      <c r="E28" s="25" t="n"/>
    </row>
    <row r="29">
      <c r="A29" s="22" t="n"/>
      <c r="B29" s="23" t="n"/>
      <c r="C29" s="22" t="n"/>
      <c r="D29" s="23" t="n"/>
      <c r="E29" s="22" t="n"/>
    </row>
    <row r="30">
      <c r="A30" s="25" t="n"/>
      <c r="B30" s="26" t="n"/>
      <c r="C30" s="25" t="n"/>
      <c r="D30" s="26" t="n"/>
      <c r="E30" s="25" t="n"/>
    </row>
    <row r="31">
      <c r="A31" s="22" t="n"/>
      <c r="B31" s="23" t="n"/>
      <c r="C31" s="22" t="n"/>
      <c r="D31" s="23" t="n"/>
      <c r="E31" s="22" t="n"/>
    </row>
    <row r="32">
      <c r="A32" s="25" t="n"/>
      <c r="B32" s="26" t="n"/>
      <c r="C32" s="25" t="n"/>
      <c r="D32" s="26" t="n"/>
      <c r="E32" s="25" t="n"/>
    </row>
    <row r="33">
      <c r="A33" s="22" t="n"/>
      <c r="B33" s="23" t="n"/>
      <c r="C33" s="22" t="n"/>
      <c r="D33" s="23" t="n"/>
      <c r="E33" s="22" t="n"/>
    </row>
    <row r="34">
      <c r="A34" s="25" t="n"/>
      <c r="B34" s="26" t="n"/>
      <c r="C34" s="25" t="n"/>
      <c r="D34" s="26" t="n"/>
      <c r="E34" s="25" t="n"/>
    </row>
    <row r="35">
      <c r="A35" s="22" t="n"/>
      <c r="B35" s="23" t="n"/>
      <c r="C35" s="22" t="n"/>
      <c r="D35" s="23" t="n"/>
      <c r="E35" s="22" t="n"/>
    </row>
    <row r="36">
      <c r="A36" s="25" t="n"/>
      <c r="B36" s="26" t="n"/>
      <c r="C36" s="25" t="n"/>
      <c r="D36" s="26" t="n"/>
      <c r="E36" s="25" t="n"/>
    </row>
    <row r="37">
      <c r="A37" s="22" t="n"/>
      <c r="B37" s="23" t="n"/>
      <c r="C37" s="22" t="n"/>
      <c r="D37" s="23" t="n"/>
      <c r="E37" s="22" t="n"/>
    </row>
    <row r="38">
      <c r="A38" s="25" t="n"/>
      <c r="B38" s="26" t="n"/>
      <c r="C38" s="25" t="n"/>
      <c r="D38" s="26" t="n"/>
      <c r="E38" s="25" t="n"/>
    </row>
    <row r="39">
      <c r="A39" s="22" t="n"/>
      <c r="B39" s="23" t="n"/>
      <c r="C39" s="22" t="n"/>
      <c r="D39" s="23" t="n"/>
      <c r="E39" s="22" t="n"/>
    </row>
    <row r="40">
      <c r="A40" s="25" t="n"/>
      <c r="B40" s="26" t="n"/>
      <c r="C40" s="25" t="n"/>
      <c r="D40" s="26" t="n"/>
      <c r="E40" s="25" t="n"/>
    </row>
    <row r="41">
      <c r="A41" s="22" t="n"/>
      <c r="B41" s="23" t="n"/>
      <c r="C41" s="22" t="n"/>
      <c r="D41" s="23" t="n"/>
      <c r="E41" s="22" t="n"/>
    </row>
    <row r="42">
      <c r="A42" s="25" t="n"/>
      <c r="B42" s="26" t="n"/>
      <c r="C42" s="25" t="n"/>
      <c r="D42" s="26" t="n"/>
      <c r="E42" s="25" t="n"/>
    </row>
    <row r="43">
      <c r="A43" s="22" t="n"/>
      <c r="B43" s="23" t="n"/>
      <c r="C43" s="22" t="n"/>
      <c r="D43" s="23" t="n"/>
      <c r="E43" s="22" t="n"/>
    </row>
    <row r="44">
      <c r="A44" s="25" t="n"/>
      <c r="B44" s="26" t="n"/>
      <c r="C44" s="25" t="n"/>
      <c r="D44" s="26" t="n"/>
      <c r="E44" s="25" t="n"/>
    </row>
  </sheetData>
  <mergeCells count="2">
    <mergeCell ref="A2:E2"/>
    <mergeCell ref="A1:E1"/>
  </mergeCells>
  <conditionalFormatting sqref="D5:D44">
    <cfRule type="cellIs" priority="1" operator="equal" dxfId="5">
      <formula>"No"</formula>
    </cfRule>
  </conditionalFormatting>
  <dataValidations count="1">
    <dataValidation sqref="D5:D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5D3BA"/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78" customWidth="1" min="3" max="3"/>
    <col width="2" customWidth="1" min="4" max="4"/>
  </cols>
  <sheetData>
    <row r="1" ht="46" customHeight="1">
      <c r="A1" s="1" t="inlineStr">
        <is>
          <t xml:space="preserve">  🤖  AI PROMPT LIBRARY</t>
        </is>
      </c>
    </row>
    <row r="2" ht="22" customHeight="1">
      <c r="A2" s="2" t="inlineStr">
        <is>
          <t xml:space="preserve">  Your best prompts, reusable — ideas, hooks, titles, scripts, SEO &amp; outreach.</t>
        </is>
      </c>
    </row>
    <row r="3" ht="6" customHeight="1">
      <c r="A3" s="3" t="n"/>
      <c r="B3" s="3" t="n"/>
      <c r="C3" s="3" t="n"/>
      <c r="D3" s="3" t="n"/>
    </row>
    <row r="4" ht="28" customHeight="1">
      <c r="B4" s="7" t="inlineStr">
        <is>
          <t>Use Case</t>
        </is>
      </c>
      <c r="C4" s="7" t="inlineStr">
        <is>
          <t>Prompt (edit the {tokens})</t>
        </is>
      </c>
    </row>
    <row r="5" ht="58" customHeight="1">
      <c r="B5" s="19" t="inlineStr">
        <is>
          <t>Video Ideas</t>
        </is>
      </c>
      <c r="C5" s="68" t="inlineStr">
        <is>
          <t>Act as a YouTube strategist for a {niche} channel. Give me 10 video ideas with a proven format (listicle, tutorial, story) and a 1-line hook for each. Prioritize search demand + shareability.</t>
        </is>
      </c>
    </row>
    <row r="6" ht="58" customHeight="1">
      <c r="B6" s="69" t="inlineStr">
        <is>
          <t>Hooks</t>
        </is>
      </c>
      <c r="C6" s="68" t="inlineStr">
        <is>
          <t>Write 8 opening hooks (first 10 seconds) for a video titled "{title}". Use curiosity, stakes or a bold claim. Keep each under 2 sentences, spoken aloud.</t>
        </is>
      </c>
    </row>
    <row r="7" ht="58" customHeight="1">
      <c r="B7" s="19" t="inlineStr">
        <is>
          <t>Titles</t>
        </is>
      </c>
      <c r="C7" s="68" t="inlineStr">
        <is>
          <t>Generate 12 high-CTR YouTube titles for "{topic}". Mix curiosity, numbers, and outcome. Keep under 60 characters. Flag the top 3 you'd test.</t>
        </is>
      </c>
    </row>
    <row r="8" ht="58" customHeight="1">
      <c r="B8" s="69" t="inlineStr">
        <is>
          <t>Descriptions</t>
        </is>
      </c>
      <c r="C8" s="68" t="inlineStr">
        <is>
          <t>Write an SEO description for "{title}": 2 keyword-rich sentences, then a value summary, timestamps placeholder, links section and 3 hashtags.</t>
        </is>
      </c>
    </row>
    <row r="9" ht="58" customHeight="1">
      <c r="B9" s="19" t="inlineStr">
        <is>
          <t>Scripts</t>
        </is>
      </c>
      <c r="C9" s="68" t="inlineStr">
        <is>
          <t>Outline a {length}-minute script for "{title}" using Hook → Problem → Steps → Proof → CTA. Note where to place a 60s mid-roll sponsor read.</t>
        </is>
      </c>
    </row>
    <row r="10" ht="58" customHeight="1">
      <c r="B10" s="69" t="inlineStr">
        <is>
          <t>SEO</t>
        </is>
      </c>
      <c r="C10" s="68" t="inlineStr">
        <is>
          <t>Give me a primary keyword, 8 secondary keywords, 15 tags and 5 chapter titles for a video about "{topic}". Base it on likely YouTube search intent.</t>
        </is>
      </c>
    </row>
    <row r="11" ht="58" customHeight="1">
      <c r="B11" s="19" t="inlineStr">
        <is>
          <t>Thumbnails</t>
        </is>
      </c>
      <c r="C11" s="68" t="inlineStr">
        <is>
          <t>Suggest 5 thumbnail concepts for "{title}": the single big idea, 3-word max text, facial expression, and color contrast. Make them scroll-stopping.</t>
        </is>
      </c>
    </row>
    <row r="12" ht="58" customHeight="1">
      <c r="B12" s="69" t="inlineStr">
        <is>
          <t>Sponsor Outreach</t>
        </is>
      </c>
      <c r="C12" s="68" t="inlineStr">
        <is>
          <t>Write a concise sponsorship pitch email to {brand}. Include my channel stats ({subs} subs, {views}/mo views), a relevant integration idea, deliverables and a clear CTA.</t>
        </is>
      </c>
    </row>
    <row r="13" ht="58" customHeight="1">
      <c r="B13" s="19" t="inlineStr">
        <is>
          <t>Community Posts</t>
        </is>
      </c>
      <c r="C13" s="68" t="inlineStr">
        <is>
          <t>Write 5 community-tab posts for a {niche} channel: 2 polls, 1 question, 1 BTS image caption, 1 announcement. Keep them casual and engagement-driving.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1B4F48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6" customWidth="1" min="4" max="4"/>
    <col width="12" customWidth="1" min="5" max="5"/>
    <col width="12" customWidth="1" min="6" max="6"/>
    <col width="2" customWidth="1" min="7" max="7"/>
  </cols>
  <sheetData>
    <row r="1" ht="46" customHeight="1">
      <c r="A1" s="1" t="inlineStr">
        <is>
          <t xml:space="preserve">  🎯  GOALS &amp; OKRs</t>
        </is>
      </c>
    </row>
    <row r="2" ht="22" customHeight="1">
      <c r="A2" s="2" t="inlineStr">
        <is>
          <t xml:space="preserve">  Run your channel on objectives — measurable key results with live progress.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Objective / Key Result</t>
        </is>
      </c>
      <c r="B4" s="7" t="inlineStr">
        <is>
          <t>Category</t>
        </is>
      </c>
      <c r="C4" s="7" t="inlineStr">
        <is>
          <t>Target</t>
        </is>
      </c>
      <c r="D4" s="7" t="inlineStr">
        <is>
          <t>Current</t>
        </is>
      </c>
      <c r="E4" s="7" t="inlineStr">
        <is>
          <t>Progress</t>
        </is>
      </c>
    </row>
    <row r="5">
      <c r="A5" s="35" t="inlineStr">
        <is>
          <t>Hit 100k subscribers</t>
        </is>
      </c>
      <c r="B5" s="37" t="inlineStr">
        <is>
          <t>Subscribers</t>
        </is>
      </c>
      <c r="C5" s="37" t="inlineStr">
        <is>
          <t>100,000</t>
        </is>
      </c>
      <c r="D5" s="37" t="inlineStr">
        <is>
          <t>84,200</t>
        </is>
      </c>
      <c r="E5" s="70" t="n">
        <v>0.84</v>
      </c>
    </row>
    <row r="6">
      <c r="A6" s="25" t="inlineStr">
        <is>
          <t>$12k/mo revenue</t>
        </is>
      </c>
      <c r="B6" s="26" t="inlineStr">
        <is>
          <t>Revenue</t>
        </is>
      </c>
      <c r="C6" s="26" t="inlineStr">
        <is>
          <t>$12,000</t>
        </is>
      </c>
      <c r="D6" s="26" t="inlineStr">
        <is>
          <t>$9,840</t>
        </is>
      </c>
      <c r="E6" s="71" t="n">
        <v>0.82</v>
      </c>
    </row>
    <row r="7">
      <c r="A7" s="35" t="inlineStr">
        <is>
          <t>Publish 7 videos / month</t>
        </is>
      </c>
      <c r="B7" s="37" t="inlineStr">
        <is>
          <t>Uploads</t>
        </is>
      </c>
      <c r="C7" s="37" t="inlineStr">
        <is>
          <t>7</t>
        </is>
      </c>
      <c r="D7" s="37" t="inlineStr">
        <is>
          <t>6</t>
        </is>
      </c>
      <c r="E7" s="70" t="n">
        <v>0.86</v>
      </c>
    </row>
    <row r="8">
      <c r="A8" s="25" t="inlineStr">
        <is>
          <t>Reach 20k watch hrs / mo</t>
        </is>
      </c>
      <c r="B8" s="26" t="inlineStr">
        <is>
          <t>Watch Hours</t>
        </is>
      </c>
      <c r="C8" s="26" t="inlineStr">
        <is>
          <t>20,000</t>
        </is>
      </c>
      <c r="D8" s="26" t="inlineStr">
        <is>
          <t>14,600</t>
        </is>
      </c>
      <c r="E8" s="71" t="n">
        <v>0.73</v>
      </c>
    </row>
    <row r="9">
      <c r="A9" s="35" t="inlineStr">
        <is>
          <t>Land 6 active brand deals</t>
        </is>
      </c>
      <c r="B9" s="37" t="inlineStr">
        <is>
          <t>Sponsors</t>
        </is>
      </c>
      <c r="C9" s="37" t="inlineStr">
        <is>
          <t>6</t>
        </is>
      </c>
      <c r="D9" s="37" t="inlineStr">
        <is>
          <t>4</t>
        </is>
      </c>
      <c r="E9" s="70" t="n">
        <v>0.67</v>
      </c>
    </row>
    <row r="10">
      <c r="A10" s="25" t="inlineStr">
        <is>
          <t>Launch faceless course</t>
        </is>
      </c>
      <c r="B10" s="26" t="inlineStr">
        <is>
          <t>Products</t>
        </is>
      </c>
      <c r="C10" s="26" t="inlineStr">
        <is>
          <t>Ship it</t>
        </is>
      </c>
      <c r="D10" s="26" t="inlineStr">
        <is>
          <t>In build</t>
        </is>
      </c>
      <c r="E10" s="71" t="n">
        <v>0.55</v>
      </c>
    </row>
    <row r="11">
      <c r="A11" s="35" t="inlineStr">
        <is>
          <t>Grow CTR to 8%</t>
        </is>
      </c>
      <c r="B11" s="37" t="inlineStr">
        <is>
          <t>Engagement</t>
        </is>
      </c>
      <c r="C11" s="37" t="inlineStr">
        <is>
          <t>8%</t>
        </is>
      </c>
      <c r="D11" s="37" t="inlineStr">
        <is>
          <t>6.8%</t>
        </is>
      </c>
      <c r="E11" s="70" t="n">
        <v>0.68</v>
      </c>
    </row>
    <row r="14" ht="22" customHeight="1">
      <c r="B14" s="4" t="inlineStr">
        <is>
          <t>THIS QUARTER'S FOCUS</t>
        </is>
      </c>
    </row>
    <row r="15">
      <c r="B15" s="72" t="inlineStr">
        <is>
          <t>◆</t>
        </is>
      </c>
      <c r="C15" s="35" t="inlineStr">
        <is>
          <t>Ship the faceless course (biggest revenue lever)</t>
        </is>
      </c>
    </row>
    <row r="16">
      <c r="B16" s="72" t="inlineStr">
        <is>
          <t>◆</t>
        </is>
      </c>
      <c r="C16" s="35" t="inlineStr">
        <is>
          <t>Systematize sponsor outreach → 6 active deals</t>
        </is>
      </c>
    </row>
    <row r="17">
      <c r="B17" s="72" t="inlineStr">
        <is>
          <t>◆</t>
        </is>
      </c>
      <c r="C17" s="35" t="inlineStr">
        <is>
          <t>Double down on long-form (best watch time + RPM)</t>
        </is>
      </c>
    </row>
    <row r="18">
      <c r="B18" s="72" t="inlineStr">
        <is>
          <t>◆</t>
        </is>
      </c>
      <c r="C18" s="35" t="inlineStr">
        <is>
          <t>Improve thumbnails/titles → CTR to 8%</t>
        </is>
      </c>
    </row>
  </sheetData>
  <mergeCells count="7">
    <mergeCell ref="C16:E16"/>
    <mergeCell ref="A2:F2"/>
    <mergeCell ref="A1:F1"/>
    <mergeCell ref="C18:E18"/>
    <mergeCell ref="C17:E17"/>
    <mergeCell ref="C15:E15"/>
    <mergeCell ref="B14:E14"/>
  </mergeCells>
  <conditionalFormatting sqref="E5:E11">
    <cfRule type="dataBar" priority="1">
      <dataBar showValue="1">
        <cfvo type="num" val="0"/>
        <cfvo type="num" val="1"/>
        <color rgb="001B4F48"/>
      </dataBar>
    </cfRule>
  </conditionalFormatting>
  <dataValidations count="1">
    <dataValidation sqref="B5:B11" showDropDown="0" showInputMessage="0" showErrorMessage="0" allowBlank="1" type="list">
      <formula1>=GoalCatList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937356"/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13" customWidth="1" min="4" max="4"/>
    <col width="14" customWidth="1" min="5" max="5"/>
    <col width="15" customWidth="1" min="6" max="6"/>
  </cols>
  <sheetData>
    <row r="1" ht="46" customHeight="1">
      <c r="A1" s="1" t="inlineStr">
        <is>
          <t xml:space="preserve">  👥  COLLABORATION CRM</t>
        </is>
      </c>
    </row>
    <row r="2" ht="22" customHeight="1">
      <c r="A2" s="2" t="inlineStr">
        <is>
          <t xml:space="preserve">  Creators, editors, designers &amp; agencies — projects, splits &amp; status in one place.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Name</t>
        </is>
      </c>
      <c r="B4" s="7" t="inlineStr">
        <is>
          <t>Role</t>
        </is>
      </c>
      <c r="C4" s="7" t="inlineStr">
        <is>
          <t>Project</t>
        </is>
      </c>
      <c r="D4" s="7" t="inlineStr">
        <is>
          <t>Deadline</t>
        </is>
      </c>
      <c r="E4" s="7" t="inlineStr">
        <is>
          <t>Revenue Split</t>
        </is>
      </c>
      <c r="F4" s="7" t="inlineStr">
        <is>
          <t>Status</t>
        </is>
      </c>
    </row>
    <row r="5">
      <c r="A5" s="22" t="inlineStr">
        <is>
          <t>Leo Marín (@leomakes)</t>
        </is>
      </c>
      <c r="B5" s="23" t="inlineStr">
        <is>
          <t>Creator</t>
        </is>
      </c>
      <c r="C5" s="22" t="inlineStr">
        <is>
          <t>Podcast swap</t>
        </is>
      </c>
      <c r="D5" s="21" t="n">
        <v>46218</v>
      </c>
      <c r="E5" s="22" t="inlineStr">
        <is>
          <t>50/50</t>
        </is>
      </c>
      <c r="F5" s="23" t="inlineStr">
        <is>
          <t>Confirmed</t>
        </is>
      </c>
    </row>
    <row r="6">
      <c r="A6" s="25" t="inlineStr">
        <is>
          <t>Studio Kwan</t>
        </is>
      </c>
      <c r="B6" s="26" t="inlineStr">
        <is>
          <t>Designer</t>
        </is>
      </c>
      <c r="C6" s="25" t="inlineStr">
        <is>
          <t>Thumbnail redesign</t>
        </is>
      </c>
      <c r="D6" s="24" t="n">
        <v>46205</v>
      </c>
      <c r="E6" s="25" t="inlineStr">
        <is>
          <t>Flat $400</t>
        </is>
      </c>
      <c r="F6" s="26" t="inlineStr">
        <is>
          <t>Delivered</t>
        </is>
      </c>
    </row>
    <row r="7">
      <c r="A7" s="22" t="inlineStr">
        <is>
          <t>Mia (writer)</t>
        </is>
      </c>
      <c r="B7" s="23" t="inlineStr">
        <is>
          <t>Editor</t>
        </is>
      </c>
      <c r="C7" s="22" t="inlineStr">
        <is>
          <t>Blog SEO series</t>
        </is>
      </c>
      <c r="D7" s="21" t="n">
        <v>46220</v>
      </c>
      <c r="E7" s="22" t="inlineStr">
        <is>
          <t>$250/post</t>
        </is>
      </c>
      <c r="F7" s="23" t="inlineStr">
        <is>
          <t>In Progress</t>
        </is>
      </c>
    </row>
    <row r="8">
      <c r="A8" s="25" t="inlineStr">
        <is>
          <t>Jon (editor)</t>
        </is>
      </c>
      <c r="B8" s="26" t="inlineStr">
        <is>
          <t>Editor</t>
        </is>
      </c>
      <c r="C8" s="25" t="inlineStr">
        <is>
          <t>Shorts editing</t>
        </is>
      </c>
      <c r="D8" s="24" t="n">
        <v>46213</v>
      </c>
      <c r="E8" s="25" t="inlineStr">
        <is>
          <t>$60/short</t>
        </is>
      </c>
      <c r="F8" s="26" t="inlineStr">
        <is>
          <t>In Progress</t>
        </is>
      </c>
    </row>
    <row r="9">
      <c r="A9" s="22" t="inlineStr">
        <is>
          <t>Priya D. (@priyacodes)</t>
        </is>
      </c>
      <c r="B9" s="23" t="inlineStr">
        <is>
          <t>Creator</t>
        </is>
      </c>
      <c r="C9" s="22" t="inlineStr">
        <is>
          <t>Collab video</t>
        </is>
      </c>
      <c r="D9" s="21" t="n">
        <v>46216</v>
      </c>
      <c r="E9" s="22" t="inlineStr">
        <is>
          <t>50/50</t>
        </is>
      </c>
      <c r="F9" s="23" t="inlineStr">
        <is>
          <t>Scheduled</t>
        </is>
      </c>
    </row>
    <row r="10">
      <c r="A10" s="25" t="inlineStr">
        <is>
          <t>Peak Agency</t>
        </is>
      </c>
      <c r="B10" s="26" t="inlineStr">
        <is>
          <t>Agency</t>
        </is>
      </c>
      <c r="C10" s="25" t="inlineStr">
        <is>
          <t>Channel management</t>
        </is>
      </c>
      <c r="D10" s="24" t="n">
        <v>46238</v>
      </c>
      <c r="E10" s="25" t="inlineStr">
        <is>
          <t>15% rev</t>
        </is>
      </c>
      <c r="F10" s="26" t="inlineStr">
        <is>
          <t>Lead</t>
        </is>
      </c>
    </row>
    <row r="11">
      <c r="A11" s="22" t="n"/>
      <c r="B11" s="23" t="n"/>
      <c r="C11" s="22" t="n"/>
      <c r="D11" s="21" t="n"/>
      <c r="E11" s="22" t="n"/>
      <c r="F11" s="23" t="n"/>
    </row>
    <row r="12">
      <c r="A12" s="25" t="n"/>
      <c r="B12" s="26" t="n"/>
      <c r="C12" s="25" t="n"/>
      <c r="D12" s="24" t="n"/>
      <c r="E12" s="25" t="n"/>
      <c r="F12" s="26" t="n"/>
    </row>
    <row r="13">
      <c r="A13" s="22" t="n"/>
      <c r="B13" s="23" t="n"/>
      <c r="C13" s="22" t="n"/>
      <c r="D13" s="21" t="n"/>
      <c r="E13" s="22" t="n"/>
      <c r="F13" s="23" t="n"/>
    </row>
    <row r="14">
      <c r="A14" s="25" t="n"/>
      <c r="B14" s="26" t="n"/>
      <c r="C14" s="25" t="n"/>
      <c r="D14" s="24" t="n"/>
      <c r="E14" s="25" t="n"/>
      <c r="F14" s="26" t="n"/>
    </row>
    <row r="15">
      <c r="A15" s="22" t="n"/>
      <c r="B15" s="23" t="n"/>
      <c r="C15" s="22" t="n"/>
      <c r="D15" s="21" t="n"/>
      <c r="E15" s="22" t="n"/>
      <c r="F15" s="23" t="n"/>
    </row>
    <row r="16">
      <c r="A16" s="25" t="n"/>
      <c r="B16" s="26" t="n"/>
      <c r="C16" s="25" t="n"/>
      <c r="D16" s="24" t="n"/>
      <c r="E16" s="25" t="n"/>
      <c r="F16" s="26" t="n"/>
    </row>
    <row r="17">
      <c r="A17" s="22" t="n"/>
      <c r="B17" s="23" t="n"/>
      <c r="C17" s="22" t="n"/>
      <c r="D17" s="21" t="n"/>
      <c r="E17" s="22" t="n"/>
      <c r="F17" s="23" t="n"/>
    </row>
    <row r="18">
      <c r="A18" s="25" t="n"/>
      <c r="B18" s="26" t="n"/>
      <c r="C18" s="25" t="n"/>
      <c r="D18" s="24" t="n"/>
      <c r="E18" s="25" t="n"/>
      <c r="F18" s="26" t="n"/>
    </row>
    <row r="19">
      <c r="A19" s="22" t="n"/>
      <c r="B19" s="23" t="n"/>
      <c r="C19" s="22" t="n"/>
      <c r="D19" s="21" t="n"/>
      <c r="E19" s="22" t="n"/>
      <c r="F19" s="23" t="n"/>
    </row>
    <row r="20">
      <c r="A20" s="25" t="n"/>
      <c r="B20" s="26" t="n"/>
      <c r="C20" s="25" t="n"/>
      <c r="D20" s="24" t="n"/>
      <c r="E20" s="25" t="n"/>
      <c r="F20" s="26" t="n"/>
    </row>
    <row r="21">
      <c r="A21" s="22" t="n"/>
      <c r="B21" s="23" t="n"/>
      <c r="C21" s="22" t="n"/>
      <c r="D21" s="21" t="n"/>
      <c r="E21" s="22" t="n"/>
      <c r="F21" s="23" t="n"/>
    </row>
    <row r="22">
      <c r="A22" s="25" t="n"/>
      <c r="B22" s="26" t="n"/>
      <c r="C22" s="25" t="n"/>
      <c r="D22" s="24" t="n"/>
      <c r="E22" s="25" t="n"/>
      <c r="F22" s="26" t="n"/>
    </row>
    <row r="23">
      <c r="A23" s="22" t="n"/>
      <c r="B23" s="23" t="n"/>
      <c r="C23" s="22" t="n"/>
      <c r="D23" s="21" t="n"/>
      <c r="E23" s="22" t="n"/>
      <c r="F23" s="23" t="n"/>
    </row>
    <row r="24">
      <c r="A24" s="25" t="n"/>
      <c r="B24" s="26" t="n"/>
      <c r="C24" s="25" t="n"/>
      <c r="D24" s="24" t="n"/>
      <c r="E24" s="25" t="n"/>
      <c r="F24" s="26" t="n"/>
    </row>
    <row r="25">
      <c r="A25" s="22" t="n"/>
      <c r="B25" s="23" t="n"/>
      <c r="C25" s="22" t="n"/>
      <c r="D25" s="21" t="n"/>
      <c r="E25" s="22" t="n"/>
      <c r="F25" s="23" t="n"/>
    </row>
    <row r="26">
      <c r="A26" s="25" t="n"/>
      <c r="B26" s="26" t="n"/>
      <c r="C26" s="25" t="n"/>
      <c r="D26" s="24" t="n"/>
      <c r="E26" s="25" t="n"/>
      <c r="F26" s="26" t="n"/>
    </row>
    <row r="27">
      <c r="A27" s="22" t="n"/>
      <c r="B27" s="23" t="n"/>
      <c r="C27" s="22" t="n"/>
      <c r="D27" s="21" t="n"/>
      <c r="E27" s="22" t="n"/>
      <c r="F27" s="23" t="n"/>
    </row>
    <row r="28">
      <c r="A28" s="25" t="n"/>
      <c r="B28" s="26" t="n"/>
      <c r="C28" s="25" t="n"/>
      <c r="D28" s="24" t="n"/>
      <c r="E28" s="25" t="n"/>
      <c r="F28" s="26" t="n"/>
    </row>
    <row r="29">
      <c r="A29" s="22" t="n"/>
      <c r="B29" s="23" t="n"/>
      <c r="C29" s="22" t="n"/>
      <c r="D29" s="21" t="n"/>
      <c r="E29" s="22" t="n"/>
      <c r="F29" s="23" t="n"/>
    </row>
    <row r="30">
      <c r="A30" s="25" t="n"/>
      <c r="B30" s="26" t="n"/>
      <c r="C30" s="25" t="n"/>
      <c r="D30" s="24" t="n"/>
      <c r="E30" s="25" t="n"/>
      <c r="F30" s="26" t="n"/>
    </row>
    <row r="31">
      <c r="A31" s="22" t="n"/>
      <c r="B31" s="23" t="n"/>
      <c r="C31" s="22" t="n"/>
      <c r="D31" s="21" t="n"/>
      <c r="E31" s="22" t="n"/>
      <c r="F31" s="23" t="n"/>
    </row>
    <row r="32">
      <c r="A32" s="25" t="n"/>
      <c r="B32" s="26" t="n"/>
      <c r="C32" s="25" t="n"/>
      <c r="D32" s="24" t="n"/>
      <c r="E32" s="25" t="n"/>
      <c r="F32" s="26" t="n"/>
    </row>
    <row r="33">
      <c r="A33" s="22" t="n"/>
      <c r="B33" s="23" t="n"/>
      <c r="C33" s="22" t="n"/>
      <c r="D33" s="21" t="n"/>
      <c r="E33" s="22" t="n"/>
      <c r="F33" s="23" t="n"/>
    </row>
    <row r="34">
      <c r="A34" s="25" t="n"/>
      <c r="B34" s="26" t="n"/>
      <c r="C34" s="25" t="n"/>
      <c r="D34" s="24" t="n"/>
      <c r="E34" s="25" t="n"/>
      <c r="F34" s="26" t="n"/>
    </row>
  </sheetData>
  <mergeCells count="2">
    <mergeCell ref="A2:F2"/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75E6C1"/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30" customWidth="1" min="3" max="3"/>
    <col width="4" customWidth="1" min="4" max="4"/>
    <col width="24" customWidth="1" min="5" max="5"/>
    <col width="24" customWidth="1" min="6" max="6"/>
    <col width="2" customWidth="1" min="7" max="7"/>
  </cols>
  <sheetData>
    <row r="1" ht="46" customHeight="1">
      <c r="A1" s="1" t="inlineStr">
        <is>
          <t xml:space="preserve">  👤  AUDIENCE INSIGHTS</t>
        </is>
      </c>
    </row>
    <row r="2" ht="22" customHeight="1">
      <c r="A2" s="2" t="inlineStr">
        <is>
          <t xml:space="preserve">  Know who you serve — personas, FAQs &amp; the content they're asking for.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6" t="inlineStr">
        <is>
          <t>PRIMARY PERSONA</t>
        </is>
      </c>
      <c r="E5" s="4" t="inlineStr">
        <is>
          <t>TOP VIEWER REQUESTS</t>
        </is>
      </c>
    </row>
    <row r="6">
      <c r="B6" s="19" t="inlineStr">
        <is>
          <t>Name</t>
        </is>
      </c>
      <c r="C6" s="20" t="inlineStr">
        <is>
          <t>Side-Hustle Sam</t>
        </is>
      </c>
      <c r="E6" s="7" t="inlineStr">
        <is>
          <t>Topic</t>
        </is>
      </c>
      <c r="F6" s="7" t="inlineStr">
        <is>
          <t>Requests</t>
        </is>
      </c>
    </row>
    <row r="7">
      <c r="B7" s="19" t="inlineStr">
        <is>
          <t>Age</t>
        </is>
      </c>
      <c r="C7" s="20" t="inlineStr">
        <is>
          <t>24–38</t>
        </is>
      </c>
      <c r="E7" s="35" t="inlineStr">
        <is>
          <t>Sponsorship outreach</t>
        </is>
      </c>
      <c r="F7" s="37" t="n">
        <v>68</v>
      </c>
    </row>
    <row r="8">
      <c r="B8" s="19" t="inlineStr">
        <is>
          <t>Stage</t>
        </is>
      </c>
      <c r="C8" s="20" t="inlineStr">
        <is>
          <t>0–10k subs, part-time</t>
        </is>
      </c>
      <c r="E8" s="25" t="inlineStr">
        <is>
          <t>Editing workflows</t>
        </is>
      </c>
      <c r="F8" s="26" t="n">
        <v>54</v>
      </c>
    </row>
    <row r="9">
      <c r="B9" s="19" t="inlineStr">
        <is>
          <t>Goal</t>
        </is>
      </c>
      <c r="C9" s="20" t="inlineStr">
        <is>
          <t>Turn a channel into income</t>
        </is>
      </c>
      <c r="E9" s="35" t="inlineStr">
        <is>
          <t>Faceless channels</t>
        </is>
      </c>
      <c r="F9" s="37" t="n">
        <v>47</v>
      </c>
    </row>
    <row r="10">
      <c r="B10" s="19" t="inlineStr">
        <is>
          <t>Blocker</t>
        </is>
      </c>
      <c r="C10" s="20" t="inlineStr">
        <is>
          <t>Inconsistent, overwhelmed</t>
        </is>
      </c>
      <c r="E10" s="25" t="inlineStr">
        <is>
          <t>Pricing products</t>
        </is>
      </c>
      <c r="F10" s="26" t="n">
        <v>39</v>
      </c>
    </row>
    <row r="11">
      <c r="B11" s="19" t="inlineStr">
        <is>
          <t>Watches on</t>
        </is>
      </c>
      <c r="C11" s="20" t="inlineStr">
        <is>
          <t>Desktop + mobile</t>
        </is>
      </c>
      <c r="E11" s="35" t="inlineStr">
        <is>
          <t>Batch filming</t>
        </is>
      </c>
      <c r="F11" s="37" t="n">
        <v>33</v>
      </c>
    </row>
    <row r="12">
      <c r="B12" s="19" t="inlineStr">
        <is>
          <t>Spends on</t>
        </is>
      </c>
      <c r="C12" s="20" t="inlineStr">
        <is>
          <t>Tools &amp; courses that save time</t>
        </is>
      </c>
    </row>
    <row r="14" ht="22" customHeight="1">
      <c r="B14" s="4" t="inlineStr">
        <is>
          <t>FAQs TO ANSWER ON VIDEO</t>
        </is>
      </c>
      <c r="E14" s="4" t="inlineStr">
        <is>
          <t>CONTENT GAPS</t>
        </is>
      </c>
    </row>
    <row r="15">
      <c r="B15" s="35" t="inlineStr">
        <is>
          <t>•  "What editing software do you use?"</t>
        </is>
      </c>
      <c r="E15" s="35" t="inlineStr">
        <is>
          <t>•  Beginner faceless setup (high demand)</t>
        </is>
      </c>
    </row>
    <row r="16">
      <c r="B16" s="35" t="inlineStr">
        <is>
          <t>•  "How do you get sponsors this small?"</t>
        </is>
      </c>
      <c r="E16" s="35" t="inlineStr">
        <is>
          <t>•  Live-stream monetization</t>
        </is>
      </c>
    </row>
    <row r="17">
      <c r="B17" s="35" t="inlineStr">
        <is>
          <t>•  "Do you script every video?"</t>
        </is>
      </c>
      <c r="E17" s="35" t="inlineStr">
        <is>
          <t>•  AI editing tutorial</t>
        </is>
      </c>
    </row>
    <row r="18">
      <c r="B18" s="35" t="inlineStr">
        <is>
          <t>•  "What's your upload schedule?"</t>
        </is>
      </c>
      <c r="E18" s="35" t="inlineStr">
        <is>
          <t>•  Analytics deep-dive series</t>
        </is>
      </c>
    </row>
  </sheetData>
  <mergeCells count="14">
    <mergeCell ref="B16:C16"/>
    <mergeCell ref="A1:G1"/>
    <mergeCell ref="B15:C15"/>
    <mergeCell ref="E16:F16"/>
    <mergeCell ref="E15:F15"/>
    <mergeCell ref="B5:C5"/>
    <mergeCell ref="E5:F5"/>
    <mergeCell ref="B14:C14"/>
    <mergeCell ref="A2:G2"/>
    <mergeCell ref="E14:F14"/>
    <mergeCell ref="B17:C17"/>
    <mergeCell ref="B18:C18"/>
    <mergeCell ref="E17:F17"/>
    <mergeCell ref="E18:F1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E5D3BA"/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8" customWidth="1" min="5" max="5"/>
    <col width="3" customWidth="1" min="6" max="6"/>
    <col width="22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🧾  TAX PREPARATION</t>
        </is>
      </c>
    </row>
    <row r="2" ht="22" customHeight="1">
      <c r="A2" s="2" t="inlineStr">
        <is>
          <t xml:space="preserve">  Deduction-ready all year — categorized expenses, quarterly estimates &amp; receipts.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Deductible Category</t>
        </is>
      </c>
      <c r="B4" s="7" t="inlineStr">
        <is>
          <t>This Month</t>
        </is>
      </c>
      <c r="C4" s="7" t="inlineStr">
        <is>
          <t>YTD</t>
        </is>
      </c>
      <c r="D4" s="7" t="inlineStr">
        <is>
          <t>Receipt Ref</t>
        </is>
      </c>
      <c r="G4" s="4" t="inlineStr">
        <is>
          <t>QUARTERLY ESTIMATE</t>
        </is>
      </c>
    </row>
    <row r="5">
      <c r="A5" s="35" t="inlineStr">
        <is>
          <t>Software &amp; Subscriptions</t>
        </is>
      </c>
      <c r="B5" s="56" t="n">
        <v>260</v>
      </c>
      <c r="C5" s="56" t="n">
        <v>1820</v>
      </c>
      <c r="D5" s="35" t="inlineStr">
        <is>
          <t>Card stmt</t>
        </is>
      </c>
      <c r="G5" s="19" t="inlineStr">
        <is>
          <t>Est. taxable income (YTD)</t>
        </is>
      </c>
      <c r="H5" s="58">
        <f>RevenueTotal*6-C14</f>
        <v/>
      </c>
    </row>
    <row r="6">
      <c r="A6" s="25" t="inlineStr">
        <is>
          <t>Equipment</t>
        </is>
      </c>
      <c r="B6" s="50" t="n">
        <v>680</v>
      </c>
      <c r="C6" s="50" t="n">
        <v>4760</v>
      </c>
      <c r="D6" s="25" t="inlineStr">
        <is>
          <t>Receipts /gear</t>
        </is>
      </c>
      <c r="G6" s="19" t="inlineStr">
        <is>
          <t>Est. tax rate</t>
        </is>
      </c>
      <c r="H6" s="39" t="n">
        <v>0.25</v>
      </c>
    </row>
    <row r="7">
      <c r="A7" s="35" t="inlineStr">
        <is>
          <t>Contractors (editors)</t>
        </is>
      </c>
      <c r="B7" s="56" t="n">
        <v>1000</v>
      </c>
      <c r="C7" s="56" t="n">
        <v>7000</v>
      </c>
      <c r="D7" s="35" t="inlineStr">
        <is>
          <t>1099s</t>
        </is>
      </c>
      <c r="G7" s="19" t="inlineStr">
        <is>
          <t>Quarterly set-aside</t>
        </is>
      </c>
      <c r="H7" s="73">
        <f>MAX(H5*H6/4,0)</f>
        <v/>
      </c>
    </row>
    <row r="8">
      <c r="A8" s="25" t="inlineStr">
        <is>
          <t>Marketing &amp; Ads</t>
        </is>
      </c>
      <c r="B8" s="50" t="n">
        <v>180</v>
      </c>
      <c r="C8" s="50" t="n">
        <v>1260</v>
      </c>
      <c r="D8" s="25" t="inlineStr">
        <is>
          <t>Card stmt</t>
        </is>
      </c>
      <c r="G8" s="19" t="inlineStr">
        <is>
          <t>Next payment due</t>
        </is>
      </c>
      <c r="H8" s="74" t="n">
        <v>46280</v>
      </c>
    </row>
    <row r="9">
      <c r="A9" s="35" t="inlineStr">
        <is>
          <t>Home Office</t>
        </is>
      </c>
      <c r="B9" s="56" t="n">
        <v>90</v>
      </c>
      <c r="C9" s="56" t="n">
        <v>630</v>
      </c>
      <c r="D9" s="35" t="inlineStr">
        <is>
          <t>Sq-ft method</t>
        </is>
      </c>
    </row>
    <row r="10">
      <c r="A10" s="25" t="inlineStr">
        <is>
          <t>Education &amp; Courses</t>
        </is>
      </c>
      <c r="B10" s="50" t="n">
        <v>99</v>
      </c>
      <c r="C10" s="50" t="n">
        <v>693</v>
      </c>
      <c r="D10" s="25" t="inlineStr">
        <is>
          <t>Receipts</t>
        </is>
      </c>
      <c r="G10" s="2" t="inlineStr">
        <is>
          <t>Not tax advice — confirm with your CPA.</t>
        </is>
      </c>
    </row>
    <row r="11">
      <c r="A11" s="35" t="inlineStr">
        <is>
          <t>Travel &amp; Mileage</t>
        </is>
      </c>
      <c r="B11" s="56" t="n">
        <v>0</v>
      </c>
      <c r="C11" s="56" t="n">
        <v>940</v>
      </c>
      <c r="D11" s="35" t="inlineStr">
        <is>
          <t>Mileage log</t>
        </is>
      </c>
    </row>
    <row r="12">
      <c r="A12" s="25" t="inlineStr">
        <is>
          <t>Depreciation (est.)</t>
        </is>
      </c>
      <c r="B12" s="50" t="n">
        <v>320</v>
      </c>
      <c r="C12" s="50" t="n">
        <v>2240</v>
      </c>
      <c r="D12" s="25" t="inlineStr">
        <is>
          <t>CPA schedule</t>
        </is>
      </c>
    </row>
    <row r="13">
      <c r="A13" s="35" t="inlineStr">
        <is>
          <t>Platform / Payment Fees</t>
        </is>
      </c>
      <c r="B13" s="56" t="n">
        <v>140</v>
      </c>
      <c r="C13" s="56" t="n">
        <v>980</v>
      </c>
      <c r="D13" s="35" t="inlineStr">
        <is>
          <t>Payout reports</t>
        </is>
      </c>
    </row>
    <row r="14">
      <c r="A14" s="7" t="inlineStr">
        <is>
          <t>TOTAL DEDUCTIONS</t>
        </is>
      </c>
      <c r="B14" s="53">
        <f>SUM(B5:B13)</f>
        <v/>
      </c>
      <c r="C14" s="53">
        <f>SUM(C5:C13)</f>
        <v/>
      </c>
    </row>
  </sheetData>
  <mergeCells count="4">
    <mergeCell ref="A1:I1"/>
    <mergeCell ref="G4:H4"/>
    <mergeCell ref="G10:H10"/>
    <mergeCell ref="A2:I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1B4F48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22" customWidth="1" min="4" max="4"/>
    <col width="20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📆  ANNUAL STRATEGIC PLANNER</t>
        </is>
      </c>
    </row>
    <row r="2" ht="22" customHeight="1">
      <c r="A2" s="2" t="inlineStr">
        <is>
          <t xml:space="preserve">  See the whole year — quarterly themes, launches, campaigns &amp; rest.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30" customHeight="1">
      <c r="B5" s="7" t="inlineStr">
        <is>
          <t>Quarter</t>
        </is>
      </c>
      <c r="C5" s="7" t="inlineStr">
        <is>
          <t>Theme</t>
        </is>
      </c>
      <c r="D5" s="7" t="inlineStr">
        <is>
          <t>Flagship Series</t>
        </is>
      </c>
      <c r="E5" s="7" t="inlineStr">
        <is>
          <t>Major Launch</t>
        </is>
      </c>
      <c r="F5" s="7" t="inlineStr">
        <is>
          <t>Objective</t>
        </is>
      </c>
    </row>
    <row r="6" ht="26" customHeight="1">
      <c r="B6" s="75" t="inlineStr">
        <is>
          <t>Q1</t>
        </is>
      </c>
      <c r="C6" s="35" t="inlineStr">
        <is>
          <t>Foundations</t>
        </is>
      </c>
      <c r="D6" s="35" t="inlineStr">
        <is>
          <t>Creator Systems</t>
        </is>
      </c>
      <c r="E6" s="35" t="inlineStr">
        <is>
          <t>Content OS template</t>
        </is>
      </c>
      <c r="F6" s="35" t="inlineStr">
        <is>
          <t>Hit 90k subs</t>
        </is>
      </c>
    </row>
    <row r="7" ht="26" customHeight="1">
      <c r="B7" s="76" t="inlineStr">
        <is>
          <t>Q2</t>
        </is>
      </c>
      <c r="C7" s="25" t="inlineStr">
        <is>
          <t>Monetize</t>
        </is>
      </c>
      <c r="D7" s="25" t="inlineStr">
        <is>
          <t>Make Money on YT</t>
        </is>
      </c>
      <c r="E7" s="25" t="inlineStr">
        <is>
          <t>Faceless course</t>
        </is>
      </c>
      <c r="F7" s="25" t="inlineStr">
        <is>
          <t>$12k/mo revenue</t>
        </is>
      </c>
    </row>
    <row r="8" ht="26" customHeight="1">
      <c r="B8" s="75" t="inlineStr">
        <is>
          <t>Q3</t>
        </is>
      </c>
      <c r="C8" s="35" t="inlineStr">
        <is>
          <t>Scale</t>
        </is>
      </c>
      <c r="D8" s="35" t="inlineStr">
        <is>
          <t>Faceless Channels</t>
        </is>
      </c>
      <c r="E8" s="35" t="inlineStr">
        <is>
          <t>Membership tier</t>
        </is>
      </c>
      <c r="F8" s="35" t="inlineStr">
        <is>
          <t>20k watch hrs/mo</t>
        </is>
      </c>
    </row>
    <row r="9" ht="26" customHeight="1">
      <c r="B9" s="76" t="inlineStr">
        <is>
          <t>Q4</t>
        </is>
      </c>
      <c r="C9" s="25" t="inlineStr">
        <is>
          <t>Authority</t>
        </is>
      </c>
      <c r="D9" s="25" t="inlineStr">
        <is>
          <t>Year in Review</t>
        </is>
      </c>
      <c r="E9" s="25" t="inlineStr">
        <is>
          <t>Cohort program</t>
        </is>
      </c>
      <c r="F9" s="25" t="inlineStr">
        <is>
          <t>100k subs</t>
        </is>
      </c>
    </row>
    <row r="11" ht="22" customHeight="1">
      <c r="B11" s="4" t="inlineStr">
        <is>
          <t>TENTPOLE MOMENTS &amp; REST</t>
        </is>
      </c>
    </row>
    <row r="12">
      <c r="B12" s="72" t="inlineStr">
        <is>
          <t>◆</t>
        </is>
      </c>
      <c r="C12" s="35" t="inlineStr">
        <is>
          <t>Jan — New-year 'systems' push (highest search)</t>
        </is>
      </c>
    </row>
    <row r="13">
      <c r="B13" s="72" t="inlineStr">
        <is>
          <t>◆</t>
        </is>
      </c>
      <c r="C13" s="35" t="inlineStr">
        <is>
          <t>Apr — Faceless course launch week</t>
        </is>
      </c>
    </row>
    <row r="14">
      <c r="B14" s="72" t="inlineStr">
        <is>
          <t>◆</t>
        </is>
      </c>
      <c r="C14" s="35" t="inlineStr">
        <is>
          <t>Jul — Mid-year deload + video-bank shoot</t>
        </is>
      </c>
    </row>
    <row r="15">
      <c r="B15" s="72" t="inlineStr">
        <is>
          <t>◆</t>
        </is>
      </c>
      <c r="C15" s="35" t="inlineStr">
        <is>
          <t>Nov — Black Friday product bundle</t>
        </is>
      </c>
    </row>
    <row r="16">
      <c r="B16" s="72" t="inlineStr">
        <is>
          <t>◆</t>
        </is>
      </c>
      <c r="C16" s="35" t="inlineStr">
        <is>
          <t>Dec — Year-in-review + 2 weeks off</t>
        </is>
      </c>
    </row>
  </sheetData>
  <mergeCells count="8">
    <mergeCell ref="C13:F13"/>
    <mergeCell ref="A1:G1"/>
    <mergeCell ref="B11:F11"/>
    <mergeCell ref="C12:F12"/>
    <mergeCell ref="C16:F16"/>
    <mergeCell ref="A2:G2"/>
    <mergeCell ref="C15:F15"/>
    <mergeCell ref="C14:F1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937356"/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14" customWidth="1" min="4" max="4"/>
    <col width="3" customWidth="1" min="5" max="5"/>
    <col width="20" customWidth="1" min="6" max="6"/>
    <col width="20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📸  PHOTO GALLERY</t>
        </is>
      </c>
    </row>
    <row r="2" ht="22" customHeight="1">
      <c r="A2" s="2" t="inlineStr">
        <is>
          <t xml:space="preserve">  Your channel's visual board — branding, studio, thumbnails, awards &amp; vision.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 ht="22" customHeight="1">
      <c r="B5" s="7" t="inlineStr">
        <is>
          <t xml:space="preserve">  Channel Branding</t>
        </is>
      </c>
      <c r="F5" s="7" t="inlineStr">
        <is>
          <t xml:space="preserve">  Studio Setup</t>
        </is>
      </c>
    </row>
    <row r="6" ht="24" customHeight="1">
      <c r="B6" s="31" t="inlineStr">
        <is>
          <t>📷
Paste image here
(Insert ▸ Picture)</t>
        </is>
      </c>
      <c r="F6" s="31" t="inlineStr">
        <is>
          <t>📷
Paste image here
(Insert ▸ Picture)</t>
        </is>
      </c>
    </row>
    <row r="7" ht="24" customHeight="1"/>
    <row r="8" ht="24" customHeight="1"/>
    <row r="9" ht="24" customHeight="1"/>
    <row r="10" ht="24" customHeight="1"/>
    <row r="11">
      <c r="B11" s="19" t="inlineStr">
        <is>
          <t>Notes</t>
        </is>
      </c>
      <c r="C11" s="20" t="inlineStr"/>
      <c r="F11" s="19" t="inlineStr">
        <is>
          <t>Notes</t>
        </is>
      </c>
      <c r="G11" s="20" t="inlineStr"/>
    </row>
    <row r="12">
      <c r="B12" s="19" t="inlineStr">
        <is>
          <t>Status</t>
        </is>
      </c>
      <c r="C12" s="20" t="inlineStr"/>
      <c r="F12" s="19" t="inlineStr">
        <is>
          <t>Status</t>
        </is>
      </c>
      <c r="G12" s="20" t="inlineStr"/>
    </row>
    <row r="14" ht="22" customHeight="1">
      <c r="B14" s="7" t="inlineStr">
        <is>
          <t xml:space="preserve">  Thumbnail Board</t>
        </is>
      </c>
      <c r="F14" s="7" t="inlineStr">
        <is>
          <t xml:space="preserve">  Milestones / Awards</t>
        </is>
      </c>
    </row>
    <row r="15" ht="24" customHeight="1">
      <c r="B15" s="31" t="inlineStr">
        <is>
          <t>📷
Paste image here
(Insert ▸ Picture)</t>
        </is>
      </c>
      <c r="F15" s="31" t="inlineStr">
        <is>
          <t>📷
Paste image here
(Insert ▸ Picture)</t>
        </is>
      </c>
    </row>
    <row r="16" ht="24" customHeight="1"/>
    <row r="17" ht="24" customHeight="1"/>
    <row r="18" ht="24" customHeight="1"/>
    <row r="19" ht="24" customHeight="1"/>
    <row r="20">
      <c r="B20" s="19" t="inlineStr">
        <is>
          <t>Notes</t>
        </is>
      </c>
      <c r="C20" s="20" t="inlineStr"/>
      <c r="F20" s="19" t="inlineStr">
        <is>
          <t>Notes</t>
        </is>
      </c>
      <c r="G20" s="20" t="inlineStr"/>
    </row>
    <row r="21">
      <c r="B21" s="19" t="inlineStr">
        <is>
          <t>Status</t>
        </is>
      </c>
      <c r="C21" s="20" t="inlineStr"/>
      <c r="F21" s="19" t="inlineStr">
        <is>
          <t>Status</t>
        </is>
      </c>
      <c r="G21" s="20" t="inlineStr"/>
    </row>
    <row r="23" ht="22" customHeight="1">
      <c r="B23" s="7" t="inlineStr">
        <is>
          <t xml:space="preserve">  Creator Team</t>
        </is>
      </c>
      <c r="F23" s="7" t="inlineStr">
        <is>
          <t xml:space="preserve">  Vision Board</t>
        </is>
      </c>
    </row>
    <row r="24" ht="24" customHeight="1">
      <c r="B24" s="31" t="inlineStr">
        <is>
          <t>📷
Paste image here
(Insert ▸ Picture)</t>
        </is>
      </c>
      <c r="F24" s="31" t="inlineStr">
        <is>
          <t>📷
Paste image here
(Insert ▸ Picture)</t>
        </is>
      </c>
    </row>
    <row r="25" ht="24" customHeight="1"/>
    <row r="26" ht="24" customHeight="1"/>
    <row r="27" ht="24" customHeight="1"/>
    <row r="28" ht="24" customHeight="1"/>
    <row r="29">
      <c r="B29" s="19" t="inlineStr">
        <is>
          <t>Notes</t>
        </is>
      </c>
      <c r="C29" s="20" t="inlineStr"/>
      <c r="F29" s="19" t="inlineStr">
        <is>
          <t>Notes</t>
        </is>
      </c>
      <c r="G29" s="20" t="inlineStr"/>
    </row>
    <row r="30">
      <c r="B30" s="19" t="inlineStr">
        <is>
          <t>Status</t>
        </is>
      </c>
      <c r="C30" s="20" t="inlineStr"/>
      <c r="F30" s="19" t="inlineStr">
        <is>
          <t>Status</t>
        </is>
      </c>
      <c r="G30" s="20" t="inlineStr"/>
    </row>
  </sheetData>
  <mergeCells count="26">
    <mergeCell ref="F6:H10"/>
    <mergeCell ref="G21:H21"/>
    <mergeCell ref="G12:H12"/>
    <mergeCell ref="B14:D14"/>
    <mergeCell ref="F5:H5"/>
    <mergeCell ref="F15:H19"/>
    <mergeCell ref="C30:D30"/>
    <mergeCell ref="B23:D23"/>
    <mergeCell ref="G11:H11"/>
    <mergeCell ref="F24:H28"/>
    <mergeCell ref="F23:H23"/>
    <mergeCell ref="C20:D20"/>
    <mergeCell ref="A2:I2"/>
    <mergeCell ref="C29:D29"/>
    <mergeCell ref="C12:D12"/>
    <mergeCell ref="B15:D19"/>
    <mergeCell ref="B5:D5"/>
    <mergeCell ref="B6:D10"/>
    <mergeCell ref="C21:D21"/>
    <mergeCell ref="F14:H14"/>
    <mergeCell ref="G30:H30"/>
    <mergeCell ref="C11:D11"/>
    <mergeCell ref="B24:D28"/>
    <mergeCell ref="G29:H29"/>
    <mergeCell ref="G20:H20"/>
    <mergeCell ref="A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E5D3BA"/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channel details once — every dashboard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6" t="inlineStr">
        <is>
          <t>CHANNEL INPUTS</t>
        </is>
      </c>
      <c r="E5" s="4" t="inlineStr">
        <is>
          <t>DROPDOWN LISTS</t>
        </is>
      </c>
    </row>
    <row r="6">
      <c r="B6" s="19" t="inlineStr">
        <is>
          <t>Channel Name</t>
        </is>
      </c>
      <c r="C6" s="75" t="inlineStr">
        <is>
          <t>Vale Studio</t>
        </is>
      </c>
      <c r="E6" s="7" t="inlineStr">
        <is>
          <t>Content Pillar</t>
        </is>
      </c>
      <c r="F6" s="7" t="inlineStr">
        <is>
          <t>Video Type</t>
        </is>
      </c>
      <c r="G6" s="7" t="inlineStr">
        <is>
          <t>Status</t>
        </is>
      </c>
      <c r="H6" s="7" t="inlineStr">
        <is>
          <t>Revenue Category</t>
        </is>
      </c>
      <c r="I6" s="7" t="inlineStr">
        <is>
          <t>Expense Category</t>
        </is>
      </c>
      <c r="J6" s="7" t="inlineStr">
        <is>
          <t>Campaign Type</t>
        </is>
      </c>
      <c r="K6" s="7" t="inlineStr">
        <is>
          <t>Goal Category</t>
        </is>
      </c>
      <c r="L6" s="7" t="inlineStr">
        <is>
          <t>Sponsor Stage</t>
        </is>
      </c>
    </row>
    <row r="7">
      <c r="B7" s="19" t="inlineStr">
        <is>
          <t>Creator</t>
        </is>
      </c>
      <c r="C7" s="75" t="inlineStr">
        <is>
          <t>Jordan Vale</t>
        </is>
      </c>
      <c r="E7" s="35" t="inlineStr">
        <is>
          <t>Systems</t>
        </is>
      </c>
      <c r="F7" s="35" t="inlineStr">
        <is>
          <t>Long-form</t>
        </is>
      </c>
      <c r="G7" s="35" t="inlineStr">
        <is>
          <t>Idea</t>
        </is>
      </c>
      <c r="H7" s="35" t="inlineStr">
        <is>
          <t>AdSense</t>
        </is>
      </c>
      <c r="I7" s="35" t="inlineStr">
        <is>
          <t>Software</t>
        </is>
      </c>
      <c r="J7" s="35" t="inlineStr">
        <is>
          <t>Sponsored</t>
        </is>
      </c>
      <c r="K7" s="35" t="inlineStr">
        <is>
          <t>Subscribers</t>
        </is>
      </c>
      <c r="L7" s="35" t="inlineStr">
        <is>
          <t>Lead</t>
        </is>
      </c>
    </row>
    <row r="8">
      <c r="B8" s="19" t="inlineStr">
        <is>
          <t>Niche</t>
        </is>
      </c>
      <c r="C8" s="75" t="inlineStr">
        <is>
          <t>Creator business &amp; tech</t>
        </is>
      </c>
      <c r="E8" s="35" t="inlineStr">
        <is>
          <t>Money</t>
        </is>
      </c>
      <c r="F8" s="35" t="inlineStr">
        <is>
          <t>Short</t>
        </is>
      </c>
      <c r="G8" s="35" t="inlineStr">
        <is>
          <t>Scripting</t>
        </is>
      </c>
      <c r="H8" s="35" t="inlineStr">
        <is>
          <t>Sponsors</t>
        </is>
      </c>
      <c r="I8" s="35" t="inlineStr">
        <is>
          <t>Equipment</t>
        </is>
      </c>
      <c r="J8" s="35" t="inlineStr">
        <is>
          <t>Affiliate</t>
        </is>
      </c>
      <c r="K8" s="35" t="inlineStr">
        <is>
          <t>Watch Hours</t>
        </is>
      </c>
      <c r="L8" s="35" t="inlineStr">
        <is>
          <t>Outreach</t>
        </is>
      </c>
    </row>
    <row r="9">
      <c r="B9" s="19" t="inlineStr">
        <is>
          <t>Currency</t>
        </is>
      </c>
      <c r="C9" s="75" t="inlineStr">
        <is>
          <t>USD</t>
        </is>
      </c>
      <c r="E9" s="35" t="inlineStr">
        <is>
          <t>Growth</t>
        </is>
      </c>
      <c r="F9" s="35" t="inlineStr">
        <is>
          <t>Live</t>
        </is>
      </c>
      <c r="G9" s="35" t="inlineStr">
        <is>
          <t>Filming</t>
        </is>
      </c>
      <c r="H9" s="35" t="inlineStr">
        <is>
          <t>Affiliate</t>
        </is>
      </c>
      <c r="I9" s="35" t="inlineStr">
        <is>
          <t>Contractors</t>
        </is>
      </c>
      <c r="J9" s="35" t="inlineStr">
        <is>
          <t>Product</t>
        </is>
      </c>
      <c r="K9" s="35" t="inlineStr">
        <is>
          <t>Revenue</t>
        </is>
      </c>
      <c r="L9" s="35" t="inlineStr">
        <is>
          <t>Negotiation</t>
        </is>
      </c>
    </row>
    <row r="10">
      <c r="B10" s="19" t="inlineStr">
        <is>
          <t>Monthly Revenue Goal</t>
        </is>
      </c>
      <c r="C10" s="55" t="n">
        <v>12000</v>
      </c>
      <c r="E10" s="35" t="inlineStr">
        <is>
          <t>Tools</t>
        </is>
      </c>
      <c r="F10" s="35" t="inlineStr">
        <is>
          <t>Podcast</t>
        </is>
      </c>
      <c r="G10" s="35" t="inlineStr">
        <is>
          <t>Editing</t>
        </is>
      </c>
      <c r="H10" s="35" t="inlineStr">
        <is>
          <t>Courses</t>
        </is>
      </c>
      <c r="I10" s="35" t="inlineStr">
        <is>
          <t>Marketing</t>
        </is>
      </c>
      <c r="J10" s="35" t="inlineStr">
        <is>
          <t>Organic</t>
        </is>
      </c>
      <c r="K10" s="35" t="inlineStr">
        <is>
          <t>Uploads</t>
        </is>
      </c>
      <c r="L10" s="35" t="inlineStr">
        <is>
          <t>Signed</t>
        </is>
      </c>
    </row>
    <row r="11">
      <c r="B11" s="19" t="inlineStr">
        <is>
          <t>Monthly Upload Goal</t>
        </is>
      </c>
      <c r="C11" s="77" t="n">
        <v>7</v>
      </c>
      <c r="E11" s="35" t="inlineStr">
        <is>
          <t>Mindset</t>
        </is>
      </c>
      <c r="F11" s="35" t="inlineStr">
        <is>
          <t>Tutorial</t>
        </is>
      </c>
      <c r="G11" s="35" t="inlineStr">
        <is>
          <t>Review</t>
        </is>
      </c>
      <c r="H11" s="35" t="inlineStr">
        <is>
          <t>Digital Products</t>
        </is>
      </c>
      <c r="I11" s="35" t="inlineStr">
        <is>
          <t>Office</t>
        </is>
      </c>
      <c r="J11" s="35" t="inlineStr">
        <is>
          <t>Series</t>
        </is>
      </c>
      <c r="K11" s="35" t="inlineStr">
        <is>
          <t>Sponsors</t>
        </is>
      </c>
      <c r="L11" s="35" t="inlineStr">
        <is>
          <t>Delivered</t>
        </is>
      </c>
    </row>
    <row r="12">
      <c r="B12" s="19" t="inlineStr">
        <is>
          <t>Active Deal Target</t>
        </is>
      </c>
      <c r="C12" s="77" t="n">
        <v>6</v>
      </c>
      <c r="E12" s="35" t="inlineStr">
        <is>
          <t>Behind-the-scenes</t>
        </is>
      </c>
      <c r="F12" s="35" t="inlineStr">
        <is>
          <t>Vlog</t>
        </is>
      </c>
      <c r="G12" s="35" t="inlineStr">
        <is>
          <t>Scheduled</t>
        </is>
      </c>
      <c r="H12" s="35" t="inlineStr">
        <is>
          <t>Memberships</t>
        </is>
      </c>
      <c r="I12" s="35" t="inlineStr">
        <is>
          <t>Education</t>
        </is>
      </c>
      <c r="J12" s="35" t="inlineStr">
        <is>
          <t>Collab</t>
        </is>
      </c>
      <c r="K12" s="35" t="inlineStr">
        <is>
          <t>Products</t>
        </is>
      </c>
      <c r="L12" s="35" t="inlineStr">
        <is>
          <t>Paid</t>
        </is>
      </c>
    </row>
    <row r="13">
      <c r="B13" s="19" t="inlineStr">
        <is>
          <t>Avg View Dur Target (min)</t>
        </is>
      </c>
      <c r="C13" s="77" t="n">
        <v>6</v>
      </c>
      <c r="G13" s="35" t="inlineStr">
        <is>
          <t>Published</t>
        </is>
      </c>
      <c r="H13" s="35" t="inlineStr">
        <is>
          <t>Consulting</t>
        </is>
      </c>
      <c r="I13" s="35" t="inlineStr">
        <is>
          <t>Travel</t>
        </is>
      </c>
      <c r="K13" s="35" t="inlineStr">
        <is>
          <t>Engagement</t>
        </is>
      </c>
    </row>
    <row r="14">
      <c r="G14" s="35" t="inlineStr">
        <is>
          <t>Repurposed</t>
        </is>
      </c>
      <c r="H14" s="35" t="inlineStr">
        <is>
          <t>Merchandise</t>
        </is>
      </c>
      <c r="I14" s="35" t="inlineStr">
        <is>
          <t>Miscellaneous</t>
        </is>
      </c>
    </row>
    <row r="16">
      <c r="E16" s="7" t="inlineStr">
        <is>
          <t>Priority</t>
        </is>
      </c>
      <c r="F16" s="7" t="inlineStr">
        <is>
          <t>Currency</t>
        </is>
      </c>
      <c r="G16" s="7" t="inlineStr">
        <is>
          <t>Yes / No</t>
        </is>
      </c>
    </row>
    <row r="17">
      <c r="E17" s="35" t="inlineStr">
        <is>
          <t>High</t>
        </is>
      </c>
      <c r="F17" s="35" t="inlineStr">
        <is>
          <t>USD</t>
        </is>
      </c>
      <c r="G17" s="35" t="inlineStr">
        <is>
          <t>Yes</t>
        </is>
      </c>
    </row>
    <row r="18">
      <c r="E18" s="35" t="inlineStr">
        <is>
          <t>Medium</t>
        </is>
      </c>
      <c r="F18" s="35" t="inlineStr">
        <is>
          <t>EUR</t>
        </is>
      </c>
      <c r="G18" s="35" t="inlineStr">
        <is>
          <t>No</t>
        </is>
      </c>
    </row>
    <row r="19">
      <c r="E19" s="35" t="inlineStr">
        <is>
          <t>Low</t>
        </is>
      </c>
      <c r="F19" s="35" t="inlineStr">
        <is>
          <t>GBP</t>
        </is>
      </c>
    </row>
    <row r="20">
      <c r="F20" s="35" t="inlineStr">
        <is>
          <t>CAD</t>
        </is>
      </c>
    </row>
    <row r="21">
      <c r="F21" s="35" t="inlineStr">
        <is>
          <t>AUD</t>
        </is>
      </c>
    </row>
  </sheetData>
  <mergeCells count="4">
    <mergeCell ref="E5:L5"/>
    <mergeCell ref="A2:L2"/>
    <mergeCell ref="B5:C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2026-07-05T23:00:09Z</dcterms:created>
  <dcterms:modified xsi:type="dcterms:W3CDTF">2026-07-05T23:00:09Z</dcterms:modified>
</cp:coreProperties>
</file>