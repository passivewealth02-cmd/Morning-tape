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Pricing Calculator" sheetId="3" state="visible" r:id="rId3"/>
    <sheet name="Product Line" sheetId="4" state="visible" r:id="rId4"/>
    <sheet name="Supplies &amp; Inventory" sheetId="5" state="visible" r:id="rId5"/>
    <sheet name="Orders" sheetId="6" state="visible" r:id="rId6"/>
    <sheet name="Overhead &amp; Fees" sheetId="7" state="visible" r:id="rId7"/>
    <sheet name="Sales Log" sheetId="8" state="visible" r:id="rId8"/>
    <sheet name="Time &amp; Labor" sheetId="9" state="visible" r:id="rId9"/>
    <sheet name="Expenses" sheetId="10" state="visible" r:id="rId10"/>
    <sheet name="Reviews &amp; Repeat" sheetId="11" state="visible" r:id="rId11"/>
    <sheet name="Channels &amp; Markets" sheetId="12" state="visible" r:id="rId12"/>
    <sheet name="Monthly Summary" sheetId="13" state="visible" r:id="rId13"/>
    <sheet name="Settings" sheetId="14" state="visible" r:id="rId14"/>
  </sheets>
  <definedNames>
    <definedName name="Business">Settings!$C$6</definedName>
    <definedName name="Owner">Settings!$C$7</definedName>
    <definedName name="LaborRate">Settings!$C$8</definedName>
    <definedName name="MarkupDefault">Settings!$C$9</definedName>
    <definedName name="WholesaleFactor">Settings!$C$10</definedName>
    <definedName name="MarginGoal">Settings!$C$11</definedName>
    <definedName name="MarkupGoal">Settings!$C$12</definedName>
    <definedName name="HourGoal">Settings!$C$13</definedName>
    <definedName name="ProfitGoal">Settings!$C$14</definedName>
    <definedName name="WholesaleMarginGoal">Settings!$C$15</definedName>
    <definedName name="ChannelList">Settings!$E$7:$E$11</definedName>
    <definedName name="OrdStatusList">Settings!$F$7:$F$11</definedName>
    <definedName name="UnitList">Settings!$G$7:$G$12</definedName>
    <definedName name="YesNoList">Settings!$H$7:$H$8</definedName>
    <definedName name="MatRows">'Pricing Calculator'!$C$7:$C$12</definedName>
    <definedName name="MatCost">'Pricing Calculator'!$C$13</definedName>
    <definedName name="LaborHours">'Pricing Calculator'!$C$14</definedName>
    <definedName name="LaborCost">'Pricing Calculator'!$C$15</definedName>
    <definedName name="OverheadItem">'Pricing Calculator'!$C$16</definedName>
    <definedName name="BaseCost">'Pricing Calculator'!$C$17</definedName>
    <definedName name="Markup">'Pricing Calculator'!$C$19</definedName>
    <definedName name="RetailPrice">'Pricing Calculator'!$C$20</definedName>
    <definedName name="WholesalePrice">'Pricing Calculator'!$C$21</definedName>
    <definedName name="RetailProfit">'Pricing Calculator'!$C$23</definedName>
    <definedName name="RetailMargin">'Pricing Calculator'!$C$24</definedName>
    <definedName name="WholesaleMargin">'Pricing Calculator'!$C$25</definedName>
    <definedName name="EffHourly">'Pricing Calculator'!$C$26</definedName>
    <definedName name="ProdName">'Product Line'!$B$5:$B$10</definedName>
    <definedName name="ProdRetail">'Product Line'!$E$5:$E$10</definedName>
    <definedName name="OrderTotal">'Orders'!$E$5:$E$32</definedName>
    <definedName name="OHAmt">'Overhead &amp; Fees'!$C$5:$C$10</definedName>
    <definedName name="OverheadTotal">'Overhead &amp; Fees'!$C$11</definedName>
    <definedName name="SaleQty">'Sales Log'!$D$5:$D$34</definedName>
    <definedName name="ExpAmt">'Expenses'!$C$5:$C$9</definedName>
    <definedName name="ExpTotal">'Expenses'!$C$10</definedName>
    <definedName name="RevRating">'Reviews &amp; Repeat'!$C$5:$C$28</definedName>
    <definedName name="MonthlyRevenue">'Monthly Summary'!$C$6</definedName>
    <definedName name="UnitsSold">'Monthly Summary'!$C$7</definedName>
    <definedName name="ThisMaterials">'Monthly Summary'!$C$8</definedName>
    <definedName name="ThisOverhead">'Monthly Summary'!$C$9</definedName>
    <definedName name="ThisLabor">'Monthly Summary'!$C$10</definedName>
    <definedName name="MonthlyProfit">'Monthly Summary'!$C$11</definedName>
    <definedName name="MaterialsPct">'Monthly Summary'!$C$12</definedName>
    <definedName name="MonthRev">'Monthly Summary'!$C$16:$C$21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"/>
    <numFmt numFmtId="166" formatCode="&quot;$&quot;#,##0.00"/>
    <numFmt numFmtId="167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1B4F48"/>
    </font>
    <font>
      <b val="1"/>
      <color rgb="001B4F48"/>
      <sz val="12"/>
    </font>
    <font>
      <b val="1"/>
      <color rgb="001B4F48"/>
      <sz val="13"/>
    </font>
    <font>
      <b val="1"/>
      <color rgb="00C94C4C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66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4" fillId="9" borderId="3" applyAlignment="1" pivotButton="0" quotePrefix="0" xfId="0">
      <alignment horizontal="center" vertical="center"/>
    </xf>
    <xf numFmtId="0" fontId="0" fillId="9" borderId="3" pivotButton="0" quotePrefix="0" xfId="0"/>
    <xf numFmtId="166" fontId="15" fillId="9" borderId="2" applyAlignment="1" pivotButton="0" quotePrefix="0" xfId="0">
      <alignment horizontal="center" vertical="center"/>
    </xf>
    <xf numFmtId="0" fontId="0" fillId="9" borderId="2" pivotButton="0" quotePrefix="0" xfId="0"/>
    <xf numFmtId="9" fontId="15" fillId="9" borderId="2" applyAlignment="1" pivotButton="0" quotePrefix="0" xfId="0">
      <alignment horizontal="center" vertical="center"/>
    </xf>
    <xf numFmtId="164" fontId="15" fillId="9" borderId="2" applyAlignment="1" pivotButton="0" quotePrefix="0" xfId="0">
      <alignment horizontal="center" vertical="center"/>
    </xf>
    <xf numFmtId="3" fontId="15" fillId="9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0" fontId="10" fillId="0" borderId="0" pivotButton="0" quotePrefix="0" xfId="0"/>
    <xf numFmtId="166" fontId="7" fillId="3" borderId="2" applyAlignment="1" pivotButton="0" quotePrefix="0" xfId="8">
      <alignment horizontal="center" vertical="center"/>
    </xf>
    <xf numFmtId="166" fontId="7" fillId="8" borderId="2" applyAlignment="1" pivotButton="0" quotePrefix="0" xfId="8">
      <alignment horizontal="center" vertical="center"/>
    </xf>
    <xf numFmtId="166" fontId="10" fillId="3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2" fontId="7" fillId="3" borderId="2" applyAlignment="1" pivotButton="0" quotePrefix="0" xfId="8">
      <alignment horizontal="center" vertical="center"/>
    </xf>
    <xf numFmtId="166" fontId="7" fillId="0" borderId="2" applyAlignment="1" pivotButton="0" quotePrefix="0" xfId="10">
      <alignment horizontal="left" vertical="center" indent="1"/>
    </xf>
    <xf numFmtId="166" fontId="11" fillId="6" borderId="2" applyAlignment="1" pivotButton="0" quotePrefix="0" xfId="6">
      <alignment horizontal="center" vertical="center" wrapText="1"/>
    </xf>
    <xf numFmtId="165" fontId="7" fillId="3" borderId="2" applyAlignment="1" pivotButton="0" quotePrefix="0" xfId="8">
      <alignment horizontal="center" vertical="center"/>
    </xf>
    <xf numFmtId="166" fontId="12" fillId="6" borderId="2" applyAlignment="1" pivotButton="0" quotePrefix="0" xfId="6">
      <alignment horizontal="center" vertical="center" wrapText="1"/>
    </xf>
    <xf numFmtId="166" fontId="7" fillId="6" borderId="2" applyAlignment="1" pivotButton="0" quotePrefix="0" xfId="10">
      <alignment horizontal="left" vertical="center" indent="1"/>
    </xf>
    <xf numFmtId="9" fontId="7" fillId="6" borderId="2" applyAlignment="1" pivotButton="0" quotePrefix="0" xfId="10">
      <alignment horizontal="left" vertical="center" indent="1"/>
    </xf>
    <xf numFmtId="164" fontId="7" fillId="3" borderId="2" applyAlignment="1" pivotButton="0" quotePrefix="0" xfId="8">
      <alignment horizontal="center" vertical="center"/>
    </xf>
    <xf numFmtId="164" fontId="7" fillId="8" borderId="2" applyAlignment="1" pivotButton="0" quotePrefix="0" xfId="8">
      <alignment horizontal="center" vertical="center"/>
    </xf>
    <xf numFmtId="3" fontId="7" fillId="3" borderId="2" applyAlignment="1" pivotButton="0" quotePrefix="0" xfId="8">
      <alignment horizontal="center" vertical="center"/>
    </xf>
    <xf numFmtId="166" fontId="6" fillId="0" borderId="2" applyAlignment="1" pivotButton="0" quotePrefix="0" xfId="6">
      <alignment horizontal="center" vertical="center" wrapText="1"/>
    </xf>
    <xf numFmtId="3" fontId="7" fillId="8" borderId="2" applyAlignment="1" pivotButton="0" quotePrefix="0" xfId="8">
      <alignment horizontal="center" vertical="center"/>
    </xf>
    <xf numFmtId="166" fontId="6" fillId="8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166" fontId="10" fillId="6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0" fontId="6" fillId="9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164" fontId="6" fillId="9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164" fontId="10" fillId="6" borderId="2" applyAlignment="1" pivotButton="0" quotePrefix="0" xfId="6">
      <alignment horizontal="center" vertical="center" wrapText="1"/>
    </xf>
    <xf numFmtId="164" fontId="13" fillId="3" borderId="2" applyAlignment="1" pivotButton="0" quotePrefix="0" xfId="6">
      <alignment horizontal="center" vertical="center" wrapText="1"/>
    </xf>
    <xf numFmtId="3" fontId="10" fillId="3" borderId="2" applyAlignment="1" pivotButton="0" quotePrefix="0" xfId="6">
      <alignment horizontal="center" vertical="center" wrapText="1"/>
    </xf>
    <xf numFmtId="165" fontId="6" fillId="9" borderId="2" applyAlignment="1" pivotButton="0" quotePrefix="0" xfId="6">
      <alignment horizontal="center" vertical="center" wrapText="1"/>
    </xf>
    <xf numFmtId="165" fontId="6" fillId="8" borderId="2" applyAlignment="1" pivotButton="0" quotePrefix="0" xfId="6">
      <alignment horizontal="center" vertical="center" wrapText="1"/>
    </xf>
    <xf numFmtId="165" fontId="10" fillId="6" borderId="2" applyAlignment="1" pivotButton="0" quotePrefix="0" xfId="6">
      <alignment horizontal="center" vertical="center" wrapText="1"/>
    </xf>
    <xf numFmtId="167" fontId="7" fillId="3" borderId="2" applyAlignment="1" pivotButton="0" quotePrefix="0" xfId="8">
      <alignment horizontal="center" vertical="center"/>
    </xf>
    <xf numFmtId="164" fontId="6" fillId="0" borderId="2" applyAlignment="1" pivotButton="0" quotePrefix="0" xfId="6">
      <alignment horizontal="center" vertical="center" wrapText="1"/>
    </xf>
    <xf numFmtId="167" fontId="7" fillId="8" borderId="2" applyAlignment="1" pivotButton="0" quotePrefix="0" xfId="8">
      <alignment horizontal="center" vertical="center"/>
    </xf>
    <xf numFmtId="164" fontId="10" fillId="3" borderId="2" applyAlignment="1" pivotButton="0" quotePrefix="0" xfId="6">
      <alignment horizontal="center" vertical="center" wrapText="1"/>
    </xf>
    <xf numFmtId="164" fontId="7" fillId="6" borderId="2" applyAlignment="1" pivotButton="0" quotePrefix="0" xfId="8">
      <alignment horizontal="center" vertical="center"/>
    </xf>
    <xf numFmtId="164" fontId="7" fillId="0" borderId="2" applyAlignment="1" pivotButton="0" quotePrefix="0" xfId="10">
      <alignment horizontal="left" vertical="center" indent="1"/>
    </xf>
    <xf numFmtId="164" fontId="12" fillId="6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9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Summary'!$B$16:$B$21</f>
            </numRef>
          </cat>
          <val>
            <numRef>
              <f>'Monthly Summary'!$C$16:$C$21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Summary'!$B$16:$B$21</f>
            </numRef>
          </cat>
          <val>
            <numRef>
              <f>'Monthly Summary'!$C$16:$C$21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43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🧶  HANDMADE &amp; MAKER PRICING COMMAND CENTER™</t>
        </is>
      </c>
    </row>
    <row r="2" ht="24" customHeight="1">
      <c r="A2" s="2" t="inlineStr">
        <is>
          <t xml:space="preserve">  Price for real profit, and finally pay yourself for your time.</t>
        </is>
      </c>
    </row>
    <row r="3" ht="6" customHeight="1">
      <c r="A3" s="3" t="n"/>
      <c r="B3" s="3" t="n"/>
      <c r="C3" s="3" t="n"/>
    </row>
    <row r="5">
      <c r="B5" s="4" t="inlineStr">
        <is>
          <t>YOUR WHOLE HANDMADE SHOP, IN ONE PLACE</t>
        </is>
      </c>
    </row>
    <row r="6" ht="22" customHeight="1">
      <c r="B6" s="5" t="inlineStr">
        <is>
          <t>A handmade shop lives or dies on one number most makers guess at: the real price a product must sell for to cover materials, pay you for your time, and still make a profit. This makes it clear: a price-for-profit engine that adds your materials, your labor and your overhead, then applies a markup to give a wholesale and a retail price — and shows your true hourly wage. Build your product line, run orders and supplies, track sales, overhead and expenses — all in ONE premium Google Sheets &amp; Excel system built for makers.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set your labor rate, markup &amp; margin goals.</t>
        </is>
      </c>
    </row>
    <row r="13" ht="22" customHeight="1">
      <c r="B13" s="8" t="inlineStr">
        <is>
          <t>2.  Price a product in the Pricing Calculator — materials, labor, overhead.</t>
        </is>
      </c>
    </row>
    <row r="14" ht="22" customHeight="1">
      <c r="B14" s="8" t="inlineStr">
        <is>
          <t>3.  Read your wholesale, retail &amp; your true hourly wage.</t>
        </is>
      </c>
    </row>
    <row r="15" ht="22" customHeight="1">
      <c r="B15" s="8" t="inlineStr">
        <is>
          <t>4.  Build your Product Line and run Orders &amp; Supplies.</t>
        </is>
      </c>
    </row>
    <row r="16" ht="22" customHeight="1">
      <c r="B16" s="8" t="inlineStr">
        <is>
          <t>5.  Log sales, track overhead, fees and expenses.</t>
        </is>
      </c>
    </row>
    <row r="17" ht="22" customHeight="1">
      <c r="B17" s="8" t="inlineStr">
        <is>
          <t>6.  Check the Dashboard: profit, your wage &amp; a Maker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candle shop (Ember &amp; Oak) is included so you can see how it all connects — just type over it with your own materials and products. The retail price and your true hourly wage are the two numbers that decide whether a handmade shop pays you or costs you, and they roll into a live Maker Score. Twelve matching printable pages (pricing worksheet, product price list, order form, supply list &amp; more) are included. This is a business tool, not financial, legal or tax advice — confirm figures with your own advisors.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Add your time to the price — a handmade product that doesn't pay you isn't priced right.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🧶  HANDMADE &amp; MAKER PRICING COMMAND CENTER™</t>
        </is>
      </c>
    </row>
    <row r="2" ht="24" customHeight="1">
      <c r="A2" s="2" t="inlineStr">
        <is>
          <t xml:space="preserve">  Base cost, retail, your true hourly wage &amp; a Maker Score — your whole shop,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MATERIALS</t>
        </is>
      </c>
      <c r="C5" s="13" t="n"/>
      <c r="D5" s="12" t="inlineStr">
        <is>
          <t>LABOR</t>
        </is>
      </c>
      <c r="E5" s="13" t="n"/>
      <c r="F5" s="12" t="inlineStr">
        <is>
          <t>BASE COST</t>
        </is>
      </c>
      <c r="G5" s="13" t="n"/>
      <c r="H5" s="12" t="inlineStr">
        <is>
          <t>WHOLESALE</t>
        </is>
      </c>
      <c r="I5" s="13" t="n"/>
      <c r="J5" s="12" t="inlineStr">
        <is>
          <t>RETAIL</t>
        </is>
      </c>
      <c r="K5" s="13" t="n"/>
      <c r="L5" s="12" t="inlineStr">
        <is>
          <t>RETAIL MARGIN</t>
        </is>
      </c>
      <c r="M5" s="13" t="n"/>
    </row>
    <row r="6" ht="40" customHeight="1">
      <c r="B6" s="14">
        <f>MatCost</f>
        <v/>
      </c>
      <c r="C6" s="15" t="n"/>
      <c r="D6" s="14">
        <f>LaborCost</f>
        <v/>
      </c>
      <c r="E6" s="15" t="n"/>
      <c r="F6" s="14">
        <f>BaseCost</f>
        <v/>
      </c>
      <c r="G6" s="15" t="n"/>
      <c r="H6" s="14">
        <f>WholesalePrice</f>
        <v/>
      </c>
      <c r="I6" s="15" t="n"/>
      <c r="J6" s="14">
        <f>RetailPrice</f>
        <v/>
      </c>
      <c r="K6" s="15" t="n"/>
      <c r="L6" s="16">
        <f>RetailMargin</f>
        <v/>
      </c>
      <c r="M6" s="15" t="n"/>
    </row>
    <row r="8" ht="18" customHeight="1">
      <c r="B8" s="12" t="inlineStr">
        <is>
          <t>PROFIT / ITEM</t>
        </is>
      </c>
      <c r="C8" s="13" t="n"/>
      <c r="D8" s="12" t="inlineStr">
        <is>
          <t>YOUR HOURLY</t>
        </is>
      </c>
      <c r="E8" s="13" t="n"/>
      <c r="F8" s="12" t="inlineStr">
        <is>
          <t>MONTHLY REVENUE</t>
        </is>
      </c>
      <c r="G8" s="13" t="n"/>
      <c r="H8" s="12" t="inlineStr">
        <is>
          <t>UNITS SOLD</t>
        </is>
      </c>
      <c r="I8" s="13" t="n"/>
      <c r="J8" s="12" t="inlineStr">
        <is>
          <t>MONTHLY PROFIT</t>
        </is>
      </c>
      <c r="K8" s="13" t="n"/>
      <c r="L8" s="12" t="inlineStr">
        <is>
          <t>MAKER SCORE</t>
        </is>
      </c>
      <c r="M8" s="13" t="n"/>
    </row>
    <row r="9" ht="40" customHeight="1">
      <c r="B9" s="14">
        <f>RetailProfit</f>
        <v/>
      </c>
      <c r="C9" s="15" t="n"/>
      <c r="D9" s="14">
        <f>EffHourly</f>
        <v/>
      </c>
      <c r="E9" s="15" t="n"/>
      <c r="F9" s="17">
        <f>MonthlyRevenue</f>
        <v/>
      </c>
      <c r="G9" s="15" t="n"/>
      <c r="H9" s="18">
        <f>UnitsSold</f>
        <v/>
      </c>
      <c r="I9" s="15" t="n"/>
      <c r="J9" s="17">
        <f>MonthlyProfit</f>
        <v/>
      </c>
      <c r="K9" s="15" t="n"/>
      <c r="L9" s="16">
        <f>IFERROR(AVERAGE(HealthRange),0)</f>
        <v/>
      </c>
      <c r="M9" s="15" t="n"/>
    </row>
    <row r="11" ht="26" customHeight="1">
      <c r="B11" s="4" t="inlineStr">
        <is>
          <t>MAKER HEALTH</t>
        </is>
      </c>
      <c r="H11" s="4" t="inlineStr">
        <is>
          <t>REVENUE BY MONTH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19" t="inlineStr">
        <is>
          <t>Retail margin healthy</t>
        </is>
      </c>
      <c r="C13" s="20">
        <f>IFERROR(MIN(RetailMargin/MarginGoal,1),0)</f>
        <v/>
      </c>
      <c r="D13" s="21">
        <f>IF(C13&gt;=0.85,"Strong",IF(C13&gt;=0.6,"OK","Watch"))</f>
        <v/>
      </c>
    </row>
    <row r="14">
      <c r="B14" s="22" t="inlineStr">
        <is>
          <t>Markup healthy</t>
        </is>
      </c>
      <c r="C14" s="23">
        <f>IFERROR(MIN(Markup/MarkupGoal,1),0)</f>
        <v/>
      </c>
      <c r="D14" s="24">
        <f>IF(C14&gt;=0.85,"Strong",IF(C14&gt;=0.6,"OK","Watch"))</f>
        <v/>
      </c>
    </row>
    <row r="15">
      <c r="B15" s="19" t="inlineStr">
        <is>
          <t>Paying yourself</t>
        </is>
      </c>
      <c r="C15" s="20">
        <f>IFERROR(MIN(EffHourly/HourGoal,1),0)</f>
        <v/>
      </c>
      <c r="D15" s="21">
        <f>IF(C15&gt;=0.85,"Strong",IF(C15&gt;=0.6,"OK","Watch"))</f>
        <v/>
      </c>
    </row>
    <row r="16">
      <c r="B16" s="22" t="inlineStr">
        <is>
          <t>Products priced</t>
        </is>
      </c>
      <c r="C16" s="23">
        <f>IFERROR(COUNTIF(ProdRetail,"&gt;0")/COUNTA(ProdName),0)</f>
        <v/>
      </c>
      <c r="D16" s="24">
        <f>IF(C16&gt;=0.85,"Strong",IF(C16&gt;=0.6,"OK","Watch"))</f>
        <v/>
      </c>
    </row>
    <row r="17">
      <c r="B17" s="19" t="inlineStr">
        <is>
          <t>Profitable</t>
        </is>
      </c>
      <c r="C17" s="20">
        <f>IFERROR(MIN(MonthlyProfit/ProfitGoal,1),0)</f>
        <v/>
      </c>
      <c r="D17" s="21">
        <f>IF(C17&gt;=0.85,"Strong",IF(C17&gt;=0.6,"OK","Watch"))</f>
        <v/>
      </c>
    </row>
    <row r="18">
      <c r="B18" s="22" t="inlineStr">
        <is>
          <t>Wholesale margin healthy</t>
        </is>
      </c>
      <c r="C18" s="23">
        <f>IFERROR(MIN(WholesaleMargin/WholesaleMarginGoal,1),0)</f>
        <v/>
      </c>
      <c r="D18" s="24">
        <f>IF(C18&gt;=0.85,"Strong",IF(C18&gt;=0.6,"OK","Watch"))</f>
        <v/>
      </c>
    </row>
    <row r="21" ht="26" customHeight="1">
      <c r="B21" s="2" t="inlineStr">
        <is>
          <t>Handmade &amp; Maker Pricing Command Center™ — price for profit, and pay yourself.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🧮  PRICING CALCULATOR</t>
        </is>
      </c>
    </row>
    <row r="2" ht="22" customHeight="1">
      <c r="A2" s="2" t="inlineStr">
        <is>
          <t xml:space="preserve">  Materials + your labor + overhead → wholesale &amp; retail price, and your true hourly wage.</t>
        </is>
      </c>
    </row>
    <row r="3" ht="6" customHeight="1">
      <c r="A3" s="3" t="n"/>
      <c r="B3" s="3" t="n"/>
      <c r="C3" s="3" t="n"/>
    </row>
    <row r="5">
      <c r="B5" s="4" t="inlineStr">
        <is>
          <t>PRODUCT</t>
        </is>
      </c>
      <c r="C5" s="25" t="inlineStr">
        <is>
          <t>Soy Candle 8oz</t>
        </is>
      </c>
    </row>
    <row r="6" ht="30" customHeight="1">
      <c r="B6" s="9" t="inlineStr">
        <is>
          <t>Material</t>
        </is>
      </c>
      <c r="C6" s="9" t="inlineStr">
        <is>
          <t>Cost</t>
        </is>
      </c>
    </row>
    <row r="7">
      <c r="B7" s="19" t="inlineStr">
        <is>
          <t>Soy wax</t>
        </is>
      </c>
      <c r="C7" s="26" t="n">
        <v>1.8</v>
      </c>
    </row>
    <row r="8">
      <c r="B8" s="22" t="inlineStr">
        <is>
          <t>Fragrance oil</t>
        </is>
      </c>
      <c r="C8" s="27" t="n">
        <v>1.2</v>
      </c>
    </row>
    <row r="9">
      <c r="B9" s="19" t="inlineStr">
        <is>
          <t>Wick</t>
        </is>
      </c>
      <c r="C9" s="26" t="n">
        <v>0.15</v>
      </c>
    </row>
    <row r="10">
      <c r="B10" s="22" t="inlineStr">
        <is>
          <t>Jar</t>
        </is>
      </c>
      <c r="C10" s="27" t="n">
        <v>1.85</v>
      </c>
    </row>
    <row r="11">
      <c r="B11" s="19" t="inlineStr">
        <is>
          <t>Label</t>
        </is>
      </c>
      <c r="C11" s="26" t="n">
        <v>0.25</v>
      </c>
    </row>
    <row r="12">
      <c r="B12" s="22" t="inlineStr">
        <is>
          <t>Box</t>
        </is>
      </c>
      <c r="C12" s="27" t="n">
        <v>0.75</v>
      </c>
    </row>
    <row r="13">
      <c r="B13" s="9">
        <f> MATERIALS</f>
        <v/>
      </c>
      <c r="C13" s="28">
        <f>SUM(MatRows)</f>
        <v/>
      </c>
    </row>
    <row r="14">
      <c r="B14" s="29" t="inlineStr">
        <is>
          <t>Labor hours (your time)</t>
        </is>
      </c>
      <c r="C14" s="30" t="n">
        <v>0.25</v>
      </c>
    </row>
    <row r="15">
      <c r="B15" s="29" t="inlineStr">
        <is>
          <t>+ Labor (hours × your rate)</t>
        </is>
      </c>
      <c r="C15" s="31">
        <f>LaborHours*LaborRate</f>
        <v/>
      </c>
    </row>
    <row r="16">
      <c r="B16" s="29" t="inlineStr">
        <is>
          <t>+ Overhead per item</t>
        </is>
      </c>
      <c r="C16" s="26" t="n">
        <v>1</v>
      </c>
    </row>
    <row r="17">
      <c r="B17" s="9">
        <f> BASE COST</f>
        <v/>
      </c>
      <c r="C17" s="32">
        <f>MatCost+LaborCost+OverheadItem</f>
        <v/>
      </c>
    </row>
    <row r="19">
      <c r="B19" s="29" t="inlineStr">
        <is>
          <t>Retail markup (×)</t>
        </is>
      </c>
      <c r="C19" s="33" t="n">
        <v>2.5</v>
      </c>
    </row>
    <row r="20">
      <c r="B20" s="9">
        <f> RETAIL PRICE</f>
        <v/>
      </c>
      <c r="C20" s="34">
        <f>BaseCost*Markup</f>
        <v/>
      </c>
    </row>
    <row r="21">
      <c r="B21" s="9">
        <f> WHOLESALE PRICE</f>
        <v/>
      </c>
      <c r="C21" s="32">
        <f>RetailPrice*WholesaleFactor</f>
        <v/>
      </c>
    </row>
    <row r="23">
      <c r="B23" s="29" t="inlineStr">
        <is>
          <t>Profit per item (retail)</t>
        </is>
      </c>
      <c r="C23" s="35">
        <f>RetailPrice-BaseCost</f>
        <v/>
      </c>
    </row>
    <row r="24">
      <c r="B24" s="29" t="inlineStr">
        <is>
          <t>Retail margin</t>
        </is>
      </c>
      <c r="C24" s="36">
        <f>IFERROR(RetailProfit/RetailPrice,0)</f>
        <v/>
      </c>
    </row>
    <row r="25">
      <c r="B25" s="29" t="inlineStr">
        <is>
          <t>Wholesale margin</t>
        </is>
      </c>
      <c r="C25" s="36">
        <f>IFERROR((WholesalePrice-BaseCost)/WholesalePrice,0)</f>
        <v/>
      </c>
    </row>
    <row r="26">
      <c r="B26" s="9">
        <f> YOUR TRUE HOURLY WAGE</f>
        <v/>
      </c>
      <c r="C26" s="32">
        <f>IFERROR((RetailPrice-MatCost-OverheadItem)/LaborHours,0)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4" customWidth="1" min="5" max="5"/>
    <col width="12" customWidth="1" min="6" max="6"/>
    <col width="2" customWidth="1" min="7" max="7"/>
  </cols>
  <sheetData>
    <row r="1" ht="46" customHeight="1">
      <c r="A1" s="1" t="inlineStr">
        <is>
          <t xml:space="preserve">  🕯  PRODUCT LINE</t>
        </is>
      </c>
    </row>
    <row r="2" ht="22" customHeight="1">
      <c r="A2" s="2" t="inlineStr">
        <is>
          <t xml:space="preserve">  Every product — base cost, wholesale, retail and the retail margin. Price the whole line for profit.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Product</t>
        </is>
      </c>
      <c r="C4" s="9" t="inlineStr">
        <is>
          <t>Base Cost</t>
        </is>
      </c>
      <c r="D4" s="9" t="inlineStr">
        <is>
          <t>Wholesale</t>
        </is>
      </c>
      <c r="E4" s="9" t="inlineStr">
        <is>
          <t>Retail</t>
        </is>
      </c>
      <c r="F4" s="9" t="inlineStr">
        <is>
          <t>Margin</t>
        </is>
      </c>
    </row>
    <row r="5">
      <c r="B5" s="19" t="inlineStr">
        <is>
          <t>Soy Candle 8oz</t>
        </is>
      </c>
      <c r="C5" s="26" t="n">
        <v>12</v>
      </c>
      <c r="D5" s="37" t="n">
        <v>15</v>
      </c>
      <c r="E5" s="37" t="n">
        <v>30</v>
      </c>
      <c r="F5" s="20">
        <f>IFERROR((E5-C5)/E5,0)</f>
        <v/>
      </c>
    </row>
    <row r="6">
      <c r="B6" s="22" t="inlineStr">
        <is>
          <t>Soy Candle 4oz</t>
        </is>
      </c>
      <c r="C6" s="27" t="n">
        <v>7.5</v>
      </c>
      <c r="D6" s="38" t="n">
        <v>9</v>
      </c>
      <c r="E6" s="38" t="n">
        <v>18</v>
      </c>
      <c r="F6" s="23">
        <f>IFERROR((E6-C6)/E6,0)</f>
        <v/>
      </c>
    </row>
    <row r="7">
      <c r="B7" s="19" t="inlineStr">
        <is>
          <t>Wax Melts (6)</t>
        </is>
      </c>
      <c r="C7" s="26" t="n">
        <v>5</v>
      </c>
      <c r="D7" s="37" t="n">
        <v>7</v>
      </c>
      <c r="E7" s="37" t="n">
        <v>14</v>
      </c>
      <c r="F7" s="20">
        <f>IFERROR((E7-C7)/E7,0)</f>
        <v/>
      </c>
    </row>
    <row r="8">
      <c r="B8" s="22" t="inlineStr">
        <is>
          <t>Reed Diffuser</t>
        </is>
      </c>
      <c r="C8" s="27" t="n">
        <v>9</v>
      </c>
      <c r="D8" s="38" t="n">
        <v>12</v>
      </c>
      <c r="E8" s="38" t="n">
        <v>24</v>
      </c>
      <c r="F8" s="23">
        <f>IFERROR((E8-C8)/E8,0)</f>
        <v/>
      </c>
    </row>
    <row r="9">
      <c r="B9" s="19" t="inlineStr">
        <is>
          <t>Candle Trio Set</t>
        </is>
      </c>
      <c r="C9" s="26" t="n">
        <v>30</v>
      </c>
      <c r="D9" s="37" t="n">
        <v>36</v>
      </c>
      <c r="E9" s="37" t="n">
        <v>72</v>
      </c>
      <c r="F9" s="20">
        <f>IFERROR((E9-C9)/E9,0)</f>
        <v/>
      </c>
    </row>
    <row r="10">
      <c r="B10" s="22" t="inlineStr">
        <is>
          <t>Room Spray</t>
        </is>
      </c>
      <c r="C10" s="27" t="n">
        <v>4.5</v>
      </c>
      <c r="D10" s="38" t="n">
        <v>6</v>
      </c>
      <c r="E10" s="38" t="n">
        <v>12</v>
      </c>
      <c r="F10" s="23">
        <f>IFERROR((E10-C10)/E10,0)</f>
        <v/>
      </c>
    </row>
  </sheetData>
  <mergeCells count="2">
    <mergeCell ref="A2:F2"/>
    <mergeCell ref="A1:F1"/>
  </mergeCells>
  <conditionalFormatting sqref="F5:F10">
    <cfRule type="colorScale" priority="1">
      <colorScale>
        <cfvo type="num" val="0.35"/>
        <cfvo type="num" val="0.55"/>
        <cfvo type="num" val="0.7"/>
        <color rgb="FFFBE6E6"/>
        <color rgb="FFFFF3CD"/>
        <color rgb="FF75E6C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4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📦  SUPPLIES &amp; INVENTORY</t>
        </is>
      </c>
    </row>
    <row r="2" ht="22" customHeight="1">
      <c r="A2" s="2" t="inlineStr">
        <is>
          <t xml:space="preserve">  Your raw materials — on hand, reorder point and value, so you never run out mid-batch.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Item</t>
        </is>
      </c>
      <c r="C4" s="9" t="inlineStr">
        <is>
          <t>On Hand</t>
        </is>
      </c>
      <c r="D4" s="9" t="inlineStr">
        <is>
          <t>Reorder At</t>
        </is>
      </c>
      <c r="E4" s="9" t="inlineStr">
        <is>
          <t>Unit Cost</t>
        </is>
      </c>
      <c r="F4" s="9" t="inlineStr">
        <is>
          <t>Value</t>
        </is>
      </c>
    </row>
    <row r="5">
      <c r="B5" s="19" t="inlineStr">
        <is>
          <t>Soy wax (lb)</t>
        </is>
      </c>
      <c r="C5" s="39" t="n">
        <v>40</v>
      </c>
      <c r="D5" s="39" t="n">
        <v>15</v>
      </c>
      <c r="E5" s="26" t="n">
        <v>2.9</v>
      </c>
      <c r="F5" s="40">
        <f>C5*E5</f>
        <v/>
      </c>
    </row>
    <row r="6">
      <c r="B6" s="22" t="inlineStr">
        <is>
          <t>Fragrance (oz)</t>
        </is>
      </c>
      <c r="C6" s="41" t="n">
        <v>60</v>
      </c>
      <c r="D6" s="41" t="n">
        <v>20</v>
      </c>
      <c r="E6" s="27" t="n">
        <v>1.2</v>
      </c>
      <c r="F6" s="42">
        <f>C6*E6</f>
        <v/>
      </c>
    </row>
    <row r="7">
      <c r="B7" s="19" t="inlineStr">
        <is>
          <t>Jars 8oz</t>
        </is>
      </c>
      <c r="C7" s="39" t="n">
        <v>120</v>
      </c>
      <c r="D7" s="39" t="n">
        <v>50</v>
      </c>
      <c r="E7" s="26" t="n">
        <v>1.85</v>
      </c>
      <c r="F7" s="40">
        <f>C7*E7</f>
        <v/>
      </c>
    </row>
    <row r="8">
      <c r="B8" s="22" t="inlineStr">
        <is>
          <t>Wicks</t>
        </is>
      </c>
      <c r="C8" s="41" t="n">
        <v>300</v>
      </c>
      <c r="D8" s="41" t="n">
        <v>100</v>
      </c>
      <c r="E8" s="27" t="n">
        <v>0.15</v>
      </c>
      <c r="F8" s="42">
        <f>C8*E8</f>
        <v/>
      </c>
    </row>
    <row r="9">
      <c r="B9" s="19" t="inlineStr">
        <is>
          <t>Labels</t>
        </is>
      </c>
      <c r="C9" s="39" t="n">
        <v>250</v>
      </c>
      <c r="D9" s="39" t="n">
        <v>100</v>
      </c>
      <c r="E9" s="26" t="n">
        <v>0.25</v>
      </c>
      <c r="F9" s="40">
        <f>C9*E9</f>
        <v/>
      </c>
    </row>
    <row r="10">
      <c r="B10" s="22" t="inlineStr">
        <is>
          <t>Boxes</t>
        </is>
      </c>
      <c r="C10" s="41" t="n">
        <v>140</v>
      </c>
      <c r="D10" s="41" t="n">
        <v>60</v>
      </c>
      <c r="E10" s="27" t="n">
        <v>0.75</v>
      </c>
      <c r="F10" s="42">
        <f>C10*E10</f>
        <v/>
      </c>
    </row>
    <row r="11">
      <c r="B11" s="9" t="inlineStr">
        <is>
          <t>INVENTORY VALUE</t>
        </is>
      </c>
      <c r="C11" s="43" t="n"/>
      <c r="D11" s="43" t="n"/>
      <c r="E11" s="43" t="n"/>
      <c r="F11" s="44">
        <f>SUM(F5:F10)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2" customWidth="1" min="4" max="4"/>
    <col width="14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🧾  ORDERS</t>
        </is>
      </c>
    </row>
    <row r="2" ht="22" customHeight="1">
      <c r="A2" s="2" t="inlineStr">
        <is>
          <t xml:space="preserve">  Every order by channel — items, total and status, so nothing ships late.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Order</t>
        </is>
      </c>
      <c r="C4" s="9" t="inlineStr">
        <is>
          <t>Channel</t>
        </is>
      </c>
      <c r="D4" s="9" t="inlineStr">
        <is>
          <t>Items</t>
        </is>
      </c>
      <c r="E4" s="9" t="inlineStr">
        <is>
          <t>Total</t>
        </is>
      </c>
      <c r="F4" s="9" t="inlineStr">
        <is>
          <t>Status</t>
        </is>
      </c>
    </row>
    <row r="5">
      <c r="B5" s="45" t="inlineStr">
        <is>
          <t>#1042 Bright</t>
        </is>
      </c>
      <c r="C5" s="46" t="inlineStr">
        <is>
          <t>Etsy</t>
        </is>
      </c>
      <c r="D5" s="47" t="n">
        <v>3</v>
      </c>
      <c r="E5" s="48" t="n">
        <v>84</v>
      </c>
      <c r="F5" s="46" t="inlineStr">
        <is>
          <t>Making</t>
        </is>
      </c>
    </row>
    <row r="6">
      <c r="B6" s="22" t="inlineStr">
        <is>
          <t>#1043 Cole</t>
        </is>
      </c>
      <c r="C6" s="24" t="inlineStr">
        <is>
          <t>Website</t>
        </is>
      </c>
      <c r="D6" s="49" t="n">
        <v>1</v>
      </c>
      <c r="E6" s="50" t="n">
        <v>30</v>
      </c>
      <c r="F6" s="24" t="inlineStr">
        <is>
          <t>Shipped</t>
        </is>
      </c>
    </row>
    <row r="7">
      <c r="B7" s="45" t="inlineStr">
        <is>
          <t>#1044 Rowe</t>
        </is>
      </c>
      <c r="C7" s="46" t="inlineStr">
        <is>
          <t>Etsy</t>
        </is>
      </c>
      <c r="D7" s="47" t="n">
        <v>2</v>
      </c>
      <c r="E7" s="48" t="n">
        <v>42</v>
      </c>
      <c r="F7" s="46" t="inlineStr">
        <is>
          <t>New</t>
        </is>
      </c>
    </row>
    <row r="8">
      <c r="B8" s="22" t="inlineStr">
        <is>
          <t>Market — Sat</t>
        </is>
      </c>
      <c r="C8" s="24" t="inlineStr">
        <is>
          <t>Market</t>
        </is>
      </c>
      <c r="D8" s="49" t="n">
        <v>22</v>
      </c>
      <c r="E8" s="50" t="n">
        <v>540</v>
      </c>
      <c r="F8" s="24" t="inlineStr">
        <is>
          <t>Delivered</t>
        </is>
      </c>
    </row>
    <row r="9">
      <c r="B9" s="45" t="inlineStr">
        <is>
          <t>Cedar Boutique</t>
        </is>
      </c>
      <c r="C9" s="46" t="inlineStr">
        <is>
          <t>Wholesale</t>
        </is>
      </c>
      <c r="D9" s="47" t="n">
        <v>24</v>
      </c>
      <c r="E9" s="48" t="n">
        <v>360</v>
      </c>
      <c r="F9" s="46" t="inlineStr">
        <is>
          <t>Making</t>
        </is>
      </c>
    </row>
    <row r="10">
      <c r="B10" s="22" t="n"/>
      <c r="C10" s="24" t="n"/>
      <c r="D10" s="49" t="n"/>
      <c r="E10" s="50" t="n"/>
      <c r="F10" s="24" t="n"/>
    </row>
    <row r="11">
      <c r="B11" s="45" t="n"/>
      <c r="C11" s="46" t="n"/>
      <c r="D11" s="47" t="n"/>
      <c r="E11" s="48" t="n"/>
      <c r="F11" s="46" t="n"/>
    </row>
    <row r="12">
      <c r="B12" s="22" t="n"/>
      <c r="C12" s="24" t="n"/>
      <c r="D12" s="49" t="n"/>
      <c r="E12" s="50" t="n"/>
      <c r="F12" s="24" t="n"/>
    </row>
    <row r="13">
      <c r="B13" s="45" t="n"/>
      <c r="C13" s="46" t="n"/>
      <c r="D13" s="47" t="n"/>
      <c r="E13" s="48" t="n"/>
      <c r="F13" s="46" t="n"/>
    </row>
    <row r="14">
      <c r="B14" s="22" t="n"/>
      <c r="C14" s="24" t="n"/>
      <c r="D14" s="49" t="n"/>
      <c r="E14" s="50" t="n"/>
      <c r="F14" s="24" t="n"/>
    </row>
    <row r="15">
      <c r="B15" s="45" t="n"/>
      <c r="C15" s="46" t="n"/>
      <c r="D15" s="47" t="n"/>
      <c r="E15" s="48" t="n"/>
      <c r="F15" s="46" t="n"/>
    </row>
    <row r="16">
      <c r="B16" s="22" t="n"/>
      <c r="C16" s="24" t="n"/>
      <c r="D16" s="49" t="n"/>
      <c r="E16" s="50" t="n"/>
      <c r="F16" s="24" t="n"/>
    </row>
    <row r="17">
      <c r="B17" s="45" t="n"/>
      <c r="C17" s="46" t="n"/>
      <c r="D17" s="47" t="n"/>
      <c r="E17" s="48" t="n"/>
      <c r="F17" s="46" t="n"/>
    </row>
    <row r="18">
      <c r="B18" s="22" t="n"/>
      <c r="C18" s="24" t="n"/>
      <c r="D18" s="49" t="n"/>
      <c r="E18" s="50" t="n"/>
      <c r="F18" s="24" t="n"/>
    </row>
    <row r="19">
      <c r="B19" s="45" t="n"/>
      <c r="C19" s="46" t="n"/>
      <c r="D19" s="47" t="n"/>
      <c r="E19" s="48" t="n"/>
      <c r="F19" s="46" t="n"/>
    </row>
    <row r="20">
      <c r="B20" s="22" t="n"/>
      <c r="C20" s="24" t="n"/>
      <c r="D20" s="49" t="n"/>
      <c r="E20" s="50" t="n"/>
      <c r="F20" s="24" t="n"/>
    </row>
    <row r="21">
      <c r="B21" s="45" t="n"/>
      <c r="C21" s="46" t="n"/>
      <c r="D21" s="47" t="n"/>
      <c r="E21" s="48" t="n"/>
      <c r="F21" s="46" t="n"/>
    </row>
    <row r="22">
      <c r="B22" s="22" t="n"/>
      <c r="C22" s="24" t="n"/>
      <c r="D22" s="49" t="n"/>
      <c r="E22" s="50" t="n"/>
      <c r="F22" s="24" t="n"/>
    </row>
    <row r="23">
      <c r="B23" s="45" t="n"/>
      <c r="C23" s="46" t="n"/>
      <c r="D23" s="47" t="n"/>
      <c r="E23" s="48" t="n"/>
      <c r="F23" s="46" t="n"/>
    </row>
    <row r="24">
      <c r="B24" s="22" t="n"/>
      <c r="C24" s="24" t="n"/>
      <c r="D24" s="49" t="n"/>
      <c r="E24" s="50" t="n"/>
      <c r="F24" s="24" t="n"/>
    </row>
    <row r="25">
      <c r="B25" s="45" t="n"/>
      <c r="C25" s="46" t="n"/>
      <c r="D25" s="47" t="n"/>
      <c r="E25" s="48" t="n"/>
      <c r="F25" s="46" t="n"/>
    </row>
    <row r="26">
      <c r="B26" s="22" t="n"/>
      <c r="C26" s="24" t="n"/>
      <c r="D26" s="49" t="n"/>
      <c r="E26" s="50" t="n"/>
      <c r="F26" s="24" t="n"/>
    </row>
    <row r="27">
      <c r="B27" s="45" t="n"/>
      <c r="C27" s="46" t="n"/>
      <c r="D27" s="47" t="n"/>
      <c r="E27" s="48" t="n"/>
      <c r="F27" s="46" t="n"/>
    </row>
    <row r="28">
      <c r="B28" s="22" t="n"/>
      <c r="C28" s="24" t="n"/>
      <c r="D28" s="49" t="n"/>
      <c r="E28" s="50" t="n"/>
      <c r="F28" s="24" t="n"/>
    </row>
    <row r="29">
      <c r="B29" s="45" t="n"/>
      <c r="C29" s="46" t="n"/>
      <c r="D29" s="47" t="n"/>
      <c r="E29" s="48" t="n"/>
      <c r="F29" s="46" t="n"/>
    </row>
    <row r="30">
      <c r="B30" s="22" t="n"/>
      <c r="C30" s="24" t="n"/>
      <c r="D30" s="49" t="n"/>
      <c r="E30" s="50" t="n"/>
      <c r="F30" s="24" t="n"/>
    </row>
    <row r="31">
      <c r="B31" s="45" t="n"/>
      <c r="C31" s="46" t="n"/>
      <c r="D31" s="47" t="n"/>
      <c r="E31" s="48" t="n"/>
      <c r="F31" s="46" t="n"/>
    </row>
    <row r="32">
      <c r="B32" s="22" t="n"/>
      <c r="C32" s="24" t="n"/>
      <c r="D32" s="49" t="n"/>
      <c r="E32" s="50" t="n"/>
      <c r="F32" s="24" t="n"/>
    </row>
    <row r="33">
      <c r="B33" s="9" t="inlineStr">
        <is>
          <t>OPEN ORDERS VALUE</t>
        </is>
      </c>
      <c r="C33" s="43" t="n"/>
      <c r="D33" s="43" t="n"/>
      <c r="E33" s="51">
        <f>SUM(OrderTotal)</f>
        <v/>
      </c>
      <c r="F33" s="43" t="n"/>
    </row>
  </sheetData>
  <mergeCells count="2">
    <mergeCell ref="A2:F2"/>
    <mergeCell ref="A1:F1"/>
  </mergeCells>
  <dataValidations count="2">
    <dataValidation sqref="C5:C32" showDropDown="0" showInputMessage="0" showErrorMessage="0" allowBlank="1" type="list">
      <formula1>=ChannelList</formula1>
    </dataValidation>
    <dataValidation sqref="F5:F32" showDropDown="0" showInputMessage="0" showErrorMessage="0" allowBlank="1" type="list">
      <formula1>=OrdStatusList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🏷  OVERHEAD &amp; FEES</t>
        </is>
      </c>
    </row>
    <row r="2" ht="22" customHeight="1">
      <c r="A2" s="2" t="inlineStr">
        <is>
          <t xml:space="preserve">  The monthly costs behind every sale — fees, shipping, studio. Spread across your units.</t>
        </is>
      </c>
    </row>
    <row r="3" ht="6" customHeight="1">
      <c r="A3" s="3" t="n"/>
      <c r="B3" s="3" t="n"/>
      <c r="C3" s="3" t="n"/>
    </row>
    <row r="4" ht="30" customHeight="1">
      <c r="B4" s="9" t="inlineStr">
        <is>
          <t>Item</t>
        </is>
      </c>
      <c r="C4" s="9" t="inlineStr">
        <is>
          <t>Monthly</t>
        </is>
      </c>
    </row>
    <row r="5">
      <c r="B5" s="19" t="inlineStr">
        <is>
          <t>Etsy fees &amp; ads</t>
        </is>
      </c>
      <c r="C5" s="37" t="n">
        <v>140</v>
      </c>
    </row>
    <row r="6">
      <c r="B6" s="22" t="inlineStr">
        <is>
          <t>Shipping supplies</t>
        </is>
      </c>
      <c r="C6" s="38" t="n">
        <v>60</v>
      </c>
    </row>
    <row r="7">
      <c r="B7" s="19" t="inlineStr">
        <is>
          <t>Studio &amp; utilities</t>
        </is>
      </c>
      <c r="C7" s="37" t="n">
        <v>90</v>
      </c>
    </row>
    <row r="8">
      <c r="B8" s="22" t="inlineStr">
        <is>
          <t>Software &amp; website</t>
        </is>
      </c>
      <c r="C8" s="38" t="n">
        <v>30</v>
      </c>
    </row>
    <row r="9">
      <c r="B9" s="19" t="inlineStr">
        <is>
          <t>Insurance</t>
        </is>
      </c>
      <c r="C9" s="37" t="n">
        <v>20</v>
      </c>
    </row>
    <row r="10">
      <c r="B10" s="22" t="inlineStr">
        <is>
          <t>Craft show fees</t>
        </is>
      </c>
      <c r="C10" s="38" t="n">
        <v>20</v>
      </c>
    </row>
    <row r="11">
      <c r="B11" s="9" t="inlineStr">
        <is>
          <t>TOTAL OVERHEAD (mo)</t>
        </is>
      </c>
      <c r="C11" s="52">
        <f>SUM(OHAmt)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24" customWidth="1" min="3" max="3"/>
    <col width="10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🛒  SALES LOG</t>
        </is>
      </c>
    </row>
    <row r="2" ht="22" customHeight="1">
      <c r="A2" s="2" t="inlineStr">
        <is>
          <t xml:space="preserve">  Every sale this month — product, quantity and price, so revenue and units are always current.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Date</t>
        </is>
      </c>
      <c r="C4" s="9" t="inlineStr">
        <is>
          <t>Product</t>
        </is>
      </c>
      <c r="D4" s="9" t="inlineStr">
        <is>
          <t>Qty</t>
        </is>
      </c>
      <c r="E4" s="9" t="inlineStr">
        <is>
          <t>Price</t>
        </is>
      </c>
    </row>
    <row r="5">
      <c r="B5" s="45" t="inlineStr">
        <is>
          <t>Jul 2</t>
        </is>
      </c>
      <c r="C5" s="45" t="inlineStr">
        <is>
          <t>Soy Candle 8oz</t>
        </is>
      </c>
      <c r="D5" s="47" t="n">
        <v>4</v>
      </c>
      <c r="E5" s="48" t="n">
        <v>30</v>
      </c>
    </row>
    <row r="6">
      <c r="B6" s="22" t="inlineStr">
        <is>
          <t>Jul 5</t>
        </is>
      </c>
      <c r="C6" s="22" t="inlineStr">
        <is>
          <t>Candle Trio Set</t>
        </is>
      </c>
      <c r="D6" s="49" t="n">
        <v>2</v>
      </c>
      <c r="E6" s="50" t="n">
        <v>72</v>
      </c>
    </row>
    <row r="7">
      <c r="B7" s="45" t="inlineStr">
        <is>
          <t>Jul 9</t>
        </is>
      </c>
      <c r="C7" s="45" t="inlineStr">
        <is>
          <t>Wax Melts (6)</t>
        </is>
      </c>
      <c r="D7" s="47" t="n">
        <v>6</v>
      </c>
      <c r="E7" s="48" t="n">
        <v>14</v>
      </c>
    </row>
    <row r="8">
      <c r="B8" s="22" t="inlineStr">
        <is>
          <t>Jul 14</t>
        </is>
      </c>
      <c r="C8" s="22" t="inlineStr">
        <is>
          <t>Reed Diffuser</t>
        </is>
      </c>
      <c r="D8" s="49" t="n">
        <v>3</v>
      </c>
      <c r="E8" s="50" t="n">
        <v>24</v>
      </c>
    </row>
    <row r="9">
      <c r="B9" s="45" t="inlineStr">
        <is>
          <t>Jul 20</t>
        </is>
      </c>
      <c r="C9" s="45" t="inlineStr">
        <is>
          <t>Soy Candle 4oz</t>
        </is>
      </c>
      <c r="D9" s="47" t="n">
        <v>8</v>
      </c>
      <c r="E9" s="48" t="n">
        <v>18</v>
      </c>
    </row>
    <row r="10">
      <c r="B10" s="22" t="inlineStr">
        <is>
          <t>Jul 26</t>
        </is>
      </c>
      <c r="C10" s="22" t="inlineStr">
        <is>
          <t>Room Spray</t>
        </is>
      </c>
      <c r="D10" s="49" t="n">
        <v>5</v>
      </c>
      <c r="E10" s="50" t="n">
        <v>12</v>
      </c>
    </row>
    <row r="11">
      <c r="B11" s="45" t="n"/>
      <c r="C11" s="45" t="n"/>
      <c r="D11" s="47" t="n"/>
      <c r="E11" s="48" t="n"/>
    </row>
    <row r="12">
      <c r="B12" s="22" t="n"/>
      <c r="C12" s="22" t="n"/>
      <c r="D12" s="49" t="n"/>
      <c r="E12" s="50" t="n"/>
    </row>
    <row r="13">
      <c r="B13" s="45" t="n"/>
      <c r="C13" s="45" t="n"/>
      <c r="D13" s="47" t="n"/>
      <c r="E13" s="48" t="n"/>
    </row>
    <row r="14">
      <c r="B14" s="22" t="n"/>
      <c r="C14" s="22" t="n"/>
      <c r="D14" s="49" t="n"/>
      <c r="E14" s="50" t="n"/>
    </row>
    <row r="15">
      <c r="B15" s="45" t="n"/>
      <c r="C15" s="45" t="n"/>
      <c r="D15" s="47" t="n"/>
      <c r="E15" s="48" t="n"/>
    </row>
    <row r="16">
      <c r="B16" s="22" t="n"/>
      <c r="C16" s="22" t="n"/>
      <c r="D16" s="49" t="n"/>
      <c r="E16" s="50" t="n"/>
    </row>
    <row r="17">
      <c r="B17" s="45" t="n"/>
      <c r="C17" s="45" t="n"/>
      <c r="D17" s="47" t="n"/>
      <c r="E17" s="48" t="n"/>
    </row>
    <row r="18">
      <c r="B18" s="22" t="n"/>
      <c r="C18" s="22" t="n"/>
      <c r="D18" s="49" t="n"/>
      <c r="E18" s="50" t="n"/>
    </row>
    <row r="19">
      <c r="B19" s="45" t="n"/>
      <c r="C19" s="45" t="n"/>
      <c r="D19" s="47" t="n"/>
      <c r="E19" s="48" t="n"/>
    </row>
    <row r="20">
      <c r="B20" s="22" t="n"/>
      <c r="C20" s="22" t="n"/>
      <c r="D20" s="49" t="n"/>
      <c r="E20" s="50" t="n"/>
    </row>
    <row r="21">
      <c r="B21" s="45" t="n"/>
      <c r="C21" s="45" t="n"/>
      <c r="D21" s="47" t="n"/>
      <c r="E21" s="48" t="n"/>
    </row>
    <row r="22">
      <c r="B22" s="22" t="n"/>
      <c r="C22" s="22" t="n"/>
      <c r="D22" s="49" t="n"/>
      <c r="E22" s="50" t="n"/>
    </row>
    <row r="23">
      <c r="B23" s="45" t="n"/>
      <c r="C23" s="45" t="n"/>
      <c r="D23" s="47" t="n"/>
      <c r="E23" s="48" t="n"/>
    </row>
    <row r="24">
      <c r="B24" s="22" t="n"/>
      <c r="C24" s="22" t="n"/>
      <c r="D24" s="49" t="n"/>
      <c r="E24" s="50" t="n"/>
    </row>
    <row r="25">
      <c r="B25" s="45" t="n"/>
      <c r="C25" s="45" t="n"/>
      <c r="D25" s="47" t="n"/>
      <c r="E25" s="48" t="n"/>
    </row>
    <row r="26">
      <c r="B26" s="22" t="n"/>
      <c r="C26" s="22" t="n"/>
      <c r="D26" s="49" t="n"/>
      <c r="E26" s="50" t="n"/>
    </row>
    <row r="27">
      <c r="B27" s="45" t="n"/>
      <c r="C27" s="45" t="n"/>
      <c r="D27" s="47" t="n"/>
      <c r="E27" s="48" t="n"/>
    </row>
    <row r="28">
      <c r="B28" s="22" t="n"/>
      <c r="C28" s="22" t="n"/>
      <c r="D28" s="49" t="n"/>
      <c r="E28" s="50" t="n"/>
    </row>
    <row r="29">
      <c r="B29" s="45" t="n"/>
      <c r="C29" s="45" t="n"/>
      <c r="D29" s="47" t="n"/>
      <c r="E29" s="48" t="n"/>
    </row>
    <row r="30">
      <c r="B30" s="22" t="n"/>
      <c r="C30" s="22" t="n"/>
      <c r="D30" s="49" t="n"/>
      <c r="E30" s="50" t="n"/>
    </row>
    <row r="31">
      <c r="B31" s="45" t="n"/>
      <c r="C31" s="45" t="n"/>
      <c r="D31" s="47" t="n"/>
      <c r="E31" s="48" t="n"/>
    </row>
    <row r="32">
      <c r="B32" s="22" t="n"/>
      <c r="C32" s="22" t="n"/>
      <c r="D32" s="49" t="n"/>
      <c r="E32" s="50" t="n"/>
    </row>
    <row r="33">
      <c r="B33" s="45" t="n"/>
      <c r="C33" s="45" t="n"/>
      <c r="D33" s="47" t="n"/>
      <c r="E33" s="48" t="n"/>
    </row>
    <row r="34">
      <c r="B34" s="22" t="n"/>
      <c r="C34" s="22" t="n"/>
      <c r="D34" s="49" t="n"/>
      <c r="E34" s="50" t="n"/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⏱  TIME &amp; LABOR</t>
        </is>
      </c>
    </row>
    <row r="2" ht="22" customHeight="1">
      <c r="A2" s="2" t="inlineStr">
        <is>
          <t xml:space="preserve">  Where your minutes go per item — add them up and pay yourself for every one.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Task</t>
        </is>
      </c>
      <c r="C4" s="9" t="inlineStr">
        <is>
          <t>Minutes</t>
        </is>
      </c>
      <c r="D4" s="9" t="inlineStr">
        <is>
          <t>Labor $</t>
        </is>
      </c>
    </row>
    <row r="5">
      <c r="B5" s="19" t="inlineStr">
        <is>
          <t>Pour &amp; set</t>
        </is>
      </c>
      <c r="C5" s="39" t="n">
        <v>8</v>
      </c>
      <c r="D5" s="40">
        <f>C5/60*LaborRate</f>
        <v/>
      </c>
    </row>
    <row r="6">
      <c r="B6" s="22" t="inlineStr">
        <is>
          <t>Wick &amp; prep</t>
        </is>
      </c>
      <c r="C6" s="41" t="n">
        <v>4</v>
      </c>
      <c r="D6" s="42">
        <f>C6/60*LaborRate</f>
        <v/>
      </c>
    </row>
    <row r="7">
      <c r="B7" s="19" t="inlineStr">
        <is>
          <t>Label &amp; box</t>
        </is>
      </c>
      <c r="C7" s="39" t="n">
        <v>3</v>
      </c>
      <c r="D7" s="40">
        <f>C7/60*LaborRate</f>
        <v/>
      </c>
    </row>
    <row r="8">
      <c r="B8" s="22" t="inlineStr">
        <is>
          <t>Photograph &amp; list</t>
        </is>
      </c>
      <c r="C8" s="41" t="n">
        <v>2</v>
      </c>
      <c r="D8" s="42">
        <f>C8/60*LaborRate</f>
        <v/>
      </c>
    </row>
    <row r="9">
      <c r="B9" s="19" t="inlineStr">
        <is>
          <t>Pack &amp; ship</t>
        </is>
      </c>
      <c r="C9" s="39" t="n">
        <v>3</v>
      </c>
      <c r="D9" s="40">
        <f>C9/60*LaborRate</f>
        <v/>
      </c>
    </row>
    <row r="10">
      <c r="B10" s="9" t="inlineStr">
        <is>
          <t>PER ITEM</t>
        </is>
      </c>
      <c r="C10" s="53">
        <f>SUM(C5:C9)</f>
        <v/>
      </c>
      <c r="D10" s="44">
        <f>SUM(D5:D9)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💰  EXPENSES</t>
        </is>
      </c>
    </row>
    <row r="2" ht="22" customHeight="1">
      <c r="A2" s="2" t="inlineStr">
        <is>
          <t xml:space="preserve">  This month's costs — materials, overhead, your paid labor and more, netted against revenue.</t>
        </is>
      </c>
    </row>
    <row r="3" ht="6" customHeight="1">
      <c r="A3" s="3" t="n"/>
      <c r="B3" s="3" t="n"/>
      <c r="C3" s="3" t="n"/>
    </row>
    <row r="4" ht="30" customHeight="1">
      <c r="B4" s="9" t="inlineStr">
        <is>
          <t>Expense</t>
        </is>
      </c>
      <c r="C4" s="9" t="inlineStr">
        <is>
          <t>Amount</t>
        </is>
      </c>
    </row>
    <row r="5">
      <c r="B5" s="19" t="inlineStr">
        <is>
          <t>Materials</t>
        </is>
      </c>
      <c r="C5" s="37" t="n">
        <v>540</v>
      </c>
    </row>
    <row r="6">
      <c r="B6" s="22" t="inlineStr">
        <is>
          <t>Overhead &amp; fees</t>
        </is>
      </c>
      <c r="C6" s="38" t="n">
        <v>360</v>
      </c>
    </row>
    <row r="7">
      <c r="B7" s="19" t="inlineStr">
        <is>
          <t>Your labor (paid)</t>
        </is>
      </c>
      <c r="C7" s="37" t="n">
        <v>450</v>
      </c>
    </row>
    <row r="8">
      <c r="B8" s="22" t="inlineStr">
        <is>
          <t>Marketing</t>
        </is>
      </c>
      <c r="C8" s="38" t="n">
        <v>90</v>
      </c>
    </row>
    <row r="9">
      <c r="B9" s="19" t="inlineStr">
        <is>
          <t>Misc</t>
        </is>
      </c>
      <c r="C9" s="37" t="n">
        <v>60</v>
      </c>
    </row>
    <row r="10">
      <c r="B10" s="9" t="inlineStr">
        <is>
          <t>TOTAL EXPENSES</t>
        </is>
      </c>
      <c r="C10" s="52">
        <f>SUM(ExpAmt)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⭐  REVIEWS &amp; REPEAT</t>
        </is>
      </c>
    </row>
    <row r="2" ht="22" customHeight="1">
      <c r="A2" s="2" t="inlineStr">
        <is>
          <t xml:space="preserve">  Ratings and who came back — repeat customers are the cheapest sale you'll ever make.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Customer</t>
        </is>
      </c>
      <c r="C4" s="9" t="inlineStr">
        <is>
          <t>Rating</t>
        </is>
      </c>
      <c r="D4" s="9" t="inlineStr">
        <is>
          <t>Repeat?</t>
        </is>
      </c>
    </row>
    <row r="5">
      <c r="B5" s="45" t="inlineStr">
        <is>
          <t>Bright</t>
        </is>
      </c>
      <c r="C5" s="54" t="n">
        <v>5</v>
      </c>
      <c r="D5" s="46" t="inlineStr">
        <is>
          <t>Yes</t>
        </is>
      </c>
    </row>
    <row r="6">
      <c r="B6" s="22" t="inlineStr">
        <is>
          <t>Cole</t>
        </is>
      </c>
      <c r="C6" s="55" t="n">
        <v>5</v>
      </c>
      <c r="D6" s="24" t="inlineStr">
        <is>
          <t>No</t>
        </is>
      </c>
    </row>
    <row r="7">
      <c r="B7" s="45" t="inlineStr">
        <is>
          <t>Rowe</t>
        </is>
      </c>
      <c r="C7" s="54" t="n">
        <v>4</v>
      </c>
      <c r="D7" s="46" t="inlineStr">
        <is>
          <t>Yes</t>
        </is>
      </c>
    </row>
    <row r="8">
      <c r="B8" s="22" t="inlineStr">
        <is>
          <t>Marsh</t>
        </is>
      </c>
      <c r="C8" s="55" t="n">
        <v>5</v>
      </c>
      <c r="D8" s="24" t="inlineStr">
        <is>
          <t>Yes</t>
        </is>
      </c>
    </row>
    <row r="9">
      <c r="B9" s="45" t="inlineStr">
        <is>
          <t>Vega</t>
        </is>
      </c>
      <c r="C9" s="54" t="n">
        <v>5</v>
      </c>
      <c r="D9" s="46" t="inlineStr">
        <is>
          <t>No</t>
        </is>
      </c>
    </row>
    <row r="10">
      <c r="B10" s="22" t="n"/>
      <c r="C10" s="55" t="n"/>
      <c r="D10" s="24" t="n"/>
    </row>
    <row r="11">
      <c r="B11" s="45" t="n"/>
      <c r="C11" s="54" t="n"/>
      <c r="D11" s="46" t="n"/>
    </row>
    <row r="12">
      <c r="B12" s="22" t="n"/>
      <c r="C12" s="55" t="n"/>
      <c r="D12" s="24" t="n"/>
    </row>
    <row r="13">
      <c r="B13" s="45" t="n"/>
      <c r="C13" s="54" t="n"/>
      <c r="D13" s="46" t="n"/>
    </row>
    <row r="14">
      <c r="B14" s="22" t="n"/>
      <c r="C14" s="55" t="n"/>
      <c r="D14" s="24" t="n"/>
    </row>
    <row r="15">
      <c r="B15" s="45" t="n"/>
      <c r="C15" s="54" t="n"/>
      <c r="D15" s="46" t="n"/>
    </row>
    <row r="16">
      <c r="B16" s="22" t="n"/>
      <c r="C16" s="55" t="n"/>
      <c r="D16" s="24" t="n"/>
    </row>
    <row r="17">
      <c r="B17" s="45" t="n"/>
      <c r="C17" s="54" t="n"/>
      <c r="D17" s="46" t="n"/>
    </row>
    <row r="18">
      <c r="B18" s="22" t="n"/>
      <c r="C18" s="55" t="n"/>
      <c r="D18" s="24" t="n"/>
    </row>
    <row r="19">
      <c r="B19" s="45" t="n"/>
      <c r="C19" s="54" t="n"/>
      <c r="D19" s="46" t="n"/>
    </row>
    <row r="20">
      <c r="B20" s="22" t="n"/>
      <c r="C20" s="55" t="n"/>
      <c r="D20" s="24" t="n"/>
    </row>
    <row r="21">
      <c r="B21" s="45" t="n"/>
      <c r="C21" s="54" t="n"/>
      <c r="D21" s="46" t="n"/>
    </row>
    <row r="22">
      <c r="B22" s="22" t="n"/>
      <c r="C22" s="55" t="n"/>
      <c r="D22" s="24" t="n"/>
    </row>
    <row r="23">
      <c r="B23" s="45" t="n"/>
      <c r="C23" s="54" t="n"/>
      <c r="D23" s="46" t="n"/>
    </row>
    <row r="24">
      <c r="B24" s="22" t="n"/>
      <c r="C24" s="55" t="n"/>
      <c r="D24" s="24" t="n"/>
    </row>
    <row r="25">
      <c r="B25" s="45" t="n"/>
      <c r="C25" s="54" t="n"/>
      <c r="D25" s="46" t="n"/>
    </row>
    <row r="26">
      <c r="B26" s="22" t="n"/>
      <c r="C26" s="55" t="n"/>
      <c r="D26" s="24" t="n"/>
    </row>
    <row r="27">
      <c r="B27" s="45" t="n"/>
      <c r="C27" s="54" t="n"/>
      <c r="D27" s="46" t="n"/>
    </row>
    <row r="28">
      <c r="B28" s="22" t="n"/>
      <c r="C28" s="55" t="n"/>
      <c r="D28" s="24" t="n"/>
    </row>
    <row r="29">
      <c r="B29" s="9" t="inlineStr">
        <is>
          <t>AVG RATING</t>
        </is>
      </c>
      <c r="C29" s="56">
        <f>IFERROR(AVERAGE(RevRating),0)</f>
        <v/>
      </c>
      <c r="D29" s="43" t="n"/>
    </row>
  </sheetData>
  <mergeCells count="2">
    <mergeCell ref="A1:D1"/>
    <mergeCell ref="A2:D2"/>
  </mergeCells>
  <dataValidations count="1">
    <dataValidation sqref="D5:D28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2" customWidth="1" min="4" max="4"/>
    <col width="14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🛍  CHANNELS &amp; MARKETS</t>
        </is>
      </c>
    </row>
    <row r="2" ht="22" customHeight="1">
      <c r="A2" s="2" t="inlineStr">
        <is>
          <t xml:space="preserve">  Where your sales come from — revenue, the fees each channel takes and what you actually keep.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Channel</t>
        </is>
      </c>
      <c r="C4" s="9" t="inlineStr">
        <is>
          <t>Revenue</t>
        </is>
      </c>
      <c r="D4" s="9" t="inlineStr">
        <is>
          <t>Fee %</t>
        </is>
      </c>
      <c r="E4" s="9" t="inlineStr">
        <is>
          <t>Fees</t>
        </is>
      </c>
      <c r="F4" s="9" t="inlineStr">
        <is>
          <t>Net Kept</t>
        </is>
      </c>
    </row>
    <row r="5">
      <c r="B5" s="19" t="inlineStr">
        <is>
          <t>Etsy</t>
        </is>
      </c>
      <c r="C5" s="37" t="n">
        <v>1200</v>
      </c>
      <c r="D5" s="57" t="n">
        <v>0.105</v>
      </c>
      <c r="E5" s="58">
        <f>C5*D5</f>
        <v/>
      </c>
      <c r="F5" s="58">
        <f>C5-E5</f>
        <v/>
      </c>
    </row>
    <row r="6">
      <c r="B6" s="22" t="inlineStr">
        <is>
          <t>Website</t>
        </is>
      </c>
      <c r="C6" s="38" t="n">
        <v>480</v>
      </c>
      <c r="D6" s="59" t="n">
        <v>0.029</v>
      </c>
      <c r="E6" s="50">
        <f>C6*D6</f>
        <v/>
      </c>
      <c r="F6" s="50">
        <f>C6-E6</f>
        <v/>
      </c>
    </row>
    <row r="7">
      <c r="B7" s="19" t="inlineStr">
        <is>
          <t>Market</t>
        </is>
      </c>
      <c r="C7" s="37" t="n">
        <v>540</v>
      </c>
      <c r="D7" s="57" t="n">
        <v>0</v>
      </c>
      <c r="E7" s="58">
        <f>C7*D7</f>
        <v/>
      </c>
      <c r="F7" s="58">
        <f>C7-E7</f>
        <v/>
      </c>
    </row>
    <row r="8">
      <c r="B8" s="22" t="inlineStr">
        <is>
          <t>Wholesale</t>
        </is>
      </c>
      <c r="C8" s="38" t="n">
        <v>360</v>
      </c>
      <c r="D8" s="59" t="n">
        <v>0</v>
      </c>
      <c r="E8" s="50">
        <f>C8*D8</f>
        <v/>
      </c>
      <c r="F8" s="50">
        <f>C8-E8</f>
        <v/>
      </c>
    </row>
    <row r="9">
      <c r="B9" s="19" t="inlineStr">
        <is>
          <t>Custom</t>
        </is>
      </c>
      <c r="C9" s="37" t="n">
        <v>120</v>
      </c>
      <c r="D9" s="57" t="n">
        <v>0</v>
      </c>
      <c r="E9" s="58">
        <f>C9*D9</f>
        <v/>
      </c>
      <c r="F9" s="58">
        <f>C9-E9</f>
        <v/>
      </c>
    </row>
    <row r="10">
      <c r="B10" s="9" t="inlineStr">
        <is>
          <t>ALL CHANNELS</t>
        </is>
      </c>
      <c r="C10" s="60">
        <f>SUM(C5:C9)</f>
        <v/>
      </c>
      <c r="D10" s="43" t="n"/>
      <c r="E10" s="52">
        <f>SUM(E5:E9)</f>
        <v/>
      </c>
      <c r="F10" s="51">
        <f>SUM(F5:F9)</f>
        <v/>
      </c>
    </row>
  </sheetData>
  <mergeCells count="2">
    <mergeCell ref="A2:F2"/>
    <mergeCell ref="A1:F1"/>
  </mergeCells>
  <conditionalFormatting sqref="F5:F9">
    <cfRule type="dataBar" priority="1">
      <dataBar>
        <cfvo type="min"/>
        <cfvo type="max"/>
        <color rgb="0075E6C1"/>
      </dataBar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📈  MONTHLY SUMMARY</t>
        </is>
      </c>
    </row>
    <row r="2" ht="22" customHeight="1">
      <c r="A2" s="2" t="inlineStr">
        <is>
          <t xml:space="preserve">  This month's numbers, and the trend — watch the profit grow.</t>
        </is>
      </c>
    </row>
    <row r="3" ht="6" customHeight="1">
      <c r="A3" s="3" t="n"/>
      <c r="B3" s="3" t="n"/>
      <c r="C3" s="3" t="n"/>
    </row>
    <row r="5">
      <c r="B5" s="4" t="inlineStr">
        <is>
          <t>THIS MONTH</t>
        </is>
      </c>
    </row>
    <row r="6">
      <c r="B6" s="29" t="inlineStr">
        <is>
          <t>Revenue</t>
        </is>
      </c>
      <c r="C6" s="61" t="n">
        <v>2700</v>
      </c>
    </row>
    <row r="7">
      <c r="B7" s="29" t="inlineStr">
        <is>
          <t>Units sold</t>
        </is>
      </c>
      <c r="C7" s="39" t="n">
        <v>90</v>
      </c>
    </row>
    <row r="8">
      <c r="B8" s="29" t="inlineStr">
        <is>
          <t>Materials cost</t>
        </is>
      </c>
      <c r="C8" s="37" t="n">
        <v>540</v>
      </c>
    </row>
    <row r="9">
      <c r="B9" s="29" t="inlineStr">
        <is>
          <t>Overhead &amp; fees</t>
        </is>
      </c>
      <c r="C9" s="37" t="n">
        <v>360</v>
      </c>
    </row>
    <row r="10">
      <c r="B10" s="29" t="inlineStr">
        <is>
          <t>Your labor (units × per-item)</t>
        </is>
      </c>
      <c r="C10" s="62">
        <f>UnitsSold*LaborCost</f>
        <v/>
      </c>
    </row>
    <row r="11">
      <c r="B11" s="9">
        <f> MONTHLY PROFIT (paid yourself first)</f>
        <v/>
      </c>
      <c r="C11" s="63">
        <f>MonthlyRevenue-ThisMaterials-ThisOverhead-ThisLabor</f>
        <v/>
      </c>
    </row>
    <row r="12">
      <c r="B12" s="29" t="inlineStr">
        <is>
          <t>Materials % of revenue</t>
        </is>
      </c>
      <c r="C12" s="36">
        <f>IFERROR(ThisMaterials/MonthlyRevenue,0)</f>
        <v/>
      </c>
    </row>
    <row r="14">
      <c r="B14" s="4" t="inlineStr">
        <is>
          <t>THE TREND</t>
        </is>
      </c>
    </row>
    <row r="15" ht="30" customHeight="1">
      <c r="B15" s="9" t="inlineStr">
        <is>
          <t>Month</t>
        </is>
      </c>
      <c r="C15" s="9" t="inlineStr">
        <is>
          <t>Revenue</t>
        </is>
      </c>
    </row>
    <row r="16">
      <c r="B16" s="19" t="inlineStr">
        <is>
          <t>Feb</t>
        </is>
      </c>
      <c r="C16" s="37" t="n">
        <v>1800</v>
      </c>
    </row>
    <row r="17">
      <c r="B17" s="22" t="inlineStr">
        <is>
          <t>Mar</t>
        </is>
      </c>
      <c r="C17" s="38" t="n">
        <v>2100</v>
      </c>
    </row>
    <row r="18">
      <c r="B18" s="19" t="inlineStr">
        <is>
          <t>Apr</t>
        </is>
      </c>
      <c r="C18" s="37" t="n">
        <v>2400</v>
      </c>
    </row>
    <row r="19">
      <c r="B19" s="22" t="inlineStr">
        <is>
          <t>May</t>
        </is>
      </c>
      <c r="C19" s="38" t="n">
        <v>2600</v>
      </c>
    </row>
    <row r="20">
      <c r="B20" s="19" t="inlineStr">
        <is>
          <t>Jun</t>
        </is>
      </c>
      <c r="C20" s="37" t="n">
        <v>2500</v>
      </c>
    </row>
    <row r="21">
      <c r="B21" s="22" t="inlineStr">
        <is>
          <t>Jul</t>
        </is>
      </c>
      <c r="C21" s="38" t="n">
        <v>2700</v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targets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YOUR TARGETS</t>
        </is>
      </c>
      <c r="E5" s="4" t="inlineStr">
        <is>
          <t>DROPDOWN LISTS</t>
        </is>
      </c>
    </row>
    <row r="6">
      <c r="B6" s="29" t="inlineStr">
        <is>
          <t>Shop name</t>
        </is>
      </c>
      <c r="C6" s="64" t="inlineStr">
        <is>
          <t>Ember &amp; Oak</t>
        </is>
      </c>
      <c r="E6" s="9" t="inlineStr">
        <is>
          <t>Channel</t>
        </is>
      </c>
      <c r="F6" s="9" t="inlineStr">
        <is>
          <t>Order status</t>
        </is>
      </c>
      <c r="G6" s="9" t="inlineStr">
        <is>
          <t>Unit</t>
        </is>
      </c>
      <c r="H6" s="9" t="inlineStr">
        <is>
          <t>Yes / No</t>
        </is>
      </c>
    </row>
    <row r="7">
      <c r="B7" s="29" t="inlineStr">
        <is>
          <t>Owner</t>
        </is>
      </c>
      <c r="C7" s="64" t="inlineStr">
        <is>
          <t>Wren</t>
        </is>
      </c>
      <c r="E7" s="19" t="inlineStr">
        <is>
          <t>Etsy</t>
        </is>
      </c>
      <c r="F7" s="19" t="inlineStr">
        <is>
          <t>New</t>
        </is>
      </c>
      <c r="G7" s="19" t="inlineStr">
        <is>
          <t>each</t>
        </is>
      </c>
      <c r="H7" s="19" t="inlineStr">
        <is>
          <t>Yes</t>
        </is>
      </c>
    </row>
    <row r="8">
      <c r="B8" s="29" t="inlineStr">
        <is>
          <t>Your labor rate ($/hr)</t>
        </is>
      </c>
      <c r="C8" s="37" t="n">
        <v>20</v>
      </c>
      <c r="E8" s="19" t="inlineStr">
        <is>
          <t>Website</t>
        </is>
      </c>
      <c r="F8" s="19" t="inlineStr">
        <is>
          <t>Making</t>
        </is>
      </c>
      <c r="G8" s="19" t="inlineStr">
        <is>
          <t>oz</t>
        </is>
      </c>
      <c r="H8" s="19" t="inlineStr">
        <is>
          <t>No</t>
        </is>
      </c>
    </row>
    <row r="9">
      <c r="B9" s="29" t="inlineStr">
        <is>
          <t>Retail markup (×)</t>
        </is>
      </c>
      <c r="C9" s="33" t="n">
        <v>2.5</v>
      </c>
      <c r="E9" s="19" t="inlineStr">
        <is>
          <t>Market</t>
        </is>
      </c>
      <c r="F9" s="19" t="inlineStr">
        <is>
          <t>Shipped</t>
        </is>
      </c>
      <c r="G9" s="19" t="inlineStr">
        <is>
          <t>yd</t>
        </is>
      </c>
    </row>
    <row r="10">
      <c r="B10" s="29" t="inlineStr">
        <is>
          <t>Wholesale factor (of retail)</t>
        </is>
      </c>
      <c r="C10" s="65" t="n">
        <v>0.5</v>
      </c>
      <c r="E10" s="19" t="inlineStr">
        <is>
          <t>Wholesale</t>
        </is>
      </c>
      <c r="F10" s="19" t="inlineStr">
        <is>
          <t>Delivered</t>
        </is>
      </c>
      <c r="G10" s="19" t="inlineStr">
        <is>
          <t>g</t>
        </is>
      </c>
    </row>
    <row r="11">
      <c r="B11" s="29" t="inlineStr">
        <is>
          <t>Retail-margin goal %</t>
        </is>
      </c>
      <c r="C11" s="65" t="n">
        <v>0.5</v>
      </c>
      <c r="E11" s="19" t="inlineStr">
        <is>
          <t>Custom</t>
        </is>
      </c>
      <c r="F11" s="19" t="inlineStr">
        <is>
          <t>Refunded</t>
        </is>
      </c>
      <c r="G11" s="19" t="inlineStr">
        <is>
          <t>set</t>
        </is>
      </c>
    </row>
    <row r="12">
      <c r="B12" s="29" t="inlineStr">
        <is>
          <t>Markup goal (×)</t>
        </is>
      </c>
      <c r="C12" s="33" t="n">
        <v>2</v>
      </c>
      <c r="G12" s="19" t="inlineStr">
        <is>
          <t>pair</t>
        </is>
      </c>
    </row>
    <row r="13">
      <c r="B13" s="29" t="inlineStr">
        <is>
          <t>Hourly-wage goal ($/hr)</t>
        </is>
      </c>
      <c r="C13" s="37" t="n">
        <v>40</v>
      </c>
    </row>
    <row r="14">
      <c r="B14" s="29" t="inlineStr">
        <is>
          <t>Monthly profit goal</t>
        </is>
      </c>
      <c r="C14" s="37" t="n">
        <v>1000</v>
      </c>
    </row>
    <row r="15">
      <c r="B15" s="29" t="inlineStr">
        <is>
          <t>Wholesale-margin goal %</t>
        </is>
      </c>
      <c r="C15" s="65" t="n">
        <v>0.5</v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2026-07-23T23:37:30Z</dcterms:created>
  <dcterms:modified xsi:type="dcterms:W3CDTF">2026-07-23T23:37:30Z</dcterms:modified>
</cp:coreProperties>
</file>