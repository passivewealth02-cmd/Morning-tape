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3.xml" ContentType="application/vnd.openxmlformats-officedocument.drawing+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Service Pricing" sheetId="3" state="visible" r:id="rId3"/>
    <sheet name="Chair &amp; Rent" sheetId="4" state="visible" r:id="rId4"/>
    <sheet name="Services Menu" sheetId="5" state="visible" r:id="rId5"/>
    <sheet name="Client Book" sheetId="6" state="visible" r:id="rId6"/>
    <sheet name="Appointments" sheetId="7" state="visible" r:id="rId7"/>
    <sheet name="Retail &amp; Backbar" sheetId="8" state="visible" r:id="rId8"/>
    <sheet name="Income &amp; Tips" sheetId="9" state="visible" r:id="rId9"/>
    <sheet name="Expenses" sheetId="10" state="visible" r:id="rId10"/>
    <sheet name="Rebooking &amp; Retention" sheetId="11" state="visible" r:id="rId11"/>
    <sheet name="Inventory" sheetId="12" state="visible" r:id="rId12"/>
    <sheet name="Monthly Summary" sheetId="13" state="visible" r:id="rId13"/>
    <sheet name="Settings" sheetId="14" state="visible" r:id="rId14"/>
  </sheets>
  <definedNames>
    <definedName name="Studio">Settings!$C$6</definedName>
    <definedName name="Owner">Settings!$C$7</definedName>
    <definedName name="CardRate">Settings!$C$8</definedName>
    <definedName name="CardFixed">Settings!$C$9</definedName>
    <definedName name="MarginGoal">Settings!$C$10</definedName>
    <definedName name="RebookGoal">Settings!$C$11</definedName>
    <definedName name="AttachGoal">Settings!$C$12</definedName>
    <definedName name="CoverGoal">Settings!$C$13</definedName>
    <definedName name="NoShowGoal">Settings!$C$14</definedName>
    <definedName name="NewClientGoal">Settings!$C$15</definedName>
    <definedName name="UtilGoal">Settings!$C$16</definedName>
    <definedName name="Tips">Settings!$C$17</definedName>
    <definedName name="ApptStatusList">Settings!$E$7:$E$11</definedName>
    <definedName name="SvcTypeList">Settings!$F$7:$F$12</definedName>
    <definedName name="ExpCatList">Settings!$G$7:$G$13</definedName>
    <definedName name="YesNoList">Settings!$H$7:$H$8</definedName>
    <definedName name="FixedLines">'Chair &amp; Rent'!$C$7:$C$11</definedName>
    <definedName name="FixedCosts">'Chair &amp; Rent'!$C$12</definedName>
    <definedName name="OpenHours">'Chair &amp; Rent'!$C$15</definedName>
    <definedName name="BookedHours">'Chair &amp; Rent'!$C$16</definedName>
    <definedName name="Utilization">'Chair &amp; Rent'!$C$17</definedName>
    <definedName name="RentPerHour">'Chair &amp; Rent'!$C$18</definedName>
    <definedName name="BreakEven">'Chair &amp; Rent'!$C$21</definedName>
    <definedName name="CoverRatio">'Chair &amp; Rent'!$C$24</definedName>
    <definedName name="ServicePrice">'Service Pricing'!$C$6</definedName>
    <definedName name="BackbarCost">'Service Pricing'!$C$7</definedName>
    <definedName name="CardFee">'Service Pricing'!$C$8</definedName>
    <definedName name="ServiceNet">'Service Pricing'!$C$9</definedName>
    <definedName name="ServiceHours">'Service Pricing'!$C$13</definedName>
    <definedName name="RentLoad">'Service Pricing'!$C$14</definedName>
    <definedName name="TrueNet">'Service Pricing'!$C$16</definedName>
    <definedName name="TrueMargin">'Service Pricing'!$C$17</definedName>
    <definedName name="TrueHourly">'Service Pricing'!$C$18</definedName>
    <definedName name="MenuPrice">'Services Menu'!$D$5:$D$14</definedName>
    <definedName name="MenuKeep">'Services Menu'!$G$5:$G$14</definedName>
    <definedName name="MenuHourly">'Services Menu'!$H$5:$H$14</definedName>
    <definedName name="ClientName">'Client Book'!$B$5:$B$44</definedName>
    <definedName name="ClientSpend">'Client Book'!$E$5:$E$44</definedName>
    <definedName name="ClientRebook">'Client Book'!$F$5:$F$44</definedName>
    <definedName name="ApptPrice">'Appointments'!$E$5:$E$44</definedName>
    <definedName name="ApptStatus">'Appointments'!$F$5:$F$44</definedName>
    <definedName name="RetailCost">'Retail &amp; Backbar'!$C$5:$C$10</definedName>
    <definedName name="RetailPrice">'Retail &amp; Backbar'!$D$5:$D$10</definedName>
    <definedName name="RetailUnitsCol">'Retail &amp; Backbar'!$E$5:$E$10</definedName>
    <definedName name="RetailRev">'Retail &amp; Backbar'!$F$5:$F$10</definedName>
    <definedName name="RetailProfitCol">'Retail &amp; Backbar'!$G$5:$G$10</definedName>
    <definedName name="RetailUnits">'Retail &amp; Backbar'!$E$11</definedName>
    <definedName name="RetailRevenue">'Retail &amp; Backbar'!$F$11</definedName>
    <definedName name="RetailProfit">'Retail &amp; Backbar'!$G$11</definedName>
    <definedName name="RetailCOGS">'Retail &amp; Backbar'!$F$12</definedName>
    <definedName name="AttachRate">'Retail &amp; Backbar'!$F$15</definedName>
    <definedName name="ServiceRevenue">'Income &amp; Tips'!$C$7</definedName>
    <definedName name="MonthlyRevenue">'Income &amp; Tips'!$C$9</definedName>
    <definedName name="BackbarTotal">'Income &amp; Tips'!$C$12</definedName>
    <definedName name="CardTotal">'Income &amp; Tips'!$C$13</definedName>
    <definedName name="VariableCosts">'Income &amp; Tips'!$C$15</definedName>
    <definedName name="MonthlyProfit">'Income &amp; Tips'!$C$18</definedName>
    <definedName name="NetMargin">'Income &amp; Tips'!$C$19</definedName>
    <definedName name="TakeHome">'Income &amp; Tips'!$C$23</definedName>
    <definedName name="ExpMonthly">'Expenses'!$D$5:$D$44</definedName>
    <definedName name="ExpTotal">'Expenses'!$D$46</definedName>
    <definedName name="ClientsMonth">'Rebooking &amp; Retention'!$C$6</definedName>
    <definedName name="Rebooked">'Rebooking &amp; Retention'!$C$7</definedName>
    <definedName name="RebookRate">'Rebooking &amp; Retention'!$C$8</definedName>
    <definedName name="NewClients">'Rebooking &amp; Retention'!$C$9</definedName>
    <definedName name="NoShows">'Rebooking &amp; Retention'!$C$10</definedName>
    <definedName name="NoShowRate">'Rebooking &amp; Retention'!$C$11</definedName>
    <definedName name="RetClients">'Rebooking &amp; Retention'!$F$7:$F$12</definedName>
    <definedName name="InvValue">'Inventory'!$F$5:$F$44</definedName>
    <definedName name="InvFlag">'Inventory'!$G$5:$G$44</definedName>
    <definedName name="RunRate">'Monthly Summary'!$C$10</definedName>
    <definedName name="RevTrend">'Monthly Summary'!$C$14:$C$19</definedName>
    <definedName name="HealthRange">'Dashboard'!$C$13:$C$18</definedName>
  </definedNames>
  <calcPr calcId="124519" fullCalcOnLoad="1"/>
</workbook>
</file>

<file path=xl/styles.xml><?xml version="1.0" encoding="utf-8"?>
<styleSheet xmlns="http://schemas.openxmlformats.org/spreadsheetml/2006/main">
  <numFmts count="5">
    <numFmt numFmtId="164" formatCode="&quot;$&quot;#,##0.00"/>
    <numFmt numFmtId="165" formatCode="0.0"/>
    <numFmt numFmtId="166" formatCode="&quot;$&quot;#,##0"/>
    <numFmt numFmtId="167" formatCode="0.0&quot;×&quot;"/>
    <numFmt numFmtId="168" formatCode="0.0%"/>
  </numFmts>
  <fonts count="18">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color rgb="00333333"/>
      <sz val="11"/>
    </font>
    <font>
      <b val="1"/>
      <color rgb="001B4F48"/>
      <sz val="13"/>
    </font>
    <font>
      <b val="1"/>
      <color rgb="001B4F48"/>
      <sz val="12"/>
    </font>
    <font>
      <b val="1"/>
      <color rgb="001B4F48"/>
      <sz val="15"/>
    </font>
    <font>
      <b val="1"/>
      <color rgb="001B4F48"/>
      <sz val="16"/>
    </font>
    <font>
      <b val="1"/>
      <color rgb="001B4F48"/>
    </font>
    <font>
      <b val="1"/>
      <color rgb="001B4F48"/>
      <sz val="14"/>
    </font>
    <font>
      <b val="1"/>
      <color rgb="00937356"/>
      <sz val="9"/>
    </font>
    <font>
      <b val="1"/>
      <color rgb="001B4F48"/>
      <sz val="18"/>
    </font>
  </fonts>
  <fills count="11">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C9A86A"/>
      </patternFill>
    </fill>
    <fill>
      <patternFill patternType="solid">
        <fgColor rgb="00E3F8EF"/>
      </patternFill>
    </fill>
    <fill>
      <patternFill patternType="solid">
        <fgColor rgb="00FBF0E2"/>
      </patternFill>
    </fill>
    <fill>
      <patternFill patternType="solid">
        <fgColor rgb="00F4ECDE"/>
      </patternFill>
    </fill>
    <fill>
      <patternFill patternType="solid">
        <fgColor rgb="00FBE6E6"/>
      </patternFill>
    </fill>
    <fill>
      <patternFill patternType="solid">
        <fgColor rgb="00FFFFFF"/>
      </patternFill>
    </fill>
  </fills>
  <borders count="4">
    <border>
      <left/>
      <right/>
      <top/>
      <bottom/>
      <diagonal/>
    </border>
    <border/>
    <border>
      <left style="thin">
        <color rgb="00D6D2C8"/>
      </left>
      <right style="thin">
        <color rgb="00D6D2C8"/>
      </right>
      <top style="thin">
        <color rgb="00D6D2C8"/>
      </top>
      <bottom style="thin">
        <color rgb="00D6D2C8"/>
      </bottom>
    </border>
    <border>
      <left style="thin">
        <color rgb="00D6D2C8"/>
      </left>
      <right style="thin">
        <color rgb="00D6D2C8"/>
      </right>
      <top style="medium">
        <color rgb="00C9A86A"/>
      </top>
      <bottom style="thin">
        <color rgb="00D6D2C8"/>
      </bottom>
    </border>
  </borders>
  <cellStyleXfs count="12">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6" fillId="0" borderId="1" applyAlignment="1">
      <alignment horizontal="left" vertical="top" wrapText="1" indent="1"/>
    </xf>
  </cellStyleXfs>
  <cellXfs count="76">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5" borderId="0" pivotButton="0" quotePrefix="0" xfId="0"/>
    <xf numFmtId="0" fontId="4" fillId="0" borderId="1" applyAlignment="1" pivotButton="0" quotePrefix="0" xfId="4">
      <alignment horizontal="left" vertical="center"/>
    </xf>
    <xf numFmtId="0" fontId="6" fillId="6" borderId="2" applyAlignment="1" pivotButton="0" quotePrefix="0" xfId="11">
      <alignment horizontal="left" vertical="top" wrapText="1" indent="1"/>
    </xf>
    <xf numFmtId="0" fontId="0" fillId="6" borderId="0" pivotButton="0" quotePrefix="0" xfId="0"/>
    <xf numFmtId="0" fontId="3" fillId="0" borderId="1" applyAlignment="1" pivotButton="0" quotePrefix="0" xfId="3">
      <alignment horizontal="left" vertical="center"/>
    </xf>
    <xf numFmtId="0" fontId="6" fillId="0" borderId="1" applyAlignment="1" pivotButton="0" quotePrefix="0" xfId="11">
      <alignment horizontal="left" vertical="top" wrapText="1" indent="1"/>
    </xf>
    <xf numFmtId="0" fontId="5" fillId="2" borderId="2" applyAlignment="1" pivotButton="0" quotePrefix="0" xfId="5">
      <alignment horizontal="center" vertical="center" wrapText="1"/>
    </xf>
    <xf numFmtId="0" fontId="9" fillId="7" borderId="2" applyAlignment="1" pivotButton="0" quotePrefix="0" xfId="0">
      <alignment horizontal="left" vertical="top" wrapText="1" indent="1"/>
    </xf>
    <xf numFmtId="0" fontId="0" fillId="7" borderId="0" pivotButton="0" quotePrefix="0" xfId="0"/>
    <xf numFmtId="0" fontId="16" fillId="10" borderId="3" applyAlignment="1" pivotButton="0" quotePrefix="0" xfId="0">
      <alignment horizontal="center" vertical="center"/>
    </xf>
    <xf numFmtId="0" fontId="0" fillId="10" borderId="3" pivotButton="0" quotePrefix="0" xfId="0"/>
    <xf numFmtId="164" fontId="17" fillId="10" borderId="2" applyAlignment="1" pivotButton="0" quotePrefix="0" xfId="0">
      <alignment horizontal="center" vertical="center"/>
    </xf>
    <xf numFmtId="0" fontId="0" fillId="10" borderId="2" pivotButton="0" quotePrefix="0" xfId="0"/>
    <xf numFmtId="168" fontId="17" fillId="10" borderId="2" applyAlignment="1" pivotButton="0" quotePrefix="0" xfId="0">
      <alignment horizontal="center" vertical="center"/>
    </xf>
    <xf numFmtId="3" fontId="17" fillId="10" borderId="2" applyAlignment="1" pivotButton="0" quotePrefix="0" xfId="0">
      <alignment horizontal="center" vertical="center"/>
    </xf>
    <xf numFmtId="166" fontId="17" fillId="10" borderId="2" applyAlignment="1" pivotButton="0" quotePrefix="0" xfId="0">
      <alignment horizontal="center" vertical="center"/>
    </xf>
    <xf numFmtId="9" fontId="17" fillId="10" borderId="2" applyAlignment="1" pivotButton="0" quotePrefix="0" xfId="0">
      <alignment horizontal="center" vertical="center"/>
    </xf>
    <xf numFmtId="0" fontId="6" fillId="0" borderId="2" applyAlignment="1" pivotButton="0" quotePrefix="0" xfId="7">
      <alignment horizontal="left" vertical="center" wrapText="1" indent="1"/>
    </xf>
    <xf numFmtId="9" fontId="6" fillId="0" borderId="2" applyAlignment="1" pivotButton="0" quotePrefix="0" xfId="6">
      <alignment horizontal="center" vertical="center" wrapText="1"/>
    </xf>
    <xf numFmtId="0" fontId="6" fillId="0" borderId="2" applyAlignment="1" pivotButton="0" quotePrefix="0" xfId="6">
      <alignment horizontal="center" vertical="center" wrapText="1"/>
    </xf>
    <xf numFmtId="0" fontId="6" fillId="8" borderId="2" applyAlignment="1" pivotButton="0" quotePrefix="0" xfId="7">
      <alignment horizontal="left" vertical="center" wrapText="1" indent="1"/>
    </xf>
    <xf numFmtId="9" fontId="6" fillId="8" borderId="2" applyAlignment="1" pivotButton="0" quotePrefix="0" xfId="6">
      <alignment horizontal="center" vertical="center" wrapText="1"/>
    </xf>
    <xf numFmtId="0" fontId="6" fillId="8" borderId="2" applyAlignment="1" pivotButton="0" quotePrefix="0" xfId="6">
      <alignment horizontal="center" vertical="center" wrapText="1"/>
    </xf>
    <xf numFmtId="0" fontId="8" fillId="4" borderId="2" applyAlignment="1" pivotButton="0" quotePrefix="0" xfId="9">
      <alignment horizontal="left" vertical="center" indent="1"/>
    </xf>
    <xf numFmtId="164" fontId="7" fillId="3" borderId="2" applyAlignment="1" pivotButton="0" quotePrefix="0" xfId="8">
      <alignment horizontal="center" vertical="center"/>
    </xf>
    <xf numFmtId="164" fontId="7" fillId="0" borderId="2" applyAlignment="1" pivotButton="0" quotePrefix="0" xfId="10">
      <alignment horizontal="left" vertical="center" indent="1"/>
    </xf>
    <xf numFmtId="164" fontId="11" fillId="3" borderId="2" applyAlignment="1" pivotButton="0" quotePrefix="0" xfId="6">
      <alignment horizontal="center" vertical="center" wrapText="1"/>
    </xf>
    <xf numFmtId="2" fontId="7" fillId="3" borderId="2" applyAlignment="1" pivotButton="0" quotePrefix="0" xfId="8">
      <alignment horizontal="center" vertical="center"/>
    </xf>
    <xf numFmtId="164" fontId="11" fillId="7" borderId="2" applyAlignment="1" pivotButton="0" quotePrefix="0" xfId="6">
      <alignment horizontal="center" vertical="center" wrapText="1"/>
    </xf>
    <xf numFmtId="164" fontId="13" fillId="6" borderId="2" applyAlignment="1" pivotButton="0" quotePrefix="0" xfId="6">
      <alignment horizontal="center" vertical="center" wrapText="1"/>
    </xf>
    <xf numFmtId="168" fontId="10" fillId="6" borderId="2" applyAlignment="1" pivotButton="0" quotePrefix="0" xfId="6">
      <alignment horizontal="center" vertical="center" wrapText="1"/>
    </xf>
    <xf numFmtId="164" fontId="10" fillId="6" borderId="2" applyAlignment="1" pivotButton="0" quotePrefix="0" xfId="6">
      <alignment horizontal="center" vertical="center" wrapText="1"/>
    </xf>
    <xf numFmtId="164" fontId="7" fillId="9" borderId="2" applyAlignment="1" pivotButton="0" quotePrefix="0" xfId="10">
      <alignment horizontal="left" vertical="center" indent="1"/>
    </xf>
    <xf numFmtId="168" fontId="7" fillId="9" borderId="2" applyAlignment="1" pivotButton="0" quotePrefix="0" xfId="10">
      <alignment horizontal="left" vertical="center" indent="1"/>
    </xf>
    <xf numFmtId="164" fontId="7" fillId="6" borderId="2" applyAlignment="1" pivotButton="0" quotePrefix="0" xfId="10">
      <alignment horizontal="left" vertical="center" indent="1"/>
    </xf>
    <xf numFmtId="166" fontId="7" fillId="3" borderId="2" applyAlignment="1" pivotButton="0" quotePrefix="0" xfId="8">
      <alignment horizontal="center" vertical="center"/>
    </xf>
    <xf numFmtId="166" fontId="7" fillId="8" borderId="2" applyAlignment="1" pivotButton="0" quotePrefix="0" xfId="8">
      <alignment horizontal="center" vertical="center"/>
    </xf>
    <xf numFmtId="166" fontId="10" fillId="3" borderId="2" applyAlignment="1" pivotButton="0" quotePrefix="0" xfId="6">
      <alignment horizontal="center" vertical="center" wrapText="1"/>
    </xf>
    <xf numFmtId="3" fontId="7" fillId="3" borderId="2" applyAlignment="1" pivotButton="0" quotePrefix="0" xfId="8">
      <alignment horizontal="center" vertical="center"/>
    </xf>
    <xf numFmtId="9" fontId="11" fillId="6" borderId="2" applyAlignment="1" pivotButton="0" quotePrefix="0" xfId="6">
      <alignment horizontal="center" vertical="center" wrapText="1"/>
    </xf>
    <xf numFmtId="3" fontId="12" fillId="3" borderId="2" applyAlignment="1" pivotButton="0" quotePrefix="0" xfId="6">
      <alignment horizontal="center" vertical="center" wrapText="1"/>
    </xf>
    <xf numFmtId="3" fontId="7" fillId="0" borderId="2" applyAlignment="1" pivotButton="0" quotePrefix="0" xfId="10">
      <alignment horizontal="left" vertical="center" indent="1"/>
    </xf>
    <xf numFmtId="167" fontId="10" fillId="6" borderId="2" applyAlignment="1" pivotButton="0" quotePrefix="0" xfId="6">
      <alignment horizontal="center" vertical="center" wrapText="1"/>
    </xf>
    <xf numFmtId="164" fontId="6" fillId="0" borderId="2" applyAlignment="1" pivotButton="0" quotePrefix="0" xfId="6">
      <alignment horizontal="center" vertical="center" wrapText="1"/>
    </xf>
    <xf numFmtId="164" fontId="7" fillId="8" borderId="2" applyAlignment="1" pivotButton="0" quotePrefix="0" xfId="8">
      <alignment horizontal="center" vertical="center"/>
    </xf>
    <xf numFmtId="3" fontId="7" fillId="8" borderId="2" applyAlignment="1" pivotButton="0" quotePrefix="0" xfId="8">
      <alignment horizontal="center" vertical="center"/>
    </xf>
    <xf numFmtId="164" fontId="6" fillId="8" borderId="2" applyAlignment="1" pivotButton="0" quotePrefix="0" xfId="6">
      <alignment horizontal="center" vertical="center" wrapText="1"/>
    </xf>
    <xf numFmtId="164" fontId="7" fillId="7" borderId="2" applyAlignment="1" pivotButton="0" quotePrefix="0" xfId="10">
      <alignment horizontal="left" vertical="center" indent="1"/>
    </xf>
    <xf numFmtId="0" fontId="6" fillId="10" borderId="2" applyAlignment="1" pivotButton="0" quotePrefix="0" xfId="7">
      <alignment horizontal="left" vertical="center" wrapText="1" indent="1"/>
    </xf>
    <xf numFmtId="0" fontId="6" fillId="10" borderId="2" applyAlignment="1" pivotButton="0" quotePrefix="0" xfId="6">
      <alignment horizontal="center" vertical="center" wrapText="1"/>
    </xf>
    <xf numFmtId="3" fontId="6" fillId="10" borderId="2" applyAlignment="1" pivotButton="0" quotePrefix="0" xfId="6">
      <alignment horizontal="center" vertical="center" wrapText="1"/>
    </xf>
    <xf numFmtId="166" fontId="6" fillId="10" borderId="2" applyAlignment="1" pivotButton="0" quotePrefix="0" xfId="6">
      <alignment horizontal="center" vertical="center" wrapText="1"/>
    </xf>
    <xf numFmtId="164" fontId="6" fillId="10" borderId="2" applyAlignment="1" pivotButton="0" quotePrefix="0" xfId="6">
      <alignment horizontal="center" vertical="center" wrapText="1"/>
    </xf>
    <xf numFmtId="3" fontId="6" fillId="8" borderId="2" applyAlignment="1" pivotButton="0" quotePrefix="0" xfId="6">
      <alignment horizontal="center" vertical="center" wrapText="1"/>
    </xf>
    <xf numFmtId="166" fontId="6" fillId="8" borderId="2" applyAlignment="1" pivotButton="0" quotePrefix="0" xfId="6">
      <alignment horizontal="center" vertical="center" wrapText="1"/>
    </xf>
    <xf numFmtId="166" fontId="7" fillId="6" borderId="2" applyAlignment="1" pivotButton="0" quotePrefix="0" xfId="10">
      <alignment horizontal="left" vertical="center" indent="1"/>
    </xf>
    <xf numFmtId="166" fontId="7" fillId="0" borderId="2" applyAlignment="1" pivotButton="0" quotePrefix="0" xfId="10">
      <alignment horizontal="left" vertical="center" indent="1"/>
    </xf>
    <xf numFmtId="3" fontId="7" fillId="9" borderId="2" applyAlignment="1" pivotButton="0" quotePrefix="0" xfId="10">
      <alignment horizontal="left" vertical="center" indent="1"/>
    </xf>
    <xf numFmtId="0" fontId="6" fillId="3" borderId="2" applyAlignment="1" pivotButton="0" quotePrefix="0" xfId="6">
      <alignment horizontal="center" vertical="center" wrapText="1"/>
    </xf>
    <xf numFmtId="3" fontId="14" fillId="3" borderId="2" applyAlignment="1" pivotButton="0" quotePrefix="0" xfId="6">
      <alignment horizontal="center" vertical="center" wrapText="1"/>
    </xf>
    <xf numFmtId="166" fontId="14" fillId="3" borderId="2" applyAlignment="1" pivotButton="0" quotePrefix="0" xfId="6">
      <alignment horizontal="center" vertical="center" wrapText="1"/>
    </xf>
    <xf numFmtId="166" fontId="11" fillId="6" borderId="2" applyAlignment="1" pivotButton="0" quotePrefix="0" xfId="6">
      <alignment horizontal="center" vertical="center" wrapText="1"/>
    </xf>
    <xf numFmtId="9" fontId="7" fillId="0" borderId="2" applyAlignment="1" pivotButton="0" quotePrefix="0" xfId="10">
      <alignment horizontal="left" vertical="center" indent="1"/>
    </xf>
    <xf numFmtId="166" fontId="15" fillId="3" borderId="2" applyAlignment="1" pivotButton="0" quotePrefix="0" xfId="6">
      <alignment horizontal="center" vertical="center" wrapText="1"/>
    </xf>
    <xf numFmtId="166" fontId="13" fillId="6" borderId="2" applyAlignment="1" pivotButton="0" quotePrefix="0" xfId="6">
      <alignment horizontal="center" vertical="center" wrapText="1"/>
    </xf>
    <xf numFmtId="166" fontId="15" fillId="6" borderId="2" applyAlignment="1" pivotButton="0" quotePrefix="0" xfId="6">
      <alignment horizontal="center" vertical="center" wrapText="1"/>
    </xf>
    <xf numFmtId="166" fontId="11" fillId="3" borderId="2" applyAlignment="1" pivotButton="0" quotePrefix="0" xfId="6">
      <alignment horizontal="center" vertical="center" wrapText="1"/>
    </xf>
    <xf numFmtId="9" fontId="10" fillId="6" borderId="2" applyAlignment="1" pivotButton="0" quotePrefix="0" xfId="6">
      <alignment horizontal="center" vertical="center" wrapText="1"/>
    </xf>
    <xf numFmtId="0" fontId="7" fillId="3" borderId="2" applyAlignment="1" pivotButton="0" quotePrefix="0" xfId="8">
      <alignment horizontal="center" vertical="center"/>
    </xf>
    <xf numFmtId="10" fontId="7" fillId="3" borderId="2" applyAlignment="1" pivotButton="0" quotePrefix="0" xfId="8">
      <alignment horizontal="center" vertical="center"/>
    </xf>
    <xf numFmtId="9" fontId="7" fillId="3" borderId="2" applyAlignment="1" pivotButton="0" quotePrefix="0" xfId="8">
      <alignment horizontal="center" vertical="center"/>
    </xf>
    <xf numFmtId="165" fontId="7" fillId="3" borderId="2" applyAlignment="1" pivotButton="0" quotePrefix="0" xfId="8">
      <alignment horizontal="center" vertical="center"/>
    </xf>
    <xf numFmtId="1" fontId="7" fillId="3" borderId="2" applyAlignment="1" pivotButton="0" quotePrefix="0" xfId="8">
      <alignment horizontal="center" vertical="center"/>
    </xf>
  </cellXfs>
  <cellStyles count="12">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body" xfId="11" hidden="0"/>
  </cellStyles>
  <dxfs count="1">
    <dxf>
      <font>
        <b val="1"/>
        <color rgb="00C94C4C"/>
      </font>
      <fill>
        <patternFill patternType="solid">
          <fgColor rgb="00FB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Revenue by Month</a:t>
            </a:r>
          </a:p>
        </rich>
      </tx>
    </title>
    <plotArea>
      <barChart>
        <barDir val="col"/>
        <grouping val="clustered"/>
        <ser>
          <idx val="0"/>
          <order val="0"/>
          <spPr>
            <a:ln>
              <a:prstDash val="solid"/>
            </a:ln>
          </spPr>
          <cat>
            <numRef>
              <f>'Monthly Summary'!$B$14:$B$19</f>
            </numRef>
          </cat>
          <val>
            <numRef>
              <f>'Monthly Summary'!$C$14:$C$19</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Clients by Month</a:t>
            </a:r>
          </a:p>
        </rich>
      </tx>
    </title>
    <plotArea>
      <barChart>
        <barDir val="col"/>
        <grouping val="clustered"/>
        <ser>
          <idx val="0"/>
          <order val="0"/>
          <spPr>
            <a:ln>
              <a:prstDash val="solid"/>
            </a:ln>
          </spPr>
          <cat>
            <numRef>
              <f>'Rebooking &amp; Retention'!$E$7:$E$12</f>
            </numRef>
          </cat>
          <val>
            <numRef>
              <f>'Rebooking &amp; Retention'!$F$7:$F$12</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Revenue by Month</a:t>
            </a:r>
          </a:p>
        </rich>
      </tx>
    </title>
    <plotArea>
      <barChart>
        <barDir val="col"/>
        <grouping val="clustered"/>
        <ser>
          <idx val="0"/>
          <order val="0"/>
          <spPr>
            <a:ln>
              <a:prstDash val="solid"/>
            </a:ln>
          </spPr>
          <cat>
            <numRef>
              <f>'Monthly Summary'!$B$14:$B$19</f>
            </numRef>
          </cat>
          <val>
            <numRef>
              <f>'Monthly Summary'!$C$14:$C$19</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12</row>
      <rowOff>0</rowOff>
    </from>
    <ext cx="3096000" cy="2664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4320000" cy="2664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4320000" cy="2664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11.xml.rels><Relationships xmlns="http://schemas.openxmlformats.org/package/2006/relationships"><Relationship Type="http://schemas.openxmlformats.org/officeDocument/2006/relationships/drawing" Target="/xl/drawings/drawing2.xml" Id="rId1" /></Relationships>
</file>

<file path=xl/worksheets/_rels/sheet13.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3" customWidth="1" min="1" max="1"/>
    <col width="84" customWidth="1" min="2" max="2"/>
    <col width="3" customWidth="1" min="3" max="3"/>
  </cols>
  <sheetData>
    <row r="1" ht="58" customHeight="1">
      <c r="A1" s="1" t="inlineStr">
        <is>
          <t xml:space="preserve">  ✂  SALON, BARBER &amp; BOOTH RENTER COMMAND CENTER™</t>
        </is>
      </c>
    </row>
    <row r="2" ht="24" customHeight="1">
      <c r="A2" s="2" t="inlineStr">
        <is>
          <t xml:space="preserve">  Price the chair, not just the cut.</t>
        </is>
      </c>
    </row>
    <row r="3" ht="6" customHeight="1">
      <c r="A3" s="3" t="n"/>
      <c r="B3" s="3" t="n"/>
      <c r="C3" s="3" t="n"/>
    </row>
    <row r="5">
      <c r="B5" s="4" t="inlineStr">
        <is>
          <t>YOUR WHOLE CHAIR, IN ONE PLACE</t>
        </is>
      </c>
    </row>
    <row r="6" ht="22" customHeight="1">
      <c r="B6" s="5" t="inlineStr">
        <is>
          <t>A $65 service is not $65. Backbar product comes out, the card processor takes a cut, and — the part almost nobody prices in — your booth rent is running whether that chair is full or empty, so every service owes rent for the time it takes. This workbook does that math: the true-ticket engine strips out product, fees and the rent your chair costs per hour to show what you ACTUALLY keep. Then run your service menu by the hour, your client book, retail, tips, expenses, rebooking and inventory — all in ONE premium Google Sheets &amp; Excel system.</t>
        </is>
      </c>
    </row>
    <row r="7" ht="22" customHeight="1">
      <c r="B7" s="6" t="n"/>
    </row>
    <row r="8" ht="22" customHeight="1">
      <c r="B8" s="6" t="n"/>
    </row>
    <row r="9" ht="22" customHeight="1">
      <c r="B9" s="6" t="n"/>
    </row>
    <row r="11">
      <c r="B11" s="7" t="inlineStr">
        <is>
          <t>START HERE — 6 QUICK STEPS</t>
        </is>
      </c>
    </row>
    <row r="12" ht="22" customHeight="1">
      <c r="B12" s="8" t="inlineStr">
        <is>
          <t>1.  Open Settings — set your card rate and your goals.</t>
        </is>
      </c>
    </row>
    <row r="13" ht="22" customHeight="1">
      <c r="B13" s="8" t="inlineStr">
        <is>
          <t>2.  Chair &amp; Rent: list what the chair costs you every month.</t>
        </is>
      </c>
    </row>
    <row r="14" ht="22" customHeight="1">
      <c r="B14" s="8" t="inlineStr">
        <is>
          <t>3.  Service Pricing: enter a price, product cost and how long it takes.</t>
        </is>
      </c>
    </row>
    <row r="15" ht="22" customHeight="1">
      <c r="B15" s="8" t="inlineStr">
        <is>
          <t>4.  Read what you actually keep — and your break-even client count.</t>
        </is>
      </c>
    </row>
    <row r="16" ht="22" customHeight="1">
      <c r="B16" s="8" t="inlineStr">
        <is>
          <t>5.  Cost your whole menu by the hour. Some services aren't worth the chair.</t>
        </is>
      </c>
    </row>
    <row r="17" ht="22" customHeight="1">
      <c r="B17" s="8" t="inlineStr">
        <is>
          <t>6.  Check the Dashboard: profit, rebooking &amp; a Chair Score.</t>
        </is>
      </c>
    </row>
    <row r="20" ht="26" customHeight="1">
      <c r="B20" s="9" t="inlineStr">
        <is>
          <t xml:space="preserve">  GOOD TO KNOW</t>
        </is>
      </c>
    </row>
    <row r="21" ht="22" customHeight="1">
      <c r="B21" s="10" t="inlineStr">
        <is>
          <t>Sample data for a fictional studio (Gilded Chair Studio, stylist Remi) is included so you can see how it all connects — just type over it with your own prices and clients. Works whether you rent a booth, rent a suite, own the salon or cut at home: the chair costs what it costs, and this splits it across the hours you're open. Twelve matching printable pages (service pricing sheet, client card, day sheet, rebooking tracker &amp; more) are included. This is a business &amp; organizing tool, not financial, tax or accounting advice — and card processing rates vary by processor.</t>
        </is>
      </c>
    </row>
    <row r="22" ht="22" customHeight="1">
      <c r="B22" s="11" t="n"/>
    </row>
    <row r="23" ht="22" customHeight="1">
      <c r="B23" s="11" t="n"/>
    </row>
    <row r="25">
      <c r="B25" s="4" t="inlineStr">
        <is>
          <t>An empty chair still charges rent. Price every service like it knows that.</t>
        </is>
      </c>
    </row>
  </sheetData>
  <mergeCells count="14">
    <mergeCell ref="B17"/>
    <mergeCell ref="B12"/>
    <mergeCell ref="B13"/>
    <mergeCell ref="A1:C1"/>
    <mergeCell ref="B15"/>
    <mergeCell ref="B11"/>
    <mergeCell ref="B21:B23"/>
    <mergeCell ref="B6:B9"/>
    <mergeCell ref="B16"/>
    <mergeCell ref="B20"/>
    <mergeCell ref="B25"/>
    <mergeCell ref="B5"/>
    <mergeCell ref="B1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 customWidth="1" min="14" max="14"/>
  </cols>
  <sheetData>
    <row r="1" ht="56" customHeight="1">
      <c r="A1" s="1" t="inlineStr">
        <is>
          <t xml:space="preserve">  ✂  SALON, BARBER &amp; BOOTH RENTER COMMAND CENTER™</t>
        </is>
      </c>
    </row>
    <row r="2" ht="24" customHeight="1">
      <c r="A2" s="2" t="inlineStr">
        <is>
          <t xml:space="preserve">  What you actually keep, what the chair costs &amp; a Chair Score — at a glance.</t>
        </is>
      </c>
    </row>
    <row r="3" ht="6" customHeight="1">
      <c r="A3" s="3" t="n"/>
      <c r="B3" s="3" t="n"/>
      <c r="C3" s="3" t="n"/>
      <c r="D3" s="3" t="n"/>
      <c r="E3" s="3" t="n"/>
      <c r="F3" s="3" t="n"/>
      <c r="G3" s="3" t="n"/>
      <c r="H3" s="3" t="n"/>
      <c r="I3" s="3" t="n"/>
      <c r="J3" s="3" t="n"/>
      <c r="K3" s="3" t="n"/>
      <c r="L3" s="3" t="n"/>
      <c r="M3" s="3" t="n"/>
      <c r="N3" s="3" t="n"/>
    </row>
    <row r="5" ht="18" customHeight="1">
      <c r="B5" s="12" t="inlineStr">
        <is>
          <t>TICKET PRICE</t>
        </is>
      </c>
      <c r="C5" s="13" t="n"/>
      <c r="D5" s="12" t="inlineStr">
        <is>
          <t>BACKBAR / PRODUCT</t>
        </is>
      </c>
      <c r="E5" s="13" t="n"/>
      <c r="F5" s="12" t="inlineStr">
        <is>
          <t>CARD FEE</t>
        </is>
      </c>
      <c r="G5" s="13" t="n"/>
      <c r="H5" s="12" t="inlineStr">
        <is>
          <t>RENT / CHAIR-HOUR</t>
        </is>
      </c>
      <c r="I5" s="13" t="n"/>
      <c r="J5" s="12" t="inlineStr">
        <is>
          <t>YOU ACTUALLY KEEP</t>
        </is>
      </c>
      <c r="K5" s="13" t="n"/>
      <c r="L5" s="12" t="inlineStr">
        <is>
          <t>TRUE MARGIN</t>
        </is>
      </c>
      <c r="M5" s="13" t="n"/>
    </row>
    <row r="6" ht="40" customHeight="1">
      <c r="B6" s="14">
        <f>ServicePrice</f>
        <v/>
      </c>
      <c r="C6" s="15" t="n"/>
      <c r="D6" s="14">
        <f>BackbarCost</f>
        <v/>
      </c>
      <c r="E6" s="15" t="n"/>
      <c r="F6" s="14">
        <f>CardFee</f>
        <v/>
      </c>
      <c r="G6" s="15" t="n"/>
      <c r="H6" s="14">
        <f>RentPerHour</f>
        <v/>
      </c>
      <c r="I6" s="15" t="n"/>
      <c r="J6" s="14">
        <f>TrueNet</f>
        <v/>
      </c>
      <c r="K6" s="15" t="n"/>
      <c r="L6" s="16">
        <f>TrueMargin</f>
        <v/>
      </c>
      <c r="M6" s="15" t="n"/>
    </row>
    <row r="8" ht="18" customHeight="1">
      <c r="B8" s="12" t="inlineStr">
        <is>
          <t>CLIENTS / MONTH</t>
        </is>
      </c>
      <c r="C8" s="13" t="n"/>
      <c r="D8" s="12" t="inlineStr">
        <is>
          <t>MONTHLY REVENUE</t>
        </is>
      </c>
      <c r="E8" s="13" t="n"/>
      <c r="F8" s="12" t="inlineStr">
        <is>
          <t>MONTHLY PROFIT</t>
        </is>
      </c>
      <c r="G8" s="13" t="n"/>
      <c r="H8" s="12" t="inlineStr">
        <is>
          <t>BREAK-EVEN CLIENTS</t>
        </is>
      </c>
      <c r="I8" s="13" t="n"/>
      <c r="J8" s="12" t="inlineStr">
        <is>
          <t>CHAIR UTILIZATION</t>
        </is>
      </c>
      <c r="K8" s="13" t="n"/>
      <c r="L8" s="12" t="inlineStr">
        <is>
          <t>CHAIR SCORE</t>
        </is>
      </c>
      <c r="M8" s="13" t="n"/>
    </row>
    <row r="9" ht="40" customHeight="1">
      <c r="B9" s="17">
        <f>ClientsMonth</f>
        <v/>
      </c>
      <c r="C9" s="15" t="n"/>
      <c r="D9" s="18">
        <f>MonthlyRevenue</f>
        <v/>
      </c>
      <c r="E9" s="15" t="n"/>
      <c r="F9" s="18">
        <f>MonthlyProfit</f>
        <v/>
      </c>
      <c r="G9" s="15" t="n"/>
      <c r="H9" s="17">
        <f>BreakEven</f>
        <v/>
      </c>
      <c r="I9" s="15" t="n"/>
      <c r="J9" s="19">
        <f>Utilization</f>
        <v/>
      </c>
      <c r="K9" s="15" t="n"/>
      <c r="L9" s="19">
        <f>IFERROR(AVERAGE(HealthRange),0)</f>
        <v/>
      </c>
      <c r="M9" s="15" t="n"/>
    </row>
    <row r="11" ht="26" customHeight="1">
      <c r="B11" s="4" t="inlineStr">
        <is>
          <t>CHAIR HEALTH</t>
        </is>
      </c>
      <c r="H11" s="4" t="inlineStr">
        <is>
          <t>REVENUE BY MONTH</t>
        </is>
      </c>
    </row>
    <row r="12" ht="30" customHeight="1">
      <c r="B12" s="9" t="inlineStr">
        <is>
          <t>Check</t>
        </is>
      </c>
      <c r="C12" s="9" t="inlineStr">
        <is>
          <t>Score</t>
        </is>
      </c>
      <c r="D12" s="9" t="inlineStr">
        <is>
          <t>Status</t>
        </is>
      </c>
    </row>
    <row r="13">
      <c r="B13" s="20" t="inlineStr">
        <is>
          <t>True margin healthy</t>
        </is>
      </c>
      <c r="C13" s="21">
        <f>IFERROR(MIN(TrueMargin/MarginGoal,1),0)</f>
        <v/>
      </c>
      <c r="D13" s="22">
        <f>IF(C13&gt;=0.85,"Strong",IF(C13&gt;=0.6,"OK","Watch"))</f>
        <v/>
      </c>
    </row>
    <row r="14">
      <c r="B14" s="23" t="inlineStr">
        <is>
          <t>Clients rebooking</t>
        </is>
      </c>
      <c r="C14" s="24">
        <f>IFERROR(MIN(RebookRate/RebookGoal,1),0)</f>
        <v/>
      </c>
      <c r="D14" s="25">
        <f>IF(C14&gt;=0.85,"Strong",IF(C14&gt;=0.6,"OK","Watch"))</f>
        <v/>
      </c>
    </row>
    <row r="15">
      <c r="B15" s="20" t="inlineStr">
        <is>
          <t>Retail attaching</t>
        </is>
      </c>
      <c r="C15" s="21">
        <f>IFERROR(MIN(AttachRate/AttachGoal,1),0)</f>
        <v/>
      </c>
      <c r="D15" s="22">
        <f>IF(C15&gt;=0.85,"Strong",IF(C15&gt;=0.6,"OK","Watch"))</f>
        <v/>
      </c>
    </row>
    <row r="16">
      <c r="B16" s="23" t="inlineStr">
        <is>
          <t>Chair more than covered</t>
        </is>
      </c>
      <c r="C16" s="24">
        <f>IFERROR(MIN(CoverRatio/CoverGoal,1),0)</f>
        <v/>
      </c>
      <c r="D16" s="25">
        <f>IF(C16&gt;=0.85,"Strong",IF(C16&gt;=0.6,"OK","Watch"))</f>
        <v/>
      </c>
    </row>
    <row r="17">
      <c r="B17" s="20" t="inlineStr">
        <is>
          <t>No-shows under control</t>
        </is>
      </c>
      <c r="C17" s="21">
        <f>IF(NoShowRate&lt;=NoShowGoal,1,IFERROR(NoShowGoal/NoShowRate,0))</f>
        <v/>
      </c>
      <c r="D17" s="22">
        <f>IF(C17&gt;=0.85,"Strong",IF(C17&gt;=0.6,"OK","Watch"))</f>
        <v/>
      </c>
    </row>
    <row r="18">
      <c r="B18" s="23" t="inlineStr">
        <is>
          <t>New clients coming in</t>
        </is>
      </c>
      <c r="C18" s="24">
        <f>IFERROR(MIN(NewClients/NewClientGoal,1),0)</f>
        <v/>
      </c>
      <c r="D18" s="25">
        <f>IF(C18&gt;=0.85,"Strong",IF(C18&gt;=0.6,"OK","Watch"))</f>
        <v/>
      </c>
    </row>
    <row r="21" ht="26" customHeight="1">
      <c r="B21" s="2" t="inlineStr">
        <is>
          <t>Salon, Barber &amp; Booth Renter Command Center™ — price the chair, not just the cut.</t>
        </is>
      </c>
    </row>
  </sheetData>
  <mergeCells count="29">
    <mergeCell ref="J5:K5"/>
    <mergeCell ref="F6:G6"/>
    <mergeCell ref="H11:M11"/>
    <mergeCell ref="H9:I9"/>
    <mergeCell ref="A1:N1"/>
    <mergeCell ref="J9:K9"/>
    <mergeCell ref="D6:E6"/>
    <mergeCell ref="H6:I6"/>
    <mergeCell ref="J6:K6"/>
    <mergeCell ref="B21:M21"/>
    <mergeCell ref="F5:G5"/>
    <mergeCell ref="L5:M5"/>
    <mergeCell ref="L8:M8"/>
    <mergeCell ref="B8:C8"/>
    <mergeCell ref="F8:G8"/>
    <mergeCell ref="A2:N2"/>
    <mergeCell ref="B9:C9"/>
    <mergeCell ref="D9:E9"/>
    <mergeCell ref="F9:G9"/>
    <mergeCell ref="L9:M9"/>
    <mergeCell ref="D8:E8"/>
    <mergeCell ref="B6:C6"/>
    <mergeCell ref="L6:M6"/>
    <mergeCell ref="B5:C5"/>
    <mergeCell ref="D5:E5"/>
    <mergeCell ref="H5:I5"/>
    <mergeCell ref="H8:I8"/>
    <mergeCell ref="J8:K8"/>
    <mergeCell ref="B11:G11"/>
  </mergeCells>
  <conditionalFormatting sqref="C13:C18">
    <cfRule type="colorScale" priority="1">
      <colorScale>
        <cfvo type="num" val="0"/>
        <cfvo type="num" val="0.5"/>
        <cfvo type="num" val="1"/>
        <color rgb="FFFBF0E2"/>
        <color rgb="FFFFF3CD"/>
        <color rgb="FF75E6C1"/>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26"/>
  <sheetViews>
    <sheetView showGridLines="0" workbookViewId="0">
      <selection activeCell="A1" sqref="A1"/>
    </sheetView>
  </sheetViews>
  <sheetFormatPr baseColWidth="8" defaultRowHeight="15"/>
  <cols>
    <col width="2" customWidth="1" min="1" max="1"/>
    <col width="40" customWidth="1" min="2" max="2"/>
    <col width="18" customWidth="1" min="3" max="3"/>
    <col width="2" customWidth="1" min="4" max="4"/>
  </cols>
  <sheetData>
    <row r="1" ht="46" customHeight="1">
      <c r="A1" s="1" t="inlineStr">
        <is>
          <t xml:space="preserve">  💇  SERVICE PRICING — THE TRUE-TICKET ENGINE</t>
        </is>
      </c>
    </row>
    <row r="2" ht="22" customHeight="1">
      <c r="A2" s="2" t="inlineStr">
        <is>
          <t xml:space="preserve">  Price − product − card fee − the rent your chair costs for that hour = what you actually keep.</t>
        </is>
      </c>
    </row>
    <row r="3" ht="6" customHeight="1">
      <c r="A3" s="3" t="n"/>
      <c r="B3" s="3" t="n"/>
      <c r="C3" s="3" t="n"/>
    </row>
    <row r="5">
      <c r="B5" s="4" t="inlineStr">
        <is>
          <t>THE TICKET</t>
        </is>
      </c>
    </row>
    <row r="6">
      <c r="B6" s="26" t="inlineStr">
        <is>
          <t>Service price (what the client pays)</t>
        </is>
      </c>
      <c r="C6" s="27" t="n">
        <v>65</v>
      </c>
    </row>
    <row r="7">
      <c r="B7" s="26" t="inlineStr">
        <is>
          <t>− Backbar / product used</t>
        </is>
      </c>
      <c r="C7" s="27" t="n">
        <v>6.5</v>
      </c>
    </row>
    <row r="8">
      <c r="B8" s="26" t="inlineStr">
        <is>
          <t>− Card processing fee</t>
        </is>
      </c>
      <c r="C8" s="28">
        <f>ServicePrice*CardRate+CardFixed</f>
        <v/>
      </c>
    </row>
    <row r="9">
      <c r="B9" s="9">
        <f> SERVICE NET (before rent)</f>
        <v/>
      </c>
      <c r="C9" s="29">
        <f>ServicePrice-BackbarCost-CardFee</f>
        <v/>
      </c>
    </row>
    <row r="11">
      <c r="B11" s="4" t="inlineStr">
        <is>
          <t>NOW THE PART EVERYONE SKIPS — THE CHAIR</t>
        </is>
      </c>
    </row>
    <row r="12">
      <c r="B12" s="26" t="inlineStr">
        <is>
          <t>Rent per chair-hour (from Chair &amp; Rent)</t>
        </is>
      </c>
      <c r="C12" s="28">
        <f>RentPerHour</f>
        <v/>
      </c>
    </row>
    <row r="13">
      <c r="B13" s="26" t="inlineStr">
        <is>
          <t>× Hours this service takes</t>
        </is>
      </c>
      <c r="C13" s="30" t="n">
        <v>1.25</v>
      </c>
    </row>
    <row r="14">
      <c r="B14" s="9">
        <f> Rent this service owes</f>
        <v/>
      </c>
      <c r="C14" s="31">
        <f>RentPerHour*ServiceHours</f>
        <v/>
      </c>
    </row>
    <row r="16">
      <c r="B16" s="9">
        <f> YOU ACTUALLY KEEP</f>
        <v/>
      </c>
      <c r="C16" s="32">
        <f>ServiceNet-RentLoad</f>
        <v/>
      </c>
    </row>
    <row r="17">
      <c r="B17" s="9">
        <f> TRUE MARGIN</f>
        <v/>
      </c>
      <c r="C17" s="33">
        <f>IFERROR(TrueNet/ServicePrice,0)</f>
        <v/>
      </c>
    </row>
    <row r="18">
      <c r="B18" s="9">
        <f> YOUR REAL RATE PER HOUR</f>
        <v/>
      </c>
      <c r="C18" s="34">
        <f>IFERROR(TrueNet/ServiceHours,0)</f>
        <v/>
      </c>
    </row>
    <row r="20">
      <c r="B20" s="4" t="inlineStr">
        <is>
          <t>⚠ THE TICKET SAYS ONE THING. THE BANK SAYS ANOTHER.</t>
        </is>
      </c>
    </row>
    <row r="21">
      <c r="B21" s="26" t="inlineStr">
        <is>
          <t>The ticket says</t>
        </is>
      </c>
      <c r="C21" s="28">
        <f>ServicePrice</f>
        <v/>
      </c>
    </row>
    <row r="22">
      <c r="B22" s="26" t="inlineStr">
        <is>
          <t>Product, card fee &amp; the chair took</t>
        </is>
      </c>
      <c r="C22" s="35">
        <f>ServicePrice-TrueNet</f>
        <v/>
      </c>
    </row>
    <row r="23">
      <c r="B23" s="26" t="inlineStr">
        <is>
          <t>…which is this share of every ticket</t>
        </is>
      </c>
      <c r="C23" s="36">
        <f>IFERROR((ServicePrice-TrueNet)/ServicePrice,0)</f>
        <v/>
      </c>
    </row>
    <row r="24">
      <c r="B24" s="26" t="inlineStr">
        <is>
          <t>Raise this service by $5 and you'd keep</t>
        </is>
      </c>
      <c r="C24" s="37">
        <f>TrueNet+5-(5*CardRate)</f>
        <v/>
      </c>
    </row>
    <row r="26">
      <c r="B26" s="4" t="inlineStr">
        <is>
          <t>A $5 raise is almost pure profit. Discounting $5 is almost pure loss.</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showGridLines="0" workbookViewId="0">
      <selection activeCell="A1" sqref="A1"/>
    </sheetView>
  </sheetViews>
  <sheetFormatPr baseColWidth="8" defaultRowHeight="15"/>
  <cols>
    <col width="2" customWidth="1" min="1" max="1"/>
    <col width="38" customWidth="1" min="2" max="2"/>
    <col width="18" customWidth="1" min="3" max="3"/>
    <col width="2" customWidth="1" min="4" max="4"/>
  </cols>
  <sheetData>
    <row r="1" ht="46" customHeight="1">
      <c r="A1" s="1" t="inlineStr">
        <is>
          <t xml:space="preserve">  🪑  CHAIR &amp; RENT</t>
        </is>
      </c>
    </row>
    <row r="2" ht="22" customHeight="1">
      <c r="A2" s="2" t="inlineStr">
        <is>
          <t xml:space="preserve">  What the chair costs you every month — and how many clients it takes just to cover it.</t>
        </is>
      </c>
    </row>
    <row r="3" ht="6" customHeight="1">
      <c r="A3" s="3" t="n"/>
      <c r="B3" s="3" t="n"/>
      <c r="C3" s="3" t="n"/>
    </row>
    <row r="5">
      <c r="B5" s="4" t="inlineStr">
        <is>
          <t>FIXED COST OF HAVING A CHAIR</t>
        </is>
      </c>
    </row>
    <row r="6" ht="30" customHeight="1">
      <c r="B6" s="9" t="inlineStr">
        <is>
          <t>Line</t>
        </is>
      </c>
      <c r="C6" s="9" t="inlineStr">
        <is>
          <t>Monthly</t>
        </is>
      </c>
    </row>
    <row r="7">
      <c r="B7" s="20" t="inlineStr">
        <is>
          <t>Booth rent / chair rental</t>
        </is>
      </c>
      <c r="C7" s="38" t="n">
        <v>900</v>
      </c>
    </row>
    <row r="8">
      <c r="B8" s="23" t="inlineStr">
        <is>
          <t>Supplies, tools &amp; color waste</t>
        </is>
      </c>
      <c r="C8" s="39" t="n">
        <v>120</v>
      </c>
    </row>
    <row r="9">
      <c r="B9" s="20" t="inlineStr">
        <is>
          <t>Liability insurance</t>
        </is>
      </c>
      <c r="C9" s="38" t="n">
        <v>45</v>
      </c>
    </row>
    <row r="10">
      <c r="B10" s="23" t="inlineStr">
        <is>
          <t>Booking &amp; payment software</t>
        </is>
      </c>
      <c r="C10" s="39" t="n">
        <v>30</v>
      </c>
    </row>
    <row r="11">
      <c r="B11" s="20" t="inlineStr">
        <is>
          <t>Education &amp; classes</t>
        </is>
      </c>
      <c r="C11" s="38" t="n">
        <v>55</v>
      </c>
    </row>
    <row r="12">
      <c r="B12" s="9">
        <f> FIXED COSTS / MONTH</f>
        <v/>
      </c>
      <c r="C12" s="40">
        <f>SUM(FixedLines)</f>
        <v/>
      </c>
    </row>
    <row r="14">
      <c r="B14" s="4" t="inlineStr">
        <is>
          <t>THE CHAIR CHARGES BY THE HOUR</t>
        </is>
      </c>
    </row>
    <row r="15">
      <c r="B15" s="26" t="inlineStr">
        <is>
          <t>Hours the chair is open / month</t>
        </is>
      </c>
      <c r="C15" s="41" t="n">
        <v>160</v>
      </c>
    </row>
    <row r="16">
      <c r="B16" s="26" t="inlineStr">
        <is>
          <t>Hours actually booked / month</t>
        </is>
      </c>
      <c r="C16" s="41" t="n">
        <v>112</v>
      </c>
    </row>
    <row r="17">
      <c r="B17" s="9">
        <f> CHAIR UTILIZATION</f>
        <v/>
      </c>
      <c r="C17" s="42">
        <f>IFERROR(BookedHours/OpenHours,0)</f>
        <v/>
      </c>
    </row>
    <row r="18">
      <c r="B18" s="9">
        <f> RENT PER CHAIR-HOUR</f>
        <v/>
      </c>
      <c r="C18" s="34">
        <f>IFERROR(FixedCosts/OpenHours,0)</f>
        <v/>
      </c>
    </row>
    <row r="20">
      <c r="B20" s="4" t="inlineStr">
        <is>
          <t>BREAK-EVEN — JUST TO COVER THE CHAIR</t>
        </is>
      </c>
    </row>
    <row r="21">
      <c r="B21" s="9" t="inlineStr">
        <is>
          <t>Clients / month to break even</t>
        </is>
      </c>
      <c r="C21" s="43">
        <f>IFERROR(ROUNDUP(FixedCosts/ServiceNet,0),0)</f>
        <v/>
      </c>
    </row>
    <row r="22">
      <c r="B22" s="26" t="inlineStr">
        <is>
          <t>…which is this many per week</t>
        </is>
      </c>
      <c r="C22" s="44">
        <f>IFERROR(ROUNDUP(BreakEven/4.33,0),0)</f>
        <v/>
      </c>
    </row>
    <row r="23">
      <c r="B23" s="26" t="inlineStr">
        <is>
          <t>You served this many</t>
        </is>
      </c>
      <c r="C23" s="44">
        <f>ClientsMonth</f>
        <v/>
      </c>
    </row>
    <row r="24">
      <c r="B24" s="9">
        <f> YOU COVERED THE CHAIR THIS MANY TIMES OVER</f>
        <v/>
      </c>
      <c r="C24" s="45">
        <f>IFERROR(ClientsMonth/BreakEven,0)</f>
        <v/>
      </c>
    </row>
    <row r="26">
      <c r="B26" s="4" t="inlineStr">
        <is>
          <t>Every unbooked hour still owes rent. That is the whole game.</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showGridLines="0" workbookViewId="0">
      <pane ySplit="4" topLeftCell="A5" activePane="bottomLeft" state="frozen"/>
      <selection pane="bottomLeft" activeCell="A1" sqref="A1"/>
    </sheetView>
  </sheetViews>
  <sheetFormatPr baseColWidth="8" defaultRowHeight="15"/>
  <cols>
    <col width="2" customWidth="1" min="1" max="1"/>
    <col width="30" customWidth="1" min="2" max="2"/>
    <col width="13" customWidth="1" min="3" max="3"/>
    <col width="13" customWidth="1" min="4" max="4"/>
    <col width="11" customWidth="1" min="5" max="5"/>
    <col width="14" customWidth="1" min="6" max="6"/>
    <col width="14" customWidth="1" min="7" max="7"/>
    <col width="14" customWidth="1" min="8" max="8"/>
    <col width="2" customWidth="1" min="9" max="9"/>
  </cols>
  <sheetData>
    <row r="1" ht="46" customHeight="1">
      <c r="A1" s="1" t="inlineStr">
        <is>
          <t xml:space="preserve">  📋  SERVICES MENU — COSTED BY THE HOUR</t>
        </is>
      </c>
    </row>
    <row r="2" ht="22" customHeight="1">
      <c r="A2" s="2" t="inlineStr">
        <is>
          <t xml:space="preserve">  Every service on your menu, net of product, fees and chair rent — and what it really pays per hour.</t>
        </is>
      </c>
    </row>
    <row r="3" ht="6" customHeight="1">
      <c r="A3" s="3" t="n"/>
      <c r="B3" s="3" t="n"/>
      <c r="C3" s="3" t="n"/>
      <c r="D3" s="3" t="n"/>
      <c r="E3" s="3" t="n"/>
      <c r="F3" s="3" t="n"/>
      <c r="G3" s="3" t="n"/>
      <c r="H3" s="3" t="n"/>
    </row>
    <row r="4" ht="30" customHeight="1">
      <c r="B4" s="9" t="inlineStr">
        <is>
          <t>Service</t>
        </is>
      </c>
      <c r="C4" s="9" t="inlineStr">
        <is>
          <t>Type</t>
        </is>
      </c>
      <c r="D4" s="9" t="inlineStr">
        <is>
          <t>Price</t>
        </is>
      </c>
      <c r="E4" s="9" t="inlineStr">
        <is>
          <t>Minutes</t>
        </is>
      </c>
      <c r="F4" s="9" t="inlineStr">
        <is>
          <t>Backbar</t>
        </is>
      </c>
      <c r="G4" s="9" t="inlineStr">
        <is>
          <t>You keep</t>
        </is>
      </c>
      <c r="H4" s="9" t="inlineStr">
        <is>
          <t>Per hour</t>
        </is>
      </c>
    </row>
    <row r="5">
      <c r="B5" s="20" t="inlineStr">
        <is>
          <t>Women's cut &amp; style</t>
        </is>
      </c>
      <c r="C5" s="22" t="inlineStr">
        <is>
          <t>Cut</t>
        </is>
      </c>
      <c r="D5" s="27" t="n">
        <v>65</v>
      </c>
      <c r="E5" s="41" t="n">
        <v>75</v>
      </c>
      <c r="F5" s="27" t="n">
        <v>6.5</v>
      </c>
      <c r="G5" s="46">
        <f>D5-F5-(D5*CardRate+CardFixed)-RentPerHour*(E5/60)</f>
        <v/>
      </c>
      <c r="H5" s="46">
        <f>IFERROR(G5/(E5/60),0)</f>
        <v/>
      </c>
    </row>
    <row r="6">
      <c r="B6" s="23" t="inlineStr">
        <is>
          <t>Men's cut</t>
        </is>
      </c>
      <c r="C6" s="25" t="inlineStr">
        <is>
          <t>Barber</t>
        </is>
      </c>
      <c r="D6" s="47" t="n">
        <v>35</v>
      </c>
      <c r="E6" s="48" t="n">
        <v>30</v>
      </c>
      <c r="F6" s="47" t="n">
        <v>2.5</v>
      </c>
      <c r="G6" s="49">
        <f>D6-F6-(D6*CardRate+CardFixed)-RentPerHour*(E6/60)</f>
        <v/>
      </c>
      <c r="H6" s="49">
        <f>IFERROR(G6/(E6/60),0)</f>
        <v/>
      </c>
    </row>
    <row r="7">
      <c r="B7" s="20" t="inlineStr">
        <is>
          <t>Root touch-up</t>
        </is>
      </c>
      <c r="C7" s="22" t="inlineStr">
        <is>
          <t>Color</t>
        </is>
      </c>
      <c r="D7" s="27" t="n">
        <v>95</v>
      </c>
      <c r="E7" s="41" t="n">
        <v>105</v>
      </c>
      <c r="F7" s="27" t="n">
        <v>14</v>
      </c>
      <c r="G7" s="46">
        <f>D7-F7-(D7*CardRate+CardFixed)-RentPerHour*(E7/60)</f>
        <v/>
      </c>
      <c r="H7" s="46">
        <f>IFERROR(G7/(E7/60),0)</f>
        <v/>
      </c>
    </row>
    <row r="8">
      <c r="B8" s="23" t="inlineStr">
        <is>
          <t>Full highlight</t>
        </is>
      </c>
      <c r="C8" s="25" t="inlineStr">
        <is>
          <t>Color</t>
        </is>
      </c>
      <c r="D8" s="47" t="n">
        <v>175</v>
      </c>
      <c r="E8" s="48" t="n">
        <v>180</v>
      </c>
      <c r="F8" s="47" t="n">
        <v>28</v>
      </c>
      <c r="G8" s="49">
        <f>D8-F8-(D8*CardRate+CardFixed)-RentPerHour*(E8/60)</f>
        <v/>
      </c>
      <c r="H8" s="49">
        <f>IFERROR(G8/(E8/60),0)</f>
        <v/>
      </c>
    </row>
    <row r="9">
      <c r="B9" s="20" t="inlineStr">
        <is>
          <t>Balayage</t>
        </is>
      </c>
      <c r="C9" s="22" t="inlineStr">
        <is>
          <t>Color</t>
        </is>
      </c>
      <c r="D9" s="27" t="n">
        <v>210</v>
      </c>
      <c r="E9" s="41" t="n">
        <v>210</v>
      </c>
      <c r="F9" s="27" t="n">
        <v>32</v>
      </c>
      <c r="G9" s="46">
        <f>D9-F9-(D9*CardRate+CardFixed)-RentPerHour*(E9/60)</f>
        <v/>
      </c>
      <c r="H9" s="46">
        <f>IFERROR(G9/(E9/60),0)</f>
        <v/>
      </c>
    </row>
    <row r="10">
      <c r="B10" s="23" t="inlineStr">
        <is>
          <t>Gloss / toner</t>
        </is>
      </c>
      <c r="C10" s="25" t="inlineStr">
        <is>
          <t>Color</t>
        </is>
      </c>
      <c r="D10" s="47" t="n">
        <v>45</v>
      </c>
      <c r="E10" s="48" t="n">
        <v>45</v>
      </c>
      <c r="F10" s="47" t="n">
        <v>9</v>
      </c>
      <c r="G10" s="49">
        <f>D10-F10-(D10*CardRate+CardFixed)-RentPerHour*(E10/60)</f>
        <v/>
      </c>
      <c r="H10" s="49">
        <f>IFERROR(G10/(E10/60),0)</f>
        <v/>
      </c>
    </row>
    <row r="11">
      <c r="B11" s="20" t="inlineStr">
        <is>
          <t>Blowout</t>
        </is>
      </c>
      <c r="C11" s="22" t="inlineStr">
        <is>
          <t>Style</t>
        </is>
      </c>
      <c r="D11" s="27" t="n">
        <v>40</v>
      </c>
      <c r="E11" s="41" t="n">
        <v>45</v>
      </c>
      <c r="F11" s="27" t="n">
        <v>4</v>
      </c>
      <c r="G11" s="46">
        <f>D11-F11-(D11*CardRate+CardFixed)-RentPerHour*(E11/60)</f>
        <v/>
      </c>
      <c r="H11" s="46">
        <f>IFERROR(G11/(E11/60),0)</f>
        <v/>
      </c>
    </row>
    <row r="12">
      <c r="B12" s="23" t="inlineStr">
        <is>
          <t>Deep conditioning add-on</t>
        </is>
      </c>
      <c r="C12" s="25" t="inlineStr">
        <is>
          <t>Add-on</t>
        </is>
      </c>
      <c r="D12" s="47" t="n">
        <v>25</v>
      </c>
      <c r="E12" s="48" t="n">
        <v>20</v>
      </c>
      <c r="F12" s="47" t="n">
        <v>5</v>
      </c>
      <c r="G12" s="49">
        <f>D12-F12-(D12*CardRate+CardFixed)-RentPerHour*(E12/60)</f>
        <v/>
      </c>
      <c r="H12" s="49">
        <f>IFERROR(G12/(E12/60),0)</f>
        <v/>
      </c>
    </row>
    <row r="13">
      <c r="B13" s="20" t="inlineStr">
        <is>
          <t>Beard trim</t>
        </is>
      </c>
      <c r="C13" s="22" t="inlineStr">
        <is>
          <t>Barber</t>
        </is>
      </c>
      <c r="D13" s="27" t="n">
        <v>20</v>
      </c>
      <c r="E13" s="41" t="n">
        <v>20</v>
      </c>
      <c r="F13" s="27" t="n">
        <v>1.5</v>
      </c>
      <c r="G13" s="46">
        <f>D13-F13-(D13*CardRate+CardFixed)-RentPerHour*(E13/60)</f>
        <v/>
      </c>
      <c r="H13" s="46">
        <f>IFERROR(G13/(E13/60),0)</f>
        <v/>
      </c>
    </row>
    <row r="14">
      <c r="B14" s="23" t="inlineStr">
        <is>
          <t>Kids cut</t>
        </is>
      </c>
      <c r="C14" s="25" t="inlineStr">
        <is>
          <t>Barber</t>
        </is>
      </c>
      <c r="D14" s="47" t="n">
        <v>28</v>
      </c>
      <c r="E14" s="48" t="n">
        <v>30</v>
      </c>
      <c r="F14" s="47" t="n">
        <v>2</v>
      </c>
      <c r="G14" s="49">
        <f>D14-F14-(D14*CardRate+CardFixed)-RentPerHour*(E14/60)</f>
        <v/>
      </c>
      <c r="H14" s="49">
        <f>IFERROR(G14/(E14/60),0)</f>
        <v/>
      </c>
    </row>
    <row r="16">
      <c r="B16" s="26" t="inlineStr">
        <is>
          <t>Best per-hour service on the menu</t>
        </is>
      </c>
      <c r="H16" s="37">
        <f>IFERROR(MAX(MenuHourly),0)</f>
        <v/>
      </c>
    </row>
    <row r="17">
      <c r="B17" s="26" t="inlineStr">
        <is>
          <t>Worst per-hour service on the menu</t>
        </is>
      </c>
      <c r="H17" s="50">
        <f>IFERROR(MIN(MenuHourly),0)</f>
        <v/>
      </c>
    </row>
    <row r="19">
      <c r="B19" s="4" t="inlineStr">
        <is>
          <t>A cheap service that eats an hour costs you more than an empty chair.</t>
        </is>
      </c>
    </row>
  </sheetData>
  <mergeCells count="2">
    <mergeCell ref="A2:H2"/>
    <mergeCell ref="A1:H1"/>
  </mergeCells>
  <conditionalFormatting sqref="H5:H14">
    <cfRule type="dataBar" priority="1">
      <dataBar>
        <cfvo type="min"/>
        <cfvo type="max"/>
        <color rgb="0075E6C1"/>
      </dataBar>
    </cfRule>
  </conditionalFormatting>
  <conditionalFormatting sqref="G5:G14">
    <cfRule type="cellIs" priority="2" operator="lessThan" dxfId="0">
      <formula>0</formula>
    </cfRule>
  </conditionalFormatting>
  <dataValidations count="1">
    <dataValidation sqref="C5:C14" showDropDown="0" showInputMessage="0" showErrorMessage="0" allowBlank="1" type="list">
      <formula1>=SvcTypeList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8"/>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14" customWidth="1" min="3" max="3"/>
    <col width="13" customWidth="1" min="4" max="4"/>
    <col width="14" customWidth="1" min="5" max="5"/>
    <col width="13" customWidth="1" min="6" max="6"/>
    <col width="14" customWidth="1" min="7" max="7"/>
    <col width="2" customWidth="1" min="8" max="8"/>
  </cols>
  <sheetData>
    <row r="1" ht="46" customHeight="1">
      <c r="A1" s="1" t="inlineStr">
        <is>
          <t xml:space="preserve">  📖  CLIENT BOOK</t>
        </is>
      </c>
    </row>
    <row r="2" ht="22" customHeight="1">
      <c r="A2" s="2" t="inlineStr">
        <is>
          <t xml:space="preserve">  Who they are, when they were last in, what they're worth — and whether they rebooked.</t>
        </is>
      </c>
    </row>
    <row r="3" ht="6" customHeight="1">
      <c r="A3" s="3" t="n"/>
      <c r="B3" s="3" t="n"/>
      <c r="C3" s="3" t="n"/>
      <c r="D3" s="3" t="n"/>
      <c r="E3" s="3" t="n"/>
      <c r="F3" s="3" t="n"/>
      <c r="G3" s="3" t="n"/>
    </row>
    <row r="4" ht="30" customHeight="1">
      <c r="B4" s="9" t="inlineStr">
        <is>
          <t>Client</t>
        </is>
      </c>
      <c r="C4" s="9" t="inlineStr">
        <is>
          <t>Last visit</t>
        </is>
      </c>
      <c r="D4" s="9" t="inlineStr">
        <is>
          <t>Visits YTD</t>
        </is>
      </c>
      <c r="E4" s="9" t="inlineStr">
        <is>
          <t>Spend YTD</t>
        </is>
      </c>
      <c r="F4" s="9" t="inlineStr">
        <is>
          <t>Rebooked?</t>
        </is>
      </c>
      <c r="G4" s="9" t="inlineStr">
        <is>
          <t>Avg ticket</t>
        </is>
      </c>
    </row>
    <row r="5">
      <c r="B5" s="51" t="inlineStr">
        <is>
          <t>Ava R.</t>
        </is>
      </c>
      <c r="C5" s="52" t="inlineStr">
        <is>
          <t>07/18</t>
        </is>
      </c>
      <c r="D5" s="53" t="n">
        <v>9</v>
      </c>
      <c r="E5" s="54" t="n">
        <v>720</v>
      </c>
      <c r="F5" s="52" t="inlineStr">
        <is>
          <t>Yes</t>
        </is>
      </c>
      <c r="G5" s="55">
        <f>IFERROR(E5/D5,0)</f>
        <v/>
      </c>
    </row>
    <row r="6">
      <c r="B6" s="23" t="inlineStr">
        <is>
          <t>Marcus T.</t>
        </is>
      </c>
      <c r="C6" s="25" t="inlineStr">
        <is>
          <t>07/20</t>
        </is>
      </c>
      <c r="D6" s="56" t="n">
        <v>12</v>
      </c>
      <c r="E6" s="57" t="n">
        <v>480</v>
      </c>
      <c r="F6" s="25" t="inlineStr">
        <is>
          <t>Yes</t>
        </is>
      </c>
      <c r="G6" s="49">
        <f>IFERROR(E6/D6,0)</f>
        <v/>
      </c>
    </row>
    <row r="7">
      <c r="B7" s="51" t="inlineStr">
        <is>
          <t>Priya S.</t>
        </is>
      </c>
      <c r="C7" s="52" t="inlineStr">
        <is>
          <t>07/12</t>
        </is>
      </c>
      <c r="D7" s="53" t="n">
        <v>6</v>
      </c>
      <c r="E7" s="54" t="n">
        <v>1140</v>
      </c>
      <c r="F7" s="52" t="inlineStr">
        <is>
          <t>Yes</t>
        </is>
      </c>
      <c r="G7" s="55">
        <f>IFERROR(E7/D7,0)</f>
        <v/>
      </c>
    </row>
    <row r="8">
      <c r="B8" s="23" t="inlineStr">
        <is>
          <t>Jordan K.</t>
        </is>
      </c>
      <c r="C8" s="25" t="inlineStr">
        <is>
          <t>07/22</t>
        </is>
      </c>
      <c r="D8" s="56" t="n">
        <v>8</v>
      </c>
      <c r="E8" s="57" t="n">
        <v>560</v>
      </c>
      <c r="F8" s="25" t="inlineStr">
        <is>
          <t>Yes</t>
        </is>
      </c>
      <c r="G8" s="49">
        <f>IFERROR(E8/D8,0)</f>
        <v/>
      </c>
    </row>
    <row r="9">
      <c r="B9" s="51" t="inlineStr">
        <is>
          <t>Nina W.</t>
        </is>
      </c>
      <c r="C9" s="52" t="inlineStr">
        <is>
          <t>06/28</t>
        </is>
      </c>
      <c r="D9" s="53" t="n">
        <v>4</v>
      </c>
      <c r="E9" s="54" t="n">
        <v>810</v>
      </c>
      <c r="F9" s="52" t="inlineStr">
        <is>
          <t>No</t>
        </is>
      </c>
      <c r="G9" s="55">
        <f>IFERROR(E9/D9,0)</f>
        <v/>
      </c>
    </row>
    <row r="10">
      <c r="B10" s="23" t="inlineStr">
        <is>
          <t>Devon L.</t>
        </is>
      </c>
      <c r="C10" s="25" t="inlineStr">
        <is>
          <t>07/19</t>
        </is>
      </c>
      <c r="D10" s="56" t="n">
        <v>11</v>
      </c>
      <c r="E10" s="57" t="n">
        <v>415</v>
      </c>
      <c r="F10" s="25" t="inlineStr">
        <is>
          <t>Yes</t>
        </is>
      </c>
      <c r="G10" s="49">
        <f>IFERROR(E10/D10,0)</f>
        <v/>
      </c>
    </row>
    <row r="11">
      <c r="B11" s="51" t="inlineStr">
        <is>
          <t>Sofia M.</t>
        </is>
      </c>
      <c r="C11" s="52" t="inlineStr">
        <is>
          <t>07/15</t>
        </is>
      </c>
      <c r="D11" s="53" t="n">
        <v>5</v>
      </c>
      <c r="E11" s="54" t="n">
        <v>985</v>
      </c>
      <c r="F11" s="52" t="inlineStr">
        <is>
          <t>Yes</t>
        </is>
      </c>
      <c r="G11" s="55">
        <f>IFERROR(E11/D11,0)</f>
        <v/>
      </c>
    </row>
    <row r="12">
      <c r="B12" s="23" t="inlineStr">
        <is>
          <t>Eli B.</t>
        </is>
      </c>
      <c r="C12" s="25" t="inlineStr">
        <is>
          <t>07/21</t>
        </is>
      </c>
      <c r="D12" s="56" t="n">
        <v>10</v>
      </c>
      <c r="E12" s="57" t="n">
        <v>350</v>
      </c>
      <c r="F12" s="25" t="inlineStr">
        <is>
          <t>Yes</t>
        </is>
      </c>
      <c r="G12" s="49">
        <f>IFERROR(E12/D12,0)</f>
        <v/>
      </c>
    </row>
    <row r="13">
      <c r="B13" s="51" t="inlineStr">
        <is>
          <t>Hana C.</t>
        </is>
      </c>
      <c r="C13" s="52" t="inlineStr">
        <is>
          <t>05/30</t>
        </is>
      </c>
      <c r="D13" s="53" t="n">
        <v>3</v>
      </c>
      <c r="E13" s="54" t="n">
        <v>630</v>
      </c>
      <c r="F13" s="52" t="inlineStr">
        <is>
          <t>No</t>
        </is>
      </c>
      <c r="G13" s="55">
        <f>IFERROR(E13/D13,0)</f>
        <v/>
      </c>
    </row>
    <row r="14">
      <c r="B14" s="23" t="inlineStr">
        <is>
          <t>Ruth A.</t>
        </is>
      </c>
      <c r="C14" s="25" t="inlineStr">
        <is>
          <t>07/17</t>
        </is>
      </c>
      <c r="D14" s="56" t="n">
        <v>7</v>
      </c>
      <c r="E14" s="57" t="n">
        <v>1290</v>
      </c>
      <c r="F14" s="25" t="inlineStr">
        <is>
          <t>Yes</t>
        </is>
      </c>
      <c r="G14" s="49">
        <f>IFERROR(E14/D14,0)</f>
        <v/>
      </c>
    </row>
    <row r="15">
      <c r="B15" s="51" t="n"/>
      <c r="C15" s="52" t="n"/>
      <c r="D15" s="53" t="n"/>
      <c r="E15" s="54" t="n"/>
      <c r="F15" s="52" t="n"/>
      <c r="G15" s="55" t="n"/>
    </row>
    <row r="16">
      <c r="B16" s="23" t="n"/>
      <c r="C16" s="25" t="n"/>
      <c r="D16" s="56" t="n"/>
      <c r="E16" s="57" t="n"/>
      <c r="F16" s="25" t="n"/>
      <c r="G16" s="49" t="n"/>
    </row>
    <row r="17">
      <c r="B17" s="51" t="n"/>
      <c r="C17" s="52" t="n"/>
      <c r="D17" s="53" t="n"/>
      <c r="E17" s="54" t="n"/>
      <c r="F17" s="52" t="n"/>
      <c r="G17" s="55" t="n"/>
    </row>
    <row r="18">
      <c r="B18" s="23" t="n"/>
      <c r="C18" s="25" t="n"/>
      <c r="D18" s="56" t="n"/>
      <c r="E18" s="57" t="n"/>
      <c r="F18" s="25" t="n"/>
      <c r="G18" s="49" t="n"/>
    </row>
    <row r="19">
      <c r="B19" s="51" t="n"/>
      <c r="C19" s="52" t="n"/>
      <c r="D19" s="53" t="n"/>
      <c r="E19" s="54" t="n"/>
      <c r="F19" s="52" t="n"/>
      <c r="G19" s="55" t="n"/>
    </row>
    <row r="20">
      <c r="B20" s="23" t="n"/>
      <c r="C20" s="25" t="n"/>
      <c r="D20" s="56" t="n"/>
      <c r="E20" s="57" t="n"/>
      <c r="F20" s="25" t="n"/>
      <c r="G20" s="49" t="n"/>
    </row>
    <row r="21">
      <c r="B21" s="51" t="n"/>
      <c r="C21" s="52" t="n"/>
      <c r="D21" s="53" t="n"/>
      <c r="E21" s="54" t="n"/>
      <c r="F21" s="52" t="n"/>
      <c r="G21" s="55" t="n"/>
    </row>
    <row r="22">
      <c r="B22" s="23" t="n"/>
      <c r="C22" s="25" t="n"/>
      <c r="D22" s="56" t="n"/>
      <c r="E22" s="57" t="n"/>
      <c r="F22" s="25" t="n"/>
      <c r="G22" s="49" t="n"/>
    </row>
    <row r="23">
      <c r="B23" s="51" t="n"/>
      <c r="C23" s="52" t="n"/>
      <c r="D23" s="53" t="n"/>
      <c r="E23" s="54" t="n"/>
      <c r="F23" s="52" t="n"/>
      <c r="G23" s="55" t="n"/>
    </row>
    <row r="24">
      <c r="B24" s="23" t="n"/>
      <c r="C24" s="25" t="n"/>
      <c r="D24" s="56" t="n"/>
      <c r="E24" s="57" t="n"/>
      <c r="F24" s="25" t="n"/>
      <c r="G24" s="49" t="n"/>
    </row>
    <row r="25">
      <c r="B25" s="51" t="n"/>
      <c r="C25" s="52" t="n"/>
      <c r="D25" s="53" t="n"/>
      <c r="E25" s="54" t="n"/>
      <c r="F25" s="52" t="n"/>
      <c r="G25" s="55" t="n"/>
    </row>
    <row r="26">
      <c r="B26" s="23" t="n"/>
      <c r="C26" s="25" t="n"/>
      <c r="D26" s="56" t="n"/>
      <c r="E26" s="57" t="n"/>
      <c r="F26" s="25" t="n"/>
      <c r="G26" s="49" t="n"/>
    </row>
    <row r="27">
      <c r="B27" s="51" t="n"/>
      <c r="C27" s="52" t="n"/>
      <c r="D27" s="53" t="n"/>
      <c r="E27" s="54" t="n"/>
      <c r="F27" s="52" t="n"/>
      <c r="G27" s="55" t="n"/>
    </row>
    <row r="28">
      <c r="B28" s="23" t="n"/>
      <c r="C28" s="25" t="n"/>
      <c r="D28" s="56" t="n"/>
      <c r="E28" s="57" t="n"/>
      <c r="F28" s="25" t="n"/>
      <c r="G28" s="49" t="n"/>
    </row>
    <row r="29">
      <c r="B29" s="51" t="n"/>
      <c r="C29" s="52" t="n"/>
      <c r="D29" s="53" t="n"/>
      <c r="E29" s="54" t="n"/>
      <c r="F29" s="52" t="n"/>
      <c r="G29" s="55" t="n"/>
    </row>
    <row r="30">
      <c r="B30" s="23" t="n"/>
      <c r="C30" s="25" t="n"/>
      <c r="D30" s="56" t="n"/>
      <c r="E30" s="57" t="n"/>
      <c r="F30" s="25" t="n"/>
      <c r="G30" s="49" t="n"/>
    </row>
    <row r="31">
      <c r="B31" s="51" t="n"/>
      <c r="C31" s="52" t="n"/>
      <c r="D31" s="53" t="n"/>
      <c r="E31" s="54" t="n"/>
      <c r="F31" s="52" t="n"/>
      <c r="G31" s="55" t="n"/>
    </row>
    <row r="32">
      <c r="B32" s="23" t="n"/>
      <c r="C32" s="25" t="n"/>
      <c r="D32" s="56" t="n"/>
      <c r="E32" s="57" t="n"/>
      <c r="F32" s="25" t="n"/>
      <c r="G32" s="49" t="n"/>
    </row>
    <row r="33">
      <c r="B33" s="51" t="n"/>
      <c r="C33" s="52" t="n"/>
      <c r="D33" s="53" t="n"/>
      <c r="E33" s="54" t="n"/>
      <c r="F33" s="52" t="n"/>
      <c r="G33" s="55" t="n"/>
    </row>
    <row r="34">
      <c r="B34" s="23" t="n"/>
      <c r="C34" s="25" t="n"/>
      <c r="D34" s="56" t="n"/>
      <c r="E34" s="57" t="n"/>
      <c r="F34" s="25" t="n"/>
      <c r="G34" s="49" t="n"/>
    </row>
    <row r="35">
      <c r="B35" s="51" t="n"/>
      <c r="C35" s="52" t="n"/>
      <c r="D35" s="53" t="n"/>
      <c r="E35" s="54" t="n"/>
      <c r="F35" s="52" t="n"/>
      <c r="G35" s="55" t="n"/>
    </row>
    <row r="36">
      <c r="B36" s="23" t="n"/>
      <c r="C36" s="25" t="n"/>
      <c r="D36" s="56" t="n"/>
      <c r="E36" s="57" t="n"/>
      <c r="F36" s="25" t="n"/>
      <c r="G36" s="49" t="n"/>
    </row>
    <row r="37">
      <c r="B37" s="51" t="n"/>
      <c r="C37" s="52" t="n"/>
      <c r="D37" s="53" t="n"/>
      <c r="E37" s="54" t="n"/>
      <c r="F37" s="52" t="n"/>
      <c r="G37" s="55" t="n"/>
    </row>
    <row r="38">
      <c r="B38" s="23" t="n"/>
      <c r="C38" s="25" t="n"/>
      <c r="D38" s="56" t="n"/>
      <c r="E38" s="57" t="n"/>
      <c r="F38" s="25" t="n"/>
      <c r="G38" s="49" t="n"/>
    </row>
    <row r="39">
      <c r="B39" s="51" t="n"/>
      <c r="C39" s="52" t="n"/>
      <c r="D39" s="53" t="n"/>
      <c r="E39" s="54" t="n"/>
      <c r="F39" s="52" t="n"/>
      <c r="G39" s="55" t="n"/>
    </row>
    <row r="40">
      <c r="B40" s="23" t="n"/>
      <c r="C40" s="25" t="n"/>
      <c r="D40" s="56" t="n"/>
      <c r="E40" s="57" t="n"/>
      <c r="F40" s="25" t="n"/>
      <c r="G40" s="49" t="n"/>
    </row>
    <row r="41">
      <c r="B41" s="51" t="n"/>
      <c r="C41" s="52" t="n"/>
      <c r="D41" s="53" t="n"/>
      <c r="E41" s="54" t="n"/>
      <c r="F41" s="52" t="n"/>
      <c r="G41" s="55" t="n"/>
    </row>
    <row r="42">
      <c r="B42" s="23" t="n"/>
      <c r="C42" s="25" t="n"/>
      <c r="D42" s="56" t="n"/>
      <c r="E42" s="57" t="n"/>
      <c r="F42" s="25" t="n"/>
      <c r="G42" s="49" t="n"/>
    </row>
    <row r="43">
      <c r="B43" s="51" t="n"/>
      <c r="C43" s="52" t="n"/>
      <c r="D43" s="53" t="n"/>
      <c r="E43" s="54" t="n"/>
      <c r="F43" s="52" t="n"/>
      <c r="G43" s="55" t="n"/>
    </row>
    <row r="44">
      <c r="B44" s="23" t="n"/>
      <c r="C44" s="25" t="n"/>
      <c r="D44" s="56" t="n"/>
      <c r="E44" s="57" t="n"/>
      <c r="F44" s="25" t="n"/>
      <c r="G44" s="49" t="n"/>
    </row>
    <row r="46">
      <c r="B46" s="26" t="inlineStr">
        <is>
          <t>Clients on the books</t>
        </is>
      </c>
      <c r="E46" s="44">
        <f>COUNTA(ClientName)</f>
        <v/>
      </c>
    </row>
    <row r="47">
      <c r="B47" s="26" t="inlineStr">
        <is>
          <t>Total client value YTD</t>
        </is>
      </c>
      <c r="E47" s="58">
        <f>SUM(ClientSpend)</f>
        <v/>
      </c>
    </row>
    <row r="48">
      <c r="B48" s="26" t="inlineStr">
        <is>
          <t>Average client value YTD</t>
        </is>
      </c>
      <c r="E48" s="59">
        <f>IFERROR(SUM(ClientSpend)/COUNTA(ClientName),0)</f>
        <v/>
      </c>
    </row>
  </sheetData>
  <mergeCells count="2">
    <mergeCell ref="A2:G2"/>
    <mergeCell ref="A1:G1"/>
  </mergeCells>
  <dataValidations count="1">
    <dataValidation sqref="F5:F44" showDropDown="0" showInputMessage="0" showErrorMessage="0" allowBlank="1" type="list">
      <formula1>=YesNoList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0"/>
  <sheetViews>
    <sheetView showGridLines="0" workbookViewId="0">
      <pane ySplit="4" topLeftCell="A5" activePane="bottomLeft" state="frozen"/>
      <selection pane="bottomLeft" activeCell="A1" sqref="A1"/>
    </sheetView>
  </sheetViews>
  <sheetFormatPr baseColWidth="8" defaultRowHeight="15"/>
  <cols>
    <col width="2" customWidth="1" min="1" max="1"/>
    <col width="12" customWidth="1" min="2" max="2"/>
    <col width="24" customWidth="1" min="3" max="3"/>
    <col width="28" customWidth="1" min="4" max="4"/>
    <col width="13" customWidth="1" min="5" max="5"/>
    <col width="16" customWidth="1" min="6" max="6"/>
    <col width="2" customWidth="1" min="7" max="7"/>
  </cols>
  <sheetData>
    <row r="1" ht="46" customHeight="1">
      <c r="A1" s="1" t="inlineStr">
        <is>
          <t xml:space="preserve">  📅  APPOINTMENTS</t>
        </is>
      </c>
    </row>
    <row r="2" ht="22" customHeight="1">
      <c r="A2" s="2" t="inlineStr">
        <is>
          <t xml:space="preserve">  Every booking — kept, cancelled or no-showed. The gaps are the real cost.</t>
        </is>
      </c>
    </row>
    <row r="3" ht="6" customHeight="1">
      <c r="A3" s="3" t="n"/>
      <c r="B3" s="3" t="n"/>
      <c r="C3" s="3" t="n"/>
      <c r="D3" s="3" t="n"/>
      <c r="E3" s="3" t="n"/>
      <c r="F3" s="3" t="n"/>
    </row>
    <row r="4" ht="30" customHeight="1">
      <c r="B4" s="9" t="inlineStr">
        <is>
          <t>Date</t>
        </is>
      </c>
      <c r="C4" s="9" t="inlineStr">
        <is>
          <t>Client</t>
        </is>
      </c>
      <c r="D4" s="9" t="inlineStr">
        <is>
          <t>Service</t>
        </is>
      </c>
      <c r="E4" s="9" t="inlineStr">
        <is>
          <t>Price</t>
        </is>
      </c>
      <c r="F4" s="9" t="inlineStr">
        <is>
          <t>Status</t>
        </is>
      </c>
    </row>
    <row r="5">
      <c r="B5" s="52" t="inlineStr">
        <is>
          <t>07/22</t>
        </is>
      </c>
      <c r="C5" s="51" t="inlineStr">
        <is>
          <t>Jordan K.</t>
        </is>
      </c>
      <c r="D5" s="51" t="inlineStr">
        <is>
          <t>Women's cut &amp; style</t>
        </is>
      </c>
      <c r="E5" s="55" t="n">
        <v>65</v>
      </c>
      <c r="F5" s="52" t="inlineStr">
        <is>
          <t>Completed</t>
        </is>
      </c>
    </row>
    <row r="6">
      <c r="B6" s="25" t="inlineStr">
        <is>
          <t>07/22</t>
        </is>
      </c>
      <c r="C6" s="23" t="inlineStr">
        <is>
          <t>Eli B.</t>
        </is>
      </c>
      <c r="D6" s="23" t="inlineStr">
        <is>
          <t>Men's cut</t>
        </is>
      </c>
      <c r="E6" s="49" t="n">
        <v>35</v>
      </c>
      <c r="F6" s="25" t="inlineStr">
        <is>
          <t>Completed</t>
        </is>
      </c>
    </row>
    <row r="7">
      <c r="B7" s="52" t="inlineStr">
        <is>
          <t>07/21</t>
        </is>
      </c>
      <c r="C7" s="51" t="inlineStr">
        <is>
          <t>Ruth A.</t>
        </is>
      </c>
      <c r="D7" s="51" t="inlineStr">
        <is>
          <t>Balayage</t>
        </is>
      </c>
      <c r="E7" s="55" t="n">
        <v>210</v>
      </c>
      <c r="F7" s="52" t="inlineStr">
        <is>
          <t>Completed</t>
        </is>
      </c>
    </row>
    <row r="8">
      <c r="B8" s="25" t="inlineStr">
        <is>
          <t>07/21</t>
        </is>
      </c>
      <c r="C8" s="23" t="inlineStr">
        <is>
          <t>Devon L.</t>
        </is>
      </c>
      <c r="D8" s="23" t="inlineStr">
        <is>
          <t>Beard trim</t>
        </is>
      </c>
      <c r="E8" s="49" t="n">
        <v>20</v>
      </c>
      <c r="F8" s="25" t="inlineStr">
        <is>
          <t>Completed</t>
        </is>
      </c>
    </row>
    <row r="9">
      <c r="B9" s="52" t="inlineStr">
        <is>
          <t>07/20</t>
        </is>
      </c>
      <c r="C9" s="51" t="inlineStr">
        <is>
          <t>Marcus T.</t>
        </is>
      </c>
      <c r="D9" s="51" t="inlineStr">
        <is>
          <t>Men's cut</t>
        </is>
      </c>
      <c r="E9" s="55" t="n">
        <v>35</v>
      </c>
      <c r="F9" s="52" t="inlineStr">
        <is>
          <t>Completed</t>
        </is>
      </c>
    </row>
    <row r="10">
      <c r="B10" s="25" t="inlineStr">
        <is>
          <t>07/20</t>
        </is>
      </c>
      <c r="C10" s="23" t="inlineStr">
        <is>
          <t>Nina W.</t>
        </is>
      </c>
      <c r="D10" s="23" t="inlineStr">
        <is>
          <t>Root touch-up</t>
        </is>
      </c>
      <c r="E10" s="49" t="n">
        <v>95</v>
      </c>
      <c r="F10" s="25" t="inlineStr">
        <is>
          <t>No-show</t>
        </is>
      </c>
    </row>
    <row r="11">
      <c r="B11" s="52" t="inlineStr">
        <is>
          <t>07/19</t>
        </is>
      </c>
      <c r="C11" s="51" t="inlineStr">
        <is>
          <t>Sofia M.</t>
        </is>
      </c>
      <c r="D11" s="51" t="inlineStr">
        <is>
          <t>Full highlight</t>
        </is>
      </c>
      <c r="E11" s="55" t="n">
        <v>175</v>
      </c>
      <c r="F11" s="52" t="inlineStr">
        <is>
          <t>Completed</t>
        </is>
      </c>
    </row>
    <row r="12">
      <c r="B12" s="25" t="inlineStr">
        <is>
          <t>07/18</t>
        </is>
      </c>
      <c r="C12" s="23" t="inlineStr">
        <is>
          <t>Ava R.</t>
        </is>
      </c>
      <c r="D12" s="23" t="inlineStr">
        <is>
          <t>Women's cut &amp; style</t>
        </is>
      </c>
      <c r="E12" s="49" t="n">
        <v>65</v>
      </c>
      <c r="F12" s="25" t="inlineStr">
        <is>
          <t>Completed</t>
        </is>
      </c>
    </row>
    <row r="13">
      <c r="B13" s="52" t="inlineStr">
        <is>
          <t>07/18</t>
        </is>
      </c>
      <c r="C13" s="51" t="inlineStr">
        <is>
          <t>Hana C.</t>
        </is>
      </c>
      <c r="D13" s="51" t="inlineStr">
        <is>
          <t>Blowout</t>
        </is>
      </c>
      <c r="E13" s="55" t="n">
        <v>40</v>
      </c>
      <c r="F13" s="52" t="inlineStr">
        <is>
          <t>Late cancel</t>
        </is>
      </c>
    </row>
    <row r="14">
      <c r="B14" s="25" t="inlineStr">
        <is>
          <t>07/17</t>
        </is>
      </c>
      <c r="C14" s="23" t="inlineStr">
        <is>
          <t>Priya S.</t>
        </is>
      </c>
      <c r="D14" s="23" t="inlineStr">
        <is>
          <t>Gloss / toner</t>
        </is>
      </c>
      <c r="E14" s="49" t="n">
        <v>45</v>
      </c>
      <c r="F14" s="25" t="inlineStr">
        <is>
          <t>Completed</t>
        </is>
      </c>
    </row>
    <row r="15">
      <c r="B15" s="52" t="inlineStr">
        <is>
          <t>07/24</t>
        </is>
      </c>
      <c r="C15" s="51" t="inlineStr">
        <is>
          <t>Ava R.</t>
        </is>
      </c>
      <c r="D15" s="51" t="inlineStr">
        <is>
          <t>Deep conditioning add-on</t>
        </is>
      </c>
      <c r="E15" s="55" t="n">
        <v>25</v>
      </c>
      <c r="F15" s="52" t="inlineStr">
        <is>
          <t>Booked</t>
        </is>
      </c>
    </row>
    <row r="16">
      <c r="B16" s="25" t="inlineStr">
        <is>
          <t>07/25</t>
        </is>
      </c>
      <c r="C16" s="23" t="inlineStr">
        <is>
          <t>Jordan K.</t>
        </is>
      </c>
      <c r="D16" s="23" t="inlineStr">
        <is>
          <t>Kids cut</t>
        </is>
      </c>
      <c r="E16" s="49" t="n">
        <v>28</v>
      </c>
      <c r="F16" s="25" t="inlineStr">
        <is>
          <t>Booked</t>
        </is>
      </c>
    </row>
    <row r="17">
      <c r="B17" s="52" t="n"/>
      <c r="C17" s="51" t="n"/>
      <c r="D17" s="51" t="n"/>
      <c r="E17" s="55" t="n"/>
      <c r="F17" s="52" t="n"/>
    </row>
    <row r="18">
      <c r="B18" s="25" t="n"/>
      <c r="C18" s="23" t="n"/>
      <c r="D18" s="23" t="n"/>
      <c r="E18" s="49" t="n"/>
      <c r="F18" s="25" t="n"/>
    </row>
    <row r="19">
      <c r="B19" s="52" t="n"/>
      <c r="C19" s="51" t="n"/>
      <c r="D19" s="51" t="n"/>
      <c r="E19" s="55" t="n"/>
      <c r="F19" s="52" t="n"/>
    </row>
    <row r="20">
      <c r="B20" s="25" t="n"/>
      <c r="C20" s="23" t="n"/>
      <c r="D20" s="23" t="n"/>
      <c r="E20" s="49" t="n"/>
      <c r="F20" s="25" t="n"/>
    </row>
    <row r="21">
      <c r="B21" s="52" t="n"/>
      <c r="C21" s="51" t="n"/>
      <c r="D21" s="51" t="n"/>
      <c r="E21" s="55" t="n"/>
      <c r="F21" s="52" t="n"/>
    </row>
    <row r="22">
      <c r="B22" s="25" t="n"/>
      <c r="C22" s="23" t="n"/>
      <c r="D22" s="23" t="n"/>
      <c r="E22" s="49" t="n"/>
      <c r="F22" s="25" t="n"/>
    </row>
    <row r="23">
      <c r="B23" s="52" t="n"/>
      <c r="C23" s="51" t="n"/>
      <c r="D23" s="51" t="n"/>
      <c r="E23" s="55" t="n"/>
      <c r="F23" s="52" t="n"/>
    </row>
    <row r="24">
      <c r="B24" s="25" t="n"/>
      <c r="C24" s="23" t="n"/>
      <c r="D24" s="23" t="n"/>
      <c r="E24" s="49" t="n"/>
      <c r="F24" s="25" t="n"/>
    </row>
    <row r="25">
      <c r="B25" s="52" t="n"/>
      <c r="C25" s="51" t="n"/>
      <c r="D25" s="51" t="n"/>
      <c r="E25" s="55" t="n"/>
      <c r="F25" s="52" t="n"/>
    </row>
    <row r="26">
      <c r="B26" s="25" t="n"/>
      <c r="C26" s="23" t="n"/>
      <c r="D26" s="23" t="n"/>
      <c r="E26" s="49" t="n"/>
      <c r="F26" s="25" t="n"/>
    </row>
    <row r="27">
      <c r="B27" s="52" t="n"/>
      <c r="C27" s="51" t="n"/>
      <c r="D27" s="51" t="n"/>
      <c r="E27" s="55" t="n"/>
      <c r="F27" s="52" t="n"/>
    </row>
    <row r="28">
      <c r="B28" s="25" t="n"/>
      <c r="C28" s="23" t="n"/>
      <c r="D28" s="23" t="n"/>
      <c r="E28" s="49" t="n"/>
      <c r="F28" s="25" t="n"/>
    </row>
    <row r="29">
      <c r="B29" s="52" t="n"/>
      <c r="C29" s="51" t="n"/>
      <c r="D29" s="51" t="n"/>
      <c r="E29" s="55" t="n"/>
      <c r="F29" s="52" t="n"/>
    </row>
    <row r="30">
      <c r="B30" s="25" t="n"/>
      <c r="C30" s="23" t="n"/>
      <c r="D30" s="23" t="n"/>
      <c r="E30" s="49" t="n"/>
      <c r="F30" s="25" t="n"/>
    </row>
    <row r="31">
      <c r="B31" s="52" t="n"/>
      <c r="C31" s="51" t="n"/>
      <c r="D31" s="51" t="n"/>
      <c r="E31" s="55" t="n"/>
      <c r="F31" s="52" t="n"/>
    </row>
    <row r="32">
      <c r="B32" s="25" t="n"/>
      <c r="C32" s="23" t="n"/>
      <c r="D32" s="23" t="n"/>
      <c r="E32" s="49" t="n"/>
      <c r="F32" s="25" t="n"/>
    </row>
    <row r="33">
      <c r="B33" s="52" t="n"/>
      <c r="C33" s="51" t="n"/>
      <c r="D33" s="51" t="n"/>
      <c r="E33" s="55" t="n"/>
      <c r="F33" s="52" t="n"/>
    </row>
    <row r="34">
      <c r="B34" s="25" t="n"/>
      <c r="C34" s="23" t="n"/>
      <c r="D34" s="23" t="n"/>
      <c r="E34" s="49" t="n"/>
      <c r="F34" s="25" t="n"/>
    </row>
    <row r="35">
      <c r="B35" s="52" t="n"/>
      <c r="C35" s="51" t="n"/>
      <c r="D35" s="51" t="n"/>
      <c r="E35" s="55" t="n"/>
      <c r="F35" s="52" t="n"/>
    </row>
    <row r="36">
      <c r="B36" s="25" t="n"/>
      <c r="C36" s="23" t="n"/>
      <c r="D36" s="23" t="n"/>
      <c r="E36" s="49" t="n"/>
      <c r="F36" s="25" t="n"/>
    </row>
    <row r="37">
      <c r="B37" s="52" t="n"/>
      <c r="C37" s="51" t="n"/>
      <c r="D37" s="51" t="n"/>
      <c r="E37" s="55" t="n"/>
      <c r="F37" s="52" t="n"/>
    </row>
    <row r="38">
      <c r="B38" s="25" t="n"/>
      <c r="C38" s="23" t="n"/>
      <c r="D38" s="23" t="n"/>
      <c r="E38" s="49" t="n"/>
      <c r="F38" s="25" t="n"/>
    </row>
    <row r="39">
      <c r="B39" s="52" t="n"/>
      <c r="C39" s="51" t="n"/>
      <c r="D39" s="51" t="n"/>
      <c r="E39" s="55" t="n"/>
      <c r="F39" s="52" t="n"/>
    </row>
    <row r="40">
      <c r="B40" s="25" t="n"/>
      <c r="C40" s="23" t="n"/>
      <c r="D40" s="23" t="n"/>
      <c r="E40" s="49" t="n"/>
      <c r="F40" s="25" t="n"/>
    </row>
    <row r="41">
      <c r="B41" s="52" t="n"/>
      <c r="C41" s="51" t="n"/>
      <c r="D41" s="51" t="n"/>
      <c r="E41" s="55" t="n"/>
      <c r="F41" s="52" t="n"/>
    </row>
    <row r="42">
      <c r="B42" s="25" t="n"/>
      <c r="C42" s="23" t="n"/>
      <c r="D42" s="23" t="n"/>
      <c r="E42" s="49" t="n"/>
      <c r="F42" s="25" t="n"/>
    </row>
    <row r="43">
      <c r="B43" s="52" t="n"/>
      <c r="C43" s="51" t="n"/>
      <c r="D43" s="51" t="n"/>
      <c r="E43" s="55" t="n"/>
      <c r="F43" s="52" t="n"/>
    </row>
    <row r="44">
      <c r="B44" s="25" t="n"/>
      <c r="C44" s="23" t="n"/>
      <c r="D44" s="23" t="n"/>
      <c r="E44" s="49" t="n"/>
      <c r="F44" s="25" t="n"/>
    </row>
    <row r="46">
      <c r="B46" s="26" t="inlineStr">
        <is>
          <t>Completed</t>
        </is>
      </c>
      <c r="E46" s="44">
        <f>COUNTIF(ApptStatus,"Completed")</f>
        <v/>
      </c>
    </row>
    <row r="47">
      <c r="B47" s="26" t="inlineStr">
        <is>
          <t>No-shows &amp; late cancels</t>
        </is>
      </c>
      <c r="E47" s="60">
        <f>COUNTIF(ApptStatus,"No-show")+COUNTIF(ApptStatus,"Late cancel")</f>
        <v/>
      </c>
    </row>
    <row r="48">
      <c r="B48" s="26" t="inlineStr">
        <is>
          <t>Money that walked out the door</t>
        </is>
      </c>
      <c r="E48" s="35">
        <f>SUMIF(ApptStatus,"No-show",ApptPrice)+SUMIF(ApptStatus,"Late cancel",ApptPrice)</f>
        <v/>
      </c>
    </row>
    <row r="50">
      <c r="B50" s="4" t="inlineStr">
        <is>
          <t>A no-show is not a free hour. That hour already paid rent.</t>
        </is>
      </c>
    </row>
  </sheetData>
  <mergeCells count="2">
    <mergeCell ref="A2:F2"/>
    <mergeCell ref="A1:F1"/>
  </mergeCells>
  <dataValidations count="1">
    <dataValidation sqref="F5:F44" showDropDown="0" showInputMessage="0" showErrorMessage="0" allowBlank="1" type="list">
      <formula1>=ApptStatusList</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2" customWidth="1" min="1" max="1"/>
    <col width="30" customWidth="1" min="2" max="2"/>
    <col width="14" customWidth="1" min="3" max="3"/>
    <col width="14" customWidth="1" min="4" max="4"/>
    <col width="12" customWidth="1" min="5" max="5"/>
    <col width="14" customWidth="1" min="6" max="6"/>
    <col width="14" customWidth="1" min="7" max="7"/>
    <col width="2" customWidth="1" min="8" max="8"/>
  </cols>
  <sheetData>
    <row r="1" ht="46" customHeight="1">
      <c r="A1" s="1" t="inlineStr">
        <is>
          <t xml:space="preserve">  🧴  RETAIL &amp; BACKBAR</t>
        </is>
      </c>
    </row>
    <row r="2" ht="22" customHeight="1">
      <c r="A2" s="2" t="inlineStr">
        <is>
          <t xml:space="preserve">  Retail is the highest-margin thing in the room and it takes no chair time at all.</t>
        </is>
      </c>
    </row>
    <row r="3" ht="6" customHeight="1">
      <c r="A3" s="3" t="n"/>
      <c r="B3" s="3" t="n"/>
      <c r="C3" s="3" t="n"/>
      <c r="D3" s="3" t="n"/>
      <c r="E3" s="3" t="n"/>
      <c r="F3" s="3" t="n"/>
      <c r="G3" s="3" t="n"/>
    </row>
    <row r="4" ht="30" customHeight="1">
      <c r="B4" s="9" t="inlineStr">
        <is>
          <t>Product</t>
        </is>
      </c>
      <c r="C4" s="9" t="inlineStr">
        <is>
          <t>Your cost</t>
        </is>
      </c>
      <c r="D4" s="9" t="inlineStr">
        <is>
          <t>Retail price</t>
        </is>
      </c>
      <c r="E4" s="9" t="inlineStr">
        <is>
          <t>Units sold</t>
        </is>
      </c>
      <c r="F4" s="9" t="inlineStr">
        <is>
          <t>Revenue</t>
        </is>
      </c>
      <c r="G4" s="9" t="inlineStr">
        <is>
          <t>Profit</t>
        </is>
      </c>
    </row>
    <row r="5">
      <c r="B5" s="20" t="inlineStr">
        <is>
          <t>Hydrating shampoo</t>
        </is>
      </c>
      <c r="C5" s="27" t="n">
        <v>11</v>
      </c>
      <c r="D5" s="27" t="n">
        <v>22</v>
      </c>
      <c r="E5" s="41" t="n">
        <v>8</v>
      </c>
      <c r="F5" s="46">
        <f>D5*E5</f>
        <v/>
      </c>
      <c r="G5" s="46">
        <f>(D5-C5)*E5</f>
        <v/>
      </c>
    </row>
    <row r="6">
      <c r="B6" s="23" t="inlineStr">
        <is>
          <t>Hydrating conditioner</t>
        </is>
      </c>
      <c r="C6" s="47" t="n">
        <v>11</v>
      </c>
      <c r="D6" s="47" t="n">
        <v>22</v>
      </c>
      <c r="E6" s="48" t="n">
        <v>6</v>
      </c>
      <c r="F6" s="49">
        <f>D6*E6</f>
        <v/>
      </c>
      <c r="G6" s="49">
        <f>(D6-C6)*E6</f>
        <v/>
      </c>
    </row>
    <row r="7">
      <c r="B7" s="20" t="inlineStr">
        <is>
          <t>Leave-in treatment</t>
        </is>
      </c>
      <c r="C7" s="27" t="n">
        <v>14</v>
      </c>
      <c r="D7" s="27" t="n">
        <v>28</v>
      </c>
      <c r="E7" s="41" t="n">
        <v>5</v>
      </c>
      <c r="F7" s="46">
        <f>D7*E7</f>
        <v/>
      </c>
      <c r="G7" s="46">
        <f>(D7-C7)*E7</f>
        <v/>
      </c>
    </row>
    <row r="8">
      <c r="B8" s="23" t="inlineStr">
        <is>
          <t>Texture spray</t>
        </is>
      </c>
      <c r="C8" s="47" t="n">
        <v>13</v>
      </c>
      <c r="D8" s="47" t="n">
        <v>26</v>
      </c>
      <c r="E8" s="48" t="n">
        <v>4</v>
      </c>
      <c r="F8" s="49">
        <f>D8*E8</f>
        <v/>
      </c>
      <c r="G8" s="49">
        <f>(D8-C8)*E8</f>
        <v/>
      </c>
    </row>
    <row r="9">
      <c r="B9" s="20" t="inlineStr">
        <is>
          <t>Argan hair oil</t>
        </is>
      </c>
      <c r="C9" s="27" t="n">
        <v>15</v>
      </c>
      <c r="D9" s="27" t="n">
        <v>30</v>
      </c>
      <c r="E9" s="41" t="n">
        <v>3</v>
      </c>
      <c r="F9" s="46">
        <f>D9*E9</f>
        <v/>
      </c>
      <c r="G9" s="46">
        <f>(D9-C9)*E9</f>
        <v/>
      </c>
    </row>
    <row r="10">
      <c r="B10" s="23" t="inlineStr">
        <is>
          <t>Styling cream — travel</t>
        </is>
      </c>
      <c r="C10" s="47" t="n">
        <v>7.5</v>
      </c>
      <c r="D10" s="47" t="n">
        <v>15</v>
      </c>
      <c r="E10" s="48" t="n">
        <v>2</v>
      </c>
      <c r="F10" s="49">
        <f>D10*E10</f>
        <v/>
      </c>
      <c r="G10" s="49">
        <f>(D10-C10)*E10</f>
        <v/>
      </c>
    </row>
    <row r="11">
      <c r="B11" s="9" t="inlineStr">
        <is>
          <t>ALL RETAIL</t>
        </is>
      </c>
      <c r="C11" s="61" t="n"/>
      <c r="D11" s="61" t="n"/>
      <c r="E11" s="62">
        <f>SUM(RetailUnitsCol)</f>
        <v/>
      </c>
      <c r="F11" s="63">
        <f>SUM(RetailRev)</f>
        <v/>
      </c>
      <c r="G11" s="64">
        <f>SUM(RetailProfitCol)</f>
        <v/>
      </c>
    </row>
    <row r="12">
      <c r="B12" s="26" t="inlineStr">
        <is>
          <t>Retail cost of goods</t>
        </is>
      </c>
      <c r="F12" s="59">
        <f>SUMPRODUCT(RetailCost,RetailUnitsCol)</f>
        <v/>
      </c>
    </row>
    <row r="14">
      <c r="B14" s="4" t="inlineStr">
        <is>
          <t>RETAIL ATTACH RATE</t>
        </is>
      </c>
    </row>
    <row r="15">
      <c r="B15" s="9" t="inlineStr">
        <is>
          <t>Retail revenue ÷ service revenue</t>
        </is>
      </c>
      <c r="F15" s="33">
        <f>IFERROR(RetailRevenue/ServiceRevenue,0)</f>
        <v/>
      </c>
    </row>
    <row r="16">
      <c r="B16" s="26" t="inlineStr">
        <is>
          <t>Goal</t>
        </is>
      </c>
      <c r="F16" s="65">
        <f>AttachGoal</f>
        <v/>
      </c>
    </row>
    <row r="18">
      <c r="B18" s="4" t="inlineStr">
        <is>
          <t>Every bottle you sell is profit your chair didn't have to sit for.</t>
        </is>
      </c>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2" customWidth="1" min="1" max="1"/>
    <col width="40" customWidth="1" min="2" max="2"/>
    <col width="18" customWidth="1" min="3" max="3"/>
    <col width="2" customWidth="1" min="4" max="4"/>
  </cols>
  <sheetData>
    <row r="1" ht="46" customHeight="1">
      <c r="A1" s="1" t="inlineStr">
        <is>
          <t xml:space="preserve">  💰  INCOME &amp; TIPS</t>
        </is>
      </c>
    </row>
    <row r="2" ht="22" customHeight="1">
      <c r="A2" s="2" t="inlineStr">
        <is>
          <t xml:space="preserve">  Services plus retail, minus what it cost to earn them — and what actually lands in your account.</t>
        </is>
      </c>
    </row>
    <row r="3" ht="6" customHeight="1">
      <c r="A3" s="3" t="n"/>
      <c r="B3" s="3" t="n"/>
      <c r="C3" s="3" t="n"/>
    </row>
    <row r="5">
      <c r="B5" s="4" t="inlineStr">
        <is>
          <t>THE MONTH</t>
        </is>
      </c>
    </row>
    <row r="6">
      <c r="B6" s="26" t="inlineStr">
        <is>
          <t>Clients served</t>
        </is>
      </c>
      <c r="C6" s="44">
        <f>ClientsMonth</f>
        <v/>
      </c>
    </row>
    <row r="7">
      <c r="B7" s="26" t="inlineStr">
        <is>
          <t>Service revenue (clients × avg ticket)</t>
        </is>
      </c>
      <c r="C7" s="59">
        <f>ClientsMonth*ServicePrice</f>
        <v/>
      </c>
    </row>
    <row r="8">
      <c r="B8" s="26" t="inlineStr">
        <is>
          <t>+ Retail revenue</t>
        </is>
      </c>
      <c r="C8" s="59">
        <f>RetailRevenue</f>
        <v/>
      </c>
    </row>
    <row r="9">
      <c r="B9" s="9">
        <f> MONTHLY REVENUE</f>
        <v/>
      </c>
      <c r="C9" s="66">
        <f>ServiceRevenue+RetailRevenue</f>
        <v/>
      </c>
    </row>
    <row r="11">
      <c r="B11" s="4" t="inlineStr">
        <is>
          <t>WHAT IT COST TO EARN IT</t>
        </is>
      </c>
    </row>
    <row r="12">
      <c r="B12" s="26" t="inlineStr">
        <is>
          <t>− Backbar product (clients × cost)</t>
        </is>
      </c>
      <c r="C12" s="28">
        <f>ClientsMonth*BackbarCost</f>
        <v/>
      </c>
    </row>
    <row r="13">
      <c r="B13" s="26" t="inlineStr">
        <is>
          <t>− Card processing (rate + per-swipe)</t>
        </is>
      </c>
      <c r="C13" s="28">
        <f>MonthlyRevenue*CardRate+CardFixed*(ClientsMonth+RetailUnits)</f>
        <v/>
      </c>
    </row>
    <row r="14">
      <c r="B14" s="26" t="inlineStr">
        <is>
          <t>− Retail cost of goods</t>
        </is>
      </c>
      <c r="C14" s="28">
        <f>RetailCOGS</f>
        <v/>
      </c>
    </row>
    <row r="15">
      <c r="B15" s="9">
        <f> VARIABLE COSTS</f>
        <v/>
      </c>
      <c r="C15" s="31">
        <f>BackbarTotal+CardTotal+RetailCOGS</f>
        <v/>
      </c>
    </row>
    <row r="16">
      <c r="B16" s="26" t="inlineStr">
        <is>
          <t>− Fixed costs (the chair)</t>
        </is>
      </c>
      <c r="C16" s="59">
        <f>FixedCosts</f>
        <v/>
      </c>
    </row>
    <row r="18">
      <c r="B18" s="9">
        <f> MONTHLY PROFIT</f>
        <v/>
      </c>
      <c r="C18" s="67">
        <f>MonthlyRevenue-VariableCosts-FixedCosts</f>
        <v/>
      </c>
    </row>
    <row r="19">
      <c r="B19" s="9">
        <f> NET MARGIN</f>
        <v/>
      </c>
      <c r="C19" s="33">
        <f>IFERROR(MonthlyProfit/MonthlyRevenue,0)</f>
        <v/>
      </c>
    </row>
    <row r="21">
      <c r="B21" s="4" t="inlineStr">
        <is>
          <t>TIPS (yours — track them, they're income)</t>
        </is>
      </c>
    </row>
    <row r="22">
      <c r="B22" s="26" t="inlineStr">
        <is>
          <t>Tips this month</t>
        </is>
      </c>
      <c r="C22" s="59">
        <f>Tips</f>
        <v/>
      </c>
    </row>
    <row r="23">
      <c r="B23" s="9">
        <f> TOTAL TAKE-HOME</f>
        <v/>
      </c>
      <c r="C23" s="68">
        <f>MonthlyProfit+Tips</f>
        <v/>
      </c>
    </row>
    <row r="24">
      <c r="B24" s="4" t="inlineStr">
        <is>
          <t>Tips are taxable income. Set some aside — see the printable tax page.</t>
        </is>
      </c>
    </row>
  </sheetData>
  <mergeCells count="2">
    <mergeCell ref="A1:C1"/>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8"/>
  <sheetViews>
    <sheetView showGridLines="0" workbookViewId="0">
      <pane ySplit="4" topLeftCell="A5" activePane="bottomLeft" state="frozen"/>
      <selection pane="bottomLeft" activeCell="A1" sqref="A1"/>
    </sheetView>
  </sheetViews>
  <sheetFormatPr baseColWidth="8" defaultRowHeight="15"/>
  <cols>
    <col width="2" customWidth="1" min="1" max="1"/>
    <col width="34" customWidth="1" min="2" max="2"/>
    <col width="18" customWidth="1" min="3" max="3"/>
    <col width="14" customWidth="1" min="4" max="4"/>
    <col width="14" customWidth="1" min="5" max="5"/>
    <col width="2" customWidth="1" min="6" max="6"/>
  </cols>
  <sheetData>
    <row r="1" ht="46" customHeight="1">
      <c r="A1" s="1" t="inlineStr">
        <is>
          <t xml:space="preserve">  🧾  EXPENSES</t>
        </is>
      </c>
    </row>
    <row r="2" ht="22" customHeight="1">
      <c r="A2" s="2" t="inlineStr">
        <is>
          <t xml:space="preserve">  Everything the chair costs you — sorted, so nothing quietly grows.</t>
        </is>
      </c>
    </row>
    <row r="3" ht="6" customHeight="1">
      <c r="A3" s="3" t="n"/>
      <c r="B3" s="3" t="n"/>
      <c r="C3" s="3" t="n"/>
      <c r="D3" s="3" t="n"/>
      <c r="E3" s="3" t="n"/>
    </row>
    <row r="4" ht="30" customHeight="1">
      <c r="B4" s="9" t="inlineStr">
        <is>
          <t>Item</t>
        </is>
      </c>
      <c r="C4" s="9" t="inlineStr">
        <is>
          <t>Category</t>
        </is>
      </c>
      <c r="D4" s="9" t="inlineStr">
        <is>
          <t>Monthly</t>
        </is>
      </c>
      <c r="E4" s="9" t="inlineStr">
        <is>
          <t>Yearly</t>
        </is>
      </c>
    </row>
    <row r="5">
      <c r="B5" s="51" t="inlineStr">
        <is>
          <t>Booth rent</t>
        </is>
      </c>
      <c r="C5" s="52" t="inlineStr">
        <is>
          <t>Chair</t>
        </is>
      </c>
      <c r="D5" s="54" t="n">
        <v>900</v>
      </c>
      <c r="E5" s="54">
        <f>D5*12</f>
        <v/>
      </c>
    </row>
    <row r="6">
      <c r="B6" s="23" t="inlineStr">
        <is>
          <t>Color &amp; backbar restock</t>
        </is>
      </c>
      <c r="C6" s="25" t="inlineStr">
        <is>
          <t>Product</t>
        </is>
      </c>
      <c r="D6" s="57" t="n">
        <v>285</v>
      </c>
      <c r="E6" s="57">
        <f>D6*12</f>
        <v/>
      </c>
    </row>
    <row r="7">
      <c r="B7" s="51" t="inlineStr">
        <is>
          <t>Tools, shears &amp; clipper service</t>
        </is>
      </c>
      <c r="C7" s="52" t="inlineStr">
        <is>
          <t>Product</t>
        </is>
      </c>
      <c r="D7" s="54" t="n">
        <v>45</v>
      </c>
      <c r="E7" s="54">
        <f>D7*12</f>
        <v/>
      </c>
    </row>
    <row r="8">
      <c r="B8" s="23" t="inlineStr">
        <is>
          <t>Liability insurance</t>
        </is>
      </c>
      <c r="C8" s="25" t="inlineStr">
        <is>
          <t>Insurance</t>
        </is>
      </c>
      <c r="D8" s="57" t="n">
        <v>45</v>
      </c>
      <c r="E8" s="57">
        <f>D8*12</f>
        <v/>
      </c>
    </row>
    <row r="9">
      <c r="B9" s="51" t="inlineStr">
        <is>
          <t>Booking software</t>
        </is>
      </c>
      <c r="C9" s="52" t="inlineStr">
        <is>
          <t>Software</t>
        </is>
      </c>
      <c r="D9" s="54" t="n">
        <v>30</v>
      </c>
      <c r="E9" s="54">
        <f>D9*12</f>
        <v/>
      </c>
    </row>
    <row r="10">
      <c r="B10" s="23" t="inlineStr">
        <is>
          <t>Card reader fees</t>
        </is>
      </c>
      <c r="C10" s="25" t="inlineStr">
        <is>
          <t>Software</t>
        </is>
      </c>
      <c r="D10" s="57" t="n">
        <v>0</v>
      </c>
      <c r="E10" s="57">
        <f>D10*12</f>
        <v/>
      </c>
    </row>
    <row r="11">
      <c r="B11" s="51" t="inlineStr">
        <is>
          <t>Education &amp; classes</t>
        </is>
      </c>
      <c r="C11" s="52" t="inlineStr">
        <is>
          <t>Education</t>
        </is>
      </c>
      <c r="D11" s="54" t="n">
        <v>55</v>
      </c>
      <c r="E11" s="54">
        <f>D11*12</f>
        <v/>
      </c>
    </row>
    <row r="12">
      <c r="B12" s="23" t="inlineStr">
        <is>
          <t>Instagram ads &amp; prints</t>
        </is>
      </c>
      <c r="C12" s="25" t="inlineStr">
        <is>
          <t>Marketing</t>
        </is>
      </c>
      <c r="D12" s="57" t="n">
        <v>40</v>
      </c>
      <c r="E12" s="57">
        <f>D12*12</f>
        <v/>
      </c>
    </row>
    <row r="13">
      <c r="B13" s="51" t="inlineStr">
        <is>
          <t>Laundry &amp; towels</t>
        </is>
      </c>
      <c r="C13" s="52" t="inlineStr">
        <is>
          <t>Other</t>
        </is>
      </c>
      <c r="D13" s="54" t="n">
        <v>35</v>
      </c>
      <c r="E13" s="54">
        <f>D13*12</f>
        <v/>
      </c>
    </row>
    <row r="14">
      <c r="B14" s="23" t="n"/>
      <c r="C14" s="25" t="n"/>
      <c r="D14" s="57" t="n"/>
      <c r="E14" s="57" t="n"/>
    </row>
    <row r="15">
      <c r="B15" s="51" t="n"/>
      <c r="C15" s="52" t="n"/>
      <c r="D15" s="54" t="n"/>
      <c r="E15" s="54" t="n"/>
    </row>
    <row r="16">
      <c r="B16" s="23" t="n"/>
      <c r="C16" s="25" t="n"/>
      <c r="D16" s="57" t="n"/>
      <c r="E16" s="57" t="n"/>
    </row>
    <row r="17">
      <c r="B17" s="51" t="n"/>
      <c r="C17" s="52" t="n"/>
      <c r="D17" s="54" t="n"/>
      <c r="E17" s="54" t="n"/>
    </row>
    <row r="18">
      <c r="B18" s="23" t="n"/>
      <c r="C18" s="25" t="n"/>
      <c r="D18" s="57" t="n"/>
      <c r="E18" s="57" t="n"/>
    </row>
    <row r="19">
      <c r="B19" s="51" t="n"/>
      <c r="C19" s="52" t="n"/>
      <c r="D19" s="54" t="n"/>
      <c r="E19" s="54" t="n"/>
    </row>
    <row r="20">
      <c r="B20" s="23" t="n"/>
      <c r="C20" s="25" t="n"/>
      <c r="D20" s="57" t="n"/>
      <c r="E20" s="57" t="n"/>
    </row>
    <row r="21">
      <c r="B21" s="51" t="n"/>
      <c r="C21" s="52" t="n"/>
      <c r="D21" s="54" t="n"/>
      <c r="E21" s="54" t="n"/>
    </row>
    <row r="22">
      <c r="B22" s="23" t="n"/>
      <c r="C22" s="25" t="n"/>
      <c r="D22" s="57" t="n"/>
      <c r="E22" s="57" t="n"/>
    </row>
    <row r="23">
      <c r="B23" s="51" t="n"/>
      <c r="C23" s="52" t="n"/>
      <c r="D23" s="54" t="n"/>
      <c r="E23" s="54" t="n"/>
    </row>
    <row r="24">
      <c r="B24" s="23" t="n"/>
      <c r="C24" s="25" t="n"/>
      <c r="D24" s="57" t="n"/>
      <c r="E24" s="57" t="n"/>
    </row>
    <row r="25">
      <c r="B25" s="51" t="n"/>
      <c r="C25" s="52" t="n"/>
      <c r="D25" s="54" t="n"/>
      <c r="E25" s="54" t="n"/>
    </row>
    <row r="26">
      <c r="B26" s="23" t="n"/>
      <c r="C26" s="25" t="n"/>
      <c r="D26" s="57" t="n"/>
      <c r="E26" s="57" t="n"/>
    </row>
    <row r="27">
      <c r="B27" s="51" t="n"/>
      <c r="C27" s="52" t="n"/>
      <c r="D27" s="54" t="n"/>
      <c r="E27" s="54" t="n"/>
    </row>
    <row r="28">
      <c r="B28" s="23" t="n"/>
      <c r="C28" s="25" t="n"/>
      <c r="D28" s="57" t="n"/>
      <c r="E28" s="57" t="n"/>
    </row>
    <row r="29">
      <c r="B29" s="51" t="n"/>
      <c r="C29" s="52" t="n"/>
      <c r="D29" s="54" t="n"/>
      <c r="E29" s="54" t="n"/>
    </row>
    <row r="30">
      <c r="B30" s="23" t="n"/>
      <c r="C30" s="25" t="n"/>
      <c r="D30" s="57" t="n"/>
      <c r="E30" s="57" t="n"/>
    </row>
    <row r="31">
      <c r="B31" s="51" t="n"/>
      <c r="C31" s="52" t="n"/>
      <c r="D31" s="54" t="n"/>
      <c r="E31" s="54" t="n"/>
    </row>
    <row r="32">
      <c r="B32" s="23" t="n"/>
      <c r="C32" s="25" t="n"/>
      <c r="D32" s="57" t="n"/>
      <c r="E32" s="57" t="n"/>
    </row>
    <row r="33">
      <c r="B33" s="51" t="n"/>
      <c r="C33" s="52" t="n"/>
      <c r="D33" s="54" t="n"/>
      <c r="E33" s="54" t="n"/>
    </row>
    <row r="34">
      <c r="B34" s="23" t="n"/>
      <c r="C34" s="25" t="n"/>
      <c r="D34" s="57" t="n"/>
      <c r="E34" s="57" t="n"/>
    </row>
    <row r="35">
      <c r="B35" s="51" t="n"/>
      <c r="C35" s="52" t="n"/>
      <c r="D35" s="54" t="n"/>
      <c r="E35" s="54" t="n"/>
    </row>
    <row r="36">
      <c r="B36" s="23" t="n"/>
      <c r="C36" s="25" t="n"/>
      <c r="D36" s="57" t="n"/>
      <c r="E36" s="57" t="n"/>
    </row>
    <row r="37">
      <c r="B37" s="51" t="n"/>
      <c r="C37" s="52" t="n"/>
      <c r="D37" s="54" t="n"/>
      <c r="E37" s="54" t="n"/>
    </row>
    <row r="38">
      <c r="B38" s="23" t="n"/>
      <c r="C38" s="25" t="n"/>
      <c r="D38" s="57" t="n"/>
      <c r="E38" s="57" t="n"/>
    </row>
    <row r="39">
      <c r="B39" s="51" t="n"/>
      <c r="C39" s="52" t="n"/>
      <c r="D39" s="54" t="n"/>
      <c r="E39" s="54" t="n"/>
    </row>
    <row r="40">
      <c r="B40" s="23" t="n"/>
      <c r="C40" s="25" t="n"/>
      <c r="D40" s="57" t="n"/>
      <c r="E40" s="57" t="n"/>
    </row>
    <row r="41">
      <c r="B41" s="51" t="n"/>
      <c r="C41" s="52" t="n"/>
      <c r="D41" s="54" t="n"/>
      <c r="E41" s="54" t="n"/>
    </row>
    <row r="42">
      <c r="B42" s="23" t="n"/>
      <c r="C42" s="25" t="n"/>
      <c r="D42" s="57" t="n"/>
      <c r="E42" s="57" t="n"/>
    </row>
    <row r="43">
      <c r="B43" s="51" t="n"/>
      <c r="C43" s="52" t="n"/>
      <c r="D43" s="54" t="n"/>
      <c r="E43" s="54" t="n"/>
    </row>
    <row r="44">
      <c r="B44" s="23" t="n"/>
      <c r="C44" s="25" t="n"/>
      <c r="D44" s="57" t="n"/>
      <c r="E44" s="57" t="n"/>
    </row>
    <row r="46">
      <c r="B46" s="9" t="inlineStr">
        <is>
          <t>TOTAL MONTHLY</t>
        </is>
      </c>
      <c r="D46" s="69">
        <f>SUM(ExpMonthly)</f>
        <v/>
      </c>
      <c r="E46" s="64">
        <f>ExpTotal*12</f>
        <v/>
      </c>
    </row>
    <row r="48">
      <c r="B48" s="4" t="inlineStr">
        <is>
          <t>Everything on this list runs whether the chair is full or empty.</t>
        </is>
      </c>
    </row>
  </sheetData>
  <mergeCells count="2">
    <mergeCell ref="A2:E2"/>
    <mergeCell ref="A1:E1"/>
  </mergeCells>
  <dataValidations count="1">
    <dataValidation sqref="C5:C44" showDropDown="0" showInputMessage="0" showErrorMessage="0" allowBlank="1" type="list">
      <formula1>=ExpCatList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4"/>
  <sheetViews>
    <sheetView showGridLines="0" workbookViewId="0">
      <selection activeCell="A1" sqref="A1"/>
    </sheetView>
  </sheetViews>
  <sheetFormatPr baseColWidth="8" defaultRowHeight="15"/>
  <cols>
    <col width="2" customWidth="1" min="1" max="1"/>
    <col width="34" customWidth="1" min="2" max="2"/>
    <col width="18" customWidth="1" min="3" max="3"/>
    <col width="3" customWidth="1" min="4" max="4"/>
    <col width="12" customWidth="1" min="5" max="5"/>
    <col width="12" customWidth="1" min="6" max="6"/>
    <col width="12" customWidth="1" min="7" max="7"/>
    <col width="12" customWidth="1" min="8" max="8"/>
    <col width="12" customWidth="1" min="9" max="9"/>
    <col width="2" customWidth="1" min="10" max="10"/>
  </cols>
  <sheetData>
    <row r="1" ht="46" customHeight="1">
      <c r="A1" s="1" t="inlineStr">
        <is>
          <t xml:space="preserve">  🔁  REBOOKING &amp; RETENTION</t>
        </is>
      </c>
    </row>
    <row r="2" ht="22" customHeight="1">
      <c r="A2" s="2" t="inlineStr">
        <is>
          <t xml:space="preserve">  A client who rebooks before they leave is worth more than a client you have to chase.</t>
        </is>
      </c>
    </row>
    <row r="3" ht="6" customHeight="1">
      <c r="A3" s="3" t="n"/>
      <c r="B3" s="3" t="n"/>
      <c r="C3" s="3" t="n"/>
      <c r="D3" s="3" t="n"/>
      <c r="E3" s="3" t="n"/>
      <c r="F3" s="3" t="n"/>
      <c r="G3" s="3" t="n"/>
      <c r="H3" s="3" t="n"/>
      <c r="I3" s="3" t="n"/>
    </row>
    <row r="5">
      <c r="B5" s="4" t="inlineStr">
        <is>
          <t>THIS MONTH</t>
        </is>
      </c>
      <c r="E5" s="4" t="inlineStr">
        <is>
          <t>THE TREND</t>
        </is>
      </c>
    </row>
    <row r="6" ht="30" customHeight="1">
      <c r="B6" s="26" t="inlineStr">
        <is>
          <t>Clients served</t>
        </is>
      </c>
      <c r="C6" s="41" t="n">
        <v>92</v>
      </c>
      <c r="E6" s="9" t="inlineStr">
        <is>
          <t>Month</t>
        </is>
      </c>
      <c r="F6" s="9" t="inlineStr">
        <is>
          <t>Clients</t>
        </is>
      </c>
      <c r="G6" s="9" t="inlineStr">
        <is>
          <t>Rebooked</t>
        </is>
      </c>
      <c r="H6" s="9" t="inlineStr">
        <is>
          <t>New</t>
        </is>
      </c>
      <c r="I6" s="9" t="inlineStr">
        <is>
          <t>No-shows</t>
        </is>
      </c>
    </row>
    <row r="7">
      <c r="B7" s="26" t="inlineStr">
        <is>
          <t>Rebooked before they left</t>
        </is>
      </c>
      <c r="C7" s="41" t="n">
        <v>72</v>
      </c>
      <c r="E7" s="20" t="inlineStr">
        <is>
          <t>Feb</t>
        </is>
      </c>
      <c r="F7" s="41" t="n">
        <v>74</v>
      </c>
      <c r="G7" s="41" t="n">
        <v>52</v>
      </c>
      <c r="H7" s="41" t="n">
        <v>6</v>
      </c>
      <c r="I7" s="41" t="n">
        <v>5</v>
      </c>
    </row>
    <row r="8">
      <c r="B8" s="9">
        <f> REBOOKING RATE</f>
        <v/>
      </c>
      <c r="C8" s="70">
        <f>IFERROR(Rebooked/ClientsMonth,0)</f>
        <v/>
      </c>
      <c r="E8" s="23" t="inlineStr">
        <is>
          <t>Mar</t>
        </is>
      </c>
      <c r="F8" s="48" t="n">
        <v>79</v>
      </c>
      <c r="G8" s="48" t="n">
        <v>58</v>
      </c>
      <c r="H8" s="48" t="n">
        <v>5</v>
      </c>
      <c r="I8" s="48" t="n">
        <v>4</v>
      </c>
    </row>
    <row r="9">
      <c r="B9" s="26" t="inlineStr">
        <is>
          <t>New clients this month</t>
        </is>
      </c>
      <c r="C9" s="41" t="n">
        <v>4</v>
      </c>
      <c r="E9" s="20" t="inlineStr">
        <is>
          <t>Apr</t>
        </is>
      </c>
      <c r="F9" s="41" t="n">
        <v>83</v>
      </c>
      <c r="G9" s="41" t="n">
        <v>63</v>
      </c>
      <c r="H9" s="41" t="n">
        <v>7</v>
      </c>
      <c r="I9" s="41" t="n">
        <v>4</v>
      </c>
    </row>
    <row r="10">
      <c r="B10" s="26" t="inlineStr">
        <is>
          <t>No-shows &amp; late cancels</t>
        </is>
      </c>
      <c r="C10" s="41" t="n">
        <v>3</v>
      </c>
      <c r="E10" s="23" t="inlineStr">
        <is>
          <t>May</t>
        </is>
      </c>
      <c r="F10" s="48" t="n">
        <v>86</v>
      </c>
      <c r="G10" s="48" t="n">
        <v>66</v>
      </c>
      <c r="H10" s="48" t="n">
        <v>5</v>
      </c>
      <c r="I10" s="48" t="n">
        <v>3</v>
      </c>
    </row>
    <row r="11">
      <c r="B11" s="9">
        <f> NO-SHOW RATE</f>
        <v/>
      </c>
      <c r="C11" s="33">
        <f>IFERROR(NoShows/ClientsMonth,0)</f>
        <v/>
      </c>
      <c r="E11" s="20" t="inlineStr">
        <is>
          <t>Jun</t>
        </is>
      </c>
      <c r="F11" s="41" t="n">
        <v>89</v>
      </c>
      <c r="G11" s="41" t="n">
        <v>69</v>
      </c>
      <c r="H11" s="41" t="n">
        <v>6</v>
      </c>
      <c r="I11" s="41" t="n">
        <v>3</v>
      </c>
    </row>
    <row r="12">
      <c r="E12" s="23" t="inlineStr">
        <is>
          <t>Jul</t>
        </is>
      </c>
      <c r="F12" s="48" t="n">
        <v>92</v>
      </c>
      <c r="G12" s="48" t="n">
        <v>72</v>
      </c>
      <c r="H12" s="48" t="n">
        <v>4</v>
      </c>
      <c r="I12" s="48" t="n">
        <v>3</v>
      </c>
    </row>
    <row r="14">
      <c r="B14" s="4" t="inlineStr">
        <is>
          <t>Rebooking is the cheapest marketing there is. Ask before they stand up.</t>
        </is>
      </c>
    </row>
  </sheetData>
  <mergeCells count="3">
    <mergeCell ref="A1:I1"/>
    <mergeCell ref="E5:I5"/>
    <mergeCell ref="A2:I2"/>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G47"/>
  <sheetViews>
    <sheetView showGridLines="0" workbookViewId="0">
      <pane ySplit="4" topLeftCell="A5" activePane="bottomLeft" state="frozen"/>
      <selection pane="bottomLeft" activeCell="A1" sqref="A1"/>
    </sheetView>
  </sheetViews>
  <sheetFormatPr baseColWidth="8" defaultRowHeight="15"/>
  <cols>
    <col width="2" customWidth="1" min="1" max="1"/>
    <col width="30" customWidth="1" min="2" max="2"/>
    <col width="13" customWidth="1" min="3" max="3"/>
    <col width="13" customWidth="1" min="4" max="4"/>
    <col width="13" customWidth="1" min="5" max="5"/>
    <col width="14" customWidth="1" min="6" max="6"/>
    <col width="14" customWidth="1" min="7" max="7"/>
    <col width="2" customWidth="1" min="8" max="8"/>
  </cols>
  <sheetData>
    <row r="1" ht="46" customHeight="1">
      <c r="A1" s="1" t="inlineStr">
        <is>
          <t xml:space="preserve">  📦  PRODUCT INVENTORY</t>
        </is>
      </c>
    </row>
    <row r="2" ht="22" customHeight="1">
      <c r="A2" s="2" t="inlineStr">
        <is>
          <t xml:space="preserve">  Retail and backbar stock — so you never have to say "I'm out of that."</t>
        </is>
      </c>
    </row>
    <row r="3" ht="6" customHeight="1">
      <c r="A3" s="3" t="n"/>
      <c r="B3" s="3" t="n"/>
      <c r="C3" s="3" t="n"/>
      <c r="D3" s="3" t="n"/>
      <c r="E3" s="3" t="n"/>
      <c r="F3" s="3" t="n"/>
      <c r="G3" s="3" t="n"/>
    </row>
    <row r="4" ht="30" customHeight="1">
      <c r="B4" s="9" t="inlineStr">
        <is>
          <t>Item</t>
        </is>
      </c>
      <c r="C4" s="9" t="inlineStr">
        <is>
          <t>On hand</t>
        </is>
      </c>
      <c r="D4" s="9" t="inlineStr">
        <is>
          <t>Reorder at</t>
        </is>
      </c>
      <c r="E4" s="9" t="inlineStr">
        <is>
          <t>Unit cost</t>
        </is>
      </c>
      <c r="F4" s="9" t="inlineStr">
        <is>
          <t>Value</t>
        </is>
      </c>
      <c r="G4" s="9" t="inlineStr">
        <is>
          <t>Reorder?</t>
        </is>
      </c>
    </row>
    <row r="5">
      <c r="B5" s="51" t="inlineStr">
        <is>
          <t>Hydrating shampoo</t>
        </is>
      </c>
      <c r="C5" s="53" t="n">
        <v>6</v>
      </c>
      <c r="D5" s="53" t="n">
        <v>4</v>
      </c>
      <c r="E5" s="55" t="n">
        <v>11</v>
      </c>
      <c r="F5" s="55">
        <f>C5*E5</f>
        <v/>
      </c>
      <c r="G5" s="52">
        <f>IF(C5&lt;=D5,"REORDER","OK")</f>
        <v/>
      </c>
    </row>
    <row r="6">
      <c r="B6" s="23" t="inlineStr">
        <is>
          <t>Hydrating conditioner</t>
        </is>
      </c>
      <c r="C6" s="56" t="n">
        <v>5</v>
      </c>
      <c r="D6" s="56" t="n">
        <v>4</v>
      </c>
      <c r="E6" s="49" t="n">
        <v>11</v>
      </c>
      <c r="F6" s="49">
        <f>C6*E6</f>
        <v/>
      </c>
      <c r="G6" s="25">
        <f>IF(C6&lt;=D6,"REORDER","OK")</f>
        <v/>
      </c>
    </row>
    <row r="7">
      <c r="B7" s="51" t="inlineStr">
        <is>
          <t>Leave-in treatment</t>
        </is>
      </c>
      <c r="C7" s="53" t="n">
        <v>3</v>
      </c>
      <c r="D7" s="53" t="n">
        <v>4</v>
      </c>
      <c r="E7" s="55" t="n">
        <v>14</v>
      </c>
      <c r="F7" s="55">
        <f>C7*E7</f>
        <v/>
      </c>
      <c r="G7" s="52">
        <f>IF(C7&lt;=D7,"REORDER","OK")</f>
        <v/>
      </c>
    </row>
    <row r="8">
      <c r="B8" s="23" t="inlineStr">
        <is>
          <t>Texture spray</t>
        </is>
      </c>
      <c r="C8" s="56" t="n">
        <v>7</v>
      </c>
      <c r="D8" s="56" t="n">
        <v>3</v>
      </c>
      <c r="E8" s="49" t="n">
        <v>13</v>
      </c>
      <c r="F8" s="49">
        <f>C8*E8</f>
        <v/>
      </c>
      <c r="G8" s="25">
        <f>IF(C8&lt;=D8,"REORDER","OK")</f>
        <v/>
      </c>
    </row>
    <row r="9">
      <c r="B9" s="51" t="inlineStr">
        <is>
          <t>Argan hair oil</t>
        </is>
      </c>
      <c r="C9" s="53" t="n">
        <v>2</v>
      </c>
      <c r="D9" s="53" t="n">
        <v>3</v>
      </c>
      <c r="E9" s="55" t="n">
        <v>15</v>
      </c>
      <c r="F9" s="55">
        <f>C9*E9</f>
        <v/>
      </c>
      <c r="G9" s="52">
        <f>IF(C9&lt;=D9,"REORDER","OK")</f>
        <v/>
      </c>
    </row>
    <row r="10">
      <c r="B10" s="23" t="inlineStr">
        <is>
          <t>Styling cream — travel</t>
        </is>
      </c>
      <c r="C10" s="56" t="n">
        <v>9</v>
      </c>
      <c r="D10" s="56" t="n">
        <v>4</v>
      </c>
      <c r="E10" s="49" t="n">
        <v>7.5</v>
      </c>
      <c r="F10" s="49">
        <f>C10*E10</f>
        <v/>
      </c>
      <c r="G10" s="25">
        <f>IF(C10&lt;=D10,"REORDER","OK")</f>
        <v/>
      </c>
    </row>
    <row r="11">
      <c r="B11" s="51" t="inlineStr">
        <is>
          <t>Backbar color — level 6</t>
        </is>
      </c>
      <c r="C11" s="53" t="n">
        <v>4</v>
      </c>
      <c r="D11" s="53" t="n">
        <v>3</v>
      </c>
      <c r="E11" s="55" t="n">
        <v>9.5</v>
      </c>
      <c r="F11" s="55">
        <f>C11*E11</f>
        <v/>
      </c>
      <c r="G11" s="52">
        <f>IF(C11&lt;=D11,"REORDER","OK")</f>
        <v/>
      </c>
    </row>
    <row r="12">
      <c r="B12" s="23" t="inlineStr">
        <is>
          <t>Developer 20 vol</t>
        </is>
      </c>
      <c r="C12" s="56" t="n">
        <v>8</v>
      </c>
      <c r="D12" s="56" t="n">
        <v>4</v>
      </c>
      <c r="E12" s="49" t="n">
        <v>6</v>
      </c>
      <c r="F12" s="49">
        <f>C12*E12</f>
        <v/>
      </c>
      <c r="G12" s="25">
        <f>IF(C12&lt;=D12,"REORDER","OK")</f>
        <v/>
      </c>
    </row>
    <row r="13">
      <c r="B13" s="51" t="n"/>
      <c r="C13" s="53" t="n"/>
      <c r="D13" s="53" t="n"/>
      <c r="E13" s="55" t="n"/>
      <c r="F13" s="55" t="n"/>
      <c r="G13" s="52" t="n"/>
    </row>
    <row r="14">
      <c r="B14" s="23" t="n"/>
      <c r="C14" s="56" t="n"/>
      <c r="D14" s="56" t="n"/>
      <c r="E14" s="49" t="n"/>
      <c r="F14" s="49" t="n"/>
      <c r="G14" s="25" t="n"/>
    </row>
    <row r="15">
      <c r="B15" s="51" t="n"/>
      <c r="C15" s="53" t="n"/>
      <c r="D15" s="53" t="n"/>
      <c r="E15" s="55" t="n"/>
      <c r="F15" s="55" t="n"/>
      <c r="G15" s="52" t="n"/>
    </row>
    <row r="16">
      <c r="B16" s="23" t="n"/>
      <c r="C16" s="56" t="n"/>
      <c r="D16" s="56" t="n"/>
      <c r="E16" s="49" t="n"/>
      <c r="F16" s="49" t="n"/>
      <c r="G16" s="25" t="n"/>
    </row>
    <row r="17">
      <c r="B17" s="51" t="n"/>
      <c r="C17" s="53" t="n"/>
      <c r="D17" s="53" t="n"/>
      <c r="E17" s="55" t="n"/>
      <c r="F17" s="55" t="n"/>
      <c r="G17" s="52" t="n"/>
    </row>
    <row r="18">
      <c r="B18" s="23" t="n"/>
      <c r="C18" s="56" t="n"/>
      <c r="D18" s="56" t="n"/>
      <c r="E18" s="49" t="n"/>
      <c r="F18" s="49" t="n"/>
      <c r="G18" s="25" t="n"/>
    </row>
    <row r="19">
      <c r="B19" s="51" t="n"/>
      <c r="C19" s="53" t="n"/>
      <c r="D19" s="53" t="n"/>
      <c r="E19" s="55" t="n"/>
      <c r="F19" s="55" t="n"/>
      <c r="G19" s="52" t="n"/>
    </row>
    <row r="20">
      <c r="B20" s="23" t="n"/>
      <c r="C20" s="56" t="n"/>
      <c r="D20" s="56" t="n"/>
      <c r="E20" s="49" t="n"/>
      <c r="F20" s="49" t="n"/>
      <c r="G20" s="25" t="n"/>
    </row>
    <row r="21">
      <c r="B21" s="51" t="n"/>
      <c r="C21" s="53" t="n"/>
      <c r="D21" s="53" t="n"/>
      <c r="E21" s="55" t="n"/>
      <c r="F21" s="55" t="n"/>
      <c r="G21" s="52" t="n"/>
    </row>
    <row r="22">
      <c r="B22" s="23" t="n"/>
      <c r="C22" s="56" t="n"/>
      <c r="D22" s="56" t="n"/>
      <c r="E22" s="49" t="n"/>
      <c r="F22" s="49" t="n"/>
      <c r="G22" s="25" t="n"/>
    </row>
    <row r="23">
      <c r="B23" s="51" t="n"/>
      <c r="C23" s="53" t="n"/>
      <c r="D23" s="53" t="n"/>
      <c r="E23" s="55" t="n"/>
      <c r="F23" s="55" t="n"/>
      <c r="G23" s="52" t="n"/>
    </row>
    <row r="24">
      <c r="B24" s="23" t="n"/>
      <c r="C24" s="56" t="n"/>
      <c r="D24" s="56" t="n"/>
      <c r="E24" s="49" t="n"/>
      <c r="F24" s="49" t="n"/>
      <c r="G24" s="25" t="n"/>
    </row>
    <row r="25">
      <c r="B25" s="51" t="n"/>
      <c r="C25" s="53" t="n"/>
      <c r="D25" s="53" t="n"/>
      <c r="E25" s="55" t="n"/>
      <c r="F25" s="55" t="n"/>
      <c r="G25" s="52" t="n"/>
    </row>
    <row r="26">
      <c r="B26" s="23" t="n"/>
      <c r="C26" s="56" t="n"/>
      <c r="D26" s="56" t="n"/>
      <c r="E26" s="49" t="n"/>
      <c r="F26" s="49" t="n"/>
      <c r="G26" s="25" t="n"/>
    </row>
    <row r="27">
      <c r="B27" s="51" t="n"/>
      <c r="C27" s="53" t="n"/>
      <c r="D27" s="53" t="n"/>
      <c r="E27" s="55" t="n"/>
      <c r="F27" s="55" t="n"/>
      <c r="G27" s="52" t="n"/>
    </row>
    <row r="28">
      <c r="B28" s="23" t="n"/>
      <c r="C28" s="56" t="n"/>
      <c r="D28" s="56" t="n"/>
      <c r="E28" s="49" t="n"/>
      <c r="F28" s="49" t="n"/>
      <c r="G28" s="25" t="n"/>
    </row>
    <row r="29">
      <c r="B29" s="51" t="n"/>
      <c r="C29" s="53" t="n"/>
      <c r="D29" s="53" t="n"/>
      <c r="E29" s="55" t="n"/>
      <c r="F29" s="55" t="n"/>
      <c r="G29" s="52" t="n"/>
    </row>
    <row r="30">
      <c r="B30" s="23" t="n"/>
      <c r="C30" s="56" t="n"/>
      <c r="D30" s="56" t="n"/>
      <c r="E30" s="49" t="n"/>
      <c r="F30" s="49" t="n"/>
      <c r="G30" s="25" t="n"/>
    </row>
    <row r="31">
      <c r="B31" s="51" t="n"/>
      <c r="C31" s="53" t="n"/>
      <c r="D31" s="53" t="n"/>
      <c r="E31" s="55" t="n"/>
      <c r="F31" s="55" t="n"/>
      <c r="G31" s="52" t="n"/>
    </row>
    <row r="32">
      <c r="B32" s="23" t="n"/>
      <c r="C32" s="56" t="n"/>
      <c r="D32" s="56" t="n"/>
      <c r="E32" s="49" t="n"/>
      <c r="F32" s="49" t="n"/>
      <c r="G32" s="25" t="n"/>
    </row>
    <row r="33">
      <c r="B33" s="51" t="n"/>
      <c r="C33" s="53" t="n"/>
      <c r="D33" s="53" t="n"/>
      <c r="E33" s="55" t="n"/>
      <c r="F33" s="55" t="n"/>
      <c r="G33" s="52" t="n"/>
    </row>
    <row r="34">
      <c r="B34" s="23" t="n"/>
      <c r="C34" s="56" t="n"/>
      <c r="D34" s="56" t="n"/>
      <c r="E34" s="49" t="n"/>
      <c r="F34" s="49" t="n"/>
      <c r="G34" s="25" t="n"/>
    </row>
    <row r="35">
      <c r="B35" s="51" t="n"/>
      <c r="C35" s="53" t="n"/>
      <c r="D35" s="53" t="n"/>
      <c r="E35" s="55" t="n"/>
      <c r="F35" s="55" t="n"/>
      <c r="G35" s="52" t="n"/>
    </row>
    <row r="36">
      <c r="B36" s="23" t="n"/>
      <c r="C36" s="56" t="n"/>
      <c r="D36" s="56" t="n"/>
      <c r="E36" s="49" t="n"/>
      <c r="F36" s="49" t="n"/>
      <c r="G36" s="25" t="n"/>
    </row>
    <row r="37">
      <c r="B37" s="51" t="n"/>
      <c r="C37" s="53" t="n"/>
      <c r="D37" s="53" t="n"/>
      <c r="E37" s="55" t="n"/>
      <c r="F37" s="55" t="n"/>
      <c r="G37" s="52" t="n"/>
    </row>
    <row r="38">
      <c r="B38" s="23" t="n"/>
      <c r="C38" s="56" t="n"/>
      <c r="D38" s="56" t="n"/>
      <c r="E38" s="49" t="n"/>
      <c r="F38" s="49" t="n"/>
      <c r="G38" s="25" t="n"/>
    </row>
    <row r="39">
      <c r="B39" s="51" t="n"/>
      <c r="C39" s="53" t="n"/>
      <c r="D39" s="53" t="n"/>
      <c r="E39" s="55" t="n"/>
      <c r="F39" s="55" t="n"/>
      <c r="G39" s="52" t="n"/>
    </row>
    <row r="40">
      <c r="B40" s="23" t="n"/>
      <c r="C40" s="56" t="n"/>
      <c r="D40" s="56" t="n"/>
      <c r="E40" s="49" t="n"/>
      <c r="F40" s="49" t="n"/>
      <c r="G40" s="25" t="n"/>
    </row>
    <row r="41">
      <c r="B41" s="51" t="n"/>
      <c r="C41" s="53" t="n"/>
      <c r="D41" s="53" t="n"/>
      <c r="E41" s="55" t="n"/>
      <c r="F41" s="55" t="n"/>
      <c r="G41" s="52" t="n"/>
    </row>
    <row r="42">
      <c r="B42" s="23" t="n"/>
      <c r="C42" s="56" t="n"/>
      <c r="D42" s="56" t="n"/>
      <c r="E42" s="49" t="n"/>
      <c r="F42" s="49" t="n"/>
      <c r="G42" s="25" t="n"/>
    </row>
    <row r="43">
      <c r="B43" s="51" t="n"/>
      <c r="C43" s="53" t="n"/>
      <c r="D43" s="53" t="n"/>
      <c r="E43" s="55" t="n"/>
      <c r="F43" s="55" t="n"/>
      <c r="G43" s="52" t="n"/>
    </row>
    <row r="44">
      <c r="B44" s="23" t="n"/>
      <c r="C44" s="56" t="n"/>
      <c r="D44" s="56" t="n"/>
      <c r="E44" s="49" t="n"/>
      <c r="F44" s="49" t="n"/>
      <c r="G44" s="25" t="n"/>
    </row>
    <row r="46">
      <c r="B46" s="26" t="inlineStr">
        <is>
          <t>Stock on the shelf</t>
        </is>
      </c>
      <c r="F46" s="58">
        <f>SUM(InvValue)</f>
        <v/>
      </c>
    </row>
    <row r="47">
      <c r="B47" s="26" t="inlineStr">
        <is>
          <t>Items to reorder</t>
        </is>
      </c>
      <c r="F47" s="44">
        <f>COUNTIF(InvFlag,"REORDER")</f>
        <v/>
      </c>
    </row>
  </sheetData>
  <mergeCells count="2">
    <mergeCell ref="A2:G2"/>
    <mergeCell ref="A1:G1"/>
  </mergeCells>
  <conditionalFormatting sqref="G5:G44">
    <cfRule type="cellIs" priority="1" operator="equal" dxfId="0">
      <formula>"REORDER"</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2" customWidth="1" min="1" max="1"/>
    <col width="32" customWidth="1" min="2" max="2"/>
    <col width="18" customWidth="1" min="3" max="3"/>
    <col width="2" customWidth="1" min="4" max="4"/>
  </cols>
  <sheetData>
    <row r="1" ht="46" customHeight="1">
      <c r="A1" s="1" t="inlineStr">
        <is>
          <t xml:space="preserve">  📈  MONTHLY SUMMARY</t>
        </is>
      </c>
    </row>
    <row r="2" ht="22" customHeight="1">
      <c r="A2" s="2" t="inlineStr">
        <is>
          <t xml:space="preserve">  Revenue month by month — and whether the chair is actually growing.</t>
        </is>
      </c>
    </row>
    <row r="3" ht="6" customHeight="1">
      <c r="A3" s="3" t="n"/>
      <c r="B3" s="3" t="n"/>
      <c r="C3" s="3" t="n"/>
    </row>
    <row r="5">
      <c r="B5" s="4" t="inlineStr">
        <is>
          <t>THIS MONTH</t>
        </is>
      </c>
    </row>
    <row r="6">
      <c r="B6" s="26" t="inlineStr">
        <is>
          <t>Revenue</t>
        </is>
      </c>
      <c r="C6" s="59">
        <f>MonthlyRevenue</f>
        <v/>
      </c>
    </row>
    <row r="7">
      <c r="B7" s="26" t="inlineStr">
        <is>
          <t>Profit</t>
        </is>
      </c>
      <c r="C7" s="59">
        <f>MonthlyProfit</f>
        <v/>
      </c>
    </row>
    <row r="8">
      <c r="B8" s="26" t="inlineStr">
        <is>
          <t>+ Tips</t>
        </is>
      </c>
      <c r="C8" s="59">
        <f>Tips</f>
        <v/>
      </c>
    </row>
    <row r="9">
      <c r="B9" s="9">
        <f> TAKE-HOME</f>
        <v/>
      </c>
      <c r="C9" s="68">
        <f>TakeHome</f>
        <v/>
      </c>
    </row>
    <row r="10">
      <c r="B10" s="9">
        <f> RUN-RATE YEAR</f>
        <v/>
      </c>
      <c r="C10" s="40">
        <f>TakeHome*12</f>
        <v/>
      </c>
    </row>
    <row r="12">
      <c r="B12" s="4" t="inlineStr">
        <is>
          <t>THE TREND</t>
        </is>
      </c>
    </row>
    <row r="13" ht="30" customHeight="1">
      <c r="B13" s="9" t="inlineStr">
        <is>
          <t>Month</t>
        </is>
      </c>
      <c r="C13" s="9" t="inlineStr">
        <is>
          <t>Revenue</t>
        </is>
      </c>
    </row>
    <row r="14">
      <c r="B14" s="20" t="inlineStr">
        <is>
          <t>Feb</t>
        </is>
      </c>
      <c r="C14" s="38" t="n">
        <v>5420</v>
      </c>
    </row>
    <row r="15">
      <c r="B15" s="23" t="inlineStr">
        <is>
          <t>Mar</t>
        </is>
      </c>
      <c r="C15" s="39" t="n">
        <v>5780</v>
      </c>
    </row>
    <row r="16">
      <c r="B16" s="20" t="inlineStr">
        <is>
          <t>Apr</t>
        </is>
      </c>
      <c r="C16" s="38" t="n">
        <v>6090</v>
      </c>
    </row>
    <row r="17">
      <c r="B17" s="23" t="inlineStr">
        <is>
          <t>May</t>
        </is>
      </c>
      <c r="C17" s="39" t="n">
        <v>6280</v>
      </c>
    </row>
    <row r="18">
      <c r="B18" s="20" t="inlineStr">
        <is>
          <t>Jun</t>
        </is>
      </c>
      <c r="C18" s="38" t="n">
        <v>6470</v>
      </c>
    </row>
    <row r="19">
      <c r="B19" s="23" t="inlineStr">
        <is>
          <t>Jul</t>
        </is>
      </c>
      <c r="C19" s="39" t="n">
        <v>6652</v>
      </c>
    </row>
  </sheetData>
  <mergeCells count="2">
    <mergeCell ref="A1:C1"/>
    <mergeCell ref="A2:C2"/>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34" customWidth="1" min="2" max="2"/>
    <col width="20" customWidth="1" min="3" max="3"/>
    <col width="3" customWidth="1" min="4" max="4"/>
    <col width="20" customWidth="1" min="5" max="5"/>
    <col width="20" customWidth="1" min="6" max="6"/>
    <col width="20" customWidth="1" min="7" max="7"/>
    <col width="20" customWidth="1" min="8" max="8"/>
    <col width="20" customWidth="1" min="9" max="9"/>
    <col width="20" customWidth="1" min="10" max="10"/>
  </cols>
  <sheetData>
    <row r="1" ht="46" customHeight="1">
      <c r="A1" s="1" t="inlineStr">
        <is>
          <t xml:space="preserve">  ⚙  SETTINGS</t>
        </is>
      </c>
    </row>
    <row r="2" ht="22" customHeight="1">
      <c r="A2" s="2" t="inlineStr">
        <is>
          <t xml:space="preserve">  Set your rates &amp; goals once — every tab follows.</t>
        </is>
      </c>
    </row>
    <row r="3" ht="6" customHeight="1">
      <c r="A3" s="3" t="n"/>
      <c r="B3" s="3" t="n"/>
      <c r="C3" s="3" t="n"/>
      <c r="D3" s="3" t="n"/>
      <c r="E3" s="3" t="n"/>
      <c r="F3" s="3" t="n"/>
      <c r="G3" s="3" t="n"/>
      <c r="H3" s="3" t="n"/>
      <c r="I3" s="3" t="n"/>
      <c r="J3" s="3" t="n"/>
    </row>
    <row r="5">
      <c r="B5" s="7" t="inlineStr">
        <is>
          <t>YOUR RATES &amp; GOALS</t>
        </is>
      </c>
      <c r="E5" s="4" t="inlineStr">
        <is>
          <t>DROPDOWN LISTS</t>
        </is>
      </c>
    </row>
    <row r="6">
      <c r="B6" s="26" t="inlineStr">
        <is>
          <t>Business</t>
        </is>
      </c>
      <c r="C6" s="71" t="inlineStr">
        <is>
          <t>Gilded Chair Studio</t>
        </is>
      </c>
      <c r="E6" s="9" t="inlineStr">
        <is>
          <t>Appointment status</t>
        </is>
      </c>
      <c r="F6" s="9" t="inlineStr">
        <is>
          <t>Service type</t>
        </is>
      </c>
      <c r="G6" s="9" t="inlineStr">
        <is>
          <t>Expense category</t>
        </is>
      </c>
      <c r="H6" s="9" t="inlineStr">
        <is>
          <t>Yes / No</t>
        </is>
      </c>
    </row>
    <row r="7">
      <c r="B7" s="26" t="inlineStr">
        <is>
          <t>Stylist / owner</t>
        </is>
      </c>
      <c r="C7" s="71" t="inlineStr">
        <is>
          <t>Remi</t>
        </is>
      </c>
      <c r="E7" s="20" t="inlineStr">
        <is>
          <t>Booked</t>
        </is>
      </c>
      <c r="F7" s="20" t="inlineStr">
        <is>
          <t>Cut</t>
        </is>
      </c>
      <c r="G7" s="20" t="inlineStr">
        <is>
          <t>Chair</t>
        </is>
      </c>
      <c r="H7" s="20" t="inlineStr">
        <is>
          <t>Yes</t>
        </is>
      </c>
    </row>
    <row r="8">
      <c r="B8" s="26" t="inlineStr">
        <is>
          <t>Card processing rate</t>
        </is>
      </c>
      <c r="C8" s="72" t="n">
        <v>0.029</v>
      </c>
      <c r="E8" s="20" t="inlineStr">
        <is>
          <t>Completed</t>
        </is>
      </c>
      <c r="F8" s="20" t="inlineStr">
        <is>
          <t>Color</t>
        </is>
      </c>
      <c r="G8" s="20" t="inlineStr">
        <is>
          <t>Product</t>
        </is>
      </c>
      <c r="H8" s="20" t="inlineStr">
        <is>
          <t>No</t>
        </is>
      </c>
    </row>
    <row r="9">
      <c r="B9" s="26" t="inlineStr">
        <is>
          <t>Card fee per transaction</t>
        </is>
      </c>
      <c r="C9" s="27" t="n">
        <v>0.3</v>
      </c>
      <c r="E9" s="20" t="inlineStr">
        <is>
          <t>No-show</t>
        </is>
      </c>
      <c r="F9" s="20" t="inlineStr">
        <is>
          <t>Style</t>
        </is>
      </c>
      <c r="G9" s="20" t="inlineStr">
        <is>
          <t>Insurance</t>
        </is>
      </c>
    </row>
    <row r="10">
      <c r="B10" s="26" t="inlineStr">
        <is>
          <t>True-margin goal</t>
        </is>
      </c>
      <c r="C10" s="73" t="n">
        <v>0.6</v>
      </c>
      <c r="E10" s="20" t="inlineStr">
        <is>
          <t>Late cancel</t>
        </is>
      </c>
      <c r="F10" s="20" t="inlineStr">
        <is>
          <t>Treatment</t>
        </is>
      </c>
      <c r="G10" s="20" t="inlineStr">
        <is>
          <t>Software</t>
        </is>
      </c>
    </row>
    <row r="11">
      <c r="B11" s="26" t="inlineStr">
        <is>
          <t>Rebooking goal</t>
        </is>
      </c>
      <c r="C11" s="73" t="n">
        <v>0.7</v>
      </c>
      <c r="E11" s="20" t="inlineStr">
        <is>
          <t>Rescheduled</t>
        </is>
      </c>
      <c r="F11" s="20" t="inlineStr">
        <is>
          <t>Barber</t>
        </is>
      </c>
      <c r="G11" s="20" t="inlineStr">
        <is>
          <t>Education</t>
        </is>
      </c>
    </row>
    <row r="12">
      <c r="B12" s="26" t="inlineStr">
        <is>
          <t>Retail attach goal</t>
        </is>
      </c>
      <c r="C12" s="73" t="n">
        <v>0.1</v>
      </c>
      <c r="F12" s="20" t="inlineStr">
        <is>
          <t>Add-on</t>
        </is>
      </c>
      <c r="G12" s="20" t="inlineStr">
        <is>
          <t>Marketing</t>
        </is>
      </c>
    </row>
    <row r="13">
      <c r="B13" s="26" t="inlineStr">
        <is>
          <t>Break-even cover goal (×)</t>
        </is>
      </c>
      <c r="C13" s="74" t="n">
        <v>3</v>
      </c>
      <c r="G13" s="20" t="inlineStr">
        <is>
          <t>Other</t>
        </is>
      </c>
    </row>
    <row r="14">
      <c r="B14" s="26" t="inlineStr">
        <is>
          <t>No-show goal (max)</t>
        </is>
      </c>
      <c r="C14" s="73" t="n">
        <v>0.05</v>
      </c>
    </row>
    <row r="15">
      <c r="B15" s="26" t="inlineStr">
        <is>
          <t>New clients / month goal</t>
        </is>
      </c>
      <c r="C15" s="75" t="n">
        <v>10</v>
      </c>
    </row>
    <row r="16">
      <c r="B16" s="26" t="inlineStr">
        <is>
          <t>Chair utilization goal</t>
        </is>
      </c>
      <c r="C16" s="73" t="n">
        <v>0.8</v>
      </c>
    </row>
    <row r="17">
      <c r="B17" s="26" t="inlineStr">
        <is>
          <t>Tips this month</t>
        </is>
      </c>
      <c r="C17" s="38" t="n">
        <v>1150</v>
      </c>
    </row>
  </sheetData>
  <mergeCells count="4">
    <mergeCell ref="A1:J1"/>
    <mergeCell ref="B5:C5"/>
    <mergeCell ref="E5:J5"/>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2026-07-26T17:55:39Z</dcterms:created>
  <dcterms:modified xsi:type="dcterms:W3CDTF">2026-07-26T17:55:39Z</dcterms:modified>
</cp:coreProperties>
</file>