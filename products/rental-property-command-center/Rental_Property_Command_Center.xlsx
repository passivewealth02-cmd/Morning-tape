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Deal Analyzer" sheetId="3" state="visible" r:id="rId3"/>
    <sheet name="Rent Roll" sheetId="4" state="visible" r:id="rId4"/>
    <sheet name="Tenants" sheetId="5" state="visible" r:id="rId5"/>
    <sheet name="Rent Ledger" sheetId="6" state="visible" r:id="rId6"/>
    <sheet name="Expenses Log" sheetId="7" state="visible" r:id="rId7"/>
    <sheet name="Maintenance &amp; CapEx" sheetId="8" state="visible" r:id="rId8"/>
    <sheet name="Mortgage &amp; Loan" sheetId="9" state="visible" r:id="rId9"/>
    <sheet name="Reserves &amp; Escrow" sheetId="10" state="visible" r:id="rId10"/>
    <sheet name="Mileage &amp; Travel" sheetId="11" state="visible" r:id="rId11"/>
    <sheet name="Renewals &amp; Doc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CFGoal">Settings!$C$8</definedName>
    <definedName name="CapGoal">Settings!$C$9</definedName>
    <definedName name="CoCGoal">Settings!$C$10</definedName>
    <definedName name="DSCRGoal">Settings!$C$11</definedName>
    <definedName name="ExpTarget">Settings!$C$12</definedName>
    <definedName name="ReserveGoalMonths">Settings!$C$13</definedName>
    <definedName name="UnitStatusList">Settings!$E$7:$E$11</definedName>
    <definedName name="PayStatusList">Settings!$F$7:$F$10</definedName>
    <definedName name="ExpCatList">Settings!$G$7:$G$13</definedName>
    <definedName name="YesNoList">Settings!$H$7:$H$8</definedName>
    <definedName name="MonthlyRent">'Deal Analyzer'!$C$6</definedName>
    <definedName name="GrossIncome">'Deal Analyzer'!$C$8</definedName>
    <definedName name="OpExAmt">'Deal Analyzer'!$C$12:$C$19</definedName>
    <definedName name="OpExTotal">'Deal Analyzer'!$C$20</definedName>
    <definedName name="NOI">'Deal Analyzer'!$C$21</definedName>
    <definedName name="Mortgage">'Deal Analyzer'!$C$24</definedName>
    <definedName name="CashFlow">'Deal Analyzer'!$C$25</definedName>
    <definedName name="Price">'Deal Analyzer'!$C$28</definedName>
    <definedName name="CashInvested">'Deal Analyzer'!$C$29</definedName>
    <definedName name="Reserve">'Deal Analyzer'!$C$30</definedName>
    <definedName name="CapRate">'Deal Analyzer'!$C$32</definedName>
    <definedName name="CoC">'Deal Analyzer'!$C$33</definedName>
    <definedName name="DSCR">'Deal Analyzer'!$C$34</definedName>
    <definedName name="OnePct">'Deal Analyzer'!$C$35</definedName>
    <definedName name="AnnualCF">'Deal Analyzer'!$C$36</definedName>
    <definedName name="ReservePct">'Deal Analyzer'!$C$37</definedName>
    <definedName name="UnitRent">'Rent Roll'!$C$5:$C$8</definedName>
    <definedName name="PortfolioRent">'Rent Roll'!$C$9</definedName>
    <definedName name="RentPaid">'Rent Ledger'!$D$5:$D$34</definedName>
    <definedName name="ExpLogAmt">'Expenses Log'!$F$5:$F$34</definedName>
    <definedName name="MonthCF">'Monthly Summary'!$E$5:$E$10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1B4F48"/>
      <sz val="12"/>
    </font>
    <font>
      <b val="1"/>
      <color rgb="001B4F48"/>
      <sz val="13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2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10" fillId="6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11" fillId="3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164" fontId="13" fillId="6" borderId="2" applyAlignment="1" pivotButton="0" quotePrefix="0" xfId="6">
      <alignment horizontal="center" vertical="center" wrapText="1"/>
    </xf>
    <xf numFmtId="10" fontId="7" fillId="6" borderId="2" applyAlignment="1" pivotButton="0" quotePrefix="0" xfId="10">
      <alignment horizontal="left" vertical="center" indent="1"/>
    </xf>
    <xf numFmtId="165" fontId="7" fillId="6" borderId="2" applyAlignment="1" pivotButton="0" quotePrefix="0" xfId="10">
      <alignment horizontal="left" vertical="center" indent="1"/>
    </xf>
    <xf numFmtId="2" fontId="7" fillId="6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0" fontId="6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4" fontId="6" fillId="9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11" fillId="3" borderId="2" applyAlignment="1" pivotButton="0" quotePrefix="0" xfId="6">
      <alignment horizontal="center" vertical="center" wrapText="1"/>
    </xf>
    <xf numFmtId="10" fontId="7" fillId="3" borderId="2" applyAlignment="1" pivotButton="0" quotePrefix="0" xfId="8">
      <alignment horizontal="center" vertical="center"/>
    </xf>
    <xf numFmtId="10" fontId="7" fillId="8" borderId="2" applyAlignment="1" pivotButton="0" quotePrefix="0" xfId="8">
      <alignment horizontal="center" vertical="center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2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Summary'!$E$5:$E$10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Summary'!$E$5:$E$10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🏘  RENTAL PROPERTY &amp; LANDLORD COMMAND CENTER™</t>
        </is>
      </c>
    </row>
    <row r="2" ht="24" customHeight="1">
      <c r="A2" s="2" t="inlineStr">
        <is>
          <t xml:space="preserve">  Know the real return on every door.</t>
        </is>
      </c>
    </row>
    <row r="3" ht="6" customHeight="1">
      <c r="A3" s="3" t="n"/>
      <c r="B3" s="3" t="n"/>
      <c r="C3" s="3" t="n"/>
    </row>
    <row r="5">
      <c r="B5" s="4" t="inlineStr">
        <is>
          <t>YOUR WHOLE RENTAL PORTFOLIO, IN ONE PLACE</t>
        </is>
      </c>
    </row>
    <row r="6" ht="22" customHeight="1">
      <c r="B6" s="5" t="inlineStr">
        <is>
          <t>A rental lives or dies on two numbers: the cash flow it throws off each month, and the return on the cash you put in. This makes both visible: a deal analyzer that takes your rent, subtracts every operating cost and the mortgage, and shows your NOI, cash flow, cap rate, cash-on-cash and DSCR. Run your rent roll and tenants, log rent payments and expenses, track maintenance and CapEx, your mortgage and reserves, mileage and renewals — all in ONE premium Google Sheets &amp; Excel system built for buy-and-hold landlords.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cash-flow, cap-rate &amp; DSCR goals.</t>
        </is>
      </c>
    </row>
    <row r="13" ht="22" customHeight="1">
      <c r="B13" s="8" t="inlineStr">
        <is>
          <t>2.  Run the Deal Analyzer — rent, expenses, mortgage → the returns.</t>
        </is>
      </c>
    </row>
    <row r="14" ht="22" customHeight="1">
      <c r="B14" s="8" t="inlineStr">
        <is>
          <t>3.  Build your Rent Roll &amp; add tenants and lease dates.</t>
        </is>
      </c>
    </row>
    <row r="15" ht="22" customHeight="1">
      <c r="B15" s="8" t="inlineStr">
        <is>
          <t>4.  Log rent payments and actual expenses as they happen.</t>
        </is>
      </c>
    </row>
    <row r="16" ht="22" customHeight="1">
      <c r="B16" s="8" t="inlineStr">
        <is>
          <t>5.  Track maintenance, CapEx, reserves and renewals.</t>
        </is>
      </c>
    </row>
    <row r="17" ht="22" customHeight="1">
      <c r="B17" s="8" t="inlineStr">
        <is>
          <t>6.  Check the Dashboard: cash flow, cap rate &amp; a Landlord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portfolio (Maple Lane Rentals) is included so you can see how it all connects — just type over it with your own doors and numbers. Monthly cash flow and cash-on-cash return are the two numbers that decide whether a rental is worth owning, and they roll into a live Landlord Score. Twelve matching printable pages (deal analyzer, rent roll, tenant sheet, reserve tracker &amp; more) are included. This is a business tool, not financial, legal, tax or investment advice — confirm every figure with your own advisors before you buy or refinance.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Analyze before you buy, and measure every month — that's how doors pay.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🏘  RENTAL PROPERTY &amp; LANDLORD COMMAND CENTER™</t>
        </is>
      </c>
    </row>
    <row r="2" ht="24" customHeight="1">
      <c r="A2" s="2" t="inlineStr">
        <is>
          <t xml:space="preserve">  Cash flow, cap rate, cash-on-cash, DSCR &amp; a Landlord Score — the real return on every door.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MONTHLY RENT</t>
        </is>
      </c>
      <c r="C5" s="13" t="n"/>
      <c r="D5" s="12" t="inlineStr">
        <is>
          <t>GROSS INCOME</t>
        </is>
      </c>
      <c r="E5" s="13" t="n"/>
      <c r="F5" s="12" t="inlineStr">
        <is>
          <t>OPERATING EXP</t>
        </is>
      </c>
      <c r="G5" s="13" t="n"/>
      <c r="H5" s="12" t="inlineStr">
        <is>
          <t>NOI (MONTHLY)</t>
        </is>
      </c>
      <c r="I5" s="13" t="n"/>
      <c r="J5" s="12" t="inlineStr">
        <is>
          <t>MORTGAGE P&amp;I</t>
        </is>
      </c>
      <c r="K5" s="13" t="n"/>
      <c r="L5" s="12" t="inlineStr">
        <is>
          <t>CASH FLOW</t>
        </is>
      </c>
      <c r="M5" s="13" t="n"/>
    </row>
    <row r="6" ht="40" customHeight="1">
      <c r="B6" s="14">
        <f>MonthlyRent</f>
        <v/>
      </c>
      <c r="C6" s="15" t="n"/>
      <c r="D6" s="14">
        <f>GrossIncome</f>
        <v/>
      </c>
      <c r="E6" s="15" t="n"/>
      <c r="F6" s="14">
        <f>OpExTotal</f>
        <v/>
      </c>
      <c r="G6" s="15" t="n"/>
      <c r="H6" s="14">
        <f>NOI</f>
        <v/>
      </c>
      <c r="I6" s="15" t="n"/>
      <c r="J6" s="14">
        <f>Mortgage</f>
        <v/>
      </c>
      <c r="K6" s="15" t="n"/>
      <c r="L6" s="14">
        <f>CashFlow</f>
        <v/>
      </c>
      <c r="M6" s="15" t="n"/>
    </row>
    <row r="8" ht="18" customHeight="1">
      <c r="B8" s="12" t="inlineStr">
        <is>
          <t>CAP RATE</t>
        </is>
      </c>
      <c r="C8" s="13" t="n"/>
      <c r="D8" s="12" t="inlineStr">
        <is>
          <t>CASH-ON-CASH</t>
        </is>
      </c>
      <c r="E8" s="13" t="n"/>
      <c r="F8" s="12" t="inlineStr">
        <is>
          <t>DSCR</t>
        </is>
      </c>
      <c r="G8" s="13" t="n"/>
      <c r="H8" s="12" t="inlineStr">
        <is>
          <t>1% RULE</t>
        </is>
      </c>
      <c r="I8" s="13" t="n"/>
      <c r="J8" s="12" t="inlineStr">
        <is>
          <t>ANNUAL CASH FLOW</t>
        </is>
      </c>
      <c r="K8" s="13" t="n"/>
      <c r="L8" s="12" t="inlineStr">
        <is>
          <t>LANDLORD SCORE</t>
        </is>
      </c>
      <c r="M8" s="13" t="n"/>
    </row>
    <row r="9" ht="40" customHeight="1">
      <c r="B9" s="16">
        <f>CapRate</f>
        <v/>
      </c>
      <c r="C9" s="15" t="n"/>
      <c r="D9" s="16">
        <f>CoC</f>
        <v/>
      </c>
      <c r="E9" s="15" t="n"/>
      <c r="F9" s="17">
        <f>DSCR</f>
        <v/>
      </c>
      <c r="G9" s="15" t="n"/>
      <c r="H9" s="16">
        <f>OnePct</f>
        <v/>
      </c>
      <c r="I9" s="15" t="n"/>
      <c r="J9" s="14">
        <f>AnnualCF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LANDLORD HEALTH</t>
        </is>
      </c>
      <c r="H11" s="4" t="inlineStr">
        <is>
          <t>CASH FLOW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8" t="inlineStr">
        <is>
          <t>Cash flow positive</t>
        </is>
      </c>
      <c r="C13" s="19">
        <f>IFERROR(MIN(CashFlow/CFGoal,1),0)</f>
        <v/>
      </c>
      <c r="D13" s="20">
        <f>IF(C13&gt;=0.85,"Strong",IF(C13&gt;=0.6,"OK","Watch"))</f>
        <v/>
      </c>
    </row>
    <row r="14">
      <c r="B14" s="21" t="inlineStr">
        <is>
          <t>Cap rate on target</t>
        </is>
      </c>
      <c r="C14" s="22">
        <f>IFERROR(MIN(CapRate/CapGoal,1),0)</f>
        <v/>
      </c>
      <c r="D14" s="23">
        <f>IF(C14&gt;=0.85,"Strong",IF(C14&gt;=0.6,"OK","Watch"))</f>
        <v/>
      </c>
    </row>
    <row r="15">
      <c r="B15" s="18" t="inlineStr">
        <is>
          <t>Cash-on-cash healthy</t>
        </is>
      </c>
      <c r="C15" s="19">
        <f>IFERROR(MIN(CoC/CoCGoal,1),0)</f>
        <v/>
      </c>
      <c r="D15" s="20">
        <f>IF(C15&gt;=0.85,"Strong",IF(C15&gt;=0.6,"OK","Watch"))</f>
        <v/>
      </c>
    </row>
    <row r="16">
      <c r="B16" s="21" t="inlineStr">
        <is>
          <t>DSCR safe</t>
        </is>
      </c>
      <c r="C16" s="22">
        <f>IFERROR(MIN(DSCR/DSCRGoal,1),0)</f>
        <v/>
      </c>
      <c r="D16" s="23">
        <f>IF(C16&gt;=0.85,"Strong",IF(C16&gt;=0.6,"OK","Watch"))</f>
        <v/>
      </c>
    </row>
    <row r="17">
      <c r="B17" s="18" t="inlineStr">
        <is>
          <t>Expenses in check</t>
        </is>
      </c>
      <c r="C17" s="19">
        <f>IFERROR(MIN(ExpTarget/(OpExTotal/GrossIncome),1),0)</f>
        <v/>
      </c>
      <c r="D17" s="20">
        <f>IF(C17&gt;=0.85,"Strong",IF(C17&gt;=0.6,"OK","Watch"))</f>
        <v/>
      </c>
    </row>
    <row r="18">
      <c r="B18" s="21" t="inlineStr">
        <is>
          <t>Reserves funded</t>
        </is>
      </c>
      <c r="C18" s="22">
        <f>IFERROR(MIN(ReservePct,1),0)</f>
        <v/>
      </c>
      <c r="D18" s="23">
        <f>IF(C18&gt;=0.85,"Strong",IF(C18&gt;=0.6,"OK","Watch"))</f>
        <v/>
      </c>
    </row>
    <row r="21" ht="26" customHeight="1">
      <c r="B21" s="2" t="inlineStr">
        <is>
          <t>Rental Property &amp; Landlord Command Center™ — know the real return on every door.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DEAL ANALYZER</t>
        </is>
      </c>
    </row>
    <row r="2" ht="22" customHeight="1">
      <c r="A2" s="2" t="inlineStr">
        <is>
          <t xml:space="preserve">  Rent in, every cost and the mortgage out — your NOI, cash flow, cap rate, cash-on-cash and DSCR.</t>
        </is>
      </c>
    </row>
    <row r="3" ht="6" customHeight="1">
      <c r="A3" s="3" t="n"/>
      <c r="B3" s="3" t="n"/>
      <c r="C3" s="3" t="n"/>
    </row>
    <row r="5">
      <c r="B5" s="4" t="inlineStr">
        <is>
          <t>INCOME (per month)</t>
        </is>
      </c>
    </row>
    <row r="6">
      <c r="B6" s="24" t="inlineStr">
        <is>
          <t>Monthly rent</t>
        </is>
      </c>
      <c r="C6" s="25" t="n">
        <v>1850</v>
      </c>
    </row>
    <row r="7">
      <c r="B7" s="24" t="inlineStr">
        <is>
          <t>Other income (pet, parking, laundry)</t>
        </is>
      </c>
      <c r="C7" s="25" t="n">
        <v>75</v>
      </c>
    </row>
    <row r="8">
      <c r="B8" s="9">
        <f> GROSS MONTHLY INCOME</f>
        <v/>
      </c>
      <c r="C8" s="26">
        <f>C6+C7</f>
        <v/>
      </c>
    </row>
    <row r="10">
      <c r="B10" s="4" t="inlineStr">
        <is>
          <t>OPERATING EXPENSES (per month)</t>
        </is>
      </c>
    </row>
    <row r="11" ht="30" customHeight="1">
      <c r="B11" s="9" t="inlineStr">
        <is>
          <t>Expense</t>
        </is>
      </c>
      <c r="C11" s="9" t="inlineStr">
        <is>
          <t>Amount</t>
        </is>
      </c>
    </row>
    <row r="12">
      <c r="B12" s="18" t="inlineStr">
        <is>
          <t>Property tax</t>
        </is>
      </c>
      <c r="C12" s="25" t="n">
        <v>210</v>
      </c>
    </row>
    <row r="13">
      <c r="B13" s="21" t="inlineStr">
        <is>
          <t>Insurance</t>
        </is>
      </c>
      <c r="C13" s="27" t="n">
        <v>90</v>
      </c>
    </row>
    <row r="14">
      <c r="B14" s="18" t="inlineStr">
        <is>
          <t>Property management (8%)</t>
        </is>
      </c>
      <c r="C14" s="25" t="n">
        <v>154</v>
      </c>
    </row>
    <row r="15">
      <c r="B15" s="21" t="inlineStr">
        <is>
          <t>Repairs &amp; maintenance</t>
        </is>
      </c>
      <c r="C15" s="27" t="n">
        <v>100</v>
      </c>
    </row>
    <row r="16">
      <c r="B16" s="18" t="inlineStr">
        <is>
          <t>Vacancy reserve (5%)</t>
        </is>
      </c>
      <c r="C16" s="25" t="n">
        <v>96</v>
      </c>
    </row>
    <row r="17">
      <c r="B17" s="21" t="inlineStr">
        <is>
          <t>CapEx reserve</t>
        </is>
      </c>
      <c r="C17" s="27" t="n">
        <v>85</v>
      </c>
    </row>
    <row r="18">
      <c r="B18" s="18" t="inlineStr">
        <is>
          <t>Utilities (owner-paid)</t>
        </is>
      </c>
      <c r="C18" s="25" t="n">
        <v>55</v>
      </c>
    </row>
    <row r="19">
      <c r="B19" s="21" t="inlineStr">
        <is>
          <t>Misc / HOA</t>
        </is>
      </c>
      <c r="C19" s="27" t="n">
        <v>40</v>
      </c>
    </row>
    <row r="20">
      <c r="B20" s="9">
        <f> TOTAL OPERATING EXPENSES</f>
        <v/>
      </c>
      <c r="C20" s="28">
        <f>SUM(OpExAmt)</f>
        <v/>
      </c>
    </row>
    <row r="21">
      <c r="B21" s="9">
        <f> NET OPERATING INCOME (NOI)</f>
        <v/>
      </c>
      <c r="C21" s="29">
        <f>GrossIncome-OpExTotal</f>
        <v/>
      </c>
    </row>
    <row r="23">
      <c r="B23" s="4" t="inlineStr">
        <is>
          <t>DEBT &amp; CASH FLOW</t>
        </is>
      </c>
    </row>
    <row r="24">
      <c r="B24" s="24" t="inlineStr">
        <is>
          <t>Mortgage payment (P&amp;I)</t>
        </is>
      </c>
      <c r="C24" s="25" t="n">
        <v>735</v>
      </c>
    </row>
    <row r="25">
      <c r="B25" s="9">
        <f> MONTHLY CASH FLOW</f>
        <v/>
      </c>
      <c r="C25" s="30">
        <f>NOI-Mortgage</f>
        <v/>
      </c>
    </row>
    <row r="27">
      <c r="B27" s="4" t="inlineStr">
        <is>
          <t>THE RETURNS</t>
        </is>
      </c>
    </row>
    <row r="28">
      <c r="B28" s="24" t="inlineStr">
        <is>
          <t>Purchase price</t>
        </is>
      </c>
      <c r="C28" s="25" t="n">
        <v>219000</v>
      </c>
    </row>
    <row r="29">
      <c r="B29" s="24" t="inlineStr">
        <is>
          <t>Cash invested (down + closing + rehab)</t>
        </is>
      </c>
      <c r="C29" s="25" t="n">
        <v>54000</v>
      </c>
    </row>
    <row r="30">
      <c r="B30" s="24" t="inlineStr">
        <is>
          <t>Operating reserve balance</t>
        </is>
      </c>
      <c r="C30" s="25" t="n">
        <v>3756</v>
      </c>
    </row>
    <row r="32">
      <c r="B32" s="24" t="inlineStr">
        <is>
          <t>Cap rate (NOI × 12 ÷ price)</t>
        </is>
      </c>
      <c r="C32" s="31">
        <f>IFERROR(NOI*12/Price,0)</f>
        <v/>
      </c>
    </row>
    <row r="33">
      <c r="B33" s="24" t="inlineStr">
        <is>
          <t>Cash-on-cash (cash flow × 12 ÷ invested)</t>
        </is>
      </c>
      <c r="C33" s="32">
        <f>IFERROR(CashFlow*12/CashInvested,0)</f>
        <v/>
      </c>
    </row>
    <row r="34">
      <c r="B34" s="24" t="inlineStr">
        <is>
          <t>DSCR (NOI ÷ mortgage)</t>
        </is>
      </c>
      <c r="C34" s="33">
        <f>IFERROR(NOI/Mortgage,0)</f>
        <v/>
      </c>
    </row>
    <row r="35">
      <c r="B35" s="24" t="inlineStr">
        <is>
          <t>1% rule (rent ÷ price)</t>
        </is>
      </c>
      <c r="C35" s="31">
        <f>IFERROR(MonthlyRent/Price,0)</f>
        <v/>
      </c>
    </row>
    <row r="36">
      <c r="B36" s="24" t="inlineStr">
        <is>
          <t>Annualized cash flow (× 12)</t>
        </is>
      </c>
      <c r="C36" s="34">
        <f>CashFlow*12</f>
        <v/>
      </c>
    </row>
    <row r="37">
      <c r="B37" s="24" t="inlineStr">
        <is>
          <t>Reserves funded (of goal months)</t>
        </is>
      </c>
      <c r="C37" s="35">
        <f>IFERROR(Reserve/(ReserveGoalMonths*(OpExTotal+Mortgage)),0)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🏘  RENT ROLL</t>
        </is>
      </c>
    </row>
    <row r="2" ht="22" customHeight="1">
      <c r="A2" s="2" t="inlineStr">
        <is>
          <t xml:space="preserve">  Every door — rent, status and tenant, so your portfolio's monthly rent rolls up.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Unit</t>
        </is>
      </c>
      <c r="C4" s="9" t="inlineStr">
        <is>
          <t>Rent</t>
        </is>
      </c>
      <c r="D4" s="9" t="inlineStr">
        <is>
          <t>Status</t>
        </is>
      </c>
      <c r="E4" s="9" t="inlineStr">
        <is>
          <t>Tenant</t>
        </is>
      </c>
    </row>
    <row r="5">
      <c r="B5" s="18" t="inlineStr">
        <is>
          <t>123 Maple St · A</t>
        </is>
      </c>
      <c r="C5" s="25" t="n">
        <v>1850</v>
      </c>
      <c r="D5" s="20" t="inlineStr">
        <is>
          <t>Occupied</t>
        </is>
      </c>
      <c r="E5" s="18" t="inlineStr">
        <is>
          <t>Ramirez</t>
        </is>
      </c>
    </row>
    <row r="6">
      <c r="B6" s="21" t="inlineStr">
        <is>
          <t>123 Maple St · B</t>
        </is>
      </c>
      <c r="C6" s="27" t="n">
        <v>1650</v>
      </c>
      <c r="D6" s="23" t="inlineStr">
        <is>
          <t>Occupied</t>
        </is>
      </c>
      <c r="E6" s="21" t="inlineStr">
        <is>
          <t>Kelly</t>
        </is>
      </c>
    </row>
    <row r="7">
      <c r="B7" s="18" t="inlineStr">
        <is>
          <t>88 Oak Ave</t>
        </is>
      </c>
      <c r="C7" s="25" t="n">
        <v>2100</v>
      </c>
      <c r="D7" s="20" t="inlineStr">
        <is>
          <t>Occupied</t>
        </is>
      </c>
      <c r="E7" s="18" t="inlineStr">
        <is>
          <t>Osei</t>
        </is>
      </c>
    </row>
    <row r="8">
      <c r="B8" s="21" t="inlineStr">
        <is>
          <t>12 Birch Ct</t>
        </is>
      </c>
      <c r="C8" s="27" t="n">
        <v>1400</v>
      </c>
      <c r="D8" s="23" t="inlineStr">
        <is>
          <t>Turnover</t>
        </is>
      </c>
      <c r="E8" s="21" t="inlineStr">
        <is>
          <t>—</t>
        </is>
      </c>
    </row>
    <row r="9">
      <c r="B9" s="9" t="inlineStr">
        <is>
          <t>PORTFOLIO RENT</t>
        </is>
      </c>
      <c r="C9" s="26">
        <f>SUM(UnitRent)</f>
        <v/>
      </c>
      <c r="D9" s="36" t="n"/>
      <c r="E9" s="36" t="n"/>
    </row>
  </sheetData>
  <mergeCells count="2">
    <mergeCell ref="A2:E2"/>
    <mergeCell ref="A1:E1"/>
  </mergeCells>
  <dataValidations count="4">
    <dataValidation sqref="D5" showDropDown="0" showInputMessage="0" showErrorMessage="0" allowBlank="1" type="list">
      <formula1>=UnitStatusList</formula1>
    </dataValidation>
    <dataValidation sqref="D6" showDropDown="0" showInputMessage="0" showErrorMessage="0" allowBlank="1" type="list">
      <formula1>=UnitStatusList</formula1>
    </dataValidation>
    <dataValidation sqref="D7" showDropDown="0" showInputMessage="0" showErrorMessage="0" allowBlank="1" type="list">
      <formula1>=UnitStatusList</formula1>
    </dataValidation>
    <dataValidation sqref="D8" showDropDown="0" showInputMessage="0" showErrorMessage="0" allowBlank="1" type="list">
      <formula1>=UnitStatusList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👤  TENANTS</t>
        </is>
      </c>
    </row>
    <row r="2" ht="22" customHeight="1">
      <c r="A2" s="2" t="inlineStr">
        <is>
          <t xml:space="preserve">  Who's in each unit, when the lease ends, and the deposit you hold.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Tenant</t>
        </is>
      </c>
      <c r="C4" s="9" t="inlineStr">
        <is>
          <t>Unit</t>
        </is>
      </c>
      <c r="D4" s="9" t="inlineStr">
        <is>
          <t>Lease ends</t>
        </is>
      </c>
      <c r="E4" s="9" t="inlineStr">
        <is>
          <t>Deposit</t>
        </is>
      </c>
    </row>
    <row r="5">
      <c r="B5" s="37" t="inlineStr">
        <is>
          <t>Ramirez</t>
        </is>
      </c>
      <c r="C5" s="37" t="inlineStr">
        <is>
          <t>Maple A</t>
        </is>
      </c>
      <c r="D5" s="37" t="inlineStr">
        <is>
          <t>2027-03-31</t>
        </is>
      </c>
      <c r="E5" s="38" t="n">
        <v>1850</v>
      </c>
    </row>
    <row r="6">
      <c r="B6" s="21" t="inlineStr">
        <is>
          <t>Kelly</t>
        </is>
      </c>
      <c r="C6" s="21" t="inlineStr">
        <is>
          <t>Maple B</t>
        </is>
      </c>
      <c r="D6" s="21" t="inlineStr">
        <is>
          <t>2026-11-30</t>
        </is>
      </c>
      <c r="E6" s="39" t="n">
        <v>1650</v>
      </c>
    </row>
    <row r="7">
      <c r="B7" s="37" t="inlineStr">
        <is>
          <t>Osei</t>
        </is>
      </c>
      <c r="C7" s="37" t="inlineStr">
        <is>
          <t>88 Oak</t>
        </is>
      </c>
      <c r="D7" s="37" t="inlineStr">
        <is>
          <t>2027-06-30</t>
        </is>
      </c>
      <c r="E7" s="38" t="n">
        <v>2100</v>
      </c>
    </row>
    <row r="8">
      <c r="B8" s="21" t="inlineStr">
        <is>
          <t>—</t>
        </is>
      </c>
      <c r="C8" s="21" t="inlineStr">
        <is>
          <t>Birch Ct</t>
        </is>
      </c>
      <c r="D8" s="21" t="inlineStr">
        <is>
          <t>vacant</t>
        </is>
      </c>
      <c r="E8" s="39" t="n">
        <v>0</v>
      </c>
    </row>
    <row r="9">
      <c r="B9" s="37" t="n"/>
      <c r="C9" s="37" t="n"/>
      <c r="D9" s="37" t="n"/>
      <c r="E9" s="38" t="n"/>
    </row>
    <row r="10">
      <c r="B10" s="21" t="n"/>
      <c r="C10" s="21" t="n"/>
      <c r="D10" s="21" t="n"/>
      <c r="E10" s="39" t="n"/>
    </row>
    <row r="11">
      <c r="B11" s="37" t="n"/>
      <c r="C11" s="37" t="n"/>
      <c r="D11" s="37" t="n"/>
      <c r="E11" s="38" t="n"/>
    </row>
    <row r="12">
      <c r="B12" s="21" t="n"/>
      <c r="C12" s="21" t="n"/>
      <c r="D12" s="21" t="n"/>
      <c r="E12" s="39" t="n"/>
    </row>
    <row r="13">
      <c r="B13" s="37" t="n"/>
      <c r="C13" s="37" t="n"/>
      <c r="D13" s="37" t="n"/>
      <c r="E13" s="38" t="n"/>
    </row>
    <row r="14">
      <c r="B14" s="21" t="n"/>
      <c r="C14" s="21" t="n"/>
      <c r="D14" s="21" t="n"/>
      <c r="E14" s="39" t="n"/>
    </row>
    <row r="15">
      <c r="B15" s="37" t="n"/>
      <c r="C15" s="37" t="n"/>
      <c r="D15" s="37" t="n"/>
      <c r="E15" s="38" t="n"/>
    </row>
    <row r="16">
      <c r="B16" s="21" t="n"/>
      <c r="C16" s="21" t="n"/>
      <c r="D16" s="21" t="n"/>
      <c r="E16" s="39" t="n"/>
    </row>
    <row r="17">
      <c r="B17" s="37" t="n"/>
      <c r="C17" s="37" t="n"/>
      <c r="D17" s="37" t="n"/>
      <c r="E17" s="38" t="n"/>
    </row>
    <row r="18">
      <c r="B18" s="21" t="n"/>
      <c r="C18" s="21" t="n"/>
      <c r="D18" s="21" t="n"/>
      <c r="E18" s="39" t="n"/>
    </row>
    <row r="19">
      <c r="B19" s="37" t="n"/>
      <c r="C19" s="37" t="n"/>
      <c r="D19" s="37" t="n"/>
      <c r="E19" s="38" t="n"/>
    </row>
    <row r="20">
      <c r="B20" s="21" t="n"/>
      <c r="C20" s="21" t="n"/>
      <c r="D20" s="21" t="n"/>
      <c r="E20" s="39" t="n"/>
    </row>
    <row r="21">
      <c r="B21" s="37" t="n"/>
      <c r="C21" s="37" t="n"/>
      <c r="D21" s="37" t="n"/>
      <c r="E21" s="38" t="n"/>
    </row>
    <row r="22">
      <c r="B22" s="21" t="n"/>
      <c r="C22" s="21" t="n"/>
      <c r="D22" s="21" t="n"/>
      <c r="E22" s="39" t="n"/>
    </row>
    <row r="23">
      <c r="B23" s="37" t="n"/>
      <c r="C23" s="37" t="n"/>
      <c r="D23" s="37" t="n"/>
      <c r="E23" s="38" t="n"/>
    </row>
    <row r="24">
      <c r="B24" s="21" t="n"/>
      <c r="C24" s="21" t="n"/>
      <c r="D24" s="21" t="n"/>
      <c r="E24" s="39" t="n"/>
    </row>
    <row r="25">
      <c r="B25" s="37" t="n"/>
      <c r="C25" s="37" t="n"/>
      <c r="D25" s="37" t="n"/>
      <c r="E25" s="38" t="n"/>
    </row>
    <row r="26">
      <c r="B26" s="21" t="n"/>
      <c r="C26" s="21" t="n"/>
      <c r="D26" s="21" t="n"/>
      <c r="E26" s="39" t="n"/>
    </row>
    <row r="27">
      <c r="B27" s="37" t="n"/>
      <c r="C27" s="37" t="n"/>
      <c r="D27" s="37" t="n"/>
      <c r="E27" s="38" t="n"/>
    </row>
    <row r="28">
      <c r="B28" s="21" t="n"/>
      <c r="C28" s="21" t="n"/>
      <c r="D28" s="21" t="n"/>
      <c r="E28" s="39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📒  RENT LEDGER</t>
        </is>
      </c>
    </row>
    <row r="2" ht="22" customHeight="1">
      <c r="A2" s="2" t="inlineStr">
        <is>
          <t xml:space="preserve">  Rent received this period — who paid, how much, and what's still outstanding.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Unit</t>
        </is>
      </c>
      <c r="D4" s="9" t="inlineStr">
        <is>
          <t>Amount</t>
        </is>
      </c>
      <c r="E4" s="9" t="inlineStr">
        <is>
          <t>Status</t>
        </is>
      </c>
    </row>
    <row r="5">
      <c r="B5" s="37" t="inlineStr">
        <is>
          <t>Jul 1</t>
        </is>
      </c>
      <c r="C5" s="37" t="inlineStr">
        <is>
          <t>Maple A</t>
        </is>
      </c>
      <c r="D5" s="38" t="n">
        <v>1850</v>
      </c>
      <c r="E5" s="40" t="inlineStr">
        <is>
          <t>Paid</t>
        </is>
      </c>
    </row>
    <row r="6">
      <c r="B6" s="21" t="inlineStr">
        <is>
          <t>Jul 1</t>
        </is>
      </c>
      <c r="C6" s="21" t="inlineStr">
        <is>
          <t>Maple B</t>
        </is>
      </c>
      <c r="D6" s="39" t="n">
        <v>1650</v>
      </c>
      <c r="E6" s="23" t="inlineStr">
        <is>
          <t>Paid</t>
        </is>
      </c>
    </row>
    <row r="7">
      <c r="B7" s="37" t="inlineStr">
        <is>
          <t>Jul 1</t>
        </is>
      </c>
      <c r="C7" s="37" t="inlineStr">
        <is>
          <t>88 Oak</t>
        </is>
      </c>
      <c r="D7" s="38" t="n">
        <v>2100</v>
      </c>
      <c r="E7" s="40" t="inlineStr">
        <is>
          <t>Paid</t>
        </is>
      </c>
    </row>
    <row r="8">
      <c r="B8" s="21" t="inlineStr">
        <is>
          <t>Jul 3</t>
        </is>
      </c>
      <c r="C8" s="21" t="inlineStr">
        <is>
          <t>Birch Ct</t>
        </is>
      </c>
      <c r="D8" s="39" t="n">
        <v>0</v>
      </c>
      <c r="E8" s="23" t="inlineStr">
        <is>
          <t>Vacant</t>
        </is>
      </c>
    </row>
    <row r="9">
      <c r="B9" s="37" t="n"/>
      <c r="C9" s="37" t="n"/>
      <c r="D9" s="38" t="n"/>
      <c r="E9" s="40" t="n"/>
    </row>
    <row r="10">
      <c r="B10" s="21" t="n"/>
      <c r="C10" s="21" t="n"/>
      <c r="D10" s="39" t="n"/>
      <c r="E10" s="23" t="n"/>
    </row>
    <row r="11">
      <c r="B11" s="37" t="n"/>
      <c r="C11" s="37" t="n"/>
      <c r="D11" s="38" t="n"/>
      <c r="E11" s="40" t="n"/>
    </row>
    <row r="12">
      <c r="B12" s="21" t="n"/>
      <c r="C12" s="21" t="n"/>
      <c r="D12" s="39" t="n"/>
      <c r="E12" s="23" t="n"/>
    </row>
    <row r="13">
      <c r="B13" s="37" t="n"/>
      <c r="C13" s="37" t="n"/>
      <c r="D13" s="38" t="n"/>
      <c r="E13" s="40" t="n"/>
    </row>
    <row r="14">
      <c r="B14" s="21" t="n"/>
      <c r="C14" s="21" t="n"/>
      <c r="D14" s="39" t="n"/>
      <c r="E14" s="23" t="n"/>
    </row>
    <row r="15">
      <c r="B15" s="37" t="n"/>
      <c r="C15" s="37" t="n"/>
      <c r="D15" s="38" t="n"/>
      <c r="E15" s="40" t="n"/>
    </row>
    <row r="16">
      <c r="B16" s="21" t="n"/>
      <c r="C16" s="21" t="n"/>
      <c r="D16" s="39" t="n"/>
      <c r="E16" s="23" t="n"/>
    </row>
    <row r="17">
      <c r="B17" s="37" t="n"/>
      <c r="C17" s="37" t="n"/>
      <c r="D17" s="38" t="n"/>
      <c r="E17" s="40" t="n"/>
    </row>
    <row r="18">
      <c r="B18" s="21" t="n"/>
      <c r="C18" s="21" t="n"/>
      <c r="D18" s="39" t="n"/>
      <c r="E18" s="23" t="n"/>
    </row>
    <row r="19">
      <c r="B19" s="37" t="n"/>
      <c r="C19" s="37" t="n"/>
      <c r="D19" s="38" t="n"/>
      <c r="E19" s="40" t="n"/>
    </row>
    <row r="20">
      <c r="B20" s="21" t="n"/>
      <c r="C20" s="21" t="n"/>
      <c r="D20" s="39" t="n"/>
      <c r="E20" s="23" t="n"/>
    </row>
    <row r="21">
      <c r="B21" s="37" t="n"/>
      <c r="C21" s="37" t="n"/>
      <c r="D21" s="38" t="n"/>
      <c r="E21" s="40" t="n"/>
    </row>
    <row r="22">
      <c r="B22" s="21" t="n"/>
      <c r="C22" s="21" t="n"/>
      <c r="D22" s="39" t="n"/>
      <c r="E22" s="23" t="n"/>
    </row>
    <row r="23">
      <c r="B23" s="37" t="n"/>
      <c r="C23" s="37" t="n"/>
      <c r="D23" s="38" t="n"/>
      <c r="E23" s="40" t="n"/>
    </row>
    <row r="24">
      <c r="B24" s="21" t="n"/>
      <c r="C24" s="21" t="n"/>
      <c r="D24" s="39" t="n"/>
      <c r="E24" s="23" t="n"/>
    </row>
    <row r="25">
      <c r="B25" s="37" t="n"/>
      <c r="C25" s="37" t="n"/>
      <c r="D25" s="38" t="n"/>
      <c r="E25" s="40" t="n"/>
    </row>
    <row r="26">
      <c r="B26" s="21" t="n"/>
      <c r="C26" s="21" t="n"/>
      <c r="D26" s="39" t="n"/>
      <c r="E26" s="23" t="n"/>
    </row>
    <row r="27">
      <c r="B27" s="37" t="n"/>
      <c r="C27" s="37" t="n"/>
      <c r="D27" s="38" t="n"/>
      <c r="E27" s="40" t="n"/>
    </row>
    <row r="28">
      <c r="B28" s="21" t="n"/>
      <c r="C28" s="21" t="n"/>
      <c r="D28" s="39" t="n"/>
      <c r="E28" s="23" t="n"/>
    </row>
    <row r="29">
      <c r="B29" s="37" t="n"/>
      <c r="C29" s="37" t="n"/>
      <c r="D29" s="38" t="n"/>
      <c r="E29" s="40" t="n"/>
    </row>
    <row r="30">
      <c r="B30" s="21" t="n"/>
      <c r="C30" s="21" t="n"/>
      <c r="D30" s="39" t="n"/>
      <c r="E30" s="23" t="n"/>
    </row>
    <row r="31">
      <c r="B31" s="37" t="n"/>
      <c r="C31" s="37" t="n"/>
      <c r="D31" s="38" t="n"/>
      <c r="E31" s="40" t="n"/>
    </row>
    <row r="32">
      <c r="B32" s="21" t="n"/>
      <c r="C32" s="21" t="n"/>
      <c r="D32" s="39" t="n"/>
      <c r="E32" s="23" t="n"/>
    </row>
    <row r="33">
      <c r="B33" s="37" t="n"/>
      <c r="C33" s="37" t="n"/>
      <c r="D33" s="38" t="n"/>
      <c r="E33" s="40" t="n"/>
    </row>
    <row r="34">
      <c r="B34" s="21" t="n"/>
      <c r="C34" s="21" t="n"/>
      <c r="D34" s="39" t="n"/>
      <c r="E34" s="23" t="n"/>
    </row>
    <row r="35">
      <c r="B35" s="9" t="inlineStr">
        <is>
          <t>COLLECTED</t>
        </is>
      </c>
      <c r="C35" s="36" t="n"/>
      <c r="D35" s="26">
        <f>SUM(RentPaid)</f>
        <v/>
      </c>
      <c r="E35" s="36" t="n"/>
    </row>
  </sheetData>
  <mergeCells count="2">
    <mergeCell ref="A2:E2"/>
    <mergeCell ref="A1:E1"/>
  </mergeCells>
  <dataValidations count="1">
    <dataValidation sqref="E5:E34" showDropDown="0" showInputMessage="0" showErrorMessage="0" allowBlank="1" type="list">
      <formula1>=PayStatusList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0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🧾  EXPENSES LOG</t>
        </is>
      </c>
    </row>
    <row r="2" ht="22" customHeight="1">
      <c r="A2" s="2" t="inlineStr">
        <is>
          <t xml:space="preserve">  Actual spending as it happens — by category, so tax time is already done.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Category</t>
        </is>
      </c>
      <c r="D4" s="9" t="inlineStr">
        <is>
          <t>Payee</t>
        </is>
      </c>
      <c r="E4" s="9" t="inlineStr">
        <is>
          <t>Amount</t>
        </is>
      </c>
    </row>
    <row r="5">
      <c r="B5" s="37" t="inlineStr">
        <is>
          <t>Jul 2</t>
        </is>
      </c>
      <c r="C5" s="40" t="inlineStr">
        <is>
          <t>Repairs</t>
        </is>
      </c>
      <c r="D5" s="37" t="inlineStr">
        <is>
          <t>Ace Plumbing</t>
        </is>
      </c>
      <c r="E5" s="41" t="n">
        <v>140</v>
      </c>
    </row>
    <row r="6">
      <c r="B6" s="21" t="inlineStr">
        <is>
          <t>Jul 8</t>
        </is>
      </c>
      <c r="C6" s="23" t="inlineStr">
        <is>
          <t>Utilities</t>
        </is>
      </c>
      <c r="D6" s="21" t="inlineStr">
        <is>
          <t>City Water</t>
        </is>
      </c>
      <c r="E6" s="42" t="n">
        <v>62</v>
      </c>
    </row>
    <row r="7">
      <c r="B7" s="37" t="inlineStr">
        <is>
          <t>Jul 12</t>
        </is>
      </c>
      <c r="C7" s="40" t="inlineStr">
        <is>
          <t>Management</t>
        </is>
      </c>
      <c r="D7" s="37" t="inlineStr">
        <is>
          <t>Doorstep PM</t>
        </is>
      </c>
      <c r="E7" s="41" t="n">
        <v>154</v>
      </c>
    </row>
    <row r="8">
      <c r="B8" s="21" t="inlineStr">
        <is>
          <t>Jul 18</t>
        </is>
      </c>
      <c r="C8" s="23" t="inlineStr">
        <is>
          <t>Insurance</t>
        </is>
      </c>
      <c r="D8" s="21" t="inlineStr">
        <is>
          <t>StateFarm</t>
        </is>
      </c>
      <c r="E8" s="42" t="n">
        <v>90</v>
      </c>
    </row>
    <row r="9">
      <c r="B9" s="37" t="inlineStr">
        <is>
          <t>Jul 25</t>
        </is>
      </c>
      <c r="C9" s="40" t="inlineStr">
        <is>
          <t>CapEx</t>
        </is>
      </c>
      <c r="D9" s="37" t="inlineStr">
        <is>
          <t>Home Depot</t>
        </is>
      </c>
      <c r="E9" s="41" t="n">
        <v>220</v>
      </c>
    </row>
    <row r="10">
      <c r="B10" s="21" t="n"/>
      <c r="C10" s="23" t="n"/>
      <c r="D10" s="21" t="n"/>
      <c r="E10" s="42" t="n"/>
    </row>
    <row r="11">
      <c r="B11" s="37" t="n"/>
      <c r="C11" s="40" t="n"/>
      <c r="D11" s="37" t="n"/>
      <c r="E11" s="41" t="n"/>
    </row>
    <row r="12">
      <c r="B12" s="21" t="n"/>
      <c r="C12" s="23" t="n"/>
      <c r="D12" s="21" t="n"/>
      <c r="E12" s="42" t="n"/>
    </row>
    <row r="13">
      <c r="B13" s="37" t="n"/>
      <c r="C13" s="40" t="n"/>
      <c r="D13" s="37" t="n"/>
      <c r="E13" s="41" t="n"/>
    </row>
    <row r="14">
      <c r="B14" s="21" t="n"/>
      <c r="C14" s="23" t="n"/>
      <c r="D14" s="21" t="n"/>
      <c r="E14" s="42" t="n"/>
    </row>
    <row r="15">
      <c r="B15" s="37" t="n"/>
      <c r="C15" s="40" t="n"/>
      <c r="D15" s="37" t="n"/>
      <c r="E15" s="41" t="n"/>
    </row>
    <row r="16">
      <c r="B16" s="21" t="n"/>
      <c r="C16" s="23" t="n"/>
      <c r="D16" s="21" t="n"/>
      <c r="E16" s="42" t="n"/>
    </row>
    <row r="17">
      <c r="B17" s="37" t="n"/>
      <c r="C17" s="40" t="n"/>
      <c r="D17" s="37" t="n"/>
      <c r="E17" s="41" t="n"/>
    </row>
    <row r="18">
      <c r="B18" s="21" t="n"/>
      <c r="C18" s="23" t="n"/>
      <c r="D18" s="21" t="n"/>
      <c r="E18" s="42" t="n"/>
    </row>
    <row r="19">
      <c r="B19" s="37" t="n"/>
      <c r="C19" s="40" t="n"/>
      <c r="D19" s="37" t="n"/>
      <c r="E19" s="41" t="n"/>
    </row>
    <row r="20">
      <c r="B20" s="21" t="n"/>
      <c r="C20" s="23" t="n"/>
      <c r="D20" s="21" t="n"/>
      <c r="E20" s="42" t="n"/>
    </row>
    <row r="21">
      <c r="B21" s="37" t="n"/>
      <c r="C21" s="40" t="n"/>
      <c r="D21" s="37" t="n"/>
      <c r="E21" s="41" t="n"/>
    </row>
    <row r="22">
      <c r="B22" s="21" t="n"/>
      <c r="C22" s="23" t="n"/>
      <c r="D22" s="21" t="n"/>
      <c r="E22" s="42" t="n"/>
    </row>
    <row r="23">
      <c r="B23" s="37" t="n"/>
      <c r="C23" s="40" t="n"/>
      <c r="D23" s="37" t="n"/>
      <c r="E23" s="41" t="n"/>
    </row>
    <row r="24">
      <c r="B24" s="21" t="n"/>
      <c r="C24" s="23" t="n"/>
      <c r="D24" s="21" t="n"/>
      <c r="E24" s="42" t="n"/>
    </row>
    <row r="25">
      <c r="B25" s="37" t="n"/>
      <c r="C25" s="40" t="n"/>
      <c r="D25" s="37" t="n"/>
      <c r="E25" s="41" t="n"/>
    </row>
    <row r="26">
      <c r="B26" s="21" t="n"/>
      <c r="C26" s="23" t="n"/>
      <c r="D26" s="21" t="n"/>
      <c r="E26" s="42" t="n"/>
    </row>
    <row r="27">
      <c r="B27" s="37" t="n"/>
      <c r="C27" s="40" t="n"/>
      <c r="D27" s="37" t="n"/>
      <c r="E27" s="41" t="n"/>
    </row>
    <row r="28">
      <c r="B28" s="21" t="n"/>
      <c r="C28" s="23" t="n"/>
      <c r="D28" s="21" t="n"/>
      <c r="E28" s="42" t="n"/>
    </row>
    <row r="29">
      <c r="B29" s="37" t="n"/>
      <c r="C29" s="40" t="n"/>
      <c r="D29" s="37" t="n"/>
      <c r="E29" s="41" t="n"/>
    </row>
    <row r="30">
      <c r="B30" s="21" t="n"/>
      <c r="C30" s="23" t="n"/>
      <c r="D30" s="21" t="n"/>
      <c r="E30" s="42" t="n"/>
    </row>
    <row r="31">
      <c r="B31" s="37" t="n"/>
      <c r="C31" s="40" t="n"/>
      <c r="D31" s="37" t="n"/>
      <c r="E31" s="41" t="n"/>
    </row>
    <row r="32">
      <c r="B32" s="21" t="n"/>
      <c r="C32" s="23" t="n"/>
      <c r="D32" s="21" t="n"/>
      <c r="E32" s="42" t="n"/>
    </row>
    <row r="33">
      <c r="B33" s="37" t="n"/>
      <c r="C33" s="40" t="n"/>
      <c r="D33" s="37" t="n"/>
      <c r="E33" s="41" t="n"/>
    </row>
    <row r="34">
      <c r="B34" s="21" t="n"/>
      <c r="C34" s="23" t="n"/>
      <c r="D34" s="21" t="n"/>
      <c r="E34" s="42" t="n"/>
    </row>
    <row r="35">
      <c r="B35" s="9" t="inlineStr">
        <is>
          <t>TOTAL SPENT</t>
        </is>
      </c>
      <c r="C35" s="36" t="n"/>
      <c r="D35" s="36" t="n"/>
      <c r="F35" s="43">
        <f>SUM(ExpLogAmt)</f>
        <v/>
      </c>
    </row>
  </sheetData>
  <mergeCells count="2">
    <mergeCell ref="A2:E2"/>
    <mergeCell ref="A1:E1"/>
  </mergeCells>
  <dataValidations count="1">
    <dataValidation sqref="C5:C34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8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🔧  MAINTENANCE &amp; CAPEX</t>
        </is>
      </c>
    </row>
    <row r="2" ht="22" customHeight="1">
      <c r="A2" s="2" t="inlineStr">
        <is>
          <t xml:space="preserve">  Repairs and capital improvements by unit — protect the asset and the deduction.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Unit</t>
        </is>
      </c>
      <c r="D4" s="9" t="inlineStr">
        <is>
          <t>Item</t>
        </is>
      </c>
      <c r="E4" s="9" t="inlineStr">
        <is>
          <t>Cost</t>
        </is>
      </c>
    </row>
    <row r="5">
      <c r="B5" s="37" t="inlineStr">
        <is>
          <t>Jul 2</t>
        </is>
      </c>
      <c r="C5" s="37" t="inlineStr">
        <is>
          <t>Maple A</t>
        </is>
      </c>
      <c r="D5" s="37" t="inlineStr">
        <is>
          <t>Water heater flush</t>
        </is>
      </c>
      <c r="E5" s="41" t="n">
        <v>120</v>
      </c>
    </row>
    <row r="6">
      <c r="B6" s="21" t="inlineStr">
        <is>
          <t>Jul 10</t>
        </is>
      </c>
      <c r="C6" s="21" t="inlineStr">
        <is>
          <t>88 Oak</t>
        </is>
      </c>
      <c r="D6" s="21" t="inlineStr">
        <is>
          <t>Gutter repair</t>
        </is>
      </c>
      <c r="E6" s="42" t="n">
        <v>180</v>
      </c>
    </row>
    <row r="7">
      <c r="B7" s="37" t="inlineStr">
        <is>
          <t>Jul 19</t>
        </is>
      </c>
      <c r="C7" s="37" t="inlineStr">
        <is>
          <t>Maple B</t>
        </is>
      </c>
      <c r="D7" s="37" t="inlineStr">
        <is>
          <t>Garbage disposal</t>
        </is>
      </c>
      <c r="E7" s="41" t="n">
        <v>95</v>
      </c>
    </row>
    <row r="8">
      <c r="B8" s="21" t="inlineStr">
        <is>
          <t>Jul 26</t>
        </is>
      </c>
      <c r="C8" s="21" t="inlineStr">
        <is>
          <t>Birch Ct</t>
        </is>
      </c>
      <c r="D8" s="21" t="inlineStr">
        <is>
          <t>Turn paint &amp; carpet</t>
        </is>
      </c>
      <c r="E8" s="42" t="n">
        <v>640</v>
      </c>
    </row>
    <row r="9">
      <c r="B9" s="37" t="n"/>
      <c r="C9" s="37" t="n"/>
      <c r="D9" s="37" t="n"/>
      <c r="E9" s="41" t="n"/>
    </row>
    <row r="10">
      <c r="B10" s="21" t="n"/>
      <c r="C10" s="21" t="n"/>
      <c r="D10" s="21" t="n"/>
      <c r="E10" s="42" t="n"/>
    </row>
    <row r="11">
      <c r="B11" s="37" t="n"/>
      <c r="C11" s="37" t="n"/>
      <c r="D11" s="37" t="n"/>
      <c r="E11" s="41" t="n"/>
    </row>
    <row r="12">
      <c r="B12" s="21" t="n"/>
      <c r="C12" s="21" t="n"/>
      <c r="D12" s="21" t="n"/>
      <c r="E12" s="42" t="n"/>
    </row>
    <row r="13">
      <c r="B13" s="37" t="n"/>
      <c r="C13" s="37" t="n"/>
      <c r="D13" s="37" t="n"/>
      <c r="E13" s="41" t="n"/>
    </row>
    <row r="14">
      <c r="B14" s="21" t="n"/>
      <c r="C14" s="21" t="n"/>
      <c r="D14" s="21" t="n"/>
      <c r="E14" s="42" t="n"/>
    </row>
    <row r="15">
      <c r="B15" s="37" t="n"/>
      <c r="C15" s="37" t="n"/>
      <c r="D15" s="37" t="n"/>
      <c r="E15" s="41" t="n"/>
    </row>
    <row r="16">
      <c r="B16" s="21" t="n"/>
      <c r="C16" s="21" t="n"/>
      <c r="D16" s="21" t="n"/>
      <c r="E16" s="42" t="n"/>
    </row>
    <row r="17">
      <c r="B17" s="37" t="n"/>
      <c r="C17" s="37" t="n"/>
      <c r="D17" s="37" t="n"/>
      <c r="E17" s="41" t="n"/>
    </row>
    <row r="18">
      <c r="B18" s="21" t="n"/>
      <c r="C18" s="21" t="n"/>
      <c r="D18" s="21" t="n"/>
      <c r="E18" s="42" t="n"/>
    </row>
    <row r="19">
      <c r="B19" s="37" t="n"/>
      <c r="C19" s="37" t="n"/>
      <c r="D19" s="37" t="n"/>
      <c r="E19" s="41" t="n"/>
    </row>
    <row r="20">
      <c r="B20" s="21" t="n"/>
      <c r="C20" s="21" t="n"/>
      <c r="D20" s="21" t="n"/>
      <c r="E20" s="42" t="n"/>
    </row>
    <row r="21">
      <c r="B21" s="37" t="n"/>
      <c r="C21" s="37" t="n"/>
      <c r="D21" s="37" t="n"/>
      <c r="E21" s="41" t="n"/>
    </row>
    <row r="22">
      <c r="B22" s="21" t="n"/>
      <c r="C22" s="21" t="n"/>
      <c r="D22" s="21" t="n"/>
      <c r="E22" s="42" t="n"/>
    </row>
    <row r="23">
      <c r="B23" s="37" t="n"/>
      <c r="C23" s="37" t="n"/>
      <c r="D23" s="37" t="n"/>
      <c r="E23" s="41" t="n"/>
    </row>
    <row r="24">
      <c r="B24" s="21" t="n"/>
      <c r="C24" s="21" t="n"/>
      <c r="D24" s="21" t="n"/>
      <c r="E24" s="42" t="n"/>
    </row>
    <row r="25">
      <c r="B25" s="37" t="n"/>
      <c r="C25" s="37" t="n"/>
      <c r="D25" s="37" t="n"/>
      <c r="E25" s="41" t="n"/>
    </row>
    <row r="26">
      <c r="B26" s="21" t="n"/>
      <c r="C26" s="21" t="n"/>
      <c r="D26" s="21" t="n"/>
      <c r="E26" s="42" t="n"/>
    </row>
    <row r="27">
      <c r="B27" s="37" t="n"/>
      <c r="C27" s="37" t="n"/>
      <c r="D27" s="37" t="n"/>
      <c r="E27" s="41" t="n"/>
    </row>
    <row r="28">
      <c r="B28" s="21" t="n"/>
      <c r="C28" s="21" t="n"/>
      <c r="D28" s="21" t="n"/>
      <c r="E28" s="42" t="n"/>
    </row>
    <row r="29">
      <c r="B29" s="37" t="n"/>
      <c r="C29" s="37" t="n"/>
      <c r="D29" s="37" t="n"/>
      <c r="E29" s="41" t="n"/>
    </row>
    <row r="30">
      <c r="B30" s="21" t="n"/>
      <c r="C30" s="21" t="n"/>
      <c r="D30" s="21" t="n"/>
      <c r="E30" s="42" t="n"/>
    </row>
    <row r="31">
      <c r="B31" s="37" t="n"/>
      <c r="C31" s="37" t="n"/>
      <c r="D31" s="37" t="n"/>
      <c r="E31" s="41" t="n"/>
    </row>
    <row r="32">
      <c r="B32" s="21" t="n"/>
      <c r="C32" s="21" t="n"/>
      <c r="D32" s="21" t="n"/>
      <c r="E32" s="42" t="n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🏦  MORTGAGE &amp; LOAN</t>
        </is>
      </c>
    </row>
    <row r="2" ht="22" customHeight="1">
      <c r="A2" s="2" t="inlineStr">
        <is>
          <t xml:space="preserve">  Every loan on the portfolio — balance, rate and payment, so debt is never a surprise.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Property</t>
        </is>
      </c>
      <c r="C4" s="9" t="inlineStr">
        <is>
          <t>Balance</t>
        </is>
      </c>
      <c r="D4" s="9" t="inlineStr">
        <is>
          <t>Rate %</t>
        </is>
      </c>
      <c r="E4" s="9" t="inlineStr">
        <is>
          <t>Payment</t>
        </is>
      </c>
    </row>
    <row r="5">
      <c r="B5" s="18" t="inlineStr">
        <is>
          <t>123 Maple St</t>
        </is>
      </c>
      <c r="C5" s="25" t="n">
        <v>175200</v>
      </c>
      <c r="D5" s="44" t="n">
        <v>0.0675</v>
      </c>
      <c r="E5" s="25" t="n">
        <v>735</v>
      </c>
    </row>
    <row r="6">
      <c r="B6" s="21" t="inlineStr">
        <is>
          <t>88 Oak Ave</t>
        </is>
      </c>
      <c r="C6" s="27" t="n">
        <v>168000</v>
      </c>
      <c r="D6" s="45" t="n">
        <v>0.065</v>
      </c>
      <c r="E6" s="27" t="n">
        <v>690</v>
      </c>
    </row>
    <row r="7">
      <c r="B7" s="9" t="inlineStr">
        <is>
          <t>TOTAL DEBT</t>
        </is>
      </c>
      <c r="C7" s="28">
        <f>SUM(C5:C6)</f>
        <v/>
      </c>
      <c r="D7" s="36" t="n"/>
      <c r="E7" s="28">
        <f>SUM(E5:E6)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🛟  RESERVES &amp; ESCROW</t>
        </is>
      </c>
    </row>
    <row r="2" ht="22" customHeight="1">
      <c r="A2" s="2" t="inlineStr">
        <is>
          <t xml:space="preserve">  Your safety funds — balance vs goal, so a big repair never becomes a crisis.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Fund</t>
        </is>
      </c>
      <c r="C4" s="9" t="inlineStr">
        <is>
          <t>Balance</t>
        </is>
      </c>
      <c r="D4" s="9" t="inlineStr">
        <is>
          <t>Goal</t>
        </is>
      </c>
      <c r="E4" s="9" t="inlineStr">
        <is>
          <t>Funded %</t>
        </is>
      </c>
    </row>
    <row r="5">
      <c r="B5" s="18" t="inlineStr">
        <is>
          <t>Operating reserve</t>
        </is>
      </c>
      <c r="C5" s="25" t="n">
        <v>3756</v>
      </c>
      <c r="D5" s="25" t="n">
        <v>9390</v>
      </c>
      <c r="E5" s="19">
        <f>IFERROR(C5/D5,0)</f>
        <v/>
      </c>
    </row>
    <row r="6">
      <c r="B6" s="21" t="inlineStr">
        <is>
          <t>CapEx sinking fund</t>
        </is>
      </c>
      <c r="C6" s="27" t="n">
        <v>2400</v>
      </c>
      <c r="D6" s="27" t="n">
        <v>6000</v>
      </c>
      <c r="E6" s="22">
        <f>IFERROR(C6/D6,0)</f>
        <v/>
      </c>
    </row>
    <row r="7">
      <c r="B7" s="18" t="inlineStr">
        <is>
          <t>Tax &amp; insurance escrow</t>
        </is>
      </c>
      <c r="C7" s="25" t="n">
        <v>1800</v>
      </c>
      <c r="D7" s="25" t="n">
        <v>3600</v>
      </c>
      <c r="E7" s="19">
        <f>IFERROR(C7/D7,0)</f>
        <v/>
      </c>
    </row>
    <row r="8">
      <c r="B8" s="21" t="inlineStr">
        <is>
          <t>Vacancy reserve</t>
        </is>
      </c>
      <c r="C8" s="27" t="n">
        <v>1150</v>
      </c>
      <c r="D8" s="27" t="n">
        <v>2400</v>
      </c>
      <c r="E8" s="22">
        <f>IFERROR(C8/D8,0)</f>
        <v/>
      </c>
    </row>
  </sheetData>
  <mergeCells count="2">
    <mergeCell ref="A2:E2"/>
    <mergeCell ref="A1:E1"/>
  </mergeCells>
  <conditionalFormatting sqref="E5:E8">
    <cfRule type="colorScale" priority="1">
      <colorScale>
        <cfvo type="num" val="0.3"/>
        <cfvo type="num" val="0.6"/>
        <cfvo type="num" val="1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2" customWidth="1" min="4" max="4"/>
    <col width="24" customWidth="1" min="5" max="5"/>
    <col width="2" customWidth="1" min="6" max="6"/>
  </cols>
  <sheetData>
    <row r="1" ht="46" customHeight="1">
      <c r="A1" s="1" t="inlineStr">
        <is>
          <t xml:space="preserve">  🚗  MILEAGE &amp; TRAVEL</t>
        </is>
      </c>
    </row>
    <row r="2" ht="22" customHeight="1">
      <c r="A2" s="2" t="inlineStr">
        <is>
          <t xml:space="preserve">  Every drive to a property — miles and purpose, deductible at tax time.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Property</t>
        </is>
      </c>
      <c r="D4" s="9" t="inlineStr">
        <is>
          <t>Miles</t>
        </is>
      </c>
      <c r="E4" s="9" t="inlineStr">
        <is>
          <t>Purpose</t>
        </is>
      </c>
    </row>
    <row r="5">
      <c r="B5" s="37" t="inlineStr">
        <is>
          <t>Jul 2</t>
        </is>
      </c>
      <c r="C5" s="37" t="inlineStr">
        <is>
          <t>Maple St</t>
        </is>
      </c>
      <c r="D5" s="46" t="n">
        <v>14</v>
      </c>
      <c r="E5" s="37" t="inlineStr">
        <is>
          <t>Repair oversight</t>
        </is>
      </c>
    </row>
    <row r="6">
      <c r="B6" s="21" t="inlineStr">
        <is>
          <t>Jul 10</t>
        </is>
      </c>
      <c r="C6" s="21" t="inlineStr">
        <is>
          <t>88 Oak</t>
        </is>
      </c>
      <c r="D6" s="47" t="n">
        <v>22</v>
      </c>
      <c r="E6" s="21" t="inlineStr">
        <is>
          <t>Gutter check</t>
        </is>
      </c>
    </row>
    <row r="7">
      <c r="B7" s="37" t="inlineStr">
        <is>
          <t>Jul 19</t>
        </is>
      </c>
      <c r="C7" s="37" t="inlineStr">
        <is>
          <t>Maple St</t>
        </is>
      </c>
      <c r="D7" s="46" t="n">
        <v>14</v>
      </c>
      <c r="E7" s="37" t="inlineStr">
        <is>
          <t>Disposal fix</t>
        </is>
      </c>
    </row>
    <row r="8">
      <c r="B8" s="21" t="inlineStr">
        <is>
          <t>Jul 26</t>
        </is>
      </c>
      <c r="C8" s="21" t="inlineStr">
        <is>
          <t>Birch Ct</t>
        </is>
      </c>
      <c r="D8" s="47" t="n">
        <v>30</v>
      </c>
      <c r="E8" s="21" t="inlineStr">
        <is>
          <t>Turnover walk</t>
        </is>
      </c>
    </row>
    <row r="9">
      <c r="B9" s="37" t="n"/>
      <c r="C9" s="37" t="n"/>
      <c r="D9" s="46" t="n"/>
      <c r="E9" s="37" t="n"/>
    </row>
    <row r="10">
      <c r="B10" s="21" t="n"/>
      <c r="C10" s="21" t="n"/>
      <c r="D10" s="47" t="n"/>
      <c r="E10" s="21" t="n"/>
    </row>
    <row r="11">
      <c r="B11" s="37" t="n"/>
      <c r="C11" s="37" t="n"/>
      <c r="D11" s="46" t="n"/>
      <c r="E11" s="37" t="n"/>
    </row>
    <row r="12">
      <c r="B12" s="21" t="n"/>
      <c r="C12" s="21" t="n"/>
      <c r="D12" s="47" t="n"/>
      <c r="E12" s="21" t="n"/>
    </row>
    <row r="13">
      <c r="B13" s="37" t="n"/>
      <c r="C13" s="37" t="n"/>
      <c r="D13" s="46" t="n"/>
      <c r="E13" s="37" t="n"/>
    </row>
    <row r="14">
      <c r="B14" s="21" t="n"/>
      <c r="C14" s="21" t="n"/>
      <c r="D14" s="47" t="n"/>
      <c r="E14" s="21" t="n"/>
    </row>
    <row r="15">
      <c r="B15" s="37" t="n"/>
      <c r="C15" s="37" t="n"/>
      <c r="D15" s="46" t="n"/>
      <c r="E15" s="37" t="n"/>
    </row>
    <row r="16">
      <c r="B16" s="21" t="n"/>
      <c r="C16" s="21" t="n"/>
      <c r="D16" s="47" t="n"/>
      <c r="E16" s="21" t="n"/>
    </row>
    <row r="17">
      <c r="B17" s="37" t="n"/>
      <c r="C17" s="37" t="n"/>
      <c r="D17" s="46" t="n"/>
      <c r="E17" s="37" t="n"/>
    </row>
    <row r="18">
      <c r="B18" s="21" t="n"/>
      <c r="C18" s="21" t="n"/>
      <c r="D18" s="47" t="n"/>
      <c r="E18" s="21" t="n"/>
    </row>
    <row r="19">
      <c r="B19" s="37" t="n"/>
      <c r="C19" s="37" t="n"/>
      <c r="D19" s="46" t="n"/>
      <c r="E19" s="37" t="n"/>
    </row>
    <row r="20">
      <c r="B20" s="21" t="n"/>
      <c r="C20" s="21" t="n"/>
      <c r="D20" s="47" t="n"/>
      <c r="E20" s="21" t="n"/>
    </row>
    <row r="21">
      <c r="B21" s="37" t="n"/>
      <c r="C21" s="37" t="n"/>
      <c r="D21" s="46" t="n"/>
      <c r="E21" s="37" t="n"/>
    </row>
    <row r="22">
      <c r="B22" s="21" t="n"/>
      <c r="C22" s="21" t="n"/>
      <c r="D22" s="47" t="n"/>
      <c r="E22" s="21" t="n"/>
    </row>
    <row r="23">
      <c r="B23" s="37" t="n"/>
      <c r="C23" s="37" t="n"/>
      <c r="D23" s="46" t="n"/>
      <c r="E23" s="37" t="n"/>
    </row>
    <row r="24">
      <c r="B24" s="21" t="n"/>
      <c r="C24" s="21" t="n"/>
      <c r="D24" s="47" t="n"/>
      <c r="E24" s="21" t="n"/>
    </row>
    <row r="25">
      <c r="B25" s="37" t="n"/>
      <c r="C25" s="37" t="n"/>
      <c r="D25" s="46" t="n"/>
      <c r="E25" s="37" t="n"/>
    </row>
    <row r="26">
      <c r="B26" s="21" t="n"/>
      <c r="C26" s="21" t="n"/>
      <c r="D26" s="47" t="n"/>
      <c r="E26" s="21" t="n"/>
    </row>
    <row r="27">
      <c r="B27" s="37" t="n"/>
      <c r="C27" s="37" t="n"/>
      <c r="D27" s="46" t="n"/>
      <c r="E27" s="37" t="n"/>
    </row>
    <row r="28">
      <c r="B28" s="21" t="n"/>
      <c r="C28" s="21" t="n"/>
      <c r="D28" s="47" t="n"/>
      <c r="E28" s="21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2" customWidth="1" min="5" max="5"/>
    <col width="2" customWidth="1" min="6" max="6"/>
  </cols>
  <sheetData>
    <row r="1" ht="46" customHeight="1">
      <c r="A1" s="1" t="inlineStr">
        <is>
          <t xml:space="preserve">  📁  RENEWALS &amp; DOCS</t>
        </is>
      </c>
    </row>
    <row r="2" ht="22" customHeight="1">
      <c r="A2" s="2" t="inlineStr">
        <is>
          <t xml:space="preserve">  Leases, licenses &amp; inspections with a due date — never miss a renewal again.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Unit</t>
        </is>
      </c>
      <c r="D4" s="9" t="inlineStr">
        <is>
          <t>Due</t>
        </is>
      </c>
      <c r="E4" s="9" t="inlineStr">
        <is>
          <t>Done?</t>
        </is>
      </c>
    </row>
    <row r="5">
      <c r="B5" s="37" t="inlineStr">
        <is>
          <t>Lease renewal</t>
        </is>
      </c>
      <c r="C5" s="37" t="inlineStr">
        <is>
          <t>Maple B</t>
        </is>
      </c>
      <c r="D5" s="40" t="inlineStr">
        <is>
          <t>2026-11-30</t>
        </is>
      </c>
      <c r="E5" s="40" t="inlineStr">
        <is>
          <t>No</t>
        </is>
      </c>
    </row>
    <row r="6">
      <c r="B6" s="21" t="inlineStr">
        <is>
          <t>Insurance policy</t>
        </is>
      </c>
      <c r="C6" s="21" t="inlineStr">
        <is>
          <t>Portfolio</t>
        </is>
      </c>
      <c r="D6" s="23" t="inlineStr">
        <is>
          <t>2026-09-15</t>
        </is>
      </c>
      <c r="E6" s="23" t="inlineStr">
        <is>
          <t>No</t>
        </is>
      </c>
    </row>
    <row r="7">
      <c r="B7" s="37" t="inlineStr">
        <is>
          <t>Rental license</t>
        </is>
      </c>
      <c r="C7" s="37" t="inlineStr">
        <is>
          <t>88 Oak</t>
        </is>
      </c>
      <c r="D7" s="40" t="inlineStr">
        <is>
          <t>2026-10-01</t>
        </is>
      </c>
      <c r="E7" s="40" t="inlineStr">
        <is>
          <t>No</t>
        </is>
      </c>
    </row>
    <row r="8">
      <c r="B8" s="21" t="inlineStr">
        <is>
          <t>Smoke/CO inspection</t>
        </is>
      </c>
      <c r="C8" s="21" t="inlineStr">
        <is>
          <t>Maple St</t>
        </is>
      </c>
      <c r="D8" s="23" t="inlineStr">
        <is>
          <t>2026-08-20</t>
        </is>
      </c>
      <c r="E8" s="23" t="inlineStr">
        <is>
          <t>Yes</t>
        </is>
      </c>
    </row>
    <row r="9">
      <c r="B9" s="37" t="n"/>
      <c r="C9" s="37" t="n"/>
      <c r="D9" s="40" t="n"/>
      <c r="E9" s="40" t="n"/>
    </row>
    <row r="10">
      <c r="B10" s="21" t="n"/>
      <c r="C10" s="21" t="n"/>
      <c r="D10" s="23" t="n"/>
      <c r="E10" s="23" t="n"/>
    </row>
    <row r="11">
      <c r="B11" s="37" t="n"/>
      <c r="C11" s="37" t="n"/>
      <c r="D11" s="40" t="n"/>
      <c r="E11" s="40" t="n"/>
    </row>
    <row r="12">
      <c r="B12" s="21" t="n"/>
      <c r="C12" s="21" t="n"/>
      <c r="D12" s="23" t="n"/>
      <c r="E12" s="23" t="n"/>
    </row>
    <row r="13">
      <c r="B13" s="37" t="n"/>
      <c r="C13" s="37" t="n"/>
      <c r="D13" s="40" t="n"/>
      <c r="E13" s="40" t="n"/>
    </row>
    <row r="14">
      <c r="B14" s="21" t="n"/>
      <c r="C14" s="21" t="n"/>
      <c r="D14" s="23" t="n"/>
      <c r="E14" s="23" t="n"/>
    </row>
    <row r="15">
      <c r="B15" s="37" t="n"/>
      <c r="C15" s="37" t="n"/>
      <c r="D15" s="40" t="n"/>
      <c r="E15" s="40" t="n"/>
    </row>
    <row r="16">
      <c r="B16" s="21" t="n"/>
      <c r="C16" s="21" t="n"/>
      <c r="D16" s="23" t="n"/>
      <c r="E16" s="23" t="n"/>
    </row>
    <row r="17">
      <c r="B17" s="37" t="n"/>
      <c r="C17" s="37" t="n"/>
      <c r="D17" s="40" t="n"/>
      <c r="E17" s="40" t="n"/>
    </row>
    <row r="18">
      <c r="B18" s="21" t="n"/>
      <c r="C18" s="21" t="n"/>
      <c r="D18" s="23" t="n"/>
      <c r="E18" s="23" t="n"/>
    </row>
    <row r="19">
      <c r="B19" s="37" t="n"/>
      <c r="C19" s="37" t="n"/>
      <c r="D19" s="40" t="n"/>
      <c r="E19" s="40" t="n"/>
    </row>
    <row r="20">
      <c r="B20" s="21" t="n"/>
      <c r="C20" s="21" t="n"/>
      <c r="D20" s="23" t="n"/>
      <c r="E20" s="23" t="n"/>
    </row>
    <row r="21">
      <c r="B21" s="37" t="n"/>
      <c r="C21" s="37" t="n"/>
      <c r="D21" s="40" t="n"/>
      <c r="E21" s="40" t="n"/>
    </row>
    <row r="22">
      <c r="B22" s="21" t="n"/>
      <c r="C22" s="21" t="n"/>
      <c r="D22" s="23" t="n"/>
      <c r="E22" s="23" t="n"/>
    </row>
    <row r="23">
      <c r="B23" s="37" t="n"/>
      <c r="C23" s="37" t="n"/>
      <c r="D23" s="40" t="n"/>
      <c r="E23" s="40" t="n"/>
    </row>
    <row r="24">
      <c r="B24" s="21" t="n"/>
      <c r="C24" s="21" t="n"/>
      <c r="D24" s="23" t="n"/>
      <c r="E24" s="23" t="n"/>
    </row>
    <row r="25">
      <c r="B25" s="37" t="n"/>
      <c r="C25" s="37" t="n"/>
      <c r="D25" s="40" t="n"/>
      <c r="E25" s="40" t="n"/>
    </row>
    <row r="26">
      <c r="B26" s="21" t="n"/>
      <c r="C26" s="21" t="n"/>
      <c r="D26" s="23" t="n"/>
      <c r="E26" s="23" t="n"/>
    </row>
    <row r="27">
      <c r="B27" s="37" t="n"/>
      <c r="C27" s="37" t="n"/>
      <c r="D27" s="40" t="n"/>
      <c r="E27" s="40" t="n"/>
    </row>
    <row r="28">
      <c r="B28" s="21" t="n"/>
      <c r="C28" s="21" t="n"/>
      <c r="D28" s="23" t="n"/>
      <c r="E28" s="23" t="n"/>
    </row>
  </sheetData>
  <mergeCells count="2">
    <mergeCell ref="A2:E2"/>
    <mergeCell ref="A1:E1"/>
  </mergeCells>
  <dataValidations count="1">
    <dataValidation sqref="E5:E28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Income, expenses &amp; cash flow by month — watch the portfolio compound.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Month</t>
        </is>
      </c>
      <c r="C4" s="9" t="inlineStr">
        <is>
          <t>Income</t>
        </is>
      </c>
      <c r="D4" s="9" t="inlineStr">
        <is>
          <t>Expenses</t>
        </is>
      </c>
      <c r="E4" s="9" t="inlineStr">
        <is>
          <t>Cash Flow</t>
        </is>
      </c>
    </row>
    <row r="5">
      <c r="B5" s="18" t="inlineStr">
        <is>
          <t>Jul</t>
        </is>
      </c>
      <c r="C5" s="25" t="n">
        <v>7000</v>
      </c>
      <c r="D5" s="25" t="n">
        <v>4200</v>
      </c>
      <c r="E5" s="48">
        <f>C5-D5</f>
        <v/>
      </c>
    </row>
    <row r="6">
      <c r="B6" s="21" t="inlineStr">
        <is>
          <t>Aug</t>
        </is>
      </c>
      <c r="C6" s="27" t="n">
        <v>7000</v>
      </c>
      <c r="D6" s="27" t="n">
        <v>3900</v>
      </c>
      <c r="E6" s="49">
        <f>C6-D6</f>
        <v/>
      </c>
    </row>
    <row r="7">
      <c r="B7" s="18" t="inlineStr">
        <is>
          <t>Sep</t>
        </is>
      </c>
      <c r="C7" s="25" t="n">
        <v>7100</v>
      </c>
      <c r="D7" s="25" t="n">
        <v>4050</v>
      </c>
      <c r="E7" s="48">
        <f>C7-D7</f>
        <v/>
      </c>
    </row>
    <row r="8">
      <c r="B8" s="21" t="inlineStr">
        <is>
          <t>Oct</t>
        </is>
      </c>
      <c r="C8" s="27" t="n">
        <v>5600</v>
      </c>
      <c r="D8" s="27" t="n">
        <v>4600</v>
      </c>
      <c r="E8" s="49">
        <f>C8-D8</f>
        <v/>
      </c>
    </row>
    <row r="9">
      <c r="B9" s="18" t="inlineStr">
        <is>
          <t>Nov</t>
        </is>
      </c>
      <c r="C9" s="25" t="n">
        <v>7000</v>
      </c>
      <c r="D9" s="25" t="n">
        <v>3850</v>
      </c>
      <c r="E9" s="48">
        <f>C9-D9</f>
        <v/>
      </c>
    </row>
    <row r="10">
      <c r="B10" s="21" t="inlineStr">
        <is>
          <t>Dec</t>
        </is>
      </c>
      <c r="C10" s="27" t="n">
        <v>7000</v>
      </c>
      <c r="D10" s="27" t="n">
        <v>4100</v>
      </c>
      <c r="E10" s="49">
        <f>C10-D10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4" t="inlineStr">
        <is>
          <t>Portfolio name</t>
        </is>
      </c>
      <c r="C6" s="50" t="inlineStr">
        <is>
          <t>Maple Lane Rentals</t>
        </is>
      </c>
      <c r="E6" s="9" t="inlineStr">
        <is>
          <t>Unit status</t>
        </is>
      </c>
      <c r="F6" s="9" t="inlineStr">
        <is>
          <t>Pay status</t>
        </is>
      </c>
      <c r="G6" s="9" t="inlineStr">
        <is>
          <t>Exp category</t>
        </is>
      </c>
      <c r="H6" s="9" t="inlineStr">
        <is>
          <t>Yes / No</t>
        </is>
      </c>
    </row>
    <row r="7">
      <c r="B7" s="24" t="inlineStr">
        <is>
          <t>Owner</t>
        </is>
      </c>
      <c r="C7" s="50" t="inlineStr">
        <is>
          <t>Jordan</t>
        </is>
      </c>
      <c r="E7" s="18" t="inlineStr">
        <is>
          <t>Occupied</t>
        </is>
      </c>
      <c r="F7" s="18" t="inlineStr">
        <is>
          <t>Paid</t>
        </is>
      </c>
      <c r="G7" s="18" t="inlineStr">
        <is>
          <t>Tax</t>
        </is>
      </c>
      <c r="H7" s="18" t="inlineStr">
        <is>
          <t>Yes</t>
        </is>
      </c>
    </row>
    <row r="8">
      <c r="B8" s="24" t="inlineStr">
        <is>
          <t>Cash-flow goal ($/mo)</t>
        </is>
      </c>
      <c r="C8" s="25" t="n">
        <v>300</v>
      </c>
      <c r="E8" s="18" t="inlineStr">
        <is>
          <t>Vacant</t>
        </is>
      </c>
      <c r="F8" s="18" t="inlineStr">
        <is>
          <t>Partial</t>
        </is>
      </c>
      <c r="G8" s="18" t="inlineStr">
        <is>
          <t>Insurance</t>
        </is>
      </c>
      <c r="H8" s="18" t="inlineStr">
        <is>
          <t>No</t>
        </is>
      </c>
    </row>
    <row r="9">
      <c r="B9" s="24" t="inlineStr">
        <is>
          <t>Cap-rate goal %</t>
        </is>
      </c>
      <c r="C9" s="51" t="n">
        <v>0.055</v>
      </c>
      <c r="E9" s="18" t="inlineStr">
        <is>
          <t>Notice given</t>
        </is>
      </c>
      <c r="F9" s="18" t="inlineStr">
        <is>
          <t>Late</t>
        </is>
      </c>
      <c r="G9" s="18" t="inlineStr">
        <is>
          <t>Management</t>
        </is>
      </c>
    </row>
    <row r="10">
      <c r="B10" s="24" t="inlineStr">
        <is>
          <t>Cash-on-cash goal %</t>
        </is>
      </c>
      <c r="C10" s="51" t="n">
        <v>0.07000000000000001</v>
      </c>
      <c r="E10" s="18" t="inlineStr">
        <is>
          <t>Turnover</t>
        </is>
      </c>
      <c r="F10" s="18" t="inlineStr">
        <is>
          <t>Unpaid</t>
        </is>
      </c>
      <c r="G10" s="18" t="inlineStr">
        <is>
          <t>Repairs</t>
        </is>
      </c>
    </row>
    <row r="11">
      <c r="B11" s="24" t="inlineStr">
        <is>
          <t>DSCR goal</t>
        </is>
      </c>
      <c r="C11" s="52" t="n">
        <v>1.25</v>
      </c>
      <c r="E11" s="18" t="inlineStr">
        <is>
          <t>Rehab</t>
        </is>
      </c>
      <c r="G11" s="18" t="inlineStr">
        <is>
          <t>Utilities</t>
        </is>
      </c>
    </row>
    <row r="12">
      <c r="B12" s="24" t="inlineStr">
        <is>
          <t>Expense-ratio target %</t>
        </is>
      </c>
      <c r="C12" s="53" t="n">
        <v>0.5</v>
      </c>
      <c r="G12" s="18" t="inlineStr">
        <is>
          <t>CapEx</t>
        </is>
      </c>
    </row>
    <row r="13">
      <c r="B13" s="24" t="inlineStr">
        <is>
          <t>Reserve goal (months)</t>
        </is>
      </c>
      <c r="C13" s="54" t="n">
        <v>6</v>
      </c>
      <c r="G13" s="18" t="inlineStr">
        <is>
          <t>Other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2026-07-23T18:13:01Z</dcterms:created>
  <dcterms:modified xsi:type="dcterms:W3CDTF">2026-07-23T18:13:01Z</dcterms:modified>
</cp:coreProperties>
</file>