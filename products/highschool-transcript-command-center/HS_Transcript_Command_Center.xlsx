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Student Profile" sheetId="3" state="visible" r:id="rId3"/>
    <sheet name="Official Transcript" sheetId="4" state="visible" r:id="rId4"/>
    <sheet name="Course Records" sheetId="5" state="visible" r:id="rId5"/>
    <sheet name="GPA Calculator" sheetId="6" state="visible" r:id="rId6"/>
    <sheet name="Credit Tracker" sheetId="7" state="visible" r:id="rId7"/>
    <sheet name="4-Year Plan" sheetId="8" state="visible" r:id="rId8"/>
    <sheet name="Test Scores" sheetId="9" state="visible" r:id="rId9"/>
    <sheet name="Activities" sheetId="10" state="visible" r:id="rId10"/>
    <sheet name="Awards" sheetId="11" state="visible" r:id="rId11"/>
    <sheet name="Service" sheetId="12" state="visible" r:id="rId12"/>
    <sheet name="Descriptions" sheetId="13" state="visible" r:id="rId13"/>
    <sheet name="Reading List" sheetId="14" state="visible" r:id="rId14"/>
    <sheet name="Grad Requirements" sheetId="15" state="visible" r:id="rId15"/>
    <sheet name="Portfolio" sheetId="16" state="visible" r:id="rId16"/>
    <sheet name="Settings" sheetId="17" state="visible" r:id="rId17"/>
  </sheets>
  <definedNames>
    <definedName name="StudentName">Settings!$C$6</definedName>
    <definedName name="SchoolName">Settings!$C$7</definedName>
    <definedName name="ClassOf">Settings!$C$8</definedName>
    <definedName name="GradDate">Settings!$C$9</definedName>
    <definedName name="CreditsReq">Settings!$C$10</definedName>
    <definedName name="GPATarget">Settings!$C$11</definedName>
    <definedName name="ServiceGoal">Settings!$C$12</definedName>
    <definedName name="RigorGoal">Settings!$C$13</definedName>
    <definedName name="GradeScale">Settings!$E$7:$F$17</definedName>
    <definedName name="AreaList">Settings!$H$7:$H$15</definedName>
    <definedName name="LevelList">Settings!$I$7:$I$10</definedName>
    <definedName name="YesNoList">Settings!$J$7:$J$8</definedName>
    <definedName name="LevelScale">Settings!$E$21:$F$24</definedName>
    <definedName name="CrsYear">'Course Records'!$A$5:$A$49</definedName>
    <definedName name="CrsArea">'Course Records'!$B$5:$B$49</definedName>
    <definedName name="CrsLevel">'Course Records'!$D$5:$D$49</definedName>
    <definedName name="CrsCredits">'Course Records'!$E$5:$E$49</definedName>
    <definedName name="CrsQual">'Course Records'!$H$5:$H$49</definedName>
    <definedName name="CrsWtd">'Course Records'!$I$5:$I$49</definedName>
    <definedName name="CreditsEarned">'Course Records'!$E$50</definedName>
    <definedName name="QualTotal">'Course Records'!$H$50</definedName>
    <definedName name="WtdTotal">'Course Records'!$I$50</definedName>
    <definedName name="GPAUW">'GPA Calculator'!$C$14</definedName>
    <definedName name="GPAW">'GPA Calculator'!$C$15</definedName>
    <definedName name="HonorsAP">'GPA Calculator'!$C$16</definedName>
    <definedName name="CourseCount">'GPA Calculator'!$C$17</definedName>
    <definedName name="TestName">'Test Scores'!$A$5:$A$28</definedName>
    <definedName name="ActName">'Activities'!$A$5:$A$34</definedName>
    <definedName name="AwardName">'Awards'!$A$5:$A$28</definedName>
    <definedName name="SvcHours">'Service'!$C$5:$C$34</definedName>
    <definedName name="ServiceHours">'Service'!$C$35</definedName>
    <definedName name="ReqName">'Grad Requirements'!$A$5:$A$24</definedName>
    <definedName name="ReqDone">'Grad Requirements'!$B$5:$B$24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mm/dd/yyyy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color rgb="00333333"/>
      <sz val="11"/>
    </font>
    <font>
      <b val="1"/>
      <color rgb="001B4F48"/>
      <sz val="16"/>
    </font>
    <font>
      <b val="1"/>
      <color rgb="00937356"/>
    </font>
    <font>
      <b val="1"/>
      <color rgb="001B4F48"/>
    </font>
    <font>
      <b val="1"/>
      <color rgb="00937356"/>
      <sz val="9"/>
    </font>
    <font>
      <b val="1"/>
      <color rgb="001B4F48"/>
      <sz val="18"/>
    </font>
    <font>
      <b val="1"/>
      <color rgb="001B4F48"/>
      <sz val="14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</fills>
  <borders count="5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3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6" fillId="0" borderId="1" applyAlignment="1">
      <alignment horizontal="left" vertical="top" wrapText="1" indent="1"/>
    </xf>
  </cellStyleXfs>
  <cellXfs count="60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2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10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4" fillId="8" borderId="4" applyAlignment="1" pivotButton="0" quotePrefix="0" xfId="0">
      <alignment horizontal="center" vertical="center"/>
    </xf>
    <xf numFmtId="0" fontId="0" fillId="8" borderId="4" pivotButton="0" quotePrefix="0" xfId="0"/>
    <xf numFmtId="2" fontId="15" fillId="8" borderId="2" applyAlignment="1" pivotButton="0" quotePrefix="0" xfId="0">
      <alignment horizontal="center" vertical="center"/>
    </xf>
    <xf numFmtId="0" fontId="0" fillId="8" borderId="2" pivotButton="0" quotePrefix="0" xfId="0"/>
    <xf numFmtId="164" fontId="15" fillId="8" borderId="2" applyAlignment="1" pivotButton="0" quotePrefix="0" xfId="0">
      <alignment horizontal="center" vertical="center"/>
    </xf>
    <xf numFmtId="9" fontId="15" fillId="8" borderId="2" applyAlignment="1" pivotButton="0" quotePrefix="0" xfId="0">
      <alignment horizontal="center" vertical="center"/>
    </xf>
    <xf numFmtId="3" fontId="15" fillId="8" borderId="2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9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0" fontId="11" fillId="0" borderId="1" applyAlignment="1" pivotButton="0" quotePrefix="0" xfId="3">
      <alignment horizontal="center"/>
    </xf>
    <xf numFmtId="0" fontId="4" fillId="0" borderId="1" applyAlignment="1" pivotButton="0" quotePrefix="0" xfId="4">
      <alignment horizontal="center"/>
    </xf>
    <xf numFmtId="164" fontId="6" fillId="0" borderId="2" applyAlignment="1" pivotButton="0" quotePrefix="0" xfId="6">
      <alignment horizontal="center" vertical="center" wrapText="1"/>
    </xf>
    <xf numFmtId="0" fontId="12" fillId="0" borderId="2" applyAlignment="1" pivotButton="0" quotePrefix="0" xfId="7">
      <alignment horizontal="left" vertical="center" wrapText="1" indent="1"/>
    </xf>
    <xf numFmtId="0" fontId="0" fillId="4" borderId="0" pivotButton="0" quotePrefix="0" xfId="0"/>
    <xf numFmtId="2" fontId="7" fillId="6" borderId="2" applyAlignment="1" pivotButton="0" quotePrefix="0" xfId="10">
      <alignment horizontal="left" vertical="center" indent="1"/>
    </xf>
    <xf numFmtId="164" fontId="7" fillId="0" borderId="2" applyAlignment="1" pivotButton="0" quotePrefix="0" xfId="10">
      <alignment horizontal="left" vertical="center" indent="1"/>
    </xf>
    <xf numFmtId="1" fontId="7" fillId="0" borderId="2" applyAlignment="1" pivotButton="0" quotePrefix="0" xfId="10">
      <alignment horizontal="left" vertical="center" indent="1"/>
    </xf>
    <xf numFmtId="3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0" fontId="6" fillId="8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3" fontId="6" fillId="9" borderId="2" applyAlignment="1" pivotButton="0" quotePrefix="0" xfId="6">
      <alignment horizontal="center" vertical="center" wrapText="1"/>
    </xf>
    <xf numFmtId="164" fontId="6" fillId="9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164" fontId="13" fillId="3" borderId="2" applyAlignment="1" pivotButton="0" quotePrefix="0" xfId="6">
      <alignment horizontal="center" vertical="center" wrapText="1"/>
    </xf>
    <xf numFmtId="2" fontId="6" fillId="0" borderId="2" applyAlignment="1" pivotButton="0" quotePrefix="0" xfId="6">
      <alignment horizontal="center" vertical="center" wrapText="1"/>
    </xf>
    <xf numFmtId="2" fontId="6" fillId="9" borderId="2" applyAlignment="1" pivotButton="0" quotePrefix="0" xfId="6">
      <alignment horizontal="center" vertical="center" wrapText="1"/>
    </xf>
    <xf numFmtId="164" fontId="7" fillId="3" borderId="2" applyAlignment="1" pivotButton="0" quotePrefix="0" xfId="8">
      <alignment horizontal="center" vertical="center"/>
    </xf>
    <xf numFmtId="164" fontId="7" fillId="9" borderId="2" applyAlignment="1" pivotButton="0" quotePrefix="0" xfId="8">
      <alignment horizontal="center" vertical="center"/>
    </xf>
    <xf numFmtId="9" fontId="7" fillId="6" borderId="2" applyAlignment="1" pivotButton="0" quotePrefix="0" xfId="10">
      <alignment horizontal="left" vertical="center" indent="1"/>
    </xf>
    <xf numFmtId="0" fontId="7" fillId="3" borderId="2" applyAlignment="1" pivotButton="0" quotePrefix="0" xfId="8">
      <alignment horizontal="center" vertical="center"/>
    </xf>
    <xf numFmtId="0" fontId="7" fillId="9" borderId="2" applyAlignment="1" pivotButton="0" quotePrefix="0" xfId="8">
      <alignment horizontal="center" vertical="center"/>
    </xf>
    <xf numFmtId="166" fontId="6" fillId="8" borderId="2" applyAlignment="1" pivotButton="0" quotePrefix="0" xfId="6">
      <alignment horizontal="center" vertical="center" wrapText="1"/>
    </xf>
    <xf numFmtId="166" fontId="6" fillId="9" borderId="2" applyAlignment="1" pivotButton="0" quotePrefix="0" xfId="6">
      <alignment horizontal="center" vertical="center" wrapText="1"/>
    </xf>
    <xf numFmtId="3" fontId="13" fillId="3" borderId="2" applyAlignment="1" pivotButton="0" quotePrefix="0" xfId="6">
      <alignment horizontal="center" vertical="center" wrapText="1"/>
    </xf>
    <xf numFmtId="0" fontId="6" fillId="7" borderId="2" applyAlignment="1" pivotButton="0" quotePrefix="0" xfId="12">
      <alignment horizontal="left" vertical="top" wrapText="1" indent="1"/>
    </xf>
    <xf numFmtId="0" fontId="9" fillId="4" borderId="3" applyAlignment="1" pivotButton="0" quotePrefix="0" xfId="11">
      <alignment horizontal="center" vertical="center" wrapText="1"/>
    </xf>
    <xf numFmtId="0" fontId="6" fillId="4" borderId="2" applyAlignment="1" pivotButton="0" quotePrefix="0" xfId="7">
      <alignment horizontal="left" vertical="center" wrapText="1" indent="1"/>
    </xf>
    <xf numFmtId="2" fontId="7" fillId="3" borderId="2" applyAlignment="1" pivotButton="0" quotePrefix="0" xfId="8">
      <alignment horizontal="center" vertical="center"/>
    </xf>
    <xf numFmtId="3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</cellXfs>
  <cellStyles count="13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body" xfId="12" hidden="0"/>
  </cellStyles>
  <dxfs count="2">
    <dxf>
      <fill>
        <patternFill patternType="solid">
          <fgColor rgb="00FBF0E2"/>
        </patternFill>
      </fill>
    </dxf>
    <dxf>
      <fill>
        <patternFill patternType="solid">
          <fgColor rgb="00E3F8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Credits Earned by Subject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'Credit Tracker'!D4</f>
            </strRef>
          </tx>
          <spPr>
            <a:ln>
              <a:prstDash val="solid"/>
            </a:ln>
          </spPr>
          <cat>
            <numRef>
              <f>'Credit Tracker'!$B$5:$B$13</f>
            </numRef>
          </cat>
          <val>
            <numRef>
              <f>'Credit Tracker'!$D$5:$D$13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24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🎓  HIGH SCHOOL TRANSCRIPT COMMAND CENTER™</t>
        </is>
      </c>
    </row>
    <row r="2" ht="24" customHeight="1">
      <c r="A2" s="2" t="inlineStr">
        <is>
          <t xml:space="preserve">  GPA, credits &amp; a print-ready transcript — done right, done once.</t>
        </is>
      </c>
    </row>
    <row r="3" ht="6" customHeight="1">
      <c r="A3" s="3" t="n"/>
      <c r="B3" s="3" t="n"/>
      <c r="C3" s="3" t="n"/>
    </row>
    <row r="5">
      <c r="B5" s="4" t="inlineStr">
        <is>
          <t>A COLLEGE-READY TRANSCRIPT, WITHOUT THE STRESS</t>
        </is>
      </c>
    </row>
    <row r="6" ht="22" customHeight="1">
      <c r="B6" s="5" t="inlineStr">
        <is>
          <t>Type your courses and grades once — GPA (weighted AND unweighted), credits and an official-looking transcript build themselves. Track requirements, test scores, activities, awards, service hours and course descriptions in ONE premium Google Sheets &amp; Excel system, then print a clean transcript for college applications. Built for homeschool &amp; college-bound families.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add the student, school, class year &amp; grade scale.</t>
        </is>
      </c>
    </row>
    <row r="13" ht="22" customHeight="1">
      <c r="B13" s="8" t="inlineStr">
        <is>
          <t>2.  Enter every class in Course Records — GPA points auto-calculate.</t>
        </is>
      </c>
    </row>
    <row r="14" ht="22" customHeight="1">
      <c r="B14" s="8" t="inlineStr">
        <is>
          <t>3.  Check the GPA Calculator &amp; Credit Tracker — weighted, unweighted, by year.</t>
        </is>
      </c>
    </row>
    <row r="15" ht="22" customHeight="1">
      <c r="B15" s="8" t="inlineStr">
        <is>
          <t>4.  Fill Test Scores, Activities, Awards &amp; Service — your application file.</t>
        </is>
      </c>
    </row>
    <row r="16" ht="22" customHeight="1">
      <c r="B16" s="8" t="inlineStr">
        <is>
          <t>5.  Write Course Descriptions (homeschool must-have) &amp; the 4-Year Plan.</t>
        </is>
      </c>
    </row>
    <row r="17" ht="22" customHeight="1">
      <c r="B17" s="8" t="inlineStr">
        <is>
          <t>6.  Print the Official Transcript — and watch the College-Ready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A full sample transcript (Ella Bennett, Class of 2027 — 24 credits, 3.81 unweighted / 4.06 weighted GPA) is included so you can see how it all connects — just type over it. GPA, credits, the transcript and a College-Ready score update automatically. A matching printable PDF pack (official transcript, 4-year plan, activities résumé, course-description &amp; GPA sheets) is included. Requirements vary by state / college — confirm your own; this is a record-keeping tool, not legal or admissions advice.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One clean transcript, one calm application season — you've got this.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🎓  HIGH SCHOOL TRANSCRIPT COMMAND CENTER™</t>
        </is>
      </c>
    </row>
    <row r="2" ht="24" customHeight="1">
      <c r="A2" s="2" t="inlineStr">
        <is>
          <t xml:space="preserve">  GPA, credits, tests &amp; activities — a college-ready transcript, automatically calculated.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GPA (WEIGHTED)</t>
        </is>
      </c>
      <c r="C5" s="13" t="n"/>
      <c r="D5" s="12" t="inlineStr">
        <is>
          <t>GPA (UNWEIGHTED)</t>
        </is>
      </c>
      <c r="E5" s="13" t="n"/>
      <c r="F5" s="12" t="inlineStr">
        <is>
          <t>CREDITS EARNED</t>
        </is>
      </c>
      <c r="G5" s="13" t="n"/>
      <c r="H5" s="12" t="inlineStr">
        <is>
          <t>GRAD PROGRESS</t>
        </is>
      </c>
      <c r="I5" s="13" t="n"/>
      <c r="J5" s="12" t="inlineStr">
        <is>
          <t>COURSES</t>
        </is>
      </c>
      <c r="K5" s="13" t="n"/>
      <c r="L5" s="12" t="inlineStr">
        <is>
          <t>HONORS / AP</t>
        </is>
      </c>
      <c r="M5" s="13" t="n"/>
    </row>
    <row r="6" ht="40" customHeight="1">
      <c r="B6" s="14">
        <f>GPAW</f>
        <v/>
      </c>
      <c r="C6" s="15" t="n"/>
      <c r="D6" s="14">
        <f>GPAUW</f>
        <v/>
      </c>
      <c r="E6" s="15" t="n"/>
      <c r="F6" s="16">
        <f>CreditsEarned</f>
        <v/>
      </c>
      <c r="G6" s="15" t="n"/>
      <c r="H6" s="17">
        <f>IFERROR(MIN(CreditsEarned/CreditsReq,1),0)</f>
        <v/>
      </c>
      <c r="I6" s="15" t="n"/>
      <c r="J6" s="18">
        <f>CourseCount</f>
        <v/>
      </c>
      <c r="K6" s="15" t="n"/>
      <c r="L6" s="18">
        <f>HonorsAP</f>
        <v/>
      </c>
      <c r="M6" s="15" t="n"/>
    </row>
    <row r="8" ht="18" customHeight="1">
      <c r="B8" s="12" t="inlineStr">
        <is>
          <t>CLASS OF</t>
        </is>
      </c>
      <c r="C8" s="13" t="n"/>
      <c r="D8" s="12" t="inlineStr">
        <is>
          <t>BEST SAT</t>
        </is>
      </c>
      <c r="E8" s="13" t="n"/>
      <c r="F8" s="12" t="inlineStr">
        <is>
          <t>BEST ACT</t>
        </is>
      </c>
      <c r="G8" s="13" t="n"/>
      <c r="H8" s="12" t="inlineStr">
        <is>
          <t>SERVICE HRS</t>
        </is>
      </c>
      <c r="I8" s="13" t="n"/>
      <c r="J8" s="12" t="inlineStr">
        <is>
          <t>ACTIVITIES</t>
        </is>
      </c>
      <c r="K8" s="13" t="n"/>
      <c r="L8" s="12" t="inlineStr">
        <is>
          <t>COLLEGE-READY</t>
        </is>
      </c>
      <c r="M8" s="13" t="n"/>
    </row>
    <row r="9" ht="40" customHeight="1">
      <c r="B9" s="19">
        <f>ClassOf</f>
        <v/>
      </c>
      <c r="C9" s="15" t="n"/>
      <c r="D9" s="18" t="inlineStr">
        <is>
          <t>1380</t>
        </is>
      </c>
      <c r="E9" s="15" t="n"/>
      <c r="F9" s="18" t="inlineStr">
        <is>
          <t>30</t>
        </is>
      </c>
      <c r="G9" s="15" t="n"/>
      <c r="H9" s="18">
        <f>ServiceHours</f>
        <v/>
      </c>
      <c r="I9" s="15" t="n"/>
      <c r="J9" s="18">
        <f>COUNTA(ActName)</f>
        <v/>
      </c>
      <c r="K9" s="15" t="n"/>
      <c r="L9" s="17">
        <f>IFERROR(AVERAGE(HealthRange),0)</f>
        <v/>
      </c>
      <c r="M9" s="15" t="n"/>
    </row>
    <row r="11" ht="26" customHeight="1">
      <c r="B11" s="4" t="inlineStr">
        <is>
          <t>COLLEGE-READY CHECK</t>
        </is>
      </c>
      <c r="H11" s="4" t="inlineStr">
        <is>
          <t>CREDITS BY SUBJECT</t>
        </is>
      </c>
    </row>
    <row r="12" ht="30" customHeight="1">
      <c r="B12" s="9" t="inlineStr">
        <is>
          <t>Area</t>
        </is>
      </c>
      <c r="C12" s="9" t="inlineStr">
        <is>
          <t>Progress</t>
        </is>
      </c>
      <c r="D12" s="9" t="inlineStr">
        <is>
          <t>Status</t>
        </is>
      </c>
    </row>
    <row r="13">
      <c r="B13" s="20" t="inlineStr">
        <is>
          <t>GPA vs target</t>
        </is>
      </c>
      <c r="C13" s="21">
        <f>IFERROR(MIN(GPAUW/GPATarget,1),0)</f>
        <v/>
      </c>
      <c r="D13" s="22">
        <f>IF(C13&gt;=0.85,"Strong",IF(C13&gt;=0.6,"Good","Focus"))</f>
        <v/>
      </c>
    </row>
    <row r="14">
      <c r="B14" s="23" t="inlineStr">
        <is>
          <t>Credits vs required</t>
        </is>
      </c>
      <c r="C14" s="24">
        <f>IFERROR(MIN(CreditsEarned/CreditsReq,1),0)</f>
        <v/>
      </c>
      <c r="D14" s="25">
        <f>IF(C14&gt;=0.85,"Strong",IF(C14&gt;=0.6,"Good","Focus"))</f>
        <v/>
      </c>
    </row>
    <row r="15">
      <c r="B15" s="20" t="inlineStr">
        <is>
          <t>Grad requirements met</t>
        </is>
      </c>
      <c r="C15" s="21">
        <f>IFERROR(COUNTIF(ReqDone,"Yes")/COUNTA(ReqName),0)</f>
        <v/>
      </c>
      <c r="D15" s="22">
        <f>IF(C15&gt;=0.85,"Strong",IF(C15&gt;=0.6,"Good","Focus"))</f>
        <v/>
      </c>
    </row>
    <row r="16">
      <c r="B16" s="23" t="inlineStr">
        <is>
          <t>Test scores on file</t>
        </is>
      </c>
      <c r="C16" s="24">
        <f>IFERROR(MIN(COUNTA(TestName)/3,1),0)</f>
        <v/>
      </c>
      <c r="D16" s="25">
        <f>IF(C16&gt;=0.85,"Strong",IF(C16&gt;=0.6,"Good","Focus"))</f>
        <v/>
      </c>
    </row>
    <row r="17">
      <c r="B17" s="20" t="inlineStr">
        <is>
          <t>Course rigor (H+AP)</t>
        </is>
      </c>
      <c r="C17" s="21">
        <f>IFERROR(MIN(HonorsAP/RigorGoal,1),0)</f>
        <v/>
      </c>
      <c r="D17" s="22">
        <f>IF(C17&gt;=0.85,"Strong",IF(C17&gt;=0.6,"Good","Focus"))</f>
        <v/>
      </c>
    </row>
    <row r="18">
      <c r="B18" s="23" t="inlineStr">
        <is>
          <t>Service &amp; activities</t>
        </is>
      </c>
      <c r="C18" s="24">
        <f>IFERROR(MIN(ServiceHours/ServiceGoal,1),0)</f>
        <v/>
      </c>
      <c r="D18" s="25">
        <f>IF(C18&gt;=0.85,"Strong",IF(C18&gt;=0.6,"Good","Focus"))</f>
        <v/>
      </c>
    </row>
    <row r="21" ht="26" customHeight="1">
      <c r="B21" s="2" t="inlineStr">
        <is>
          <t>High School Transcript Command Center™ — enter grades once; GPA &amp; the transcript build themselves.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6" customWidth="1" min="3" max="3"/>
    <col width="6" customWidth="1" min="4" max="4"/>
    <col width="22" customWidth="1" min="5" max="5"/>
    <col width="22" customWidth="1" min="6" max="6"/>
    <col width="2" customWidth="1" min="7" max="7"/>
  </cols>
  <sheetData>
    <row r="1" ht="46" customHeight="1">
      <c r="A1" s="1" t="inlineStr">
        <is>
          <t xml:space="preserve">  🎓  STUDENT PROFILE</t>
        </is>
      </c>
    </row>
    <row r="2" ht="22" customHeight="1">
      <c r="A2" s="2" t="inlineStr">
        <is>
          <t xml:space="preserve">  The student behind the transcript — the details colleges ask for.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THE STUDENT</t>
        </is>
      </c>
    </row>
    <row r="6" ht="24" customHeight="1">
      <c r="B6" s="26" t="inlineStr">
        <is>
          <t>Name</t>
        </is>
      </c>
      <c r="C6" s="27">
        <f>StudentName</f>
        <v/>
      </c>
      <c r="E6" s="26" t="inlineStr">
        <is>
          <t>Class Of</t>
        </is>
      </c>
      <c r="F6" s="27">
        <f>ClassOf</f>
        <v/>
      </c>
    </row>
    <row r="7" ht="24" customHeight="1">
      <c r="B7" s="26" t="inlineStr">
        <is>
          <t>Graduation</t>
        </is>
      </c>
      <c r="C7" s="27">
        <f>GradDate</f>
        <v/>
      </c>
      <c r="E7" s="26" t="inlineStr">
        <is>
          <t>Date of Birth</t>
        </is>
      </c>
      <c r="F7" s="27" t="inlineStr">
        <is>
          <t>—</t>
        </is>
      </c>
    </row>
    <row r="8" ht="24" customHeight="1">
      <c r="B8" s="26" t="inlineStr">
        <is>
          <t>Diploma Type</t>
        </is>
      </c>
      <c r="C8" s="27" t="inlineStr">
        <is>
          <t>College-prep</t>
        </is>
      </c>
      <c r="E8" s="26" t="inlineStr">
        <is>
          <t>Counselor / Parent</t>
        </is>
      </c>
      <c r="F8" s="27" t="inlineStr">
        <is>
          <t>—</t>
        </is>
      </c>
    </row>
    <row r="10" ht="22" customHeight="1">
      <c r="B10" s="4" t="inlineStr">
        <is>
          <t>THE SCHOOL</t>
        </is>
      </c>
    </row>
    <row r="11" ht="24" customHeight="1">
      <c r="B11" s="26" t="inlineStr">
        <is>
          <t>School Name</t>
        </is>
      </c>
      <c r="C11" s="27">
        <f>SchoolName</f>
        <v/>
      </c>
      <c r="E11" s="26" t="inlineStr">
        <is>
          <t>Type</t>
        </is>
      </c>
      <c r="F11" s="27" t="inlineStr">
        <is>
          <t>Homeschool</t>
        </is>
      </c>
    </row>
    <row r="12" ht="24" customHeight="1">
      <c r="B12" s="26" t="inlineStr">
        <is>
          <t>Address</t>
        </is>
      </c>
      <c r="C12" s="27" t="inlineStr">
        <is>
          <t>—</t>
        </is>
      </c>
      <c r="E12" s="26" t="inlineStr">
        <is>
          <t>Phone / Email</t>
        </is>
      </c>
      <c r="F12" s="27" t="inlineStr">
        <is>
          <t>—</t>
        </is>
      </c>
    </row>
    <row r="13" ht="24" customHeight="1">
      <c r="B13" s="26" t="inlineStr">
        <is>
          <t>Grading Scale</t>
        </is>
      </c>
      <c r="C13" s="27" t="inlineStr">
        <is>
          <t>4.0 (see Settings)</t>
        </is>
      </c>
      <c r="E13" s="26" t="inlineStr">
        <is>
          <t>Weighted?</t>
        </is>
      </c>
      <c r="F13" s="27" t="inlineStr">
        <is>
          <t>Yes — H +0.5, AP +1.0</t>
        </is>
      </c>
    </row>
    <row r="15" ht="22" customHeight="1">
      <c r="B15" s="4" t="inlineStr">
        <is>
          <t>COLLEGE LIST</t>
        </is>
      </c>
    </row>
    <row r="16">
      <c r="B16" s="26" t="inlineStr">
        <is>
          <t>Reach school</t>
        </is>
      </c>
      <c r="C16" s="27" t="inlineStr">
        <is>
          <t>—</t>
        </is>
      </c>
      <c r="E16" s="26" t="inlineStr">
        <is>
          <t>Target school</t>
        </is>
      </c>
      <c r="F16" s="27" t="inlineStr">
        <is>
          <t>—</t>
        </is>
      </c>
    </row>
    <row r="17">
      <c r="B17" s="26" t="inlineStr">
        <is>
          <t>Safety school</t>
        </is>
      </c>
      <c r="C17" s="27" t="inlineStr">
        <is>
          <t>—</t>
        </is>
      </c>
      <c r="E17" s="26" t="inlineStr">
        <is>
          <t>Applied</t>
        </is>
      </c>
      <c r="F17" s="27" t="inlineStr">
        <is>
          <t>—</t>
        </is>
      </c>
    </row>
    <row r="18">
      <c r="B18" s="26" t="inlineStr">
        <is>
          <t>Deadlines</t>
        </is>
      </c>
      <c r="C18" s="27" t="inlineStr">
        <is>
          <t>—</t>
        </is>
      </c>
      <c r="E18" s="26" t="inlineStr">
        <is>
          <t>Scholarships</t>
        </is>
      </c>
      <c r="F18" s="27" t="inlineStr">
        <is>
          <t>—</t>
        </is>
      </c>
    </row>
  </sheetData>
  <mergeCells count="5">
    <mergeCell ref="A1:G1"/>
    <mergeCell ref="B15:F15"/>
    <mergeCell ref="B10:F10"/>
    <mergeCell ref="B5:F5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5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0" customWidth="1" min="4" max="4"/>
    <col width="10" customWidth="1" min="5" max="5"/>
    <col width="2" customWidth="1" min="6" max="6"/>
  </cols>
  <sheetData>
    <row r="1" ht="30" customHeight="1">
      <c r="B1" s="28">
        <f>SchoolName</f>
        <v/>
      </c>
    </row>
    <row r="2">
      <c r="B2" s="29" t="inlineStr">
        <is>
          <t>OFFICIAL HIGH SCHOOL TRANSCRIPT</t>
        </is>
      </c>
    </row>
    <row r="3" ht="4" customHeight="1">
      <c r="B3" s="3" t="n"/>
      <c r="C3" s="3" t="n"/>
      <c r="D3" s="3" t="n"/>
      <c r="E3" s="3" t="n"/>
    </row>
    <row r="5">
      <c r="B5" s="26" t="inlineStr">
        <is>
          <t>Student</t>
        </is>
      </c>
      <c r="C5" s="27">
        <f>StudentName</f>
        <v/>
      </c>
      <c r="D5" s="26" t="inlineStr">
        <is>
          <t>Class Of</t>
        </is>
      </c>
      <c r="E5" s="27">
        <f>ClassOf</f>
        <v/>
      </c>
    </row>
    <row r="6">
      <c r="B6" s="26" t="inlineStr">
        <is>
          <t>School</t>
        </is>
      </c>
      <c r="C6" s="27">
        <f>SchoolName</f>
        <v/>
      </c>
      <c r="D6" s="26" t="inlineStr">
        <is>
          <t>Graduation</t>
        </is>
      </c>
      <c r="E6" s="27">
        <f>GradDate</f>
        <v/>
      </c>
    </row>
    <row r="8" ht="20" customHeight="1">
      <c r="B8" s="4" t="inlineStr">
        <is>
          <t>GRADE 9</t>
        </is>
      </c>
    </row>
    <row r="9" ht="30" customHeight="1">
      <c r="B9" s="9" t="inlineStr">
        <is>
          <t>Course</t>
        </is>
      </c>
      <c r="C9" s="9" t="inlineStr">
        <is>
          <t>Area</t>
        </is>
      </c>
      <c r="D9" s="9" t="inlineStr">
        <is>
          <t>Cr</t>
        </is>
      </c>
      <c r="E9" s="9" t="inlineStr">
        <is>
          <t>Gr</t>
        </is>
      </c>
    </row>
    <row r="10">
      <c r="B10" s="20" t="inlineStr">
        <is>
          <t>English 9</t>
        </is>
      </c>
      <c r="C10" s="22" t="inlineStr">
        <is>
          <t>English</t>
        </is>
      </c>
      <c r="D10" s="30" t="n">
        <v>1</v>
      </c>
      <c r="E10" s="22" t="inlineStr">
        <is>
          <t>A</t>
        </is>
      </c>
    </row>
    <row r="11">
      <c r="B11" s="20" t="inlineStr">
        <is>
          <t>Algebra I</t>
        </is>
      </c>
      <c r="C11" s="22" t="inlineStr">
        <is>
          <t>Math</t>
        </is>
      </c>
      <c r="D11" s="30" t="n">
        <v>1</v>
      </c>
      <c r="E11" s="22" t="inlineStr">
        <is>
          <t>A-</t>
        </is>
      </c>
    </row>
    <row r="12">
      <c r="B12" s="20" t="inlineStr">
        <is>
          <t>Biology</t>
        </is>
      </c>
      <c r="C12" s="22" t="inlineStr">
        <is>
          <t>Science</t>
        </is>
      </c>
      <c r="D12" s="30" t="n">
        <v>1</v>
      </c>
      <c r="E12" s="22" t="inlineStr">
        <is>
          <t>B+</t>
        </is>
      </c>
    </row>
    <row r="13">
      <c r="B13" s="20" t="inlineStr">
        <is>
          <t>World History</t>
        </is>
      </c>
      <c r="C13" s="22" t="inlineStr">
        <is>
          <t>Social Studies</t>
        </is>
      </c>
      <c r="D13" s="30" t="n">
        <v>1</v>
      </c>
      <c r="E13" s="22" t="inlineStr">
        <is>
          <t>A</t>
        </is>
      </c>
    </row>
    <row r="14">
      <c r="B14" s="20" t="inlineStr">
        <is>
          <t>Spanish I</t>
        </is>
      </c>
      <c r="C14" s="22" t="inlineStr">
        <is>
          <t>World Language</t>
        </is>
      </c>
      <c r="D14" s="30" t="n">
        <v>1</v>
      </c>
      <c r="E14" s="22" t="inlineStr">
        <is>
          <t>A</t>
        </is>
      </c>
    </row>
    <row r="15">
      <c r="B15" s="20" t="inlineStr">
        <is>
          <t>PE &amp; Health</t>
        </is>
      </c>
      <c r="C15" s="22" t="inlineStr">
        <is>
          <t>PE/Health</t>
        </is>
      </c>
      <c r="D15" s="30" t="n">
        <v>0.5</v>
      </c>
      <c r="E15" s="22" t="inlineStr">
        <is>
          <t>A</t>
        </is>
      </c>
    </row>
    <row r="16">
      <c r="B16" s="20" t="inlineStr">
        <is>
          <t>Art I</t>
        </is>
      </c>
      <c r="C16" s="22" t="inlineStr">
        <is>
          <t>Fine Arts</t>
        </is>
      </c>
      <c r="D16" s="30" t="n">
        <v>0.5</v>
      </c>
      <c r="E16" s="22" t="inlineStr">
        <is>
          <t>A</t>
        </is>
      </c>
    </row>
    <row r="17">
      <c r="B17" s="31" t="inlineStr">
        <is>
          <t>Year credits: 6.0</t>
        </is>
      </c>
      <c r="C17" s="32" t="n"/>
      <c r="D17" s="32" t="n"/>
      <c r="E17" s="32" t="n"/>
    </row>
    <row r="19" ht="20" customHeight="1">
      <c r="B19" s="4" t="inlineStr">
        <is>
          <t>GRADE 10</t>
        </is>
      </c>
    </row>
    <row r="20" ht="30" customHeight="1">
      <c r="B20" s="9" t="inlineStr">
        <is>
          <t>Course</t>
        </is>
      </c>
      <c r="C20" s="9" t="inlineStr">
        <is>
          <t>Area</t>
        </is>
      </c>
      <c r="D20" s="9" t="inlineStr">
        <is>
          <t>Cr</t>
        </is>
      </c>
      <c r="E20" s="9" t="inlineStr">
        <is>
          <t>Gr</t>
        </is>
      </c>
    </row>
    <row r="21">
      <c r="B21" s="20" t="inlineStr">
        <is>
          <t>English 10</t>
        </is>
      </c>
      <c r="C21" s="22" t="inlineStr">
        <is>
          <t>English</t>
        </is>
      </c>
      <c r="D21" s="30" t="n">
        <v>1</v>
      </c>
      <c r="E21" s="22" t="inlineStr">
        <is>
          <t>A-</t>
        </is>
      </c>
    </row>
    <row r="22">
      <c r="B22" s="20" t="inlineStr">
        <is>
          <t>Geometry</t>
        </is>
      </c>
      <c r="C22" s="22" t="inlineStr">
        <is>
          <t>Math</t>
        </is>
      </c>
      <c r="D22" s="30" t="n">
        <v>1</v>
      </c>
      <c r="E22" s="22" t="inlineStr">
        <is>
          <t>A</t>
        </is>
      </c>
    </row>
    <row r="23">
      <c r="B23" s="20" t="inlineStr">
        <is>
          <t>Chemistry (H)</t>
        </is>
      </c>
      <c r="C23" s="22" t="inlineStr">
        <is>
          <t>Science</t>
        </is>
      </c>
      <c r="D23" s="30" t="n">
        <v>1</v>
      </c>
      <c r="E23" s="22" t="inlineStr">
        <is>
          <t>B+</t>
        </is>
      </c>
    </row>
    <row r="24">
      <c r="B24" s="20" t="inlineStr">
        <is>
          <t>US History (H)</t>
        </is>
      </c>
      <c r="C24" s="22" t="inlineStr">
        <is>
          <t>Social Studies</t>
        </is>
      </c>
      <c r="D24" s="30" t="n">
        <v>1</v>
      </c>
      <c r="E24" s="22" t="inlineStr">
        <is>
          <t>A</t>
        </is>
      </c>
    </row>
    <row r="25">
      <c r="B25" s="20" t="inlineStr">
        <is>
          <t>Spanish II</t>
        </is>
      </c>
      <c r="C25" s="22" t="inlineStr">
        <is>
          <t>World Language</t>
        </is>
      </c>
      <c r="D25" s="30" t="n">
        <v>1</v>
      </c>
      <c r="E25" s="22" t="inlineStr">
        <is>
          <t>A-</t>
        </is>
      </c>
    </row>
    <row r="26">
      <c r="B26" s="20" t="inlineStr">
        <is>
          <t>Music</t>
        </is>
      </c>
      <c r="C26" s="22" t="inlineStr">
        <is>
          <t>Fine Arts</t>
        </is>
      </c>
      <c r="D26" s="30" t="n">
        <v>0.5</v>
      </c>
      <c r="E26" s="22" t="inlineStr">
        <is>
          <t>A</t>
        </is>
      </c>
    </row>
    <row r="27">
      <c r="B27" s="20" t="inlineStr">
        <is>
          <t>Speech &amp; Debate</t>
        </is>
      </c>
      <c r="C27" s="22" t="inlineStr">
        <is>
          <t>Elective</t>
        </is>
      </c>
      <c r="D27" s="30" t="n">
        <v>0.5</v>
      </c>
      <c r="E27" s="22" t="inlineStr">
        <is>
          <t>A</t>
        </is>
      </c>
    </row>
    <row r="28">
      <c r="B28" s="31" t="inlineStr">
        <is>
          <t>Year credits: 6.0</t>
        </is>
      </c>
      <c r="C28" s="32" t="n"/>
      <c r="D28" s="32" t="n"/>
      <c r="E28" s="32" t="n"/>
    </row>
    <row r="30" ht="20" customHeight="1">
      <c r="B30" s="4" t="inlineStr">
        <is>
          <t>GRADE 11</t>
        </is>
      </c>
    </row>
    <row r="31" ht="30" customHeight="1">
      <c r="B31" s="9" t="inlineStr">
        <is>
          <t>Course</t>
        </is>
      </c>
      <c r="C31" s="9" t="inlineStr">
        <is>
          <t>Area</t>
        </is>
      </c>
      <c r="D31" s="9" t="inlineStr">
        <is>
          <t>Cr</t>
        </is>
      </c>
      <c r="E31" s="9" t="inlineStr">
        <is>
          <t>Gr</t>
        </is>
      </c>
    </row>
    <row r="32">
      <c r="B32" s="20" t="inlineStr">
        <is>
          <t>English 11 (H)</t>
        </is>
      </c>
      <c r="C32" s="22" t="inlineStr">
        <is>
          <t>English</t>
        </is>
      </c>
      <c r="D32" s="30" t="n">
        <v>1</v>
      </c>
      <c r="E32" s="22" t="inlineStr">
        <is>
          <t>A</t>
        </is>
      </c>
    </row>
    <row r="33">
      <c r="B33" s="20" t="inlineStr">
        <is>
          <t>Algebra II</t>
        </is>
      </c>
      <c r="C33" s="22" t="inlineStr">
        <is>
          <t>Math</t>
        </is>
      </c>
      <c r="D33" s="30" t="n">
        <v>1</v>
      </c>
      <c r="E33" s="22" t="inlineStr">
        <is>
          <t>B+</t>
        </is>
      </c>
    </row>
    <row r="34">
      <c r="B34" s="20" t="inlineStr">
        <is>
          <t>Physics (H)</t>
        </is>
      </c>
      <c r="C34" s="22" t="inlineStr">
        <is>
          <t>Science</t>
        </is>
      </c>
      <c r="D34" s="30" t="n">
        <v>1</v>
      </c>
      <c r="E34" s="22" t="inlineStr">
        <is>
          <t>A-</t>
        </is>
      </c>
    </row>
    <row r="35">
      <c r="B35" s="20" t="inlineStr">
        <is>
          <t>AP US Government (AP)</t>
        </is>
      </c>
      <c r="C35" s="22" t="inlineStr">
        <is>
          <t>Social Studies</t>
        </is>
      </c>
      <c r="D35" s="30" t="n">
        <v>1</v>
      </c>
      <c r="E35" s="22" t="inlineStr">
        <is>
          <t>B+</t>
        </is>
      </c>
    </row>
    <row r="36">
      <c r="B36" s="20" t="inlineStr">
        <is>
          <t>Spanish III</t>
        </is>
      </c>
      <c r="C36" s="22" t="inlineStr">
        <is>
          <t>World Language</t>
        </is>
      </c>
      <c r="D36" s="30" t="n">
        <v>1</v>
      </c>
      <c r="E36" s="22" t="inlineStr">
        <is>
          <t>A</t>
        </is>
      </c>
    </row>
    <row r="37">
      <c r="B37" s="20" t="inlineStr">
        <is>
          <t>Economics</t>
        </is>
      </c>
      <c r="C37" s="22" t="inlineStr">
        <is>
          <t>Elective</t>
        </is>
      </c>
      <c r="D37" s="30" t="n">
        <v>0.5</v>
      </c>
      <c r="E37" s="22" t="inlineStr">
        <is>
          <t>A</t>
        </is>
      </c>
    </row>
    <row r="38">
      <c r="B38" s="20" t="inlineStr">
        <is>
          <t>Logic</t>
        </is>
      </c>
      <c r="C38" s="22" t="inlineStr">
        <is>
          <t>Elective</t>
        </is>
      </c>
      <c r="D38" s="30" t="n">
        <v>0.5</v>
      </c>
      <c r="E38" s="22" t="inlineStr">
        <is>
          <t>A</t>
        </is>
      </c>
    </row>
    <row r="39">
      <c r="B39" s="31" t="inlineStr">
        <is>
          <t>Year credits: 6.0</t>
        </is>
      </c>
      <c r="C39" s="32" t="n"/>
      <c r="D39" s="32" t="n"/>
      <c r="E39" s="32" t="n"/>
    </row>
    <row r="41" ht="20" customHeight="1">
      <c r="B41" s="4" t="inlineStr">
        <is>
          <t>GRADE 12</t>
        </is>
      </c>
    </row>
    <row r="42" ht="30" customHeight="1">
      <c r="B42" s="9" t="inlineStr">
        <is>
          <t>Course</t>
        </is>
      </c>
      <c r="C42" s="9" t="inlineStr">
        <is>
          <t>Area</t>
        </is>
      </c>
      <c r="D42" s="9" t="inlineStr">
        <is>
          <t>Cr</t>
        </is>
      </c>
      <c r="E42" s="9" t="inlineStr">
        <is>
          <t>Gr</t>
        </is>
      </c>
    </row>
    <row r="43">
      <c r="B43" s="20" t="inlineStr">
        <is>
          <t>English 12 (H)</t>
        </is>
      </c>
      <c r="C43" s="22" t="inlineStr">
        <is>
          <t>English</t>
        </is>
      </c>
      <c r="D43" s="30" t="n">
        <v>1</v>
      </c>
      <c r="E43" s="22" t="inlineStr">
        <is>
          <t>A</t>
        </is>
      </c>
    </row>
    <row r="44">
      <c r="B44" s="20" t="inlineStr">
        <is>
          <t>Pre-Calculus (H)</t>
        </is>
      </c>
      <c r="C44" s="22" t="inlineStr">
        <is>
          <t>Math</t>
        </is>
      </c>
      <c r="D44" s="30" t="n">
        <v>1</v>
      </c>
      <c r="E44" s="22" t="inlineStr">
        <is>
          <t>A-</t>
        </is>
      </c>
    </row>
    <row r="45">
      <c r="B45" s="20" t="inlineStr">
        <is>
          <t>AP Biology (AP)</t>
        </is>
      </c>
      <c r="C45" s="22" t="inlineStr">
        <is>
          <t>Science</t>
        </is>
      </c>
      <c r="D45" s="30" t="n">
        <v>1</v>
      </c>
      <c r="E45" s="22" t="inlineStr">
        <is>
          <t>A-</t>
        </is>
      </c>
    </row>
    <row r="46">
      <c r="B46" s="20" t="inlineStr">
        <is>
          <t>AP Literature (AP)</t>
        </is>
      </c>
      <c r="C46" s="22" t="inlineStr">
        <is>
          <t>English</t>
        </is>
      </c>
      <c r="D46" s="30" t="n">
        <v>1</v>
      </c>
      <c r="E46" s="22" t="inlineStr">
        <is>
          <t>A</t>
        </is>
      </c>
    </row>
    <row r="47">
      <c r="B47" s="20" t="inlineStr">
        <is>
          <t>Spanish IV</t>
        </is>
      </c>
      <c r="C47" s="22" t="inlineStr">
        <is>
          <t>World Language</t>
        </is>
      </c>
      <c r="D47" s="30" t="n">
        <v>1</v>
      </c>
      <c r="E47" s="22" t="inlineStr">
        <is>
          <t>A</t>
        </is>
      </c>
    </row>
    <row r="48">
      <c r="B48" s="20" t="inlineStr">
        <is>
          <t>Capstone Project</t>
        </is>
      </c>
      <c r="C48" s="22" t="inlineStr">
        <is>
          <t>Elective</t>
        </is>
      </c>
      <c r="D48" s="30" t="n">
        <v>1</v>
      </c>
      <c r="E48" s="22" t="inlineStr">
        <is>
          <t>A</t>
        </is>
      </c>
    </row>
    <row r="49">
      <c r="B49" s="31" t="inlineStr">
        <is>
          <t>Year credits: 6.0</t>
        </is>
      </c>
      <c r="C49" s="32" t="n"/>
      <c r="D49" s="32" t="n"/>
      <c r="E49" s="32" t="n"/>
    </row>
    <row r="51">
      <c r="B51" s="4" t="inlineStr">
        <is>
          <t>SUMMARY</t>
        </is>
      </c>
    </row>
    <row r="52">
      <c r="B52" s="26" t="inlineStr">
        <is>
          <t>Cumulative GPA (Unweighted)</t>
        </is>
      </c>
      <c r="C52" s="33">
        <f>IFERROR(QualTotal/CreditsEarned,0)</f>
        <v/>
      </c>
    </row>
    <row r="53">
      <c r="B53" s="26" t="inlineStr">
        <is>
          <t>Cumulative GPA (Weighted)</t>
        </is>
      </c>
      <c r="C53" s="33">
        <f>IFERROR(WtdTotal/CreditsEarned,0)</f>
        <v/>
      </c>
    </row>
    <row r="54">
      <c r="B54" s="26" t="inlineStr">
        <is>
          <t>Total Credits</t>
        </is>
      </c>
      <c r="C54" s="34">
        <f>CreditsEarned</f>
        <v/>
      </c>
    </row>
    <row r="55">
      <c r="B55" s="26" t="inlineStr">
        <is>
          <t>Honors / AP Courses</t>
        </is>
      </c>
      <c r="C55" s="35">
        <f>HonorsAP</f>
        <v/>
      </c>
    </row>
    <row r="57">
      <c r="B57" s="26" t="inlineStr">
        <is>
          <t>Administrator signature</t>
        </is>
      </c>
      <c r="C57" s="27" t="inlineStr">
        <is>
          <t>__________________________  Date: __________</t>
        </is>
      </c>
    </row>
  </sheetData>
  <mergeCells count="12">
    <mergeCell ref="C54:E54"/>
    <mergeCell ref="B41:E41"/>
    <mergeCell ref="B1:E1"/>
    <mergeCell ref="B8:E8"/>
    <mergeCell ref="C57:E57"/>
    <mergeCell ref="C52:E52"/>
    <mergeCell ref="C55:E55"/>
    <mergeCell ref="C53:E53"/>
    <mergeCell ref="B30:E30"/>
    <mergeCell ref="B19:E19"/>
    <mergeCell ref="B2:E2"/>
    <mergeCell ref="B51:E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13" customWidth="1" min="4" max="4"/>
    <col width="10" customWidth="1" min="5" max="5"/>
    <col width="9" customWidth="1" min="6" max="6"/>
    <col width="8" customWidth="1" min="7" max="7"/>
    <col width="9" customWidth="1" min="8" max="8"/>
    <col width="9" customWidth="1" min="9" max="9"/>
  </cols>
  <sheetData>
    <row r="1" ht="46" customHeight="1">
      <c r="A1" s="1" t="inlineStr">
        <is>
          <t xml:space="preserve">  📗  COURSE RECORDS</t>
        </is>
      </c>
    </row>
    <row r="2" ht="22" customHeight="1">
      <c r="A2" s="2" t="inlineStr">
        <is>
          <t xml:space="preserve">  Every course in one place — type the grade, GPA points calculate themselves.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9" t="inlineStr">
        <is>
          <t>Grade Yr</t>
        </is>
      </c>
      <c r="B4" s="9" t="inlineStr">
        <is>
          <t>Subject Area</t>
        </is>
      </c>
      <c r="C4" s="9" t="inlineStr">
        <is>
          <t>Course Title</t>
        </is>
      </c>
      <c r="D4" s="9" t="inlineStr">
        <is>
          <t>Level</t>
        </is>
      </c>
      <c r="E4" s="9" t="inlineStr">
        <is>
          <t>Credits</t>
        </is>
      </c>
      <c r="F4" s="9" t="inlineStr">
        <is>
          <t>Grade</t>
        </is>
      </c>
      <c r="G4" s="9" t="inlineStr">
        <is>
          <t>Pts</t>
        </is>
      </c>
      <c r="H4" s="9" t="inlineStr">
        <is>
          <t>Qual</t>
        </is>
      </c>
      <c r="I4" s="9" t="inlineStr">
        <is>
          <t>Wtd</t>
        </is>
      </c>
    </row>
    <row r="5">
      <c r="A5" s="36" t="n">
        <v>9</v>
      </c>
      <c r="B5" s="37" t="inlineStr">
        <is>
          <t>English</t>
        </is>
      </c>
      <c r="C5" s="37" t="inlineStr">
        <is>
          <t>English 9</t>
        </is>
      </c>
      <c r="D5" s="38" t="inlineStr">
        <is>
          <t>Regular</t>
        </is>
      </c>
      <c r="E5" s="39" t="n">
        <v>1</v>
      </c>
      <c r="F5" s="38" t="inlineStr">
        <is>
          <t>A</t>
        </is>
      </c>
      <c r="G5" s="39">
        <f>IFERROR(VLOOKUP(F5,GradeScale,2,FALSE),"")</f>
        <v/>
      </c>
      <c r="H5" s="39">
        <f>IFERROR(G5*E5,"")</f>
        <v/>
      </c>
      <c r="I5" s="39">
        <f>IFERROR((G5+IFERROR(VLOOKUP(D5,LevelScale,2,FALSE),0))*E5,"")</f>
        <v/>
      </c>
    </row>
    <row r="6">
      <c r="A6" s="40" t="n">
        <v>9</v>
      </c>
      <c r="B6" s="23" t="inlineStr">
        <is>
          <t>Math</t>
        </is>
      </c>
      <c r="C6" s="23" t="inlineStr">
        <is>
          <t>Algebra I</t>
        </is>
      </c>
      <c r="D6" s="25" t="inlineStr">
        <is>
          <t>Regular</t>
        </is>
      </c>
      <c r="E6" s="41" t="n">
        <v>1</v>
      </c>
      <c r="F6" s="25" t="inlineStr">
        <is>
          <t>A-</t>
        </is>
      </c>
      <c r="G6" s="41">
        <f>IFERROR(VLOOKUP(F6,GradeScale,2,FALSE),"")</f>
        <v/>
      </c>
      <c r="H6" s="41">
        <f>IFERROR(G6*E6,"")</f>
        <v/>
      </c>
      <c r="I6" s="41">
        <f>IFERROR((G6+IFERROR(VLOOKUP(D6,LevelScale,2,FALSE),0))*E6,"")</f>
        <v/>
      </c>
    </row>
    <row r="7">
      <c r="A7" s="36" t="n">
        <v>9</v>
      </c>
      <c r="B7" s="37" t="inlineStr">
        <is>
          <t>Science</t>
        </is>
      </c>
      <c r="C7" s="37" t="inlineStr">
        <is>
          <t>Biology</t>
        </is>
      </c>
      <c r="D7" s="38" t="inlineStr">
        <is>
          <t>Regular</t>
        </is>
      </c>
      <c r="E7" s="39" t="n">
        <v>1</v>
      </c>
      <c r="F7" s="38" t="inlineStr">
        <is>
          <t>B+</t>
        </is>
      </c>
      <c r="G7" s="39">
        <f>IFERROR(VLOOKUP(F7,GradeScale,2,FALSE),"")</f>
        <v/>
      </c>
      <c r="H7" s="39">
        <f>IFERROR(G7*E7,"")</f>
        <v/>
      </c>
      <c r="I7" s="39">
        <f>IFERROR((G7+IFERROR(VLOOKUP(D7,LevelScale,2,FALSE),0))*E7,"")</f>
        <v/>
      </c>
    </row>
    <row r="8">
      <c r="A8" s="40" t="n">
        <v>9</v>
      </c>
      <c r="B8" s="23" t="inlineStr">
        <is>
          <t>Social Studies</t>
        </is>
      </c>
      <c r="C8" s="23" t="inlineStr">
        <is>
          <t>World History</t>
        </is>
      </c>
      <c r="D8" s="25" t="inlineStr">
        <is>
          <t>Regular</t>
        </is>
      </c>
      <c r="E8" s="41" t="n">
        <v>1</v>
      </c>
      <c r="F8" s="25" t="inlineStr">
        <is>
          <t>A</t>
        </is>
      </c>
      <c r="G8" s="41">
        <f>IFERROR(VLOOKUP(F8,GradeScale,2,FALSE),"")</f>
        <v/>
      </c>
      <c r="H8" s="41">
        <f>IFERROR(G8*E8,"")</f>
        <v/>
      </c>
      <c r="I8" s="41">
        <f>IFERROR((G8+IFERROR(VLOOKUP(D8,LevelScale,2,FALSE),0))*E8,"")</f>
        <v/>
      </c>
    </row>
    <row r="9">
      <c r="A9" s="36" t="n">
        <v>9</v>
      </c>
      <c r="B9" s="37" t="inlineStr">
        <is>
          <t>World Language</t>
        </is>
      </c>
      <c r="C9" s="37" t="inlineStr">
        <is>
          <t>Spanish I</t>
        </is>
      </c>
      <c r="D9" s="38" t="inlineStr">
        <is>
          <t>Regular</t>
        </is>
      </c>
      <c r="E9" s="39" t="n">
        <v>1</v>
      </c>
      <c r="F9" s="38" t="inlineStr">
        <is>
          <t>A</t>
        </is>
      </c>
      <c r="G9" s="39">
        <f>IFERROR(VLOOKUP(F9,GradeScale,2,FALSE),"")</f>
        <v/>
      </c>
      <c r="H9" s="39">
        <f>IFERROR(G9*E9,"")</f>
        <v/>
      </c>
      <c r="I9" s="39">
        <f>IFERROR((G9+IFERROR(VLOOKUP(D9,LevelScale,2,FALSE),0))*E9,"")</f>
        <v/>
      </c>
    </row>
    <row r="10">
      <c r="A10" s="40" t="n">
        <v>9</v>
      </c>
      <c r="B10" s="23" t="inlineStr">
        <is>
          <t>PE/Health</t>
        </is>
      </c>
      <c r="C10" s="23" t="inlineStr">
        <is>
          <t>PE &amp; Health</t>
        </is>
      </c>
      <c r="D10" s="25" t="inlineStr">
        <is>
          <t>Regular</t>
        </is>
      </c>
      <c r="E10" s="41" t="n">
        <v>0.5</v>
      </c>
      <c r="F10" s="25" t="inlineStr">
        <is>
          <t>A</t>
        </is>
      </c>
      <c r="G10" s="41">
        <f>IFERROR(VLOOKUP(F10,GradeScale,2,FALSE),"")</f>
        <v/>
      </c>
      <c r="H10" s="41">
        <f>IFERROR(G10*E10,"")</f>
        <v/>
      </c>
      <c r="I10" s="41">
        <f>IFERROR((G10+IFERROR(VLOOKUP(D10,LevelScale,2,FALSE),0))*E10,"")</f>
        <v/>
      </c>
    </row>
    <row r="11">
      <c r="A11" s="36" t="n">
        <v>9</v>
      </c>
      <c r="B11" s="37" t="inlineStr">
        <is>
          <t>Fine Arts</t>
        </is>
      </c>
      <c r="C11" s="37" t="inlineStr">
        <is>
          <t>Art I</t>
        </is>
      </c>
      <c r="D11" s="38" t="inlineStr">
        <is>
          <t>Regular</t>
        </is>
      </c>
      <c r="E11" s="39" t="n">
        <v>0.5</v>
      </c>
      <c r="F11" s="38" t="inlineStr">
        <is>
          <t>A</t>
        </is>
      </c>
      <c r="G11" s="39">
        <f>IFERROR(VLOOKUP(F11,GradeScale,2,FALSE),"")</f>
        <v/>
      </c>
      <c r="H11" s="39">
        <f>IFERROR(G11*E11,"")</f>
        <v/>
      </c>
      <c r="I11" s="39">
        <f>IFERROR((G11+IFERROR(VLOOKUP(D11,LevelScale,2,FALSE),0))*E11,"")</f>
        <v/>
      </c>
    </row>
    <row r="12">
      <c r="A12" s="40" t="n">
        <v>10</v>
      </c>
      <c r="B12" s="23" t="inlineStr">
        <is>
          <t>English</t>
        </is>
      </c>
      <c r="C12" s="23" t="inlineStr">
        <is>
          <t>English 10</t>
        </is>
      </c>
      <c r="D12" s="25" t="inlineStr">
        <is>
          <t>Regular</t>
        </is>
      </c>
      <c r="E12" s="41" t="n">
        <v>1</v>
      </c>
      <c r="F12" s="25" t="inlineStr">
        <is>
          <t>A-</t>
        </is>
      </c>
      <c r="G12" s="41">
        <f>IFERROR(VLOOKUP(F12,GradeScale,2,FALSE),"")</f>
        <v/>
      </c>
      <c r="H12" s="41">
        <f>IFERROR(G12*E12,"")</f>
        <v/>
      </c>
      <c r="I12" s="41">
        <f>IFERROR((G12+IFERROR(VLOOKUP(D12,LevelScale,2,FALSE),0))*E12,"")</f>
        <v/>
      </c>
    </row>
    <row r="13">
      <c r="A13" s="36" t="n">
        <v>10</v>
      </c>
      <c r="B13" s="37" t="inlineStr">
        <is>
          <t>Math</t>
        </is>
      </c>
      <c r="C13" s="37" t="inlineStr">
        <is>
          <t>Geometry</t>
        </is>
      </c>
      <c r="D13" s="38" t="inlineStr">
        <is>
          <t>Regular</t>
        </is>
      </c>
      <c r="E13" s="39" t="n">
        <v>1</v>
      </c>
      <c r="F13" s="38" t="inlineStr">
        <is>
          <t>A</t>
        </is>
      </c>
      <c r="G13" s="39">
        <f>IFERROR(VLOOKUP(F13,GradeScale,2,FALSE),"")</f>
        <v/>
      </c>
      <c r="H13" s="39">
        <f>IFERROR(G13*E13,"")</f>
        <v/>
      </c>
      <c r="I13" s="39">
        <f>IFERROR((G13+IFERROR(VLOOKUP(D13,LevelScale,2,FALSE),0))*E13,"")</f>
        <v/>
      </c>
    </row>
    <row r="14">
      <c r="A14" s="40" t="n">
        <v>10</v>
      </c>
      <c r="B14" s="23" t="inlineStr">
        <is>
          <t>Science</t>
        </is>
      </c>
      <c r="C14" s="23" t="inlineStr">
        <is>
          <t>Chemistry</t>
        </is>
      </c>
      <c r="D14" s="25" t="inlineStr">
        <is>
          <t>Honors</t>
        </is>
      </c>
      <c r="E14" s="41" t="n">
        <v>1</v>
      </c>
      <c r="F14" s="25" t="inlineStr">
        <is>
          <t>B+</t>
        </is>
      </c>
      <c r="G14" s="41">
        <f>IFERROR(VLOOKUP(F14,GradeScale,2,FALSE),"")</f>
        <v/>
      </c>
      <c r="H14" s="41">
        <f>IFERROR(G14*E14,"")</f>
        <v/>
      </c>
      <c r="I14" s="41">
        <f>IFERROR((G14+IFERROR(VLOOKUP(D14,LevelScale,2,FALSE),0))*E14,"")</f>
        <v/>
      </c>
    </row>
    <row r="15">
      <c r="A15" s="36" t="n">
        <v>10</v>
      </c>
      <c r="B15" s="37" t="inlineStr">
        <is>
          <t>Social Studies</t>
        </is>
      </c>
      <c r="C15" s="37" t="inlineStr">
        <is>
          <t>US History</t>
        </is>
      </c>
      <c r="D15" s="38" t="inlineStr">
        <is>
          <t>Honors</t>
        </is>
      </c>
      <c r="E15" s="39" t="n">
        <v>1</v>
      </c>
      <c r="F15" s="38" t="inlineStr">
        <is>
          <t>A</t>
        </is>
      </c>
      <c r="G15" s="39">
        <f>IFERROR(VLOOKUP(F15,GradeScale,2,FALSE),"")</f>
        <v/>
      </c>
      <c r="H15" s="39">
        <f>IFERROR(G15*E15,"")</f>
        <v/>
      </c>
      <c r="I15" s="39">
        <f>IFERROR((G15+IFERROR(VLOOKUP(D15,LevelScale,2,FALSE),0))*E15,"")</f>
        <v/>
      </c>
    </row>
    <row r="16">
      <c r="A16" s="40" t="n">
        <v>10</v>
      </c>
      <c r="B16" s="23" t="inlineStr">
        <is>
          <t>World Language</t>
        </is>
      </c>
      <c r="C16" s="23" t="inlineStr">
        <is>
          <t>Spanish II</t>
        </is>
      </c>
      <c r="D16" s="25" t="inlineStr">
        <is>
          <t>Regular</t>
        </is>
      </c>
      <c r="E16" s="41" t="n">
        <v>1</v>
      </c>
      <c r="F16" s="25" t="inlineStr">
        <is>
          <t>A-</t>
        </is>
      </c>
      <c r="G16" s="41">
        <f>IFERROR(VLOOKUP(F16,GradeScale,2,FALSE),"")</f>
        <v/>
      </c>
      <c r="H16" s="41">
        <f>IFERROR(G16*E16,"")</f>
        <v/>
      </c>
      <c r="I16" s="41">
        <f>IFERROR((G16+IFERROR(VLOOKUP(D16,LevelScale,2,FALSE),0))*E16,"")</f>
        <v/>
      </c>
    </row>
    <row r="17">
      <c r="A17" s="36" t="n">
        <v>10</v>
      </c>
      <c r="B17" s="37" t="inlineStr">
        <is>
          <t>Fine Arts</t>
        </is>
      </c>
      <c r="C17" s="37" t="inlineStr">
        <is>
          <t>Music</t>
        </is>
      </c>
      <c r="D17" s="38" t="inlineStr">
        <is>
          <t>Regular</t>
        </is>
      </c>
      <c r="E17" s="39" t="n">
        <v>0.5</v>
      </c>
      <c r="F17" s="38" t="inlineStr">
        <is>
          <t>A</t>
        </is>
      </c>
      <c r="G17" s="39">
        <f>IFERROR(VLOOKUP(F17,GradeScale,2,FALSE),"")</f>
        <v/>
      </c>
      <c r="H17" s="39">
        <f>IFERROR(G17*E17,"")</f>
        <v/>
      </c>
      <c r="I17" s="39">
        <f>IFERROR((G17+IFERROR(VLOOKUP(D17,LevelScale,2,FALSE),0))*E17,"")</f>
        <v/>
      </c>
    </row>
    <row r="18">
      <c r="A18" s="40" t="n">
        <v>10</v>
      </c>
      <c r="B18" s="23" t="inlineStr">
        <is>
          <t>Elective</t>
        </is>
      </c>
      <c r="C18" s="23" t="inlineStr">
        <is>
          <t>Speech &amp; Debate</t>
        </is>
      </c>
      <c r="D18" s="25" t="inlineStr">
        <is>
          <t>Regular</t>
        </is>
      </c>
      <c r="E18" s="41" t="n">
        <v>0.5</v>
      </c>
      <c r="F18" s="25" t="inlineStr">
        <is>
          <t>A</t>
        </is>
      </c>
      <c r="G18" s="41">
        <f>IFERROR(VLOOKUP(F18,GradeScale,2,FALSE),"")</f>
        <v/>
      </c>
      <c r="H18" s="41">
        <f>IFERROR(G18*E18,"")</f>
        <v/>
      </c>
      <c r="I18" s="41">
        <f>IFERROR((G18+IFERROR(VLOOKUP(D18,LevelScale,2,FALSE),0))*E18,"")</f>
        <v/>
      </c>
    </row>
    <row r="19">
      <c r="A19" s="36" t="n">
        <v>11</v>
      </c>
      <c r="B19" s="37" t="inlineStr">
        <is>
          <t>English</t>
        </is>
      </c>
      <c r="C19" s="37" t="inlineStr">
        <is>
          <t>English 11</t>
        </is>
      </c>
      <c r="D19" s="38" t="inlineStr">
        <is>
          <t>Honors</t>
        </is>
      </c>
      <c r="E19" s="39" t="n">
        <v>1</v>
      </c>
      <c r="F19" s="38" t="inlineStr">
        <is>
          <t>A</t>
        </is>
      </c>
      <c r="G19" s="39">
        <f>IFERROR(VLOOKUP(F19,GradeScale,2,FALSE),"")</f>
        <v/>
      </c>
      <c r="H19" s="39">
        <f>IFERROR(G19*E19,"")</f>
        <v/>
      </c>
      <c r="I19" s="39">
        <f>IFERROR((G19+IFERROR(VLOOKUP(D19,LevelScale,2,FALSE),0))*E19,"")</f>
        <v/>
      </c>
    </row>
    <row r="20">
      <c r="A20" s="40" t="n">
        <v>11</v>
      </c>
      <c r="B20" s="23" t="inlineStr">
        <is>
          <t>Math</t>
        </is>
      </c>
      <c r="C20" s="23" t="inlineStr">
        <is>
          <t>Algebra II</t>
        </is>
      </c>
      <c r="D20" s="25" t="inlineStr">
        <is>
          <t>Regular</t>
        </is>
      </c>
      <c r="E20" s="41" t="n">
        <v>1</v>
      </c>
      <c r="F20" s="25" t="inlineStr">
        <is>
          <t>B+</t>
        </is>
      </c>
      <c r="G20" s="41">
        <f>IFERROR(VLOOKUP(F20,GradeScale,2,FALSE),"")</f>
        <v/>
      </c>
      <c r="H20" s="41">
        <f>IFERROR(G20*E20,"")</f>
        <v/>
      </c>
      <c r="I20" s="41">
        <f>IFERROR((G20+IFERROR(VLOOKUP(D20,LevelScale,2,FALSE),0))*E20,"")</f>
        <v/>
      </c>
    </row>
    <row r="21">
      <c r="A21" s="36" t="n">
        <v>11</v>
      </c>
      <c r="B21" s="37" t="inlineStr">
        <is>
          <t>Science</t>
        </is>
      </c>
      <c r="C21" s="37" t="inlineStr">
        <is>
          <t>Physics</t>
        </is>
      </c>
      <c r="D21" s="38" t="inlineStr">
        <is>
          <t>Honors</t>
        </is>
      </c>
      <c r="E21" s="39" t="n">
        <v>1</v>
      </c>
      <c r="F21" s="38" t="inlineStr">
        <is>
          <t>A-</t>
        </is>
      </c>
      <c r="G21" s="39">
        <f>IFERROR(VLOOKUP(F21,GradeScale,2,FALSE),"")</f>
        <v/>
      </c>
      <c r="H21" s="39">
        <f>IFERROR(G21*E21,"")</f>
        <v/>
      </c>
      <c r="I21" s="39">
        <f>IFERROR((G21+IFERROR(VLOOKUP(D21,LevelScale,2,FALSE),0))*E21,"")</f>
        <v/>
      </c>
    </row>
    <row r="22">
      <c r="A22" s="40" t="n">
        <v>11</v>
      </c>
      <c r="B22" s="23" t="inlineStr">
        <is>
          <t>Social Studies</t>
        </is>
      </c>
      <c r="C22" s="23" t="inlineStr">
        <is>
          <t>AP US Government</t>
        </is>
      </c>
      <c r="D22" s="25" t="inlineStr">
        <is>
          <t>AP</t>
        </is>
      </c>
      <c r="E22" s="41" t="n">
        <v>1</v>
      </c>
      <c r="F22" s="25" t="inlineStr">
        <is>
          <t>B+</t>
        </is>
      </c>
      <c r="G22" s="41">
        <f>IFERROR(VLOOKUP(F22,GradeScale,2,FALSE),"")</f>
        <v/>
      </c>
      <c r="H22" s="41">
        <f>IFERROR(G22*E22,"")</f>
        <v/>
      </c>
      <c r="I22" s="41">
        <f>IFERROR((G22+IFERROR(VLOOKUP(D22,LevelScale,2,FALSE),0))*E22,"")</f>
        <v/>
      </c>
    </row>
    <row r="23">
      <c r="A23" s="36" t="n">
        <v>11</v>
      </c>
      <c r="B23" s="37" t="inlineStr">
        <is>
          <t>World Language</t>
        </is>
      </c>
      <c r="C23" s="37" t="inlineStr">
        <is>
          <t>Spanish III</t>
        </is>
      </c>
      <c r="D23" s="38" t="inlineStr">
        <is>
          <t>Regular</t>
        </is>
      </c>
      <c r="E23" s="39" t="n">
        <v>1</v>
      </c>
      <c r="F23" s="38" t="inlineStr">
        <is>
          <t>A</t>
        </is>
      </c>
      <c r="G23" s="39">
        <f>IFERROR(VLOOKUP(F23,GradeScale,2,FALSE),"")</f>
        <v/>
      </c>
      <c r="H23" s="39">
        <f>IFERROR(G23*E23,"")</f>
        <v/>
      </c>
      <c r="I23" s="39">
        <f>IFERROR((G23+IFERROR(VLOOKUP(D23,LevelScale,2,FALSE),0))*E23,"")</f>
        <v/>
      </c>
    </row>
    <row r="24">
      <c r="A24" s="40" t="n">
        <v>11</v>
      </c>
      <c r="B24" s="23" t="inlineStr">
        <is>
          <t>Elective</t>
        </is>
      </c>
      <c r="C24" s="23" t="inlineStr">
        <is>
          <t>Economics</t>
        </is>
      </c>
      <c r="D24" s="25" t="inlineStr">
        <is>
          <t>Regular</t>
        </is>
      </c>
      <c r="E24" s="41" t="n">
        <v>0.5</v>
      </c>
      <c r="F24" s="25" t="inlineStr">
        <is>
          <t>A</t>
        </is>
      </c>
      <c r="G24" s="41">
        <f>IFERROR(VLOOKUP(F24,GradeScale,2,FALSE),"")</f>
        <v/>
      </c>
      <c r="H24" s="41">
        <f>IFERROR(G24*E24,"")</f>
        <v/>
      </c>
      <c r="I24" s="41">
        <f>IFERROR((G24+IFERROR(VLOOKUP(D24,LevelScale,2,FALSE),0))*E24,"")</f>
        <v/>
      </c>
    </row>
    <row r="25">
      <c r="A25" s="36" t="n">
        <v>11</v>
      </c>
      <c r="B25" s="37" t="inlineStr">
        <is>
          <t>Elective</t>
        </is>
      </c>
      <c r="C25" s="37" t="inlineStr">
        <is>
          <t>Logic</t>
        </is>
      </c>
      <c r="D25" s="38" t="inlineStr">
        <is>
          <t>Regular</t>
        </is>
      </c>
      <c r="E25" s="39" t="n">
        <v>0.5</v>
      </c>
      <c r="F25" s="38" t="inlineStr">
        <is>
          <t>A</t>
        </is>
      </c>
      <c r="G25" s="39">
        <f>IFERROR(VLOOKUP(F25,GradeScale,2,FALSE),"")</f>
        <v/>
      </c>
      <c r="H25" s="39">
        <f>IFERROR(G25*E25,"")</f>
        <v/>
      </c>
      <c r="I25" s="39">
        <f>IFERROR((G25+IFERROR(VLOOKUP(D25,LevelScale,2,FALSE),0))*E25,"")</f>
        <v/>
      </c>
    </row>
    <row r="26">
      <c r="A26" s="40" t="n">
        <v>12</v>
      </c>
      <c r="B26" s="23" t="inlineStr">
        <is>
          <t>English</t>
        </is>
      </c>
      <c r="C26" s="23" t="inlineStr">
        <is>
          <t>English 12</t>
        </is>
      </c>
      <c r="D26" s="25" t="inlineStr">
        <is>
          <t>Honors</t>
        </is>
      </c>
      <c r="E26" s="41" t="n">
        <v>1</v>
      </c>
      <c r="F26" s="25" t="inlineStr">
        <is>
          <t>A</t>
        </is>
      </c>
      <c r="G26" s="41">
        <f>IFERROR(VLOOKUP(F26,GradeScale,2,FALSE),"")</f>
        <v/>
      </c>
      <c r="H26" s="41">
        <f>IFERROR(G26*E26,"")</f>
        <v/>
      </c>
      <c r="I26" s="41">
        <f>IFERROR((G26+IFERROR(VLOOKUP(D26,LevelScale,2,FALSE),0))*E26,"")</f>
        <v/>
      </c>
    </row>
    <row r="27">
      <c r="A27" s="36" t="n">
        <v>12</v>
      </c>
      <c r="B27" s="37" t="inlineStr">
        <is>
          <t>Math</t>
        </is>
      </c>
      <c r="C27" s="37" t="inlineStr">
        <is>
          <t>Pre-Calculus</t>
        </is>
      </c>
      <c r="D27" s="38" t="inlineStr">
        <is>
          <t>Honors</t>
        </is>
      </c>
      <c r="E27" s="39" t="n">
        <v>1</v>
      </c>
      <c r="F27" s="38" t="inlineStr">
        <is>
          <t>A-</t>
        </is>
      </c>
      <c r="G27" s="39">
        <f>IFERROR(VLOOKUP(F27,GradeScale,2,FALSE),"")</f>
        <v/>
      </c>
      <c r="H27" s="39">
        <f>IFERROR(G27*E27,"")</f>
        <v/>
      </c>
      <c r="I27" s="39">
        <f>IFERROR((G27+IFERROR(VLOOKUP(D27,LevelScale,2,FALSE),0))*E27,"")</f>
        <v/>
      </c>
    </row>
    <row r="28">
      <c r="A28" s="40" t="n">
        <v>12</v>
      </c>
      <c r="B28" s="23" t="inlineStr">
        <is>
          <t>Science</t>
        </is>
      </c>
      <c r="C28" s="23" t="inlineStr">
        <is>
          <t>AP Biology</t>
        </is>
      </c>
      <c r="D28" s="25" t="inlineStr">
        <is>
          <t>AP</t>
        </is>
      </c>
      <c r="E28" s="41" t="n">
        <v>1</v>
      </c>
      <c r="F28" s="25" t="inlineStr">
        <is>
          <t>A-</t>
        </is>
      </c>
      <c r="G28" s="41">
        <f>IFERROR(VLOOKUP(F28,GradeScale,2,FALSE),"")</f>
        <v/>
      </c>
      <c r="H28" s="41">
        <f>IFERROR(G28*E28,"")</f>
        <v/>
      </c>
      <c r="I28" s="41">
        <f>IFERROR((G28+IFERROR(VLOOKUP(D28,LevelScale,2,FALSE),0))*E28,"")</f>
        <v/>
      </c>
    </row>
    <row r="29">
      <c r="A29" s="36" t="n">
        <v>12</v>
      </c>
      <c r="B29" s="37" t="inlineStr">
        <is>
          <t>English</t>
        </is>
      </c>
      <c r="C29" s="37" t="inlineStr">
        <is>
          <t>AP Literature</t>
        </is>
      </c>
      <c r="D29" s="38" t="inlineStr">
        <is>
          <t>AP</t>
        </is>
      </c>
      <c r="E29" s="39" t="n">
        <v>1</v>
      </c>
      <c r="F29" s="38" t="inlineStr">
        <is>
          <t>A</t>
        </is>
      </c>
      <c r="G29" s="39">
        <f>IFERROR(VLOOKUP(F29,GradeScale,2,FALSE),"")</f>
        <v/>
      </c>
      <c r="H29" s="39">
        <f>IFERROR(G29*E29,"")</f>
        <v/>
      </c>
      <c r="I29" s="39">
        <f>IFERROR((G29+IFERROR(VLOOKUP(D29,LevelScale,2,FALSE),0))*E29,"")</f>
        <v/>
      </c>
    </row>
    <row r="30">
      <c r="A30" s="40" t="n">
        <v>12</v>
      </c>
      <c r="B30" s="23" t="inlineStr">
        <is>
          <t>World Language</t>
        </is>
      </c>
      <c r="C30" s="23" t="inlineStr">
        <is>
          <t>Spanish IV</t>
        </is>
      </c>
      <c r="D30" s="25" t="inlineStr">
        <is>
          <t>Regular</t>
        </is>
      </c>
      <c r="E30" s="41" t="n">
        <v>1</v>
      </c>
      <c r="F30" s="25" t="inlineStr">
        <is>
          <t>A</t>
        </is>
      </c>
      <c r="G30" s="41">
        <f>IFERROR(VLOOKUP(F30,GradeScale,2,FALSE),"")</f>
        <v/>
      </c>
      <c r="H30" s="41">
        <f>IFERROR(G30*E30,"")</f>
        <v/>
      </c>
      <c r="I30" s="41">
        <f>IFERROR((G30+IFERROR(VLOOKUP(D30,LevelScale,2,FALSE),0))*E30,"")</f>
        <v/>
      </c>
    </row>
    <row r="31">
      <c r="A31" s="36" t="n">
        <v>12</v>
      </c>
      <c r="B31" s="37" t="inlineStr">
        <is>
          <t>Elective</t>
        </is>
      </c>
      <c r="C31" s="37" t="inlineStr">
        <is>
          <t>Capstone Project</t>
        </is>
      </c>
      <c r="D31" s="38" t="inlineStr">
        <is>
          <t>Regular</t>
        </is>
      </c>
      <c r="E31" s="39" t="n">
        <v>1</v>
      </c>
      <c r="F31" s="38" t="inlineStr">
        <is>
          <t>A</t>
        </is>
      </c>
      <c r="G31" s="39">
        <f>IFERROR(VLOOKUP(F31,GradeScale,2,FALSE),"")</f>
        <v/>
      </c>
      <c r="H31" s="39">
        <f>IFERROR(G31*E31,"")</f>
        <v/>
      </c>
      <c r="I31" s="39">
        <f>IFERROR((G31+IFERROR(VLOOKUP(D31,LevelScale,2,FALSE),0))*E31,"")</f>
        <v/>
      </c>
    </row>
    <row r="32">
      <c r="A32" s="40" t="n"/>
      <c r="B32" s="23" t="n"/>
      <c r="C32" s="23" t="n"/>
      <c r="D32" s="25" t="n"/>
      <c r="E32" s="41" t="n"/>
      <c r="F32" s="25" t="n"/>
      <c r="G32" s="41" t="n"/>
      <c r="H32" s="41" t="n"/>
      <c r="I32" s="41" t="n"/>
    </row>
    <row r="33">
      <c r="A33" s="36" t="n"/>
      <c r="B33" s="37" t="n"/>
      <c r="C33" s="37" t="n"/>
      <c r="D33" s="38" t="n"/>
      <c r="E33" s="39" t="n"/>
      <c r="F33" s="38" t="n"/>
      <c r="G33" s="39" t="n"/>
      <c r="H33" s="39" t="n"/>
      <c r="I33" s="39" t="n"/>
    </row>
    <row r="34">
      <c r="A34" s="40" t="n"/>
      <c r="B34" s="23" t="n"/>
      <c r="C34" s="23" t="n"/>
      <c r="D34" s="25" t="n"/>
      <c r="E34" s="41" t="n"/>
      <c r="F34" s="25" t="n"/>
      <c r="G34" s="41" t="n"/>
      <c r="H34" s="41" t="n"/>
      <c r="I34" s="41" t="n"/>
    </row>
    <row r="35">
      <c r="A35" s="36" t="n"/>
      <c r="B35" s="37" t="n"/>
      <c r="C35" s="37" t="n"/>
      <c r="D35" s="38" t="n"/>
      <c r="E35" s="39" t="n"/>
      <c r="F35" s="38" t="n"/>
      <c r="G35" s="39" t="n"/>
      <c r="H35" s="39" t="n"/>
      <c r="I35" s="39" t="n"/>
    </row>
    <row r="36">
      <c r="A36" s="40" t="n"/>
      <c r="B36" s="23" t="n"/>
      <c r="C36" s="23" t="n"/>
      <c r="D36" s="25" t="n"/>
      <c r="E36" s="41" t="n"/>
      <c r="F36" s="25" t="n"/>
      <c r="G36" s="41" t="n"/>
      <c r="H36" s="41" t="n"/>
      <c r="I36" s="41" t="n"/>
    </row>
    <row r="37">
      <c r="A37" s="36" t="n"/>
      <c r="B37" s="37" t="n"/>
      <c r="C37" s="37" t="n"/>
      <c r="D37" s="38" t="n"/>
      <c r="E37" s="39" t="n"/>
      <c r="F37" s="38" t="n"/>
      <c r="G37" s="39" t="n"/>
      <c r="H37" s="39" t="n"/>
      <c r="I37" s="39" t="n"/>
    </row>
    <row r="38">
      <c r="A38" s="40" t="n"/>
      <c r="B38" s="23" t="n"/>
      <c r="C38" s="23" t="n"/>
      <c r="D38" s="25" t="n"/>
      <c r="E38" s="41" t="n"/>
      <c r="F38" s="25" t="n"/>
      <c r="G38" s="41" t="n"/>
      <c r="H38" s="41" t="n"/>
      <c r="I38" s="41" t="n"/>
    </row>
    <row r="39">
      <c r="A39" s="36" t="n"/>
      <c r="B39" s="37" t="n"/>
      <c r="C39" s="37" t="n"/>
      <c r="D39" s="38" t="n"/>
      <c r="E39" s="39" t="n"/>
      <c r="F39" s="38" t="n"/>
      <c r="G39" s="39" t="n"/>
      <c r="H39" s="39" t="n"/>
      <c r="I39" s="39" t="n"/>
    </row>
    <row r="40">
      <c r="A40" s="40" t="n"/>
      <c r="B40" s="23" t="n"/>
      <c r="C40" s="23" t="n"/>
      <c r="D40" s="25" t="n"/>
      <c r="E40" s="41" t="n"/>
      <c r="F40" s="25" t="n"/>
      <c r="G40" s="41" t="n"/>
      <c r="H40" s="41" t="n"/>
      <c r="I40" s="41" t="n"/>
    </row>
    <row r="41">
      <c r="A41" s="36" t="n"/>
      <c r="B41" s="37" t="n"/>
      <c r="C41" s="37" t="n"/>
      <c r="D41" s="38" t="n"/>
      <c r="E41" s="39" t="n"/>
      <c r="F41" s="38" t="n"/>
      <c r="G41" s="39" t="n"/>
      <c r="H41" s="39" t="n"/>
      <c r="I41" s="39" t="n"/>
    </row>
    <row r="42">
      <c r="A42" s="40" t="n"/>
      <c r="B42" s="23" t="n"/>
      <c r="C42" s="23" t="n"/>
      <c r="D42" s="25" t="n"/>
      <c r="E42" s="41" t="n"/>
      <c r="F42" s="25" t="n"/>
      <c r="G42" s="41" t="n"/>
      <c r="H42" s="41" t="n"/>
      <c r="I42" s="41" t="n"/>
    </row>
    <row r="43">
      <c r="A43" s="36" t="n"/>
      <c r="B43" s="37" t="n"/>
      <c r="C43" s="37" t="n"/>
      <c r="D43" s="38" t="n"/>
      <c r="E43" s="39" t="n"/>
      <c r="F43" s="38" t="n"/>
      <c r="G43" s="39" t="n"/>
      <c r="H43" s="39" t="n"/>
      <c r="I43" s="39" t="n"/>
    </row>
    <row r="44">
      <c r="A44" s="40" t="n"/>
      <c r="B44" s="23" t="n"/>
      <c r="C44" s="23" t="n"/>
      <c r="D44" s="25" t="n"/>
      <c r="E44" s="41" t="n"/>
      <c r="F44" s="25" t="n"/>
      <c r="G44" s="41" t="n"/>
      <c r="H44" s="41" t="n"/>
      <c r="I44" s="41" t="n"/>
    </row>
    <row r="45">
      <c r="A45" s="36" t="n"/>
      <c r="B45" s="37" t="n"/>
      <c r="C45" s="37" t="n"/>
      <c r="D45" s="38" t="n"/>
      <c r="E45" s="39" t="n"/>
      <c r="F45" s="38" t="n"/>
      <c r="G45" s="39" t="n"/>
      <c r="H45" s="39" t="n"/>
      <c r="I45" s="39" t="n"/>
    </row>
    <row r="46">
      <c r="A46" s="40" t="n"/>
      <c r="B46" s="23" t="n"/>
      <c r="C46" s="23" t="n"/>
      <c r="D46" s="25" t="n"/>
      <c r="E46" s="41" t="n"/>
      <c r="F46" s="25" t="n"/>
      <c r="G46" s="41" t="n"/>
      <c r="H46" s="41" t="n"/>
      <c r="I46" s="41" t="n"/>
    </row>
    <row r="47">
      <c r="A47" s="36" t="n"/>
      <c r="B47" s="37" t="n"/>
      <c r="C47" s="37" t="n"/>
      <c r="D47" s="38" t="n"/>
      <c r="E47" s="39" t="n"/>
      <c r="F47" s="38" t="n"/>
      <c r="G47" s="39" t="n"/>
      <c r="H47" s="39" t="n"/>
      <c r="I47" s="39" t="n"/>
    </row>
    <row r="48">
      <c r="A48" s="40" t="n"/>
      <c r="B48" s="23" t="n"/>
      <c r="C48" s="23" t="n"/>
      <c r="D48" s="25" t="n"/>
      <c r="E48" s="41" t="n"/>
      <c r="F48" s="25" t="n"/>
      <c r="G48" s="41" t="n"/>
      <c r="H48" s="41" t="n"/>
      <c r="I48" s="41" t="n"/>
    </row>
    <row r="49">
      <c r="A49" s="36" t="n"/>
      <c r="B49" s="37" t="n"/>
      <c r="C49" s="37" t="n"/>
      <c r="D49" s="38" t="n"/>
      <c r="E49" s="39" t="n"/>
      <c r="F49" s="38" t="n"/>
      <c r="G49" s="39" t="n"/>
      <c r="H49" s="39" t="n"/>
      <c r="I49" s="39" t="n"/>
    </row>
    <row r="50">
      <c r="A50" s="42" t="n"/>
      <c r="B50" s="42" t="n"/>
      <c r="C50" s="42" t="n"/>
      <c r="D50" s="9" t="inlineStr">
        <is>
          <t>TOTAL</t>
        </is>
      </c>
      <c r="E50" s="43">
        <f>SUM(CrsCredits)</f>
        <v/>
      </c>
      <c r="F50" s="42" t="n"/>
      <c r="G50" s="42" t="n"/>
      <c r="H50" s="43">
        <f>SUM(CrsQual)</f>
        <v/>
      </c>
      <c r="I50" s="43">
        <f>SUM(CrsWtd)</f>
        <v/>
      </c>
    </row>
  </sheetData>
  <mergeCells count="2">
    <mergeCell ref="A1:I1"/>
    <mergeCell ref="A2:I2"/>
  </mergeCells>
  <conditionalFormatting sqref="E5:E49">
    <cfRule type="dataBar" priority="1">
      <dataBar showValue="1">
        <cfvo type="num" val="0"/>
        <cfvo type="num" val="1"/>
        <color rgb="001B4F48"/>
      </dataBar>
    </cfRule>
  </conditionalFormatting>
  <dataValidations count="2">
    <dataValidation sqref="B5:B49" showDropDown="0" showInputMessage="0" showErrorMessage="0" allowBlank="1" type="list">
      <formula1>=AreaList</formula1>
    </dataValidation>
    <dataValidation sqref="D5:D49" showDropDown="0" showInputMessage="0" showErrorMessage="0" allowBlank="1" type="list">
      <formula1>=LevelList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4" customWidth="1" min="4" max="4"/>
    <col width="14" customWidth="1" min="5" max="5"/>
    <col width="3" customWidth="1" min="6" max="6"/>
    <col width="2" customWidth="1" min="7" max="7"/>
  </cols>
  <sheetData>
    <row r="1" ht="46" customHeight="1">
      <c r="A1" s="1" t="inlineStr">
        <is>
          <t xml:space="preserve">  🧮  GPA CALCULATOR</t>
        </is>
      </c>
    </row>
    <row r="2" ht="22" customHeight="1">
      <c r="A2" s="2" t="inlineStr">
        <is>
          <t xml:space="preserve">  Weighted &amp; unweighted, by year and cumulative — calculated from Course Records.</t>
        </is>
      </c>
    </row>
    <row r="3" ht="6" customHeight="1">
      <c r="A3" s="3" t="n"/>
      <c r="B3" s="3" t="n"/>
      <c r="C3" s="3" t="n"/>
      <c r="D3" s="3" t="n"/>
      <c r="E3" s="3" t="n"/>
    </row>
    <row r="5" ht="22" customHeight="1">
      <c r="B5" s="4" t="inlineStr">
        <is>
          <t>GPA BY YEAR</t>
        </is>
      </c>
    </row>
    <row r="6" ht="30" customHeight="1">
      <c r="B6" s="9" t="inlineStr">
        <is>
          <t>Year</t>
        </is>
      </c>
      <c r="C6" s="9" t="inlineStr">
        <is>
          <t>Credits</t>
        </is>
      </c>
      <c r="D6" s="9" t="inlineStr">
        <is>
          <t>Unweighted</t>
        </is>
      </c>
      <c r="E6" s="9" t="inlineStr">
        <is>
          <t>Weighted</t>
        </is>
      </c>
    </row>
    <row r="7">
      <c r="B7" s="20" t="inlineStr">
        <is>
          <t>Grade 9</t>
        </is>
      </c>
      <c r="C7" s="30">
        <f>SUMIF(CrsYear,9,CrsCredits)</f>
        <v/>
      </c>
      <c r="D7" s="44">
        <f>IFERROR(SUMIF(CrsYear,9,CrsQual)/SUMIF(CrsYear,9,CrsCredits),0)</f>
        <v/>
      </c>
      <c r="E7" s="44">
        <f>IFERROR(SUMIF(CrsYear,9,CrsWtd)/SUMIF(CrsYear,9,CrsCredits),0)</f>
        <v/>
      </c>
    </row>
    <row r="8">
      <c r="B8" s="23" t="inlineStr">
        <is>
          <t>Grade 10</t>
        </is>
      </c>
      <c r="C8" s="41">
        <f>SUMIF(CrsYear,10,CrsCredits)</f>
        <v/>
      </c>
      <c r="D8" s="45">
        <f>IFERROR(SUMIF(CrsYear,10,CrsQual)/SUMIF(CrsYear,10,CrsCredits),0)</f>
        <v/>
      </c>
      <c r="E8" s="45">
        <f>IFERROR(SUMIF(CrsYear,10,CrsWtd)/SUMIF(CrsYear,10,CrsCredits),0)</f>
        <v/>
      </c>
    </row>
    <row r="9">
      <c r="B9" s="20" t="inlineStr">
        <is>
          <t>Grade 11</t>
        </is>
      </c>
      <c r="C9" s="30">
        <f>SUMIF(CrsYear,11,CrsCredits)</f>
        <v/>
      </c>
      <c r="D9" s="44">
        <f>IFERROR(SUMIF(CrsYear,11,CrsQual)/SUMIF(CrsYear,11,CrsCredits),0)</f>
        <v/>
      </c>
      <c r="E9" s="44">
        <f>IFERROR(SUMIF(CrsYear,11,CrsWtd)/SUMIF(CrsYear,11,CrsCredits),0)</f>
        <v/>
      </c>
    </row>
    <row r="10">
      <c r="B10" s="23" t="inlineStr">
        <is>
          <t>Grade 12</t>
        </is>
      </c>
      <c r="C10" s="41">
        <f>SUMIF(CrsYear,12,CrsCredits)</f>
        <v/>
      </c>
      <c r="D10" s="45">
        <f>IFERROR(SUMIF(CrsYear,12,CrsQual)/SUMIF(CrsYear,12,CrsCredits),0)</f>
        <v/>
      </c>
      <c r="E10" s="45">
        <f>IFERROR(SUMIF(CrsYear,12,CrsWtd)/SUMIF(CrsYear,12,CrsCredits),0)</f>
        <v/>
      </c>
    </row>
    <row r="12" ht="22" customHeight="1">
      <c r="B12" s="4" t="inlineStr">
        <is>
          <t>CUMULATIVE</t>
        </is>
      </c>
    </row>
    <row r="13">
      <c r="B13" s="26" t="inlineStr">
        <is>
          <t>Total credits</t>
        </is>
      </c>
      <c r="C13" s="34">
        <f>CreditsEarned</f>
        <v/>
      </c>
    </row>
    <row r="14">
      <c r="B14" s="26" t="inlineStr">
        <is>
          <t>Unweighted GPA</t>
        </is>
      </c>
      <c r="C14" s="33">
        <f>IFERROR(QualTotal/CreditsEarned,0)</f>
        <v/>
      </c>
    </row>
    <row r="15">
      <c r="B15" s="26" t="inlineStr">
        <is>
          <t>Weighted GPA</t>
        </is>
      </c>
      <c r="C15" s="33">
        <f>IFERROR(WtdTotal/CreditsEarned,0)</f>
        <v/>
      </c>
    </row>
    <row r="16">
      <c r="B16" s="26" t="inlineStr">
        <is>
          <t>Honors + AP courses</t>
        </is>
      </c>
      <c r="C16" s="35">
        <f>COUNTIF(CrsLevel,"Honors")+COUNTIF(CrsLevel,"AP")+COUNTIF(CrsLevel,"Dual Credit")</f>
        <v/>
      </c>
    </row>
    <row r="17">
      <c r="B17" s="26" t="inlineStr">
        <is>
          <t>Total courses</t>
        </is>
      </c>
      <c r="C17" s="35">
        <f>COUNTA(CrsArea)</f>
        <v/>
      </c>
    </row>
  </sheetData>
  <mergeCells count="4">
    <mergeCell ref="A2:E2"/>
    <mergeCell ref="A1:E1"/>
    <mergeCell ref="B5:E5"/>
    <mergeCell ref="B12:C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4" customWidth="1" min="4" max="4"/>
    <col width="14" customWidth="1" min="5" max="5"/>
    <col width="3" customWidth="1" min="6" max="6"/>
    <col width="2" customWidth="1" min="7" max="7"/>
  </cols>
  <sheetData>
    <row r="1" ht="46" customHeight="1">
      <c r="A1" s="1" t="inlineStr">
        <is>
          <t xml:space="preserve">  🎓  CREDIT TRACKER</t>
        </is>
      </c>
    </row>
    <row r="2" ht="22" customHeight="1">
      <c r="A2" s="2" t="inlineStr">
        <is>
          <t xml:space="preserve">  Credits earned vs graduation requirements, by subject area — see what's left.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Subject Area</t>
        </is>
      </c>
      <c r="C4" s="9" t="inlineStr">
        <is>
          <t>Required</t>
        </is>
      </c>
      <c r="D4" s="9" t="inlineStr">
        <is>
          <t>Earned</t>
        </is>
      </c>
      <c r="E4" s="9" t="inlineStr">
        <is>
          <t>Remaining</t>
        </is>
      </c>
    </row>
    <row r="5">
      <c r="B5" s="20" t="inlineStr">
        <is>
          <t>English</t>
        </is>
      </c>
      <c r="C5" s="46" t="n">
        <v>4</v>
      </c>
      <c r="D5" s="30">
        <f>SUMIF(CrsArea,B5,CrsCredits)</f>
        <v/>
      </c>
      <c r="E5" s="30">
        <f>MAX(C5-D5,0)</f>
        <v/>
      </c>
    </row>
    <row r="6">
      <c r="B6" s="23" t="inlineStr">
        <is>
          <t>Math</t>
        </is>
      </c>
      <c r="C6" s="47" t="n">
        <v>3</v>
      </c>
      <c r="D6" s="41">
        <f>SUMIF(CrsArea,B6,CrsCredits)</f>
        <v/>
      </c>
      <c r="E6" s="41">
        <f>MAX(C6-D6,0)</f>
        <v/>
      </c>
    </row>
    <row r="7">
      <c r="B7" s="20" t="inlineStr">
        <is>
          <t>Science</t>
        </is>
      </c>
      <c r="C7" s="46" t="n">
        <v>3</v>
      </c>
      <c r="D7" s="30">
        <f>SUMIF(CrsArea,B7,CrsCredits)</f>
        <v/>
      </c>
      <c r="E7" s="30">
        <f>MAX(C7-D7,0)</f>
        <v/>
      </c>
    </row>
    <row r="8">
      <c r="B8" s="23" t="inlineStr">
        <is>
          <t>Social Studies</t>
        </is>
      </c>
      <c r="C8" s="47" t="n">
        <v>3</v>
      </c>
      <c r="D8" s="41">
        <f>SUMIF(CrsArea,B8,CrsCredits)</f>
        <v/>
      </c>
      <c r="E8" s="41">
        <f>MAX(C8-D8,0)</f>
        <v/>
      </c>
    </row>
    <row r="9">
      <c r="B9" s="20" t="inlineStr">
        <is>
          <t>World Language</t>
        </is>
      </c>
      <c r="C9" s="46" t="n">
        <v>2</v>
      </c>
      <c r="D9" s="30">
        <f>SUMIF(CrsArea,B9,CrsCredits)</f>
        <v/>
      </c>
      <c r="E9" s="30">
        <f>MAX(C9-D9,0)</f>
        <v/>
      </c>
    </row>
    <row r="10">
      <c r="B10" s="23" t="inlineStr">
        <is>
          <t>Fine Arts</t>
        </is>
      </c>
      <c r="C10" s="47" t="n">
        <v>1</v>
      </c>
      <c r="D10" s="41">
        <f>SUMIF(CrsArea,B10,CrsCredits)</f>
        <v/>
      </c>
      <c r="E10" s="41">
        <f>MAX(C10-D10,0)</f>
        <v/>
      </c>
    </row>
    <row r="11">
      <c r="B11" s="20" t="inlineStr">
        <is>
          <t>PE/Health</t>
        </is>
      </c>
      <c r="C11" s="46" t="n">
        <v>1</v>
      </c>
      <c r="D11" s="30">
        <f>SUMIF(CrsArea,B11,CrsCredits)</f>
        <v/>
      </c>
      <c r="E11" s="30">
        <f>MAX(C11-D11,0)</f>
        <v/>
      </c>
    </row>
    <row r="12">
      <c r="B12" s="23" t="inlineStr">
        <is>
          <t>Elective</t>
        </is>
      </c>
      <c r="C12" s="47" t="n">
        <v>4</v>
      </c>
      <c r="D12" s="41">
        <f>SUMIF(CrsArea,B12,CrsCredits)</f>
        <v/>
      </c>
      <c r="E12" s="41">
        <f>MAX(C12-D12,0)</f>
        <v/>
      </c>
    </row>
    <row r="13">
      <c r="B13" s="20" t="inlineStr">
        <is>
          <t>Bible / Character</t>
        </is>
      </c>
      <c r="C13" s="46" t="n">
        <v>0</v>
      </c>
      <c r="D13" s="30">
        <f>SUMIF(CrsArea,B13,CrsCredits)</f>
        <v/>
      </c>
      <c r="E13" s="30">
        <f>MAX(C13-D13,0)</f>
        <v/>
      </c>
    </row>
    <row r="14">
      <c r="B14" s="9" t="inlineStr">
        <is>
          <t>TOTAL</t>
        </is>
      </c>
      <c r="C14" s="43">
        <f>SUM(C5:C13)</f>
        <v/>
      </c>
      <c r="D14" s="43">
        <f>SUM(D5:D13)</f>
        <v/>
      </c>
      <c r="E14" s="43">
        <f>SUM(E5:E13)</f>
        <v/>
      </c>
    </row>
    <row r="15">
      <c r="B15" s="4" t="inlineStr">
        <is>
          <t>TO GRADUATE</t>
        </is>
      </c>
    </row>
    <row r="16">
      <c r="B16" s="26" t="inlineStr">
        <is>
          <t>Credits required</t>
        </is>
      </c>
      <c r="C16" s="34">
        <f>CreditsReq</f>
        <v/>
      </c>
    </row>
    <row r="17">
      <c r="B17" s="26" t="inlineStr">
        <is>
          <t>Credits earned</t>
        </is>
      </c>
      <c r="C17" s="34">
        <f>CreditsEarned</f>
        <v/>
      </c>
    </row>
    <row r="18">
      <c r="B18" s="26" t="inlineStr">
        <is>
          <t>Credits remaining</t>
        </is>
      </c>
      <c r="C18" s="34">
        <f>MAX(CreditsReq-CreditsEarned,0)</f>
        <v/>
      </c>
    </row>
    <row r="19">
      <c r="B19" s="26" t="inlineStr">
        <is>
          <t>Graduation progress</t>
        </is>
      </c>
      <c r="C19" s="48">
        <f>IFERROR(MIN(CreditsEarned/CreditsReq,1),0)</f>
        <v/>
      </c>
    </row>
  </sheetData>
  <mergeCells count="3">
    <mergeCell ref="A2:E2"/>
    <mergeCell ref="B15:E15"/>
    <mergeCell ref="A1:E1"/>
  </mergeCells>
  <conditionalFormatting sqref="E5:E13">
    <cfRule type="cellIs" priority="1" operator="greaterThan" dxfId="0">
      <formula>0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" customWidth="1" min="7" max="7"/>
  </cols>
  <sheetData>
    <row r="1" ht="46" customHeight="1">
      <c r="A1" s="1" t="inlineStr">
        <is>
          <t xml:space="preserve">  🗺  4-YEAR PLAN</t>
        </is>
      </c>
    </row>
    <row r="2" ht="22" customHeight="1">
      <c r="A2" s="2" t="inlineStr">
        <is>
          <t xml:space="preserve">  Map all four years at once — spot gaps in credits &amp; requirements early.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Subject</t>
        </is>
      </c>
      <c r="C4" s="9" t="inlineStr">
        <is>
          <t>Grade 9</t>
        </is>
      </c>
      <c r="D4" s="9" t="inlineStr">
        <is>
          <t>Grade 10</t>
        </is>
      </c>
      <c r="E4" s="9" t="inlineStr">
        <is>
          <t>Grade 11</t>
        </is>
      </c>
      <c r="F4" s="9" t="inlineStr">
        <is>
          <t>Grade 12</t>
        </is>
      </c>
    </row>
    <row r="5">
      <c r="B5" s="20" t="inlineStr">
        <is>
          <t>English</t>
        </is>
      </c>
      <c r="C5" s="49" t="inlineStr">
        <is>
          <t>English 9</t>
        </is>
      </c>
      <c r="D5" s="49" t="inlineStr">
        <is>
          <t>English 10</t>
        </is>
      </c>
      <c r="E5" s="49" t="inlineStr">
        <is>
          <t>English 11 (H)</t>
        </is>
      </c>
      <c r="F5" s="49" t="inlineStr">
        <is>
          <t>English 12 (H) + AP Lit</t>
        </is>
      </c>
    </row>
    <row r="6">
      <c r="B6" s="23" t="inlineStr">
        <is>
          <t>Math</t>
        </is>
      </c>
      <c r="C6" s="50" t="inlineStr">
        <is>
          <t>Algebra I</t>
        </is>
      </c>
      <c r="D6" s="50" t="inlineStr">
        <is>
          <t>Geometry</t>
        </is>
      </c>
      <c r="E6" s="50" t="inlineStr">
        <is>
          <t>Algebra II</t>
        </is>
      </c>
      <c r="F6" s="50" t="inlineStr">
        <is>
          <t>Pre-Calculus (H)</t>
        </is>
      </c>
    </row>
    <row r="7">
      <c r="B7" s="20" t="inlineStr">
        <is>
          <t>Science</t>
        </is>
      </c>
      <c r="C7" s="49" t="inlineStr">
        <is>
          <t>Biology</t>
        </is>
      </c>
      <c r="D7" s="49" t="inlineStr">
        <is>
          <t>Chemistry (H)</t>
        </is>
      </c>
      <c r="E7" s="49" t="inlineStr">
        <is>
          <t>Physics (H)</t>
        </is>
      </c>
      <c r="F7" s="49" t="inlineStr">
        <is>
          <t>AP Biology</t>
        </is>
      </c>
    </row>
    <row r="8">
      <c r="B8" s="23" t="inlineStr">
        <is>
          <t>Social Studies</t>
        </is>
      </c>
      <c r="C8" s="50" t="inlineStr">
        <is>
          <t>World History</t>
        </is>
      </c>
      <c r="D8" s="50" t="inlineStr">
        <is>
          <t>US History (H)</t>
        </is>
      </c>
      <c r="E8" s="50" t="inlineStr">
        <is>
          <t>AP US Gov</t>
        </is>
      </c>
      <c r="F8" s="50" t="inlineStr">
        <is>
          <t>Economics</t>
        </is>
      </c>
    </row>
    <row r="9">
      <c r="B9" s="20" t="inlineStr">
        <is>
          <t>World Language</t>
        </is>
      </c>
      <c r="C9" s="49" t="inlineStr">
        <is>
          <t>Spanish I</t>
        </is>
      </c>
      <c r="D9" s="49" t="inlineStr">
        <is>
          <t>Spanish II</t>
        </is>
      </c>
      <c r="E9" s="49" t="inlineStr">
        <is>
          <t>Spanish III</t>
        </is>
      </c>
      <c r="F9" s="49" t="inlineStr">
        <is>
          <t>Spanish IV</t>
        </is>
      </c>
    </row>
    <row r="10">
      <c r="B10" s="23" t="inlineStr">
        <is>
          <t>Electives / Arts</t>
        </is>
      </c>
      <c r="C10" s="50" t="inlineStr">
        <is>
          <t>Art I · PE</t>
        </is>
      </c>
      <c r="D10" s="50" t="inlineStr">
        <is>
          <t>Music · Speech</t>
        </is>
      </c>
      <c r="E10" s="50" t="inlineStr">
        <is>
          <t>Econ · Logic</t>
        </is>
      </c>
      <c r="F10" s="50" t="inlineStr">
        <is>
          <t>Capstone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26" customWidth="1" min="4" max="4"/>
  </cols>
  <sheetData>
    <row r="1" ht="46" customHeight="1">
      <c r="A1" s="1" t="inlineStr">
        <is>
          <t xml:space="preserve">  📊  TEST SCORES</t>
        </is>
      </c>
    </row>
    <row r="2" ht="22" customHeight="1">
      <c r="A2" s="2" t="inlineStr">
        <is>
          <t xml:space="preserve">  SAT, ACT, PSAT, AP &amp; more — the scores colleges ask for, in one place.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Test</t>
        </is>
      </c>
      <c r="B4" s="9" t="inlineStr">
        <is>
          <t>Date</t>
        </is>
      </c>
      <c r="C4" s="9" t="inlineStr">
        <is>
          <t>Score</t>
        </is>
      </c>
      <c r="D4" s="9" t="inlineStr">
        <is>
          <t>Detail</t>
        </is>
      </c>
    </row>
    <row r="5">
      <c r="A5" s="38" t="inlineStr">
        <is>
          <t>SAT</t>
        </is>
      </c>
      <c r="B5" s="38" t="inlineStr">
        <is>
          <t>Mar 2026</t>
        </is>
      </c>
      <c r="C5" s="38" t="inlineStr">
        <is>
          <t>1380</t>
        </is>
      </c>
      <c r="D5" s="37" t="inlineStr">
        <is>
          <t>EBRW 690 · Math 690</t>
        </is>
      </c>
    </row>
    <row r="6">
      <c r="A6" s="25" t="inlineStr">
        <is>
          <t>ACT</t>
        </is>
      </c>
      <c r="B6" s="25" t="inlineStr">
        <is>
          <t>Apr 2026</t>
        </is>
      </c>
      <c r="C6" s="25" t="inlineStr">
        <is>
          <t>30</t>
        </is>
      </c>
      <c r="D6" s="23" t="inlineStr">
        <is>
          <t>Composite</t>
        </is>
      </c>
    </row>
    <row r="7">
      <c r="A7" s="38" t="inlineStr">
        <is>
          <t>PSAT/NMSQT</t>
        </is>
      </c>
      <c r="B7" s="38" t="inlineStr">
        <is>
          <t>Oct 2025</t>
        </is>
      </c>
      <c r="C7" s="38" t="inlineStr">
        <is>
          <t>1360</t>
        </is>
      </c>
      <c r="D7" s="37" t="inlineStr">
        <is>
          <t>Commended</t>
        </is>
      </c>
    </row>
    <row r="8">
      <c r="A8" s="25" t="inlineStr">
        <is>
          <t>AP US Government</t>
        </is>
      </c>
      <c r="B8" s="25" t="inlineStr">
        <is>
          <t>May 2026</t>
        </is>
      </c>
      <c r="C8" s="25" t="inlineStr">
        <is>
          <t>4</t>
        </is>
      </c>
      <c r="D8" s="23" t="inlineStr">
        <is>
          <t>Qualified</t>
        </is>
      </c>
    </row>
    <row r="9">
      <c r="A9" s="38" t="inlineStr">
        <is>
          <t>AP Biology</t>
        </is>
      </c>
      <c r="B9" s="38" t="inlineStr">
        <is>
          <t>May 2027</t>
        </is>
      </c>
      <c r="C9" s="38" t="inlineStr">
        <is>
          <t>—</t>
        </is>
      </c>
      <c r="D9" s="37" t="inlineStr">
        <is>
          <t>Scheduled</t>
        </is>
      </c>
    </row>
    <row r="10">
      <c r="A10" s="25" t="n"/>
      <c r="B10" s="25" t="n"/>
      <c r="C10" s="25" t="n"/>
      <c r="D10" s="23" t="n"/>
    </row>
    <row r="11">
      <c r="A11" s="38" t="n"/>
      <c r="B11" s="38" t="n"/>
      <c r="C11" s="38" t="n"/>
      <c r="D11" s="37" t="n"/>
    </row>
    <row r="12">
      <c r="A12" s="25" t="n"/>
      <c r="B12" s="25" t="n"/>
      <c r="C12" s="25" t="n"/>
      <c r="D12" s="23" t="n"/>
    </row>
    <row r="13">
      <c r="A13" s="38" t="n"/>
      <c r="B13" s="38" t="n"/>
      <c r="C13" s="38" t="n"/>
      <c r="D13" s="37" t="n"/>
    </row>
    <row r="14">
      <c r="A14" s="25" t="n"/>
      <c r="B14" s="25" t="n"/>
      <c r="C14" s="25" t="n"/>
      <c r="D14" s="23" t="n"/>
    </row>
    <row r="15">
      <c r="A15" s="38" t="n"/>
      <c r="B15" s="38" t="n"/>
      <c r="C15" s="38" t="n"/>
      <c r="D15" s="37" t="n"/>
    </row>
    <row r="16">
      <c r="A16" s="25" t="n"/>
      <c r="B16" s="25" t="n"/>
      <c r="C16" s="25" t="n"/>
      <c r="D16" s="23" t="n"/>
    </row>
    <row r="17">
      <c r="A17" s="38" t="n"/>
      <c r="B17" s="38" t="n"/>
      <c r="C17" s="38" t="n"/>
      <c r="D17" s="37" t="n"/>
    </row>
    <row r="18">
      <c r="A18" s="25" t="n"/>
      <c r="B18" s="25" t="n"/>
      <c r="C18" s="25" t="n"/>
      <c r="D18" s="23" t="n"/>
    </row>
    <row r="19">
      <c r="A19" s="38" t="n"/>
      <c r="B19" s="38" t="n"/>
      <c r="C19" s="38" t="n"/>
      <c r="D19" s="37" t="n"/>
    </row>
    <row r="20">
      <c r="A20" s="25" t="n"/>
      <c r="B20" s="25" t="n"/>
      <c r="C20" s="25" t="n"/>
      <c r="D20" s="23" t="n"/>
    </row>
    <row r="21">
      <c r="A21" s="38" t="n"/>
      <c r="B21" s="38" t="n"/>
      <c r="C21" s="38" t="n"/>
      <c r="D21" s="37" t="n"/>
    </row>
    <row r="22">
      <c r="A22" s="25" t="n"/>
      <c r="B22" s="25" t="n"/>
      <c r="C22" s="25" t="n"/>
      <c r="D22" s="23" t="n"/>
    </row>
    <row r="23">
      <c r="A23" s="38" t="n"/>
      <c r="B23" s="38" t="n"/>
      <c r="C23" s="38" t="n"/>
      <c r="D23" s="37" t="n"/>
    </row>
    <row r="24">
      <c r="A24" s="25" t="n"/>
      <c r="B24" s="25" t="n"/>
      <c r="C24" s="25" t="n"/>
      <c r="D24" s="23" t="n"/>
    </row>
    <row r="25">
      <c r="A25" s="38" t="n"/>
      <c r="B25" s="38" t="n"/>
      <c r="C25" s="38" t="n"/>
      <c r="D25" s="37" t="n"/>
    </row>
    <row r="26">
      <c r="A26" s="25" t="n"/>
      <c r="B26" s="25" t="n"/>
      <c r="C26" s="25" t="n"/>
      <c r="D26" s="23" t="n"/>
    </row>
    <row r="27">
      <c r="A27" s="38" t="n"/>
      <c r="B27" s="38" t="n"/>
      <c r="C27" s="38" t="n"/>
      <c r="D27" s="37" t="n"/>
    </row>
    <row r="28">
      <c r="A28" s="25" t="n"/>
      <c r="B28" s="25" t="n"/>
      <c r="C28" s="25" t="n"/>
      <c r="D28" s="23" t="n"/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4" customWidth="1" min="3" max="3"/>
    <col width="12" customWidth="1" min="4" max="4"/>
  </cols>
  <sheetData>
    <row r="1" ht="46" customHeight="1">
      <c r="A1" s="1" t="inlineStr">
        <is>
          <t xml:space="preserve">  🏅  ACTIVITIES &amp; LEADERSHIP</t>
        </is>
      </c>
    </row>
    <row r="2" ht="22" customHeight="1">
      <c r="A2" s="2" t="inlineStr">
        <is>
          <t xml:space="preserve">  The extracurricular story colleges read — activity, role &amp; years involved.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Activity</t>
        </is>
      </c>
      <c r="B4" s="9" t="inlineStr">
        <is>
          <t>Grades</t>
        </is>
      </c>
      <c r="C4" s="9" t="inlineStr">
        <is>
          <t>Role / Detail</t>
        </is>
      </c>
      <c r="D4" s="9" t="inlineStr">
        <is>
          <t>Years</t>
        </is>
      </c>
    </row>
    <row r="5">
      <c r="A5" s="37" t="inlineStr">
        <is>
          <t>Homeschool Speech &amp; Debate League</t>
        </is>
      </c>
      <c r="B5" s="38" t="inlineStr">
        <is>
          <t>9–12</t>
        </is>
      </c>
      <c r="C5" s="37" t="inlineStr">
        <is>
          <t>Team captain (12)</t>
        </is>
      </c>
      <c r="D5" s="38" t="inlineStr">
        <is>
          <t>4 yrs</t>
        </is>
      </c>
    </row>
    <row r="6">
      <c r="A6" s="23" t="inlineStr">
        <is>
          <t>Church youth worship team</t>
        </is>
      </c>
      <c r="B6" s="25" t="inlineStr">
        <is>
          <t>9–12</t>
        </is>
      </c>
      <c r="C6" s="23" t="inlineStr">
        <is>
          <t>Keyboard</t>
        </is>
      </c>
      <c r="D6" s="25" t="inlineStr">
        <is>
          <t>4 yrs</t>
        </is>
      </c>
    </row>
    <row r="7">
      <c r="A7" s="37" t="inlineStr">
        <is>
          <t>Volunteer tutor — co-op</t>
        </is>
      </c>
      <c r="B7" s="38" t="inlineStr">
        <is>
          <t>10–12</t>
        </is>
      </c>
      <c r="C7" s="37" t="inlineStr">
        <is>
          <t>Math &amp; Spanish</t>
        </is>
      </c>
      <c r="D7" s="38" t="inlineStr">
        <is>
          <t>3 yrs</t>
        </is>
      </c>
    </row>
    <row r="8">
      <c r="A8" s="23" t="inlineStr">
        <is>
          <t>Robotics club (co-op)</t>
        </is>
      </c>
      <c r="B8" s="25" t="inlineStr">
        <is>
          <t>11–12</t>
        </is>
      </c>
      <c r="C8" s="23" t="inlineStr">
        <is>
          <t>Programming lead</t>
        </is>
      </c>
      <c r="D8" s="25" t="inlineStr">
        <is>
          <t>2 yrs</t>
        </is>
      </c>
    </row>
    <row r="9">
      <c r="A9" s="37" t="inlineStr">
        <is>
          <t>Part-time job — bakery</t>
        </is>
      </c>
      <c r="B9" s="38" t="inlineStr">
        <is>
          <t>11–12</t>
        </is>
      </c>
      <c r="C9" s="37" t="inlineStr">
        <is>
          <t>Shift lead</t>
        </is>
      </c>
      <c r="D9" s="38" t="inlineStr">
        <is>
          <t>2 yrs</t>
        </is>
      </c>
    </row>
    <row r="10">
      <c r="A10" s="23" t="inlineStr">
        <is>
          <t>Community theater</t>
        </is>
      </c>
      <c r="B10" s="25" t="inlineStr">
        <is>
          <t>9–11</t>
        </is>
      </c>
      <c r="C10" s="23" t="inlineStr">
        <is>
          <t>Cast &amp; crew</t>
        </is>
      </c>
      <c r="D10" s="25" t="inlineStr">
        <is>
          <t>3 yrs</t>
        </is>
      </c>
    </row>
    <row r="11">
      <c r="A11" s="37" t="inlineStr">
        <is>
          <t>Youth soccer (rec league)</t>
        </is>
      </c>
      <c r="B11" s="38" t="inlineStr">
        <is>
          <t>9–12</t>
        </is>
      </c>
      <c r="C11" s="37" t="inlineStr">
        <is>
          <t>Player</t>
        </is>
      </c>
      <c r="D11" s="38" t="inlineStr">
        <is>
          <t>4 yrs</t>
        </is>
      </c>
    </row>
    <row r="12">
      <c r="A12" s="23" t="n"/>
      <c r="B12" s="25" t="n"/>
      <c r="C12" s="23" t="n"/>
      <c r="D12" s="25" t="n"/>
    </row>
    <row r="13">
      <c r="A13" s="37" t="n"/>
      <c r="B13" s="38" t="n"/>
      <c r="C13" s="37" t="n"/>
      <c r="D13" s="38" t="n"/>
    </row>
    <row r="14">
      <c r="A14" s="23" t="n"/>
      <c r="B14" s="25" t="n"/>
      <c r="C14" s="23" t="n"/>
      <c r="D14" s="25" t="n"/>
    </row>
    <row r="15">
      <c r="A15" s="37" t="n"/>
      <c r="B15" s="38" t="n"/>
      <c r="C15" s="37" t="n"/>
      <c r="D15" s="38" t="n"/>
    </row>
    <row r="16">
      <c r="A16" s="23" t="n"/>
      <c r="B16" s="25" t="n"/>
      <c r="C16" s="23" t="n"/>
      <c r="D16" s="25" t="n"/>
    </row>
    <row r="17">
      <c r="A17" s="37" t="n"/>
      <c r="B17" s="38" t="n"/>
      <c r="C17" s="37" t="n"/>
      <c r="D17" s="38" t="n"/>
    </row>
    <row r="18">
      <c r="A18" s="23" t="n"/>
      <c r="B18" s="25" t="n"/>
      <c r="C18" s="23" t="n"/>
      <c r="D18" s="25" t="n"/>
    </row>
    <row r="19">
      <c r="A19" s="37" t="n"/>
      <c r="B19" s="38" t="n"/>
      <c r="C19" s="37" t="n"/>
      <c r="D19" s="38" t="n"/>
    </row>
    <row r="20">
      <c r="A20" s="23" t="n"/>
      <c r="B20" s="25" t="n"/>
      <c r="C20" s="23" t="n"/>
      <c r="D20" s="25" t="n"/>
    </row>
    <row r="21">
      <c r="A21" s="37" t="n"/>
      <c r="B21" s="38" t="n"/>
      <c r="C21" s="37" t="n"/>
      <c r="D21" s="38" t="n"/>
    </row>
    <row r="22">
      <c r="A22" s="23" t="n"/>
      <c r="B22" s="25" t="n"/>
      <c r="C22" s="23" t="n"/>
      <c r="D22" s="25" t="n"/>
    </row>
    <row r="23">
      <c r="A23" s="37" t="n"/>
      <c r="B23" s="38" t="n"/>
      <c r="C23" s="37" t="n"/>
      <c r="D23" s="38" t="n"/>
    </row>
    <row r="24">
      <c r="A24" s="23" t="n"/>
      <c r="B24" s="25" t="n"/>
      <c r="C24" s="23" t="n"/>
      <c r="D24" s="25" t="n"/>
    </row>
    <row r="25">
      <c r="A25" s="37" t="n"/>
      <c r="B25" s="38" t="n"/>
      <c r="C25" s="37" t="n"/>
      <c r="D25" s="38" t="n"/>
    </row>
    <row r="26">
      <c r="A26" s="23" t="n"/>
      <c r="B26" s="25" t="n"/>
      <c r="C26" s="23" t="n"/>
      <c r="D26" s="25" t="n"/>
    </row>
    <row r="27">
      <c r="A27" s="37" t="n"/>
      <c r="B27" s="38" t="n"/>
      <c r="C27" s="37" t="n"/>
      <c r="D27" s="38" t="n"/>
    </row>
    <row r="28">
      <c r="A28" s="23" t="n"/>
      <c r="B28" s="25" t="n"/>
      <c r="C28" s="23" t="n"/>
      <c r="D28" s="25" t="n"/>
    </row>
    <row r="29">
      <c r="A29" s="37" t="n"/>
      <c r="B29" s="38" t="n"/>
      <c r="C29" s="37" t="n"/>
      <c r="D29" s="38" t="n"/>
    </row>
    <row r="30">
      <c r="A30" s="23" t="n"/>
      <c r="B30" s="25" t="n"/>
      <c r="C30" s="23" t="n"/>
      <c r="D30" s="25" t="n"/>
    </row>
    <row r="31">
      <c r="A31" s="37" t="n"/>
      <c r="B31" s="38" t="n"/>
      <c r="C31" s="37" t="n"/>
      <c r="D31" s="38" t="n"/>
    </row>
    <row r="32">
      <c r="A32" s="23" t="n"/>
      <c r="B32" s="25" t="n"/>
      <c r="C32" s="23" t="n"/>
      <c r="D32" s="25" t="n"/>
    </row>
    <row r="33">
      <c r="A33" s="37" t="n"/>
      <c r="B33" s="38" t="n"/>
      <c r="C33" s="37" t="n"/>
      <c r="D33" s="38" t="n"/>
    </row>
    <row r="34">
      <c r="A34" s="23" t="n"/>
      <c r="B34" s="25" t="n"/>
      <c r="C34" s="23" t="n"/>
      <c r="D34" s="25" t="n"/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</cols>
  <sheetData>
    <row r="1" ht="46" customHeight="1">
      <c r="A1" s="1" t="inlineStr">
        <is>
          <t xml:space="preserve">  🏆  AWARDS &amp; HONORS</t>
        </is>
      </c>
    </row>
    <row r="2" ht="22" customHeight="1">
      <c r="A2" s="2" t="inlineStr">
        <is>
          <t xml:space="preserve">  Every recognition, dated — ready to drop into applications.</t>
        </is>
      </c>
    </row>
    <row r="3" ht="6" customHeight="1">
      <c r="A3" s="3" t="n"/>
      <c r="B3" s="3" t="n"/>
      <c r="C3" s="3" t="n"/>
    </row>
    <row r="4" ht="30" customHeight="1">
      <c r="A4" s="9" t="inlineStr">
        <is>
          <t>Award / Honor</t>
        </is>
      </c>
      <c r="B4" s="9" t="inlineStr">
        <is>
          <t>Grade</t>
        </is>
      </c>
      <c r="C4" s="9" t="inlineStr">
        <is>
          <t>From</t>
        </is>
      </c>
    </row>
    <row r="5">
      <c r="A5" s="37" t="inlineStr">
        <is>
          <t>PSAT Commended Scholar</t>
        </is>
      </c>
      <c r="B5" s="38" t="inlineStr">
        <is>
          <t>11</t>
        </is>
      </c>
      <c r="C5" s="37" t="inlineStr">
        <is>
          <t>College Board</t>
        </is>
      </c>
    </row>
    <row r="6">
      <c r="A6" s="23" t="inlineStr">
        <is>
          <t>1st place — regional speech</t>
        </is>
      </c>
      <c r="B6" s="25" t="inlineStr">
        <is>
          <t>11</t>
        </is>
      </c>
      <c r="C6" s="23" t="inlineStr">
        <is>
          <t>NCFCA</t>
        </is>
      </c>
    </row>
    <row r="7">
      <c r="A7" s="37" t="inlineStr">
        <is>
          <t>Presidential Volunteer Service Award</t>
        </is>
      </c>
      <c r="B7" s="38" t="inlineStr">
        <is>
          <t>12</t>
        </is>
      </c>
      <c r="C7" s="37" t="inlineStr">
        <is>
          <t>Bronze</t>
        </is>
      </c>
    </row>
    <row r="8">
      <c r="A8" s="23" t="inlineStr">
        <is>
          <t>Spanish honor society</t>
        </is>
      </c>
      <c r="B8" s="25" t="inlineStr">
        <is>
          <t>11</t>
        </is>
      </c>
      <c r="C8" s="23" t="inlineStr">
        <is>
          <t>Co-op</t>
        </is>
      </c>
    </row>
    <row r="9">
      <c r="A9" s="37" t="inlineStr">
        <is>
          <t>Perfect attendance (co-op)</t>
        </is>
      </c>
      <c r="B9" s="38" t="inlineStr">
        <is>
          <t>9–12</t>
        </is>
      </c>
      <c r="C9" s="37" t="inlineStr">
        <is>
          <t>Co-op</t>
        </is>
      </c>
    </row>
    <row r="10">
      <c r="A10" s="23" t="n"/>
      <c r="B10" s="25" t="n"/>
      <c r="C10" s="23" t="n"/>
    </row>
    <row r="11">
      <c r="A11" s="37" t="n"/>
      <c r="B11" s="38" t="n"/>
      <c r="C11" s="37" t="n"/>
    </row>
    <row r="12">
      <c r="A12" s="23" t="n"/>
      <c r="B12" s="25" t="n"/>
      <c r="C12" s="23" t="n"/>
    </row>
    <row r="13">
      <c r="A13" s="37" t="n"/>
      <c r="B13" s="38" t="n"/>
      <c r="C13" s="37" t="n"/>
    </row>
    <row r="14">
      <c r="A14" s="23" t="n"/>
      <c r="B14" s="25" t="n"/>
      <c r="C14" s="23" t="n"/>
    </row>
    <row r="15">
      <c r="A15" s="37" t="n"/>
      <c r="B15" s="38" t="n"/>
      <c r="C15" s="37" t="n"/>
    </row>
    <row r="16">
      <c r="A16" s="23" t="n"/>
      <c r="B16" s="25" t="n"/>
      <c r="C16" s="23" t="n"/>
    </row>
    <row r="17">
      <c r="A17" s="37" t="n"/>
      <c r="B17" s="38" t="n"/>
      <c r="C17" s="37" t="n"/>
    </row>
    <row r="18">
      <c r="A18" s="23" t="n"/>
      <c r="B18" s="25" t="n"/>
      <c r="C18" s="23" t="n"/>
    </row>
    <row r="19">
      <c r="A19" s="37" t="n"/>
      <c r="B19" s="38" t="n"/>
      <c r="C19" s="37" t="n"/>
    </row>
    <row r="20">
      <c r="A20" s="23" t="n"/>
      <c r="B20" s="25" t="n"/>
      <c r="C20" s="23" t="n"/>
    </row>
    <row r="21">
      <c r="A21" s="37" t="n"/>
      <c r="B21" s="38" t="n"/>
      <c r="C21" s="37" t="n"/>
    </row>
    <row r="22">
      <c r="A22" s="23" t="n"/>
      <c r="B22" s="25" t="n"/>
      <c r="C22" s="23" t="n"/>
    </row>
    <row r="23">
      <c r="A23" s="37" t="n"/>
      <c r="B23" s="38" t="n"/>
      <c r="C23" s="37" t="n"/>
    </row>
    <row r="24">
      <c r="A24" s="23" t="n"/>
      <c r="B24" s="25" t="n"/>
      <c r="C24" s="23" t="n"/>
    </row>
    <row r="25">
      <c r="A25" s="37" t="n"/>
      <c r="B25" s="38" t="n"/>
      <c r="C25" s="37" t="n"/>
    </row>
    <row r="26">
      <c r="A26" s="23" t="n"/>
      <c r="B26" s="25" t="n"/>
      <c r="C26" s="23" t="n"/>
    </row>
    <row r="27">
      <c r="A27" s="37" t="n"/>
      <c r="B27" s="38" t="n"/>
      <c r="C27" s="37" t="n"/>
    </row>
    <row r="28">
      <c r="A28" s="23" t="n"/>
      <c r="B28" s="25" t="n"/>
      <c r="C28" s="23" t="n"/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</cols>
  <sheetData>
    <row r="1" ht="46" customHeight="1">
      <c r="A1" s="1" t="inlineStr">
        <is>
          <t xml:space="preserve">  🤝  COMMUNITY SERVICE HOURS</t>
        </is>
      </c>
    </row>
    <row r="2" ht="22" customHeight="1">
      <c r="A2" s="2" t="inlineStr">
        <is>
          <t xml:space="preserve">  Log every hour — many scholarships &amp; honor societies require a total.</t>
        </is>
      </c>
    </row>
    <row r="3" ht="6" customHeight="1">
      <c r="A3" s="3" t="n"/>
      <c r="B3" s="3" t="n"/>
      <c r="C3" s="3" t="n"/>
    </row>
    <row r="4" ht="30" customHeight="1">
      <c r="A4" s="9" t="inlineStr">
        <is>
          <t>Date</t>
        </is>
      </c>
      <c r="B4" s="9" t="inlineStr">
        <is>
          <t>Activity</t>
        </is>
      </c>
      <c r="C4" s="9" t="inlineStr">
        <is>
          <t>Hours</t>
        </is>
      </c>
    </row>
    <row r="5">
      <c r="A5" s="51" t="n">
        <v>46279</v>
      </c>
      <c r="B5" s="38" t="inlineStr">
        <is>
          <t>Food bank sorting</t>
        </is>
      </c>
      <c r="C5" s="36" t="n">
        <v>24</v>
      </c>
    </row>
    <row r="6">
      <c r="A6" s="52" t="n">
        <v>46300</v>
      </c>
      <c r="B6" s="25" t="inlineStr">
        <is>
          <t>Church nursery</t>
        </is>
      </c>
      <c r="C6" s="40" t="n">
        <v>18</v>
      </c>
    </row>
    <row r="7">
      <c r="A7" s="51" t="n">
        <v>46334</v>
      </c>
      <c r="B7" s="38" t="inlineStr">
        <is>
          <t>Nursing-home visits</t>
        </is>
      </c>
      <c r="C7" s="36" t="n">
        <v>20</v>
      </c>
    </row>
    <row r="8">
      <c r="A8" s="52" t="n">
        <v>46404</v>
      </c>
      <c r="B8" s="25" t="inlineStr">
        <is>
          <t>Tutoring younger students</t>
        </is>
      </c>
      <c r="C8" s="40" t="n">
        <v>30</v>
      </c>
    </row>
    <row r="9">
      <c r="A9" s="51" t="n">
        <v>46467</v>
      </c>
      <c r="B9" s="38" t="inlineStr">
        <is>
          <t>Community garden</t>
        </is>
      </c>
      <c r="C9" s="36" t="n">
        <v>16</v>
      </c>
    </row>
    <row r="10">
      <c r="A10" s="52" t="n">
        <v>46489</v>
      </c>
      <c r="B10" s="25" t="inlineStr">
        <is>
          <t>5k race volunteer</t>
        </is>
      </c>
      <c r="C10" s="40" t="n">
        <v>12</v>
      </c>
    </row>
    <row r="11">
      <c r="A11" s="51" t="n"/>
      <c r="B11" s="38" t="n"/>
      <c r="C11" s="36" t="n"/>
    </row>
    <row r="12">
      <c r="A12" s="52" t="n"/>
      <c r="B12" s="25" t="n"/>
      <c r="C12" s="40" t="n"/>
    </row>
    <row r="13">
      <c r="A13" s="51" t="n"/>
      <c r="B13" s="38" t="n"/>
      <c r="C13" s="36" t="n"/>
    </row>
    <row r="14">
      <c r="A14" s="52" t="n"/>
      <c r="B14" s="25" t="n"/>
      <c r="C14" s="40" t="n"/>
    </row>
    <row r="15">
      <c r="A15" s="51" t="n"/>
      <c r="B15" s="38" t="n"/>
      <c r="C15" s="36" t="n"/>
    </row>
    <row r="16">
      <c r="A16" s="52" t="n"/>
      <c r="B16" s="25" t="n"/>
      <c r="C16" s="40" t="n"/>
    </row>
    <row r="17">
      <c r="A17" s="51" t="n"/>
      <c r="B17" s="38" t="n"/>
      <c r="C17" s="36" t="n"/>
    </row>
    <row r="18">
      <c r="A18" s="52" t="n"/>
      <c r="B18" s="25" t="n"/>
      <c r="C18" s="40" t="n"/>
    </row>
    <row r="19">
      <c r="A19" s="51" t="n"/>
      <c r="B19" s="38" t="n"/>
      <c r="C19" s="36" t="n"/>
    </row>
    <row r="20">
      <c r="A20" s="52" t="n"/>
      <c r="B20" s="25" t="n"/>
      <c r="C20" s="40" t="n"/>
    </row>
    <row r="21">
      <c r="A21" s="51" t="n"/>
      <c r="B21" s="38" t="n"/>
      <c r="C21" s="36" t="n"/>
    </row>
    <row r="22">
      <c r="A22" s="52" t="n"/>
      <c r="B22" s="25" t="n"/>
      <c r="C22" s="40" t="n"/>
    </row>
    <row r="23">
      <c r="A23" s="51" t="n"/>
      <c r="B23" s="38" t="n"/>
      <c r="C23" s="36" t="n"/>
    </row>
    <row r="24">
      <c r="A24" s="52" t="n"/>
      <c r="B24" s="25" t="n"/>
      <c r="C24" s="40" t="n"/>
    </row>
    <row r="25">
      <c r="A25" s="51" t="n"/>
      <c r="B25" s="38" t="n"/>
      <c r="C25" s="36" t="n"/>
    </row>
    <row r="26">
      <c r="A26" s="52" t="n"/>
      <c r="B26" s="25" t="n"/>
      <c r="C26" s="40" t="n"/>
    </row>
    <row r="27">
      <c r="A27" s="51" t="n"/>
      <c r="B27" s="38" t="n"/>
      <c r="C27" s="36" t="n"/>
    </row>
    <row r="28">
      <c r="A28" s="52" t="n"/>
      <c r="B28" s="25" t="n"/>
      <c r="C28" s="40" t="n"/>
    </row>
    <row r="29">
      <c r="A29" s="51" t="n"/>
      <c r="B29" s="38" t="n"/>
      <c r="C29" s="36" t="n"/>
    </row>
    <row r="30">
      <c r="A30" s="52" t="n"/>
      <c r="B30" s="25" t="n"/>
      <c r="C30" s="40" t="n"/>
    </row>
    <row r="31">
      <c r="A31" s="51" t="n"/>
      <c r="B31" s="38" t="n"/>
      <c r="C31" s="36" t="n"/>
    </row>
    <row r="32">
      <c r="A32" s="52" t="n"/>
      <c r="B32" s="25" t="n"/>
      <c r="C32" s="40" t="n"/>
    </row>
    <row r="33">
      <c r="A33" s="51" t="n"/>
      <c r="B33" s="38" t="n"/>
      <c r="C33" s="36" t="n"/>
    </row>
    <row r="34">
      <c r="A34" s="52" t="n"/>
      <c r="B34" s="25" t="n"/>
      <c r="C34" s="40" t="n"/>
    </row>
    <row r="35">
      <c r="A35" s="42" t="n"/>
      <c r="B35" s="9" t="inlineStr">
        <is>
          <t>TOTAL HOURS</t>
        </is>
      </c>
      <c r="C35" s="53">
        <f>SUM(SvcHours)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62" customWidth="1" min="3" max="3"/>
    <col width="2" customWidth="1" min="4" max="4"/>
  </cols>
  <sheetData>
    <row r="1" ht="46" customHeight="1">
      <c r="A1" s="1" t="inlineStr">
        <is>
          <t xml:space="preserve">  📝  COURSE DESCRIPTIONS</t>
        </is>
      </c>
    </row>
    <row r="2" ht="22" customHeight="1">
      <c r="A2" s="2" t="inlineStr">
        <is>
          <t xml:space="preserve">  Homeschool essential — a short paragraph per course for college admissions.</t>
        </is>
      </c>
    </row>
    <row r="3" ht="6" customHeight="1">
      <c r="A3" s="3" t="n"/>
      <c r="B3" s="3" t="n"/>
      <c r="C3" s="3" t="n"/>
    </row>
    <row r="4" ht="30" customHeight="1">
      <c r="B4" s="9" t="inlineStr">
        <is>
          <t>Course</t>
        </is>
      </c>
      <c r="C4" s="9" t="inlineStr">
        <is>
          <t>Description</t>
        </is>
      </c>
    </row>
    <row r="5" ht="58" customHeight="1">
      <c r="B5" s="20" t="inlineStr">
        <is>
          <t>English 11 (Honors)</t>
        </is>
      </c>
      <c r="C5" s="20" t="inlineStr">
        <is>
          <t>American literature survey with a research paper, rhetoric &amp; weekly essays; texts included Gatsby, Scarlet Letter &amp; Frederick Douglass.</t>
        </is>
      </c>
    </row>
    <row r="6" ht="58" customHeight="1">
      <c r="B6" s="23" t="inlineStr">
        <is>
          <t>AP US Government</t>
        </is>
      </c>
      <c r="C6" s="23" t="inlineStr">
        <is>
          <t>College-level study of the US Constitution, institutions &amp; political behavior; passed the AP exam (score 4).</t>
        </is>
      </c>
    </row>
    <row r="7" ht="58" customHeight="1">
      <c r="B7" s="20" t="inlineStr">
        <is>
          <t>Physics (Honors)</t>
        </is>
      </c>
      <c r="C7" s="20" t="inlineStr">
        <is>
          <t>Algebra-based mechanics, energy, waves &amp; electricity with a hands-on lab component and lab reports.</t>
        </is>
      </c>
    </row>
    <row r="8" ht="58" customHeight="1">
      <c r="B8" s="23" t="inlineStr">
        <is>
          <t>Spanish III</t>
        </is>
      </c>
      <c r="C8" s="23" t="inlineStr">
        <is>
          <t>Intermediate Spanish — grammar, conversation &amp; culture, using Breaking the Barrier + native-speaker practice.</t>
        </is>
      </c>
    </row>
    <row r="9" ht="58" customHeight="1">
      <c r="B9" s="20" t="inlineStr">
        <is>
          <t>Capstone Project</t>
        </is>
      </c>
      <c r="C9" s="20" t="inlineStr">
        <is>
          <t>Independent year-long project: researched, built &amp; presented a small-business plan; 40+ hours documented.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8" customWidth="1" min="3" max="3"/>
    <col width="14" customWidth="1" min="4" max="4"/>
  </cols>
  <sheetData>
    <row r="1" ht="46" customHeight="1">
      <c r="A1" s="1" t="inlineStr">
        <is>
          <t xml:space="preserve">  📚  READING LIST</t>
        </is>
      </c>
    </row>
    <row r="2" ht="22" customHeight="1">
      <c r="A2" s="2" t="inlineStr">
        <is>
          <t xml:space="preserve">  Great books read — strengthens English credits &amp; the homeschool narrative.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Student</t>
        </is>
      </c>
      <c r="B4" s="9" t="inlineStr">
        <is>
          <t>Title</t>
        </is>
      </c>
      <c r="C4" s="9" t="inlineStr">
        <is>
          <t>Author</t>
        </is>
      </c>
      <c r="D4" s="9" t="inlineStr">
        <is>
          <t>Finished?</t>
        </is>
      </c>
    </row>
    <row r="5">
      <c r="A5" s="38" t="inlineStr">
        <is>
          <t>Ella</t>
        </is>
      </c>
      <c r="B5" s="37" t="inlineStr">
        <is>
          <t>Pride and Prejudice</t>
        </is>
      </c>
      <c r="C5" s="38" t="inlineStr">
        <is>
          <t>Austen</t>
        </is>
      </c>
      <c r="D5" s="38" t="inlineStr">
        <is>
          <t>Yes</t>
        </is>
      </c>
    </row>
    <row r="6">
      <c r="A6" s="25" t="inlineStr">
        <is>
          <t>Ella</t>
        </is>
      </c>
      <c r="B6" s="23" t="inlineStr">
        <is>
          <t>1984</t>
        </is>
      </c>
      <c r="C6" s="25" t="inlineStr">
        <is>
          <t>Orwell</t>
        </is>
      </c>
      <c r="D6" s="25" t="inlineStr">
        <is>
          <t>Yes</t>
        </is>
      </c>
    </row>
    <row r="7">
      <c r="A7" s="38" t="inlineStr">
        <is>
          <t>Ella</t>
        </is>
      </c>
      <c r="B7" s="37" t="inlineStr">
        <is>
          <t>The Great Gatsby</t>
        </is>
      </c>
      <c r="C7" s="38" t="inlineStr">
        <is>
          <t>Fitzgerald</t>
        </is>
      </c>
      <c r="D7" s="38" t="inlineStr">
        <is>
          <t>Yes</t>
        </is>
      </c>
    </row>
    <row r="8">
      <c r="A8" s="25" t="inlineStr">
        <is>
          <t>Ella</t>
        </is>
      </c>
      <c r="B8" s="23" t="inlineStr">
        <is>
          <t>Till We Have Faces</t>
        </is>
      </c>
      <c r="C8" s="25" t="inlineStr">
        <is>
          <t>Lewis</t>
        </is>
      </c>
      <c r="D8" s="25" t="inlineStr">
        <is>
          <t>Yes</t>
        </is>
      </c>
    </row>
    <row r="9">
      <c r="A9" s="38" t="inlineStr">
        <is>
          <t>Ella</t>
        </is>
      </c>
      <c r="B9" s="37" t="inlineStr">
        <is>
          <t>Crime and Punishment</t>
        </is>
      </c>
      <c r="C9" s="38" t="inlineStr">
        <is>
          <t>Dostoevsky</t>
        </is>
      </c>
      <c r="D9" s="38" t="inlineStr">
        <is>
          <t>In Progress</t>
        </is>
      </c>
    </row>
    <row r="10">
      <c r="A10" s="25" t="inlineStr">
        <is>
          <t>Ella</t>
        </is>
      </c>
      <c r="B10" s="23" t="inlineStr">
        <is>
          <t>The Odyssey</t>
        </is>
      </c>
      <c r="C10" s="25" t="inlineStr">
        <is>
          <t>Homer</t>
        </is>
      </c>
      <c r="D10" s="25" t="inlineStr">
        <is>
          <t>Yes</t>
        </is>
      </c>
    </row>
    <row r="11">
      <c r="A11" s="38" t="n"/>
      <c r="B11" s="37" t="n"/>
      <c r="C11" s="38" t="n"/>
      <c r="D11" s="38" t="n"/>
    </row>
    <row r="12">
      <c r="A12" s="25" t="n"/>
      <c r="B12" s="23" t="n"/>
      <c r="C12" s="25" t="n"/>
      <c r="D12" s="25" t="n"/>
    </row>
    <row r="13">
      <c r="A13" s="38" t="n"/>
      <c r="B13" s="37" t="n"/>
      <c r="C13" s="38" t="n"/>
      <c r="D13" s="38" t="n"/>
    </row>
    <row r="14">
      <c r="A14" s="25" t="n"/>
      <c r="B14" s="23" t="n"/>
      <c r="C14" s="25" t="n"/>
      <c r="D14" s="25" t="n"/>
    </row>
    <row r="15">
      <c r="A15" s="38" t="n"/>
      <c r="B15" s="37" t="n"/>
      <c r="C15" s="38" t="n"/>
      <c r="D15" s="38" t="n"/>
    </row>
    <row r="16">
      <c r="A16" s="25" t="n"/>
      <c r="B16" s="23" t="n"/>
      <c r="C16" s="25" t="n"/>
      <c r="D16" s="25" t="n"/>
    </row>
    <row r="17">
      <c r="A17" s="38" t="n"/>
      <c r="B17" s="37" t="n"/>
      <c r="C17" s="38" t="n"/>
      <c r="D17" s="38" t="n"/>
    </row>
    <row r="18">
      <c r="A18" s="25" t="n"/>
      <c r="B18" s="23" t="n"/>
      <c r="C18" s="25" t="n"/>
      <c r="D18" s="25" t="n"/>
    </row>
    <row r="19">
      <c r="A19" s="38" t="n"/>
      <c r="B19" s="37" t="n"/>
      <c r="C19" s="38" t="n"/>
      <c r="D19" s="38" t="n"/>
    </row>
    <row r="20">
      <c r="A20" s="25" t="n"/>
      <c r="B20" s="23" t="n"/>
      <c r="C20" s="25" t="n"/>
      <c r="D20" s="25" t="n"/>
    </row>
    <row r="21">
      <c r="A21" s="38" t="n"/>
      <c r="B21" s="37" t="n"/>
      <c r="C21" s="38" t="n"/>
      <c r="D21" s="38" t="n"/>
    </row>
    <row r="22">
      <c r="A22" s="25" t="n"/>
      <c r="B22" s="23" t="n"/>
      <c r="C22" s="25" t="n"/>
      <c r="D22" s="25" t="n"/>
    </row>
    <row r="23">
      <c r="A23" s="38" t="n"/>
      <c r="B23" s="37" t="n"/>
      <c r="C23" s="38" t="n"/>
      <c r="D23" s="38" t="n"/>
    </row>
    <row r="24">
      <c r="A24" s="25" t="n"/>
      <c r="B24" s="23" t="n"/>
      <c r="C24" s="25" t="n"/>
      <c r="D24" s="25" t="n"/>
    </row>
    <row r="25">
      <c r="A25" s="38" t="n"/>
      <c r="B25" s="37" t="n"/>
      <c r="C25" s="38" t="n"/>
      <c r="D25" s="38" t="n"/>
    </row>
    <row r="26">
      <c r="A26" s="25" t="n"/>
      <c r="B26" s="23" t="n"/>
      <c r="C26" s="25" t="n"/>
      <c r="D26" s="25" t="n"/>
    </row>
    <row r="27">
      <c r="A27" s="38" t="n"/>
      <c r="B27" s="37" t="n"/>
      <c r="C27" s="38" t="n"/>
      <c r="D27" s="38" t="n"/>
    </row>
    <row r="28">
      <c r="A28" s="25" t="n"/>
      <c r="B28" s="23" t="n"/>
      <c r="C28" s="25" t="n"/>
      <c r="D28" s="25" t="n"/>
    </row>
    <row r="29">
      <c r="A29" s="38" t="n"/>
      <c r="B29" s="37" t="n"/>
      <c r="C29" s="38" t="n"/>
      <c r="D29" s="38" t="n"/>
    </row>
    <row r="30">
      <c r="A30" s="25" t="n"/>
      <c r="B30" s="23" t="n"/>
      <c r="C30" s="25" t="n"/>
      <c r="D30" s="25" t="n"/>
    </row>
    <row r="31">
      <c r="A31" s="38" t="n"/>
      <c r="B31" s="37" t="n"/>
      <c r="C31" s="38" t="n"/>
      <c r="D31" s="38" t="n"/>
    </row>
    <row r="32">
      <c r="A32" s="25" t="n"/>
      <c r="B32" s="23" t="n"/>
      <c r="C32" s="25" t="n"/>
      <c r="D32" s="25" t="n"/>
    </row>
    <row r="33">
      <c r="A33" s="38" t="n"/>
      <c r="B33" s="37" t="n"/>
      <c r="C33" s="38" t="n"/>
      <c r="D33" s="38" t="n"/>
    </row>
    <row r="34">
      <c r="A34" s="25" t="n"/>
      <c r="B34" s="23" t="n"/>
      <c r="C34" s="25" t="n"/>
      <c r="D34" s="25" t="n"/>
    </row>
    <row r="35">
      <c r="A35" s="38" t="n"/>
      <c r="B35" s="37" t="n"/>
      <c r="C35" s="38" t="n"/>
      <c r="D35" s="38" t="n"/>
    </row>
    <row r="36">
      <c r="A36" s="25" t="n"/>
      <c r="B36" s="23" t="n"/>
      <c r="C36" s="25" t="n"/>
      <c r="D36" s="25" t="n"/>
    </row>
    <row r="37">
      <c r="A37" s="38" t="n"/>
      <c r="B37" s="37" t="n"/>
      <c r="C37" s="38" t="n"/>
      <c r="D37" s="38" t="n"/>
    </row>
    <row r="38">
      <c r="A38" s="25" t="n"/>
      <c r="B38" s="23" t="n"/>
      <c r="C38" s="25" t="n"/>
      <c r="D38" s="25" t="n"/>
    </row>
    <row r="39">
      <c r="A39" s="38" t="n"/>
      <c r="B39" s="37" t="n"/>
      <c r="C39" s="38" t="n"/>
      <c r="D39" s="38" t="n"/>
    </row>
    <row r="40">
      <c r="A40" s="25" t="n"/>
      <c r="B40" s="23" t="n"/>
      <c r="C40" s="25" t="n"/>
      <c r="D40" s="25" t="n"/>
    </row>
    <row r="41">
      <c r="A41" s="38" t="n"/>
      <c r="B41" s="37" t="n"/>
      <c r="C41" s="38" t="n"/>
      <c r="D41" s="38" t="n"/>
    </row>
    <row r="42">
      <c r="A42" s="25" t="n"/>
      <c r="B42" s="23" t="n"/>
      <c r="C42" s="25" t="n"/>
      <c r="D42" s="25" t="n"/>
    </row>
    <row r="43">
      <c r="A43" s="38" t="n"/>
      <c r="B43" s="37" t="n"/>
      <c r="C43" s="38" t="n"/>
      <c r="D43" s="38" t="n"/>
    </row>
    <row r="44">
      <c r="A44" s="25" t="n"/>
      <c r="B44" s="23" t="n"/>
      <c r="C44" s="25" t="n"/>
      <c r="D44" s="25" t="n"/>
    </row>
  </sheetData>
  <mergeCells count="2">
    <mergeCell ref="A1:D1"/>
    <mergeCell ref="A2:D2"/>
  </mergeCells>
  <conditionalFormatting sqref="D5:D44">
    <cfRule type="cellIs" priority="1" operator="equal" dxfId="1">
      <formula>"Yes"</formula>
    </cfRule>
  </conditionalFormatting>
  <dataValidations count="1">
    <dataValidation sqref="D5:D4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</cols>
  <sheetData>
    <row r="1" ht="46" customHeight="1">
      <c r="A1" s="1" t="inlineStr">
        <is>
          <t xml:space="preserve">  ✅  GRADUATION REQUIREMENTS</t>
        </is>
      </c>
    </row>
    <row r="2" ht="22" customHeight="1">
      <c r="A2" s="2" t="inlineStr">
        <is>
          <t xml:space="preserve">  The checklist to a diploma — confirm your state / umbrella's specific rules.</t>
        </is>
      </c>
    </row>
    <row r="3" ht="6" customHeight="1">
      <c r="A3" s="3" t="n"/>
      <c r="B3" s="3" t="n"/>
    </row>
    <row r="4" ht="30" customHeight="1">
      <c r="A4" s="9" t="inlineStr">
        <is>
          <t>Requirement</t>
        </is>
      </c>
      <c r="B4" s="9" t="inlineStr">
        <is>
          <t>Met?</t>
        </is>
      </c>
    </row>
    <row r="5">
      <c r="A5" s="37" t="inlineStr">
        <is>
          <t>English — 4 credits</t>
        </is>
      </c>
      <c r="B5" s="38" t="inlineStr">
        <is>
          <t>Yes</t>
        </is>
      </c>
    </row>
    <row r="6">
      <c r="A6" s="23" t="inlineStr">
        <is>
          <t>Math — 3+ credits</t>
        </is>
      </c>
      <c r="B6" s="25" t="inlineStr">
        <is>
          <t>Yes</t>
        </is>
      </c>
    </row>
    <row r="7">
      <c r="A7" s="37" t="inlineStr">
        <is>
          <t>Science — 3+ credits</t>
        </is>
      </c>
      <c r="B7" s="38" t="inlineStr">
        <is>
          <t>Yes</t>
        </is>
      </c>
    </row>
    <row r="8">
      <c r="A8" s="23" t="inlineStr">
        <is>
          <t>Social Studies — 3 credits</t>
        </is>
      </c>
      <c r="B8" s="25" t="inlineStr">
        <is>
          <t>Yes</t>
        </is>
      </c>
    </row>
    <row r="9">
      <c r="A9" s="37" t="inlineStr">
        <is>
          <t>World Language — 2+ credits</t>
        </is>
      </c>
      <c r="B9" s="38" t="inlineStr">
        <is>
          <t>Yes</t>
        </is>
      </c>
    </row>
    <row r="10">
      <c r="A10" s="23" t="inlineStr">
        <is>
          <t>Fine Arts — 1 credit</t>
        </is>
      </c>
      <c r="B10" s="25" t="inlineStr">
        <is>
          <t>Yes</t>
        </is>
      </c>
    </row>
    <row r="11">
      <c r="A11" s="37" t="inlineStr">
        <is>
          <t>PE/Health — 1 credit</t>
        </is>
      </c>
      <c r="B11" s="38" t="inlineStr">
        <is>
          <t>Yes</t>
        </is>
      </c>
    </row>
    <row r="12">
      <c r="A12" s="23" t="inlineStr">
        <is>
          <t>Electives — 4+ credits</t>
        </is>
      </c>
      <c r="B12" s="25" t="inlineStr">
        <is>
          <t>Yes</t>
        </is>
      </c>
    </row>
    <row r="13">
      <c r="A13" s="37" t="inlineStr">
        <is>
          <t>Total 24 credits</t>
        </is>
      </c>
      <c r="B13" s="38" t="inlineStr">
        <is>
          <t>Yes</t>
        </is>
      </c>
    </row>
    <row r="14">
      <c r="A14" s="23" t="inlineStr">
        <is>
          <t>Course descriptions written</t>
        </is>
      </c>
      <c r="B14" s="25" t="inlineStr">
        <is>
          <t>No</t>
        </is>
      </c>
    </row>
    <row r="15">
      <c r="A15" s="37" t="n"/>
      <c r="B15" s="38" t="n"/>
    </row>
    <row r="16">
      <c r="A16" s="23" t="n"/>
      <c r="B16" s="25" t="n"/>
    </row>
    <row r="17">
      <c r="A17" s="37" t="n"/>
      <c r="B17" s="38" t="n"/>
    </row>
    <row r="18">
      <c r="A18" s="23" t="n"/>
      <c r="B18" s="25" t="n"/>
    </row>
    <row r="19">
      <c r="A19" s="37" t="n"/>
      <c r="B19" s="38" t="n"/>
    </row>
    <row r="20">
      <c r="A20" s="23" t="n"/>
      <c r="B20" s="25" t="n"/>
    </row>
    <row r="21">
      <c r="A21" s="37" t="n"/>
      <c r="B21" s="38" t="n"/>
    </row>
    <row r="22">
      <c r="A22" s="23" t="n"/>
      <c r="B22" s="25" t="n"/>
    </row>
    <row r="23">
      <c r="A23" s="37" t="n"/>
      <c r="B23" s="38" t="n"/>
    </row>
    <row r="24">
      <c r="A24" s="23" t="n"/>
      <c r="B24" s="25" t="n"/>
    </row>
  </sheetData>
  <mergeCells count="2">
    <mergeCell ref="A2:B2"/>
    <mergeCell ref="A1:B1"/>
  </mergeCells>
  <conditionalFormatting sqref="B5:B24">
    <cfRule type="cellIs" priority="1" operator="equal" dxfId="1">
      <formula>"Yes"</formula>
    </cfRule>
    <cfRule type="cellIs" priority="2" operator="equal" dxfId="0">
      <formula>"No"</formula>
    </cfRule>
  </conditionalFormatting>
  <dataValidations count="1">
    <dataValidation sqref="B5:B2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6" customWidth="1" min="3" max="3"/>
    <col width="26" customWidth="1" min="4" max="4"/>
    <col width="2" customWidth="1" min="5" max="5"/>
  </cols>
  <sheetData>
    <row r="1" ht="46" customHeight="1">
      <c r="A1" s="1" t="inlineStr">
        <is>
          <t xml:space="preserve">  🖼  PORTFOLIO &amp; WORK SAMPLES</t>
        </is>
      </c>
    </row>
    <row r="2" ht="22" customHeight="1">
      <c r="A2" s="2" t="inlineStr">
        <is>
          <t xml:space="preserve">  A few standout pieces per year — proof behind the transcript for applications.</t>
        </is>
      </c>
    </row>
    <row r="3" ht="6" customHeight="1">
      <c r="A3" s="3" t="n"/>
      <c r="B3" s="3" t="n"/>
      <c r="C3" s="3" t="n"/>
      <c r="D3" s="3" t="n"/>
      <c r="E3" s="3" t="n"/>
    </row>
    <row r="5" ht="22" customHeight="1">
      <c r="B5" s="4" t="inlineStr">
        <is>
          <t>HOW TO ADD SAMPLES</t>
        </is>
      </c>
    </row>
    <row r="6" ht="26" customHeight="1">
      <c r="B6" s="54" t="inlineStr">
        <is>
          <t>Google Sheets: click a box, Insert ▸ Image ▸ Image in cell, or =IMAGE("link"). Excel: Insert ▸ Pictures ▸ Place in Cell. Add a research paper, lab report, art piece or project photo &amp; caption it (course · year · what it shows).</t>
        </is>
      </c>
      <c r="C6" s="11" t="n"/>
      <c r="D6" s="11" t="n"/>
    </row>
    <row r="7" ht="26" customHeight="1">
      <c r="B7" s="11" t="n"/>
      <c r="C7" s="11" t="n"/>
      <c r="D7" s="11" t="n"/>
    </row>
    <row r="9" ht="120" customHeight="1">
      <c r="B9" s="55" t="inlineStr">
        <is>
          <t>🖼
Research Paper
(add sample)</t>
        </is>
      </c>
      <c r="C9" s="55" t="inlineStr">
        <is>
          <t>🖼
Lab Report
(add sample)</t>
        </is>
      </c>
      <c r="D9" s="55" t="inlineStr">
        <is>
          <t>🖼
Capstone Project
(add sample)</t>
        </is>
      </c>
    </row>
    <row r="10"/>
    <row r="11"/>
    <row r="12"/>
    <row r="13" ht="30" customHeight="1">
      <c r="B13" s="56" t="inlineStr">
        <is>
          <t>Course · year · notes…</t>
        </is>
      </c>
      <c r="C13" s="56" t="inlineStr">
        <is>
          <t>Course · year · notes…</t>
        </is>
      </c>
      <c r="D13" s="56" t="inlineStr">
        <is>
          <t>Course · year · notes…</t>
        </is>
      </c>
    </row>
    <row r="15" ht="120" customHeight="1">
      <c r="B15" s="55" t="inlineStr">
        <is>
          <t>🖼
Art / Music
(add sample)</t>
        </is>
      </c>
      <c r="C15" s="55" t="inlineStr">
        <is>
          <t>🖼
Essay
(add sample)</t>
        </is>
      </c>
      <c r="D15" s="55" t="inlineStr">
        <is>
          <t>🖼
Award / Certificate
(add sample)</t>
        </is>
      </c>
    </row>
    <row r="16"/>
    <row r="17"/>
    <row r="18"/>
    <row r="19" ht="30" customHeight="1">
      <c r="B19" s="56" t="inlineStr">
        <is>
          <t>Course · year · notes…</t>
        </is>
      </c>
      <c r="C19" s="56" t="inlineStr">
        <is>
          <t>Course · year · notes…</t>
        </is>
      </c>
      <c r="D19" s="56" t="inlineStr">
        <is>
          <t>Course · year · notes…</t>
        </is>
      </c>
    </row>
  </sheetData>
  <mergeCells count="10">
    <mergeCell ref="D9:D12"/>
    <mergeCell ref="B5:D5"/>
    <mergeCell ref="B6:D7"/>
    <mergeCell ref="C9:C12"/>
    <mergeCell ref="B9:B12"/>
    <mergeCell ref="A2:E2"/>
    <mergeCell ref="D15:D18"/>
    <mergeCell ref="A1:E1"/>
    <mergeCell ref="B15:B18"/>
    <mergeCell ref="C15:C1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3" customWidth="1" min="4" max="4"/>
    <col width="14" customWidth="1" min="5" max="5"/>
    <col width="10" customWidth="1" min="6" max="6"/>
    <col width="3" customWidth="1" min="7" max="7"/>
    <col width="16" customWidth="1" min="8" max="8"/>
    <col width="16" customWidth="1" min="9" max="9"/>
    <col width="16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the student, school &amp; scale once — GPA and the transcript follow.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7" t="inlineStr">
        <is>
          <t>STUDENT &amp; SCHOOL</t>
        </is>
      </c>
      <c r="E5" s="4" t="inlineStr">
        <is>
          <t>GRADE SCALE (4.0)</t>
        </is>
      </c>
      <c r="H5" s="4" t="inlineStr">
        <is>
          <t>DROPDOWN LISTS</t>
        </is>
      </c>
    </row>
    <row r="6">
      <c r="B6" s="26" t="inlineStr">
        <is>
          <t>Student Name</t>
        </is>
      </c>
      <c r="C6" s="49" t="inlineStr">
        <is>
          <t>Ella Bennett</t>
        </is>
      </c>
      <c r="E6" s="9" t="inlineStr">
        <is>
          <t>Grade</t>
        </is>
      </c>
      <c r="F6" s="9" t="inlineStr">
        <is>
          <t>Points</t>
        </is>
      </c>
      <c r="H6" s="9" t="inlineStr">
        <is>
          <t>Subject Area</t>
        </is>
      </c>
      <c r="I6" s="9" t="inlineStr">
        <is>
          <t>Level</t>
        </is>
      </c>
      <c r="J6" s="9" t="inlineStr">
        <is>
          <t>Yes / No</t>
        </is>
      </c>
    </row>
    <row r="7">
      <c r="B7" s="26" t="inlineStr">
        <is>
          <t>School Name</t>
        </is>
      </c>
      <c r="C7" s="49" t="inlineStr">
        <is>
          <t>Bennett Family Academy</t>
        </is>
      </c>
      <c r="E7" s="22" t="inlineStr">
        <is>
          <t>A</t>
        </is>
      </c>
      <c r="F7" s="30" t="n">
        <v>4</v>
      </c>
      <c r="H7" s="20" t="inlineStr">
        <is>
          <t>English</t>
        </is>
      </c>
      <c r="I7" s="20" t="inlineStr">
        <is>
          <t>Regular</t>
        </is>
      </c>
      <c r="J7" s="20" t="inlineStr">
        <is>
          <t>Yes</t>
        </is>
      </c>
    </row>
    <row r="8">
      <c r="B8" s="26" t="inlineStr">
        <is>
          <t>Class Of</t>
        </is>
      </c>
      <c r="C8" s="49" t="inlineStr">
        <is>
          <t>2027</t>
        </is>
      </c>
      <c r="E8" s="22" t="inlineStr">
        <is>
          <t>A-</t>
        </is>
      </c>
      <c r="F8" s="30" t="n">
        <v>3.7</v>
      </c>
      <c r="H8" s="20" t="inlineStr">
        <is>
          <t>Math</t>
        </is>
      </c>
      <c r="I8" s="20" t="inlineStr">
        <is>
          <t>Honors</t>
        </is>
      </c>
      <c r="J8" s="20" t="inlineStr">
        <is>
          <t>No</t>
        </is>
      </c>
    </row>
    <row r="9">
      <c r="B9" s="26" t="inlineStr">
        <is>
          <t>Graduation Date</t>
        </is>
      </c>
      <c r="C9" s="49" t="inlineStr">
        <is>
          <t>May 28, 2027</t>
        </is>
      </c>
      <c r="E9" s="22" t="inlineStr">
        <is>
          <t>B+</t>
        </is>
      </c>
      <c r="F9" s="30" t="n">
        <v>3.3</v>
      </c>
      <c r="H9" s="20" t="inlineStr">
        <is>
          <t>Science</t>
        </is>
      </c>
      <c r="I9" s="20" t="inlineStr">
        <is>
          <t>AP</t>
        </is>
      </c>
    </row>
    <row r="10">
      <c r="B10" s="26" t="inlineStr">
        <is>
          <t>Credits Required</t>
        </is>
      </c>
      <c r="C10" s="46" t="n">
        <v>24</v>
      </c>
      <c r="E10" s="22" t="inlineStr">
        <is>
          <t>B</t>
        </is>
      </c>
      <c r="F10" s="30" t="n">
        <v>3</v>
      </c>
      <c r="H10" s="20" t="inlineStr">
        <is>
          <t>Social Studies</t>
        </is>
      </c>
      <c r="I10" s="20" t="inlineStr">
        <is>
          <t>Dual Credit</t>
        </is>
      </c>
    </row>
    <row r="11">
      <c r="B11" s="26" t="inlineStr">
        <is>
          <t>GPA Target</t>
        </is>
      </c>
      <c r="C11" s="57" t="n">
        <v>3.5</v>
      </c>
      <c r="E11" s="22" t="inlineStr">
        <is>
          <t>B-</t>
        </is>
      </c>
      <c r="F11" s="30" t="n">
        <v>2.7</v>
      </c>
      <c r="H11" s="20" t="inlineStr">
        <is>
          <t>World Language</t>
        </is>
      </c>
    </row>
    <row r="12">
      <c r="B12" s="26" t="inlineStr">
        <is>
          <t>Service-Hours Goal</t>
        </is>
      </c>
      <c r="C12" s="58" t="n">
        <v>100</v>
      </c>
      <c r="E12" s="22" t="inlineStr">
        <is>
          <t>C+</t>
        </is>
      </c>
      <c r="F12" s="30" t="n">
        <v>2.3</v>
      </c>
      <c r="H12" s="20" t="inlineStr">
        <is>
          <t>Fine Arts</t>
        </is>
      </c>
    </row>
    <row r="13">
      <c r="B13" s="26" t="inlineStr">
        <is>
          <t>Rigor Goal (Honors+AP)</t>
        </is>
      </c>
      <c r="C13" s="59" t="n">
        <v>8</v>
      </c>
      <c r="E13" s="22" t="inlineStr">
        <is>
          <t>C</t>
        </is>
      </c>
      <c r="F13" s="30" t="n">
        <v>2</v>
      </c>
      <c r="H13" s="20" t="inlineStr">
        <is>
          <t>PE/Health</t>
        </is>
      </c>
    </row>
    <row r="14">
      <c r="E14" s="22" t="inlineStr">
        <is>
          <t>C-</t>
        </is>
      </c>
      <c r="F14" s="30" t="n">
        <v>1.7</v>
      </c>
      <c r="H14" s="20" t="inlineStr">
        <is>
          <t>Elective</t>
        </is>
      </c>
    </row>
    <row r="15">
      <c r="E15" s="22" t="inlineStr">
        <is>
          <t>D+</t>
        </is>
      </c>
      <c r="F15" s="30" t="n">
        <v>1.3</v>
      </c>
      <c r="H15" s="20" t="inlineStr">
        <is>
          <t>Bible / Character</t>
        </is>
      </c>
    </row>
    <row r="16">
      <c r="E16" s="22" t="inlineStr">
        <is>
          <t>D</t>
        </is>
      </c>
      <c r="F16" s="30" t="n">
        <v>1</v>
      </c>
    </row>
    <row r="17">
      <c r="E17" s="22" t="inlineStr">
        <is>
          <t>F</t>
        </is>
      </c>
      <c r="F17" s="30" t="n">
        <v>0</v>
      </c>
    </row>
    <row r="20">
      <c r="E20" s="9" t="inlineStr">
        <is>
          <t>Level</t>
        </is>
      </c>
      <c r="F20" s="9" t="inlineStr">
        <is>
          <t>Bump</t>
        </is>
      </c>
    </row>
    <row r="21">
      <c r="E21" s="22" t="inlineStr">
        <is>
          <t>Regular</t>
        </is>
      </c>
      <c r="F21" s="30" t="n">
        <v>0</v>
      </c>
    </row>
    <row r="22">
      <c r="E22" s="22" t="inlineStr">
        <is>
          <t>Honors</t>
        </is>
      </c>
      <c r="F22" s="30" t="n">
        <v>0.5</v>
      </c>
    </row>
    <row r="23">
      <c r="E23" s="22" t="inlineStr">
        <is>
          <t>AP</t>
        </is>
      </c>
      <c r="F23" s="30" t="n">
        <v>1</v>
      </c>
    </row>
    <row r="24">
      <c r="E24" s="22" t="inlineStr">
        <is>
          <t>Dual Credit</t>
        </is>
      </c>
      <c r="F24" s="30" t="n">
        <v>1</v>
      </c>
    </row>
  </sheetData>
  <mergeCells count="5">
    <mergeCell ref="A1:J1"/>
    <mergeCell ref="B5:C5"/>
    <mergeCell ref="H5:J5"/>
    <mergeCell ref="E5:F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2026-07-16T02:02:35Z</dcterms:created>
  <dcterms:modified xsi:type="dcterms:W3CDTF">2026-07-16T02:02:35Z</dcterms:modified>
</cp:coreProperties>
</file>