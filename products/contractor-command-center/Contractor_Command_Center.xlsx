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Bid Builder" sheetId="3" state="visible" r:id="rId3"/>
    <sheet name="Job Costing" sheetId="4" state="visible" r:id="rId4"/>
    <sheet name="Jobs &amp; Pipeline" sheetId="5" state="visible" r:id="rId5"/>
    <sheet name="Labor &amp; Crew" sheetId="6" state="visible" r:id="rId6"/>
    <sheet name="Materials" sheetId="7" state="visible" r:id="rId7"/>
    <sheet name="Subcontractors" sheetId="8" state="visible" r:id="rId8"/>
    <sheet name="Change Orders" sheetId="9" state="visible" r:id="rId9"/>
    <sheet name="Equipment" sheetId="10" state="visible" r:id="rId10"/>
    <sheet name="Invoices" sheetId="11" state="visible" r:id="rId11"/>
    <sheet name="Bid Log" sheetId="12" state="visible" r:id="rId12"/>
    <sheet name="Monthly Summary" sheetId="13" state="visible" r:id="rId13"/>
    <sheet name="Settings" sheetId="14" state="visible" r:id="rId14"/>
  </sheets>
  <definedNames>
    <definedName name="WinRateGoal">1.0</definedName>
    <definedName name="Company">Settings!$C$6</definedName>
    <definedName name="Owner">Settings!$C$7</definedName>
    <definedName name="LaborRate">Settings!$C$8</definedName>
    <definedName name="OverheadRate">Settings!$C$9</definedName>
    <definedName name="MarginTarget">Settings!$C$10</definedName>
    <definedName name="MarginGoal">Settings!$C$11</definedName>
    <definedName name="NetMarginGoal">Settings!$C$12</definedName>
    <definedName name="BacklogGoal">Settings!$C$13</definedName>
    <definedName name="ReceivableGoal">Settings!$C$14</definedName>
    <definedName name="JobGoal">Settings!$C$15</definedName>
    <definedName name="BidsTotal">Settings!$C$16</definedName>
    <definedName name="BidsWon">Settings!$C$17</definedName>
    <definedName name="JobStatusList">Settings!$E$7:$E$11</definedName>
    <definedName name="TradeList">Settings!$F$7:$F$15</definedName>
    <definedName name="BidResultList">Settings!$G$7:$G$9</definedName>
    <definedName name="YesNoList">Settings!$H$7:$H$8</definedName>
    <definedName name="BidMaterials">'Bid Builder'!$C$6</definedName>
    <definedName name="BidHours">'Bid Builder'!$C$7</definedName>
    <definedName name="BidLabor">'Bid Builder'!$C$8</definedName>
    <definedName name="BidSubs">'Bid Builder'!$C$9</definedName>
    <definedName name="BidEquip">'Bid Builder'!$C$10</definedName>
    <definedName name="DirectCost">'Bid Builder'!$C$11</definedName>
    <definedName name="Overhead">'Bid Builder'!$C$14</definedName>
    <definedName name="TotalCost">'Bid Builder'!$C$15</definedName>
    <definedName name="BidPrice">'Bid Builder'!$C$17</definedName>
    <definedName name="PlannedProfit">'Bid Builder'!$C$18</definedName>
    <definedName name="ActualCost">'Job Costing'!$D$11</definedName>
    <definedName name="ActualProfit">'Job Costing'!$D$14</definedName>
    <definedName name="ActualMargin">'Job Costing'!$D$15</definedName>
    <definedName name="JobName">'Jobs &amp; Pipeline'!$B$5:$B$13</definedName>
    <definedName name="JobStatus">'Jobs &amp; Pipeline'!$D$5:$D$13</definedName>
    <definedName name="JobBid">'Jobs &amp; Pipeline'!$E$5:$E$13</definedName>
    <definedName name="JobCost">'Jobs &amp; Pipeline'!$F$5:$F$13</definedName>
    <definedName name="AllBids">'Jobs &amp; Pipeline'!$E$14</definedName>
    <definedName name="AllJobProfit">'Jobs &amp; Pipeline'!$G$14</definedName>
    <definedName name="Backlog">'Jobs &amp; Pipeline'!$E$16</definedName>
    <definedName name="JobCount">'Jobs &amp; Pipeline'!$E$17</definedName>
    <definedName name="CrewHours">'Labor &amp; Crew'!$E$5:$E$9</definedName>
    <definedName name="CrewLine">'Labor &amp; Crew'!$F$5:$F$9</definedName>
    <definedName name="CrewCost">'Labor &amp; Crew'!$F$10</definedName>
    <definedName name="CrewHoursTotal">'Labor &amp; Crew'!$E$10</definedName>
    <definedName name="MatLine">'Materials'!$E$5:$E$11</definedName>
    <definedName name="MaterialTotal">'Materials'!$E$12</definedName>
    <definedName name="SubQuoted">'Subcontractors'!$D$5:$D$8</definedName>
    <definedName name="SubInv">'Subcontractors'!$E$5:$E$8</definedName>
    <definedName name="SubInvoiced">'Subcontractors'!$E$9</definedName>
    <definedName name="ChangeAmt">'Change Orders'!$D$5:$D$30</definedName>
    <definedName name="ChangeOK">'Change Orders'!$E$5:$E$30</definedName>
    <definedName name="ChangeOrders">'Change Orders'!$D$31</definedName>
    <definedName name="EquipCost">'Equipment'!$D$5:$D$8</definedName>
    <definedName name="EquipTotal">'Equipment'!$D$9</definedName>
    <definedName name="InvAmt">'Invoices'!$C$5:$C$30</definedName>
    <definedName name="InvStatus">'Invoices'!$D$5:$D$30</definedName>
    <definedName name="Receivable">'Invoices'!$C$32</definedName>
    <definedName name="BidAmt">'Bid Log'!$C$5:$C$16</definedName>
    <definedName name="BidResult">'Bid Log'!$D$5:$D$16</definedName>
    <definedName name="WinRate">'Bid Log'!$C$20</definedName>
    <definedName name="RevenueYTD">'Monthly Summary'!$C$6</definedName>
    <definedName name="NetProfit">'Monthly Summary'!$C$7</definedName>
    <definedName name="NetMargin">'Monthly Summary'!$C$8</definedName>
    <definedName name="RevTrend">'Monthly Summary'!$C$12:$C$17</definedName>
    <definedName name="HealthRange">'Dashboard'!$C$13:$C$18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i val="1"/>
      <color rgb="00E5D3BA"/>
      <sz val="11"/>
    </font>
    <font>
      <name val="Calibri"/>
      <b val="1"/>
      <color rgb="001B4F48"/>
      <sz val="12"/>
    </font>
    <font>
      <name val="Calibri"/>
      <b val="1"/>
      <color rgb="00937356"/>
      <sz val="12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B4F48"/>
      <sz val="11"/>
    </font>
    <font>
      <name val="Calibri"/>
      <b val="1"/>
      <color rgb="00937356"/>
      <sz val="10"/>
    </font>
    <font>
      <color rgb="00333333"/>
      <sz val="11"/>
    </font>
    <font>
      <b val="1"/>
      <color rgb="001B4F48"/>
      <sz val="12"/>
    </font>
    <font>
      <b val="1"/>
      <color rgb="001B4F48"/>
      <sz val="13"/>
    </font>
    <font>
      <b val="1"/>
      <color rgb="001B4F48"/>
      <sz val="15"/>
    </font>
    <font>
      <b val="1"/>
      <color rgb="001B4F48"/>
    </font>
    <font>
      <b val="1"/>
      <color rgb="001B4F48"/>
      <sz val="14"/>
    </font>
    <font>
      <b val="1"/>
      <color rgb="00937356"/>
      <sz val="9"/>
    </font>
    <font>
      <b val="1"/>
      <color rgb="001B4F48"/>
      <sz val="18"/>
    </font>
  </fonts>
  <fills count="11">
    <fill>
      <patternFill/>
    </fill>
    <fill>
      <patternFill patternType="gray125"/>
    </fill>
    <fill>
      <patternFill patternType="solid">
        <fgColor rgb="001B4F48"/>
      </patternFill>
    </fill>
    <fill>
      <patternFill patternType="solid">
        <fgColor rgb="00E5D3BA"/>
      </patternFill>
    </fill>
    <fill>
      <patternFill patternType="solid">
        <fgColor rgb="00FAF7F1"/>
      </patternFill>
    </fill>
    <fill>
      <patternFill patternType="solid">
        <fgColor rgb="00C9A86A"/>
      </patternFill>
    </fill>
    <fill>
      <patternFill patternType="solid">
        <fgColor rgb="00E3F8EF"/>
      </patternFill>
    </fill>
    <fill>
      <patternFill patternType="solid">
        <fgColor rgb="00FBF0E2"/>
      </patternFill>
    </fill>
    <fill>
      <patternFill patternType="solid">
        <fgColor rgb="00FBE6E6"/>
      </patternFill>
    </fill>
    <fill>
      <patternFill patternType="solid">
        <fgColor rgb="00F4ECDE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/>
    <border>
      <left style="thin">
        <color rgb="00D6D2C8"/>
      </left>
      <right style="thin">
        <color rgb="00D6D2C8"/>
      </right>
      <top style="thin">
        <color rgb="00D6D2C8"/>
      </top>
      <bottom style="thin">
        <color rgb="00D6D2C8"/>
      </bottom>
    </border>
    <border>
      <left style="thin">
        <color rgb="00D6D2C8"/>
      </left>
      <right style="thin">
        <color rgb="00D6D2C8"/>
      </right>
      <top style="medium">
        <color rgb="00C9A86A"/>
      </top>
      <bottom style="thin">
        <color rgb="00D6D2C8"/>
      </bottom>
    </border>
  </borders>
  <cellStyleXfs count="12">
    <xf numFmtId="0" fontId="0" fillId="0" borderId="0"/>
    <xf numFmtId="0" fontId="1" fillId="2" borderId="1" applyAlignment="1">
      <alignment horizontal="left" vertical="center" indent="2"/>
    </xf>
    <xf numFmtId="0" fontId="2" fillId="2" borderId="1" applyAlignment="1">
      <alignment horizontal="left" vertical="center" indent="2"/>
    </xf>
    <xf numFmtId="0" fontId="3" fillId="0" borderId="1" applyAlignment="1">
      <alignment horizontal="left" vertical="center"/>
    </xf>
    <xf numFmtId="0" fontId="4" fillId="0" borderId="1" applyAlignment="1">
      <alignment horizontal="left" vertical="center"/>
    </xf>
    <xf numFmtId="0" fontId="5" fillId="2" borderId="2" applyAlignment="1">
      <alignment horizontal="center" vertical="center" wrapText="1"/>
    </xf>
    <xf numFmtId="0" fontId="6" fillId="0" borderId="2" applyAlignment="1">
      <alignment horizontal="center" vertical="center" wrapText="1"/>
    </xf>
    <xf numFmtId="0" fontId="6" fillId="0" borderId="2" applyAlignment="1">
      <alignment horizontal="left" vertical="center" wrapText="1" indent="1"/>
    </xf>
    <xf numFmtId="0" fontId="7" fillId="3" borderId="2" applyAlignment="1">
      <alignment horizontal="center" vertical="center"/>
    </xf>
    <xf numFmtId="0" fontId="8" fillId="4" borderId="2" applyAlignment="1">
      <alignment horizontal="left" vertical="center" indent="1"/>
    </xf>
    <xf numFmtId="0" fontId="7" fillId="0" borderId="2" applyAlignment="1">
      <alignment horizontal="left" vertical="center" indent="1"/>
    </xf>
    <xf numFmtId="0" fontId="6" fillId="0" borderId="1" applyAlignment="1">
      <alignment horizontal="left" vertical="top" wrapText="1" indent="1"/>
    </xf>
  </cellStyleXfs>
  <cellXfs count="58">
    <xf numFmtId="0" fontId="0" fillId="0" borderId="0" pivotButton="0" quotePrefix="0" xfId="0"/>
    <xf numFmtId="0" fontId="1" fillId="2" borderId="1" applyAlignment="1" pivotButton="0" quotePrefix="0" xfId="1">
      <alignment horizontal="left" vertical="center" indent="2"/>
    </xf>
    <xf numFmtId="0" fontId="2" fillId="2" borderId="1" applyAlignment="1" pivotButton="0" quotePrefix="0" xfId="2">
      <alignment horizontal="left" vertical="center" indent="2"/>
    </xf>
    <xf numFmtId="0" fontId="0" fillId="5" borderId="0" pivotButton="0" quotePrefix="0" xfId="0"/>
    <xf numFmtId="0" fontId="4" fillId="0" borderId="1" applyAlignment="1" pivotButton="0" quotePrefix="0" xfId="4">
      <alignment horizontal="left" vertical="center"/>
    </xf>
    <xf numFmtId="0" fontId="6" fillId="6" borderId="2" applyAlignment="1" pivotButton="0" quotePrefix="0" xfId="11">
      <alignment horizontal="left" vertical="top" wrapText="1" indent="1"/>
    </xf>
    <xf numFmtId="0" fontId="0" fillId="6" borderId="0" pivotButton="0" quotePrefix="0" xfId="0"/>
    <xf numFmtId="0" fontId="3" fillId="0" borderId="1" applyAlignment="1" pivotButton="0" quotePrefix="0" xfId="3">
      <alignment horizontal="left" vertical="center"/>
    </xf>
    <xf numFmtId="0" fontId="6" fillId="0" borderId="1" applyAlignment="1" pivotButton="0" quotePrefix="0" xfId="11">
      <alignment horizontal="left" vertical="top" wrapText="1" indent="1"/>
    </xf>
    <xf numFmtId="0" fontId="5" fillId="2" borderId="2" applyAlignment="1" pivotButton="0" quotePrefix="0" xfId="5">
      <alignment horizontal="center" vertical="center" wrapText="1"/>
    </xf>
    <xf numFmtId="0" fontId="9" fillId="7" borderId="2" applyAlignment="1" pivotButton="0" quotePrefix="0" xfId="0">
      <alignment horizontal="left" vertical="top" wrapText="1" indent="1"/>
    </xf>
    <xf numFmtId="0" fontId="0" fillId="7" borderId="0" pivotButton="0" quotePrefix="0" xfId="0"/>
    <xf numFmtId="0" fontId="15" fillId="10" borderId="3" applyAlignment="1" pivotButton="0" quotePrefix="0" xfId="0">
      <alignment horizontal="center" vertical="center"/>
    </xf>
    <xf numFmtId="0" fontId="0" fillId="10" borderId="3" pivotButton="0" quotePrefix="0" xfId="0"/>
    <xf numFmtId="164" fontId="16" fillId="10" borderId="2" applyAlignment="1" pivotButton="0" quotePrefix="0" xfId="0">
      <alignment horizontal="center" vertical="center"/>
    </xf>
    <xf numFmtId="0" fontId="0" fillId="10" borderId="2" pivotButton="0" quotePrefix="0" xfId="0"/>
    <xf numFmtId="165" fontId="16" fillId="10" borderId="2" applyAlignment="1" pivotButton="0" quotePrefix="0" xfId="0">
      <alignment horizontal="center" vertical="center"/>
    </xf>
    <xf numFmtId="3" fontId="16" fillId="10" borderId="2" applyAlignment="1" pivotButton="0" quotePrefix="0" xfId="0">
      <alignment horizontal="center" vertical="center"/>
    </xf>
    <xf numFmtId="9" fontId="16" fillId="10" borderId="2" applyAlignment="1" pivotButton="0" quotePrefix="0" xfId="0">
      <alignment horizontal="center" vertical="center"/>
    </xf>
    <xf numFmtId="0" fontId="6" fillId="0" borderId="2" applyAlignment="1" pivotButton="0" quotePrefix="0" xfId="7">
      <alignment horizontal="left" vertical="center" wrapText="1" indent="1"/>
    </xf>
    <xf numFmtId="9" fontId="6" fillId="0" borderId="2" applyAlignment="1" pivotButton="0" quotePrefix="0" xfId="6">
      <alignment horizontal="center" vertical="center" wrapText="1"/>
    </xf>
    <xf numFmtId="0" fontId="6" fillId="0" borderId="2" applyAlignment="1" pivotButton="0" quotePrefix="0" xfId="6">
      <alignment horizontal="center" vertical="center" wrapText="1"/>
    </xf>
    <xf numFmtId="0" fontId="6" fillId="9" borderId="2" applyAlignment="1" pivotButton="0" quotePrefix="0" xfId="7">
      <alignment horizontal="left" vertical="center" wrapText="1" indent="1"/>
    </xf>
    <xf numFmtId="9" fontId="6" fillId="9" borderId="2" applyAlignment="1" pivotButton="0" quotePrefix="0" xfId="6">
      <alignment horizontal="center" vertical="center" wrapText="1"/>
    </xf>
    <xf numFmtId="0" fontId="6" fillId="9" borderId="2" applyAlignment="1" pivotButton="0" quotePrefix="0" xfId="6">
      <alignment horizontal="center" vertical="center" wrapText="1"/>
    </xf>
    <xf numFmtId="0" fontId="8" fillId="4" borderId="2" applyAlignment="1" pivotButton="0" quotePrefix="0" xfId="9">
      <alignment horizontal="left" vertical="center" indent="1"/>
    </xf>
    <xf numFmtId="164" fontId="7" fillId="3" borderId="2" applyAlignment="1" pivotButton="0" quotePrefix="0" xfId="8">
      <alignment horizontal="center" vertical="center"/>
    </xf>
    <xf numFmtId="3" fontId="7" fillId="3" borderId="2" applyAlignment="1" pivotButton="0" quotePrefix="0" xfId="8">
      <alignment horizontal="center" vertical="center"/>
    </xf>
    <xf numFmtId="164" fontId="7" fillId="0" borderId="2" applyAlignment="1" pivotButton="0" quotePrefix="0" xfId="10">
      <alignment horizontal="left" vertical="center" indent="1"/>
    </xf>
    <xf numFmtId="164" fontId="10" fillId="3" borderId="2" applyAlignment="1" pivotButton="0" quotePrefix="0" xfId="6">
      <alignment horizontal="center" vertical="center" wrapText="1"/>
    </xf>
    <xf numFmtId="164" fontId="11" fillId="3" borderId="2" applyAlignment="1" pivotButton="0" quotePrefix="0" xfId="6">
      <alignment horizontal="center" vertical="center" wrapText="1"/>
    </xf>
    <xf numFmtId="9" fontId="7" fillId="0" borderId="2" applyAlignment="1" pivotButton="0" quotePrefix="0" xfId="10">
      <alignment horizontal="left" vertical="center" indent="1"/>
    </xf>
    <xf numFmtId="164" fontId="12" fillId="6" borderId="2" applyAlignment="1" pivotButton="0" quotePrefix="0" xfId="6">
      <alignment horizontal="center" vertical="center" wrapText="1"/>
    </xf>
    <xf numFmtId="164" fontId="11" fillId="6" borderId="2" applyAlignment="1" pivotButton="0" quotePrefix="0" xfId="6">
      <alignment horizontal="center" vertical="center" wrapText="1"/>
    </xf>
    <xf numFmtId="164" fontId="7" fillId="8" borderId="2" applyAlignment="1" pivotButton="0" quotePrefix="0" xfId="10">
      <alignment horizontal="left" vertical="center" indent="1"/>
    </xf>
    <xf numFmtId="165" fontId="7" fillId="8" borderId="2" applyAlignment="1" pivotButton="0" quotePrefix="0" xfId="10">
      <alignment horizontal="left" vertical="center" indent="1"/>
    </xf>
    <xf numFmtId="164" fontId="7" fillId="7" borderId="2" applyAlignment="1" pivotButton="0" quotePrefix="0" xfId="10">
      <alignment horizontal="left" vertical="center" indent="1"/>
    </xf>
    <xf numFmtId="164" fontId="6" fillId="0" borderId="2" applyAlignment="1" pivotButton="0" quotePrefix="0" xfId="6">
      <alignment horizontal="center" vertical="center" wrapText="1"/>
    </xf>
    <xf numFmtId="164" fontId="6" fillId="9" borderId="2" applyAlignment="1" pivotButton="0" quotePrefix="0" xfId="6">
      <alignment horizontal="center" vertical="center" wrapText="1"/>
    </xf>
    <xf numFmtId="164" fontId="13" fillId="3" borderId="2" applyAlignment="1" pivotButton="0" quotePrefix="0" xfId="6">
      <alignment horizontal="center" vertical="center" wrapText="1"/>
    </xf>
    <xf numFmtId="164" fontId="13" fillId="3" borderId="2" applyAlignment="1" pivotButton="0" quotePrefix="0" xfId="8">
      <alignment horizontal="center" vertical="center"/>
    </xf>
    <xf numFmtId="164" fontId="14" fillId="6" borderId="2" applyAlignment="1" pivotButton="0" quotePrefix="0" xfId="6">
      <alignment horizontal="center" vertical="center" wrapText="1"/>
    </xf>
    <xf numFmtId="165" fontId="11" fillId="6" borderId="2" applyAlignment="1" pivotButton="0" quotePrefix="0" xfId="6">
      <alignment horizontal="center" vertical="center" wrapText="1"/>
    </xf>
    <xf numFmtId="164" fontId="7" fillId="9" borderId="2" applyAlignment="1" pivotButton="0" quotePrefix="0" xfId="8">
      <alignment horizontal="center" vertical="center"/>
    </xf>
    <xf numFmtId="0" fontId="6" fillId="3" borderId="2" applyAlignment="1" pivotButton="0" quotePrefix="0" xfId="6">
      <alignment horizontal="center" vertical="center" wrapText="1"/>
    </xf>
    <xf numFmtId="164" fontId="10" fillId="6" borderId="2" applyAlignment="1" pivotButton="0" quotePrefix="0" xfId="6">
      <alignment horizontal="center" vertical="center" wrapText="1"/>
    </xf>
    <xf numFmtId="164" fontId="7" fillId="6" borderId="2" applyAlignment="1" pivotButton="0" quotePrefix="0" xfId="10">
      <alignment horizontal="left" vertical="center" indent="1"/>
    </xf>
    <xf numFmtId="3" fontId="7" fillId="0" borderId="2" applyAlignment="1" pivotButton="0" quotePrefix="0" xfId="10">
      <alignment horizontal="left" vertical="center" indent="1"/>
    </xf>
    <xf numFmtId="3" fontId="7" fillId="9" borderId="2" applyAlignment="1" pivotButton="0" quotePrefix="0" xfId="8">
      <alignment horizontal="center" vertical="center"/>
    </xf>
    <xf numFmtId="3" fontId="13" fillId="3" borderId="2" applyAlignment="1" pivotButton="0" quotePrefix="0" xfId="6">
      <alignment horizontal="center" vertical="center" wrapText="1"/>
    </xf>
    <xf numFmtId="0" fontId="6" fillId="10" borderId="2" applyAlignment="1" pivotButton="0" quotePrefix="0" xfId="7">
      <alignment horizontal="left" vertical="center" wrapText="1" indent="1"/>
    </xf>
    <xf numFmtId="164" fontId="6" fillId="10" borderId="2" applyAlignment="1" pivotButton="0" quotePrefix="0" xfId="6">
      <alignment horizontal="center" vertical="center" wrapText="1"/>
    </xf>
    <xf numFmtId="0" fontId="6" fillId="10" borderId="2" applyAlignment="1" pivotButton="0" quotePrefix="0" xfId="6">
      <alignment horizontal="center" vertical="center" wrapText="1"/>
    </xf>
    <xf numFmtId="164" fontId="13" fillId="6" borderId="2" applyAlignment="1" pivotButton="0" quotePrefix="0" xfId="6">
      <alignment horizontal="center" vertical="center" wrapText="1"/>
    </xf>
    <xf numFmtId="0" fontId="7" fillId="0" borderId="2" applyAlignment="1" pivotButton="0" quotePrefix="0" xfId="10">
      <alignment horizontal="left" vertical="center" indent="1"/>
    </xf>
    <xf numFmtId="0" fontId="7" fillId="3" borderId="2" applyAlignment="1" pivotButton="0" quotePrefix="0" xfId="8">
      <alignment horizontal="center" vertical="center"/>
    </xf>
    <xf numFmtId="9" fontId="7" fillId="3" borderId="2" applyAlignment="1" pivotButton="0" quotePrefix="0" xfId="8">
      <alignment horizontal="center" vertical="center"/>
    </xf>
    <xf numFmtId="1" fontId="7" fillId="3" borderId="2" applyAlignment="1" pivotButton="0" quotePrefix="0" xfId="8">
      <alignment horizontal="center" vertical="center"/>
    </xf>
  </cellXfs>
  <cellStyles count="12">
    <cellStyle name="Normal" xfId="0" builtinId="0" hidden="0"/>
    <cellStyle name="title" xfId="1" hidden="0"/>
    <cellStyle name="subtitle" xfId="2" hidden="0"/>
    <cellStyle name="section" xfId="3" hidden="0"/>
    <cellStyle name="section_gold" xfId="4" hidden="0"/>
    <cellStyle name="th" xfId="5" hidden="0"/>
    <cellStyle name="td" xfId="6" hidden="0"/>
    <cellStyle name="td_left" xfId="7" hidden="0"/>
    <cellStyle name="input" xfId="8" hidden="0"/>
    <cellStyle name="field_label" xfId="9" hidden="0"/>
    <cellStyle name="field_value" xfId="10" hidden="0"/>
    <cellStyle name="body" xfId="1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Month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'Monthly Summary'!$B$12:$B$17</f>
            </numRef>
          </cat>
          <val>
            <numRef>
              <f>'Monthly Summary'!$C$12:$C$17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Month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'Monthly Summary'!$B$12:$B$17</f>
            </numRef>
          </cat>
          <val>
            <numRef>
              <f>'Monthly Summary'!$C$12:$C$17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12</row>
      <rowOff>0</rowOff>
    </from>
    <ext cx="3096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4320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4" customWidth="1" min="2" max="2"/>
    <col width="3" customWidth="1" min="3" max="3"/>
  </cols>
  <sheetData>
    <row r="1" ht="58" customHeight="1">
      <c r="A1" s="1" t="inlineStr">
        <is>
          <t xml:space="preserve">  📐  CONTRACTOR JOB COSTING &amp; BIDDING COMMAND CENTER™</t>
        </is>
      </c>
    </row>
    <row r="2" ht="24" customHeight="1">
      <c r="A2" s="2" t="inlineStr">
        <is>
          <t xml:space="preserve">  Bid it right, cost it honestly, and finish every job in profit.</t>
        </is>
      </c>
    </row>
    <row r="3" ht="6" customHeight="1">
      <c r="A3" s="3" t="n"/>
      <c r="B3" s="3" t="n"/>
      <c r="C3" s="3" t="n"/>
    </row>
    <row r="5">
      <c r="B5" s="4" t="inlineStr">
        <is>
          <t>YOUR WHOLE OPERATION, IN ONE PLACE</t>
        </is>
      </c>
    </row>
    <row r="6" ht="22" customHeight="1">
      <c r="B6" s="5" t="inlineStr">
        <is>
          <t>Most contractors don't lose money on bad jobs — they lose it on jobs they bid wrong. Forget the overhead, guess the hours, add a margin on top of a number that was already short, and the job finishes at break-even. This fixes that: a bid builder adds materials, labor, subs and equipment, applies your real overhead rate, then divides by your margin to give the price you must quote. Then cost every job estimate-versus-actual, run your crew, subs, change orders and receivables, and watch your win rate — all in ONE premium Google Sheets &amp; Excel system.</t>
        </is>
      </c>
    </row>
    <row r="7" ht="22" customHeight="1">
      <c r="B7" s="6" t="n"/>
    </row>
    <row r="8" ht="22" customHeight="1">
      <c r="B8" s="6" t="n"/>
    </row>
    <row r="9" ht="22" customHeight="1">
      <c r="B9" s="6" t="n"/>
    </row>
    <row r="11">
      <c r="B11" s="7" t="inlineStr">
        <is>
          <t>START HERE — 6 QUICK STEPS</t>
        </is>
      </c>
    </row>
    <row r="12" ht="22" customHeight="1">
      <c r="B12" s="8" t="inlineStr">
        <is>
          <t>1.  Open Settings — set your labor rate, overhead % and target margin.</t>
        </is>
      </c>
    </row>
    <row r="13" ht="22" customHeight="1">
      <c r="B13" s="8" t="inlineStr">
        <is>
          <t>2.  Build a bid: materials, labor hours, subs, equipment.</t>
        </is>
      </c>
    </row>
    <row r="14" ht="22" customHeight="1">
      <c r="B14" s="8" t="inlineStr">
        <is>
          <t>3.  Read the price to quote — overhead and margin already in it.</t>
        </is>
      </c>
    </row>
    <row r="15" ht="22" customHeight="1">
      <c r="B15" s="8" t="inlineStr">
        <is>
          <t>4.  Log actual costs as the job runs. Estimate vs actual, live.</t>
        </is>
      </c>
    </row>
    <row r="16" ht="22" customHeight="1">
      <c r="B16" s="8" t="inlineStr">
        <is>
          <t>5.  Track change orders, subs, invoices and your bid win rate.</t>
        </is>
      </c>
    </row>
    <row r="17" ht="22" customHeight="1">
      <c r="B17" s="8" t="inlineStr">
        <is>
          <t>6.  Check the Dashboard: margin, backlog &amp; a Builder Score.</t>
        </is>
      </c>
    </row>
    <row r="20" ht="26" customHeight="1">
      <c r="B20" s="9" t="inlineStr">
        <is>
          <t xml:space="preserve">  GOOD TO KNOW</t>
        </is>
      </c>
    </row>
    <row r="21" ht="22" customHeight="1">
      <c r="B21" s="10" t="inlineStr">
        <is>
          <t>Sample data for a fictional builder (Ironwood Builders, owner Cal) is included so you can see how it all connects — just type over it with your own jobs and rates. The critical detail most bid sheets get wrong: margin is a DIVISOR, not a multiplier. Cost ÷ (1 − 20%) gives a real 20% margin; cost × 1.20 only gives you 16.7%. This workbook does it correctly. Twelve matching printable pages (bid worksheet, job cost sheet, change order form, daily log &amp; more) are included. This is a business &amp; organizing tool, not financial, legal, tax or construction advice.</t>
        </is>
      </c>
    </row>
    <row r="22" ht="22" customHeight="1">
      <c r="B22" s="11" t="n"/>
    </row>
    <row r="23" ht="22" customHeight="1">
      <c r="B23" s="11" t="n"/>
    </row>
    <row r="25">
      <c r="B25" s="4" t="inlineStr">
        <is>
          <t>Markup is not margin. Divide by (1 − margin), or you're working for less than you think.</t>
        </is>
      </c>
    </row>
  </sheetData>
  <mergeCells count="14">
    <mergeCell ref="B17"/>
    <mergeCell ref="B12"/>
    <mergeCell ref="B13"/>
    <mergeCell ref="A1:C1"/>
    <mergeCell ref="B15"/>
    <mergeCell ref="B11"/>
    <mergeCell ref="B21:B23"/>
    <mergeCell ref="B6:B9"/>
    <mergeCell ref="B16"/>
    <mergeCell ref="B20"/>
    <mergeCell ref="B25"/>
    <mergeCell ref="B5"/>
    <mergeCell ref="B1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" customWidth="1" min="14" max="14"/>
  </cols>
  <sheetData>
    <row r="1" ht="56" customHeight="1">
      <c r="A1" s="1" t="inlineStr">
        <is>
          <t xml:space="preserve">  📐  CONTRACTOR JOB COSTING &amp; BIDDING COMMAND CENTER™</t>
        </is>
      </c>
    </row>
    <row r="2" ht="24" customHeight="1">
      <c r="A2" s="2" t="inlineStr">
        <is>
          <t xml:space="preserve">  Bid price, job margin, backlog &amp; a Builder Score — your whole operation, at a glance.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5" ht="18" customHeight="1">
      <c r="B5" s="12" t="inlineStr">
        <is>
          <t>DIRECT COST</t>
        </is>
      </c>
      <c r="C5" s="13" t="n"/>
      <c r="D5" s="12" t="inlineStr">
        <is>
          <t>OVERHEAD</t>
        </is>
      </c>
      <c r="E5" s="13" t="n"/>
      <c r="F5" s="12" t="inlineStr">
        <is>
          <t>TOTAL COST</t>
        </is>
      </c>
      <c r="G5" s="13" t="n"/>
      <c r="H5" s="12" t="inlineStr">
        <is>
          <t>BID THIS JOB AT</t>
        </is>
      </c>
      <c r="I5" s="13" t="n"/>
      <c r="J5" s="12" t="inlineStr">
        <is>
          <t>PLANNED PROFIT</t>
        </is>
      </c>
      <c r="K5" s="13" t="n"/>
      <c r="L5" s="12" t="inlineStr">
        <is>
          <t>ACTUAL MARGIN</t>
        </is>
      </c>
      <c r="M5" s="13" t="n"/>
    </row>
    <row r="6" ht="40" customHeight="1">
      <c r="B6" s="14">
        <f>DirectCost</f>
        <v/>
      </c>
      <c r="C6" s="15" t="n"/>
      <c r="D6" s="14">
        <f>Overhead</f>
        <v/>
      </c>
      <c r="E6" s="15" t="n"/>
      <c r="F6" s="14">
        <f>TotalCost</f>
        <v/>
      </c>
      <c r="G6" s="15" t="n"/>
      <c r="H6" s="14">
        <f>BidPrice</f>
        <v/>
      </c>
      <c r="I6" s="15" t="n"/>
      <c r="J6" s="14">
        <f>PlannedProfit</f>
        <v/>
      </c>
      <c r="K6" s="15" t="n"/>
      <c r="L6" s="16">
        <f>ActualMargin</f>
        <v/>
      </c>
      <c r="M6" s="15" t="n"/>
    </row>
    <row r="8" ht="18" customHeight="1">
      <c r="B8" s="12" t="inlineStr">
        <is>
          <t>ACTUAL PROFIT</t>
        </is>
      </c>
      <c r="C8" s="13" t="n"/>
      <c r="D8" s="12" t="inlineStr">
        <is>
          <t>JOBS THIS YEAR</t>
        </is>
      </c>
      <c r="E8" s="13" t="n"/>
      <c r="F8" s="12" t="inlineStr">
        <is>
          <t>BACKLOG</t>
        </is>
      </c>
      <c r="G8" s="13" t="n"/>
      <c r="H8" s="12" t="inlineStr">
        <is>
          <t>RECEIVABLES</t>
        </is>
      </c>
      <c r="I8" s="13" t="n"/>
      <c r="J8" s="12" t="inlineStr">
        <is>
          <t>WIN RATE</t>
        </is>
      </c>
      <c r="K8" s="13" t="n"/>
      <c r="L8" s="12" t="inlineStr">
        <is>
          <t>BUILDER SCORE</t>
        </is>
      </c>
      <c r="M8" s="13" t="n"/>
    </row>
    <row r="9" ht="40" customHeight="1">
      <c r="B9" s="14">
        <f>ActualProfit</f>
        <v/>
      </c>
      <c r="C9" s="15" t="n"/>
      <c r="D9" s="17">
        <f>JobCount</f>
        <v/>
      </c>
      <c r="E9" s="15" t="n"/>
      <c r="F9" s="14">
        <f>Backlog</f>
        <v/>
      </c>
      <c r="G9" s="15" t="n"/>
      <c r="H9" s="14">
        <f>Receivable</f>
        <v/>
      </c>
      <c r="I9" s="15" t="n"/>
      <c r="J9" s="16">
        <f>WinRate</f>
        <v/>
      </c>
      <c r="K9" s="15" t="n"/>
      <c r="L9" s="18">
        <f>IFERROR(AVERAGE(HealthRange),0)</f>
        <v/>
      </c>
      <c r="M9" s="15" t="n"/>
    </row>
    <row r="11" ht="26" customHeight="1">
      <c r="B11" s="4" t="inlineStr">
        <is>
          <t>BUILDER HEALTH</t>
        </is>
      </c>
      <c r="H11" s="4" t="inlineStr">
        <is>
          <t>REVENUE BY MONTH</t>
        </is>
      </c>
    </row>
    <row r="12" ht="30" customHeight="1">
      <c r="B12" s="9" t="inlineStr">
        <is>
          <t>Check</t>
        </is>
      </c>
      <c r="C12" s="9" t="inlineStr">
        <is>
          <t>Score</t>
        </is>
      </c>
      <c r="D12" s="9" t="inlineStr">
        <is>
          <t>Status</t>
        </is>
      </c>
    </row>
    <row r="13">
      <c r="B13" s="19" t="inlineStr">
        <is>
          <t>Job margin healthy</t>
        </is>
      </c>
      <c r="C13" s="20">
        <f>IFERROR(MIN(ActualMargin/MarginGoal,1),0)</f>
        <v/>
      </c>
      <c r="D13" s="21">
        <f>IF(C13&gt;=0.85,"Strong",IF(C13&gt;=0.6,"OK","Watch"))</f>
        <v/>
      </c>
    </row>
    <row r="14">
      <c r="B14" s="22" t="inlineStr">
        <is>
          <t>Backlog full</t>
        </is>
      </c>
      <c r="C14" s="23">
        <f>IFERROR(MIN(Backlog/BacklogGoal,1),0)</f>
        <v/>
      </c>
      <c r="D14" s="24">
        <f>IF(C14&gt;=0.85,"Strong",IF(C14&gt;=0.6,"OK","Watch"))</f>
        <v/>
      </c>
    </row>
    <row r="15">
      <c r="B15" s="19" t="inlineStr">
        <is>
          <t>Net margin healthy</t>
        </is>
      </c>
      <c r="C15" s="20">
        <f>IFERROR(MIN(NetMargin/NetMarginGoal,1),0)</f>
        <v/>
      </c>
      <c r="D15" s="21">
        <f>IF(C15&gt;=0.85,"Strong",IF(C15&gt;=0.6,"OK","Watch"))</f>
        <v/>
      </c>
    </row>
    <row r="16">
      <c r="B16" s="22" t="inlineStr">
        <is>
          <t>Getting paid on time</t>
        </is>
      </c>
      <c r="C16" s="23">
        <f>IF(Receivable&lt;=ReceivableGoal,1,IFERROR(ReceivableGoal/Receivable,0))</f>
        <v/>
      </c>
      <c r="D16" s="24">
        <f>IF(C16&gt;=0.85,"Strong",IF(C16&gt;=0.6,"OK","Watch"))</f>
        <v/>
      </c>
    </row>
    <row r="17">
      <c r="B17" s="19" t="inlineStr">
        <is>
          <t>Jobs booked</t>
        </is>
      </c>
      <c r="C17" s="20">
        <f>IFERROR(MIN(JobCount/JobGoal,1),0)</f>
        <v/>
      </c>
      <c r="D17" s="21">
        <f>IF(C17&gt;=0.85,"Strong",IF(C17&gt;=0.6,"OK","Watch"))</f>
        <v/>
      </c>
    </row>
    <row r="18">
      <c r="B18" s="22" t="inlineStr">
        <is>
          <t>Bid win rate</t>
        </is>
      </c>
      <c r="C18" s="23">
        <f>IFERROR(MIN(WinRate/WinRateGoal,1),0)</f>
        <v/>
      </c>
      <c r="D18" s="24">
        <f>IF(C18&gt;=0.85,"Strong",IF(C18&gt;=0.6,"OK","Watch"))</f>
        <v/>
      </c>
    </row>
    <row r="21" ht="26" customHeight="1">
      <c r="B21" s="2" t="inlineStr">
        <is>
          <t>Contractor Job Costing &amp; Bidding Command Center™ — markup is not margin.</t>
        </is>
      </c>
    </row>
  </sheetData>
  <mergeCells count="29">
    <mergeCell ref="J5:K5"/>
    <mergeCell ref="F6:G6"/>
    <mergeCell ref="H11:M11"/>
    <mergeCell ref="H9:I9"/>
    <mergeCell ref="A1:N1"/>
    <mergeCell ref="J9:K9"/>
    <mergeCell ref="D6:E6"/>
    <mergeCell ref="H6:I6"/>
    <mergeCell ref="J6:K6"/>
    <mergeCell ref="B21:M21"/>
    <mergeCell ref="F5:G5"/>
    <mergeCell ref="L5:M5"/>
    <mergeCell ref="L8:M8"/>
    <mergeCell ref="B8:C8"/>
    <mergeCell ref="F8:G8"/>
    <mergeCell ref="A2:N2"/>
    <mergeCell ref="B9:C9"/>
    <mergeCell ref="D9:E9"/>
    <mergeCell ref="F9:G9"/>
    <mergeCell ref="L9:M9"/>
    <mergeCell ref="D8:E8"/>
    <mergeCell ref="B6:C6"/>
    <mergeCell ref="L6:M6"/>
    <mergeCell ref="B5:C5"/>
    <mergeCell ref="D5:E5"/>
    <mergeCell ref="H5:I5"/>
    <mergeCell ref="H8:I8"/>
    <mergeCell ref="J8:K8"/>
    <mergeCell ref="B11:G11"/>
  </mergeCells>
  <conditionalFormatting sqref="C13:C18">
    <cfRule type="colorScale" priority="1">
      <colorScale>
        <cfvo type="num" val="0"/>
        <cfvo type="num" val="0.5"/>
        <cfvo type="num" val="1"/>
        <color rgb="FFFBF0E2"/>
        <color rgb="FFFFF3CD"/>
        <color rgb="FF75E6C1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18" customWidth="1" min="3" max="3"/>
    <col width="2" customWidth="1" min="4" max="4"/>
  </cols>
  <sheetData>
    <row r="1" ht="46" customHeight="1">
      <c r="A1" s="1" t="inlineStr">
        <is>
          <t xml:space="preserve">  🧮  BID BUILDER</t>
        </is>
      </c>
    </row>
    <row r="2" ht="22" customHeight="1">
      <c r="A2" s="2" t="inlineStr">
        <is>
          <t xml:space="preserve">  Materials + labor + subs + equipment, plus real overhead, divided by your margin = the price to quote.</t>
        </is>
      </c>
    </row>
    <row r="3" ht="6" customHeight="1">
      <c r="A3" s="3" t="n"/>
      <c r="B3" s="3" t="n"/>
      <c r="C3" s="3" t="n"/>
    </row>
    <row r="5">
      <c r="B5" s="4" t="inlineStr">
        <is>
          <t>DIRECT COST</t>
        </is>
      </c>
    </row>
    <row r="6">
      <c r="B6" s="25" t="inlineStr">
        <is>
          <t>Materials</t>
        </is>
      </c>
      <c r="C6" s="26" t="n">
        <v>14000</v>
      </c>
    </row>
    <row r="7">
      <c r="B7" s="25" t="inlineStr">
        <is>
          <t>Labor hours</t>
        </is>
      </c>
      <c r="C7" s="27" t="n">
        <v>320</v>
      </c>
    </row>
    <row r="8">
      <c r="B8" s="25" t="inlineStr">
        <is>
          <t>+ Labor (hours × rate)</t>
        </is>
      </c>
      <c r="C8" s="28">
        <f>BidHours*LaborRate</f>
        <v/>
      </c>
    </row>
    <row r="9">
      <c r="B9" s="25" t="inlineStr">
        <is>
          <t>+ Subcontractors</t>
        </is>
      </c>
      <c r="C9" s="26" t="n">
        <v>8500</v>
      </c>
    </row>
    <row r="10">
      <c r="B10" s="25" t="inlineStr">
        <is>
          <t>+ Equipment &amp; rentals</t>
        </is>
      </c>
      <c r="C10" s="26" t="n">
        <v>1200</v>
      </c>
    </row>
    <row r="11">
      <c r="B11" s="9">
        <f> DIRECT COST</f>
        <v/>
      </c>
      <c r="C11" s="29">
        <f>BidMaterials+BidLabor+BidSubs+BidEquip</f>
        <v/>
      </c>
    </row>
    <row r="13">
      <c r="B13" s="4" t="inlineStr">
        <is>
          <t>OVERHEAD &amp; MARGIN</t>
        </is>
      </c>
    </row>
    <row r="14">
      <c r="B14" s="25" t="inlineStr">
        <is>
          <t>+ Overhead (rate × direct cost)</t>
        </is>
      </c>
      <c r="C14" s="28">
        <f>DirectCost*OverheadRate</f>
        <v/>
      </c>
    </row>
    <row r="15">
      <c r="B15" s="9">
        <f> TOTAL COST</f>
        <v/>
      </c>
      <c r="C15" s="30">
        <f>DirectCost+Overhead</f>
        <v/>
      </c>
    </row>
    <row r="16">
      <c r="B16" s="25" t="inlineStr">
        <is>
          <t>÷ (1 − target margin)</t>
        </is>
      </c>
      <c r="C16" s="31">
        <f>1-MarginTarget</f>
        <v/>
      </c>
    </row>
    <row r="17">
      <c r="B17" s="9">
        <f> BID THIS JOB AT</f>
        <v/>
      </c>
      <c r="C17" s="32">
        <f>IFERROR(TotalCost/(1-MarginTarget),0)</f>
        <v/>
      </c>
    </row>
    <row r="18">
      <c r="B18" s="9">
        <f> PLANNED PROFIT</f>
        <v/>
      </c>
      <c r="C18" s="33">
        <f>BidPrice-TotalCost</f>
        <v/>
      </c>
    </row>
    <row r="20">
      <c r="B20" s="4" t="inlineStr">
        <is>
          <t>⚠ MARKUP IS NOT MARGIN</t>
        </is>
      </c>
    </row>
    <row r="21">
      <c r="B21" s="25" t="inlineStr">
        <is>
          <t>If you multiplied by (1 + margin) instead...</t>
        </is>
      </c>
      <c r="C21" s="34">
        <f>TotalCost*(1+MarginTarget)</f>
        <v/>
      </c>
    </row>
    <row r="22">
      <c r="B22" s="25" t="inlineStr">
        <is>
          <t>...you'd actually earn only this margin</t>
        </is>
      </c>
      <c r="C22" s="35">
        <f>IFERROR((TotalCost*(1+MarginTarget)-TotalCost)/(TotalCost*(1+MarginTarget)),0)</f>
        <v/>
      </c>
    </row>
    <row r="23">
      <c r="B23" s="25" t="inlineStr">
        <is>
          <t>...and leave this much on the table</t>
        </is>
      </c>
      <c r="C23" s="36">
        <f>BidPrice-TotalCost*(1+MarginTarget)</f>
        <v/>
      </c>
    </row>
    <row r="25">
      <c r="B25" s="4" t="inlineStr">
        <is>
          <t>Every bid you multiply instead of divide quietly hands money back to the client.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8" customWidth="1" min="3" max="3"/>
    <col width="18" customWidth="1" min="4" max="4"/>
    <col width="2" customWidth="1" min="5" max="5"/>
  </cols>
  <sheetData>
    <row r="1" ht="46" customHeight="1">
      <c r="A1" s="1" t="inlineStr">
        <is>
          <t xml:space="preserve">  📊  JOB COSTING</t>
        </is>
      </c>
    </row>
    <row r="2" ht="22" customHeight="1">
      <c r="A2" s="2" t="inlineStr">
        <is>
          <t xml:space="preserve">  What you estimated against what it actually cost — the only way to bid the next one better.</t>
        </is>
      </c>
    </row>
    <row r="3" ht="6" customHeight="1">
      <c r="A3" s="3" t="n"/>
      <c r="B3" s="3" t="n"/>
      <c r="C3" s="3" t="n"/>
      <c r="D3" s="3" t="n"/>
    </row>
    <row r="5" ht="30" customHeight="1">
      <c r="B5" s="9" t="inlineStr">
        <is>
          <t>Line</t>
        </is>
      </c>
      <c r="C5" s="9" t="inlineStr">
        <is>
          <t>Estimated</t>
        </is>
      </c>
      <c r="D5" s="9" t="inlineStr">
        <is>
          <t>Actual</t>
        </is>
      </c>
    </row>
    <row r="6">
      <c r="B6" s="19" t="inlineStr">
        <is>
          <t>Materials</t>
        </is>
      </c>
      <c r="C6" s="37">
        <f>BidMaterials</f>
        <v/>
      </c>
      <c r="D6" s="37">
        <f>MaterialTotal</f>
        <v/>
      </c>
    </row>
    <row r="7">
      <c r="B7" s="22" t="inlineStr">
        <is>
          <t>Labor</t>
        </is>
      </c>
      <c r="C7" s="38">
        <f>BidLabor</f>
        <v/>
      </c>
      <c r="D7" s="38">
        <f>CrewCost</f>
        <v/>
      </c>
    </row>
    <row r="8">
      <c r="B8" s="19" t="inlineStr">
        <is>
          <t>Subcontractors</t>
        </is>
      </c>
      <c r="C8" s="37">
        <f>BidSubs</f>
        <v/>
      </c>
      <c r="D8" s="37">
        <f>SubInvoiced</f>
        <v/>
      </c>
    </row>
    <row r="9">
      <c r="B9" s="22" t="inlineStr">
        <is>
          <t>Equipment &amp; rentals</t>
        </is>
      </c>
      <c r="C9" s="38">
        <f>BidEquip</f>
        <v/>
      </c>
      <c r="D9" s="38">
        <f>EquipTotal</f>
        <v/>
      </c>
    </row>
    <row r="10">
      <c r="B10" s="19" t="inlineStr">
        <is>
          <t>Overhead</t>
        </is>
      </c>
      <c r="C10" s="37">
        <f>Overhead</f>
        <v/>
      </c>
      <c r="D10" s="37">
        <f>Overhead</f>
        <v/>
      </c>
    </row>
    <row r="11">
      <c r="B11" s="9" t="inlineStr">
        <is>
          <t>TOTAL COST</t>
        </is>
      </c>
      <c r="C11" s="39">
        <f>TotalCost</f>
        <v/>
      </c>
      <c r="D11" s="40" t="n">
        <v>41178</v>
      </c>
    </row>
    <row r="13">
      <c r="B13" s="25" t="inlineStr">
        <is>
          <t>Contract price (the bid)</t>
        </is>
      </c>
      <c r="D13" s="28">
        <f>BidPrice</f>
        <v/>
      </c>
    </row>
    <row r="14">
      <c r="B14" s="9">
        <f> ACTUAL PROFIT</f>
        <v/>
      </c>
      <c r="D14" s="41">
        <f>BidPrice-ActualCost</f>
        <v/>
      </c>
    </row>
    <row r="15">
      <c r="B15" s="9">
        <f> ACTUAL MARGIN</f>
        <v/>
      </c>
      <c r="D15" s="42">
        <f>IFERROR(ActualProfit/BidPrice,0)</f>
        <v/>
      </c>
    </row>
    <row r="16">
      <c r="B16" s="25" t="inlineStr">
        <is>
          <t>Variance vs estimate (under / over)</t>
        </is>
      </c>
      <c r="D16" s="28">
        <f>TotalCost-ActualCost</f>
        <v/>
      </c>
    </row>
    <row r="18">
      <c r="B18" s="4" t="inlineStr">
        <is>
          <t>A job that beats its estimate tells you to keep bidding that way. One that misses tells you why.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2" customWidth="1" min="8" max="8"/>
  </cols>
  <sheetData>
    <row r="1" ht="46" customHeight="1">
      <c r="A1" s="1" t="inlineStr">
        <is>
          <t xml:space="preserve">  🏗  JOBS &amp; PIPELINE</t>
        </is>
      </c>
    </row>
    <row r="2" ht="22" customHeight="1">
      <c r="A2" s="2" t="inlineStr">
        <is>
          <t xml:space="preserve">  Every job — bid, estimated cost, expected profit and where it stands right now.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B4" s="9" t="inlineStr">
        <is>
          <t>Job</t>
        </is>
      </c>
      <c r="C4" s="9" t="inlineStr">
        <is>
          <t>Client</t>
        </is>
      </c>
      <c r="D4" s="9" t="inlineStr">
        <is>
          <t>Status</t>
        </is>
      </c>
      <c r="E4" s="9" t="inlineStr">
        <is>
          <t>Bid</t>
        </is>
      </c>
      <c r="F4" s="9" t="inlineStr">
        <is>
          <t>Est. Cost</t>
        </is>
      </c>
      <c r="G4" s="9" t="inlineStr">
        <is>
          <t>Est. Profit</t>
        </is>
      </c>
    </row>
    <row r="5">
      <c r="B5" s="19" t="inlineStr">
        <is>
          <t>Kitchen remodel — Hale</t>
        </is>
      </c>
      <c r="C5" s="21" t="inlineStr">
        <is>
          <t>Hale</t>
        </is>
      </c>
      <c r="D5" s="21" t="inlineStr">
        <is>
          <t>In progress</t>
        </is>
      </c>
      <c r="E5" s="26" t="n">
        <v>53340</v>
      </c>
      <c r="F5" s="26" t="n">
        <v>42672</v>
      </c>
      <c r="G5" s="37">
        <f>E5-F5</f>
        <v/>
      </c>
    </row>
    <row r="6">
      <c r="B6" s="22" t="inlineStr">
        <is>
          <t>Bath gut — Ortiz</t>
        </is>
      </c>
      <c r="C6" s="24" t="inlineStr">
        <is>
          <t>Ortiz</t>
        </is>
      </c>
      <c r="D6" s="24" t="inlineStr">
        <is>
          <t>Won</t>
        </is>
      </c>
      <c r="E6" s="43" t="n">
        <v>28500</v>
      </c>
      <c r="F6" s="43" t="n">
        <v>22400</v>
      </c>
      <c r="G6" s="38">
        <f>E6-F6</f>
        <v/>
      </c>
    </row>
    <row r="7">
      <c r="B7" s="19" t="inlineStr">
        <is>
          <t>Deck &amp; pergola — Nunes</t>
        </is>
      </c>
      <c r="C7" s="21" t="inlineStr">
        <is>
          <t>Nunes</t>
        </is>
      </c>
      <c r="D7" s="21" t="inlineStr">
        <is>
          <t>Complete</t>
        </is>
      </c>
      <c r="E7" s="26" t="n">
        <v>19800</v>
      </c>
      <c r="F7" s="26" t="n">
        <v>15200</v>
      </c>
      <c r="G7" s="37">
        <f>E7-F7</f>
        <v/>
      </c>
    </row>
    <row r="8">
      <c r="B8" s="22" t="inlineStr">
        <is>
          <t>Basement finish — Park</t>
        </is>
      </c>
      <c r="C8" s="24" t="inlineStr">
        <is>
          <t>Park</t>
        </is>
      </c>
      <c r="D8" s="24" t="inlineStr">
        <is>
          <t>In progress</t>
        </is>
      </c>
      <c r="E8" s="43" t="n">
        <v>61200</v>
      </c>
      <c r="F8" s="43" t="n">
        <v>48900</v>
      </c>
      <c r="G8" s="38">
        <f>E8-F8</f>
        <v/>
      </c>
    </row>
    <row r="9">
      <c r="B9" s="19" t="inlineStr">
        <is>
          <t>Garage conversion — Reid</t>
        </is>
      </c>
      <c r="C9" s="21" t="inlineStr">
        <is>
          <t>Reid</t>
        </is>
      </c>
      <c r="D9" s="21" t="inlineStr">
        <is>
          <t>Won</t>
        </is>
      </c>
      <c r="E9" s="26" t="n">
        <v>44500</v>
      </c>
      <c r="F9" s="26" t="n">
        <v>35800</v>
      </c>
      <c r="G9" s="37">
        <f>E9-F9</f>
        <v/>
      </c>
    </row>
    <row r="10">
      <c r="B10" s="22" t="inlineStr">
        <is>
          <t>Whole-home paint — Vance</t>
        </is>
      </c>
      <c r="C10" s="24" t="inlineStr">
        <is>
          <t>Vance</t>
        </is>
      </c>
      <c r="D10" s="24" t="inlineStr">
        <is>
          <t>Complete</t>
        </is>
      </c>
      <c r="E10" s="43" t="n">
        <v>12600</v>
      </c>
      <c r="F10" s="43" t="n">
        <v>9400</v>
      </c>
      <c r="G10" s="38">
        <f>E10-F10</f>
        <v/>
      </c>
    </row>
    <row r="11">
      <c r="B11" s="19" t="inlineStr">
        <is>
          <t>Roof replace — Cobb</t>
        </is>
      </c>
      <c r="C11" s="21" t="inlineStr">
        <is>
          <t>Cobb</t>
        </is>
      </c>
      <c r="D11" s="21" t="inlineStr">
        <is>
          <t>Complete</t>
        </is>
      </c>
      <c r="E11" s="26" t="n">
        <v>24800</v>
      </c>
      <c r="F11" s="26" t="n">
        <v>19100</v>
      </c>
      <c r="G11" s="37">
        <f>E11-F11</f>
        <v/>
      </c>
    </row>
    <row r="12">
      <c r="B12" s="22" t="inlineStr">
        <is>
          <t>Addition — Marsh</t>
        </is>
      </c>
      <c r="C12" s="24" t="inlineStr">
        <is>
          <t>Marsh</t>
        </is>
      </c>
      <c r="D12" s="24" t="inlineStr">
        <is>
          <t>Bidding</t>
        </is>
      </c>
      <c r="E12" s="43" t="n">
        <v>96000</v>
      </c>
      <c r="F12" s="43" t="n">
        <v>76500</v>
      </c>
      <c r="G12" s="38">
        <f>E12-F12</f>
        <v/>
      </c>
    </row>
    <row r="13">
      <c r="B13" s="19" t="inlineStr">
        <is>
          <t>Siding — Doyle</t>
        </is>
      </c>
      <c r="C13" s="21" t="inlineStr">
        <is>
          <t>Doyle</t>
        </is>
      </c>
      <c r="D13" s="21" t="inlineStr">
        <is>
          <t>Bidding</t>
        </is>
      </c>
      <c r="E13" s="26" t="n">
        <v>31500</v>
      </c>
      <c r="F13" s="26" t="n">
        <v>25200</v>
      </c>
      <c r="G13" s="37">
        <f>E13-F13</f>
        <v/>
      </c>
    </row>
    <row r="14">
      <c r="B14" s="9" t="inlineStr">
        <is>
          <t>ALL JOBS</t>
        </is>
      </c>
      <c r="C14" s="44" t="n"/>
      <c r="D14" s="44" t="n"/>
      <c r="E14" s="39">
        <f>SUM(JobBid)</f>
        <v/>
      </c>
      <c r="F14" s="39">
        <f>SUM(JobCost)</f>
        <v/>
      </c>
      <c r="G14" s="45">
        <f>E14-F14</f>
        <v/>
      </c>
    </row>
    <row r="16">
      <c r="B16" s="25" t="inlineStr">
        <is>
          <t>Backlog (won + in progress)</t>
        </is>
      </c>
      <c r="E16" s="46">
        <f>SUMIF(JobStatus,"Won",JobBid)+SUMIF(JobStatus,"In progress",JobBid)</f>
        <v/>
      </c>
    </row>
    <row r="17">
      <c r="B17" s="25" t="inlineStr">
        <is>
          <t>Jobs this year</t>
        </is>
      </c>
      <c r="E17" s="47">
        <f>COUNTA(JobName)</f>
        <v/>
      </c>
    </row>
  </sheetData>
  <mergeCells count="2">
    <mergeCell ref="A2:G2"/>
    <mergeCell ref="A1:G1"/>
  </mergeCells>
  <dataValidations count="1">
    <dataValidation sqref="D5:D13" showDropDown="0" showInputMessage="0" showErrorMessage="0" allowBlank="1" type="list">
      <formula1>=JobStatusList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2" customWidth="1" min="2" max="2"/>
    <col width="18" customWidth="1" min="3" max="3"/>
    <col width="14" customWidth="1" min="4" max="4"/>
    <col width="14" customWidth="1" min="5" max="5"/>
    <col width="16" customWidth="1" min="6" max="6"/>
    <col width="2" customWidth="1" min="7" max="7"/>
  </cols>
  <sheetData>
    <row r="1" ht="46" customHeight="1">
      <c r="A1" s="1" t="inlineStr">
        <is>
          <t xml:space="preserve">  👷  LABOR &amp; CREW</t>
        </is>
      </c>
    </row>
    <row r="2" ht="22" customHeight="1">
      <c r="A2" s="2" t="inlineStr">
        <is>
          <t xml:space="preserve">  Who's on the job, at what rate, for how many hours — the biggest and least-tracked cost you have.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B4" s="9" t="inlineStr">
        <is>
          <t>Name</t>
        </is>
      </c>
      <c r="C4" s="9" t="inlineStr">
        <is>
          <t>Trade</t>
        </is>
      </c>
      <c r="D4" s="9" t="inlineStr">
        <is>
          <t>$ / Hour</t>
        </is>
      </c>
      <c r="E4" s="9" t="inlineStr">
        <is>
          <t>Hours</t>
        </is>
      </c>
      <c r="F4" s="9" t="inlineStr">
        <is>
          <t>Cost</t>
        </is>
      </c>
    </row>
    <row r="5">
      <c r="B5" s="19" t="inlineStr">
        <is>
          <t>Cal (owner)</t>
        </is>
      </c>
      <c r="C5" s="21" t="inlineStr">
        <is>
          <t>General</t>
        </is>
      </c>
      <c r="D5" s="26" t="n">
        <v>45</v>
      </c>
      <c r="E5" s="27" t="n">
        <v>60</v>
      </c>
      <c r="F5" s="37">
        <f>D5*E5</f>
        <v/>
      </c>
    </row>
    <row r="6">
      <c r="B6" s="22" t="inlineStr">
        <is>
          <t>Dev</t>
        </is>
      </c>
      <c r="C6" s="24" t="inlineStr">
        <is>
          <t>Framing</t>
        </is>
      </c>
      <c r="D6" s="43" t="n">
        <v>38</v>
      </c>
      <c r="E6" s="48" t="n">
        <v>80</v>
      </c>
      <c r="F6" s="38">
        <f>D6*E6</f>
        <v/>
      </c>
    </row>
    <row r="7">
      <c r="B7" s="19" t="inlineStr">
        <is>
          <t>Rosa</t>
        </is>
      </c>
      <c r="C7" s="21" t="inlineStr">
        <is>
          <t>Drywall</t>
        </is>
      </c>
      <c r="D7" s="26" t="n">
        <v>36</v>
      </c>
      <c r="E7" s="27" t="n">
        <v>72</v>
      </c>
      <c r="F7" s="37">
        <f>D7*E7</f>
        <v/>
      </c>
    </row>
    <row r="8">
      <c r="B8" s="22" t="inlineStr">
        <is>
          <t>Tomas</t>
        </is>
      </c>
      <c r="C8" s="24" t="inlineStr">
        <is>
          <t>Tile</t>
        </is>
      </c>
      <c r="D8" s="43" t="n">
        <v>42</v>
      </c>
      <c r="E8" s="48" t="n">
        <v>56</v>
      </c>
      <c r="F8" s="38">
        <f>D8*E8</f>
        <v/>
      </c>
    </row>
    <row r="9">
      <c r="B9" s="19" t="inlineStr">
        <is>
          <t>Jae</t>
        </is>
      </c>
      <c r="C9" s="21" t="inlineStr">
        <is>
          <t>Paint</t>
        </is>
      </c>
      <c r="D9" s="26" t="n">
        <v>32</v>
      </c>
      <c r="E9" s="27" t="n">
        <v>52</v>
      </c>
      <c r="F9" s="37">
        <f>D9*E9</f>
        <v/>
      </c>
    </row>
    <row r="10">
      <c r="B10" s="9" t="inlineStr">
        <is>
          <t>CREW TOTAL</t>
        </is>
      </c>
      <c r="C10" s="44" t="n"/>
      <c r="D10" s="44" t="n"/>
      <c r="E10" s="49">
        <f>SUM(CrewHours)</f>
        <v/>
      </c>
      <c r="F10" s="45">
        <f>SUM(CrewLine)</f>
        <v/>
      </c>
    </row>
  </sheetData>
  <mergeCells count="2">
    <mergeCell ref="A2:F2"/>
    <mergeCell ref="A1:F1"/>
  </mergeCells>
  <dataValidations count="1">
    <dataValidation sqref="C5:C9" showDropDown="0" showInputMessage="0" showErrorMessage="0" allowBlank="1" type="list">
      <formula1>=TradeList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8" customWidth="1" min="2" max="2"/>
    <col width="12" customWidth="1" min="3" max="3"/>
    <col width="16" customWidth="1" min="4" max="4"/>
    <col width="16" customWidth="1" min="5" max="5"/>
    <col width="2" customWidth="1" min="6" max="6"/>
  </cols>
  <sheetData>
    <row r="1" ht="46" customHeight="1">
      <c r="A1" s="1" t="inlineStr">
        <is>
          <t xml:space="preserve">  🧱  MATERIALS</t>
        </is>
      </c>
    </row>
    <row r="2" ht="22" customHeight="1">
      <c r="A2" s="2" t="inlineStr">
        <is>
          <t xml:space="preserve">  Every material line on the job — what you allowed for and what it actually came to.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Item</t>
        </is>
      </c>
      <c r="C4" s="9" t="inlineStr">
        <is>
          <t>Qty</t>
        </is>
      </c>
      <c r="D4" s="9" t="inlineStr">
        <is>
          <t>Unit Cost</t>
        </is>
      </c>
      <c r="E4" s="9" t="inlineStr">
        <is>
          <t>Total</t>
        </is>
      </c>
    </row>
    <row r="5">
      <c r="B5" s="19" t="inlineStr">
        <is>
          <t>Cabinets</t>
        </is>
      </c>
      <c r="C5" s="27" t="n">
        <v>1</v>
      </c>
      <c r="D5" s="26" t="n">
        <v>6200</v>
      </c>
      <c r="E5" s="37">
        <f>C5*D5</f>
        <v/>
      </c>
    </row>
    <row r="6">
      <c r="B6" s="22" t="inlineStr">
        <is>
          <t>Countertop — quartz</t>
        </is>
      </c>
      <c r="C6" s="48" t="n">
        <v>1</v>
      </c>
      <c r="D6" s="43" t="n">
        <v>3400</v>
      </c>
      <c r="E6" s="38">
        <f>C6*D6</f>
        <v/>
      </c>
    </row>
    <row r="7">
      <c r="B7" s="19" t="inlineStr">
        <is>
          <t>Tile &amp; backsplash</t>
        </is>
      </c>
      <c r="C7" s="27" t="n">
        <v>1</v>
      </c>
      <c r="D7" s="26" t="n">
        <v>1450</v>
      </c>
      <c r="E7" s="37">
        <f>C7*D7</f>
        <v/>
      </c>
    </row>
    <row r="8">
      <c r="B8" s="22" t="inlineStr">
        <is>
          <t>Lumber &amp; framing</t>
        </is>
      </c>
      <c r="C8" s="48" t="n">
        <v>1</v>
      </c>
      <c r="D8" s="43" t="n">
        <v>1250</v>
      </c>
      <c r="E8" s="38">
        <f>C8*D8</f>
        <v/>
      </c>
    </row>
    <row r="9">
      <c r="B9" s="19" t="inlineStr">
        <is>
          <t>Fixtures &amp; hardware</t>
        </is>
      </c>
      <c r="C9" s="27" t="n">
        <v>1</v>
      </c>
      <c r="D9" s="26" t="n">
        <v>980</v>
      </c>
      <c r="E9" s="37">
        <f>C9*D9</f>
        <v/>
      </c>
    </row>
    <row r="10">
      <c r="B10" s="22" t="inlineStr">
        <is>
          <t>Paint &amp; finishes</t>
        </is>
      </c>
      <c r="C10" s="48" t="n">
        <v>1</v>
      </c>
      <c r="D10" s="43" t="n">
        <v>420</v>
      </c>
      <c r="E10" s="38">
        <f>C10*D10</f>
        <v/>
      </c>
    </row>
    <row r="11">
      <c r="B11" s="19" t="inlineStr">
        <is>
          <t>Fasteners &amp; misc</t>
        </is>
      </c>
      <c r="C11" s="27" t="n">
        <v>1</v>
      </c>
      <c r="D11" s="26" t="n">
        <v>300</v>
      </c>
      <c r="E11" s="37">
        <f>C11*D11</f>
        <v/>
      </c>
    </row>
    <row r="12">
      <c r="B12" s="9" t="inlineStr">
        <is>
          <t>MATERIALS TOTAL</t>
        </is>
      </c>
      <c r="C12" s="44" t="n"/>
      <c r="D12" s="44" t="n"/>
      <c r="E12" s="45">
        <f>SUM(MatLine)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6" customWidth="1" min="2" max="2"/>
    <col width="18" customWidth="1" min="3" max="3"/>
    <col width="16" customWidth="1" min="4" max="4"/>
    <col width="16" customWidth="1" min="5" max="5"/>
    <col width="2" customWidth="1" min="6" max="6"/>
  </cols>
  <sheetData>
    <row r="1" ht="46" customHeight="1">
      <c r="A1" s="1" t="inlineStr">
        <is>
          <t xml:space="preserve">  🔧  SUBCONTRACTORS</t>
        </is>
      </c>
    </row>
    <row r="2" ht="22" customHeight="1">
      <c r="A2" s="2" t="inlineStr">
        <is>
          <t xml:space="preserve">  What each sub quoted against what they actually invoiced — where jobs quietly go over.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Subcontractor</t>
        </is>
      </c>
      <c r="C4" s="9" t="inlineStr">
        <is>
          <t>Trade</t>
        </is>
      </c>
      <c r="D4" s="9" t="inlineStr">
        <is>
          <t>Quoted</t>
        </is>
      </c>
      <c r="E4" s="9" t="inlineStr">
        <is>
          <t>Invoiced</t>
        </is>
      </c>
    </row>
    <row r="5">
      <c r="B5" s="19" t="inlineStr">
        <is>
          <t>Bright Spark Electric</t>
        </is>
      </c>
      <c r="C5" s="21" t="inlineStr">
        <is>
          <t>Electrical</t>
        </is>
      </c>
      <c r="D5" s="26" t="n">
        <v>3400</v>
      </c>
      <c r="E5" s="26" t="n">
        <v>3400</v>
      </c>
    </row>
    <row r="6">
      <c r="B6" s="22" t="inlineStr">
        <is>
          <t>FlowRight Plumbing</t>
        </is>
      </c>
      <c r="C6" s="24" t="inlineStr">
        <is>
          <t>Plumbing</t>
        </is>
      </c>
      <c r="D6" s="43" t="n">
        <v>2900</v>
      </c>
      <c r="E6" s="43" t="n">
        <v>2900</v>
      </c>
    </row>
    <row r="7">
      <c r="B7" s="19" t="inlineStr">
        <is>
          <t>CoolAir HVAC</t>
        </is>
      </c>
      <c r="C7" s="21" t="inlineStr">
        <is>
          <t>HVAC</t>
        </is>
      </c>
      <c r="D7" s="26" t="n">
        <v>1600</v>
      </c>
      <c r="E7" s="26" t="n">
        <v>1450</v>
      </c>
    </row>
    <row r="8">
      <c r="B8" s="22" t="inlineStr">
        <is>
          <t>Stoneworks Tile</t>
        </is>
      </c>
      <c r="C8" s="24" t="inlineStr">
        <is>
          <t>Tile</t>
        </is>
      </c>
      <c r="D8" s="43" t="n">
        <v>600</v>
      </c>
      <c r="E8" s="43" t="n">
        <v>600</v>
      </c>
    </row>
    <row r="9">
      <c r="B9" s="9" t="inlineStr">
        <is>
          <t>SUBS TOTAL</t>
        </is>
      </c>
      <c r="C9" s="44" t="n"/>
      <c r="D9" s="39">
        <f>SUM(SubQuoted)</f>
        <v/>
      </c>
      <c r="E9" s="45">
        <f>SUM(SubInv)</f>
        <v/>
      </c>
    </row>
  </sheetData>
  <mergeCells count="2">
    <mergeCell ref="A2:E2"/>
    <mergeCell ref="A1:E1"/>
  </mergeCells>
  <dataValidations count="1">
    <dataValidation sqref="C5:C8" showDropDown="0" showInputMessage="0" showErrorMessage="0" allowBlank="1" type="list">
      <formula1>=TradeList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6" customWidth="1" min="2" max="2"/>
    <col width="24" customWidth="1" min="3" max="3"/>
    <col width="14" customWidth="1" min="4" max="4"/>
    <col width="14" customWidth="1" min="5" max="5"/>
    <col width="2" customWidth="1" min="6" max="6"/>
  </cols>
  <sheetData>
    <row r="1" ht="46" customHeight="1">
      <c r="A1" s="1" t="inlineStr">
        <is>
          <t xml:space="preserve">  📝  CHANGE ORDERS</t>
        </is>
      </c>
    </row>
    <row r="2" ht="22" customHeight="1">
      <c r="A2" s="2" t="inlineStr">
        <is>
          <t xml:space="preserve">  Every scope change, priced and approved in writing — unbilled change orders are pure lost profit.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Job</t>
        </is>
      </c>
      <c r="C4" s="9" t="inlineStr">
        <is>
          <t>Change</t>
        </is>
      </c>
      <c r="D4" s="9" t="inlineStr">
        <is>
          <t>Amount</t>
        </is>
      </c>
      <c r="E4" s="9" t="inlineStr">
        <is>
          <t>Approved?</t>
        </is>
      </c>
    </row>
    <row r="5">
      <c r="B5" s="50" t="inlineStr">
        <is>
          <t>Kitchen remodel — Hale</t>
        </is>
      </c>
      <c r="C5" s="50" t="inlineStr">
        <is>
          <t>Move gas line</t>
        </is>
      </c>
      <c r="D5" s="51" t="n">
        <v>1400</v>
      </c>
      <c r="E5" s="52" t="inlineStr">
        <is>
          <t>Yes</t>
        </is>
      </c>
    </row>
    <row r="6">
      <c r="B6" s="22" t="inlineStr">
        <is>
          <t>Kitchen remodel — Hale</t>
        </is>
      </c>
      <c r="C6" s="22" t="inlineStr">
        <is>
          <t>Upgrade to quartz</t>
        </is>
      </c>
      <c r="D6" s="38" t="n">
        <v>2200</v>
      </c>
      <c r="E6" s="24" t="inlineStr">
        <is>
          <t>Yes</t>
        </is>
      </c>
    </row>
    <row r="7">
      <c r="B7" s="50" t="inlineStr">
        <is>
          <t>Basement finish — Park</t>
        </is>
      </c>
      <c r="C7" s="50" t="inlineStr">
        <is>
          <t>Add egress window</t>
        </is>
      </c>
      <c r="D7" s="51" t="n">
        <v>1800</v>
      </c>
      <c r="E7" s="52" t="inlineStr">
        <is>
          <t>Yes</t>
        </is>
      </c>
    </row>
    <row r="8">
      <c r="B8" s="22" t="inlineStr">
        <is>
          <t>Garage conversion — Reid</t>
        </is>
      </c>
      <c r="C8" s="22" t="inlineStr">
        <is>
          <t>Extra insulation</t>
        </is>
      </c>
      <c r="D8" s="38" t="n">
        <v>800</v>
      </c>
      <c r="E8" s="24" t="inlineStr">
        <is>
          <t>Yes</t>
        </is>
      </c>
    </row>
    <row r="9">
      <c r="B9" s="50" t="n"/>
      <c r="C9" s="50" t="n"/>
      <c r="D9" s="51" t="n"/>
      <c r="E9" s="52" t="n"/>
    </row>
    <row r="10">
      <c r="B10" s="22" t="n"/>
      <c r="C10" s="22" t="n"/>
      <c r="D10" s="38" t="n"/>
      <c r="E10" s="24" t="n"/>
    </row>
    <row r="11">
      <c r="B11" s="50" t="n"/>
      <c r="C11" s="50" t="n"/>
      <c r="D11" s="51" t="n"/>
      <c r="E11" s="52" t="n"/>
    </row>
    <row r="12">
      <c r="B12" s="22" t="n"/>
      <c r="C12" s="22" t="n"/>
      <c r="D12" s="38" t="n"/>
      <c r="E12" s="24" t="n"/>
    </row>
    <row r="13">
      <c r="B13" s="50" t="n"/>
      <c r="C13" s="50" t="n"/>
      <c r="D13" s="51" t="n"/>
      <c r="E13" s="52" t="n"/>
    </row>
    <row r="14">
      <c r="B14" s="22" t="n"/>
      <c r="C14" s="22" t="n"/>
      <c r="D14" s="38" t="n"/>
      <c r="E14" s="24" t="n"/>
    </row>
    <row r="15">
      <c r="B15" s="50" t="n"/>
      <c r="C15" s="50" t="n"/>
      <c r="D15" s="51" t="n"/>
      <c r="E15" s="52" t="n"/>
    </row>
    <row r="16">
      <c r="B16" s="22" t="n"/>
      <c r="C16" s="22" t="n"/>
      <c r="D16" s="38" t="n"/>
      <c r="E16" s="24" t="n"/>
    </row>
    <row r="17">
      <c r="B17" s="50" t="n"/>
      <c r="C17" s="50" t="n"/>
      <c r="D17" s="51" t="n"/>
      <c r="E17" s="52" t="n"/>
    </row>
    <row r="18">
      <c r="B18" s="22" t="n"/>
      <c r="C18" s="22" t="n"/>
      <c r="D18" s="38" t="n"/>
      <c r="E18" s="24" t="n"/>
    </row>
    <row r="19">
      <c r="B19" s="50" t="n"/>
      <c r="C19" s="50" t="n"/>
      <c r="D19" s="51" t="n"/>
      <c r="E19" s="52" t="n"/>
    </row>
    <row r="20">
      <c r="B20" s="22" t="n"/>
      <c r="C20" s="22" t="n"/>
      <c r="D20" s="38" t="n"/>
      <c r="E20" s="24" t="n"/>
    </row>
    <row r="21">
      <c r="B21" s="50" t="n"/>
      <c r="C21" s="50" t="n"/>
      <c r="D21" s="51" t="n"/>
      <c r="E21" s="52" t="n"/>
    </row>
    <row r="22">
      <c r="B22" s="22" t="n"/>
      <c r="C22" s="22" t="n"/>
      <c r="D22" s="38" t="n"/>
      <c r="E22" s="24" t="n"/>
    </row>
    <row r="23">
      <c r="B23" s="50" t="n"/>
      <c r="C23" s="50" t="n"/>
      <c r="D23" s="51" t="n"/>
      <c r="E23" s="52" t="n"/>
    </row>
    <row r="24">
      <c r="B24" s="22" t="n"/>
      <c r="C24" s="22" t="n"/>
      <c r="D24" s="38" t="n"/>
      <c r="E24" s="24" t="n"/>
    </row>
    <row r="25">
      <c r="B25" s="50" t="n"/>
      <c r="C25" s="50" t="n"/>
      <c r="D25" s="51" t="n"/>
      <c r="E25" s="52" t="n"/>
    </row>
    <row r="26">
      <c r="B26" s="22" t="n"/>
      <c r="C26" s="22" t="n"/>
      <c r="D26" s="38" t="n"/>
      <c r="E26" s="24" t="n"/>
    </row>
    <row r="27">
      <c r="B27" s="50" t="n"/>
      <c r="C27" s="50" t="n"/>
      <c r="D27" s="51" t="n"/>
      <c r="E27" s="52" t="n"/>
    </row>
    <row r="28">
      <c r="B28" s="22" t="n"/>
      <c r="C28" s="22" t="n"/>
      <c r="D28" s="38" t="n"/>
      <c r="E28" s="24" t="n"/>
    </row>
    <row r="29">
      <c r="B29" s="50" t="n"/>
      <c r="C29" s="50" t="n"/>
      <c r="D29" s="51" t="n"/>
      <c r="E29" s="52" t="n"/>
    </row>
    <row r="30">
      <c r="B30" s="22" t="n"/>
      <c r="C30" s="22" t="n"/>
      <c r="D30" s="38" t="n"/>
      <c r="E30" s="24" t="n"/>
    </row>
    <row r="31">
      <c r="B31" s="9" t="inlineStr">
        <is>
          <t>APPROVED CHANGE ORDERS</t>
        </is>
      </c>
      <c r="C31" s="44" t="n"/>
      <c r="D31" s="45">
        <f>SUMIF(ChangeOK,"Yes",ChangeAmt)</f>
        <v/>
      </c>
      <c r="E31" s="44" t="n"/>
    </row>
    <row r="33">
      <c r="B33" s="4" t="inlineStr">
        <is>
          <t>No signature, no work. A verbal change order is a donation.</t>
        </is>
      </c>
    </row>
  </sheetData>
  <mergeCells count="2">
    <mergeCell ref="A2:E2"/>
    <mergeCell ref="A1:E1"/>
  </mergeCells>
  <dataValidations count="1">
    <dataValidation sqref="E5:E30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8" customWidth="1" min="2" max="2"/>
    <col width="18" customWidth="1" min="3" max="3"/>
    <col width="16" customWidth="1" min="4" max="4"/>
    <col width="2" customWidth="1" min="5" max="5"/>
  </cols>
  <sheetData>
    <row r="1" ht="46" customHeight="1">
      <c r="A1" s="1" t="inlineStr">
        <is>
          <t xml:space="preserve">  🚜  EQUIPMENT</t>
        </is>
      </c>
    </row>
    <row r="2" ht="22" customHeight="1">
      <c r="A2" s="2" t="inlineStr">
        <is>
          <t xml:space="preserve">  Rentals and machine time charged to this job — small lines that add up fast.</t>
        </is>
      </c>
    </row>
    <row r="3" ht="6" customHeight="1">
      <c r="A3" s="3" t="n"/>
      <c r="B3" s="3" t="n"/>
      <c r="C3" s="3" t="n"/>
      <c r="D3" s="3" t="n"/>
    </row>
    <row r="4" ht="30" customHeight="1">
      <c r="B4" s="9" t="inlineStr">
        <is>
          <t>Item</t>
        </is>
      </c>
      <c r="C4" s="9" t="inlineStr">
        <is>
          <t>Owned / Rented</t>
        </is>
      </c>
      <c r="D4" s="9" t="inlineStr">
        <is>
          <t>Cost</t>
        </is>
      </c>
    </row>
    <row r="5">
      <c r="B5" s="19" t="inlineStr">
        <is>
          <t>Mini excavator (rented)</t>
        </is>
      </c>
      <c r="C5" s="21" t="inlineStr">
        <is>
          <t>Rented</t>
        </is>
      </c>
      <c r="D5" s="26" t="n">
        <v>480</v>
      </c>
    </row>
    <row r="6">
      <c r="B6" s="22" t="inlineStr">
        <is>
          <t>Scaffolding (rented)</t>
        </is>
      </c>
      <c r="C6" s="24" t="inlineStr">
        <is>
          <t>Rented</t>
        </is>
      </c>
      <c r="D6" s="43" t="n">
        <v>320</v>
      </c>
    </row>
    <row r="7">
      <c r="B7" s="19" t="inlineStr">
        <is>
          <t>Dumpster</t>
        </is>
      </c>
      <c r="C7" s="21" t="inlineStr">
        <is>
          <t>Rented</t>
        </is>
      </c>
      <c r="D7" s="26" t="n">
        <v>400</v>
      </c>
    </row>
    <row r="8">
      <c r="B8" s="22" t="inlineStr">
        <is>
          <t>Tool consumables</t>
        </is>
      </c>
      <c r="C8" s="24" t="inlineStr">
        <is>
          <t>Owned</t>
        </is>
      </c>
      <c r="D8" s="43" t="n">
        <v>0</v>
      </c>
    </row>
    <row r="9">
      <c r="B9" s="9" t="inlineStr">
        <is>
          <t>EQUIPMENT TOTAL</t>
        </is>
      </c>
      <c r="C9" s="44" t="n"/>
      <c r="D9" s="53">
        <f>SUM(EquipCost)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16" customWidth="1" min="4" max="4"/>
    <col width="2" customWidth="1" min="5" max="5"/>
  </cols>
  <sheetData>
    <row r="1" ht="46" customHeight="1">
      <c r="A1" s="1" t="inlineStr">
        <is>
          <t xml:space="preserve">  💳  INVOICES &amp; RECEIVABLES</t>
        </is>
      </c>
    </row>
    <row r="2" ht="22" customHeight="1">
      <c r="A2" s="2" t="inlineStr">
        <is>
          <t xml:space="preserve">  What you've billed and what's still outstanding — cash flow kills more contractors than bad jobs.</t>
        </is>
      </c>
    </row>
    <row r="3" ht="6" customHeight="1">
      <c r="A3" s="3" t="n"/>
      <c r="B3" s="3" t="n"/>
      <c r="C3" s="3" t="n"/>
      <c r="D3" s="3" t="n"/>
    </row>
    <row r="4" ht="30" customHeight="1">
      <c r="B4" s="9" t="inlineStr">
        <is>
          <t>Job</t>
        </is>
      </c>
      <c r="C4" s="9" t="inlineStr">
        <is>
          <t>Amount</t>
        </is>
      </c>
      <c r="D4" s="9" t="inlineStr">
        <is>
          <t>Status</t>
        </is>
      </c>
    </row>
    <row r="5">
      <c r="B5" s="50" t="inlineStr">
        <is>
          <t>Kitchen remodel — Hale</t>
        </is>
      </c>
      <c r="C5" s="51" t="n">
        <v>26670</v>
      </c>
      <c r="D5" s="52" t="inlineStr">
        <is>
          <t>Paid</t>
        </is>
      </c>
    </row>
    <row r="6">
      <c r="B6" s="22" t="inlineStr">
        <is>
          <t>Basement finish — Park</t>
        </is>
      </c>
      <c r="C6" s="38" t="n">
        <v>30600</v>
      </c>
      <c r="D6" s="24" t="inlineStr">
        <is>
          <t>Paid</t>
        </is>
      </c>
    </row>
    <row r="7">
      <c r="B7" s="50" t="inlineStr">
        <is>
          <t>Garage conversion — Reid</t>
        </is>
      </c>
      <c r="C7" s="51" t="n">
        <v>22250</v>
      </c>
      <c r="D7" s="52" t="inlineStr">
        <is>
          <t>Sent</t>
        </is>
      </c>
    </row>
    <row r="8">
      <c r="B8" s="22" t="inlineStr">
        <is>
          <t>Bath gut — Ortiz</t>
        </is>
      </c>
      <c r="C8" s="38" t="n">
        <v>8750</v>
      </c>
      <c r="D8" s="24" t="inlineStr">
        <is>
          <t>Sent</t>
        </is>
      </c>
    </row>
    <row r="9">
      <c r="B9" s="50" t="inlineStr">
        <is>
          <t>Siding — Doyle</t>
        </is>
      </c>
      <c r="C9" s="51" t="n">
        <v>0</v>
      </c>
      <c r="D9" s="52" t="inlineStr">
        <is>
          <t>Draft</t>
        </is>
      </c>
    </row>
    <row r="10">
      <c r="B10" s="22" t="n"/>
      <c r="C10" s="38" t="n"/>
      <c r="D10" s="24" t="n"/>
    </row>
    <row r="11">
      <c r="B11" s="50" t="n"/>
      <c r="C11" s="51" t="n"/>
      <c r="D11" s="52" t="n"/>
    </row>
    <row r="12">
      <c r="B12" s="22" t="n"/>
      <c r="C12" s="38" t="n"/>
      <c r="D12" s="24" t="n"/>
    </row>
    <row r="13">
      <c r="B13" s="50" t="n"/>
      <c r="C13" s="51" t="n"/>
      <c r="D13" s="52" t="n"/>
    </row>
    <row r="14">
      <c r="B14" s="22" t="n"/>
      <c r="C14" s="38" t="n"/>
      <c r="D14" s="24" t="n"/>
    </row>
    <row r="15">
      <c r="B15" s="50" t="n"/>
      <c r="C15" s="51" t="n"/>
      <c r="D15" s="52" t="n"/>
    </row>
    <row r="16">
      <c r="B16" s="22" t="n"/>
      <c r="C16" s="38" t="n"/>
      <c r="D16" s="24" t="n"/>
    </row>
    <row r="17">
      <c r="B17" s="50" t="n"/>
      <c r="C17" s="51" t="n"/>
      <c r="D17" s="52" t="n"/>
    </row>
    <row r="18">
      <c r="B18" s="22" t="n"/>
      <c r="C18" s="38" t="n"/>
      <c r="D18" s="24" t="n"/>
    </row>
    <row r="19">
      <c r="B19" s="50" t="n"/>
      <c r="C19" s="51" t="n"/>
      <c r="D19" s="52" t="n"/>
    </row>
    <row r="20">
      <c r="B20" s="22" t="n"/>
      <c r="C20" s="38" t="n"/>
      <c r="D20" s="24" t="n"/>
    </row>
    <row r="21">
      <c r="B21" s="50" t="n"/>
      <c r="C21" s="51" t="n"/>
      <c r="D21" s="52" t="n"/>
    </row>
    <row r="22">
      <c r="B22" s="22" t="n"/>
      <c r="C22" s="38" t="n"/>
      <c r="D22" s="24" t="n"/>
    </row>
    <row r="23">
      <c r="B23" s="50" t="n"/>
      <c r="C23" s="51" t="n"/>
      <c r="D23" s="52" t="n"/>
    </row>
    <row r="24">
      <c r="B24" s="22" t="n"/>
      <c r="C24" s="38" t="n"/>
      <c r="D24" s="24" t="n"/>
    </row>
    <row r="25">
      <c r="B25" s="50" t="n"/>
      <c r="C25" s="51" t="n"/>
      <c r="D25" s="52" t="n"/>
    </row>
    <row r="26">
      <c r="B26" s="22" t="n"/>
      <c r="C26" s="38" t="n"/>
      <c r="D26" s="24" t="n"/>
    </row>
    <row r="27">
      <c r="B27" s="50" t="n"/>
      <c r="C27" s="51" t="n"/>
      <c r="D27" s="52" t="n"/>
    </row>
    <row r="28">
      <c r="B28" s="22" t="n"/>
      <c r="C28" s="38" t="n"/>
      <c r="D28" s="24" t="n"/>
    </row>
    <row r="29">
      <c r="B29" s="50" t="n"/>
      <c r="C29" s="51" t="n"/>
      <c r="D29" s="52" t="n"/>
    </row>
    <row r="30">
      <c r="B30" s="22" t="n"/>
      <c r="C30" s="38" t="n"/>
      <c r="D30" s="24" t="n"/>
    </row>
    <row r="31">
      <c r="B31" s="9" t="inlineStr">
        <is>
          <t>INVOICED</t>
        </is>
      </c>
      <c r="C31" s="39">
        <f>SUM(InvAmt)</f>
        <v/>
      </c>
      <c r="D31" s="44" t="n"/>
    </row>
    <row r="32">
      <c r="B32" s="25" t="inlineStr">
        <is>
          <t>Outstanding (sent, unpaid)</t>
        </is>
      </c>
      <c r="C32" s="36">
        <f>SUMIF(InvStatus,"Sent",InvAmt)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30" customWidth="1" min="2" max="2"/>
    <col width="18" customWidth="1" min="3" max="3"/>
    <col width="16" customWidth="1" min="4" max="4"/>
    <col width="2" customWidth="1" min="5" max="5"/>
  </cols>
  <sheetData>
    <row r="1" ht="46" customHeight="1">
      <c r="A1" s="1" t="inlineStr">
        <is>
          <t xml:space="preserve">  🎯  BID LOG</t>
        </is>
      </c>
    </row>
    <row r="2" ht="22" customHeight="1">
      <c r="A2" s="2" t="inlineStr">
        <is>
          <t xml:space="preserve">  Every bid you submitted and how it landed — your win rate tells you if you're priced right.</t>
        </is>
      </c>
    </row>
    <row r="3" ht="6" customHeight="1">
      <c r="A3" s="3" t="n"/>
      <c r="B3" s="3" t="n"/>
      <c r="C3" s="3" t="n"/>
      <c r="D3" s="3" t="n"/>
    </row>
    <row r="4" ht="30" customHeight="1">
      <c r="B4" s="9" t="inlineStr">
        <is>
          <t>Job</t>
        </is>
      </c>
      <c r="C4" s="9" t="inlineStr">
        <is>
          <t>Bid Amount</t>
        </is>
      </c>
      <c r="D4" s="9" t="inlineStr">
        <is>
          <t>Result</t>
        </is>
      </c>
    </row>
    <row r="5">
      <c r="B5" s="19" t="inlineStr">
        <is>
          <t>Kitchen remodel — Hale</t>
        </is>
      </c>
      <c r="C5" s="26" t="n">
        <v>53340</v>
      </c>
      <c r="D5" s="21" t="inlineStr">
        <is>
          <t>Won</t>
        </is>
      </c>
    </row>
    <row r="6">
      <c r="B6" s="22" t="inlineStr">
        <is>
          <t>Bath gut — Ortiz</t>
        </is>
      </c>
      <c r="C6" s="43" t="n">
        <v>28500</v>
      </c>
      <c r="D6" s="24" t="inlineStr">
        <is>
          <t>Won</t>
        </is>
      </c>
    </row>
    <row r="7">
      <c r="B7" s="19" t="inlineStr">
        <is>
          <t>Deck &amp; pergola — Nunes</t>
        </is>
      </c>
      <c r="C7" s="26" t="n">
        <v>19800</v>
      </c>
      <c r="D7" s="21" t="inlineStr">
        <is>
          <t>Won</t>
        </is>
      </c>
    </row>
    <row r="8">
      <c r="B8" s="22" t="inlineStr">
        <is>
          <t>Basement finish — Park</t>
        </is>
      </c>
      <c r="C8" s="43" t="n">
        <v>61200</v>
      </c>
      <c r="D8" s="24" t="inlineStr">
        <is>
          <t>Won</t>
        </is>
      </c>
    </row>
    <row r="9">
      <c r="B9" s="19" t="inlineStr">
        <is>
          <t>Garage conversion — Reid</t>
        </is>
      </c>
      <c r="C9" s="26" t="n">
        <v>44500</v>
      </c>
      <c r="D9" s="21" t="inlineStr">
        <is>
          <t>Won</t>
        </is>
      </c>
    </row>
    <row r="10">
      <c r="B10" s="22" t="inlineStr">
        <is>
          <t>Whole-home paint — Vance</t>
        </is>
      </c>
      <c r="C10" s="43" t="n">
        <v>12600</v>
      </c>
      <c r="D10" s="24" t="inlineStr">
        <is>
          <t>Won</t>
        </is>
      </c>
    </row>
    <row r="11">
      <c r="B11" s="19" t="inlineStr">
        <is>
          <t>Roof replace — Cobb</t>
        </is>
      </c>
      <c r="C11" s="26" t="n">
        <v>24800</v>
      </c>
      <c r="D11" s="21" t="inlineStr">
        <is>
          <t>Won</t>
        </is>
      </c>
    </row>
    <row r="12">
      <c r="B12" s="22" t="inlineStr">
        <is>
          <t>Kitchen — Alder St</t>
        </is>
      </c>
      <c r="C12" s="43" t="n">
        <v>41000</v>
      </c>
      <c r="D12" s="24" t="inlineStr">
        <is>
          <t>Lost</t>
        </is>
      </c>
    </row>
    <row r="13">
      <c r="B13" s="19" t="inlineStr">
        <is>
          <t>Bath — Cedar Ct</t>
        </is>
      </c>
      <c r="C13" s="26" t="n">
        <v>18500</v>
      </c>
      <c r="D13" s="21" t="inlineStr">
        <is>
          <t>Lost</t>
        </is>
      </c>
    </row>
    <row r="14">
      <c r="B14" s="22" t="inlineStr">
        <is>
          <t>Deck — Rowe</t>
        </is>
      </c>
      <c r="C14" s="43" t="n">
        <v>14200</v>
      </c>
      <c r="D14" s="24" t="inlineStr">
        <is>
          <t>Lost</t>
        </is>
      </c>
    </row>
    <row r="15">
      <c r="B15" s="19" t="inlineStr">
        <is>
          <t>Addition — Marsh</t>
        </is>
      </c>
      <c r="C15" s="26" t="n">
        <v>96000</v>
      </c>
      <c r="D15" s="21" t="inlineStr">
        <is>
          <t>Pending</t>
        </is>
      </c>
    </row>
    <row r="16">
      <c r="B16" s="22" t="inlineStr">
        <is>
          <t>Siding — Doyle</t>
        </is>
      </c>
      <c r="C16" s="43" t="n">
        <v>31500</v>
      </c>
      <c r="D16" s="24" t="inlineStr">
        <is>
          <t>Pending</t>
        </is>
      </c>
    </row>
    <row r="17">
      <c r="B17" s="9" t="inlineStr">
        <is>
          <t>BID TOTAL</t>
        </is>
      </c>
      <c r="C17" s="39">
        <f>SUM(BidAmt)</f>
        <v/>
      </c>
      <c r="D17" s="44" t="n"/>
    </row>
    <row r="19">
      <c r="B19" s="25" t="inlineStr">
        <is>
          <t>Bids won / submitted</t>
        </is>
      </c>
      <c r="C19" s="54">
        <f>COUNTIF(BidResult,"Won")&amp;" / "&amp;BidsTotal</f>
        <v/>
      </c>
    </row>
    <row r="20">
      <c r="B20" s="9">
        <f> WIN RATE</f>
        <v/>
      </c>
      <c r="C20" s="42">
        <f>IFERROR(BidsWon/BidsTotal,0)</f>
        <v/>
      </c>
    </row>
    <row r="22">
      <c r="B22" s="4" t="inlineStr">
        <is>
          <t>Winning every bid means you're too cheap. Winning none means you're too dear.</t>
        </is>
      </c>
    </row>
  </sheetData>
  <mergeCells count="2">
    <mergeCell ref="A1:D1"/>
    <mergeCell ref="A2:D2"/>
  </mergeCells>
  <dataValidations count="1">
    <dataValidation sqref="D5:D16" showDropDown="0" showInputMessage="0" showErrorMessage="0" allowBlank="1" type="list">
      <formula1>=BidResultList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8" customWidth="1" min="3" max="3"/>
    <col width="2" customWidth="1" min="4" max="4"/>
  </cols>
  <sheetData>
    <row r="1" ht="46" customHeight="1">
      <c r="A1" s="1" t="inlineStr">
        <is>
          <t xml:space="preserve">  📈  MONTHLY SUMMARY</t>
        </is>
      </c>
    </row>
    <row r="2" ht="22" customHeight="1">
      <c r="A2" s="2" t="inlineStr">
        <is>
          <t xml:space="preserve">  Revenue month by month — and the net margin that says whether the year is working.</t>
        </is>
      </c>
    </row>
    <row r="3" ht="6" customHeight="1">
      <c r="A3" s="3" t="n"/>
      <c r="B3" s="3" t="n"/>
      <c r="C3" s="3" t="n"/>
    </row>
    <row r="5">
      <c r="B5" s="4" t="inlineStr">
        <is>
          <t>THE YEAR</t>
        </is>
      </c>
    </row>
    <row r="6">
      <c r="B6" s="25" t="inlineStr">
        <is>
          <t>Revenue (all jobs bid &amp; won)</t>
        </is>
      </c>
      <c r="C6" s="26" t="n">
        <v>428000</v>
      </c>
    </row>
    <row r="7">
      <c r="B7" s="25" t="inlineStr">
        <is>
          <t>Net profit</t>
        </is>
      </c>
      <c r="C7" s="26" t="n">
        <v>79000</v>
      </c>
    </row>
    <row r="8">
      <c r="B8" s="9">
        <f> NET MARGIN</f>
        <v/>
      </c>
      <c r="C8" s="42">
        <f>IFERROR(NetProfit/RevenueYTD,0)</f>
        <v/>
      </c>
    </row>
    <row r="10">
      <c r="B10" s="4" t="inlineStr">
        <is>
          <t>THE TREND</t>
        </is>
      </c>
    </row>
    <row r="11" ht="30" customHeight="1">
      <c r="B11" s="9" t="inlineStr">
        <is>
          <t>Month</t>
        </is>
      </c>
      <c r="C11" s="9" t="inlineStr">
        <is>
          <t>Revenue</t>
        </is>
      </c>
    </row>
    <row r="12">
      <c r="B12" s="19" t="inlineStr">
        <is>
          <t>Feb</t>
        </is>
      </c>
      <c r="C12" s="26" t="n">
        <v>52000</v>
      </c>
    </row>
    <row r="13">
      <c r="B13" s="22" t="inlineStr">
        <is>
          <t>Mar</t>
        </is>
      </c>
      <c r="C13" s="43" t="n">
        <v>61000</v>
      </c>
    </row>
    <row r="14">
      <c r="B14" s="19" t="inlineStr">
        <is>
          <t>Apr</t>
        </is>
      </c>
      <c r="C14" s="26" t="n">
        <v>68000</v>
      </c>
    </row>
    <row r="15">
      <c r="B15" s="22" t="inlineStr">
        <is>
          <t>May</t>
        </is>
      </c>
      <c r="C15" s="43" t="n">
        <v>74000</v>
      </c>
    </row>
    <row r="16">
      <c r="B16" s="19" t="inlineStr">
        <is>
          <t>Jun</t>
        </is>
      </c>
      <c r="C16" s="26" t="n">
        <v>81000</v>
      </c>
    </row>
    <row r="17">
      <c r="B17" s="22" t="inlineStr">
        <is>
          <t>Jul</t>
        </is>
      </c>
      <c r="C17" s="43" t="n">
        <v>92000</v>
      </c>
    </row>
  </sheetData>
  <mergeCells count="2">
    <mergeCell ref="A1:C1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20" customWidth="1" min="3" max="3"/>
    <col width="3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46" customHeight="1">
      <c r="A1" s="1" t="inlineStr">
        <is>
          <t xml:space="preserve">  ⚙  SETTINGS</t>
        </is>
      </c>
    </row>
    <row r="2" ht="22" customHeight="1">
      <c r="A2" s="2" t="inlineStr">
        <is>
          <t xml:space="preserve">  Set your rates &amp; goals once — every tab follows.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5">
      <c r="B5" s="7" t="inlineStr">
        <is>
          <t>YOUR RATES &amp; GOALS</t>
        </is>
      </c>
      <c r="E5" s="4" t="inlineStr">
        <is>
          <t>DROPDOWN LISTS</t>
        </is>
      </c>
    </row>
    <row r="6">
      <c r="B6" s="25" t="inlineStr">
        <is>
          <t>Company</t>
        </is>
      </c>
      <c r="C6" s="55" t="inlineStr">
        <is>
          <t>Ironwood Builders</t>
        </is>
      </c>
      <c r="E6" s="9" t="inlineStr">
        <is>
          <t>Job status</t>
        </is>
      </c>
      <c r="F6" s="9" t="inlineStr">
        <is>
          <t>Trade</t>
        </is>
      </c>
      <c r="G6" s="9" t="inlineStr">
        <is>
          <t>Bid result</t>
        </is>
      </c>
      <c r="H6" s="9" t="inlineStr">
        <is>
          <t>Yes / No</t>
        </is>
      </c>
    </row>
    <row r="7">
      <c r="B7" s="25" t="inlineStr">
        <is>
          <t>Owner</t>
        </is>
      </c>
      <c r="C7" s="55" t="inlineStr">
        <is>
          <t>Cal</t>
        </is>
      </c>
      <c r="E7" s="19" t="inlineStr">
        <is>
          <t>Bidding</t>
        </is>
      </c>
      <c r="F7" s="19" t="inlineStr">
        <is>
          <t>General</t>
        </is>
      </c>
      <c r="G7" s="19" t="inlineStr">
        <is>
          <t>Won</t>
        </is>
      </c>
      <c r="H7" s="19" t="inlineStr">
        <is>
          <t>Yes</t>
        </is>
      </c>
    </row>
    <row r="8">
      <c r="B8" s="25" t="inlineStr">
        <is>
          <t>Base labor rate ($/hr)</t>
        </is>
      </c>
      <c r="C8" s="26" t="n">
        <v>45</v>
      </c>
      <c r="E8" s="19" t="inlineStr">
        <is>
          <t>Won</t>
        </is>
      </c>
      <c r="F8" s="19" t="inlineStr">
        <is>
          <t>Electrical</t>
        </is>
      </c>
      <c r="G8" s="19" t="inlineStr">
        <is>
          <t>Lost</t>
        </is>
      </c>
      <c r="H8" s="19" t="inlineStr">
        <is>
          <t>No</t>
        </is>
      </c>
    </row>
    <row r="9">
      <c r="B9" s="25" t="inlineStr">
        <is>
          <t>Overhead rate (of direct cost)</t>
        </is>
      </c>
      <c r="C9" s="56" t="n">
        <v>0.12</v>
      </c>
      <c r="E9" s="19" t="inlineStr">
        <is>
          <t>In progress</t>
        </is>
      </c>
      <c r="F9" s="19" t="inlineStr">
        <is>
          <t>Plumbing</t>
        </is>
      </c>
      <c r="G9" s="19" t="inlineStr">
        <is>
          <t>Pending</t>
        </is>
      </c>
    </row>
    <row r="10">
      <c r="B10" s="25" t="inlineStr">
        <is>
          <t>Target margin on bids</t>
        </is>
      </c>
      <c r="C10" s="56" t="n">
        <v>0.2</v>
      </c>
      <c r="E10" s="19" t="inlineStr">
        <is>
          <t>Complete</t>
        </is>
      </c>
      <c r="F10" s="19" t="inlineStr">
        <is>
          <t>HVAC</t>
        </is>
      </c>
    </row>
    <row r="11">
      <c r="B11" s="25" t="inlineStr">
        <is>
          <t>Job-margin goal (min)</t>
        </is>
      </c>
      <c r="C11" s="56" t="n">
        <v>0.18</v>
      </c>
      <c r="E11" s="19" t="inlineStr">
        <is>
          <t>Lost</t>
        </is>
      </c>
      <c r="F11" s="19" t="inlineStr">
        <is>
          <t>Framing</t>
        </is>
      </c>
    </row>
    <row r="12">
      <c r="B12" s="25" t="inlineStr">
        <is>
          <t>Net-margin goal</t>
        </is>
      </c>
      <c r="C12" s="56" t="n">
        <v>0.15</v>
      </c>
      <c r="F12" s="19" t="inlineStr">
        <is>
          <t>Drywall</t>
        </is>
      </c>
    </row>
    <row r="13">
      <c r="B13" s="25" t="inlineStr">
        <is>
          <t>Backlog goal</t>
        </is>
      </c>
      <c r="C13" s="26" t="n">
        <v>150000</v>
      </c>
      <c r="F13" s="19" t="inlineStr">
        <is>
          <t>Tile</t>
        </is>
      </c>
    </row>
    <row r="14">
      <c r="B14" s="25" t="inlineStr">
        <is>
          <t>Receivables goal (max)</t>
        </is>
      </c>
      <c r="C14" s="26" t="n">
        <v>35000</v>
      </c>
      <c r="F14" s="19" t="inlineStr">
        <is>
          <t>Paint</t>
        </is>
      </c>
    </row>
    <row r="15">
      <c r="B15" s="25" t="inlineStr">
        <is>
          <t>Jobs-this-year goal</t>
        </is>
      </c>
      <c r="C15" s="57" t="n">
        <v>9</v>
      </c>
      <c r="F15" s="19" t="inlineStr">
        <is>
          <t>Roofing</t>
        </is>
      </c>
    </row>
    <row r="16">
      <c r="B16" s="25" t="inlineStr">
        <is>
          <t>Bids submitted</t>
        </is>
      </c>
      <c r="C16" s="57" t="n">
        <v>22</v>
      </c>
    </row>
    <row r="17">
      <c r="B17" s="25" t="inlineStr">
        <is>
          <t>Bids won</t>
        </is>
      </c>
      <c r="C17" s="57" t="n">
        <v>9</v>
      </c>
    </row>
  </sheetData>
  <mergeCells count="4">
    <mergeCell ref="A1:J1"/>
    <mergeCell ref="B5:C5"/>
    <mergeCell ref="E5:J5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2026-07-26T17:40:44Z</dcterms:created>
  <dcterms:modified xsi:type="dcterms:W3CDTF">2026-07-26T17:40:44Z</dcterms:modified>
</cp:coreProperties>
</file>