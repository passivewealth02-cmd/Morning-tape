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Driver Profile" sheetId="3" state="visible" r:id="rId3"/>
    <sheet name="Shift Log" sheetId="4" state="visible" r:id="rId4"/>
    <sheet name="Earnings" sheetId="5" state="visible" r:id="rId5"/>
    <sheet name="Mileage" sheetId="6" state="visible" r:id="rId6"/>
    <sheet name="Fuel Log" sheetId="7" state="visible" r:id="rId7"/>
    <sheet name="Vehicle" sheetId="8" state="visible" r:id="rId8"/>
    <sheet name="Expenses" sheetId="9" state="visible" r:id="rId9"/>
    <sheet name="Budget" sheetId="10" state="visible" r:id="rId10"/>
    <sheet name="Tax Center" sheetId="11" state="visible" r:id="rId11"/>
    <sheet name="Savings" sheetId="12" state="visible" r:id="rId12"/>
    <sheet name="Bonuses" sheetId="13" state="visible" r:id="rId13"/>
    <sheet name="Hot Zones" sheetId="14" state="visible" r:id="rId14"/>
    <sheet name="Ratings" sheetId="15" state="visible" r:id="rId15"/>
    <sheet name="Analytics" sheetId="16" state="visible" r:id="rId16"/>
    <sheet name="Planner" sheetId="17" state="visible" r:id="rId17"/>
    <sheet name="Gallery" sheetId="18" state="visible" r:id="rId18"/>
    <sheet name="Settings" sheetId="19" state="visible" r:id="rId19"/>
  </sheets>
  <definedNames>
    <definedName name="DriverName">Settings!$C$6</definedName>
    <definedName name="VehicleName">Settings!$C$7</definedName>
    <definedName name="HomeCity">Settings!$C$8</definedName>
    <definedName name="NetGoal">Settings!$C$9</definedName>
    <definedName name="HourlyTarget">Settings!$C$10</definedName>
    <definedName name="TripsGoal">Settings!$C$11</definedName>
    <definedName name="ShiftGoal">Settings!$C$12</definedName>
    <definedName name="SavingsGoal">Settings!$C$13</definedName>
    <definedName name="TaxReserveGoal">Settings!$C$14</definedName>
    <definedName name="MileageRate">Settings!$C$15</definedName>
    <definedName name="TaxRate">Settings!$C$16</definedName>
    <definedName name="PlatformList">Settings!$E$7:$E$11</definedName>
    <definedName name="ExpCatList">Settings!$F$7:$F$15</definedName>
    <definedName name="BudgetCatList">Settings!$G$7:$G$15</definedName>
    <definedName name="MaintList">Settings!$H$7:$H$14</definedName>
    <definedName name="GoalCatList">Settings!$I$7:$I$13</definedName>
    <definedName name="PriorityList">Settings!$J$7:$J$9</definedName>
    <definedName name="YesNoList">Settings!$E$18:$E$19</definedName>
    <definedName name="ShiftDate">'Shift Log'!$A$5:$A$64</definedName>
    <definedName name="ShiftPlatform">'Shift Log'!$B$5:$B$64</definedName>
    <definedName name="ShiftHours">'Shift Log'!$C$5:$C$64</definedName>
    <definedName name="ShiftTrips">'Shift Log'!$D$5:$D$64</definedName>
    <definedName name="ShiftFares">'Shift Log'!$E$5:$E$64</definedName>
    <definedName name="ShiftTips">'Shift Log'!$F$5:$F$64</definedName>
    <definedName name="ShiftBonus">'Shift Log'!$G$5:$G$64</definedName>
    <definedName name="ShiftEarn">'Shift Log'!$H$5:$H$64</definedName>
    <definedName name="ShiftMiles">'Shift Log'!$I$5:$I$64</definedName>
    <definedName name="ShiftFuel">'Shift Log'!$J$5:$J$64</definedName>
    <definedName name="TotalHours">'Shift Log'!$C$65</definedName>
    <definedName name="TotalTrips">'Shift Log'!$D$65</definedName>
    <definedName name="TotalFares">'Shift Log'!$E$65</definedName>
    <definedName name="TotalTips">'Shift Log'!$F$65</definedName>
    <definedName name="TotalBonus">'Shift Log'!$G$65</definedName>
    <definedName name="GrossEarn">'Shift Log'!$H$65</definedName>
    <definedName name="TotalMiles">'Shift Log'!$I$65</definedName>
    <definedName name="FuelTotal">'Shift Log'!$J$65</definedName>
    <definedName name="MixSource">'Earnings'!$B$7:$B$9</definedName>
    <definedName name="MixVal">'Earnings'!$C$7:$C$9</definedName>
    <definedName name="PlatName">'Earnings'!$F$7:$F$9</definedName>
    <definedName name="PlatEarn">'Earnings'!$G$7:$G$9</definedName>
    <definedName name="MileType">'Mileage'!$C$5:$C$44</definedName>
    <definedName name="MileMiles">'Mileage'!$D$5:$D$44</definedName>
    <definedName name="ExpCat">'Expenses'!$A$5:$A$13</definedName>
    <definedName name="ExpMonthly">'Expenses'!$B$5:$B$13</definedName>
    <definedName name="ExpenseTotal">'Expenses'!$B$14</definedName>
    <definedName name="BudgetIncome">'Budget'!$D$10</definedName>
    <definedName name="BudgetCat">'Budget'!$B$14:$B$22</definedName>
    <definedName name="BudgetActual">'Budget'!$D$14:$D$22</definedName>
    <definedName name="BudgetExpense">'Budget'!$D$23</definedName>
    <definedName name="TaxDeduction">'Tax Center'!$C$8</definedName>
    <definedName name="SavingsSaved">'Savings'!$D$7</definedName>
    <definedName name="TaxSetAside">'Savings'!$D$8</definedName>
    <definedName name="BonusReward">'Bonuses'!$E$5:$E$34</definedName>
    <definedName name="ZoneName">'Hot Zones'!$B$7:$B$12</definedName>
    <definedName name="ZoneRate">'Hot Zones'!$D$7:$D$12</definedName>
    <definedName name="NetEarn">'Analytics'!$C$8</definedName>
    <definedName name="PerHour">'Analytics'!$C$10</definedName>
    <definedName name="PerMile">'Analytics'!$C$11</definedName>
    <definedName name="HealthRange">'Analytics'!$F$7:$F$12</definedName>
    <definedName name="BestShift">'Analytics'!$B$17:$B$22</definedName>
    <definedName name="BestEarn">'Analytics'!$C$17:$C$22</definedName>
    <definedName name="TrendMonth">'Analytics'!$B$27:$B$32</definedName>
    <definedName name="TrendVal">'Analytics'!$C$27:$C$32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.00"/>
    <numFmt numFmtId="166" formatCode="yyyy-mm-dd"/>
    <numFmt numFmtId="167" formatCode="mm/dd/yyyy"/>
    <numFmt numFmtId="168" formatCode="0.0"/>
    <numFmt numFmtId="169" formatCode="&quot;$&quot;#,##0;[Red]-&quot;$&quot;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7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4" applyAlignment="1" pivotButton="0" quotePrefix="0" xfId="0">
      <alignment horizontal="center" vertical="center"/>
    </xf>
    <xf numFmtId="0" fontId="0" fillId="8" borderId="4" pivotButton="0" quotePrefix="0" xfId="0"/>
    <xf numFmtId="164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165" fontId="14" fillId="8" borderId="2" applyAlignment="1" pivotButton="0" quotePrefix="0" xfId="0">
      <alignment horizontal="center" vertical="center"/>
    </xf>
    <xf numFmtId="3" fontId="14" fillId="8" borderId="2" applyAlignment="1" pivotButton="0" quotePrefix="0" xfId="0">
      <alignment horizontal="center" vertical="center"/>
    </xf>
    <xf numFmtId="168" fontId="14" fillId="8" borderId="2" applyAlignment="1" pivotButton="0" quotePrefix="0" xfId="0">
      <alignment horizontal="center" vertical="center"/>
    </xf>
    <xf numFmtId="9" fontId="14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7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8" fontId="12" fillId="3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4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5" fontId="7" fillId="0" borderId="2" applyAlignment="1" pivotButton="0" quotePrefix="0" xfId="10">
      <alignment horizontal="left" vertical="center" indent="1"/>
    </xf>
    <xf numFmtId="165" fontId="7" fillId="6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7">
      <alignment horizontal="left" vertical="center" wrapText="1" indent="1"/>
    </xf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5" fontId="7" fillId="7" borderId="2" applyAlignment="1" pivotButton="0" quotePrefix="0" xfId="10">
      <alignment horizontal="left" vertical="center" indent="1"/>
    </xf>
    <xf numFmtId="169" fontId="6" fillId="0" borderId="2" applyAlignment="1" pivotButton="0" quotePrefix="0" xfId="6">
      <alignment horizontal="center" vertical="center" wrapText="1"/>
    </xf>
    <xf numFmtId="164" fontId="7" fillId="7" borderId="2" applyAlignment="1" pivotButton="0" quotePrefix="0" xfId="10">
      <alignment horizontal="left" vertical="center" indent="1"/>
    </xf>
    <xf numFmtId="0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2" fontId="6" fillId="0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2" fontId="6" fillId="9" borderId="2" applyAlignment="1" pivotButton="0" quotePrefix="0" xfId="6">
      <alignment horizontal="center" vertical="center" wrapText="1"/>
    </xf>
    <xf numFmtId="168" fontId="7" fillId="0" borderId="2" applyAlignment="1" pivotButton="0" quotePrefix="0" xfId="10">
      <alignment horizontal="left" vertical="center" indent="1"/>
    </xf>
    <xf numFmtId="168" fontId="6" fillId="0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8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68" fontId="7" fillId="9" borderId="2" applyAlignment="1" pivotButton="0" quotePrefix="0" xfId="8">
      <alignment horizontal="center" vertical="center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165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5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Earnings ($) — 6 mo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Earnings Mix</a:t>
            </a:r>
          </a:p>
        </rich>
      </tx>
    </title>
    <plotArea>
      <doughnutChart>
        <varyColors val="1"/>
        <ser>
          <idx val="0"/>
          <order val="0"/>
          <tx>
            <strRef>
              <f>'Earnings'!C6</f>
            </strRef>
          </tx>
          <spPr>
            <a:ln>
              <a:prstDash val="solid"/>
            </a:ln>
          </spPr>
          <cat>
            <numRef>
              <f>'Earnings'!$B$7:$B$9</f>
            </numRef>
          </cat>
          <val>
            <numRef>
              <f>'Earnings'!$C$7:$C$9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Best Shifts by Earnings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'Expenses'!B4</f>
            </strRef>
          </tx>
          <spPr>
            <a:ln>
              <a:prstDash val="solid"/>
            </a:ln>
          </spPr>
          <cat>
            <numRef>
              <f>'Expenses'!$A$5:$A$13</f>
            </numRef>
          </cat>
          <val>
            <numRef>
              <f>'Expenses'!$B$5:$B$13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🚗  LYFT DRIVER COMMAND CENTER™</t>
        </is>
      </c>
    </row>
    <row r="2" ht="24" customHeight="1">
      <c r="A2" s="2" t="inlineStr">
        <is>
          <t xml:space="preserve">  The ultimate rideshare earnings &amp; budget system.</t>
        </is>
      </c>
    </row>
    <row r="3" ht="6" customHeight="1">
      <c r="A3" s="3" t="n"/>
      <c r="B3" s="3" t="n"/>
      <c r="C3" s="3" t="n"/>
    </row>
    <row r="5">
      <c r="B5" s="4" t="inlineStr">
        <is>
          <t>RUN YOUR WHOLE DRIVING BUSINESS FROM ONE FILE</t>
        </is>
      </c>
    </row>
    <row r="6" ht="22" customHeight="1">
      <c r="B6" s="5" t="inlineStr">
        <is>
          <t>Every shift, mile and dollar in ONE premium Excel &amp; Google Sheets system. Log your shifts and the Command Center instantly shows your real take-home — net earnings, true $/hour and $/mile after fuel and expenses, your mileage tax deduction, your budget and your savings. Stop guessing whether a day was worth it: this is the difference between driving for cash and running a profitable business. Built for Lyft — works for Uber, delivery or any gig.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vehicle, goals &amp; the IRS mileage rate.</t>
        </is>
      </c>
    </row>
    <row r="13" ht="22" customHeight="1">
      <c r="B13" s="8" t="inlineStr">
        <is>
          <t>2.  Log each shift in the Shift Log — hours, trips, fares, tips, miles &amp; fuel.</t>
        </is>
      </c>
    </row>
    <row r="14" ht="22" customHeight="1">
      <c r="B14" s="8" t="inlineStr">
        <is>
          <t>3.  Track Mileage, Fuel &amp; Vehicle Maintenance as you go.</t>
        </is>
      </c>
    </row>
    <row r="15" ht="22" customHeight="1">
      <c r="B15" s="8" t="inlineStr">
        <is>
          <t>4.  Set your Business Expenses &amp; the Monthly Budget — net income flows in live.</t>
        </is>
      </c>
    </row>
    <row r="16" ht="22" customHeight="1">
      <c r="B16" s="8" t="inlineStr">
        <is>
          <t>5.  Use the Tax Center to bank your mileage deduction &amp; set-aside.</t>
        </is>
      </c>
    </row>
    <row r="17" ht="22" customHeight="1">
      <c r="B17" s="8" t="inlineStr">
        <is>
          <t>6.  Watch the Dashboard track net $/hour, savings &amp; a Driver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(Jordan, a full-time Austin driver doing ~$4,200/mo across 16 shifts, ~2,870 miles and 316 trips) is included so you can see how everything connects — just type over it with your own numbers. Net earnings, true $/hour and $/mile, the mileage tax deduction, budget leftover and the Driver Health Score all update automatically. Every sheet is print-friendly and works in Excel and Google Sheets, on desktop and phone — perfect for logging from the driver's seat.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every mile counted — let's grow your take-home.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🚗  LYFT DRIVER COMMAND CENTER™</t>
        </is>
      </c>
    </row>
    <row r="2" ht="24" customHeight="1">
      <c r="A2" s="2" t="inlineStr">
        <is>
          <t xml:space="preserve">  Earnings, miles, taxes &amp; savings — your whole driving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NET EARNINGS</t>
        </is>
      </c>
      <c r="C5" s="13" t="n"/>
      <c r="D5" s="12" t="inlineStr">
        <is>
          <t>GROSS EARNINGS</t>
        </is>
      </c>
      <c r="E5" s="13" t="n"/>
      <c r="F5" s="12" t="inlineStr">
        <is>
          <t>TIPS</t>
        </is>
      </c>
      <c r="G5" s="13" t="n"/>
      <c r="H5" s="12" t="inlineStr">
        <is>
          <t>NET $ / HOUR</t>
        </is>
      </c>
      <c r="I5" s="13" t="n"/>
      <c r="J5" s="12" t="inlineStr">
        <is>
          <t>NET $ / MILE</t>
        </is>
      </c>
      <c r="K5" s="13" t="n"/>
      <c r="L5" s="12" t="inlineStr">
        <is>
          <t>MILES DRIVEN</t>
        </is>
      </c>
      <c r="M5" s="13" t="n"/>
    </row>
    <row r="6" ht="40" customHeight="1">
      <c r="B6" s="14">
        <f>NetEarn</f>
        <v/>
      </c>
      <c r="C6" s="15" t="n"/>
      <c r="D6" s="14">
        <f>GrossEarn</f>
        <v/>
      </c>
      <c r="E6" s="15" t="n"/>
      <c r="F6" s="14">
        <f>TotalTips</f>
        <v/>
      </c>
      <c r="G6" s="15" t="n"/>
      <c r="H6" s="16">
        <f>PerHour</f>
        <v/>
      </c>
      <c r="I6" s="15" t="n"/>
      <c r="J6" s="16">
        <f>PerMile</f>
        <v/>
      </c>
      <c r="K6" s="15" t="n"/>
      <c r="L6" s="17">
        <f>TotalMiles</f>
        <v/>
      </c>
      <c r="M6" s="15" t="n"/>
    </row>
    <row r="8" ht="18" customHeight="1">
      <c r="B8" s="12" t="inlineStr">
        <is>
          <t>ONLINE HOURS</t>
        </is>
      </c>
      <c r="C8" s="13" t="n"/>
      <c r="D8" s="12" t="inlineStr">
        <is>
          <t>TRIPS</t>
        </is>
      </c>
      <c r="E8" s="13" t="n"/>
      <c r="F8" s="12" t="inlineStr">
        <is>
          <t>EXPENSES</t>
        </is>
      </c>
      <c r="G8" s="13" t="n"/>
      <c r="H8" s="12" t="inlineStr">
        <is>
          <t>TAX DEDUCTION</t>
        </is>
      </c>
      <c r="I8" s="13" t="n"/>
      <c r="J8" s="12" t="inlineStr">
        <is>
          <t>SAVINGS</t>
        </is>
      </c>
      <c r="K8" s="13" t="n"/>
      <c r="L8" s="12" t="inlineStr">
        <is>
          <t>DRIVER HEALTH</t>
        </is>
      </c>
      <c r="M8" s="13" t="n"/>
    </row>
    <row r="9" ht="40" customHeight="1">
      <c r="B9" s="18">
        <f>TotalHours</f>
        <v/>
      </c>
      <c r="C9" s="15" t="n"/>
      <c r="D9" s="17">
        <f>TotalTrips</f>
        <v/>
      </c>
      <c r="E9" s="15" t="n"/>
      <c r="F9" s="14">
        <f>ExpenseTotal</f>
        <v/>
      </c>
      <c r="G9" s="15" t="n"/>
      <c r="H9" s="14">
        <f>TotalMiles*MileageRate</f>
        <v/>
      </c>
      <c r="I9" s="15" t="n"/>
      <c r="J9" s="19">
        <f>IFERROR(MIN(SavingsSaved/SavingsGoal,1),0)</f>
        <v/>
      </c>
      <c r="K9" s="15" t="n"/>
      <c r="L9" s="19">
        <f>IFERROR(AVERAGE(HealthRange),0)</f>
        <v/>
      </c>
      <c r="M9" s="15" t="n"/>
    </row>
    <row r="11" ht="26" customHeight="1">
      <c r="B11" s="4" t="inlineStr">
        <is>
          <t>EARNINGS &amp; TAKE-HOME</t>
        </is>
      </c>
    </row>
    <row r="29" ht="26" customHeight="1">
      <c r="B29" s="4" t="inlineStr">
        <is>
          <t>BEST SHIFTS &amp; EXPENSES</t>
        </is>
      </c>
    </row>
    <row r="47" ht="26" customHeight="1">
      <c r="B47" s="2" t="inlineStr">
        <is>
          <t>Lyft Driver Command Center™ — every shift, mile &amp; dollar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🪪  DRIVER PROFILE</t>
        </is>
      </c>
    </row>
    <row r="2" ht="22" customHeight="1">
      <c r="A2" s="2" t="inlineStr">
        <is>
          <t xml:space="preserve">  Your driving business, defined — the details every number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DRIVER</t>
        </is>
      </c>
    </row>
    <row r="6" ht="24" customHeight="1">
      <c r="B6" s="20" t="inlineStr">
        <is>
          <t>Driver Name</t>
        </is>
      </c>
      <c r="C6" s="21">
        <f>DriverName</f>
        <v/>
      </c>
      <c r="E6" s="20" t="inlineStr">
        <is>
          <t>Home City</t>
        </is>
      </c>
      <c r="F6" s="21">
        <f>HomeCity</f>
        <v/>
      </c>
    </row>
    <row r="7" ht="24" customHeight="1">
      <c r="B7" s="20" t="inlineStr">
        <is>
          <t>Platforms</t>
        </is>
      </c>
      <c r="C7" s="21" t="inlineStr">
        <is>
          <t>Lyft + Uber</t>
        </is>
      </c>
      <c r="E7" s="20" t="inlineStr">
        <is>
          <t>Driving Since</t>
        </is>
      </c>
      <c r="F7" s="21" t="inlineStr">
        <is>
          <t>2021</t>
        </is>
      </c>
    </row>
    <row r="8" ht="24" customHeight="1">
      <c r="B8" s="20" t="inlineStr">
        <is>
          <t>Status</t>
        </is>
      </c>
      <c r="C8" s="21" t="inlineStr">
        <is>
          <t>Full-time</t>
        </is>
      </c>
      <c r="E8" s="20" t="inlineStr">
        <is>
          <t>Weekly Target</t>
        </is>
      </c>
      <c r="F8" s="21" t="inlineStr">
        <is>
          <t>5 shifts</t>
        </is>
      </c>
    </row>
    <row r="10" ht="22" customHeight="1">
      <c r="B10" s="4" t="inlineStr">
        <is>
          <t>THE VEHICLE</t>
        </is>
      </c>
    </row>
    <row r="11" ht="24" customHeight="1">
      <c r="B11" s="20" t="inlineStr">
        <is>
          <t>Vehicle</t>
        </is>
      </c>
      <c r="C11" s="21">
        <f>VehicleName</f>
        <v/>
      </c>
      <c r="E11" s="20" t="inlineStr">
        <is>
          <t>MPG (avg)</t>
        </is>
      </c>
      <c r="F11" s="21" t="inlineStr">
        <is>
          <t>32 city/hwy</t>
        </is>
      </c>
    </row>
    <row r="12" ht="24" customHeight="1">
      <c r="B12" s="20" t="inlineStr">
        <is>
          <t>Odometer</t>
        </is>
      </c>
      <c r="C12" s="21" t="inlineStr">
        <is>
          <t>68,400 mi</t>
        </is>
      </c>
      <c r="E12" s="20" t="inlineStr">
        <is>
          <t>Plate / Unit</t>
        </is>
      </c>
      <c r="F12" s="21" t="inlineStr">
        <is>
          <t>ABC-1234</t>
        </is>
      </c>
    </row>
    <row r="13" ht="24" customHeight="1">
      <c r="B13" s="20" t="inlineStr">
        <is>
          <t>Insurance</t>
        </is>
      </c>
      <c r="C13" s="21" t="inlineStr">
        <is>
          <t>Rideshare rider</t>
        </is>
      </c>
      <c r="E13" s="20" t="inlineStr">
        <is>
          <t>Est. Value</t>
        </is>
      </c>
      <c r="F13" s="21" t="inlineStr">
        <is>
          <t>$21,500</t>
        </is>
      </c>
    </row>
    <row r="15" ht="22" customHeight="1">
      <c r="B15" s="4" t="inlineStr">
        <is>
          <t>RATINGS &amp; STANDING</t>
        </is>
      </c>
    </row>
    <row r="16">
      <c r="B16" s="20" t="inlineStr">
        <is>
          <t>Lyft Rating</t>
        </is>
      </c>
      <c r="C16" s="21" t="inlineStr">
        <is>
          <t>4.98 ★</t>
        </is>
      </c>
      <c r="E16" s="20" t="inlineStr">
        <is>
          <t>Uber Rating</t>
        </is>
      </c>
      <c r="F16" s="21" t="inlineStr">
        <is>
          <t>4.96 ★</t>
        </is>
      </c>
    </row>
    <row r="17">
      <c r="B17" s="20" t="inlineStr">
        <is>
          <t>Acceptance</t>
        </is>
      </c>
      <c r="C17" s="21" t="inlineStr">
        <is>
          <t>84%</t>
        </is>
      </c>
      <c r="E17" s="20" t="inlineStr">
        <is>
          <t>Cancellation</t>
        </is>
      </c>
      <c r="F17" s="21" t="inlineStr">
        <is>
          <t>2%</t>
        </is>
      </c>
    </row>
    <row r="18">
      <c r="B18" s="20" t="inlineStr">
        <is>
          <t>Lifetime Trips</t>
        </is>
      </c>
      <c r="C18" s="21" t="inlineStr">
        <is>
          <t>9,240</t>
        </is>
      </c>
      <c r="E18" s="20" t="inlineStr">
        <is>
          <t>Rewards Tier</t>
        </is>
      </c>
      <c r="F18" s="21" t="inlineStr">
        <is>
          <t>Platinum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8" customWidth="1" min="4" max="4"/>
    <col width="11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</cols>
  <sheetData>
    <row r="1" ht="46" customHeight="1">
      <c r="A1" s="1" t="inlineStr">
        <is>
          <t xml:space="preserve">  🚗  SHIFT LOG</t>
        </is>
      </c>
    </row>
    <row r="2" ht="22" customHeight="1">
      <c r="A2" s="2" t="inlineStr">
        <is>
          <t xml:space="preserve">  Log every shift — earnings, miles &amp; fuel roll straight into your dashboard.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9" t="inlineStr">
        <is>
          <t>Date</t>
        </is>
      </c>
      <c r="B4" s="9" t="inlineStr">
        <is>
          <t>Platform</t>
        </is>
      </c>
      <c r="C4" s="9" t="inlineStr">
        <is>
          <t>Hours</t>
        </is>
      </c>
      <c r="D4" s="9" t="inlineStr">
        <is>
          <t>Trips</t>
        </is>
      </c>
      <c r="E4" s="9" t="inlineStr">
        <is>
          <t>Fares</t>
        </is>
      </c>
      <c r="F4" s="9" t="inlineStr">
        <is>
          <t>Tips</t>
        </is>
      </c>
      <c r="G4" s="9" t="inlineStr">
        <is>
          <t>Bonus/Surge</t>
        </is>
      </c>
      <c r="H4" s="9" t="inlineStr">
        <is>
          <t>Earnings</t>
        </is>
      </c>
      <c r="I4" s="9" t="inlineStr">
        <is>
          <t>Miles</t>
        </is>
      </c>
      <c r="J4" s="9" t="inlineStr">
        <is>
          <t>Fuel $</t>
        </is>
      </c>
    </row>
    <row r="5">
      <c r="A5" s="22" t="n">
        <v>46191</v>
      </c>
      <c r="B5" s="23" t="inlineStr">
        <is>
          <t>Lyft</t>
        </is>
      </c>
      <c r="C5" s="24" t="n">
        <v>8.5</v>
      </c>
      <c r="D5" s="25" t="n">
        <v>21</v>
      </c>
      <c r="E5" s="26" t="n">
        <v>214</v>
      </c>
      <c r="F5" s="26" t="n">
        <v>44</v>
      </c>
      <c r="G5" s="26" t="n">
        <v>20</v>
      </c>
      <c r="H5" s="26">
        <f>E5+F5+G5</f>
        <v/>
      </c>
      <c r="I5" s="25" t="n">
        <v>188</v>
      </c>
      <c r="J5" s="26" t="n">
        <v>34</v>
      </c>
    </row>
    <row r="6">
      <c r="A6" s="27" t="n">
        <v>46192</v>
      </c>
      <c r="B6" s="28" t="inlineStr">
        <is>
          <t>Lyft</t>
        </is>
      </c>
      <c r="C6" s="29" t="n">
        <v>9</v>
      </c>
      <c r="D6" s="30" t="n">
        <v>23</v>
      </c>
      <c r="E6" s="31" t="n">
        <v>232</v>
      </c>
      <c r="F6" s="31" t="n">
        <v>51</v>
      </c>
      <c r="G6" s="31" t="n">
        <v>35</v>
      </c>
      <c r="H6" s="31">
        <f>E6+F6+G6</f>
        <v/>
      </c>
      <c r="I6" s="30" t="n">
        <v>205</v>
      </c>
      <c r="J6" s="31" t="n">
        <v>37</v>
      </c>
    </row>
    <row r="7">
      <c r="A7" s="22" t="n">
        <v>46194</v>
      </c>
      <c r="B7" s="23" t="inlineStr">
        <is>
          <t>Uber</t>
        </is>
      </c>
      <c r="C7" s="24" t="n">
        <v>7.5</v>
      </c>
      <c r="D7" s="25" t="n">
        <v>18</v>
      </c>
      <c r="E7" s="26" t="n">
        <v>176</v>
      </c>
      <c r="F7" s="26" t="n">
        <v>33</v>
      </c>
      <c r="G7" s="26" t="n">
        <v>15</v>
      </c>
      <c r="H7" s="26">
        <f>E7+F7+G7</f>
        <v/>
      </c>
      <c r="I7" s="25" t="n">
        <v>158</v>
      </c>
      <c r="J7" s="26" t="n">
        <v>29</v>
      </c>
    </row>
    <row r="8">
      <c r="A8" s="27" t="n">
        <v>46195</v>
      </c>
      <c r="B8" s="28" t="inlineStr">
        <is>
          <t>Both</t>
        </is>
      </c>
      <c r="C8" s="29" t="n">
        <v>8</v>
      </c>
      <c r="D8" s="30" t="n">
        <v>20</v>
      </c>
      <c r="E8" s="31" t="n">
        <v>205</v>
      </c>
      <c r="F8" s="31" t="n">
        <v>42</v>
      </c>
      <c r="G8" s="31" t="n">
        <v>25</v>
      </c>
      <c r="H8" s="31">
        <f>E8+F8+G8</f>
        <v/>
      </c>
      <c r="I8" s="30" t="n">
        <v>182</v>
      </c>
      <c r="J8" s="31" t="n">
        <v>33</v>
      </c>
    </row>
    <row r="9">
      <c r="A9" s="22" t="n">
        <v>46197</v>
      </c>
      <c r="B9" s="23" t="inlineStr">
        <is>
          <t>Lyft</t>
        </is>
      </c>
      <c r="C9" s="24" t="n">
        <v>6.5</v>
      </c>
      <c r="D9" s="25" t="n">
        <v>15</v>
      </c>
      <c r="E9" s="26" t="n">
        <v>152</v>
      </c>
      <c r="F9" s="26" t="n">
        <v>28</v>
      </c>
      <c r="G9" s="26" t="n">
        <v>10</v>
      </c>
      <c r="H9" s="26">
        <f>E9+F9+G9</f>
        <v/>
      </c>
      <c r="I9" s="25" t="n">
        <v>140</v>
      </c>
      <c r="J9" s="26" t="n">
        <v>26</v>
      </c>
    </row>
    <row r="10">
      <c r="A10" s="27" t="n">
        <v>46198</v>
      </c>
      <c r="B10" s="28" t="inlineStr">
        <is>
          <t>Lyft</t>
        </is>
      </c>
      <c r="C10" s="29" t="n">
        <v>9.5</v>
      </c>
      <c r="D10" s="30" t="n">
        <v>24</v>
      </c>
      <c r="E10" s="31" t="n">
        <v>245</v>
      </c>
      <c r="F10" s="31" t="n">
        <v>55</v>
      </c>
      <c r="G10" s="31" t="n">
        <v>40</v>
      </c>
      <c r="H10" s="31">
        <f>E10+F10+G10</f>
        <v/>
      </c>
      <c r="I10" s="30" t="n">
        <v>214</v>
      </c>
      <c r="J10" s="31" t="n">
        <v>39</v>
      </c>
    </row>
    <row r="11">
      <c r="A11" s="22" t="n">
        <v>46199</v>
      </c>
      <c r="B11" s="23" t="inlineStr">
        <is>
          <t>Uber</t>
        </is>
      </c>
      <c r="C11" s="24" t="n">
        <v>8</v>
      </c>
      <c r="D11" s="25" t="n">
        <v>19</v>
      </c>
      <c r="E11" s="26" t="n">
        <v>192</v>
      </c>
      <c r="F11" s="26" t="n">
        <v>36</v>
      </c>
      <c r="G11" s="26" t="n">
        <v>18</v>
      </c>
      <c r="H11" s="26">
        <f>E11+F11+G11</f>
        <v/>
      </c>
      <c r="I11" s="25" t="n">
        <v>176</v>
      </c>
      <c r="J11" s="26" t="n">
        <v>32</v>
      </c>
    </row>
    <row r="12">
      <c r="A12" s="27" t="n">
        <v>46201</v>
      </c>
      <c r="B12" s="28" t="inlineStr">
        <is>
          <t>Both</t>
        </is>
      </c>
      <c r="C12" s="29" t="n">
        <v>8.5</v>
      </c>
      <c r="D12" s="30" t="n">
        <v>22</v>
      </c>
      <c r="E12" s="31" t="n">
        <v>220</v>
      </c>
      <c r="F12" s="31" t="n">
        <v>47</v>
      </c>
      <c r="G12" s="31" t="n">
        <v>30</v>
      </c>
      <c r="H12" s="31">
        <f>E12+F12+G12</f>
        <v/>
      </c>
      <c r="I12" s="30" t="n">
        <v>198</v>
      </c>
      <c r="J12" s="31" t="n">
        <v>35</v>
      </c>
    </row>
    <row r="13">
      <c r="A13" s="22" t="n">
        <v>46202</v>
      </c>
      <c r="B13" s="23" t="inlineStr">
        <is>
          <t>Lyft</t>
        </is>
      </c>
      <c r="C13" s="24" t="n">
        <v>7</v>
      </c>
      <c r="D13" s="25" t="n">
        <v>17</v>
      </c>
      <c r="E13" s="26" t="n">
        <v>168</v>
      </c>
      <c r="F13" s="26" t="n">
        <v>31</v>
      </c>
      <c r="G13" s="26" t="n">
        <v>12</v>
      </c>
      <c r="H13" s="26">
        <f>E13+F13+G13</f>
        <v/>
      </c>
      <c r="I13" s="25" t="n">
        <v>152</v>
      </c>
      <c r="J13" s="26" t="n">
        <v>28</v>
      </c>
    </row>
    <row r="14">
      <c r="A14" s="27" t="n">
        <v>46204</v>
      </c>
      <c r="B14" s="28" t="inlineStr">
        <is>
          <t>Lyft</t>
        </is>
      </c>
      <c r="C14" s="29" t="n">
        <v>9</v>
      </c>
      <c r="D14" s="30" t="n">
        <v>23</v>
      </c>
      <c r="E14" s="31" t="n">
        <v>236</v>
      </c>
      <c r="F14" s="31" t="n">
        <v>52</v>
      </c>
      <c r="G14" s="31" t="n">
        <v>38</v>
      </c>
      <c r="H14" s="31">
        <f>E14+F14+G14</f>
        <v/>
      </c>
      <c r="I14" s="30" t="n">
        <v>208</v>
      </c>
      <c r="J14" s="31" t="n">
        <v>38</v>
      </c>
    </row>
    <row r="15">
      <c r="A15" s="22" t="n">
        <v>46205</v>
      </c>
      <c r="B15" s="23" t="inlineStr">
        <is>
          <t>Uber</t>
        </is>
      </c>
      <c r="C15" s="24" t="n">
        <v>7.5</v>
      </c>
      <c r="D15" s="25" t="n">
        <v>18</v>
      </c>
      <c r="E15" s="26" t="n">
        <v>180</v>
      </c>
      <c r="F15" s="26" t="n">
        <v>34</v>
      </c>
      <c r="G15" s="26" t="n">
        <v>16</v>
      </c>
      <c r="H15" s="26">
        <f>E15+F15+G15</f>
        <v/>
      </c>
      <c r="I15" s="25" t="n">
        <v>164</v>
      </c>
      <c r="J15" s="26" t="n">
        <v>30</v>
      </c>
    </row>
    <row r="16">
      <c r="A16" s="27" t="n">
        <v>46206</v>
      </c>
      <c r="B16" s="28" t="inlineStr">
        <is>
          <t>Both</t>
        </is>
      </c>
      <c r="C16" s="29" t="n">
        <v>8</v>
      </c>
      <c r="D16" s="30" t="n">
        <v>20</v>
      </c>
      <c r="E16" s="31" t="n">
        <v>208</v>
      </c>
      <c r="F16" s="31" t="n">
        <v>43</v>
      </c>
      <c r="G16" s="31" t="n">
        <v>22</v>
      </c>
      <c r="H16" s="31">
        <f>E16+F16+G16</f>
        <v/>
      </c>
      <c r="I16" s="30" t="n">
        <v>186</v>
      </c>
      <c r="J16" s="31" t="n">
        <v>34</v>
      </c>
    </row>
    <row r="17">
      <c r="A17" s="22" t="n">
        <v>46208</v>
      </c>
      <c r="B17" s="23" t="inlineStr">
        <is>
          <t>Lyft</t>
        </is>
      </c>
      <c r="C17" s="24" t="n">
        <v>6</v>
      </c>
      <c r="D17" s="25" t="n">
        <v>14</v>
      </c>
      <c r="E17" s="26" t="n">
        <v>142</v>
      </c>
      <c r="F17" s="26" t="n">
        <v>26</v>
      </c>
      <c r="G17" s="26" t="n">
        <v>8</v>
      </c>
      <c r="H17" s="26">
        <f>E17+F17+G17</f>
        <v/>
      </c>
      <c r="I17" s="25" t="n">
        <v>132</v>
      </c>
      <c r="J17" s="26" t="n">
        <v>24</v>
      </c>
    </row>
    <row r="18">
      <c r="A18" s="27" t="n">
        <v>46209</v>
      </c>
      <c r="B18" s="28" t="inlineStr">
        <is>
          <t>Lyft</t>
        </is>
      </c>
      <c r="C18" s="29" t="n">
        <v>9</v>
      </c>
      <c r="D18" s="30" t="n">
        <v>22</v>
      </c>
      <c r="E18" s="31" t="n">
        <v>228</v>
      </c>
      <c r="F18" s="31" t="n">
        <v>49</v>
      </c>
      <c r="G18" s="31" t="n">
        <v>33</v>
      </c>
      <c r="H18" s="31">
        <f>E18+F18+G18</f>
        <v/>
      </c>
      <c r="I18" s="30" t="n">
        <v>200</v>
      </c>
      <c r="J18" s="31" t="n">
        <v>36</v>
      </c>
    </row>
    <row r="19">
      <c r="A19" s="22" t="n">
        <v>46211</v>
      </c>
      <c r="B19" s="23" t="inlineStr">
        <is>
          <t>Uber</t>
        </is>
      </c>
      <c r="C19" s="24" t="n">
        <v>8.5</v>
      </c>
      <c r="D19" s="25" t="n">
        <v>21</v>
      </c>
      <c r="E19" s="26" t="n">
        <v>214</v>
      </c>
      <c r="F19" s="26" t="n">
        <v>40</v>
      </c>
      <c r="G19" s="26" t="n">
        <v>20</v>
      </c>
      <c r="H19" s="26">
        <f>E19+F19+G19</f>
        <v/>
      </c>
      <c r="I19" s="25" t="n">
        <v>190</v>
      </c>
      <c r="J19" s="26" t="n">
        <v>34</v>
      </c>
    </row>
    <row r="20">
      <c r="A20" s="27" t="n">
        <v>46212</v>
      </c>
      <c r="B20" s="28" t="inlineStr">
        <is>
          <t>Both</t>
        </is>
      </c>
      <c r="C20" s="29" t="n">
        <v>8</v>
      </c>
      <c r="D20" s="30" t="n">
        <v>19</v>
      </c>
      <c r="E20" s="31" t="n">
        <v>196</v>
      </c>
      <c r="F20" s="31" t="n">
        <v>41</v>
      </c>
      <c r="G20" s="31" t="n">
        <v>24</v>
      </c>
      <c r="H20" s="31">
        <f>E20+F20+G20</f>
        <v/>
      </c>
      <c r="I20" s="30" t="n">
        <v>178</v>
      </c>
      <c r="J20" s="31" t="n">
        <v>33</v>
      </c>
    </row>
    <row r="21">
      <c r="A21" s="22" t="n"/>
      <c r="B21" s="23" t="n"/>
      <c r="C21" s="24" t="n"/>
      <c r="D21" s="25" t="n"/>
      <c r="E21" s="26" t="n"/>
      <c r="F21" s="26" t="n"/>
      <c r="G21" s="26" t="n"/>
      <c r="H21" s="26" t="n"/>
      <c r="I21" s="25" t="n"/>
      <c r="J21" s="26" t="n"/>
    </row>
    <row r="22">
      <c r="A22" s="27" t="n"/>
      <c r="B22" s="28" t="n"/>
      <c r="C22" s="29" t="n"/>
      <c r="D22" s="30" t="n"/>
      <c r="E22" s="31" t="n"/>
      <c r="F22" s="31" t="n"/>
      <c r="G22" s="31" t="n"/>
      <c r="H22" s="31" t="n"/>
      <c r="I22" s="30" t="n"/>
      <c r="J22" s="31" t="n"/>
    </row>
    <row r="23">
      <c r="A23" s="22" t="n"/>
      <c r="B23" s="23" t="n"/>
      <c r="C23" s="24" t="n"/>
      <c r="D23" s="25" t="n"/>
      <c r="E23" s="26" t="n"/>
      <c r="F23" s="26" t="n"/>
      <c r="G23" s="26" t="n"/>
      <c r="H23" s="26" t="n"/>
      <c r="I23" s="25" t="n"/>
      <c r="J23" s="26" t="n"/>
    </row>
    <row r="24">
      <c r="A24" s="27" t="n"/>
      <c r="B24" s="28" t="n"/>
      <c r="C24" s="29" t="n"/>
      <c r="D24" s="30" t="n"/>
      <c r="E24" s="31" t="n"/>
      <c r="F24" s="31" t="n"/>
      <c r="G24" s="31" t="n"/>
      <c r="H24" s="31" t="n"/>
      <c r="I24" s="30" t="n"/>
      <c r="J24" s="31" t="n"/>
    </row>
    <row r="25">
      <c r="A25" s="22" t="n"/>
      <c r="B25" s="23" t="n"/>
      <c r="C25" s="24" t="n"/>
      <c r="D25" s="25" t="n"/>
      <c r="E25" s="26" t="n"/>
      <c r="F25" s="26" t="n"/>
      <c r="G25" s="26" t="n"/>
      <c r="H25" s="26" t="n"/>
      <c r="I25" s="25" t="n"/>
      <c r="J25" s="26" t="n"/>
    </row>
    <row r="26">
      <c r="A26" s="27" t="n"/>
      <c r="B26" s="28" t="n"/>
      <c r="C26" s="29" t="n"/>
      <c r="D26" s="30" t="n"/>
      <c r="E26" s="31" t="n"/>
      <c r="F26" s="31" t="n"/>
      <c r="G26" s="31" t="n"/>
      <c r="H26" s="31" t="n"/>
      <c r="I26" s="30" t="n"/>
      <c r="J26" s="31" t="n"/>
    </row>
    <row r="27">
      <c r="A27" s="22" t="n"/>
      <c r="B27" s="23" t="n"/>
      <c r="C27" s="24" t="n"/>
      <c r="D27" s="25" t="n"/>
      <c r="E27" s="26" t="n"/>
      <c r="F27" s="26" t="n"/>
      <c r="G27" s="26" t="n"/>
      <c r="H27" s="26" t="n"/>
      <c r="I27" s="25" t="n"/>
      <c r="J27" s="26" t="n"/>
    </row>
    <row r="28">
      <c r="A28" s="27" t="n"/>
      <c r="B28" s="28" t="n"/>
      <c r="C28" s="29" t="n"/>
      <c r="D28" s="30" t="n"/>
      <c r="E28" s="31" t="n"/>
      <c r="F28" s="31" t="n"/>
      <c r="G28" s="31" t="n"/>
      <c r="H28" s="31" t="n"/>
      <c r="I28" s="30" t="n"/>
      <c r="J28" s="31" t="n"/>
    </row>
    <row r="29">
      <c r="A29" s="22" t="n"/>
      <c r="B29" s="23" t="n"/>
      <c r="C29" s="24" t="n"/>
      <c r="D29" s="25" t="n"/>
      <c r="E29" s="26" t="n"/>
      <c r="F29" s="26" t="n"/>
      <c r="G29" s="26" t="n"/>
      <c r="H29" s="26" t="n"/>
      <c r="I29" s="25" t="n"/>
      <c r="J29" s="26" t="n"/>
    </row>
    <row r="30">
      <c r="A30" s="27" t="n"/>
      <c r="B30" s="28" t="n"/>
      <c r="C30" s="29" t="n"/>
      <c r="D30" s="30" t="n"/>
      <c r="E30" s="31" t="n"/>
      <c r="F30" s="31" t="n"/>
      <c r="G30" s="31" t="n"/>
      <c r="H30" s="31" t="n"/>
      <c r="I30" s="30" t="n"/>
      <c r="J30" s="31" t="n"/>
    </row>
    <row r="31">
      <c r="A31" s="22" t="n"/>
      <c r="B31" s="23" t="n"/>
      <c r="C31" s="24" t="n"/>
      <c r="D31" s="25" t="n"/>
      <c r="E31" s="26" t="n"/>
      <c r="F31" s="26" t="n"/>
      <c r="G31" s="26" t="n"/>
      <c r="H31" s="26" t="n"/>
      <c r="I31" s="25" t="n"/>
      <c r="J31" s="26" t="n"/>
    </row>
    <row r="32">
      <c r="A32" s="27" t="n"/>
      <c r="B32" s="28" t="n"/>
      <c r="C32" s="29" t="n"/>
      <c r="D32" s="30" t="n"/>
      <c r="E32" s="31" t="n"/>
      <c r="F32" s="31" t="n"/>
      <c r="G32" s="31" t="n"/>
      <c r="H32" s="31" t="n"/>
      <c r="I32" s="30" t="n"/>
      <c r="J32" s="31" t="n"/>
    </row>
    <row r="33">
      <c r="A33" s="22" t="n"/>
      <c r="B33" s="23" t="n"/>
      <c r="C33" s="24" t="n"/>
      <c r="D33" s="25" t="n"/>
      <c r="E33" s="26" t="n"/>
      <c r="F33" s="26" t="n"/>
      <c r="G33" s="26" t="n"/>
      <c r="H33" s="26" t="n"/>
      <c r="I33" s="25" t="n"/>
      <c r="J33" s="26" t="n"/>
    </row>
    <row r="34">
      <c r="A34" s="27" t="n"/>
      <c r="B34" s="28" t="n"/>
      <c r="C34" s="29" t="n"/>
      <c r="D34" s="30" t="n"/>
      <c r="E34" s="31" t="n"/>
      <c r="F34" s="31" t="n"/>
      <c r="G34" s="31" t="n"/>
      <c r="H34" s="31" t="n"/>
      <c r="I34" s="30" t="n"/>
      <c r="J34" s="31" t="n"/>
    </row>
    <row r="35">
      <c r="A35" s="22" t="n"/>
      <c r="B35" s="23" t="n"/>
      <c r="C35" s="24" t="n"/>
      <c r="D35" s="25" t="n"/>
      <c r="E35" s="26" t="n"/>
      <c r="F35" s="26" t="n"/>
      <c r="G35" s="26" t="n"/>
      <c r="H35" s="26" t="n"/>
      <c r="I35" s="25" t="n"/>
      <c r="J35" s="26" t="n"/>
    </row>
    <row r="36">
      <c r="A36" s="27" t="n"/>
      <c r="B36" s="28" t="n"/>
      <c r="C36" s="29" t="n"/>
      <c r="D36" s="30" t="n"/>
      <c r="E36" s="31" t="n"/>
      <c r="F36" s="31" t="n"/>
      <c r="G36" s="31" t="n"/>
      <c r="H36" s="31" t="n"/>
      <c r="I36" s="30" t="n"/>
      <c r="J36" s="31" t="n"/>
    </row>
    <row r="37">
      <c r="A37" s="22" t="n"/>
      <c r="B37" s="23" t="n"/>
      <c r="C37" s="24" t="n"/>
      <c r="D37" s="25" t="n"/>
      <c r="E37" s="26" t="n"/>
      <c r="F37" s="26" t="n"/>
      <c r="G37" s="26" t="n"/>
      <c r="H37" s="26" t="n"/>
      <c r="I37" s="25" t="n"/>
      <c r="J37" s="26" t="n"/>
    </row>
    <row r="38">
      <c r="A38" s="27" t="n"/>
      <c r="B38" s="28" t="n"/>
      <c r="C38" s="29" t="n"/>
      <c r="D38" s="30" t="n"/>
      <c r="E38" s="31" t="n"/>
      <c r="F38" s="31" t="n"/>
      <c r="G38" s="31" t="n"/>
      <c r="H38" s="31" t="n"/>
      <c r="I38" s="30" t="n"/>
      <c r="J38" s="31" t="n"/>
    </row>
    <row r="39">
      <c r="A39" s="22" t="n"/>
      <c r="B39" s="23" t="n"/>
      <c r="C39" s="24" t="n"/>
      <c r="D39" s="25" t="n"/>
      <c r="E39" s="26" t="n"/>
      <c r="F39" s="26" t="n"/>
      <c r="G39" s="26" t="n"/>
      <c r="H39" s="26" t="n"/>
      <c r="I39" s="25" t="n"/>
      <c r="J39" s="26" t="n"/>
    </row>
    <row r="40">
      <c r="A40" s="27" t="n"/>
      <c r="B40" s="28" t="n"/>
      <c r="C40" s="29" t="n"/>
      <c r="D40" s="30" t="n"/>
      <c r="E40" s="31" t="n"/>
      <c r="F40" s="31" t="n"/>
      <c r="G40" s="31" t="n"/>
      <c r="H40" s="31" t="n"/>
      <c r="I40" s="30" t="n"/>
      <c r="J40" s="31" t="n"/>
    </row>
    <row r="41">
      <c r="A41" s="22" t="n"/>
      <c r="B41" s="23" t="n"/>
      <c r="C41" s="24" t="n"/>
      <c r="D41" s="25" t="n"/>
      <c r="E41" s="26" t="n"/>
      <c r="F41" s="26" t="n"/>
      <c r="G41" s="26" t="n"/>
      <c r="H41" s="26" t="n"/>
      <c r="I41" s="25" t="n"/>
      <c r="J41" s="26" t="n"/>
    </row>
    <row r="42">
      <c r="A42" s="27" t="n"/>
      <c r="B42" s="28" t="n"/>
      <c r="C42" s="29" t="n"/>
      <c r="D42" s="30" t="n"/>
      <c r="E42" s="31" t="n"/>
      <c r="F42" s="31" t="n"/>
      <c r="G42" s="31" t="n"/>
      <c r="H42" s="31" t="n"/>
      <c r="I42" s="30" t="n"/>
      <c r="J42" s="31" t="n"/>
    </row>
    <row r="43">
      <c r="A43" s="22" t="n"/>
      <c r="B43" s="23" t="n"/>
      <c r="C43" s="24" t="n"/>
      <c r="D43" s="25" t="n"/>
      <c r="E43" s="26" t="n"/>
      <c r="F43" s="26" t="n"/>
      <c r="G43" s="26" t="n"/>
      <c r="H43" s="26" t="n"/>
      <c r="I43" s="25" t="n"/>
      <c r="J43" s="26" t="n"/>
    </row>
    <row r="44">
      <c r="A44" s="27" t="n"/>
      <c r="B44" s="28" t="n"/>
      <c r="C44" s="29" t="n"/>
      <c r="D44" s="30" t="n"/>
      <c r="E44" s="31" t="n"/>
      <c r="F44" s="31" t="n"/>
      <c r="G44" s="31" t="n"/>
      <c r="H44" s="31" t="n"/>
      <c r="I44" s="30" t="n"/>
      <c r="J44" s="31" t="n"/>
    </row>
    <row r="45">
      <c r="A45" s="22" t="n"/>
      <c r="B45" s="23" t="n"/>
      <c r="C45" s="24" t="n"/>
      <c r="D45" s="25" t="n"/>
      <c r="E45" s="26" t="n"/>
      <c r="F45" s="26" t="n"/>
      <c r="G45" s="26" t="n"/>
      <c r="H45" s="26" t="n"/>
      <c r="I45" s="25" t="n"/>
      <c r="J45" s="26" t="n"/>
    </row>
    <row r="46">
      <c r="A46" s="27" t="n"/>
      <c r="B46" s="28" t="n"/>
      <c r="C46" s="29" t="n"/>
      <c r="D46" s="30" t="n"/>
      <c r="E46" s="31" t="n"/>
      <c r="F46" s="31" t="n"/>
      <c r="G46" s="31" t="n"/>
      <c r="H46" s="31" t="n"/>
      <c r="I46" s="30" t="n"/>
      <c r="J46" s="31" t="n"/>
    </row>
    <row r="47">
      <c r="A47" s="22" t="n"/>
      <c r="B47" s="23" t="n"/>
      <c r="C47" s="24" t="n"/>
      <c r="D47" s="25" t="n"/>
      <c r="E47" s="26" t="n"/>
      <c r="F47" s="26" t="n"/>
      <c r="G47" s="26" t="n"/>
      <c r="H47" s="26" t="n"/>
      <c r="I47" s="25" t="n"/>
      <c r="J47" s="26" t="n"/>
    </row>
    <row r="48">
      <c r="A48" s="27" t="n"/>
      <c r="B48" s="28" t="n"/>
      <c r="C48" s="29" t="n"/>
      <c r="D48" s="30" t="n"/>
      <c r="E48" s="31" t="n"/>
      <c r="F48" s="31" t="n"/>
      <c r="G48" s="31" t="n"/>
      <c r="H48" s="31" t="n"/>
      <c r="I48" s="30" t="n"/>
      <c r="J48" s="31" t="n"/>
    </row>
    <row r="49">
      <c r="A49" s="22" t="n"/>
      <c r="B49" s="23" t="n"/>
      <c r="C49" s="24" t="n"/>
      <c r="D49" s="25" t="n"/>
      <c r="E49" s="26" t="n"/>
      <c r="F49" s="26" t="n"/>
      <c r="G49" s="26" t="n"/>
      <c r="H49" s="26" t="n"/>
      <c r="I49" s="25" t="n"/>
      <c r="J49" s="26" t="n"/>
    </row>
    <row r="50">
      <c r="A50" s="27" t="n"/>
      <c r="B50" s="28" t="n"/>
      <c r="C50" s="29" t="n"/>
      <c r="D50" s="30" t="n"/>
      <c r="E50" s="31" t="n"/>
      <c r="F50" s="31" t="n"/>
      <c r="G50" s="31" t="n"/>
      <c r="H50" s="31" t="n"/>
      <c r="I50" s="30" t="n"/>
      <c r="J50" s="31" t="n"/>
    </row>
    <row r="51">
      <c r="A51" s="22" t="n"/>
      <c r="B51" s="23" t="n"/>
      <c r="C51" s="24" t="n"/>
      <c r="D51" s="25" t="n"/>
      <c r="E51" s="26" t="n"/>
      <c r="F51" s="26" t="n"/>
      <c r="G51" s="26" t="n"/>
      <c r="H51" s="26" t="n"/>
      <c r="I51" s="25" t="n"/>
      <c r="J51" s="26" t="n"/>
    </row>
    <row r="52">
      <c r="A52" s="27" t="n"/>
      <c r="B52" s="28" t="n"/>
      <c r="C52" s="29" t="n"/>
      <c r="D52" s="30" t="n"/>
      <c r="E52" s="31" t="n"/>
      <c r="F52" s="31" t="n"/>
      <c r="G52" s="31" t="n"/>
      <c r="H52" s="31" t="n"/>
      <c r="I52" s="30" t="n"/>
      <c r="J52" s="31" t="n"/>
    </row>
    <row r="53">
      <c r="A53" s="22" t="n"/>
      <c r="B53" s="23" t="n"/>
      <c r="C53" s="24" t="n"/>
      <c r="D53" s="25" t="n"/>
      <c r="E53" s="26" t="n"/>
      <c r="F53" s="26" t="n"/>
      <c r="G53" s="26" t="n"/>
      <c r="H53" s="26" t="n"/>
      <c r="I53" s="25" t="n"/>
      <c r="J53" s="26" t="n"/>
    </row>
    <row r="54">
      <c r="A54" s="27" t="n"/>
      <c r="B54" s="28" t="n"/>
      <c r="C54" s="29" t="n"/>
      <c r="D54" s="30" t="n"/>
      <c r="E54" s="31" t="n"/>
      <c r="F54" s="31" t="n"/>
      <c r="G54" s="31" t="n"/>
      <c r="H54" s="31" t="n"/>
      <c r="I54" s="30" t="n"/>
      <c r="J54" s="31" t="n"/>
    </row>
    <row r="55">
      <c r="A55" s="22" t="n"/>
      <c r="B55" s="23" t="n"/>
      <c r="C55" s="24" t="n"/>
      <c r="D55" s="25" t="n"/>
      <c r="E55" s="26" t="n"/>
      <c r="F55" s="26" t="n"/>
      <c r="G55" s="26" t="n"/>
      <c r="H55" s="26" t="n"/>
      <c r="I55" s="25" t="n"/>
      <c r="J55" s="26" t="n"/>
    </row>
    <row r="56">
      <c r="A56" s="27" t="n"/>
      <c r="B56" s="28" t="n"/>
      <c r="C56" s="29" t="n"/>
      <c r="D56" s="30" t="n"/>
      <c r="E56" s="31" t="n"/>
      <c r="F56" s="31" t="n"/>
      <c r="G56" s="31" t="n"/>
      <c r="H56" s="31" t="n"/>
      <c r="I56" s="30" t="n"/>
      <c r="J56" s="31" t="n"/>
    </row>
    <row r="57">
      <c r="A57" s="22" t="n"/>
      <c r="B57" s="23" t="n"/>
      <c r="C57" s="24" t="n"/>
      <c r="D57" s="25" t="n"/>
      <c r="E57" s="26" t="n"/>
      <c r="F57" s="26" t="n"/>
      <c r="G57" s="26" t="n"/>
      <c r="H57" s="26" t="n"/>
      <c r="I57" s="25" t="n"/>
      <c r="J57" s="26" t="n"/>
    </row>
    <row r="58">
      <c r="A58" s="27" t="n"/>
      <c r="B58" s="28" t="n"/>
      <c r="C58" s="29" t="n"/>
      <c r="D58" s="30" t="n"/>
      <c r="E58" s="31" t="n"/>
      <c r="F58" s="31" t="n"/>
      <c r="G58" s="31" t="n"/>
      <c r="H58" s="31" t="n"/>
      <c r="I58" s="30" t="n"/>
      <c r="J58" s="31" t="n"/>
    </row>
    <row r="59">
      <c r="A59" s="22" t="n"/>
      <c r="B59" s="23" t="n"/>
      <c r="C59" s="24" t="n"/>
      <c r="D59" s="25" t="n"/>
      <c r="E59" s="26" t="n"/>
      <c r="F59" s="26" t="n"/>
      <c r="G59" s="26" t="n"/>
      <c r="H59" s="26" t="n"/>
      <c r="I59" s="25" t="n"/>
      <c r="J59" s="26" t="n"/>
    </row>
    <row r="60">
      <c r="A60" s="27" t="n"/>
      <c r="B60" s="28" t="n"/>
      <c r="C60" s="29" t="n"/>
      <c r="D60" s="30" t="n"/>
      <c r="E60" s="31" t="n"/>
      <c r="F60" s="31" t="n"/>
      <c r="G60" s="31" t="n"/>
      <c r="H60" s="31" t="n"/>
      <c r="I60" s="30" t="n"/>
      <c r="J60" s="31" t="n"/>
    </row>
    <row r="61">
      <c r="A61" s="22" t="n"/>
      <c r="B61" s="23" t="n"/>
      <c r="C61" s="24" t="n"/>
      <c r="D61" s="25" t="n"/>
      <c r="E61" s="26" t="n"/>
      <c r="F61" s="26" t="n"/>
      <c r="G61" s="26" t="n"/>
      <c r="H61" s="26" t="n"/>
      <c r="I61" s="25" t="n"/>
      <c r="J61" s="26" t="n"/>
    </row>
    <row r="62">
      <c r="A62" s="27" t="n"/>
      <c r="B62" s="28" t="n"/>
      <c r="C62" s="29" t="n"/>
      <c r="D62" s="30" t="n"/>
      <c r="E62" s="31" t="n"/>
      <c r="F62" s="31" t="n"/>
      <c r="G62" s="31" t="n"/>
      <c r="H62" s="31" t="n"/>
      <c r="I62" s="30" t="n"/>
      <c r="J62" s="31" t="n"/>
    </row>
    <row r="63">
      <c r="A63" s="22" t="n"/>
      <c r="B63" s="23" t="n"/>
      <c r="C63" s="24" t="n"/>
      <c r="D63" s="25" t="n"/>
      <c r="E63" s="26" t="n"/>
      <c r="F63" s="26" t="n"/>
      <c r="G63" s="26" t="n"/>
      <c r="H63" s="26" t="n"/>
      <c r="I63" s="25" t="n"/>
      <c r="J63" s="26" t="n"/>
    </row>
    <row r="64">
      <c r="A64" s="27" t="n"/>
      <c r="B64" s="28" t="n"/>
      <c r="C64" s="29" t="n"/>
      <c r="D64" s="30" t="n"/>
      <c r="E64" s="31" t="n"/>
      <c r="F64" s="31" t="n"/>
      <c r="G64" s="31" t="n"/>
      <c r="H64" s="31" t="n"/>
      <c r="I64" s="30" t="n"/>
      <c r="J64" s="31" t="n"/>
    </row>
    <row r="65">
      <c r="A65" s="9" t="inlineStr">
        <is>
          <t>TOTAL</t>
        </is>
      </c>
      <c r="B65" s="9" t="n"/>
      <c r="C65" s="32">
        <f>SUM(C5:C64)</f>
        <v/>
      </c>
      <c r="D65" s="33">
        <f>SUM(D5:D64)</f>
        <v/>
      </c>
      <c r="E65" s="34">
        <f>SUM(E5:E64)</f>
        <v/>
      </c>
      <c r="F65" s="34">
        <f>SUM(F5:F64)</f>
        <v/>
      </c>
      <c r="G65" s="34">
        <f>SUM(G5:G64)</f>
        <v/>
      </c>
      <c r="H65" s="34">
        <f>SUM(H5:H64)</f>
        <v/>
      </c>
      <c r="I65" s="33">
        <f>SUM(I5:I64)</f>
        <v/>
      </c>
      <c r="J65" s="34">
        <f>SUM(J5:J64)</f>
        <v/>
      </c>
    </row>
  </sheetData>
  <mergeCells count="2">
    <mergeCell ref="A1:J1"/>
    <mergeCell ref="A2:J2"/>
  </mergeCells>
  <conditionalFormatting sqref="H5:H64">
    <cfRule type="dataBar" priority="1">
      <dataBar showValue="1">
        <cfvo type="num" val="0"/>
        <cfvo type="num" val="340"/>
        <color rgb="001B4F48"/>
      </dataBar>
    </cfRule>
  </conditionalFormatting>
  <dataValidations count="1">
    <dataValidation sqref="B5:B6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2" customWidth="1" min="4" max="4"/>
    <col width="3" customWidth="1" min="5" max="5"/>
    <col width="18" customWidth="1" min="6" max="6"/>
    <col width="14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💵  EARNINGS BREAKDOWN</t>
        </is>
      </c>
    </row>
    <row r="2" ht="22" customHeight="1">
      <c r="A2" s="2" t="inlineStr">
        <is>
          <t xml:space="preserve">  Where the money comes from — earnings mix and platform split, live from your log.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22" customHeight="1">
      <c r="B5" s="4" t="inlineStr">
        <is>
          <t>EARNINGS MIX (THIS MONTH)</t>
        </is>
      </c>
      <c r="F5" s="4" t="inlineStr">
        <is>
          <t>BY PLATFORM</t>
        </is>
      </c>
    </row>
    <row r="6" ht="30" customHeight="1">
      <c r="B6" s="9" t="inlineStr">
        <is>
          <t>Source</t>
        </is>
      </c>
      <c r="C6" s="9" t="inlineStr">
        <is>
          <t>Amount</t>
        </is>
      </c>
      <c r="D6" s="9" t="inlineStr">
        <is>
          <t>Share</t>
        </is>
      </c>
      <c r="F6" s="9" t="inlineStr">
        <is>
          <t>Platform</t>
        </is>
      </c>
      <c r="G6" s="9" t="inlineStr">
        <is>
          <t>Earnings</t>
        </is>
      </c>
      <c r="H6" s="9" t="inlineStr">
        <is>
          <t>Share</t>
        </is>
      </c>
    </row>
    <row r="7">
      <c r="B7" s="35" t="inlineStr">
        <is>
          <t>Fares</t>
        </is>
      </c>
      <c r="C7" s="36">
        <f>TotalFares</f>
        <v/>
      </c>
      <c r="D7" s="37">
        <f>IFERROR(C7/GrossEarn,0)</f>
        <v/>
      </c>
      <c r="F7" s="35" t="inlineStr">
        <is>
          <t>Lyft</t>
        </is>
      </c>
      <c r="G7" s="36">
        <f>SUMIF(ShiftPlatform,"Lyft",ShiftEarn)</f>
        <v/>
      </c>
      <c r="H7" s="37">
        <f>IFERROR(G7/GrossEarn,0)</f>
        <v/>
      </c>
    </row>
    <row r="8">
      <c r="B8" s="38" t="inlineStr">
        <is>
          <t>Tips</t>
        </is>
      </c>
      <c r="C8" s="31">
        <f>TotalTips</f>
        <v/>
      </c>
      <c r="D8" s="39">
        <f>IFERROR(C8/GrossEarn,0)</f>
        <v/>
      </c>
      <c r="F8" s="38" t="inlineStr">
        <is>
          <t>Uber</t>
        </is>
      </c>
      <c r="G8" s="31">
        <f>SUMIF(ShiftPlatform,"Uber",ShiftEarn)</f>
        <v/>
      </c>
      <c r="H8" s="39">
        <f>IFERROR(G8/GrossEarn,0)</f>
        <v/>
      </c>
    </row>
    <row r="9">
      <c r="B9" s="35" t="inlineStr">
        <is>
          <t>Bonus / Surge</t>
        </is>
      </c>
      <c r="C9" s="36">
        <f>TotalBonus</f>
        <v/>
      </c>
      <c r="D9" s="37">
        <f>IFERROR(C9/GrossEarn,0)</f>
        <v/>
      </c>
      <c r="F9" s="35" t="inlineStr">
        <is>
          <t>Both</t>
        </is>
      </c>
      <c r="G9" s="36">
        <f>SUMIF(ShiftPlatform,"Both",ShiftEarn)</f>
        <v/>
      </c>
      <c r="H9" s="37">
        <f>IFERROR(G9/GrossEarn,0)</f>
        <v/>
      </c>
    </row>
    <row r="10">
      <c r="B10" s="9" t="inlineStr">
        <is>
          <t>TOTAL EARNINGS</t>
        </is>
      </c>
      <c r="C10" s="34">
        <f>GrossEarn</f>
        <v/>
      </c>
      <c r="D10" s="40" t="n"/>
    </row>
    <row r="12" ht="22" customHeight="1">
      <c r="B12" s="4" t="inlineStr">
        <is>
          <t>PER-SHIFT AVERAGES</t>
        </is>
      </c>
      <c r="F12" s="4" t="inlineStr">
        <is>
          <t>TAKE-HOME (AFTER EXPENSES)</t>
        </is>
      </c>
    </row>
    <row r="13">
      <c r="B13" s="20" t="inlineStr">
        <is>
          <t>Avg / shift</t>
        </is>
      </c>
      <c r="C13" s="41">
        <f>IFERROR(GrossEarn/COUNT(ShiftEarn),0)</f>
        <v/>
      </c>
      <c r="D13" s="23" t="n"/>
      <c r="F13" s="20" t="inlineStr">
        <is>
          <t>Net earnings</t>
        </is>
      </c>
      <c r="G13" s="42">
        <f>NetEarn</f>
        <v/>
      </c>
      <c r="H13" s="23" t="n"/>
    </row>
    <row r="14">
      <c r="B14" s="20" t="inlineStr">
        <is>
          <t>Avg / trip</t>
        </is>
      </c>
      <c r="C14" s="43">
        <f>IFERROR(GrossEarn/TotalTrips,0)</f>
        <v/>
      </c>
      <c r="D14" s="23" t="n"/>
      <c r="F14" s="20" t="inlineStr">
        <is>
          <t>Net $ / hour</t>
        </is>
      </c>
      <c r="G14" s="44">
        <f>PerHour</f>
        <v/>
      </c>
      <c r="H14" s="23" t="n"/>
    </row>
    <row r="15">
      <c r="B15" s="20" t="inlineStr">
        <is>
          <t>Gross $ / hour</t>
        </is>
      </c>
      <c r="C15" s="43">
        <f>IFERROR(GrossEarn/TotalHours,0)</f>
        <v/>
      </c>
      <c r="D15" s="23" t="n"/>
      <c r="F15" s="20" t="inlineStr">
        <is>
          <t>Net $ / mile</t>
        </is>
      </c>
      <c r="G15" s="43">
        <f>PerMile</f>
        <v/>
      </c>
      <c r="H15" s="23" t="n"/>
    </row>
    <row r="16">
      <c r="B16" s="20" t="inlineStr">
        <is>
          <t>Tips % of fares</t>
        </is>
      </c>
      <c r="C16" s="45">
        <f>IFERROR(TotalTips/TotalFares,0)</f>
        <v/>
      </c>
      <c r="D16" s="23" t="n"/>
      <c r="F16" s="20" t="inlineStr">
        <is>
          <t>Expense ratio</t>
        </is>
      </c>
      <c r="G16" s="45">
        <f>IFERROR(ExpenseTotal/GrossEarn,0)</f>
        <v/>
      </c>
      <c r="H16" s="23" t="n"/>
    </row>
  </sheetData>
  <mergeCells count="6">
    <mergeCell ref="B5:D5"/>
    <mergeCell ref="F5:H5"/>
    <mergeCell ref="A2:H2"/>
    <mergeCell ref="F12:H12"/>
    <mergeCell ref="A1:H1"/>
    <mergeCell ref="B12:D12"/>
  </mergeCells>
  <conditionalFormatting sqref="C7:C9">
    <cfRule type="dataBar" priority="1">
      <dataBar showValue="1">
        <cfvo type="num" val="0"/>
        <cfvo type="num" val="3300"/>
        <color rgb="00C9A86A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2" customWidth="1" min="4" max="4"/>
    <col width="26" customWidth="1" min="5" max="5"/>
  </cols>
  <sheetData>
    <row r="1" ht="46" customHeight="1">
      <c r="A1" s="1" t="inlineStr">
        <is>
          <t xml:space="preserve">  🛣  MILEAGE TRACKER</t>
        </is>
      </c>
    </row>
    <row r="2" ht="22" customHeight="1">
      <c r="A2" s="2" t="inlineStr">
        <is>
          <t xml:space="preserve">  Log business miles for the IRS deduction — the biggest tax break drivers miss.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Date</t>
        </is>
      </c>
      <c r="B4" s="9" t="inlineStr">
        <is>
          <t>Route / Purpose</t>
        </is>
      </c>
      <c r="C4" s="9" t="inlineStr">
        <is>
          <t>Type</t>
        </is>
      </c>
      <c r="D4" s="9" t="inlineStr">
        <is>
          <t>Miles</t>
        </is>
      </c>
      <c r="E4" s="9" t="inlineStr">
        <is>
          <t>Notes</t>
        </is>
      </c>
    </row>
    <row r="5">
      <c r="A5" s="22" t="n">
        <v>46191</v>
      </c>
      <c r="B5" s="46" t="inlineStr">
        <is>
          <t>Home → downtown zone</t>
        </is>
      </c>
      <c r="C5" s="23" t="inlineStr">
        <is>
          <t>Business</t>
        </is>
      </c>
      <c r="D5" s="25" t="n">
        <v>188</v>
      </c>
      <c r="E5" s="46" t="inlineStr">
        <is>
          <t>Morning rush shift</t>
        </is>
      </c>
    </row>
    <row r="6">
      <c r="A6" s="27" t="n">
        <v>46192</v>
      </c>
      <c r="B6" s="38" t="inlineStr">
        <is>
          <t>Airport runs</t>
        </is>
      </c>
      <c r="C6" s="28" t="inlineStr">
        <is>
          <t>Business</t>
        </is>
      </c>
      <c r="D6" s="30" t="n">
        <v>205</v>
      </c>
      <c r="E6" s="38" t="inlineStr">
        <is>
          <t>Airport queue day</t>
        </is>
      </c>
    </row>
    <row r="7">
      <c r="A7" s="22" t="n">
        <v>46194</v>
      </c>
      <c r="B7" s="46" t="inlineStr">
        <is>
          <t>Suburbs + events</t>
        </is>
      </c>
      <c r="C7" s="23" t="inlineStr">
        <is>
          <t>Business</t>
        </is>
      </c>
      <c r="D7" s="25" t="n">
        <v>158</v>
      </c>
      <c r="E7" s="46" t="inlineStr">
        <is>
          <t>Slow afternoon</t>
        </is>
      </c>
    </row>
    <row r="8">
      <c r="A8" s="27" t="n">
        <v>46195</v>
      </c>
      <c r="B8" s="38" t="inlineStr">
        <is>
          <t>Mixed platform day</t>
        </is>
      </c>
      <c r="C8" s="28" t="inlineStr">
        <is>
          <t>Business</t>
        </is>
      </c>
      <c r="D8" s="30" t="n">
        <v>182</v>
      </c>
      <c r="E8" s="38" t="inlineStr">
        <is>
          <t>Lyft + Uber</t>
        </is>
      </c>
    </row>
    <row r="9">
      <c r="A9" s="22" t="n">
        <v>46198</v>
      </c>
      <c r="B9" s="46" t="inlineStr">
        <is>
          <t>Concert surge</t>
        </is>
      </c>
      <c r="C9" s="23" t="inlineStr">
        <is>
          <t>Business</t>
        </is>
      </c>
      <c r="D9" s="25" t="n">
        <v>214</v>
      </c>
      <c r="E9" s="46" t="inlineStr">
        <is>
          <t>Big surge night</t>
        </is>
      </c>
    </row>
    <row r="10">
      <c r="A10" s="27" t="n">
        <v>46201</v>
      </c>
      <c r="B10" s="38" t="inlineStr">
        <is>
          <t>Downtown + campus</t>
        </is>
      </c>
      <c r="C10" s="28" t="inlineStr">
        <is>
          <t>Business</t>
        </is>
      </c>
      <c r="D10" s="30" t="n">
        <v>198</v>
      </c>
      <c r="E10" s="38" t="inlineStr">
        <is>
          <t>Steady</t>
        </is>
      </c>
    </row>
    <row r="11">
      <c r="A11" s="22" t="n">
        <v>46204</v>
      </c>
      <c r="B11" s="46" t="inlineStr">
        <is>
          <t>Airport + late bars</t>
        </is>
      </c>
      <c r="C11" s="23" t="inlineStr">
        <is>
          <t>Business</t>
        </is>
      </c>
      <c r="D11" s="25" t="n">
        <v>208</v>
      </c>
      <c r="E11" s="46" t="inlineStr">
        <is>
          <t>Long day</t>
        </is>
      </c>
    </row>
    <row r="12">
      <c r="A12" s="27" t="n">
        <v>46206</v>
      </c>
      <c r="B12" s="38" t="inlineStr">
        <is>
          <t>Mixed + delivery</t>
        </is>
      </c>
      <c r="C12" s="28" t="inlineStr">
        <is>
          <t>Business</t>
        </is>
      </c>
      <c r="D12" s="30" t="n">
        <v>186</v>
      </c>
      <c r="E12" s="38" t="inlineStr">
        <is>
          <t>Tried delivery</t>
        </is>
      </c>
    </row>
    <row r="13">
      <c r="A13" s="22" t="n">
        <v>46209</v>
      </c>
      <c r="B13" s="46" t="inlineStr">
        <is>
          <t>Weekend rush</t>
        </is>
      </c>
      <c r="C13" s="23" t="inlineStr">
        <is>
          <t>Business</t>
        </is>
      </c>
      <c r="D13" s="25" t="n">
        <v>200</v>
      </c>
      <c r="E13" s="46" t="inlineStr">
        <is>
          <t>Best day this week</t>
        </is>
      </c>
    </row>
    <row r="14">
      <c r="A14" s="27" t="n">
        <v>46212</v>
      </c>
      <c r="B14" s="38" t="inlineStr">
        <is>
          <t>Downtown day</t>
        </is>
      </c>
      <c r="C14" s="28" t="inlineStr">
        <is>
          <t>Business</t>
        </is>
      </c>
      <c r="D14" s="30" t="n">
        <v>178</v>
      </c>
      <c r="E14" s="38" t="inlineStr">
        <is>
          <t>Solid</t>
        </is>
      </c>
    </row>
    <row r="15">
      <c r="A15" s="22" t="n">
        <v>46203</v>
      </c>
      <c r="B15" s="46" t="inlineStr">
        <is>
          <t>Personal errands</t>
        </is>
      </c>
      <c r="C15" s="23" t="inlineStr">
        <is>
          <t>Personal</t>
        </is>
      </c>
      <c r="D15" s="25" t="n">
        <v>24</v>
      </c>
      <c r="E15" s="46" t="inlineStr">
        <is>
          <t>Not deductible</t>
        </is>
      </c>
    </row>
    <row r="16">
      <c r="A16" s="27" t="n"/>
      <c r="B16" s="38" t="n"/>
      <c r="C16" s="28" t="n"/>
      <c r="D16" s="30" t="n"/>
      <c r="E16" s="38" t="n"/>
    </row>
    <row r="17">
      <c r="A17" s="22" t="n"/>
      <c r="B17" s="46" t="n"/>
      <c r="C17" s="23" t="n"/>
      <c r="D17" s="25" t="n"/>
      <c r="E17" s="46" t="n"/>
    </row>
    <row r="18">
      <c r="A18" s="27" t="n"/>
      <c r="B18" s="38" t="n"/>
      <c r="C18" s="28" t="n"/>
      <c r="D18" s="30" t="n"/>
      <c r="E18" s="38" t="n"/>
    </row>
    <row r="19">
      <c r="A19" s="22" t="n"/>
      <c r="B19" s="46" t="n"/>
      <c r="C19" s="23" t="n"/>
      <c r="D19" s="25" t="n"/>
      <c r="E19" s="46" t="n"/>
    </row>
    <row r="20">
      <c r="A20" s="27" t="n"/>
      <c r="B20" s="38" t="n"/>
      <c r="C20" s="28" t="n"/>
      <c r="D20" s="30" t="n"/>
      <c r="E20" s="38" t="n"/>
    </row>
    <row r="21">
      <c r="A21" s="22" t="n"/>
      <c r="B21" s="46" t="n"/>
      <c r="C21" s="23" t="n"/>
      <c r="D21" s="25" t="n"/>
      <c r="E21" s="46" t="n"/>
    </row>
    <row r="22">
      <c r="A22" s="27" t="n"/>
      <c r="B22" s="38" t="n"/>
      <c r="C22" s="28" t="n"/>
      <c r="D22" s="30" t="n"/>
      <c r="E22" s="38" t="n"/>
    </row>
    <row r="23">
      <c r="A23" s="22" t="n"/>
      <c r="B23" s="46" t="n"/>
      <c r="C23" s="23" t="n"/>
      <c r="D23" s="25" t="n"/>
      <c r="E23" s="46" t="n"/>
    </row>
    <row r="24">
      <c r="A24" s="27" t="n"/>
      <c r="B24" s="38" t="n"/>
      <c r="C24" s="28" t="n"/>
      <c r="D24" s="30" t="n"/>
      <c r="E24" s="38" t="n"/>
    </row>
    <row r="25">
      <c r="A25" s="22" t="n"/>
      <c r="B25" s="46" t="n"/>
      <c r="C25" s="23" t="n"/>
      <c r="D25" s="25" t="n"/>
      <c r="E25" s="46" t="n"/>
    </row>
    <row r="26">
      <c r="A26" s="27" t="n"/>
      <c r="B26" s="38" t="n"/>
      <c r="C26" s="28" t="n"/>
      <c r="D26" s="30" t="n"/>
      <c r="E26" s="38" t="n"/>
    </row>
    <row r="27">
      <c r="A27" s="22" t="n"/>
      <c r="B27" s="46" t="n"/>
      <c r="C27" s="23" t="n"/>
      <c r="D27" s="25" t="n"/>
      <c r="E27" s="46" t="n"/>
    </row>
    <row r="28">
      <c r="A28" s="27" t="n"/>
      <c r="B28" s="38" t="n"/>
      <c r="C28" s="28" t="n"/>
      <c r="D28" s="30" t="n"/>
      <c r="E28" s="38" t="n"/>
    </row>
    <row r="29">
      <c r="A29" s="22" t="n"/>
      <c r="B29" s="46" t="n"/>
      <c r="C29" s="23" t="n"/>
      <c r="D29" s="25" t="n"/>
      <c r="E29" s="46" t="n"/>
    </row>
    <row r="30">
      <c r="A30" s="27" t="n"/>
      <c r="B30" s="38" t="n"/>
      <c r="C30" s="28" t="n"/>
      <c r="D30" s="30" t="n"/>
      <c r="E30" s="38" t="n"/>
    </row>
    <row r="31">
      <c r="A31" s="22" t="n"/>
      <c r="B31" s="46" t="n"/>
      <c r="C31" s="23" t="n"/>
      <c r="D31" s="25" t="n"/>
      <c r="E31" s="46" t="n"/>
    </row>
    <row r="32">
      <c r="A32" s="27" t="n"/>
      <c r="B32" s="38" t="n"/>
      <c r="C32" s="28" t="n"/>
      <c r="D32" s="30" t="n"/>
      <c r="E32" s="38" t="n"/>
    </row>
    <row r="33">
      <c r="A33" s="22" t="n"/>
      <c r="B33" s="46" t="n"/>
      <c r="C33" s="23" t="n"/>
      <c r="D33" s="25" t="n"/>
      <c r="E33" s="46" t="n"/>
    </row>
    <row r="34">
      <c r="A34" s="27" t="n"/>
      <c r="B34" s="38" t="n"/>
      <c r="C34" s="28" t="n"/>
      <c r="D34" s="30" t="n"/>
      <c r="E34" s="38" t="n"/>
    </row>
    <row r="35">
      <c r="A35" s="22" t="n"/>
      <c r="B35" s="46" t="n"/>
      <c r="C35" s="23" t="n"/>
      <c r="D35" s="25" t="n"/>
      <c r="E35" s="46" t="n"/>
    </row>
    <row r="36">
      <c r="A36" s="27" t="n"/>
      <c r="B36" s="38" t="n"/>
      <c r="C36" s="28" t="n"/>
      <c r="D36" s="30" t="n"/>
      <c r="E36" s="38" t="n"/>
    </row>
    <row r="37">
      <c r="A37" s="22" t="n"/>
      <c r="B37" s="46" t="n"/>
      <c r="C37" s="23" t="n"/>
      <c r="D37" s="25" t="n"/>
      <c r="E37" s="46" t="n"/>
    </row>
    <row r="38">
      <c r="A38" s="27" t="n"/>
      <c r="B38" s="38" t="n"/>
      <c r="C38" s="28" t="n"/>
      <c r="D38" s="30" t="n"/>
      <c r="E38" s="38" t="n"/>
    </row>
    <row r="39">
      <c r="A39" s="22" t="n"/>
      <c r="B39" s="46" t="n"/>
      <c r="C39" s="23" t="n"/>
      <c r="D39" s="25" t="n"/>
      <c r="E39" s="46" t="n"/>
    </row>
    <row r="40">
      <c r="A40" s="27" t="n"/>
      <c r="B40" s="38" t="n"/>
      <c r="C40" s="28" t="n"/>
      <c r="D40" s="30" t="n"/>
      <c r="E40" s="38" t="n"/>
    </row>
    <row r="41">
      <c r="A41" s="22" t="n"/>
      <c r="B41" s="46" t="n"/>
      <c r="C41" s="23" t="n"/>
      <c r="D41" s="25" t="n"/>
      <c r="E41" s="46" t="n"/>
    </row>
    <row r="42">
      <c r="A42" s="27" t="n"/>
      <c r="B42" s="38" t="n"/>
      <c r="C42" s="28" t="n"/>
      <c r="D42" s="30" t="n"/>
      <c r="E42" s="38" t="n"/>
    </row>
    <row r="43">
      <c r="A43" s="22" t="n"/>
      <c r="B43" s="46" t="n"/>
      <c r="C43" s="23" t="n"/>
      <c r="D43" s="25" t="n"/>
      <c r="E43" s="46" t="n"/>
    </row>
    <row r="44">
      <c r="A44" s="27" t="n"/>
      <c r="B44" s="38" t="n"/>
      <c r="C44" s="28" t="n"/>
      <c r="D44" s="30" t="n"/>
      <c r="E44" s="38" t="n"/>
    </row>
  </sheetData>
  <mergeCells count="2">
    <mergeCell ref="A2:E2"/>
    <mergeCell ref="A1:E1"/>
  </mergeCells>
  <conditionalFormatting sqref="C5:C44">
    <cfRule type="cellIs" priority="1" operator="equal" dxfId="0">
      <formula>"Business"</formula>
    </cfRule>
    <cfRule type="cellIs" priority="2" operator="equal" dxfId="1">
      <formula>"Personal"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46" customHeight="1">
      <c r="A1" s="1" t="inlineStr">
        <is>
          <t xml:space="preserve">  ⛽  FUEL LOG</t>
        </is>
      </c>
    </row>
    <row r="2" ht="22" customHeight="1">
      <c r="A2" s="2" t="inlineStr">
        <is>
          <t xml:space="preserve">  Track every fill-up — gallons, price &amp; cost so your real fuel spend is never a guess.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Station</t>
        </is>
      </c>
      <c r="C4" s="9" t="inlineStr">
        <is>
          <t>Gallons</t>
        </is>
      </c>
      <c r="D4" s="9" t="inlineStr">
        <is>
          <t>$ / Gal</t>
        </is>
      </c>
      <c r="E4" s="9" t="inlineStr">
        <is>
          <t>Cost</t>
        </is>
      </c>
      <c r="F4" s="9" t="inlineStr">
        <is>
          <t>Notes</t>
        </is>
      </c>
    </row>
    <row r="5">
      <c r="A5" s="22" t="n">
        <v>46191</v>
      </c>
      <c r="B5" s="46" t="inlineStr">
        <is>
          <t>Shell</t>
        </is>
      </c>
      <c r="C5" s="24" t="n">
        <v>11.2</v>
      </c>
      <c r="D5" s="47" t="n">
        <v>3.29</v>
      </c>
      <c r="E5" s="47">
        <f>ROUND(C5*D5,2)</f>
        <v/>
      </c>
      <c r="F5" s="46" t="inlineStr">
        <is>
          <t>Full tank</t>
        </is>
      </c>
    </row>
    <row r="6">
      <c r="A6" s="27" t="n">
        <v>46194</v>
      </c>
      <c r="B6" s="38" t="inlineStr">
        <is>
          <t>Costco</t>
        </is>
      </c>
      <c r="C6" s="29" t="n">
        <v>10.8</v>
      </c>
      <c r="D6" s="48" t="n">
        <v>3.05</v>
      </c>
      <c r="E6" s="48">
        <f>ROUND(C6*D6,2)</f>
        <v/>
      </c>
      <c r="F6" s="38" t="inlineStr">
        <is>
          <t>Cheapest in town</t>
        </is>
      </c>
    </row>
    <row r="7">
      <c r="A7" s="22" t="n">
        <v>46197</v>
      </c>
      <c r="B7" s="46" t="inlineStr">
        <is>
          <t>QuikTrip</t>
        </is>
      </c>
      <c r="C7" s="24" t="n">
        <v>11.5</v>
      </c>
      <c r="D7" s="47" t="n">
        <v>3.19</v>
      </c>
      <c r="E7" s="47">
        <f>ROUND(C7*D7,2)</f>
        <v/>
      </c>
      <c r="F7" s="46" t="inlineStr">
        <is>
          <t>Topped off</t>
        </is>
      </c>
    </row>
    <row r="8">
      <c r="A8" s="27" t="n">
        <v>46200</v>
      </c>
      <c r="B8" s="38" t="inlineStr">
        <is>
          <t>Shell</t>
        </is>
      </c>
      <c r="C8" s="29" t="n">
        <v>10.9</v>
      </c>
      <c r="D8" s="48" t="n">
        <v>3.29</v>
      </c>
      <c r="E8" s="48">
        <f>ROUND(C8*D8,2)</f>
        <v/>
      </c>
      <c r="F8" s="38" t="inlineStr">
        <is>
          <t>Before airport day</t>
        </is>
      </c>
    </row>
    <row r="9">
      <c r="A9" s="22" t="n">
        <v>46203</v>
      </c>
      <c r="B9" s="46" t="inlineStr">
        <is>
          <t>Costco</t>
        </is>
      </c>
      <c r="C9" s="24" t="n">
        <v>11.3</v>
      </c>
      <c r="D9" s="47" t="n">
        <v>3.09</v>
      </c>
      <c r="E9" s="47">
        <f>ROUND(C9*D9,2)</f>
        <v/>
      </c>
      <c r="F9" s="46" t="inlineStr">
        <is>
          <t>Membership pays off</t>
        </is>
      </c>
    </row>
    <row r="10">
      <c r="A10" s="27" t="n">
        <v>46206</v>
      </c>
      <c r="B10" s="38" t="inlineStr">
        <is>
          <t>Exxon</t>
        </is>
      </c>
      <c r="C10" s="29" t="n">
        <v>10.6</v>
      </c>
      <c r="D10" s="48" t="n">
        <v>3.35</v>
      </c>
      <c r="E10" s="48">
        <f>ROUND(C10*D10,2)</f>
        <v/>
      </c>
      <c r="F10" s="38" t="inlineStr">
        <is>
          <t>Highway trip</t>
        </is>
      </c>
    </row>
    <row r="11">
      <c r="A11" s="22" t="n">
        <v>46209</v>
      </c>
      <c r="B11" s="46" t="inlineStr">
        <is>
          <t>QuikTrip</t>
        </is>
      </c>
      <c r="C11" s="24" t="n">
        <v>11.4</v>
      </c>
      <c r="D11" s="47" t="n">
        <v>3.15</v>
      </c>
      <c r="E11" s="47">
        <f>ROUND(C11*D11,2)</f>
        <v/>
      </c>
      <c r="F11" s="46" t="inlineStr">
        <is>
          <t>Weekend fill</t>
        </is>
      </c>
    </row>
    <row r="12">
      <c r="A12" s="27" t="n">
        <v>46212</v>
      </c>
      <c r="B12" s="38" t="inlineStr">
        <is>
          <t>Costco</t>
        </is>
      </c>
      <c r="C12" s="29" t="n">
        <v>11</v>
      </c>
      <c r="D12" s="48" t="n">
        <v>3.05</v>
      </c>
      <c r="E12" s="48">
        <f>ROUND(C12*D12,2)</f>
        <v/>
      </c>
      <c r="F12" s="38" t="inlineStr">
        <is>
          <t>End of month</t>
        </is>
      </c>
    </row>
    <row r="13">
      <c r="A13" s="22" t="n"/>
      <c r="B13" s="46" t="n"/>
      <c r="C13" s="24" t="n"/>
      <c r="D13" s="47" t="n"/>
      <c r="E13" s="47" t="n"/>
      <c r="F13" s="46" t="n"/>
    </row>
    <row r="14">
      <c r="A14" s="27" t="n"/>
      <c r="B14" s="38" t="n"/>
      <c r="C14" s="29" t="n"/>
      <c r="D14" s="48" t="n"/>
      <c r="E14" s="48" t="n"/>
      <c r="F14" s="38" t="n"/>
    </row>
    <row r="15">
      <c r="A15" s="22" t="n"/>
      <c r="B15" s="46" t="n"/>
      <c r="C15" s="24" t="n"/>
      <c r="D15" s="47" t="n"/>
      <c r="E15" s="47" t="n"/>
      <c r="F15" s="46" t="n"/>
    </row>
    <row r="16">
      <c r="A16" s="27" t="n"/>
      <c r="B16" s="38" t="n"/>
      <c r="C16" s="29" t="n"/>
      <c r="D16" s="48" t="n"/>
      <c r="E16" s="48" t="n"/>
      <c r="F16" s="38" t="n"/>
    </row>
    <row r="17">
      <c r="A17" s="22" t="n"/>
      <c r="B17" s="46" t="n"/>
      <c r="C17" s="24" t="n"/>
      <c r="D17" s="47" t="n"/>
      <c r="E17" s="47" t="n"/>
      <c r="F17" s="46" t="n"/>
    </row>
    <row r="18">
      <c r="A18" s="27" t="n"/>
      <c r="B18" s="38" t="n"/>
      <c r="C18" s="29" t="n"/>
      <c r="D18" s="48" t="n"/>
      <c r="E18" s="48" t="n"/>
      <c r="F18" s="38" t="n"/>
    </row>
    <row r="19">
      <c r="A19" s="22" t="n"/>
      <c r="B19" s="46" t="n"/>
      <c r="C19" s="24" t="n"/>
      <c r="D19" s="47" t="n"/>
      <c r="E19" s="47" t="n"/>
      <c r="F19" s="46" t="n"/>
    </row>
    <row r="20">
      <c r="A20" s="27" t="n"/>
      <c r="B20" s="38" t="n"/>
      <c r="C20" s="29" t="n"/>
      <c r="D20" s="48" t="n"/>
      <c r="E20" s="48" t="n"/>
      <c r="F20" s="38" t="n"/>
    </row>
    <row r="21">
      <c r="A21" s="22" t="n"/>
      <c r="B21" s="46" t="n"/>
      <c r="C21" s="24" t="n"/>
      <c r="D21" s="47" t="n"/>
      <c r="E21" s="47" t="n"/>
      <c r="F21" s="46" t="n"/>
    </row>
    <row r="22">
      <c r="A22" s="27" t="n"/>
      <c r="B22" s="38" t="n"/>
      <c r="C22" s="29" t="n"/>
      <c r="D22" s="48" t="n"/>
      <c r="E22" s="48" t="n"/>
      <c r="F22" s="38" t="n"/>
    </row>
    <row r="23">
      <c r="A23" s="22" t="n"/>
      <c r="B23" s="46" t="n"/>
      <c r="C23" s="24" t="n"/>
      <c r="D23" s="47" t="n"/>
      <c r="E23" s="47" t="n"/>
      <c r="F23" s="46" t="n"/>
    </row>
    <row r="24">
      <c r="A24" s="27" t="n"/>
      <c r="B24" s="38" t="n"/>
      <c r="C24" s="29" t="n"/>
      <c r="D24" s="48" t="n"/>
      <c r="E24" s="48" t="n"/>
      <c r="F24" s="38" t="n"/>
    </row>
    <row r="25">
      <c r="A25" s="22" t="n"/>
      <c r="B25" s="46" t="n"/>
      <c r="C25" s="24" t="n"/>
      <c r="D25" s="47" t="n"/>
      <c r="E25" s="47" t="n"/>
      <c r="F25" s="46" t="n"/>
    </row>
    <row r="26">
      <c r="A26" s="27" t="n"/>
      <c r="B26" s="38" t="n"/>
      <c r="C26" s="29" t="n"/>
      <c r="D26" s="48" t="n"/>
      <c r="E26" s="48" t="n"/>
      <c r="F26" s="38" t="n"/>
    </row>
    <row r="27">
      <c r="A27" s="22" t="n"/>
      <c r="B27" s="46" t="n"/>
      <c r="C27" s="24" t="n"/>
      <c r="D27" s="47" t="n"/>
      <c r="E27" s="47" t="n"/>
      <c r="F27" s="46" t="n"/>
    </row>
    <row r="28">
      <c r="A28" s="27" t="n"/>
      <c r="B28" s="38" t="n"/>
      <c r="C28" s="29" t="n"/>
      <c r="D28" s="48" t="n"/>
      <c r="E28" s="48" t="n"/>
      <c r="F28" s="38" t="n"/>
    </row>
    <row r="29">
      <c r="A29" s="22" t="n"/>
      <c r="B29" s="46" t="n"/>
      <c r="C29" s="24" t="n"/>
      <c r="D29" s="47" t="n"/>
      <c r="E29" s="47" t="n"/>
      <c r="F29" s="46" t="n"/>
    </row>
    <row r="30">
      <c r="A30" s="27" t="n"/>
      <c r="B30" s="38" t="n"/>
      <c r="C30" s="29" t="n"/>
      <c r="D30" s="48" t="n"/>
      <c r="E30" s="48" t="n"/>
      <c r="F30" s="38" t="n"/>
    </row>
    <row r="31">
      <c r="A31" s="22" t="n"/>
      <c r="B31" s="46" t="n"/>
      <c r="C31" s="24" t="n"/>
      <c r="D31" s="47" t="n"/>
      <c r="E31" s="47" t="n"/>
      <c r="F31" s="46" t="n"/>
    </row>
    <row r="32">
      <c r="A32" s="27" t="n"/>
      <c r="B32" s="38" t="n"/>
      <c r="C32" s="29" t="n"/>
      <c r="D32" s="48" t="n"/>
      <c r="E32" s="48" t="n"/>
      <c r="F32" s="38" t="n"/>
    </row>
    <row r="33">
      <c r="A33" s="22" t="n"/>
      <c r="B33" s="46" t="n"/>
      <c r="C33" s="24" t="n"/>
      <c r="D33" s="47" t="n"/>
      <c r="E33" s="47" t="n"/>
      <c r="F33" s="46" t="n"/>
    </row>
    <row r="34">
      <c r="A34" s="27" t="n"/>
      <c r="B34" s="38" t="n"/>
      <c r="C34" s="29" t="n"/>
      <c r="D34" s="48" t="n"/>
      <c r="E34" s="48" t="n"/>
      <c r="F34" s="38" t="n"/>
    </row>
    <row r="35">
      <c r="A35" s="22" t="n"/>
      <c r="B35" s="46" t="n"/>
      <c r="C35" s="24" t="n"/>
      <c r="D35" s="47" t="n"/>
      <c r="E35" s="47" t="n"/>
      <c r="F35" s="46" t="n"/>
    </row>
    <row r="36">
      <c r="A36" s="27" t="n"/>
      <c r="B36" s="38" t="n"/>
      <c r="C36" s="29" t="n"/>
      <c r="D36" s="48" t="n"/>
      <c r="E36" s="48" t="n"/>
      <c r="F36" s="38" t="n"/>
    </row>
    <row r="37">
      <c r="A37" s="22" t="n"/>
      <c r="B37" s="46" t="n"/>
      <c r="C37" s="24" t="n"/>
      <c r="D37" s="47" t="n"/>
      <c r="E37" s="47" t="n"/>
      <c r="F37" s="46" t="n"/>
    </row>
    <row r="38">
      <c r="A38" s="27" t="n"/>
      <c r="B38" s="38" t="n"/>
      <c r="C38" s="29" t="n"/>
      <c r="D38" s="48" t="n"/>
      <c r="E38" s="48" t="n"/>
      <c r="F38" s="38" t="n"/>
    </row>
    <row r="39">
      <c r="A39" s="22" t="n"/>
      <c r="B39" s="46" t="n"/>
      <c r="C39" s="24" t="n"/>
      <c r="D39" s="47" t="n"/>
      <c r="E39" s="47" t="n"/>
      <c r="F39" s="46" t="n"/>
    </row>
    <row r="40">
      <c r="A40" s="27" t="n"/>
      <c r="B40" s="38" t="n"/>
      <c r="C40" s="29" t="n"/>
      <c r="D40" s="48" t="n"/>
      <c r="E40" s="48" t="n"/>
      <c r="F40" s="38" t="n"/>
    </row>
    <row r="41">
      <c r="A41" s="22" t="n"/>
      <c r="B41" s="46" t="n"/>
      <c r="C41" s="24" t="n"/>
      <c r="D41" s="47" t="n"/>
      <c r="E41" s="47" t="n"/>
      <c r="F41" s="46" t="n"/>
    </row>
    <row r="42">
      <c r="A42" s="27" t="n"/>
      <c r="B42" s="38" t="n"/>
      <c r="C42" s="29" t="n"/>
      <c r="D42" s="48" t="n"/>
      <c r="E42" s="48" t="n"/>
      <c r="F42" s="38" t="n"/>
    </row>
    <row r="43">
      <c r="A43" s="22" t="n"/>
      <c r="B43" s="46" t="n"/>
      <c r="C43" s="24" t="n"/>
      <c r="D43" s="47" t="n"/>
      <c r="E43" s="47" t="n"/>
      <c r="F43" s="46" t="n"/>
    </row>
    <row r="44">
      <c r="A44" s="27" t="n"/>
      <c r="B44" s="38" t="n"/>
      <c r="C44" s="29" t="n"/>
      <c r="D44" s="48" t="n"/>
      <c r="E44" s="48" t="n"/>
      <c r="F44" s="38" t="n"/>
    </row>
    <row r="45">
      <c r="A45" s="40" t="n"/>
      <c r="B45" s="9" t="inlineStr">
        <is>
          <t>TOTAL</t>
        </is>
      </c>
      <c r="C45" s="32">
        <f>SUM(C5:C44)</f>
        <v/>
      </c>
      <c r="D45" s="40" t="n"/>
      <c r="E45" s="49">
        <f>SUM(E5:E44)</f>
        <v/>
      </c>
      <c r="F45" s="40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3" customWidth="1" min="4" max="4"/>
    <col width="26" customWidth="1" min="5" max="5"/>
    <col width="13" customWidth="1" min="6" max="6"/>
  </cols>
  <sheetData>
    <row r="1" ht="46" customHeight="1">
      <c r="A1" s="1" t="inlineStr">
        <is>
          <t xml:space="preserve">  🔧  VEHICLE &amp; MAINTENANCE</t>
        </is>
      </c>
    </row>
    <row r="2" ht="22" customHeight="1">
      <c r="A2" s="2" t="inlineStr">
        <is>
          <t xml:space="preserve">  Keep your money-maker running — service history, cost &amp; what's due next.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Service</t>
        </is>
      </c>
      <c r="C4" s="9" t="inlineStr">
        <is>
          <t>Cost</t>
        </is>
      </c>
      <c r="D4" s="9" t="inlineStr">
        <is>
          <t>Odometer</t>
        </is>
      </c>
      <c r="E4" s="9" t="inlineStr">
        <is>
          <t>Notes</t>
        </is>
      </c>
      <c r="F4" s="9" t="inlineStr">
        <is>
          <t>Next Due</t>
        </is>
      </c>
    </row>
    <row r="5">
      <c r="A5" s="22" t="n">
        <v>46196</v>
      </c>
      <c r="B5" s="46" t="inlineStr">
        <is>
          <t>Oil Change</t>
        </is>
      </c>
      <c r="C5" s="26" t="n">
        <v>62</v>
      </c>
      <c r="D5" s="25" t="n">
        <v>66200</v>
      </c>
      <c r="E5" s="46" t="inlineStr">
        <is>
          <t>Synthetic — every 5k mi</t>
        </is>
      </c>
      <c r="F5" s="22" t="n">
        <v>46274</v>
      </c>
    </row>
    <row r="6">
      <c r="A6" s="27" t="n">
        <v>46174</v>
      </c>
      <c r="B6" s="38" t="inlineStr">
        <is>
          <t>Rotation</t>
        </is>
      </c>
      <c r="C6" s="31" t="n">
        <v>25</v>
      </c>
      <c r="D6" s="30" t="n">
        <v>63800</v>
      </c>
      <c r="E6" s="38" t="inlineStr">
        <is>
          <t>With oil change</t>
        </is>
      </c>
      <c r="F6" s="27" t="n">
        <v>46252</v>
      </c>
    </row>
    <row r="7">
      <c r="A7" s="22" t="n">
        <v>46094</v>
      </c>
      <c r="B7" s="46" t="inlineStr">
        <is>
          <t>Tires</t>
        </is>
      </c>
      <c r="C7" s="26" t="n">
        <v>640</v>
      </c>
      <c r="D7" s="25" t="n">
        <v>58900</v>
      </c>
      <c r="E7" s="46" t="inlineStr">
        <is>
          <t>4 new — Michelin</t>
        </is>
      </c>
      <c r="F7" s="22" t="n">
        <v>46814</v>
      </c>
    </row>
    <row r="8">
      <c r="A8" s="27" t="n">
        <v>46144</v>
      </c>
      <c r="B8" s="38" t="inlineStr">
        <is>
          <t>Brakes</t>
        </is>
      </c>
      <c r="C8" s="31" t="n">
        <v>285</v>
      </c>
      <c r="D8" s="30" t="n">
        <v>61200</v>
      </c>
      <c r="E8" s="38" t="inlineStr">
        <is>
          <t>Front pads + rotors</t>
        </is>
      </c>
      <c r="F8" s="27" t="n">
        <v>46914</v>
      </c>
    </row>
    <row r="9">
      <c r="A9" s="22" t="n">
        <v>46205</v>
      </c>
      <c r="B9" s="46" t="inlineStr">
        <is>
          <t>Inspection</t>
        </is>
      </c>
      <c r="C9" s="26" t="n">
        <v>40</v>
      </c>
      <c r="D9" s="25" t="n">
        <v>68100</v>
      </c>
      <c r="E9" s="46" t="inlineStr">
        <is>
          <t>State + emissions</t>
        </is>
      </c>
      <c r="F9" s="22" t="n">
        <v>46569</v>
      </c>
    </row>
    <row r="10">
      <c r="A10" s="27" t="n">
        <v>46014</v>
      </c>
      <c r="B10" s="38" t="inlineStr">
        <is>
          <t>Battery</t>
        </is>
      </c>
      <c r="C10" s="31" t="n">
        <v>145</v>
      </c>
      <c r="D10" s="30" t="n">
        <v>55400</v>
      </c>
      <c r="E10" s="38" t="inlineStr">
        <is>
          <t>3-yr warranty</t>
        </is>
      </c>
      <c r="F10" s="27" t="n">
        <v>47114</v>
      </c>
    </row>
    <row r="11">
      <c r="A11" s="22" t="n">
        <v>46184</v>
      </c>
      <c r="B11" s="46" t="inlineStr">
        <is>
          <t>Repair</t>
        </is>
      </c>
      <c r="C11" s="26" t="n">
        <v>180</v>
      </c>
      <c r="D11" s="25" t="n">
        <v>64500</v>
      </c>
      <c r="E11" s="46" t="inlineStr">
        <is>
          <t>AC recharge + cabin filter</t>
        </is>
      </c>
      <c r="F11" s="22" t="inlineStr">
        <is>
          <t>—</t>
        </is>
      </c>
    </row>
    <row r="12">
      <c r="A12" s="27" t="n"/>
      <c r="B12" s="38" t="n"/>
      <c r="C12" s="31" t="n"/>
      <c r="D12" s="30" t="n"/>
      <c r="E12" s="38" t="n"/>
      <c r="F12" s="27" t="n"/>
    </row>
    <row r="13">
      <c r="A13" s="22" t="n"/>
      <c r="B13" s="46" t="n"/>
      <c r="C13" s="26" t="n"/>
      <c r="D13" s="25" t="n"/>
      <c r="E13" s="46" t="n"/>
      <c r="F13" s="22" t="n"/>
    </row>
    <row r="14">
      <c r="A14" s="27" t="n"/>
      <c r="B14" s="38" t="n"/>
      <c r="C14" s="31" t="n"/>
      <c r="D14" s="30" t="n"/>
      <c r="E14" s="38" t="n"/>
      <c r="F14" s="27" t="n"/>
    </row>
    <row r="15">
      <c r="A15" s="22" t="n"/>
      <c r="B15" s="46" t="n"/>
      <c r="C15" s="26" t="n"/>
      <c r="D15" s="25" t="n"/>
      <c r="E15" s="46" t="n"/>
      <c r="F15" s="22" t="n"/>
    </row>
    <row r="16">
      <c r="A16" s="27" t="n"/>
      <c r="B16" s="38" t="n"/>
      <c r="C16" s="31" t="n"/>
      <c r="D16" s="30" t="n"/>
      <c r="E16" s="38" t="n"/>
      <c r="F16" s="27" t="n"/>
    </row>
    <row r="17">
      <c r="A17" s="22" t="n"/>
      <c r="B17" s="46" t="n"/>
      <c r="C17" s="26" t="n"/>
      <c r="D17" s="25" t="n"/>
      <c r="E17" s="46" t="n"/>
      <c r="F17" s="22" t="n"/>
    </row>
    <row r="18">
      <c r="A18" s="27" t="n"/>
      <c r="B18" s="38" t="n"/>
      <c r="C18" s="31" t="n"/>
      <c r="D18" s="30" t="n"/>
      <c r="E18" s="38" t="n"/>
      <c r="F18" s="27" t="n"/>
    </row>
    <row r="19">
      <c r="A19" s="22" t="n"/>
      <c r="B19" s="46" t="n"/>
      <c r="C19" s="26" t="n"/>
      <c r="D19" s="25" t="n"/>
      <c r="E19" s="46" t="n"/>
      <c r="F19" s="22" t="n"/>
    </row>
    <row r="20">
      <c r="A20" s="27" t="n"/>
      <c r="B20" s="38" t="n"/>
      <c r="C20" s="31" t="n"/>
      <c r="D20" s="30" t="n"/>
      <c r="E20" s="38" t="n"/>
      <c r="F20" s="27" t="n"/>
    </row>
    <row r="21">
      <c r="A21" s="22" t="n"/>
      <c r="B21" s="46" t="n"/>
      <c r="C21" s="26" t="n"/>
      <c r="D21" s="25" t="n"/>
      <c r="E21" s="46" t="n"/>
      <c r="F21" s="22" t="n"/>
    </row>
    <row r="22">
      <c r="A22" s="27" t="n"/>
      <c r="B22" s="38" t="n"/>
      <c r="C22" s="31" t="n"/>
      <c r="D22" s="30" t="n"/>
      <c r="E22" s="38" t="n"/>
      <c r="F22" s="27" t="n"/>
    </row>
    <row r="23">
      <c r="A23" s="22" t="n"/>
      <c r="B23" s="46" t="n"/>
      <c r="C23" s="26" t="n"/>
      <c r="D23" s="25" t="n"/>
      <c r="E23" s="46" t="n"/>
      <c r="F23" s="22" t="n"/>
    </row>
    <row r="24">
      <c r="A24" s="27" t="n"/>
      <c r="B24" s="38" t="n"/>
      <c r="C24" s="31" t="n"/>
      <c r="D24" s="30" t="n"/>
      <c r="E24" s="38" t="n"/>
      <c r="F24" s="27" t="n"/>
    </row>
    <row r="25">
      <c r="A25" s="22" t="n"/>
      <c r="B25" s="46" t="n"/>
      <c r="C25" s="26" t="n"/>
      <c r="D25" s="25" t="n"/>
      <c r="E25" s="46" t="n"/>
      <c r="F25" s="22" t="n"/>
    </row>
    <row r="26">
      <c r="A26" s="27" t="n"/>
      <c r="B26" s="38" t="n"/>
      <c r="C26" s="31" t="n"/>
      <c r="D26" s="30" t="n"/>
      <c r="E26" s="38" t="n"/>
      <c r="F26" s="27" t="n"/>
    </row>
    <row r="27">
      <c r="A27" s="22" t="n"/>
      <c r="B27" s="46" t="n"/>
      <c r="C27" s="26" t="n"/>
      <c r="D27" s="25" t="n"/>
      <c r="E27" s="46" t="n"/>
      <c r="F27" s="22" t="n"/>
    </row>
    <row r="28">
      <c r="A28" s="27" t="n"/>
      <c r="B28" s="38" t="n"/>
      <c r="C28" s="31" t="n"/>
      <c r="D28" s="30" t="n"/>
      <c r="E28" s="38" t="n"/>
      <c r="F28" s="27" t="n"/>
    </row>
    <row r="29">
      <c r="A29" s="22" t="n"/>
      <c r="B29" s="46" t="n"/>
      <c r="C29" s="26" t="n"/>
      <c r="D29" s="25" t="n"/>
      <c r="E29" s="46" t="n"/>
      <c r="F29" s="22" t="n"/>
    </row>
    <row r="30">
      <c r="A30" s="27" t="n"/>
      <c r="B30" s="38" t="n"/>
      <c r="C30" s="31" t="n"/>
      <c r="D30" s="30" t="n"/>
      <c r="E30" s="38" t="n"/>
      <c r="F30" s="27" t="n"/>
    </row>
    <row r="31">
      <c r="A31" s="22" t="n"/>
      <c r="B31" s="46" t="n"/>
      <c r="C31" s="26" t="n"/>
      <c r="D31" s="25" t="n"/>
      <c r="E31" s="46" t="n"/>
      <c r="F31" s="22" t="n"/>
    </row>
    <row r="32">
      <c r="A32" s="27" t="n"/>
      <c r="B32" s="38" t="n"/>
      <c r="C32" s="31" t="n"/>
      <c r="D32" s="30" t="n"/>
      <c r="E32" s="38" t="n"/>
      <c r="F32" s="27" t="n"/>
    </row>
    <row r="33">
      <c r="A33" s="22" t="n"/>
      <c r="B33" s="46" t="n"/>
      <c r="C33" s="26" t="n"/>
      <c r="D33" s="25" t="n"/>
      <c r="E33" s="46" t="n"/>
      <c r="F33" s="22" t="n"/>
    </row>
    <row r="34">
      <c r="A34" s="27" t="n"/>
      <c r="B34" s="38" t="n"/>
      <c r="C34" s="31" t="n"/>
      <c r="D34" s="30" t="n"/>
      <c r="E34" s="38" t="n"/>
      <c r="F34" s="27" t="n"/>
    </row>
    <row r="35">
      <c r="A35" s="40" t="n"/>
      <c r="B35" s="9" t="inlineStr">
        <is>
          <t>TOTAL SPENT</t>
        </is>
      </c>
      <c r="C35" s="34">
        <f>SUM(C5:C34)</f>
        <v/>
      </c>
      <c r="D35" s="40" t="n"/>
      <c r="E35" s="40" t="n"/>
      <c r="F35" s="40" t="n"/>
    </row>
  </sheetData>
  <mergeCells count="2">
    <mergeCell ref="A2:F2"/>
    <mergeCell ref="A1:F1"/>
  </mergeCells>
  <dataValidations count="1">
    <dataValidation sqref="B5:B34" showDropDown="0" showInputMessage="0" showErrorMessage="0" allowBlank="1" type="list">
      <formula1>=MaintList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3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🧾  BUSINESS EXPENSES</t>
        </is>
      </c>
    </row>
    <row r="2" ht="22" customHeight="1">
      <c r="A2" s="2" t="inlineStr">
        <is>
          <t xml:space="preserve">  Every cost of driving — because deductions are money back in your pocket.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Category</t>
        </is>
      </c>
      <c r="B4" s="9" t="inlineStr">
        <is>
          <t>This Month</t>
        </is>
      </c>
      <c r="C4" s="9" t="inlineStr">
        <is>
          <t>Annual (est.)</t>
        </is>
      </c>
      <c r="E4" s="4" t="inlineStr">
        <is>
          <t>COST PER MILE</t>
        </is>
      </c>
    </row>
    <row r="5">
      <c r="A5" s="35" t="inlineStr">
        <is>
          <t>Fuel</t>
        </is>
      </c>
      <c r="B5" s="41">
        <f>FuelTotal</f>
        <v/>
      </c>
      <c r="C5" s="36">
        <f>B5*12</f>
        <v/>
      </c>
      <c r="E5" s="20" t="inlineStr">
        <is>
          <t>Total business miles</t>
        </is>
      </c>
      <c r="F5" s="50">
        <f>TotalMiles</f>
        <v/>
      </c>
    </row>
    <row r="6">
      <c r="A6" s="38" t="inlineStr">
        <is>
          <t>Car Payment</t>
        </is>
      </c>
      <c r="B6" s="51" t="n">
        <v>420</v>
      </c>
      <c r="C6" s="31">
        <f>B6*12</f>
        <v/>
      </c>
      <c r="E6" s="20" t="inlineStr">
        <is>
          <t>Expenses this month</t>
        </is>
      </c>
      <c r="F6" s="41">
        <f>ExpenseTotal</f>
        <v/>
      </c>
    </row>
    <row r="7">
      <c r="A7" s="35" t="inlineStr">
        <is>
          <t>Insurance</t>
        </is>
      </c>
      <c r="B7" s="52" t="n">
        <v>185</v>
      </c>
      <c r="C7" s="36">
        <f>B7*12</f>
        <v/>
      </c>
      <c r="E7" s="20" t="inlineStr">
        <is>
          <t>Cost per mile</t>
        </is>
      </c>
      <c r="F7" s="53">
        <f>IFERROR(ExpenseTotal/TotalMiles,0)</f>
        <v/>
      </c>
    </row>
    <row r="8">
      <c r="A8" s="38" t="inlineStr">
        <is>
          <t>Maintenance &amp; Repairs</t>
        </is>
      </c>
      <c r="B8" s="51" t="n">
        <v>145</v>
      </c>
      <c r="C8" s="31">
        <f>B8*12</f>
        <v/>
      </c>
      <c r="E8" s="20" t="inlineStr">
        <is>
          <t>Fuel per mile</t>
        </is>
      </c>
      <c r="F8" s="43">
        <f>IFERROR(FuelTotal/TotalMiles,0)</f>
        <v/>
      </c>
    </row>
    <row r="9">
      <c r="A9" s="35" t="inlineStr">
        <is>
          <t>Phone &amp; Data</t>
        </is>
      </c>
      <c r="B9" s="52" t="n">
        <v>45</v>
      </c>
      <c r="C9" s="36">
        <f>B9*12</f>
        <v/>
      </c>
      <c r="E9" s="20" t="inlineStr">
        <is>
          <t>Expense ratio</t>
        </is>
      </c>
      <c r="F9" s="45">
        <f>IFERROR(ExpenseTotal/GrossEarn,0)</f>
        <v/>
      </c>
    </row>
    <row r="10">
      <c r="A10" s="38" t="inlineStr">
        <is>
          <t>Tolls</t>
        </is>
      </c>
      <c r="B10" s="51" t="n">
        <v>58</v>
      </c>
      <c r="C10" s="31">
        <f>B10*12</f>
        <v/>
      </c>
    </row>
    <row r="11">
      <c r="A11" s="35" t="inlineStr">
        <is>
          <t>Car Wash &amp; Cleaning</t>
        </is>
      </c>
      <c r="B11" s="52" t="n">
        <v>40</v>
      </c>
      <c r="C11" s="36">
        <f>B11*12</f>
        <v/>
      </c>
    </row>
    <row r="12">
      <c r="A12" s="38" t="inlineStr">
        <is>
          <t>Supplies</t>
        </is>
      </c>
      <c r="B12" s="51" t="n">
        <v>25</v>
      </c>
      <c r="C12" s="31">
        <f>B12*12</f>
        <v/>
      </c>
    </row>
    <row r="13">
      <c r="A13" s="35" t="inlineStr">
        <is>
          <t>Miscellaneous</t>
        </is>
      </c>
      <c r="B13" s="52" t="n">
        <v>0</v>
      </c>
      <c r="C13" s="36">
        <f>B13*12</f>
        <v/>
      </c>
    </row>
    <row r="14">
      <c r="A14" s="9" t="inlineStr">
        <is>
          <t>TOTAL EXPENSES</t>
        </is>
      </c>
      <c r="B14" s="34">
        <f>SUM(B5:B13)</f>
        <v/>
      </c>
      <c r="C14" s="34">
        <f>SUM(C5:C13)</f>
        <v/>
      </c>
    </row>
  </sheetData>
  <mergeCells count="3">
    <mergeCell ref="A2:F2"/>
    <mergeCell ref="E4:F4"/>
    <mergeCell ref="A1:F1"/>
  </mergeCells>
  <conditionalFormatting sqref="B5:B13">
    <cfRule type="dataBar" priority="1">
      <dataBar showValue="1">
        <cfvo type="num" val="0"/>
        <cfvo type="num" val="520"/>
        <color rgb="00937356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📊  MONTHLY BUDGET</t>
        </is>
      </c>
    </row>
    <row r="2" ht="22" customHeight="1">
      <c r="A2" s="2" t="inlineStr">
        <is>
          <t xml:space="preserve">  Your take-home, put to work — driving net income flows in; plan every dollar.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INCOME</t>
        </is>
      </c>
    </row>
    <row r="6" ht="30" customHeight="1">
      <c r="B6" s="9" t="inlineStr">
        <is>
          <t>Source</t>
        </is>
      </c>
      <c r="C6" s="9" t="inlineStr">
        <is>
          <t>Planned</t>
        </is>
      </c>
      <c r="D6" s="9" t="inlineStr">
        <is>
          <t>Actual</t>
        </is>
      </c>
      <c r="E6" s="9" t="inlineStr"/>
    </row>
    <row r="7">
      <c r="B7" s="35" t="inlineStr">
        <is>
          <t>Driving (net)</t>
        </is>
      </c>
      <c r="C7" s="36">
        <f>NetGoal</f>
        <v/>
      </c>
      <c r="D7" s="36">
        <f>NetEarn</f>
        <v/>
      </c>
      <c r="E7" s="23" t="n"/>
    </row>
    <row r="8">
      <c r="B8" s="38" t="inlineStr">
        <is>
          <t>Side income</t>
        </is>
      </c>
      <c r="C8" s="51" t="n">
        <v>300</v>
      </c>
      <c r="D8" s="51" t="n">
        <v>250</v>
      </c>
      <c r="E8" s="23" t="n"/>
    </row>
    <row r="9">
      <c r="B9" s="35" t="inlineStr">
        <is>
          <t>Other</t>
        </is>
      </c>
      <c r="C9" s="52" t="n">
        <v>0</v>
      </c>
      <c r="D9" s="52" t="n">
        <v>0</v>
      </c>
      <c r="E9" s="23" t="n"/>
    </row>
    <row r="10">
      <c r="B10" s="9" t="inlineStr">
        <is>
          <t>TOTAL INCOME</t>
        </is>
      </c>
      <c r="C10" s="34">
        <f>SUM(C7:C9)</f>
        <v/>
      </c>
      <c r="D10" s="34">
        <f>SUM(D7:D9)</f>
        <v/>
      </c>
      <c r="E10" s="40" t="n"/>
    </row>
    <row r="12" ht="22" customHeight="1">
      <c r="B12" s="4" t="inlineStr">
        <is>
          <t>HOUSEHOLD EXPENSES</t>
        </is>
      </c>
    </row>
    <row r="13" ht="30" customHeight="1">
      <c r="B13" s="9" t="inlineStr">
        <is>
          <t>Category</t>
        </is>
      </c>
      <c r="C13" s="9" t="inlineStr">
        <is>
          <t>Planned</t>
        </is>
      </c>
      <c r="D13" s="9" t="inlineStr">
        <is>
          <t>Actual</t>
        </is>
      </c>
      <c r="E13" s="9" t="inlineStr">
        <is>
          <t>Δ</t>
        </is>
      </c>
    </row>
    <row r="14">
      <c r="B14" s="35" t="inlineStr">
        <is>
          <t>Housing</t>
        </is>
      </c>
      <c r="C14" s="52" t="n">
        <v>1200</v>
      </c>
      <c r="D14" s="52" t="n">
        <v>1200</v>
      </c>
      <c r="E14" s="54">
        <f>C14-D14</f>
        <v/>
      </c>
    </row>
    <row r="15">
      <c r="B15" s="38" t="inlineStr">
        <is>
          <t>Utilities</t>
        </is>
      </c>
      <c r="C15" s="51" t="n">
        <v>190</v>
      </c>
      <c r="D15" s="51" t="n">
        <v>205</v>
      </c>
      <c r="E15" s="54">
        <f>C15-D15</f>
        <v/>
      </c>
    </row>
    <row r="16">
      <c r="B16" s="35" t="inlineStr">
        <is>
          <t>Groceries</t>
        </is>
      </c>
      <c r="C16" s="52" t="n">
        <v>450</v>
      </c>
      <c r="D16" s="52" t="n">
        <v>470</v>
      </c>
      <c r="E16" s="54">
        <f>C16-D16</f>
        <v/>
      </c>
    </row>
    <row r="17">
      <c r="B17" s="38" t="inlineStr">
        <is>
          <t>Health</t>
        </is>
      </c>
      <c r="C17" s="51" t="n">
        <v>250</v>
      </c>
      <c r="D17" s="51" t="n">
        <v>250</v>
      </c>
      <c r="E17" s="54">
        <f>C17-D17</f>
        <v/>
      </c>
    </row>
    <row r="18">
      <c r="B18" s="35" t="inlineStr">
        <is>
          <t>Debt</t>
        </is>
      </c>
      <c r="C18" s="52" t="n">
        <v>300</v>
      </c>
      <c r="D18" s="52" t="n">
        <v>300</v>
      </c>
      <c r="E18" s="54">
        <f>C18-D18</f>
        <v/>
      </c>
    </row>
    <row r="19">
      <c r="B19" s="38" t="inlineStr">
        <is>
          <t>Savings</t>
        </is>
      </c>
      <c r="C19" s="51" t="n">
        <v>400</v>
      </c>
      <c r="D19" s="51" t="n">
        <v>400</v>
      </c>
      <c r="E19" s="54">
        <f>C19-D19</f>
        <v/>
      </c>
    </row>
    <row r="20">
      <c r="B20" s="35" t="inlineStr">
        <is>
          <t>Personal</t>
        </is>
      </c>
      <c r="C20" s="52" t="n">
        <v>250</v>
      </c>
      <c r="D20" s="52" t="n">
        <v>220</v>
      </c>
      <c r="E20" s="54">
        <f>C20-D20</f>
        <v/>
      </c>
    </row>
    <row r="21">
      <c r="B21" s="38" t="inlineStr">
        <is>
          <t>Insurance</t>
        </is>
      </c>
      <c r="C21" s="51" t="n">
        <v>140</v>
      </c>
      <c r="D21" s="51" t="n">
        <v>140</v>
      </c>
      <c r="E21" s="54">
        <f>C21-D21</f>
        <v/>
      </c>
    </row>
    <row r="22">
      <c r="B22" s="35" t="inlineStr">
        <is>
          <t>Other</t>
        </is>
      </c>
      <c r="C22" s="52" t="n">
        <v>120</v>
      </c>
      <c r="D22" s="52" t="n">
        <v>95</v>
      </c>
      <c r="E22" s="54">
        <f>C22-D22</f>
        <v/>
      </c>
    </row>
    <row r="23">
      <c r="B23" s="9" t="inlineStr">
        <is>
          <t>TOTAL EXPENSES</t>
        </is>
      </c>
      <c r="C23" s="34">
        <f>SUM(C14:C22)</f>
        <v/>
      </c>
      <c r="D23" s="34">
        <f>SUM(D14:D22)</f>
        <v/>
      </c>
      <c r="E23" s="40" t="n"/>
    </row>
    <row r="25">
      <c r="B25" s="4" t="inlineStr">
        <is>
          <t>LEFTOVER (INCOME − EXPENSES)</t>
        </is>
      </c>
      <c r="D25" s="42">
        <f>BudgetIncome-BudgetExpense</f>
        <v/>
      </c>
    </row>
  </sheetData>
  <mergeCells count="5">
    <mergeCell ref="A2:E2"/>
    <mergeCell ref="B25:C25"/>
    <mergeCell ref="B12:E12"/>
    <mergeCell ref="A1:E1"/>
    <mergeCell ref="B5:E5"/>
  </mergeCells>
  <conditionalFormatting sqref="D25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4" customWidth="1" min="4" max="4"/>
    <col width="26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🧮  TAX CENTER</t>
        </is>
      </c>
    </row>
    <row r="2" ht="22" customHeight="1">
      <c r="A2" s="2" t="inlineStr">
        <is>
          <t xml:space="preserve">  Keep more of what you earn — the mileage deduction, set-aside &amp; quarterly estimates.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MILEAGE VS ACTUAL METHOD</t>
        </is>
      </c>
      <c r="E5" s="4" t="inlineStr">
        <is>
          <t>SET-ASIDE &amp; ESTIMATE</t>
        </is>
      </c>
    </row>
    <row r="6">
      <c r="B6" s="20" t="inlineStr">
        <is>
          <t>Business miles</t>
        </is>
      </c>
      <c r="C6" s="50">
        <f>TotalMiles</f>
        <v/>
      </c>
      <c r="E6" s="20" t="inlineStr">
        <is>
          <t>Gross earnings</t>
        </is>
      </c>
      <c r="F6" s="41">
        <f>GrossEarn</f>
        <v/>
      </c>
    </row>
    <row r="7">
      <c r="B7" s="20" t="inlineStr">
        <is>
          <t>IRS mileage rate</t>
        </is>
      </c>
      <c r="C7" s="43">
        <f>MileageRate</f>
        <v/>
      </c>
      <c r="E7" s="20" t="inlineStr">
        <is>
          <t>− Mileage deduction</t>
        </is>
      </c>
      <c r="F7" s="41">
        <f>-TotalMiles*MileageRate</f>
        <v/>
      </c>
    </row>
    <row r="8">
      <c r="B8" s="20" t="inlineStr">
        <is>
          <t>Mileage deduction</t>
        </is>
      </c>
      <c r="C8" s="42">
        <f>TotalMiles*MileageRate</f>
        <v/>
      </c>
      <c r="E8" s="20" t="inlineStr">
        <is>
          <t>Taxable (est.)</t>
        </is>
      </c>
      <c r="F8" s="41">
        <f>MAX(GrossEarn-TotalMiles*MileageRate,0)</f>
        <v/>
      </c>
    </row>
    <row r="9">
      <c r="B9" s="20" t="inlineStr">
        <is>
          <t>Actual costs (expenses)</t>
        </is>
      </c>
      <c r="C9" s="41">
        <f>ExpenseTotal</f>
        <v/>
      </c>
      <c r="E9" s="20" t="inlineStr">
        <is>
          <t>Set-aside rate</t>
        </is>
      </c>
      <c r="F9" s="45">
        <f>TaxRate</f>
        <v/>
      </c>
    </row>
    <row r="10">
      <c r="B10" s="20" t="inlineStr">
        <is>
          <t>Better method</t>
        </is>
      </c>
      <c r="C10" s="21">
        <f>IF(TotalMiles*MileageRate&gt;=ExpenseTotal,"Mileage","Actual")</f>
        <v/>
      </c>
      <c r="E10" s="20" t="inlineStr">
        <is>
          <t>Set aside this month</t>
        </is>
      </c>
      <c r="F10" s="55">
        <f>MAX(GrossEarn-TotalMiles*MileageRate,0)*TaxRate</f>
        <v/>
      </c>
    </row>
    <row r="11">
      <c r="B11" s="20" t="inlineStr">
        <is>
          <t>Deduction (best)</t>
        </is>
      </c>
      <c r="C11" s="42">
        <f>MAX(TotalMiles*MileageRate,ExpenseTotal)</f>
        <v/>
      </c>
      <c r="E11" s="20" t="inlineStr">
        <is>
          <t>Quarterly estimate</t>
        </is>
      </c>
      <c r="F11" s="55">
        <f>MAX(GrossEarn-TotalMiles*MileageRate,0)*TaxRate*3</f>
        <v/>
      </c>
    </row>
    <row r="13" ht="22" customHeight="1">
      <c r="B13" s="4" t="inlineStr">
        <is>
          <t>DEDUCTION CHECKLIST — DON'T LEAVE MONEY ON THE TABLE</t>
        </is>
      </c>
    </row>
    <row r="14">
      <c r="B14" s="35" t="inlineStr">
        <is>
          <t>Business mileage (biggest one)</t>
        </is>
      </c>
      <c r="C14" s="56" t="inlineStr">
        <is>
          <t>Yes</t>
        </is>
      </c>
      <c r="E14" s="35" t="inlineStr">
        <is>
          <t>Phone &amp; data (business %)</t>
        </is>
      </c>
      <c r="F14" s="56" t="inlineStr">
        <is>
          <t>Yes</t>
        </is>
      </c>
    </row>
    <row r="15">
      <c r="B15" s="35" t="inlineStr">
        <is>
          <t>Car wash &amp; cleaning</t>
        </is>
      </c>
      <c r="C15" s="56" t="inlineStr">
        <is>
          <t>Yes</t>
        </is>
      </c>
      <c r="E15" s="35" t="inlineStr">
        <is>
          <t>Tolls &amp; parking</t>
        </is>
      </c>
      <c r="F15" s="56" t="inlineStr">
        <is>
          <t>Yes</t>
        </is>
      </c>
    </row>
    <row r="16">
      <c r="B16" s="35" t="inlineStr">
        <is>
          <t>Water/snacks for riders</t>
        </is>
      </c>
      <c r="C16" s="56" t="inlineStr">
        <is>
          <t>Yes</t>
        </is>
      </c>
      <c r="E16" s="35" t="inlineStr">
        <is>
          <t>Phone mount &amp; chargers</t>
        </is>
      </c>
      <c r="F16" s="56" t="inlineStr">
        <is>
          <t>Yes</t>
        </is>
      </c>
    </row>
    <row r="17">
      <c r="B17" s="35" t="inlineStr">
        <is>
          <t>Dashcam &amp; accessories</t>
        </is>
      </c>
      <c r="C17" s="56" t="inlineStr">
        <is>
          <t>Yes</t>
        </is>
      </c>
      <c r="E17" s="35" t="inlineStr">
        <is>
          <t>Platform &amp; bank fees</t>
        </is>
      </c>
      <c r="F17" s="56" t="inlineStr">
        <is>
          <t>Yes</t>
        </is>
      </c>
    </row>
  </sheetData>
  <mergeCells count="5">
    <mergeCell ref="A1:G1"/>
    <mergeCell ref="B5:C5"/>
    <mergeCell ref="E5:F5"/>
    <mergeCell ref="A2:G2"/>
    <mergeCell ref="B13:F13"/>
  </mergeCells>
  <conditionalFormatting sqref="C14">
    <cfRule type="cellIs" priority="1" operator="equal" dxfId="0">
      <formula>"Yes"</formula>
    </cfRule>
  </conditionalFormatting>
  <conditionalFormatting sqref="F14">
    <cfRule type="cellIs" priority="2" operator="equal" dxfId="0">
      <formula>"Yes"</formula>
    </cfRule>
  </conditionalFormatting>
  <conditionalFormatting sqref="C15">
    <cfRule type="cellIs" priority="3" operator="equal" dxfId="0">
      <formula>"Yes"</formula>
    </cfRule>
  </conditionalFormatting>
  <conditionalFormatting sqref="F15">
    <cfRule type="cellIs" priority="4" operator="equal" dxfId="0">
      <formula>"Yes"</formula>
    </cfRule>
  </conditionalFormatting>
  <conditionalFormatting sqref="C16">
    <cfRule type="cellIs" priority="5" operator="equal" dxfId="0">
      <formula>"Yes"</formula>
    </cfRule>
  </conditionalFormatting>
  <conditionalFormatting sqref="F16">
    <cfRule type="cellIs" priority="6" operator="equal" dxfId="0">
      <formula>"Yes"</formula>
    </cfRule>
  </conditionalFormatting>
  <conditionalFormatting sqref="C17">
    <cfRule type="cellIs" priority="7" operator="equal" dxfId="0">
      <formula>"Yes"</formula>
    </cfRule>
  </conditionalFormatting>
  <conditionalFormatting sqref="F17">
    <cfRule type="cellIs" priority="8" operator="equal" dxfId="0">
      <formula>"Yes"</formula>
    </cfRule>
  </conditionalFormatting>
  <dataValidations count="8">
    <dataValidation sqref="C14" showDropDown="0" showInputMessage="0" showErrorMessage="0" allowBlank="1" type="list">
      <formula1>=YesNoList</formula1>
    </dataValidation>
    <dataValidation sqref="F14" showDropDown="0" showInputMessage="0" showErrorMessage="0" allowBlank="1" type="list">
      <formula1>=YesNoList</formula1>
    </dataValidation>
    <dataValidation sqref="C15" showDropDown="0" showInputMessage="0" showErrorMessage="0" allowBlank="1" type="list">
      <formula1>=YesNoList</formula1>
    </dataValidation>
    <dataValidation sqref="F15" showDropDown="0" showInputMessage="0" showErrorMessage="0" allowBlank="1" type="list">
      <formula1>=YesNoList</formula1>
    </dataValidation>
    <dataValidation sqref="C16" showDropDown="0" showInputMessage="0" showErrorMessage="0" allowBlank="1" type="list">
      <formula1>=YesNoList</formula1>
    </dataValidation>
    <dataValidation sqref="F16" showDropDown="0" showInputMessage="0" showErrorMessage="0" allowBlank="1" type="list">
      <formula1>=YesNoList</formula1>
    </dataValidation>
    <dataValidation sqref="C17" showDropDown="0" showInputMessage="0" showErrorMessage="0" allowBlank="1" type="list">
      <formula1>=YesNoList</formula1>
    </dataValidation>
    <dataValidation sqref="F17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2" customWidth="1" min="5" max="5"/>
    <col width="2" customWidth="1" min="6" max="6"/>
  </cols>
  <sheetData>
    <row r="1" ht="46" customHeight="1">
      <c r="A1" s="1" t="inlineStr">
        <is>
          <t xml:space="preserve">  🐷  SAVINGS &amp; GOALS</t>
        </is>
      </c>
    </row>
    <row r="2" ht="22" customHeight="1">
      <c r="A2" s="2" t="inlineStr">
        <is>
          <t xml:space="preserve">  Pay yourself first — build an emergency fund, tax reserve &amp; drive toward big goals.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SAVINGS BUCKETS</t>
        </is>
      </c>
    </row>
    <row r="6" ht="30" customHeight="1">
      <c r="B6" s="9" t="inlineStr">
        <is>
          <t>Bucket</t>
        </is>
      </c>
      <c r="C6" s="9" t="inlineStr">
        <is>
          <t>Goal</t>
        </is>
      </c>
      <c r="D6" s="9" t="inlineStr">
        <is>
          <t>Saved</t>
        </is>
      </c>
      <c r="E6" s="9" t="inlineStr">
        <is>
          <t>Progress</t>
        </is>
      </c>
    </row>
    <row r="7">
      <c r="B7" s="35" t="inlineStr">
        <is>
          <t>Emergency fund</t>
        </is>
      </c>
      <c r="C7" s="41">
        <f>SavingsGoal</f>
        <v/>
      </c>
      <c r="D7" s="52" t="n">
        <v>4200</v>
      </c>
      <c r="E7" s="37">
        <f>IFERROR(MIN(D7/C7,1),0)</f>
        <v/>
      </c>
    </row>
    <row r="8">
      <c r="B8" s="38" t="inlineStr">
        <is>
          <t>Tax reserve</t>
        </is>
      </c>
      <c r="C8" s="57">
        <f>TaxReserveGoal</f>
        <v/>
      </c>
      <c r="D8" s="51" t="n">
        <v>1400</v>
      </c>
      <c r="E8" s="39">
        <f>IFERROR(MIN(D8/C8,1),0)</f>
        <v/>
      </c>
    </row>
    <row r="9">
      <c r="B9" s="35" t="inlineStr">
        <is>
          <t>New(er) car fund</t>
        </is>
      </c>
      <c r="C9" s="52" t="n">
        <v>8000</v>
      </c>
      <c r="D9" s="52" t="n">
        <v>3100</v>
      </c>
      <c r="E9" s="37">
        <f>IFERROR(MIN(D9/C9,1),0)</f>
        <v/>
      </c>
    </row>
    <row r="10">
      <c r="B10" s="38" t="inlineStr">
        <is>
          <t>Vacation</t>
        </is>
      </c>
      <c r="C10" s="51" t="n">
        <v>2500</v>
      </c>
      <c r="D10" s="51" t="n">
        <v>900</v>
      </c>
      <c r="E10" s="39">
        <f>IFERROR(MIN(D10/C10,1),0)</f>
        <v/>
      </c>
    </row>
    <row r="13" ht="22" customHeight="1">
      <c r="B13" s="4" t="inlineStr">
        <is>
          <t>DRIVER GOALS &amp; OKRs</t>
        </is>
      </c>
    </row>
    <row r="14" ht="30" customHeight="1">
      <c r="B14" s="9" t="inlineStr">
        <is>
          <t>Goal</t>
        </is>
      </c>
      <c r="C14" s="9" t="inlineStr">
        <is>
          <t>Target</t>
        </is>
      </c>
      <c r="D14" s="9" t="inlineStr">
        <is>
          <t>Current</t>
        </is>
      </c>
      <c r="E14" s="9" t="inlineStr">
        <is>
          <t>Progress</t>
        </is>
      </c>
    </row>
    <row r="15">
      <c r="B15" s="35" t="inlineStr">
        <is>
          <t>$3,000 net / month</t>
        </is>
      </c>
      <c r="C15" s="56" t="inlineStr">
        <is>
          <t>$3,000</t>
        </is>
      </c>
      <c r="D15" s="56" t="inlineStr">
        <is>
          <t>$2,786</t>
        </is>
      </c>
      <c r="E15" s="58" t="n">
        <v>0.93</v>
      </c>
    </row>
    <row r="16">
      <c r="B16" s="38" t="inlineStr">
        <is>
          <t>$20 net / hour</t>
        </is>
      </c>
      <c r="C16" s="28" t="inlineStr">
        <is>
          <t>$20.00</t>
        </is>
      </c>
      <c r="D16" s="28" t="inlineStr">
        <is>
          <t>$21.68</t>
        </is>
      </c>
      <c r="E16" s="59" t="n">
        <v>1</v>
      </c>
    </row>
    <row r="17">
      <c r="B17" s="35" t="inlineStr">
        <is>
          <t>300 trips / month</t>
        </is>
      </c>
      <c r="C17" s="56" t="inlineStr">
        <is>
          <t>300</t>
        </is>
      </c>
      <c r="D17" s="56" t="inlineStr">
        <is>
          <t>316</t>
        </is>
      </c>
      <c r="E17" s="58" t="n">
        <v>1</v>
      </c>
    </row>
    <row r="18">
      <c r="B18" s="38" t="inlineStr">
        <is>
          <t>$6k emergency fund</t>
        </is>
      </c>
      <c r="C18" s="28" t="inlineStr">
        <is>
          <t>$6,000</t>
        </is>
      </c>
      <c r="D18" s="28" t="inlineStr">
        <is>
          <t>$4,200</t>
        </is>
      </c>
      <c r="E18" s="59" t="n">
        <v>0.7</v>
      </c>
    </row>
    <row r="19">
      <c r="B19" s="35" t="inlineStr">
        <is>
          <t>Pay off $4k card</t>
        </is>
      </c>
      <c r="C19" s="56" t="inlineStr">
        <is>
          <t>$4,000</t>
        </is>
      </c>
      <c r="D19" s="56" t="inlineStr">
        <is>
          <t>$2,600</t>
        </is>
      </c>
      <c r="E19" s="58" t="n">
        <v>0.65</v>
      </c>
    </row>
    <row r="20">
      <c r="B20" s="38" t="inlineStr">
        <is>
          <t>2,900 miles / month</t>
        </is>
      </c>
      <c r="C20" s="28" t="inlineStr">
        <is>
          <t>2,900</t>
        </is>
      </c>
      <c r="D20" s="28" t="inlineStr">
        <is>
          <t>2,871</t>
        </is>
      </c>
      <c r="E20" s="59" t="n">
        <v>0.99</v>
      </c>
    </row>
  </sheetData>
  <mergeCells count="4">
    <mergeCell ref="A2:E2"/>
    <mergeCell ref="B13:E13"/>
    <mergeCell ref="A1:E1"/>
    <mergeCell ref="B5:E5"/>
  </mergeCells>
  <conditionalFormatting sqref="E7:E10">
    <cfRule type="dataBar" priority="1">
      <dataBar showValue="1">
        <cfvo type="num" val="0"/>
        <cfvo type="num" val="1"/>
        <color rgb="001B4F48"/>
      </dataBar>
    </cfRule>
  </conditionalFormatting>
  <conditionalFormatting sqref="E15:E20">
    <cfRule type="dataBar" priority="2">
      <dataBar showValue="1">
        <cfvo type="num" val="0"/>
        <cfvo type="num" val="1"/>
        <color rgb="00C9A86A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1" customWidth="1" min="5" max="5"/>
    <col width="13" customWidth="1" min="6" max="6"/>
    <col width="24" customWidth="1" min="7" max="7"/>
  </cols>
  <sheetData>
    <row r="1" ht="46" customHeight="1">
      <c r="A1" s="1" t="inlineStr">
        <is>
          <t xml:space="preserve">  🎯  BONUSES &amp; QUESTS</t>
        </is>
      </c>
    </row>
    <row r="2" ht="22" customHeight="1">
      <c r="A2" s="2" t="inlineStr">
        <is>
          <t xml:space="preserve">  Never miss a promo — track every quest, streak &amp; guarantee and the extra it pays.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Platform</t>
        </is>
      </c>
      <c r="B4" s="9" t="inlineStr">
        <is>
          <t>Type</t>
        </is>
      </c>
      <c r="C4" s="9" t="inlineStr">
        <is>
          <t>Requirement</t>
        </is>
      </c>
      <c r="D4" s="9" t="inlineStr">
        <is>
          <t>Status</t>
        </is>
      </c>
      <c r="E4" s="9" t="inlineStr">
        <is>
          <t>Reward</t>
        </is>
      </c>
      <c r="F4" s="9" t="inlineStr">
        <is>
          <t>Deadline</t>
        </is>
      </c>
      <c r="G4" s="9" t="inlineStr">
        <is>
          <t>Notes</t>
        </is>
      </c>
    </row>
    <row r="5">
      <c r="A5" s="23" t="inlineStr">
        <is>
          <t>Lyft</t>
        </is>
      </c>
      <c r="B5" s="23" t="inlineStr">
        <is>
          <t>Ride Challenge</t>
        </is>
      </c>
      <c r="C5" s="46" t="inlineStr">
        <is>
          <t>50 rides / week</t>
        </is>
      </c>
      <c r="D5" s="23" t="inlineStr">
        <is>
          <t>Completed</t>
        </is>
      </c>
      <c r="E5" s="26" t="n">
        <v>120</v>
      </c>
      <c r="F5" s="22" t="n">
        <v>46211</v>
      </c>
      <c r="G5" s="46" t="inlineStr">
        <is>
          <t>Hit with room to spare</t>
        </is>
      </c>
    </row>
    <row r="6">
      <c r="A6" s="28" t="inlineStr">
        <is>
          <t>Uber</t>
        </is>
      </c>
      <c r="B6" s="28" t="inlineStr">
        <is>
          <t>Quest</t>
        </is>
      </c>
      <c r="C6" s="38" t="inlineStr">
        <is>
          <t>40 trips (Fri-Sun)</t>
        </is>
      </c>
      <c r="D6" s="28" t="inlineStr">
        <is>
          <t>In Progress</t>
        </is>
      </c>
      <c r="E6" s="31" t="n">
        <v>90</v>
      </c>
      <c r="F6" s="27" t="n">
        <v>46216</v>
      </c>
      <c r="G6" s="38" t="inlineStr">
        <is>
          <t>31 / 40 done</t>
        </is>
      </c>
    </row>
    <row r="7">
      <c r="A7" s="23" t="inlineStr">
        <is>
          <t>Lyft</t>
        </is>
      </c>
      <c r="B7" s="23" t="inlineStr">
        <is>
          <t>Streak Bonus</t>
        </is>
      </c>
      <c r="C7" s="46" t="inlineStr">
        <is>
          <t>3 rides in a row</t>
        </is>
      </c>
      <c r="D7" s="23" t="inlineStr">
        <is>
          <t>Completed</t>
        </is>
      </c>
      <c r="E7" s="26" t="n">
        <v>18</v>
      </c>
      <c r="F7" s="22" t="n">
        <v>46209</v>
      </c>
      <c r="G7" s="46" t="inlineStr">
        <is>
          <t>Stacked 4 streaks</t>
        </is>
      </c>
    </row>
    <row r="8">
      <c r="A8" s="28" t="inlineStr">
        <is>
          <t>Uber</t>
        </is>
      </c>
      <c r="B8" s="28" t="inlineStr">
        <is>
          <t>Consecutive Trips</t>
        </is>
      </c>
      <c r="C8" s="38" t="inlineStr">
        <is>
          <t>6 in a row</t>
        </is>
      </c>
      <c r="D8" s="28" t="inlineStr">
        <is>
          <t>Available</t>
        </is>
      </c>
      <c r="E8" s="31" t="n">
        <v>45</v>
      </c>
      <c r="F8" s="27" t="n">
        <v>46218</v>
      </c>
      <c r="G8" s="38" t="inlineStr">
        <is>
          <t>Airport is best for this</t>
        </is>
      </c>
    </row>
    <row r="9">
      <c r="A9" s="23" t="inlineStr">
        <is>
          <t>Lyft</t>
        </is>
      </c>
      <c r="B9" s="23" t="inlineStr">
        <is>
          <t>Peak Bonus</t>
        </is>
      </c>
      <c r="C9" s="46" t="inlineStr">
        <is>
          <t>Downtown 6-9pm</t>
        </is>
      </c>
      <c r="D9" s="23" t="inlineStr">
        <is>
          <t>Completed</t>
        </is>
      </c>
      <c r="E9" s="26" t="n">
        <v>64</v>
      </c>
      <c r="F9" s="22" t="n">
        <v>46208</v>
      </c>
      <c r="G9" s="46" t="inlineStr">
        <is>
          <t>Concert night</t>
        </is>
      </c>
    </row>
    <row r="10">
      <c r="A10" s="28" t="inlineStr">
        <is>
          <t>Uber</t>
        </is>
      </c>
      <c r="B10" s="28" t="inlineStr">
        <is>
          <t>Boost Zone</t>
        </is>
      </c>
      <c r="C10" s="38" t="inlineStr">
        <is>
          <t>1.5x East side</t>
        </is>
      </c>
      <c r="D10" s="28" t="inlineStr">
        <is>
          <t>Available</t>
        </is>
      </c>
      <c r="E10" s="31" t="n">
        <v>0</v>
      </c>
      <c r="F10" s="27" t="n">
        <v>46215</v>
      </c>
      <c r="G10" s="38" t="inlineStr">
        <is>
          <t>Watch the map</t>
        </is>
      </c>
    </row>
    <row r="11">
      <c r="A11" s="23" t="inlineStr">
        <is>
          <t>Lyft</t>
        </is>
      </c>
      <c r="B11" s="23" t="inlineStr">
        <is>
          <t>Weekly Guarantee</t>
        </is>
      </c>
      <c r="C11" s="46" t="inlineStr">
        <is>
          <t>$1,100 / 55 rides</t>
        </is>
      </c>
      <c r="D11" s="23" t="inlineStr">
        <is>
          <t>In Progress</t>
        </is>
      </c>
      <c r="E11" s="26" t="n">
        <v>75</v>
      </c>
      <c r="F11" s="22" t="n">
        <v>46217</v>
      </c>
      <c r="G11" s="46" t="inlineStr">
        <is>
          <t>On pace</t>
        </is>
      </c>
    </row>
    <row r="12">
      <c r="A12" s="28" t="n"/>
      <c r="B12" s="28" t="n"/>
      <c r="C12" s="38" t="n"/>
      <c r="D12" s="28" t="n"/>
      <c r="E12" s="31" t="n"/>
      <c r="F12" s="27" t="n"/>
      <c r="G12" s="38" t="n"/>
    </row>
    <row r="13">
      <c r="A13" s="23" t="n"/>
      <c r="B13" s="23" t="n"/>
      <c r="C13" s="46" t="n"/>
      <c r="D13" s="23" t="n"/>
      <c r="E13" s="26" t="n"/>
      <c r="F13" s="22" t="n"/>
      <c r="G13" s="46" t="n"/>
    </row>
    <row r="14">
      <c r="A14" s="28" t="n"/>
      <c r="B14" s="28" t="n"/>
      <c r="C14" s="38" t="n"/>
      <c r="D14" s="28" t="n"/>
      <c r="E14" s="31" t="n"/>
      <c r="F14" s="27" t="n"/>
      <c r="G14" s="38" t="n"/>
    </row>
    <row r="15">
      <c r="A15" s="23" t="n"/>
      <c r="B15" s="23" t="n"/>
      <c r="C15" s="46" t="n"/>
      <c r="D15" s="23" t="n"/>
      <c r="E15" s="26" t="n"/>
      <c r="F15" s="22" t="n"/>
      <c r="G15" s="46" t="n"/>
    </row>
    <row r="16">
      <c r="A16" s="28" t="n"/>
      <c r="B16" s="28" t="n"/>
      <c r="C16" s="38" t="n"/>
      <c r="D16" s="28" t="n"/>
      <c r="E16" s="31" t="n"/>
      <c r="F16" s="27" t="n"/>
      <c r="G16" s="38" t="n"/>
    </row>
    <row r="17">
      <c r="A17" s="23" t="n"/>
      <c r="B17" s="23" t="n"/>
      <c r="C17" s="46" t="n"/>
      <c r="D17" s="23" t="n"/>
      <c r="E17" s="26" t="n"/>
      <c r="F17" s="22" t="n"/>
      <c r="G17" s="46" t="n"/>
    </row>
    <row r="18">
      <c r="A18" s="28" t="n"/>
      <c r="B18" s="28" t="n"/>
      <c r="C18" s="38" t="n"/>
      <c r="D18" s="28" t="n"/>
      <c r="E18" s="31" t="n"/>
      <c r="F18" s="27" t="n"/>
      <c r="G18" s="38" t="n"/>
    </row>
    <row r="19">
      <c r="A19" s="23" t="n"/>
      <c r="B19" s="23" t="n"/>
      <c r="C19" s="46" t="n"/>
      <c r="D19" s="23" t="n"/>
      <c r="E19" s="26" t="n"/>
      <c r="F19" s="22" t="n"/>
      <c r="G19" s="46" t="n"/>
    </row>
    <row r="20">
      <c r="A20" s="28" t="n"/>
      <c r="B20" s="28" t="n"/>
      <c r="C20" s="38" t="n"/>
      <c r="D20" s="28" t="n"/>
      <c r="E20" s="31" t="n"/>
      <c r="F20" s="27" t="n"/>
      <c r="G20" s="38" t="n"/>
    </row>
    <row r="21">
      <c r="A21" s="23" t="n"/>
      <c r="B21" s="23" t="n"/>
      <c r="C21" s="46" t="n"/>
      <c r="D21" s="23" t="n"/>
      <c r="E21" s="26" t="n"/>
      <c r="F21" s="22" t="n"/>
      <c r="G21" s="46" t="n"/>
    </row>
    <row r="22">
      <c r="A22" s="28" t="n"/>
      <c r="B22" s="28" t="n"/>
      <c r="C22" s="38" t="n"/>
      <c r="D22" s="28" t="n"/>
      <c r="E22" s="31" t="n"/>
      <c r="F22" s="27" t="n"/>
      <c r="G22" s="38" t="n"/>
    </row>
    <row r="23">
      <c r="A23" s="23" t="n"/>
      <c r="B23" s="23" t="n"/>
      <c r="C23" s="46" t="n"/>
      <c r="D23" s="23" t="n"/>
      <c r="E23" s="26" t="n"/>
      <c r="F23" s="22" t="n"/>
      <c r="G23" s="46" t="n"/>
    </row>
    <row r="24">
      <c r="A24" s="28" t="n"/>
      <c r="B24" s="28" t="n"/>
      <c r="C24" s="38" t="n"/>
      <c r="D24" s="28" t="n"/>
      <c r="E24" s="31" t="n"/>
      <c r="F24" s="27" t="n"/>
      <c r="G24" s="38" t="n"/>
    </row>
    <row r="25">
      <c r="A25" s="23" t="n"/>
      <c r="B25" s="23" t="n"/>
      <c r="C25" s="46" t="n"/>
      <c r="D25" s="23" t="n"/>
      <c r="E25" s="26" t="n"/>
      <c r="F25" s="22" t="n"/>
      <c r="G25" s="46" t="n"/>
    </row>
    <row r="26">
      <c r="A26" s="28" t="n"/>
      <c r="B26" s="28" t="n"/>
      <c r="C26" s="38" t="n"/>
      <c r="D26" s="28" t="n"/>
      <c r="E26" s="31" t="n"/>
      <c r="F26" s="27" t="n"/>
      <c r="G26" s="38" t="n"/>
    </row>
    <row r="27">
      <c r="A27" s="23" t="n"/>
      <c r="B27" s="23" t="n"/>
      <c r="C27" s="46" t="n"/>
      <c r="D27" s="23" t="n"/>
      <c r="E27" s="26" t="n"/>
      <c r="F27" s="22" t="n"/>
      <c r="G27" s="46" t="n"/>
    </row>
    <row r="28">
      <c r="A28" s="28" t="n"/>
      <c r="B28" s="28" t="n"/>
      <c r="C28" s="38" t="n"/>
      <c r="D28" s="28" t="n"/>
      <c r="E28" s="31" t="n"/>
      <c r="F28" s="27" t="n"/>
      <c r="G28" s="38" t="n"/>
    </row>
    <row r="29">
      <c r="A29" s="23" t="n"/>
      <c r="B29" s="23" t="n"/>
      <c r="C29" s="46" t="n"/>
      <c r="D29" s="23" t="n"/>
      <c r="E29" s="26" t="n"/>
      <c r="F29" s="22" t="n"/>
      <c r="G29" s="46" t="n"/>
    </row>
    <row r="30">
      <c r="A30" s="28" t="n"/>
      <c r="B30" s="28" t="n"/>
      <c r="C30" s="38" t="n"/>
      <c r="D30" s="28" t="n"/>
      <c r="E30" s="31" t="n"/>
      <c r="F30" s="27" t="n"/>
      <c r="G30" s="38" t="n"/>
    </row>
    <row r="31">
      <c r="A31" s="23" t="n"/>
      <c r="B31" s="23" t="n"/>
      <c r="C31" s="46" t="n"/>
      <c r="D31" s="23" t="n"/>
      <c r="E31" s="26" t="n"/>
      <c r="F31" s="22" t="n"/>
      <c r="G31" s="46" t="n"/>
    </row>
    <row r="32">
      <c r="A32" s="28" t="n"/>
      <c r="B32" s="28" t="n"/>
      <c r="C32" s="38" t="n"/>
      <c r="D32" s="28" t="n"/>
      <c r="E32" s="31" t="n"/>
      <c r="F32" s="27" t="n"/>
      <c r="G32" s="38" t="n"/>
    </row>
    <row r="33">
      <c r="A33" s="23" t="n"/>
      <c r="B33" s="23" t="n"/>
      <c r="C33" s="46" t="n"/>
      <c r="D33" s="23" t="n"/>
      <c r="E33" s="26" t="n"/>
      <c r="F33" s="22" t="n"/>
      <c r="G33" s="46" t="n"/>
    </row>
    <row r="34">
      <c r="A34" s="28" t="n"/>
      <c r="B34" s="28" t="n"/>
      <c r="C34" s="38" t="n"/>
      <c r="D34" s="28" t="n"/>
      <c r="E34" s="31" t="n"/>
      <c r="F34" s="27" t="n"/>
      <c r="G34" s="38" t="n"/>
    </row>
  </sheetData>
  <mergeCells count="2">
    <mergeCell ref="A2:G2"/>
    <mergeCell ref="A1:G1"/>
  </mergeCells>
  <conditionalFormatting sqref="D5:D3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3">
      <formula>"Available"</formula>
    </cfRule>
  </conditionalFormatting>
  <dataValidations count="1">
    <dataValidation sqref="A5:A3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📍  HOT ZONES &amp; HOURS</t>
        </is>
      </c>
    </row>
    <row r="2" ht="22" customHeight="1">
      <c r="A2" s="2" t="inlineStr">
        <is>
          <t xml:space="preserve">  Drive where it pays — the zones, days &amp; hours that earn the most per hour.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BEST ZONES</t>
        </is>
      </c>
    </row>
    <row r="6" ht="30" customHeight="1">
      <c r="B6" s="9" t="inlineStr">
        <is>
          <t>Zone</t>
        </is>
      </c>
      <c r="C6" s="9" t="inlineStr">
        <is>
          <t>Best Time</t>
        </is>
      </c>
      <c r="D6" s="9" t="inlineStr">
        <is>
          <t>Avg $/hr</t>
        </is>
      </c>
      <c r="E6" s="9" t="inlineStr">
        <is>
          <t>Surge</t>
        </is>
      </c>
      <c r="F6" s="9" t="inlineStr">
        <is>
          <t>Notes</t>
        </is>
      </c>
    </row>
    <row r="7">
      <c r="B7" s="35" t="inlineStr">
        <is>
          <t>Airport (AUS)</t>
        </is>
      </c>
      <c r="C7" s="56" t="inlineStr">
        <is>
          <t>6-9am, 4-7pm</t>
        </is>
      </c>
      <c r="D7" s="36" t="n">
        <v>34</v>
      </c>
      <c r="E7" s="56" t="inlineStr">
        <is>
          <t>Medium</t>
        </is>
      </c>
      <c r="F7" s="35" t="inlineStr">
        <is>
          <t>Long trips, worth the queue</t>
        </is>
      </c>
    </row>
    <row r="8">
      <c r="B8" s="38" t="inlineStr">
        <is>
          <t>Downtown / 6th St</t>
        </is>
      </c>
      <c r="C8" s="28" t="inlineStr">
        <is>
          <t>Fri-Sat 9pm-2am</t>
        </is>
      </c>
      <c r="D8" s="31" t="n">
        <v>41</v>
      </c>
      <c r="E8" s="28" t="inlineStr">
        <is>
          <t>High</t>
        </is>
      </c>
      <c r="F8" s="38" t="inlineStr">
        <is>
          <t>Bar close = surge gold</t>
        </is>
      </c>
    </row>
    <row r="9">
      <c r="B9" s="35" t="inlineStr">
        <is>
          <t>Domain / North</t>
        </is>
      </c>
      <c r="C9" s="56" t="inlineStr">
        <is>
          <t>Weekday PM</t>
        </is>
      </c>
      <c r="D9" s="36" t="n">
        <v>28</v>
      </c>
      <c r="E9" s="56" t="inlineStr">
        <is>
          <t>Low</t>
        </is>
      </c>
      <c r="F9" s="35" t="inlineStr">
        <is>
          <t>Steady office runs</t>
        </is>
      </c>
    </row>
    <row r="10">
      <c r="B10" s="38" t="inlineStr">
        <is>
          <t>Campus (UT)</t>
        </is>
      </c>
      <c r="C10" s="28" t="inlineStr">
        <is>
          <t>Game days</t>
        </is>
      </c>
      <c r="D10" s="31" t="n">
        <v>38</v>
      </c>
      <c r="E10" s="28" t="inlineStr">
        <is>
          <t>High</t>
        </is>
      </c>
      <c r="F10" s="38" t="inlineStr">
        <is>
          <t>Events spike demand</t>
        </is>
      </c>
    </row>
    <row r="11">
      <c r="B11" s="35" t="inlineStr">
        <is>
          <t>Convention Center</t>
        </is>
      </c>
      <c r="C11" s="56" t="inlineStr">
        <is>
          <t>Event nights</t>
        </is>
      </c>
      <c r="D11" s="36" t="n">
        <v>45</v>
      </c>
      <c r="E11" s="56" t="inlineStr">
        <is>
          <t>High</t>
        </is>
      </c>
      <c r="F11" s="35" t="inlineStr">
        <is>
          <t>Check the event calendar</t>
        </is>
      </c>
    </row>
    <row r="12">
      <c r="B12" s="38" t="inlineStr">
        <is>
          <t>Suburbs</t>
        </is>
      </c>
      <c r="C12" s="28" t="inlineStr">
        <is>
          <t>Weekday AM</t>
        </is>
      </c>
      <c r="D12" s="31" t="n">
        <v>22</v>
      </c>
      <c r="E12" s="28" t="inlineStr">
        <is>
          <t>Low</t>
        </is>
      </c>
      <c r="F12" s="38" t="inlineStr">
        <is>
          <t>Slow — reposition</t>
        </is>
      </c>
    </row>
    <row r="15" ht="22" customHeight="1">
      <c r="B15" s="4" t="inlineStr">
        <is>
          <t>BEST DAYS OF WEEK</t>
        </is>
      </c>
    </row>
    <row r="16" ht="30" customHeight="1">
      <c r="B16" s="9" t="inlineStr">
        <is>
          <t>Day</t>
        </is>
      </c>
      <c r="C16" s="9" t="inlineStr">
        <is>
          <t>Avg $/hr</t>
        </is>
      </c>
      <c r="D16" s="9" t="inlineStr">
        <is>
          <t>Best Window</t>
        </is>
      </c>
      <c r="E16" s="9" t="inlineStr">
        <is>
          <t>Rating</t>
        </is>
      </c>
    </row>
    <row r="17">
      <c r="B17" s="35" t="inlineStr">
        <is>
          <t>Friday</t>
        </is>
      </c>
      <c r="C17" s="36" t="n">
        <v>36</v>
      </c>
      <c r="D17" s="56" t="inlineStr">
        <is>
          <t>5pm-2am</t>
        </is>
      </c>
      <c r="E17" s="56" t="inlineStr">
        <is>
          <t>★★★★★</t>
        </is>
      </c>
    </row>
    <row r="18">
      <c r="B18" s="38" t="inlineStr">
        <is>
          <t>Saturday</t>
        </is>
      </c>
      <c r="C18" s="31" t="n">
        <v>39</v>
      </c>
      <c r="D18" s="28" t="inlineStr">
        <is>
          <t>6pm-3am</t>
        </is>
      </c>
      <c r="E18" s="28" t="inlineStr">
        <is>
          <t>★★★★★</t>
        </is>
      </c>
    </row>
    <row r="19">
      <c r="B19" s="35" t="inlineStr">
        <is>
          <t>Sunday</t>
        </is>
      </c>
      <c r="C19" s="36" t="n">
        <v>27</v>
      </c>
      <c r="D19" s="56" t="inlineStr">
        <is>
          <t>9am-2pm brunch</t>
        </is>
      </c>
      <c r="E19" s="56" t="inlineStr">
        <is>
          <t>★★★☆☆</t>
        </is>
      </c>
    </row>
    <row r="20">
      <c r="B20" s="38" t="inlineStr">
        <is>
          <t>Thursday</t>
        </is>
      </c>
      <c r="C20" s="31" t="n">
        <v>30</v>
      </c>
      <c r="D20" s="28" t="inlineStr">
        <is>
          <t>5-9pm</t>
        </is>
      </c>
      <c r="E20" s="28" t="inlineStr">
        <is>
          <t>★★★★☆</t>
        </is>
      </c>
    </row>
    <row r="21">
      <c r="B21" s="35" t="inlineStr">
        <is>
          <t>Weekday AM</t>
        </is>
      </c>
      <c r="C21" s="36" t="n">
        <v>26</v>
      </c>
      <c r="D21" s="56" t="inlineStr">
        <is>
          <t>6-9am</t>
        </is>
      </c>
      <c r="E21" s="56" t="inlineStr">
        <is>
          <t>★★★☆☆</t>
        </is>
      </c>
    </row>
  </sheetData>
  <mergeCells count="4">
    <mergeCell ref="B15:F15"/>
    <mergeCell ref="A2:G2"/>
    <mergeCell ref="A1:G1"/>
    <mergeCell ref="B5:F5"/>
  </mergeCells>
  <conditionalFormatting sqref="D7:D12">
    <cfRule type="dataBar" priority="1">
      <dataBar showValue="1">
        <cfvo type="num" val="0"/>
        <cfvo type="num" val="45"/>
        <color rgb="001B4F48"/>
      </dataBar>
    </cfRule>
  </conditionalFormatting>
  <conditionalFormatting sqref="E7:E12">
    <cfRule type="cellIs" priority="2" operator="equal" dxfId="0">
      <formula>"High"</formula>
    </cfRule>
    <cfRule type="cellIs" priority="3" operator="equal" dxfId="1">
      <formula>"Medium"</formula>
    </cfRule>
    <cfRule type="cellIs" priority="4" operator="equal" dxfId="4">
      <formula>"Low"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⭐  RATINGS &amp; FEEDBACK</t>
        </is>
      </c>
    </row>
    <row r="2" ht="22" customHeight="1">
      <c r="A2" s="2" t="inlineStr">
        <is>
          <t xml:space="preserve">  Protect your rating — it drives your access to the best rides &amp; bonuses.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PLATFORM STANDING</t>
        </is>
      </c>
    </row>
    <row r="6" ht="30" customHeight="1">
      <c r="B6" s="9" t="inlineStr">
        <is>
          <t>Platform</t>
        </is>
      </c>
      <c r="C6" s="9" t="inlineStr">
        <is>
          <t>Rating</t>
        </is>
      </c>
      <c r="D6" s="9" t="inlineStr">
        <is>
          <t>Trips</t>
        </is>
      </c>
      <c r="E6" s="9" t="inlineStr">
        <is>
          <t>Trend</t>
        </is>
      </c>
      <c r="F6" s="9" t="inlineStr">
        <is>
          <t>Riders Say</t>
        </is>
      </c>
    </row>
    <row r="7">
      <c r="B7" s="35" t="inlineStr">
        <is>
          <t>Lyft</t>
        </is>
      </c>
      <c r="C7" s="60" t="n">
        <v>4.98</v>
      </c>
      <c r="D7" s="61" t="n">
        <v>5120</v>
      </c>
      <c r="E7" s="56" t="inlineStr">
        <is>
          <t>▲ +0.01</t>
        </is>
      </c>
      <c r="F7" s="35" t="inlineStr">
        <is>
          <t>Clean car, smooth ride</t>
        </is>
      </c>
    </row>
    <row r="8">
      <c r="B8" s="38" t="inlineStr">
        <is>
          <t>Uber</t>
        </is>
      </c>
      <c r="C8" s="62" t="n">
        <v>4.96</v>
      </c>
      <c r="D8" s="30" t="n">
        <v>4120</v>
      </c>
      <c r="E8" s="28" t="inlineStr">
        <is>
          <t>► flat</t>
        </is>
      </c>
      <c r="F8" s="38" t="inlineStr">
        <is>
          <t>Great conversation</t>
        </is>
      </c>
    </row>
    <row r="9">
      <c r="B9" s="35" t="inlineStr">
        <is>
          <t>Lyft Acceptance</t>
        </is>
      </c>
      <c r="C9" s="37" t="n">
        <v>0.84</v>
      </c>
      <c r="D9" s="56" t="inlineStr">
        <is>
          <t>—</t>
        </is>
      </c>
      <c r="E9" s="56" t="inlineStr">
        <is>
          <t>▲ +3%</t>
        </is>
      </c>
      <c r="F9" s="35" t="inlineStr">
        <is>
          <t>Above Platinum line</t>
        </is>
      </c>
    </row>
    <row r="10">
      <c r="B10" s="38" t="inlineStr">
        <is>
          <t>Cancellation</t>
        </is>
      </c>
      <c r="C10" s="39" t="n">
        <v>0.02</v>
      </c>
      <c r="D10" s="28" t="inlineStr">
        <is>
          <t>—</t>
        </is>
      </c>
      <c r="E10" s="28" t="inlineStr">
        <is>
          <t>► flat</t>
        </is>
      </c>
      <c r="F10" s="38" t="inlineStr">
        <is>
          <t>Well under limit</t>
        </is>
      </c>
    </row>
    <row r="12" ht="22" customHeight="1">
      <c r="B12" s="4" t="inlineStr">
        <is>
          <t>5-STAR CHECKLIST</t>
        </is>
      </c>
    </row>
    <row r="13">
      <c r="B13" s="35" t="inlineStr">
        <is>
          <t>✓  Offer water, gum &amp; a phone charger</t>
        </is>
      </c>
      <c r="D13" s="35" t="inlineStr">
        <is>
          <t>✓  Confirm the rider's name at pickup</t>
        </is>
      </c>
    </row>
    <row r="14">
      <c r="B14" s="35" t="inlineStr">
        <is>
          <t>✓  Keep the car spotless &amp; smelling fresh</t>
        </is>
      </c>
      <c r="D14" s="35" t="inlineStr">
        <is>
          <t>✓  Let the rider pick music &amp; temperature</t>
        </is>
      </c>
    </row>
    <row r="15">
      <c r="B15" s="35" t="inlineStr">
        <is>
          <t>✓  Smooth acceleration &amp; braking</t>
        </is>
      </c>
      <c r="D15" s="35" t="inlineStr">
        <is>
          <t>✓  Know the fastest route — don't rely only on GPS</t>
        </is>
      </c>
    </row>
  </sheetData>
  <mergeCells count="10">
    <mergeCell ref="B13:C13"/>
    <mergeCell ref="B12:F12"/>
    <mergeCell ref="A1:G1"/>
    <mergeCell ref="B15:C15"/>
    <mergeCell ref="D15:E15"/>
    <mergeCell ref="D13:E13"/>
    <mergeCell ref="B5:F5"/>
    <mergeCell ref="D14:E14"/>
    <mergeCell ref="A2:G2"/>
    <mergeCell ref="B14:C14"/>
  </mergeCells>
  <conditionalFormatting sqref="C7:C8">
    <cfRule type="dataBar" priority="1">
      <dataBar showValue="1">
        <cfvo type="num" val="0"/>
        <cfvo type="num" val="5"/>
        <color rgb="00C9A86A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20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📈  ANALYTICS COMMAND CENTER</t>
        </is>
      </c>
    </row>
    <row r="2" ht="22" customHeight="1">
      <c r="A2" s="2" t="inlineStr">
        <is>
          <t xml:space="preserve">  Your driving business by the numbers — take-home, health dimensions &amp; the Driver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7" t="inlineStr">
        <is>
          <t>TAKE-HOME SNAPSHOT</t>
        </is>
      </c>
      <c r="E5" s="4" t="inlineStr">
        <is>
          <t>DRIVER HEALTH</t>
        </is>
      </c>
    </row>
    <row r="6" ht="30" customHeight="1">
      <c r="B6" s="20" t="inlineStr">
        <is>
          <t>Gross earnings</t>
        </is>
      </c>
      <c r="C6" s="41">
        <f>GrossEarn</f>
        <v/>
      </c>
      <c r="E6" s="9" t="inlineStr">
        <is>
          <t>Dimension</t>
        </is>
      </c>
      <c r="F6" s="9" t="inlineStr">
        <is>
          <t>Score</t>
        </is>
      </c>
      <c r="G6" s="9" t="inlineStr">
        <is>
          <t>Status</t>
        </is>
      </c>
    </row>
    <row r="7">
      <c r="B7" s="20" t="inlineStr">
        <is>
          <t>Business expenses</t>
        </is>
      </c>
      <c r="C7" s="41">
        <f>ExpenseTotal</f>
        <v/>
      </c>
      <c r="E7" s="35" t="inlineStr">
        <is>
          <t>Net earnings vs goal</t>
        </is>
      </c>
      <c r="F7" s="37">
        <f>IFERROR(MIN(NetEarn/NetGoal,1),0)</f>
        <v/>
      </c>
      <c r="G7" s="56">
        <f>IF(F7&gt;=0.75,"Strong",IF(F7&gt;=0.5,"Growing","Focus"))</f>
        <v/>
      </c>
    </row>
    <row r="8">
      <c r="B8" s="20" t="inlineStr">
        <is>
          <t>Net earnings</t>
        </is>
      </c>
      <c r="C8" s="42">
        <f>GrossEarn-ExpenseTotal</f>
        <v/>
      </c>
      <c r="E8" s="38" t="inlineStr">
        <is>
          <t>Net $/hour vs target</t>
        </is>
      </c>
      <c r="F8" s="39">
        <f>IFERROR(MIN(PerHour/HourlyTarget,1),0)</f>
        <v/>
      </c>
      <c r="G8" s="28">
        <f>IF(F8&gt;=0.75,"Strong",IF(F8&gt;=0.5,"Growing","Focus"))</f>
        <v/>
      </c>
    </row>
    <row r="9">
      <c r="B9" s="20" t="inlineStr">
        <is>
          <t>Online hours</t>
        </is>
      </c>
      <c r="C9" s="63">
        <f>TotalHours</f>
        <v/>
      </c>
      <c r="E9" s="35" t="inlineStr">
        <is>
          <t>Trips vs goal</t>
        </is>
      </c>
      <c r="F9" s="37">
        <f>IFERROR(MIN(TotalTrips/TripsGoal,1),0)</f>
        <v/>
      </c>
      <c r="G9" s="56">
        <f>IF(F9&gt;=0.75,"Strong",IF(F9&gt;=0.5,"Growing","Focus"))</f>
        <v/>
      </c>
    </row>
    <row r="10">
      <c r="B10" s="20" t="inlineStr">
        <is>
          <t>Net $ / hour</t>
        </is>
      </c>
      <c r="C10" s="44">
        <f>IFERROR((GrossEarn-ExpenseTotal)/TotalHours,0)</f>
        <v/>
      </c>
      <c r="E10" s="38" t="inlineStr">
        <is>
          <t>Emergency fund</t>
        </is>
      </c>
      <c r="F10" s="39">
        <f>IFERROR(MIN(SavingsSaved/SavingsGoal,1),0)</f>
        <v/>
      </c>
      <c r="G10" s="28">
        <f>IF(F10&gt;=0.75,"Strong",IF(F10&gt;=0.5,"Growing","Focus"))</f>
        <v/>
      </c>
    </row>
    <row r="11">
      <c r="B11" s="20" t="inlineStr">
        <is>
          <t>Net $ / mile</t>
        </is>
      </c>
      <c r="C11" s="43">
        <f>IFERROR((GrossEarn-ExpenseTotal)/TotalMiles,0)</f>
        <v/>
      </c>
      <c r="E11" s="35" t="inlineStr">
        <is>
          <t>Driving consistency</t>
        </is>
      </c>
      <c r="F11" s="37">
        <f>IFERROR(MIN(COUNT(ShiftMiles)/ShiftGoal,1),0)</f>
        <v/>
      </c>
      <c r="G11" s="56">
        <f>IF(F11&gt;=0.75,"Strong",IF(F11&gt;=0.5,"Growing","Focus"))</f>
        <v/>
      </c>
    </row>
    <row r="12">
      <c r="B12" s="20" t="inlineStr">
        <is>
          <t>Trips</t>
        </is>
      </c>
      <c r="C12" s="50">
        <f>TotalTrips</f>
        <v/>
      </c>
      <c r="E12" s="38" t="inlineStr">
        <is>
          <t>Tax reserve</t>
        </is>
      </c>
      <c r="F12" s="39">
        <f>IFERROR(MIN(TaxSetAside/TaxReserveGoal,1),0)</f>
        <v/>
      </c>
      <c r="G12" s="28">
        <f>IF(F12&gt;=0.75,"Strong",IF(F12&gt;=0.5,"Growing","Focus"))</f>
        <v/>
      </c>
    </row>
    <row r="13">
      <c r="B13" s="20" t="inlineStr">
        <is>
          <t>Mileage deduction</t>
        </is>
      </c>
      <c r="C13" s="41">
        <f>TotalMiles*MileageRate</f>
        <v/>
      </c>
    </row>
    <row r="15" ht="22" customHeight="1">
      <c r="B15" s="4" t="inlineStr">
        <is>
          <t>BEST SHIFTS (BY EARNINGS)</t>
        </is>
      </c>
    </row>
    <row r="16" ht="30" customHeight="1">
      <c r="B16" s="9" t="inlineStr">
        <is>
          <t>Shift</t>
        </is>
      </c>
      <c r="C16" s="9" t="inlineStr">
        <is>
          <t>Earnings</t>
        </is>
      </c>
      <c r="D16" s="9" t="inlineStr">
        <is>
          <t>Hours</t>
        </is>
      </c>
      <c r="E16" s="9" t="inlineStr">
        <is>
          <t>$/hr</t>
        </is>
      </c>
      <c r="F16" s="9" t="inlineStr">
        <is>
          <t>Miles</t>
        </is>
      </c>
    </row>
    <row r="17">
      <c r="B17" s="35" t="inlineStr">
        <is>
          <t>Concert surge night</t>
        </is>
      </c>
      <c r="C17" s="36" t="n">
        <v>340</v>
      </c>
      <c r="D17" s="64" t="n">
        <v>9.5</v>
      </c>
      <c r="E17" s="65">
        <f>IFERROR(C17/D17,0)</f>
        <v/>
      </c>
      <c r="F17" s="61" t="n">
        <v>214</v>
      </c>
    </row>
    <row r="18">
      <c r="B18" s="38" t="inlineStr">
        <is>
          <t>Weekend rush</t>
        </is>
      </c>
      <c r="C18" s="31" t="n">
        <v>310</v>
      </c>
      <c r="D18" s="29" t="n">
        <v>9</v>
      </c>
      <c r="E18" s="48">
        <f>IFERROR(C18/D18,0)</f>
        <v/>
      </c>
      <c r="F18" s="30" t="n">
        <v>200</v>
      </c>
    </row>
    <row r="19">
      <c r="B19" s="35" t="inlineStr">
        <is>
          <t>Airport queue day</t>
        </is>
      </c>
      <c r="C19" s="36" t="n">
        <v>318</v>
      </c>
      <c r="D19" s="64" t="n">
        <v>9</v>
      </c>
      <c r="E19" s="65">
        <f>IFERROR(C19/D19,0)</f>
        <v/>
      </c>
      <c r="F19" s="61" t="n">
        <v>205</v>
      </c>
    </row>
    <row r="20">
      <c r="B20" s="38" t="inlineStr">
        <is>
          <t>Long day (airport+bars)</t>
        </is>
      </c>
      <c r="C20" s="31" t="n">
        <v>326</v>
      </c>
      <c r="D20" s="29" t="n">
        <v>9</v>
      </c>
      <c r="E20" s="48">
        <f>IFERROR(C20/D20,0)</f>
        <v/>
      </c>
      <c r="F20" s="30" t="n">
        <v>208</v>
      </c>
    </row>
    <row r="21">
      <c r="B21" s="35" t="inlineStr">
        <is>
          <t>Mixed platform day</t>
        </is>
      </c>
      <c r="C21" s="36" t="n">
        <v>297</v>
      </c>
      <c r="D21" s="64" t="n">
        <v>8.5</v>
      </c>
      <c r="E21" s="65">
        <f>IFERROR(C21/D21,0)</f>
        <v/>
      </c>
      <c r="F21" s="61" t="n">
        <v>198</v>
      </c>
    </row>
    <row r="22">
      <c r="B22" s="38" t="inlineStr">
        <is>
          <t>Downtown day</t>
        </is>
      </c>
      <c r="C22" s="31" t="n">
        <v>278</v>
      </c>
      <c r="D22" s="29" t="n">
        <v>8.5</v>
      </c>
      <c r="E22" s="48">
        <f>IFERROR(C22/D22,0)</f>
        <v/>
      </c>
      <c r="F22" s="30" t="n">
        <v>188</v>
      </c>
    </row>
    <row r="25">
      <c r="B25" s="7" t="inlineStr">
        <is>
          <t>NET EARNINGS — 6 MONTHS</t>
        </is>
      </c>
    </row>
    <row r="26">
      <c r="B26" s="9" t="inlineStr">
        <is>
          <t>Month</t>
        </is>
      </c>
      <c r="C26" s="9" t="inlineStr">
        <is>
          <t>Net ($)</t>
        </is>
      </c>
    </row>
    <row r="27">
      <c r="B27" s="35" t="inlineStr">
        <is>
          <t>Feb</t>
        </is>
      </c>
      <c r="C27" s="36" t="n">
        <v>2380</v>
      </c>
    </row>
    <row r="28">
      <c r="B28" s="38" t="inlineStr">
        <is>
          <t>Mar</t>
        </is>
      </c>
      <c r="C28" s="31" t="n">
        <v>2510</v>
      </c>
    </row>
    <row r="29">
      <c r="B29" s="35" t="inlineStr">
        <is>
          <t>Apr</t>
        </is>
      </c>
      <c r="C29" s="36" t="n">
        <v>2690</v>
      </c>
    </row>
    <row r="30">
      <c r="B30" s="38" t="inlineStr">
        <is>
          <t>May</t>
        </is>
      </c>
      <c r="C30" s="31" t="n">
        <v>2620</v>
      </c>
    </row>
    <row r="31">
      <c r="B31" s="35" t="inlineStr">
        <is>
          <t>Jun</t>
        </is>
      </c>
      <c r="C31" s="36" t="n">
        <v>2740</v>
      </c>
    </row>
    <row r="32">
      <c r="B32" s="38" t="inlineStr">
        <is>
          <t>Jul</t>
        </is>
      </c>
      <c r="C32" s="31" t="n">
        <v>2786</v>
      </c>
    </row>
  </sheetData>
  <mergeCells count="6">
    <mergeCell ref="A1:G1"/>
    <mergeCell ref="B25:C25"/>
    <mergeCell ref="E5:G5"/>
    <mergeCell ref="B5:C5"/>
    <mergeCell ref="A2:G2"/>
    <mergeCell ref="B15:G1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340"/>
        <color rgb="001B4F48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4" customWidth="1" min="4" max="4"/>
    <col width="1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🗓  WEEKLY PLANNER</t>
        </is>
      </c>
    </row>
    <row r="2" ht="22" customHeight="1">
      <c r="A2" s="2" t="inlineStr">
        <is>
          <t xml:space="preserve">  Plan the week that hits your goal — target hours, zones &amp; the earnings you need.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Day</t>
        </is>
      </c>
      <c r="B4" s="9" t="inlineStr">
        <is>
          <t>Plan</t>
        </is>
      </c>
      <c r="C4" s="9" t="inlineStr">
        <is>
          <t>Target Hrs</t>
        </is>
      </c>
      <c r="D4" s="9" t="inlineStr">
        <is>
          <t>$ Goal</t>
        </is>
      </c>
      <c r="E4" s="9" t="inlineStr">
        <is>
          <t>Zone / Focus</t>
        </is>
      </c>
    </row>
    <row r="5">
      <c r="A5" s="35" t="inlineStr">
        <is>
          <t>Monday</t>
        </is>
      </c>
      <c r="B5" s="66" t="inlineStr">
        <is>
          <t>Off</t>
        </is>
      </c>
      <c r="C5" s="67" t="n">
        <v>0</v>
      </c>
      <c r="D5" s="52" t="n">
        <v>0</v>
      </c>
      <c r="E5" s="35" t="inlineStr">
        <is>
          <t>Rest / car maintenance</t>
        </is>
      </c>
    </row>
    <row r="6">
      <c r="A6" s="38" t="inlineStr">
        <is>
          <t>Tuesday</t>
        </is>
      </c>
      <c r="B6" s="68" t="inlineStr">
        <is>
          <t>PM shift</t>
        </is>
      </c>
      <c r="C6" s="69" t="n">
        <v>6</v>
      </c>
      <c r="D6" s="51" t="n">
        <v>160</v>
      </c>
      <c r="E6" s="38" t="inlineStr">
        <is>
          <t>Downtown offices</t>
        </is>
      </c>
    </row>
    <row r="7">
      <c r="A7" s="35" t="inlineStr">
        <is>
          <t>Wednesday</t>
        </is>
      </c>
      <c r="B7" s="66" t="inlineStr">
        <is>
          <t>PM shift</t>
        </is>
      </c>
      <c r="C7" s="67" t="n">
        <v>6</v>
      </c>
      <c r="D7" s="52" t="n">
        <v>160</v>
      </c>
      <c r="E7" s="35" t="inlineStr">
        <is>
          <t>Airport evening</t>
        </is>
      </c>
    </row>
    <row r="8">
      <c r="A8" s="38" t="inlineStr">
        <is>
          <t>Thursday</t>
        </is>
      </c>
      <c r="B8" s="68" t="inlineStr">
        <is>
          <t>Evening</t>
        </is>
      </c>
      <c r="C8" s="69" t="n">
        <v>5</v>
      </c>
      <c r="D8" s="51" t="n">
        <v>150</v>
      </c>
      <c r="E8" s="38" t="inlineStr">
        <is>
          <t>Happy hour → dinner</t>
        </is>
      </c>
    </row>
    <row r="9">
      <c r="A9" s="35" t="inlineStr">
        <is>
          <t>Friday</t>
        </is>
      </c>
      <c r="B9" s="66" t="inlineStr">
        <is>
          <t>Night</t>
        </is>
      </c>
      <c r="C9" s="67" t="n">
        <v>8</v>
      </c>
      <c r="D9" s="52" t="n">
        <v>300</v>
      </c>
      <c r="E9" s="35" t="inlineStr">
        <is>
          <t>6th St bar close</t>
        </is>
      </c>
    </row>
    <row r="10">
      <c r="A10" s="38" t="inlineStr">
        <is>
          <t>Saturday</t>
        </is>
      </c>
      <c r="B10" s="68" t="inlineStr">
        <is>
          <t>Night</t>
        </is>
      </c>
      <c r="C10" s="69" t="n">
        <v>9</v>
      </c>
      <c r="D10" s="51" t="n">
        <v>330</v>
      </c>
      <c r="E10" s="38" t="inlineStr">
        <is>
          <t>Events + downtown</t>
        </is>
      </c>
    </row>
    <row r="11">
      <c r="A11" s="35" t="inlineStr">
        <is>
          <t>Sunday</t>
        </is>
      </c>
      <c r="B11" s="66" t="inlineStr">
        <is>
          <t>Brunch</t>
        </is>
      </c>
      <c r="C11" s="67" t="n">
        <v>6</v>
      </c>
      <c r="D11" s="52" t="n">
        <v>180</v>
      </c>
      <c r="E11" s="35" t="inlineStr">
        <is>
          <t>Brunch + airport</t>
        </is>
      </c>
    </row>
    <row r="12">
      <c r="A12" s="9" t="inlineStr">
        <is>
          <t>WEEK TOTAL</t>
        </is>
      </c>
      <c r="B12" s="9" t="n"/>
      <c r="C12" s="32">
        <f>SUM(C5:C11)</f>
        <v/>
      </c>
      <c r="D12" s="34">
        <f>SUM(D5:D11)</f>
        <v/>
      </c>
      <c r="E12" s="40" t="n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RECEIPTS &amp; VEHICLE GALLERY</t>
        </is>
      </c>
    </row>
    <row r="2" ht="22" customHeight="1">
      <c r="A2" s="2" t="inlineStr">
        <is>
          <t xml:space="preserve">  Your paper trail — snap receipts, odometer &amp; maintenance photos for tax time.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PHOTOS</t>
        </is>
      </c>
    </row>
    <row r="6" ht="26" customHeight="1">
      <c r="B6" s="70" t="inlineStr">
        <is>
          <t>Excel: Insert ▸ Pictures ▸ Place in Cell (or drag an image) into any framed box below. Google Sheets: click a box, Insert ▸ Image ▸ Image in cell, or paste =IMAGE("paste-link-here"). Caption each one — date, amount &amp; category — so tax season is a five-minute job.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71" t="inlineStr">
        <is>
          <t>🖼
Gas Receipt
(add photo)</t>
        </is>
      </c>
      <c r="C9" s="71" t="inlineStr">
        <is>
          <t>🖼
Maintenance
(add photo)</t>
        </is>
      </c>
      <c r="D9" s="71" t="inlineStr">
        <is>
          <t>🖼
Odometer
(add photo)</t>
        </is>
      </c>
    </row>
    <row r="10"/>
    <row r="11"/>
    <row r="12"/>
    <row r="13" ht="30" customHeight="1">
      <c r="B13" s="72" t="inlineStr">
        <is>
          <t>Date · amount · category…</t>
        </is>
      </c>
      <c r="C13" s="72" t="inlineStr">
        <is>
          <t>Date · amount · category…</t>
        </is>
      </c>
      <c r="D13" s="72" t="inlineStr">
        <is>
          <t>Date · amount · category…</t>
        </is>
      </c>
    </row>
    <row r="15" ht="120" customHeight="1">
      <c r="B15" s="71" t="inlineStr">
        <is>
          <t>🖼
Car Wash
(add photo)</t>
        </is>
      </c>
      <c r="C15" s="71" t="inlineStr">
        <is>
          <t>🖼
Repair Invoice
(add photo)</t>
        </is>
      </c>
      <c r="D15" s="71" t="inlineStr">
        <is>
          <t>🖼
Supplies
(add photo)</t>
        </is>
      </c>
    </row>
    <row r="16"/>
    <row r="17"/>
    <row r="18"/>
    <row r="19" ht="30" customHeight="1">
      <c r="B19" s="72" t="inlineStr">
        <is>
          <t>Date · amount · category…</t>
        </is>
      </c>
      <c r="C19" s="72" t="inlineStr">
        <is>
          <t>Date · amount · category…</t>
        </is>
      </c>
      <c r="D19" s="72" t="inlineStr">
        <is>
          <t>Date · amount · category…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goals &amp; vehicle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DRIVER INPUTS</t>
        </is>
      </c>
      <c r="E5" s="4" t="inlineStr">
        <is>
          <t>DROPDOWN LISTS</t>
        </is>
      </c>
    </row>
    <row r="6">
      <c r="B6" s="20" t="inlineStr">
        <is>
          <t>Driver Name</t>
        </is>
      </c>
      <c r="C6" s="66" t="inlineStr">
        <is>
          <t>Jordan Rivera</t>
        </is>
      </c>
      <c r="E6" s="9" t="inlineStr">
        <is>
          <t>Platform</t>
        </is>
      </c>
      <c r="F6" s="9" t="inlineStr">
        <is>
          <t>Expense Category</t>
        </is>
      </c>
      <c r="G6" s="9" t="inlineStr">
        <is>
          <t>Budget Category</t>
        </is>
      </c>
      <c r="H6" s="9" t="inlineStr">
        <is>
          <t>Maintenance</t>
        </is>
      </c>
      <c r="I6" s="9" t="inlineStr">
        <is>
          <t>Goal Category</t>
        </is>
      </c>
      <c r="J6" s="9" t="inlineStr">
        <is>
          <t>Priority</t>
        </is>
      </c>
    </row>
    <row r="7">
      <c r="B7" s="20" t="inlineStr">
        <is>
          <t>Vehicle</t>
        </is>
      </c>
      <c r="C7" s="66" t="inlineStr">
        <is>
          <t>2021 Toyota Camry</t>
        </is>
      </c>
      <c r="E7" s="35" t="inlineStr">
        <is>
          <t>Lyft</t>
        </is>
      </c>
      <c r="F7" s="35" t="inlineStr">
        <is>
          <t>Fuel</t>
        </is>
      </c>
      <c r="G7" s="35" t="inlineStr">
        <is>
          <t>Housing</t>
        </is>
      </c>
      <c r="H7" s="35" t="inlineStr">
        <is>
          <t>Oil Change</t>
        </is>
      </c>
      <c r="I7" s="35" t="inlineStr">
        <is>
          <t>Earnings</t>
        </is>
      </c>
      <c r="J7" s="35" t="inlineStr">
        <is>
          <t>High</t>
        </is>
      </c>
    </row>
    <row r="8">
      <c r="B8" s="20" t="inlineStr">
        <is>
          <t>Home City</t>
        </is>
      </c>
      <c r="C8" s="66" t="inlineStr">
        <is>
          <t>Austin, TX</t>
        </is>
      </c>
      <c r="E8" s="35" t="inlineStr">
        <is>
          <t>Uber</t>
        </is>
      </c>
      <c r="F8" s="35" t="inlineStr">
        <is>
          <t>Car Payment</t>
        </is>
      </c>
      <c r="G8" s="35" t="inlineStr">
        <is>
          <t>Utilities</t>
        </is>
      </c>
      <c r="H8" s="35" t="inlineStr">
        <is>
          <t>Tires</t>
        </is>
      </c>
      <c r="I8" s="35" t="inlineStr">
        <is>
          <t>Hourly</t>
        </is>
      </c>
      <c r="J8" s="35" t="inlineStr">
        <is>
          <t>Medium</t>
        </is>
      </c>
    </row>
    <row r="9">
      <c r="B9" s="20" t="inlineStr">
        <is>
          <t>Monthly Net Goal</t>
        </is>
      </c>
      <c r="C9" s="52" t="n">
        <v>3000</v>
      </c>
      <c r="E9" s="35" t="inlineStr">
        <is>
          <t>Both</t>
        </is>
      </c>
      <c r="F9" s="35" t="inlineStr">
        <is>
          <t>Insurance</t>
        </is>
      </c>
      <c r="G9" s="35" t="inlineStr">
        <is>
          <t>Groceries</t>
        </is>
      </c>
      <c r="H9" s="35" t="inlineStr">
        <is>
          <t>Brakes</t>
        </is>
      </c>
      <c r="I9" s="35" t="inlineStr">
        <is>
          <t>Trips</t>
        </is>
      </c>
      <c r="J9" s="35" t="inlineStr">
        <is>
          <t>Low</t>
        </is>
      </c>
    </row>
    <row r="10">
      <c r="B10" s="20" t="inlineStr">
        <is>
          <t>Target Net $ / Hour</t>
        </is>
      </c>
      <c r="C10" s="73" t="n">
        <v>20</v>
      </c>
      <c r="E10" s="35" t="inlineStr">
        <is>
          <t>Delivery</t>
        </is>
      </c>
      <c r="F10" s="35" t="inlineStr">
        <is>
          <t>Maintenance &amp; Repairs</t>
        </is>
      </c>
      <c r="G10" s="35" t="inlineStr">
        <is>
          <t>Health</t>
        </is>
      </c>
      <c r="H10" s="35" t="inlineStr">
        <is>
          <t>Inspection</t>
        </is>
      </c>
      <c r="I10" s="35" t="inlineStr">
        <is>
          <t>Savings</t>
        </is>
      </c>
    </row>
    <row r="11">
      <c r="B11" s="20" t="inlineStr">
        <is>
          <t>Monthly Trips Goal</t>
        </is>
      </c>
      <c r="C11" s="74" t="n">
        <v>300</v>
      </c>
      <c r="E11" s="35" t="inlineStr">
        <is>
          <t>Other</t>
        </is>
      </c>
      <c r="F11" s="35" t="inlineStr">
        <is>
          <t>Phone &amp; Data</t>
        </is>
      </c>
      <c r="G11" s="35" t="inlineStr">
        <is>
          <t>Debt</t>
        </is>
      </c>
      <c r="H11" s="35" t="inlineStr">
        <is>
          <t>Rotation</t>
        </is>
      </c>
      <c r="I11" s="35" t="inlineStr">
        <is>
          <t>Miles</t>
        </is>
      </c>
    </row>
    <row r="12">
      <c r="B12" s="20" t="inlineStr">
        <is>
          <t>Monthly Shifts Goal</t>
        </is>
      </c>
      <c r="C12" s="75" t="n">
        <v>16</v>
      </c>
      <c r="F12" s="35" t="inlineStr">
        <is>
          <t>Tolls</t>
        </is>
      </c>
      <c r="G12" s="35" t="inlineStr">
        <is>
          <t>Savings</t>
        </is>
      </c>
      <c r="H12" s="35" t="inlineStr">
        <is>
          <t>Battery</t>
        </is>
      </c>
      <c r="I12" s="35" t="inlineStr">
        <is>
          <t>Tax</t>
        </is>
      </c>
    </row>
    <row r="13">
      <c r="B13" s="20" t="inlineStr">
        <is>
          <t>Emergency Fund Goal</t>
        </is>
      </c>
      <c r="C13" s="52" t="n">
        <v>6000</v>
      </c>
      <c r="F13" s="35" t="inlineStr">
        <is>
          <t>Car Wash &amp; Cleaning</t>
        </is>
      </c>
      <c r="G13" s="35" t="inlineStr">
        <is>
          <t>Personal</t>
        </is>
      </c>
      <c r="H13" s="35" t="inlineStr">
        <is>
          <t>Repair</t>
        </is>
      </c>
      <c r="I13" s="35" t="inlineStr">
        <is>
          <t>Debt</t>
        </is>
      </c>
    </row>
    <row r="14">
      <c r="B14" s="20" t="inlineStr">
        <is>
          <t>Tax Reserve Goal (mo)</t>
        </is>
      </c>
      <c r="C14" s="52" t="n">
        <v>1800</v>
      </c>
      <c r="F14" s="35" t="inlineStr">
        <is>
          <t>Supplies</t>
        </is>
      </c>
      <c r="G14" s="35" t="inlineStr">
        <is>
          <t>Insurance</t>
        </is>
      </c>
      <c r="H14" s="35" t="inlineStr">
        <is>
          <t>Other</t>
        </is>
      </c>
    </row>
    <row r="15">
      <c r="B15" s="20" t="inlineStr">
        <is>
          <t>IRS Mileage Rate</t>
        </is>
      </c>
      <c r="C15" s="73" t="n">
        <v>0.7</v>
      </c>
      <c r="F15" s="35" t="inlineStr">
        <is>
          <t>Miscellaneous</t>
        </is>
      </c>
      <c r="G15" s="35" t="inlineStr">
        <is>
          <t>Other</t>
        </is>
      </c>
    </row>
    <row r="16">
      <c r="B16" s="20" t="inlineStr">
        <is>
          <t>Tax Set-Aside %</t>
        </is>
      </c>
      <c r="C16" s="58" t="n">
        <v>0.25</v>
      </c>
    </row>
    <row r="17">
      <c r="E17" s="9" t="inlineStr">
        <is>
          <t>Yes / No</t>
        </is>
      </c>
    </row>
    <row r="18">
      <c r="E18" s="35" t="inlineStr">
        <is>
          <t>Yes</t>
        </is>
      </c>
    </row>
    <row r="19">
      <c r="E19" s="35" t="inlineStr">
        <is>
          <t>No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2026-07-11T16:52:24Z</dcterms:created>
  <dcterms:modified xsi:type="dcterms:W3CDTF">2026-07-11T16:52:24Z</dcterms:modified>
</cp:coreProperties>
</file>