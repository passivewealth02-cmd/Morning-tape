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4.xml" ContentType="application/vnd.openxmlformats-officedocument.drawing+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lcome" sheetId="1" state="visible" r:id="rId1"/>
    <sheet name="Dashboard" sheetId="2" state="visible" r:id="rId2"/>
    <sheet name="Profile" sheetId="3" state="visible" r:id="rId3"/>
    <sheet name="Timeline" sheetId="4" state="visible" r:id="rId4"/>
    <sheet name="Tasks" sheetId="5" state="visible" r:id="rId5"/>
    <sheet name="Documents" sheetId="6" state="visible" r:id="rId6"/>
    <sheet name="Finances" sheetId="7" state="visible" r:id="rId7"/>
    <sheet name="Budget" sheetId="8" state="visible" r:id="rId8"/>
    <sheet name="Property" sheetId="9" state="visible" r:id="rId9"/>
    <sheet name="Debts" sheetId="10" state="visible" r:id="rId10"/>
    <sheet name="Parenting" sheetId="11" state="visible" r:id="rId11"/>
    <sheet name="Expenses" sheetId="12" state="visible" r:id="rId12"/>
    <sheet name="Appointments" sheetId="13" state="visible" r:id="rId13"/>
    <sheet name="Contacts" sheetId="14" state="visible" r:id="rId14"/>
    <sheet name="Goals" sheetId="15" state="visible" r:id="rId15"/>
    <sheet name="Life Rebuild" sheetId="16" state="visible" r:id="rId16"/>
    <sheet name="Journal" sheetId="17" state="visible" r:id="rId17"/>
    <sheet name="Doc Checklist" sheetId="18" state="visible" r:id="rId18"/>
    <sheet name="Analytics" sheetId="19" state="visible" r:id="rId19"/>
    <sheet name="Settings" sheetId="20" state="visible" r:id="rId20"/>
  </sheets>
  <definedNames>
    <definedName name="ProcessStart">Settings!$C$6</definedName>
    <definedName name="MonthlyBudget">Settings!$C$7</definedName>
    <definedName name="UserName">Settings!$C$8</definedName>
    <definedName name="TaskCatList">Settings!$E$7:$E$14</definedName>
    <definedName name="PriorityList">Settings!$F$7:$F$9</definedName>
    <definedName name="StatusList">Settings!$G$7:$G$10</definedName>
    <definedName name="DocStatusList">Settings!$H$7:$H$9</definedName>
    <definedName name="ExpenseCatList">Settings!$I$7:$I$16</definedName>
    <definedName name="GoalCatList">Settings!$J$7:$J$12</definedName>
    <definedName name="OwnerList">Settings!$E$23:$E$25</definedName>
    <definedName name="AssetTypeList">Settings!$F$23:$F$24</definedName>
    <definedName name="AssetCatList">Settings!$G$23:$G$28</definedName>
    <definedName name="PayMethodList">Settings!$H$23:$H$27</definedName>
    <definedName name="RoleList">Settings!$I$23:$I$31</definedName>
    <definedName name="YesNoList">Settings!$J$23:$J$24</definedName>
    <definedName name="TaskName">Tasks!$B$5:$B$44</definedName>
    <definedName name="TaskStatus">Tasks!$E$5:$E$44</definedName>
    <definedName name="TaskDue">Tasks!$D$5:$D$44</definedName>
    <definedName name="DocName">Documents!$A$5:$A$44</definedName>
    <definedName name="DocStatus">Documents!$E$5:$E$44</definedName>
    <definedName name="SnapType">Finances!$B$5:$B$34</definedName>
    <definedName name="SnapCat">Finances!$C$5:$C$34</definedName>
    <definedName name="SnapValue">Finances!$D$5:$D$34</definedName>
    <definedName name="TotalAssets">Finances!$G$5</definedName>
    <definedName name="TotalDebts">Finances!$G$6</definedName>
    <definedName name="NetWorth">Finances!$G$7</definedName>
    <definedName name="SavingsBalance">Finances!$G$8</definedName>
    <definedName name="AllocLabels">Finances!$F$13:$F$18</definedName>
    <definedName name="AllocValues">Finances!$G$13:$G$18</definedName>
    <definedName name="BudgetCat">Budget!$A$5:$A$14</definedName>
    <definedName name="BudgetActual">Budget!$C$5:$C$14</definedName>
    <definedName name="BudgetTotalPlanned">Budget!$B$15</definedName>
    <definedName name="BudgetTotalActual">Budget!$C$15</definedName>
    <definedName name="ExpDate">Expenses!$A$5:$A$64</definedName>
    <definedName name="ExpCat">Expenses!$B$5:$B$64</definedName>
    <definedName name="ExpAmount">Expenses!$C$5:$C$64</definedName>
    <definedName name="ParentSchedule">Parenting!$B$7:$B$13</definedName>
    <definedName name="ApptDate">Appointments!$C$5:$C$44</definedName>
    <definedName name="GoalStatus">Goals!$E$5:$E$44</definedName>
    <definedName name="GoalProgress">Goals!$D$5:$D$44</definedName>
    <definedName name="GoalName">Goals!$A$5:$A$44</definedName>
  </definedNames>
  <calcPr calcId="124519" fullCalcOnLoad="1"/>
</workbook>
</file>

<file path=xl/styles.xml><?xml version="1.0" encoding="utf-8"?>
<styleSheet xmlns="http://schemas.openxmlformats.org/spreadsheetml/2006/main">
  <numFmts count="7">
    <numFmt numFmtId="164" formatCode="yyyy-mm-dd"/>
    <numFmt numFmtId="165" formatCode="mm/dd/yyyy"/>
    <numFmt numFmtId="166" formatCode="&quot;$&quot;#,##0"/>
    <numFmt numFmtId="167" formatCode="0;[Red]-0"/>
    <numFmt numFmtId="168" formatCode="&quot;$&quot;#,##0;[Red]-&quot;$&quot;#,##0"/>
    <numFmt numFmtId="169" formatCode="0.0%"/>
    <numFmt numFmtId="170" formatCode="0&quot; days&quot;"/>
  </numFmts>
  <fonts count="15">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name val="Calibri"/>
      <i val="1"/>
      <color rgb="00333333"/>
      <sz val="11"/>
    </font>
    <font>
      <color rgb="00333333"/>
      <sz val="11"/>
    </font>
    <font>
      <b val="1"/>
      <color rgb="001B4F48"/>
    </font>
    <font>
      <b val="1"/>
      <color rgb="001B4F48"/>
      <sz val="44"/>
    </font>
    <font>
      <b val="1"/>
      <color rgb="00937356"/>
      <sz val="10"/>
    </font>
    <font>
      <b val="1"/>
      <color rgb="001B4F48"/>
      <sz val="23"/>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FBF8F2"/>
      </patternFill>
    </fill>
    <fill>
      <patternFill patternType="solid">
        <fgColor rgb="00C9A86A"/>
      </patternFill>
    </fill>
    <fill>
      <patternFill patternType="solid">
        <fgColor rgb="00FBF0E2"/>
      </patternFill>
    </fill>
    <fill>
      <patternFill patternType="solid">
        <fgColor rgb="00FFFFFF"/>
      </patternFill>
    </fill>
    <fill>
      <patternFill patternType="solid">
        <fgColor rgb="00F4ECDE"/>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3">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9" fillId="5" borderId="2" applyAlignment="1">
      <alignment horizontal="left" vertical="top" wrapText="1" indent="1"/>
    </xf>
    <xf numFmtId="0" fontId="6" fillId="0" borderId="1" applyAlignment="1">
      <alignment horizontal="left" vertical="top" wrapText="1" indent="1"/>
    </xf>
  </cellStyleXfs>
  <cellXfs count="51">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6" borderId="0" pivotButton="0" quotePrefix="0" xfId="0"/>
    <xf numFmtId="0" fontId="4" fillId="0" borderId="1" applyAlignment="1" pivotButton="0" quotePrefix="0" xfId="4">
      <alignment horizontal="left" vertical="center"/>
    </xf>
    <xf numFmtId="0" fontId="6" fillId="0" borderId="1" applyAlignment="1" pivotButton="0" quotePrefix="0" xfId="12">
      <alignment horizontal="left" vertical="top" wrapText="1" indent="1"/>
    </xf>
    <xf numFmtId="0" fontId="3" fillId="0" borderId="1" applyAlignment="1" pivotButton="0" quotePrefix="0" xfId="3">
      <alignment horizontal="left" vertical="center"/>
    </xf>
    <xf numFmtId="0" fontId="5" fillId="2" borderId="2" applyAlignment="1" pivotButton="0" quotePrefix="0" xfId="5">
      <alignment horizontal="center" vertical="center" wrapText="1"/>
    </xf>
    <xf numFmtId="0" fontId="10" fillId="7" borderId="2" applyAlignment="1" pivotButton="0" quotePrefix="0" xfId="0">
      <alignment horizontal="left" vertical="top" wrapText="1" indent="1"/>
    </xf>
    <xf numFmtId="0" fontId="0" fillId="7" borderId="0" pivotButton="0" quotePrefix="0" xfId="0"/>
    <xf numFmtId="0" fontId="13" fillId="8" borderId="3" applyAlignment="1" pivotButton="0" quotePrefix="0" xfId="0">
      <alignment horizontal="center" vertical="center"/>
    </xf>
    <xf numFmtId="0" fontId="0" fillId="8" borderId="3" pivotButton="0" quotePrefix="0" xfId="0"/>
    <xf numFmtId="170" fontId="14" fillId="8" borderId="2" applyAlignment="1" pivotButton="0" quotePrefix="0" xfId="0">
      <alignment horizontal="center" vertical="center"/>
    </xf>
    <xf numFmtId="0" fontId="0" fillId="8" borderId="2" pivotButton="0" quotePrefix="0" xfId="0"/>
    <xf numFmtId="0" fontId="14" fillId="8" borderId="2" applyAlignment="1" pivotButton="0" quotePrefix="0" xfId="0">
      <alignment horizontal="center" vertical="center"/>
    </xf>
    <xf numFmtId="166" fontId="14" fillId="8" borderId="2" applyAlignment="1" pivotButton="0" quotePrefix="0" xfId="0">
      <alignment horizontal="center" vertical="center"/>
    </xf>
    <xf numFmtId="9" fontId="14" fillId="8" borderId="2" applyAlignment="1" pivotButton="0" quotePrefix="0" xfId="0">
      <alignment horizontal="center" vertical="center"/>
    </xf>
    <xf numFmtId="0" fontId="8" fillId="4" borderId="2" applyAlignment="1" pivotButton="0" quotePrefix="0" xfId="9">
      <alignment horizontal="left" vertical="center" indent="1"/>
    </xf>
    <xf numFmtId="0" fontId="7" fillId="0" borderId="2" applyAlignment="1" pivotButton="0" quotePrefix="0" xfId="10">
      <alignment horizontal="left" vertical="center" indent="1"/>
    </xf>
    <xf numFmtId="0" fontId="6" fillId="8" borderId="2" applyAlignment="1" pivotButton="0" quotePrefix="0" xfId="7">
      <alignment horizontal="left" vertical="center" wrapText="1" indent="1"/>
    </xf>
    <xf numFmtId="0" fontId="6" fillId="8" borderId="2" applyAlignment="1" pivotButton="0" quotePrefix="0" xfId="6">
      <alignment horizontal="center" vertical="center" wrapText="1"/>
    </xf>
    <xf numFmtId="165" fontId="6" fillId="8" borderId="2" applyAlignment="1" pivotButton="0" quotePrefix="0" xfId="6">
      <alignment horizontal="center" vertical="center" wrapText="1"/>
    </xf>
    <xf numFmtId="167" fontId="6" fillId="8" borderId="2" applyAlignment="1" pivotButton="0" quotePrefix="0" xfId="6">
      <alignment horizontal="center" vertical="center" wrapText="1"/>
    </xf>
    <xf numFmtId="0" fontId="6" fillId="9" borderId="2" applyAlignment="1" pivotButton="0" quotePrefix="0" xfId="7">
      <alignment horizontal="left" vertical="center" wrapText="1" indent="1"/>
    </xf>
    <xf numFmtId="0" fontId="6" fillId="9" borderId="2" applyAlignment="1" pivotButton="0" quotePrefix="0" xfId="6">
      <alignment horizontal="center" vertical="center" wrapText="1"/>
    </xf>
    <xf numFmtId="165" fontId="6" fillId="9" borderId="2" applyAlignment="1" pivotButton="0" quotePrefix="0" xfId="6">
      <alignment horizontal="center" vertical="center" wrapText="1"/>
    </xf>
    <xf numFmtId="167" fontId="6" fillId="9" borderId="2" applyAlignment="1" pivotButton="0" quotePrefix="0" xfId="6">
      <alignment horizontal="center" vertical="center" wrapText="1"/>
    </xf>
    <xf numFmtId="166" fontId="6" fillId="8" borderId="2" applyAlignment="1" pivotButton="0" quotePrefix="0" xfId="6">
      <alignment horizontal="center" vertical="center" wrapText="1"/>
    </xf>
    <xf numFmtId="168" fontId="7" fillId="0" borderId="2" applyAlignment="1" pivotButton="0" quotePrefix="0" xfId="10">
      <alignment horizontal="left" vertical="center" indent="1"/>
    </xf>
    <xf numFmtId="166" fontId="6" fillId="9" borderId="2" applyAlignment="1" pivotButton="0" quotePrefix="0" xfId="6">
      <alignment horizontal="center" vertical="center" wrapText="1"/>
    </xf>
    <xf numFmtId="0" fontId="6" fillId="0" borderId="2" applyAlignment="1" pivotButton="0" quotePrefix="0" xfId="7">
      <alignment horizontal="left" vertical="center" wrapText="1" indent="1"/>
    </xf>
    <xf numFmtId="166" fontId="6" fillId="0" borderId="2" applyAlignment="1" pivotButton="0" quotePrefix="0" xfId="6">
      <alignment horizontal="center" vertical="center" wrapText="1"/>
    </xf>
    <xf numFmtId="166" fontId="0" fillId="0" borderId="0" pivotButton="0" quotePrefix="0" xfId="0"/>
    <xf numFmtId="166" fontId="7" fillId="3" borderId="2" applyAlignment="1" pivotButton="0" quotePrefix="0" xfId="8">
      <alignment horizontal="center" vertical="center"/>
    </xf>
    <xf numFmtId="168" fontId="6" fillId="0" borderId="2" applyAlignment="1" pivotButton="0" quotePrefix="0" xfId="6">
      <alignment horizontal="center" vertical="center" wrapText="1"/>
    </xf>
    <xf numFmtId="9" fontId="6" fillId="0" borderId="2" applyAlignment="1" pivotButton="0" quotePrefix="0" xfId="6">
      <alignment horizontal="center" vertical="center" wrapText="1"/>
    </xf>
    <xf numFmtId="166" fontId="7" fillId="0" borderId="2" applyAlignment="1" pivotButton="0" quotePrefix="0" xfId="10">
      <alignment horizontal="left" vertical="center" indent="1"/>
    </xf>
    <xf numFmtId="166" fontId="7" fillId="9" borderId="2" applyAlignment="1" pivotButton="0" quotePrefix="0" xfId="8">
      <alignment horizontal="center" vertical="center"/>
    </xf>
    <xf numFmtId="168" fontId="6" fillId="9" borderId="2" applyAlignment="1" pivotButton="0" quotePrefix="0" xfId="6">
      <alignment horizontal="center" vertical="center" wrapText="1"/>
    </xf>
    <xf numFmtId="9" fontId="6" fillId="9" borderId="2" applyAlignment="1" pivotButton="0" quotePrefix="0" xfId="6">
      <alignment horizontal="center" vertical="center" wrapText="1"/>
    </xf>
    <xf numFmtId="166" fontId="11" fillId="3" borderId="2" applyAlignment="1" pivotButton="0" quotePrefix="0" xfId="6">
      <alignment horizontal="center" vertical="center" wrapText="1"/>
    </xf>
    <xf numFmtId="9" fontId="11" fillId="3" borderId="2" applyAlignment="1" pivotButton="0" quotePrefix="0" xfId="6">
      <alignment horizontal="center" vertical="center" wrapText="1"/>
    </xf>
    <xf numFmtId="169" fontId="6" fillId="8" borderId="2" applyAlignment="1" pivotButton="0" quotePrefix="0" xfId="6">
      <alignment horizontal="center" vertical="center" wrapText="1"/>
    </xf>
    <xf numFmtId="169" fontId="6" fillId="9" borderId="2" applyAlignment="1" pivotButton="0" quotePrefix="0" xfId="6">
      <alignment horizontal="center" vertical="center" wrapText="1"/>
    </xf>
    <xf numFmtId="0" fontId="6" fillId="0" borderId="2" applyAlignment="1" pivotButton="0" quotePrefix="0" xfId="6">
      <alignment horizontal="center" vertical="center" wrapText="1"/>
    </xf>
    <xf numFmtId="9" fontId="6" fillId="8" borderId="2" applyAlignment="1" pivotButton="0" quotePrefix="0" xfId="6">
      <alignment horizontal="center" vertical="center" wrapText="1"/>
    </xf>
    <xf numFmtId="9" fontId="12" fillId="5" borderId="3" applyAlignment="1" pivotButton="0" quotePrefix="0" xfId="0">
      <alignment horizontal="center" vertical="center"/>
    </xf>
    <xf numFmtId="0" fontId="0" fillId="5" borderId="3" pivotButton="0" quotePrefix="0" xfId="0"/>
    <xf numFmtId="0" fontId="0" fillId="5" borderId="2" pivotButton="0" quotePrefix="0" xfId="0"/>
    <xf numFmtId="165" fontId="7" fillId="3" borderId="2" applyAlignment="1" pivotButton="0" quotePrefix="0" xfId="8">
      <alignment horizontal="center" vertical="center"/>
    </xf>
    <xf numFmtId="0" fontId="7" fillId="3" borderId="2" applyAlignment="1" pivotButton="0" quotePrefix="0" xfId="8">
      <alignment horizontal="center" vertical="center"/>
    </xf>
  </cellXfs>
  <cellStyles count="13">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prompt" xfId="11" hidden="0"/>
    <cellStyle name="body" xfId="12" hidden="0"/>
  </cellStyles>
  <dxfs count="3">
    <dxf>
      <fill>
        <patternFill patternType="solid">
          <fgColor rgb="00E3F8EF"/>
        </patternFill>
      </fill>
    </dxf>
    <dxf>
      <fill>
        <patternFill patternType="solid">
          <fgColor rgb="00FBE6E6"/>
        </patternFill>
      </fill>
    </dxf>
    <dxf>
      <fill>
        <patternFill patternType="solid">
          <fgColor rgb="00FBF0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chart>
    <title>
      <tx>
        <rich>
          <a:bodyPr/>
          <a:p>
            <a:pPr>
              <a:defRPr/>
            </a:pPr>
            <a:r>
              <a:t>Spending by Category</a:t>
            </a:r>
          </a:p>
        </rich>
      </tx>
    </title>
    <plotArea>
      <doughnutChart>
        <varyColors val="1"/>
        <ser>
          <idx val="0"/>
          <order val="0"/>
          <tx>
            <strRef>
              <f>'Budget'!C4</f>
            </strRef>
          </tx>
          <spPr>
            <a:ln>
              <a:prstDash val="solid"/>
            </a:ln>
          </spPr>
          <cat>
            <numRef>
              <f>'Budget'!$A$5:$A$14</f>
            </numRef>
          </cat>
          <val>
            <numRef>
              <f>'Budget'!$C$5:$C$14</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Asset Allocation</a:t>
            </a:r>
          </a:p>
        </rich>
      </tx>
    </title>
    <plotArea>
      <doughnutChart>
        <varyColors val="1"/>
        <ser>
          <idx val="0"/>
          <order val="0"/>
          <tx>
            <strRef>
              <f>'Finances'!G12</f>
            </strRef>
          </tx>
          <spPr>
            <a:ln>
              <a:prstDash val="solid"/>
            </a:ln>
          </spPr>
          <cat>
            <numRef>
              <f>'Finances'!$F$13:$F$18</f>
            </numRef>
          </cat>
          <val>
            <numRef>
              <f>'Finances'!$G$13:$G$18</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Progress by Area</a:t>
            </a:r>
          </a:p>
        </rich>
      </tx>
    </title>
    <plotArea>
      <barChart>
        <barDir val="bar"/>
        <grouping val="clustered"/>
        <ser>
          <idx val="0"/>
          <order val="0"/>
          <tx>
            <strRef>
              <f>'Analytics'!C6</f>
            </strRef>
          </tx>
          <spPr>
            <a:ln>
              <a:prstDash val="solid"/>
            </a:ln>
          </spPr>
          <cat>
            <numRef>
              <f>'Analytics'!$B$7:$B$10</f>
            </numRef>
          </cat>
          <val>
            <numRef>
              <f>'Analytics'!$C$7:$C$10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Assets vs Debts</a:t>
            </a:r>
          </a:p>
        </rich>
      </tx>
    </title>
    <plotArea>
      <barChart>
        <barDir val="col"/>
        <grouping val="clustered"/>
        <ser>
          <idx val="0"/>
          <order val="0"/>
          <spPr>
            <a:ln>
              <a:prstDash val="solid"/>
            </a:ln>
          </spPr>
          <cat>
            <numRef>
              <f>'Finances'!$F$22:$F$23</f>
            </numRef>
          </cat>
          <val>
            <numRef>
              <f>'Finances'!$G$22:$G$23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Assets vs Debts</a:t>
            </a:r>
          </a:p>
        </rich>
      </tx>
    </title>
    <plotArea>
      <barChart>
        <barDir val="col"/>
        <grouping val="clustered"/>
        <ser>
          <idx val="0"/>
          <order val="0"/>
          <spPr>
            <a:ln>
              <a:prstDash val="solid"/>
            </a:ln>
          </spPr>
          <cat>
            <numRef>
              <f>'Finances'!$F$22:$F$23</f>
            </numRef>
          </cat>
          <val>
            <numRef>
              <f>'Finances'!$G$22:$G$23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Spending by Category</a:t>
            </a:r>
          </a:p>
        </rich>
      </tx>
    </title>
    <plotArea>
      <doughnutChart>
        <varyColors val="1"/>
        <ser>
          <idx val="0"/>
          <order val="0"/>
          <tx>
            <strRef>
              <f>'Budget'!C4</f>
            </strRef>
          </tx>
          <spPr>
            <a:ln>
              <a:prstDash val="solid"/>
            </a:ln>
          </spPr>
          <cat>
            <numRef>
              <f>'Budget'!$A$5:$A$14</f>
            </numRef>
          </cat>
          <val>
            <numRef>
              <f>'Budget'!$C$5:$C$14</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Progress by Area</a:t>
            </a:r>
          </a:p>
        </rich>
      </tx>
    </title>
    <plotArea>
      <barChart>
        <barDir val="bar"/>
        <grouping val="clustered"/>
        <ser>
          <idx val="0"/>
          <order val="0"/>
          <tx>
            <strRef>
              <f>'Analytics'!C6</f>
            </strRef>
          </tx>
          <spPr>
            <a:ln>
              <a:prstDash val="solid"/>
            </a:ln>
          </spPr>
          <cat>
            <numRef>
              <f>'Analytics'!$B$7:$B$10</f>
            </numRef>
          </cat>
          <val>
            <numRef>
              <f>'Analytics'!$C$7:$C$10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11</row>
      <rowOff>0</rowOff>
    </from>
    <ext cx="4320000" cy="306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11</row>
      <rowOff>0</rowOff>
    </from>
    <ext cx="4320000" cy="30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30</row>
      <rowOff>0</rowOff>
    </from>
    <ext cx="4320000" cy="306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30</row>
      <rowOff>0</rowOff>
    </from>
    <ext cx="4320000" cy="306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37</row>
      <rowOff>0</rowOff>
    </from>
    <ext cx="36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9</row>
      <rowOff>0</rowOff>
    </from>
    <ext cx="46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10</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19.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tabColor rgb="001B4F48"/>
    <outlinePr summaryBelow="1" summaryRight="1"/>
    <pageSetUpPr/>
  </sheetPr>
  <dimension ref="A1:C24"/>
  <sheetViews>
    <sheetView showGridLines="0" workbookViewId="0">
      <selection activeCell="A1" sqref="A1"/>
    </sheetView>
  </sheetViews>
  <sheetFormatPr baseColWidth="8" defaultRowHeight="15"/>
  <cols>
    <col width="3" customWidth="1" min="1" max="1"/>
    <col width="72" customWidth="1" min="2" max="2"/>
    <col width="3" customWidth="1" min="3" max="3"/>
  </cols>
  <sheetData>
    <row r="1" ht="58" customHeight="1">
      <c r="A1" s="1" t="inlineStr">
        <is>
          <t xml:space="preserve">  ⚖  NEXT CHAPTER™</t>
        </is>
      </c>
    </row>
    <row r="2" ht="24" customHeight="1">
      <c r="A2" s="2" t="inlineStr">
        <is>
          <t xml:space="preserve">  The ultimate divorce organization &amp; life-rebuild system.</t>
        </is>
      </c>
    </row>
    <row r="3" ht="6" customHeight="1">
      <c r="A3" s="3" t="n"/>
      <c r="B3" s="3" t="n"/>
      <c r="C3" s="3" t="n"/>
    </row>
    <row r="5">
      <c r="B5" s="4" t="inlineStr">
        <is>
          <t>YOU'VE GOT THIS</t>
        </is>
      </c>
    </row>
    <row r="6" ht="22" customHeight="1">
      <c r="B6" s="5" t="inlineStr">
        <is>
          <t>Divorce is one of life's most complex administrative seasons. Next Chapter™ gives you one calm, organized command center for your documents, finances, schedules, tasks, parenting logistics, and the goals that will rebuild your life — so you can focus your energy where it matters most.</t>
        </is>
      </c>
    </row>
    <row r="7" ht="22" customHeight="1"/>
    <row r="8" ht="22" customHeight="1"/>
    <row r="10">
      <c r="B10" s="6" t="inlineStr">
        <is>
          <t>HOW TO USE IT</t>
        </is>
      </c>
    </row>
    <row r="11" ht="22" customHeight="1">
      <c r="B11" s="5" t="inlineStr">
        <is>
          <t>1.  Open Settings and add your process start date &amp; monthly budget.</t>
        </is>
      </c>
    </row>
    <row r="12" ht="22" customHeight="1">
      <c r="B12" s="5" t="inlineStr">
        <is>
          <t>2.  Work through the Task Manager and Document Vault at your own pace.</t>
        </is>
      </c>
    </row>
    <row r="13" ht="22" customHeight="1">
      <c r="B13" s="5" t="inlineStr">
        <is>
          <t>3.  Log finances, expenses, property, and debts as you gather them.</t>
        </is>
      </c>
    </row>
    <row r="14" ht="22" customHeight="1">
      <c r="B14" s="5" t="inlineStr">
        <is>
          <t>4.  Use Parenting, Appointments &amp; Contacts to keep logistics in one place.</t>
        </is>
      </c>
    </row>
    <row r="15" ht="22" customHeight="1">
      <c r="B15" s="5" t="inlineStr">
        <is>
          <t>5.  Check the Life Dashboard &amp; Analytics to see your progress over time.</t>
        </is>
      </c>
    </row>
    <row r="18" ht="26" customHeight="1">
      <c r="B18" s="7" t="inlineStr">
        <is>
          <t xml:space="preserve">  IMPORTANT — PLEASE READ</t>
        </is>
      </c>
    </row>
    <row r="19" ht="22" customHeight="1">
      <c r="B19" s="8" t="inlineStr">
        <is>
          <t>This workbook is an organizational and planning tool only. It is NOT legal, financial, or mental health advice. Laws and procedures vary by jurisdiction. Please consider consulting qualified professionals (an attorney, financial advisor, and/or counselor) for advice specific to your situation.</t>
        </is>
      </c>
    </row>
    <row r="20" ht="22" customHeight="1">
      <c r="B20" s="9" t="n"/>
    </row>
    <row r="21" ht="22" customHeight="1">
      <c r="B21" s="9" t="n"/>
    </row>
    <row r="22" ht="22" customHeight="1">
      <c r="B22" s="9" t="n"/>
    </row>
    <row r="24">
      <c r="B24" s="4" t="inlineStr">
        <is>
          <t>One organized step at a time — your next chapter starts here.</t>
        </is>
      </c>
    </row>
  </sheetData>
  <mergeCells count="13">
    <mergeCell ref="B12"/>
    <mergeCell ref="B13"/>
    <mergeCell ref="A1:C1"/>
    <mergeCell ref="B18"/>
    <mergeCell ref="A2:C2"/>
    <mergeCell ref="B15"/>
    <mergeCell ref="B11"/>
    <mergeCell ref="B24"/>
    <mergeCell ref="B10"/>
    <mergeCell ref="B19:B22"/>
    <mergeCell ref="B5"/>
    <mergeCell ref="B14"/>
    <mergeCell ref="B6:B8"/>
  </mergeCells>
  <pageMargins left="0.75" right="0.75" top="1" bottom="1" header="0.5" footer="0.5"/>
</worksheet>
</file>

<file path=xl/worksheets/sheet2.xml><?xml version="1.0" encoding="utf-8"?>
<worksheet xmlns="http://schemas.openxmlformats.org/spreadsheetml/2006/main">
  <sheetPr>
    <tabColor rgb="001B4F48"/>
    <outlinePr summaryBelow="1" summaryRight="1"/>
    <pageSetUpPr/>
  </sheetPr>
  <dimension ref="A1:N49"/>
  <sheetViews>
    <sheetView showGridLines="0" workbookViewId="0">
      <selection activeCell="A1" sqref="A1"/>
    </sheetView>
  </sheetViews>
  <sheetFormatPr baseColWidth="8" defaultRowHeight="15"/>
  <cols>
    <col width="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2" customWidth="1" min="14" max="14"/>
  </cols>
  <sheetData>
    <row r="1" ht="56" customHeight="1">
      <c r="A1" s="1" t="inlineStr">
        <is>
          <t xml:space="preserve">  ⚖  NEXT CHAPTER™</t>
        </is>
      </c>
    </row>
    <row r="2" ht="24" customHeight="1">
      <c r="A2" s="2" t="inlineStr">
        <is>
          <t xml:space="preserve">  Organize documents, finances, schedules &amp; goals — and move forward with clarity and calm.</t>
        </is>
      </c>
    </row>
    <row r="3" ht="6" customHeight="1">
      <c r="A3" s="3" t="n"/>
      <c r="B3" s="3" t="n"/>
      <c r="C3" s="3" t="n"/>
      <c r="D3" s="3" t="n"/>
      <c r="E3" s="3" t="n"/>
      <c r="F3" s="3" t="n"/>
      <c r="G3" s="3" t="n"/>
      <c r="H3" s="3" t="n"/>
      <c r="I3" s="3" t="n"/>
      <c r="J3" s="3" t="n"/>
      <c r="K3" s="3" t="n"/>
      <c r="L3" s="3" t="n"/>
      <c r="M3" s="3" t="n"/>
      <c r="N3" s="3" t="n"/>
    </row>
    <row r="5" ht="24" customHeight="1">
      <c r="B5" s="10" t="inlineStr">
        <is>
          <t>DAYS IN PROCESS</t>
        </is>
      </c>
      <c r="C5" s="11" t="n"/>
      <c r="D5" s="11" t="n"/>
      <c r="E5" s="10" t="inlineStr">
        <is>
          <t>TASKS COMPLETED</t>
        </is>
      </c>
      <c r="F5" s="11" t="n"/>
      <c r="G5" s="11" t="n"/>
      <c r="H5" s="10" t="inlineStr">
        <is>
          <t>DOCS COLLECTED</t>
        </is>
      </c>
      <c r="I5" s="11" t="n"/>
      <c r="J5" s="11" t="n"/>
      <c r="K5" s="10" t="inlineStr">
        <is>
          <t>UPCOMING APPTS</t>
        </is>
      </c>
      <c r="L5" s="11" t="n"/>
      <c r="M5" s="11" t="n"/>
    </row>
    <row r="6" ht="50" customHeight="1">
      <c r="B6" s="12">
        <f>MAX(TODAY()-ProcessStart,0)</f>
        <v/>
      </c>
      <c r="C6" s="13" t="n"/>
      <c r="D6" s="13" t="n"/>
      <c r="E6" s="14">
        <f>COUNTIF(TaskStatus,"Complete")</f>
        <v/>
      </c>
      <c r="F6" s="13" t="n"/>
      <c r="G6" s="13" t="n"/>
      <c r="H6" s="14">
        <f>COUNTIF(DocStatus,"Collected")</f>
        <v/>
      </c>
      <c r="I6" s="13" t="n"/>
      <c r="J6" s="13" t="n"/>
      <c r="K6" s="14">
        <f>SUMPRODUCT((ApptDate&lt;&gt;"")*(ApptDate&gt;=TODAY()))</f>
        <v/>
      </c>
      <c r="L6" s="13" t="n"/>
      <c r="M6" s="13" t="n"/>
    </row>
    <row r="8" ht="24" customHeight="1">
      <c r="B8" s="10" t="inlineStr">
        <is>
          <t>MONTHLY BUDGET</t>
        </is>
      </c>
      <c r="C8" s="11" t="n"/>
      <c r="D8" s="11" t="n"/>
      <c r="E8" s="10" t="inlineStr">
        <is>
          <t>SAVINGS BALANCE</t>
        </is>
      </c>
      <c r="F8" s="11" t="n"/>
      <c r="G8" s="11" t="n"/>
      <c r="H8" s="10" t="inlineStr">
        <is>
          <t>PARENTING SET</t>
        </is>
      </c>
      <c r="I8" s="11" t="n"/>
      <c r="J8" s="11" t="n"/>
      <c r="K8" s="10" t="inlineStr">
        <is>
          <t>OVERALL PROGRESS</t>
        </is>
      </c>
      <c r="L8" s="11" t="n"/>
      <c r="M8" s="11" t="n"/>
    </row>
    <row r="9" ht="50" customHeight="1">
      <c r="B9" s="15">
        <f>MonthlyBudget</f>
        <v/>
      </c>
      <c r="C9" s="13" t="n"/>
      <c r="D9" s="13" t="n"/>
      <c r="E9" s="15">
        <f>SavingsBalance</f>
        <v/>
      </c>
      <c r="F9" s="13" t="n"/>
      <c r="G9" s="13" t="n"/>
      <c r="H9" s="16">
        <f>IFERROR(COUNTA(ParentSchedule)/7,0)</f>
        <v/>
      </c>
      <c r="I9" s="13" t="n"/>
      <c r="J9" s="13" t="n"/>
      <c r="K9" s="16">
        <f>IFERROR((COUNTIF(TaskStatus,"Complete")/MAX(COUNTA(TaskName),1)+COUNTIF(DocStatus,"Collected")/MAX(COUNTA(DocName),1)+AVERAGE(GoalProgress))/3,0)</f>
        <v/>
      </c>
      <c r="L9" s="13" t="n"/>
      <c r="M9" s="13" t="n"/>
    </row>
    <row r="11" ht="26" customHeight="1">
      <c r="B11" s="4" t="inlineStr">
        <is>
          <t>YOUR PROGRESS</t>
        </is>
      </c>
    </row>
    <row r="30" ht="26" customHeight="1">
      <c r="B30" s="6" t="inlineStr">
        <is>
          <t>READINESS</t>
        </is>
      </c>
    </row>
    <row r="49" ht="26" customHeight="1">
      <c r="B49" s="2" t="inlineStr">
        <is>
          <t>Next Chapter™ is an organizational tool — not legal, financial, or mental-health advice. See the Welcome tab.</t>
        </is>
      </c>
    </row>
  </sheetData>
  <mergeCells count="21">
    <mergeCell ref="B11:M11"/>
    <mergeCell ref="B8:D8"/>
    <mergeCell ref="E9:G9"/>
    <mergeCell ref="E6:G6"/>
    <mergeCell ref="A1:N1"/>
    <mergeCell ref="K8:M8"/>
    <mergeCell ref="B9:D9"/>
    <mergeCell ref="B49:M49"/>
    <mergeCell ref="B30:M30"/>
    <mergeCell ref="B6:D6"/>
    <mergeCell ref="B5:D5"/>
    <mergeCell ref="K6:M6"/>
    <mergeCell ref="H5:J5"/>
    <mergeCell ref="A2:N2"/>
    <mergeCell ref="H8:J8"/>
    <mergeCell ref="K9:M9"/>
    <mergeCell ref="E5:G5"/>
    <mergeCell ref="K5:M5"/>
    <mergeCell ref="E8:G8"/>
    <mergeCell ref="H9:J9"/>
    <mergeCell ref="H6:J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5E6C1"/>
    <outlinePr summaryBelow="1" summaryRight="1"/>
    <pageSetUpPr/>
  </sheetPr>
  <dimension ref="A1:G16"/>
  <sheetViews>
    <sheetView showGridLines="0" workbookViewId="0">
      <selection activeCell="A1" sqref="A1"/>
    </sheetView>
  </sheetViews>
  <sheetFormatPr baseColWidth="8" defaultRowHeight="15"/>
  <cols>
    <col width="2" customWidth="1" min="1" max="1"/>
    <col width="26" customWidth="1" min="2" max="2"/>
    <col width="30" customWidth="1" min="3" max="3"/>
    <col width="6" customWidth="1" min="4" max="4"/>
    <col width="26" customWidth="1" min="5" max="5"/>
    <col width="30" customWidth="1" min="6" max="6"/>
    <col width="2" customWidth="1" min="7" max="7"/>
  </cols>
  <sheetData>
    <row r="1" ht="46" customHeight="1">
      <c r="A1" s="1" t="inlineStr">
        <is>
          <t xml:space="preserve">  👤  PERSONAL PROFILE</t>
        </is>
      </c>
    </row>
    <row r="2" ht="22" customHeight="1">
      <c r="A2" s="2" t="inlineStr">
        <is>
          <t xml:space="preserve">  Your key people and reference details — all in one secure place.</t>
        </is>
      </c>
    </row>
    <row r="3" ht="6" customHeight="1">
      <c r="A3" s="3" t="n"/>
      <c r="B3" s="3" t="n"/>
      <c r="C3" s="3" t="n"/>
      <c r="D3" s="3" t="n"/>
      <c r="E3" s="3" t="n"/>
      <c r="F3" s="3" t="n"/>
      <c r="G3" s="3" t="n"/>
    </row>
    <row r="5" ht="22" customHeight="1">
      <c r="B5" s="4" t="inlineStr">
        <is>
          <t>KEY DATES</t>
        </is>
      </c>
    </row>
    <row r="6" ht="24" customHeight="1">
      <c r="B6" s="17" t="inlineStr">
        <is>
          <t>Date of marriage</t>
        </is>
      </c>
      <c r="C6" s="18" t="inlineStr"/>
      <c r="E6" s="17" t="inlineStr">
        <is>
          <t>Date of separation</t>
        </is>
      </c>
      <c r="F6" s="18" t="inlineStr"/>
    </row>
    <row r="7" ht="24" customHeight="1">
      <c r="B7" s="17" t="inlineStr">
        <is>
          <t>Process start date</t>
        </is>
      </c>
      <c r="C7" s="18">
        <f>ProcessStart</f>
        <v/>
      </c>
      <c r="E7" s="17" t="inlineStr">
        <is>
          <t>Target finalization</t>
        </is>
      </c>
      <c r="F7" s="18" t="inlineStr"/>
    </row>
    <row r="9" ht="22" customHeight="1">
      <c r="B9" s="4" t="inlineStr">
        <is>
          <t>LEGAL &amp; PROFESSIONAL</t>
        </is>
      </c>
    </row>
    <row r="10" ht="24" customHeight="1">
      <c r="B10" s="17" t="inlineStr">
        <is>
          <t>Attorney</t>
        </is>
      </c>
      <c r="C10" s="18" t="inlineStr"/>
      <c r="E10" s="17" t="inlineStr">
        <is>
          <t>Attorney phone</t>
        </is>
      </c>
      <c r="F10" s="18" t="inlineStr"/>
    </row>
    <row r="11" ht="24" customHeight="1">
      <c r="B11" s="17" t="inlineStr">
        <is>
          <t>Mediator</t>
        </is>
      </c>
      <c r="C11" s="18" t="inlineStr"/>
      <c r="E11" s="17" t="inlineStr">
        <is>
          <t>Mediator phone</t>
        </is>
      </c>
      <c r="F11" s="18" t="inlineStr"/>
    </row>
    <row r="12" ht="24" customHeight="1">
      <c r="B12" s="17" t="inlineStr">
        <is>
          <t>Financial advisor</t>
        </is>
      </c>
      <c r="C12" s="18" t="inlineStr"/>
      <c r="E12" s="17" t="inlineStr">
        <is>
          <t>Therapist / counselor</t>
        </is>
      </c>
      <c r="F12" s="18" t="inlineStr"/>
    </row>
    <row r="14" ht="22" customHeight="1">
      <c r="B14" s="4" t="inlineStr">
        <is>
          <t>REFERENCE NUMBERS</t>
        </is>
      </c>
    </row>
    <row r="15" ht="24" customHeight="1">
      <c r="B15" s="17" t="inlineStr">
        <is>
          <t>Case / file number</t>
        </is>
      </c>
      <c r="C15" s="18" t="inlineStr"/>
      <c r="E15" s="17" t="inlineStr">
        <is>
          <t>Attorney client ID</t>
        </is>
      </c>
      <c r="F15" s="18" t="inlineStr"/>
    </row>
    <row r="16" ht="24" customHeight="1">
      <c r="B16" s="17" t="inlineStr">
        <is>
          <t>Insurance member ID</t>
        </is>
      </c>
      <c r="C16" s="18" t="inlineStr"/>
      <c r="E16" s="17" t="inlineStr">
        <is>
          <t>Emergency contact</t>
        </is>
      </c>
      <c r="F16" s="18" t="inlineStr"/>
    </row>
  </sheetData>
  <mergeCells count="5">
    <mergeCell ref="A1:G1"/>
    <mergeCell ref="B5:F5"/>
    <mergeCell ref="A2:G2"/>
    <mergeCell ref="B14:F14"/>
    <mergeCell ref="B9:F9"/>
  </mergeCells>
  <pageMargins left="0.75" right="0.75" top="1" bottom="1" header="0.5" footer="0.5"/>
</worksheet>
</file>

<file path=xl/worksheets/sheet4.xml><?xml version="1.0" encoding="utf-8"?>
<worksheet xmlns="http://schemas.openxmlformats.org/spreadsheetml/2006/main">
  <sheetPr>
    <tabColor rgb="00E5D3BA"/>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30" customWidth="1" min="4" max="4"/>
  </cols>
  <sheetData>
    <row r="1" ht="46" customHeight="1">
      <c r="A1" s="1" t="inlineStr">
        <is>
          <t xml:space="preserve">  🗓  MASTER TIMELINE</t>
        </is>
      </c>
    </row>
    <row r="2" ht="22" customHeight="1">
      <c r="A2" s="2" t="inlineStr">
        <is>
          <t xml:space="preserve">  Key dates and milestones with automatic countdowns. (Dates are examples.)</t>
        </is>
      </c>
    </row>
    <row r="3" ht="6" customHeight="1">
      <c r="A3" s="3" t="n"/>
      <c r="B3" s="3" t="n"/>
      <c r="C3" s="3" t="n"/>
      <c r="D3" s="3" t="n"/>
    </row>
    <row r="4" ht="30" customHeight="1">
      <c r="A4" s="7" t="inlineStr">
        <is>
          <t>Event</t>
        </is>
      </c>
      <c r="B4" s="7" t="inlineStr">
        <is>
          <t>Type</t>
        </is>
      </c>
      <c r="C4" s="7" t="inlineStr">
        <is>
          <t>Date</t>
        </is>
      </c>
      <c r="D4" s="7" t="inlineStr">
        <is>
          <t>Notes</t>
        </is>
      </c>
      <c r="E4" s="7" t="inlineStr">
        <is>
          <t>Days Until</t>
        </is>
      </c>
    </row>
    <row r="5">
      <c r="A5" s="19" t="inlineStr">
        <is>
          <t>Process started</t>
        </is>
      </c>
      <c r="B5" s="20" t="inlineStr">
        <is>
          <t>Milestone</t>
        </is>
      </c>
      <c r="C5" s="21" t="n">
        <v>46107</v>
      </c>
      <c r="D5" s="19" t="inlineStr">
        <is>
          <t>First consultation</t>
        </is>
      </c>
      <c r="E5" s="22">
        <f>IF(C5="","",C5-TODAY())</f>
        <v/>
      </c>
    </row>
    <row r="6">
      <c r="A6" s="23" t="inlineStr">
        <is>
          <t>Financial disclosures exchanged</t>
        </is>
      </c>
      <c r="B6" s="24" t="inlineStr">
        <is>
          <t>Filing</t>
        </is>
      </c>
      <c r="C6" s="25" t="n">
        <v>46162</v>
      </c>
      <c r="D6" s="23" t="inlineStr"/>
      <c r="E6" s="26">
        <f>IF(C6="","",C6-TODAY())</f>
        <v/>
      </c>
    </row>
    <row r="7">
      <c r="A7" s="19" t="inlineStr">
        <is>
          <t>Petition filed</t>
        </is>
      </c>
      <c r="B7" s="20" t="inlineStr">
        <is>
          <t>Filing</t>
        </is>
      </c>
      <c r="C7" s="21" t="n">
        <v>46172</v>
      </c>
      <c r="D7" s="19" t="inlineStr"/>
      <c r="E7" s="22">
        <f>IF(C7="","",C7-TODAY())</f>
        <v/>
      </c>
    </row>
    <row r="8">
      <c r="A8" s="23" t="inlineStr">
        <is>
          <t>Mediation session 1</t>
        </is>
      </c>
      <c r="B8" s="24" t="inlineStr">
        <is>
          <t>Mediation</t>
        </is>
      </c>
      <c r="C8" s="25" t="n">
        <v>46214</v>
      </c>
      <c r="D8" s="23" t="inlineStr"/>
      <c r="E8" s="26">
        <f>IF(C8="","",C8-TODAY())</f>
        <v/>
      </c>
    </row>
    <row r="9">
      <c r="A9" s="19" t="inlineStr">
        <is>
          <t>Mediation session 2</t>
        </is>
      </c>
      <c r="B9" s="20" t="inlineStr">
        <is>
          <t>Mediation</t>
        </is>
      </c>
      <c r="C9" s="21" t="n">
        <v>46242</v>
      </c>
      <c r="D9" s="19" t="inlineStr"/>
      <c r="E9" s="22">
        <f>IF(C9="","",C9-TODAY())</f>
        <v/>
      </c>
    </row>
    <row r="10">
      <c r="A10" s="23" t="inlineStr">
        <is>
          <t>Settlement review</t>
        </is>
      </c>
      <c r="B10" s="24" t="inlineStr">
        <is>
          <t>Meeting</t>
        </is>
      </c>
      <c r="C10" s="25" t="n">
        <v>46262</v>
      </c>
      <c r="D10" s="23" t="inlineStr"/>
      <c r="E10" s="26">
        <f>IF(C10="","",C10-TODAY())</f>
        <v/>
      </c>
    </row>
    <row r="11">
      <c r="A11" s="19" t="inlineStr">
        <is>
          <t>Court date (if needed)</t>
        </is>
      </c>
      <c r="B11" s="20" t="inlineStr">
        <is>
          <t>Court</t>
        </is>
      </c>
      <c r="C11" s="21" t="n">
        <v>46292</v>
      </c>
      <c r="D11" s="19" t="inlineStr">
        <is>
          <t>Tentative</t>
        </is>
      </c>
      <c r="E11" s="22">
        <f>IF(C11="","",C11-TODAY())</f>
        <v/>
      </c>
    </row>
    <row r="12">
      <c r="A12" s="23" t="inlineStr">
        <is>
          <t>Finalization (est.)</t>
        </is>
      </c>
      <c r="B12" s="24" t="inlineStr">
        <is>
          <t>Milestone</t>
        </is>
      </c>
      <c r="C12" s="25" t="n">
        <v>46322</v>
      </c>
      <c r="D12" s="23" t="inlineStr">
        <is>
          <t>Estimate only</t>
        </is>
      </c>
      <c r="E12" s="26">
        <f>IF(C12="","",C12-TODAY())</f>
        <v/>
      </c>
    </row>
    <row r="13">
      <c r="A13" s="19" t="n"/>
      <c r="B13" s="20" t="n"/>
      <c r="C13" s="21" t="n"/>
      <c r="D13" s="19" t="n"/>
      <c r="E13" s="22">
        <f>IF(C13="","",C13-TODAY())</f>
        <v/>
      </c>
    </row>
    <row r="14">
      <c r="A14" s="23" t="n"/>
      <c r="B14" s="24" t="n"/>
      <c r="C14" s="25" t="n"/>
      <c r="D14" s="23" t="n"/>
      <c r="E14" s="26">
        <f>IF(C14="","",C14-TODAY())</f>
        <v/>
      </c>
    </row>
    <row r="15">
      <c r="A15" s="19" t="n"/>
      <c r="B15" s="20" t="n"/>
      <c r="C15" s="21" t="n"/>
      <c r="D15" s="19" t="n"/>
      <c r="E15" s="22">
        <f>IF(C15="","",C15-TODAY())</f>
        <v/>
      </c>
    </row>
    <row r="16">
      <c r="A16" s="23" t="n"/>
      <c r="B16" s="24" t="n"/>
      <c r="C16" s="25" t="n"/>
      <c r="D16" s="23" t="n"/>
      <c r="E16" s="26">
        <f>IF(C16="","",C16-TODAY())</f>
        <v/>
      </c>
    </row>
    <row r="17">
      <c r="A17" s="19" t="n"/>
      <c r="B17" s="20" t="n"/>
      <c r="C17" s="21" t="n"/>
      <c r="D17" s="19" t="n"/>
      <c r="E17" s="22">
        <f>IF(C17="","",C17-TODAY())</f>
        <v/>
      </c>
    </row>
    <row r="18">
      <c r="A18" s="23" t="n"/>
      <c r="B18" s="24" t="n"/>
      <c r="C18" s="25" t="n"/>
      <c r="D18" s="23" t="n"/>
      <c r="E18" s="26">
        <f>IF(C18="","",C18-TODAY())</f>
        <v/>
      </c>
    </row>
    <row r="19">
      <c r="A19" s="19" t="n"/>
      <c r="B19" s="20" t="n"/>
      <c r="C19" s="21" t="n"/>
      <c r="D19" s="19" t="n"/>
      <c r="E19" s="22">
        <f>IF(C19="","",C19-TODAY())</f>
        <v/>
      </c>
    </row>
    <row r="20">
      <c r="A20" s="23" t="n"/>
      <c r="B20" s="24" t="n"/>
      <c r="C20" s="25" t="n"/>
      <c r="D20" s="23" t="n"/>
      <c r="E20" s="26">
        <f>IF(C20="","",C20-TODAY())</f>
        <v/>
      </c>
    </row>
    <row r="21">
      <c r="A21" s="19" t="n"/>
      <c r="B21" s="20" t="n"/>
      <c r="C21" s="21" t="n"/>
      <c r="D21" s="19" t="n"/>
      <c r="E21" s="22">
        <f>IF(C21="","",C21-TODAY())</f>
        <v/>
      </c>
    </row>
    <row r="22">
      <c r="A22" s="23" t="n"/>
      <c r="B22" s="24" t="n"/>
      <c r="C22" s="25" t="n"/>
      <c r="D22" s="23" t="n"/>
      <c r="E22" s="26">
        <f>IF(C22="","",C22-TODAY())</f>
        <v/>
      </c>
    </row>
    <row r="23">
      <c r="A23" s="19" t="n"/>
      <c r="B23" s="20" t="n"/>
      <c r="C23" s="21" t="n"/>
      <c r="D23" s="19" t="n"/>
      <c r="E23" s="22">
        <f>IF(C23="","",C23-TODAY())</f>
        <v/>
      </c>
    </row>
    <row r="24">
      <c r="A24" s="23" t="n"/>
      <c r="B24" s="24" t="n"/>
      <c r="C24" s="25" t="n"/>
      <c r="D24" s="23" t="n"/>
      <c r="E24" s="26">
        <f>IF(C24="","",C24-TODAY())</f>
        <v/>
      </c>
    </row>
    <row r="25">
      <c r="A25" s="19" t="n"/>
      <c r="B25" s="20" t="n"/>
      <c r="C25" s="21" t="n"/>
      <c r="D25" s="19" t="n"/>
      <c r="E25" s="22">
        <f>IF(C25="","",C25-TODAY())</f>
        <v/>
      </c>
    </row>
    <row r="26">
      <c r="A26" s="23" t="n"/>
      <c r="B26" s="24" t="n"/>
      <c r="C26" s="25" t="n"/>
      <c r="D26" s="23" t="n"/>
      <c r="E26" s="26">
        <f>IF(C26="","",C26-TODAY())</f>
        <v/>
      </c>
    </row>
    <row r="27">
      <c r="A27" s="19" t="n"/>
      <c r="B27" s="20" t="n"/>
      <c r="C27" s="21" t="n"/>
      <c r="D27" s="19" t="n"/>
      <c r="E27" s="22">
        <f>IF(C27="","",C27-TODAY())</f>
        <v/>
      </c>
    </row>
    <row r="28">
      <c r="A28" s="23" t="n"/>
      <c r="B28" s="24" t="n"/>
      <c r="C28" s="25" t="n"/>
      <c r="D28" s="23" t="n"/>
      <c r="E28" s="26">
        <f>IF(C28="","",C28-TODAY())</f>
        <v/>
      </c>
    </row>
    <row r="29">
      <c r="A29" s="19" t="n"/>
      <c r="B29" s="20" t="n"/>
      <c r="C29" s="21" t="n"/>
      <c r="D29" s="19" t="n"/>
      <c r="E29" s="22">
        <f>IF(C29="","",C29-TODAY())</f>
        <v/>
      </c>
    </row>
    <row r="30">
      <c r="A30" s="23" t="n"/>
      <c r="B30" s="24" t="n"/>
      <c r="C30" s="25" t="n"/>
      <c r="D30" s="23" t="n"/>
      <c r="E30" s="26">
        <f>IF(C30="","",C30-TODAY())</f>
        <v/>
      </c>
    </row>
    <row r="31">
      <c r="A31" s="19" t="n"/>
      <c r="B31" s="20" t="n"/>
      <c r="C31" s="21" t="n"/>
      <c r="D31" s="19" t="n"/>
      <c r="E31" s="22">
        <f>IF(C31="","",C31-TODAY())</f>
        <v/>
      </c>
    </row>
    <row r="32">
      <c r="A32" s="23" t="n"/>
      <c r="B32" s="24" t="n"/>
      <c r="C32" s="25" t="n"/>
      <c r="D32" s="23" t="n"/>
      <c r="E32" s="26">
        <f>IF(C32="","",C32-TODAY())</f>
        <v/>
      </c>
    </row>
    <row r="33">
      <c r="A33" s="19" t="n"/>
      <c r="B33" s="20" t="n"/>
      <c r="C33" s="21" t="n"/>
      <c r="D33" s="19" t="n"/>
      <c r="E33" s="22">
        <f>IF(C33="","",C33-TODAY())</f>
        <v/>
      </c>
    </row>
    <row r="34">
      <c r="A34" s="23" t="n"/>
      <c r="B34" s="24" t="n"/>
      <c r="C34" s="25" t="n"/>
      <c r="D34" s="23" t="n"/>
      <c r="E34" s="26">
        <f>IF(C34="","",C34-TODAY())</f>
        <v/>
      </c>
    </row>
    <row r="35">
      <c r="A35" s="19" t="n"/>
      <c r="B35" s="20" t="n"/>
      <c r="C35" s="21" t="n"/>
      <c r="D35" s="19" t="n"/>
      <c r="E35" s="22">
        <f>IF(C35="","",C35-TODAY())</f>
        <v/>
      </c>
    </row>
    <row r="36">
      <c r="A36" s="23" t="n"/>
      <c r="B36" s="24" t="n"/>
      <c r="C36" s="25" t="n"/>
      <c r="D36" s="23" t="n"/>
      <c r="E36" s="26">
        <f>IF(C36="","",C36-TODAY())</f>
        <v/>
      </c>
    </row>
    <row r="37">
      <c r="A37" s="19" t="n"/>
      <c r="B37" s="20" t="n"/>
      <c r="C37" s="21" t="n"/>
      <c r="D37" s="19" t="n"/>
      <c r="E37" s="22">
        <f>IF(C37="","",C37-TODAY())</f>
        <v/>
      </c>
    </row>
    <row r="38">
      <c r="A38" s="23" t="n"/>
      <c r="B38" s="24" t="n"/>
      <c r="C38" s="25" t="n"/>
      <c r="D38" s="23" t="n"/>
      <c r="E38" s="26">
        <f>IF(C38="","",C38-TODAY())</f>
        <v/>
      </c>
    </row>
    <row r="39">
      <c r="A39" s="19" t="n"/>
      <c r="B39" s="20" t="n"/>
      <c r="C39" s="21" t="n"/>
      <c r="D39" s="19" t="n"/>
      <c r="E39" s="22">
        <f>IF(C39="","",C39-TODAY())</f>
        <v/>
      </c>
    </row>
    <row r="40">
      <c r="A40" s="23" t="n"/>
      <c r="B40" s="24" t="n"/>
      <c r="C40" s="25" t="n"/>
      <c r="D40" s="23" t="n"/>
      <c r="E40" s="26">
        <f>IF(C40="","",C40-TODAY())</f>
        <v/>
      </c>
    </row>
    <row r="41">
      <c r="A41" s="19" t="n"/>
      <c r="B41" s="20" t="n"/>
      <c r="C41" s="21" t="n"/>
      <c r="D41" s="19" t="n"/>
      <c r="E41" s="22">
        <f>IF(C41="","",C41-TODAY())</f>
        <v/>
      </c>
    </row>
    <row r="42">
      <c r="A42" s="23" t="n"/>
      <c r="B42" s="24" t="n"/>
      <c r="C42" s="25" t="n"/>
      <c r="D42" s="23" t="n"/>
      <c r="E42" s="26">
        <f>IF(C42="","",C42-TODAY())</f>
        <v/>
      </c>
    </row>
    <row r="43">
      <c r="A43" s="19" t="n"/>
      <c r="B43" s="20" t="n"/>
      <c r="C43" s="21" t="n"/>
      <c r="D43" s="19" t="n"/>
      <c r="E43" s="22">
        <f>IF(C43="","",C43-TODAY())</f>
        <v/>
      </c>
    </row>
    <row r="44">
      <c r="A44" s="23" t="n"/>
      <c r="B44" s="24" t="n"/>
      <c r="C44" s="25" t="n"/>
      <c r="D44" s="23" t="n"/>
      <c r="E44" s="26">
        <f>IF(C44="","",C44-TODAY())</f>
        <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1B4F48"/>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16" customWidth="1" min="1" max="1"/>
    <col width="36" customWidth="1" min="2" max="2"/>
    <col width="12" customWidth="1" min="3" max="3"/>
    <col width="14" customWidth="1" min="4" max="4"/>
    <col width="14" customWidth="1" min="5" max="5"/>
    <col width="14" customWidth="1" min="6" max="6"/>
    <col width="26" customWidth="1" min="7" max="7"/>
  </cols>
  <sheetData>
    <row r="1" ht="46" customHeight="1">
      <c r="A1" s="1" t="inlineStr">
        <is>
          <t xml:space="preserve">  ✅  MASTER TASK MANAGER</t>
        </is>
      </c>
    </row>
    <row r="2" ht="22" customHeight="1">
      <c r="A2" s="2" t="inlineStr">
        <is>
          <t xml:space="preserve">  Everything to do, in one place — completion tracks to your dashboard.</t>
        </is>
      </c>
    </row>
    <row r="3" ht="6" customHeight="1">
      <c r="A3" s="3" t="n"/>
      <c r="B3" s="3" t="n"/>
      <c r="C3" s="3" t="n"/>
      <c r="D3" s="3" t="n"/>
      <c r="E3" s="3" t="n"/>
      <c r="F3" s="3" t="n"/>
      <c r="G3" s="3" t="n"/>
    </row>
    <row r="4" ht="30" customHeight="1">
      <c r="A4" s="7" t="inlineStr">
        <is>
          <t>Category</t>
        </is>
      </c>
      <c r="B4" s="7" t="inlineStr">
        <is>
          <t>Task</t>
        </is>
      </c>
      <c r="C4" s="7" t="inlineStr">
        <is>
          <t>Priority</t>
        </is>
      </c>
      <c r="D4" s="7" t="inlineStr">
        <is>
          <t>Due Date</t>
        </is>
      </c>
      <c r="E4" s="7" t="inlineStr">
        <is>
          <t>Status</t>
        </is>
      </c>
      <c r="F4" s="7" t="inlineStr">
        <is>
          <t>Assigned To</t>
        </is>
      </c>
      <c r="G4" s="7" t="inlineStr">
        <is>
          <t>Notes</t>
        </is>
      </c>
    </row>
    <row r="5">
      <c r="A5" s="20" t="inlineStr">
        <is>
          <t>Legal</t>
        </is>
      </c>
      <c r="B5" s="19" t="inlineStr">
        <is>
          <t>Consult / retain attorney</t>
        </is>
      </c>
      <c r="C5" s="20" t="inlineStr">
        <is>
          <t>High</t>
        </is>
      </c>
      <c r="D5" s="21" t="n">
        <v>46142</v>
      </c>
      <c r="E5" s="20" t="inlineStr">
        <is>
          <t>Complete</t>
        </is>
      </c>
      <c r="F5" s="20" t="inlineStr">
        <is>
          <t>Me</t>
        </is>
      </c>
      <c r="G5" s="19" t="inlineStr">
        <is>
          <t>Initial consult done</t>
        </is>
      </c>
    </row>
    <row r="6">
      <c r="A6" s="24" t="inlineStr">
        <is>
          <t>Documents</t>
        </is>
      </c>
      <c r="B6" s="23" t="inlineStr">
        <is>
          <t>Gather last 3 yrs tax returns</t>
        </is>
      </c>
      <c r="C6" s="24" t="inlineStr">
        <is>
          <t>High</t>
        </is>
      </c>
      <c r="D6" s="25" t="n">
        <v>46172</v>
      </c>
      <c r="E6" s="24" t="inlineStr">
        <is>
          <t>Complete</t>
        </is>
      </c>
      <c r="F6" s="24" t="inlineStr">
        <is>
          <t>Me</t>
        </is>
      </c>
      <c r="G6" s="23" t="inlineStr"/>
    </row>
    <row r="7">
      <c r="A7" s="20" t="inlineStr">
        <is>
          <t>Financial</t>
        </is>
      </c>
      <c r="B7" s="19" t="inlineStr">
        <is>
          <t>List all bank &amp; investment accounts</t>
        </is>
      </c>
      <c r="C7" s="20" t="inlineStr">
        <is>
          <t>High</t>
        </is>
      </c>
      <c r="D7" s="21" t="n">
        <v>46182</v>
      </c>
      <c r="E7" s="20" t="inlineStr">
        <is>
          <t>Complete</t>
        </is>
      </c>
      <c r="F7" s="20" t="inlineStr">
        <is>
          <t>Me</t>
        </is>
      </c>
      <c r="G7" s="19" t="inlineStr"/>
    </row>
    <row r="8">
      <c r="A8" s="24" t="inlineStr">
        <is>
          <t>Financial</t>
        </is>
      </c>
      <c r="B8" s="23" t="inlineStr">
        <is>
          <t>Open individual checking account</t>
        </is>
      </c>
      <c r="C8" s="24" t="inlineStr">
        <is>
          <t>High</t>
        </is>
      </c>
      <c r="D8" s="25" t="n">
        <v>46205</v>
      </c>
      <c r="E8" s="24" t="inlineStr">
        <is>
          <t>In Progress</t>
        </is>
      </c>
      <c r="F8" s="24" t="inlineStr">
        <is>
          <t>Me</t>
        </is>
      </c>
      <c r="G8" s="23" t="inlineStr"/>
    </row>
    <row r="9">
      <c r="A9" s="20" t="inlineStr">
        <is>
          <t>Documents</t>
        </is>
      </c>
      <c r="B9" s="19" t="inlineStr">
        <is>
          <t>Collect mortgage statements</t>
        </is>
      </c>
      <c r="C9" s="20" t="inlineStr">
        <is>
          <t>Medium</t>
        </is>
      </c>
      <c r="D9" s="21" t="n">
        <v>46209</v>
      </c>
      <c r="E9" s="20" t="inlineStr">
        <is>
          <t>In Progress</t>
        </is>
      </c>
      <c r="F9" s="20" t="inlineStr">
        <is>
          <t>Me</t>
        </is>
      </c>
      <c r="G9" s="19" t="inlineStr"/>
    </row>
    <row r="10">
      <c r="A10" s="24" t="inlineStr">
        <is>
          <t>Property</t>
        </is>
      </c>
      <c r="B10" s="23" t="inlineStr">
        <is>
          <t>Create home contents inventory</t>
        </is>
      </c>
      <c r="C10" s="24" t="inlineStr">
        <is>
          <t>Medium</t>
        </is>
      </c>
      <c r="D10" s="25" t="n">
        <v>46216</v>
      </c>
      <c r="E10" s="24" t="inlineStr">
        <is>
          <t>Not Started</t>
        </is>
      </c>
      <c r="F10" s="24" t="inlineStr">
        <is>
          <t>Me</t>
        </is>
      </c>
      <c r="G10" s="23" t="inlineStr">
        <is>
          <t>Photos + values</t>
        </is>
      </c>
    </row>
    <row r="11">
      <c r="A11" s="20" t="inlineStr">
        <is>
          <t>Parenting</t>
        </is>
      </c>
      <c r="B11" s="19" t="inlineStr">
        <is>
          <t>Draft proposed parenting schedule</t>
        </is>
      </c>
      <c r="C11" s="20" t="inlineStr">
        <is>
          <t>High</t>
        </is>
      </c>
      <c r="D11" s="21" t="n">
        <v>46212</v>
      </c>
      <c r="E11" s="20" t="inlineStr">
        <is>
          <t>In Progress</t>
        </is>
      </c>
      <c r="F11" s="20" t="inlineStr">
        <is>
          <t>Me</t>
        </is>
      </c>
      <c r="G11" s="19" t="inlineStr"/>
    </row>
    <row r="12">
      <c r="A12" s="24" t="inlineStr">
        <is>
          <t>Insurance</t>
        </is>
      </c>
      <c r="B12" s="23" t="inlineStr">
        <is>
          <t>Review health insurance options</t>
        </is>
      </c>
      <c r="C12" s="24" t="inlineStr">
        <is>
          <t>Medium</t>
        </is>
      </c>
      <c r="D12" s="25" t="n">
        <v>46223</v>
      </c>
      <c r="E12" s="24" t="inlineStr">
        <is>
          <t>Not Started</t>
        </is>
      </c>
      <c r="F12" s="24" t="inlineStr">
        <is>
          <t>Me</t>
        </is>
      </c>
      <c r="G12" s="23" t="inlineStr"/>
    </row>
    <row r="13">
      <c r="A13" s="20" t="inlineStr">
        <is>
          <t>Housing</t>
        </is>
      </c>
      <c r="B13" s="19" t="inlineStr">
        <is>
          <t>Research new housing options</t>
        </is>
      </c>
      <c r="C13" s="20" t="inlineStr">
        <is>
          <t>Medium</t>
        </is>
      </c>
      <c r="D13" s="21" t="n">
        <v>46232</v>
      </c>
      <c r="E13" s="20" t="inlineStr">
        <is>
          <t>Not Started</t>
        </is>
      </c>
      <c r="F13" s="20" t="inlineStr">
        <is>
          <t>Me</t>
        </is>
      </c>
      <c r="G13" s="19" t="inlineStr"/>
    </row>
    <row r="14">
      <c r="A14" s="24" t="inlineStr">
        <is>
          <t>Financial</t>
        </is>
      </c>
      <c r="B14" s="23" t="inlineStr">
        <is>
          <t>Update beneficiaries &amp; will</t>
        </is>
      </c>
      <c r="C14" s="24" t="inlineStr">
        <is>
          <t>High</t>
        </is>
      </c>
      <c r="D14" s="25" t="n">
        <v>46227</v>
      </c>
      <c r="E14" s="24" t="inlineStr">
        <is>
          <t>Not Started</t>
        </is>
      </c>
      <c r="F14" s="24" t="inlineStr">
        <is>
          <t>Me</t>
        </is>
      </c>
      <c r="G14" s="23" t="inlineStr">
        <is>
          <t>After filing</t>
        </is>
      </c>
    </row>
    <row r="15">
      <c r="A15" s="20" t="inlineStr">
        <is>
          <t>Personal</t>
        </is>
      </c>
      <c r="B15" s="19" t="inlineStr">
        <is>
          <t>Change passwords &amp; secure accounts</t>
        </is>
      </c>
      <c r="C15" s="20" t="inlineStr">
        <is>
          <t>High</t>
        </is>
      </c>
      <c r="D15" s="21" t="n">
        <v>46197</v>
      </c>
      <c r="E15" s="20" t="inlineStr">
        <is>
          <t>Complete</t>
        </is>
      </c>
      <c r="F15" s="20" t="inlineStr">
        <is>
          <t>Me</t>
        </is>
      </c>
      <c r="G15" s="19" t="inlineStr"/>
    </row>
    <row r="16">
      <c r="A16" s="24" t="inlineStr">
        <is>
          <t>Legal</t>
        </is>
      </c>
      <c r="B16" s="23" t="inlineStr">
        <is>
          <t>Prepare financial affidavit</t>
        </is>
      </c>
      <c r="C16" s="24" t="inlineStr">
        <is>
          <t>High</t>
        </is>
      </c>
      <c r="D16" s="25" t="n">
        <v>46220</v>
      </c>
      <c r="E16" s="24" t="inlineStr">
        <is>
          <t>Not Started</t>
        </is>
      </c>
      <c r="F16" s="24" t="inlineStr">
        <is>
          <t>Me</t>
        </is>
      </c>
      <c r="G16" s="23" t="inlineStr"/>
    </row>
    <row r="17">
      <c r="A17" s="20" t="n"/>
      <c r="B17" s="19" t="n"/>
      <c r="C17" s="20" t="n"/>
      <c r="D17" s="21" t="n"/>
      <c r="E17" s="20" t="n"/>
      <c r="F17" s="20" t="n"/>
      <c r="G17" s="19" t="n"/>
    </row>
    <row r="18">
      <c r="A18" s="24" t="n"/>
      <c r="B18" s="23" t="n"/>
      <c r="C18" s="24" t="n"/>
      <c r="D18" s="25" t="n"/>
      <c r="E18" s="24" t="n"/>
      <c r="F18" s="24" t="n"/>
      <c r="G18" s="23" t="n"/>
    </row>
    <row r="19">
      <c r="A19" s="20" t="n"/>
      <c r="B19" s="19" t="n"/>
      <c r="C19" s="20" t="n"/>
      <c r="D19" s="21" t="n"/>
      <c r="E19" s="20" t="n"/>
      <c r="F19" s="20" t="n"/>
      <c r="G19" s="19" t="n"/>
    </row>
    <row r="20">
      <c r="A20" s="24" t="n"/>
      <c r="B20" s="23" t="n"/>
      <c r="C20" s="24" t="n"/>
      <c r="D20" s="25" t="n"/>
      <c r="E20" s="24" t="n"/>
      <c r="F20" s="24" t="n"/>
      <c r="G20" s="23" t="n"/>
    </row>
    <row r="21">
      <c r="A21" s="20" t="n"/>
      <c r="B21" s="19" t="n"/>
      <c r="C21" s="20" t="n"/>
      <c r="D21" s="21" t="n"/>
      <c r="E21" s="20" t="n"/>
      <c r="F21" s="20" t="n"/>
      <c r="G21" s="19" t="n"/>
    </row>
    <row r="22">
      <c r="A22" s="24" t="n"/>
      <c r="B22" s="23" t="n"/>
      <c r="C22" s="24" t="n"/>
      <c r="D22" s="25" t="n"/>
      <c r="E22" s="24" t="n"/>
      <c r="F22" s="24" t="n"/>
      <c r="G22" s="23" t="n"/>
    </row>
    <row r="23">
      <c r="A23" s="20" t="n"/>
      <c r="B23" s="19" t="n"/>
      <c r="C23" s="20" t="n"/>
      <c r="D23" s="21" t="n"/>
      <c r="E23" s="20" t="n"/>
      <c r="F23" s="20" t="n"/>
      <c r="G23" s="19" t="n"/>
    </row>
    <row r="24">
      <c r="A24" s="24" t="n"/>
      <c r="B24" s="23" t="n"/>
      <c r="C24" s="24" t="n"/>
      <c r="D24" s="25" t="n"/>
      <c r="E24" s="24" t="n"/>
      <c r="F24" s="24" t="n"/>
      <c r="G24" s="23" t="n"/>
    </row>
    <row r="25">
      <c r="A25" s="20" t="n"/>
      <c r="B25" s="19" t="n"/>
      <c r="C25" s="20" t="n"/>
      <c r="D25" s="21" t="n"/>
      <c r="E25" s="20" t="n"/>
      <c r="F25" s="20" t="n"/>
      <c r="G25" s="19" t="n"/>
    </row>
    <row r="26">
      <c r="A26" s="24" t="n"/>
      <c r="B26" s="23" t="n"/>
      <c r="C26" s="24" t="n"/>
      <c r="D26" s="25" t="n"/>
      <c r="E26" s="24" t="n"/>
      <c r="F26" s="24" t="n"/>
      <c r="G26" s="23" t="n"/>
    </row>
    <row r="27">
      <c r="A27" s="20" t="n"/>
      <c r="B27" s="19" t="n"/>
      <c r="C27" s="20" t="n"/>
      <c r="D27" s="21" t="n"/>
      <c r="E27" s="20" t="n"/>
      <c r="F27" s="20" t="n"/>
      <c r="G27" s="19" t="n"/>
    </row>
    <row r="28">
      <c r="A28" s="24" t="n"/>
      <c r="B28" s="23" t="n"/>
      <c r="C28" s="24" t="n"/>
      <c r="D28" s="25" t="n"/>
      <c r="E28" s="24" t="n"/>
      <c r="F28" s="24" t="n"/>
      <c r="G28" s="23" t="n"/>
    </row>
    <row r="29">
      <c r="A29" s="20" t="n"/>
      <c r="B29" s="19" t="n"/>
      <c r="C29" s="20" t="n"/>
      <c r="D29" s="21" t="n"/>
      <c r="E29" s="20" t="n"/>
      <c r="F29" s="20" t="n"/>
      <c r="G29" s="19" t="n"/>
    </row>
    <row r="30">
      <c r="A30" s="24" t="n"/>
      <c r="B30" s="23" t="n"/>
      <c r="C30" s="24" t="n"/>
      <c r="D30" s="25" t="n"/>
      <c r="E30" s="24" t="n"/>
      <c r="F30" s="24" t="n"/>
      <c r="G30" s="23" t="n"/>
    </row>
    <row r="31">
      <c r="A31" s="20" t="n"/>
      <c r="B31" s="19" t="n"/>
      <c r="C31" s="20" t="n"/>
      <c r="D31" s="21" t="n"/>
      <c r="E31" s="20" t="n"/>
      <c r="F31" s="20" t="n"/>
      <c r="G31" s="19" t="n"/>
    </row>
    <row r="32">
      <c r="A32" s="24" t="n"/>
      <c r="B32" s="23" t="n"/>
      <c r="C32" s="24" t="n"/>
      <c r="D32" s="25" t="n"/>
      <c r="E32" s="24" t="n"/>
      <c r="F32" s="24" t="n"/>
      <c r="G32" s="23" t="n"/>
    </row>
    <row r="33">
      <c r="A33" s="20" t="n"/>
      <c r="B33" s="19" t="n"/>
      <c r="C33" s="20" t="n"/>
      <c r="D33" s="21" t="n"/>
      <c r="E33" s="20" t="n"/>
      <c r="F33" s="20" t="n"/>
      <c r="G33" s="19" t="n"/>
    </row>
    <row r="34">
      <c r="A34" s="24" t="n"/>
      <c r="B34" s="23" t="n"/>
      <c r="C34" s="24" t="n"/>
      <c r="D34" s="25" t="n"/>
      <c r="E34" s="24" t="n"/>
      <c r="F34" s="24" t="n"/>
      <c r="G34" s="23" t="n"/>
    </row>
    <row r="35">
      <c r="A35" s="20" t="n"/>
      <c r="B35" s="19" t="n"/>
      <c r="C35" s="20" t="n"/>
      <c r="D35" s="21" t="n"/>
      <c r="E35" s="20" t="n"/>
      <c r="F35" s="20" t="n"/>
      <c r="G35" s="19" t="n"/>
    </row>
    <row r="36">
      <c r="A36" s="24" t="n"/>
      <c r="B36" s="23" t="n"/>
      <c r="C36" s="24" t="n"/>
      <c r="D36" s="25" t="n"/>
      <c r="E36" s="24" t="n"/>
      <c r="F36" s="24" t="n"/>
      <c r="G36" s="23" t="n"/>
    </row>
    <row r="37">
      <c r="A37" s="20" t="n"/>
      <c r="B37" s="19" t="n"/>
      <c r="C37" s="20" t="n"/>
      <c r="D37" s="21" t="n"/>
      <c r="E37" s="20" t="n"/>
      <c r="F37" s="20" t="n"/>
      <c r="G37" s="19" t="n"/>
    </row>
    <row r="38">
      <c r="A38" s="24" t="n"/>
      <c r="B38" s="23" t="n"/>
      <c r="C38" s="24" t="n"/>
      <c r="D38" s="25" t="n"/>
      <c r="E38" s="24" t="n"/>
      <c r="F38" s="24" t="n"/>
      <c r="G38" s="23" t="n"/>
    </row>
    <row r="39">
      <c r="A39" s="20" t="n"/>
      <c r="B39" s="19" t="n"/>
      <c r="C39" s="20" t="n"/>
      <c r="D39" s="21" t="n"/>
      <c r="E39" s="20" t="n"/>
      <c r="F39" s="20" t="n"/>
      <c r="G39" s="19" t="n"/>
    </row>
    <row r="40">
      <c r="A40" s="24" t="n"/>
      <c r="B40" s="23" t="n"/>
      <c r="C40" s="24" t="n"/>
      <c r="D40" s="25" t="n"/>
      <c r="E40" s="24" t="n"/>
      <c r="F40" s="24" t="n"/>
      <c r="G40" s="23" t="n"/>
    </row>
    <row r="41">
      <c r="A41" s="20" t="n"/>
      <c r="B41" s="19" t="n"/>
      <c r="C41" s="20" t="n"/>
      <c r="D41" s="21" t="n"/>
      <c r="E41" s="20" t="n"/>
      <c r="F41" s="20" t="n"/>
      <c r="G41" s="19" t="n"/>
    </row>
    <row r="42">
      <c r="A42" s="24" t="n"/>
      <c r="B42" s="23" t="n"/>
      <c r="C42" s="24" t="n"/>
      <c r="D42" s="25" t="n"/>
      <c r="E42" s="24" t="n"/>
      <c r="F42" s="24" t="n"/>
      <c r="G42" s="23" t="n"/>
    </row>
    <row r="43">
      <c r="A43" s="20" t="n"/>
      <c r="B43" s="19" t="n"/>
      <c r="C43" s="20" t="n"/>
      <c r="D43" s="21" t="n"/>
      <c r="E43" s="20" t="n"/>
      <c r="F43" s="20" t="n"/>
      <c r="G43" s="19" t="n"/>
    </row>
    <row r="44">
      <c r="A44" s="24" t="n"/>
      <c r="B44" s="23" t="n"/>
      <c r="C44" s="24" t="n"/>
      <c r="D44" s="25" t="n"/>
      <c r="E44" s="24" t="n"/>
      <c r="F44" s="24" t="n"/>
      <c r="G44" s="23" t="n"/>
    </row>
  </sheetData>
  <mergeCells count="2">
    <mergeCell ref="A2:G2"/>
    <mergeCell ref="A1:G1"/>
  </mergeCells>
  <conditionalFormatting sqref="E5:E44">
    <cfRule type="cellIs" priority="1" operator="equal" dxfId="0">
      <formula>"Complete"</formula>
    </cfRule>
  </conditionalFormatting>
  <conditionalFormatting sqref="A5:G44">
    <cfRule type="expression" priority="2" dxfId="1">
      <formula>AND($D5&lt;&gt;"",$D5&lt;TODAY(),$E5&lt;&gt;"Complete")</formula>
    </cfRule>
  </conditionalFormatting>
  <dataValidations count="3">
    <dataValidation sqref="A5:A44" showDropDown="0" showInputMessage="0" showErrorMessage="0" allowBlank="1" type="list">
      <formula1>=TaskCatList</formula1>
    </dataValidation>
    <dataValidation sqref="C5:C44" showDropDown="0" showInputMessage="0" showErrorMessage="0" allowBlank="1" type="list">
      <formula1>=PriorityList</formula1>
    </dataValidation>
    <dataValidation sqref="E5:E44" showDropDown="0" showInputMessage="0" showErrorMessage="0" allowBlank="1" type="list">
      <formula1>=StatusList</formula1>
    </dataValidation>
  </dataValidations>
  <pageMargins left="0.75" right="0.75" top="1" bottom="1" header="0.5" footer="0.5"/>
</worksheet>
</file>

<file path=xl/worksheets/sheet6.xml><?xml version="1.0" encoding="utf-8"?>
<worksheet xmlns="http://schemas.openxmlformats.org/spreadsheetml/2006/main">
  <sheetPr>
    <tabColor rgb="00937356"/>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22" customWidth="1" min="3" max="3"/>
    <col width="13" customWidth="1" min="4" max="4"/>
    <col width="14" customWidth="1" min="5" max="5"/>
    <col width="14" customWidth="1" min="6" max="6"/>
    <col width="22" customWidth="1" min="7" max="7"/>
  </cols>
  <sheetData>
    <row r="1" ht="46" customHeight="1">
      <c r="A1" s="1" t="inlineStr">
        <is>
          <t xml:space="preserve">  📁  DOCUMENT VAULT INDEX</t>
        </is>
      </c>
    </row>
    <row r="2" ht="22" customHeight="1">
      <c r="A2" s="2" t="inlineStr">
        <is>
          <t xml:space="preserve">  Know exactly what you have and what's still needed.</t>
        </is>
      </c>
    </row>
    <row r="3" ht="6" customHeight="1">
      <c r="A3" s="3" t="n"/>
      <c r="B3" s="3" t="n"/>
      <c r="C3" s="3" t="n"/>
      <c r="D3" s="3" t="n"/>
      <c r="E3" s="3" t="n"/>
      <c r="F3" s="3" t="n"/>
      <c r="G3" s="3" t="n"/>
    </row>
    <row r="4" ht="30" customHeight="1">
      <c r="A4" s="7" t="inlineStr">
        <is>
          <t>Document</t>
        </is>
      </c>
      <c r="B4" s="7" t="inlineStr">
        <is>
          <t>Category</t>
        </is>
      </c>
      <c r="C4" s="7" t="inlineStr">
        <is>
          <t>Location</t>
        </is>
      </c>
      <c r="D4" s="7" t="inlineStr">
        <is>
          <t>Digital Copy</t>
        </is>
      </c>
      <c r="E4" s="7" t="inlineStr">
        <is>
          <t>Status</t>
        </is>
      </c>
      <c r="F4" s="7" t="inlineStr">
        <is>
          <t>Date Updated</t>
        </is>
      </c>
      <c r="G4" s="7" t="inlineStr">
        <is>
          <t>Notes</t>
        </is>
      </c>
    </row>
    <row r="5">
      <c r="A5" s="19" t="inlineStr">
        <is>
          <t>Tax returns (3 yrs)</t>
        </is>
      </c>
      <c r="B5" s="20" t="inlineStr">
        <is>
          <t>Financial</t>
        </is>
      </c>
      <c r="C5" s="19" t="inlineStr">
        <is>
          <t>Home safe / Drive</t>
        </is>
      </c>
      <c r="D5" s="20" t="inlineStr">
        <is>
          <t>Yes</t>
        </is>
      </c>
      <c r="E5" s="20" t="inlineStr">
        <is>
          <t>Collected</t>
        </is>
      </c>
      <c r="F5" s="21" t="n">
        <v>46172</v>
      </c>
      <c r="G5" s="19" t="inlineStr"/>
    </row>
    <row r="6">
      <c r="A6" s="23" t="inlineStr">
        <is>
          <t>Bank statements (12 mo)</t>
        </is>
      </c>
      <c r="B6" s="24" t="inlineStr">
        <is>
          <t>Financial</t>
        </is>
      </c>
      <c r="C6" s="23" t="inlineStr">
        <is>
          <t>Drive folder</t>
        </is>
      </c>
      <c r="D6" s="24" t="inlineStr">
        <is>
          <t>Yes</t>
        </is>
      </c>
      <c r="E6" s="24" t="inlineStr">
        <is>
          <t>Collected</t>
        </is>
      </c>
      <c r="F6" s="25" t="n">
        <v>46182</v>
      </c>
      <c r="G6" s="23" t="inlineStr"/>
    </row>
    <row r="7">
      <c r="A7" s="19" t="inlineStr">
        <is>
          <t>Mortgage statement</t>
        </is>
      </c>
      <c r="B7" s="20" t="inlineStr">
        <is>
          <t>Property</t>
        </is>
      </c>
      <c r="C7" s="19" t="inlineStr">
        <is>
          <t>Lender portal</t>
        </is>
      </c>
      <c r="D7" s="20" t="inlineStr">
        <is>
          <t>No</t>
        </is>
      </c>
      <c r="E7" s="20" t="inlineStr">
        <is>
          <t>In Progress</t>
        </is>
      </c>
      <c r="F7" s="21" t="inlineStr"/>
      <c r="G7" s="19" t="inlineStr">
        <is>
          <t>Download PDF</t>
        </is>
      </c>
    </row>
    <row r="8">
      <c r="A8" s="23" t="inlineStr">
        <is>
          <t>Home deed / title</t>
        </is>
      </c>
      <c r="B8" s="24" t="inlineStr">
        <is>
          <t>Property</t>
        </is>
      </c>
      <c r="C8" s="23" t="inlineStr">
        <is>
          <t>Safe deposit box</t>
        </is>
      </c>
      <c r="D8" s="24" t="inlineStr">
        <is>
          <t>No</t>
        </is>
      </c>
      <c r="E8" s="24" t="inlineStr">
        <is>
          <t>Needed</t>
        </is>
      </c>
      <c r="F8" s="25" t="inlineStr"/>
      <c r="G8" s="23" t="inlineStr"/>
    </row>
    <row r="9">
      <c r="A9" s="19" t="inlineStr">
        <is>
          <t>Auto titles</t>
        </is>
      </c>
      <c r="B9" s="20" t="inlineStr">
        <is>
          <t>Property</t>
        </is>
      </c>
      <c r="C9" s="19" t="inlineStr">
        <is>
          <t>Glovebox / file</t>
        </is>
      </c>
      <c r="D9" s="20" t="inlineStr">
        <is>
          <t>No</t>
        </is>
      </c>
      <c r="E9" s="20" t="inlineStr">
        <is>
          <t>Needed</t>
        </is>
      </c>
      <c r="F9" s="21" t="inlineStr"/>
      <c r="G9" s="19" t="inlineStr"/>
    </row>
    <row r="10">
      <c r="A10" s="23" t="inlineStr">
        <is>
          <t>Retirement statements</t>
        </is>
      </c>
      <c r="B10" s="24" t="inlineStr">
        <is>
          <t>Financial</t>
        </is>
      </c>
      <c r="C10" s="23" t="inlineStr">
        <is>
          <t>Provider portal</t>
        </is>
      </c>
      <c r="D10" s="24" t="inlineStr">
        <is>
          <t>Yes</t>
        </is>
      </c>
      <c r="E10" s="24" t="inlineStr">
        <is>
          <t>Collected</t>
        </is>
      </c>
      <c r="F10" s="25" t="n">
        <v>46187</v>
      </c>
      <c r="G10" s="23" t="inlineStr"/>
    </row>
    <row r="11">
      <c r="A11" s="19" t="inlineStr">
        <is>
          <t>Investment statements</t>
        </is>
      </c>
      <c r="B11" s="20" t="inlineStr">
        <is>
          <t>Financial</t>
        </is>
      </c>
      <c r="C11" s="19" t="inlineStr">
        <is>
          <t>Drive folder</t>
        </is>
      </c>
      <c r="D11" s="20" t="inlineStr">
        <is>
          <t>Yes</t>
        </is>
      </c>
      <c r="E11" s="20" t="inlineStr">
        <is>
          <t>Collected</t>
        </is>
      </c>
      <c r="F11" s="21" t="n">
        <v>46187</v>
      </c>
      <c r="G11" s="19" t="inlineStr"/>
    </row>
    <row r="12">
      <c r="A12" s="23" t="inlineStr">
        <is>
          <t>Pay stubs (recent)</t>
        </is>
      </c>
      <c r="B12" s="24" t="inlineStr">
        <is>
          <t>Financial</t>
        </is>
      </c>
      <c r="C12" s="23" t="inlineStr">
        <is>
          <t>HR portal</t>
        </is>
      </c>
      <c r="D12" s="24" t="inlineStr">
        <is>
          <t>Yes</t>
        </is>
      </c>
      <c r="E12" s="24" t="inlineStr">
        <is>
          <t>In Progress</t>
        </is>
      </c>
      <c r="F12" s="25" t="inlineStr"/>
      <c r="G12" s="23" t="inlineStr"/>
    </row>
    <row r="13">
      <c r="A13" s="19" t="inlineStr">
        <is>
          <t>Health insurance card/policy</t>
        </is>
      </c>
      <c r="B13" s="20" t="inlineStr">
        <is>
          <t>Insurance</t>
        </is>
      </c>
      <c r="C13" s="19" t="inlineStr">
        <is>
          <t>Wallet / portal</t>
        </is>
      </c>
      <c r="D13" s="20" t="inlineStr">
        <is>
          <t>Yes</t>
        </is>
      </c>
      <c r="E13" s="20" t="inlineStr">
        <is>
          <t>Collected</t>
        </is>
      </c>
      <c r="F13" s="21" t="n">
        <v>46192</v>
      </c>
      <c r="G13" s="19" t="inlineStr"/>
    </row>
    <row r="14">
      <c r="A14" s="23" t="inlineStr">
        <is>
          <t>Life insurance policy</t>
        </is>
      </c>
      <c r="B14" s="24" t="inlineStr">
        <is>
          <t>Insurance</t>
        </is>
      </c>
      <c r="C14" s="23" t="inlineStr">
        <is>
          <t>File cabinet</t>
        </is>
      </c>
      <c r="D14" s="24" t="inlineStr">
        <is>
          <t>No</t>
        </is>
      </c>
      <c r="E14" s="24" t="inlineStr">
        <is>
          <t>Needed</t>
        </is>
      </c>
      <c r="F14" s="25" t="inlineStr"/>
      <c r="G14" s="23" t="inlineStr"/>
    </row>
    <row r="15">
      <c r="A15" s="19" t="inlineStr">
        <is>
          <t>Birth certificates</t>
        </is>
      </c>
      <c r="B15" s="20" t="inlineStr">
        <is>
          <t>Personal</t>
        </is>
      </c>
      <c r="C15" s="19" t="inlineStr">
        <is>
          <t>Safe</t>
        </is>
      </c>
      <c r="D15" s="20" t="inlineStr">
        <is>
          <t>No</t>
        </is>
      </c>
      <c r="E15" s="20" t="inlineStr">
        <is>
          <t>Needed</t>
        </is>
      </c>
      <c r="F15" s="21" t="inlineStr"/>
      <c r="G15" s="19" t="inlineStr">
        <is>
          <t>Kids + self</t>
        </is>
      </c>
    </row>
    <row r="16">
      <c r="A16" s="23" t="inlineStr">
        <is>
          <t>Marriage certificate</t>
        </is>
      </c>
      <c r="B16" s="24" t="inlineStr">
        <is>
          <t>Legal</t>
        </is>
      </c>
      <c r="C16" s="23" t="inlineStr">
        <is>
          <t>Safe</t>
        </is>
      </c>
      <c r="D16" s="24" t="inlineStr">
        <is>
          <t>Yes</t>
        </is>
      </c>
      <c r="E16" s="24" t="inlineStr">
        <is>
          <t>Collected</t>
        </is>
      </c>
      <c r="F16" s="25" t="n">
        <v>46162</v>
      </c>
      <c r="G16" s="23" t="inlineStr"/>
    </row>
    <row r="17">
      <c r="A17" s="19" t="inlineStr">
        <is>
          <t>Driver's license / ID</t>
        </is>
      </c>
      <c r="B17" s="20" t="inlineStr">
        <is>
          <t>Personal</t>
        </is>
      </c>
      <c r="C17" s="19" t="inlineStr">
        <is>
          <t>Wallet</t>
        </is>
      </c>
      <c r="D17" s="20" t="inlineStr">
        <is>
          <t>Yes</t>
        </is>
      </c>
      <c r="E17" s="20" t="inlineStr">
        <is>
          <t>Collected</t>
        </is>
      </c>
      <c r="F17" s="21" t="n">
        <v>46162</v>
      </c>
      <c r="G17" s="19" t="inlineStr"/>
    </row>
    <row r="18">
      <c r="A18" s="23" t="inlineStr">
        <is>
          <t>Will / Trust</t>
        </is>
      </c>
      <c r="B18" s="24" t="inlineStr">
        <is>
          <t>Legal</t>
        </is>
      </c>
      <c r="C18" s="23" t="inlineStr">
        <is>
          <t>Attorney</t>
        </is>
      </c>
      <c r="D18" s="24" t="inlineStr">
        <is>
          <t>No</t>
        </is>
      </c>
      <c r="E18" s="24" t="inlineStr">
        <is>
          <t>In Progress</t>
        </is>
      </c>
      <c r="F18" s="25" t="inlineStr"/>
      <c r="G18" s="23" t="inlineStr">
        <is>
          <t>Updating</t>
        </is>
      </c>
    </row>
    <row r="19">
      <c r="A19" s="19" t="inlineStr">
        <is>
          <t>Credit card statements</t>
        </is>
      </c>
      <c r="B19" s="20" t="inlineStr">
        <is>
          <t>Financial</t>
        </is>
      </c>
      <c r="C19" s="19" t="inlineStr">
        <is>
          <t>Issuer portal</t>
        </is>
      </c>
      <c r="D19" s="20" t="inlineStr">
        <is>
          <t>Yes</t>
        </is>
      </c>
      <c r="E19" s="20" t="inlineStr">
        <is>
          <t>Collected</t>
        </is>
      </c>
      <c r="F19" s="21" t="n">
        <v>46190</v>
      </c>
      <c r="G19" s="19" t="inlineStr"/>
    </row>
    <row r="20">
      <c r="A20" s="23" t="n"/>
      <c r="B20" s="24" t="n"/>
      <c r="C20" s="23" t="n"/>
      <c r="D20" s="24" t="n"/>
      <c r="E20" s="24" t="n"/>
      <c r="F20" s="25" t="n"/>
      <c r="G20" s="23" t="n"/>
    </row>
    <row r="21">
      <c r="A21" s="19" t="n"/>
      <c r="B21" s="20" t="n"/>
      <c r="C21" s="19" t="n"/>
      <c r="D21" s="20" t="n"/>
      <c r="E21" s="20" t="n"/>
      <c r="F21" s="21" t="n"/>
      <c r="G21" s="19" t="n"/>
    </row>
    <row r="22">
      <c r="A22" s="23" t="n"/>
      <c r="B22" s="24" t="n"/>
      <c r="C22" s="23" t="n"/>
      <c r="D22" s="24" t="n"/>
      <c r="E22" s="24" t="n"/>
      <c r="F22" s="25" t="n"/>
      <c r="G22" s="23" t="n"/>
    </row>
    <row r="23">
      <c r="A23" s="19" t="n"/>
      <c r="B23" s="20" t="n"/>
      <c r="C23" s="19" t="n"/>
      <c r="D23" s="20" t="n"/>
      <c r="E23" s="20" t="n"/>
      <c r="F23" s="21" t="n"/>
      <c r="G23" s="19" t="n"/>
    </row>
    <row r="24">
      <c r="A24" s="23" t="n"/>
      <c r="B24" s="24" t="n"/>
      <c r="C24" s="23" t="n"/>
      <c r="D24" s="24" t="n"/>
      <c r="E24" s="24" t="n"/>
      <c r="F24" s="25" t="n"/>
      <c r="G24" s="23" t="n"/>
    </row>
    <row r="25">
      <c r="A25" s="19" t="n"/>
      <c r="B25" s="20" t="n"/>
      <c r="C25" s="19" t="n"/>
      <c r="D25" s="20" t="n"/>
      <c r="E25" s="20" t="n"/>
      <c r="F25" s="21" t="n"/>
      <c r="G25" s="19" t="n"/>
    </row>
    <row r="26">
      <c r="A26" s="23" t="n"/>
      <c r="B26" s="24" t="n"/>
      <c r="C26" s="23" t="n"/>
      <c r="D26" s="24" t="n"/>
      <c r="E26" s="24" t="n"/>
      <c r="F26" s="25" t="n"/>
      <c r="G26" s="23" t="n"/>
    </row>
    <row r="27">
      <c r="A27" s="19" t="n"/>
      <c r="B27" s="20" t="n"/>
      <c r="C27" s="19" t="n"/>
      <c r="D27" s="20" t="n"/>
      <c r="E27" s="20" t="n"/>
      <c r="F27" s="21" t="n"/>
      <c r="G27" s="19" t="n"/>
    </row>
    <row r="28">
      <c r="A28" s="23" t="n"/>
      <c r="B28" s="24" t="n"/>
      <c r="C28" s="23" t="n"/>
      <c r="D28" s="24" t="n"/>
      <c r="E28" s="24" t="n"/>
      <c r="F28" s="25" t="n"/>
      <c r="G28" s="23" t="n"/>
    </row>
    <row r="29">
      <c r="A29" s="19" t="n"/>
      <c r="B29" s="20" t="n"/>
      <c r="C29" s="19" t="n"/>
      <c r="D29" s="20" t="n"/>
      <c r="E29" s="20" t="n"/>
      <c r="F29" s="21" t="n"/>
      <c r="G29" s="19" t="n"/>
    </row>
    <row r="30">
      <c r="A30" s="23" t="n"/>
      <c r="B30" s="24" t="n"/>
      <c r="C30" s="23" t="n"/>
      <c r="D30" s="24" t="n"/>
      <c r="E30" s="24" t="n"/>
      <c r="F30" s="25" t="n"/>
      <c r="G30" s="23" t="n"/>
    </row>
    <row r="31">
      <c r="A31" s="19" t="n"/>
      <c r="B31" s="20" t="n"/>
      <c r="C31" s="19" t="n"/>
      <c r="D31" s="20" t="n"/>
      <c r="E31" s="20" t="n"/>
      <c r="F31" s="21" t="n"/>
      <c r="G31" s="19" t="n"/>
    </row>
    <row r="32">
      <c r="A32" s="23" t="n"/>
      <c r="B32" s="24" t="n"/>
      <c r="C32" s="23" t="n"/>
      <c r="D32" s="24" t="n"/>
      <c r="E32" s="24" t="n"/>
      <c r="F32" s="25" t="n"/>
      <c r="G32" s="23" t="n"/>
    </row>
    <row r="33">
      <c r="A33" s="19" t="n"/>
      <c r="B33" s="20" t="n"/>
      <c r="C33" s="19" t="n"/>
      <c r="D33" s="20" t="n"/>
      <c r="E33" s="20" t="n"/>
      <c r="F33" s="21" t="n"/>
      <c r="G33" s="19" t="n"/>
    </row>
    <row r="34">
      <c r="A34" s="23" t="n"/>
      <c r="B34" s="24" t="n"/>
      <c r="C34" s="23" t="n"/>
      <c r="D34" s="24" t="n"/>
      <c r="E34" s="24" t="n"/>
      <c r="F34" s="25" t="n"/>
      <c r="G34" s="23" t="n"/>
    </row>
    <row r="35">
      <c r="A35" s="19" t="n"/>
      <c r="B35" s="20" t="n"/>
      <c r="C35" s="19" t="n"/>
      <c r="D35" s="20" t="n"/>
      <c r="E35" s="20" t="n"/>
      <c r="F35" s="21" t="n"/>
      <c r="G35" s="19" t="n"/>
    </row>
    <row r="36">
      <c r="A36" s="23" t="n"/>
      <c r="B36" s="24" t="n"/>
      <c r="C36" s="23" t="n"/>
      <c r="D36" s="24" t="n"/>
      <c r="E36" s="24" t="n"/>
      <c r="F36" s="25" t="n"/>
      <c r="G36" s="23" t="n"/>
    </row>
    <row r="37">
      <c r="A37" s="19" t="n"/>
      <c r="B37" s="20" t="n"/>
      <c r="C37" s="19" t="n"/>
      <c r="D37" s="20" t="n"/>
      <c r="E37" s="20" t="n"/>
      <c r="F37" s="21" t="n"/>
      <c r="G37" s="19" t="n"/>
    </row>
    <row r="38">
      <c r="A38" s="23" t="n"/>
      <c r="B38" s="24" t="n"/>
      <c r="C38" s="23" t="n"/>
      <c r="D38" s="24" t="n"/>
      <c r="E38" s="24" t="n"/>
      <c r="F38" s="25" t="n"/>
      <c r="G38" s="23" t="n"/>
    </row>
    <row r="39">
      <c r="A39" s="19" t="n"/>
      <c r="B39" s="20" t="n"/>
      <c r="C39" s="19" t="n"/>
      <c r="D39" s="20" t="n"/>
      <c r="E39" s="20" t="n"/>
      <c r="F39" s="21" t="n"/>
      <c r="G39" s="19" t="n"/>
    </row>
    <row r="40">
      <c r="A40" s="23" t="n"/>
      <c r="B40" s="24" t="n"/>
      <c r="C40" s="23" t="n"/>
      <c r="D40" s="24" t="n"/>
      <c r="E40" s="24" t="n"/>
      <c r="F40" s="25" t="n"/>
      <c r="G40" s="23" t="n"/>
    </row>
    <row r="41">
      <c r="A41" s="19" t="n"/>
      <c r="B41" s="20" t="n"/>
      <c r="C41" s="19" t="n"/>
      <c r="D41" s="20" t="n"/>
      <c r="E41" s="20" t="n"/>
      <c r="F41" s="21" t="n"/>
      <c r="G41" s="19" t="n"/>
    </row>
    <row r="42">
      <c r="A42" s="23" t="n"/>
      <c r="B42" s="24" t="n"/>
      <c r="C42" s="23" t="n"/>
      <c r="D42" s="24" t="n"/>
      <c r="E42" s="24" t="n"/>
      <c r="F42" s="25" t="n"/>
      <c r="G42" s="23" t="n"/>
    </row>
    <row r="43">
      <c r="A43" s="19" t="n"/>
      <c r="B43" s="20" t="n"/>
      <c r="C43" s="19" t="n"/>
      <c r="D43" s="20" t="n"/>
      <c r="E43" s="20" t="n"/>
      <c r="F43" s="21" t="n"/>
      <c r="G43" s="19" t="n"/>
    </row>
    <row r="44">
      <c r="A44" s="23" t="n"/>
      <c r="B44" s="24" t="n"/>
      <c r="C44" s="23" t="n"/>
      <c r="D44" s="24" t="n"/>
      <c r="E44" s="24" t="n"/>
      <c r="F44" s="25" t="n"/>
      <c r="G44" s="23" t="n"/>
    </row>
  </sheetData>
  <mergeCells count="2">
    <mergeCell ref="A2:G2"/>
    <mergeCell ref="A1:G1"/>
  </mergeCells>
  <conditionalFormatting sqref="E5:E44">
    <cfRule type="cellIs" priority="1" operator="equal" dxfId="0">
      <formula>"Collected"</formula>
    </cfRule>
    <cfRule type="cellIs" priority="2" operator="equal" dxfId="2">
      <formula>"Needed"</formula>
    </cfRule>
  </conditionalFormatting>
  <dataValidations count="2">
    <dataValidation sqref="D5:D44" showDropDown="0" showInputMessage="0" showErrorMessage="0" allowBlank="1" type="list">
      <formula1>=YesNoList</formula1>
    </dataValidation>
    <dataValidation sqref="E5:E44" showDropDown="0" showInputMessage="0" showErrorMessage="0" allowBlank="1" type="list">
      <formula1>=DocStatusList</formula1>
    </dataValidation>
  </dataValidations>
  <pageMargins left="0.75" right="0.75" top="1" bottom="1" header="0.5" footer="0.5"/>
</worksheet>
</file>

<file path=xl/worksheets/sheet7.xml><?xml version="1.0" encoding="utf-8"?>
<worksheet xmlns="http://schemas.openxmlformats.org/spreadsheetml/2006/main">
  <sheetPr>
    <tabColor rgb="0075E6C1"/>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8" customWidth="1" min="3" max="3"/>
    <col width="14" customWidth="1" min="4" max="4"/>
    <col width="4" customWidth="1" min="5" max="5"/>
    <col width="24" customWidth="1" min="6" max="6"/>
    <col width="16" customWidth="1" min="7" max="7"/>
  </cols>
  <sheetData>
    <row r="1" ht="46" customHeight="1">
      <c r="A1" s="1" t="inlineStr">
        <is>
          <t xml:space="preserve">  💰  FINANCIAL SNAPSHOT</t>
        </is>
      </c>
    </row>
    <row r="2" ht="22" customHeight="1">
      <c r="A2" s="2" t="inlineStr">
        <is>
          <t xml:space="preserve">  Assets, debts, and your net-worth picture — gathered in one place.</t>
        </is>
      </c>
    </row>
    <row r="3" ht="6" customHeight="1">
      <c r="A3" s="3" t="n"/>
      <c r="B3" s="3" t="n"/>
      <c r="C3" s="3" t="n"/>
      <c r="D3" s="3" t="n"/>
      <c r="E3" s="3" t="n"/>
      <c r="F3" s="3" t="n"/>
      <c r="G3" s="3" t="n"/>
    </row>
    <row r="4" ht="30" customHeight="1">
      <c r="A4" s="7" t="inlineStr">
        <is>
          <t>Account / Item</t>
        </is>
      </c>
      <c r="B4" s="7" t="inlineStr">
        <is>
          <t>Type</t>
        </is>
      </c>
      <c r="C4" s="7" t="inlineStr">
        <is>
          <t>Category</t>
        </is>
      </c>
      <c r="D4" s="7" t="inlineStr">
        <is>
          <t>Value</t>
        </is>
      </c>
      <c r="F4" s="4" t="inlineStr">
        <is>
          <t>NET WORTH</t>
        </is>
      </c>
    </row>
    <row r="5">
      <c r="A5" s="19" t="inlineStr">
        <is>
          <t>Joint checking</t>
        </is>
      </c>
      <c r="B5" s="20" t="inlineStr">
        <is>
          <t>Asset</t>
        </is>
      </c>
      <c r="C5" s="20" t="inlineStr">
        <is>
          <t>Cash &amp; Savings</t>
        </is>
      </c>
      <c r="D5" s="27" t="n">
        <v>8400</v>
      </c>
      <c r="F5" s="17" t="inlineStr">
        <is>
          <t>Total Assets</t>
        </is>
      </c>
      <c r="G5" s="28">
        <f>SUMIF(SnapType,"Asset",SnapValue)</f>
        <v/>
      </c>
    </row>
    <row r="6">
      <c r="A6" s="23" t="inlineStr">
        <is>
          <t>Personal savings</t>
        </is>
      </c>
      <c r="B6" s="24" t="inlineStr">
        <is>
          <t>Asset</t>
        </is>
      </c>
      <c r="C6" s="24" t="inlineStr">
        <is>
          <t>Cash &amp; Savings</t>
        </is>
      </c>
      <c r="D6" s="29" t="n">
        <v>12500</v>
      </c>
      <c r="F6" s="17" t="inlineStr">
        <is>
          <t>Total Debts</t>
        </is>
      </c>
      <c r="G6" s="28">
        <f>SUMIF(SnapType,"Debt",SnapValue)</f>
        <v/>
      </c>
    </row>
    <row r="7">
      <c r="A7" s="19" t="inlineStr">
        <is>
          <t>401(k)</t>
        </is>
      </c>
      <c r="B7" s="20" t="inlineStr">
        <is>
          <t>Asset</t>
        </is>
      </c>
      <c r="C7" s="20" t="inlineStr">
        <is>
          <t>Retirement</t>
        </is>
      </c>
      <c r="D7" s="27" t="n">
        <v>86000</v>
      </c>
      <c r="F7" s="17" t="inlineStr">
        <is>
          <t>Net Worth</t>
        </is>
      </c>
      <c r="G7" s="28">
        <f>TotalAssets-TotalDebts</f>
        <v/>
      </c>
    </row>
    <row r="8">
      <c r="A8" s="23" t="inlineStr">
        <is>
          <t>Roth IRA</t>
        </is>
      </c>
      <c r="B8" s="24" t="inlineStr">
        <is>
          <t>Asset</t>
        </is>
      </c>
      <c r="C8" s="24" t="inlineStr">
        <is>
          <t>Retirement</t>
        </is>
      </c>
      <c r="D8" s="29" t="n">
        <v>24000</v>
      </c>
      <c r="F8" s="17" t="inlineStr">
        <is>
          <t>Cash &amp; Savings</t>
        </is>
      </c>
      <c r="G8" s="28">
        <f>SUMIFS(SnapValue,SnapType,"Asset",SnapCat,"Cash &amp; Savings")</f>
        <v/>
      </c>
    </row>
    <row r="9">
      <c r="A9" s="19" t="inlineStr">
        <is>
          <t>Brokerage account</t>
        </is>
      </c>
      <c r="B9" s="20" t="inlineStr">
        <is>
          <t>Asset</t>
        </is>
      </c>
      <c r="C9" s="20" t="inlineStr">
        <is>
          <t>Investments</t>
        </is>
      </c>
      <c r="D9" s="27" t="n">
        <v>31000</v>
      </c>
    </row>
    <row r="10">
      <c r="A10" s="23" t="inlineStr">
        <is>
          <t>Home (equity est.)</t>
        </is>
      </c>
      <c r="B10" s="24" t="inlineStr">
        <is>
          <t>Asset</t>
        </is>
      </c>
      <c r="C10" s="24" t="inlineStr">
        <is>
          <t>Property</t>
        </is>
      </c>
      <c r="D10" s="29" t="n">
        <v>140000</v>
      </c>
    </row>
    <row r="11">
      <c r="A11" s="19" t="inlineStr">
        <is>
          <t>Vehicle 1</t>
        </is>
      </c>
      <c r="B11" s="20" t="inlineStr">
        <is>
          <t>Asset</t>
        </is>
      </c>
      <c r="C11" s="20" t="inlineStr">
        <is>
          <t>Vehicles</t>
        </is>
      </c>
      <c r="D11" s="27" t="n">
        <v>18000</v>
      </c>
      <c r="F11" s="4" t="inlineStr">
        <is>
          <t>ASSET ALLOCATION</t>
        </is>
      </c>
    </row>
    <row r="12">
      <c r="A12" s="23" t="inlineStr">
        <is>
          <t>Vehicle 2</t>
        </is>
      </c>
      <c r="B12" s="24" t="inlineStr">
        <is>
          <t>Asset</t>
        </is>
      </c>
      <c r="C12" s="24" t="inlineStr">
        <is>
          <t>Vehicles</t>
        </is>
      </c>
      <c r="D12" s="29" t="n">
        <v>9000</v>
      </c>
      <c r="F12" s="7" t="inlineStr">
        <is>
          <t>Category</t>
        </is>
      </c>
      <c r="G12" s="7" t="inlineStr">
        <is>
          <t>Value</t>
        </is>
      </c>
    </row>
    <row r="13">
      <c r="A13" s="19" t="inlineStr">
        <is>
          <t>Mortgage</t>
        </is>
      </c>
      <c r="B13" s="20" t="inlineStr">
        <is>
          <t>Debt</t>
        </is>
      </c>
      <c r="C13" s="20" t="inlineStr">
        <is>
          <t>Property</t>
        </is>
      </c>
      <c r="D13" s="27" t="n">
        <v>215000</v>
      </c>
      <c r="F13" s="30" t="inlineStr">
        <is>
          <t>Cash &amp; Savings</t>
        </is>
      </c>
      <c r="G13" s="31">
        <f>SUMIFS(SnapValue,SnapType,"Asset",SnapCat,F13)</f>
        <v/>
      </c>
    </row>
    <row r="14">
      <c r="A14" s="23" t="inlineStr">
        <is>
          <t>Auto loan</t>
        </is>
      </c>
      <c r="B14" s="24" t="inlineStr">
        <is>
          <t>Debt</t>
        </is>
      </c>
      <c r="C14" s="24" t="inlineStr">
        <is>
          <t>Vehicles</t>
        </is>
      </c>
      <c r="D14" s="29" t="n">
        <v>11000</v>
      </c>
      <c r="F14" s="30" t="inlineStr">
        <is>
          <t>Investments</t>
        </is>
      </c>
      <c r="G14" s="31">
        <f>SUMIFS(SnapValue,SnapType,"Asset",SnapCat,F14)</f>
        <v/>
      </c>
    </row>
    <row r="15">
      <c r="A15" s="19" t="inlineStr">
        <is>
          <t>Credit card 1</t>
        </is>
      </c>
      <c r="B15" s="20" t="inlineStr">
        <is>
          <t>Debt</t>
        </is>
      </c>
      <c r="C15" s="20" t="inlineStr">
        <is>
          <t>Other</t>
        </is>
      </c>
      <c r="D15" s="27" t="n">
        <v>4200</v>
      </c>
      <c r="F15" s="30" t="inlineStr">
        <is>
          <t>Retirement</t>
        </is>
      </c>
      <c r="G15" s="31">
        <f>SUMIFS(SnapValue,SnapType,"Asset",SnapCat,F15)</f>
        <v/>
      </c>
    </row>
    <row r="16">
      <c r="A16" s="23" t="inlineStr">
        <is>
          <t>Credit card 2</t>
        </is>
      </c>
      <c r="B16" s="24" t="inlineStr">
        <is>
          <t>Debt</t>
        </is>
      </c>
      <c r="C16" s="24" t="inlineStr">
        <is>
          <t>Other</t>
        </is>
      </c>
      <c r="D16" s="29" t="n">
        <v>1800</v>
      </c>
      <c r="F16" s="30" t="inlineStr">
        <is>
          <t>Property</t>
        </is>
      </c>
      <c r="G16" s="31">
        <f>SUMIFS(SnapValue,SnapType,"Asset",SnapCat,F16)</f>
        <v/>
      </c>
    </row>
    <row r="17">
      <c r="A17" s="19" t="inlineStr">
        <is>
          <t>Student loan</t>
        </is>
      </c>
      <c r="B17" s="20" t="inlineStr">
        <is>
          <t>Debt</t>
        </is>
      </c>
      <c r="C17" s="20" t="inlineStr">
        <is>
          <t>Other</t>
        </is>
      </c>
      <c r="D17" s="27" t="n">
        <v>9500</v>
      </c>
      <c r="F17" s="30" t="inlineStr">
        <is>
          <t>Vehicles</t>
        </is>
      </c>
      <c r="G17" s="31">
        <f>SUMIFS(SnapValue,SnapType,"Asset",SnapCat,F17)</f>
        <v/>
      </c>
    </row>
    <row r="18">
      <c r="A18" s="23" t="n"/>
      <c r="B18" s="24" t="n"/>
      <c r="C18" s="24" t="n"/>
      <c r="D18" s="29" t="n"/>
      <c r="F18" s="30" t="inlineStr">
        <is>
          <t>Other</t>
        </is>
      </c>
      <c r="G18" s="31">
        <f>SUMIFS(SnapValue,SnapType,"Asset",SnapCat,F18)</f>
        <v/>
      </c>
    </row>
    <row r="19">
      <c r="A19" s="19" t="n"/>
      <c r="B19" s="20" t="n"/>
      <c r="C19" s="20" t="n"/>
      <c r="D19" s="27" t="n"/>
    </row>
    <row r="20">
      <c r="A20" s="23" t="n"/>
      <c r="B20" s="24" t="n"/>
      <c r="C20" s="24" t="n"/>
      <c r="D20" s="29" t="n"/>
    </row>
    <row r="21">
      <c r="A21" s="19" t="n"/>
      <c r="B21" s="20" t="n"/>
      <c r="C21" s="20" t="n"/>
      <c r="D21" s="27" t="n"/>
    </row>
    <row r="22">
      <c r="A22" s="23" t="n"/>
      <c r="B22" s="24" t="n"/>
      <c r="C22" s="24" t="n"/>
      <c r="D22" s="29" t="n"/>
      <c r="F22" s="30" t="inlineStr">
        <is>
          <t>Assets</t>
        </is>
      </c>
      <c r="G22" s="32">
        <f>TotalAssets</f>
        <v/>
      </c>
    </row>
    <row r="23">
      <c r="A23" s="19" t="n"/>
      <c r="B23" s="20" t="n"/>
      <c r="C23" s="20" t="n"/>
      <c r="D23" s="27" t="n"/>
      <c r="F23" s="30" t="inlineStr">
        <is>
          <t>Debts</t>
        </is>
      </c>
      <c r="G23" s="32">
        <f>TotalDebts</f>
        <v/>
      </c>
    </row>
    <row r="24">
      <c r="A24" s="23" t="n"/>
      <c r="B24" s="24" t="n"/>
      <c r="C24" s="24" t="n"/>
      <c r="D24" s="29" t="n"/>
    </row>
    <row r="25">
      <c r="A25" s="19" t="n"/>
      <c r="B25" s="20" t="n"/>
      <c r="C25" s="20" t="n"/>
      <c r="D25" s="27" t="n"/>
    </row>
    <row r="26">
      <c r="A26" s="23" t="n"/>
      <c r="B26" s="24" t="n"/>
      <c r="C26" s="24" t="n"/>
      <c r="D26" s="29" t="n"/>
    </row>
    <row r="27">
      <c r="A27" s="19" t="n"/>
      <c r="B27" s="20" t="n"/>
      <c r="C27" s="20" t="n"/>
      <c r="D27" s="27" t="n"/>
    </row>
    <row r="28">
      <c r="A28" s="23" t="n"/>
      <c r="B28" s="24" t="n"/>
      <c r="C28" s="24" t="n"/>
      <c r="D28" s="29" t="n"/>
    </row>
    <row r="29">
      <c r="A29" s="19" t="n"/>
      <c r="B29" s="20" t="n"/>
      <c r="C29" s="20" t="n"/>
      <c r="D29" s="27" t="n"/>
    </row>
    <row r="30">
      <c r="A30" s="23" t="n"/>
      <c r="B30" s="24" t="n"/>
      <c r="C30" s="24" t="n"/>
      <c r="D30" s="29" t="n"/>
    </row>
    <row r="31">
      <c r="A31" s="19" t="n"/>
      <c r="B31" s="20" t="n"/>
      <c r="C31" s="20" t="n"/>
      <c r="D31" s="27" t="n"/>
    </row>
    <row r="32">
      <c r="A32" s="23" t="n"/>
      <c r="B32" s="24" t="n"/>
      <c r="C32" s="24" t="n"/>
      <c r="D32" s="29" t="n"/>
    </row>
    <row r="33">
      <c r="A33" s="19" t="n"/>
      <c r="B33" s="20" t="n"/>
      <c r="C33" s="20" t="n"/>
      <c r="D33" s="27" t="n"/>
    </row>
    <row r="34">
      <c r="A34" s="23" t="n"/>
      <c r="B34" s="24" t="n"/>
      <c r="C34" s="24" t="n"/>
      <c r="D34" s="29" t="n"/>
    </row>
  </sheetData>
  <mergeCells count="4">
    <mergeCell ref="F4:G4"/>
    <mergeCell ref="A2:G2"/>
    <mergeCell ref="F11:G11"/>
    <mergeCell ref="A1:G1"/>
  </mergeCells>
  <dataValidations count="2">
    <dataValidation sqref="B5:B34" showDropDown="0" showInputMessage="0" showErrorMessage="0" allowBlank="1" type="list">
      <formula1>=AssetTypeList</formula1>
    </dataValidation>
    <dataValidation sqref="C5:C34" showDropDown="0" showInputMessage="0" showErrorMessage="0" allowBlank="1" type="list">
      <formula1>=AssetCatList</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E5D3BA"/>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4" customWidth="1" min="6" max="6"/>
    <col width="22" customWidth="1" min="7" max="7"/>
    <col width="18" customWidth="1" min="8" max="8"/>
  </cols>
  <sheetData>
    <row r="1" ht="46" customHeight="1">
      <c r="A1" s="1" t="inlineStr">
        <is>
          <t xml:space="preserve">  📊  MONTHLY BUDGET</t>
        </is>
      </c>
    </row>
    <row r="2" ht="22" customHeight="1">
      <c r="A2" s="2" t="inlineStr">
        <is>
          <t xml:space="preserve">  Plan vs actual by category. Actuals pull from your Expense Tracker.</t>
        </is>
      </c>
    </row>
    <row r="3" ht="6" customHeight="1">
      <c r="A3" s="3" t="n"/>
      <c r="B3" s="3" t="n"/>
      <c r="C3" s="3" t="n"/>
      <c r="D3" s="3" t="n"/>
      <c r="E3" s="3" t="n"/>
      <c r="F3" s="3" t="n"/>
      <c r="G3" s="3" t="n"/>
      <c r="H3" s="3" t="n"/>
    </row>
    <row r="4" ht="30" customHeight="1">
      <c r="A4" s="7" t="inlineStr">
        <is>
          <t>Category</t>
        </is>
      </c>
      <c r="B4" s="7" t="inlineStr">
        <is>
          <t>Planned</t>
        </is>
      </c>
      <c r="C4" s="7" t="inlineStr">
        <is>
          <t>Actual</t>
        </is>
      </c>
      <c r="D4" s="7" t="inlineStr">
        <is>
          <t>Remaining</t>
        </is>
      </c>
      <c r="E4" s="7" t="inlineStr">
        <is>
          <t>% Used</t>
        </is>
      </c>
      <c r="G4" s="4" t="inlineStr">
        <is>
          <t>THIS MONTH</t>
        </is>
      </c>
    </row>
    <row r="5">
      <c r="A5" s="30" t="inlineStr">
        <is>
          <t>Housing</t>
        </is>
      </c>
      <c r="B5" s="33" t="n">
        <v>1500</v>
      </c>
      <c r="C5" s="31">
        <f>IFERROR(SUMIF(ExpCat,A5,ExpAmount),0)</f>
        <v/>
      </c>
      <c r="D5" s="34">
        <f>B5-C5</f>
        <v/>
      </c>
      <c r="E5" s="35">
        <f>IFERROR(C5/B5,0)</f>
        <v/>
      </c>
      <c r="G5" s="17" t="inlineStr">
        <is>
          <t>Planned</t>
        </is>
      </c>
      <c r="H5" s="36">
        <f>BudgetTotalPlanned</f>
        <v/>
      </c>
    </row>
    <row r="6">
      <c r="A6" s="23" t="inlineStr">
        <is>
          <t>Utilities</t>
        </is>
      </c>
      <c r="B6" s="37" t="n">
        <v>260</v>
      </c>
      <c r="C6" s="29">
        <f>IFERROR(SUMIF(ExpCat,A6,ExpAmount),0)</f>
        <v/>
      </c>
      <c r="D6" s="38">
        <f>B6-C6</f>
        <v/>
      </c>
      <c r="E6" s="39">
        <f>IFERROR(C6/B6,0)</f>
        <v/>
      </c>
      <c r="G6" s="17" t="inlineStr">
        <is>
          <t>Actual</t>
        </is>
      </c>
      <c r="H6" s="36">
        <f>BudgetTotalActual</f>
        <v/>
      </c>
    </row>
    <row r="7">
      <c r="A7" s="30" t="inlineStr">
        <is>
          <t>Food</t>
        </is>
      </c>
      <c r="B7" s="33" t="n">
        <v>600</v>
      </c>
      <c r="C7" s="31">
        <f>IFERROR(SUMIF(ExpCat,A7,ExpAmount),0)</f>
        <v/>
      </c>
      <c r="D7" s="34">
        <f>B7-C7</f>
        <v/>
      </c>
      <c r="E7" s="35">
        <f>IFERROR(C7/B7,0)</f>
        <v/>
      </c>
      <c r="G7" s="17" t="inlineStr">
        <is>
          <t>Remaining</t>
        </is>
      </c>
      <c r="H7" s="36">
        <f>BudgetTotalPlanned-BudgetTotalActual</f>
        <v/>
      </c>
    </row>
    <row r="8">
      <c r="A8" s="23" t="inlineStr">
        <is>
          <t>Transportation</t>
        </is>
      </c>
      <c r="B8" s="37" t="n">
        <v>320</v>
      </c>
      <c r="C8" s="29">
        <f>IFERROR(SUMIF(ExpCat,A8,ExpAmount),0)</f>
        <v/>
      </c>
      <c r="D8" s="38">
        <f>B8-C8</f>
        <v/>
      </c>
      <c r="E8" s="39">
        <f>IFERROR(C8/B8,0)</f>
        <v/>
      </c>
    </row>
    <row r="9">
      <c r="A9" s="30" t="inlineStr">
        <is>
          <t>Insurance</t>
        </is>
      </c>
      <c r="B9" s="33" t="n">
        <v>280</v>
      </c>
      <c r="C9" s="31">
        <f>IFERROR(SUMIF(ExpCat,A9,ExpAmount),0)</f>
        <v/>
      </c>
      <c r="D9" s="34">
        <f>B9-C9</f>
        <v/>
      </c>
      <c r="E9" s="35">
        <f>IFERROR(C9/B9,0)</f>
        <v/>
      </c>
    </row>
    <row r="10">
      <c r="A10" s="23" t="inlineStr">
        <is>
          <t>Child Expenses</t>
        </is>
      </c>
      <c r="B10" s="37" t="n">
        <v>450</v>
      </c>
      <c r="C10" s="29">
        <f>IFERROR(SUMIF(ExpCat,A10,ExpAmount),0)</f>
        <v/>
      </c>
      <c r="D10" s="38">
        <f>B10-C10</f>
        <v/>
      </c>
      <c r="E10" s="39">
        <f>IFERROR(C10/B10,0)</f>
        <v/>
      </c>
    </row>
    <row r="11">
      <c r="A11" s="30" t="inlineStr">
        <is>
          <t>Healthcare</t>
        </is>
      </c>
      <c r="B11" s="33" t="n">
        <v>180</v>
      </c>
      <c r="C11" s="31">
        <f>IFERROR(SUMIF(ExpCat,A11,ExpAmount),0)</f>
        <v/>
      </c>
      <c r="D11" s="34">
        <f>B11-C11</f>
        <v/>
      </c>
      <c r="E11" s="35">
        <f>IFERROR(C11/B11,0)</f>
        <v/>
      </c>
    </row>
    <row r="12">
      <c r="A12" s="23" t="inlineStr">
        <is>
          <t>Entertainment</t>
        </is>
      </c>
      <c r="B12" s="37" t="n">
        <v>150</v>
      </c>
      <c r="C12" s="29">
        <f>IFERROR(SUMIF(ExpCat,A12,ExpAmount),0)</f>
        <v/>
      </c>
      <c r="D12" s="38">
        <f>B12-C12</f>
        <v/>
      </c>
      <c r="E12" s="39">
        <f>IFERROR(C12/B12,0)</f>
        <v/>
      </c>
    </row>
    <row r="13">
      <c r="A13" s="30" t="inlineStr">
        <is>
          <t>Savings</t>
        </is>
      </c>
      <c r="B13" s="33" t="n">
        <v>400</v>
      </c>
      <c r="C13" s="31">
        <f>IFERROR(SUMIF(ExpCat,A13,ExpAmount),0)</f>
        <v/>
      </c>
      <c r="D13" s="34">
        <f>B13-C13</f>
        <v/>
      </c>
      <c r="E13" s="35">
        <f>IFERROR(C13/B13,0)</f>
        <v/>
      </c>
    </row>
    <row r="14">
      <c r="A14" s="23" t="inlineStr">
        <is>
          <t>Miscellaneous</t>
        </is>
      </c>
      <c r="B14" s="37" t="n">
        <v>160</v>
      </c>
      <c r="C14" s="29">
        <f>IFERROR(SUMIF(ExpCat,A14,ExpAmount),0)</f>
        <v/>
      </c>
      <c r="D14" s="38">
        <f>B14-C14</f>
        <v/>
      </c>
      <c r="E14" s="39">
        <f>IFERROR(C14/B14,0)</f>
        <v/>
      </c>
    </row>
    <row r="15">
      <c r="A15" s="7" t="inlineStr">
        <is>
          <t>TOTAL</t>
        </is>
      </c>
      <c r="B15" s="40">
        <f>SUM(B5:B14)</f>
        <v/>
      </c>
      <c r="C15" s="40">
        <f>SUM(C5:C14)</f>
        <v/>
      </c>
      <c r="D15" s="40">
        <f>SUM(D5:D14)</f>
        <v/>
      </c>
      <c r="E15" s="41">
        <f>IFERROR(C15/B15,0)</f>
        <v/>
      </c>
    </row>
  </sheetData>
  <mergeCells count="2">
    <mergeCell ref="A2:H2"/>
    <mergeCell ref="A1:H1"/>
  </mergeCells>
  <conditionalFormatting sqref="E5:E14">
    <cfRule type="dataBar" priority="1">
      <dataBar showValue="1">
        <cfvo type="num" val="0"/>
        <cfvo type="num" val="1"/>
        <color rgb="001B4F48"/>
      </dataBar>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1B4F48"/>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6" customWidth="1" min="3" max="3"/>
    <col width="12" customWidth="1" min="4" max="4"/>
    <col width="26" customWidth="1" min="5" max="5"/>
  </cols>
  <sheetData>
    <row r="1" ht="46" customHeight="1">
      <c r="A1" s="1" t="inlineStr">
        <is>
          <t xml:space="preserve">  🏠  PROPERTY &amp; ASSET INVENTORY</t>
        </is>
      </c>
    </row>
    <row r="2" ht="22" customHeight="1">
      <c r="A2" s="2" t="inlineStr">
        <is>
          <t xml:space="preserve">  Document what you own, its value, and who it belongs to.</t>
        </is>
      </c>
    </row>
    <row r="3" ht="6" customHeight="1">
      <c r="A3" s="3" t="n"/>
      <c r="B3" s="3" t="n"/>
      <c r="C3" s="3" t="n"/>
      <c r="D3" s="3" t="n"/>
      <c r="E3" s="3" t="n"/>
    </row>
    <row r="4" ht="30" customHeight="1">
      <c r="A4" s="7" t="inlineStr">
        <is>
          <t>Item / Description</t>
        </is>
      </c>
      <c r="B4" s="7" t="inlineStr">
        <is>
          <t>Category</t>
        </is>
      </c>
      <c r="C4" s="7" t="inlineStr">
        <is>
          <t>Estimated Value</t>
        </is>
      </c>
      <c r="D4" s="7" t="inlineStr">
        <is>
          <t>Owner</t>
        </is>
      </c>
      <c r="E4" s="7" t="inlineStr">
        <is>
          <t>Notes</t>
        </is>
      </c>
    </row>
    <row r="5">
      <c r="A5" s="19" t="inlineStr">
        <is>
          <t>Family home</t>
        </is>
      </c>
      <c r="B5" s="20" t="inlineStr">
        <is>
          <t>Property</t>
        </is>
      </c>
      <c r="C5" s="27" t="n">
        <v>360000</v>
      </c>
      <c r="D5" s="20" t="inlineStr">
        <is>
          <t>Joint</t>
        </is>
      </c>
      <c r="E5" s="19" t="inlineStr">
        <is>
          <t>Mortgage on Finances tab</t>
        </is>
      </c>
    </row>
    <row r="6">
      <c r="A6" s="23" t="inlineStr">
        <is>
          <t>Vehicle 1 (SUV)</t>
        </is>
      </c>
      <c r="B6" s="24" t="inlineStr">
        <is>
          <t>Vehicle</t>
        </is>
      </c>
      <c r="C6" s="29" t="n">
        <v>18000</v>
      </c>
      <c r="D6" s="24" t="inlineStr">
        <is>
          <t>Me</t>
        </is>
      </c>
      <c r="E6" s="23" t="inlineStr"/>
    </row>
    <row r="7">
      <c r="A7" s="19" t="inlineStr">
        <is>
          <t>Vehicle 2 (Sedan)</t>
        </is>
      </c>
      <c r="B7" s="20" t="inlineStr">
        <is>
          <t>Vehicle</t>
        </is>
      </c>
      <c r="C7" s="27" t="n">
        <v>9000</v>
      </c>
      <c r="D7" s="20" t="inlineStr">
        <is>
          <t>Ex</t>
        </is>
      </c>
      <c r="E7" s="19" t="inlineStr"/>
    </row>
    <row r="8">
      <c r="A8" s="23" t="inlineStr">
        <is>
          <t>Living room furniture</t>
        </is>
      </c>
      <c r="B8" s="24" t="inlineStr">
        <is>
          <t>Furniture</t>
        </is>
      </c>
      <c r="C8" s="29" t="n">
        <v>3500</v>
      </c>
      <c r="D8" s="24" t="inlineStr">
        <is>
          <t>Joint</t>
        </is>
      </c>
      <c r="E8" s="23" t="inlineStr">
        <is>
          <t>Photos saved</t>
        </is>
      </c>
    </row>
    <row r="9">
      <c r="A9" s="19" t="inlineStr">
        <is>
          <t>Electronics (TVs, laptops)</t>
        </is>
      </c>
      <c r="B9" s="20" t="inlineStr">
        <is>
          <t>Electronics</t>
        </is>
      </c>
      <c r="C9" s="27" t="n">
        <v>2800</v>
      </c>
      <c r="D9" s="20" t="inlineStr">
        <is>
          <t>Joint</t>
        </is>
      </c>
      <c r="E9" s="19" t="inlineStr"/>
    </row>
    <row r="10">
      <c r="A10" s="23" t="inlineStr">
        <is>
          <t>Jewelry</t>
        </is>
      </c>
      <c r="B10" s="24" t="inlineStr">
        <is>
          <t>Jewelry</t>
        </is>
      </c>
      <c r="C10" s="29" t="n">
        <v>4200</v>
      </c>
      <c r="D10" s="24" t="inlineStr">
        <is>
          <t>Me</t>
        </is>
      </c>
      <c r="E10" s="23" t="inlineStr">
        <is>
          <t>Appraisal pending</t>
        </is>
      </c>
    </row>
    <row r="11">
      <c r="A11" s="19" t="inlineStr">
        <is>
          <t>Investment account</t>
        </is>
      </c>
      <c r="B11" s="20" t="inlineStr">
        <is>
          <t>Investments</t>
        </is>
      </c>
      <c r="C11" s="27" t="n">
        <v>31000</v>
      </c>
      <c r="D11" s="20" t="inlineStr">
        <is>
          <t>Joint</t>
        </is>
      </c>
      <c r="E11" s="19" t="inlineStr">
        <is>
          <t>See Finances</t>
        </is>
      </c>
    </row>
    <row r="12">
      <c r="A12" s="23" t="inlineStr">
        <is>
          <t>Collectibles</t>
        </is>
      </c>
      <c r="B12" s="24" t="inlineStr">
        <is>
          <t>Collectibles</t>
        </is>
      </c>
      <c r="C12" s="29" t="n">
        <v>1500</v>
      </c>
      <c r="D12" s="24" t="inlineStr">
        <is>
          <t>Me</t>
        </is>
      </c>
      <c r="E12" s="23" t="inlineStr"/>
    </row>
    <row r="13">
      <c r="A13" s="19" t="n"/>
      <c r="B13" s="20" t="n"/>
      <c r="C13" s="27" t="n"/>
      <c r="D13" s="20" t="n"/>
      <c r="E13" s="19" t="n"/>
    </row>
    <row r="14">
      <c r="A14" s="23" t="n"/>
      <c r="B14" s="24" t="n"/>
      <c r="C14" s="29" t="n"/>
      <c r="D14" s="24" t="n"/>
      <c r="E14" s="23" t="n"/>
    </row>
    <row r="15">
      <c r="A15" s="19" t="n"/>
      <c r="B15" s="20" t="n"/>
      <c r="C15" s="27" t="n"/>
      <c r="D15" s="20" t="n"/>
      <c r="E15" s="19" t="n"/>
    </row>
    <row r="16">
      <c r="A16" s="23" t="n"/>
      <c r="B16" s="24" t="n"/>
      <c r="C16" s="29" t="n"/>
      <c r="D16" s="24" t="n"/>
      <c r="E16" s="23" t="n"/>
    </row>
    <row r="17">
      <c r="A17" s="19" t="n"/>
      <c r="B17" s="20" t="n"/>
      <c r="C17" s="27" t="n"/>
      <c r="D17" s="20" t="n"/>
      <c r="E17" s="19" t="n"/>
    </row>
    <row r="18">
      <c r="A18" s="23" t="n"/>
      <c r="B18" s="24" t="n"/>
      <c r="C18" s="29" t="n"/>
      <c r="D18" s="24" t="n"/>
      <c r="E18" s="23" t="n"/>
    </row>
    <row r="19">
      <c r="A19" s="19" t="n"/>
      <c r="B19" s="20" t="n"/>
      <c r="C19" s="27" t="n"/>
      <c r="D19" s="20" t="n"/>
      <c r="E19" s="19" t="n"/>
    </row>
    <row r="20">
      <c r="A20" s="23" t="n"/>
      <c r="B20" s="24" t="n"/>
      <c r="C20" s="29" t="n"/>
      <c r="D20" s="24" t="n"/>
      <c r="E20" s="23" t="n"/>
    </row>
    <row r="21">
      <c r="A21" s="19" t="n"/>
      <c r="B21" s="20" t="n"/>
      <c r="C21" s="27" t="n"/>
      <c r="D21" s="20" t="n"/>
      <c r="E21" s="19" t="n"/>
    </row>
    <row r="22">
      <c r="A22" s="23" t="n"/>
      <c r="B22" s="24" t="n"/>
      <c r="C22" s="29" t="n"/>
      <c r="D22" s="24" t="n"/>
      <c r="E22" s="23" t="n"/>
    </row>
    <row r="23">
      <c r="A23" s="19" t="n"/>
      <c r="B23" s="20" t="n"/>
      <c r="C23" s="27" t="n"/>
      <c r="D23" s="20" t="n"/>
      <c r="E23" s="19" t="n"/>
    </row>
    <row r="24">
      <c r="A24" s="23" t="n"/>
      <c r="B24" s="24" t="n"/>
      <c r="C24" s="29" t="n"/>
      <c r="D24" s="24" t="n"/>
      <c r="E24" s="23" t="n"/>
    </row>
    <row r="25">
      <c r="A25" s="19" t="n"/>
      <c r="B25" s="20" t="n"/>
      <c r="C25" s="27" t="n"/>
      <c r="D25" s="20" t="n"/>
      <c r="E25" s="19" t="n"/>
    </row>
    <row r="26">
      <c r="A26" s="23" t="n"/>
      <c r="B26" s="24" t="n"/>
      <c r="C26" s="29" t="n"/>
      <c r="D26" s="24" t="n"/>
      <c r="E26" s="23" t="n"/>
    </row>
    <row r="27">
      <c r="A27" s="19" t="n"/>
      <c r="B27" s="20" t="n"/>
      <c r="C27" s="27" t="n"/>
      <c r="D27" s="20" t="n"/>
      <c r="E27" s="19" t="n"/>
    </row>
    <row r="28">
      <c r="A28" s="23" t="n"/>
      <c r="B28" s="24" t="n"/>
      <c r="C28" s="29" t="n"/>
      <c r="D28" s="24" t="n"/>
      <c r="E28" s="23" t="n"/>
    </row>
    <row r="29">
      <c r="A29" s="19" t="n"/>
      <c r="B29" s="20" t="n"/>
      <c r="C29" s="27" t="n"/>
      <c r="D29" s="20" t="n"/>
      <c r="E29" s="19" t="n"/>
    </row>
    <row r="30">
      <c r="A30" s="23" t="n"/>
      <c r="B30" s="24" t="n"/>
      <c r="C30" s="29" t="n"/>
      <c r="D30" s="24" t="n"/>
      <c r="E30" s="23" t="n"/>
    </row>
    <row r="31">
      <c r="A31" s="19" t="n"/>
      <c r="B31" s="20" t="n"/>
      <c r="C31" s="27" t="n"/>
      <c r="D31" s="20" t="n"/>
      <c r="E31" s="19" t="n"/>
    </row>
    <row r="32">
      <c r="A32" s="23" t="n"/>
      <c r="B32" s="24" t="n"/>
      <c r="C32" s="29" t="n"/>
      <c r="D32" s="24" t="n"/>
      <c r="E32" s="23" t="n"/>
    </row>
    <row r="33">
      <c r="A33" s="19" t="n"/>
      <c r="B33" s="20" t="n"/>
      <c r="C33" s="27" t="n"/>
      <c r="D33" s="20" t="n"/>
      <c r="E33" s="19" t="n"/>
    </row>
    <row r="34">
      <c r="A34" s="23" t="n"/>
      <c r="B34" s="24" t="n"/>
      <c r="C34" s="29" t="n"/>
      <c r="D34" s="24" t="n"/>
      <c r="E34" s="23" t="n"/>
    </row>
    <row r="35">
      <c r="A35" s="19" t="n"/>
      <c r="B35" s="20" t="n"/>
      <c r="C35" s="27" t="n"/>
      <c r="D35" s="20" t="n"/>
      <c r="E35" s="19" t="n"/>
    </row>
    <row r="36">
      <c r="A36" s="23" t="n"/>
      <c r="B36" s="24" t="n"/>
      <c r="C36" s="29" t="n"/>
      <c r="D36" s="24" t="n"/>
      <c r="E36" s="23" t="n"/>
    </row>
    <row r="37">
      <c r="A37" s="19" t="n"/>
      <c r="B37" s="20" t="n"/>
      <c r="C37" s="27" t="n"/>
      <c r="D37" s="20" t="n"/>
      <c r="E37" s="19" t="n"/>
    </row>
    <row r="38">
      <c r="A38" s="23" t="n"/>
      <c r="B38" s="24" t="n"/>
      <c r="C38" s="29" t="n"/>
      <c r="D38" s="24" t="n"/>
      <c r="E38" s="23" t="n"/>
    </row>
    <row r="39">
      <c r="A39" s="19" t="n"/>
      <c r="B39" s="20" t="n"/>
      <c r="C39" s="27" t="n"/>
      <c r="D39" s="20" t="n"/>
      <c r="E39" s="19" t="n"/>
    </row>
    <row r="40">
      <c r="A40" s="23" t="n"/>
      <c r="B40" s="24" t="n"/>
      <c r="C40" s="29" t="n"/>
      <c r="D40" s="24" t="n"/>
      <c r="E40" s="23" t="n"/>
    </row>
    <row r="41">
      <c r="A41" s="19" t="n"/>
      <c r="B41" s="20" t="n"/>
      <c r="C41" s="27" t="n"/>
      <c r="D41" s="20" t="n"/>
      <c r="E41" s="19" t="n"/>
    </row>
    <row r="42">
      <c r="A42" s="23" t="n"/>
      <c r="B42" s="24" t="n"/>
      <c r="C42" s="29" t="n"/>
      <c r="D42" s="24" t="n"/>
      <c r="E42" s="23" t="n"/>
    </row>
    <row r="43">
      <c r="A43" s="19" t="n"/>
      <c r="B43" s="20" t="n"/>
      <c r="C43" s="27" t="n"/>
      <c r="D43" s="20" t="n"/>
      <c r="E43" s="19" t="n"/>
    </row>
    <row r="44">
      <c r="A44" s="23" t="n"/>
      <c r="B44" s="24" t="n"/>
      <c r="C44" s="29" t="n"/>
      <c r="D44" s="24" t="n"/>
      <c r="E44" s="23" t="n"/>
    </row>
  </sheetData>
  <mergeCells count="2">
    <mergeCell ref="A2:E2"/>
    <mergeCell ref="A1:E1"/>
  </mergeCells>
  <dataValidations count="1">
    <dataValidation sqref="D5:D44" showDropDown="0" showInputMessage="0" showErrorMessage="0" allowBlank="1" type="list">
      <formula1>=OwnerList</formula1>
    </dataValidation>
  </dataValidations>
  <pageMargins left="0.75" right="0.75" top="1" bottom="1" header="0.5" footer="0.5"/>
</worksheet>
</file>

<file path=xl/worksheets/sheet10.xml><?xml version="1.0" encoding="utf-8"?>
<worksheet xmlns="http://schemas.openxmlformats.org/spreadsheetml/2006/main">
  <sheetPr>
    <tabColor rgb="00937356"/>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6" customWidth="1" min="4" max="4"/>
    <col width="12" customWidth="1" min="5" max="5"/>
    <col width="16" customWidth="1" min="6" max="6"/>
    <col width="16" customWidth="1" min="7" max="7"/>
  </cols>
  <sheetData>
    <row r="1" ht="46" customHeight="1">
      <c r="A1" s="1" t="inlineStr">
        <is>
          <t xml:space="preserve">  💳  DEBT TRACKER</t>
        </is>
      </c>
    </row>
    <row r="2" ht="22" customHeight="1">
      <c r="A2" s="2" t="inlineStr">
        <is>
          <t xml:space="preserve">  Track balances, payments, and who's responsible for each.</t>
        </is>
      </c>
    </row>
    <row r="3" ht="6" customHeight="1">
      <c r="A3" s="3" t="n"/>
      <c r="B3" s="3" t="n"/>
      <c r="C3" s="3" t="n"/>
      <c r="D3" s="3" t="n"/>
      <c r="E3" s="3" t="n"/>
      <c r="F3" s="3" t="n"/>
      <c r="G3" s="3" t="n"/>
    </row>
    <row r="4" ht="30" customHeight="1">
      <c r="A4" s="7" t="inlineStr">
        <is>
          <t>Creditor</t>
        </is>
      </c>
      <c r="B4" s="7" t="inlineStr">
        <is>
          <t>Balance</t>
        </is>
      </c>
      <c r="C4" s="7" t="inlineStr">
        <is>
          <t>Interest %</t>
        </is>
      </c>
      <c r="D4" s="7" t="inlineStr">
        <is>
          <t>Monthly Payment</t>
        </is>
      </c>
      <c r="E4" s="7" t="inlineStr">
        <is>
          <t>Due Date</t>
        </is>
      </c>
      <c r="F4" s="7" t="inlineStr">
        <is>
          <t>Responsibility</t>
        </is>
      </c>
      <c r="G4" s="7" t="inlineStr">
        <is>
          <t>Status</t>
        </is>
      </c>
    </row>
    <row r="5">
      <c r="A5" s="19" t="inlineStr">
        <is>
          <t>Mortgage lender</t>
        </is>
      </c>
      <c r="B5" s="27" t="n">
        <v>215000</v>
      </c>
      <c r="C5" s="42" t="n">
        <v>0.0625</v>
      </c>
      <c r="D5" s="27" t="n">
        <v>1450</v>
      </c>
      <c r="E5" s="20" t="inlineStr">
        <is>
          <t>1st</t>
        </is>
      </c>
      <c r="F5" s="20" t="inlineStr">
        <is>
          <t>Joint</t>
        </is>
      </c>
      <c r="G5" s="19" t="inlineStr">
        <is>
          <t>Current</t>
        </is>
      </c>
    </row>
    <row r="6">
      <c r="A6" s="23" t="inlineStr">
        <is>
          <t>Auto loan</t>
        </is>
      </c>
      <c r="B6" s="29" t="n">
        <v>11000</v>
      </c>
      <c r="C6" s="43" t="n">
        <v>0.049</v>
      </c>
      <c r="D6" s="29" t="n">
        <v>320</v>
      </c>
      <c r="E6" s="24" t="inlineStr">
        <is>
          <t>15th</t>
        </is>
      </c>
      <c r="F6" s="24" t="inlineStr">
        <is>
          <t>Me</t>
        </is>
      </c>
      <c r="G6" s="23" t="inlineStr">
        <is>
          <t>Current</t>
        </is>
      </c>
    </row>
    <row r="7">
      <c r="A7" s="19" t="inlineStr">
        <is>
          <t>Credit card 1</t>
        </is>
      </c>
      <c r="B7" s="27" t="n">
        <v>4200</v>
      </c>
      <c r="C7" s="42" t="n">
        <v>0.219</v>
      </c>
      <c r="D7" s="27" t="n">
        <v>150</v>
      </c>
      <c r="E7" s="20" t="inlineStr">
        <is>
          <t>20th</t>
        </is>
      </c>
      <c r="F7" s="20" t="inlineStr">
        <is>
          <t>Me</t>
        </is>
      </c>
      <c r="G7" s="19" t="inlineStr">
        <is>
          <t>Paying down</t>
        </is>
      </c>
    </row>
    <row r="8">
      <c r="A8" s="23" t="inlineStr">
        <is>
          <t>Credit card 2</t>
        </is>
      </c>
      <c r="B8" s="29" t="n">
        <v>1800</v>
      </c>
      <c r="C8" s="43" t="n">
        <v>0.245</v>
      </c>
      <c r="D8" s="29" t="n">
        <v>75</v>
      </c>
      <c r="E8" s="24" t="inlineStr">
        <is>
          <t>5th</t>
        </is>
      </c>
      <c r="F8" s="24" t="inlineStr">
        <is>
          <t>Ex</t>
        </is>
      </c>
      <c r="G8" s="23" t="inlineStr">
        <is>
          <t>Disputed</t>
        </is>
      </c>
    </row>
    <row r="9">
      <c r="A9" s="19" t="inlineStr">
        <is>
          <t>Student loan</t>
        </is>
      </c>
      <c r="B9" s="27" t="n">
        <v>9500</v>
      </c>
      <c r="C9" s="42" t="n">
        <v>0.045</v>
      </c>
      <c r="D9" s="27" t="n">
        <v>110</v>
      </c>
      <c r="E9" s="20" t="inlineStr">
        <is>
          <t>28th</t>
        </is>
      </c>
      <c r="F9" s="20" t="inlineStr">
        <is>
          <t>Me</t>
        </is>
      </c>
      <c r="G9" s="19" t="inlineStr">
        <is>
          <t>Current</t>
        </is>
      </c>
    </row>
    <row r="10">
      <c r="A10" s="23" t="n"/>
      <c r="B10" s="29" t="n"/>
      <c r="C10" s="43" t="n"/>
      <c r="D10" s="29" t="n"/>
      <c r="E10" s="24" t="n"/>
      <c r="F10" s="24" t="n"/>
      <c r="G10" s="23" t="n"/>
    </row>
    <row r="11">
      <c r="A11" s="19" t="n"/>
      <c r="B11" s="27" t="n"/>
      <c r="C11" s="42" t="n"/>
      <c r="D11" s="27" t="n"/>
      <c r="E11" s="20" t="n"/>
      <c r="F11" s="20" t="n"/>
      <c r="G11" s="19" t="n"/>
    </row>
    <row r="12">
      <c r="A12" s="23" t="n"/>
      <c r="B12" s="29" t="n"/>
      <c r="C12" s="43" t="n"/>
      <c r="D12" s="29" t="n"/>
      <c r="E12" s="24" t="n"/>
      <c r="F12" s="24" t="n"/>
      <c r="G12" s="23" t="n"/>
    </row>
    <row r="13">
      <c r="A13" s="19" t="n"/>
      <c r="B13" s="27" t="n"/>
      <c r="C13" s="42" t="n"/>
      <c r="D13" s="27" t="n"/>
      <c r="E13" s="20" t="n"/>
      <c r="F13" s="20" t="n"/>
      <c r="G13" s="19" t="n"/>
    </row>
    <row r="14">
      <c r="A14" s="23" t="n"/>
      <c r="B14" s="29" t="n"/>
      <c r="C14" s="43" t="n"/>
      <c r="D14" s="29" t="n"/>
      <c r="E14" s="24" t="n"/>
      <c r="F14" s="24" t="n"/>
      <c r="G14" s="23" t="n"/>
    </row>
    <row r="15">
      <c r="A15" s="19" t="n"/>
      <c r="B15" s="27" t="n"/>
      <c r="C15" s="42" t="n"/>
      <c r="D15" s="27" t="n"/>
      <c r="E15" s="20" t="n"/>
      <c r="F15" s="20" t="n"/>
      <c r="G15" s="19" t="n"/>
    </row>
    <row r="16">
      <c r="A16" s="23" t="n"/>
      <c r="B16" s="29" t="n"/>
      <c r="C16" s="43" t="n"/>
      <c r="D16" s="29" t="n"/>
      <c r="E16" s="24" t="n"/>
      <c r="F16" s="24" t="n"/>
      <c r="G16" s="23" t="n"/>
    </row>
    <row r="17">
      <c r="A17" s="19" t="n"/>
      <c r="B17" s="27" t="n"/>
      <c r="C17" s="42" t="n"/>
      <c r="D17" s="27" t="n"/>
      <c r="E17" s="20" t="n"/>
      <c r="F17" s="20" t="n"/>
      <c r="G17" s="19" t="n"/>
    </row>
    <row r="18">
      <c r="A18" s="23" t="n"/>
      <c r="B18" s="29" t="n"/>
      <c r="C18" s="43" t="n"/>
      <c r="D18" s="29" t="n"/>
      <c r="E18" s="24" t="n"/>
      <c r="F18" s="24" t="n"/>
      <c r="G18" s="23" t="n"/>
    </row>
    <row r="19">
      <c r="A19" s="19" t="n"/>
      <c r="B19" s="27" t="n"/>
      <c r="C19" s="42" t="n"/>
      <c r="D19" s="27" t="n"/>
      <c r="E19" s="20" t="n"/>
      <c r="F19" s="20" t="n"/>
      <c r="G19" s="19" t="n"/>
    </row>
    <row r="20">
      <c r="A20" s="23" t="n"/>
      <c r="B20" s="29" t="n"/>
      <c r="C20" s="43" t="n"/>
      <c r="D20" s="29" t="n"/>
      <c r="E20" s="24" t="n"/>
      <c r="F20" s="24" t="n"/>
      <c r="G20" s="23" t="n"/>
    </row>
    <row r="21">
      <c r="A21" s="19" t="n"/>
      <c r="B21" s="27" t="n"/>
      <c r="C21" s="42" t="n"/>
      <c r="D21" s="27" t="n"/>
      <c r="E21" s="20" t="n"/>
      <c r="F21" s="20" t="n"/>
      <c r="G21" s="19" t="n"/>
    </row>
    <row r="22">
      <c r="A22" s="23" t="n"/>
      <c r="B22" s="29" t="n"/>
      <c r="C22" s="43" t="n"/>
      <c r="D22" s="29" t="n"/>
      <c r="E22" s="24" t="n"/>
      <c r="F22" s="24" t="n"/>
      <c r="G22" s="23" t="n"/>
    </row>
    <row r="23">
      <c r="A23" s="19" t="n"/>
      <c r="B23" s="27" t="n"/>
      <c r="C23" s="42" t="n"/>
      <c r="D23" s="27" t="n"/>
      <c r="E23" s="20" t="n"/>
      <c r="F23" s="20" t="n"/>
      <c r="G23" s="19" t="n"/>
    </row>
    <row r="24">
      <c r="A24" s="23" t="n"/>
      <c r="B24" s="29" t="n"/>
      <c r="C24" s="43" t="n"/>
      <c r="D24" s="29" t="n"/>
      <c r="E24" s="24" t="n"/>
      <c r="F24" s="24" t="n"/>
      <c r="G24" s="23" t="n"/>
    </row>
    <row r="25">
      <c r="A25" s="19" t="n"/>
      <c r="B25" s="27" t="n"/>
      <c r="C25" s="42" t="n"/>
      <c r="D25" s="27" t="n"/>
      <c r="E25" s="20" t="n"/>
      <c r="F25" s="20" t="n"/>
      <c r="G25" s="19" t="n"/>
    </row>
    <row r="26">
      <c r="A26" s="23" t="n"/>
      <c r="B26" s="29" t="n"/>
      <c r="C26" s="43" t="n"/>
      <c r="D26" s="29" t="n"/>
      <c r="E26" s="24" t="n"/>
      <c r="F26" s="24" t="n"/>
      <c r="G26" s="23" t="n"/>
    </row>
    <row r="27">
      <c r="A27" s="19" t="n"/>
      <c r="B27" s="27" t="n"/>
      <c r="C27" s="42" t="n"/>
      <c r="D27" s="27" t="n"/>
      <c r="E27" s="20" t="n"/>
      <c r="F27" s="20" t="n"/>
      <c r="G27" s="19" t="n"/>
    </row>
    <row r="28">
      <c r="A28" s="23" t="n"/>
      <c r="B28" s="29" t="n"/>
      <c r="C28" s="43" t="n"/>
      <c r="D28" s="29" t="n"/>
      <c r="E28" s="24" t="n"/>
      <c r="F28" s="24" t="n"/>
      <c r="G28" s="23" t="n"/>
    </row>
    <row r="29">
      <c r="A29" s="19" t="n"/>
      <c r="B29" s="27" t="n"/>
      <c r="C29" s="42" t="n"/>
      <c r="D29" s="27" t="n"/>
      <c r="E29" s="20" t="n"/>
      <c r="F29" s="20" t="n"/>
      <c r="G29" s="19" t="n"/>
    </row>
    <row r="30">
      <c r="A30" s="23" t="n"/>
      <c r="B30" s="29" t="n"/>
      <c r="C30" s="43" t="n"/>
      <c r="D30" s="29" t="n"/>
      <c r="E30" s="24" t="n"/>
      <c r="F30" s="24" t="n"/>
      <c r="G30" s="23" t="n"/>
    </row>
    <row r="31">
      <c r="A31" s="19" t="n"/>
      <c r="B31" s="27" t="n"/>
      <c r="C31" s="42" t="n"/>
      <c r="D31" s="27" t="n"/>
      <c r="E31" s="20" t="n"/>
      <c r="F31" s="20" t="n"/>
      <c r="G31" s="19" t="n"/>
    </row>
    <row r="32">
      <c r="A32" s="23" t="n"/>
      <c r="B32" s="29" t="n"/>
      <c r="C32" s="43" t="n"/>
      <c r="D32" s="29" t="n"/>
      <c r="E32" s="24" t="n"/>
      <c r="F32" s="24" t="n"/>
      <c r="G32" s="23" t="n"/>
    </row>
    <row r="33">
      <c r="A33" s="19" t="n"/>
      <c r="B33" s="27" t="n"/>
      <c r="C33" s="42" t="n"/>
      <c r="D33" s="27" t="n"/>
      <c r="E33" s="20" t="n"/>
      <c r="F33" s="20" t="n"/>
      <c r="G33" s="19" t="n"/>
    </row>
    <row r="34">
      <c r="A34" s="23" t="n"/>
      <c r="B34" s="29" t="n"/>
      <c r="C34" s="43" t="n"/>
      <c r="D34" s="29" t="n"/>
      <c r="E34" s="24" t="n"/>
      <c r="F34" s="24" t="n"/>
      <c r="G34" s="23" t="n"/>
    </row>
  </sheetData>
  <mergeCells count="2">
    <mergeCell ref="A2:G2"/>
    <mergeCell ref="A1:G1"/>
  </mergeCells>
  <dataValidations count="1">
    <dataValidation sqref="F5:F34" showDropDown="0" showInputMessage="0" showErrorMessage="0" allowBlank="1" type="list">
      <formula1>=OwnerList</formula1>
    </dataValidation>
  </dataValidations>
  <pageMargins left="0.75" right="0.75" top="1" bottom="1" header="0.5" footer="0.5"/>
</worksheet>
</file>

<file path=xl/worksheets/sheet11.xml><?xml version="1.0" encoding="utf-8"?>
<worksheet xmlns="http://schemas.openxmlformats.org/spreadsheetml/2006/main">
  <sheetPr>
    <tabColor rgb="0075E6C1"/>
    <outlinePr summaryBelow="1" summaryRight="1"/>
    <pageSetUpPr/>
  </sheetPr>
  <dimension ref="A1:F13"/>
  <sheetViews>
    <sheetView showGridLines="0" workbookViewId="0">
      <selection activeCell="A1" sqref="A1"/>
    </sheetView>
  </sheetViews>
  <sheetFormatPr baseColWidth="8" defaultRowHeight="15"/>
  <cols>
    <col width="14" customWidth="1" min="1" max="1"/>
    <col width="20" customWidth="1" min="2" max="2"/>
    <col width="34" customWidth="1" min="3" max="3"/>
    <col width="4" customWidth="1" min="4" max="4"/>
    <col width="22" customWidth="1" min="5" max="5"/>
    <col width="22" customWidth="1" min="6" max="6"/>
  </cols>
  <sheetData>
    <row r="1" ht="46" customHeight="1">
      <c r="A1" s="1" t="inlineStr">
        <is>
          <t xml:space="preserve">  👪  CHILD &amp; PARENTING ORGANIZER</t>
        </is>
      </c>
    </row>
    <row r="2" ht="22" customHeight="1">
      <c r="A2" s="2" t="inlineStr">
        <is>
          <t xml:space="preserve">  Schedules, activities, and key contacts — calm logistics for the kids.</t>
        </is>
      </c>
    </row>
    <row r="3" ht="6" customHeight="1">
      <c r="A3" s="3" t="n"/>
      <c r="B3" s="3" t="n"/>
      <c r="C3" s="3" t="n"/>
      <c r="D3" s="3" t="n"/>
      <c r="E3" s="3" t="n"/>
      <c r="F3" s="3" t="n"/>
    </row>
    <row r="5">
      <c r="A5" s="4" t="inlineStr">
        <is>
          <t>WEEKLY PARENTING SCHEDULE</t>
        </is>
      </c>
      <c r="E5" s="4" t="inlineStr">
        <is>
          <t>ACTIVITIES &amp; APPOINTMENTS</t>
        </is>
      </c>
    </row>
    <row r="6">
      <c r="A6" s="7" t="inlineStr">
        <is>
          <t>Day</t>
        </is>
      </c>
      <c r="B6" s="7" t="inlineStr">
        <is>
          <t>With</t>
        </is>
      </c>
      <c r="C6" s="7" t="inlineStr">
        <is>
          <t>Notes / Hand-off</t>
        </is>
      </c>
      <c r="E6" s="7" t="inlineStr">
        <is>
          <t>Item</t>
        </is>
      </c>
      <c r="F6" s="7" t="inlineStr">
        <is>
          <t>When / Notes</t>
        </is>
      </c>
    </row>
    <row r="7">
      <c r="A7" s="30" t="inlineStr">
        <is>
          <t>Monday</t>
        </is>
      </c>
      <c r="B7" s="44" t="inlineStr">
        <is>
          <t>Me</t>
        </is>
      </c>
      <c r="C7" s="30" t="inlineStr"/>
      <c r="E7" s="30" t="inlineStr">
        <is>
          <t>Soccer practice</t>
        </is>
      </c>
      <c r="F7" s="30" t="inlineStr">
        <is>
          <t>Tue/Thu 4pm</t>
        </is>
      </c>
    </row>
    <row r="8">
      <c r="A8" s="23" t="inlineStr">
        <is>
          <t>Tuesday</t>
        </is>
      </c>
      <c r="B8" s="24" t="inlineStr">
        <is>
          <t>Me</t>
        </is>
      </c>
      <c r="C8" s="23" t="inlineStr"/>
      <c r="E8" s="23" t="inlineStr">
        <is>
          <t>Piano lesson</t>
        </is>
      </c>
      <c r="F8" s="23" t="inlineStr">
        <is>
          <t>Sat 10am</t>
        </is>
      </c>
    </row>
    <row r="9">
      <c r="A9" s="30" t="inlineStr">
        <is>
          <t>Wednesday</t>
        </is>
      </c>
      <c r="B9" s="44" t="inlineStr">
        <is>
          <t>Ex</t>
        </is>
      </c>
      <c r="C9" s="30" t="inlineStr"/>
      <c r="E9" s="30" t="inlineStr">
        <is>
          <t>Pediatrician</t>
        </is>
      </c>
      <c r="F9" s="30" t="inlineStr">
        <is>
          <t>Schedule annual</t>
        </is>
      </c>
    </row>
    <row r="10">
      <c r="A10" s="23" t="inlineStr">
        <is>
          <t>Thursday</t>
        </is>
      </c>
      <c r="B10" s="24" t="inlineStr">
        <is>
          <t>Ex</t>
        </is>
      </c>
      <c r="C10" s="23" t="inlineStr"/>
      <c r="E10" s="23" t="inlineStr">
        <is>
          <t>Dentist</t>
        </is>
      </c>
      <c r="F10" s="23" t="inlineStr">
        <is>
          <t>Due in spring</t>
        </is>
      </c>
    </row>
    <row r="11">
      <c r="A11" s="30" t="inlineStr">
        <is>
          <t>Friday</t>
        </is>
      </c>
      <c r="B11" s="44" t="inlineStr">
        <is>
          <t>Me</t>
        </is>
      </c>
      <c r="C11" s="30" t="inlineStr"/>
      <c r="E11" s="30" t="inlineStr">
        <is>
          <t>School calendar</t>
        </is>
      </c>
      <c r="F11" s="30" t="inlineStr">
        <is>
          <t>See Contacts</t>
        </is>
      </c>
    </row>
    <row r="12">
      <c r="A12" s="23" t="inlineStr">
        <is>
          <t>Saturday</t>
        </is>
      </c>
      <c r="B12" s="24" t="inlineStr">
        <is>
          <t>Me</t>
        </is>
      </c>
      <c r="C12" s="23" t="inlineStr"/>
      <c r="E12" s="23" t="inlineStr">
        <is>
          <t>Childcare</t>
        </is>
      </c>
      <c r="F12" s="23" t="inlineStr">
        <is>
          <t>After-school</t>
        </is>
      </c>
    </row>
    <row r="13">
      <c r="A13" s="30" t="inlineStr">
        <is>
          <t>Sunday</t>
        </is>
      </c>
      <c r="B13" s="44" t="inlineStr">
        <is>
          <t>Ex</t>
        </is>
      </c>
      <c r="C13" s="30" t="inlineStr"/>
    </row>
  </sheetData>
  <mergeCells count="4">
    <mergeCell ref="A5:C5"/>
    <mergeCell ref="A2:F2"/>
    <mergeCell ref="E5:F5"/>
    <mergeCell ref="A1:F1"/>
  </mergeCells>
  <dataValidations count="1">
    <dataValidation sqref="B7:B13" showDropDown="0" showInputMessage="0" showErrorMessage="0" allowBlank="1" type="list">
      <formula1>=OwnerList</formula1>
    </dataValidation>
  </dataValidations>
  <pageMargins left="0.75" right="0.75" top="1" bottom="1" header="0.5" footer="0.5"/>
</worksheet>
</file>

<file path=xl/worksheets/sheet12.xml><?xml version="1.0" encoding="utf-8"?>
<worksheet xmlns="http://schemas.openxmlformats.org/spreadsheetml/2006/main">
  <sheetPr>
    <tabColor rgb="00E5D3BA"/>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13" customWidth="1" min="1" max="1"/>
    <col width="18" customWidth="1" min="2" max="2"/>
    <col width="14" customWidth="1" min="3" max="3"/>
    <col width="18" customWidth="1" min="4" max="4"/>
    <col width="28" customWidth="1" min="5" max="5"/>
  </cols>
  <sheetData>
    <row r="1" ht="46" customHeight="1">
      <c r="A1" s="1" t="inlineStr">
        <is>
          <t xml:space="preserve">  🧾  EXPENSE TRACKER</t>
        </is>
      </c>
    </row>
    <row r="2" ht="22" customHeight="1">
      <c r="A2" s="2" t="inlineStr">
        <is>
          <t xml:space="preserve">  Log spending as it happens — your budget actuals update automatically.</t>
        </is>
      </c>
    </row>
    <row r="3" ht="6" customHeight="1">
      <c r="A3" s="3" t="n"/>
      <c r="B3" s="3" t="n"/>
      <c r="C3" s="3" t="n"/>
      <c r="D3" s="3" t="n"/>
      <c r="E3" s="3" t="n"/>
    </row>
    <row r="4" ht="30" customHeight="1">
      <c r="A4" s="7" t="inlineStr">
        <is>
          <t>Date</t>
        </is>
      </c>
      <c r="B4" s="7" t="inlineStr">
        <is>
          <t>Category</t>
        </is>
      </c>
      <c r="C4" s="7" t="inlineStr">
        <is>
          <t>Amount</t>
        </is>
      </c>
      <c r="D4" s="7" t="inlineStr">
        <is>
          <t>Payment Method</t>
        </is>
      </c>
      <c r="E4" s="7" t="inlineStr">
        <is>
          <t>Notes</t>
        </is>
      </c>
    </row>
    <row r="5">
      <c r="A5" s="21" t="n">
        <v>46200</v>
      </c>
      <c r="B5" s="20" t="inlineStr">
        <is>
          <t>Housing</t>
        </is>
      </c>
      <c r="C5" s="27" t="n">
        <v>1500</v>
      </c>
      <c r="D5" s="20" t="inlineStr">
        <is>
          <t>Auto-pay</t>
        </is>
      </c>
      <c r="E5" s="19" t="inlineStr">
        <is>
          <t>Rent / mortgage</t>
        </is>
      </c>
    </row>
    <row r="6">
      <c r="A6" s="25" t="n">
        <v>46200</v>
      </c>
      <c r="B6" s="24" t="inlineStr">
        <is>
          <t>Utilities</t>
        </is>
      </c>
      <c r="C6" s="29" t="n">
        <v>95</v>
      </c>
      <c r="D6" s="24" t="inlineStr">
        <is>
          <t>Card</t>
        </is>
      </c>
      <c r="E6" s="23" t="inlineStr">
        <is>
          <t>Electric</t>
        </is>
      </c>
    </row>
    <row r="7">
      <c r="A7" s="21" t="n">
        <v>46197</v>
      </c>
      <c r="B7" s="20" t="inlineStr">
        <is>
          <t>Food</t>
        </is>
      </c>
      <c r="C7" s="27" t="n">
        <v>142</v>
      </c>
      <c r="D7" s="20" t="inlineStr">
        <is>
          <t>Card</t>
        </is>
      </c>
      <c r="E7" s="19" t="inlineStr">
        <is>
          <t>Groceries</t>
        </is>
      </c>
    </row>
    <row r="8">
      <c r="A8" s="25" t="n">
        <v>46196</v>
      </c>
      <c r="B8" s="24" t="inlineStr">
        <is>
          <t>Child Expenses</t>
        </is>
      </c>
      <c r="C8" s="29" t="n">
        <v>220</v>
      </c>
      <c r="D8" s="24" t="inlineStr">
        <is>
          <t>Card</t>
        </is>
      </c>
      <c r="E8" s="23" t="inlineStr">
        <is>
          <t>After-school care</t>
        </is>
      </c>
    </row>
    <row r="9">
      <c r="A9" s="21" t="n">
        <v>46194</v>
      </c>
      <c r="B9" s="20" t="inlineStr">
        <is>
          <t>Transportation</t>
        </is>
      </c>
      <c r="C9" s="27" t="n">
        <v>60</v>
      </c>
      <c r="D9" s="20" t="inlineStr">
        <is>
          <t>Card</t>
        </is>
      </c>
      <c r="E9" s="19" t="inlineStr">
        <is>
          <t>Gas</t>
        </is>
      </c>
    </row>
    <row r="10">
      <c r="A10" s="25" t="n">
        <v>46192</v>
      </c>
      <c r="B10" s="24" t="inlineStr">
        <is>
          <t>Insurance</t>
        </is>
      </c>
      <c r="C10" s="29" t="n">
        <v>280</v>
      </c>
      <c r="D10" s="24" t="inlineStr">
        <is>
          <t>Auto-pay</t>
        </is>
      </c>
      <c r="E10" s="23" t="inlineStr">
        <is>
          <t>Health premium</t>
        </is>
      </c>
    </row>
    <row r="11">
      <c r="A11" s="21" t="n">
        <v>46190</v>
      </c>
      <c r="B11" s="20" t="inlineStr">
        <is>
          <t>Food</t>
        </is>
      </c>
      <c r="C11" s="27" t="n">
        <v>38</v>
      </c>
      <c r="D11" s="20" t="inlineStr">
        <is>
          <t>Card</t>
        </is>
      </c>
      <c r="E11" s="19" t="inlineStr">
        <is>
          <t>Dinner out</t>
        </is>
      </c>
    </row>
    <row r="12">
      <c r="A12" s="25" t="n">
        <v>46188</v>
      </c>
      <c r="B12" s="24" t="inlineStr">
        <is>
          <t>Healthcare</t>
        </is>
      </c>
      <c r="C12" s="29" t="n">
        <v>45</v>
      </c>
      <c r="D12" s="24" t="inlineStr">
        <is>
          <t>Card</t>
        </is>
      </c>
      <c r="E12" s="23" t="inlineStr">
        <is>
          <t>Copay</t>
        </is>
      </c>
    </row>
    <row r="13">
      <c r="A13" s="21" t="n">
        <v>46186</v>
      </c>
      <c r="B13" s="20" t="inlineStr">
        <is>
          <t>Entertainment</t>
        </is>
      </c>
      <c r="C13" s="27" t="n">
        <v>35</v>
      </c>
      <c r="D13" s="20" t="inlineStr">
        <is>
          <t>Card</t>
        </is>
      </c>
      <c r="E13" s="19" t="inlineStr">
        <is>
          <t>Streaming + activity</t>
        </is>
      </c>
    </row>
    <row r="14">
      <c r="A14" s="25" t="n">
        <v>46184</v>
      </c>
      <c r="B14" s="24" t="inlineStr">
        <is>
          <t>Savings</t>
        </is>
      </c>
      <c r="C14" s="29" t="n">
        <v>400</v>
      </c>
      <c r="D14" s="24" t="inlineStr">
        <is>
          <t>Bank Transfer</t>
        </is>
      </c>
      <c r="E14" s="23" t="inlineStr">
        <is>
          <t>Emergency fund</t>
        </is>
      </c>
    </row>
    <row r="15">
      <c r="A15" s="21" t="n">
        <v>46182</v>
      </c>
      <c r="B15" s="20" t="inlineStr">
        <is>
          <t>Miscellaneous</t>
        </is>
      </c>
      <c r="C15" s="27" t="n">
        <v>60</v>
      </c>
      <c r="D15" s="20" t="inlineStr">
        <is>
          <t>Card</t>
        </is>
      </c>
      <c r="E15" s="19" t="inlineStr">
        <is>
          <t>Household</t>
        </is>
      </c>
    </row>
    <row r="16">
      <c r="A16" s="25" t="n">
        <v>46180</v>
      </c>
      <c r="B16" s="24" t="inlineStr">
        <is>
          <t>Transportation</t>
        </is>
      </c>
      <c r="C16" s="29" t="n">
        <v>55</v>
      </c>
      <c r="D16" s="24" t="inlineStr">
        <is>
          <t>Card</t>
        </is>
      </c>
      <c r="E16" s="23" t="inlineStr">
        <is>
          <t>Gas</t>
        </is>
      </c>
    </row>
    <row r="17">
      <c r="A17" s="21" t="n">
        <v>46178</v>
      </c>
      <c r="B17" s="20" t="inlineStr">
        <is>
          <t>Food</t>
        </is>
      </c>
      <c r="C17" s="27" t="n">
        <v>128</v>
      </c>
      <c r="D17" s="20" t="inlineStr">
        <is>
          <t>Card</t>
        </is>
      </c>
      <c r="E17" s="19" t="inlineStr">
        <is>
          <t>Groceries</t>
        </is>
      </c>
    </row>
    <row r="18">
      <c r="A18" s="25" t="n"/>
      <c r="B18" s="24" t="n"/>
      <c r="C18" s="29" t="n"/>
      <c r="D18" s="24" t="n"/>
      <c r="E18" s="23" t="n"/>
    </row>
    <row r="19">
      <c r="A19" s="21" t="n"/>
      <c r="B19" s="20" t="n"/>
      <c r="C19" s="27" t="n"/>
      <c r="D19" s="20" t="n"/>
      <c r="E19" s="19" t="n"/>
    </row>
    <row r="20">
      <c r="A20" s="25" t="n"/>
      <c r="B20" s="24" t="n"/>
      <c r="C20" s="29" t="n"/>
      <c r="D20" s="24" t="n"/>
      <c r="E20" s="23" t="n"/>
    </row>
    <row r="21">
      <c r="A21" s="21" t="n"/>
      <c r="B21" s="20" t="n"/>
      <c r="C21" s="27" t="n"/>
      <c r="D21" s="20" t="n"/>
      <c r="E21" s="19" t="n"/>
    </row>
    <row r="22">
      <c r="A22" s="25" t="n"/>
      <c r="B22" s="24" t="n"/>
      <c r="C22" s="29" t="n"/>
      <c r="D22" s="24" t="n"/>
      <c r="E22" s="23" t="n"/>
    </row>
    <row r="23">
      <c r="A23" s="21" t="n"/>
      <c r="B23" s="20" t="n"/>
      <c r="C23" s="27" t="n"/>
      <c r="D23" s="20" t="n"/>
      <c r="E23" s="19" t="n"/>
    </row>
    <row r="24">
      <c r="A24" s="25" t="n"/>
      <c r="B24" s="24" t="n"/>
      <c r="C24" s="29" t="n"/>
      <c r="D24" s="24" t="n"/>
      <c r="E24" s="23" t="n"/>
    </row>
    <row r="25">
      <c r="A25" s="21" t="n"/>
      <c r="B25" s="20" t="n"/>
      <c r="C25" s="27" t="n"/>
      <c r="D25" s="20" t="n"/>
      <c r="E25" s="19" t="n"/>
    </row>
    <row r="26">
      <c r="A26" s="25" t="n"/>
      <c r="B26" s="24" t="n"/>
      <c r="C26" s="29" t="n"/>
      <c r="D26" s="24" t="n"/>
      <c r="E26" s="23" t="n"/>
    </row>
    <row r="27">
      <c r="A27" s="21" t="n"/>
      <c r="B27" s="20" t="n"/>
      <c r="C27" s="27" t="n"/>
      <c r="D27" s="20" t="n"/>
      <c r="E27" s="19" t="n"/>
    </row>
    <row r="28">
      <c r="A28" s="25" t="n"/>
      <c r="B28" s="24" t="n"/>
      <c r="C28" s="29" t="n"/>
      <c r="D28" s="24" t="n"/>
      <c r="E28" s="23" t="n"/>
    </row>
    <row r="29">
      <c r="A29" s="21" t="n"/>
      <c r="B29" s="20" t="n"/>
      <c r="C29" s="27" t="n"/>
      <c r="D29" s="20" t="n"/>
      <c r="E29" s="19" t="n"/>
    </row>
    <row r="30">
      <c r="A30" s="25" t="n"/>
      <c r="B30" s="24" t="n"/>
      <c r="C30" s="29" t="n"/>
      <c r="D30" s="24" t="n"/>
      <c r="E30" s="23" t="n"/>
    </row>
    <row r="31">
      <c r="A31" s="21" t="n"/>
      <c r="B31" s="20" t="n"/>
      <c r="C31" s="27" t="n"/>
      <c r="D31" s="20" t="n"/>
      <c r="E31" s="19" t="n"/>
    </row>
    <row r="32">
      <c r="A32" s="25" t="n"/>
      <c r="B32" s="24" t="n"/>
      <c r="C32" s="29" t="n"/>
      <c r="D32" s="24" t="n"/>
      <c r="E32" s="23" t="n"/>
    </row>
    <row r="33">
      <c r="A33" s="21" t="n"/>
      <c r="B33" s="20" t="n"/>
      <c r="C33" s="27" t="n"/>
      <c r="D33" s="20" t="n"/>
      <c r="E33" s="19" t="n"/>
    </row>
    <row r="34">
      <c r="A34" s="25" t="n"/>
      <c r="B34" s="24" t="n"/>
      <c r="C34" s="29" t="n"/>
      <c r="D34" s="24" t="n"/>
      <c r="E34" s="23" t="n"/>
    </row>
    <row r="35">
      <c r="A35" s="21" t="n"/>
      <c r="B35" s="20" t="n"/>
      <c r="C35" s="27" t="n"/>
      <c r="D35" s="20" t="n"/>
      <c r="E35" s="19" t="n"/>
    </row>
    <row r="36">
      <c r="A36" s="25" t="n"/>
      <c r="B36" s="24" t="n"/>
      <c r="C36" s="29" t="n"/>
      <c r="D36" s="24" t="n"/>
      <c r="E36" s="23" t="n"/>
    </row>
    <row r="37">
      <c r="A37" s="21" t="n"/>
      <c r="B37" s="20" t="n"/>
      <c r="C37" s="27" t="n"/>
      <c r="D37" s="20" t="n"/>
      <c r="E37" s="19" t="n"/>
    </row>
    <row r="38">
      <c r="A38" s="25" t="n"/>
      <c r="B38" s="24" t="n"/>
      <c r="C38" s="29" t="n"/>
      <c r="D38" s="24" t="n"/>
      <c r="E38" s="23" t="n"/>
    </row>
    <row r="39">
      <c r="A39" s="21" t="n"/>
      <c r="B39" s="20" t="n"/>
      <c r="C39" s="27" t="n"/>
      <c r="D39" s="20" t="n"/>
      <c r="E39" s="19" t="n"/>
    </row>
    <row r="40">
      <c r="A40" s="25" t="n"/>
      <c r="B40" s="24" t="n"/>
      <c r="C40" s="29" t="n"/>
      <c r="D40" s="24" t="n"/>
      <c r="E40" s="23" t="n"/>
    </row>
    <row r="41">
      <c r="A41" s="21" t="n"/>
      <c r="B41" s="20" t="n"/>
      <c r="C41" s="27" t="n"/>
      <c r="D41" s="20" t="n"/>
      <c r="E41" s="19" t="n"/>
    </row>
    <row r="42">
      <c r="A42" s="25" t="n"/>
      <c r="B42" s="24" t="n"/>
      <c r="C42" s="29" t="n"/>
      <c r="D42" s="24" t="n"/>
      <c r="E42" s="23" t="n"/>
    </row>
    <row r="43">
      <c r="A43" s="21" t="n"/>
      <c r="B43" s="20" t="n"/>
      <c r="C43" s="27" t="n"/>
      <c r="D43" s="20" t="n"/>
      <c r="E43" s="19" t="n"/>
    </row>
    <row r="44">
      <c r="A44" s="25" t="n"/>
      <c r="B44" s="24" t="n"/>
      <c r="C44" s="29" t="n"/>
      <c r="D44" s="24" t="n"/>
      <c r="E44" s="23" t="n"/>
    </row>
    <row r="45">
      <c r="A45" s="21" t="n"/>
      <c r="B45" s="20" t="n"/>
      <c r="C45" s="27" t="n"/>
      <c r="D45" s="20" t="n"/>
      <c r="E45" s="19" t="n"/>
    </row>
    <row r="46">
      <c r="A46" s="25" t="n"/>
      <c r="B46" s="24" t="n"/>
      <c r="C46" s="29" t="n"/>
      <c r="D46" s="24" t="n"/>
      <c r="E46" s="23" t="n"/>
    </row>
    <row r="47">
      <c r="A47" s="21" t="n"/>
      <c r="B47" s="20" t="n"/>
      <c r="C47" s="27" t="n"/>
      <c r="D47" s="20" t="n"/>
      <c r="E47" s="19" t="n"/>
    </row>
    <row r="48">
      <c r="A48" s="25" t="n"/>
      <c r="B48" s="24" t="n"/>
      <c r="C48" s="29" t="n"/>
      <c r="D48" s="24" t="n"/>
      <c r="E48" s="23" t="n"/>
    </row>
    <row r="49">
      <c r="A49" s="21" t="n"/>
      <c r="B49" s="20" t="n"/>
      <c r="C49" s="27" t="n"/>
      <c r="D49" s="20" t="n"/>
      <c r="E49" s="19" t="n"/>
    </row>
    <row r="50">
      <c r="A50" s="25" t="n"/>
      <c r="B50" s="24" t="n"/>
      <c r="C50" s="29" t="n"/>
      <c r="D50" s="24" t="n"/>
      <c r="E50" s="23" t="n"/>
    </row>
    <row r="51">
      <c r="A51" s="21" t="n"/>
      <c r="B51" s="20" t="n"/>
      <c r="C51" s="27" t="n"/>
      <c r="D51" s="20" t="n"/>
      <c r="E51" s="19" t="n"/>
    </row>
    <row r="52">
      <c r="A52" s="25" t="n"/>
      <c r="B52" s="24" t="n"/>
      <c r="C52" s="29" t="n"/>
      <c r="D52" s="24" t="n"/>
      <c r="E52" s="23" t="n"/>
    </row>
    <row r="53">
      <c r="A53" s="21" t="n"/>
      <c r="B53" s="20" t="n"/>
      <c r="C53" s="27" t="n"/>
      <c r="D53" s="20" t="n"/>
      <c r="E53" s="19" t="n"/>
    </row>
    <row r="54">
      <c r="A54" s="25" t="n"/>
      <c r="B54" s="24" t="n"/>
      <c r="C54" s="29" t="n"/>
      <c r="D54" s="24" t="n"/>
      <c r="E54" s="23" t="n"/>
    </row>
    <row r="55">
      <c r="A55" s="21" t="n"/>
      <c r="B55" s="20" t="n"/>
      <c r="C55" s="27" t="n"/>
      <c r="D55" s="20" t="n"/>
      <c r="E55" s="19" t="n"/>
    </row>
    <row r="56">
      <c r="A56" s="25" t="n"/>
      <c r="B56" s="24" t="n"/>
      <c r="C56" s="29" t="n"/>
      <c r="D56" s="24" t="n"/>
      <c r="E56" s="23" t="n"/>
    </row>
    <row r="57">
      <c r="A57" s="21" t="n"/>
      <c r="B57" s="20" t="n"/>
      <c r="C57" s="27" t="n"/>
      <c r="D57" s="20" t="n"/>
      <c r="E57" s="19" t="n"/>
    </row>
    <row r="58">
      <c r="A58" s="25" t="n"/>
      <c r="B58" s="24" t="n"/>
      <c r="C58" s="29" t="n"/>
      <c r="D58" s="24" t="n"/>
      <c r="E58" s="23" t="n"/>
    </row>
    <row r="59">
      <c r="A59" s="21" t="n"/>
      <c r="B59" s="20" t="n"/>
      <c r="C59" s="27" t="n"/>
      <c r="D59" s="20" t="n"/>
      <c r="E59" s="19" t="n"/>
    </row>
    <row r="60">
      <c r="A60" s="25" t="n"/>
      <c r="B60" s="24" t="n"/>
      <c r="C60" s="29" t="n"/>
      <c r="D60" s="24" t="n"/>
      <c r="E60" s="23" t="n"/>
    </row>
    <row r="61">
      <c r="A61" s="21" t="n"/>
      <c r="B61" s="20" t="n"/>
      <c r="C61" s="27" t="n"/>
      <c r="D61" s="20" t="n"/>
      <c r="E61" s="19" t="n"/>
    </row>
    <row r="62">
      <c r="A62" s="25" t="n"/>
      <c r="B62" s="24" t="n"/>
      <c r="C62" s="29" t="n"/>
      <c r="D62" s="24" t="n"/>
      <c r="E62" s="23" t="n"/>
    </row>
    <row r="63">
      <c r="A63" s="21" t="n"/>
      <c r="B63" s="20" t="n"/>
      <c r="C63" s="27" t="n"/>
      <c r="D63" s="20" t="n"/>
      <c r="E63" s="19" t="n"/>
    </row>
    <row r="64">
      <c r="A64" s="25" t="n"/>
      <c r="B64" s="24" t="n"/>
      <c r="C64" s="29" t="n"/>
      <c r="D64" s="24" t="n"/>
      <c r="E64" s="23" t="n"/>
    </row>
  </sheetData>
  <mergeCells count="2">
    <mergeCell ref="A2:E2"/>
    <mergeCell ref="A1:E1"/>
  </mergeCells>
  <dataValidations count="2">
    <dataValidation sqref="B5:B64" showDropDown="0" showInputMessage="0" showErrorMessage="0" allowBlank="1" type="list">
      <formula1>=ExpenseCatList</formula1>
    </dataValidation>
    <dataValidation sqref="D5:D64" showDropDown="0" showInputMessage="0" showErrorMessage="0" allowBlank="1" type="list">
      <formula1>=PayMethodList</formula1>
    </dataValidation>
  </dataValidations>
  <pageMargins left="0.75" right="0.75" top="1" bottom="1" header="0.5" footer="0.5"/>
</worksheet>
</file>

<file path=xl/worksheets/sheet13.xml><?xml version="1.0" encoding="utf-8"?>
<worksheet xmlns="http://schemas.openxmlformats.org/spreadsheetml/2006/main">
  <sheetPr>
    <tabColor rgb="001B4F48"/>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4" customWidth="1" min="3" max="3"/>
    <col width="12" customWidth="1" min="4" max="4"/>
    <col width="22" customWidth="1" min="5" max="5"/>
    <col width="24" customWidth="1" min="6" max="6"/>
  </cols>
  <sheetData>
    <row r="1" ht="46" customHeight="1">
      <c r="A1" s="1" t="inlineStr">
        <is>
          <t xml:space="preserve">  📅  APPOINTMENTS</t>
        </is>
      </c>
    </row>
    <row r="2" ht="22" customHeight="1">
      <c r="A2" s="2" t="inlineStr">
        <is>
          <t xml:space="preserve">  Every meeting in one calm calendar — with automatic countdowns.</t>
        </is>
      </c>
    </row>
    <row r="3" ht="6" customHeight="1">
      <c r="A3" s="3" t="n"/>
      <c r="B3" s="3" t="n"/>
      <c r="C3" s="3" t="n"/>
      <c r="D3" s="3" t="n"/>
      <c r="E3" s="3" t="n"/>
      <c r="F3" s="3" t="n"/>
    </row>
    <row r="4" ht="30" customHeight="1">
      <c r="A4" s="7" t="inlineStr">
        <is>
          <t>Appointment</t>
        </is>
      </c>
      <c r="B4" s="7" t="inlineStr">
        <is>
          <t>Type</t>
        </is>
      </c>
      <c r="C4" s="7" t="inlineStr">
        <is>
          <t>Date</t>
        </is>
      </c>
      <c r="D4" s="7" t="inlineStr">
        <is>
          <t>Time</t>
        </is>
      </c>
      <c r="E4" s="7" t="inlineStr">
        <is>
          <t>Location</t>
        </is>
      </c>
      <c r="F4" s="7" t="inlineStr">
        <is>
          <t>Notes</t>
        </is>
      </c>
      <c r="G4" s="7" t="inlineStr">
        <is>
          <t>Days Until</t>
        </is>
      </c>
    </row>
    <row r="5">
      <c r="A5" s="19" t="inlineStr">
        <is>
          <t>Attorney strategy meeting</t>
        </is>
      </c>
      <c r="B5" s="20" t="inlineStr">
        <is>
          <t>Legal</t>
        </is>
      </c>
      <c r="C5" s="21" t="n">
        <v>46206</v>
      </c>
      <c r="D5" s="20" t="inlineStr">
        <is>
          <t>10:00 AM</t>
        </is>
      </c>
      <c r="E5" s="19" t="inlineStr">
        <is>
          <t>Law office / Zoom</t>
        </is>
      </c>
      <c r="F5" s="19" t="inlineStr">
        <is>
          <t>Bring affidavit draft</t>
        </is>
      </c>
      <c r="G5" s="22">
        <f>IF(C5="","",C5-TODAY())</f>
        <v/>
      </c>
    </row>
    <row r="6">
      <c r="A6" s="23" t="inlineStr">
        <is>
          <t>Mediation session 1</t>
        </is>
      </c>
      <c r="B6" s="24" t="inlineStr">
        <is>
          <t>Mediation</t>
        </is>
      </c>
      <c r="C6" s="25" t="n">
        <v>46214</v>
      </c>
      <c r="D6" s="24" t="inlineStr">
        <is>
          <t>1:00 PM</t>
        </is>
      </c>
      <c r="E6" s="23" t="inlineStr">
        <is>
          <t>Mediation center</t>
        </is>
      </c>
      <c r="F6" s="23" t="inlineStr"/>
      <c r="G6" s="26">
        <f>IF(C6="","",C6-TODAY())</f>
        <v/>
      </c>
    </row>
    <row r="7">
      <c r="A7" s="19" t="inlineStr">
        <is>
          <t>Financial planning review</t>
        </is>
      </c>
      <c r="B7" s="20" t="inlineStr">
        <is>
          <t>Financial</t>
        </is>
      </c>
      <c r="C7" s="21" t="n">
        <v>46220</v>
      </c>
      <c r="D7" s="20" t="inlineStr">
        <is>
          <t>9:30 AM</t>
        </is>
      </c>
      <c r="E7" s="19" t="inlineStr">
        <is>
          <t>Advisor office</t>
        </is>
      </c>
      <c r="F7" s="19" t="inlineStr">
        <is>
          <t>Bring net-worth sheet</t>
        </is>
      </c>
      <c r="G7" s="22">
        <f>IF(C7="","",C7-TODAY())</f>
        <v/>
      </c>
    </row>
    <row r="8">
      <c r="A8" s="23" t="inlineStr">
        <is>
          <t>Counseling session</t>
        </is>
      </c>
      <c r="B8" s="24" t="inlineStr">
        <is>
          <t>Personal</t>
        </is>
      </c>
      <c r="C8" s="25" t="n">
        <v>46208</v>
      </c>
      <c r="D8" s="24" t="inlineStr">
        <is>
          <t>5:00 PM</t>
        </is>
      </c>
      <c r="E8" s="23" t="inlineStr">
        <is>
          <t>Therapist</t>
        </is>
      </c>
      <c r="F8" s="23" t="inlineStr"/>
      <c r="G8" s="26">
        <f>IF(C8="","",C8-TODAY())</f>
        <v/>
      </c>
    </row>
    <row r="9">
      <c r="A9" s="19" t="inlineStr">
        <is>
          <t>Kids' parent-teacher meeting</t>
        </is>
      </c>
      <c r="B9" s="20" t="inlineStr">
        <is>
          <t>School</t>
        </is>
      </c>
      <c r="C9" s="21" t="n">
        <v>46211</v>
      </c>
      <c r="D9" s="20" t="inlineStr">
        <is>
          <t>3:30 PM</t>
        </is>
      </c>
      <c r="E9" s="19" t="inlineStr">
        <is>
          <t>School</t>
        </is>
      </c>
      <c r="F9" s="19" t="inlineStr"/>
      <c r="G9" s="22">
        <f>IF(C9="","",C9-TODAY())</f>
        <v/>
      </c>
    </row>
    <row r="10">
      <c r="A10" s="23" t="inlineStr">
        <is>
          <t>Notary for documents</t>
        </is>
      </c>
      <c r="B10" s="24" t="inlineStr">
        <is>
          <t>Legal</t>
        </is>
      </c>
      <c r="C10" s="25" t="n">
        <v>46217</v>
      </c>
      <c r="D10" s="24" t="inlineStr">
        <is>
          <t>11:00 AM</t>
        </is>
      </c>
      <c r="E10" s="23" t="inlineStr">
        <is>
          <t>Bank</t>
        </is>
      </c>
      <c r="F10" s="23" t="inlineStr"/>
      <c r="G10" s="26">
        <f>IF(C10="","",C10-TODAY())</f>
        <v/>
      </c>
    </row>
    <row r="11">
      <c r="A11" s="19" t="n"/>
      <c r="B11" s="20" t="n"/>
      <c r="C11" s="21" t="n"/>
      <c r="D11" s="20" t="n"/>
      <c r="E11" s="19" t="n"/>
      <c r="F11" s="19" t="n"/>
      <c r="G11" s="22">
        <f>IF(C11="","",C11-TODAY())</f>
        <v/>
      </c>
    </row>
    <row r="12">
      <c r="A12" s="23" t="n"/>
      <c r="B12" s="24" t="n"/>
      <c r="C12" s="25" t="n"/>
      <c r="D12" s="24" t="n"/>
      <c r="E12" s="23" t="n"/>
      <c r="F12" s="23" t="n"/>
      <c r="G12" s="26">
        <f>IF(C12="","",C12-TODAY())</f>
        <v/>
      </c>
    </row>
    <row r="13">
      <c r="A13" s="19" t="n"/>
      <c r="B13" s="20" t="n"/>
      <c r="C13" s="21" t="n"/>
      <c r="D13" s="20" t="n"/>
      <c r="E13" s="19" t="n"/>
      <c r="F13" s="19" t="n"/>
      <c r="G13" s="22">
        <f>IF(C13="","",C13-TODAY())</f>
        <v/>
      </c>
    </row>
    <row r="14">
      <c r="A14" s="23" t="n"/>
      <c r="B14" s="24" t="n"/>
      <c r="C14" s="25" t="n"/>
      <c r="D14" s="24" t="n"/>
      <c r="E14" s="23" t="n"/>
      <c r="F14" s="23" t="n"/>
      <c r="G14" s="26">
        <f>IF(C14="","",C14-TODAY())</f>
        <v/>
      </c>
    </row>
    <row r="15">
      <c r="A15" s="19" t="n"/>
      <c r="B15" s="20" t="n"/>
      <c r="C15" s="21" t="n"/>
      <c r="D15" s="20" t="n"/>
      <c r="E15" s="19" t="n"/>
      <c r="F15" s="19" t="n"/>
      <c r="G15" s="22">
        <f>IF(C15="","",C15-TODAY())</f>
        <v/>
      </c>
    </row>
    <row r="16">
      <c r="A16" s="23" t="n"/>
      <c r="B16" s="24" t="n"/>
      <c r="C16" s="25" t="n"/>
      <c r="D16" s="24" t="n"/>
      <c r="E16" s="23" t="n"/>
      <c r="F16" s="23" t="n"/>
      <c r="G16" s="26">
        <f>IF(C16="","",C16-TODAY())</f>
        <v/>
      </c>
    </row>
    <row r="17">
      <c r="A17" s="19" t="n"/>
      <c r="B17" s="20" t="n"/>
      <c r="C17" s="21" t="n"/>
      <c r="D17" s="20" t="n"/>
      <c r="E17" s="19" t="n"/>
      <c r="F17" s="19" t="n"/>
      <c r="G17" s="22">
        <f>IF(C17="","",C17-TODAY())</f>
        <v/>
      </c>
    </row>
    <row r="18">
      <c r="A18" s="23" t="n"/>
      <c r="B18" s="24" t="n"/>
      <c r="C18" s="25" t="n"/>
      <c r="D18" s="24" t="n"/>
      <c r="E18" s="23" t="n"/>
      <c r="F18" s="23" t="n"/>
      <c r="G18" s="26">
        <f>IF(C18="","",C18-TODAY())</f>
        <v/>
      </c>
    </row>
    <row r="19">
      <c r="A19" s="19" t="n"/>
      <c r="B19" s="20" t="n"/>
      <c r="C19" s="21" t="n"/>
      <c r="D19" s="20" t="n"/>
      <c r="E19" s="19" t="n"/>
      <c r="F19" s="19" t="n"/>
      <c r="G19" s="22">
        <f>IF(C19="","",C19-TODAY())</f>
        <v/>
      </c>
    </row>
    <row r="20">
      <c r="A20" s="23" t="n"/>
      <c r="B20" s="24" t="n"/>
      <c r="C20" s="25" t="n"/>
      <c r="D20" s="24" t="n"/>
      <c r="E20" s="23" t="n"/>
      <c r="F20" s="23" t="n"/>
      <c r="G20" s="26">
        <f>IF(C20="","",C20-TODAY())</f>
        <v/>
      </c>
    </row>
    <row r="21">
      <c r="A21" s="19" t="n"/>
      <c r="B21" s="20" t="n"/>
      <c r="C21" s="21" t="n"/>
      <c r="D21" s="20" t="n"/>
      <c r="E21" s="19" t="n"/>
      <c r="F21" s="19" t="n"/>
      <c r="G21" s="22">
        <f>IF(C21="","",C21-TODAY())</f>
        <v/>
      </c>
    </row>
    <row r="22">
      <c r="A22" s="23" t="n"/>
      <c r="B22" s="24" t="n"/>
      <c r="C22" s="25" t="n"/>
      <c r="D22" s="24" t="n"/>
      <c r="E22" s="23" t="n"/>
      <c r="F22" s="23" t="n"/>
      <c r="G22" s="26">
        <f>IF(C22="","",C22-TODAY())</f>
        <v/>
      </c>
    </row>
    <row r="23">
      <c r="A23" s="19" t="n"/>
      <c r="B23" s="20" t="n"/>
      <c r="C23" s="21" t="n"/>
      <c r="D23" s="20" t="n"/>
      <c r="E23" s="19" t="n"/>
      <c r="F23" s="19" t="n"/>
      <c r="G23" s="22">
        <f>IF(C23="","",C23-TODAY())</f>
        <v/>
      </c>
    </row>
    <row r="24">
      <c r="A24" s="23" t="n"/>
      <c r="B24" s="24" t="n"/>
      <c r="C24" s="25" t="n"/>
      <c r="D24" s="24" t="n"/>
      <c r="E24" s="23" t="n"/>
      <c r="F24" s="23" t="n"/>
      <c r="G24" s="26">
        <f>IF(C24="","",C24-TODAY())</f>
        <v/>
      </c>
    </row>
    <row r="25">
      <c r="A25" s="19" t="n"/>
      <c r="B25" s="20" t="n"/>
      <c r="C25" s="21" t="n"/>
      <c r="D25" s="20" t="n"/>
      <c r="E25" s="19" t="n"/>
      <c r="F25" s="19" t="n"/>
      <c r="G25" s="22">
        <f>IF(C25="","",C25-TODAY())</f>
        <v/>
      </c>
    </row>
    <row r="26">
      <c r="A26" s="23" t="n"/>
      <c r="B26" s="24" t="n"/>
      <c r="C26" s="25" t="n"/>
      <c r="D26" s="24" t="n"/>
      <c r="E26" s="23" t="n"/>
      <c r="F26" s="23" t="n"/>
      <c r="G26" s="26">
        <f>IF(C26="","",C26-TODAY())</f>
        <v/>
      </c>
    </row>
    <row r="27">
      <c r="A27" s="19" t="n"/>
      <c r="B27" s="20" t="n"/>
      <c r="C27" s="21" t="n"/>
      <c r="D27" s="20" t="n"/>
      <c r="E27" s="19" t="n"/>
      <c r="F27" s="19" t="n"/>
      <c r="G27" s="22">
        <f>IF(C27="","",C27-TODAY())</f>
        <v/>
      </c>
    </row>
    <row r="28">
      <c r="A28" s="23" t="n"/>
      <c r="B28" s="24" t="n"/>
      <c r="C28" s="25" t="n"/>
      <c r="D28" s="24" t="n"/>
      <c r="E28" s="23" t="n"/>
      <c r="F28" s="23" t="n"/>
      <c r="G28" s="26">
        <f>IF(C28="","",C28-TODAY())</f>
        <v/>
      </c>
    </row>
    <row r="29">
      <c r="A29" s="19" t="n"/>
      <c r="B29" s="20" t="n"/>
      <c r="C29" s="21" t="n"/>
      <c r="D29" s="20" t="n"/>
      <c r="E29" s="19" t="n"/>
      <c r="F29" s="19" t="n"/>
      <c r="G29" s="22">
        <f>IF(C29="","",C29-TODAY())</f>
        <v/>
      </c>
    </row>
    <row r="30">
      <c r="A30" s="23" t="n"/>
      <c r="B30" s="24" t="n"/>
      <c r="C30" s="25" t="n"/>
      <c r="D30" s="24" t="n"/>
      <c r="E30" s="23" t="n"/>
      <c r="F30" s="23" t="n"/>
      <c r="G30" s="26">
        <f>IF(C30="","",C30-TODAY())</f>
        <v/>
      </c>
    </row>
    <row r="31">
      <c r="A31" s="19" t="n"/>
      <c r="B31" s="20" t="n"/>
      <c r="C31" s="21" t="n"/>
      <c r="D31" s="20" t="n"/>
      <c r="E31" s="19" t="n"/>
      <c r="F31" s="19" t="n"/>
      <c r="G31" s="22">
        <f>IF(C31="","",C31-TODAY())</f>
        <v/>
      </c>
    </row>
    <row r="32">
      <c r="A32" s="23" t="n"/>
      <c r="B32" s="24" t="n"/>
      <c r="C32" s="25" t="n"/>
      <c r="D32" s="24" t="n"/>
      <c r="E32" s="23" t="n"/>
      <c r="F32" s="23" t="n"/>
      <c r="G32" s="26">
        <f>IF(C32="","",C32-TODAY())</f>
        <v/>
      </c>
    </row>
    <row r="33">
      <c r="A33" s="19" t="n"/>
      <c r="B33" s="20" t="n"/>
      <c r="C33" s="21" t="n"/>
      <c r="D33" s="20" t="n"/>
      <c r="E33" s="19" t="n"/>
      <c r="F33" s="19" t="n"/>
      <c r="G33" s="22">
        <f>IF(C33="","",C33-TODAY())</f>
        <v/>
      </c>
    </row>
    <row r="34">
      <c r="A34" s="23" t="n"/>
      <c r="B34" s="24" t="n"/>
      <c r="C34" s="25" t="n"/>
      <c r="D34" s="24" t="n"/>
      <c r="E34" s="23" t="n"/>
      <c r="F34" s="23" t="n"/>
      <c r="G34" s="26">
        <f>IF(C34="","",C34-TODAY())</f>
        <v/>
      </c>
    </row>
    <row r="35">
      <c r="A35" s="19" t="n"/>
      <c r="B35" s="20" t="n"/>
      <c r="C35" s="21" t="n"/>
      <c r="D35" s="20" t="n"/>
      <c r="E35" s="19" t="n"/>
      <c r="F35" s="19" t="n"/>
      <c r="G35" s="22">
        <f>IF(C35="","",C35-TODAY())</f>
        <v/>
      </c>
    </row>
    <row r="36">
      <c r="A36" s="23" t="n"/>
      <c r="B36" s="24" t="n"/>
      <c r="C36" s="25" t="n"/>
      <c r="D36" s="24" t="n"/>
      <c r="E36" s="23" t="n"/>
      <c r="F36" s="23" t="n"/>
      <c r="G36" s="26">
        <f>IF(C36="","",C36-TODAY())</f>
        <v/>
      </c>
    </row>
    <row r="37">
      <c r="A37" s="19" t="n"/>
      <c r="B37" s="20" t="n"/>
      <c r="C37" s="21" t="n"/>
      <c r="D37" s="20" t="n"/>
      <c r="E37" s="19" t="n"/>
      <c r="F37" s="19" t="n"/>
      <c r="G37" s="22">
        <f>IF(C37="","",C37-TODAY())</f>
        <v/>
      </c>
    </row>
    <row r="38">
      <c r="A38" s="23" t="n"/>
      <c r="B38" s="24" t="n"/>
      <c r="C38" s="25" t="n"/>
      <c r="D38" s="24" t="n"/>
      <c r="E38" s="23" t="n"/>
      <c r="F38" s="23" t="n"/>
      <c r="G38" s="26">
        <f>IF(C38="","",C38-TODAY())</f>
        <v/>
      </c>
    </row>
    <row r="39">
      <c r="A39" s="19" t="n"/>
      <c r="B39" s="20" t="n"/>
      <c r="C39" s="21" t="n"/>
      <c r="D39" s="20" t="n"/>
      <c r="E39" s="19" t="n"/>
      <c r="F39" s="19" t="n"/>
      <c r="G39" s="22">
        <f>IF(C39="","",C39-TODAY())</f>
        <v/>
      </c>
    </row>
    <row r="40">
      <c r="A40" s="23" t="n"/>
      <c r="B40" s="24" t="n"/>
      <c r="C40" s="25" t="n"/>
      <c r="D40" s="24" t="n"/>
      <c r="E40" s="23" t="n"/>
      <c r="F40" s="23" t="n"/>
      <c r="G40" s="26">
        <f>IF(C40="","",C40-TODAY())</f>
        <v/>
      </c>
    </row>
    <row r="41">
      <c r="A41" s="19" t="n"/>
      <c r="B41" s="20" t="n"/>
      <c r="C41" s="21" t="n"/>
      <c r="D41" s="20" t="n"/>
      <c r="E41" s="19" t="n"/>
      <c r="F41" s="19" t="n"/>
      <c r="G41" s="22">
        <f>IF(C41="","",C41-TODAY())</f>
        <v/>
      </c>
    </row>
    <row r="42">
      <c r="A42" s="23" t="n"/>
      <c r="B42" s="24" t="n"/>
      <c r="C42" s="25" t="n"/>
      <c r="D42" s="24" t="n"/>
      <c r="E42" s="23" t="n"/>
      <c r="F42" s="23" t="n"/>
      <c r="G42" s="26">
        <f>IF(C42="","",C42-TODAY())</f>
        <v/>
      </c>
    </row>
    <row r="43">
      <c r="A43" s="19" t="n"/>
      <c r="B43" s="20" t="n"/>
      <c r="C43" s="21" t="n"/>
      <c r="D43" s="20" t="n"/>
      <c r="E43" s="19" t="n"/>
      <c r="F43" s="19" t="n"/>
      <c r="G43" s="22">
        <f>IF(C43="","",C43-TODAY())</f>
        <v/>
      </c>
    </row>
    <row r="44">
      <c r="A44" s="23" t="n"/>
      <c r="B44" s="24" t="n"/>
      <c r="C44" s="25" t="n"/>
      <c r="D44" s="24" t="n"/>
      <c r="E44" s="23" t="n"/>
      <c r="F44" s="23" t="n"/>
      <c r="G44" s="26">
        <f>IF(C44="","",C44-TODAY())</f>
        <v/>
      </c>
    </row>
  </sheetData>
  <mergeCells count="2">
    <mergeCell ref="A2:F2"/>
    <mergeCell ref="A1:F1"/>
  </mergeCells>
  <conditionalFormatting sqref="A5:G44">
    <cfRule type="expression" priority="1" dxfId="0">
      <formula>AND($C5&lt;&gt;"",$C5-TODAY()&gt;=0,$C5-TODAY()&lt;=7)</formula>
    </cfRule>
  </conditionalFormatting>
  <pageMargins left="0.75" right="0.75" top="1" bottom="1" header="0.5" footer="0.5"/>
</worksheet>
</file>

<file path=xl/worksheets/sheet14.xml><?xml version="1.0" encoding="utf-8"?>
<worksheet xmlns="http://schemas.openxmlformats.org/spreadsheetml/2006/main">
  <sheetPr>
    <tabColor rgb="00937356"/>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18" customWidth="1" min="3" max="3"/>
    <col width="26" customWidth="1" min="4" max="4"/>
    <col width="24" customWidth="1" min="5" max="5"/>
  </cols>
  <sheetData>
    <row r="1" ht="46" customHeight="1">
      <c r="A1" s="1" t="inlineStr">
        <is>
          <t xml:space="preserve">  📇  CONTACT DIRECTORY</t>
        </is>
      </c>
    </row>
    <row r="2" ht="22" customHeight="1">
      <c r="A2" s="2" t="inlineStr">
        <is>
          <t xml:space="preserve">  Everyone you need to reach — lawyers, advisors, schools &amp; more.</t>
        </is>
      </c>
    </row>
    <row r="3" ht="6" customHeight="1">
      <c r="A3" s="3" t="n"/>
      <c r="B3" s="3" t="n"/>
      <c r="C3" s="3" t="n"/>
      <c r="D3" s="3" t="n"/>
      <c r="E3" s="3" t="n"/>
    </row>
    <row r="4" ht="30" customHeight="1">
      <c r="A4" s="7" t="inlineStr">
        <is>
          <t>Name</t>
        </is>
      </c>
      <c r="B4" s="7" t="inlineStr">
        <is>
          <t>Role</t>
        </is>
      </c>
      <c r="C4" s="7" t="inlineStr">
        <is>
          <t>Phone</t>
        </is>
      </c>
      <c r="D4" s="7" t="inlineStr">
        <is>
          <t>Email</t>
        </is>
      </c>
      <c r="E4" s="7" t="inlineStr">
        <is>
          <t>Notes</t>
        </is>
      </c>
    </row>
    <row r="5">
      <c r="A5" s="19" t="inlineStr">
        <is>
          <t>(your attorney)</t>
        </is>
      </c>
      <c r="B5" s="20" t="inlineStr">
        <is>
          <t>Lawyer</t>
        </is>
      </c>
      <c r="C5" s="20" t="inlineStr"/>
      <c r="D5" s="19" t="inlineStr"/>
      <c r="E5" s="19" t="inlineStr">
        <is>
          <t>Primary contact</t>
        </is>
      </c>
    </row>
    <row r="6">
      <c r="A6" s="23" t="inlineStr">
        <is>
          <t>(mediator)</t>
        </is>
      </c>
      <c r="B6" s="24" t="inlineStr">
        <is>
          <t>Mediator</t>
        </is>
      </c>
      <c r="C6" s="24" t="inlineStr"/>
      <c r="D6" s="23" t="inlineStr"/>
      <c r="E6" s="23" t="inlineStr"/>
    </row>
    <row r="7">
      <c r="A7" s="19" t="inlineStr">
        <is>
          <t>(financial advisor)</t>
        </is>
      </c>
      <c r="B7" s="20" t="inlineStr">
        <is>
          <t>Financial Advisor</t>
        </is>
      </c>
      <c r="C7" s="20" t="inlineStr"/>
      <c r="D7" s="19" t="inlineStr"/>
      <c r="E7" s="19" t="inlineStr"/>
    </row>
    <row r="8">
      <c r="A8" s="23" t="inlineStr">
        <is>
          <t>(therapist)</t>
        </is>
      </c>
      <c r="B8" s="24" t="inlineStr">
        <is>
          <t>Therapist</t>
        </is>
      </c>
      <c r="C8" s="24" t="inlineStr"/>
      <c r="D8" s="23" t="inlineStr"/>
      <c r="E8" s="23" t="inlineStr"/>
    </row>
    <row r="9">
      <c r="A9" s="19" t="inlineStr">
        <is>
          <t>(children's school)</t>
        </is>
      </c>
      <c r="B9" s="20" t="inlineStr">
        <is>
          <t>School</t>
        </is>
      </c>
      <c r="C9" s="20" t="inlineStr"/>
      <c r="D9" s="19" t="inlineStr"/>
      <c r="E9" s="19" t="inlineStr"/>
    </row>
    <row r="10">
      <c r="A10" s="23" t="inlineStr">
        <is>
          <t>(pediatrician)</t>
        </is>
      </c>
      <c r="B10" s="24" t="inlineStr">
        <is>
          <t>Doctor</t>
        </is>
      </c>
      <c r="C10" s="24" t="inlineStr"/>
      <c r="D10" s="23" t="inlineStr"/>
      <c r="E10" s="23" t="inlineStr"/>
    </row>
    <row r="11">
      <c r="A11" s="19" t="inlineStr">
        <is>
          <t>(health insurance)</t>
        </is>
      </c>
      <c r="B11" s="20" t="inlineStr">
        <is>
          <t>Insurance</t>
        </is>
      </c>
      <c r="C11" s="20" t="inlineStr"/>
      <c r="D11" s="19" t="inlineStr"/>
      <c r="E11" s="19" t="inlineStr"/>
    </row>
    <row r="12">
      <c r="A12" s="23" t="inlineStr">
        <is>
          <t>(utility company)</t>
        </is>
      </c>
      <c r="B12" s="24" t="inlineStr">
        <is>
          <t>Utility</t>
        </is>
      </c>
      <c r="C12" s="24" t="inlineStr"/>
      <c r="D12" s="23" t="inlineStr"/>
      <c r="E12" s="23" t="inlineStr"/>
    </row>
    <row r="13">
      <c r="A13" s="19" t="n"/>
      <c r="B13" s="20" t="n"/>
      <c r="C13" s="20" t="n"/>
      <c r="D13" s="19" t="n"/>
      <c r="E13" s="19" t="n"/>
    </row>
    <row r="14">
      <c r="A14" s="23" t="n"/>
      <c r="B14" s="24" t="n"/>
      <c r="C14" s="24" t="n"/>
      <c r="D14" s="23" t="n"/>
      <c r="E14" s="23" t="n"/>
    </row>
    <row r="15">
      <c r="A15" s="19" t="n"/>
      <c r="B15" s="20" t="n"/>
      <c r="C15" s="20" t="n"/>
      <c r="D15" s="19" t="n"/>
      <c r="E15" s="19" t="n"/>
    </row>
    <row r="16">
      <c r="A16" s="23" t="n"/>
      <c r="B16" s="24" t="n"/>
      <c r="C16" s="24" t="n"/>
      <c r="D16" s="23" t="n"/>
      <c r="E16" s="23" t="n"/>
    </row>
    <row r="17">
      <c r="A17" s="19" t="n"/>
      <c r="B17" s="20" t="n"/>
      <c r="C17" s="20" t="n"/>
      <c r="D17" s="19" t="n"/>
      <c r="E17" s="19" t="n"/>
    </row>
    <row r="18">
      <c r="A18" s="23" t="n"/>
      <c r="B18" s="24" t="n"/>
      <c r="C18" s="24" t="n"/>
      <c r="D18" s="23" t="n"/>
      <c r="E18" s="23" t="n"/>
    </row>
    <row r="19">
      <c r="A19" s="19" t="n"/>
      <c r="B19" s="20" t="n"/>
      <c r="C19" s="20" t="n"/>
      <c r="D19" s="19" t="n"/>
      <c r="E19" s="19" t="n"/>
    </row>
    <row r="20">
      <c r="A20" s="23" t="n"/>
      <c r="B20" s="24" t="n"/>
      <c r="C20" s="24" t="n"/>
      <c r="D20" s="23" t="n"/>
      <c r="E20" s="23" t="n"/>
    </row>
    <row r="21">
      <c r="A21" s="19" t="n"/>
      <c r="B21" s="20" t="n"/>
      <c r="C21" s="20" t="n"/>
      <c r="D21" s="19" t="n"/>
      <c r="E21" s="19" t="n"/>
    </row>
    <row r="22">
      <c r="A22" s="23" t="n"/>
      <c r="B22" s="24" t="n"/>
      <c r="C22" s="24" t="n"/>
      <c r="D22" s="23" t="n"/>
      <c r="E22" s="23" t="n"/>
    </row>
    <row r="23">
      <c r="A23" s="19" t="n"/>
      <c r="B23" s="20" t="n"/>
      <c r="C23" s="20" t="n"/>
      <c r="D23" s="19" t="n"/>
      <c r="E23" s="19" t="n"/>
    </row>
    <row r="24">
      <c r="A24" s="23" t="n"/>
      <c r="B24" s="24" t="n"/>
      <c r="C24" s="24" t="n"/>
      <c r="D24" s="23" t="n"/>
      <c r="E24" s="23" t="n"/>
    </row>
    <row r="25">
      <c r="A25" s="19" t="n"/>
      <c r="B25" s="20" t="n"/>
      <c r="C25" s="20" t="n"/>
      <c r="D25" s="19" t="n"/>
      <c r="E25" s="19" t="n"/>
    </row>
    <row r="26">
      <c r="A26" s="23" t="n"/>
      <c r="B26" s="24" t="n"/>
      <c r="C26" s="24" t="n"/>
      <c r="D26" s="23" t="n"/>
      <c r="E26" s="23" t="n"/>
    </row>
    <row r="27">
      <c r="A27" s="19" t="n"/>
      <c r="B27" s="20" t="n"/>
      <c r="C27" s="20" t="n"/>
      <c r="D27" s="19" t="n"/>
      <c r="E27" s="19" t="n"/>
    </row>
    <row r="28">
      <c r="A28" s="23" t="n"/>
      <c r="B28" s="24" t="n"/>
      <c r="C28" s="24" t="n"/>
      <c r="D28" s="23" t="n"/>
      <c r="E28" s="23" t="n"/>
    </row>
    <row r="29">
      <c r="A29" s="19" t="n"/>
      <c r="B29" s="20" t="n"/>
      <c r="C29" s="20" t="n"/>
      <c r="D29" s="19" t="n"/>
      <c r="E29" s="19" t="n"/>
    </row>
    <row r="30">
      <c r="A30" s="23" t="n"/>
      <c r="B30" s="24" t="n"/>
      <c r="C30" s="24" t="n"/>
      <c r="D30" s="23" t="n"/>
      <c r="E30" s="23" t="n"/>
    </row>
    <row r="31">
      <c r="A31" s="19" t="n"/>
      <c r="B31" s="20" t="n"/>
      <c r="C31" s="20" t="n"/>
      <c r="D31" s="19" t="n"/>
      <c r="E31" s="19" t="n"/>
    </row>
    <row r="32">
      <c r="A32" s="23" t="n"/>
      <c r="B32" s="24" t="n"/>
      <c r="C32" s="24" t="n"/>
      <c r="D32" s="23" t="n"/>
      <c r="E32" s="23" t="n"/>
    </row>
    <row r="33">
      <c r="A33" s="19" t="n"/>
      <c r="B33" s="20" t="n"/>
      <c r="C33" s="20" t="n"/>
      <c r="D33" s="19" t="n"/>
      <c r="E33" s="19" t="n"/>
    </row>
    <row r="34">
      <c r="A34" s="23" t="n"/>
      <c r="B34" s="24" t="n"/>
      <c r="C34" s="24" t="n"/>
      <c r="D34" s="23" t="n"/>
      <c r="E34" s="23" t="n"/>
    </row>
    <row r="35">
      <c r="A35" s="19" t="n"/>
      <c r="B35" s="20" t="n"/>
      <c r="C35" s="20" t="n"/>
      <c r="D35" s="19" t="n"/>
      <c r="E35" s="19" t="n"/>
    </row>
    <row r="36">
      <c r="A36" s="23" t="n"/>
      <c r="B36" s="24" t="n"/>
      <c r="C36" s="24" t="n"/>
      <c r="D36" s="23" t="n"/>
      <c r="E36" s="23" t="n"/>
    </row>
    <row r="37">
      <c r="A37" s="19" t="n"/>
      <c r="B37" s="20" t="n"/>
      <c r="C37" s="20" t="n"/>
      <c r="D37" s="19" t="n"/>
      <c r="E37" s="19" t="n"/>
    </row>
    <row r="38">
      <c r="A38" s="23" t="n"/>
      <c r="B38" s="24" t="n"/>
      <c r="C38" s="24" t="n"/>
      <c r="D38" s="23" t="n"/>
      <c r="E38" s="23" t="n"/>
    </row>
    <row r="39">
      <c r="A39" s="19" t="n"/>
      <c r="B39" s="20" t="n"/>
      <c r="C39" s="20" t="n"/>
      <c r="D39" s="19" t="n"/>
      <c r="E39" s="19" t="n"/>
    </row>
    <row r="40">
      <c r="A40" s="23" t="n"/>
      <c r="B40" s="24" t="n"/>
      <c r="C40" s="24" t="n"/>
      <c r="D40" s="23" t="n"/>
      <c r="E40" s="23" t="n"/>
    </row>
    <row r="41">
      <c r="A41" s="19" t="n"/>
      <c r="B41" s="20" t="n"/>
      <c r="C41" s="20" t="n"/>
      <c r="D41" s="19" t="n"/>
      <c r="E41" s="19" t="n"/>
    </row>
    <row r="42">
      <c r="A42" s="23" t="n"/>
      <c r="B42" s="24" t="n"/>
      <c r="C42" s="24" t="n"/>
      <c r="D42" s="23" t="n"/>
      <c r="E42" s="23" t="n"/>
    </row>
    <row r="43">
      <c r="A43" s="19" t="n"/>
      <c r="B43" s="20" t="n"/>
      <c r="C43" s="20" t="n"/>
      <c r="D43" s="19" t="n"/>
      <c r="E43" s="19" t="n"/>
    </row>
    <row r="44">
      <c r="A44" s="23" t="n"/>
      <c r="B44" s="24" t="n"/>
      <c r="C44" s="24" t="n"/>
      <c r="D44" s="23" t="n"/>
      <c r="E44" s="23" t="n"/>
    </row>
  </sheetData>
  <mergeCells count="2">
    <mergeCell ref="A2:E2"/>
    <mergeCell ref="A1:E1"/>
  </mergeCells>
  <dataValidations count="1">
    <dataValidation sqref="B5:B44" showDropDown="0" showInputMessage="0" showErrorMessage="0" allowBlank="1" type="list">
      <formula1>=RoleList</formula1>
    </dataValidation>
  </dataValidations>
  <pageMargins left="0.75" right="0.75" top="1" bottom="1" header="0.5" footer="0.5"/>
</worksheet>
</file>

<file path=xl/worksheets/sheet15.xml><?xml version="1.0" encoding="utf-8"?>
<worksheet xmlns="http://schemas.openxmlformats.org/spreadsheetml/2006/main">
  <sheetPr>
    <tabColor rgb="0075E6C1"/>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12" customWidth="1" min="4" max="4"/>
    <col width="14" customWidth="1" min="5" max="5"/>
    <col width="26" customWidth="1" min="6" max="6"/>
  </cols>
  <sheetData>
    <row r="1" ht="46" customHeight="1">
      <c r="A1" s="1" t="inlineStr">
        <is>
          <t xml:space="preserve">  🎯  GOAL PLANNER</t>
        </is>
      </c>
    </row>
    <row r="2" ht="22" customHeight="1">
      <c r="A2" s="2" t="inlineStr">
        <is>
          <t xml:space="preserve">  Your forward-looking goals — progress over perfection.</t>
        </is>
      </c>
    </row>
    <row r="3" ht="6" customHeight="1">
      <c r="A3" s="3" t="n"/>
      <c r="B3" s="3" t="n"/>
      <c r="C3" s="3" t="n"/>
      <c r="D3" s="3" t="n"/>
      <c r="E3" s="3" t="n"/>
      <c r="F3" s="3" t="n"/>
    </row>
    <row r="4" ht="30" customHeight="1">
      <c r="A4" s="7" t="inlineStr">
        <is>
          <t>Goal</t>
        </is>
      </c>
      <c r="B4" s="7" t="inlineStr">
        <is>
          <t>Category</t>
        </is>
      </c>
      <c r="C4" s="7" t="inlineStr">
        <is>
          <t>Target Date</t>
        </is>
      </c>
      <c r="D4" s="7" t="inlineStr">
        <is>
          <t>Progress</t>
        </is>
      </c>
      <c r="E4" s="7" t="inlineStr">
        <is>
          <t>Status</t>
        </is>
      </c>
      <c r="F4" s="7" t="inlineStr">
        <is>
          <t>Notes</t>
        </is>
      </c>
    </row>
    <row r="5">
      <c r="A5" s="19" t="inlineStr">
        <is>
          <t>Build 6-month emergency fund</t>
        </is>
      </c>
      <c r="B5" s="20" t="inlineStr">
        <is>
          <t>Financial</t>
        </is>
      </c>
      <c r="C5" s="21" t="n">
        <v>46382</v>
      </c>
      <c r="D5" s="45" t="n">
        <v>0.35</v>
      </c>
      <c r="E5" s="20" t="inlineStr">
        <is>
          <t>In Progress</t>
        </is>
      </c>
      <c r="F5" s="19" t="inlineStr"/>
    </row>
    <row r="6">
      <c r="A6" s="23" t="inlineStr">
        <is>
          <t>Secure stable housing</t>
        </is>
      </c>
      <c r="B6" s="24" t="inlineStr">
        <is>
          <t>Home</t>
        </is>
      </c>
      <c r="C6" s="25" t="n">
        <v>46262</v>
      </c>
      <c r="D6" s="39" t="n">
        <v>0.5</v>
      </c>
      <c r="E6" s="24" t="inlineStr">
        <is>
          <t>In Progress</t>
        </is>
      </c>
      <c r="F6" s="23" t="inlineStr"/>
    </row>
    <row r="7">
      <c r="A7" s="19" t="inlineStr">
        <is>
          <t>Update career / income plan</t>
        </is>
      </c>
      <c r="B7" s="20" t="inlineStr">
        <is>
          <t>Career</t>
        </is>
      </c>
      <c r="C7" s="21" t="n">
        <v>46292</v>
      </c>
      <c r="D7" s="45" t="n">
        <v>0.2</v>
      </c>
      <c r="E7" s="20" t="inlineStr">
        <is>
          <t>In Progress</t>
        </is>
      </c>
      <c r="F7" s="19" t="inlineStr"/>
    </row>
    <row r="8">
      <c r="A8" s="23" t="inlineStr">
        <is>
          <t>Establish steady parenting routine</t>
        </is>
      </c>
      <c r="B8" s="24" t="inlineStr">
        <is>
          <t>Parenting</t>
        </is>
      </c>
      <c r="C8" s="25" t="n">
        <v>46247</v>
      </c>
      <c r="D8" s="39" t="n">
        <v>0.6</v>
      </c>
      <c r="E8" s="24" t="inlineStr">
        <is>
          <t>In Progress</t>
        </is>
      </c>
      <c r="F8" s="23" t="inlineStr"/>
    </row>
    <row r="9">
      <c r="A9" s="19" t="inlineStr">
        <is>
          <t>Rebuild individual credit</t>
        </is>
      </c>
      <c r="B9" s="20" t="inlineStr">
        <is>
          <t>Financial</t>
        </is>
      </c>
      <c r="C9" s="21" t="n">
        <v>46567</v>
      </c>
      <c r="D9" s="45" t="n">
        <v>0.25</v>
      </c>
      <c r="E9" s="20" t="inlineStr">
        <is>
          <t>In Progress</t>
        </is>
      </c>
      <c r="F9" s="19" t="inlineStr"/>
    </row>
    <row r="10">
      <c r="A10" s="23" t="inlineStr">
        <is>
          <t>Prioritize health &amp; wellbeing</t>
        </is>
      </c>
      <c r="B10" s="24" t="inlineStr">
        <is>
          <t>Health</t>
        </is>
      </c>
      <c r="C10" s="25" t="n">
        <v>46322</v>
      </c>
      <c r="D10" s="39" t="n">
        <v>0.4</v>
      </c>
      <c r="E10" s="24" t="inlineStr">
        <is>
          <t>In Progress</t>
        </is>
      </c>
      <c r="F10" s="23" t="inlineStr"/>
    </row>
    <row r="11">
      <c r="A11" s="19" t="n"/>
      <c r="B11" s="20" t="n"/>
      <c r="C11" s="21" t="n"/>
      <c r="D11" s="45" t="n"/>
      <c r="E11" s="20" t="n"/>
      <c r="F11" s="19" t="n"/>
    </row>
    <row r="12">
      <c r="A12" s="23" t="n"/>
      <c r="B12" s="24" t="n"/>
      <c r="C12" s="25" t="n"/>
      <c r="D12" s="39" t="n"/>
      <c r="E12" s="24" t="n"/>
      <c r="F12" s="23" t="n"/>
    </row>
    <row r="13">
      <c r="A13" s="19" t="n"/>
      <c r="B13" s="20" t="n"/>
      <c r="C13" s="21" t="n"/>
      <c r="D13" s="45" t="n"/>
      <c r="E13" s="20" t="n"/>
      <c r="F13" s="19" t="n"/>
    </row>
    <row r="14">
      <c r="A14" s="23" t="n"/>
      <c r="B14" s="24" t="n"/>
      <c r="C14" s="25" t="n"/>
      <c r="D14" s="39" t="n"/>
      <c r="E14" s="24" t="n"/>
      <c r="F14" s="23" t="n"/>
    </row>
    <row r="15">
      <c r="A15" s="19" t="n"/>
      <c r="B15" s="20" t="n"/>
      <c r="C15" s="21" t="n"/>
      <c r="D15" s="45" t="n"/>
      <c r="E15" s="20" t="n"/>
      <c r="F15" s="19" t="n"/>
    </row>
    <row r="16">
      <c r="A16" s="23" t="n"/>
      <c r="B16" s="24" t="n"/>
      <c r="C16" s="25" t="n"/>
      <c r="D16" s="39" t="n"/>
      <c r="E16" s="24" t="n"/>
      <c r="F16" s="23" t="n"/>
    </row>
    <row r="17">
      <c r="A17" s="19" t="n"/>
      <c r="B17" s="20" t="n"/>
      <c r="C17" s="21" t="n"/>
      <c r="D17" s="45" t="n"/>
      <c r="E17" s="20" t="n"/>
      <c r="F17" s="19" t="n"/>
    </row>
    <row r="18">
      <c r="A18" s="23" t="n"/>
      <c r="B18" s="24" t="n"/>
      <c r="C18" s="25" t="n"/>
      <c r="D18" s="39" t="n"/>
      <c r="E18" s="24" t="n"/>
      <c r="F18" s="23" t="n"/>
    </row>
    <row r="19">
      <c r="A19" s="19" t="n"/>
      <c r="B19" s="20" t="n"/>
      <c r="C19" s="21" t="n"/>
      <c r="D19" s="45" t="n"/>
      <c r="E19" s="20" t="n"/>
      <c r="F19" s="19" t="n"/>
    </row>
    <row r="20">
      <c r="A20" s="23" t="n"/>
      <c r="B20" s="24" t="n"/>
      <c r="C20" s="25" t="n"/>
      <c r="D20" s="39" t="n"/>
      <c r="E20" s="24" t="n"/>
      <c r="F20" s="23" t="n"/>
    </row>
    <row r="21">
      <c r="A21" s="19" t="n"/>
      <c r="B21" s="20" t="n"/>
      <c r="C21" s="21" t="n"/>
      <c r="D21" s="45" t="n"/>
      <c r="E21" s="20" t="n"/>
      <c r="F21" s="19" t="n"/>
    </row>
    <row r="22">
      <c r="A22" s="23" t="n"/>
      <c r="B22" s="24" t="n"/>
      <c r="C22" s="25" t="n"/>
      <c r="D22" s="39" t="n"/>
      <c r="E22" s="24" t="n"/>
      <c r="F22" s="23" t="n"/>
    </row>
    <row r="23">
      <c r="A23" s="19" t="n"/>
      <c r="B23" s="20" t="n"/>
      <c r="C23" s="21" t="n"/>
      <c r="D23" s="45" t="n"/>
      <c r="E23" s="20" t="n"/>
      <c r="F23" s="19" t="n"/>
    </row>
    <row r="24">
      <c r="A24" s="23" t="n"/>
      <c r="B24" s="24" t="n"/>
      <c r="C24" s="25" t="n"/>
      <c r="D24" s="39" t="n"/>
      <c r="E24" s="24" t="n"/>
      <c r="F24" s="23" t="n"/>
    </row>
    <row r="25">
      <c r="A25" s="19" t="n"/>
      <c r="B25" s="20" t="n"/>
      <c r="C25" s="21" t="n"/>
      <c r="D25" s="45" t="n"/>
      <c r="E25" s="20" t="n"/>
      <c r="F25" s="19" t="n"/>
    </row>
    <row r="26">
      <c r="A26" s="23" t="n"/>
      <c r="B26" s="24" t="n"/>
      <c r="C26" s="25" t="n"/>
      <c r="D26" s="39" t="n"/>
      <c r="E26" s="24" t="n"/>
      <c r="F26" s="23" t="n"/>
    </row>
    <row r="27">
      <c r="A27" s="19" t="n"/>
      <c r="B27" s="20" t="n"/>
      <c r="C27" s="21" t="n"/>
      <c r="D27" s="45" t="n"/>
      <c r="E27" s="20" t="n"/>
      <c r="F27" s="19" t="n"/>
    </row>
    <row r="28">
      <c r="A28" s="23" t="n"/>
      <c r="B28" s="24" t="n"/>
      <c r="C28" s="25" t="n"/>
      <c r="D28" s="39" t="n"/>
      <c r="E28" s="24" t="n"/>
      <c r="F28" s="23" t="n"/>
    </row>
    <row r="29">
      <c r="A29" s="19" t="n"/>
      <c r="B29" s="20" t="n"/>
      <c r="C29" s="21" t="n"/>
      <c r="D29" s="45" t="n"/>
      <c r="E29" s="20" t="n"/>
      <c r="F29" s="19" t="n"/>
    </row>
    <row r="30">
      <c r="A30" s="23" t="n"/>
      <c r="B30" s="24" t="n"/>
      <c r="C30" s="25" t="n"/>
      <c r="D30" s="39" t="n"/>
      <c r="E30" s="24" t="n"/>
      <c r="F30" s="23" t="n"/>
    </row>
    <row r="31">
      <c r="A31" s="19" t="n"/>
      <c r="B31" s="20" t="n"/>
      <c r="C31" s="21" t="n"/>
      <c r="D31" s="45" t="n"/>
      <c r="E31" s="20" t="n"/>
      <c r="F31" s="19" t="n"/>
    </row>
    <row r="32">
      <c r="A32" s="23" t="n"/>
      <c r="B32" s="24" t="n"/>
      <c r="C32" s="25" t="n"/>
      <c r="D32" s="39" t="n"/>
      <c r="E32" s="24" t="n"/>
      <c r="F32" s="23" t="n"/>
    </row>
    <row r="33">
      <c r="A33" s="19" t="n"/>
      <c r="B33" s="20" t="n"/>
      <c r="C33" s="21" t="n"/>
      <c r="D33" s="45" t="n"/>
      <c r="E33" s="20" t="n"/>
      <c r="F33" s="19" t="n"/>
    </row>
    <row r="34">
      <c r="A34" s="23" t="n"/>
      <c r="B34" s="24" t="n"/>
      <c r="C34" s="25" t="n"/>
      <c r="D34" s="39" t="n"/>
      <c r="E34" s="24" t="n"/>
      <c r="F34" s="23" t="n"/>
    </row>
    <row r="35">
      <c r="A35" s="19" t="n"/>
      <c r="B35" s="20" t="n"/>
      <c r="C35" s="21" t="n"/>
      <c r="D35" s="45" t="n"/>
      <c r="E35" s="20" t="n"/>
      <c r="F35" s="19" t="n"/>
    </row>
    <row r="36">
      <c r="A36" s="23" t="n"/>
      <c r="B36" s="24" t="n"/>
      <c r="C36" s="25" t="n"/>
      <c r="D36" s="39" t="n"/>
      <c r="E36" s="24" t="n"/>
      <c r="F36" s="23" t="n"/>
    </row>
    <row r="37">
      <c r="A37" s="19" t="n"/>
      <c r="B37" s="20" t="n"/>
      <c r="C37" s="21" t="n"/>
      <c r="D37" s="45" t="n"/>
      <c r="E37" s="20" t="n"/>
      <c r="F37" s="19" t="n"/>
    </row>
    <row r="38">
      <c r="A38" s="23" t="n"/>
      <c r="B38" s="24" t="n"/>
      <c r="C38" s="25" t="n"/>
      <c r="D38" s="39" t="n"/>
      <c r="E38" s="24" t="n"/>
      <c r="F38" s="23" t="n"/>
    </row>
    <row r="39">
      <c r="A39" s="19" t="n"/>
      <c r="B39" s="20" t="n"/>
      <c r="C39" s="21" t="n"/>
      <c r="D39" s="45" t="n"/>
      <c r="E39" s="20" t="n"/>
      <c r="F39" s="19" t="n"/>
    </row>
    <row r="40">
      <c r="A40" s="23" t="n"/>
      <c r="B40" s="24" t="n"/>
      <c r="C40" s="25" t="n"/>
      <c r="D40" s="39" t="n"/>
      <c r="E40" s="24" t="n"/>
      <c r="F40" s="23" t="n"/>
    </row>
    <row r="41">
      <c r="A41" s="19" t="n"/>
      <c r="B41" s="20" t="n"/>
      <c r="C41" s="21" t="n"/>
      <c r="D41" s="45" t="n"/>
      <c r="E41" s="20" t="n"/>
      <c r="F41" s="19" t="n"/>
    </row>
    <row r="42">
      <c r="A42" s="23" t="n"/>
      <c r="B42" s="24" t="n"/>
      <c r="C42" s="25" t="n"/>
      <c r="D42" s="39" t="n"/>
      <c r="E42" s="24" t="n"/>
      <c r="F42" s="23" t="n"/>
    </row>
    <row r="43">
      <c r="A43" s="19" t="n"/>
      <c r="B43" s="20" t="n"/>
      <c r="C43" s="21" t="n"/>
      <c r="D43" s="45" t="n"/>
      <c r="E43" s="20" t="n"/>
      <c r="F43" s="19" t="n"/>
    </row>
    <row r="44">
      <c r="A44" s="23" t="n"/>
      <c r="B44" s="24" t="n"/>
      <c r="C44" s="25" t="n"/>
      <c r="D44" s="39" t="n"/>
      <c r="E44" s="24" t="n"/>
      <c r="F44" s="23" t="n"/>
    </row>
  </sheetData>
  <mergeCells count="2">
    <mergeCell ref="A2:F2"/>
    <mergeCell ref="A1:F1"/>
  </mergeCells>
  <conditionalFormatting sqref="D5:D44">
    <cfRule type="dataBar" priority="1">
      <dataBar showValue="1">
        <cfvo type="num" val="0"/>
        <cfvo type="num" val="1"/>
        <color rgb="0075E6C1"/>
      </dataBar>
    </cfRule>
  </conditionalFormatting>
  <dataValidations count="2">
    <dataValidation sqref="B5:B44" showDropDown="0" showInputMessage="0" showErrorMessage="0" allowBlank="1" type="list">
      <formula1>=GoalCatList</formula1>
    </dataValidation>
    <dataValidation sqref="E5:E44" showDropDown="0" showInputMessage="0" showErrorMessage="0" allowBlank="1" type="list">
      <formula1>=StatusList</formula1>
    </dataValidation>
  </dataValidations>
  <pageMargins left="0.75" right="0.75" top="1" bottom="1" header="0.5" footer="0.5"/>
</worksheet>
</file>

<file path=xl/worksheets/sheet16.xml><?xml version="1.0" encoding="utf-8"?>
<worksheet xmlns="http://schemas.openxmlformats.org/spreadsheetml/2006/main">
  <sheetPr>
    <tabColor rgb="00E5D3BA"/>
    <outlinePr summaryBelow="1" summaryRight="1"/>
    <pageSetUpPr/>
  </sheetPr>
  <dimension ref="A1:E34"/>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14" customWidth="1" min="3" max="3"/>
    <col width="14" customWidth="1" min="4" max="4"/>
    <col width="26" customWidth="1" min="5" max="5"/>
  </cols>
  <sheetData>
    <row r="1" ht="46" customHeight="1">
      <c r="A1" s="1" t="inlineStr">
        <is>
          <t xml:space="preserve">  🌱  LIFE REBUILD PLANNER</t>
        </is>
      </c>
    </row>
    <row r="2" ht="22" customHeight="1">
      <c r="A2" s="2" t="inlineStr">
        <is>
          <t xml:space="preserve">  Design the life you're moving toward — one area at a time.</t>
        </is>
      </c>
    </row>
    <row r="3" ht="6" customHeight="1">
      <c r="A3" s="3" t="n"/>
      <c r="B3" s="3" t="n"/>
      <c r="C3" s="3" t="n"/>
      <c r="D3" s="3" t="n"/>
      <c r="E3" s="3" t="n"/>
    </row>
    <row r="4" ht="30" customHeight="1">
      <c r="A4" s="7" t="inlineStr">
        <is>
          <t>Area</t>
        </is>
      </c>
      <c r="B4" s="7" t="inlineStr">
        <is>
          <t>Action / Goal</t>
        </is>
      </c>
      <c r="C4" s="7" t="inlineStr">
        <is>
          <t>Target</t>
        </is>
      </c>
      <c r="D4" s="7" t="inlineStr">
        <is>
          <t>Status</t>
        </is>
      </c>
      <c r="E4" s="7" t="inlineStr">
        <is>
          <t>Notes</t>
        </is>
      </c>
    </row>
    <row r="5">
      <c r="A5" s="20" t="inlineStr">
        <is>
          <t>New Routine</t>
        </is>
      </c>
      <c r="B5" s="19" t="inlineStr">
        <is>
          <t>Set a calm weekday morning routine</t>
        </is>
      </c>
      <c r="C5" s="20" t="inlineStr">
        <is>
          <t>This month</t>
        </is>
      </c>
      <c r="D5" s="20" t="inlineStr">
        <is>
          <t>In Progress</t>
        </is>
      </c>
      <c r="E5" s="19" t="inlineStr"/>
    </row>
    <row r="6">
      <c r="A6" s="24" t="inlineStr">
        <is>
          <t>Weekly Habits</t>
        </is>
      </c>
      <c r="B6" s="23" t="inlineStr">
        <is>
          <t>Meal prep on Sundays</t>
        </is>
      </c>
      <c r="C6" s="24" t="inlineStr">
        <is>
          <t>Ongoing</t>
        </is>
      </c>
      <c r="D6" s="24" t="inlineStr">
        <is>
          <t>Not Started</t>
        </is>
      </c>
      <c r="E6" s="23" t="inlineStr"/>
    </row>
    <row r="7">
      <c r="A7" s="20" t="inlineStr">
        <is>
          <t>Home Setup</t>
        </is>
      </c>
      <c r="B7" s="19" t="inlineStr">
        <is>
          <t>Make new space feel like home</t>
        </is>
      </c>
      <c r="C7" s="20" t="inlineStr">
        <is>
          <t>60 days</t>
        </is>
      </c>
      <c r="D7" s="20" t="inlineStr">
        <is>
          <t>In Progress</t>
        </is>
      </c>
      <c r="E7" s="19" t="inlineStr"/>
    </row>
    <row r="8">
      <c r="A8" s="24" t="inlineStr">
        <is>
          <t>Career</t>
        </is>
      </c>
      <c r="B8" s="23" t="inlineStr">
        <is>
          <t>Update resume &amp; LinkedIn</t>
        </is>
      </c>
      <c r="C8" s="24" t="inlineStr">
        <is>
          <t>30 days</t>
        </is>
      </c>
      <c r="D8" s="24" t="inlineStr">
        <is>
          <t>Not Started</t>
        </is>
      </c>
      <c r="E8" s="23" t="inlineStr"/>
    </row>
    <row r="9">
      <c r="A9" s="20" t="inlineStr">
        <is>
          <t>Education</t>
        </is>
      </c>
      <c r="B9" s="19" t="inlineStr">
        <is>
          <t>Research a course / certification</t>
        </is>
      </c>
      <c r="C9" s="20" t="inlineStr">
        <is>
          <t>90 days</t>
        </is>
      </c>
      <c r="D9" s="20" t="inlineStr">
        <is>
          <t>Not Started</t>
        </is>
      </c>
      <c r="E9" s="19" t="inlineStr"/>
    </row>
    <row r="10">
      <c r="A10" s="24" t="inlineStr">
        <is>
          <t>Savings</t>
        </is>
      </c>
      <c r="B10" s="23" t="inlineStr">
        <is>
          <t>Automate monthly transfer</t>
        </is>
      </c>
      <c r="C10" s="24" t="inlineStr">
        <is>
          <t>This month</t>
        </is>
      </c>
      <c r="D10" s="24" t="inlineStr">
        <is>
          <t>In Progress</t>
        </is>
      </c>
      <c r="E10" s="23" t="inlineStr"/>
    </row>
    <row r="11">
      <c r="A11" s="20" t="inlineStr">
        <is>
          <t>Fitness</t>
        </is>
      </c>
      <c r="B11" s="19" t="inlineStr">
        <is>
          <t>Walk or workout 3x/week</t>
        </is>
      </c>
      <c r="C11" s="20" t="inlineStr">
        <is>
          <t>Ongoing</t>
        </is>
      </c>
      <c r="D11" s="20" t="inlineStr">
        <is>
          <t>In Progress</t>
        </is>
      </c>
      <c r="E11" s="19" t="inlineStr"/>
    </row>
    <row r="12">
      <c r="A12" s="24" t="n"/>
      <c r="B12" s="23" t="n"/>
      <c r="C12" s="24" t="n"/>
      <c r="D12" s="24" t="n"/>
      <c r="E12" s="23" t="n"/>
    </row>
    <row r="13">
      <c r="A13" s="20" t="n"/>
      <c r="B13" s="19" t="n"/>
      <c r="C13" s="20" t="n"/>
      <c r="D13" s="20" t="n"/>
      <c r="E13" s="19" t="n"/>
    </row>
    <row r="14">
      <c r="A14" s="24" t="n"/>
      <c r="B14" s="23" t="n"/>
      <c r="C14" s="24" t="n"/>
      <c r="D14" s="24" t="n"/>
      <c r="E14" s="23" t="n"/>
    </row>
    <row r="15">
      <c r="A15" s="20" t="n"/>
      <c r="B15" s="19" t="n"/>
      <c r="C15" s="20" t="n"/>
      <c r="D15" s="20" t="n"/>
      <c r="E15" s="19" t="n"/>
    </row>
    <row r="16">
      <c r="A16" s="24" t="n"/>
      <c r="B16" s="23" t="n"/>
      <c r="C16" s="24" t="n"/>
      <c r="D16" s="24" t="n"/>
      <c r="E16" s="23" t="n"/>
    </row>
    <row r="17">
      <c r="A17" s="20" t="n"/>
      <c r="B17" s="19" t="n"/>
      <c r="C17" s="20" t="n"/>
      <c r="D17" s="20" t="n"/>
      <c r="E17" s="19" t="n"/>
    </row>
    <row r="18">
      <c r="A18" s="24" t="n"/>
      <c r="B18" s="23" t="n"/>
      <c r="C18" s="24" t="n"/>
      <c r="D18" s="24" t="n"/>
      <c r="E18" s="23" t="n"/>
    </row>
    <row r="19">
      <c r="A19" s="20" t="n"/>
      <c r="B19" s="19" t="n"/>
      <c r="C19" s="20" t="n"/>
      <c r="D19" s="20" t="n"/>
      <c r="E19" s="19" t="n"/>
    </row>
    <row r="20">
      <c r="A20" s="24" t="n"/>
      <c r="B20" s="23" t="n"/>
      <c r="C20" s="24" t="n"/>
      <c r="D20" s="24" t="n"/>
      <c r="E20" s="23" t="n"/>
    </row>
    <row r="21">
      <c r="A21" s="20" t="n"/>
      <c r="B21" s="19" t="n"/>
      <c r="C21" s="20" t="n"/>
      <c r="D21" s="20" t="n"/>
      <c r="E21" s="19" t="n"/>
    </row>
    <row r="22">
      <c r="A22" s="24" t="n"/>
      <c r="B22" s="23" t="n"/>
      <c r="C22" s="24" t="n"/>
      <c r="D22" s="24" t="n"/>
      <c r="E22" s="23" t="n"/>
    </row>
    <row r="23">
      <c r="A23" s="20" t="n"/>
      <c r="B23" s="19" t="n"/>
      <c r="C23" s="20" t="n"/>
      <c r="D23" s="20" t="n"/>
      <c r="E23" s="19" t="n"/>
    </row>
    <row r="24">
      <c r="A24" s="24" t="n"/>
      <c r="B24" s="23" t="n"/>
      <c r="C24" s="24" t="n"/>
      <c r="D24" s="24" t="n"/>
      <c r="E24" s="23" t="n"/>
    </row>
    <row r="25">
      <c r="A25" s="20" t="n"/>
      <c r="B25" s="19" t="n"/>
      <c r="C25" s="20" t="n"/>
      <c r="D25" s="20" t="n"/>
      <c r="E25" s="19" t="n"/>
    </row>
    <row r="26">
      <c r="A26" s="24" t="n"/>
      <c r="B26" s="23" t="n"/>
      <c r="C26" s="24" t="n"/>
      <c r="D26" s="24" t="n"/>
      <c r="E26" s="23" t="n"/>
    </row>
    <row r="27">
      <c r="A27" s="20" t="n"/>
      <c r="B27" s="19" t="n"/>
      <c r="C27" s="20" t="n"/>
      <c r="D27" s="20" t="n"/>
      <c r="E27" s="19" t="n"/>
    </row>
    <row r="28">
      <c r="A28" s="24" t="n"/>
      <c r="B28" s="23" t="n"/>
      <c r="C28" s="24" t="n"/>
      <c r="D28" s="24" t="n"/>
      <c r="E28" s="23" t="n"/>
    </row>
    <row r="29">
      <c r="A29" s="20" t="n"/>
      <c r="B29" s="19" t="n"/>
      <c r="C29" s="20" t="n"/>
      <c r="D29" s="20" t="n"/>
      <c r="E29" s="19" t="n"/>
    </row>
    <row r="30">
      <c r="A30" s="24" t="n"/>
      <c r="B30" s="23" t="n"/>
      <c r="C30" s="24" t="n"/>
      <c r="D30" s="24" t="n"/>
      <c r="E30" s="23" t="n"/>
    </row>
    <row r="31">
      <c r="A31" s="20" t="n"/>
      <c r="B31" s="19" t="n"/>
      <c r="C31" s="20" t="n"/>
      <c r="D31" s="20" t="n"/>
      <c r="E31" s="19" t="n"/>
    </row>
    <row r="32">
      <c r="A32" s="24" t="n"/>
      <c r="B32" s="23" t="n"/>
      <c r="C32" s="24" t="n"/>
      <c r="D32" s="24" t="n"/>
      <c r="E32" s="23" t="n"/>
    </row>
    <row r="33">
      <c r="A33" s="20" t="n"/>
      <c r="B33" s="19" t="n"/>
      <c r="C33" s="20" t="n"/>
      <c r="D33" s="20" t="n"/>
      <c r="E33" s="19" t="n"/>
    </row>
    <row r="34">
      <c r="A34" s="24" t="n"/>
      <c r="B34" s="23" t="n"/>
      <c r="C34" s="24" t="n"/>
      <c r="D34" s="24" t="n"/>
      <c r="E34" s="23" t="n"/>
    </row>
  </sheetData>
  <mergeCells count="2">
    <mergeCell ref="A2:E2"/>
    <mergeCell ref="A1:E1"/>
  </mergeCells>
  <dataValidations count="1">
    <dataValidation sqref="D5:D34" showDropDown="0" showInputMessage="0" showErrorMessage="0" allowBlank="1" type="list">
      <formula1>=StatusList</formula1>
    </dataValidation>
  </dataValidations>
  <pageMargins left="0.75" right="0.75" top="1" bottom="1" header="0.5" footer="0.5"/>
</worksheet>
</file>

<file path=xl/worksheets/sheet17.xml><?xml version="1.0" encoding="utf-8"?>
<worksheet xmlns="http://schemas.openxmlformats.org/spreadsheetml/2006/main">
  <sheetPr>
    <tabColor rgb="001B4F48"/>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13" customWidth="1" min="1" max="1"/>
    <col width="26" customWidth="1" min="2" max="2"/>
    <col width="26" customWidth="1" min="3" max="3"/>
    <col width="24" customWidth="1" min="4" max="4"/>
    <col width="26" customWidth="1" min="5" max="5"/>
  </cols>
  <sheetData>
    <row r="1" ht="46" customHeight="1">
      <c r="A1" s="1" t="inlineStr">
        <is>
          <t xml:space="preserve">  📓  JOURNAL &amp; NOTES</t>
        </is>
      </c>
    </row>
    <row r="2" ht="22" customHeight="1">
      <c r="A2" s="2" t="inlineStr">
        <is>
          <t xml:space="preserve">  A private space to process the week — wins, challenges &amp; what's next.</t>
        </is>
      </c>
    </row>
    <row r="3" ht="6" customHeight="1">
      <c r="A3" s="3" t="n"/>
      <c r="B3" s="3" t="n"/>
      <c r="C3" s="3" t="n"/>
      <c r="D3" s="3" t="n"/>
      <c r="E3" s="3" t="n"/>
    </row>
    <row r="4" ht="30" customHeight="1">
      <c r="A4" s="7" t="inlineStr">
        <is>
          <t>Week Of</t>
        </is>
      </c>
      <c r="B4" s="7" t="inlineStr">
        <is>
          <t>Wins</t>
        </is>
      </c>
      <c r="C4" s="7" t="inlineStr">
        <is>
          <t>Challenges</t>
        </is>
      </c>
      <c r="D4" s="7" t="inlineStr">
        <is>
          <t>Gratitude</t>
        </is>
      </c>
      <c r="E4" s="7" t="inlineStr">
        <is>
          <t>Future Plans</t>
        </is>
      </c>
    </row>
    <row r="5">
      <c r="A5" s="21" t="n">
        <v>46195</v>
      </c>
      <c r="B5" s="19" t="inlineStr">
        <is>
          <t>Opened my own account</t>
        </is>
      </c>
      <c r="C5" s="19" t="inlineStr">
        <is>
          <t>Hard conversation about schedule</t>
        </is>
      </c>
      <c r="D5" s="19" t="inlineStr">
        <is>
          <t>Support from a friend</t>
        </is>
      </c>
      <c r="E5" s="19" t="inlineStr">
        <is>
          <t>Finalize parenting plan</t>
        </is>
      </c>
    </row>
    <row r="6">
      <c r="A6" s="25" t="n">
        <v>46202</v>
      </c>
      <c r="B6" s="23" t="inlineStr">
        <is>
          <t>Stayed organized with docs</t>
        </is>
      </c>
      <c r="C6" s="23" t="inlineStr">
        <is>
          <t>Felt overwhelmed mid-week</t>
        </is>
      </c>
      <c r="D6" s="23" t="inlineStr">
        <is>
          <t>A calm weekend</t>
        </is>
      </c>
      <c r="E6" s="23" t="inlineStr">
        <is>
          <t>Start emergency fund</t>
        </is>
      </c>
    </row>
    <row r="7">
      <c r="A7" s="21" t="n"/>
      <c r="B7" s="19" t="n"/>
      <c r="C7" s="19" t="n"/>
      <c r="D7" s="19" t="n"/>
      <c r="E7" s="19" t="n"/>
    </row>
    <row r="8">
      <c r="A8" s="25" t="n"/>
      <c r="B8" s="23" t="n"/>
      <c r="C8" s="23" t="n"/>
      <c r="D8" s="23" t="n"/>
      <c r="E8" s="23" t="n"/>
    </row>
    <row r="9">
      <c r="A9" s="21" t="n"/>
      <c r="B9" s="19" t="n"/>
      <c r="C9" s="19" t="n"/>
      <c r="D9" s="19" t="n"/>
      <c r="E9" s="19" t="n"/>
    </row>
    <row r="10">
      <c r="A10" s="25" t="n"/>
      <c r="B10" s="23" t="n"/>
      <c r="C10" s="23" t="n"/>
      <c r="D10" s="23" t="n"/>
      <c r="E10" s="23" t="n"/>
    </row>
    <row r="11">
      <c r="A11" s="21" t="n"/>
      <c r="B11" s="19" t="n"/>
      <c r="C11" s="19" t="n"/>
      <c r="D11" s="19" t="n"/>
      <c r="E11" s="19" t="n"/>
    </row>
    <row r="12">
      <c r="A12" s="25" t="n"/>
      <c r="B12" s="23" t="n"/>
      <c r="C12" s="23" t="n"/>
      <c r="D12" s="23" t="n"/>
      <c r="E12" s="23" t="n"/>
    </row>
    <row r="13">
      <c r="A13" s="21" t="n"/>
      <c r="B13" s="19" t="n"/>
      <c r="C13" s="19" t="n"/>
      <c r="D13" s="19" t="n"/>
      <c r="E13" s="19" t="n"/>
    </row>
    <row r="14">
      <c r="A14" s="25" t="n"/>
      <c r="B14" s="23" t="n"/>
      <c r="C14" s="23" t="n"/>
      <c r="D14" s="23" t="n"/>
      <c r="E14" s="23" t="n"/>
    </row>
    <row r="15">
      <c r="A15" s="21" t="n"/>
      <c r="B15" s="19" t="n"/>
      <c r="C15" s="19" t="n"/>
      <c r="D15" s="19" t="n"/>
      <c r="E15" s="19" t="n"/>
    </row>
    <row r="16">
      <c r="A16" s="25" t="n"/>
      <c r="B16" s="23" t="n"/>
      <c r="C16" s="23" t="n"/>
      <c r="D16" s="23" t="n"/>
      <c r="E16" s="23" t="n"/>
    </row>
    <row r="17">
      <c r="A17" s="21" t="n"/>
      <c r="B17" s="19" t="n"/>
      <c r="C17" s="19" t="n"/>
      <c r="D17" s="19" t="n"/>
      <c r="E17" s="19" t="n"/>
    </row>
    <row r="18">
      <c r="A18" s="25" t="n"/>
      <c r="B18" s="23" t="n"/>
      <c r="C18" s="23" t="n"/>
      <c r="D18" s="23" t="n"/>
      <c r="E18" s="23" t="n"/>
    </row>
    <row r="19">
      <c r="A19" s="21" t="n"/>
      <c r="B19" s="19" t="n"/>
      <c r="C19" s="19" t="n"/>
      <c r="D19" s="19" t="n"/>
      <c r="E19" s="19" t="n"/>
    </row>
    <row r="20">
      <c r="A20" s="25" t="n"/>
      <c r="B20" s="23" t="n"/>
      <c r="C20" s="23" t="n"/>
      <c r="D20" s="23" t="n"/>
      <c r="E20" s="23" t="n"/>
    </row>
    <row r="21">
      <c r="A21" s="21" t="n"/>
      <c r="B21" s="19" t="n"/>
      <c r="C21" s="19" t="n"/>
      <c r="D21" s="19" t="n"/>
      <c r="E21" s="19" t="n"/>
    </row>
    <row r="22">
      <c r="A22" s="25" t="n"/>
      <c r="B22" s="23" t="n"/>
      <c r="C22" s="23" t="n"/>
      <c r="D22" s="23" t="n"/>
      <c r="E22" s="23" t="n"/>
    </row>
    <row r="23">
      <c r="A23" s="21" t="n"/>
      <c r="B23" s="19" t="n"/>
      <c r="C23" s="19" t="n"/>
      <c r="D23" s="19" t="n"/>
      <c r="E23" s="19" t="n"/>
    </row>
    <row r="24">
      <c r="A24" s="25" t="n"/>
      <c r="B24" s="23" t="n"/>
      <c r="C24" s="23" t="n"/>
      <c r="D24" s="23" t="n"/>
      <c r="E24" s="23" t="n"/>
    </row>
    <row r="25">
      <c r="A25" s="21" t="n"/>
      <c r="B25" s="19" t="n"/>
      <c r="C25" s="19" t="n"/>
      <c r="D25" s="19" t="n"/>
      <c r="E25" s="19" t="n"/>
    </row>
    <row r="26">
      <c r="A26" s="25" t="n"/>
      <c r="B26" s="23" t="n"/>
      <c r="C26" s="23" t="n"/>
      <c r="D26" s="23" t="n"/>
      <c r="E26" s="23" t="n"/>
    </row>
    <row r="27">
      <c r="A27" s="21" t="n"/>
      <c r="B27" s="19" t="n"/>
      <c r="C27" s="19" t="n"/>
      <c r="D27" s="19" t="n"/>
      <c r="E27" s="19" t="n"/>
    </row>
    <row r="28">
      <c r="A28" s="25" t="n"/>
      <c r="B28" s="23" t="n"/>
      <c r="C28" s="23" t="n"/>
      <c r="D28" s="23" t="n"/>
      <c r="E28" s="23" t="n"/>
    </row>
    <row r="29">
      <c r="A29" s="21" t="n"/>
      <c r="B29" s="19" t="n"/>
      <c r="C29" s="19" t="n"/>
      <c r="D29" s="19" t="n"/>
      <c r="E29" s="19" t="n"/>
    </row>
    <row r="30">
      <c r="A30" s="25" t="n"/>
      <c r="B30" s="23" t="n"/>
      <c r="C30" s="23" t="n"/>
      <c r="D30" s="23" t="n"/>
      <c r="E30" s="23" t="n"/>
    </row>
    <row r="31">
      <c r="A31" s="21" t="n"/>
      <c r="B31" s="19" t="n"/>
      <c r="C31" s="19" t="n"/>
      <c r="D31" s="19" t="n"/>
      <c r="E31" s="19" t="n"/>
    </row>
    <row r="32">
      <c r="A32" s="25" t="n"/>
      <c r="B32" s="23" t="n"/>
      <c r="C32" s="23" t="n"/>
      <c r="D32" s="23" t="n"/>
      <c r="E32" s="23" t="n"/>
    </row>
    <row r="33">
      <c r="A33" s="21" t="n"/>
      <c r="B33" s="19" t="n"/>
      <c r="C33" s="19" t="n"/>
      <c r="D33" s="19" t="n"/>
      <c r="E33" s="19" t="n"/>
    </row>
    <row r="34">
      <c r="A34" s="25" t="n"/>
      <c r="B34" s="23" t="n"/>
      <c r="C34" s="23" t="n"/>
      <c r="D34" s="23" t="n"/>
      <c r="E34" s="23" t="n"/>
    </row>
    <row r="35">
      <c r="A35" s="21" t="n"/>
      <c r="B35" s="19" t="n"/>
      <c r="C35" s="19" t="n"/>
      <c r="D35" s="19" t="n"/>
      <c r="E35" s="19" t="n"/>
    </row>
    <row r="36">
      <c r="A36" s="25" t="n"/>
      <c r="B36" s="23" t="n"/>
      <c r="C36" s="23" t="n"/>
      <c r="D36" s="23" t="n"/>
      <c r="E36" s="23" t="n"/>
    </row>
    <row r="37">
      <c r="A37" s="21" t="n"/>
      <c r="B37" s="19" t="n"/>
      <c r="C37" s="19" t="n"/>
      <c r="D37" s="19" t="n"/>
      <c r="E37" s="19" t="n"/>
    </row>
    <row r="38">
      <c r="A38" s="25" t="n"/>
      <c r="B38" s="23" t="n"/>
      <c r="C38" s="23" t="n"/>
      <c r="D38" s="23" t="n"/>
      <c r="E38" s="23" t="n"/>
    </row>
    <row r="39">
      <c r="A39" s="21" t="n"/>
      <c r="B39" s="19" t="n"/>
      <c r="C39" s="19" t="n"/>
      <c r="D39" s="19" t="n"/>
      <c r="E39" s="19" t="n"/>
    </row>
    <row r="40">
      <c r="A40" s="25" t="n"/>
      <c r="B40" s="23" t="n"/>
      <c r="C40" s="23" t="n"/>
      <c r="D40" s="23" t="n"/>
      <c r="E40" s="23" t="n"/>
    </row>
    <row r="41">
      <c r="A41" s="21" t="n"/>
      <c r="B41" s="19" t="n"/>
      <c r="C41" s="19" t="n"/>
      <c r="D41" s="19" t="n"/>
      <c r="E41" s="19" t="n"/>
    </row>
    <row r="42">
      <c r="A42" s="25" t="n"/>
      <c r="B42" s="23" t="n"/>
      <c r="C42" s="23" t="n"/>
      <c r="D42" s="23" t="n"/>
      <c r="E42" s="23" t="n"/>
    </row>
    <row r="43">
      <c r="A43" s="21" t="n"/>
      <c r="B43" s="19" t="n"/>
      <c r="C43" s="19" t="n"/>
      <c r="D43" s="19" t="n"/>
      <c r="E43" s="19" t="n"/>
    </row>
    <row r="44">
      <c r="A44" s="25" t="n"/>
      <c r="B44" s="23" t="n"/>
      <c r="C44" s="23" t="n"/>
      <c r="D44" s="23" t="n"/>
      <c r="E44" s="23" t="n"/>
    </row>
  </sheetData>
  <mergeCells count="2">
    <mergeCell ref="A2:E2"/>
    <mergeCell ref="A1:E1"/>
  </mergeCells>
  <pageMargins left="0.75" right="0.75" top="1" bottom="1" header="0.5" footer="0.5"/>
</worksheet>
</file>

<file path=xl/worksheets/sheet18.xml><?xml version="1.0" encoding="utf-8"?>
<worksheet xmlns="http://schemas.openxmlformats.org/spreadsheetml/2006/main">
  <sheetPr>
    <tabColor rgb="00937356"/>
    <outlinePr summaryBelow="1" summaryRight="1"/>
    <pageSetUpPr/>
  </sheetPr>
  <dimension ref="A1:D44"/>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2" customWidth="1" min="3" max="3"/>
    <col width="28" customWidth="1" min="4" max="4"/>
  </cols>
  <sheetData>
    <row r="1" ht="46" customHeight="1">
      <c r="A1" s="1" t="inlineStr">
        <is>
          <t xml:space="preserve">  📋  DOCUMENT CHECKLIST</t>
        </is>
      </c>
    </row>
    <row r="2" ht="22" customHeight="1">
      <c r="A2" s="2" t="inlineStr">
        <is>
          <t xml:space="preserve">  A quick-tick list of the paperwork most processes need.</t>
        </is>
      </c>
    </row>
    <row r="3" ht="6" customHeight="1">
      <c r="A3" s="3" t="n"/>
      <c r="B3" s="3" t="n"/>
      <c r="C3" s="3" t="n"/>
      <c r="D3" s="3" t="n"/>
    </row>
    <row r="4" ht="30" customHeight="1">
      <c r="A4" s="7" t="inlineStr">
        <is>
          <t>Document</t>
        </is>
      </c>
      <c r="B4" s="7" t="inlineStr">
        <is>
          <t>Category</t>
        </is>
      </c>
      <c r="C4" s="7" t="inlineStr">
        <is>
          <t>Have It?</t>
        </is>
      </c>
      <c r="D4" s="7" t="inlineStr">
        <is>
          <t>Notes</t>
        </is>
      </c>
    </row>
    <row r="5">
      <c r="A5" s="19" t="inlineStr">
        <is>
          <t>Tax returns (3 years)</t>
        </is>
      </c>
      <c r="B5" s="20" t="inlineStr">
        <is>
          <t>Financial</t>
        </is>
      </c>
      <c r="C5" s="20" t="inlineStr">
        <is>
          <t>Yes</t>
        </is>
      </c>
      <c r="D5" s="19" t="inlineStr"/>
    </row>
    <row r="6">
      <c r="A6" s="23" t="inlineStr">
        <is>
          <t>Bank statements (12 months)</t>
        </is>
      </c>
      <c r="B6" s="24" t="inlineStr">
        <is>
          <t>Financial</t>
        </is>
      </c>
      <c r="C6" s="24" t="inlineStr">
        <is>
          <t>Yes</t>
        </is>
      </c>
      <c r="D6" s="23" t="inlineStr"/>
    </row>
    <row r="7">
      <c r="A7" s="19" t="inlineStr">
        <is>
          <t>Pay stubs (recent)</t>
        </is>
      </c>
      <c r="B7" s="20" t="inlineStr">
        <is>
          <t>Financial</t>
        </is>
      </c>
      <c r="C7" s="20" t="inlineStr">
        <is>
          <t>No</t>
        </is>
      </c>
      <c r="D7" s="19" t="inlineStr"/>
    </row>
    <row r="8">
      <c r="A8" s="23" t="inlineStr">
        <is>
          <t>Mortgage / lease documents</t>
        </is>
      </c>
      <c r="B8" s="24" t="inlineStr">
        <is>
          <t>Property</t>
        </is>
      </c>
      <c r="C8" s="24" t="inlineStr">
        <is>
          <t>No</t>
        </is>
      </c>
      <c r="D8" s="23" t="inlineStr"/>
    </row>
    <row r="9">
      <c r="A9" s="19" t="inlineStr">
        <is>
          <t>Property deeds / titles</t>
        </is>
      </c>
      <c r="B9" s="20" t="inlineStr">
        <is>
          <t>Property</t>
        </is>
      </c>
      <c r="C9" s="20" t="inlineStr">
        <is>
          <t>No</t>
        </is>
      </c>
      <c r="D9" s="19" t="inlineStr"/>
    </row>
    <row r="10">
      <c r="A10" s="23" t="inlineStr">
        <is>
          <t>Vehicle titles</t>
        </is>
      </c>
      <c r="B10" s="24" t="inlineStr">
        <is>
          <t>Property</t>
        </is>
      </c>
      <c r="C10" s="24" t="inlineStr">
        <is>
          <t>No</t>
        </is>
      </c>
      <c r="D10" s="23" t="inlineStr"/>
    </row>
    <row r="11">
      <c r="A11" s="19" t="inlineStr">
        <is>
          <t>Retirement &amp; investment statements</t>
        </is>
      </c>
      <c r="B11" s="20" t="inlineStr">
        <is>
          <t>Financial</t>
        </is>
      </c>
      <c r="C11" s="20" t="inlineStr">
        <is>
          <t>Yes</t>
        </is>
      </c>
      <c r="D11" s="19" t="inlineStr"/>
    </row>
    <row r="12">
      <c r="A12" s="23" t="inlineStr">
        <is>
          <t>Credit card statements</t>
        </is>
      </c>
      <c r="B12" s="24" t="inlineStr">
        <is>
          <t>Financial</t>
        </is>
      </c>
      <c r="C12" s="24" t="inlineStr">
        <is>
          <t>Yes</t>
        </is>
      </c>
      <c r="D12" s="23" t="inlineStr"/>
    </row>
    <row r="13">
      <c r="A13" s="19" t="inlineStr">
        <is>
          <t>Insurance policies</t>
        </is>
      </c>
      <c r="B13" s="20" t="inlineStr">
        <is>
          <t>Insurance</t>
        </is>
      </c>
      <c r="C13" s="20" t="inlineStr">
        <is>
          <t>No</t>
        </is>
      </c>
      <c r="D13" s="19" t="inlineStr"/>
    </row>
    <row r="14">
      <c r="A14" s="23" t="inlineStr">
        <is>
          <t>Wills / trusts</t>
        </is>
      </c>
      <c r="B14" s="24" t="inlineStr">
        <is>
          <t>Legal</t>
        </is>
      </c>
      <c r="C14" s="24" t="inlineStr">
        <is>
          <t>No</t>
        </is>
      </c>
      <c r="D14" s="23" t="inlineStr"/>
    </row>
    <row r="15">
      <c r="A15" s="19" t="inlineStr">
        <is>
          <t>Birth &amp; marriage certificates</t>
        </is>
      </c>
      <c r="B15" s="20" t="inlineStr">
        <is>
          <t>Personal</t>
        </is>
      </c>
      <c r="C15" s="20" t="inlineStr">
        <is>
          <t>No</t>
        </is>
      </c>
      <c r="D15" s="19" t="inlineStr"/>
    </row>
    <row r="16">
      <c r="A16" s="23" t="inlineStr">
        <is>
          <t>IDs / passports</t>
        </is>
      </c>
      <c r="B16" s="24" t="inlineStr">
        <is>
          <t>Personal</t>
        </is>
      </c>
      <c r="C16" s="24" t="inlineStr">
        <is>
          <t>Yes</t>
        </is>
      </c>
      <c r="D16" s="23" t="inlineStr"/>
    </row>
    <row r="17">
      <c r="A17" s="19" t="inlineStr">
        <is>
          <t>Loan documents</t>
        </is>
      </c>
      <c r="B17" s="20" t="inlineStr">
        <is>
          <t>Financial</t>
        </is>
      </c>
      <c r="C17" s="20" t="inlineStr">
        <is>
          <t>No</t>
        </is>
      </c>
      <c r="D17" s="19" t="inlineStr"/>
    </row>
    <row r="18">
      <c r="A18" s="23" t="inlineStr">
        <is>
          <t>Monthly expense records</t>
        </is>
      </c>
      <c r="B18" s="24" t="inlineStr">
        <is>
          <t>Financial</t>
        </is>
      </c>
      <c r="C18" s="24" t="inlineStr">
        <is>
          <t>Yes</t>
        </is>
      </c>
      <c r="D18" s="23" t="inlineStr"/>
    </row>
    <row r="19">
      <c r="A19" s="19" t="n"/>
      <c r="B19" s="20" t="n"/>
      <c r="C19" s="20" t="n"/>
      <c r="D19" s="19" t="n"/>
    </row>
    <row r="20">
      <c r="A20" s="23" t="n"/>
      <c r="B20" s="24" t="n"/>
      <c r="C20" s="24" t="n"/>
      <c r="D20" s="23" t="n"/>
    </row>
    <row r="21">
      <c r="A21" s="19" t="n"/>
      <c r="B21" s="20" t="n"/>
      <c r="C21" s="20" t="n"/>
      <c r="D21" s="19" t="n"/>
    </row>
    <row r="22">
      <c r="A22" s="23" t="n"/>
      <c r="B22" s="24" t="n"/>
      <c r="C22" s="24" t="n"/>
      <c r="D22" s="23" t="n"/>
    </row>
    <row r="23">
      <c r="A23" s="19" t="n"/>
      <c r="B23" s="20" t="n"/>
      <c r="C23" s="20" t="n"/>
      <c r="D23" s="19" t="n"/>
    </row>
    <row r="24">
      <c r="A24" s="23" t="n"/>
      <c r="B24" s="24" t="n"/>
      <c r="C24" s="24" t="n"/>
      <c r="D24" s="23" t="n"/>
    </row>
    <row r="25">
      <c r="A25" s="19" t="n"/>
      <c r="B25" s="20" t="n"/>
      <c r="C25" s="20" t="n"/>
      <c r="D25" s="19" t="n"/>
    </row>
    <row r="26">
      <c r="A26" s="23" t="n"/>
      <c r="B26" s="24" t="n"/>
      <c r="C26" s="24" t="n"/>
      <c r="D26" s="23" t="n"/>
    </row>
    <row r="27">
      <c r="A27" s="19" t="n"/>
      <c r="B27" s="20" t="n"/>
      <c r="C27" s="20" t="n"/>
      <c r="D27" s="19" t="n"/>
    </row>
    <row r="28">
      <c r="A28" s="23" t="n"/>
      <c r="B28" s="24" t="n"/>
      <c r="C28" s="24" t="n"/>
      <c r="D28" s="23" t="n"/>
    </row>
    <row r="29">
      <c r="A29" s="19" t="n"/>
      <c r="B29" s="20" t="n"/>
      <c r="C29" s="20" t="n"/>
      <c r="D29" s="19" t="n"/>
    </row>
    <row r="30">
      <c r="A30" s="23" t="n"/>
      <c r="B30" s="24" t="n"/>
      <c r="C30" s="24" t="n"/>
      <c r="D30" s="23" t="n"/>
    </row>
    <row r="31">
      <c r="A31" s="19" t="n"/>
      <c r="B31" s="20" t="n"/>
      <c r="C31" s="20" t="n"/>
      <c r="D31" s="19" t="n"/>
    </row>
    <row r="32">
      <c r="A32" s="23" t="n"/>
      <c r="B32" s="24" t="n"/>
      <c r="C32" s="24" t="n"/>
      <c r="D32" s="23" t="n"/>
    </row>
    <row r="33">
      <c r="A33" s="19" t="n"/>
      <c r="B33" s="20" t="n"/>
      <c r="C33" s="20" t="n"/>
      <c r="D33" s="19" t="n"/>
    </row>
    <row r="34">
      <c r="A34" s="23" t="n"/>
      <c r="B34" s="24" t="n"/>
      <c r="C34" s="24" t="n"/>
      <c r="D34" s="23" t="n"/>
    </row>
    <row r="35">
      <c r="A35" s="19" t="n"/>
      <c r="B35" s="20" t="n"/>
      <c r="C35" s="20" t="n"/>
      <c r="D35" s="19" t="n"/>
    </row>
    <row r="36">
      <c r="A36" s="23" t="n"/>
      <c r="B36" s="24" t="n"/>
      <c r="C36" s="24" t="n"/>
      <c r="D36" s="23" t="n"/>
    </row>
    <row r="37">
      <c r="A37" s="19" t="n"/>
      <c r="B37" s="20" t="n"/>
      <c r="C37" s="20" t="n"/>
      <c r="D37" s="19" t="n"/>
    </row>
    <row r="38">
      <c r="A38" s="23" t="n"/>
      <c r="B38" s="24" t="n"/>
      <c r="C38" s="24" t="n"/>
      <c r="D38" s="23" t="n"/>
    </row>
    <row r="39">
      <c r="A39" s="19" t="n"/>
      <c r="B39" s="20" t="n"/>
      <c r="C39" s="20" t="n"/>
      <c r="D39" s="19" t="n"/>
    </row>
    <row r="40">
      <c r="A40" s="23" t="n"/>
      <c r="B40" s="24" t="n"/>
      <c r="C40" s="24" t="n"/>
      <c r="D40" s="23" t="n"/>
    </row>
    <row r="41">
      <c r="A41" s="19" t="n"/>
      <c r="B41" s="20" t="n"/>
      <c r="C41" s="20" t="n"/>
      <c r="D41" s="19" t="n"/>
    </row>
    <row r="42">
      <c r="A42" s="23" t="n"/>
      <c r="B42" s="24" t="n"/>
      <c r="C42" s="24" t="n"/>
      <c r="D42" s="23" t="n"/>
    </row>
    <row r="43">
      <c r="A43" s="19" t="n"/>
      <c r="B43" s="20" t="n"/>
      <c r="C43" s="20" t="n"/>
      <c r="D43" s="19" t="n"/>
    </row>
    <row r="44">
      <c r="A44" s="23" t="n"/>
      <c r="B44" s="24" t="n"/>
      <c r="C44" s="24" t="n"/>
      <c r="D44" s="23" t="n"/>
    </row>
  </sheetData>
  <mergeCells count="2">
    <mergeCell ref="A1:D1"/>
    <mergeCell ref="A2:D2"/>
  </mergeCells>
  <conditionalFormatting sqref="C5:C44">
    <cfRule type="cellIs" priority="1" operator="equal" dxfId="0">
      <formula>"Yes"</formula>
    </cfRule>
  </conditionalFormatting>
  <dataValidations count="1">
    <dataValidation sqref="C5:C44" showDropDown="0" showInputMessage="0" showErrorMessage="0" allowBlank="1" type="list">
      <formula1>=YesNoList</formula1>
    </dataValidation>
  </dataValidations>
  <pageMargins left="0.75" right="0.75" top="1" bottom="1" header="0.5" footer="0.5"/>
</worksheet>
</file>

<file path=xl/worksheets/sheet19.xml><?xml version="1.0" encoding="utf-8"?>
<worksheet xmlns="http://schemas.openxmlformats.org/spreadsheetml/2006/main">
  <sheetPr>
    <tabColor rgb="0075E6C1"/>
    <outlinePr summaryBelow="1" summaryRight="1"/>
    <pageSetUpPr/>
  </sheetPr>
  <dimension ref="A1:G10"/>
  <sheetViews>
    <sheetView showGridLines="0" workbookViewId="0">
      <selection activeCell="A1" sqref="A1"/>
    </sheetView>
  </sheetViews>
  <sheetFormatPr baseColWidth="8" defaultRowHeight="15"/>
  <cols>
    <col width="2" customWidth="1" min="1" max="1"/>
    <col width="30" customWidth="1" min="2" max="2"/>
    <col width="18" customWidth="1" min="3" max="3"/>
    <col width="18" customWidth="1" min="4" max="4"/>
    <col width="4" customWidth="1" min="5" max="5"/>
    <col width="30" customWidth="1" min="6" max="6"/>
    <col width="18" customWidth="1" min="7" max="7"/>
    <col width="2" customWidth="1" min="8" max="8"/>
  </cols>
  <sheetData>
    <row r="1" ht="46" customHeight="1">
      <c r="A1" s="1" t="inlineStr">
        <is>
          <t xml:space="preserve">  📈  ANALYTICS</t>
        </is>
      </c>
    </row>
    <row r="2" ht="22" customHeight="1">
      <c r="A2" s="2" t="inlineStr">
        <is>
          <t xml:space="preserve">  Your progress at a glance across tasks, documents, budget &amp; goals.</t>
        </is>
      </c>
    </row>
    <row r="3" ht="6" customHeight="1">
      <c r="A3" s="3" t="n"/>
      <c r="B3" s="3" t="n"/>
      <c r="C3" s="3" t="n"/>
      <c r="D3" s="3" t="n"/>
      <c r="E3" s="3" t="n"/>
      <c r="F3" s="3" t="n"/>
      <c r="G3" s="3" t="n"/>
    </row>
    <row r="5">
      <c r="B5" s="6" t="inlineStr">
        <is>
          <t>HEALTH SCORES</t>
        </is>
      </c>
      <c r="F5" s="4" t="inlineStr">
        <is>
          <t>OVERALL PROGRESS</t>
        </is>
      </c>
    </row>
    <row r="6" ht="30" customHeight="1">
      <c r="B6" s="7" t="inlineStr">
        <is>
          <t>Dimension</t>
        </is>
      </c>
      <c r="C6" s="7" t="inlineStr">
        <is>
          <t>Score</t>
        </is>
      </c>
      <c r="D6" s="7" t="inlineStr">
        <is>
          <t>Status</t>
        </is>
      </c>
      <c r="F6" s="46">
        <f>AVERAGE(C7:C8,C10)</f>
        <v/>
      </c>
      <c r="G6" s="47" t="n"/>
    </row>
    <row r="7">
      <c r="B7" s="30" t="inlineStr">
        <is>
          <t>Task Completion</t>
        </is>
      </c>
      <c r="C7" s="35">
        <f>IFERROR(COUNTIF(TaskStatus,"Complete")/MAX(COUNTA(TaskName),1),0)</f>
        <v/>
      </c>
      <c r="D7" s="44">
        <f>IF(C7&gt;=0.75,"On Track",IF(C7&gt;=0.4,"In Progress","Getting Started"))</f>
        <v/>
      </c>
      <c r="F7" s="48" t="n"/>
      <c r="G7" s="48" t="n"/>
    </row>
    <row r="8">
      <c r="B8" s="23" t="inlineStr">
        <is>
          <t>Documents Collected</t>
        </is>
      </c>
      <c r="C8" s="39">
        <f>IFERROR(COUNTIF(DocStatus,"Collected")/MAX(COUNTA(DocName),1),0)</f>
        <v/>
      </c>
      <c r="D8" s="24">
        <f>IF(C8&gt;=0.75,"On Track",IF(C8&gt;=0.4,"In Progress","Getting Started"))</f>
        <v/>
      </c>
      <c r="F8" s="48" t="n"/>
      <c r="G8" s="48" t="n"/>
    </row>
    <row r="9">
      <c r="B9" s="30" t="inlineStr">
        <is>
          <t>Budget Used</t>
        </is>
      </c>
      <c r="C9" s="35">
        <f>IFERROR(BudgetTotalActual/BudgetTotalPlanned,0)</f>
        <v/>
      </c>
      <c r="D9" s="44">
        <f>IF(C9&gt;=0.75,"On Track",IF(C9&gt;=0.4,"In Progress","Getting Started"))</f>
        <v/>
      </c>
    </row>
    <row r="10">
      <c r="B10" s="23" t="inlineStr">
        <is>
          <t>Goal Progress</t>
        </is>
      </c>
      <c r="C10" s="39">
        <f>IFERROR(AVERAGE(GoalProgress),0)</f>
        <v/>
      </c>
      <c r="D10" s="24">
        <f>IF(C10&gt;=0.75,"On Track",IF(C10&gt;=0.4,"In Progress","Getting Started"))</f>
        <v/>
      </c>
    </row>
  </sheetData>
  <mergeCells count="5">
    <mergeCell ref="B5:D5"/>
    <mergeCell ref="A1:G1"/>
    <mergeCell ref="F5:G5"/>
    <mergeCell ref="A2:G2"/>
    <mergeCell ref="F6:G8"/>
  </mergeCells>
  <conditionalFormatting sqref="C7:C10">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tabColor rgb="00E5D3BA"/>
    <outlinePr summaryBelow="1" summaryRight="1"/>
    <pageSetUpPr/>
  </sheetPr>
  <dimension ref="A1:J31"/>
  <sheetViews>
    <sheetView showGridLines="0" workbookViewId="0">
      <selection activeCell="A1" sqref="A1"/>
    </sheetView>
  </sheetViews>
  <sheetFormatPr baseColWidth="8" defaultRowHeight="15"/>
  <cols>
    <col width="2" customWidth="1" min="1" max="1"/>
    <col width="30" customWidth="1" min="2" max="2"/>
    <col width="20" customWidth="1" min="3" max="3"/>
    <col width="4" customWidth="1" min="4" max="4"/>
    <col width="20" customWidth="1" min="5" max="5"/>
    <col width="18" customWidth="1" min="6" max="6"/>
    <col width="18" customWidth="1" min="7" max="7"/>
    <col width="18" customWidth="1" min="8" max="8"/>
    <col width="18" customWidth="1" min="9" max="9"/>
    <col width="18" customWidth="1" min="10" max="10"/>
  </cols>
  <sheetData>
    <row r="1" ht="46" customHeight="1">
      <c r="A1" s="1" t="inlineStr">
        <is>
          <t xml:space="preserve">  ⚙  SETTINGS</t>
        </is>
      </c>
    </row>
    <row r="2" ht="22" customHeight="1">
      <c r="A2" s="2" t="inlineStr">
        <is>
          <t xml:space="preserve">  Set your key inputs once — every dashboard follows.</t>
        </is>
      </c>
    </row>
    <row r="3" ht="6" customHeight="1">
      <c r="A3" s="3" t="n"/>
      <c r="B3" s="3" t="n"/>
      <c r="C3" s="3" t="n"/>
      <c r="D3" s="3" t="n"/>
      <c r="E3" s="3" t="n"/>
      <c r="F3" s="3" t="n"/>
      <c r="G3" s="3" t="n"/>
      <c r="H3" s="3" t="n"/>
      <c r="I3" s="3" t="n"/>
      <c r="J3" s="3" t="n"/>
    </row>
    <row r="5">
      <c r="B5" s="6" t="inlineStr">
        <is>
          <t>YOUR INPUTS</t>
        </is>
      </c>
      <c r="E5" s="4" t="inlineStr">
        <is>
          <t>DROPDOWN LISTS</t>
        </is>
      </c>
    </row>
    <row r="6">
      <c r="B6" s="17" t="inlineStr">
        <is>
          <t>Process Start Date</t>
        </is>
      </c>
      <c r="C6" s="49" t="n">
        <v>46107</v>
      </c>
      <c r="E6" s="7" t="inlineStr">
        <is>
          <t>Task Category</t>
        </is>
      </c>
      <c r="F6" s="7" t="inlineStr">
        <is>
          <t>Priority</t>
        </is>
      </c>
      <c r="G6" s="7" t="inlineStr">
        <is>
          <t>Status</t>
        </is>
      </c>
      <c r="H6" s="7" t="inlineStr">
        <is>
          <t>Doc Status</t>
        </is>
      </c>
      <c r="I6" s="7" t="inlineStr">
        <is>
          <t>Expense Category</t>
        </is>
      </c>
      <c r="J6" s="7" t="inlineStr">
        <is>
          <t>Goal Category</t>
        </is>
      </c>
    </row>
    <row r="7">
      <c r="B7" s="17" t="inlineStr">
        <is>
          <t>Monthly Budget</t>
        </is>
      </c>
      <c r="C7" s="33" t="n">
        <v>4200</v>
      </c>
      <c r="E7" s="30" t="inlineStr">
        <is>
          <t>Legal</t>
        </is>
      </c>
      <c r="F7" s="30" t="inlineStr">
        <is>
          <t>High</t>
        </is>
      </c>
      <c r="G7" s="30" t="inlineStr">
        <is>
          <t>Not Started</t>
        </is>
      </c>
      <c r="H7" s="30" t="inlineStr">
        <is>
          <t>Needed</t>
        </is>
      </c>
      <c r="I7" s="30" t="inlineStr">
        <is>
          <t>Housing</t>
        </is>
      </c>
      <c r="J7" s="30" t="inlineStr">
        <is>
          <t>Financial</t>
        </is>
      </c>
    </row>
    <row r="8">
      <c r="B8" s="17" t="inlineStr">
        <is>
          <t>Your Name (optional)</t>
        </is>
      </c>
      <c r="C8" s="50" t="inlineStr"/>
      <c r="E8" s="30" t="inlineStr">
        <is>
          <t>Financial</t>
        </is>
      </c>
      <c r="F8" s="30" t="inlineStr">
        <is>
          <t>Medium</t>
        </is>
      </c>
      <c r="G8" s="30" t="inlineStr">
        <is>
          <t>In Progress</t>
        </is>
      </c>
      <c r="H8" s="30" t="inlineStr">
        <is>
          <t>In Progress</t>
        </is>
      </c>
      <c r="I8" s="30" t="inlineStr">
        <is>
          <t>Utilities</t>
        </is>
      </c>
      <c r="J8" s="30" t="inlineStr">
        <is>
          <t>Career</t>
        </is>
      </c>
    </row>
    <row r="9">
      <c r="E9" s="30" t="inlineStr">
        <is>
          <t>Documents</t>
        </is>
      </c>
      <c r="F9" s="30" t="inlineStr">
        <is>
          <t>Low</t>
        </is>
      </c>
      <c r="G9" s="30" t="inlineStr">
        <is>
          <t>Complete</t>
        </is>
      </c>
      <c r="H9" s="30" t="inlineStr">
        <is>
          <t>Collected</t>
        </is>
      </c>
      <c r="I9" s="30" t="inlineStr">
        <is>
          <t>Food</t>
        </is>
      </c>
      <c r="J9" s="30" t="inlineStr">
        <is>
          <t>Home</t>
        </is>
      </c>
    </row>
    <row r="10">
      <c r="E10" s="30" t="inlineStr">
        <is>
          <t>Property</t>
        </is>
      </c>
      <c r="G10" s="30" t="inlineStr">
        <is>
          <t>Blocked</t>
        </is>
      </c>
      <c r="I10" s="30" t="inlineStr">
        <is>
          <t>Transportation</t>
        </is>
      </c>
      <c r="J10" s="30" t="inlineStr">
        <is>
          <t>Parenting</t>
        </is>
      </c>
    </row>
    <row r="11">
      <c r="E11" s="30" t="inlineStr">
        <is>
          <t>Parenting</t>
        </is>
      </c>
      <c r="I11" s="30" t="inlineStr">
        <is>
          <t>Insurance</t>
        </is>
      </c>
      <c r="J11" s="30" t="inlineStr">
        <is>
          <t>Health</t>
        </is>
      </c>
    </row>
    <row r="12">
      <c r="E12" s="30" t="inlineStr">
        <is>
          <t>Housing</t>
        </is>
      </c>
      <c r="I12" s="30" t="inlineStr">
        <is>
          <t>Child Expenses</t>
        </is>
      </c>
      <c r="J12" s="30" t="inlineStr">
        <is>
          <t>Personal Growth</t>
        </is>
      </c>
    </row>
    <row r="13">
      <c r="E13" s="30" t="inlineStr">
        <is>
          <t>Insurance</t>
        </is>
      </c>
      <c r="I13" s="30" t="inlineStr">
        <is>
          <t>Healthcare</t>
        </is>
      </c>
    </row>
    <row r="14">
      <c r="E14" s="30" t="inlineStr">
        <is>
          <t>Personal</t>
        </is>
      </c>
      <c r="I14" s="30" t="inlineStr">
        <is>
          <t>Entertainment</t>
        </is>
      </c>
    </row>
    <row r="15">
      <c r="I15" s="30" t="inlineStr">
        <is>
          <t>Savings</t>
        </is>
      </c>
    </row>
    <row r="16">
      <c r="I16" s="30" t="inlineStr">
        <is>
          <t>Miscellaneous</t>
        </is>
      </c>
    </row>
    <row r="22">
      <c r="E22" s="7" t="inlineStr">
        <is>
          <t>Owner</t>
        </is>
      </c>
      <c r="F22" s="7" t="inlineStr">
        <is>
          <t>Asset / Debt</t>
        </is>
      </c>
      <c r="G22" s="7" t="inlineStr">
        <is>
          <t>Asset Category</t>
        </is>
      </c>
      <c r="H22" s="7" t="inlineStr">
        <is>
          <t>Payment Method</t>
        </is>
      </c>
      <c r="I22" s="7" t="inlineStr">
        <is>
          <t>Contact Role</t>
        </is>
      </c>
      <c r="J22" s="7" t="inlineStr">
        <is>
          <t>Yes / No</t>
        </is>
      </c>
    </row>
    <row r="23">
      <c r="E23" s="30" t="inlineStr">
        <is>
          <t>Me</t>
        </is>
      </c>
      <c r="F23" s="30" t="inlineStr">
        <is>
          <t>Asset</t>
        </is>
      </c>
      <c r="G23" s="30" t="inlineStr">
        <is>
          <t>Cash &amp; Savings</t>
        </is>
      </c>
      <c r="H23" s="30" t="inlineStr">
        <is>
          <t>Card</t>
        </is>
      </c>
      <c r="I23" s="30" t="inlineStr">
        <is>
          <t>Lawyer</t>
        </is>
      </c>
      <c r="J23" s="30" t="inlineStr">
        <is>
          <t>Yes</t>
        </is>
      </c>
    </row>
    <row r="24">
      <c r="E24" s="30" t="inlineStr">
        <is>
          <t>Ex</t>
        </is>
      </c>
      <c r="F24" s="30" t="inlineStr">
        <is>
          <t>Debt</t>
        </is>
      </c>
      <c r="G24" s="30" t="inlineStr">
        <is>
          <t>Investments</t>
        </is>
      </c>
      <c r="H24" s="30" t="inlineStr">
        <is>
          <t>Bank Transfer</t>
        </is>
      </c>
      <c r="I24" s="30" t="inlineStr">
        <is>
          <t>Mediator</t>
        </is>
      </c>
      <c r="J24" s="30" t="inlineStr">
        <is>
          <t>No</t>
        </is>
      </c>
    </row>
    <row r="25">
      <c r="E25" s="30" t="inlineStr">
        <is>
          <t>Joint</t>
        </is>
      </c>
      <c r="G25" s="30" t="inlineStr">
        <is>
          <t>Retirement</t>
        </is>
      </c>
      <c r="H25" s="30" t="inlineStr">
        <is>
          <t>Cash</t>
        </is>
      </c>
      <c r="I25" s="30" t="inlineStr">
        <is>
          <t>Financial Advisor</t>
        </is>
      </c>
    </row>
    <row r="26">
      <c r="G26" s="30" t="inlineStr">
        <is>
          <t>Property</t>
        </is>
      </c>
      <c r="H26" s="30" t="inlineStr">
        <is>
          <t>Check</t>
        </is>
      </c>
      <c r="I26" s="30" t="inlineStr">
        <is>
          <t>Therapist</t>
        </is>
      </c>
    </row>
    <row r="27">
      <c r="G27" s="30" t="inlineStr">
        <is>
          <t>Vehicles</t>
        </is>
      </c>
      <c r="H27" s="30" t="inlineStr">
        <is>
          <t>Auto-pay</t>
        </is>
      </c>
      <c r="I27" s="30" t="inlineStr">
        <is>
          <t>School</t>
        </is>
      </c>
    </row>
    <row r="28">
      <c r="G28" s="30" t="inlineStr">
        <is>
          <t>Other</t>
        </is>
      </c>
      <c r="I28" s="30" t="inlineStr">
        <is>
          <t>Doctor</t>
        </is>
      </c>
    </row>
    <row r="29">
      <c r="I29" s="30" t="inlineStr">
        <is>
          <t>Insurance</t>
        </is>
      </c>
    </row>
    <row r="30">
      <c r="I30" s="30" t="inlineStr">
        <is>
          <t>Utility</t>
        </is>
      </c>
    </row>
    <row r="31">
      <c r="I31" s="30" t="inlineStr">
        <is>
          <t>Other</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2026-06-29T16:12:12Z</dcterms:created>
  <dcterms:modified xsi:type="dcterms:W3CDTF">2026-06-29T16:12:13Z</dcterms:modified>
</cp:coreProperties>
</file>