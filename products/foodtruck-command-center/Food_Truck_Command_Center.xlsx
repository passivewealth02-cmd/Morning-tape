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Menu &amp; Cost" sheetId="3" state="visible" r:id="rId3"/>
    <sheet name="Events" sheetId="4" state="visible" r:id="rId4"/>
    <sheet name="Break-Even" sheetId="5" state="visible" r:id="rId5"/>
    <sheet name="Daily Sales" sheetId="6" state="visible" r:id="rId6"/>
    <sheet name="Commissary &amp; Overhead" sheetId="7" state="visible" r:id="rId7"/>
    <sheet name="Inventory &amp; Par" sheetId="8" state="visible" r:id="rId8"/>
    <sheet name="Fuel &amp; Mileage" sheetId="9" state="visible" r:id="rId9"/>
    <sheet name="Permits" sheetId="10" state="visible" r:id="rId10"/>
    <sheet name="Supplies" sheetId="11" state="visible" r:id="rId11"/>
    <sheet name="Bookings" sheetId="12" state="visible" r:id="rId12"/>
    <sheet name="Cash &amp; Tips" sheetId="13" state="visible" r:id="rId13"/>
    <sheet name="Settings" sheetId="14" state="visible" r:id="rId14"/>
  </sheets>
  <definedNames>
    <definedName name="Truck">Settings!$C$6</definedName>
    <definedName name="Owner">Settings!$C$7</definedName>
    <definedName name="TargetFC">Settings!$C$8</definedName>
    <definedName name="EventGoal">Settings!$C$9</definedName>
    <definedName name="MarginGoal">Settings!$C$10</definedName>
    <definedName name="Currency">Settings!$C$11</definedName>
    <definedName name="UnitList">Settings!$E$7:$E$13</definedName>
    <definedName name="EvTypeList">Settings!$F$7:$F$14</definedName>
    <definedName name="PermitList">Settings!$G$7:$G$9</definedName>
    <definedName name="YesNoList">Settings!$H$7:$H$8</definedName>
    <definedName name="MenuItem">'Menu &amp; Cost'!$B$5:$B$12</definedName>
    <definedName name="MenuFC">'Menu &amp; Cost'!$E$5:$E$12</definedName>
    <definedName name="EvName">'Events'!$B$5:$B$12</definedName>
    <definedName name="EvSales">'Events'!$D$5:$D$12</definedName>
    <definedName name="EvFood">'Events'!$E$5:$E$12</definedName>
    <definedName name="EvNet">'Events'!$I$5:$I$12</definedName>
    <definedName name="TotalSales">'Events'!$D$13</definedName>
    <definedName name="TotalFood">'Events'!$E$13</definedName>
    <definedName name="TotalProfit">'Events'!$I$13</definedName>
    <definedName name="BreakEvenEvents">'Break-Even'!$C$8</definedName>
    <definedName name="OverheadTotal">'Commissary &amp; Overhead'!$C$10</definedName>
    <definedName name="FuelMiles">'Fuel &amp; Mileage'!$C$5:$C$34</definedName>
    <definedName name="FuelCost">'Fuel &amp; Mileage'!$E$5:$E$34</definedName>
    <definedName name="MilesTotal">'Fuel &amp; Mileage'!$C$35</definedName>
    <definedName name="PermitStatus">'Permits'!$D$5:$D$9</definedName>
    <definedName name="SupplyCost">'Supplies'!$D$5:$D$28</definedName>
    <definedName name="BookStatus">'Bookings'!$F$5:$F$9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"/>
    <numFmt numFmtId="166" formatCode="0.0"/>
    <numFmt numFmtId="167" formatCode="yyyy-mm-dd"/>
    <numFmt numFmtId="168" formatCode="mm/dd/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C94C4C"/>
    </font>
    <font>
      <b val="1"/>
      <color rgb="00937356"/>
      <sz val="9"/>
    </font>
    <font>
      <b val="1"/>
      <color rgb="001B4F48"/>
      <sz val="18"/>
    </font>
    <font>
      <b val="1"/>
      <color rgb="001B4F48"/>
      <sz val="12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64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2" fillId="9" borderId="3" applyAlignment="1" pivotButton="0" quotePrefix="0" xfId="0">
      <alignment horizontal="center" vertical="center"/>
    </xf>
    <xf numFmtId="0" fontId="0" fillId="9" borderId="3" pivotButton="0" quotePrefix="0" xfId="0"/>
    <xf numFmtId="3" fontId="13" fillId="9" borderId="2" applyAlignment="1" pivotButton="0" quotePrefix="0" xfId="0">
      <alignment horizontal="center" vertical="center"/>
    </xf>
    <xf numFmtId="0" fontId="0" fillId="9" borderId="2" pivotButton="0" quotePrefix="0" xfId="0"/>
    <xf numFmtId="165" fontId="13" fillId="9" borderId="2" applyAlignment="1" pivotButton="0" quotePrefix="0" xfId="0">
      <alignment horizontal="center" vertical="center"/>
    </xf>
    <xf numFmtId="9" fontId="13" fillId="9" borderId="2" applyAlignment="1" pivotButton="0" quotePrefix="0" xfId="0">
      <alignment horizontal="center" vertical="center"/>
    </xf>
    <xf numFmtId="166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164" fontId="7" fillId="8" borderId="2" applyAlignment="1" pivotButton="0" quotePrefix="0" xfId="8">
      <alignment horizontal="center" vertical="center"/>
    </xf>
    <xf numFmtId="164" fontId="6" fillId="8" borderId="2" applyAlignment="1" pivotButton="0" quotePrefix="0" xfId="6">
      <alignment horizontal="center" vertical="center" wrapText="1"/>
    </xf>
    <xf numFmtId="165" fontId="7" fillId="3" borderId="2" applyAlignment="1" pivotButton="0" quotePrefix="0" xfId="8">
      <alignment horizontal="center" vertical="center"/>
    </xf>
    <xf numFmtId="165" fontId="10" fillId="0" borderId="2" applyAlignment="1" pivotButton="0" quotePrefix="0" xfId="6">
      <alignment horizontal="center" vertical="center" wrapText="1"/>
    </xf>
    <xf numFmtId="165" fontId="7" fillId="8" borderId="2" applyAlignment="1" pivotButton="0" quotePrefix="0" xfId="8">
      <alignment horizontal="center" vertical="center"/>
    </xf>
    <xf numFmtId="165" fontId="10" fillId="8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5" fontId="10" fillId="3" borderId="2" applyAlignment="1" pivotButton="0" quotePrefix="0" xfId="6">
      <alignment horizontal="center" vertical="center" wrapText="1"/>
    </xf>
    <xf numFmtId="9" fontId="10" fillId="3" borderId="2" applyAlignment="1" pivotButton="0" quotePrefix="0" xfId="6">
      <alignment horizontal="center" vertical="center" wrapText="1"/>
    </xf>
    <xf numFmtId="165" fontId="7" fillId="0" borderId="2" applyAlignment="1" pivotButton="0" quotePrefix="0" xfId="10">
      <alignment horizontal="left" vertical="center" indent="1"/>
    </xf>
    <xf numFmtId="166" fontId="10" fillId="6" borderId="2" applyAlignment="1" pivotButton="0" quotePrefix="0" xfId="10">
      <alignment horizontal="left" vertical="center" indent="1"/>
    </xf>
    <xf numFmtId="165" fontId="10" fillId="6" borderId="2" applyAlignment="1" pivotButton="0" quotePrefix="0" xfId="10">
      <alignment horizontal="left" vertical="center" indent="1"/>
    </xf>
    <xf numFmtId="165" fontId="11" fillId="3" borderId="2" applyAlignment="1" pivotButton="0" quotePrefix="0" xfId="6">
      <alignment horizontal="center" vertical="center" wrapText="1"/>
    </xf>
    <xf numFmtId="3" fontId="7" fillId="3" borderId="2" applyAlignment="1" pivotButton="0" quotePrefix="0" xfId="8">
      <alignment horizontal="center" vertical="center"/>
    </xf>
    <xf numFmtId="3" fontId="10" fillId="0" borderId="2" applyAlignment="1" pivotButton="0" quotePrefix="0" xfId="6">
      <alignment horizontal="center" vertical="center" wrapText="1"/>
    </xf>
    <xf numFmtId="3" fontId="7" fillId="8" borderId="2" applyAlignment="1" pivotButton="0" quotePrefix="0" xfId="8">
      <alignment horizontal="center" vertical="center"/>
    </xf>
    <xf numFmtId="3" fontId="10" fillId="8" borderId="2" applyAlignment="1" pivotButton="0" quotePrefix="0" xfId="6">
      <alignment horizontal="center" vertical="center" wrapText="1"/>
    </xf>
    <xf numFmtId="168" fontId="6" fillId="9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3" fontId="10" fillId="3" borderId="2" applyAlignment="1" pivotButton="0" quotePrefix="0" xfId="6">
      <alignment horizontal="center" vertical="center" wrapText="1"/>
    </xf>
    <xf numFmtId="164" fontId="10" fillId="3" borderId="2" applyAlignment="1" pivotButton="0" quotePrefix="0" xfId="6">
      <alignment horizontal="center" vertical="center" wrapText="1"/>
    </xf>
    <xf numFmtId="168" fontId="7" fillId="3" borderId="2" applyAlignment="1" pivotButton="0" quotePrefix="0" xfId="8">
      <alignment horizontal="center" vertical="center"/>
    </xf>
    <xf numFmtId="0" fontId="7" fillId="3" borderId="2" applyAlignment="1" pivotButton="0" quotePrefix="0" xfId="8">
      <alignment horizontal="center" vertical="center"/>
    </xf>
    <xf numFmtId="168" fontId="7" fillId="8" borderId="2" applyAlignment="1" pivotButton="0" quotePrefix="0" xfId="8">
      <alignment horizontal="center" vertical="center"/>
    </xf>
    <xf numFmtId="0" fontId="7" fillId="8" borderId="2" applyAlignment="1" pivotButton="0" quotePrefix="0" xfId="8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6" borderId="2" applyAlignment="1" pivotButton="0" quotePrefix="0" xfId="10">
      <alignment horizontal="left" vertical="center" indent="1"/>
    </xf>
    <xf numFmtId="0" fontId="6" fillId="9" borderId="2" applyAlignment="1" pivotButton="0" quotePrefix="0" xfId="7">
      <alignment horizontal="left" vertical="center" wrapText="1" indent="1"/>
    </xf>
    <xf numFmtId="1" fontId="7" fillId="6" borderId="2" applyAlignment="1" pivotButton="0" quotePrefix="0" xfId="10">
      <alignment horizontal="left" vertical="center" indent="1"/>
    </xf>
    <xf numFmtId="9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dxfs count="3">
    <dxf>
      <fill>
        <patternFill patternType="solid">
          <fgColor rgb="00FBE6E6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Profit by Event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'Events'!$B$5:$B$12</f>
            </numRef>
          </cat>
          <val>
            <numRef>
              <f>'Events'!$I$5:$I$12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'Daily Sales'!$B$5:$B$11</f>
            </numRef>
          </cat>
          <val>
            <numRef>
              <f>'Daily Sales'!$C$5:$C$11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🚚  FOOD TRUCK COMMAND CENTER™</t>
        </is>
      </c>
    </row>
    <row r="2" ht="24" customHeight="1">
      <c r="A2" s="2" t="inlineStr">
        <is>
          <t xml:space="preserve">  Know your profit per event, cover your overhead &amp; book the right gigs.</t>
        </is>
      </c>
    </row>
    <row r="3" ht="6" customHeight="1">
      <c r="A3" s="3" t="n"/>
      <c r="B3" s="3" t="n"/>
      <c r="C3" s="3" t="n"/>
    </row>
    <row r="5">
      <c r="B5" s="4" t="inlineStr">
        <is>
          <t>YOUR WHOLE TRUCK, IN ONE PLACE</t>
        </is>
      </c>
    </row>
    <row r="6" ht="22" customHeight="1">
      <c r="B6" s="5" t="inlineStr">
        <is>
          <t>Cost your menu, log every event's sales and costs, and see the net profit of each gig at a glance. A break-even calculator tells you the sales you need to cover your commissary rent, insurance and loan; a bookings calendar keeps the right events on the schedule; and inventory, fuel, permits, supplies and cash-&amp;-tips tools keep the wheels turning — all in ONE premium Google Sheets &amp; Excel system built for mobile food.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truck name, target food-cost % &amp; events goal.</t>
        </is>
      </c>
    </row>
    <row r="13" ht="22" customHeight="1">
      <c r="B13" s="8" t="inlineStr">
        <is>
          <t>2.  Cost your Menu — each item's cost, price &amp; margin.</t>
        </is>
      </c>
    </row>
    <row r="14" ht="22" customHeight="1">
      <c r="B14" s="8" t="inlineStr">
        <is>
          <t>3.  Log each gig on Events — sales &amp; costs give you net profit per event.</t>
        </is>
      </c>
    </row>
    <row r="15" ht="22" customHeight="1">
      <c r="B15" s="8" t="inlineStr">
        <is>
          <t>4.  Enter your fixed costs on Commissary &amp; Overhead; read your Break-Even.</t>
        </is>
      </c>
    </row>
    <row r="16" ht="22" customHeight="1">
      <c r="B16" s="8" t="inlineStr">
        <is>
          <t>5.  Keep Inventory, Fuel, Permits, Bookings &amp; Cash-&amp;-Tips current.</t>
        </is>
      </c>
    </row>
    <row r="17" ht="22" customHeight="1">
      <c r="B17" s="8" t="inlineStr">
        <is>
          <t>6.  Check the Dashboard: sales, profit per event, break-even &amp; a Truck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truck (Rolling Smoke BBQ) is included so you can see how it all connects — just type over it with your own gigs and numbers. Your events, menu, overhead and permits roll up into a live Truck Score. Twelve matching printable pages (event P&amp;L, prep &amp; par list, cash-&amp;-tips sheet, permit tracker &amp; more) are included for the truck. This is a business tool, not financial, tax or legal advice — confirm figures and permit rules with the proper authorities.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Every gig is a mini-business — know the number before you park.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🚚  FOOD TRUCK COMMAND CENTER™</t>
        </is>
      </c>
    </row>
    <row r="2" ht="24" customHeight="1">
      <c r="A2" s="2" t="inlineStr">
        <is>
          <t xml:space="preserve">  Sales, profit per event, break-even &amp; a Truck Score — your whole mobile business,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EVENTS</t>
        </is>
      </c>
      <c r="C5" s="13" t="n"/>
      <c r="D5" s="12" t="inlineStr">
        <is>
          <t>TOTAL SALES</t>
        </is>
      </c>
      <c r="E5" s="13" t="n"/>
      <c r="F5" s="12" t="inlineStr">
        <is>
          <t>TOTAL PROFIT</t>
        </is>
      </c>
      <c r="G5" s="13" t="n"/>
      <c r="H5" s="12" t="inlineStr">
        <is>
          <t>AVG PROFIT/EVENT</t>
        </is>
      </c>
      <c r="I5" s="13" t="n"/>
      <c r="J5" s="12" t="inlineStr">
        <is>
          <t>FOOD COST</t>
        </is>
      </c>
      <c r="K5" s="13" t="n"/>
      <c r="L5" s="12" t="inlineStr">
        <is>
          <t>AVG SALES/EVENT</t>
        </is>
      </c>
      <c r="M5" s="13" t="n"/>
    </row>
    <row r="6" ht="40" customHeight="1">
      <c r="B6" s="14">
        <f>COUNTA(EvName)</f>
        <v/>
      </c>
      <c r="C6" s="15" t="n"/>
      <c r="D6" s="16">
        <f>TotalSales</f>
        <v/>
      </c>
      <c r="E6" s="15" t="n"/>
      <c r="F6" s="16">
        <f>TotalProfit</f>
        <v/>
      </c>
      <c r="G6" s="15" t="n"/>
      <c r="H6" s="16">
        <f>IFERROR(AVERAGE(EvNet),0)</f>
        <v/>
      </c>
      <c r="I6" s="15" t="n"/>
      <c r="J6" s="17">
        <f>IFERROR(TotalFood/TotalSales,0)</f>
        <v/>
      </c>
      <c r="K6" s="15" t="n"/>
      <c r="L6" s="16">
        <f>IFERROR(AVERAGE(EvSales),0)</f>
        <v/>
      </c>
      <c r="M6" s="15" t="n"/>
    </row>
    <row r="8" ht="18" customHeight="1">
      <c r="B8" s="12" t="inlineStr">
        <is>
          <t>BREAK-EVEN</t>
        </is>
      </c>
      <c r="C8" s="13" t="n"/>
      <c r="D8" s="12" t="inlineStr">
        <is>
          <t>OVERHEAD/MO</t>
        </is>
      </c>
      <c r="E8" s="13" t="n"/>
      <c r="F8" s="12" t="inlineStr">
        <is>
          <t>TOP EVENT</t>
        </is>
      </c>
      <c r="G8" s="13" t="n"/>
      <c r="H8" s="12" t="inlineStr">
        <is>
          <t>BEST SALES</t>
        </is>
      </c>
      <c r="I8" s="13" t="n"/>
      <c r="J8" s="12" t="inlineStr">
        <is>
          <t>PERMITS OK</t>
        </is>
      </c>
      <c r="K8" s="13" t="n"/>
      <c r="L8" s="12" t="inlineStr">
        <is>
          <t>TRUCK SCORE</t>
        </is>
      </c>
      <c r="M8" s="13" t="n"/>
    </row>
    <row r="9" ht="40" customHeight="1">
      <c r="B9" s="18">
        <f>BreakEvenEvents</f>
        <v/>
      </c>
      <c r="C9" s="15" t="n"/>
      <c r="D9" s="16">
        <f>OverheadTotal</f>
        <v/>
      </c>
      <c r="E9" s="15" t="n"/>
      <c r="F9" s="19">
        <f>INDEX(EvName,MATCH(MAX(EvNet),EvNet,0))</f>
        <v/>
      </c>
      <c r="G9" s="15" t="n"/>
      <c r="H9" s="19">
        <f>INDEX(EvName,MATCH(MAX(EvSales),EvSales,0))</f>
        <v/>
      </c>
      <c r="I9" s="15" t="n"/>
      <c r="J9" s="19">
        <f>COUNTIF(PermitStatus,"OK")&amp;"/"&amp;COUNTA(PermitStatus)</f>
        <v/>
      </c>
      <c r="K9" s="15" t="n"/>
      <c r="L9" s="17">
        <f>IFERROR(AVERAGE(HealthRange),0)</f>
        <v/>
      </c>
      <c r="M9" s="15" t="n"/>
    </row>
    <row r="11" ht="26" customHeight="1">
      <c r="B11" s="4" t="inlineStr">
        <is>
          <t>TRUCK HEALTH</t>
        </is>
      </c>
      <c r="H11" s="4" t="inlineStr">
        <is>
          <t>NET PROFIT BY EVENT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20" t="inlineStr">
        <is>
          <t>Profit margin</t>
        </is>
      </c>
      <c r="C13" s="21">
        <f>IFERROR(MIN((TotalProfit/TotalSales)/MarginGoal,1),0)</f>
        <v/>
      </c>
      <c r="D13" s="22">
        <f>IF(C13&gt;=0.85,"Strong",IF(C13&gt;=0.6,"OK","Focus"))</f>
        <v/>
      </c>
    </row>
    <row r="14">
      <c r="B14" s="23" t="inlineStr">
        <is>
          <t>Food cost on target</t>
        </is>
      </c>
      <c r="C14" s="24">
        <f>IFERROR(MIN(TargetFC/(TotalFood/TotalSales),1),0)</f>
        <v/>
      </c>
      <c r="D14" s="25">
        <f>IF(C14&gt;=0.85,"Strong",IF(C14&gt;=0.6,"OK","Focus"))</f>
        <v/>
      </c>
    </row>
    <row r="15">
      <c r="B15" s="20" t="inlineStr">
        <is>
          <t>Events booked</t>
        </is>
      </c>
      <c r="C15" s="21">
        <f>IFERROR(MIN(COUNTA(EvName)/EventGoal,1),0)</f>
        <v/>
      </c>
      <c r="D15" s="22">
        <f>IF(C15&gt;=0.85,"Strong",IF(C15&gt;=0.6,"OK","Focus"))</f>
        <v/>
      </c>
    </row>
    <row r="16">
      <c r="B16" s="23" t="inlineStr">
        <is>
          <t>Permits current</t>
        </is>
      </c>
      <c r="C16" s="24">
        <f>IFERROR(COUNTIF(PermitStatus,"OK")/COUNTA(PermitStatus),0)</f>
        <v/>
      </c>
      <c r="D16" s="25">
        <f>IF(C16&gt;=0.85,"Strong",IF(C16&gt;=0.6,"OK","Focus"))</f>
        <v/>
      </c>
    </row>
    <row r="17">
      <c r="B17" s="20" t="inlineStr">
        <is>
          <t>Profitable events</t>
        </is>
      </c>
      <c r="C17" s="21">
        <f>IFERROR(COUNTIF(EvNet,"&gt;0")/COUNTA(EvName),0)</f>
        <v/>
      </c>
      <c r="D17" s="22">
        <f>IF(C17&gt;=0.85,"Strong",IF(C17&gt;=0.6,"OK","Focus"))</f>
        <v/>
      </c>
    </row>
    <row r="18">
      <c r="B18" s="23" t="inlineStr">
        <is>
          <t>Overhead covered</t>
        </is>
      </c>
      <c r="C18" s="24">
        <f>IFERROR(MIN(TotalProfit/OverheadTotal,1),0)</f>
        <v/>
      </c>
      <c r="D18" s="25">
        <f>IF(C18&gt;=0.85,"Strong",IF(C18&gt;=0.6,"OK","Focus"))</f>
        <v/>
      </c>
    </row>
    <row r="21" ht="26" customHeight="1">
      <c r="B21" s="2" t="inlineStr">
        <is>
          <t>Food Truck Command Center™ — know your profit per event &amp; cover your overhead.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2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🍖  MENU &amp; COST</t>
        </is>
      </c>
    </row>
    <row r="2" ht="22" customHeight="1">
      <c r="A2" s="2" t="inlineStr">
        <is>
          <t xml:space="preserve">  Every item's cost, price, food-cost % &amp; margin — price with a healthy margin.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Item</t>
        </is>
      </c>
      <c r="C4" s="9" t="inlineStr">
        <is>
          <t>Plate Cost</t>
        </is>
      </c>
      <c r="D4" s="9" t="inlineStr">
        <is>
          <t>Price</t>
        </is>
      </c>
      <c r="E4" s="9" t="inlineStr">
        <is>
          <t>Food %</t>
        </is>
      </c>
      <c r="F4" s="9" t="inlineStr">
        <is>
          <t>Margin $</t>
        </is>
      </c>
    </row>
    <row r="5">
      <c r="B5" s="20" t="inlineStr">
        <is>
          <t>Pulled Pork Sandwich</t>
        </is>
      </c>
      <c r="C5" s="26" t="n">
        <v>2.8</v>
      </c>
      <c r="D5" s="26" t="n">
        <v>12</v>
      </c>
      <c r="E5" s="21">
        <f>IFERROR(C5/D5,0)</f>
        <v/>
      </c>
      <c r="F5" s="27">
        <f>D5-C5</f>
        <v/>
      </c>
    </row>
    <row r="6">
      <c r="B6" s="23" t="inlineStr">
        <is>
          <t>Brisket Plate</t>
        </is>
      </c>
      <c r="C6" s="28" t="n">
        <v>5.5</v>
      </c>
      <c r="D6" s="28" t="n">
        <v>18</v>
      </c>
      <c r="E6" s="24">
        <f>IFERROR(C6/D6,0)</f>
        <v/>
      </c>
      <c r="F6" s="29">
        <f>D6-C6</f>
        <v/>
      </c>
    </row>
    <row r="7">
      <c r="B7" s="20" t="inlineStr">
        <is>
          <t>Loaded Fries</t>
        </is>
      </c>
      <c r="C7" s="26" t="n">
        <v>2.1</v>
      </c>
      <c r="D7" s="26" t="n">
        <v>9</v>
      </c>
      <c r="E7" s="21">
        <f>IFERROR(C7/D7,0)</f>
        <v/>
      </c>
      <c r="F7" s="27">
        <f>D7-C7</f>
        <v/>
      </c>
    </row>
    <row r="8">
      <c r="B8" s="23" t="inlineStr">
        <is>
          <t>Mac &amp; Cheese</t>
        </is>
      </c>
      <c r="C8" s="28" t="n">
        <v>1.4</v>
      </c>
      <c r="D8" s="28" t="n">
        <v>6</v>
      </c>
      <c r="E8" s="24">
        <f>IFERROR(C8/D8,0)</f>
        <v/>
      </c>
      <c r="F8" s="29">
        <f>D8-C8</f>
        <v/>
      </c>
    </row>
    <row r="9">
      <c r="B9" s="20" t="inlineStr">
        <is>
          <t>Smoked Wings</t>
        </is>
      </c>
      <c r="C9" s="26" t="n">
        <v>3.2</v>
      </c>
      <c r="D9" s="26" t="n">
        <v>11</v>
      </c>
      <c r="E9" s="21">
        <f>IFERROR(C9/D9,0)</f>
        <v/>
      </c>
      <c r="F9" s="27">
        <f>D9-C9</f>
        <v/>
      </c>
    </row>
    <row r="10">
      <c r="B10" s="23" t="inlineStr">
        <is>
          <t>Cornbread</t>
        </is>
      </c>
      <c r="C10" s="28" t="n">
        <v>0.7</v>
      </c>
      <c r="D10" s="28" t="n">
        <v>4</v>
      </c>
      <c r="E10" s="24">
        <f>IFERROR(C10/D10,0)</f>
        <v/>
      </c>
      <c r="F10" s="29">
        <f>D10-C10</f>
        <v/>
      </c>
    </row>
    <row r="11">
      <c r="B11" s="20" t="inlineStr">
        <is>
          <t>Craft Soda</t>
        </is>
      </c>
      <c r="C11" s="26" t="n">
        <v>0.6</v>
      </c>
      <c r="D11" s="26" t="n">
        <v>3</v>
      </c>
      <c r="E11" s="21">
        <f>IFERROR(C11/D11,0)</f>
        <v/>
      </c>
      <c r="F11" s="27">
        <f>D11-C11</f>
        <v/>
      </c>
    </row>
    <row r="12">
      <c r="B12" s="23" t="inlineStr">
        <is>
          <t>Combo Plate</t>
        </is>
      </c>
      <c r="C12" s="28" t="n">
        <v>6.2</v>
      </c>
      <c r="D12" s="28" t="n">
        <v>20</v>
      </c>
      <c r="E12" s="24">
        <f>IFERROR(C12/D12,0)</f>
        <v/>
      </c>
      <c r="F12" s="29">
        <f>D12-C12</f>
        <v/>
      </c>
    </row>
  </sheetData>
  <mergeCells count="2">
    <mergeCell ref="A2:F2"/>
    <mergeCell ref="A1:F1"/>
  </mergeCells>
  <conditionalFormatting sqref="E5:E12">
    <cfRule type="colorScale" priority="1">
      <colorScale>
        <cfvo type="num" val="0.15"/>
        <cfvo type="num" val="0.3"/>
        <cfvo type="num" val="0.45"/>
        <color rgb="FF75E6C1"/>
        <color rgb="FFFFF3CD"/>
        <color rgb="FFFBE6E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  <col width="12" customWidth="1" min="10" max="10"/>
    <col width="2" customWidth="1" min="11" max="11"/>
  </cols>
  <sheetData>
    <row r="1" ht="46" customHeight="1">
      <c r="A1" s="1" t="inlineStr">
        <is>
          <t xml:space="preserve">  📍  EVENT P&amp;L</t>
        </is>
      </c>
    </row>
    <row r="2" ht="22" customHeight="1">
      <c r="A2" s="2" t="inlineStr">
        <is>
          <t xml:space="preserve">  Log every gig — sales minus food, fuel, fees &amp; staff = the net profit of each event.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B4" s="9" t="inlineStr">
        <is>
          <t>Event</t>
        </is>
      </c>
      <c r="C4" s="9" t="inlineStr">
        <is>
          <t>Type</t>
        </is>
      </c>
      <c r="D4" s="9" t="inlineStr">
        <is>
          <t>Sales</t>
        </is>
      </c>
      <c r="E4" s="9" t="inlineStr">
        <is>
          <t>Food</t>
        </is>
      </c>
      <c r="F4" s="9" t="inlineStr">
        <is>
          <t>Fuel</t>
        </is>
      </c>
      <c r="G4" s="9" t="inlineStr">
        <is>
          <t>Fee</t>
        </is>
      </c>
      <c r="H4" s="9" t="inlineStr">
        <is>
          <t>Staff</t>
        </is>
      </c>
      <c r="I4" s="9" t="inlineStr">
        <is>
          <t>Net Profit</t>
        </is>
      </c>
      <c r="J4" s="9" t="inlineStr">
        <is>
          <t>Food %</t>
        </is>
      </c>
    </row>
    <row r="5">
      <c r="B5" s="20" t="inlineStr">
        <is>
          <t>Downtown Lunch</t>
        </is>
      </c>
      <c r="C5" s="22" t="inlineStr">
        <is>
          <t>Lunch</t>
        </is>
      </c>
      <c r="D5" s="30" t="n">
        <v>1450</v>
      </c>
      <c r="E5" s="30" t="n">
        <v>435</v>
      </c>
      <c r="F5" s="30" t="n">
        <v>40</v>
      </c>
      <c r="G5" s="30" t="n">
        <v>50</v>
      </c>
      <c r="H5" s="30" t="n">
        <v>240</v>
      </c>
      <c r="I5" s="31">
        <f>D5-E5-F5-G5-H5</f>
        <v/>
      </c>
      <c r="J5" s="21">
        <f>IFERROR(E5/D5,0)</f>
        <v/>
      </c>
    </row>
    <row r="6">
      <c r="B6" s="23" t="inlineStr">
        <is>
          <t>Brewery Friday</t>
        </is>
      </c>
      <c r="C6" s="25" t="inlineStr">
        <is>
          <t>Brewery</t>
        </is>
      </c>
      <c r="D6" s="32" t="n">
        <v>2100</v>
      </c>
      <c r="E6" s="32" t="n">
        <v>630</v>
      </c>
      <c r="F6" s="32" t="n">
        <v>55</v>
      </c>
      <c r="G6" s="32" t="n">
        <v>0</v>
      </c>
      <c r="H6" s="32" t="n">
        <v>320</v>
      </c>
      <c r="I6" s="33">
        <f>D6-E6-F6-G6-H6</f>
        <v/>
      </c>
      <c r="J6" s="24">
        <f>IFERROR(E6/D6,0)</f>
        <v/>
      </c>
    </row>
    <row r="7">
      <c r="B7" s="20" t="inlineStr">
        <is>
          <t>Farmers Market</t>
        </is>
      </c>
      <c r="C7" s="22" t="inlineStr">
        <is>
          <t>Market</t>
        </is>
      </c>
      <c r="D7" s="30" t="n">
        <v>980</v>
      </c>
      <c r="E7" s="30" t="n">
        <v>294</v>
      </c>
      <c r="F7" s="30" t="n">
        <v>30</v>
      </c>
      <c r="G7" s="30" t="n">
        <v>75</v>
      </c>
      <c r="H7" s="30" t="n">
        <v>160</v>
      </c>
      <c r="I7" s="31">
        <f>D7-E7-F7-G7-H7</f>
        <v/>
      </c>
      <c r="J7" s="21">
        <f>IFERROR(E7/D7,0)</f>
        <v/>
      </c>
    </row>
    <row r="8">
      <c r="B8" s="23" t="inlineStr">
        <is>
          <t>Office Park</t>
        </is>
      </c>
      <c r="C8" s="25" t="inlineStr">
        <is>
          <t>Office</t>
        </is>
      </c>
      <c r="D8" s="32" t="n">
        <v>1250</v>
      </c>
      <c r="E8" s="32" t="n">
        <v>375</v>
      </c>
      <c r="F8" s="32" t="n">
        <v>35</v>
      </c>
      <c r="G8" s="32" t="n">
        <v>40</v>
      </c>
      <c r="H8" s="32" t="n">
        <v>200</v>
      </c>
      <c r="I8" s="33">
        <f>D8-E8-F8-G8-H8</f>
        <v/>
      </c>
      <c r="J8" s="24">
        <f>IFERROR(E8/D8,0)</f>
        <v/>
      </c>
    </row>
    <row r="9">
      <c r="B9" s="20" t="inlineStr">
        <is>
          <t>Music Festival</t>
        </is>
      </c>
      <c r="C9" s="22" t="inlineStr">
        <is>
          <t>Festival</t>
        </is>
      </c>
      <c r="D9" s="30" t="n">
        <v>3400</v>
      </c>
      <c r="E9" s="30" t="n">
        <v>1020</v>
      </c>
      <c r="F9" s="30" t="n">
        <v>70</v>
      </c>
      <c r="G9" s="30" t="n">
        <v>350</v>
      </c>
      <c r="H9" s="30" t="n">
        <v>480</v>
      </c>
      <c r="I9" s="31">
        <f>D9-E9-F9-G9-H9</f>
        <v/>
      </c>
      <c r="J9" s="21">
        <f>IFERROR(E9/D9,0)</f>
        <v/>
      </c>
    </row>
    <row r="10">
      <c r="B10" s="23" t="inlineStr">
        <is>
          <t>Corporate Catering</t>
        </is>
      </c>
      <c r="C10" s="25" t="inlineStr">
        <is>
          <t>Catering</t>
        </is>
      </c>
      <c r="D10" s="32" t="n">
        <v>2800</v>
      </c>
      <c r="E10" s="32" t="n">
        <v>700</v>
      </c>
      <c r="F10" s="32" t="n">
        <v>45</v>
      </c>
      <c r="G10" s="32" t="n">
        <v>0</v>
      </c>
      <c r="H10" s="32" t="n">
        <v>360</v>
      </c>
      <c r="I10" s="33">
        <f>D10-E10-F10-G10-H10</f>
        <v/>
      </c>
      <c r="J10" s="24">
        <f>IFERROR(E10/D10,0)</f>
        <v/>
      </c>
    </row>
    <row r="11">
      <c r="B11" s="20" t="inlineStr">
        <is>
          <t>Saturday Night Lot</t>
        </is>
      </c>
      <c r="C11" s="22" t="inlineStr">
        <is>
          <t>Private</t>
        </is>
      </c>
      <c r="D11" s="30" t="n">
        <v>1900</v>
      </c>
      <c r="E11" s="30" t="n">
        <v>570</v>
      </c>
      <c r="F11" s="30" t="n">
        <v>50</v>
      </c>
      <c r="G11" s="30" t="n">
        <v>60</v>
      </c>
      <c r="H11" s="30" t="n">
        <v>280</v>
      </c>
      <c r="I11" s="31">
        <f>D11-E11-F11-G11-H11</f>
        <v/>
      </c>
      <c r="J11" s="21">
        <f>IFERROR(E11/D11,0)</f>
        <v/>
      </c>
    </row>
    <row r="12">
      <c r="B12" s="23" t="inlineStr">
        <is>
          <t>Sunday Brunch</t>
        </is>
      </c>
      <c r="C12" s="25" t="inlineStr">
        <is>
          <t>Lunch</t>
        </is>
      </c>
      <c r="D12" s="32" t="n">
        <v>1350</v>
      </c>
      <c r="E12" s="32" t="n">
        <v>405</v>
      </c>
      <c r="F12" s="32" t="n">
        <v>35</v>
      </c>
      <c r="G12" s="32" t="n">
        <v>40</v>
      </c>
      <c r="H12" s="32" t="n">
        <v>220</v>
      </c>
      <c r="I12" s="33">
        <f>D12-E12-F12-G12-H12</f>
        <v/>
      </c>
      <c r="J12" s="24">
        <f>IFERROR(E12/D12,0)</f>
        <v/>
      </c>
    </row>
    <row r="13">
      <c r="B13" s="9" t="inlineStr">
        <is>
          <t>TOTAL / MONTH</t>
        </is>
      </c>
      <c r="C13" s="34" t="n"/>
      <c r="D13" s="35">
        <f>SUM(D5:D12)</f>
        <v/>
      </c>
      <c r="E13" s="35">
        <f>SUM(E5:E12)</f>
        <v/>
      </c>
      <c r="F13" s="35">
        <f>SUM(F5:F12)</f>
        <v/>
      </c>
      <c r="G13" s="35">
        <f>SUM(G5:G12)</f>
        <v/>
      </c>
      <c r="H13" s="35">
        <f>SUM(H5:H12)</f>
        <v/>
      </c>
      <c r="I13" s="35">
        <f>SUM(I5:I12)</f>
        <v/>
      </c>
      <c r="J13" s="36">
        <f>IFERROR(E13/D13,0)</f>
        <v/>
      </c>
    </row>
  </sheetData>
  <mergeCells count="2">
    <mergeCell ref="A1:J1"/>
    <mergeCell ref="A2:J2"/>
  </mergeCells>
  <conditionalFormatting sqref="I5:I12">
    <cfRule type="dataBar" priority="1">
      <dataBar showValue="1">
        <cfvo type="num" val="0"/>
        <cfvo type="max"/>
        <color rgb="001B4F48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4" customWidth="1" min="4" max="4"/>
    <col width="34" customWidth="1" min="5" max="5"/>
    <col width="18" customWidth="1" min="6" max="6"/>
    <col width="2" customWidth="1" min="7" max="7"/>
  </cols>
  <sheetData>
    <row r="1" ht="46" customHeight="1">
      <c r="A1" s="1" t="inlineStr">
        <is>
          <t xml:space="preserve">  ⚖  BREAK-EVEN</t>
        </is>
      </c>
    </row>
    <row r="2" ht="22" customHeight="1">
      <c r="A2" s="2" t="inlineStr">
        <is>
          <t xml:space="preserve">  The sales you need to cover your fixed costs — know it before you park.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5">
      <c r="B5" s="4" t="inlineStr">
        <is>
          <t>THE NUMBERS</t>
        </is>
      </c>
      <c r="E5" s="4" t="inlineStr">
        <is>
          <t>EVERY GIG AFTER BREAK-EVEN</t>
        </is>
      </c>
    </row>
    <row r="6">
      <c r="B6" s="20" t="inlineStr">
        <is>
          <t>Monthly fixed overhead</t>
        </is>
      </c>
      <c r="C6" s="30">
        <f>OverheadTotal</f>
        <v/>
      </c>
      <c r="E6" s="20" t="inlineStr">
        <is>
          <t>Once you clear break-even, most of each event's</t>
        </is>
      </c>
    </row>
    <row r="7">
      <c r="B7" s="20" t="inlineStr">
        <is>
          <t>Avg net profit / event</t>
        </is>
      </c>
      <c r="C7" s="37">
        <f>IFERROR(AVERAGE(EvNet),0)</f>
        <v/>
      </c>
      <c r="E7" s="20" t="inlineStr">
        <is>
          <t>net profit drops straight to your pocket. Aim for</t>
        </is>
      </c>
    </row>
    <row r="8">
      <c r="B8" s="20" t="inlineStr">
        <is>
          <t>Break-even events / month</t>
        </is>
      </c>
      <c r="C8" s="38">
        <f>IFERROR(OverheadTotal/AVERAGE(EvNet),0)</f>
        <v/>
      </c>
      <c r="E8" s="20" t="inlineStr">
        <is>
          <t>events with high sales and low fees &amp; fuel.</t>
        </is>
      </c>
    </row>
    <row r="9">
      <c r="B9" s="20" t="inlineStr">
        <is>
          <t>Avg sales / event</t>
        </is>
      </c>
      <c r="C9" s="37">
        <f>IFERROR(AVERAGE(EvSales),0)</f>
        <v/>
      </c>
    </row>
    <row r="10">
      <c r="B10" s="7" t="inlineStr">
        <is>
          <t>Break-even sales assumes ~32% labor &amp; other variable costs on top of food.</t>
        </is>
      </c>
      <c r="C10" s="39">
        <f>IFERROR(OverheadTotal/(1-TotalFood/TotalSales-0.32),0)</f>
        <v/>
      </c>
    </row>
  </sheetData>
  <mergeCells count="4">
    <mergeCell ref="A2:F2"/>
    <mergeCell ref="E5:F5"/>
    <mergeCell ref="B5:C5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🗓  DAILY SALES</t>
        </is>
      </c>
    </row>
    <row r="2" ht="22" customHeight="1">
      <c r="A2" s="2" t="inlineStr">
        <is>
          <t xml:space="preserve">  Sales &amp; cost of goods each service day — the pulse of the week.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Day</t>
        </is>
      </c>
      <c r="C4" s="9" t="inlineStr">
        <is>
          <t>Sales</t>
        </is>
      </c>
      <c r="D4" s="9" t="inlineStr">
        <is>
          <t>COGS</t>
        </is>
      </c>
      <c r="E4" s="9" t="inlineStr">
        <is>
          <t>Food %</t>
        </is>
      </c>
    </row>
    <row r="5">
      <c r="B5" s="20" t="inlineStr">
        <is>
          <t>Monday</t>
        </is>
      </c>
      <c r="C5" s="30" t="n">
        <v>1250</v>
      </c>
      <c r="D5" s="30" t="n">
        <v>375</v>
      </c>
      <c r="E5" s="21">
        <f>IFERROR(D5/C5,0)</f>
        <v/>
      </c>
    </row>
    <row r="6">
      <c r="B6" s="23" t="inlineStr">
        <is>
          <t>Tuesday</t>
        </is>
      </c>
      <c r="C6" s="32" t="n">
        <v>0</v>
      </c>
      <c r="D6" s="32" t="n">
        <v>0</v>
      </c>
      <c r="E6" s="24">
        <f>IFERROR(D6/C6,0)</f>
        <v/>
      </c>
    </row>
    <row r="7">
      <c r="B7" s="20" t="inlineStr">
        <is>
          <t>Wednesday</t>
        </is>
      </c>
      <c r="C7" s="30" t="n">
        <v>1450</v>
      </c>
      <c r="D7" s="30" t="n">
        <v>435</v>
      </c>
      <c r="E7" s="21">
        <f>IFERROR(D7/C7,0)</f>
        <v/>
      </c>
    </row>
    <row r="8">
      <c r="B8" s="23" t="inlineStr">
        <is>
          <t>Thursday</t>
        </is>
      </c>
      <c r="C8" s="32" t="n">
        <v>1350</v>
      </c>
      <c r="D8" s="32" t="n">
        <v>405</v>
      </c>
      <c r="E8" s="24">
        <f>IFERROR(D8/C8,0)</f>
        <v/>
      </c>
    </row>
    <row r="9">
      <c r="B9" s="20" t="inlineStr">
        <is>
          <t>Friday</t>
        </is>
      </c>
      <c r="C9" s="30" t="n">
        <v>2100</v>
      </c>
      <c r="D9" s="30" t="n">
        <v>630</v>
      </c>
      <c r="E9" s="21">
        <f>IFERROR(D9/C9,0)</f>
        <v/>
      </c>
    </row>
    <row r="10">
      <c r="B10" s="23" t="inlineStr">
        <is>
          <t>Saturday</t>
        </is>
      </c>
      <c r="C10" s="32" t="n">
        <v>3400</v>
      </c>
      <c r="D10" s="32" t="n">
        <v>1020</v>
      </c>
      <c r="E10" s="24">
        <f>IFERROR(D10/C10,0)</f>
        <v/>
      </c>
    </row>
    <row r="11">
      <c r="B11" s="20" t="inlineStr">
        <is>
          <t>Sunday</t>
        </is>
      </c>
      <c r="C11" s="30" t="n">
        <v>1350</v>
      </c>
      <c r="D11" s="30" t="n">
        <v>405</v>
      </c>
      <c r="E11" s="21">
        <f>IFERROR(D11/C11,0)</f>
        <v/>
      </c>
    </row>
    <row r="12">
      <c r="B12" s="9" t="inlineStr">
        <is>
          <t>WEEK TOTAL</t>
        </is>
      </c>
      <c r="C12" s="35">
        <f>SUM(C5:C11)</f>
        <v/>
      </c>
      <c r="D12" s="35">
        <f>SUM(D5:D11)</f>
        <v/>
      </c>
      <c r="E12" s="36">
        <f>IFERROR(D12/C12,0)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🏭  COMMISSARY &amp; OVERHEAD</t>
        </is>
      </c>
    </row>
    <row r="2" ht="22" customHeight="1">
      <c r="A2" s="2" t="inlineStr">
        <is>
          <t xml:space="preserve">  Your monthly fixed costs — the number your gigs have to beat every month.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Fixed Cost</t>
        </is>
      </c>
      <c r="C4" s="9" t="inlineStr">
        <is>
          <t>Monthly</t>
        </is>
      </c>
    </row>
    <row r="5">
      <c r="B5" s="20" t="inlineStr">
        <is>
          <t>Commissary rent</t>
        </is>
      </c>
      <c r="C5" s="30" t="n">
        <v>900</v>
      </c>
    </row>
    <row r="6">
      <c r="B6" s="23" t="inlineStr">
        <is>
          <t>Insurance</t>
        </is>
      </c>
      <c r="C6" s="32" t="n">
        <v>350</v>
      </c>
    </row>
    <row r="7">
      <c r="B7" s="20" t="inlineStr">
        <is>
          <t>Truck loan</t>
        </is>
      </c>
      <c r="C7" s="30" t="n">
        <v>680</v>
      </c>
    </row>
    <row r="8">
      <c r="B8" s="23" t="inlineStr">
        <is>
          <t>Permits &amp; licenses</t>
        </is>
      </c>
      <c r="C8" s="32" t="n">
        <v>120</v>
      </c>
    </row>
    <row r="9">
      <c r="B9" s="20" t="inlineStr">
        <is>
          <t>Phone / POS</t>
        </is>
      </c>
      <c r="C9" s="30" t="n">
        <v>90</v>
      </c>
    </row>
    <row r="10">
      <c r="B10" s="9" t="inlineStr">
        <is>
          <t>TOTAL OVERHEAD / MO</t>
        </is>
      </c>
      <c r="C10" s="40">
        <f>SUM(C5:C9)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0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📦  INVENTORY &amp; PAR</t>
        </is>
      </c>
    </row>
    <row r="2" ht="22" customHeight="1">
      <c r="A2" s="2" t="inlineStr">
        <is>
          <t xml:space="preserve">  Par levels vs on hand — see what to restock before the next service.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Item</t>
        </is>
      </c>
      <c r="C4" s="9" t="inlineStr">
        <is>
          <t>Par</t>
        </is>
      </c>
      <c r="D4" s="9" t="inlineStr">
        <is>
          <t>On Hand</t>
        </is>
      </c>
      <c r="E4" s="9" t="inlineStr">
        <is>
          <t>Unit</t>
        </is>
      </c>
      <c r="F4" s="9" t="inlineStr">
        <is>
          <t>To Buy</t>
        </is>
      </c>
    </row>
    <row r="5">
      <c r="B5" s="20" t="inlineStr">
        <is>
          <t>Pork butt</t>
        </is>
      </c>
      <c r="C5" s="41" t="n">
        <v>40</v>
      </c>
      <c r="D5" s="41" t="n">
        <v>22</v>
      </c>
      <c r="E5" s="22" t="inlineStr">
        <is>
          <t>lb</t>
        </is>
      </c>
      <c r="F5" s="42">
        <f>MAX(C5-D5,0)</f>
        <v/>
      </c>
    </row>
    <row r="6">
      <c r="B6" s="23" t="inlineStr">
        <is>
          <t>Brisket</t>
        </is>
      </c>
      <c r="C6" s="43" t="n">
        <v>30</v>
      </c>
      <c r="D6" s="43" t="n">
        <v>18</v>
      </c>
      <c r="E6" s="25" t="inlineStr">
        <is>
          <t>lb</t>
        </is>
      </c>
      <c r="F6" s="44">
        <f>MAX(C6-D6,0)</f>
        <v/>
      </c>
    </row>
    <row r="7">
      <c r="B7" s="20" t="inlineStr">
        <is>
          <t>Burger buns</t>
        </is>
      </c>
      <c r="C7" s="41" t="n">
        <v>200</v>
      </c>
      <c r="D7" s="41" t="n">
        <v>120</v>
      </c>
      <c r="E7" s="22" t="inlineStr">
        <is>
          <t>each</t>
        </is>
      </c>
      <c r="F7" s="42">
        <f>MAX(C7-D7,0)</f>
        <v/>
      </c>
    </row>
    <row r="8">
      <c r="B8" s="23" t="inlineStr">
        <is>
          <t>Fries</t>
        </is>
      </c>
      <c r="C8" s="43" t="n">
        <v>50</v>
      </c>
      <c r="D8" s="43" t="n">
        <v>30</v>
      </c>
      <c r="E8" s="25" t="inlineStr">
        <is>
          <t>lb</t>
        </is>
      </c>
      <c r="F8" s="44">
        <f>MAX(C8-D8,0)</f>
        <v/>
      </c>
    </row>
    <row r="9">
      <c r="B9" s="20" t="inlineStr">
        <is>
          <t>Cheese</t>
        </is>
      </c>
      <c r="C9" s="41" t="n">
        <v>20</v>
      </c>
      <c r="D9" s="41" t="n">
        <v>12</v>
      </c>
      <c r="E9" s="22" t="inlineStr">
        <is>
          <t>lb</t>
        </is>
      </c>
      <c r="F9" s="42">
        <f>MAX(C9-D9,0)</f>
        <v/>
      </c>
    </row>
    <row r="10">
      <c r="B10" s="23" t="inlineStr">
        <is>
          <t>Craft soda</t>
        </is>
      </c>
      <c r="C10" s="43" t="n">
        <v>240</v>
      </c>
      <c r="D10" s="43" t="n">
        <v>140</v>
      </c>
      <c r="E10" s="25" t="inlineStr">
        <is>
          <t>can</t>
        </is>
      </c>
      <c r="F10" s="44">
        <f>MAX(C10-D10,0)</f>
        <v/>
      </c>
    </row>
    <row r="11">
      <c r="B11" s="20" t="inlineStr">
        <is>
          <t>Sauce base</t>
        </is>
      </c>
      <c r="C11" s="41" t="n">
        <v>12</v>
      </c>
      <c r="D11" s="41" t="n">
        <v>5</v>
      </c>
      <c r="E11" s="22" t="inlineStr">
        <is>
          <t>gal</t>
        </is>
      </c>
      <c r="F11" s="42">
        <f>MAX(C11-D11,0)</f>
        <v/>
      </c>
    </row>
    <row r="12">
      <c r="B12" s="23" t="inlineStr">
        <is>
          <t>Paper goods</t>
        </is>
      </c>
      <c r="C12" s="43" t="n">
        <v>500</v>
      </c>
      <c r="D12" s="43" t="n">
        <v>260</v>
      </c>
      <c r="E12" s="25" t="inlineStr">
        <is>
          <t>each</t>
        </is>
      </c>
      <c r="F12" s="44">
        <f>MAX(C12-D12,0)</f>
        <v/>
      </c>
    </row>
  </sheetData>
  <mergeCells count="2">
    <mergeCell ref="A2:F2"/>
    <mergeCell ref="A1:F1"/>
  </mergeCells>
  <conditionalFormatting sqref="D5:D12">
    <cfRule type="cellIs" priority="1" operator="lessThan" dxfId="0">
      <formula>C5*0.5</formula>
    </cfRule>
  </conditionalFormatting>
  <dataValidations count="5"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  <dataValidation sqref="E5:E12" showDropDown="0" showInputMessage="0" showErrorMessage="0" allowBlank="1" type="list">
      <formula1>=UnitList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2" customWidth="1" min="4" max="4"/>
    <col width="12" customWidth="1" min="5" max="5"/>
    <col width="2" customWidth="1" min="6" max="6"/>
  </cols>
  <sheetData>
    <row r="1" ht="46" customHeight="1">
      <c r="A1" s="1" t="inlineStr">
        <is>
          <t xml:space="preserve">  ⛽  FUEL &amp; MILEAGE</t>
        </is>
      </c>
    </row>
    <row r="2" ht="22" customHeight="1">
      <c r="A2" s="2" t="inlineStr">
        <is>
          <t xml:space="preserve">  Track every fill-up — miles, gallons &amp; cost. Fuel is a real line on every gig.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Date</t>
        </is>
      </c>
      <c r="C4" s="9" t="inlineStr">
        <is>
          <t>Miles</t>
        </is>
      </c>
      <c r="D4" s="9" t="inlineStr">
        <is>
          <t>Gallons</t>
        </is>
      </c>
      <c r="E4" s="9" t="inlineStr">
        <is>
          <t>Cost</t>
        </is>
      </c>
    </row>
    <row r="5">
      <c r="B5" s="45" t="n">
        <v>46223</v>
      </c>
      <c r="C5" s="46" t="n">
        <v>78</v>
      </c>
      <c r="D5" s="47" t="n">
        <v>12</v>
      </c>
      <c r="E5" s="48" t="n">
        <v>46</v>
      </c>
    </row>
    <row r="6">
      <c r="B6" s="49" t="n">
        <v>46220</v>
      </c>
      <c r="C6" s="50" t="n">
        <v>64</v>
      </c>
      <c r="D6" s="51" t="n">
        <v>10</v>
      </c>
      <c r="E6" s="29" t="n">
        <v>38.5</v>
      </c>
    </row>
    <row r="7">
      <c r="B7" s="45" t="n">
        <v>46217</v>
      </c>
      <c r="C7" s="46" t="n">
        <v>92</v>
      </c>
      <c r="D7" s="47" t="n">
        <v>14</v>
      </c>
      <c r="E7" s="48" t="n">
        <v>53.2</v>
      </c>
    </row>
    <row r="8">
      <c r="B8" s="49" t="n">
        <v>46213</v>
      </c>
      <c r="C8" s="50" t="n">
        <v>70</v>
      </c>
      <c r="D8" s="51" t="n">
        <v>11</v>
      </c>
      <c r="E8" s="29" t="n">
        <v>42</v>
      </c>
    </row>
    <row r="9">
      <c r="B9" s="45" t="n">
        <v>46209</v>
      </c>
      <c r="C9" s="46" t="n">
        <v>85</v>
      </c>
      <c r="D9" s="47" t="n">
        <v>13</v>
      </c>
      <c r="E9" s="48" t="n">
        <v>49.4</v>
      </c>
    </row>
    <row r="10">
      <c r="B10" s="49" t="n"/>
      <c r="C10" s="50" t="n"/>
      <c r="D10" s="51" t="n"/>
      <c r="E10" s="29" t="n"/>
    </row>
    <row r="11">
      <c r="B11" s="45" t="n"/>
      <c r="C11" s="46" t="n"/>
      <c r="D11" s="47" t="n"/>
      <c r="E11" s="48" t="n"/>
    </row>
    <row r="12">
      <c r="B12" s="49" t="n"/>
      <c r="C12" s="50" t="n"/>
      <c r="D12" s="51" t="n"/>
      <c r="E12" s="29" t="n"/>
    </row>
    <row r="13">
      <c r="B13" s="45" t="n"/>
      <c r="C13" s="46" t="n"/>
      <c r="D13" s="47" t="n"/>
      <c r="E13" s="48" t="n"/>
    </row>
    <row r="14">
      <c r="B14" s="49" t="n"/>
      <c r="C14" s="50" t="n"/>
      <c r="D14" s="51" t="n"/>
      <c r="E14" s="29" t="n"/>
    </row>
    <row r="15">
      <c r="B15" s="45" t="n"/>
      <c r="C15" s="46" t="n"/>
      <c r="D15" s="47" t="n"/>
      <c r="E15" s="48" t="n"/>
    </row>
    <row r="16">
      <c r="B16" s="49" t="n"/>
      <c r="C16" s="50" t="n"/>
      <c r="D16" s="51" t="n"/>
      <c r="E16" s="29" t="n"/>
    </row>
    <row r="17">
      <c r="B17" s="45" t="n"/>
      <c r="C17" s="46" t="n"/>
      <c r="D17" s="47" t="n"/>
      <c r="E17" s="48" t="n"/>
    </row>
    <row r="18">
      <c r="B18" s="49" t="n"/>
      <c r="C18" s="50" t="n"/>
      <c r="D18" s="51" t="n"/>
      <c r="E18" s="29" t="n"/>
    </row>
    <row r="19">
      <c r="B19" s="45" t="n"/>
      <c r="C19" s="46" t="n"/>
      <c r="D19" s="47" t="n"/>
      <c r="E19" s="48" t="n"/>
    </row>
    <row r="20">
      <c r="B20" s="49" t="n"/>
      <c r="C20" s="50" t="n"/>
      <c r="D20" s="51" t="n"/>
      <c r="E20" s="29" t="n"/>
    </row>
    <row r="21">
      <c r="B21" s="45" t="n"/>
      <c r="C21" s="46" t="n"/>
      <c r="D21" s="47" t="n"/>
      <c r="E21" s="48" t="n"/>
    </row>
    <row r="22">
      <c r="B22" s="49" t="n"/>
      <c r="C22" s="50" t="n"/>
      <c r="D22" s="51" t="n"/>
      <c r="E22" s="29" t="n"/>
    </row>
    <row r="23">
      <c r="B23" s="45" t="n"/>
      <c r="C23" s="46" t="n"/>
      <c r="D23" s="47" t="n"/>
      <c r="E23" s="48" t="n"/>
    </row>
    <row r="24">
      <c r="B24" s="49" t="n"/>
      <c r="C24" s="50" t="n"/>
      <c r="D24" s="51" t="n"/>
      <c r="E24" s="29" t="n"/>
    </row>
    <row r="25">
      <c r="B25" s="45" t="n"/>
      <c r="C25" s="46" t="n"/>
      <c r="D25" s="47" t="n"/>
      <c r="E25" s="48" t="n"/>
    </row>
    <row r="26">
      <c r="B26" s="49" t="n"/>
      <c r="C26" s="50" t="n"/>
      <c r="D26" s="51" t="n"/>
      <c r="E26" s="29" t="n"/>
    </row>
    <row r="27">
      <c r="B27" s="45" t="n"/>
      <c r="C27" s="46" t="n"/>
      <c r="D27" s="47" t="n"/>
      <c r="E27" s="48" t="n"/>
    </row>
    <row r="28">
      <c r="B28" s="49" t="n"/>
      <c r="C28" s="50" t="n"/>
      <c r="D28" s="51" t="n"/>
      <c r="E28" s="29" t="n"/>
    </row>
    <row r="29">
      <c r="B29" s="45" t="n"/>
      <c r="C29" s="46" t="n"/>
      <c r="D29" s="47" t="n"/>
      <c r="E29" s="48" t="n"/>
    </row>
    <row r="30">
      <c r="B30" s="49" t="n"/>
      <c r="C30" s="50" t="n"/>
      <c r="D30" s="51" t="n"/>
      <c r="E30" s="29" t="n"/>
    </row>
    <row r="31">
      <c r="B31" s="45" t="n"/>
      <c r="C31" s="46" t="n"/>
      <c r="D31" s="47" t="n"/>
      <c r="E31" s="48" t="n"/>
    </row>
    <row r="32">
      <c r="B32" s="49" t="n"/>
      <c r="C32" s="50" t="n"/>
      <c r="D32" s="51" t="n"/>
      <c r="E32" s="29" t="n"/>
    </row>
    <row r="33">
      <c r="B33" s="45" t="n"/>
      <c r="C33" s="46" t="n"/>
      <c r="D33" s="47" t="n"/>
      <c r="E33" s="48" t="n"/>
    </row>
    <row r="34">
      <c r="B34" s="49" t="n"/>
      <c r="C34" s="50" t="n"/>
      <c r="D34" s="51" t="n"/>
      <c r="E34" s="29" t="n"/>
    </row>
    <row r="35">
      <c r="B35" s="9" t="inlineStr">
        <is>
          <t>TOTAL</t>
        </is>
      </c>
      <c r="C35" s="52">
        <f>SUM(FuelMiles)</f>
        <v/>
      </c>
      <c r="D35" s="34" t="n"/>
      <c r="E35" s="53">
        <f>SUM(FuelCost)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📋  PERMITS &amp; LICENSES</t>
        </is>
      </c>
    </row>
    <row r="2" ht="22" customHeight="1">
      <c r="A2" s="2" t="inlineStr">
        <is>
          <t xml:space="preserve">  Every permit &amp; its expiry — never get shut down at a gig for a lapsed license.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Permit / License</t>
        </is>
      </c>
      <c r="C4" s="9" t="inlineStr">
        <is>
          <t>Expires</t>
        </is>
      </c>
      <c r="D4" s="9" t="inlineStr">
        <is>
          <t>Status</t>
        </is>
      </c>
    </row>
    <row r="5">
      <c r="B5" s="20" t="inlineStr">
        <is>
          <t>Business License</t>
        </is>
      </c>
      <c r="C5" s="54" t="n">
        <v>46435</v>
      </c>
      <c r="D5" s="55" t="inlineStr">
        <is>
          <t>OK</t>
        </is>
      </c>
    </row>
    <row r="6">
      <c r="B6" s="23" t="inlineStr">
        <is>
          <t>Health Permit</t>
        </is>
      </c>
      <c r="C6" s="56" t="n">
        <v>46320</v>
      </c>
      <c r="D6" s="57" t="inlineStr">
        <is>
          <t>OK</t>
        </is>
      </c>
    </row>
    <row r="7">
      <c r="B7" s="20" t="inlineStr">
        <is>
          <t>Fire Certification</t>
        </is>
      </c>
      <c r="C7" s="54" t="n">
        <v>46365</v>
      </c>
      <c r="D7" s="55" t="inlineStr">
        <is>
          <t>OK</t>
        </is>
      </c>
    </row>
    <row r="8">
      <c r="B8" s="23" t="inlineStr">
        <is>
          <t>Commissary Agreement</t>
        </is>
      </c>
      <c r="C8" s="56" t="n">
        <v>46525</v>
      </c>
      <c r="D8" s="57" t="inlineStr">
        <is>
          <t>OK</t>
        </is>
      </c>
    </row>
    <row r="9">
      <c r="B9" s="20" t="inlineStr">
        <is>
          <t>Special Event Permit</t>
        </is>
      </c>
      <c r="C9" s="54" t="n">
        <v>46243</v>
      </c>
      <c r="D9" s="55" t="inlineStr">
        <is>
          <t>Renew</t>
        </is>
      </c>
    </row>
    <row r="11">
      <c r="B11" s="58" t="inlineStr">
        <is>
          <t>Permits current</t>
        </is>
      </c>
      <c r="C11" s="59">
        <f>COUNTIF(PermitStatus,"OK")&amp;" of "&amp;COUNTA(PermitStatus)</f>
        <v/>
      </c>
    </row>
  </sheetData>
  <mergeCells count="2">
    <mergeCell ref="A1:D1"/>
    <mergeCell ref="A2:D2"/>
  </mergeCells>
  <conditionalFormatting sqref="D5:D9">
    <cfRule type="cellIs" priority="1" operator="equal" dxfId="1">
      <formula>"OK"</formula>
    </cfRule>
    <cfRule type="cellIs" priority="2" operator="equal" dxfId="2">
      <formula>"Renew"</formula>
    </cfRule>
    <cfRule type="cellIs" priority="3" operator="equal" dxfId="0">
      <formula>"Expired"</formula>
    </cfRule>
  </conditionalFormatting>
  <dataValidations count="5">
    <dataValidation sqref="D5" showDropDown="0" showInputMessage="0" showErrorMessage="0" allowBlank="1" type="list">
      <formula1>=PermitList</formula1>
    </dataValidation>
    <dataValidation sqref="D6" showDropDown="0" showInputMessage="0" showErrorMessage="0" allowBlank="1" type="list">
      <formula1>=PermitList</formula1>
    </dataValidation>
    <dataValidation sqref="D7" showDropDown="0" showInputMessage="0" showErrorMessage="0" allowBlank="1" type="list">
      <formula1>=PermitList</formula1>
    </dataValidation>
    <dataValidation sqref="D8" showDropDown="0" showInputMessage="0" showErrorMessage="0" allowBlank="1" type="list">
      <formula1>=PermitList</formula1>
    </dataValidation>
    <dataValidation sqref="D9" showDropDown="0" showInputMessage="0" showErrorMessage="0" allowBlank="1" type="list">
      <formula1>=PermitList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🛒  SUPPLIES &amp; SHOPPING</t>
        </is>
      </c>
    </row>
    <row r="2" ht="22" customHeight="1">
      <c r="A2" s="2" t="inlineStr">
        <is>
          <t xml:space="preserve">  The next restock run — quantities &amp; estimated cost so nothing runs out mid-service.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Qty</t>
        </is>
      </c>
      <c r="D4" s="9" t="inlineStr">
        <is>
          <t>Est. Cost</t>
        </is>
      </c>
    </row>
    <row r="5">
      <c r="B5" s="60" t="inlineStr">
        <is>
          <t>Pork butt (case)</t>
        </is>
      </c>
      <c r="C5" s="46" t="n">
        <v>2</v>
      </c>
      <c r="D5" s="48" t="n">
        <v>96</v>
      </c>
    </row>
    <row r="6">
      <c r="B6" s="23" t="inlineStr">
        <is>
          <t>Buns (dozen)</t>
        </is>
      </c>
      <c r="C6" s="50" t="n">
        <v>10</v>
      </c>
      <c r="D6" s="29" t="n">
        <v>66</v>
      </c>
    </row>
    <row r="7">
      <c r="B7" s="60" t="inlineStr">
        <is>
          <t>Fries (case)</t>
        </is>
      </c>
      <c r="C7" s="46" t="n">
        <v>1</v>
      </c>
      <c r="D7" s="48" t="n">
        <v>32</v>
      </c>
    </row>
    <row r="8">
      <c r="B8" s="23" t="inlineStr">
        <is>
          <t>Gloves &amp; liners</t>
        </is>
      </c>
      <c r="C8" s="50" t="n">
        <v>1</v>
      </c>
      <c r="D8" s="29" t="n">
        <v>24</v>
      </c>
    </row>
    <row r="9">
      <c r="B9" s="60" t="inlineStr">
        <is>
          <t>Propane refill</t>
        </is>
      </c>
      <c r="C9" s="46" t="n">
        <v>2</v>
      </c>
      <c r="D9" s="48" t="n">
        <v>44</v>
      </c>
    </row>
    <row r="10">
      <c r="B10" s="23" t="inlineStr">
        <is>
          <t>Napkins &amp; trays</t>
        </is>
      </c>
      <c r="C10" s="50" t="n">
        <v>1</v>
      </c>
      <c r="D10" s="29" t="n">
        <v>38</v>
      </c>
    </row>
    <row r="11">
      <c r="B11" s="60" t="n"/>
      <c r="C11" s="46" t="n"/>
      <c r="D11" s="48" t="n"/>
    </row>
    <row r="12">
      <c r="B12" s="23" t="n"/>
      <c r="C12" s="50" t="n"/>
      <c r="D12" s="29" t="n"/>
    </row>
    <row r="13">
      <c r="B13" s="60" t="n"/>
      <c r="C13" s="46" t="n"/>
      <c r="D13" s="48" t="n"/>
    </row>
    <row r="14">
      <c r="B14" s="23" t="n"/>
      <c r="C14" s="50" t="n"/>
      <c r="D14" s="29" t="n"/>
    </row>
    <row r="15">
      <c r="B15" s="60" t="n"/>
      <c r="C15" s="46" t="n"/>
      <c r="D15" s="48" t="n"/>
    </row>
    <row r="16">
      <c r="B16" s="23" t="n"/>
      <c r="C16" s="50" t="n"/>
      <c r="D16" s="29" t="n"/>
    </row>
    <row r="17">
      <c r="B17" s="60" t="n"/>
      <c r="C17" s="46" t="n"/>
      <c r="D17" s="48" t="n"/>
    </row>
    <row r="18">
      <c r="B18" s="23" t="n"/>
      <c r="C18" s="50" t="n"/>
      <c r="D18" s="29" t="n"/>
    </row>
    <row r="19">
      <c r="B19" s="60" t="n"/>
      <c r="C19" s="46" t="n"/>
      <c r="D19" s="48" t="n"/>
    </row>
    <row r="20">
      <c r="B20" s="23" t="n"/>
      <c r="C20" s="50" t="n"/>
      <c r="D20" s="29" t="n"/>
    </row>
    <row r="21">
      <c r="B21" s="60" t="n"/>
      <c r="C21" s="46" t="n"/>
      <c r="D21" s="48" t="n"/>
    </row>
    <row r="22">
      <c r="B22" s="23" t="n"/>
      <c r="C22" s="50" t="n"/>
      <c r="D22" s="29" t="n"/>
    </row>
    <row r="23">
      <c r="B23" s="60" t="n"/>
      <c r="C23" s="46" t="n"/>
      <c r="D23" s="48" t="n"/>
    </row>
    <row r="24">
      <c r="B24" s="23" t="n"/>
      <c r="C24" s="50" t="n"/>
      <c r="D24" s="29" t="n"/>
    </row>
    <row r="25">
      <c r="B25" s="60" t="n"/>
      <c r="C25" s="46" t="n"/>
      <c r="D25" s="48" t="n"/>
    </row>
    <row r="26">
      <c r="B26" s="23" t="n"/>
      <c r="C26" s="50" t="n"/>
      <c r="D26" s="29" t="n"/>
    </row>
    <row r="27">
      <c r="B27" s="60" t="n"/>
      <c r="C27" s="46" t="n"/>
      <c r="D27" s="48" t="n"/>
    </row>
    <row r="28">
      <c r="B28" s="23" t="n"/>
      <c r="C28" s="50" t="n"/>
      <c r="D28" s="29" t="n"/>
    </row>
    <row r="29">
      <c r="B29" s="9" t="inlineStr">
        <is>
          <t>SHOPPING TOTAL</t>
        </is>
      </c>
      <c r="C29" s="34" t="n"/>
      <c r="D29" s="53">
        <f>SUM(SupplyCost)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22" customWidth="1" min="4" max="4"/>
    <col width="12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📅  BOOKINGS</t>
        </is>
      </c>
    </row>
    <row r="2" ht="22" customHeight="1">
      <c r="A2" s="2" t="inlineStr">
        <is>
          <t xml:space="preserve">  Upcoming gigs on the calendar — deposits, locations &amp; confirmation status.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Event</t>
        </is>
      </c>
      <c r="C4" s="9" t="inlineStr">
        <is>
          <t>Date</t>
        </is>
      </c>
      <c r="D4" s="9" t="inlineStr">
        <is>
          <t>Location</t>
        </is>
      </c>
      <c r="E4" s="9" t="inlineStr">
        <is>
          <t>Deposit</t>
        </is>
      </c>
      <c r="F4" s="9" t="inlineStr">
        <is>
          <t>Status</t>
        </is>
      </c>
    </row>
    <row r="5">
      <c r="B5" s="20" t="inlineStr">
        <is>
          <t>Brewery Anniversary</t>
        </is>
      </c>
      <c r="C5" s="54" t="n">
        <v>46231</v>
      </c>
      <c r="D5" s="20" t="inlineStr">
        <is>
          <t>Hops &amp; Barrel</t>
        </is>
      </c>
      <c r="E5" s="30" t="n">
        <v>200</v>
      </c>
      <c r="F5" s="22" t="inlineStr">
        <is>
          <t>Confirmed</t>
        </is>
      </c>
    </row>
    <row r="6">
      <c r="B6" s="23" t="inlineStr">
        <is>
          <t>Corporate Lunch</t>
        </is>
      </c>
      <c r="C6" s="56" t="n">
        <v>46236</v>
      </c>
      <c r="D6" s="23" t="inlineStr">
        <is>
          <t>TechPark Plaza</t>
        </is>
      </c>
      <c r="E6" s="32" t="n">
        <v>300</v>
      </c>
      <c r="F6" s="25" t="inlineStr">
        <is>
          <t>Confirmed</t>
        </is>
      </c>
    </row>
    <row r="7">
      <c r="B7" s="20" t="inlineStr">
        <is>
          <t>Food Truck Rally</t>
        </is>
      </c>
      <c r="C7" s="54" t="n">
        <v>46243</v>
      </c>
      <c r="D7" s="20" t="inlineStr">
        <is>
          <t>Riverside Lot</t>
        </is>
      </c>
      <c r="E7" s="30" t="n">
        <v>150</v>
      </c>
      <c r="F7" s="22" t="inlineStr">
        <is>
          <t>Pending</t>
        </is>
      </c>
    </row>
    <row r="8">
      <c r="B8" s="23" t="inlineStr">
        <is>
          <t>Wedding Catering</t>
        </is>
      </c>
      <c r="C8" s="56" t="n">
        <v>46251</v>
      </c>
      <c r="D8" s="23" t="inlineStr">
        <is>
          <t>Oak Hollow</t>
        </is>
      </c>
      <c r="E8" s="32" t="n">
        <v>500</v>
      </c>
      <c r="F8" s="25" t="inlineStr">
        <is>
          <t>Confirmed</t>
        </is>
      </c>
    </row>
    <row r="9">
      <c r="B9" s="20" t="inlineStr">
        <is>
          <t>Farmers Market</t>
        </is>
      </c>
      <c r="C9" s="54" t="n">
        <v>46229</v>
      </c>
      <c r="D9" s="20" t="inlineStr">
        <is>
          <t>Town Square</t>
        </is>
      </c>
      <c r="E9" s="30" t="n">
        <v>0</v>
      </c>
      <c r="F9" s="22" t="inlineStr">
        <is>
          <t>Confirmed</t>
        </is>
      </c>
    </row>
    <row r="11">
      <c r="B11" s="58" t="inlineStr">
        <is>
          <t>Confirmed gigs</t>
        </is>
      </c>
      <c r="C11" s="61">
        <f>COUNTIF(BookStatus,"Confirmed")</f>
        <v/>
      </c>
    </row>
  </sheetData>
  <mergeCells count="2">
    <mergeCell ref="A2:F2"/>
    <mergeCell ref="A1:F1"/>
  </mergeCells>
  <conditionalFormatting sqref="F5:F9">
    <cfRule type="cellIs" priority="1" operator="equal" dxfId="1">
      <formula>"Confirmed"</formula>
    </cfRule>
    <cfRule type="cellIs" priority="2" operator="equal" dxfId="2">
      <formula>"Pending"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💵  CASH &amp; TIPS</t>
        </is>
      </c>
    </row>
    <row r="2" ht="22" customHeight="1">
      <c r="A2" s="2" t="inlineStr">
        <is>
          <t xml:space="preserve">  Reconcile each day — cash, card &amp; tips, so the drawer always balances.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Day</t>
        </is>
      </c>
      <c r="C4" s="9" t="inlineStr">
        <is>
          <t>Cash</t>
        </is>
      </c>
      <c r="D4" s="9" t="inlineStr">
        <is>
          <t>Card</t>
        </is>
      </c>
      <c r="E4" s="9" t="inlineStr">
        <is>
          <t>Tips</t>
        </is>
      </c>
      <c r="F4" s="9" t="inlineStr">
        <is>
          <t>Total</t>
        </is>
      </c>
    </row>
    <row r="5">
      <c r="B5" s="20" t="inlineStr">
        <is>
          <t>Wednesday</t>
        </is>
      </c>
      <c r="C5" s="30" t="n">
        <v>420</v>
      </c>
      <c r="D5" s="30" t="n">
        <v>1030</v>
      </c>
      <c r="E5" s="30" t="n">
        <v>145</v>
      </c>
      <c r="F5" s="31">
        <f>C5+D5+E5</f>
        <v/>
      </c>
    </row>
    <row r="6">
      <c r="B6" s="23" t="inlineStr">
        <is>
          <t>Thursday</t>
        </is>
      </c>
      <c r="C6" s="32" t="n">
        <v>380</v>
      </c>
      <c r="D6" s="32" t="n">
        <v>970</v>
      </c>
      <c r="E6" s="32" t="n">
        <v>130</v>
      </c>
      <c r="F6" s="33">
        <f>C6+D6+E6</f>
        <v/>
      </c>
    </row>
    <row r="7">
      <c r="B7" s="20" t="inlineStr">
        <is>
          <t>Friday</t>
        </is>
      </c>
      <c r="C7" s="30" t="n">
        <v>610</v>
      </c>
      <c r="D7" s="30" t="n">
        <v>1490</v>
      </c>
      <c r="E7" s="30" t="n">
        <v>220</v>
      </c>
      <c r="F7" s="31">
        <f>C7+D7+E7</f>
        <v/>
      </c>
    </row>
    <row r="8">
      <c r="B8" s="23" t="inlineStr">
        <is>
          <t>Saturday</t>
        </is>
      </c>
      <c r="C8" s="32" t="n">
        <v>980</v>
      </c>
      <c r="D8" s="32" t="n">
        <v>2420</v>
      </c>
      <c r="E8" s="32" t="n">
        <v>360</v>
      </c>
      <c r="F8" s="33">
        <f>C8+D8+E8</f>
        <v/>
      </c>
    </row>
    <row r="9">
      <c r="B9" s="20" t="inlineStr">
        <is>
          <t>Sunday</t>
        </is>
      </c>
      <c r="C9" s="30" t="n">
        <v>410</v>
      </c>
      <c r="D9" s="30" t="n">
        <v>940</v>
      </c>
      <c r="E9" s="30" t="n">
        <v>150</v>
      </c>
      <c r="F9" s="31">
        <f>C9+D9+E9</f>
        <v/>
      </c>
    </row>
    <row r="10">
      <c r="B10" s="9" t="inlineStr">
        <is>
          <t>TOTAL</t>
        </is>
      </c>
      <c r="C10" s="35">
        <f>SUM(C5:C9)</f>
        <v/>
      </c>
      <c r="D10" s="35">
        <f>SUM(D5:D9)</f>
        <v/>
      </c>
      <c r="E10" s="35">
        <f>SUM(E5:E9)</f>
        <v/>
      </c>
      <c r="F10" s="35">
        <f>SUM(F5:F9)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truck,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TRUCK</t>
        </is>
      </c>
      <c r="E5" s="4" t="inlineStr">
        <is>
          <t>DROPDOWN LISTS</t>
        </is>
      </c>
    </row>
    <row r="6">
      <c r="B6" s="58" t="inlineStr">
        <is>
          <t>Truck name</t>
        </is>
      </c>
      <c r="C6" s="55" t="inlineStr">
        <is>
          <t>Rolling Smoke BBQ</t>
        </is>
      </c>
      <c r="E6" s="9" t="inlineStr">
        <is>
          <t>Unit</t>
        </is>
      </c>
      <c r="F6" s="9" t="inlineStr">
        <is>
          <t>Event Type</t>
        </is>
      </c>
      <c r="G6" s="9" t="inlineStr">
        <is>
          <t>Permit Status</t>
        </is>
      </c>
      <c r="H6" s="9" t="inlineStr">
        <is>
          <t>Yes / No</t>
        </is>
      </c>
    </row>
    <row r="7">
      <c r="B7" s="58" t="inlineStr">
        <is>
          <t>Owner</t>
        </is>
      </c>
      <c r="C7" s="55" t="inlineStr">
        <is>
          <t>Dana</t>
        </is>
      </c>
      <c r="E7" s="20" t="inlineStr">
        <is>
          <t>each</t>
        </is>
      </c>
      <c r="F7" s="20" t="inlineStr">
        <is>
          <t>Lunch</t>
        </is>
      </c>
      <c r="G7" s="20" t="inlineStr">
        <is>
          <t>OK</t>
        </is>
      </c>
      <c r="H7" s="20" t="inlineStr">
        <is>
          <t>Yes</t>
        </is>
      </c>
    </row>
    <row r="8">
      <c r="B8" s="58" t="inlineStr">
        <is>
          <t>Target food-cost %</t>
        </is>
      </c>
      <c r="C8" s="62" t="n">
        <v>0.3</v>
      </c>
      <c r="E8" s="20" t="inlineStr">
        <is>
          <t>lb</t>
        </is>
      </c>
      <c r="F8" s="20" t="inlineStr">
        <is>
          <t>Brewery</t>
        </is>
      </c>
      <c r="G8" s="20" t="inlineStr">
        <is>
          <t>Renew</t>
        </is>
      </c>
      <c r="H8" s="20" t="inlineStr">
        <is>
          <t>No</t>
        </is>
      </c>
    </row>
    <row r="9">
      <c r="B9" s="58" t="inlineStr">
        <is>
          <t>Events goal / month</t>
        </is>
      </c>
      <c r="C9" s="63" t="n">
        <v>10</v>
      </c>
      <c r="E9" s="20" t="inlineStr">
        <is>
          <t>oz</t>
        </is>
      </c>
      <c r="F9" s="20" t="inlineStr">
        <is>
          <t>Market</t>
        </is>
      </c>
      <c r="G9" s="20" t="inlineStr">
        <is>
          <t>Expired</t>
        </is>
      </c>
    </row>
    <row r="10">
      <c r="B10" s="58" t="inlineStr">
        <is>
          <t>Profit-margin goal</t>
        </is>
      </c>
      <c r="C10" s="62" t="n">
        <v>0.35</v>
      </c>
      <c r="E10" s="20" t="inlineStr">
        <is>
          <t>case</t>
        </is>
      </c>
      <c r="F10" s="20" t="inlineStr">
        <is>
          <t>Office</t>
        </is>
      </c>
    </row>
    <row r="11">
      <c r="B11" s="58" t="inlineStr">
        <is>
          <t>Currency</t>
        </is>
      </c>
      <c r="C11" s="55" t="inlineStr">
        <is>
          <t>USD ($)</t>
        </is>
      </c>
      <c r="E11" s="20" t="inlineStr">
        <is>
          <t>can</t>
        </is>
      </c>
      <c r="F11" s="20" t="inlineStr">
        <is>
          <t>Festival</t>
        </is>
      </c>
    </row>
    <row r="12">
      <c r="E12" s="20" t="inlineStr">
        <is>
          <t>bag</t>
        </is>
      </c>
      <c r="F12" s="20" t="inlineStr">
        <is>
          <t>Catering</t>
        </is>
      </c>
    </row>
    <row r="13">
      <c r="E13" s="20" t="inlineStr">
        <is>
          <t>gal</t>
        </is>
      </c>
      <c r="F13" s="20" t="inlineStr">
        <is>
          <t>Private</t>
        </is>
      </c>
    </row>
    <row r="14">
      <c r="F14" s="20" t="inlineStr">
        <is>
          <t>Other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2026-07-22T02:22:39Z</dcterms:created>
  <dcterms:modified xsi:type="dcterms:W3CDTF">2026-07-22T02:22:40Z</dcterms:modified>
</cp:coreProperties>
</file>