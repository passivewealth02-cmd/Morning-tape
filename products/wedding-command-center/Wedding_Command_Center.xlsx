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5.xml" ContentType="application/vnd.openxmlformats-officedocument.drawing+xml"/>
  <Override PartName="/xl/worksheets/sheet3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ouple" sheetId="2" state="visible" r:id="rId2"/>
    <sheet name="Timeline" sheetId="3" state="visible" r:id="rId3"/>
    <sheet name="Checklist" sheetId="4" state="visible" r:id="rId4"/>
    <sheet name="Budget" sheetId="5" state="visible" r:id="rId5"/>
    <sheet name="Payments" sheetId="6" state="visible" r:id="rId6"/>
    <sheet name="Savings" sheetId="7" state="visible" r:id="rId7"/>
    <sheet name="Vendors" sheetId="8" state="visible" r:id="rId8"/>
    <sheet name="Comparison" sheetId="9" state="visible" r:id="rId9"/>
    <sheet name="Contracts" sheetId="10" state="visible" r:id="rId10"/>
    <sheet name="Guests" sheetId="11" state="visible" r:id="rId11"/>
    <sheet name="RSVP" sheetId="12" state="visible" r:id="rId12"/>
    <sheet name="Seating" sheetId="13" state="visible" r:id="rId13"/>
    <sheet name="BridalParty" sheetId="14" state="visible" r:id="rId14"/>
    <sheet name="Attire" sheetId="15" state="visible" r:id="rId15"/>
    <sheet name="Beauty" sheetId="16" state="visible" r:id="rId16"/>
    <sheet name="Ceremony" sheetId="17" state="visible" r:id="rId17"/>
    <sheet name="Reception" sheetId="18" state="visible" r:id="rId18"/>
    <sheet name="Menu" sheetId="19" state="visible" r:id="rId19"/>
    <sheet name="Music" sheetId="20" state="visible" r:id="rId20"/>
    <sheet name="Floral" sheetId="21" state="visible" r:id="rId21"/>
    <sheet name="Decor" sheetId="22" state="visible" r:id="rId22"/>
    <sheet name="ShotList" sheetId="23" state="visible" r:id="rId23"/>
    <sheet name="Honeymoon" sheetId="24" state="visible" r:id="rId24"/>
    <sheet name="Registry" sheetId="25" state="visible" r:id="rId25"/>
    <sheet name="Gifts" sheetId="26" state="visible" r:id="rId26"/>
    <sheet name="ThankYou" sheetId="27" state="visible" r:id="rId27"/>
    <sheet name="VisionBoard" sheetId="28" state="visible" r:id="rId28"/>
    <sheet name="Packing" sheetId="29" state="visible" r:id="rId29"/>
    <sheet name="WeddingDay" sheetId="30" state="visible" r:id="rId30"/>
    <sheet name="Analytics" sheetId="31" state="visible" r:id="rId31"/>
    <sheet name="Settings" sheetId="32" state="visible" r:id="rId32"/>
  </sheets>
  <definedNames>
    <definedName name="WeddingDate">Settings!$C$6</definedName>
    <definedName name="TotalBudget">Settings!$C$7</definedName>
    <definedName name="EstGuests">Settings!$C$8</definedName>
    <definedName name="NumTables">Settings!$C$9</definedName>
    <definedName name="SeatsPerTable">Settings!$C$10</definedName>
    <definedName name="MonthlySavings">Settings!$C$11</definedName>
    <definedName name="TaxRate">Settings!$C$12</definedName>
    <definedName name="TodayDate">Settings!$C$13</definedName>
    <definedName name="BudgetCatList">Settings!$E$7:$E$27</definedName>
    <definedName name="VendorTypeList">Settings!$F$7:$F$22</definedName>
    <definedName name="StatusList">Settings!$G$7:$G$11</definedName>
    <definedName name="MealList">Settings!$H$7:$H$13</definedName>
    <definedName name="PriorityList">Settings!$I$7:$I$9</definedName>
    <definedName name="StyleList">Settings!$J$7:$J$16</definedName>
    <definedName name="RsvpList">Settings!$E$27:$E$29</definedName>
    <definedName name="ContractList">Settings!$F$27:$F$30</definedName>
    <definedName name="PayMethodList">Settings!$G$27:$G$32</definedName>
    <definedName name="RelationList">Settings!$H$27:$H$32</definedName>
    <definedName name="YesNoList">Settings!$I$27:$I$28</definedName>
    <definedName name="PhaseList">Settings!$J$27:$J$36</definedName>
    <definedName name="TLTask">Timeline!$B$5:$B$84</definedName>
    <definedName name="TLDone">Timeline!$F$5:$F$84</definedName>
    <definedName name="ChkTask">Checklist!$B$5:$B$124</definedName>
    <definedName name="ChkDone">Checklist!$F$5:$F$124</definedName>
    <definedName name="ChkDue">Checklist!$E$5:$E$124</definedName>
    <definedName name="BudCat">Budget!$A$5:$A$25</definedName>
    <definedName name="BudPlanned">Budget!$B$5:$B$25</definedName>
    <definedName name="BudActual">Budget!$C$5:$C$25</definedName>
    <definedName name="BudPaid">Budget!$E$5:$E$25</definedName>
    <definedName name="BudTotalPlanned">Budget!$B$26</definedName>
    <definedName name="BudTotalActual">Budget!$C$26</definedName>
    <definedName name="BudTotalPaid">Budget!$E$26</definedName>
    <definedName name="PayBalance">Payments!$D$5:$D$44</definedName>
    <definedName name="PayPaid">Payments!$F$5:$F$44</definedName>
    <definedName name="PayVendor">Payments!$A$5:$A$44</definedName>
    <definedName name="VenName">Vendors!$B$5:$B$34</definedName>
    <definedName name="VenContract">Vendors!$I$5:$I$34</definedName>
    <definedName name="GuestName">Guests!$A$5:$A$204</definedName>
    <definedName name="GuestRsvp">Guests!$G$5:$G$204</definedName>
    <definedName name="GuestSeats">Guests!$H$5:$H$204</definedName>
    <definedName name="GuestInvited">Guests!$F$5:$F$204</definedName>
    <definedName name="GuestMeal">Guests!$I$5:$I$204</definedName>
    <definedName name="GuestThankYou">Guests!$L$5:$L$204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"/>
    <numFmt numFmtId="165" formatCode="yyyy-mm-dd"/>
    <numFmt numFmtId="166" formatCode="mm/dd/yyyy"/>
    <numFmt numFmtId="167" formatCode="&quot;$&quot;#,##0;[Red]-&quot;$&quot;#,##0"/>
    <numFmt numFmtId="168" formatCode="&quot;$&quot;#,##0.00"/>
    <numFmt numFmtId="169" formatCode="0;[Red]-0"/>
    <numFmt numFmtId="170" formatCode="0.0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i val="1"/>
      <color rgb="00E5D3BA"/>
      <sz val="11"/>
    </font>
    <font>
      <name val="Calibri"/>
      <b val="1"/>
      <color rgb="001B4F48"/>
      <sz val="12"/>
    </font>
    <font>
      <name val="Calibri"/>
      <b val="1"/>
      <color rgb="00937356"/>
      <sz val="12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937356"/>
      <sz val="10"/>
    </font>
    <font>
      <name val="Calibri"/>
      <b val="1"/>
      <color rgb="001B4F48"/>
      <sz val="20"/>
    </font>
    <font>
      <name val="Calibri"/>
      <b val="1"/>
      <color rgb="001B4F48"/>
      <sz val="11"/>
    </font>
    <font>
      <name val="Calibri"/>
      <b val="1"/>
      <color rgb="00937356"/>
      <sz val="40"/>
    </font>
    <font>
      <name val="Calibri"/>
      <i val="1"/>
      <color rgb="00937356"/>
      <sz val="11"/>
    </font>
    <font>
      <b val="1"/>
      <color rgb="001B4F48"/>
    </font>
    <font>
      <b val="1"/>
      <color rgb="001B4F48"/>
      <sz val="14"/>
    </font>
    <font>
      <b val="1"/>
      <color rgb="00FFFFFF"/>
    </font>
    <font>
      <b val="1"/>
      <color rgb="001B4F48"/>
      <sz val="48"/>
    </font>
    <font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1B4F48"/>
      </patternFill>
    </fill>
    <fill>
      <patternFill patternType="solid">
        <fgColor rgb="00FFFFFF"/>
      </patternFill>
    </fill>
    <fill>
      <patternFill patternType="solid">
        <fgColor rgb="00E5D3BA"/>
      </patternFill>
    </fill>
    <fill>
      <patternFill patternType="solid">
        <fgColor rgb="00FAF7F1"/>
      </patternFill>
    </fill>
    <fill>
      <patternFill patternType="solid">
        <fgColor rgb="00F3E4DD"/>
      </patternFill>
    </fill>
    <fill>
      <patternFill patternType="solid">
        <fgColor rgb="00C9A86A"/>
      </patternFill>
    </fill>
    <fill>
      <patternFill patternType="solid">
        <fgColor rgb="00F4ECDE"/>
      </patternFill>
    </fill>
    <fill>
      <patternFill patternType="solid">
        <fgColor rgb="0075E6C1"/>
      </patternFill>
    </fill>
    <fill>
      <patternFill patternType="solid">
        <fgColor rgb="00FBF8F2"/>
      </patternFill>
    </fill>
  </fills>
  <borders count="4">
    <border>
      <left/>
      <right/>
      <top/>
      <bottom/>
      <diagonal/>
    </border>
    <border/>
    <border>
      <left style="thin">
        <color rgb="00D6D2C8"/>
      </left>
      <right style="thin">
        <color rgb="00D6D2C8"/>
      </right>
      <top style="thin">
        <color rgb="00D6D2C8"/>
      </top>
      <bottom style="thin">
        <color rgb="00D6D2C8"/>
      </bottom>
    </border>
    <border>
      <left style="dashed">
        <color rgb="00C9A86A"/>
      </left>
      <right style="dashed">
        <color rgb="00C9A86A"/>
      </right>
      <top style="dashed">
        <color rgb="00C9A86A"/>
      </top>
      <bottom style="dashed">
        <color rgb="00C9A86A"/>
      </bottom>
    </border>
  </borders>
  <cellStyleXfs count="17">
    <xf numFmtId="0" fontId="0" fillId="0" borderId="0"/>
    <xf numFmtId="0" fontId="1" fillId="2" borderId="1" applyAlignment="1">
      <alignment horizontal="left" vertical="center" indent="2"/>
    </xf>
    <xf numFmtId="0" fontId="2" fillId="2" borderId="1" applyAlignment="1">
      <alignment horizontal="left" vertical="center" indent="2"/>
    </xf>
    <xf numFmtId="0" fontId="3" fillId="0" borderId="1" applyAlignment="1">
      <alignment horizontal="left" vertical="center"/>
    </xf>
    <xf numFmtId="0" fontId="4" fillId="0" borderId="1" applyAlignment="1">
      <alignment horizontal="left" vertical="center"/>
    </xf>
    <xf numFmtId="0" fontId="5" fillId="2" borderId="2" applyAlignment="1">
      <alignment horizontal="center" vertical="center" wrapText="1"/>
    </xf>
    <xf numFmtId="0" fontId="6" fillId="0" borderId="2" applyAlignment="1">
      <alignment horizontal="center" vertical="center" wrapText="1"/>
    </xf>
    <xf numFmtId="0" fontId="6" fillId="0" borderId="2" applyAlignment="1">
      <alignment horizontal="left" vertical="center" wrapText="1" indent="1"/>
    </xf>
    <xf numFmtId="0" fontId="7" fillId="3" borderId="1" applyAlignment="1">
      <alignment horizontal="center" vertical="center"/>
    </xf>
    <xf numFmtId="0" fontId="8" fillId="3" borderId="1" applyAlignment="1">
      <alignment horizontal="center" vertical="center"/>
    </xf>
    <xf numFmtId="164" fontId="8" fillId="3" borderId="1" applyAlignment="1">
      <alignment horizontal="center" vertical="center"/>
    </xf>
    <xf numFmtId="9" fontId="8" fillId="3" borderId="1" applyAlignment="1">
      <alignment horizontal="center" vertical="center"/>
    </xf>
    <xf numFmtId="0" fontId="9" fillId="4" borderId="2" applyAlignment="1">
      <alignment horizontal="center" vertical="center"/>
    </xf>
    <xf numFmtId="0" fontId="7" fillId="5" borderId="2" applyAlignment="1">
      <alignment horizontal="left" vertical="center" indent="1"/>
    </xf>
    <xf numFmtId="0" fontId="6" fillId="0" borderId="2" applyAlignment="1">
      <alignment horizontal="left" vertical="center" indent="1"/>
    </xf>
    <xf numFmtId="0" fontId="10" fillId="2" borderId="1" applyAlignment="1">
      <alignment horizontal="center" vertical="center"/>
    </xf>
    <xf numFmtId="0" fontId="11" fillId="6" borderId="3" applyAlignment="1">
      <alignment horizontal="center" vertical="center" wrapText="1"/>
    </xf>
  </cellStyleXfs>
  <cellXfs count="59">
    <xf numFmtId="0" fontId="0" fillId="0" borderId="0" pivotButton="0" quotePrefix="0" xfId="0"/>
    <xf numFmtId="0" fontId="1" fillId="2" borderId="1" applyAlignment="1" pivotButton="0" quotePrefix="0" xfId="1">
      <alignment horizontal="left" vertical="center" indent="2"/>
    </xf>
    <xf numFmtId="0" fontId="2" fillId="2" borderId="1" applyAlignment="1" pivotButton="0" quotePrefix="0" xfId="2">
      <alignment horizontal="left" vertical="center" indent="2"/>
    </xf>
    <xf numFmtId="0" fontId="0" fillId="7" borderId="0" pivotButton="0" quotePrefix="0" xfId="0"/>
    <xf numFmtId="0" fontId="7" fillId="3" borderId="2" applyAlignment="1" pivotButton="0" quotePrefix="0" xfId="8">
      <alignment horizontal="center" vertical="center"/>
    </xf>
    <xf numFmtId="0" fontId="0" fillId="0" borderId="2" pivotButton="0" quotePrefix="0" xfId="0"/>
    <xf numFmtId="0" fontId="8" fillId="3" borderId="2" applyAlignment="1" pivotButton="0" quotePrefix="0" xfId="9">
      <alignment horizontal="center" vertical="center"/>
    </xf>
    <xf numFmtId="164" fontId="8" fillId="3" borderId="2" applyAlignment="1" pivotButton="0" quotePrefix="0" xfId="10">
      <alignment horizontal="center" vertical="center"/>
    </xf>
    <xf numFmtId="9" fontId="8" fillId="3" borderId="2" applyAlignment="1" pivotButton="0" quotePrefix="0" xfId="11">
      <alignment horizontal="center" vertical="center"/>
    </xf>
    <xf numFmtId="0" fontId="4" fillId="0" borderId="1" applyAlignment="1" pivotButton="0" quotePrefix="0" xfId="4">
      <alignment horizontal="left" vertical="center"/>
    </xf>
    <xf numFmtId="0" fontId="16" fillId="2" borderId="2" applyAlignment="1" pivotButton="0" quotePrefix="0" xfId="0">
      <alignment horizontal="center" vertical="center"/>
    </xf>
    <xf numFmtId="0" fontId="10" fillId="2" borderId="1" applyAlignment="1" pivotButton="0" quotePrefix="0" xfId="15">
      <alignment horizontal="center" vertical="center"/>
    </xf>
    <xf numFmtId="0" fontId="3" fillId="0" borderId="1" applyAlignment="1" pivotButton="0" quotePrefix="0" xfId="3">
      <alignment horizontal="left" vertical="center"/>
    </xf>
    <xf numFmtId="0" fontId="7" fillId="5" borderId="2" applyAlignment="1" pivotButton="0" quotePrefix="0" xfId="13">
      <alignment horizontal="left" vertical="center" indent="1"/>
    </xf>
    <xf numFmtId="0" fontId="6" fillId="0" borderId="2" applyAlignment="1" pivotButton="0" quotePrefix="0" xfId="14">
      <alignment horizontal="left" vertical="center" indent="1"/>
    </xf>
    <xf numFmtId="164" fontId="6" fillId="0" borderId="2" applyAlignment="1" pivotButton="0" quotePrefix="0" xfId="14">
      <alignment horizontal="left" vertical="center" indent="1"/>
    </xf>
    <xf numFmtId="0" fontId="5" fillId="2" borderId="2" applyAlignment="1" pivotButton="0" quotePrefix="0" xfId="5">
      <alignment horizontal="center" vertical="center" wrapText="1"/>
    </xf>
    <xf numFmtId="0" fontId="6" fillId="3" borderId="2" applyAlignment="1" pivotButton="0" quotePrefix="0" xfId="6">
      <alignment horizontal="center" vertical="center" wrapText="1"/>
    </xf>
    <xf numFmtId="0" fontId="6" fillId="3" borderId="2" applyAlignment="1" pivotButton="0" quotePrefix="0" xfId="7">
      <alignment horizontal="left" vertical="center" wrapText="1" indent="1"/>
    </xf>
    <xf numFmtId="166" fontId="6" fillId="3" borderId="2" applyAlignment="1" pivotButton="0" quotePrefix="0" xfId="6">
      <alignment horizontal="center" vertical="center" wrapText="1"/>
    </xf>
    <xf numFmtId="0" fontId="6" fillId="8" borderId="2" applyAlignment="1" pivotButton="0" quotePrefix="0" xfId="6">
      <alignment horizontal="center" vertical="center" wrapText="1"/>
    </xf>
    <xf numFmtId="0" fontId="6" fillId="8" borderId="2" applyAlignment="1" pivotButton="0" quotePrefix="0" xfId="7">
      <alignment horizontal="left" vertical="center" wrapText="1" indent="1"/>
    </xf>
    <xf numFmtId="166" fontId="6" fillId="8" borderId="2" applyAlignment="1" pivotButton="0" quotePrefix="0" xfId="6">
      <alignment horizontal="center" vertical="center" wrapText="1"/>
    </xf>
    <xf numFmtId="0" fontId="6" fillId="0" borderId="2" applyAlignment="1" pivotButton="0" quotePrefix="0" xfId="7">
      <alignment horizontal="left" vertical="center" wrapText="1" indent="1"/>
    </xf>
    <xf numFmtId="164" fontId="9" fillId="4" borderId="2" applyAlignment="1" pivotButton="0" quotePrefix="0" xfId="12">
      <alignment horizontal="center" vertical="center"/>
    </xf>
    <xf numFmtId="164" fontId="6" fillId="0" borderId="2" applyAlignment="1" pivotButton="0" quotePrefix="0" xfId="6">
      <alignment horizontal="center" vertical="center" wrapText="1"/>
    </xf>
    <xf numFmtId="164" fontId="12" fillId="0" borderId="2" applyAlignment="1" pivotButton="0" quotePrefix="0" xfId="14">
      <alignment horizontal="left" vertical="center" indent="1"/>
    </xf>
    <xf numFmtId="164" fontId="9" fillId="8" borderId="2" applyAlignment="1" pivotButton="0" quotePrefix="0" xfId="12">
      <alignment horizontal="center" vertical="center"/>
    </xf>
    <xf numFmtId="164" fontId="6" fillId="8" borderId="2" applyAlignment="1" pivotButton="0" quotePrefix="0" xfId="6">
      <alignment horizontal="center" vertical="center" wrapText="1"/>
    </xf>
    <xf numFmtId="9" fontId="12" fillId="0" borderId="2" applyAlignment="1" pivotButton="0" quotePrefix="0" xfId="14">
      <alignment horizontal="left" vertical="center" indent="1"/>
    </xf>
    <xf numFmtId="167" fontId="12" fillId="0" borderId="2" applyAlignment="1" pivotButton="0" quotePrefix="0" xfId="14">
      <alignment horizontal="left" vertical="center" indent="1"/>
    </xf>
    <xf numFmtId="164" fontId="12" fillId="4" borderId="2" applyAlignment="1" pivotButton="0" quotePrefix="0" xfId="6">
      <alignment horizontal="center" vertical="center" wrapText="1"/>
    </xf>
    <xf numFmtId="168" fontId="6" fillId="3" borderId="2" applyAlignment="1" pivotButton="0" quotePrefix="0" xfId="6">
      <alignment horizontal="center" vertical="center" wrapText="1"/>
    </xf>
    <xf numFmtId="169" fontId="6" fillId="3" borderId="2" applyAlignment="1" pivotButton="0" quotePrefix="0" xfId="6">
      <alignment horizontal="center" vertical="center" wrapText="1"/>
    </xf>
    <xf numFmtId="168" fontId="6" fillId="8" borderId="2" applyAlignment="1" pivotButton="0" quotePrefix="0" xfId="6">
      <alignment horizontal="center" vertical="center" wrapText="1"/>
    </xf>
    <xf numFmtId="169" fontId="6" fillId="8" borderId="2" applyAlignment="1" pivotButton="0" quotePrefix="0" xfId="6">
      <alignment horizontal="center" vertical="center" wrapText="1"/>
    </xf>
    <xf numFmtId="1" fontId="9" fillId="4" borderId="2" applyAlignment="1" pivotButton="0" quotePrefix="0" xfId="12">
      <alignment horizontal="center" vertical="center"/>
    </xf>
    <xf numFmtId="167" fontId="9" fillId="4" borderId="2" applyAlignment="1" pivotButton="0" quotePrefix="0" xfId="12">
      <alignment horizontal="center" vertical="center"/>
    </xf>
    <xf numFmtId="9" fontId="6" fillId="0" borderId="2" applyAlignment="1" pivotButton="0" quotePrefix="0" xfId="6">
      <alignment horizontal="center" vertical="center" wrapText="1"/>
    </xf>
    <xf numFmtId="9" fontId="6" fillId="8" borderId="2" applyAlignment="1" pivotButton="0" quotePrefix="0" xfId="6">
      <alignment horizontal="center" vertical="center" wrapText="1"/>
    </xf>
    <xf numFmtId="1" fontId="6" fillId="3" borderId="2" applyAlignment="1" pivotButton="0" quotePrefix="0" xfId="6">
      <alignment horizontal="center" vertical="center" wrapText="1"/>
    </xf>
    <xf numFmtId="1" fontId="6" fillId="8" borderId="2" applyAlignment="1" pivotButton="0" quotePrefix="0" xfId="6">
      <alignment horizontal="center" vertical="center" wrapText="1"/>
    </xf>
    <xf numFmtId="170" fontId="6" fillId="3" borderId="2" applyAlignment="1" pivotButton="0" quotePrefix="0" xfId="6">
      <alignment horizontal="center" vertical="center" wrapText="1"/>
    </xf>
    <xf numFmtId="170" fontId="6" fillId="8" borderId="2" applyAlignment="1" pivotButton="0" quotePrefix="0" xfId="6">
      <alignment horizontal="center" vertical="center" wrapText="1"/>
    </xf>
    <xf numFmtId="1" fontId="6" fillId="0" borderId="2" applyAlignment="1" pivotButton="0" quotePrefix="0" xfId="6">
      <alignment horizontal="center" vertical="center" wrapText="1"/>
    </xf>
    <xf numFmtId="9" fontId="9" fillId="4" borderId="2" applyAlignment="1" pivotButton="0" quotePrefix="0" xfId="12">
      <alignment horizontal="center" vertical="center"/>
    </xf>
    <xf numFmtId="1" fontId="12" fillId="0" borderId="2" applyAlignment="1" pivotButton="0" quotePrefix="0" xfId="14">
      <alignment horizontal="left" vertical="center" indent="1"/>
    </xf>
    <xf numFmtId="0" fontId="11" fillId="6" borderId="3" applyAlignment="1" pivotButton="0" quotePrefix="0" xfId="16">
      <alignment horizontal="center" vertical="center" wrapText="1"/>
    </xf>
    <xf numFmtId="0" fontId="0" fillId="6" borderId="0" pivotButton="0" quotePrefix="0" xfId="0"/>
    <xf numFmtId="0" fontId="13" fillId="0" borderId="2" applyAlignment="1" pivotButton="0" quotePrefix="0" xfId="6">
      <alignment horizontal="center" vertical="center" wrapText="1"/>
    </xf>
    <xf numFmtId="0" fontId="13" fillId="8" borderId="2" applyAlignment="1" pivotButton="0" quotePrefix="0" xfId="6">
      <alignment horizontal="center" vertical="center" wrapText="1"/>
    </xf>
    <xf numFmtId="0" fontId="14" fillId="2" borderId="2" applyAlignment="1" pivotButton="0" quotePrefix="0" xfId="6">
      <alignment horizontal="center" vertical="center" wrapText="1"/>
    </xf>
    <xf numFmtId="0" fontId="12" fillId="9" borderId="2" applyAlignment="1" pivotButton="0" quotePrefix="0" xfId="6">
      <alignment horizontal="center" vertical="center" wrapText="1"/>
    </xf>
    <xf numFmtId="0" fontId="12" fillId="9" borderId="2" applyAlignment="1" pivotButton="0" quotePrefix="0" xfId="7">
      <alignment horizontal="left" vertical="center" wrapText="1" indent="1"/>
    </xf>
    <xf numFmtId="9" fontId="15" fillId="10" borderId="1" applyAlignment="1" pivotButton="0" quotePrefix="0" xfId="11">
      <alignment horizontal="center" vertical="center"/>
    </xf>
    <xf numFmtId="0" fontId="6" fillId="0" borderId="2" applyAlignment="1" pivotButton="0" quotePrefix="0" xfId="6">
      <alignment horizontal="center" vertical="center" wrapText="1"/>
    </xf>
    <xf numFmtId="0" fontId="7" fillId="3" borderId="1" applyAlignment="1" pivotButton="0" quotePrefix="0" xfId="8">
      <alignment horizontal="center" vertical="center"/>
    </xf>
    <xf numFmtId="166" fontId="9" fillId="4" borderId="2" applyAlignment="1" pivotButton="0" quotePrefix="0" xfId="12">
      <alignment horizontal="center" vertical="center"/>
    </xf>
    <xf numFmtId="10" fontId="9" fillId="4" borderId="2" applyAlignment="1" pivotButton="0" quotePrefix="0" xfId="12">
      <alignment horizontal="center" vertical="center"/>
    </xf>
  </cellXfs>
  <cellStyles count="17">
    <cellStyle name="Normal" xfId="0" builtinId="0" hidden="0"/>
    <cellStyle name="title" xfId="1" hidden="0"/>
    <cellStyle name="subtitle" xfId="2" hidden="0"/>
    <cellStyle name="section" xfId="3" hidden="0"/>
    <cellStyle name="section_gold" xfId="4" hidden="0"/>
    <cellStyle name="th" xfId="5" hidden="0"/>
    <cellStyle name="td" xfId="6" hidden="0"/>
    <cellStyle name="td_left" xfId="7" hidden="0"/>
    <cellStyle name="kpi_label" xfId="8" hidden="0"/>
    <cellStyle name="kpi_value" xfId="9" hidden="0"/>
    <cellStyle name="kpi_money" xfId="10" hidden="0"/>
    <cellStyle name="kpi_pct" xfId="11" hidden="0"/>
    <cellStyle name="input" xfId="12" hidden="0"/>
    <cellStyle name="field_label" xfId="13" hidden="0"/>
    <cellStyle name="field_value" xfId="14" hidden="0"/>
    <cellStyle name="monogram" xfId="15" hidden="0"/>
    <cellStyle name="image_ph" xfId="16" hidden="0"/>
  </cellStyles>
  <dxfs count="4">
    <dxf>
      <fill>
        <patternFill patternType="solid">
          <fgColor rgb="00E3F8EF"/>
        </patternFill>
      </fill>
    </dxf>
    <dxf>
      <fill>
        <patternFill patternType="solid">
          <fgColor rgb="00FBE6E6"/>
        </patternFill>
      </fill>
    </dxf>
    <dxf>
      <fill>
        <patternFill patternType="solid">
          <fgColor rgb="00FBF0E2"/>
        </patternFill>
      </fill>
    </dxf>
    <dxf>
      <fill>
        <patternFill patternType="solid">
          <fgColor rgb="00F6EF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Budget Breakdown</a:t>
            </a:r>
          </a:p>
        </rich>
      </tx>
    </title>
    <plotArea>
      <doughnutChart>
        <varyColors val="1"/>
        <ser>
          <idx val="0"/>
          <order val="0"/>
          <tx>
            <strRef>
              <f>'Budget'!C4</f>
            </strRef>
          </tx>
          <spPr>
            <a:ln>
              <a:prstDash val="solid"/>
            </a:ln>
          </spPr>
          <cat>
            <numRef>
              <f>'Budget'!$A$5:$A$25</f>
            </numRef>
          </cat>
          <val>
            <numRef>
              <f>'Budget'!$C$5:$C$25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Budget vs Actual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'Budget'!B4</f>
            </strRef>
          </tx>
          <spPr>
            <a:ln>
              <a:prstDash val="solid"/>
            </a:ln>
          </spPr>
          <cat>
            <numRef>
              <f>'Budget'!$A$5:$A$25</f>
            </numRef>
          </cat>
          <val>
            <numRef>
              <f>'Budget'!$B$5:$B$25</f>
            </numRef>
          </val>
        </ser>
        <ser>
          <idx val="1"/>
          <order val="1"/>
          <tx>
            <strRef>
              <f>'Budget'!C4</f>
            </strRef>
          </tx>
          <spPr>
            <a:ln>
              <a:prstDash val="solid"/>
            </a:ln>
          </spPr>
          <cat>
            <numRef>
              <f>'Budget'!$A$5:$A$25</f>
            </numRef>
          </cat>
          <val>
            <numRef>
              <f>'Budget'!$C$5:$C$25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RSVP Progress</a:t>
            </a:r>
          </a:p>
        </rich>
      </tx>
    </title>
    <plotArea>
      <doughnutChart>
        <varyColors val="1"/>
        <ser>
          <idx val="0"/>
          <order val="0"/>
          <tx>
            <strRef>
              <f>'RSVP'!C15</f>
            </strRef>
          </tx>
          <spPr>
            <a:ln>
              <a:prstDash val="solid"/>
            </a:ln>
          </spPr>
          <cat>
            <numRef>
              <f>'RSVP'!$B$16:$B$18</f>
            </numRef>
          </cat>
          <val>
            <numRef>
              <f>'RSVP'!$C$16:$C$18</f>
            </numRef>
          </val>
        </ser>
        <dLbls>
          <showVal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Readiness by Dimension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'Analytics'!C6</f>
            </strRef>
          </tx>
          <spPr>
            <a:ln>
              <a:prstDash val="solid"/>
            </a:ln>
          </spPr>
          <cat>
            <numRef>
              <f>'Analytics'!$B$7:$B$12</f>
            </numRef>
          </cat>
          <val>
            <numRef>
              <f>'Analytics'!$C$7:$C$12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Category Spending</a:t>
            </a:r>
          </a:p>
        </rich>
      </tx>
    </title>
    <plotArea>
      <doughnutChart>
        <varyColors val="1"/>
        <ser>
          <idx val="0"/>
          <order val="0"/>
          <tx>
            <strRef>
              <f>'Budget'!C4</f>
            </strRef>
          </tx>
          <spPr>
            <a:ln>
              <a:prstDash val="solid"/>
            </a:ln>
          </spPr>
          <cat>
            <numRef>
              <f>'Budget'!$A$5:$A$25</f>
            </numRef>
          </cat>
          <val>
            <numRef>
              <f>'Budget'!$C$5:$C$25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Budget vs Actual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'Budget'!B4</f>
            </strRef>
          </tx>
          <spPr>
            <a:ln>
              <a:prstDash val="solid"/>
            </a:ln>
          </spPr>
          <cat>
            <numRef>
              <f>'Budget'!$A$5:$A$25</f>
            </numRef>
          </cat>
          <val>
            <numRef>
              <f>'Budget'!$B$5:$B$25</f>
            </numRef>
          </val>
        </ser>
        <ser>
          <idx val="1"/>
          <order val="1"/>
          <tx>
            <strRef>
              <f>'Budget'!C4</f>
            </strRef>
          </tx>
          <spPr>
            <a:ln>
              <a:prstDash val="solid"/>
            </a:ln>
          </spPr>
          <cat>
            <numRef>
              <f>'Budget'!$A$5:$A$25</f>
            </numRef>
          </cat>
          <val>
            <numRef>
              <f>'Budget'!$C$5:$C$25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Savings Progress to Goal</a:t>
            </a:r>
          </a:p>
        </rich>
      </tx>
    </title>
    <plotArea>
      <lineChart>
        <grouping val="standard"/>
        <ser>
          <idx val="0"/>
          <order val="0"/>
          <tx>
            <strRef>
              <f>'Savings'!E14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'Savings'!$B$15:$B$26</f>
            </numRef>
          </cat>
          <val>
            <numRef>
              <f>'Savings'!$E$15:$E$26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RSVP Progress</a:t>
            </a:r>
          </a:p>
        </rich>
      </tx>
    </title>
    <plotArea>
      <doughnutChart>
        <varyColors val="1"/>
        <ser>
          <idx val="0"/>
          <order val="0"/>
          <tx>
            <strRef>
              <f>'RSVP'!C15</f>
            </strRef>
          </tx>
          <spPr>
            <a:ln>
              <a:prstDash val="solid"/>
            </a:ln>
          </spPr>
          <cat>
            <numRef>
              <f>'RSVP'!$B$16:$B$18</f>
            </numRef>
          </cat>
          <val>
            <numRef>
              <f>'RSVP'!$C$16:$C$18</f>
            </numRef>
          </val>
        </ser>
        <dLbls>
          <showVal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Meal Selections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'RSVP'!F6</f>
            </strRef>
          </tx>
          <spPr>
            <a:ln>
              <a:prstDash val="solid"/>
            </a:ln>
          </spPr>
          <cat>
            <numRef>
              <f>'RSVP'!$E$7:$E$13</f>
            </numRef>
          </cat>
          <val>
            <numRef>
              <f>'RSVP'!$F$7:$F$13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Health by Dimension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'Analytics'!C6</f>
            </strRef>
          </tx>
          <spPr>
            <a:ln>
              <a:prstDash val="solid"/>
            </a:ln>
          </spPr>
          <cat>
            <numRef>
              <f>'Analytics'!$B$7:$B$12</f>
            </numRef>
          </cat>
          <val>
            <numRef>
              <f>'Analytics'!$C$7:$C$12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14</row>
      <rowOff>0</rowOff>
    </from>
    <ext cx="432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14</row>
      <rowOff>0</rowOff>
    </from>
    <ext cx="43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34</row>
      <rowOff>0</rowOff>
    </from>
    <ext cx="4320000" cy="30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34</row>
      <rowOff>0</rowOff>
    </from>
    <ext cx="4320000" cy="30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27</row>
      <rowOff>0</rowOff>
    </from>
    <ext cx="50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46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13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19</row>
      <rowOff>0</rowOff>
    </from>
    <ext cx="43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11</row>
      <rowOff>0</rowOff>
    </from>
    <ext cx="50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tabColor rgb="001B4F48"/>
    <outlinePr summaryBelow="1" summaryRight="1"/>
    <pageSetUpPr/>
  </sheetPr>
  <dimension ref="A1:L5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2" customWidth="1" min="12" max="12"/>
  </cols>
  <sheetData>
    <row r="1" ht="60" customHeight="1">
      <c r="A1" s="1" t="inlineStr">
        <is>
          <t xml:space="preserve">  💍  WEDDING COMMAND CENTER</t>
        </is>
      </c>
    </row>
    <row r="2" ht="24" customHeight="1">
      <c r="A2" s="2" t="inlineStr">
        <is>
          <t xml:space="preserve">  Alexandra &amp; James  ·  A complete wedding operating system — plan every detail in one elegant place.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5" ht="22" customHeight="1">
      <c r="B5" s="4" t="inlineStr">
        <is>
          <t>⏳ Days Until Wedding</t>
        </is>
      </c>
      <c r="C5" s="5" t="n"/>
      <c r="D5" s="4" t="inlineStr">
        <is>
          <t>💰 Budget Remaining</t>
        </is>
      </c>
      <c r="E5" s="5" t="n"/>
      <c r="F5" s="4" t="inlineStr">
        <is>
          <t>💳 Budget Spent</t>
        </is>
      </c>
      <c r="G5" s="5" t="n"/>
      <c r="H5" s="4" t="inlineStr">
        <is>
          <t>📋 Planning Complete</t>
        </is>
      </c>
      <c r="I5" s="5" t="n"/>
      <c r="J5" s="4" t="inlineStr">
        <is>
          <t>✉ RSVP Complete</t>
        </is>
      </c>
      <c r="K5" s="5" t="n"/>
    </row>
    <row r="6" ht="54" customHeight="1">
      <c r="B6" s="6">
        <f>MAX(WeddingDate-TODAY(),0)</f>
        <v/>
      </c>
      <c r="C6" s="5" t="n"/>
      <c r="D6" s="7">
        <f>TotalBudget-BudTotalPaid</f>
        <v/>
      </c>
      <c r="E6" s="5" t="n"/>
      <c r="F6" s="7">
        <f>BudTotalActual</f>
        <v/>
      </c>
      <c r="G6" s="5" t="n"/>
      <c r="H6" s="8">
        <f>IFERROR(COUNTIF(ChkDone,"Yes")/MAX(COUNTA(ChkTask),1),0)</f>
        <v/>
      </c>
      <c r="I6" s="5" t="n"/>
      <c r="J6" s="8">
        <f>IFERROR((COUNTIF(GuestRsvp,"Accepted")+COUNTIF(GuestRsvp,"Declined"))/MAX(COUNTA(GuestName),1),0)</f>
        <v/>
      </c>
      <c r="K6" s="5" t="n"/>
    </row>
    <row r="8" ht="22" customHeight="1">
      <c r="B8" s="4" t="inlineStr">
        <is>
          <t>🤝 Vendors Booked</t>
        </is>
      </c>
      <c r="C8" s="5" t="n"/>
      <c r="D8" s="4" t="inlineStr">
        <is>
          <t>⏰ Payments Outstanding</t>
        </is>
      </c>
      <c r="E8" s="5" t="n"/>
      <c r="F8" s="4" t="inlineStr">
        <is>
          <t>👥 Guest Count (accepted)</t>
        </is>
      </c>
      <c r="G8" s="5" t="n"/>
      <c r="H8" s="4" t="inlineStr">
        <is>
          <t>🪑 Tables Filled</t>
        </is>
      </c>
      <c r="I8" s="5" t="n"/>
      <c r="J8" s="4" t="inlineStr">
        <is>
          <t>🔔 Tasks Due This Week</t>
        </is>
      </c>
      <c r="K8" s="5" t="n"/>
    </row>
    <row r="9" ht="54" customHeight="1">
      <c r="B9" s="6">
        <f>COUNTIF(VenContract,"Signed")</f>
        <v/>
      </c>
      <c r="C9" s="5" t="n"/>
      <c r="D9" s="7">
        <f>SUMPRODUCT((PayPaid&lt;&gt;"Yes")*IFERROR(PayBalance,0))</f>
        <v/>
      </c>
      <c r="E9" s="5" t="n"/>
      <c r="F9" s="6">
        <f>SUMPRODUCT((GuestRsvp="Accepted")*IFERROR(GuestSeats,0))</f>
        <v/>
      </c>
      <c r="G9" s="5" t="n"/>
      <c r="H9" s="6">
        <f>ROUNDUP(SUMPRODUCT((GuestRsvp="Accepted")*IFERROR(GuestSeats,0))/MAX(SeatsPerTable,1),0)&amp;" / "&amp;NumTables</f>
        <v/>
      </c>
      <c r="I9" s="5" t="n"/>
      <c r="J9" s="6">
        <f>SUMPRODUCT((ChkDue&lt;&gt;"")*(ChkDue-TODAY()&gt;=0)*(ChkDue-TODAY()&lt;=7)*(ChkDone&lt;&gt;"Yes"))</f>
        <v/>
      </c>
      <c r="K9" s="5" t="n"/>
    </row>
    <row r="11" ht="26" customHeight="1">
      <c r="B11" s="9" t="inlineStr">
        <is>
          <t>QUICK NAVIGATION</t>
        </is>
      </c>
    </row>
    <row r="12" ht="28" customHeight="1">
      <c r="B12" s="10" t="inlineStr">
        <is>
          <t>Budget</t>
        </is>
      </c>
      <c r="C12" s="10" t="inlineStr">
        <is>
          <t>Guests</t>
        </is>
      </c>
      <c r="D12" s="10" t="inlineStr">
        <is>
          <t>Vendors</t>
        </is>
      </c>
      <c r="E12" s="10" t="inlineStr">
        <is>
          <t>Timeline</t>
        </is>
      </c>
      <c r="F12" s="10" t="inlineStr">
        <is>
          <t>Seating</t>
        </is>
      </c>
      <c r="G12" s="10" t="inlineStr">
        <is>
          <t>Vision</t>
        </is>
      </c>
      <c r="H12" s="10" t="inlineStr">
        <is>
          <t>Payments</t>
        </is>
      </c>
      <c r="I12" s="10" t="inlineStr">
        <is>
          <t>Contracts</t>
        </is>
      </c>
      <c r="J12" s="10" t="inlineStr">
        <is>
          <t>Checklist</t>
        </is>
      </c>
      <c r="K12" s="10" t="inlineStr">
        <is>
          <t>Day</t>
        </is>
      </c>
    </row>
    <row r="14" ht="26" customHeight="1">
      <c r="B14" s="9" t="inlineStr">
        <is>
          <t>ANALYTICS</t>
        </is>
      </c>
    </row>
    <row r="56" ht="26" customHeight="1">
      <c r="B56" s="2" t="inlineStr">
        <is>
          <t>Wedding Command Center v1.0  ·  Edit Settings → Wedding Date · Budget · Guests  ·  Hyperlink nav chips to each sheet in Excel/Sheets</t>
        </is>
      </c>
    </row>
  </sheetData>
  <mergeCells count="25">
    <mergeCell ref="J5:K5"/>
    <mergeCell ref="F6:G6"/>
    <mergeCell ref="H9:I9"/>
    <mergeCell ref="J9:K9"/>
    <mergeCell ref="D6:E6"/>
    <mergeCell ref="A2:L2"/>
    <mergeCell ref="H6:I6"/>
    <mergeCell ref="J6:K6"/>
    <mergeCell ref="F5:G5"/>
    <mergeCell ref="B8:C8"/>
    <mergeCell ref="F8:G8"/>
    <mergeCell ref="B56:K56"/>
    <mergeCell ref="B9:C9"/>
    <mergeCell ref="D9:E9"/>
    <mergeCell ref="B11:K11"/>
    <mergeCell ref="F9:G9"/>
    <mergeCell ref="D8:E8"/>
    <mergeCell ref="B6:C6"/>
    <mergeCell ref="B14:K14"/>
    <mergeCell ref="B5:C5"/>
    <mergeCell ref="A1:L1"/>
    <mergeCell ref="D5:E5"/>
    <mergeCell ref="H5:I5"/>
    <mergeCell ref="H8:I8"/>
    <mergeCell ref="J8:K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937356"/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30" customWidth="1" min="3" max="3"/>
    <col width="6" customWidth="1" min="4" max="4"/>
    <col width="26" customWidth="1" min="5" max="5"/>
    <col width="30" customWidth="1" min="6" max="6"/>
    <col width="2" customWidth="1" min="7" max="7"/>
  </cols>
  <sheetData>
    <row r="1" ht="46" customHeight="1">
      <c r="A1" s="1" t="inlineStr">
        <is>
          <t xml:space="preserve">  💍  COUPLE PROFILE</t>
        </is>
      </c>
    </row>
    <row r="2" ht="22" customHeight="1">
      <c r="A2" s="2" t="inlineStr">
        <is>
          <t xml:space="preserve">  The heart of your celebration.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 ht="70" customHeight="1">
      <c r="B5" s="11" t="inlineStr">
        <is>
          <t>A  &amp;  J</t>
        </is>
      </c>
      <c r="E5" s="12" t="inlineStr">
        <is>
          <t>Alexandra  &amp;  James</t>
        </is>
      </c>
    </row>
    <row r="6">
      <c r="E6" s="9" t="inlineStr">
        <is>
          <t>“Forever starts here.”</t>
        </is>
      </c>
    </row>
    <row r="8">
      <c r="B8" s="12" t="inlineStr">
        <is>
          <t>WEDDING DETAILS</t>
        </is>
      </c>
    </row>
    <row r="9" ht="26" customHeight="1">
      <c r="B9" s="13" t="inlineStr">
        <is>
          <t>Bride</t>
        </is>
      </c>
      <c r="C9" s="14" t="inlineStr">
        <is>
          <t>Alexandra Rose Bennett</t>
        </is>
      </c>
      <c r="E9" s="13" t="inlineStr">
        <is>
          <t>Groom</t>
        </is>
      </c>
      <c r="F9" s="14" t="inlineStr">
        <is>
          <t>James Michael Carter</t>
        </is>
      </c>
    </row>
    <row r="10" ht="26" customHeight="1">
      <c r="B10" s="13" t="inlineStr">
        <is>
          <t>Wedding Date</t>
        </is>
      </c>
      <c r="C10" s="14">
        <f>TEXT(WeddingDate,"dddd, mmmm d, yyyy")</f>
        <v/>
      </c>
      <c r="E10" s="13" t="inlineStr">
        <is>
          <t>Wedding Style</t>
        </is>
      </c>
      <c r="F10" s="14" t="inlineStr">
        <is>
          <t>Garden Glam</t>
        </is>
      </c>
    </row>
    <row r="11" ht="26" customHeight="1">
      <c r="B11" s="13" t="inlineStr">
        <is>
          <t>Venue</t>
        </is>
      </c>
      <c r="C11" s="14" t="inlineStr">
        <is>
          <t>The Hartwell Estate</t>
        </is>
      </c>
      <c r="E11" s="13" t="inlineStr">
        <is>
          <t>Color Palette</t>
        </is>
      </c>
      <c r="F11" s="14" t="inlineStr">
        <is>
          <t>Emerald · Gold · Ivory</t>
        </is>
      </c>
    </row>
    <row r="12" ht="26" customHeight="1">
      <c r="B12" s="13" t="inlineStr">
        <is>
          <t>Theme</t>
        </is>
      </c>
      <c r="C12" s="14" t="inlineStr">
        <is>
          <t>Enchanted Garden</t>
        </is>
      </c>
      <c r="E12" s="13" t="inlineStr">
        <is>
          <t>Estimated Guests</t>
        </is>
      </c>
      <c r="F12" s="14">
        <f>EstGuests</f>
        <v/>
      </c>
    </row>
    <row r="13" ht="26" customHeight="1">
      <c r="B13" s="13" t="inlineStr">
        <is>
          <t>Ceremony Time</t>
        </is>
      </c>
      <c r="C13" s="14" t="inlineStr">
        <is>
          <t>4:30 PM</t>
        </is>
      </c>
      <c r="E13" s="13" t="inlineStr">
        <is>
          <t>Reception Time</t>
        </is>
      </c>
      <c r="F13" s="14" t="inlineStr">
        <is>
          <t>6:00 PM</t>
        </is>
      </c>
    </row>
    <row r="14" ht="26" customHeight="1">
      <c r="B14" s="13" t="inlineStr">
        <is>
          <t>Total Budget</t>
        </is>
      </c>
      <c r="C14" s="15">
        <f>TotalBudget</f>
        <v/>
      </c>
      <c r="E14" s="13" t="inlineStr">
        <is>
          <t>Days Until</t>
        </is>
      </c>
      <c r="F14" s="14">
        <f>MAX(WeddingDate-TODAY(),0)&amp;" days"</f>
        <v/>
      </c>
    </row>
    <row r="16">
      <c r="B16" s="9" t="inlineStr">
        <is>
          <t>PLANNER &amp; KEY CONTACTS</t>
        </is>
      </c>
    </row>
    <row r="17" ht="26" customHeight="1">
      <c r="B17" s="13" t="inlineStr">
        <is>
          <t>Wedding Planner</t>
        </is>
      </c>
      <c r="C17" s="14" t="inlineStr">
        <is>
          <t>Sophia Lane — Lane &amp; Co. Events</t>
        </is>
      </c>
      <c r="E17" s="13" t="inlineStr">
        <is>
          <t>Planner Phone</t>
        </is>
      </c>
      <c r="F17" s="14" t="inlineStr">
        <is>
          <t>(555) 200-8841</t>
        </is>
      </c>
    </row>
    <row r="18" ht="26" customHeight="1">
      <c r="B18" s="13" t="inlineStr">
        <is>
          <t>Day-of Coordinator</t>
        </is>
      </c>
      <c r="C18" s="14" t="inlineStr">
        <is>
          <t>Marcus Reed</t>
        </is>
      </c>
      <c r="E18" s="13" t="inlineStr">
        <is>
          <t>Coordinator Phone</t>
        </is>
      </c>
      <c r="F18" s="14" t="inlineStr">
        <is>
          <t>(555) 200-2299</t>
        </is>
      </c>
    </row>
    <row r="19" ht="26" customHeight="1">
      <c r="B19" s="13" t="inlineStr">
        <is>
          <t>Maid of Honor</t>
        </is>
      </c>
      <c r="C19" s="14" t="inlineStr">
        <is>
          <t>Emily Bennett</t>
        </is>
      </c>
      <c r="E19" s="13" t="inlineStr">
        <is>
          <t>Best Man</t>
        </is>
      </c>
      <c r="F19" s="14" t="inlineStr">
        <is>
          <t>Daniel Carter</t>
        </is>
      </c>
    </row>
    <row r="20" ht="26" customHeight="1">
      <c r="B20" s="13" t="inlineStr">
        <is>
          <t>Emergency Contact</t>
        </is>
      </c>
      <c r="C20" s="14" t="inlineStr">
        <is>
          <t>Mom — Linda Bennett</t>
        </is>
      </c>
      <c r="E20" s="13" t="inlineStr">
        <is>
          <t>Emergency Phone</t>
        </is>
      </c>
      <c r="F20" s="14" t="inlineStr">
        <is>
          <t>(555) 412-7833</t>
        </is>
      </c>
    </row>
  </sheetData>
  <mergeCells count="7">
    <mergeCell ref="B16:G16"/>
    <mergeCell ref="E6:F6"/>
    <mergeCell ref="A1:G1"/>
    <mergeCell ref="B5:C6"/>
    <mergeCell ref="B8:G8"/>
    <mergeCell ref="E5:F5"/>
    <mergeCell ref="A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5E6C1"/>
    <outlinePr summaryBelow="1" summaryRight="1"/>
    <pageSetUpPr/>
  </sheetPr>
  <dimension ref="A1:G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14" customWidth="1" min="4" max="4"/>
    <col width="16" customWidth="1" min="5" max="5"/>
    <col width="14" customWidth="1" min="6" max="6"/>
    <col width="28" customWidth="1" min="7" max="7"/>
  </cols>
  <sheetData>
    <row r="1" ht="46" customHeight="1">
      <c r="A1" s="1" t="inlineStr">
        <is>
          <t xml:space="preserve">  🗓  MASTER WEDDING TIMELINE</t>
        </is>
      </c>
    </row>
    <row r="2" ht="22" customHeight="1">
      <c r="A2" s="2" t="inlineStr">
        <is>
          <t xml:space="preserve">  18-month plan — auto-anchored to your wedding date.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16" t="inlineStr">
        <is>
          <t>Phase</t>
        </is>
      </c>
      <c r="B4" s="16" t="inlineStr">
        <is>
          <t>Milestone Task</t>
        </is>
      </c>
      <c r="C4" s="16" t="inlineStr">
        <is>
          <t>Owner</t>
        </is>
      </c>
      <c r="D4" s="16" t="inlineStr">
        <is>
          <t>Target Date</t>
        </is>
      </c>
      <c r="E4" s="16" t="inlineStr">
        <is>
          <t>Status</t>
        </is>
      </c>
      <c r="F4" s="16" t="inlineStr">
        <is>
          <t>Done</t>
        </is>
      </c>
      <c r="G4" s="16" t="inlineStr">
        <is>
          <t>Notes</t>
        </is>
      </c>
    </row>
    <row r="5">
      <c r="A5" s="17" t="inlineStr">
        <is>
          <t>18 Months</t>
        </is>
      </c>
      <c r="B5" s="18" t="inlineStr">
        <is>
          <t>Set the date &amp; overall vision</t>
        </is>
      </c>
      <c r="C5" s="17" t="inlineStr">
        <is>
          <t>Couple</t>
        </is>
      </c>
      <c r="D5" s="19">
        <f>WeddingDate-540</f>
        <v/>
      </c>
      <c r="E5" s="17">
        <f>IF(B5="","",IF(F5="Yes","Complete",IF(D5&lt;TODAY(),"Overdue","In Progress")))</f>
        <v/>
      </c>
      <c r="F5" s="17" t="inlineStr">
        <is>
          <t>No</t>
        </is>
      </c>
      <c r="G5" s="18" t="n"/>
    </row>
    <row r="6">
      <c r="A6" s="20" t="inlineStr">
        <is>
          <t>18 Months</t>
        </is>
      </c>
      <c r="B6" s="21" t="inlineStr">
        <is>
          <t>Determine total budget</t>
        </is>
      </c>
      <c r="C6" s="20" t="inlineStr">
        <is>
          <t>Couple</t>
        </is>
      </c>
      <c r="D6" s="22">
        <f>WeddingDate-540</f>
        <v/>
      </c>
      <c r="E6" s="20">
        <f>IF(B6="","",IF(F6="Yes","Complete",IF(D6&lt;TODAY(),"Overdue","In Progress")))</f>
        <v/>
      </c>
      <c r="F6" s="20" t="inlineStr">
        <is>
          <t>No</t>
        </is>
      </c>
      <c r="G6" s="21" t="n"/>
    </row>
    <row r="7">
      <c r="A7" s="17" t="inlineStr">
        <is>
          <t>18 Months</t>
        </is>
      </c>
      <c r="B7" s="18" t="inlineStr">
        <is>
          <t>Draft preliminary guest list</t>
        </is>
      </c>
      <c r="C7" s="17" t="inlineStr">
        <is>
          <t>Couple</t>
        </is>
      </c>
      <c r="D7" s="19">
        <f>WeddingDate-540</f>
        <v/>
      </c>
      <c r="E7" s="17">
        <f>IF(B7="","",IF(F7="Yes","Complete",IF(D7&lt;TODAY(),"Overdue","In Progress")))</f>
        <v/>
      </c>
      <c r="F7" s="17" t="inlineStr">
        <is>
          <t>No</t>
        </is>
      </c>
      <c r="G7" s="18" t="n"/>
    </row>
    <row r="8">
      <c r="A8" s="20" t="inlineStr">
        <is>
          <t>12 Months</t>
        </is>
      </c>
      <c r="B8" s="21" t="inlineStr">
        <is>
          <t>Book ceremony &amp; reception venue</t>
        </is>
      </c>
      <c r="C8" s="20" t="inlineStr">
        <is>
          <t>Couple</t>
        </is>
      </c>
      <c r="D8" s="22">
        <f>WeddingDate-360</f>
        <v/>
      </c>
      <c r="E8" s="20">
        <f>IF(B8="","",IF(F8="Yes","Complete",IF(D8&lt;TODAY(),"Overdue","In Progress")))</f>
        <v/>
      </c>
      <c r="F8" s="20" t="inlineStr">
        <is>
          <t>No</t>
        </is>
      </c>
      <c r="G8" s="21" t="n"/>
    </row>
    <row r="9">
      <c r="A9" s="17" t="inlineStr">
        <is>
          <t>12 Months</t>
        </is>
      </c>
      <c r="B9" s="18" t="inlineStr">
        <is>
          <t>Hire wedding planner</t>
        </is>
      </c>
      <c r="C9" s="17" t="inlineStr">
        <is>
          <t>Couple</t>
        </is>
      </c>
      <c r="D9" s="19">
        <f>WeddingDate-360</f>
        <v/>
      </c>
      <c r="E9" s="17">
        <f>IF(B9="","",IF(F9="Yes","Complete",IF(D9&lt;TODAY(),"Overdue","In Progress")))</f>
        <v/>
      </c>
      <c r="F9" s="17" t="inlineStr">
        <is>
          <t>No</t>
        </is>
      </c>
      <c r="G9" s="18" t="n"/>
    </row>
    <row r="10">
      <c r="A10" s="20" t="inlineStr">
        <is>
          <t>12 Months</t>
        </is>
      </c>
      <c r="B10" s="21" t="inlineStr">
        <is>
          <t>Book photographer &amp; videographer</t>
        </is>
      </c>
      <c r="C10" s="20" t="inlineStr">
        <is>
          <t>Couple</t>
        </is>
      </c>
      <c r="D10" s="22">
        <f>WeddingDate-360</f>
        <v/>
      </c>
      <c r="E10" s="20">
        <f>IF(B10="","",IF(F10="Yes","Complete",IF(D10&lt;TODAY(),"Overdue","In Progress")))</f>
        <v/>
      </c>
      <c r="F10" s="20" t="inlineStr">
        <is>
          <t>No</t>
        </is>
      </c>
      <c r="G10" s="21" t="n"/>
    </row>
    <row r="11">
      <c r="A11" s="17" t="inlineStr">
        <is>
          <t>9 Months</t>
        </is>
      </c>
      <c r="B11" s="18" t="inlineStr">
        <is>
          <t>Choose wedding party</t>
        </is>
      </c>
      <c r="C11" s="17" t="inlineStr">
        <is>
          <t>Couple</t>
        </is>
      </c>
      <c r="D11" s="19">
        <f>WeddingDate-270</f>
        <v/>
      </c>
      <c r="E11" s="17">
        <f>IF(B11="","",IF(F11="Yes","Complete",IF(D11&lt;TODAY(),"Overdue","In Progress")))</f>
        <v/>
      </c>
      <c r="F11" s="17" t="inlineStr">
        <is>
          <t>No</t>
        </is>
      </c>
      <c r="G11" s="18" t="n"/>
    </row>
    <row r="12">
      <c r="A12" s="20" t="inlineStr">
        <is>
          <t>9 Months</t>
        </is>
      </c>
      <c r="B12" s="21" t="inlineStr">
        <is>
          <t>Order wedding dress</t>
        </is>
      </c>
      <c r="C12" s="20" t="inlineStr">
        <is>
          <t>Bride</t>
        </is>
      </c>
      <c r="D12" s="22">
        <f>WeddingDate-270</f>
        <v/>
      </c>
      <c r="E12" s="20">
        <f>IF(B12="","",IF(F12="Yes","Complete",IF(D12&lt;TODAY(),"Overdue","In Progress")))</f>
        <v/>
      </c>
      <c r="F12" s="20" t="inlineStr">
        <is>
          <t>No</t>
        </is>
      </c>
      <c r="G12" s="21" t="n"/>
    </row>
    <row r="13">
      <c r="A13" s="17" t="inlineStr">
        <is>
          <t>9 Months</t>
        </is>
      </c>
      <c r="B13" s="18" t="inlineStr">
        <is>
          <t>Book caterer &amp; florist</t>
        </is>
      </c>
      <c r="C13" s="17" t="inlineStr">
        <is>
          <t>Planner</t>
        </is>
      </c>
      <c r="D13" s="19">
        <f>WeddingDate-270</f>
        <v/>
      </c>
      <c r="E13" s="17">
        <f>IF(B13="","",IF(F13="Yes","Complete",IF(D13&lt;TODAY(),"Overdue","In Progress")))</f>
        <v/>
      </c>
      <c r="F13" s="17" t="inlineStr">
        <is>
          <t>No</t>
        </is>
      </c>
      <c r="G13" s="18" t="n"/>
    </row>
    <row r="14">
      <c r="A14" s="20" t="inlineStr">
        <is>
          <t>6 Months</t>
        </is>
      </c>
      <c r="B14" s="21" t="inlineStr">
        <is>
          <t>Send save-the-dates</t>
        </is>
      </c>
      <c r="C14" s="20" t="inlineStr">
        <is>
          <t>Couple</t>
        </is>
      </c>
      <c r="D14" s="22">
        <f>WeddingDate-180</f>
        <v/>
      </c>
      <c r="E14" s="20">
        <f>IF(B14="","",IF(F14="Yes","Complete",IF(D14&lt;TODAY(),"Overdue","In Progress")))</f>
        <v/>
      </c>
      <c r="F14" s="20" t="inlineStr">
        <is>
          <t>No</t>
        </is>
      </c>
      <c r="G14" s="21" t="n"/>
    </row>
    <row r="15">
      <c r="A15" s="17" t="inlineStr">
        <is>
          <t>6 Months</t>
        </is>
      </c>
      <c r="B15" s="18" t="inlineStr">
        <is>
          <t>Book entertainment / DJ / band</t>
        </is>
      </c>
      <c r="C15" s="17" t="inlineStr">
        <is>
          <t>Planner</t>
        </is>
      </c>
      <c r="D15" s="19">
        <f>WeddingDate-180</f>
        <v/>
      </c>
      <c r="E15" s="17">
        <f>IF(B15="","",IF(F15="Yes","Complete",IF(D15&lt;TODAY(),"Overdue","In Progress")))</f>
        <v/>
      </c>
      <c r="F15" s="17" t="inlineStr">
        <is>
          <t>No</t>
        </is>
      </c>
      <c r="G15" s="18" t="n"/>
    </row>
    <row r="16">
      <c r="A16" s="20" t="inlineStr">
        <is>
          <t>6 Months</t>
        </is>
      </c>
      <c r="B16" s="21" t="inlineStr">
        <is>
          <t>Reserve room block &amp; transportation</t>
        </is>
      </c>
      <c r="C16" s="20" t="inlineStr">
        <is>
          <t>Couple</t>
        </is>
      </c>
      <c r="D16" s="22">
        <f>WeddingDate-180</f>
        <v/>
      </c>
      <c r="E16" s="20">
        <f>IF(B16="","",IF(F16="Yes","Complete",IF(D16&lt;TODAY(),"Overdue","In Progress")))</f>
        <v/>
      </c>
      <c r="F16" s="20" t="inlineStr">
        <is>
          <t>No</t>
        </is>
      </c>
      <c r="G16" s="21" t="n"/>
    </row>
    <row r="17">
      <c r="A17" s="17" t="inlineStr">
        <is>
          <t>3 Months</t>
        </is>
      </c>
      <c r="B17" s="18" t="inlineStr">
        <is>
          <t>Order invitations</t>
        </is>
      </c>
      <c r="C17" s="17" t="inlineStr">
        <is>
          <t>Bride</t>
        </is>
      </c>
      <c r="D17" s="19">
        <f>WeddingDate-90</f>
        <v/>
      </c>
      <c r="E17" s="17">
        <f>IF(B17="","",IF(F17="Yes","Complete",IF(D17&lt;TODAY(),"Overdue","In Progress")))</f>
        <v/>
      </c>
      <c r="F17" s="17" t="inlineStr">
        <is>
          <t>No</t>
        </is>
      </c>
      <c r="G17" s="18" t="n"/>
    </row>
    <row r="18">
      <c r="A18" s="20" t="inlineStr">
        <is>
          <t>3 Months</t>
        </is>
      </c>
      <c r="B18" s="21" t="inlineStr">
        <is>
          <t>Finalize menu &amp; cake tasting</t>
        </is>
      </c>
      <c r="C18" s="20" t="inlineStr">
        <is>
          <t>Couple</t>
        </is>
      </c>
      <c r="D18" s="22">
        <f>WeddingDate-90</f>
        <v/>
      </c>
      <c r="E18" s="20">
        <f>IF(B18="","",IF(F18="Yes","Complete",IF(D18&lt;TODAY(),"Overdue","In Progress")))</f>
        <v/>
      </c>
      <c r="F18" s="20" t="inlineStr">
        <is>
          <t>No</t>
        </is>
      </c>
      <c r="G18" s="21" t="n"/>
    </row>
    <row r="19">
      <c r="A19" s="17" t="inlineStr">
        <is>
          <t>3 Months</t>
        </is>
      </c>
      <c r="B19" s="18" t="inlineStr">
        <is>
          <t>Purchase wedding bands</t>
        </is>
      </c>
      <c r="C19" s="17" t="inlineStr">
        <is>
          <t>Couple</t>
        </is>
      </c>
      <c r="D19" s="19">
        <f>WeddingDate-90</f>
        <v/>
      </c>
      <c r="E19" s="17">
        <f>IF(B19="","",IF(F19="Yes","Complete",IF(D19&lt;TODAY(),"Overdue","In Progress")))</f>
        <v/>
      </c>
      <c r="F19" s="17" t="inlineStr">
        <is>
          <t>No</t>
        </is>
      </c>
      <c r="G19" s="18" t="n"/>
    </row>
    <row r="20">
      <c r="A20" s="20" t="inlineStr">
        <is>
          <t>1 Month</t>
        </is>
      </c>
      <c r="B20" s="21" t="inlineStr">
        <is>
          <t>Mail invitations / track RSVPs</t>
        </is>
      </c>
      <c r="C20" s="20" t="inlineStr">
        <is>
          <t>Couple</t>
        </is>
      </c>
      <c r="D20" s="22">
        <f>WeddingDate-30</f>
        <v/>
      </c>
      <c r="E20" s="20">
        <f>IF(B20="","",IF(F20="Yes","Complete",IF(D20&lt;TODAY(),"Overdue","In Progress")))</f>
        <v/>
      </c>
      <c r="F20" s="20" t="inlineStr">
        <is>
          <t>No</t>
        </is>
      </c>
      <c r="G20" s="21" t="n"/>
    </row>
    <row r="21">
      <c r="A21" s="17" t="inlineStr">
        <is>
          <t>1 Month</t>
        </is>
      </c>
      <c r="B21" s="18" t="inlineStr">
        <is>
          <t>Final dress fitting</t>
        </is>
      </c>
      <c r="C21" s="17" t="inlineStr">
        <is>
          <t>Bride</t>
        </is>
      </c>
      <c r="D21" s="19">
        <f>WeddingDate-30</f>
        <v/>
      </c>
      <c r="E21" s="17">
        <f>IF(B21="","",IF(F21="Yes","Complete",IF(D21&lt;TODAY(),"Overdue","In Progress")))</f>
        <v/>
      </c>
      <c r="F21" s="17" t="inlineStr">
        <is>
          <t>No</t>
        </is>
      </c>
      <c r="G21" s="18" t="n"/>
    </row>
    <row r="22">
      <c r="A22" s="20" t="inlineStr">
        <is>
          <t>1 Month</t>
        </is>
      </c>
      <c r="B22" s="21" t="inlineStr">
        <is>
          <t>Confirm all vendor details</t>
        </is>
      </c>
      <c r="C22" s="20" t="inlineStr">
        <is>
          <t>Planner</t>
        </is>
      </c>
      <c r="D22" s="22">
        <f>WeddingDate-30</f>
        <v/>
      </c>
      <c r="E22" s="20">
        <f>IF(B22="","",IF(F22="Yes","Complete",IF(D22&lt;TODAY(),"Overdue","In Progress")))</f>
        <v/>
      </c>
      <c r="F22" s="20" t="inlineStr">
        <is>
          <t>No</t>
        </is>
      </c>
      <c r="G22" s="21" t="n"/>
    </row>
    <row r="23">
      <c r="A23" s="17" t="inlineStr">
        <is>
          <t>2 Weeks</t>
        </is>
      </c>
      <c r="B23" s="18" t="inlineStr">
        <is>
          <t>Finalize seating chart</t>
        </is>
      </c>
      <c r="C23" s="17" t="inlineStr">
        <is>
          <t>Couple</t>
        </is>
      </c>
      <c r="D23" s="19">
        <f>WeddingDate-15</f>
        <v/>
      </c>
      <c r="E23" s="17">
        <f>IF(B23="","",IF(F23="Yes","Complete",IF(D23&lt;TODAY(),"Overdue","In Progress")))</f>
        <v/>
      </c>
      <c r="F23" s="17" t="inlineStr">
        <is>
          <t>No</t>
        </is>
      </c>
      <c r="G23" s="18" t="n"/>
    </row>
    <row r="24">
      <c r="A24" s="20" t="inlineStr">
        <is>
          <t>2 Weeks</t>
        </is>
      </c>
      <c r="B24" s="21" t="inlineStr">
        <is>
          <t>Confirm final headcount with caterer</t>
        </is>
      </c>
      <c r="C24" s="20" t="inlineStr">
        <is>
          <t>Planner</t>
        </is>
      </c>
      <c r="D24" s="22">
        <f>WeddingDate-15</f>
        <v/>
      </c>
      <c r="E24" s="20">
        <f>IF(B24="","",IF(F24="Yes","Complete",IF(D24&lt;TODAY(),"Overdue","In Progress")))</f>
        <v/>
      </c>
      <c r="F24" s="20" t="inlineStr">
        <is>
          <t>No</t>
        </is>
      </c>
      <c r="G24" s="21" t="n"/>
    </row>
    <row r="25">
      <c r="A25" s="17" t="inlineStr">
        <is>
          <t>Wedding Week</t>
        </is>
      </c>
      <c r="B25" s="18" t="inlineStr">
        <is>
          <t>Pick up attire &amp; rings</t>
        </is>
      </c>
      <c r="C25" s="17" t="inlineStr">
        <is>
          <t>Couple</t>
        </is>
      </c>
      <c r="D25" s="19">
        <f>WeddingDate-6</f>
        <v/>
      </c>
      <c r="E25" s="17">
        <f>IF(B25="","",IF(F25="Yes","Complete",IF(D25&lt;TODAY(),"Overdue","In Progress")))</f>
        <v/>
      </c>
      <c r="F25" s="17" t="inlineStr">
        <is>
          <t>No</t>
        </is>
      </c>
      <c r="G25" s="18" t="n"/>
    </row>
    <row r="26">
      <c r="A26" s="20" t="inlineStr">
        <is>
          <t>Wedding Week</t>
        </is>
      </c>
      <c r="B26" s="21" t="inlineStr">
        <is>
          <t>Rehearsal &amp; rehearsal dinner</t>
        </is>
      </c>
      <c r="C26" s="20" t="inlineStr">
        <is>
          <t>Couple</t>
        </is>
      </c>
      <c r="D26" s="22">
        <f>WeddingDate-6</f>
        <v/>
      </c>
      <c r="E26" s="20">
        <f>IF(B26="","",IF(F26="Yes","Complete",IF(D26&lt;TODAY(),"Overdue","In Progress")))</f>
        <v/>
      </c>
      <c r="F26" s="20" t="inlineStr">
        <is>
          <t>No</t>
        </is>
      </c>
      <c r="G26" s="21" t="n"/>
    </row>
    <row r="27">
      <c r="A27" s="17" t="inlineStr">
        <is>
          <t>Wedding Day</t>
        </is>
      </c>
      <c r="B27" s="18" t="inlineStr">
        <is>
          <t>Execute day-of timeline</t>
        </is>
      </c>
      <c r="C27" s="17" t="inlineStr">
        <is>
          <t>Coordinator</t>
        </is>
      </c>
      <c r="D27" s="19">
        <f>WeddingDate-0</f>
        <v/>
      </c>
      <c r="E27" s="17">
        <f>IF(B27="","",IF(F27="Yes","Complete",IF(D27&lt;TODAY(),"Overdue","In Progress")))</f>
        <v/>
      </c>
      <c r="F27" s="17" t="inlineStr">
        <is>
          <t>No</t>
        </is>
      </c>
      <c r="G27" s="18" t="n"/>
    </row>
    <row r="28">
      <c r="A28" s="20" t="inlineStr">
        <is>
          <t>Post Wedding</t>
        </is>
      </c>
      <c r="B28" s="21" t="inlineStr">
        <is>
          <t>Send thank-you cards</t>
        </is>
      </c>
      <c r="C28" s="20" t="inlineStr">
        <is>
          <t>Couple</t>
        </is>
      </c>
      <c r="D28" s="22">
        <f>WeddingDate--30</f>
        <v/>
      </c>
      <c r="E28" s="20">
        <f>IF(B28="","",IF(F28="Yes","Complete",IF(D28&lt;TODAY(),"Overdue","In Progress")))</f>
        <v/>
      </c>
      <c r="F28" s="20" t="inlineStr">
        <is>
          <t>No</t>
        </is>
      </c>
      <c r="G28" s="21" t="n"/>
    </row>
    <row r="29">
      <c r="A29" s="17" t="inlineStr">
        <is>
          <t>Post Wedding</t>
        </is>
      </c>
      <c r="B29" s="18" t="inlineStr">
        <is>
          <t>Review &amp; tip vendors</t>
        </is>
      </c>
      <c r="C29" s="17" t="inlineStr">
        <is>
          <t>Couple</t>
        </is>
      </c>
      <c r="D29" s="19">
        <f>WeddingDate--30</f>
        <v/>
      </c>
      <c r="E29" s="17">
        <f>IF(B29="","",IF(F29="Yes","Complete",IF(D29&lt;TODAY(),"Overdue","In Progress")))</f>
        <v/>
      </c>
      <c r="F29" s="17" t="inlineStr">
        <is>
          <t>No</t>
        </is>
      </c>
      <c r="G29" s="18" t="n"/>
    </row>
    <row r="30">
      <c r="A30" s="20" t="n"/>
      <c r="B30" s="21" t="n"/>
      <c r="C30" s="20" t="n"/>
      <c r="D30" s="22" t="n"/>
      <c r="E30" s="20">
        <f>IF(B30="","",IF(F30="Yes","Complete",IF(D30&lt;TODAY(),"Overdue","In Progress")))</f>
        <v/>
      </c>
      <c r="F30" s="20" t="n"/>
      <c r="G30" s="21" t="n"/>
    </row>
    <row r="31">
      <c r="A31" s="17" t="n"/>
      <c r="B31" s="18" t="n"/>
      <c r="C31" s="17" t="n"/>
      <c r="D31" s="19" t="n"/>
      <c r="E31" s="17">
        <f>IF(B31="","",IF(F31="Yes","Complete",IF(D31&lt;TODAY(),"Overdue","In Progress")))</f>
        <v/>
      </c>
      <c r="F31" s="17" t="n"/>
      <c r="G31" s="18" t="n"/>
    </row>
    <row r="32">
      <c r="A32" s="20" t="n"/>
      <c r="B32" s="21" t="n"/>
      <c r="C32" s="20" t="n"/>
      <c r="D32" s="22" t="n"/>
      <c r="E32" s="20">
        <f>IF(B32="","",IF(F32="Yes","Complete",IF(D32&lt;TODAY(),"Overdue","In Progress")))</f>
        <v/>
      </c>
      <c r="F32" s="20" t="n"/>
      <c r="G32" s="21" t="n"/>
    </row>
    <row r="33">
      <c r="A33" s="17" t="n"/>
      <c r="B33" s="18" t="n"/>
      <c r="C33" s="17" t="n"/>
      <c r="D33" s="19" t="n"/>
      <c r="E33" s="17">
        <f>IF(B33="","",IF(F33="Yes","Complete",IF(D33&lt;TODAY(),"Overdue","In Progress")))</f>
        <v/>
      </c>
      <c r="F33" s="17" t="n"/>
      <c r="G33" s="18" t="n"/>
    </row>
    <row r="34">
      <c r="A34" s="20" t="n"/>
      <c r="B34" s="21" t="n"/>
      <c r="C34" s="20" t="n"/>
      <c r="D34" s="22" t="n"/>
      <c r="E34" s="20">
        <f>IF(B34="","",IF(F34="Yes","Complete",IF(D34&lt;TODAY(),"Overdue","In Progress")))</f>
        <v/>
      </c>
      <c r="F34" s="20" t="n"/>
      <c r="G34" s="21" t="n"/>
    </row>
    <row r="35">
      <c r="A35" s="17" t="n"/>
      <c r="B35" s="18" t="n"/>
      <c r="C35" s="17" t="n"/>
      <c r="D35" s="19" t="n"/>
      <c r="E35" s="17">
        <f>IF(B35="","",IF(F35="Yes","Complete",IF(D35&lt;TODAY(),"Overdue","In Progress")))</f>
        <v/>
      </c>
      <c r="F35" s="17" t="n"/>
      <c r="G35" s="18" t="n"/>
    </row>
    <row r="36">
      <c r="A36" s="20" t="n"/>
      <c r="B36" s="21" t="n"/>
      <c r="C36" s="20" t="n"/>
      <c r="D36" s="22" t="n"/>
      <c r="E36" s="20">
        <f>IF(B36="","",IF(F36="Yes","Complete",IF(D36&lt;TODAY(),"Overdue","In Progress")))</f>
        <v/>
      </c>
      <c r="F36" s="20" t="n"/>
      <c r="G36" s="21" t="n"/>
    </row>
    <row r="37">
      <c r="A37" s="17" t="n"/>
      <c r="B37" s="18" t="n"/>
      <c r="C37" s="17" t="n"/>
      <c r="D37" s="19" t="n"/>
      <c r="E37" s="17">
        <f>IF(B37="","",IF(F37="Yes","Complete",IF(D37&lt;TODAY(),"Overdue","In Progress")))</f>
        <v/>
      </c>
      <c r="F37" s="17" t="n"/>
      <c r="G37" s="18" t="n"/>
    </row>
    <row r="38">
      <c r="A38" s="20" t="n"/>
      <c r="B38" s="21" t="n"/>
      <c r="C38" s="20" t="n"/>
      <c r="D38" s="22" t="n"/>
      <c r="E38" s="20">
        <f>IF(B38="","",IF(F38="Yes","Complete",IF(D38&lt;TODAY(),"Overdue","In Progress")))</f>
        <v/>
      </c>
      <c r="F38" s="20" t="n"/>
      <c r="G38" s="21" t="n"/>
    </row>
    <row r="39">
      <c r="A39" s="17" t="n"/>
      <c r="B39" s="18" t="n"/>
      <c r="C39" s="17" t="n"/>
      <c r="D39" s="19" t="n"/>
      <c r="E39" s="17">
        <f>IF(B39="","",IF(F39="Yes","Complete",IF(D39&lt;TODAY(),"Overdue","In Progress")))</f>
        <v/>
      </c>
      <c r="F39" s="17" t="n"/>
      <c r="G39" s="18" t="n"/>
    </row>
    <row r="40">
      <c r="A40" s="20" t="n"/>
      <c r="B40" s="21" t="n"/>
      <c r="C40" s="20" t="n"/>
      <c r="D40" s="22" t="n"/>
      <c r="E40" s="20">
        <f>IF(B40="","",IF(F40="Yes","Complete",IF(D40&lt;TODAY(),"Overdue","In Progress")))</f>
        <v/>
      </c>
      <c r="F40" s="20" t="n"/>
      <c r="G40" s="21" t="n"/>
    </row>
    <row r="41">
      <c r="A41" s="17" t="n"/>
      <c r="B41" s="18" t="n"/>
      <c r="C41" s="17" t="n"/>
      <c r="D41" s="19" t="n"/>
      <c r="E41" s="17">
        <f>IF(B41="","",IF(F41="Yes","Complete",IF(D41&lt;TODAY(),"Overdue","In Progress")))</f>
        <v/>
      </c>
      <c r="F41" s="17" t="n"/>
      <c r="G41" s="18" t="n"/>
    </row>
    <row r="42">
      <c r="A42" s="20" t="n"/>
      <c r="B42" s="21" t="n"/>
      <c r="C42" s="20" t="n"/>
      <c r="D42" s="22" t="n"/>
      <c r="E42" s="20">
        <f>IF(B42="","",IF(F42="Yes","Complete",IF(D42&lt;TODAY(),"Overdue","In Progress")))</f>
        <v/>
      </c>
      <c r="F42" s="20" t="n"/>
      <c r="G42" s="21" t="n"/>
    </row>
    <row r="43">
      <c r="A43" s="17" t="n"/>
      <c r="B43" s="18" t="n"/>
      <c r="C43" s="17" t="n"/>
      <c r="D43" s="19" t="n"/>
      <c r="E43" s="17">
        <f>IF(B43="","",IF(F43="Yes","Complete",IF(D43&lt;TODAY(),"Overdue","In Progress")))</f>
        <v/>
      </c>
      <c r="F43" s="17" t="n"/>
      <c r="G43" s="18" t="n"/>
    </row>
    <row r="44">
      <c r="A44" s="20" t="n"/>
      <c r="B44" s="21" t="n"/>
      <c r="C44" s="20" t="n"/>
      <c r="D44" s="22" t="n"/>
      <c r="E44" s="20">
        <f>IF(B44="","",IF(F44="Yes","Complete",IF(D44&lt;TODAY(),"Overdue","In Progress")))</f>
        <v/>
      </c>
      <c r="F44" s="20" t="n"/>
      <c r="G44" s="21" t="n"/>
    </row>
    <row r="45">
      <c r="A45" s="17" t="n"/>
      <c r="B45" s="18" t="n"/>
      <c r="C45" s="17" t="n"/>
      <c r="D45" s="19" t="n"/>
      <c r="E45" s="17">
        <f>IF(B45="","",IF(F45="Yes","Complete",IF(D45&lt;TODAY(),"Overdue","In Progress")))</f>
        <v/>
      </c>
      <c r="F45" s="17" t="n"/>
      <c r="G45" s="18" t="n"/>
    </row>
    <row r="46">
      <c r="A46" s="20" t="n"/>
      <c r="B46" s="21" t="n"/>
      <c r="C46" s="20" t="n"/>
      <c r="D46" s="22" t="n"/>
      <c r="E46" s="20">
        <f>IF(B46="","",IF(F46="Yes","Complete",IF(D46&lt;TODAY(),"Overdue","In Progress")))</f>
        <v/>
      </c>
      <c r="F46" s="20" t="n"/>
      <c r="G46" s="21" t="n"/>
    </row>
    <row r="47">
      <c r="A47" s="17" t="n"/>
      <c r="B47" s="18" t="n"/>
      <c r="C47" s="17" t="n"/>
      <c r="D47" s="19" t="n"/>
      <c r="E47" s="17">
        <f>IF(B47="","",IF(F47="Yes","Complete",IF(D47&lt;TODAY(),"Overdue","In Progress")))</f>
        <v/>
      </c>
      <c r="F47" s="17" t="n"/>
      <c r="G47" s="18" t="n"/>
    </row>
    <row r="48">
      <c r="A48" s="20" t="n"/>
      <c r="B48" s="21" t="n"/>
      <c r="C48" s="20" t="n"/>
      <c r="D48" s="22" t="n"/>
      <c r="E48" s="20">
        <f>IF(B48="","",IF(F48="Yes","Complete",IF(D48&lt;TODAY(),"Overdue","In Progress")))</f>
        <v/>
      </c>
      <c r="F48" s="20" t="n"/>
      <c r="G48" s="21" t="n"/>
    </row>
    <row r="49">
      <c r="A49" s="17" t="n"/>
      <c r="B49" s="18" t="n"/>
      <c r="C49" s="17" t="n"/>
      <c r="D49" s="19" t="n"/>
      <c r="E49" s="17">
        <f>IF(B49="","",IF(F49="Yes","Complete",IF(D49&lt;TODAY(),"Overdue","In Progress")))</f>
        <v/>
      </c>
      <c r="F49" s="17" t="n"/>
      <c r="G49" s="18" t="n"/>
    </row>
    <row r="50">
      <c r="A50" s="20" t="n"/>
      <c r="B50" s="21" t="n"/>
      <c r="C50" s="20" t="n"/>
      <c r="D50" s="22" t="n"/>
      <c r="E50" s="20">
        <f>IF(B50="","",IF(F50="Yes","Complete",IF(D50&lt;TODAY(),"Overdue","In Progress")))</f>
        <v/>
      </c>
      <c r="F50" s="20" t="n"/>
      <c r="G50" s="21" t="n"/>
    </row>
    <row r="51">
      <c r="A51" s="17" t="n"/>
      <c r="B51" s="18" t="n"/>
      <c r="C51" s="17" t="n"/>
      <c r="D51" s="19" t="n"/>
      <c r="E51" s="17">
        <f>IF(B51="","",IF(F51="Yes","Complete",IF(D51&lt;TODAY(),"Overdue","In Progress")))</f>
        <v/>
      </c>
      <c r="F51" s="17" t="n"/>
      <c r="G51" s="18" t="n"/>
    </row>
    <row r="52">
      <c r="A52" s="20" t="n"/>
      <c r="B52" s="21" t="n"/>
      <c r="C52" s="20" t="n"/>
      <c r="D52" s="22" t="n"/>
      <c r="E52" s="20">
        <f>IF(B52="","",IF(F52="Yes","Complete",IF(D52&lt;TODAY(),"Overdue","In Progress")))</f>
        <v/>
      </c>
      <c r="F52" s="20" t="n"/>
      <c r="G52" s="21" t="n"/>
    </row>
    <row r="53">
      <c r="A53" s="17" t="n"/>
      <c r="B53" s="18" t="n"/>
      <c r="C53" s="17" t="n"/>
      <c r="D53" s="19" t="n"/>
      <c r="E53" s="17">
        <f>IF(B53="","",IF(F53="Yes","Complete",IF(D53&lt;TODAY(),"Overdue","In Progress")))</f>
        <v/>
      </c>
      <c r="F53" s="17" t="n"/>
      <c r="G53" s="18" t="n"/>
    </row>
    <row r="54">
      <c r="A54" s="20" t="n"/>
      <c r="B54" s="21" t="n"/>
      <c r="C54" s="20" t="n"/>
      <c r="D54" s="22" t="n"/>
      <c r="E54" s="20">
        <f>IF(B54="","",IF(F54="Yes","Complete",IF(D54&lt;TODAY(),"Overdue","In Progress")))</f>
        <v/>
      </c>
      <c r="F54" s="20" t="n"/>
      <c r="G54" s="21" t="n"/>
    </row>
    <row r="55">
      <c r="A55" s="17" t="n"/>
      <c r="B55" s="18" t="n"/>
      <c r="C55" s="17" t="n"/>
      <c r="D55" s="19" t="n"/>
      <c r="E55" s="17">
        <f>IF(B55="","",IF(F55="Yes","Complete",IF(D55&lt;TODAY(),"Overdue","In Progress")))</f>
        <v/>
      </c>
      <c r="F55" s="17" t="n"/>
      <c r="G55" s="18" t="n"/>
    </row>
    <row r="56">
      <c r="A56" s="20" t="n"/>
      <c r="B56" s="21" t="n"/>
      <c r="C56" s="20" t="n"/>
      <c r="D56" s="22" t="n"/>
      <c r="E56" s="20">
        <f>IF(B56="","",IF(F56="Yes","Complete",IF(D56&lt;TODAY(),"Overdue","In Progress")))</f>
        <v/>
      </c>
      <c r="F56" s="20" t="n"/>
      <c r="G56" s="21" t="n"/>
    </row>
    <row r="57">
      <c r="A57" s="17" t="n"/>
      <c r="B57" s="18" t="n"/>
      <c r="C57" s="17" t="n"/>
      <c r="D57" s="19" t="n"/>
      <c r="E57" s="17">
        <f>IF(B57="","",IF(F57="Yes","Complete",IF(D57&lt;TODAY(),"Overdue","In Progress")))</f>
        <v/>
      </c>
      <c r="F57" s="17" t="n"/>
      <c r="G57" s="18" t="n"/>
    </row>
    <row r="58">
      <c r="A58" s="20" t="n"/>
      <c r="B58" s="21" t="n"/>
      <c r="C58" s="20" t="n"/>
      <c r="D58" s="22" t="n"/>
      <c r="E58" s="20">
        <f>IF(B58="","",IF(F58="Yes","Complete",IF(D58&lt;TODAY(),"Overdue","In Progress")))</f>
        <v/>
      </c>
      <c r="F58" s="20" t="n"/>
      <c r="G58" s="21" t="n"/>
    </row>
    <row r="59">
      <c r="A59" s="17" t="n"/>
      <c r="B59" s="18" t="n"/>
      <c r="C59" s="17" t="n"/>
      <c r="D59" s="19" t="n"/>
      <c r="E59" s="17">
        <f>IF(B59="","",IF(F59="Yes","Complete",IF(D59&lt;TODAY(),"Overdue","In Progress")))</f>
        <v/>
      </c>
      <c r="F59" s="17" t="n"/>
      <c r="G59" s="18" t="n"/>
    </row>
    <row r="60">
      <c r="A60" s="20" t="n"/>
      <c r="B60" s="21" t="n"/>
      <c r="C60" s="20" t="n"/>
      <c r="D60" s="22" t="n"/>
      <c r="E60" s="20">
        <f>IF(B60="","",IF(F60="Yes","Complete",IF(D60&lt;TODAY(),"Overdue","In Progress")))</f>
        <v/>
      </c>
      <c r="F60" s="20" t="n"/>
      <c r="G60" s="21" t="n"/>
    </row>
    <row r="61">
      <c r="A61" s="17" t="n"/>
      <c r="B61" s="18" t="n"/>
      <c r="C61" s="17" t="n"/>
      <c r="D61" s="19" t="n"/>
      <c r="E61" s="17">
        <f>IF(B61="","",IF(F61="Yes","Complete",IF(D61&lt;TODAY(),"Overdue","In Progress")))</f>
        <v/>
      </c>
      <c r="F61" s="17" t="n"/>
      <c r="G61" s="18" t="n"/>
    </row>
    <row r="62">
      <c r="A62" s="20" t="n"/>
      <c r="B62" s="21" t="n"/>
      <c r="C62" s="20" t="n"/>
      <c r="D62" s="22" t="n"/>
      <c r="E62" s="20">
        <f>IF(B62="","",IF(F62="Yes","Complete",IF(D62&lt;TODAY(),"Overdue","In Progress")))</f>
        <v/>
      </c>
      <c r="F62" s="20" t="n"/>
      <c r="G62" s="21" t="n"/>
    </row>
    <row r="63">
      <c r="A63" s="17" t="n"/>
      <c r="B63" s="18" t="n"/>
      <c r="C63" s="17" t="n"/>
      <c r="D63" s="19" t="n"/>
      <c r="E63" s="17">
        <f>IF(B63="","",IF(F63="Yes","Complete",IF(D63&lt;TODAY(),"Overdue","In Progress")))</f>
        <v/>
      </c>
      <c r="F63" s="17" t="n"/>
      <c r="G63" s="18" t="n"/>
    </row>
    <row r="64">
      <c r="A64" s="20" t="n"/>
      <c r="B64" s="21" t="n"/>
      <c r="C64" s="20" t="n"/>
      <c r="D64" s="22" t="n"/>
      <c r="E64" s="20">
        <f>IF(B64="","",IF(F64="Yes","Complete",IF(D64&lt;TODAY(),"Overdue","In Progress")))</f>
        <v/>
      </c>
      <c r="F64" s="20" t="n"/>
      <c r="G64" s="21" t="n"/>
    </row>
    <row r="65">
      <c r="A65" s="17" t="n"/>
      <c r="B65" s="18" t="n"/>
      <c r="C65" s="17" t="n"/>
      <c r="D65" s="19" t="n"/>
      <c r="E65" s="17">
        <f>IF(B65="","",IF(F65="Yes","Complete",IF(D65&lt;TODAY(),"Overdue","In Progress")))</f>
        <v/>
      </c>
      <c r="F65" s="17" t="n"/>
      <c r="G65" s="18" t="n"/>
    </row>
    <row r="66">
      <c r="A66" s="20" t="n"/>
      <c r="B66" s="21" t="n"/>
      <c r="C66" s="20" t="n"/>
      <c r="D66" s="22" t="n"/>
      <c r="E66" s="20">
        <f>IF(B66="","",IF(F66="Yes","Complete",IF(D66&lt;TODAY(),"Overdue","In Progress")))</f>
        <v/>
      </c>
      <c r="F66" s="20" t="n"/>
      <c r="G66" s="21" t="n"/>
    </row>
    <row r="67">
      <c r="A67" s="17" t="n"/>
      <c r="B67" s="18" t="n"/>
      <c r="C67" s="17" t="n"/>
      <c r="D67" s="19" t="n"/>
      <c r="E67" s="17">
        <f>IF(B67="","",IF(F67="Yes","Complete",IF(D67&lt;TODAY(),"Overdue","In Progress")))</f>
        <v/>
      </c>
      <c r="F67" s="17" t="n"/>
      <c r="G67" s="18" t="n"/>
    </row>
    <row r="68">
      <c r="A68" s="20" t="n"/>
      <c r="B68" s="21" t="n"/>
      <c r="C68" s="20" t="n"/>
      <c r="D68" s="22" t="n"/>
      <c r="E68" s="20">
        <f>IF(B68="","",IF(F68="Yes","Complete",IF(D68&lt;TODAY(),"Overdue","In Progress")))</f>
        <v/>
      </c>
      <c r="F68" s="20" t="n"/>
      <c r="G68" s="21" t="n"/>
    </row>
    <row r="69">
      <c r="A69" s="17" t="n"/>
      <c r="B69" s="18" t="n"/>
      <c r="C69" s="17" t="n"/>
      <c r="D69" s="19" t="n"/>
      <c r="E69" s="17">
        <f>IF(B69="","",IF(F69="Yes","Complete",IF(D69&lt;TODAY(),"Overdue","In Progress")))</f>
        <v/>
      </c>
      <c r="F69" s="17" t="n"/>
      <c r="G69" s="18" t="n"/>
    </row>
    <row r="70">
      <c r="A70" s="20" t="n"/>
      <c r="B70" s="21" t="n"/>
      <c r="C70" s="20" t="n"/>
      <c r="D70" s="22" t="n"/>
      <c r="E70" s="20">
        <f>IF(B70="","",IF(F70="Yes","Complete",IF(D70&lt;TODAY(),"Overdue","In Progress")))</f>
        <v/>
      </c>
      <c r="F70" s="20" t="n"/>
      <c r="G70" s="21" t="n"/>
    </row>
    <row r="71">
      <c r="A71" s="17" t="n"/>
      <c r="B71" s="18" t="n"/>
      <c r="C71" s="17" t="n"/>
      <c r="D71" s="19" t="n"/>
      <c r="E71" s="17">
        <f>IF(B71="","",IF(F71="Yes","Complete",IF(D71&lt;TODAY(),"Overdue","In Progress")))</f>
        <v/>
      </c>
      <c r="F71" s="17" t="n"/>
      <c r="G71" s="18" t="n"/>
    </row>
    <row r="72">
      <c r="A72" s="20" t="n"/>
      <c r="B72" s="21" t="n"/>
      <c r="C72" s="20" t="n"/>
      <c r="D72" s="22" t="n"/>
      <c r="E72" s="20">
        <f>IF(B72="","",IF(F72="Yes","Complete",IF(D72&lt;TODAY(),"Overdue","In Progress")))</f>
        <v/>
      </c>
      <c r="F72" s="20" t="n"/>
      <c r="G72" s="21" t="n"/>
    </row>
    <row r="73">
      <c r="A73" s="17" t="n"/>
      <c r="B73" s="18" t="n"/>
      <c r="C73" s="17" t="n"/>
      <c r="D73" s="19" t="n"/>
      <c r="E73" s="17">
        <f>IF(B73="","",IF(F73="Yes","Complete",IF(D73&lt;TODAY(),"Overdue","In Progress")))</f>
        <v/>
      </c>
      <c r="F73" s="17" t="n"/>
      <c r="G73" s="18" t="n"/>
    </row>
    <row r="74">
      <c r="A74" s="20" t="n"/>
      <c r="B74" s="21" t="n"/>
      <c r="C74" s="20" t="n"/>
      <c r="D74" s="22" t="n"/>
      <c r="E74" s="20">
        <f>IF(B74="","",IF(F74="Yes","Complete",IF(D74&lt;TODAY(),"Overdue","In Progress")))</f>
        <v/>
      </c>
      <c r="F74" s="20" t="n"/>
      <c r="G74" s="21" t="n"/>
    </row>
    <row r="75">
      <c r="A75" s="17" t="n"/>
      <c r="B75" s="18" t="n"/>
      <c r="C75" s="17" t="n"/>
      <c r="D75" s="19" t="n"/>
      <c r="E75" s="17">
        <f>IF(B75="","",IF(F75="Yes","Complete",IF(D75&lt;TODAY(),"Overdue","In Progress")))</f>
        <v/>
      </c>
      <c r="F75" s="17" t="n"/>
      <c r="G75" s="18" t="n"/>
    </row>
    <row r="76">
      <c r="A76" s="20" t="n"/>
      <c r="B76" s="21" t="n"/>
      <c r="C76" s="20" t="n"/>
      <c r="D76" s="22" t="n"/>
      <c r="E76" s="20">
        <f>IF(B76="","",IF(F76="Yes","Complete",IF(D76&lt;TODAY(),"Overdue","In Progress")))</f>
        <v/>
      </c>
      <c r="F76" s="20" t="n"/>
      <c r="G76" s="21" t="n"/>
    </row>
    <row r="77">
      <c r="A77" s="17" t="n"/>
      <c r="B77" s="18" t="n"/>
      <c r="C77" s="17" t="n"/>
      <c r="D77" s="19" t="n"/>
      <c r="E77" s="17">
        <f>IF(B77="","",IF(F77="Yes","Complete",IF(D77&lt;TODAY(),"Overdue","In Progress")))</f>
        <v/>
      </c>
      <c r="F77" s="17" t="n"/>
      <c r="G77" s="18" t="n"/>
    </row>
    <row r="78">
      <c r="A78" s="20" t="n"/>
      <c r="B78" s="21" t="n"/>
      <c r="C78" s="20" t="n"/>
      <c r="D78" s="22" t="n"/>
      <c r="E78" s="20">
        <f>IF(B78="","",IF(F78="Yes","Complete",IF(D78&lt;TODAY(),"Overdue","In Progress")))</f>
        <v/>
      </c>
      <c r="F78" s="20" t="n"/>
      <c r="G78" s="21" t="n"/>
    </row>
    <row r="79">
      <c r="A79" s="17" t="n"/>
      <c r="B79" s="18" t="n"/>
      <c r="C79" s="17" t="n"/>
      <c r="D79" s="19" t="n"/>
      <c r="E79" s="17">
        <f>IF(B79="","",IF(F79="Yes","Complete",IF(D79&lt;TODAY(),"Overdue","In Progress")))</f>
        <v/>
      </c>
      <c r="F79" s="17" t="n"/>
      <c r="G79" s="18" t="n"/>
    </row>
    <row r="80">
      <c r="A80" s="20" t="n"/>
      <c r="B80" s="21" t="n"/>
      <c r="C80" s="20" t="n"/>
      <c r="D80" s="22" t="n"/>
      <c r="E80" s="20">
        <f>IF(B80="","",IF(F80="Yes","Complete",IF(D80&lt;TODAY(),"Overdue","In Progress")))</f>
        <v/>
      </c>
      <c r="F80" s="20" t="n"/>
      <c r="G80" s="21" t="n"/>
    </row>
    <row r="81">
      <c r="A81" s="17" t="n"/>
      <c r="B81" s="18" t="n"/>
      <c r="C81" s="17" t="n"/>
      <c r="D81" s="19" t="n"/>
      <c r="E81" s="17">
        <f>IF(B81="","",IF(F81="Yes","Complete",IF(D81&lt;TODAY(),"Overdue","In Progress")))</f>
        <v/>
      </c>
      <c r="F81" s="17" t="n"/>
      <c r="G81" s="18" t="n"/>
    </row>
    <row r="82">
      <c r="A82" s="20" t="n"/>
      <c r="B82" s="21" t="n"/>
      <c r="C82" s="20" t="n"/>
      <c r="D82" s="22" t="n"/>
      <c r="E82" s="20">
        <f>IF(B82="","",IF(F82="Yes","Complete",IF(D82&lt;TODAY(),"Overdue","In Progress")))</f>
        <v/>
      </c>
      <c r="F82" s="20" t="n"/>
      <c r="G82" s="21" t="n"/>
    </row>
    <row r="83">
      <c r="A83" s="17" t="n"/>
      <c r="B83" s="18" t="n"/>
      <c r="C83" s="17" t="n"/>
      <c r="D83" s="19" t="n"/>
      <c r="E83" s="17">
        <f>IF(B83="","",IF(F83="Yes","Complete",IF(D83&lt;TODAY(),"Overdue","In Progress")))</f>
        <v/>
      </c>
      <c r="F83" s="17" t="n"/>
      <c r="G83" s="18" t="n"/>
    </row>
    <row r="84">
      <c r="A84" s="20" t="n"/>
      <c r="B84" s="21" t="n"/>
      <c r="C84" s="20" t="n"/>
      <c r="D84" s="22" t="n"/>
      <c r="E84" s="20">
        <f>IF(B84="","",IF(F84="Yes","Complete",IF(D84&lt;TODAY(),"Overdue","In Progress")))</f>
        <v/>
      </c>
      <c r="F84" s="20" t="n"/>
      <c r="G84" s="21" t="n"/>
    </row>
  </sheetData>
  <mergeCells count="2">
    <mergeCell ref="A2:G2"/>
    <mergeCell ref="A1:G1"/>
  </mergeCells>
  <conditionalFormatting sqref="A5:G84">
    <cfRule type="expression" priority="1" dxfId="0">
      <formula>$F5="Yes"</formula>
    </cfRule>
    <cfRule type="expression" priority="2" dxfId="1">
      <formula>AND($B5&lt;&gt;"",$D5&lt;TODAY(),$F5&lt;&gt;"Yes")</formula>
    </cfRule>
    <cfRule type="expression" priority="3" dxfId="2">
      <formula>AND($D5&lt;&gt;"",$D5-TODAY()&gt;=0,$D5-TODAY()&lt;=30,$F5&lt;&gt;"Yes")</formula>
    </cfRule>
  </conditionalFormatting>
  <dataValidations count="2">
    <dataValidation sqref="A5:A84" showDropDown="0" showInputMessage="0" showErrorMessage="0" allowBlank="1" type="list">
      <formula1>=PhaseList</formula1>
    </dataValidation>
    <dataValidation sqref="F5:F84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5D3BA"/>
    <outlinePr summaryBelow="1" summaryRight="1"/>
    <pageSetUpPr/>
  </sheetPr>
  <dimension ref="A1:H1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12" customWidth="1" min="4" max="4"/>
    <col width="14" customWidth="1" min="5" max="5"/>
    <col width="10" customWidth="1" min="6" max="6"/>
    <col width="16" customWidth="1" min="7" max="7"/>
    <col width="26" customWidth="1" min="8" max="8"/>
  </cols>
  <sheetData>
    <row r="1" ht="46" customHeight="1">
      <c r="A1" s="1" t="inlineStr">
        <is>
          <t xml:space="preserve">  ✅  MASTER CHECKLIST</t>
        </is>
      </c>
    </row>
    <row r="2" ht="22" customHeight="1">
      <c r="A2" s="2" t="inlineStr">
        <is>
          <t xml:space="preserve">  Every task in one place — completion auto-tallies to the dashboard.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16" t="inlineStr">
        <is>
          <t>Category</t>
        </is>
      </c>
      <c r="B4" s="16" t="inlineStr">
        <is>
          <t>Task</t>
        </is>
      </c>
      <c r="C4" s="16" t="inlineStr">
        <is>
          <t>Owner</t>
        </is>
      </c>
      <c r="D4" s="16" t="inlineStr">
        <is>
          <t>Priority</t>
        </is>
      </c>
      <c r="E4" s="16" t="inlineStr">
        <is>
          <t>Due Date</t>
        </is>
      </c>
      <c r="F4" s="16" t="inlineStr">
        <is>
          <t>Done</t>
        </is>
      </c>
      <c r="G4" s="16" t="inlineStr">
        <is>
          <t>Status</t>
        </is>
      </c>
      <c r="H4" s="16" t="inlineStr">
        <is>
          <t>Notes</t>
        </is>
      </c>
    </row>
    <row r="5">
      <c r="A5" s="17" t="inlineStr">
        <is>
          <t>Venue</t>
        </is>
      </c>
      <c r="B5" s="18" t="inlineStr">
        <is>
          <t>Sign venue contract</t>
        </is>
      </c>
      <c r="C5" s="17" t="inlineStr">
        <is>
          <t>Couple</t>
        </is>
      </c>
      <c r="D5" s="17" t="inlineStr">
        <is>
          <t>High</t>
        </is>
      </c>
      <c r="E5" s="19" t="n">
        <v>46142</v>
      </c>
      <c r="F5" s="17" t="inlineStr">
        <is>
          <t>Yes</t>
        </is>
      </c>
      <c r="G5" s="17">
        <f>IF(B5="","",IF(F5="Yes","Complete",IF(E5&lt;TODAY(),"Overdue","In Progress")))</f>
        <v/>
      </c>
      <c r="H5" s="18" t="n"/>
    </row>
    <row r="6">
      <c r="A6" s="20" t="inlineStr">
        <is>
          <t>Venue</t>
        </is>
      </c>
      <c r="B6" s="21" t="inlineStr">
        <is>
          <t>Confirm ceremony rehearsal slot</t>
        </is>
      </c>
      <c r="C6" s="20" t="inlineStr">
        <is>
          <t>Planner</t>
        </is>
      </c>
      <c r="D6" s="20" t="inlineStr">
        <is>
          <t>Medium</t>
        </is>
      </c>
      <c r="E6" s="22" t="n">
        <v>46232</v>
      </c>
      <c r="F6" s="20" t="inlineStr">
        <is>
          <t>No</t>
        </is>
      </c>
      <c r="G6" s="20">
        <f>IF(B6="","",IF(F6="Yes","Complete",IF(E6&lt;TODAY(),"Overdue","In Progress")))</f>
        <v/>
      </c>
      <c r="H6" s="21" t="n"/>
    </row>
    <row r="7">
      <c r="A7" s="17" t="inlineStr">
        <is>
          <t>Attire</t>
        </is>
      </c>
      <c r="B7" s="18" t="inlineStr">
        <is>
          <t>Final dress fitting</t>
        </is>
      </c>
      <c r="C7" s="17" t="inlineStr">
        <is>
          <t>Bride</t>
        </is>
      </c>
      <c r="D7" s="17" t="inlineStr">
        <is>
          <t>High</t>
        </is>
      </c>
      <c r="E7" s="19" t="n">
        <v>46247</v>
      </c>
      <c r="F7" s="17" t="inlineStr">
        <is>
          <t>No</t>
        </is>
      </c>
      <c r="G7" s="17">
        <f>IF(B7="","",IF(F7="Yes","Complete",IF(E7&lt;TODAY(),"Overdue","In Progress")))</f>
        <v/>
      </c>
      <c r="H7" s="18" t="n"/>
    </row>
    <row r="8">
      <c r="A8" s="20" t="inlineStr">
        <is>
          <t>Attire</t>
        </is>
      </c>
      <c r="B8" s="21" t="inlineStr">
        <is>
          <t>Groom suit fitting</t>
        </is>
      </c>
      <c r="C8" s="20" t="inlineStr">
        <is>
          <t>Groom</t>
        </is>
      </c>
      <c r="D8" s="20" t="inlineStr">
        <is>
          <t>Medium</t>
        </is>
      </c>
      <c r="E8" s="22" t="n">
        <v>46252</v>
      </c>
      <c r="F8" s="20" t="inlineStr">
        <is>
          <t>No</t>
        </is>
      </c>
      <c r="G8" s="20">
        <f>IF(B8="","",IF(F8="Yes","Complete",IF(E8&lt;TODAY(),"Overdue","In Progress")))</f>
        <v/>
      </c>
      <c r="H8" s="21" t="n"/>
    </row>
    <row r="9">
      <c r="A9" s="17" t="inlineStr">
        <is>
          <t>Stationery</t>
        </is>
      </c>
      <c r="B9" s="18" t="inlineStr">
        <is>
          <t>Order invitations</t>
        </is>
      </c>
      <c r="C9" s="17" t="inlineStr">
        <is>
          <t>Bride</t>
        </is>
      </c>
      <c r="D9" s="17" t="inlineStr">
        <is>
          <t>High</t>
        </is>
      </c>
      <c r="E9" s="19" t="n">
        <v>46182</v>
      </c>
      <c r="F9" s="17" t="inlineStr">
        <is>
          <t>Yes</t>
        </is>
      </c>
      <c r="G9" s="17">
        <f>IF(B9="","",IF(F9="Yes","Complete",IF(E9&lt;TODAY(),"Overdue","In Progress")))</f>
        <v/>
      </c>
      <c r="H9" s="18" t="n"/>
    </row>
    <row r="10">
      <c r="A10" s="20" t="inlineStr">
        <is>
          <t>Stationery</t>
        </is>
      </c>
      <c r="B10" s="21" t="inlineStr">
        <is>
          <t>Mail invitations</t>
        </is>
      </c>
      <c r="C10" s="20" t="inlineStr">
        <is>
          <t>Couple</t>
        </is>
      </c>
      <c r="D10" s="20" t="inlineStr">
        <is>
          <t>High</t>
        </is>
      </c>
      <c r="E10" s="22" t="n">
        <v>46212</v>
      </c>
      <c r="F10" s="20" t="inlineStr">
        <is>
          <t>No</t>
        </is>
      </c>
      <c r="G10" s="20">
        <f>IF(B10="","",IF(F10="Yes","Complete",IF(E10&lt;TODAY(),"Overdue","In Progress")))</f>
        <v/>
      </c>
      <c r="H10" s="21" t="n"/>
    </row>
    <row r="11">
      <c r="A11" s="17" t="inlineStr">
        <is>
          <t>Catering</t>
        </is>
      </c>
      <c r="B11" s="18" t="inlineStr">
        <is>
          <t>Finalize menu</t>
        </is>
      </c>
      <c r="C11" s="17" t="inlineStr">
        <is>
          <t>Couple</t>
        </is>
      </c>
      <c r="D11" s="17" t="inlineStr">
        <is>
          <t>High</t>
        </is>
      </c>
      <c r="E11" s="19" t="n">
        <v>46227</v>
      </c>
      <c r="F11" s="17" t="inlineStr">
        <is>
          <t>No</t>
        </is>
      </c>
      <c r="G11" s="17">
        <f>IF(B11="","",IF(F11="Yes","Complete",IF(E11&lt;TODAY(),"Overdue","In Progress")))</f>
        <v/>
      </c>
      <c r="H11" s="18" t="n"/>
    </row>
    <row r="12">
      <c r="A12" s="20" t="inlineStr">
        <is>
          <t>Catering</t>
        </is>
      </c>
      <c r="B12" s="21" t="inlineStr">
        <is>
          <t>Confirm final headcount</t>
        </is>
      </c>
      <c r="C12" s="20" t="inlineStr">
        <is>
          <t>Planner</t>
        </is>
      </c>
      <c r="D12" s="20" t="inlineStr">
        <is>
          <t>High</t>
        </is>
      </c>
      <c r="E12" s="22" t="n">
        <v>46242</v>
      </c>
      <c r="F12" s="20" t="inlineStr">
        <is>
          <t>No</t>
        </is>
      </c>
      <c r="G12" s="20">
        <f>IF(B12="","",IF(F12="Yes","Complete",IF(E12&lt;TODAY(),"Overdue","In Progress")))</f>
        <v/>
      </c>
      <c r="H12" s="21" t="n"/>
    </row>
    <row r="13">
      <c r="A13" s="17" t="inlineStr">
        <is>
          <t>Flowers</t>
        </is>
      </c>
      <c r="B13" s="18" t="inlineStr">
        <is>
          <t>Approve floral proposal</t>
        </is>
      </c>
      <c r="C13" s="17" t="inlineStr">
        <is>
          <t>Bride</t>
        </is>
      </c>
      <c r="D13" s="17" t="inlineStr">
        <is>
          <t>Medium</t>
        </is>
      </c>
      <c r="E13" s="19" t="n">
        <v>46237</v>
      </c>
      <c r="F13" s="17" t="inlineStr">
        <is>
          <t>No</t>
        </is>
      </c>
      <c r="G13" s="17">
        <f>IF(B13="","",IF(F13="Yes","Complete",IF(E13&lt;TODAY(),"Overdue","In Progress")))</f>
        <v/>
      </c>
      <c r="H13" s="18" t="n"/>
    </row>
    <row r="14">
      <c r="A14" s="20" t="inlineStr">
        <is>
          <t>Photography</t>
        </is>
      </c>
      <c r="B14" s="21" t="inlineStr">
        <is>
          <t>Build shot list</t>
        </is>
      </c>
      <c r="C14" s="20" t="inlineStr">
        <is>
          <t>Couple</t>
        </is>
      </c>
      <c r="D14" s="20" t="inlineStr">
        <is>
          <t>Medium</t>
        </is>
      </c>
      <c r="E14" s="22" t="n">
        <v>46222</v>
      </c>
      <c r="F14" s="20" t="inlineStr">
        <is>
          <t>No</t>
        </is>
      </c>
      <c r="G14" s="20">
        <f>IF(B14="","",IF(F14="Yes","Complete",IF(E14&lt;TODAY(),"Overdue","In Progress")))</f>
        <v/>
      </c>
      <c r="H14" s="21" t="n"/>
    </row>
    <row r="15">
      <c r="A15" s="17" t="inlineStr">
        <is>
          <t>Music</t>
        </is>
      </c>
      <c r="B15" s="18" t="inlineStr">
        <is>
          <t>Submit DJ playlist</t>
        </is>
      </c>
      <c r="C15" s="17" t="inlineStr">
        <is>
          <t>Couple</t>
        </is>
      </c>
      <c r="D15" s="17" t="inlineStr">
        <is>
          <t>Low</t>
        </is>
      </c>
      <c r="E15" s="19" t="n">
        <v>46240</v>
      </c>
      <c r="F15" s="17" t="inlineStr">
        <is>
          <t>No</t>
        </is>
      </c>
      <c r="G15" s="17">
        <f>IF(B15="","",IF(F15="Yes","Complete",IF(E15&lt;TODAY(),"Overdue","In Progress")))</f>
        <v/>
      </c>
      <c r="H15" s="18" t="n"/>
    </row>
    <row r="16">
      <c r="A16" s="20" t="inlineStr">
        <is>
          <t>Beauty</t>
        </is>
      </c>
      <c r="B16" s="21" t="inlineStr">
        <is>
          <t>Hair &amp; makeup trial</t>
        </is>
      </c>
      <c r="C16" s="20" t="inlineStr">
        <is>
          <t>Bride</t>
        </is>
      </c>
      <c r="D16" s="20" t="inlineStr">
        <is>
          <t>Medium</t>
        </is>
      </c>
      <c r="E16" s="22" t="n">
        <v>46217</v>
      </c>
      <c r="F16" s="20" t="inlineStr">
        <is>
          <t>No</t>
        </is>
      </c>
      <c r="G16" s="20">
        <f>IF(B16="","",IF(F16="Yes","Complete",IF(E16&lt;TODAY(),"Overdue","In Progress")))</f>
        <v/>
      </c>
      <c r="H16" s="21" t="n"/>
    </row>
    <row r="17">
      <c r="A17" s="17" t="inlineStr">
        <is>
          <t>Transportation</t>
        </is>
      </c>
      <c r="B17" s="18" t="inlineStr">
        <is>
          <t>Book guest shuttle</t>
        </is>
      </c>
      <c r="C17" s="17" t="inlineStr">
        <is>
          <t>Couple</t>
        </is>
      </c>
      <c r="D17" s="17" t="inlineStr">
        <is>
          <t>Medium</t>
        </is>
      </c>
      <c r="E17" s="19" t="n">
        <v>46230</v>
      </c>
      <c r="F17" s="17" t="inlineStr">
        <is>
          <t>No</t>
        </is>
      </c>
      <c r="G17" s="17">
        <f>IF(B17="","",IF(F17="Yes","Complete",IF(E17&lt;TODAY(),"Overdue","In Progress")))</f>
        <v/>
      </c>
      <c r="H17" s="18" t="n"/>
    </row>
    <row r="18">
      <c r="A18" s="20" t="inlineStr">
        <is>
          <t>Rings</t>
        </is>
      </c>
      <c r="B18" s="21" t="inlineStr">
        <is>
          <t>Purchase wedding bands</t>
        </is>
      </c>
      <c r="C18" s="20" t="inlineStr">
        <is>
          <t>Couple</t>
        </is>
      </c>
      <c r="D18" s="20" t="inlineStr">
        <is>
          <t>High</t>
        </is>
      </c>
      <c r="E18" s="22" t="n">
        <v>46224</v>
      </c>
      <c r="F18" s="20" t="inlineStr">
        <is>
          <t>No</t>
        </is>
      </c>
      <c r="G18" s="20">
        <f>IF(B18="","",IF(F18="Yes","Complete",IF(E18&lt;TODAY(),"Overdue","In Progress")))</f>
        <v/>
      </c>
      <c r="H18" s="21" t="n"/>
    </row>
    <row r="19">
      <c r="A19" s="17" t="inlineStr">
        <is>
          <t>Registry</t>
        </is>
      </c>
      <c r="B19" s="18" t="inlineStr">
        <is>
          <t>Finalize gift registry</t>
        </is>
      </c>
      <c r="C19" s="17" t="inlineStr">
        <is>
          <t>Couple</t>
        </is>
      </c>
      <c r="D19" s="17" t="inlineStr">
        <is>
          <t>Low</t>
        </is>
      </c>
      <c r="E19" s="19" t="n">
        <v>46197</v>
      </c>
      <c r="F19" s="17" t="inlineStr">
        <is>
          <t>Yes</t>
        </is>
      </c>
      <c r="G19" s="17">
        <f>IF(B19="","",IF(F19="Yes","Complete",IF(E19&lt;TODAY(),"Overdue","In Progress")))</f>
        <v/>
      </c>
      <c r="H19" s="18" t="n"/>
    </row>
    <row r="20">
      <c r="A20" s="20" t="inlineStr">
        <is>
          <t>Guests</t>
        </is>
      </c>
      <c r="B20" s="21" t="inlineStr">
        <is>
          <t>Finalize seating chart</t>
        </is>
      </c>
      <c r="C20" s="20" t="inlineStr">
        <is>
          <t>Couple</t>
        </is>
      </c>
      <c r="D20" s="20" t="inlineStr">
        <is>
          <t>High</t>
        </is>
      </c>
      <c r="E20" s="22" t="n">
        <v>46244</v>
      </c>
      <c r="F20" s="20" t="inlineStr">
        <is>
          <t>No</t>
        </is>
      </c>
      <c r="G20" s="20">
        <f>IF(B20="","",IF(F20="Yes","Complete",IF(E20&lt;TODAY(),"Overdue","In Progress")))</f>
        <v/>
      </c>
      <c r="H20" s="21" t="n"/>
    </row>
    <row r="21">
      <c r="A21" s="17" t="inlineStr">
        <is>
          <t>Vendors</t>
        </is>
      </c>
      <c r="B21" s="18" t="inlineStr">
        <is>
          <t>Confirm vendor arrival times</t>
        </is>
      </c>
      <c r="C21" s="17" t="inlineStr">
        <is>
          <t>Planner</t>
        </is>
      </c>
      <c r="D21" s="17" t="inlineStr">
        <is>
          <t>High</t>
        </is>
      </c>
      <c r="E21" s="19" t="n">
        <v>46246</v>
      </c>
      <c r="F21" s="17" t="inlineStr">
        <is>
          <t>No</t>
        </is>
      </c>
      <c r="G21" s="17">
        <f>IF(B21="","",IF(F21="Yes","Complete",IF(E21&lt;TODAY(),"Overdue","In Progress")))</f>
        <v/>
      </c>
      <c r="H21" s="18" t="n"/>
    </row>
    <row r="22">
      <c r="A22" s="20" t="inlineStr">
        <is>
          <t>Day-of</t>
        </is>
      </c>
      <c r="B22" s="21" t="inlineStr">
        <is>
          <t>Assemble emergency kit</t>
        </is>
      </c>
      <c r="C22" s="20" t="inlineStr">
        <is>
          <t>MOH</t>
        </is>
      </c>
      <c r="D22" s="20" t="inlineStr">
        <is>
          <t>Medium</t>
        </is>
      </c>
      <c r="E22" s="22" t="n">
        <v>46245</v>
      </c>
      <c r="F22" s="20" t="inlineStr">
        <is>
          <t>No</t>
        </is>
      </c>
      <c r="G22" s="20">
        <f>IF(B22="","",IF(F22="Yes","Complete",IF(E22&lt;TODAY(),"Overdue","In Progress")))</f>
        <v/>
      </c>
      <c r="H22" s="21" t="n"/>
    </row>
    <row r="23">
      <c r="A23" s="17" t="n"/>
      <c r="B23" s="18" t="n"/>
      <c r="C23" s="17" t="n"/>
      <c r="D23" s="17" t="n"/>
      <c r="E23" s="19" t="n"/>
      <c r="F23" s="17" t="n"/>
      <c r="G23" s="17">
        <f>IF(B23="","",IF(F23="Yes","Complete",IF(E23&lt;TODAY(),"Overdue","In Progress")))</f>
        <v/>
      </c>
      <c r="H23" s="18" t="n"/>
    </row>
    <row r="24">
      <c r="A24" s="20" t="n"/>
      <c r="B24" s="21" t="n"/>
      <c r="C24" s="20" t="n"/>
      <c r="D24" s="20" t="n"/>
      <c r="E24" s="22" t="n"/>
      <c r="F24" s="20" t="n"/>
      <c r="G24" s="20">
        <f>IF(B24="","",IF(F24="Yes","Complete",IF(E24&lt;TODAY(),"Overdue","In Progress")))</f>
        <v/>
      </c>
      <c r="H24" s="21" t="n"/>
    </row>
    <row r="25">
      <c r="A25" s="17" t="n"/>
      <c r="B25" s="18" t="n"/>
      <c r="C25" s="17" t="n"/>
      <c r="D25" s="17" t="n"/>
      <c r="E25" s="19" t="n"/>
      <c r="F25" s="17" t="n"/>
      <c r="G25" s="17">
        <f>IF(B25="","",IF(F25="Yes","Complete",IF(E25&lt;TODAY(),"Overdue","In Progress")))</f>
        <v/>
      </c>
      <c r="H25" s="18" t="n"/>
    </row>
    <row r="26">
      <c r="A26" s="20" t="n"/>
      <c r="B26" s="21" t="n"/>
      <c r="C26" s="20" t="n"/>
      <c r="D26" s="20" t="n"/>
      <c r="E26" s="22" t="n"/>
      <c r="F26" s="20" t="n"/>
      <c r="G26" s="20">
        <f>IF(B26="","",IF(F26="Yes","Complete",IF(E26&lt;TODAY(),"Overdue","In Progress")))</f>
        <v/>
      </c>
      <c r="H26" s="21" t="n"/>
    </row>
    <row r="27">
      <c r="A27" s="17" t="n"/>
      <c r="B27" s="18" t="n"/>
      <c r="C27" s="17" t="n"/>
      <c r="D27" s="17" t="n"/>
      <c r="E27" s="19" t="n"/>
      <c r="F27" s="17" t="n"/>
      <c r="G27" s="17">
        <f>IF(B27="","",IF(F27="Yes","Complete",IF(E27&lt;TODAY(),"Overdue","In Progress")))</f>
        <v/>
      </c>
      <c r="H27" s="18" t="n"/>
    </row>
    <row r="28">
      <c r="A28" s="20" t="n"/>
      <c r="B28" s="21" t="n"/>
      <c r="C28" s="20" t="n"/>
      <c r="D28" s="20" t="n"/>
      <c r="E28" s="22" t="n"/>
      <c r="F28" s="20" t="n"/>
      <c r="G28" s="20">
        <f>IF(B28="","",IF(F28="Yes","Complete",IF(E28&lt;TODAY(),"Overdue","In Progress")))</f>
        <v/>
      </c>
      <c r="H28" s="21" t="n"/>
    </row>
    <row r="29">
      <c r="A29" s="17" t="n"/>
      <c r="B29" s="18" t="n"/>
      <c r="C29" s="17" t="n"/>
      <c r="D29" s="17" t="n"/>
      <c r="E29" s="19" t="n"/>
      <c r="F29" s="17" t="n"/>
      <c r="G29" s="17">
        <f>IF(B29="","",IF(F29="Yes","Complete",IF(E29&lt;TODAY(),"Overdue","In Progress")))</f>
        <v/>
      </c>
      <c r="H29" s="18" t="n"/>
    </row>
    <row r="30">
      <c r="A30" s="20" t="n"/>
      <c r="B30" s="21" t="n"/>
      <c r="C30" s="20" t="n"/>
      <c r="D30" s="20" t="n"/>
      <c r="E30" s="22" t="n"/>
      <c r="F30" s="20" t="n"/>
      <c r="G30" s="20">
        <f>IF(B30="","",IF(F30="Yes","Complete",IF(E30&lt;TODAY(),"Overdue","In Progress")))</f>
        <v/>
      </c>
      <c r="H30" s="21" t="n"/>
    </row>
    <row r="31">
      <c r="A31" s="17" t="n"/>
      <c r="B31" s="18" t="n"/>
      <c r="C31" s="17" t="n"/>
      <c r="D31" s="17" t="n"/>
      <c r="E31" s="19" t="n"/>
      <c r="F31" s="17" t="n"/>
      <c r="G31" s="17">
        <f>IF(B31="","",IF(F31="Yes","Complete",IF(E31&lt;TODAY(),"Overdue","In Progress")))</f>
        <v/>
      </c>
      <c r="H31" s="18" t="n"/>
    </row>
    <row r="32">
      <c r="A32" s="20" t="n"/>
      <c r="B32" s="21" t="n"/>
      <c r="C32" s="20" t="n"/>
      <c r="D32" s="20" t="n"/>
      <c r="E32" s="22" t="n"/>
      <c r="F32" s="20" t="n"/>
      <c r="G32" s="20">
        <f>IF(B32="","",IF(F32="Yes","Complete",IF(E32&lt;TODAY(),"Overdue","In Progress")))</f>
        <v/>
      </c>
      <c r="H32" s="21" t="n"/>
    </row>
    <row r="33">
      <c r="A33" s="17" t="n"/>
      <c r="B33" s="18" t="n"/>
      <c r="C33" s="17" t="n"/>
      <c r="D33" s="17" t="n"/>
      <c r="E33" s="19" t="n"/>
      <c r="F33" s="17" t="n"/>
      <c r="G33" s="17">
        <f>IF(B33="","",IF(F33="Yes","Complete",IF(E33&lt;TODAY(),"Overdue","In Progress")))</f>
        <v/>
      </c>
      <c r="H33" s="18" t="n"/>
    </row>
    <row r="34">
      <c r="A34" s="20" t="n"/>
      <c r="B34" s="21" t="n"/>
      <c r="C34" s="20" t="n"/>
      <c r="D34" s="20" t="n"/>
      <c r="E34" s="22" t="n"/>
      <c r="F34" s="20" t="n"/>
      <c r="G34" s="20">
        <f>IF(B34="","",IF(F34="Yes","Complete",IF(E34&lt;TODAY(),"Overdue","In Progress")))</f>
        <v/>
      </c>
      <c r="H34" s="21" t="n"/>
    </row>
    <row r="35">
      <c r="A35" s="17" t="n"/>
      <c r="B35" s="18" t="n"/>
      <c r="C35" s="17" t="n"/>
      <c r="D35" s="17" t="n"/>
      <c r="E35" s="19" t="n"/>
      <c r="F35" s="17" t="n"/>
      <c r="G35" s="17">
        <f>IF(B35="","",IF(F35="Yes","Complete",IF(E35&lt;TODAY(),"Overdue","In Progress")))</f>
        <v/>
      </c>
      <c r="H35" s="18" t="n"/>
    </row>
    <row r="36">
      <c r="A36" s="20" t="n"/>
      <c r="B36" s="21" t="n"/>
      <c r="C36" s="20" t="n"/>
      <c r="D36" s="20" t="n"/>
      <c r="E36" s="22" t="n"/>
      <c r="F36" s="20" t="n"/>
      <c r="G36" s="20">
        <f>IF(B36="","",IF(F36="Yes","Complete",IF(E36&lt;TODAY(),"Overdue","In Progress")))</f>
        <v/>
      </c>
      <c r="H36" s="21" t="n"/>
    </row>
    <row r="37">
      <c r="A37" s="17" t="n"/>
      <c r="B37" s="18" t="n"/>
      <c r="C37" s="17" t="n"/>
      <c r="D37" s="17" t="n"/>
      <c r="E37" s="19" t="n"/>
      <c r="F37" s="17" t="n"/>
      <c r="G37" s="17">
        <f>IF(B37="","",IF(F37="Yes","Complete",IF(E37&lt;TODAY(),"Overdue","In Progress")))</f>
        <v/>
      </c>
      <c r="H37" s="18" t="n"/>
    </row>
    <row r="38">
      <c r="A38" s="20" t="n"/>
      <c r="B38" s="21" t="n"/>
      <c r="C38" s="20" t="n"/>
      <c r="D38" s="20" t="n"/>
      <c r="E38" s="22" t="n"/>
      <c r="F38" s="20" t="n"/>
      <c r="G38" s="20">
        <f>IF(B38="","",IF(F38="Yes","Complete",IF(E38&lt;TODAY(),"Overdue","In Progress")))</f>
        <v/>
      </c>
      <c r="H38" s="21" t="n"/>
    </row>
    <row r="39">
      <c r="A39" s="17" t="n"/>
      <c r="B39" s="18" t="n"/>
      <c r="C39" s="17" t="n"/>
      <c r="D39" s="17" t="n"/>
      <c r="E39" s="19" t="n"/>
      <c r="F39" s="17" t="n"/>
      <c r="G39" s="17">
        <f>IF(B39="","",IF(F39="Yes","Complete",IF(E39&lt;TODAY(),"Overdue","In Progress")))</f>
        <v/>
      </c>
      <c r="H39" s="18" t="n"/>
    </row>
    <row r="40">
      <c r="A40" s="20" t="n"/>
      <c r="B40" s="21" t="n"/>
      <c r="C40" s="20" t="n"/>
      <c r="D40" s="20" t="n"/>
      <c r="E40" s="22" t="n"/>
      <c r="F40" s="20" t="n"/>
      <c r="G40" s="20">
        <f>IF(B40="","",IF(F40="Yes","Complete",IF(E40&lt;TODAY(),"Overdue","In Progress")))</f>
        <v/>
      </c>
      <c r="H40" s="21" t="n"/>
    </row>
    <row r="41">
      <c r="A41" s="17" t="n"/>
      <c r="B41" s="18" t="n"/>
      <c r="C41" s="17" t="n"/>
      <c r="D41" s="17" t="n"/>
      <c r="E41" s="19" t="n"/>
      <c r="F41" s="17" t="n"/>
      <c r="G41" s="17">
        <f>IF(B41="","",IF(F41="Yes","Complete",IF(E41&lt;TODAY(),"Overdue","In Progress")))</f>
        <v/>
      </c>
      <c r="H41" s="18" t="n"/>
    </row>
    <row r="42">
      <c r="A42" s="20" t="n"/>
      <c r="B42" s="21" t="n"/>
      <c r="C42" s="20" t="n"/>
      <c r="D42" s="20" t="n"/>
      <c r="E42" s="22" t="n"/>
      <c r="F42" s="20" t="n"/>
      <c r="G42" s="20">
        <f>IF(B42="","",IF(F42="Yes","Complete",IF(E42&lt;TODAY(),"Overdue","In Progress")))</f>
        <v/>
      </c>
      <c r="H42" s="21" t="n"/>
    </row>
    <row r="43">
      <c r="A43" s="17" t="n"/>
      <c r="B43" s="18" t="n"/>
      <c r="C43" s="17" t="n"/>
      <c r="D43" s="17" t="n"/>
      <c r="E43" s="19" t="n"/>
      <c r="F43" s="17" t="n"/>
      <c r="G43" s="17">
        <f>IF(B43="","",IF(F43="Yes","Complete",IF(E43&lt;TODAY(),"Overdue","In Progress")))</f>
        <v/>
      </c>
      <c r="H43" s="18" t="n"/>
    </row>
    <row r="44">
      <c r="A44" s="20" t="n"/>
      <c r="B44" s="21" t="n"/>
      <c r="C44" s="20" t="n"/>
      <c r="D44" s="20" t="n"/>
      <c r="E44" s="22" t="n"/>
      <c r="F44" s="20" t="n"/>
      <c r="G44" s="20">
        <f>IF(B44="","",IF(F44="Yes","Complete",IF(E44&lt;TODAY(),"Overdue","In Progress")))</f>
        <v/>
      </c>
      <c r="H44" s="21" t="n"/>
    </row>
    <row r="45">
      <c r="A45" s="17" t="n"/>
      <c r="B45" s="18" t="n"/>
      <c r="C45" s="17" t="n"/>
      <c r="D45" s="17" t="n"/>
      <c r="E45" s="19" t="n"/>
      <c r="F45" s="17" t="n"/>
      <c r="G45" s="17">
        <f>IF(B45="","",IF(F45="Yes","Complete",IF(E45&lt;TODAY(),"Overdue","In Progress")))</f>
        <v/>
      </c>
      <c r="H45" s="18" t="n"/>
    </row>
    <row r="46">
      <c r="A46" s="20" t="n"/>
      <c r="B46" s="21" t="n"/>
      <c r="C46" s="20" t="n"/>
      <c r="D46" s="20" t="n"/>
      <c r="E46" s="22" t="n"/>
      <c r="F46" s="20" t="n"/>
      <c r="G46" s="20">
        <f>IF(B46="","",IF(F46="Yes","Complete",IF(E46&lt;TODAY(),"Overdue","In Progress")))</f>
        <v/>
      </c>
      <c r="H46" s="21" t="n"/>
    </row>
    <row r="47">
      <c r="A47" s="17" t="n"/>
      <c r="B47" s="18" t="n"/>
      <c r="C47" s="17" t="n"/>
      <c r="D47" s="17" t="n"/>
      <c r="E47" s="19" t="n"/>
      <c r="F47" s="17" t="n"/>
      <c r="G47" s="17">
        <f>IF(B47="","",IF(F47="Yes","Complete",IF(E47&lt;TODAY(),"Overdue","In Progress")))</f>
        <v/>
      </c>
      <c r="H47" s="18" t="n"/>
    </row>
    <row r="48">
      <c r="A48" s="20" t="n"/>
      <c r="B48" s="21" t="n"/>
      <c r="C48" s="20" t="n"/>
      <c r="D48" s="20" t="n"/>
      <c r="E48" s="22" t="n"/>
      <c r="F48" s="20" t="n"/>
      <c r="G48" s="20">
        <f>IF(B48="","",IF(F48="Yes","Complete",IF(E48&lt;TODAY(),"Overdue","In Progress")))</f>
        <v/>
      </c>
      <c r="H48" s="21" t="n"/>
    </row>
    <row r="49">
      <c r="A49" s="17" t="n"/>
      <c r="B49" s="18" t="n"/>
      <c r="C49" s="17" t="n"/>
      <c r="D49" s="17" t="n"/>
      <c r="E49" s="19" t="n"/>
      <c r="F49" s="17" t="n"/>
      <c r="G49" s="17">
        <f>IF(B49="","",IF(F49="Yes","Complete",IF(E49&lt;TODAY(),"Overdue","In Progress")))</f>
        <v/>
      </c>
      <c r="H49" s="18" t="n"/>
    </row>
    <row r="50">
      <c r="A50" s="20" t="n"/>
      <c r="B50" s="21" t="n"/>
      <c r="C50" s="20" t="n"/>
      <c r="D50" s="20" t="n"/>
      <c r="E50" s="22" t="n"/>
      <c r="F50" s="20" t="n"/>
      <c r="G50" s="20">
        <f>IF(B50="","",IF(F50="Yes","Complete",IF(E50&lt;TODAY(),"Overdue","In Progress")))</f>
        <v/>
      </c>
      <c r="H50" s="21" t="n"/>
    </row>
    <row r="51">
      <c r="A51" s="17" t="n"/>
      <c r="B51" s="18" t="n"/>
      <c r="C51" s="17" t="n"/>
      <c r="D51" s="17" t="n"/>
      <c r="E51" s="19" t="n"/>
      <c r="F51" s="17" t="n"/>
      <c r="G51" s="17">
        <f>IF(B51="","",IF(F51="Yes","Complete",IF(E51&lt;TODAY(),"Overdue","In Progress")))</f>
        <v/>
      </c>
      <c r="H51" s="18" t="n"/>
    </row>
    <row r="52">
      <c r="A52" s="20" t="n"/>
      <c r="B52" s="21" t="n"/>
      <c r="C52" s="20" t="n"/>
      <c r="D52" s="20" t="n"/>
      <c r="E52" s="22" t="n"/>
      <c r="F52" s="20" t="n"/>
      <c r="G52" s="20">
        <f>IF(B52="","",IF(F52="Yes","Complete",IF(E52&lt;TODAY(),"Overdue","In Progress")))</f>
        <v/>
      </c>
      <c r="H52" s="21" t="n"/>
    </row>
    <row r="53">
      <c r="A53" s="17" t="n"/>
      <c r="B53" s="18" t="n"/>
      <c r="C53" s="17" t="n"/>
      <c r="D53" s="17" t="n"/>
      <c r="E53" s="19" t="n"/>
      <c r="F53" s="17" t="n"/>
      <c r="G53" s="17">
        <f>IF(B53="","",IF(F53="Yes","Complete",IF(E53&lt;TODAY(),"Overdue","In Progress")))</f>
        <v/>
      </c>
      <c r="H53" s="18" t="n"/>
    </row>
    <row r="54">
      <c r="A54" s="20" t="n"/>
      <c r="B54" s="21" t="n"/>
      <c r="C54" s="20" t="n"/>
      <c r="D54" s="20" t="n"/>
      <c r="E54" s="22" t="n"/>
      <c r="F54" s="20" t="n"/>
      <c r="G54" s="20">
        <f>IF(B54="","",IF(F54="Yes","Complete",IF(E54&lt;TODAY(),"Overdue","In Progress")))</f>
        <v/>
      </c>
      <c r="H54" s="21" t="n"/>
    </row>
    <row r="55">
      <c r="A55" s="17" t="n"/>
      <c r="B55" s="18" t="n"/>
      <c r="C55" s="17" t="n"/>
      <c r="D55" s="17" t="n"/>
      <c r="E55" s="19" t="n"/>
      <c r="F55" s="17" t="n"/>
      <c r="G55" s="17">
        <f>IF(B55="","",IF(F55="Yes","Complete",IF(E55&lt;TODAY(),"Overdue","In Progress")))</f>
        <v/>
      </c>
      <c r="H55" s="18" t="n"/>
    </row>
    <row r="56">
      <c r="A56" s="20" t="n"/>
      <c r="B56" s="21" t="n"/>
      <c r="C56" s="20" t="n"/>
      <c r="D56" s="20" t="n"/>
      <c r="E56" s="22" t="n"/>
      <c r="F56" s="20" t="n"/>
      <c r="G56" s="20">
        <f>IF(B56="","",IF(F56="Yes","Complete",IF(E56&lt;TODAY(),"Overdue","In Progress")))</f>
        <v/>
      </c>
      <c r="H56" s="21" t="n"/>
    </row>
    <row r="57">
      <c r="A57" s="17" t="n"/>
      <c r="B57" s="18" t="n"/>
      <c r="C57" s="17" t="n"/>
      <c r="D57" s="17" t="n"/>
      <c r="E57" s="19" t="n"/>
      <c r="F57" s="17" t="n"/>
      <c r="G57" s="17">
        <f>IF(B57="","",IF(F57="Yes","Complete",IF(E57&lt;TODAY(),"Overdue","In Progress")))</f>
        <v/>
      </c>
      <c r="H57" s="18" t="n"/>
    </row>
    <row r="58">
      <c r="A58" s="20" t="n"/>
      <c r="B58" s="21" t="n"/>
      <c r="C58" s="20" t="n"/>
      <c r="D58" s="20" t="n"/>
      <c r="E58" s="22" t="n"/>
      <c r="F58" s="20" t="n"/>
      <c r="G58" s="20">
        <f>IF(B58="","",IF(F58="Yes","Complete",IF(E58&lt;TODAY(),"Overdue","In Progress")))</f>
        <v/>
      </c>
      <c r="H58" s="21" t="n"/>
    </row>
    <row r="59">
      <c r="A59" s="17" t="n"/>
      <c r="B59" s="18" t="n"/>
      <c r="C59" s="17" t="n"/>
      <c r="D59" s="17" t="n"/>
      <c r="E59" s="19" t="n"/>
      <c r="F59" s="17" t="n"/>
      <c r="G59" s="17">
        <f>IF(B59="","",IF(F59="Yes","Complete",IF(E59&lt;TODAY(),"Overdue","In Progress")))</f>
        <v/>
      </c>
      <c r="H59" s="18" t="n"/>
    </row>
    <row r="60">
      <c r="A60" s="20" t="n"/>
      <c r="B60" s="21" t="n"/>
      <c r="C60" s="20" t="n"/>
      <c r="D60" s="20" t="n"/>
      <c r="E60" s="22" t="n"/>
      <c r="F60" s="20" t="n"/>
      <c r="G60" s="20">
        <f>IF(B60="","",IF(F60="Yes","Complete",IF(E60&lt;TODAY(),"Overdue","In Progress")))</f>
        <v/>
      </c>
      <c r="H60" s="21" t="n"/>
    </row>
    <row r="61">
      <c r="A61" s="17" t="n"/>
      <c r="B61" s="18" t="n"/>
      <c r="C61" s="17" t="n"/>
      <c r="D61" s="17" t="n"/>
      <c r="E61" s="19" t="n"/>
      <c r="F61" s="17" t="n"/>
      <c r="G61" s="17">
        <f>IF(B61="","",IF(F61="Yes","Complete",IF(E61&lt;TODAY(),"Overdue","In Progress")))</f>
        <v/>
      </c>
      <c r="H61" s="18" t="n"/>
    </row>
    <row r="62">
      <c r="A62" s="20" t="n"/>
      <c r="B62" s="21" t="n"/>
      <c r="C62" s="20" t="n"/>
      <c r="D62" s="20" t="n"/>
      <c r="E62" s="22" t="n"/>
      <c r="F62" s="20" t="n"/>
      <c r="G62" s="20">
        <f>IF(B62="","",IF(F62="Yes","Complete",IF(E62&lt;TODAY(),"Overdue","In Progress")))</f>
        <v/>
      </c>
      <c r="H62" s="21" t="n"/>
    </row>
    <row r="63">
      <c r="A63" s="17" t="n"/>
      <c r="B63" s="18" t="n"/>
      <c r="C63" s="17" t="n"/>
      <c r="D63" s="17" t="n"/>
      <c r="E63" s="19" t="n"/>
      <c r="F63" s="17" t="n"/>
      <c r="G63" s="17">
        <f>IF(B63="","",IF(F63="Yes","Complete",IF(E63&lt;TODAY(),"Overdue","In Progress")))</f>
        <v/>
      </c>
      <c r="H63" s="18" t="n"/>
    </row>
    <row r="64">
      <c r="A64" s="20" t="n"/>
      <c r="B64" s="21" t="n"/>
      <c r="C64" s="20" t="n"/>
      <c r="D64" s="20" t="n"/>
      <c r="E64" s="22" t="n"/>
      <c r="F64" s="20" t="n"/>
      <c r="G64" s="20">
        <f>IF(B64="","",IF(F64="Yes","Complete",IF(E64&lt;TODAY(),"Overdue","In Progress")))</f>
        <v/>
      </c>
      <c r="H64" s="21" t="n"/>
    </row>
    <row r="65">
      <c r="A65" s="17" t="n"/>
      <c r="B65" s="18" t="n"/>
      <c r="C65" s="17" t="n"/>
      <c r="D65" s="17" t="n"/>
      <c r="E65" s="19" t="n"/>
      <c r="F65" s="17" t="n"/>
      <c r="G65" s="17">
        <f>IF(B65="","",IF(F65="Yes","Complete",IF(E65&lt;TODAY(),"Overdue","In Progress")))</f>
        <v/>
      </c>
      <c r="H65" s="18" t="n"/>
    </row>
    <row r="66">
      <c r="A66" s="20" t="n"/>
      <c r="B66" s="21" t="n"/>
      <c r="C66" s="20" t="n"/>
      <c r="D66" s="20" t="n"/>
      <c r="E66" s="22" t="n"/>
      <c r="F66" s="20" t="n"/>
      <c r="G66" s="20">
        <f>IF(B66="","",IF(F66="Yes","Complete",IF(E66&lt;TODAY(),"Overdue","In Progress")))</f>
        <v/>
      </c>
      <c r="H66" s="21" t="n"/>
    </row>
    <row r="67">
      <c r="A67" s="17" t="n"/>
      <c r="B67" s="18" t="n"/>
      <c r="C67" s="17" t="n"/>
      <c r="D67" s="17" t="n"/>
      <c r="E67" s="19" t="n"/>
      <c r="F67" s="17" t="n"/>
      <c r="G67" s="17">
        <f>IF(B67="","",IF(F67="Yes","Complete",IF(E67&lt;TODAY(),"Overdue","In Progress")))</f>
        <v/>
      </c>
      <c r="H67" s="18" t="n"/>
    </row>
    <row r="68">
      <c r="A68" s="20" t="n"/>
      <c r="B68" s="21" t="n"/>
      <c r="C68" s="20" t="n"/>
      <c r="D68" s="20" t="n"/>
      <c r="E68" s="22" t="n"/>
      <c r="F68" s="20" t="n"/>
      <c r="G68" s="20">
        <f>IF(B68="","",IF(F68="Yes","Complete",IF(E68&lt;TODAY(),"Overdue","In Progress")))</f>
        <v/>
      </c>
      <c r="H68" s="21" t="n"/>
    </row>
    <row r="69">
      <c r="A69" s="17" t="n"/>
      <c r="B69" s="18" t="n"/>
      <c r="C69" s="17" t="n"/>
      <c r="D69" s="17" t="n"/>
      <c r="E69" s="19" t="n"/>
      <c r="F69" s="17" t="n"/>
      <c r="G69" s="17">
        <f>IF(B69="","",IF(F69="Yes","Complete",IF(E69&lt;TODAY(),"Overdue","In Progress")))</f>
        <v/>
      </c>
      <c r="H69" s="18" t="n"/>
    </row>
    <row r="70">
      <c r="A70" s="20" t="n"/>
      <c r="B70" s="21" t="n"/>
      <c r="C70" s="20" t="n"/>
      <c r="D70" s="20" t="n"/>
      <c r="E70" s="22" t="n"/>
      <c r="F70" s="20" t="n"/>
      <c r="G70" s="20">
        <f>IF(B70="","",IF(F70="Yes","Complete",IF(E70&lt;TODAY(),"Overdue","In Progress")))</f>
        <v/>
      </c>
      <c r="H70" s="21" t="n"/>
    </row>
    <row r="71">
      <c r="A71" s="17" t="n"/>
      <c r="B71" s="18" t="n"/>
      <c r="C71" s="17" t="n"/>
      <c r="D71" s="17" t="n"/>
      <c r="E71" s="19" t="n"/>
      <c r="F71" s="17" t="n"/>
      <c r="G71" s="17">
        <f>IF(B71="","",IF(F71="Yes","Complete",IF(E71&lt;TODAY(),"Overdue","In Progress")))</f>
        <v/>
      </c>
      <c r="H71" s="18" t="n"/>
    </row>
    <row r="72">
      <c r="A72" s="20" t="n"/>
      <c r="B72" s="21" t="n"/>
      <c r="C72" s="20" t="n"/>
      <c r="D72" s="20" t="n"/>
      <c r="E72" s="22" t="n"/>
      <c r="F72" s="20" t="n"/>
      <c r="G72" s="20">
        <f>IF(B72="","",IF(F72="Yes","Complete",IF(E72&lt;TODAY(),"Overdue","In Progress")))</f>
        <v/>
      </c>
      <c r="H72" s="21" t="n"/>
    </row>
    <row r="73">
      <c r="A73" s="17" t="n"/>
      <c r="B73" s="18" t="n"/>
      <c r="C73" s="17" t="n"/>
      <c r="D73" s="17" t="n"/>
      <c r="E73" s="19" t="n"/>
      <c r="F73" s="17" t="n"/>
      <c r="G73" s="17">
        <f>IF(B73="","",IF(F73="Yes","Complete",IF(E73&lt;TODAY(),"Overdue","In Progress")))</f>
        <v/>
      </c>
      <c r="H73" s="18" t="n"/>
    </row>
    <row r="74">
      <c r="A74" s="20" t="n"/>
      <c r="B74" s="21" t="n"/>
      <c r="C74" s="20" t="n"/>
      <c r="D74" s="20" t="n"/>
      <c r="E74" s="22" t="n"/>
      <c r="F74" s="20" t="n"/>
      <c r="G74" s="20">
        <f>IF(B74="","",IF(F74="Yes","Complete",IF(E74&lt;TODAY(),"Overdue","In Progress")))</f>
        <v/>
      </c>
      <c r="H74" s="21" t="n"/>
    </row>
    <row r="75">
      <c r="A75" s="17" t="n"/>
      <c r="B75" s="18" t="n"/>
      <c r="C75" s="17" t="n"/>
      <c r="D75" s="17" t="n"/>
      <c r="E75" s="19" t="n"/>
      <c r="F75" s="17" t="n"/>
      <c r="G75" s="17">
        <f>IF(B75="","",IF(F75="Yes","Complete",IF(E75&lt;TODAY(),"Overdue","In Progress")))</f>
        <v/>
      </c>
      <c r="H75" s="18" t="n"/>
    </row>
    <row r="76">
      <c r="A76" s="20" t="n"/>
      <c r="B76" s="21" t="n"/>
      <c r="C76" s="20" t="n"/>
      <c r="D76" s="20" t="n"/>
      <c r="E76" s="22" t="n"/>
      <c r="F76" s="20" t="n"/>
      <c r="G76" s="20">
        <f>IF(B76="","",IF(F76="Yes","Complete",IF(E76&lt;TODAY(),"Overdue","In Progress")))</f>
        <v/>
      </c>
      <c r="H76" s="21" t="n"/>
    </row>
    <row r="77">
      <c r="A77" s="17" t="n"/>
      <c r="B77" s="18" t="n"/>
      <c r="C77" s="17" t="n"/>
      <c r="D77" s="17" t="n"/>
      <c r="E77" s="19" t="n"/>
      <c r="F77" s="17" t="n"/>
      <c r="G77" s="17">
        <f>IF(B77="","",IF(F77="Yes","Complete",IF(E77&lt;TODAY(),"Overdue","In Progress")))</f>
        <v/>
      </c>
      <c r="H77" s="18" t="n"/>
    </row>
    <row r="78">
      <c r="A78" s="20" t="n"/>
      <c r="B78" s="21" t="n"/>
      <c r="C78" s="20" t="n"/>
      <c r="D78" s="20" t="n"/>
      <c r="E78" s="22" t="n"/>
      <c r="F78" s="20" t="n"/>
      <c r="G78" s="20">
        <f>IF(B78="","",IF(F78="Yes","Complete",IF(E78&lt;TODAY(),"Overdue","In Progress")))</f>
        <v/>
      </c>
      <c r="H78" s="21" t="n"/>
    </row>
    <row r="79">
      <c r="A79" s="17" t="n"/>
      <c r="B79" s="18" t="n"/>
      <c r="C79" s="17" t="n"/>
      <c r="D79" s="17" t="n"/>
      <c r="E79" s="19" t="n"/>
      <c r="F79" s="17" t="n"/>
      <c r="G79" s="17">
        <f>IF(B79="","",IF(F79="Yes","Complete",IF(E79&lt;TODAY(),"Overdue","In Progress")))</f>
        <v/>
      </c>
      <c r="H79" s="18" t="n"/>
    </row>
    <row r="80">
      <c r="A80" s="20" t="n"/>
      <c r="B80" s="21" t="n"/>
      <c r="C80" s="20" t="n"/>
      <c r="D80" s="20" t="n"/>
      <c r="E80" s="22" t="n"/>
      <c r="F80" s="20" t="n"/>
      <c r="G80" s="20">
        <f>IF(B80="","",IF(F80="Yes","Complete",IF(E80&lt;TODAY(),"Overdue","In Progress")))</f>
        <v/>
      </c>
      <c r="H80" s="21" t="n"/>
    </row>
    <row r="81">
      <c r="A81" s="17" t="n"/>
      <c r="B81" s="18" t="n"/>
      <c r="C81" s="17" t="n"/>
      <c r="D81" s="17" t="n"/>
      <c r="E81" s="19" t="n"/>
      <c r="F81" s="17" t="n"/>
      <c r="G81" s="17">
        <f>IF(B81="","",IF(F81="Yes","Complete",IF(E81&lt;TODAY(),"Overdue","In Progress")))</f>
        <v/>
      </c>
      <c r="H81" s="18" t="n"/>
    </row>
    <row r="82">
      <c r="A82" s="20" t="n"/>
      <c r="B82" s="21" t="n"/>
      <c r="C82" s="20" t="n"/>
      <c r="D82" s="20" t="n"/>
      <c r="E82" s="22" t="n"/>
      <c r="F82" s="20" t="n"/>
      <c r="G82" s="20">
        <f>IF(B82="","",IF(F82="Yes","Complete",IF(E82&lt;TODAY(),"Overdue","In Progress")))</f>
        <v/>
      </c>
      <c r="H82" s="21" t="n"/>
    </row>
    <row r="83">
      <c r="A83" s="17" t="n"/>
      <c r="B83" s="18" t="n"/>
      <c r="C83" s="17" t="n"/>
      <c r="D83" s="17" t="n"/>
      <c r="E83" s="19" t="n"/>
      <c r="F83" s="17" t="n"/>
      <c r="G83" s="17">
        <f>IF(B83="","",IF(F83="Yes","Complete",IF(E83&lt;TODAY(),"Overdue","In Progress")))</f>
        <v/>
      </c>
      <c r="H83" s="18" t="n"/>
    </row>
    <row r="84">
      <c r="A84" s="20" t="n"/>
      <c r="B84" s="21" t="n"/>
      <c r="C84" s="20" t="n"/>
      <c r="D84" s="20" t="n"/>
      <c r="E84" s="22" t="n"/>
      <c r="F84" s="20" t="n"/>
      <c r="G84" s="20">
        <f>IF(B84="","",IF(F84="Yes","Complete",IF(E84&lt;TODAY(),"Overdue","In Progress")))</f>
        <v/>
      </c>
      <c r="H84" s="21" t="n"/>
    </row>
    <row r="85">
      <c r="A85" s="17" t="n"/>
      <c r="B85" s="18" t="n"/>
      <c r="C85" s="17" t="n"/>
      <c r="D85" s="17" t="n"/>
      <c r="E85" s="19" t="n"/>
      <c r="F85" s="17" t="n"/>
      <c r="G85" s="17">
        <f>IF(B85="","",IF(F85="Yes","Complete",IF(E85&lt;TODAY(),"Overdue","In Progress")))</f>
        <v/>
      </c>
      <c r="H85" s="18" t="n"/>
    </row>
    <row r="86">
      <c r="A86" s="20" t="n"/>
      <c r="B86" s="21" t="n"/>
      <c r="C86" s="20" t="n"/>
      <c r="D86" s="20" t="n"/>
      <c r="E86" s="22" t="n"/>
      <c r="F86" s="20" t="n"/>
      <c r="G86" s="20">
        <f>IF(B86="","",IF(F86="Yes","Complete",IF(E86&lt;TODAY(),"Overdue","In Progress")))</f>
        <v/>
      </c>
      <c r="H86" s="21" t="n"/>
    </row>
    <row r="87">
      <c r="A87" s="17" t="n"/>
      <c r="B87" s="18" t="n"/>
      <c r="C87" s="17" t="n"/>
      <c r="D87" s="17" t="n"/>
      <c r="E87" s="19" t="n"/>
      <c r="F87" s="17" t="n"/>
      <c r="G87" s="17">
        <f>IF(B87="","",IF(F87="Yes","Complete",IF(E87&lt;TODAY(),"Overdue","In Progress")))</f>
        <v/>
      </c>
      <c r="H87" s="18" t="n"/>
    </row>
    <row r="88">
      <c r="A88" s="20" t="n"/>
      <c r="B88" s="21" t="n"/>
      <c r="C88" s="20" t="n"/>
      <c r="D88" s="20" t="n"/>
      <c r="E88" s="22" t="n"/>
      <c r="F88" s="20" t="n"/>
      <c r="G88" s="20">
        <f>IF(B88="","",IF(F88="Yes","Complete",IF(E88&lt;TODAY(),"Overdue","In Progress")))</f>
        <v/>
      </c>
      <c r="H88" s="21" t="n"/>
    </row>
    <row r="89">
      <c r="A89" s="17" t="n"/>
      <c r="B89" s="18" t="n"/>
      <c r="C89" s="17" t="n"/>
      <c r="D89" s="17" t="n"/>
      <c r="E89" s="19" t="n"/>
      <c r="F89" s="17" t="n"/>
      <c r="G89" s="17">
        <f>IF(B89="","",IF(F89="Yes","Complete",IF(E89&lt;TODAY(),"Overdue","In Progress")))</f>
        <v/>
      </c>
      <c r="H89" s="18" t="n"/>
    </row>
    <row r="90">
      <c r="A90" s="20" t="n"/>
      <c r="B90" s="21" t="n"/>
      <c r="C90" s="20" t="n"/>
      <c r="D90" s="20" t="n"/>
      <c r="E90" s="22" t="n"/>
      <c r="F90" s="20" t="n"/>
      <c r="G90" s="20">
        <f>IF(B90="","",IF(F90="Yes","Complete",IF(E90&lt;TODAY(),"Overdue","In Progress")))</f>
        <v/>
      </c>
      <c r="H90" s="21" t="n"/>
    </row>
    <row r="91">
      <c r="A91" s="17" t="n"/>
      <c r="B91" s="18" t="n"/>
      <c r="C91" s="17" t="n"/>
      <c r="D91" s="17" t="n"/>
      <c r="E91" s="19" t="n"/>
      <c r="F91" s="17" t="n"/>
      <c r="G91" s="17">
        <f>IF(B91="","",IF(F91="Yes","Complete",IF(E91&lt;TODAY(),"Overdue","In Progress")))</f>
        <v/>
      </c>
      <c r="H91" s="18" t="n"/>
    </row>
    <row r="92">
      <c r="A92" s="20" t="n"/>
      <c r="B92" s="21" t="n"/>
      <c r="C92" s="20" t="n"/>
      <c r="D92" s="20" t="n"/>
      <c r="E92" s="22" t="n"/>
      <c r="F92" s="20" t="n"/>
      <c r="G92" s="20">
        <f>IF(B92="","",IF(F92="Yes","Complete",IF(E92&lt;TODAY(),"Overdue","In Progress")))</f>
        <v/>
      </c>
      <c r="H92" s="21" t="n"/>
    </row>
    <row r="93">
      <c r="A93" s="17" t="n"/>
      <c r="B93" s="18" t="n"/>
      <c r="C93" s="17" t="n"/>
      <c r="D93" s="17" t="n"/>
      <c r="E93" s="19" t="n"/>
      <c r="F93" s="17" t="n"/>
      <c r="G93" s="17">
        <f>IF(B93="","",IF(F93="Yes","Complete",IF(E93&lt;TODAY(),"Overdue","In Progress")))</f>
        <v/>
      </c>
      <c r="H93" s="18" t="n"/>
    </row>
    <row r="94">
      <c r="A94" s="20" t="n"/>
      <c r="B94" s="21" t="n"/>
      <c r="C94" s="20" t="n"/>
      <c r="D94" s="20" t="n"/>
      <c r="E94" s="22" t="n"/>
      <c r="F94" s="20" t="n"/>
      <c r="G94" s="20">
        <f>IF(B94="","",IF(F94="Yes","Complete",IF(E94&lt;TODAY(),"Overdue","In Progress")))</f>
        <v/>
      </c>
      <c r="H94" s="21" t="n"/>
    </row>
    <row r="95">
      <c r="A95" s="17" t="n"/>
      <c r="B95" s="18" t="n"/>
      <c r="C95" s="17" t="n"/>
      <c r="D95" s="17" t="n"/>
      <c r="E95" s="19" t="n"/>
      <c r="F95" s="17" t="n"/>
      <c r="G95" s="17">
        <f>IF(B95="","",IF(F95="Yes","Complete",IF(E95&lt;TODAY(),"Overdue","In Progress")))</f>
        <v/>
      </c>
      <c r="H95" s="18" t="n"/>
    </row>
    <row r="96">
      <c r="A96" s="20" t="n"/>
      <c r="B96" s="21" t="n"/>
      <c r="C96" s="20" t="n"/>
      <c r="D96" s="20" t="n"/>
      <c r="E96" s="22" t="n"/>
      <c r="F96" s="20" t="n"/>
      <c r="G96" s="20">
        <f>IF(B96="","",IF(F96="Yes","Complete",IF(E96&lt;TODAY(),"Overdue","In Progress")))</f>
        <v/>
      </c>
      <c r="H96" s="21" t="n"/>
    </row>
    <row r="97">
      <c r="A97" s="17" t="n"/>
      <c r="B97" s="18" t="n"/>
      <c r="C97" s="17" t="n"/>
      <c r="D97" s="17" t="n"/>
      <c r="E97" s="19" t="n"/>
      <c r="F97" s="17" t="n"/>
      <c r="G97" s="17">
        <f>IF(B97="","",IF(F97="Yes","Complete",IF(E97&lt;TODAY(),"Overdue","In Progress")))</f>
        <v/>
      </c>
      <c r="H97" s="18" t="n"/>
    </row>
    <row r="98">
      <c r="A98" s="20" t="n"/>
      <c r="B98" s="21" t="n"/>
      <c r="C98" s="20" t="n"/>
      <c r="D98" s="20" t="n"/>
      <c r="E98" s="22" t="n"/>
      <c r="F98" s="20" t="n"/>
      <c r="G98" s="20">
        <f>IF(B98="","",IF(F98="Yes","Complete",IF(E98&lt;TODAY(),"Overdue","In Progress")))</f>
        <v/>
      </c>
      <c r="H98" s="21" t="n"/>
    </row>
    <row r="99">
      <c r="A99" s="17" t="n"/>
      <c r="B99" s="18" t="n"/>
      <c r="C99" s="17" t="n"/>
      <c r="D99" s="17" t="n"/>
      <c r="E99" s="19" t="n"/>
      <c r="F99" s="17" t="n"/>
      <c r="G99" s="17">
        <f>IF(B99="","",IF(F99="Yes","Complete",IF(E99&lt;TODAY(),"Overdue","In Progress")))</f>
        <v/>
      </c>
      <c r="H99" s="18" t="n"/>
    </row>
    <row r="100">
      <c r="A100" s="20" t="n"/>
      <c r="B100" s="21" t="n"/>
      <c r="C100" s="20" t="n"/>
      <c r="D100" s="20" t="n"/>
      <c r="E100" s="22" t="n"/>
      <c r="F100" s="20" t="n"/>
      <c r="G100" s="20">
        <f>IF(B100="","",IF(F100="Yes","Complete",IF(E100&lt;TODAY(),"Overdue","In Progress")))</f>
        <v/>
      </c>
      <c r="H100" s="21" t="n"/>
    </row>
    <row r="101">
      <c r="A101" s="17" t="n"/>
      <c r="B101" s="18" t="n"/>
      <c r="C101" s="17" t="n"/>
      <c r="D101" s="17" t="n"/>
      <c r="E101" s="19" t="n"/>
      <c r="F101" s="17" t="n"/>
      <c r="G101" s="17">
        <f>IF(B101="","",IF(F101="Yes","Complete",IF(E101&lt;TODAY(),"Overdue","In Progress")))</f>
        <v/>
      </c>
      <c r="H101" s="18" t="n"/>
    </row>
    <row r="102">
      <c r="A102" s="20" t="n"/>
      <c r="B102" s="21" t="n"/>
      <c r="C102" s="20" t="n"/>
      <c r="D102" s="20" t="n"/>
      <c r="E102" s="22" t="n"/>
      <c r="F102" s="20" t="n"/>
      <c r="G102" s="20">
        <f>IF(B102="","",IF(F102="Yes","Complete",IF(E102&lt;TODAY(),"Overdue","In Progress")))</f>
        <v/>
      </c>
      <c r="H102" s="21" t="n"/>
    </row>
    <row r="103">
      <c r="A103" s="17" t="n"/>
      <c r="B103" s="18" t="n"/>
      <c r="C103" s="17" t="n"/>
      <c r="D103" s="17" t="n"/>
      <c r="E103" s="19" t="n"/>
      <c r="F103" s="17" t="n"/>
      <c r="G103" s="17">
        <f>IF(B103="","",IF(F103="Yes","Complete",IF(E103&lt;TODAY(),"Overdue","In Progress")))</f>
        <v/>
      </c>
      <c r="H103" s="18" t="n"/>
    </row>
    <row r="104">
      <c r="A104" s="20" t="n"/>
      <c r="B104" s="21" t="n"/>
      <c r="C104" s="20" t="n"/>
      <c r="D104" s="20" t="n"/>
      <c r="E104" s="22" t="n"/>
      <c r="F104" s="20" t="n"/>
      <c r="G104" s="20">
        <f>IF(B104="","",IF(F104="Yes","Complete",IF(E104&lt;TODAY(),"Overdue","In Progress")))</f>
        <v/>
      </c>
      <c r="H104" s="21" t="n"/>
    </row>
    <row r="105">
      <c r="A105" s="17" t="n"/>
      <c r="B105" s="18" t="n"/>
      <c r="C105" s="17" t="n"/>
      <c r="D105" s="17" t="n"/>
      <c r="E105" s="19" t="n"/>
      <c r="F105" s="17" t="n"/>
      <c r="G105" s="17">
        <f>IF(B105="","",IF(F105="Yes","Complete",IF(E105&lt;TODAY(),"Overdue","In Progress")))</f>
        <v/>
      </c>
      <c r="H105" s="18" t="n"/>
    </row>
    <row r="106">
      <c r="A106" s="20" t="n"/>
      <c r="B106" s="21" t="n"/>
      <c r="C106" s="20" t="n"/>
      <c r="D106" s="20" t="n"/>
      <c r="E106" s="22" t="n"/>
      <c r="F106" s="20" t="n"/>
      <c r="G106" s="20">
        <f>IF(B106="","",IF(F106="Yes","Complete",IF(E106&lt;TODAY(),"Overdue","In Progress")))</f>
        <v/>
      </c>
      <c r="H106" s="21" t="n"/>
    </row>
    <row r="107">
      <c r="A107" s="17" t="n"/>
      <c r="B107" s="18" t="n"/>
      <c r="C107" s="17" t="n"/>
      <c r="D107" s="17" t="n"/>
      <c r="E107" s="19" t="n"/>
      <c r="F107" s="17" t="n"/>
      <c r="G107" s="17">
        <f>IF(B107="","",IF(F107="Yes","Complete",IF(E107&lt;TODAY(),"Overdue","In Progress")))</f>
        <v/>
      </c>
      <c r="H107" s="18" t="n"/>
    </row>
    <row r="108">
      <c r="A108" s="20" t="n"/>
      <c r="B108" s="21" t="n"/>
      <c r="C108" s="20" t="n"/>
      <c r="D108" s="20" t="n"/>
      <c r="E108" s="22" t="n"/>
      <c r="F108" s="20" t="n"/>
      <c r="G108" s="20">
        <f>IF(B108="","",IF(F108="Yes","Complete",IF(E108&lt;TODAY(),"Overdue","In Progress")))</f>
        <v/>
      </c>
      <c r="H108" s="21" t="n"/>
    </row>
    <row r="109">
      <c r="A109" s="17" t="n"/>
      <c r="B109" s="18" t="n"/>
      <c r="C109" s="17" t="n"/>
      <c r="D109" s="17" t="n"/>
      <c r="E109" s="19" t="n"/>
      <c r="F109" s="17" t="n"/>
      <c r="G109" s="17">
        <f>IF(B109="","",IF(F109="Yes","Complete",IF(E109&lt;TODAY(),"Overdue","In Progress")))</f>
        <v/>
      </c>
      <c r="H109" s="18" t="n"/>
    </row>
    <row r="110">
      <c r="A110" s="20" t="n"/>
      <c r="B110" s="21" t="n"/>
      <c r="C110" s="20" t="n"/>
      <c r="D110" s="20" t="n"/>
      <c r="E110" s="22" t="n"/>
      <c r="F110" s="20" t="n"/>
      <c r="G110" s="20">
        <f>IF(B110="","",IF(F110="Yes","Complete",IF(E110&lt;TODAY(),"Overdue","In Progress")))</f>
        <v/>
      </c>
      <c r="H110" s="21" t="n"/>
    </row>
    <row r="111">
      <c r="A111" s="17" t="n"/>
      <c r="B111" s="18" t="n"/>
      <c r="C111" s="17" t="n"/>
      <c r="D111" s="17" t="n"/>
      <c r="E111" s="19" t="n"/>
      <c r="F111" s="17" t="n"/>
      <c r="G111" s="17">
        <f>IF(B111="","",IF(F111="Yes","Complete",IF(E111&lt;TODAY(),"Overdue","In Progress")))</f>
        <v/>
      </c>
      <c r="H111" s="18" t="n"/>
    </row>
    <row r="112">
      <c r="A112" s="20" t="n"/>
      <c r="B112" s="21" t="n"/>
      <c r="C112" s="20" t="n"/>
      <c r="D112" s="20" t="n"/>
      <c r="E112" s="22" t="n"/>
      <c r="F112" s="20" t="n"/>
      <c r="G112" s="20">
        <f>IF(B112="","",IF(F112="Yes","Complete",IF(E112&lt;TODAY(),"Overdue","In Progress")))</f>
        <v/>
      </c>
      <c r="H112" s="21" t="n"/>
    </row>
    <row r="113">
      <c r="A113" s="17" t="n"/>
      <c r="B113" s="18" t="n"/>
      <c r="C113" s="17" t="n"/>
      <c r="D113" s="17" t="n"/>
      <c r="E113" s="19" t="n"/>
      <c r="F113" s="17" t="n"/>
      <c r="G113" s="17">
        <f>IF(B113="","",IF(F113="Yes","Complete",IF(E113&lt;TODAY(),"Overdue","In Progress")))</f>
        <v/>
      </c>
      <c r="H113" s="18" t="n"/>
    </row>
    <row r="114">
      <c r="A114" s="20" t="n"/>
      <c r="B114" s="21" t="n"/>
      <c r="C114" s="20" t="n"/>
      <c r="D114" s="20" t="n"/>
      <c r="E114" s="22" t="n"/>
      <c r="F114" s="20" t="n"/>
      <c r="G114" s="20">
        <f>IF(B114="","",IF(F114="Yes","Complete",IF(E114&lt;TODAY(),"Overdue","In Progress")))</f>
        <v/>
      </c>
      <c r="H114" s="21" t="n"/>
    </row>
    <row r="115">
      <c r="A115" s="17" t="n"/>
      <c r="B115" s="18" t="n"/>
      <c r="C115" s="17" t="n"/>
      <c r="D115" s="17" t="n"/>
      <c r="E115" s="19" t="n"/>
      <c r="F115" s="17" t="n"/>
      <c r="G115" s="17">
        <f>IF(B115="","",IF(F115="Yes","Complete",IF(E115&lt;TODAY(),"Overdue","In Progress")))</f>
        <v/>
      </c>
      <c r="H115" s="18" t="n"/>
    </row>
    <row r="116">
      <c r="A116" s="20" t="n"/>
      <c r="B116" s="21" t="n"/>
      <c r="C116" s="20" t="n"/>
      <c r="D116" s="20" t="n"/>
      <c r="E116" s="22" t="n"/>
      <c r="F116" s="20" t="n"/>
      <c r="G116" s="20">
        <f>IF(B116="","",IF(F116="Yes","Complete",IF(E116&lt;TODAY(),"Overdue","In Progress")))</f>
        <v/>
      </c>
      <c r="H116" s="21" t="n"/>
    </row>
    <row r="117">
      <c r="A117" s="17" t="n"/>
      <c r="B117" s="18" t="n"/>
      <c r="C117" s="17" t="n"/>
      <c r="D117" s="17" t="n"/>
      <c r="E117" s="19" t="n"/>
      <c r="F117" s="17" t="n"/>
      <c r="G117" s="17">
        <f>IF(B117="","",IF(F117="Yes","Complete",IF(E117&lt;TODAY(),"Overdue","In Progress")))</f>
        <v/>
      </c>
      <c r="H117" s="18" t="n"/>
    </row>
    <row r="118">
      <c r="A118" s="20" t="n"/>
      <c r="B118" s="21" t="n"/>
      <c r="C118" s="20" t="n"/>
      <c r="D118" s="20" t="n"/>
      <c r="E118" s="22" t="n"/>
      <c r="F118" s="20" t="n"/>
      <c r="G118" s="20">
        <f>IF(B118="","",IF(F118="Yes","Complete",IF(E118&lt;TODAY(),"Overdue","In Progress")))</f>
        <v/>
      </c>
      <c r="H118" s="21" t="n"/>
    </row>
    <row r="119">
      <c r="A119" s="17" t="n"/>
      <c r="B119" s="18" t="n"/>
      <c r="C119" s="17" t="n"/>
      <c r="D119" s="17" t="n"/>
      <c r="E119" s="19" t="n"/>
      <c r="F119" s="17" t="n"/>
      <c r="G119" s="17">
        <f>IF(B119="","",IF(F119="Yes","Complete",IF(E119&lt;TODAY(),"Overdue","In Progress")))</f>
        <v/>
      </c>
      <c r="H119" s="18" t="n"/>
    </row>
    <row r="120">
      <c r="A120" s="20" t="n"/>
      <c r="B120" s="21" t="n"/>
      <c r="C120" s="20" t="n"/>
      <c r="D120" s="20" t="n"/>
      <c r="E120" s="22" t="n"/>
      <c r="F120" s="20" t="n"/>
      <c r="G120" s="20">
        <f>IF(B120="","",IF(F120="Yes","Complete",IF(E120&lt;TODAY(),"Overdue","In Progress")))</f>
        <v/>
      </c>
      <c r="H120" s="21" t="n"/>
    </row>
    <row r="121">
      <c r="A121" s="17" t="n"/>
      <c r="B121" s="18" t="n"/>
      <c r="C121" s="17" t="n"/>
      <c r="D121" s="17" t="n"/>
      <c r="E121" s="19" t="n"/>
      <c r="F121" s="17" t="n"/>
      <c r="G121" s="17">
        <f>IF(B121="","",IF(F121="Yes","Complete",IF(E121&lt;TODAY(),"Overdue","In Progress")))</f>
        <v/>
      </c>
      <c r="H121" s="18" t="n"/>
    </row>
    <row r="122">
      <c r="A122" s="20" t="n"/>
      <c r="B122" s="21" t="n"/>
      <c r="C122" s="20" t="n"/>
      <c r="D122" s="20" t="n"/>
      <c r="E122" s="22" t="n"/>
      <c r="F122" s="20" t="n"/>
      <c r="G122" s="20">
        <f>IF(B122="","",IF(F122="Yes","Complete",IF(E122&lt;TODAY(),"Overdue","In Progress")))</f>
        <v/>
      </c>
      <c r="H122" s="21" t="n"/>
    </row>
    <row r="123">
      <c r="A123" s="17" t="n"/>
      <c r="B123" s="18" t="n"/>
      <c r="C123" s="17" t="n"/>
      <c r="D123" s="17" t="n"/>
      <c r="E123" s="19" t="n"/>
      <c r="F123" s="17" t="n"/>
      <c r="G123" s="17">
        <f>IF(B123="","",IF(F123="Yes","Complete",IF(E123&lt;TODAY(),"Overdue","In Progress")))</f>
        <v/>
      </c>
      <c r="H123" s="18" t="n"/>
    </row>
    <row r="124">
      <c r="A124" s="20" t="n"/>
      <c r="B124" s="21" t="n"/>
      <c r="C124" s="20" t="n"/>
      <c r="D124" s="20" t="n"/>
      <c r="E124" s="22" t="n"/>
      <c r="F124" s="20" t="n"/>
      <c r="G124" s="20">
        <f>IF(B124="","",IF(F124="Yes","Complete",IF(E124&lt;TODAY(),"Overdue","In Progress")))</f>
        <v/>
      </c>
      <c r="H124" s="21" t="n"/>
    </row>
  </sheetData>
  <mergeCells count="2">
    <mergeCell ref="A2:H2"/>
    <mergeCell ref="A1:H1"/>
  </mergeCells>
  <conditionalFormatting sqref="A5:H124">
    <cfRule type="expression" priority="1" dxfId="0">
      <formula>$F5="Yes"</formula>
    </cfRule>
    <cfRule type="expression" priority="2" dxfId="1">
      <formula>AND($B5&lt;&gt;"",$E5&lt;TODAY(),$F5&lt;&gt;"Yes")</formula>
    </cfRule>
  </conditionalFormatting>
  <dataValidations count="2">
    <dataValidation sqref="D5:D124" showDropDown="0" showInputMessage="0" showErrorMessage="0" allowBlank="1" type="list">
      <formula1>=PriorityList</formula1>
    </dataValidation>
    <dataValidation sqref="F5:F124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B4F48"/>
    <outlinePr summaryBelow="1" summaryRight="1"/>
    <pageSetUpPr/>
  </sheetPr>
  <dimension ref="A1:I2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" customWidth="1" min="7" max="7"/>
    <col width="24" customWidth="1" min="8" max="8"/>
    <col width="18" customWidth="1" min="9" max="9"/>
  </cols>
  <sheetData>
    <row r="1" ht="46" customHeight="1">
      <c r="A1" s="1" t="inlineStr">
        <is>
          <t xml:space="preserve">  💰  BUDGET COMMAND CENTER</t>
        </is>
      </c>
    </row>
    <row r="2" ht="22" customHeight="1">
      <c r="A2" s="2" t="inlineStr">
        <is>
          <t xml:space="preserve">  Plan, spend, and track deposits across every category.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30" customHeight="1">
      <c r="A4" s="16" t="inlineStr">
        <is>
          <t>Category</t>
        </is>
      </c>
      <c r="B4" s="16" t="inlineStr">
        <is>
          <t>Budget</t>
        </is>
      </c>
      <c r="C4" s="16" t="inlineStr">
        <is>
          <t>Actual</t>
        </is>
      </c>
      <c r="D4" s="16" t="inlineStr">
        <is>
          <t>Deposit</t>
        </is>
      </c>
      <c r="E4" s="16" t="inlineStr">
        <is>
          <t>Paid</t>
        </is>
      </c>
      <c r="F4" s="16" t="inlineStr">
        <is>
          <t>Remaining</t>
        </is>
      </c>
      <c r="H4" s="9" t="inlineStr">
        <is>
          <t>BUDGET HEALTH</t>
        </is>
      </c>
    </row>
    <row r="5" ht="21" customHeight="1">
      <c r="A5" s="23" t="inlineStr">
        <is>
          <t>Venue</t>
        </is>
      </c>
      <c r="B5" s="24" t="n">
        <v>12000</v>
      </c>
      <c r="C5" s="25" t="n">
        <v>12000</v>
      </c>
      <c r="D5" s="25" t="n">
        <v>6000</v>
      </c>
      <c r="E5" s="25">
        <f>D5</f>
        <v/>
      </c>
      <c r="F5" s="25">
        <f>C5-E5</f>
        <v/>
      </c>
      <c r="H5" s="13" t="inlineStr">
        <is>
          <t>Total Budget</t>
        </is>
      </c>
      <c r="I5" s="26">
        <f>TotalBudget</f>
        <v/>
      </c>
    </row>
    <row r="6" ht="21" customHeight="1">
      <c r="A6" s="21" t="inlineStr">
        <is>
          <t>Photography</t>
        </is>
      </c>
      <c r="B6" s="27" t="n">
        <v>4500</v>
      </c>
      <c r="C6" s="28" t="n">
        <v>4500</v>
      </c>
      <c r="D6" s="28" t="n">
        <v>1500</v>
      </c>
      <c r="E6" s="28">
        <f>D6</f>
        <v/>
      </c>
      <c r="F6" s="28">
        <f>C6-E6</f>
        <v/>
      </c>
      <c r="H6" s="13" t="inlineStr">
        <is>
          <t>Total Estimated</t>
        </is>
      </c>
      <c r="I6" s="26">
        <f>BudTotalActual</f>
        <v/>
      </c>
    </row>
    <row r="7" ht="21" customHeight="1">
      <c r="A7" s="23" t="inlineStr">
        <is>
          <t>Videography</t>
        </is>
      </c>
      <c r="B7" s="24" t="n">
        <v>3000</v>
      </c>
      <c r="C7" s="25" t="n">
        <v>3000</v>
      </c>
      <c r="D7" s="25" t="n">
        <v>1000</v>
      </c>
      <c r="E7" s="25">
        <f>D7</f>
        <v/>
      </c>
      <c r="F7" s="25">
        <f>C7-E7</f>
        <v/>
      </c>
      <c r="H7" s="13" t="inlineStr">
        <is>
          <t>Total Paid</t>
        </is>
      </c>
      <c r="I7" s="26">
        <f>BudTotalPaid</f>
        <v/>
      </c>
    </row>
    <row r="8" ht="21" customHeight="1">
      <c r="A8" s="21" t="inlineStr">
        <is>
          <t>Florist</t>
        </is>
      </c>
      <c r="B8" s="27" t="n">
        <v>3500</v>
      </c>
      <c r="C8" s="28" t="n">
        <v>3300</v>
      </c>
      <c r="D8" s="28" t="n">
        <v>1000</v>
      </c>
      <c r="E8" s="28">
        <f>D8</f>
        <v/>
      </c>
      <c r="F8" s="28">
        <f>C8-E8</f>
        <v/>
      </c>
      <c r="H8" s="13" t="inlineStr">
        <is>
          <t>Remaining</t>
        </is>
      </c>
      <c r="I8" s="26">
        <f>TotalBudget-BudTotalPaid</f>
        <v/>
      </c>
    </row>
    <row r="9" ht="21" customHeight="1">
      <c r="A9" s="23" t="inlineStr">
        <is>
          <t>Cake</t>
        </is>
      </c>
      <c r="B9" s="24" t="n">
        <v>900</v>
      </c>
      <c r="C9" s="25" t="n">
        <v>850</v>
      </c>
      <c r="D9" s="25" t="n">
        <v>200</v>
      </c>
      <c r="E9" s="25">
        <f>D9</f>
        <v/>
      </c>
      <c r="F9" s="25">
        <f>C9-E9</f>
        <v/>
      </c>
      <c r="H9" s="13" t="inlineStr">
        <is>
          <t>% of Budget</t>
        </is>
      </c>
      <c r="I9" s="29">
        <f>IFERROR(BudTotalActual/TotalBudget,0)</f>
        <v/>
      </c>
    </row>
    <row r="10" ht="21" customHeight="1">
      <c r="A10" s="21" t="inlineStr">
        <is>
          <t>Decor</t>
        </is>
      </c>
      <c r="B10" s="27" t="n">
        <v>2500</v>
      </c>
      <c r="C10" s="28" t="n">
        <v>2100</v>
      </c>
      <c r="D10" s="28" t="n">
        <v>500</v>
      </c>
      <c r="E10" s="28">
        <f>D10</f>
        <v/>
      </c>
      <c r="F10" s="28">
        <f>C10-E10</f>
        <v/>
      </c>
      <c r="H10" s="13" t="inlineStr">
        <is>
          <t>Over / Under</t>
        </is>
      </c>
      <c r="I10" s="30">
        <f>TotalBudget-BudTotalActual</f>
        <v/>
      </c>
    </row>
    <row r="11" ht="21" customHeight="1">
      <c r="A11" s="23" t="inlineStr">
        <is>
          <t>Dress</t>
        </is>
      </c>
      <c r="B11" s="24" t="n">
        <v>2800</v>
      </c>
      <c r="C11" s="25" t="n">
        <v>2800</v>
      </c>
      <c r="D11" s="25" t="n">
        <v>1400</v>
      </c>
      <c r="E11" s="25">
        <f>D11</f>
        <v/>
      </c>
      <c r="F11" s="25">
        <f>C11-E11</f>
        <v/>
      </c>
    </row>
    <row r="12" ht="21" customHeight="1">
      <c r="A12" s="21" t="inlineStr">
        <is>
          <t>Suit</t>
        </is>
      </c>
      <c r="B12" s="27" t="n">
        <v>800</v>
      </c>
      <c r="C12" s="28" t="n">
        <v>0</v>
      </c>
      <c r="D12" s="28" t="n">
        <v>0</v>
      </c>
      <c r="E12" s="28">
        <f>D12</f>
        <v/>
      </c>
      <c r="F12" s="28">
        <f>C12-E12</f>
        <v/>
      </c>
    </row>
    <row r="13" ht="21" customHeight="1">
      <c r="A13" s="23" t="inlineStr">
        <is>
          <t>Jewelry</t>
        </is>
      </c>
      <c r="B13" s="24" t="n">
        <v>1500</v>
      </c>
      <c r="C13" s="25" t="n">
        <v>1400</v>
      </c>
      <c r="D13" s="25" t="n">
        <v>700</v>
      </c>
      <c r="E13" s="25">
        <f>D13</f>
        <v/>
      </c>
      <c r="F13" s="25">
        <f>C13-E13</f>
        <v/>
      </c>
    </row>
    <row r="14" ht="21" customHeight="1">
      <c r="A14" s="21" t="inlineStr">
        <is>
          <t>Hair</t>
        </is>
      </c>
      <c r="B14" s="27" t="n">
        <v>400</v>
      </c>
      <c r="C14" s="28" t="n">
        <v>0</v>
      </c>
      <c r="D14" s="28" t="n">
        <v>0</v>
      </c>
      <c r="E14" s="28">
        <f>D14</f>
        <v/>
      </c>
      <c r="F14" s="28">
        <f>C14-E14</f>
        <v/>
      </c>
    </row>
    <row r="15" ht="21" customHeight="1">
      <c r="A15" s="23" t="inlineStr">
        <is>
          <t>Makeup</t>
        </is>
      </c>
      <c r="B15" s="24" t="n">
        <v>400</v>
      </c>
      <c r="C15" s="25" t="n">
        <v>0</v>
      </c>
      <c r="D15" s="25" t="n">
        <v>0</v>
      </c>
      <c r="E15" s="25">
        <f>D15</f>
        <v/>
      </c>
      <c r="F15" s="25">
        <f>C15-E15</f>
        <v/>
      </c>
    </row>
    <row r="16" ht="21" customHeight="1">
      <c r="A16" s="21" t="inlineStr">
        <is>
          <t>Invitations</t>
        </is>
      </c>
      <c r="B16" s="27" t="n">
        <v>700</v>
      </c>
      <c r="C16" s="28" t="n">
        <v>680</v>
      </c>
      <c r="D16" s="28" t="n">
        <v>0</v>
      </c>
      <c r="E16" s="28">
        <f>D16</f>
        <v/>
      </c>
      <c r="F16" s="28">
        <f>C16-E16</f>
        <v/>
      </c>
    </row>
    <row r="17" ht="21" customHeight="1">
      <c r="A17" s="23" t="inlineStr">
        <is>
          <t>Transportation</t>
        </is>
      </c>
      <c r="B17" s="24" t="n">
        <v>1200</v>
      </c>
      <c r="C17" s="25" t="n">
        <v>0</v>
      </c>
      <c r="D17" s="25" t="n">
        <v>0</v>
      </c>
      <c r="E17" s="25">
        <f>D17</f>
        <v/>
      </c>
      <c r="F17" s="25">
        <f>C17-E17</f>
        <v/>
      </c>
    </row>
    <row r="18" ht="21" customHeight="1">
      <c r="A18" s="21" t="inlineStr">
        <is>
          <t>Accommodation</t>
        </is>
      </c>
      <c r="B18" s="27" t="n">
        <v>1800</v>
      </c>
      <c r="C18" s="28" t="n">
        <v>1800</v>
      </c>
      <c r="D18" s="28" t="n">
        <v>900</v>
      </c>
      <c r="E18" s="28">
        <f>D18</f>
        <v/>
      </c>
      <c r="F18" s="28">
        <f>C18-E18</f>
        <v/>
      </c>
    </row>
    <row r="19" ht="21" customHeight="1">
      <c r="A19" s="23" t="inlineStr">
        <is>
          <t>Entertainment</t>
        </is>
      </c>
      <c r="B19" s="24" t="n">
        <v>2500</v>
      </c>
      <c r="C19" s="25" t="n">
        <v>2500</v>
      </c>
      <c r="D19" s="25" t="n">
        <v>800</v>
      </c>
      <c r="E19" s="25">
        <f>D19</f>
        <v/>
      </c>
      <c r="F19" s="25">
        <f>C19-E19</f>
        <v/>
      </c>
    </row>
    <row r="20" ht="21" customHeight="1">
      <c r="A20" s="21" t="inlineStr">
        <is>
          <t>Music</t>
        </is>
      </c>
      <c r="B20" s="27" t="n">
        <v>1500</v>
      </c>
      <c r="C20" s="28" t="n">
        <v>1500</v>
      </c>
      <c r="D20" s="28" t="n">
        <v>500</v>
      </c>
      <c r="E20" s="28">
        <f>D20</f>
        <v/>
      </c>
      <c r="F20" s="28">
        <f>C20-E20</f>
        <v/>
      </c>
    </row>
    <row r="21" ht="21" customHeight="1">
      <c r="A21" s="23" t="inlineStr">
        <is>
          <t>Catering</t>
        </is>
      </c>
      <c r="B21" s="24" t="n">
        <v>9000</v>
      </c>
      <c r="C21" s="25" t="n">
        <v>4500</v>
      </c>
      <c r="D21" s="25" t="n">
        <v>2000</v>
      </c>
      <c r="E21" s="25">
        <f>D21</f>
        <v/>
      </c>
      <c r="F21" s="25">
        <f>C21-E21</f>
        <v/>
      </c>
    </row>
    <row r="22" ht="21" customHeight="1">
      <c r="A22" s="21" t="inlineStr">
        <is>
          <t>Bar</t>
        </is>
      </c>
      <c r="B22" s="27" t="n">
        <v>3500</v>
      </c>
      <c r="C22" s="28" t="n">
        <v>0</v>
      </c>
      <c r="D22" s="28" t="n">
        <v>0</v>
      </c>
      <c r="E22" s="28">
        <f>D22</f>
        <v/>
      </c>
      <c r="F22" s="28">
        <f>C22-E22</f>
        <v/>
      </c>
    </row>
    <row r="23" ht="21" customHeight="1">
      <c r="A23" s="23" t="inlineStr">
        <is>
          <t>Flowers</t>
        </is>
      </c>
      <c r="B23" s="24" t="n">
        <v>1200</v>
      </c>
      <c r="C23" s="25" t="n">
        <v>0</v>
      </c>
      <c r="D23" s="25" t="n">
        <v>0</v>
      </c>
      <c r="E23" s="25">
        <f>D23</f>
        <v/>
      </c>
      <c r="F23" s="25">
        <f>C23-E23</f>
        <v/>
      </c>
    </row>
    <row r="24" ht="21" customHeight="1">
      <c r="A24" s="21" t="inlineStr">
        <is>
          <t>Rentals</t>
        </is>
      </c>
      <c r="B24" s="27" t="n">
        <v>2000</v>
      </c>
      <c r="C24" s="28" t="n">
        <v>1000</v>
      </c>
      <c r="D24" s="28" t="n">
        <v>500</v>
      </c>
      <c r="E24" s="28">
        <f>D24</f>
        <v/>
      </c>
      <c r="F24" s="28">
        <f>C24-E24</f>
        <v/>
      </c>
    </row>
    <row r="25" ht="21" customHeight="1">
      <c r="A25" s="23" t="inlineStr">
        <is>
          <t>Miscellaneous</t>
        </is>
      </c>
      <c r="B25" s="24" t="n">
        <v>1000</v>
      </c>
      <c r="C25" s="25" t="n">
        <v>300</v>
      </c>
      <c r="D25" s="25" t="n">
        <v>0</v>
      </c>
      <c r="E25" s="25">
        <f>D25</f>
        <v/>
      </c>
      <c r="F25" s="25">
        <f>C25-E25</f>
        <v/>
      </c>
    </row>
    <row r="26">
      <c r="A26" s="16" t="inlineStr">
        <is>
          <t>TOTAL</t>
        </is>
      </c>
      <c r="B26" s="31">
        <f>SUM(B5:B25)</f>
        <v/>
      </c>
      <c r="C26" s="31">
        <f>SUM(C5:C25)</f>
        <v/>
      </c>
      <c r="D26" s="31">
        <f>SUM(D5:D25)</f>
        <v/>
      </c>
      <c r="E26" s="31">
        <f>SUM(E5:E25)</f>
        <v/>
      </c>
      <c r="F26" s="31">
        <f>SUM(F5:F25)</f>
        <v/>
      </c>
    </row>
  </sheetData>
  <mergeCells count="3">
    <mergeCell ref="A1:I1"/>
    <mergeCell ref="A2:I2"/>
    <mergeCell ref="H4:I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937356"/>
    <outlinePr summaryBelow="1" summaryRight="1"/>
    <pageSetUpPr/>
  </sheetPr>
  <dimension ref="A1:I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0" customWidth="1" min="6" max="6"/>
    <col width="16" customWidth="1" min="7" max="7"/>
    <col width="16" customWidth="1" min="8" max="8"/>
    <col width="12" customWidth="1" min="9" max="9"/>
  </cols>
  <sheetData>
    <row r="1" ht="46" customHeight="1">
      <c r="A1" s="1" t="inlineStr">
        <is>
          <t xml:space="preserve">  💳  PAYMENT SCHEDULE</t>
        </is>
      </c>
    </row>
    <row r="2" ht="22" customHeight="1">
      <c r="A2" s="2" t="inlineStr">
        <is>
          <t xml:space="preserve">  Deposits, balances, due dates — with automatic late alerts.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30" customHeight="1">
      <c r="A4" s="16" t="inlineStr">
        <is>
          <t>Vendor</t>
        </is>
      </c>
      <c r="B4" s="16" t="inlineStr">
        <is>
          <t>Total</t>
        </is>
      </c>
      <c r="C4" s="16" t="inlineStr">
        <is>
          <t>Deposit</t>
        </is>
      </c>
      <c r="D4" s="16" t="inlineStr">
        <is>
          <t>Balance Due</t>
        </is>
      </c>
      <c r="E4" s="16" t="inlineStr">
        <is>
          <t>Due Date</t>
        </is>
      </c>
      <c r="F4" s="16" t="inlineStr">
        <is>
          <t>Paid</t>
        </is>
      </c>
      <c r="G4" s="16" t="inlineStr">
        <is>
          <t>Method</t>
        </is>
      </c>
      <c r="H4" s="16" t="inlineStr">
        <is>
          <t>Invoice #</t>
        </is>
      </c>
      <c r="I4" s="16" t="inlineStr">
        <is>
          <t>Days Out</t>
        </is>
      </c>
    </row>
    <row r="5">
      <c r="A5" s="18" t="inlineStr">
        <is>
          <t>The Hartwell Estate (Venue)</t>
        </is>
      </c>
      <c r="B5" s="32" t="n">
        <v>12000</v>
      </c>
      <c r="C5" s="32" t="n">
        <v>6000</v>
      </c>
      <c r="D5" s="32" t="n">
        <v>6000</v>
      </c>
      <c r="E5" s="19" t="n">
        <v>46232</v>
      </c>
      <c r="F5" s="17" t="inlineStr">
        <is>
          <t>No</t>
        </is>
      </c>
      <c r="G5" s="17" t="inlineStr">
        <is>
          <t>Bank Transfer</t>
        </is>
      </c>
      <c r="H5" s="17" t="inlineStr">
        <is>
          <t>HE-1042</t>
        </is>
      </c>
      <c r="I5" s="33">
        <f>IF(E5="","",E5-TODAY())</f>
        <v/>
      </c>
    </row>
    <row r="6">
      <c r="A6" s="21" t="inlineStr">
        <is>
          <t>Lumiere Photography</t>
        </is>
      </c>
      <c r="B6" s="34" t="n">
        <v>4500</v>
      </c>
      <c r="C6" s="34" t="n">
        <v>1500</v>
      </c>
      <c r="D6" s="34" t="n">
        <v>3000</v>
      </c>
      <c r="E6" s="22" t="n">
        <v>46247</v>
      </c>
      <c r="F6" s="20" t="inlineStr">
        <is>
          <t>No</t>
        </is>
      </c>
      <c r="G6" s="20" t="inlineStr">
        <is>
          <t>Card</t>
        </is>
      </c>
      <c r="H6" s="20" t="inlineStr">
        <is>
          <t>LP-2231</t>
        </is>
      </c>
      <c r="I6" s="35">
        <f>IF(E6="","",E6-TODAY())</f>
        <v/>
      </c>
    </row>
    <row r="7">
      <c r="A7" s="18" t="inlineStr">
        <is>
          <t>Evergreen Films</t>
        </is>
      </c>
      <c r="B7" s="32" t="n">
        <v>3000</v>
      </c>
      <c r="C7" s="32" t="n">
        <v>1000</v>
      </c>
      <c r="D7" s="32" t="n">
        <v>2000</v>
      </c>
      <c r="E7" s="19" t="n">
        <v>46252</v>
      </c>
      <c r="F7" s="17" t="inlineStr">
        <is>
          <t>No</t>
        </is>
      </c>
      <c r="G7" s="17" t="inlineStr">
        <is>
          <t>Card</t>
        </is>
      </c>
      <c r="H7" s="17" t="inlineStr">
        <is>
          <t>EF-0099</t>
        </is>
      </c>
      <c r="I7" s="33">
        <f>IF(E7="","",E7-TODAY())</f>
        <v/>
      </c>
    </row>
    <row r="8">
      <c r="A8" s="21" t="inlineStr">
        <is>
          <t>Petal &amp; Stem Florals</t>
        </is>
      </c>
      <c r="B8" s="34" t="n">
        <v>3300</v>
      </c>
      <c r="C8" s="34" t="n">
        <v>1000</v>
      </c>
      <c r="D8" s="34" t="n">
        <v>2300</v>
      </c>
      <c r="E8" s="22" t="n">
        <v>46222</v>
      </c>
      <c r="F8" s="20" t="inlineStr">
        <is>
          <t>No</t>
        </is>
      </c>
      <c r="G8" s="20" t="inlineStr">
        <is>
          <t>Card</t>
        </is>
      </c>
      <c r="H8" s="20" t="inlineStr">
        <is>
          <t>PS-7781</t>
        </is>
      </c>
      <c r="I8" s="35">
        <f>IF(E8="","",E8-TODAY())</f>
        <v/>
      </c>
    </row>
    <row r="9">
      <c r="A9" s="18" t="inlineStr">
        <is>
          <t>Sweet Layers Cake Co.</t>
        </is>
      </c>
      <c r="B9" s="32" t="n">
        <v>850</v>
      </c>
      <c r="C9" s="32" t="n">
        <v>200</v>
      </c>
      <c r="D9" s="32" t="n">
        <v>650</v>
      </c>
      <c r="E9" s="19" t="n">
        <v>46237</v>
      </c>
      <c r="F9" s="17" t="inlineStr">
        <is>
          <t>No</t>
        </is>
      </c>
      <c r="G9" s="17" t="inlineStr">
        <is>
          <t>Venmo</t>
        </is>
      </c>
      <c r="H9" s="17" t="inlineStr">
        <is>
          <t>SL-3310</t>
        </is>
      </c>
      <c r="I9" s="33">
        <f>IF(E9="","",E9-TODAY())</f>
        <v/>
      </c>
    </row>
    <row r="10">
      <c r="A10" s="21" t="inlineStr">
        <is>
          <t>Grand Catering Group</t>
        </is>
      </c>
      <c r="B10" s="34" t="n">
        <v>9000</v>
      </c>
      <c r="C10" s="34" t="n">
        <v>2000</v>
      </c>
      <c r="D10" s="34" t="n">
        <v>7000</v>
      </c>
      <c r="E10" s="22" t="n">
        <v>46242</v>
      </c>
      <c r="F10" s="20" t="inlineStr">
        <is>
          <t>No</t>
        </is>
      </c>
      <c r="G10" s="20" t="inlineStr">
        <is>
          <t>Bank Transfer</t>
        </is>
      </c>
      <c r="H10" s="20" t="inlineStr">
        <is>
          <t>GC-5521</t>
        </is>
      </c>
      <c r="I10" s="35">
        <f>IF(E10="","",E10-TODAY())</f>
        <v/>
      </c>
    </row>
    <row r="11">
      <c r="A11" s="18" t="inlineStr">
        <is>
          <t>Skyline Entertainment (DJ)</t>
        </is>
      </c>
      <c r="B11" s="32" t="n">
        <v>2500</v>
      </c>
      <c r="C11" s="32" t="n">
        <v>800</v>
      </c>
      <c r="D11" s="32" t="n">
        <v>1700</v>
      </c>
      <c r="E11" s="19" t="n">
        <v>46199</v>
      </c>
      <c r="F11" s="17" t="inlineStr">
        <is>
          <t>No</t>
        </is>
      </c>
      <c r="G11" s="17" t="inlineStr">
        <is>
          <t>PayPal</t>
        </is>
      </c>
      <c r="H11" s="17" t="inlineStr">
        <is>
          <t>SE-1188</t>
        </is>
      </c>
      <c r="I11" s="33">
        <f>IF(E11="","",E11-TODAY())</f>
        <v/>
      </c>
    </row>
    <row r="12">
      <c r="A12" s="21" t="inlineStr">
        <is>
          <t>Luxe Linens &amp; Rentals</t>
        </is>
      </c>
      <c r="B12" s="34" t="n">
        <v>2000</v>
      </c>
      <c r="C12" s="34" t="n">
        <v>500</v>
      </c>
      <c r="D12" s="34" t="n">
        <v>1500</v>
      </c>
      <c r="E12" s="22" t="n">
        <v>46230</v>
      </c>
      <c r="F12" s="20" t="inlineStr">
        <is>
          <t>No</t>
        </is>
      </c>
      <c r="G12" s="20" t="inlineStr">
        <is>
          <t>Card</t>
        </is>
      </c>
      <c r="H12" s="20" t="inlineStr">
        <is>
          <t>LL-4402</t>
        </is>
      </c>
      <c r="I12" s="35">
        <f>IF(E12="","",E12-TODAY())</f>
        <v/>
      </c>
    </row>
    <row r="13">
      <c r="A13" s="18" t="inlineStr">
        <is>
          <t>Belle Bridal (Dress)</t>
        </is>
      </c>
      <c r="B13" s="32" t="n">
        <v>2800</v>
      </c>
      <c r="C13" s="32" t="n">
        <v>1400</v>
      </c>
      <c r="D13" s="32" t="n">
        <v>1400</v>
      </c>
      <c r="E13" s="19" t="n">
        <v>46217</v>
      </c>
      <c r="F13" s="17" t="inlineStr">
        <is>
          <t>No</t>
        </is>
      </c>
      <c r="G13" s="17" t="inlineStr">
        <is>
          <t>Card</t>
        </is>
      </c>
      <c r="H13" s="17" t="inlineStr">
        <is>
          <t>BB-9931</t>
        </is>
      </c>
      <c r="I13" s="33">
        <f>IF(E13="","",E13-TODAY())</f>
        <v/>
      </c>
    </row>
    <row r="14">
      <c r="A14" s="21" t="inlineStr">
        <is>
          <t>Radiant Beauty Team</t>
        </is>
      </c>
      <c r="B14" s="34" t="n">
        <v>800</v>
      </c>
      <c r="C14" s="34" t="n">
        <v>0</v>
      </c>
      <c r="D14" s="34" t="n">
        <v>800</v>
      </c>
      <c r="E14" s="22" t="n">
        <v>46246</v>
      </c>
      <c r="F14" s="20" t="inlineStr">
        <is>
          <t>No</t>
        </is>
      </c>
      <c r="G14" s="20" t="inlineStr">
        <is>
          <t>Cash</t>
        </is>
      </c>
      <c r="H14" s="20" t="inlineStr">
        <is>
          <t>RB-2020</t>
        </is>
      </c>
      <c r="I14" s="35">
        <f>IF(E14="","",E14-TODAY())</f>
        <v/>
      </c>
    </row>
    <row r="15">
      <c r="A15" s="18" t="n"/>
      <c r="B15" s="32" t="n"/>
      <c r="C15" s="32" t="n"/>
      <c r="D15" s="32" t="n"/>
      <c r="E15" s="19" t="n"/>
      <c r="F15" s="17" t="n"/>
      <c r="G15" s="17" t="n"/>
      <c r="H15" s="17" t="n"/>
      <c r="I15" s="33">
        <f>IF(E15="","",E15-TODAY())</f>
        <v/>
      </c>
    </row>
    <row r="16">
      <c r="A16" s="21" t="n"/>
      <c r="B16" s="34" t="n"/>
      <c r="C16" s="34" t="n"/>
      <c r="D16" s="34" t="n"/>
      <c r="E16" s="22" t="n"/>
      <c r="F16" s="20" t="n"/>
      <c r="G16" s="20" t="n"/>
      <c r="H16" s="20" t="n"/>
      <c r="I16" s="35">
        <f>IF(E16="","",E16-TODAY())</f>
        <v/>
      </c>
    </row>
    <row r="17">
      <c r="A17" s="18" t="n"/>
      <c r="B17" s="32" t="n"/>
      <c r="C17" s="32" t="n"/>
      <c r="D17" s="32" t="n"/>
      <c r="E17" s="19" t="n"/>
      <c r="F17" s="17" t="n"/>
      <c r="G17" s="17" t="n"/>
      <c r="H17" s="17" t="n"/>
      <c r="I17" s="33">
        <f>IF(E17="","",E17-TODAY())</f>
        <v/>
      </c>
    </row>
    <row r="18">
      <c r="A18" s="21" t="n"/>
      <c r="B18" s="34" t="n"/>
      <c r="C18" s="34" t="n"/>
      <c r="D18" s="34" t="n"/>
      <c r="E18" s="22" t="n"/>
      <c r="F18" s="20" t="n"/>
      <c r="G18" s="20" t="n"/>
      <c r="H18" s="20" t="n"/>
      <c r="I18" s="35">
        <f>IF(E18="","",E18-TODAY())</f>
        <v/>
      </c>
    </row>
    <row r="19">
      <c r="A19" s="18" t="n"/>
      <c r="B19" s="32" t="n"/>
      <c r="C19" s="32" t="n"/>
      <c r="D19" s="32" t="n"/>
      <c r="E19" s="19" t="n"/>
      <c r="F19" s="17" t="n"/>
      <c r="G19" s="17" t="n"/>
      <c r="H19" s="17" t="n"/>
      <c r="I19" s="33">
        <f>IF(E19="","",E19-TODAY())</f>
        <v/>
      </c>
    </row>
    <row r="20">
      <c r="A20" s="21" t="n"/>
      <c r="B20" s="34" t="n"/>
      <c r="C20" s="34" t="n"/>
      <c r="D20" s="34" t="n"/>
      <c r="E20" s="22" t="n"/>
      <c r="F20" s="20" t="n"/>
      <c r="G20" s="20" t="n"/>
      <c r="H20" s="20" t="n"/>
      <c r="I20" s="35">
        <f>IF(E20="","",E20-TODAY())</f>
        <v/>
      </c>
    </row>
    <row r="21">
      <c r="A21" s="18" t="n"/>
      <c r="B21" s="32" t="n"/>
      <c r="C21" s="32" t="n"/>
      <c r="D21" s="32" t="n"/>
      <c r="E21" s="19" t="n"/>
      <c r="F21" s="17" t="n"/>
      <c r="G21" s="17" t="n"/>
      <c r="H21" s="17" t="n"/>
      <c r="I21" s="33">
        <f>IF(E21="","",E21-TODAY())</f>
        <v/>
      </c>
    </row>
    <row r="22">
      <c r="A22" s="21" t="n"/>
      <c r="B22" s="34" t="n"/>
      <c r="C22" s="34" t="n"/>
      <c r="D22" s="34" t="n"/>
      <c r="E22" s="22" t="n"/>
      <c r="F22" s="20" t="n"/>
      <c r="G22" s="20" t="n"/>
      <c r="H22" s="20" t="n"/>
      <c r="I22" s="35">
        <f>IF(E22="","",E22-TODAY())</f>
        <v/>
      </c>
    </row>
    <row r="23">
      <c r="A23" s="18" t="n"/>
      <c r="B23" s="32" t="n"/>
      <c r="C23" s="32" t="n"/>
      <c r="D23" s="32" t="n"/>
      <c r="E23" s="19" t="n"/>
      <c r="F23" s="17" t="n"/>
      <c r="G23" s="17" t="n"/>
      <c r="H23" s="17" t="n"/>
      <c r="I23" s="33">
        <f>IF(E23="","",E23-TODAY())</f>
        <v/>
      </c>
    </row>
    <row r="24">
      <c r="A24" s="21" t="n"/>
      <c r="B24" s="34" t="n"/>
      <c r="C24" s="34" t="n"/>
      <c r="D24" s="34" t="n"/>
      <c r="E24" s="22" t="n"/>
      <c r="F24" s="20" t="n"/>
      <c r="G24" s="20" t="n"/>
      <c r="H24" s="20" t="n"/>
      <c r="I24" s="35">
        <f>IF(E24="","",E24-TODAY())</f>
        <v/>
      </c>
    </row>
    <row r="25">
      <c r="A25" s="18" t="n"/>
      <c r="B25" s="32" t="n"/>
      <c r="C25" s="32" t="n"/>
      <c r="D25" s="32" t="n"/>
      <c r="E25" s="19" t="n"/>
      <c r="F25" s="17" t="n"/>
      <c r="G25" s="17" t="n"/>
      <c r="H25" s="17" t="n"/>
      <c r="I25" s="33">
        <f>IF(E25="","",E25-TODAY())</f>
        <v/>
      </c>
    </row>
    <row r="26">
      <c r="A26" s="21" t="n"/>
      <c r="B26" s="34" t="n"/>
      <c r="C26" s="34" t="n"/>
      <c r="D26" s="34" t="n"/>
      <c r="E26" s="22" t="n"/>
      <c r="F26" s="20" t="n"/>
      <c r="G26" s="20" t="n"/>
      <c r="H26" s="20" t="n"/>
      <c r="I26" s="35">
        <f>IF(E26="","",E26-TODAY())</f>
        <v/>
      </c>
    </row>
    <row r="27">
      <c r="A27" s="18" t="n"/>
      <c r="B27" s="32" t="n"/>
      <c r="C27" s="32" t="n"/>
      <c r="D27" s="32" t="n"/>
      <c r="E27" s="19" t="n"/>
      <c r="F27" s="17" t="n"/>
      <c r="G27" s="17" t="n"/>
      <c r="H27" s="17" t="n"/>
      <c r="I27" s="33">
        <f>IF(E27="","",E27-TODAY())</f>
        <v/>
      </c>
    </row>
    <row r="28">
      <c r="A28" s="21" t="n"/>
      <c r="B28" s="34" t="n"/>
      <c r="C28" s="34" t="n"/>
      <c r="D28" s="34" t="n"/>
      <c r="E28" s="22" t="n"/>
      <c r="F28" s="20" t="n"/>
      <c r="G28" s="20" t="n"/>
      <c r="H28" s="20" t="n"/>
      <c r="I28" s="35">
        <f>IF(E28="","",E28-TODAY())</f>
        <v/>
      </c>
    </row>
    <row r="29">
      <c r="A29" s="18" t="n"/>
      <c r="B29" s="32" t="n"/>
      <c r="C29" s="32" t="n"/>
      <c r="D29" s="32" t="n"/>
      <c r="E29" s="19" t="n"/>
      <c r="F29" s="17" t="n"/>
      <c r="G29" s="17" t="n"/>
      <c r="H29" s="17" t="n"/>
      <c r="I29" s="33">
        <f>IF(E29="","",E29-TODAY())</f>
        <v/>
      </c>
    </row>
    <row r="30">
      <c r="A30" s="21" t="n"/>
      <c r="B30" s="34" t="n"/>
      <c r="C30" s="34" t="n"/>
      <c r="D30" s="34" t="n"/>
      <c r="E30" s="22" t="n"/>
      <c r="F30" s="20" t="n"/>
      <c r="G30" s="20" t="n"/>
      <c r="H30" s="20" t="n"/>
      <c r="I30" s="35">
        <f>IF(E30="","",E30-TODAY())</f>
        <v/>
      </c>
    </row>
    <row r="31">
      <c r="A31" s="18" t="n"/>
      <c r="B31" s="32" t="n"/>
      <c r="C31" s="32" t="n"/>
      <c r="D31" s="32" t="n"/>
      <c r="E31" s="19" t="n"/>
      <c r="F31" s="17" t="n"/>
      <c r="G31" s="17" t="n"/>
      <c r="H31" s="17" t="n"/>
      <c r="I31" s="33">
        <f>IF(E31="","",E31-TODAY())</f>
        <v/>
      </c>
    </row>
    <row r="32">
      <c r="A32" s="21" t="n"/>
      <c r="B32" s="34" t="n"/>
      <c r="C32" s="34" t="n"/>
      <c r="D32" s="34" t="n"/>
      <c r="E32" s="22" t="n"/>
      <c r="F32" s="20" t="n"/>
      <c r="G32" s="20" t="n"/>
      <c r="H32" s="20" t="n"/>
      <c r="I32" s="35">
        <f>IF(E32="","",E32-TODAY())</f>
        <v/>
      </c>
    </row>
    <row r="33">
      <c r="A33" s="18" t="n"/>
      <c r="B33" s="32" t="n"/>
      <c r="C33" s="32" t="n"/>
      <c r="D33" s="32" t="n"/>
      <c r="E33" s="19" t="n"/>
      <c r="F33" s="17" t="n"/>
      <c r="G33" s="17" t="n"/>
      <c r="H33" s="17" t="n"/>
      <c r="I33" s="33">
        <f>IF(E33="","",E33-TODAY())</f>
        <v/>
      </c>
    </row>
    <row r="34">
      <c r="A34" s="21" t="n"/>
      <c r="B34" s="34" t="n"/>
      <c r="C34" s="34" t="n"/>
      <c r="D34" s="34" t="n"/>
      <c r="E34" s="22" t="n"/>
      <c r="F34" s="20" t="n"/>
      <c r="G34" s="20" t="n"/>
      <c r="H34" s="20" t="n"/>
      <c r="I34" s="35">
        <f>IF(E34="","",E34-TODAY())</f>
        <v/>
      </c>
    </row>
    <row r="35">
      <c r="A35" s="18" t="n"/>
      <c r="B35" s="32" t="n"/>
      <c r="C35" s="32" t="n"/>
      <c r="D35" s="32" t="n"/>
      <c r="E35" s="19" t="n"/>
      <c r="F35" s="17" t="n"/>
      <c r="G35" s="17" t="n"/>
      <c r="H35" s="17" t="n"/>
      <c r="I35" s="33">
        <f>IF(E35="","",E35-TODAY())</f>
        <v/>
      </c>
    </row>
    <row r="36">
      <c r="A36" s="21" t="n"/>
      <c r="B36" s="34" t="n"/>
      <c r="C36" s="34" t="n"/>
      <c r="D36" s="34" t="n"/>
      <c r="E36" s="22" t="n"/>
      <c r="F36" s="20" t="n"/>
      <c r="G36" s="20" t="n"/>
      <c r="H36" s="20" t="n"/>
      <c r="I36" s="35">
        <f>IF(E36="","",E36-TODAY())</f>
        <v/>
      </c>
    </row>
    <row r="37">
      <c r="A37" s="18" t="n"/>
      <c r="B37" s="32" t="n"/>
      <c r="C37" s="32" t="n"/>
      <c r="D37" s="32" t="n"/>
      <c r="E37" s="19" t="n"/>
      <c r="F37" s="17" t="n"/>
      <c r="G37" s="17" t="n"/>
      <c r="H37" s="17" t="n"/>
      <c r="I37" s="33">
        <f>IF(E37="","",E37-TODAY())</f>
        <v/>
      </c>
    </row>
    <row r="38">
      <c r="A38" s="21" t="n"/>
      <c r="B38" s="34" t="n"/>
      <c r="C38" s="34" t="n"/>
      <c r="D38" s="34" t="n"/>
      <c r="E38" s="22" t="n"/>
      <c r="F38" s="20" t="n"/>
      <c r="G38" s="20" t="n"/>
      <c r="H38" s="20" t="n"/>
      <c r="I38" s="35">
        <f>IF(E38="","",E38-TODAY())</f>
        <v/>
      </c>
    </row>
    <row r="39">
      <c r="A39" s="18" t="n"/>
      <c r="B39" s="32" t="n"/>
      <c r="C39" s="32" t="n"/>
      <c r="D39" s="32" t="n"/>
      <c r="E39" s="19" t="n"/>
      <c r="F39" s="17" t="n"/>
      <c r="G39" s="17" t="n"/>
      <c r="H39" s="17" t="n"/>
      <c r="I39" s="33">
        <f>IF(E39="","",E39-TODAY())</f>
        <v/>
      </c>
    </row>
    <row r="40">
      <c r="A40" s="21" t="n"/>
      <c r="B40" s="34" t="n"/>
      <c r="C40" s="34" t="n"/>
      <c r="D40" s="34" t="n"/>
      <c r="E40" s="22" t="n"/>
      <c r="F40" s="20" t="n"/>
      <c r="G40" s="20" t="n"/>
      <c r="H40" s="20" t="n"/>
      <c r="I40" s="35">
        <f>IF(E40="","",E40-TODAY())</f>
        <v/>
      </c>
    </row>
    <row r="41">
      <c r="A41" s="18" t="n"/>
      <c r="B41" s="32" t="n"/>
      <c r="C41" s="32" t="n"/>
      <c r="D41" s="32" t="n"/>
      <c r="E41" s="19" t="n"/>
      <c r="F41" s="17" t="n"/>
      <c r="G41" s="17" t="n"/>
      <c r="H41" s="17" t="n"/>
      <c r="I41" s="33">
        <f>IF(E41="","",E41-TODAY())</f>
        <v/>
      </c>
    </row>
    <row r="42">
      <c r="A42" s="21" t="n"/>
      <c r="B42" s="34" t="n"/>
      <c r="C42" s="34" t="n"/>
      <c r="D42" s="34" t="n"/>
      <c r="E42" s="22" t="n"/>
      <c r="F42" s="20" t="n"/>
      <c r="G42" s="20" t="n"/>
      <c r="H42" s="20" t="n"/>
      <c r="I42" s="35">
        <f>IF(E42="","",E42-TODAY())</f>
        <v/>
      </c>
    </row>
    <row r="43">
      <c r="A43" s="18" t="n"/>
      <c r="B43" s="32" t="n"/>
      <c r="C43" s="32" t="n"/>
      <c r="D43" s="32" t="n"/>
      <c r="E43" s="19" t="n"/>
      <c r="F43" s="17" t="n"/>
      <c r="G43" s="17" t="n"/>
      <c r="H43" s="17" t="n"/>
      <c r="I43" s="33">
        <f>IF(E43="","",E43-TODAY())</f>
        <v/>
      </c>
    </row>
    <row r="44">
      <c r="A44" s="21" t="n"/>
      <c r="B44" s="34" t="n"/>
      <c r="C44" s="34" t="n"/>
      <c r="D44" s="34" t="n"/>
      <c r="E44" s="22" t="n"/>
      <c r="F44" s="20" t="n"/>
      <c r="G44" s="20" t="n"/>
      <c r="H44" s="20" t="n"/>
      <c r="I44" s="35">
        <f>IF(E44="","",E44-TODAY())</f>
        <v/>
      </c>
    </row>
  </sheetData>
  <mergeCells count="2">
    <mergeCell ref="A1:I1"/>
    <mergeCell ref="A2:I2"/>
  </mergeCells>
  <conditionalFormatting sqref="A5:I44">
    <cfRule type="expression" priority="1" dxfId="1">
      <formula>AND($E5&lt;&gt;"",$E5&lt;TODAY(),$F5&lt;&gt;"Yes")</formula>
    </cfRule>
    <cfRule type="expression" priority="2" dxfId="2">
      <formula>AND($E5&lt;&gt;"",$E5-TODAY()&gt;=0,$E5-TODAY()&lt;=14,$F5&lt;&gt;"Yes")</formula>
    </cfRule>
  </conditionalFormatting>
  <conditionalFormatting sqref="F5:F44">
    <cfRule type="cellIs" priority="3" operator="equal" dxfId="0">
      <formula>"Yes"</formula>
    </cfRule>
  </conditionalFormatting>
  <dataValidations count="2">
    <dataValidation sqref="F5:F44" showDropDown="0" showInputMessage="0" showErrorMessage="0" allowBlank="1" type="list">
      <formula1>=YesNoList</formula1>
    </dataValidation>
    <dataValidation sqref="G5:G44" showDropDown="0" showInputMessage="0" showErrorMessage="0" allowBlank="1" type="list">
      <formula1>=PayMethodList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5E6C1"/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2" customWidth="1" min="7" max="7"/>
  </cols>
  <sheetData>
    <row r="1" ht="46" customHeight="1">
      <c r="A1" s="1" t="inlineStr">
        <is>
          <t xml:space="preserve">  🏦  SAVINGS PLANNER</t>
        </is>
      </c>
    </row>
    <row r="2" ht="22" customHeight="1">
      <c r="A2" s="2" t="inlineStr">
        <is>
          <t xml:space="preserve">  Track progress toward fully funding the celebration.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>
      <c r="B5" s="12" t="inlineStr">
        <is>
          <t>SAVINGS SUMMARY</t>
        </is>
      </c>
    </row>
    <row r="6" ht="24" customHeight="1">
      <c r="B6" s="13" t="inlineStr">
        <is>
          <t>Wedding Goal (Total Budget)</t>
        </is>
      </c>
      <c r="C6" s="24">
        <f>TotalBudget</f>
        <v/>
      </c>
    </row>
    <row r="7" ht="24" customHeight="1">
      <c r="B7" s="13" t="inlineStr">
        <is>
          <t>Monthly Contribution</t>
        </is>
      </c>
      <c r="C7" s="24">
        <f>MonthlySavings</f>
        <v/>
      </c>
    </row>
    <row r="8" ht="24" customHeight="1">
      <c r="B8" s="13" t="inlineStr">
        <is>
          <t>Months Until Wedding</t>
        </is>
      </c>
      <c r="C8" s="36">
        <f>MAX(ROUND((WeddingDate-TODAY())/30,0),0)</f>
        <v/>
      </c>
    </row>
    <row r="9" ht="24" customHeight="1">
      <c r="B9" s="13" t="inlineStr">
        <is>
          <t>Projected Saved by Date</t>
        </is>
      </c>
      <c r="C9" s="24">
        <f>MonthlySavings*MAX(ROUND((WeddingDate-TODAY())/30,0),0)</f>
        <v/>
      </c>
    </row>
    <row r="10" ht="24" customHeight="1">
      <c r="B10" s="13" t="inlineStr">
        <is>
          <t>Funding Gap / Surplus</t>
        </is>
      </c>
      <c r="C10" s="37">
        <f>MonthlySavings*MAX(ROUND((WeddingDate-TODAY())/30,0),0)-TotalBudget</f>
        <v/>
      </c>
    </row>
    <row r="13">
      <c r="B13" s="9" t="inlineStr">
        <is>
          <t>MONTHLY CONTRIBUTION LOG</t>
        </is>
      </c>
    </row>
    <row r="14" ht="30" customHeight="1">
      <c r="B14" s="16" t="inlineStr">
        <is>
          <t>Month</t>
        </is>
      </c>
      <c r="C14" s="16" t="inlineStr">
        <is>
          <t>Planned</t>
        </is>
      </c>
      <c r="D14" s="16" t="inlineStr">
        <is>
          <t>Actual</t>
        </is>
      </c>
      <c r="E14" s="16" t="inlineStr">
        <is>
          <t>Cumulative</t>
        </is>
      </c>
      <c r="F14" s="16" t="inlineStr">
        <is>
          <t>% to Goal</t>
        </is>
      </c>
    </row>
    <row r="15">
      <c r="B15" s="23" t="inlineStr">
        <is>
          <t>Jul</t>
        </is>
      </c>
      <c r="C15" s="25">
        <f>MonthlySavings</f>
        <v/>
      </c>
      <c r="D15" s="24" t="n">
        <v>1500</v>
      </c>
      <c r="E15" s="25">
        <f>SUM($D$15:D15)</f>
        <v/>
      </c>
      <c r="F15" s="38">
        <f>IFERROR(E15/TotalBudget,0)</f>
        <v/>
      </c>
    </row>
    <row r="16">
      <c r="B16" s="21" t="inlineStr">
        <is>
          <t>Aug</t>
        </is>
      </c>
      <c r="C16" s="28">
        <f>MonthlySavings</f>
        <v/>
      </c>
      <c r="D16" s="27" t="n">
        <v>1500</v>
      </c>
      <c r="E16" s="28">
        <f>SUM($D$15:D16)</f>
        <v/>
      </c>
      <c r="F16" s="39">
        <f>IFERROR(E16/TotalBudget,0)</f>
        <v/>
      </c>
    </row>
    <row r="17">
      <c r="B17" s="23" t="inlineStr">
        <is>
          <t>Sep</t>
        </is>
      </c>
      <c r="C17" s="25">
        <f>MonthlySavings</f>
        <v/>
      </c>
      <c r="D17" s="24" t="n">
        <v>2000</v>
      </c>
      <c r="E17" s="25">
        <f>SUM($D$15:D17)</f>
        <v/>
      </c>
      <c r="F17" s="38">
        <f>IFERROR(E17/TotalBudget,0)</f>
        <v/>
      </c>
    </row>
    <row r="18">
      <c r="B18" s="21" t="inlineStr">
        <is>
          <t>Oct</t>
        </is>
      </c>
      <c r="C18" s="28">
        <f>MonthlySavings</f>
        <v/>
      </c>
      <c r="D18" s="27" t="n">
        <v>1500</v>
      </c>
      <c r="E18" s="28">
        <f>SUM($D$15:D18)</f>
        <v/>
      </c>
      <c r="F18" s="39">
        <f>IFERROR(E18/TotalBudget,0)</f>
        <v/>
      </c>
    </row>
    <row r="19">
      <c r="B19" s="23" t="inlineStr">
        <is>
          <t>Nov</t>
        </is>
      </c>
      <c r="C19" s="25">
        <f>MonthlySavings</f>
        <v/>
      </c>
      <c r="D19" s="24" t="n">
        <v>1800</v>
      </c>
      <c r="E19" s="25">
        <f>SUM($D$15:D19)</f>
        <v/>
      </c>
      <c r="F19" s="38">
        <f>IFERROR(E19/TotalBudget,0)</f>
        <v/>
      </c>
    </row>
    <row r="20">
      <c r="B20" s="21" t="inlineStr">
        <is>
          <t>Dec</t>
        </is>
      </c>
      <c r="C20" s="28">
        <f>MonthlySavings</f>
        <v/>
      </c>
      <c r="D20" s="27" t="n">
        <v>1500</v>
      </c>
      <c r="E20" s="28">
        <f>SUM($D$15:D20)</f>
        <v/>
      </c>
      <c r="F20" s="39">
        <f>IFERROR(E20/TotalBudget,0)</f>
        <v/>
      </c>
    </row>
    <row r="21">
      <c r="B21" s="23" t="inlineStr">
        <is>
          <t>Jan</t>
        </is>
      </c>
      <c r="C21" s="25">
        <f>MonthlySavings</f>
        <v/>
      </c>
      <c r="D21" s="24" t="n">
        <v>1500</v>
      </c>
      <c r="E21" s="25">
        <f>SUM($D$15:D21)</f>
        <v/>
      </c>
      <c r="F21" s="38">
        <f>IFERROR(E21/TotalBudget,0)</f>
        <v/>
      </c>
    </row>
    <row r="22">
      <c r="B22" s="21" t="inlineStr">
        <is>
          <t>Feb</t>
        </is>
      </c>
      <c r="C22" s="28">
        <f>MonthlySavings</f>
        <v/>
      </c>
      <c r="D22" s="27" t="n">
        <v>1600</v>
      </c>
      <c r="E22" s="28">
        <f>SUM($D$15:D22)</f>
        <v/>
      </c>
      <c r="F22" s="39">
        <f>IFERROR(E22/TotalBudget,0)</f>
        <v/>
      </c>
    </row>
    <row r="23">
      <c r="B23" s="23" t="inlineStr">
        <is>
          <t>Mar</t>
        </is>
      </c>
      <c r="C23" s="25">
        <f>MonthlySavings</f>
        <v/>
      </c>
      <c r="D23" s="24" t="n">
        <v>1500</v>
      </c>
      <c r="E23" s="25">
        <f>SUM($D$15:D23)</f>
        <v/>
      </c>
      <c r="F23" s="38">
        <f>IFERROR(E23/TotalBudget,0)</f>
        <v/>
      </c>
    </row>
    <row r="24">
      <c r="B24" s="21" t="inlineStr">
        <is>
          <t>Apr</t>
        </is>
      </c>
      <c r="C24" s="28">
        <f>MonthlySavings</f>
        <v/>
      </c>
      <c r="D24" s="27" t="n">
        <v>2000</v>
      </c>
      <c r="E24" s="28">
        <f>SUM($D$15:D24)</f>
        <v/>
      </c>
      <c r="F24" s="39">
        <f>IFERROR(E24/TotalBudget,0)</f>
        <v/>
      </c>
    </row>
    <row r="25">
      <c r="B25" s="23" t="inlineStr">
        <is>
          <t>May</t>
        </is>
      </c>
      <c r="C25" s="25">
        <f>MonthlySavings</f>
        <v/>
      </c>
      <c r="D25" s="24" t="n">
        <v>1500</v>
      </c>
      <c r="E25" s="25">
        <f>SUM($D$15:D25)</f>
        <v/>
      </c>
      <c r="F25" s="38">
        <f>IFERROR(E25/TotalBudget,0)</f>
        <v/>
      </c>
    </row>
    <row r="26">
      <c r="B26" s="21" t="inlineStr">
        <is>
          <t>Jun</t>
        </is>
      </c>
      <c r="C26" s="28">
        <f>MonthlySavings</f>
        <v/>
      </c>
      <c r="D26" s="27" t="n">
        <v>1500</v>
      </c>
      <c r="E26" s="28">
        <f>SUM($D$15:D26)</f>
        <v/>
      </c>
      <c r="F26" s="39">
        <f>IFERROR(E26/TotalBudget,0)</f>
        <v/>
      </c>
    </row>
  </sheetData>
  <mergeCells count="4">
    <mergeCell ref="B13:F13"/>
    <mergeCell ref="A2:G2"/>
    <mergeCell ref="A1:G1"/>
    <mergeCell ref="B5:F5"/>
  </mergeCells>
  <conditionalFormatting sqref="F15:F26">
    <cfRule type="dataBar" priority="1">
      <dataBar showValue="1">
        <cfvo type="num" val="0"/>
        <cfvo type="num" val="1"/>
        <color rgb="0075E6C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E5D3BA"/>
    <outlinePr summaryBelow="1" summaryRight="1"/>
    <pageSetUpPr/>
  </sheetPr>
  <dimension ref="A1:K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2" customWidth="1" min="3" max="3"/>
    <col width="16" customWidth="1" min="4" max="4"/>
    <col width="22" customWidth="1" min="5" max="5"/>
    <col width="14" customWidth="1" min="6" max="6"/>
    <col width="14" customWidth="1" min="7" max="7"/>
    <col width="14" customWidth="1" min="8" max="8"/>
    <col width="12" customWidth="1" min="9" max="9"/>
    <col width="10" customWidth="1" min="10" max="10"/>
    <col width="22" customWidth="1" min="11" max="11"/>
  </cols>
  <sheetData>
    <row r="1" ht="46" customHeight="1">
      <c r="A1" s="1" t="inlineStr">
        <is>
          <t xml:space="preserve">  📇  VENDOR CRM</t>
        </is>
      </c>
    </row>
    <row r="2" ht="22" customHeight="1">
      <c r="A2" s="2" t="inlineStr">
        <is>
          <t xml:space="preserve">  Every vendor, contact, quote, and contract status in one record.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 ht="30" customHeight="1">
      <c r="A4" s="16" t="inlineStr">
        <is>
          <t>Type</t>
        </is>
      </c>
      <c r="B4" s="16" t="inlineStr">
        <is>
          <t>Vendor</t>
        </is>
      </c>
      <c r="C4" s="16" t="inlineStr">
        <is>
          <t>Email</t>
        </is>
      </c>
      <c r="D4" s="16" t="inlineStr">
        <is>
          <t>Phone</t>
        </is>
      </c>
      <c r="E4" s="16" t="inlineStr">
        <is>
          <t>Website</t>
        </is>
      </c>
      <c r="F4" s="16" t="inlineStr">
        <is>
          <t>Quote</t>
        </is>
      </c>
      <c r="G4" s="16" t="inlineStr">
        <is>
          <t>Deposit</t>
        </is>
      </c>
      <c r="H4" s="16" t="inlineStr">
        <is>
          <t>Balance</t>
        </is>
      </c>
      <c r="I4" s="16" t="inlineStr">
        <is>
          <t>Contract</t>
        </is>
      </c>
      <c r="J4" s="16" t="inlineStr">
        <is>
          <t>Rating</t>
        </is>
      </c>
      <c r="K4" s="16" t="inlineStr">
        <is>
          <t>Notes</t>
        </is>
      </c>
    </row>
    <row r="5">
      <c r="A5" s="17" t="inlineStr">
        <is>
          <t>Venue</t>
        </is>
      </c>
      <c r="B5" s="18" t="inlineStr">
        <is>
          <t>The Hartwell Estate</t>
        </is>
      </c>
      <c r="C5" s="18" t="inlineStr">
        <is>
          <t>events@hartwell.com</t>
        </is>
      </c>
      <c r="D5" s="17" t="inlineStr">
        <is>
          <t>(555) 200-1000</t>
        </is>
      </c>
      <c r="E5" s="18" t="inlineStr">
        <is>
          <t>hartwellestate.com</t>
        </is>
      </c>
      <c r="F5" s="32" t="n">
        <v>12000</v>
      </c>
      <c r="G5" s="32" t="n">
        <v>6000</v>
      </c>
      <c r="H5" s="32" t="n">
        <v>6000</v>
      </c>
      <c r="I5" s="17" t="inlineStr">
        <is>
          <t>Signed</t>
        </is>
      </c>
      <c r="J5" s="40" t="n">
        <v>5</v>
      </c>
      <c r="K5" s="18" t="inlineStr">
        <is>
          <t>Includes tables &amp; chairs</t>
        </is>
      </c>
    </row>
    <row r="6">
      <c r="A6" s="20" t="inlineStr">
        <is>
          <t>Photographer</t>
        </is>
      </c>
      <c r="B6" s="21" t="inlineStr">
        <is>
          <t>Lumiere Photography</t>
        </is>
      </c>
      <c r="C6" s="21" t="inlineStr">
        <is>
          <t>hello@lumiere.co</t>
        </is>
      </c>
      <c r="D6" s="20" t="inlineStr">
        <is>
          <t>(555) 200-2231</t>
        </is>
      </c>
      <c r="E6" s="21" t="inlineStr">
        <is>
          <t>lumiere.co</t>
        </is>
      </c>
      <c r="F6" s="34" t="n">
        <v>4500</v>
      </c>
      <c r="G6" s="34" t="n">
        <v>1500</v>
      </c>
      <c r="H6" s="34" t="n">
        <v>3000</v>
      </c>
      <c r="I6" s="20" t="inlineStr">
        <is>
          <t>Signed</t>
        </is>
      </c>
      <c r="J6" s="41" t="n">
        <v>5</v>
      </c>
      <c r="K6" s="21" t="inlineStr">
        <is>
          <t>8hr + engagement shoot</t>
        </is>
      </c>
    </row>
    <row r="7">
      <c r="A7" s="17" t="inlineStr">
        <is>
          <t>Videographer</t>
        </is>
      </c>
      <c r="B7" s="18" t="inlineStr">
        <is>
          <t>Evergreen Films</t>
        </is>
      </c>
      <c r="C7" s="18" t="inlineStr">
        <is>
          <t>book@evergreen.tv</t>
        </is>
      </c>
      <c r="D7" s="17" t="inlineStr">
        <is>
          <t>(555) 200-0099</t>
        </is>
      </c>
      <c r="E7" s="18" t="inlineStr">
        <is>
          <t>evergreen.tv</t>
        </is>
      </c>
      <c r="F7" s="32" t="n">
        <v>3000</v>
      </c>
      <c r="G7" s="32" t="n">
        <v>1000</v>
      </c>
      <c r="H7" s="32" t="n">
        <v>2000</v>
      </c>
      <c r="I7" s="17" t="inlineStr">
        <is>
          <t>Signed</t>
        </is>
      </c>
      <c r="J7" s="40" t="n">
        <v>4</v>
      </c>
      <c r="K7" s="18" t="inlineStr">
        <is>
          <t>Highlight + full film</t>
        </is>
      </c>
    </row>
    <row r="8">
      <c r="A8" s="20" t="inlineStr">
        <is>
          <t>Florist</t>
        </is>
      </c>
      <c r="B8" s="21" t="inlineStr">
        <is>
          <t>Petal &amp; Stem</t>
        </is>
      </c>
      <c r="C8" s="21" t="inlineStr">
        <is>
          <t>studio@petalstem.com</t>
        </is>
      </c>
      <c r="D8" s="20" t="inlineStr">
        <is>
          <t>(555) 200-7781</t>
        </is>
      </c>
      <c r="E8" s="21" t="inlineStr">
        <is>
          <t>petalstem.com</t>
        </is>
      </c>
      <c r="F8" s="34" t="n">
        <v>3300</v>
      </c>
      <c r="G8" s="34" t="n">
        <v>1000</v>
      </c>
      <c r="H8" s="34" t="n">
        <v>2300</v>
      </c>
      <c r="I8" s="20" t="inlineStr">
        <is>
          <t>Pending</t>
        </is>
      </c>
      <c r="J8" s="41" t="n">
        <v>5</v>
      </c>
      <c r="K8" s="21" t="inlineStr">
        <is>
          <t>Emerald + ivory palette</t>
        </is>
      </c>
    </row>
    <row r="9">
      <c r="A9" s="17" t="inlineStr">
        <is>
          <t>Cake</t>
        </is>
      </c>
      <c r="B9" s="18" t="inlineStr">
        <is>
          <t>Sweet Layers</t>
        </is>
      </c>
      <c r="C9" s="18" t="inlineStr">
        <is>
          <t>order@sweetlayers.com</t>
        </is>
      </c>
      <c r="D9" s="17" t="inlineStr">
        <is>
          <t>(555) 200-3310</t>
        </is>
      </c>
      <c r="E9" s="18" t="inlineStr">
        <is>
          <t>sweetlayers.com</t>
        </is>
      </c>
      <c r="F9" s="32" t="n">
        <v>850</v>
      </c>
      <c r="G9" s="32" t="n">
        <v>200</v>
      </c>
      <c r="H9" s="32" t="n">
        <v>650</v>
      </c>
      <c r="I9" s="17" t="inlineStr">
        <is>
          <t>Signed</t>
        </is>
      </c>
      <c r="J9" s="40" t="n">
        <v>4</v>
      </c>
      <c r="K9" s="18" t="inlineStr">
        <is>
          <t>3-tier, lemon + vanilla</t>
        </is>
      </c>
    </row>
    <row r="10">
      <c r="A10" s="20" t="inlineStr">
        <is>
          <t>Caterer</t>
        </is>
      </c>
      <c r="B10" s="21" t="inlineStr">
        <is>
          <t>Grand Catering Group</t>
        </is>
      </c>
      <c r="C10" s="21" t="inlineStr">
        <is>
          <t>events@grandcater.com</t>
        </is>
      </c>
      <c r="D10" s="20" t="inlineStr">
        <is>
          <t>(555) 200-5521</t>
        </is>
      </c>
      <c r="E10" s="21" t="inlineStr">
        <is>
          <t>grandcater.com</t>
        </is>
      </c>
      <c r="F10" s="34" t="n">
        <v>9000</v>
      </c>
      <c r="G10" s="34" t="n">
        <v>2000</v>
      </c>
      <c r="H10" s="34" t="n">
        <v>7000</v>
      </c>
      <c r="I10" s="20" t="inlineStr">
        <is>
          <t>Signed</t>
        </is>
      </c>
      <c r="J10" s="41" t="n">
        <v>5</v>
      </c>
      <c r="K10" s="21" t="inlineStr">
        <is>
          <t>Plated dinner, 140pax</t>
        </is>
      </c>
    </row>
    <row r="11">
      <c r="A11" s="17" t="inlineStr">
        <is>
          <t>DJ</t>
        </is>
      </c>
      <c r="B11" s="18" t="inlineStr">
        <is>
          <t>Skyline Entertainment</t>
        </is>
      </c>
      <c r="C11" s="18" t="inlineStr">
        <is>
          <t>info@skylinedj.com</t>
        </is>
      </c>
      <c r="D11" s="17" t="inlineStr">
        <is>
          <t>(555) 200-1188</t>
        </is>
      </c>
      <c r="E11" s="18" t="inlineStr">
        <is>
          <t>skylinedj.com</t>
        </is>
      </c>
      <c r="F11" s="32" t="n">
        <v>2500</v>
      </c>
      <c r="G11" s="32" t="n">
        <v>800</v>
      </c>
      <c r="H11" s="32" t="n">
        <v>1700</v>
      </c>
      <c r="I11" s="17" t="inlineStr">
        <is>
          <t>Signed</t>
        </is>
      </c>
      <c r="J11" s="40" t="n">
        <v>4</v>
      </c>
      <c r="K11" s="18" t="inlineStr">
        <is>
          <t>Ceremony + reception</t>
        </is>
      </c>
    </row>
    <row r="12">
      <c r="A12" s="20" t="inlineStr">
        <is>
          <t>Officiant</t>
        </is>
      </c>
      <c r="B12" s="21" t="inlineStr">
        <is>
          <t>Rev. Thomas Hale</t>
        </is>
      </c>
      <c r="C12" s="21" t="inlineStr">
        <is>
          <t>thale@example.com</t>
        </is>
      </c>
      <c r="D12" s="20" t="inlineStr">
        <is>
          <t>(555) 200-6644</t>
        </is>
      </c>
      <c r="E12" s="21" t="inlineStr">
        <is>
          <t>—</t>
        </is>
      </c>
      <c r="F12" s="34" t="n">
        <v>500</v>
      </c>
      <c r="G12" s="34" t="n">
        <v>0</v>
      </c>
      <c r="H12" s="34" t="n">
        <v>500</v>
      </c>
      <c r="I12" s="20" t="inlineStr">
        <is>
          <t>Pending</t>
        </is>
      </c>
      <c r="J12" s="41" t="n">
        <v>5</v>
      </c>
      <c r="K12" s="21" t="inlineStr">
        <is>
          <t>Custom ceremony script</t>
        </is>
      </c>
    </row>
    <row r="13">
      <c r="A13" s="17" t="inlineStr">
        <is>
          <t>Hair</t>
        </is>
      </c>
      <c r="B13" s="18" t="inlineStr">
        <is>
          <t>Radiant Beauty</t>
        </is>
      </c>
      <c r="C13" s="18" t="inlineStr">
        <is>
          <t>team@radiant.com</t>
        </is>
      </c>
      <c r="D13" s="17" t="inlineStr">
        <is>
          <t>(555) 200-2020</t>
        </is>
      </c>
      <c r="E13" s="18" t="inlineStr">
        <is>
          <t>radiantbeauty.com</t>
        </is>
      </c>
      <c r="F13" s="32" t="n">
        <v>400</v>
      </c>
      <c r="G13" s="32" t="n">
        <v>0</v>
      </c>
      <c r="H13" s="32" t="n">
        <v>400</v>
      </c>
      <c r="I13" s="17" t="inlineStr">
        <is>
          <t>Pending</t>
        </is>
      </c>
      <c r="J13" s="40" t="n">
        <v>4</v>
      </c>
      <c r="K13" s="18" t="inlineStr">
        <is>
          <t>Trial booked</t>
        </is>
      </c>
    </row>
    <row r="14">
      <c r="A14" s="20" t="inlineStr">
        <is>
          <t>Makeup</t>
        </is>
      </c>
      <c r="B14" s="21" t="inlineStr">
        <is>
          <t>Glow Artistry</t>
        </is>
      </c>
      <c r="C14" s="21" t="inlineStr">
        <is>
          <t>book@glow.com</t>
        </is>
      </c>
      <c r="D14" s="20" t="inlineStr">
        <is>
          <t>(555) 200-3030</t>
        </is>
      </c>
      <c r="E14" s="21" t="inlineStr">
        <is>
          <t>glowartistry.com</t>
        </is>
      </c>
      <c r="F14" s="34" t="n">
        <v>400</v>
      </c>
      <c r="G14" s="34" t="n">
        <v>0</v>
      </c>
      <c r="H14" s="34" t="n">
        <v>400</v>
      </c>
      <c r="I14" s="20" t="inlineStr">
        <is>
          <t>Pending</t>
        </is>
      </c>
      <c r="J14" s="41" t="n">
        <v>5</v>
      </c>
      <c r="K14" s="21" t="inlineStr">
        <is>
          <t>Airbrush</t>
        </is>
      </c>
    </row>
    <row r="15">
      <c r="A15" s="17" t="inlineStr">
        <is>
          <t>Rental Company</t>
        </is>
      </c>
      <c r="B15" s="18" t="inlineStr">
        <is>
          <t>Luxe Linens &amp; Rentals</t>
        </is>
      </c>
      <c r="C15" s="18" t="inlineStr">
        <is>
          <t>rentals@luxe.com</t>
        </is>
      </c>
      <c r="D15" s="17" t="inlineStr">
        <is>
          <t>(555) 200-4402</t>
        </is>
      </c>
      <c r="E15" s="18" t="inlineStr">
        <is>
          <t>luxerentals.com</t>
        </is>
      </c>
      <c r="F15" s="32" t="n">
        <v>2000</v>
      </c>
      <c r="G15" s="32" t="n">
        <v>500</v>
      </c>
      <c r="H15" s="32" t="n">
        <v>1500</v>
      </c>
      <c r="I15" s="17" t="inlineStr">
        <is>
          <t>Signed</t>
        </is>
      </c>
      <c r="J15" s="40" t="n">
        <v>4</v>
      </c>
      <c r="K15" s="18" t="inlineStr">
        <is>
          <t>Linens, lounge furniture</t>
        </is>
      </c>
    </row>
    <row r="16">
      <c r="A16" s="20" t="inlineStr">
        <is>
          <t>Planner</t>
        </is>
      </c>
      <c r="B16" s="21" t="inlineStr">
        <is>
          <t>Lane &amp; Co. Events</t>
        </is>
      </c>
      <c r="C16" s="21" t="inlineStr">
        <is>
          <t>sophia@laneco.com</t>
        </is>
      </c>
      <c r="D16" s="20" t="inlineStr">
        <is>
          <t>(555) 200-8841</t>
        </is>
      </c>
      <c r="E16" s="21" t="inlineStr">
        <is>
          <t>laneco.com</t>
        </is>
      </c>
      <c r="F16" s="34" t="n">
        <v>5000</v>
      </c>
      <c r="G16" s="34" t="n">
        <v>2500</v>
      </c>
      <c r="H16" s="34" t="n">
        <v>2500</v>
      </c>
      <c r="I16" s="20" t="inlineStr">
        <is>
          <t>Signed</t>
        </is>
      </c>
      <c r="J16" s="41" t="n">
        <v>5</v>
      </c>
      <c r="K16" s="21" t="inlineStr">
        <is>
          <t>Full-service planning</t>
        </is>
      </c>
    </row>
    <row r="17">
      <c r="A17" s="17" t="n"/>
      <c r="B17" s="18" t="n"/>
      <c r="C17" s="18" t="n"/>
      <c r="D17" s="17" t="n"/>
      <c r="E17" s="18" t="n"/>
      <c r="F17" s="32" t="n"/>
      <c r="G17" s="32" t="n"/>
      <c r="H17" s="32" t="n"/>
      <c r="I17" s="17" t="n"/>
      <c r="J17" s="40" t="n"/>
      <c r="K17" s="18" t="n"/>
    </row>
    <row r="18">
      <c r="A18" s="20" t="n"/>
      <c r="B18" s="21" t="n"/>
      <c r="C18" s="21" t="n"/>
      <c r="D18" s="20" t="n"/>
      <c r="E18" s="21" t="n"/>
      <c r="F18" s="34" t="n"/>
      <c r="G18" s="34" t="n"/>
      <c r="H18" s="34" t="n"/>
      <c r="I18" s="20" t="n"/>
      <c r="J18" s="41" t="n"/>
      <c r="K18" s="21" t="n"/>
    </row>
    <row r="19">
      <c r="A19" s="17" t="n"/>
      <c r="B19" s="18" t="n"/>
      <c r="C19" s="18" t="n"/>
      <c r="D19" s="17" t="n"/>
      <c r="E19" s="18" t="n"/>
      <c r="F19" s="32" t="n"/>
      <c r="G19" s="32" t="n"/>
      <c r="H19" s="32" t="n"/>
      <c r="I19" s="17" t="n"/>
      <c r="J19" s="40" t="n"/>
      <c r="K19" s="18" t="n"/>
    </row>
    <row r="20">
      <c r="A20" s="20" t="n"/>
      <c r="B20" s="21" t="n"/>
      <c r="C20" s="21" t="n"/>
      <c r="D20" s="20" t="n"/>
      <c r="E20" s="21" t="n"/>
      <c r="F20" s="34" t="n"/>
      <c r="G20" s="34" t="n"/>
      <c r="H20" s="34" t="n"/>
      <c r="I20" s="20" t="n"/>
      <c r="J20" s="41" t="n"/>
      <c r="K20" s="21" t="n"/>
    </row>
    <row r="21">
      <c r="A21" s="17" t="n"/>
      <c r="B21" s="18" t="n"/>
      <c r="C21" s="18" t="n"/>
      <c r="D21" s="17" t="n"/>
      <c r="E21" s="18" t="n"/>
      <c r="F21" s="32" t="n"/>
      <c r="G21" s="32" t="n"/>
      <c r="H21" s="32" t="n"/>
      <c r="I21" s="17" t="n"/>
      <c r="J21" s="40" t="n"/>
      <c r="K21" s="18" t="n"/>
    </row>
    <row r="22">
      <c r="A22" s="20" t="n"/>
      <c r="B22" s="21" t="n"/>
      <c r="C22" s="21" t="n"/>
      <c r="D22" s="20" t="n"/>
      <c r="E22" s="21" t="n"/>
      <c r="F22" s="34" t="n"/>
      <c r="G22" s="34" t="n"/>
      <c r="H22" s="34" t="n"/>
      <c r="I22" s="20" t="n"/>
      <c r="J22" s="41" t="n"/>
      <c r="K22" s="21" t="n"/>
    </row>
    <row r="23">
      <c r="A23" s="17" t="n"/>
      <c r="B23" s="18" t="n"/>
      <c r="C23" s="18" t="n"/>
      <c r="D23" s="17" t="n"/>
      <c r="E23" s="18" t="n"/>
      <c r="F23" s="32" t="n"/>
      <c r="G23" s="32" t="n"/>
      <c r="H23" s="32" t="n"/>
      <c r="I23" s="17" t="n"/>
      <c r="J23" s="40" t="n"/>
      <c r="K23" s="18" t="n"/>
    </row>
    <row r="24">
      <c r="A24" s="20" t="n"/>
      <c r="B24" s="21" t="n"/>
      <c r="C24" s="21" t="n"/>
      <c r="D24" s="20" t="n"/>
      <c r="E24" s="21" t="n"/>
      <c r="F24" s="34" t="n"/>
      <c r="G24" s="34" t="n"/>
      <c r="H24" s="34" t="n"/>
      <c r="I24" s="20" t="n"/>
      <c r="J24" s="41" t="n"/>
      <c r="K24" s="21" t="n"/>
    </row>
    <row r="25">
      <c r="A25" s="17" t="n"/>
      <c r="B25" s="18" t="n"/>
      <c r="C25" s="18" t="n"/>
      <c r="D25" s="17" t="n"/>
      <c r="E25" s="18" t="n"/>
      <c r="F25" s="32" t="n"/>
      <c r="G25" s="32" t="n"/>
      <c r="H25" s="32" t="n"/>
      <c r="I25" s="17" t="n"/>
      <c r="J25" s="40" t="n"/>
      <c r="K25" s="18" t="n"/>
    </row>
    <row r="26">
      <c r="A26" s="20" t="n"/>
      <c r="B26" s="21" t="n"/>
      <c r="C26" s="21" t="n"/>
      <c r="D26" s="20" t="n"/>
      <c r="E26" s="21" t="n"/>
      <c r="F26" s="34" t="n"/>
      <c r="G26" s="34" t="n"/>
      <c r="H26" s="34" t="n"/>
      <c r="I26" s="20" t="n"/>
      <c r="J26" s="41" t="n"/>
      <c r="K26" s="21" t="n"/>
    </row>
    <row r="27">
      <c r="A27" s="17" t="n"/>
      <c r="B27" s="18" t="n"/>
      <c r="C27" s="18" t="n"/>
      <c r="D27" s="17" t="n"/>
      <c r="E27" s="18" t="n"/>
      <c r="F27" s="32" t="n"/>
      <c r="G27" s="32" t="n"/>
      <c r="H27" s="32" t="n"/>
      <c r="I27" s="17" t="n"/>
      <c r="J27" s="40" t="n"/>
      <c r="K27" s="18" t="n"/>
    </row>
    <row r="28">
      <c r="A28" s="20" t="n"/>
      <c r="B28" s="21" t="n"/>
      <c r="C28" s="21" t="n"/>
      <c r="D28" s="20" t="n"/>
      <c r="E28" s="21" t="n"/>
      <c r="F28" s="34" t="n"/>
      <c r="G28" s="34" t="n"/>
      <c r="H28" s="34" t="n"/>
      <c r="I28" s="20" t="n"/>
      <c r="J28" s="41" t="n"/>
      <c r="K28" s="21" t="n"/>
    </row>
    <row r="29">
      <c r="A29" s="17" t="n"/>
      <c r="B29" s="18" t="n"/>
      <c r="C29" s="18" t="n"/>
      <c r="D29" s="17" t="n"/>
      <c r="E29" s="18" t="n"/>
      <c r="F29" s="32" t="n"/>
      <c r="G29" s="32" t="n"/>
      <c r="H29" s="32" t="n"/>
      <c r="I29" s="17" t="n"/>
      <c r="J29" s="40" t="n"/>
      <c r="K29" s="18" t="n"/>
    </row>
    <row r="30">
      <c r="A30" s="20" t="n"/>
      <c r="B30" s="21" t="n"/>
      <c r="C30" s="21" t="n"/>
      <c r="D30" s="20" t="n"/>
      <c r="E30" s="21" t="n"/>
      <c r="F30" s="34" t="n"/>
      <c r="G30" s="34" t="n"/>
      <c r="H30" s="34" t="n"/>
      <c r="I30" s="20" t="n"/>
      <c r="J30" s="41" t="n"/>
      <c r="K30" s="21" t="n"/>
    </row>
    <row r="31">
      <c r="A31" s="17" t="n"/>
      <c r="B31" s="18" t="n"/>
      <c r="C31" s="18" t="n"/>
      <c r="D31" s="17" t="n"/>
      <c r="E31" s="18" t="n"/>
      <c r="F31" s="32" t="n"/>
      <c r="G31" s="32" t="n"/>
      <c r="H31" s="32" t="n"/>
      <c r="I31" s="17" t="n"/>
      <c r="J31" s="40" t="n"/>
      <c r="K31" s="18" t="n"/>
    </row>
    <row r="32">
      <c r="A32" s="20" t="n"/>
      <c r="B32" s="21" t="n"/>
      <c r="C32" s="21" t="n"/>
      <c r="D32" s="20" t="n"/>
      <c r="E32" s="21" t="n"/>
      <c r="F32" s="34" t="n"/>
      <c r="G32" s="34" t="n"/>
      <c r="H32" s="34" t="n"/>
      <c r="I32" s="20" t="n"/>
      <c r="J32" s="41" t="n"/>
      <c r="K32" s="21" t="n"/>
    </row>
    <row r="33">
      <c r="A33" s="17" t="n"/>
      <c r="B33" s="18" t="n"/>
      <c r="C33" s="18" t="n"/>
      <c r="D33" s="17" t="n"/>
      <c r="E33" s="18" t="n"/>
      <c r="F33" s="32" t="n"/>
      <c r="G33" s="32" t="n"/>
      <c r="H33" s="32" t="n"/>
      <c r="I33" s="17" t="n"/>
      <c r="J33" s="40" t="n"/>
      <c r="K33" s="18" t="n"/>
    </row>
    <row r="34">
      <c r="A34" s="20" t="n"/>
      <c r="B34" s="21" t="n"/>
      <c r="C34" s="21" t="n"/>
      <c r="D34" s="20" t="n"/>
      <c r="E34" s="21" t="n"/>
      <c r="F34" s="34" t="n"/>
      <c r="G34" s="34" t="n"/>
      <c r="H34" s="34" t="n"/>
      <c r="I34" s="20" t="n"/>
      <c r="J34" s="41" t="n"/>
      <c r="K34" s="21" t="n"/>
    </row>
  </sheetData>
  <mergeCells count="2">
    <mergeCell ref="A2:K2"/>
    <mergeCell ref="A1:K1"/>
  </mergeCells>
  <conditionalFormatting sqref="I5:I34">
    <cfRule type="cellIs" priority="1" operator="equal" dxfId="0">
      <formula>"Signed"</formula>
    </cfRule>
    <cfRule type="cellIs" priority="2" operator="equal" dxfId="2">
      <formula>"Pending"</formula>
    </cfRule>
  </conditionalFormatting>
  <conditionalFormatting sqref="J5:J34">
    <cfRule type="colorScale" priority="3">
      <colorScale>
        <cfvo type="num" val="1"/>
        <cfvo type="num" val="3"/>
        <cfvo type="num" val="5"/>
        <color rgb="FFFBE6E6"/>
        <color rgb="FFFFF3CD"/>
        <color rgb="FF75E6C1"/>
      </colorScale>
    </cfRule>
  </conditionalFormatting>
  <dataValidations count="2">
    <dataValidation sqref="A5:A34" showDropDown="0" showInputMessage="0" showErrorMessage="0" allowBlank="1" type="list">
      <formula1>=VendorTypeList</formula1>
    </dataValidation>
    <dataValidation sqref="I5:I34" showDropDown="0" showInputMessage="0" showErrorMessage="0" allowBlank="1" type="list">
      <formula1>=ContractList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B4F48"/>
    <outlinePr summaryBelow="1" summaryRight="1"/>
    <pageSetUpPr/>
  </sheetPr>
  <dimension ref="A1:I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12" customWidth="1" min="4" max="4"/>
    <col width="14" customWidth="1" min="5" max="5"/>
    <col width="22" customWidth="1" min="6" max="6"/>
    <col width="22" customWidth="1" min="7" max="7"/>
    <col width="14" customWidth="1" min="8" max="8"/>
    <col width="12" customWidth="1" min="9" max="9"/>
  </cols>
  <sheetData>
    <row r="1" ht="46" customHeight="1">
      <c r="A1" s="1" t="inlineStr">
        <is>
          <t xml:space="preserve">  ⚖  VENDOR COMPARISON</t>
        </is>
      </c>
    </row>
    <row r="2" ht="22" customHeight="1">
      <c r="A2" s="2" t="inlineStr">
        <is>
          <t xml:space="preserve">  Score candidates side by side — auto-ranked by weighted total.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30" customHeight="1">
      <c r="A4" s="16" t="inlineStr">
        <is>
          <t>Category</t>
        </is>
      </c>
      <c r="B4" s="16" t="inlineStr">
        <is>
          <t>Vendor</t>
        </is>
      </c>
      <c r="C4" s="16" t="inlineStr">
        <is>
          <t>Price</t>
        </is>
      </c>
      <c r="D4" s="16" t="inlineStr">
        <is>
          <t>Reviews</t>
        </is>
      </c>
      <c r="E4" s="16" t="inlineStr">
        <is>
          <t>Availability</t>
        </is>
      </c>
      <c r="F4" s="16" t="inlineStr">
        <is>
          <t>Package</t>
        </is>
      </c>
      <c r="G4" s="16" t="inlineStr">
        <is>
          <t>Pros / Cons</t>
        </is>
      </c>
      <c r="H4" s="16" t="inlineStr">
        <is>
          <t>Score</t>
        </is>
      </c>
      <c r="I4" s="16" t="inlineStr">
        <is>
          <t>Rank</t>
        </is>
      </c>
    </row>
    <row r="5">
      <c r="A5" s="17" t="inlineStr">
        <is>
          <t>Photographer</t>
        </is>
      </c>
      <c r="B5" s="18" t="inlineStr">
        <is>
          <t>Lumiere Photography</t>
        </is>
      </c>
      <c r="C5" s="32" t="n">
        <v>4500</v>
      </c>
      <c r="D5" s="42" t="n">
        <v>4.9</v>
      </c>
      <c r="E5" s="18" t="inlineStr">
        <is>
          <t>Available</t>
        </is>
      </c>
      <c r="F5" s="18" t="inlineStr">
        <is>
          <t>8hr + engagement</t>
        </is>
      </c>
      <c r="G5" s="18" t="inlineStr">
        <is>
          <t>Best portfolio / premium</t>
        </is>
      </c>
      <c r="H5" s="40" t="n">
        <v>95</v>
      </c>
      <c r="I5" s="40">
        <f>IF(H5="","",SUMPRODUCT(($A$5:$A$34=A5)*($H$5:$H$34&gt;H5))+1)</f>
        <v/>
      </c>
    </row>
    <row r="6">
      <c r="A6" s="20" t="inlineStr">
        <is>
          <t>Photographer</t>
        </is>
      </c>
      <c r="B6" s="21" t="inlineStr">
        <is>
          <t>Bright Frame Studio</t>
        </is>
      </c>
      <c r="C6" s="34" t="n">
        <v>3800</v>
      </c>
      <c r="D6" s="43" t="n">
        <v>4.6</v>
      </c>
      <c r="E6" s="21" t="inlineStr">
        <is>
          <t>Available</t>
        </is>
      </c>
      <c r="F6" s="21" t="inlineStr">
        <is>
          <t>7hr coverage</t>
        </is>
      </c>
      <c r="G6" s="21" t="inlineStr">
        <is>
          <t>Great value / no 2nd shooter</t>
        </is>
      </c>
      <c r="H6" s="41" t="n">
        <v>84</v>
      </c>
      <c r="I6" s="41">
        <f>IF(H6="","",SUMPRODUCT(($A$5:$A$34=A6)*($H$5:$H$34&gt;H6))+1)</f>
        <v/>
      </c>
    </row>
    <row r="7">
      <c r="A7" s="17" t="inlineStr">
        <is>
          <t>Photographer</t>
        </is>
      </c>
      <c r="B7" s="18" t="inlineStr">
        <is>
          <t>Aperture Co.</t>
        </is>
      </c>
      <c r="C7" s="32" t="n">
        <v>5200</v>
      </c>
      <c r="D7" s="42" t="n">
        <v>4.8</v>
      </c>
      <c r="E7" s="18" t="inlineStr">
        <is>
          <t>Waitlist</t>
        </is>
      </c>
      <c r="F7" s="18" t="inlineStr">
        <is>
          <t>10hr + album</t>
        </is>
      </c>
      <c r="G7" s="18" t="inlineStr">
        <is>
          <t>Luxe album / over budget</t>
        </is>
      </c>
      <c r="H7" s="40" t="n">
        <v>80</v>
      </c>
      <c r="I7" s="40">
        <f>IF(H7="","",SUMPRODUCT(($A$5:$A$34=A7)*($H$5:$H$34&gt;H7))+1)</f>
        <v/>
      </c>
    </row>
    <row r="8">
      <c r="A8" s="20" t="inlineStr">
        <is>
          <t>Florist</t>
        </is>
      </c>
      <c r="B8" s="21" t="inlineStr">
        <is>
          <t>Petal &amp; Stem</t>
        </is>
      </c>
      <c r="C8" s="34" t="n">
        <v>3300</v>
      </c>
      <c r="D8" s="43" t="n">
        <v>4.9</v>
      </c>
      <c r="E8" s="21" t="inlineStr">
        <is>
          <t>Available</t>
        </is>
      </c>
      <c r="F8" s="21" t="inlineStr">
        <is>
          <t>Full design</t>
        </is>
      </c>
      <c r="G8" s="21" t="inlineStr">
        <is>
          <t>Stunning / books fast</t>
        </is>
      </c>
      <c r="H8" s="41" t="n">
        <v>93</v>
      </c>
      <c r="I8" s="41">
        <f>IF(H8="","",SUMPRODUCT(($A$5:$A$34=A8)*($H$5:$H$34&gt;H8))+1)</f>
        <v/>
      </c>
    </row>
    <row r="9">
      <c r="A9" s="17" t="inlineStr">
        <is>
          <t>Florist</t>
        </is>
      </c>
      <c r="B9" s="18" t="inlineStr">
        <is>
          <t>Wildwood Blooms</t>
        </is>
      </c>
      <c r="C9" s="32" t="n">
        <v>2700</v>
      </c>
      <c r="D9" s="42" t="n">
        <v>4.4</v>
      </c>
      <c r="E9" s="18" t="inlineStr">
        <is>
          <t>Available</t>
        </is>
      </c>
      <c r="F9" s="18" t="inlineStr">
        <is>
          <t>Standard pkg</t>
        </is>
      </c>
      <c r="G9" s="18" t="inlineStr">
        <is>
          <t>Affordable / smaller team</t>
        </is>
      </c>
      <c r="H9" s="40" t="n">
        <v>79</v>
      </c>
      <c r="I9" s="40">
        <f>IF(H9="","",SUMPRODUCT(($A$5:$A$34=A9)*($H$5:$H$34&gt;H9))+1)</f>
        <v/>
      </c>
    </row>
    <row r="10">
      <c r="A10" s="20" t="inlineStr">
        <is>
          <t>DJ</t>
        </is>
      </c>
      <c r="B10" s="21" t="inlineStr">
        <is>
          <t>Skyline Entertainment</t>
        </is>
      </c>
      <c r="C10" s="34" t="n">
        <v>2500</v>
      </c>
      <c r="D10" s="43" t="n">
        <v>4.7</v>
      </c>
      <c r="E10" s="21" t="inlineStr">
        <is>
          <t>Available</t>
        </is>
      </c>
      <c r="F10" s="21" t="inlineStr">
        <is>
          <t>Ceremony+reception</t>
        </is>
      </c>
      <c r="G10" s="21" t="inlineStr">
        <is>
          <t>Great energy / add lighting</t>
        </is>
      </c>
      <c r="H10" s="41" t="n">
        <v>88</v>
      </c>
      <c r="I10" s="41">
        <f>IF(H10="","",SUMPRODUCT(($A$5:$A$34=A10)*($H$5:$H$34&gt;H10))+1)</f>
        <v/>
      </c>
    </row>
    <row r="11">
      <c r="A11" s="17" t="inlineStr">
        <is>
          <t>DJ</t>
        </is>
      </c>
      <c r="B11" s="18" t="inlineStr">
        <is>
          <t>Beat Collective</t>
        </is>
      </c>
      <c r="C11" s="32" t="n">
        <v>2100</v>
      </c>
      <c r="D11" s="42" t="n">
        <v>4.3</v>
      </c>
      <c r="E11" s="18" t="inlineStr">
        <is>
          <t>Available</t>
        </is>
      </c>
      <c r="F11" s="18" t="inlineStr">
        <is>
          <t>Reception only</t>
        </is>
      </c>
      <c r="G11" s="18" t="inlineStr">
        <is>
          <t>Budget / no ceremony</t>
        </is>
      </c>
      <c r="H11" s="40" t="n">
        <v>74</v>
      </c>
      <c r="I11" s="40">
        <f>IF(H11="","",SUMPRODUCT(($A$5:$A$34=A11)*($H$5:$H$34&gt;H11))+1)</f>
        <v/>
      </c>
    </row>
    <row r="12">
      <c r="A12" s="20" t="inlineStr">
        <is>
          <t>Caterer</t>
        </is>
      </c>
      <c r="B12" s="21" t="inlineStr">
        <is>
          <t>Grand Catering Group</t>
        </is>
      </c>
      <c r="C12" s="34" t="n">
        <v>9000</v>
      </c>
      <c r="D12" s="43" t="n">
        <v>4.8</v>
      </c>
      <c r="E12" s="21" t="inlineStr">
        <is>
          <t>Available</t>
        </is>
      </c>
      <c r="F12" s="21" t="inlineStr">
        <is>
          <t>Plated 140pax</t>
        </is>
      </c>
      <c r="G12" s="21" t="inlineStr">
        <is>
          <t>Excellent / premium</t>
        </is>
      </c>
      <c r="H12" s="41" t="n">
        <v>90</v>
      </c>
      <c r="I12" s="41">
        <f>IF(H12="","",SUMPRODUCT(($A$5:$A$34=A12)*($H$5:$H$34&gt;H12))+1)</f>
        <v/>
      </c>
    </row>
    <row r="13">
      <c r="A13" s="17" t="inlineStr">
        <is>
          <t>Caterer</t>
        </is>
      </c>
      <c r="B13" s="18" t="inlineStr">
        <is>
          <t>Harvest Table</t>
        </is>
      </c>
      <c r="C13" s="32" t="n">
        <v>7600</v>
      </c>
      <c r="D13" s="42" t="n">
        <v>4.5</v>
      </c>
      <c r="E13" s="18" t="inlineStr">
        <is>
          <t>Available</t>
        </is>
      </c>
      <c r="F13" s="18" t="inlineStr">
        <is>
          <t>Buffet 140pax</t>
        </is>
      </c>
      <c r="G13" s="18" t="inlineStr">
        <is>
          <t>Good value / buffet only</t>
        </is>
      </c>
      <c r="H13" s="40" t="n">
        <v>82</v>
      </c>
      <c r="I13" s="40">
        <f>IF(H13="","",SUMPRODUCT(($A$5:$A$34=A13)*($H$5:$H$34&gt;H13))+1)</f>
        <v/>
      </c>
    </row>
    <row r="14">
      <c r="A14" s="20" t="n"/>
      <c r="B14" s="21" t="n"/>
      <c r="C14" s="34" t="n"/>
      <c r="D14" s="43" t="n"/>
      <c r="E14" s="21" t="n"/>
      <c r="F14" s="21" t="n"/>
      <c r="G14" s="21" t="n"/>
      <c r="H14" s="41" t="n"/>
      <c r="I14" s="41">
        <f>IF(H14="","",SUMPRODUCT(($A$5:$A$34=A14)*($H$5:$H$34&gt;H14))+1)</f>
        <v/>
      </c>
    </row>
    <row r="15">
      <c r="A15" s="17" t="n"/>
      <c r="B15" s="18" t="n"/>
      <c r="C15" s="32" t="n"/>
      <c r="D15" s="42" t="n"/>
      <c r="E15" s="18" t="n"/>
      <c r="F15" s="18" t="n"/>
      <c r="G15" s="18" t="n"/>
      <c r="H15" s="40" t="n"/>
      <c r="I15" s="40">
        <f>IF(H15="","",SUMPRODUCT(($A$5:$A$34=A15)*($H$5:$H$34&gt;H15))+1)</f>
        <v/>
      </c>
    </row>
    <row r="16">
      <c r="A16" s="20" t="n"/>
      <c r="B16" s="21" t="n"/>
      <c r="C16" s="34" t="n"/>
      <c r="D16" s="43" t="n"/>
      <c r="E16" s="21" t="n"/>
      <c r="F16" s="21" t="n"/>
      <c r="G16" s="21" t="n"/>
      <c r="H16" s="41" t="n"/>
      <c r="I16" s="41">
        <f>IF(H16="","",SUMPRODUCT(($A$5:$A$34=A16)*($H$5:$H$34&gt;H16))+1)</f>
        <v/>
      </c>
    </row>
    <row r="17">
      <c r="A17" s="17" t="n"/>
      <c r="B17" s="18" t="n"/>
      <c r="C17" s="32" t="n"/>
      <c r="D17" s="42" t="n"/>
      <c r="E17" s="18" t="n"/>
      <c r="F17" s="18" t="n"/>
      <c r="G17" s="18" t="n"/>
      <c r="H17" s="40" t="n"/>
      <c r="I17" s="40">
        <f>IF(H17="","",SUMPRODUCT(($A$5:$A$34=A17)*($H$5:$H$34&gt;H17))+1)</f>
        <v/>
      </c>
    </row>
    <row r="18">
      <c r="A18" s="20" t="n"/>
      <c r="B18" s="21" t="n"/>
      <c r="C18" s="34" t="n"/>
      <c r="D18" s="43" t="n"/>
      <c r="E18" s="21" t="n"/>
      <c r="F18" s="21" t="n"/>
      <c r="G18" s="21" t="n"/>
      <c r="H18" s="41" t="n"/>
      <c r="I18" s="41">
        <f>IF(H18="","",SUMPRODUCT(($A$5:$A$34=A18)*($H$5:$H$34&gt;H18))+1)</f>
        <v/>
      </c>
    </row>
    <row r="19">
      <c r="A19" s="17" t="n"/>
      <c r="B19" s="18" t="n"/>
      <c r="C19" s="32" t="n"/>
      <c r="D19" s="42" t="n"/>
      <c r="E19" s="18" t="n"/>
      <c r="F19" s="18" t="n"/>
      <c r="G19" s="18" t="n"/>
      <c r="H19" s="40" t="n"/>
      <c r="I19" s="40">
        <f>IF(H19="","",SUMPRODUCT(($A$5:$A$34=A19)*($H$5:$H$34&gt;H19))+1)</f>
        <v/>
      </c>
    </row>
    <row r="20">
      <c r="A20" s="20" t="n"/>
      <c r="B20" s="21" t="n"/>
      <c r="C20" s="34" t="n"/>
      <c r="D20" s="43" t="n"/>
      <c r="E20" s="21" t="n"/>
      <c r="F20" s="21" t="n"/>
      <c r="G20" s="21" t="n"/>
      <c r="H20" s="41" t="n"/>
      <c r="I20" s="41">
        <f>IF(H20="","",SUMPRODUCT(($A$5:$A$34=A20)*($H$5:$H$34&gt;H20))+1)</f>
        <v/>
      </c>
    </row>
    <row r="21">
      <c r="A21" s="17" t="n"/>
      <c r="B21" s="18" t="n"/>
      <c r="C21" s="32" t="n"/>
      <c r="D21" s="42" t="n"/>
      <c r="E21" s="18" t="n"/>
      <c r="F21" s="18" t="n"/>
      <c r="G21" s="18" t="n"/>
      <c r="H21" s="40" t="n"/>
      <c r="I21" s="40">
        <f>IF(H21="","",SUMPRODUCT(($A$5:$A$34=A21)*($H$5:$H$34&gt;H21))+1)</f>
        <v/>
      </c>
    </row>
    <row r="22">
      <c r="A22" s="20" t="n"/>
      <c r="B22" s="21" t="n"/>
      <c r="C22" s="34" t="n"/>
      <c r="D22" s="43" t="n"/>
      <c r="E22" s="21" t="n"/>
      <c r="F22" s="21" t="n"/>
      <c r="G22" s="21" t="n"/>
      <c r="H22" s="41" t="n"/>
      <c r="I22" s="41">
        <f>IF(H22="","",SUMPRODUCT(($A$5:$A$34=A22)*($H$5:$H$34&gt;H22))+1)</f>
        <v/>
      </c>
    </row>
    <row r="23">
      <c r="A23" s="17" t="n"/>
      <c r="B23" s="18" t="n"/>
      <c r="C23" s="32" t="n"/>
      <c r="D23" s="42" t="n"/>
      <c r="E23" s="18" t="n"/>
      <c r="F23" s="18" t="n"/>
      <c r="G23" s="18" t="n"/>
      <c r="H23" s="40" t="n"/>
      <c r="I23" s="40">
        <f>IF(H23="","",SUMPRODUCT(($A$5:$A$34=A23)*($H$5:$H$34&gt;H23))+1)</f>
        <v/>
      </c>
    </row>
    <row r="24">
      <c r="A24" s="20" t="n"/>
      <c r="B24" s="21" t="n"/>
      <c r="C24" s="34" t="n"/>
      <c r="D24" s="43" t="n"/>
      <c r="E24" s="21" t="n"/>
      <c r="F24" s="21" t="n"/>
      <c r="G24" s="21" t="n"/>
      <c r="H24" s="41" t="n"/>
      <c r="I24" s="41">
        <f>IF(H24="","",SUMPRODUCT(($A$5:$A$34=A24)*($H$5:$H$34&gt;H24))+1)</f>
        <v/>
      </c>
    </row>
    <row r="25">
      <c r="A25" s="17" t="n"/>
      <c r="B25" s="18" t="n"/>
      <c r="C25" s="32" t="n"/>
      <c r="D25" s="42" t="n"/>
      <c r="E25" s="18" t="n"/>
      <c r="F25" s="18" t="n"/>
      <c r="G25" s="18" t="n"/>
      <c r="H25" s="40" t="n"/>
      <c r="I25" s="40">
        <f>IF(H25="","",SUMPRODUCT(($A$5:$A$34=A25)*($H$5:$H$34&gt;H25))+1)</f>
        <v/>
      </c>
    </row>
    <row r="26">
      <c r="A26" s="20" t="n"/>
      <c r="B26" s="21" t="n"/>
      <c r="C26" s="34" t="n"/>
      <c r="D26" s="43" t="n"/>
      <c r="E26" s="21" t="n"/>
      <c r="F26" s="21" t="n"/>
      <c r="G26" s="21" t="n"/>
      <c r="H26" s="41" t="n"/>
      <c r="I26" s="41">
        <f>IF(H26="","",SUMPRODUCT(($A$5:$A$34=A26)*($H$5:$H$34&gt;H26))+1)</f>
        <v/>
      </c>
    </row>
    <row r="27">
      <c r="A27" s="17" t="n"/>
      <c r="B27" s="18" t="n"/>
      <c r="C27" s="32" t="n"/>
      <c r="D27" s="42" t="n"/>
      <c r="E27" s="18" t="n"/>
      <c r="F27" s="18" t="n"/>
      <c r="G27" s="18" t="n"/>
      <c r="H27" s="40" t="n"/>
      <c r="I27" s="40">
        <f>IF(H27="","",SUMPRODUCT(($A$5:$A$34=A27)*($H$5:$H$34&gt;H27))+1)</f>
        <v/>
      </c>
    </row>
    <row r="28">
      <c r="A28" s="20" t="n"/>
      <c r="B28" s="21" t="n"/>
      <c r="C28" s="34" t="n"/>
      <c r="D28" s="43" t="n"/>
      <c r="E28" s="21" t="n"/>
      <c r="F28" s="21" t="n"/>
      <c r="G28" s="21" t="n"/>
      <c r="H28" s="41" t="n"/>
      <c r="I28" s="41">
        <f>IF(H28="","",SUMPRODUCT(($A$5:$A$34=A28)*($H$5:$H$34&gt;H28))+1)</f>
        <v/>
      </c>
    </row>
    <row r="29">
      <c r="A29" s="17" t="n"/>
      <c r="B29" s="18" t="n"/>
      <c r="C29" s="32" t="n"/>
      <c r="D29" s="42" t="n"/>
      <c r="E29" s="18" t="n"/>
      <c r="F29" s="18" t="n"/>
      <c r="G29" s="18" t="n"/>
      <c r="H29" s="40" t="n"/>
      <c r="I29" s="40">
        <f>IF(H29="","",SUMPRODUCT(($A$5:$A$34=A29)*($H$5:$H$34&gt;H29))+1)</f>
        <v/>
      </c>
    </row>
    <row r="30">
      <c r="A30" s="20" t="n"/>
      <c r="B30" s="21" t="n"/>
      <c r="C30" s="34" t="n"/>
      <c r="D30" s="43" t="n"/>
      <c r="E30" s="21" t="n"/>
      <c r="F30" s="21" t="n"/>
      <c r="G30" s="21" t="n"/>
      <c r="H30" s="41" t="n"/>
      <c r="I30" s="41">
        <f>IF(H30="","",SUMPRODUCT(($A$5:$A$34=A30)*($H$5:$H$34&gt;H30))+1)</f>
        <v/>
      </c>
    </row>
    <row r="31">
      <c r="A31" s="17" t="n"/>
      <c r="B31" s="18" t="n"/>
      <c r="C31" s="32" t="n"/>
      <c r="D31" s="42" t="n"/>
      <c r="E31" s="18" t="n"/>
      <c r="F31" s="18" t="n"/>
      <c r="G31" s="18" t="n"/>
      <c r="H31" s="40" t="n"/>
      <c r="I31" s="40">
        <f>IF(H31="","",SUMPRODUCT(($A$5:$A$34=A31)*($H$5:$H$34&gt;H31))+1)</f>
        <v/>
      </c>
    </row>
    <row r="32">
      <c r="A32" s="20" t="n"/>
      <c r="B32" s="21" t="n"/>
      <c r="C32" s="34" t="n"/>
      <c r="D32" s="43" t="n"/>
      <c r="E32" s="21" t="n"/>
      <c r="F32" s="21" t="n"/>
      <c r="G32" s="21" t="n"/>
      <c r="H32" s="41" t="n"/>
      <c r="I32" s="41">
        <f>IF(H32="","",SUMPRODUCT(($A$5:$A$34=A32)*($H$5:$H$34&gt;H32))+1)</f>
        <v/>
      </c>
    </row>
    <row r="33">
      <c r="A33" s="17" t="n"/>
      <c r="B33" s="18" t="n"/>
      <c r="C33" s="32" t="n"/>
      <c r="D33" s="42" t="n"/>
      <c r="E33" s="18" t="n"/>
      <c r="F33" s="18" t="n"/>
      <c r="G33" s="18" t="n"/>
      <c r="H33" s="40" t="n"/>
      <c r="I33" s="40">
        <f>IF(H33="","",SUMPRODUCT(($A$5:$A$34=A33)*($H$5:$H$34&gt;H33))+1)</f>
        <v/>
      </c>
    </row>
    <row r="34">
      <c r="A34" s="20" t="n"/>
      <c r="B34" s="21" t="n"/>
      <c r="C34" s="34" t="n"/>
      <c r="D34" s="43" t="n"/>
      <c r="E34" s="21" t="n"/>
      <c r="F34" s="21" t="n"/>
      <c r="G34" s="21" t="n"/>
      <c r="H34" s="41" t="n"/>
      <c r="I34" s="41">
        <f>IF(H34="","",SUMPRODUCT(($A$5:$A$34=A34)*($H$5:$H$34&gt;H34))+1)</f>
        <v/>
      </c>
    </row>
  </sheetData>
  <mergeCells count="2">
    <mergeCell ref="A1:I1"/>
    <mergeCell ref="A2:I2"/>
  </mergeCells>
  <conditionalFormatting sqref="H5:H34">
    <cfRule type="colorScale" priority="1">
      <colorScale>
        <cfvo type="num" val="60"/>
        <cfvo type="num" val="80"/>
        <cfvo type="num" val="100"/>
        <color rgb="FFFBE6E6"/>
        <color rgb="FFFFF3CD"/>
        <color rgb="FF75E6C1"/>
      </colorScale>
    </cfRule>
  </conditionalFormatting>
  <conditionalFormatting sqref="A5:I34">
    <cfRule type="expression" priority="2" dxfId="0">
      <formula>$I5=1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937356"/>
    <outlinePr summaryBelow="1" summaryRight="1"/>
    <pageSetUpPr/>
  </sheetPr>
  <dimension ref="A1:G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6" customWidth="1" min="4" max="4"/>
    <col width="16" customWidth="1" min="5" max="5"/>
    <col width="28" customWidth="1" min="6" max="6"/>
    <col width="24" customWidth="1" min="7" max="7"/>
  </cols>
  <sheetData>
    <row r="1" ht="46" customHeight="1">
      <c r="A1" s="1" t="inlineStr">
        <is>
          <t xml:space="preserve">  📄  CONTRACT TRACKER</t>
        </is>
      </c>
    </row>
    <row r="2" ht="22" customHeight="1">
      <c r="A2" s="2" t="inlineStr">
        <is>
          <t xml:space="preserve">  Signed, pending, insurance, and where each document lives.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16" t="inlineStr">
        <is>
          <t>Vendor</t>
        </is>
      </c>
      <c r="B4" s="16" t="inlineStr">
        <is>
          <t>Status</t>
        </is>
      </c>
      <c r="C4" s="16" t="inlineStr">
        <is>
          <t>Insurance</t>
        </is>
      </c>
      <c r="D4" s="16" t="inlineStr">
        <is>
          <t>Signed Date</t>
        </is>
      </c>
      <c r="E4" s="16" t="inlineStr">
        <is>
          <t>Due Date</t>
        </is>
      </c>
      <c r="F4" s="16" t="inlineStr">
        <is>
          <t>Storage Location</t>
        </is>
      </c>
      <c r="G4" s="16" t="inlineStr">
        <is>
          <t>Notes</t>
        </is>
      </c>
    </row>
    <row r="5">
      <c r="A5" s="18" t="inlineStr">
        <is>
          <t>The Hartwell Estate</t>
        </is>
      </c>
      <c r="B5" s="17" t="inlineStr">
        <is>
          <t>Signed</t>
        </is>
      </c>
      <c r="C5" s="17" t="inlineStr">
        <is>
          <t>Yes</t>
        </is>
      </c>
      <c r="D5" s="19" t="n">
        <v>46142</v>
      </c>
      <c r="E5" s="19" t="n">
        <v>46137</v>
      </c>
      <c r="F5" s="18" t="inlineStr">
        <is>
          <t>Drive / Contracts / Venue.pdf</t>
        </is>
      </c>
      <c r="G5" s="18" t="inlineStr">
        <is>
          <t>COI on file</t>
        </is>
      </c>
    </row>
    <row r="6">
      <c r="A6" s="21" t="inlineStr">
        <is>
          <t>Lumiere Photography</t>
        </is>
      </c>
      <c r="B6" s="20" t="inlineStr">
        <is>
          <t>Signed</t>
        </is>
      </c>
      <c r="C6" s="20" t="inlineStr">
        <is>
          <t>Yes</t>
        </is>
      </c>
      <c r="D6" s="22" t="n">
        <v>46162</v>
      </c>
      <c r="E6" s="22" t="n">
        <v>46157</v>
      </c>
      <c r="F6" s="21" t="inlineStr">
        <is>
          <t>Drive / Contracts / Photo.pdf</t>
        </is>
      </c>
      <c r="G6" s="21" t="inlineStr"/>
    </row>
    <row r="7">
      <c r="A7" s="18" t="inlineStr">
        <is>
          <t>Evergreen Films</t>
        </is>
      </c>
      <c r="B7" s="17" t="inlineStr">
        <is>
          <t>Signed</t>
        </is>
      </c>
      <c r="C7" s="17" t="inlineStr">
        <is>
          <t>Yes</t>
        </is>
      </c>
      <c r="D7" s="19" t="n">
        <v>46164</v>
      </c>
      <c r="E7" s="19" t="n">
        <v>46160</v>
      </c>
      <c r="F7" s="18" t="inlineStr">
        <is>
          <t>Drive / Contracts / Video.pdf</t>
        </is>
      </c>
      <c r="G7" s="18" t="inlineStr"/>
    </row>
    <row r="8">
      <c r="A8" s="21" t="inlineStr">
        <is>
          <t>Petal &amp; Stem</t>
        </is>
      </c>
      <c r="B8" s="20" t="inlineStr">
        <is>
          <t>Pending</t>
        </is>
      </c>
      <c r="C8" s="20" t="inlineStr">
        <is>
          <t>No</t>
        </is>
      </c>
      <c r="D8" s="22" t="n"/>
      <c r="E8" s="22" t="n">
        <v>46212</v>
      </c>
      <c r="F8" s="21" t="inlineStr">
        <is>
          <t>—</t>
        </is>
      </c>
      <c r="G8" s="21" t="inlineStr">
        <is>
          <t>Awaiting signature</t>
        </is>
      </c>
    </row>
    <row r="9">
      <c r="A9" s="18" t="inlineStr">
        <is>
          <t>Grand Catering Group</t>
        </is>
      </c>
      <c r="B9" s="17" t="inlineStr">
        <is>
          <t>Signed</t>
        </is>
      </c>
      <c r="C9" s="17" t="inlineStr">
        <is>
          <t>Yes</t>
        </is>
      </c>
      <c r="D9" s="19" t="n">
        <v>46172</v>
      </c>
      <c r="E9" s="19" t="n">
        <v>46167</v>
      </c>
      <c r="F9" s="18" t="inlineStr">
        <is>
          <t>Drive / Contracts / Catering.pdf</t>
        </is>
      </c>
      <c r="G9" s="18" t="inlineStr">
        <is>
          <t>Final count due 2wks</t>
        </is>
      </c>
    </row>
    <row r="10">
      <c r="A10" s="21" t="inlineStr">
        <is>
          <t>Skyline Entertainment</t>
        </is>
      </c>
      <c r="B10" s="20" t="inlineStr">
        <is>
          <t>Signed</t>
        </is>
      </c>
      <c r="C10" s="20" t="inlineStr">
        <is>
          <t>Yes</t>
        </is>
      </c>
      <c r="D10" s="22" t="n">
        <v>46177</v>
      </c>
      <c r="E10" s="22" t="n">
        <v>46172</v>
      </c>
      <c r="F10" s="21" t="inlineStr">
        <is>
          <t>Drive / Contracts / DJ.pdf</t>
        </is>
      </c>
      <c r="G10" s="21" t="inlineStr"/>
    </row>
    <row r="11">
      <c r="A11" s="18" t="inlineStr">
        <is>
          <t>Rev. Thomas Hale</t>
        </is>
      </c>
      <c r="B11" s="17" t="inlineStr">
        <is>
          <t>Pending</t>
        </is>
      </c>
      <c r="C11" s="17" t="inlineStr">
        <is>
          <t>No</t>
        </is>
      </c>
      <c r="D11" s="19" t="n"/>
      <c r="E11" s="19" t="n">
        <v>46216</v>
      </c>
      <c r="F11" s="18" t="inlineStr">
        <is>
          <t>—</t>
        </is>
      </c>
      <c r="G11" s="18" t="inlineStr">
        <is>
          <t>Reviewing script clause</t>
        </is>
      </c>
    </row>
    <row r="12">
      <c r="A12" s="21" t="inlineStr">
        <is>
          <t>Luxe Linens &amp; Rentals</t>
        </is>
      </c>
      <c r="B12" s="20" t="inlineStr">
        <is>
          <t>Signed</t>
        </is>
      </c>
      <c r="C12" s="20" t="inlineStr">
        <is>
          <t>Yes</t>
        </is>
      </c>
      <c r="D12" s="22" t="n">
        <v>46182</v>
      </c>
      <c r="E12" s="22" t="n">
        <v>46177</v>
      </c>
      <c r="F12" s="21" t="inlineStr">
        <is>
          <t>Drive / Contracts / Rentals.pdf</t>
        </is>
      </c>
      <c r="G12" s="21" t="inlineStr"/>
    </row>
    <row r="13">
      <c r="A13" s="18" t="inlineStr">
        <is>
          <t>Belle Bridal</t>
        </is>
      </c>
      <c r="B13" s="17" t="inlineStr">
        <is>
          <t>Sent</t>
        </is>
      </c>
      <c r="C13" s="17" t="inlineStr">
        <is>
          <t>No</t>
        </is>
      </c>
      <c r="D13" s="19" t="n"/>
      <c r="E13" s="19" t="n">
        <v>46209</v>
      </c>
      <c r="F13" s="18" t="inlineStr">
        <is>
          <t>Email inbox</t>
        </is>
      </c>
      <c r="G13" s="18" t="inlineStr">
        <is>
          <t>Sent for e-sign</t>
        </is>
      </c>
    </row>
    <row r="14">
      <c r="A14" s="21" t="n"/>
      <c r="B14" s="20" t="n"/>
      <c r="C14" s="20" t="n"/>
      <c r="D14" s="22" t="n"/>
      <c r="E14" s="22" t="n"/>
      <c r="F14" s="21" t="n"/>
      <c r="G14" s="21" t="n"/>
    </row>
    <row r="15">
      <c r="A15" s="18" t="n"/>
      <c r="B15" s="17" t="n"/>
      <c r="C15" s="17" t="n"/>
      <c r="D15" s="19" t="n"/>
      <c r="E15" s="19" t="n"/>
      <c r="F15" s="18" t="n"/>
      <c r="G15" s="18" t="n"/>
    </row>
    <row r="16">
      <c r="A16" s="21" t="n"/>
      <c r="B16" s="20" t="n"/>
      <c r="C16" s="20" t="n"/>
      <c r="D16" s="22" t="n"/>
      <c r="E16" s="22" t="n"/>
      <c r="F16" s="21" t="n"/>
      <c r="G16" s="21" t="n"/>
    </row>
    <row r="17">
      <c r="A17" s="18" t="n"/>
      <c r="B17" s="17" t="n"/>
      <c r="C17" s="17" t="n"/>
      <c r="D17" s="19" t="n"/>
      <c r="E17" s="19" t="n"/>
      <c r="F17" s="18" t="n"/>
      <c r="G17" s="18" t="n"/>
    </row>
    <row r="18">
      <c r="A18" s="21" t="n"/>
      <c r="B18" s="20" t="n"/>
      <c r="C18" s="20" t="n"/>
      <c r="D18" s="22" t="n"/>
      <c r="E18" s="22" t="n"/>
      <c r="F18" s="21" t="n"/>
      <c r="G18" s="21" t="n"/>
    </row>
    <row r="19">
      <c r="A19" s="18" t="n"/>
      <c r="B19" s="17" t="n"/>
      <c r="C19" s="17" t="n"/>
      <c r="D19" s="19" t="n"/>
      <c r="E19" s="19" t="n"/>
      <c r="F19" s="18" t="n"/>
      <c r="G19" s="18" t="n"/>
    </row>
    <row r="20">
      <c r="A20" s="21" t="n"/>
      <c r="B20" s="20" t="n"/>
      <c r="C20" s="20" t="n"/>
      <c r="D20" s="22" t="n"/>
      <c r="E20" s="22" t="n"/>
      <c r="F20" s="21" t="n"/>
      <c r="G20" s="21" t="n"/>
    </row>
    <row r="21">
      <c r="A21" s="18" t="n"/>
      <c r="B21" s="17" t="n"/>
      <c r="C21" s="17" t="n"/>
      <c r="D21" s="19" t="n"/>
      <c r="E21" s="19" t="n"/>
      <c r="F21" s="18" t="n"/>
      <c r="G21" s="18" t="n"/>
    </row>
    <row r="22">
      <c r="A22" s="21" t="n"/>
      <c r="B22" s="20" t="n"/>
      <c r="C22" s="20" t="n"/>
      <c r="D22" s="22" t="n"/>
      <c r="E22" s="22" t="n"/>
      <c r="F22" s="21" t="n"/>
      <c r="G22" s="21" t="n"/>
    </row>
    <row r="23">
      <c r="A23" s="18" t="n"/>
      <c r="B23" s="17" t="n"/>
      <c r="C23" s="17" t="n"/>
      <c r="D23" s="19" t="n"/>
      <c r="E23" s="19" t="n"/>
      <c r="F23" s="18" t="n"/>
      <c r="G23" s="18" t="n"/>
    </row>
    <row r="24">
      <c r="A24" s="21" t="n"/>
      <c r="B24" s="20" t="n"/>
      <c r="C24" s="20" t="n"/>
      <c r="D24" s="22" t="n"/>
      <c r="E24" s="22" t="n"/>
      <c r="F24" s="21" t="n"/>
      <c r="G24" s="21" t="n"/>
    </row>
    <row r="25">
      <c r="A25" s="18" t="n"/>
      <c r="B25" s="17" t="n"/>
      <c r="C25" s="17" t="n"/>
      <c r="D25" s="19" t="n"/>
      <c r="E25" s="19" t="n"/>
      <c r="F25" s="18" t="n"/>
      <c r="G25" s="18" t="n"/>
    </row>
    <row r="26">
      <c r="A26" s="21" t="n"/>
      <c r="B26" s="20" t="n"/>
      <c r="C26" s="20" t="n"/>
      <c r="D26" s="22" t="n"/>
      <c r="E26" s="22" t="n"/>
      <c r="F26" s="21" t="n"/>
      <c r="G26" s="21" t="n"/>
    </row>
    <row r="27">
      <c r="A27" s="18" t="n"/>
      <c r="B27" s="17" t="n"/>
      <c r="C27" s="17" t="n"/>
      <c r="D27" s="19" t="n"/>
      <c r="E27" s="19" t="n"/>
      <c r="F27" s="18" t="n"/>
      <c r="G27" s="18" t="n"/>
    </row>
    <row r="28">
      <c r="A28" s="21" t="n"/>
      <c r="B28" s="20" t="n"/>
      <c r="C28" s="20" t="n"/>
      <c r="D28" s="22" t="n"/>
      <c r="E28" s="22" t="n"/>
      <c r="F28" s="21" t="n"/>
      <c r="G28" s="21" t="n"/>
    </row>
    <row r="29">
      <c r="A29" s="18" t="n"/>
      <c r="B29" s="17" t="n"/>
      <c r="C29" s="17" t="n"/>
      <c r="D29" s="19" t="n"/>
      <c r="E29" s="19" t="n"/>
      <c r="F29" s="18" t="n"/>
      <c r="G29" s="18" t="n"/>
    </row>
    <row r="30">
      <c r="A30" s="21" t="n"/>
      <c r="B30" s="20" t="n"/>
      <c r="C30" s="20" t="n"/>
      <c r="D30" s="22" t="n"/>
      <c r="E30" s="22" t="n"/>
      <c r="F30" s="21" t="n"/>
      <c r="G30" s="21" t="n"/>
    </row>
    <row r="31">
      <c r="A31" s="18" t="n"/>
      <c r="B31" s="17" t="n"/>
      <c r="C31" s="17" t="n"/>
      <c r="D31" s="19" t="n"/>
      <c r="E31" s="19" t="n"/>
      <c r="F31" s="18" t="n"/>
      <c r="G31" s="18" t="n"/>
    </row>
    <row r="32">
      <c r="A32" s="21" t="n"/>
      <c r="B32" s="20" t="n"/>
      <c r="C32" s="20" t="n"/>
      <c r="D32" s="22" t="n"/>
      <c r="E32" s="22" t="n"/>
      <c r="F32" s="21" t="n"/>
      <c r="G32" s="21" t="n"/>
    </row>
    <row r="33">
      <c r="A33" s="18" t="n"/>
      <c r="B33" s="17" t="n"/>
      <c r="C33" s="17" t="n"/>
      <c r="D33" s="19" t="n"/>
      <c r="E33" s="19" t="n"/>
      <c r="F33" s="18" t="n"/>
      <c r="G33" s="18" t="n"/>
    </row>
    <row r="34">
      <c r="A34" s="21" t="n"/>
      <c r="B34" s="20" t="n"/>
      <c r="C34" s="20" t="n"/>
      <c r="D34" s="22" t="n"/>
      <c r="E34" s="22" t="n"/>
      <c r="F34" s="21" t="n"/>
      <c r="G34" s="21" t="n"/>
    </row>
  </sheetData>
  <mergeCells count="2">
    <mergeCell ref="A2:G2"/>
    <mergeCell ref="A1:G1"/>
  </mergeCells>
  <conditionalFormatting sqref="B5:B34">
    <cfRule type="cellIs" priority="1" operator="equal" dxfId="0">
      <formula>"Signed"</formula>
    </cfRule>
    <cfRule type="cellIs" priority="2" operator="equal" dxfId="1">
      <formula>"Pending"</formula>
    </cfRule>
  </conditionalFormatting>
  <dataValidations count="2">
    <dataValidation sqref="B5:B34" showDropDown="0" showInputMessage="0" showErrorMessage="0" allowBlank="1" type="list">
      <formula1>=ContractList</formula1>
    </dataValidation>
    <dataValidation sqref="C5:C34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5E6C1"/>
    <outlinePr summaryBelow="1" summaryRight="1"/>
    <pageSetUpPr/>
  </sheetPr>
  <dimension ref="A1:O20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6" customWidth="1" min="3" max="3"/>
    <col width="22" customWidth="1" min="4" max="4"/>
    <col width="14" customWidth="1" min="5" max="5"/>
    <col width="10" customWidth="1" min="6" max="6"/>
    <col width="14" customWidth="1" min="7" max="7"/>
    <col width="12" customWidth="1" min="8" max="8"/>
    <col width="14" customWidth="1" min="9" max="9"/>
    <col width="10" customWidth="1" min="10" max="10"/>
    <col width="12" customWidth="1" min="11" max="11"/>
    <col width="14" customWidth="1" min="12" max="12"/>
    <col width="12" customWidth="1" min="13" max="13"/>
    <col width="12" customWidth="1" min="14" max="14"/>
    <col width="20" customWidth="1" min="15" max="15"/>
  </cols>
  <sheetData>
    <row r="1" ht="46" customHeight="1">
      <c r="A1" s="1" t="inlineStr">
        <is>
          <t xml:space="preserve">  👥  GUEST CRM</t>
        </is>
      </c>
    </row>
    <row r="2" ht="22" customHeight="1">
      <c r="A2" s="2" t="inlineStr">
        <is>
          <t xml:space="preserve">  The master guest database — RSVP, meals, gifts, logistics.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 ht="30" customHeight="1">
      <c r="A4" s="16" t="inlineStr">
        <is>
          <t>Guest</t>
        </is>
      </c>
      <c r="B4" s="16" t="inlineStr">
        <is>
          <t>Family</t>
        </is>
      </c>
      <c r="C4" s="16" t="inlineStr">
        <is>
          <t>Address</t>
        </is>
      </c>
      <c r="D4" s="16" t="inlineStr">
        <is>
          <t>Email</t>
        </is>
      </c>
      <c r="E4" s="16" t="inlineStr">
        <is>
          <t>Phone</t>
        </is>
      </c>
      <c r="F4" s="16" t="inlineStr">
        <is>
          <t>Invited</t>
        </is>
      </c>
      <c r="G4" s="16" t="inlineStr">
        <is>
          <t>RSVP</t>
        </is>
      </c>
      <c r="H4" s="16" t="inlineStr">
        <is>
          <t># Seats</t>
        </is>
      </c>
      <c r="I4" s="16" t="inlineStr">
        <is>
          <t>Meal</t>
        </is>
      </c>
      <c r="J4" s="16" t="inlineStr">
        <is>
          <t>Kids</t>
        </is>
      </c>
      <c r="K4" s="16" t="inlineStr">
        <is>
          <t>Gift</t>
        </is>
      </c>
      <c r="L4" s="16" t="inlineStr">
        <is>
          <t>Thank-You</t>
        </is>
      </c>
      <c r="M4" s="16" t="inlineStr">
        <is>
          <t>Hotel</t>
        </is>
      </c>
      <c r="N4" s="16" t="inlineStr">
        <is>
          <t>Transport</t>
        </is>
      </c>
      <c r="O4" s="16" t="inlineStr">
        <is>
          <t>Notes</t>
        </is>
      </c>
    </row>
    <row r="5">
      <c r="A5" s="18" t="inlineStr">
        <is>
          <t>Linda Bennett</t>
        </is>
      </c>
      <c r="B5" s="18" t="inlineStr">
        <is>
          <t>Bennett</t>
        </is>
      </c>
      <c r="C5" s="18" t="inlineStr">
        <is>
          <t>12 Rose Ln, Springfield</t>
        </is>
      </c>
      <c r="D5" s="18" t="inlineStr">
        <is>
          <t>linda@ex.com</t>
        </is>
      </c>
      <c r="E5" s="17" t="inlineStr">
        <is>
          <t>(555) 412-7833</t>
        </is>
      </c>
      <c r="F5" s="17" t="inlineStr">
        <is>
          <t>Yes</t>
        </is>
      </c>
      <c r="G5" s="17" t="inlineStr">
        <is>
          <t>Accepted</t>
        </is>
      </c>
      <c r="H5" s="40" t="n">
        <v>2</v>
      </c>
      <c r="I5" s="17" t="inlineStr">
        <is>
          <t>Beef</t>
        </is>
      </c>
      <c r="J5" s="17" t="inlineStr">
        <is>
          <t>No</t>
        </is>
      </c>
      <c r="K5" s="17" t="inlineStr">
        <is>
          <t>Yes</t>
        </is>
      </c>
      <c r="L5" s="17" t="inlineStr">
        <is>
          <t>No</t>
        </is>
      </c>
      <c r="M5" s="17" t="inlineStr">
        <is>
          <t>No</t>
        </is>
      </c>
      <c r="N5" s="17" t="inlineStr">
        <is>
          <t>No</t>
        </is>
      </c>
      <c r="O5" s="18" t="inlineStr">
        <is>
          <t>Mother of bride</t>
        </is>
      </c>
    </row>
    <row r="6">
      <c r="A6" s="21" t="inlineStr">
        <is>
          <t>Robert Bennett</t>
        </is>
      </c>
      <c r="B6" s="21" t="inlineStr">
        <is>
          <t>Bennett</t>
        </is>
      </c>
      <c r="C6" s="21" t="inlineStr">
        <is>
          <t>12 Rose Ln, Springfield</t>
        </is>
      </c>
      <c r="D6" s="21" t="inlineStr">
        <is>
          <t>rob@ex.com</t>
        </is>
      </c>
      <c r="E6" s="20" t="inlineStr">
        <is>
          <t>(555) 412-7834</t>
        </is>
      </c>
      <c r="F6" s="20" t="inlineStr">
        <is>
          <t>Yes</t>
        </is>
      </c>
      <c r="G6" s="20" t="inlineStr">
        <is>
          <t>Accepted</t>
        </is>
      </c>
      <c r="H6" s="41" t="n">
        <v>2</v>
      </c>
      <c r="I6" s="20" t="inlineStr">
        <is>
          <t>Fish</t>
        </is>
      </c>
      <c r="J6" s="20" t="inlineStr">
        <is>
          <t>No</t>
        </is>
      </c>
      <c r="K6" s="20" t="inlineStr">
        <is>
          <t>Yes</t>
        </is>
      </c>
      <c r="L6" s="20" t="inlineStr">
        <is>
          <t>No</t>
        </is>
      </c>
      <c r="M6" s="20" t="inlineStr">
        <is>
          <t>No</t>
        </is>
      </c>
      <c r="N6" s="20" t="inlineStr">
        <is>
          <t>No</t>
        </is>
      </c>
      <c r="O6" s="21" t="inlineStr">
        <is>
          <t>Father of bride</t>
        </is>
      </c>
    </row>
    <row r="7">
      <c r="A7" s="18" t="inlineStr">
        <is>
          <t>Daniel Carter</t>
        </is>
      </c>
      <c r="B7" s="18" t="inlineStr">
        <is>
          <t>Carter</t>
        </is>
      </c>
      <c r="C7" s="18" t="inlineStr">
        <is>
          <t>88 Oak St, Rivertown</t>
        </is>
      </c>
      <c r="D7" s="18" t="inlineStr">
        <is>
          <t>dan@ex.com</t>
        </is>
      </c>
      <c r="E7" s="17" t="inlineStr">
        <is>
          <t>(555) 901-2271</t>
        </is>
      </c>
      <c r="F7" s="17" t="inlineStr">
        <is>
          <t>Yes</t>
        </is>
      </c>
      <c r="G7" s="17" t="inlineStr">
        <is>
          <t>Accepted</t>
        </is>
      </c>
      <c r="H7" s="40" t="n">
        <v>1</v>
      </c>
      <c r="I7" s="17" t="inlineStr">
        <is>
          <t>Chicken</t>
        </is>
      </c>
      <c r="J7" s="17" t="inlineStr">
        <is>
          <t>No</t>
        </is>
      </c>
      <c r="K7" s="17" t="inlineStr">
        <is>
          <t>No</t>
        </is>
      </c>
      <c r="L7" s="17" t="inlineStr">
        <is>
          <t>No</t>
        </is>
      </c>
      <c r="M7" s="17" t="inlineStr">
        <is>
          <t>Yes</t>
        </is>
      </c>
      <c r="N7" s="17" t="inlineStr">
        <is>
          <t>Yes</t>
        </is>
      </c>
      <c r="O7" s="18" t="inlineStr">
        <is>
          <t>Best man</t>
        </is>
      </c>
    </row>
    <row r="8">
      <c r="A8" s="21" t="inlineStr">
        <is>
          <t>Emily Bennett</t>
        </is>
      </c>
      <c r="B8" s="21" t="inlineStr">
        <is>
          <t>Bennett</t>
        </is>
      </c>
      <c r="C8" s="21" t="inlineStr">
        <is>
          <t>5 Lake Dr, Springfield</t>
        </is>
      </c>
      <c r="D8" s="21" t="inlineStr">
        <is>
          <t>emily@ex.com</t>
        </is>
      </c>
      <c r="E8" s="20" t="inlineStr">
        <is>
          <t>(555) 412-7799</t>
        </is>
      </c>
      <c r="F8" s="20" t="inlineStr">
        <is>
          <t>Yes</t>
        </is>
      </c>
      <c r="G8" s="20" t="inlineStr">
        <is>
          <t>Accepted</t>
        </is>
      </c>
      <c r="H8" s="41" t="n">
        <v>1</v>
      </c>
      <c r="I8" s="20" t="inlineStr">
        <is>
          <t>Vegetarian</t>
        </is>
      </c>
      <c r="J8" s="20" t="inlineStr">
        <is>
          <t>No</t>
        </is>
      </c>
      <c r="K8" s="20" t="inlineStr">
        <is>
          <t>Yes</t>
        </is>
      </c>
      <c r="L8" s="20" t="inlineStr">
        <is>
          <t>No</t>
        </is>
      </c>
      <c r="M8" s="20" t="inlineStr">
        <is>
          <t>No</t>
        </is>
      </c>
      <c r="N8" s="20" t="inlineStr">
        <is>
          <t>No</t>
        </is>
      </c>
      <c r="O8" s="21" t="inlineStr">
        <is>
          <t>Maid of honor</t>
        </is>
      </c>
    </row>
    <row r="9">
      <c r="A9" s="18" t="inlineStr">
        <is>
          <t>Sophia &amp; Marc Lane</t>
        </is>
      </c>
      <c r="B9" s="18" t="inlineStr">
        <is>
          <t>Lane</t>
        </is>
      </c>
      <c r="C9" s="18" t="inlineStr">
        <is>
          <t>240 Hill Rd, Metro</t>
        </is>
      </c>
      <c r="D9" s="18" t="inlineStr">
        <is>
          <t>sophia@ex.com</t>
        </is>
      </c>
      <c r="E9" s="17" t="inlineStr">
        <is>
          <t>(555) 200-8841</t>
        </is>
      </c>
      <c r="F9" s="17" t="inlineStr">
        <is>
          <t>Yes</t>
        </is>
      </c>
      <c r="G9" s="17" t="inlineStr">
        <is>
          <t>Accepted</t>
        </is>
      </c>
      <c r="H9" s="40" t="n">
        <v>2</v>
      </c>
      <c r="I9" s="17" t="inlineStr">
        <is>
          <t>Beef</t>
        </is>
      </c>
      <c r="J9" s="17" t="inlineStr">
        <is>
          <t>No</t>
        </is>
      </c>
      <c r="K9" s="17" t="inlineStr">
        <is>
          <t>No</t>
        </is>
      </c>
      <c r="L9" s="17" t="inlineStr">
        <is>
          <t>No</t>
        </is>
      </c>
      <c r="M9" s="17" t="inlineStr">
        <is>
          <t>Yes</t>
        </is>
      </c>
      <c r="N9" s="17" t="inlineStr">
        <is>
          <t>No</t>
        </is>
      </c>
      <c r="O9" s="18" t="inlineStr">
        <is>
          <t>Planner + guest</t>
        </is>
      </c>
    </row>
    <row r="10">
      <c r="A10" s="21" t="inlineStr">
        <is>
          <t>Grandma Rose</t>
        </is>
      </c>
      <c r="B10" s="21" t="inlineStr">
        <is>
          <t>Bennett</t>
        </is>
      </c>
      <c r="C10" s="21" t="inlineStr">
        <is>
          <t>12 Rose Ln, Springfield</t>
        </is>
      </c>
      <c r="D10" s="21" t="inlineStr">
        <is>
          <t>—</t>
        </is>
      </c>
      <c r="E10" s="20" t="inlineStr">
        <is>
          <t>(555) 412-1900</t>
        </is>
      </c>
      <c r="F10" s="20" t="inlineStr">
        <is>
          <t>Yes</t>
        </is>
      </c>
      <c r="G10" s="20" t="inlineStr">
        <is>
          <t>Accepted</t>
        </is>
      </c>
      <c r="H10" s="41" t="n">
        <v>1</v>
      </c>
      <c r="I10" s="20" t="inlineStr">
        <is>
          <t>Fish</t>
        </is>
      </c>
      <c r="J10" s="20" t="inlineStr">
        <is>
          <t>No</t>
        </is>
      </c>
      <c r="K10" s="20" t="inlineStr">
        <is>
          <t>Yes</t>
        </is>
      </c>
      <c r="L10" s="20" t="inlineStr">
        <is>
          <t>No</t>
        </is>
      </c>
      <c r="M10" s="20" t="inlineStr">
        <is>
          <t>No</t>
        </is>
      </c>
      <c r="N10" s="20" t="inlineStr">
        <is>
          <t>Yes</t>
        </is>
      </c>
      <c r="O10" s="21" t="inlineStr">
        <is>
          <t>Needs accessible seating</t>
        </is>
      </c>
    </row>
    <row r="11">
      <c r="A11" s="18" t="inlineStr">
        <is>
          <t>The Hartleys</t>
        </is>
      </c>
      <c r="B11" s="18" t="inlineStr">
        <is>
          <t>Hartley</t>
        </is>
      </c>
      <c r="C11" s="18" t="inlineStr">
        <is>
          <t>31 Pine Ave, Metro</t>
        </is>
      </c>
      <c r="D11" s="18" t="inlineStr">
        <is>
          <t>hartley@ex.com</t>
        </is>
      </c>
      <c r="E11" s="17" t="inlineStr">
        <is>
          <t>(555) 388-2210</t>
        </is>
      </c>
      <c r="F11" s="17" t="inlineStr">
        <is>
          <t>Yes</t>
        </is>
      </c>
      <c r="G11" s="17" t="inlineStr">
        <is>
          <t>Pending</t>
        </is>
      </c>
      <c r="H11" s="40" t="n">
        <v>4</v>
      </c>
      <c r="I11" s="17" t="inlineStr">
        <is>
          <t>None</t>
        </is>
      </c>
      <c r="J11" s="17" t="inlineStr">
        <is>
          <t>Yes</t>
        </is>
      </c>
      <c r="K11" s="17" t="inlineStr">
        <is>
          <t>No</t>
        </is>
      </c>
      <c r="L11" s="17" t="inlineStr">
        <is>
          <t>No</t>
        </is>
      </c>
      <c r="M11" s="17" t="inlineStr">
        <is>
          <t>No</t>
        </is>
      </c>
      <c r="N11" s="17" t="inlineStr">
        <is>
          <t>No</t>
        </is>
      </c>
      <c r="O11" s="18" t="inlineStr">
        <is>
          <t>Family of 4, 2 kids</t>
        </is>
      </c>
    </row>
    <row r="12">
      <c r="A12" s="21" t="inlineStr">
        <is>
          <t>Aiden Brooks</t>
        </is>
      </c>
      <c r="B12" s="21" t="inlineStr">
        <is>
          <t>Brooks</t>
        </is>
      </c>
      <c r="C12" s="21" t="inlineStr">
        <is>
          <t>210 North Ave, Rivertown</t>
        </is>
      </c>
      <c r="D12" s="21" t="inlineStr">
        <is>
          <t>aiden@ex.com</t>
        </is>
      </c>
      <c r="E12" s="20" t="inlineStr">
        <is>
          <t>(555) 901-2272</t>
        </is>
      </c>
      <c r="F12" s="20" t="inlineStr">
        <is>
          <t>Yes</t>
        </is>
      </c>
      <c r="G12" s="20" t="inlineStr">
        <is>
          <t>Declined</t>
        </is>
      </c>
      <c r="H12" s="41" t="n">
        <v>0</v>
      </c>
      <c r="I12" s="20" t="inlineStr">
        <is>
          <t>None</t>
        </is>
      </c>
      <c r="J12" s="20" t="inlineStr">
        <is>
          <t>No</t>
        </is>
      </c>
      <c r="K12" s="20" t="inlineStr">
        <is>
          <t>No</t>
        </is>
      </c>
      <c r="L12" s="20" t="inlineStr">
        <is>
          <t>No</t>
        </is>
      </c>
      <c r="M12" s="20" t="inlineStr">
        <is>
          <t>No</t>
        </is>
      </c>
      <c r="N12" s="20" t="inlineStr">
        <is>
          <t>No</t>
        </is>
      </c>
      <c r="O12" s="21" t="inlineStr">
        <is>
          <t>Out of town</t>
        </is>
      </c>
    </row>
    <row r="13">
      <c r="A13" s="18" t="inlineStr">
        <is>
          <t>Maya Rivera</t>
        </is>
      </c>
      <c r="B13" s="18" t="inlineStr">
        <is>
          <t>Rivera</t>
        </is>
      </c>
      <c r="C13" s="18" t="inlineStr">
        <is>
          <t>1500 River Rd, Metro</t>
        </is>
      </c>
      <c r="D13" s="18" t="inlineStr">
        <is>
          <t>maya@ex.com</t>
        </is>
      </c>
      <c r="E13" s="17" t="inlineStr">
        <is>
          <t>(555) 412-7000</t>
        </is>
      </c>
      <c r="F13" s="17" t="inlineStr">
        <is>
          <t>Yes</t>
        </is>
      </c>
      <c r="G13" s="17" t="inlineStr">
        <is>
          <t>Accepted</t>
        </is>
      </c>
      <c r="H13" s="40" t="n">
        <v>2</v>
      </c>
      <c r="I13" s="17" t="inlineStr">
        <is>
          <t>Chicken</t>
        </is>
      </c>
      <c r="J13" s="17" t="inlineStr">
        <is>
          <t>No</t>
        </is>
      </c>
      <c r="K13" s="17" t="inlineStr">
        <is>
          <t>No</t>
        </is>
      </c>
      <c r="L13" s="17" t="inlineStr">
        <is>
          <t>No</t>
        </is>
      </c>
      <c r="M13" s="17" t="inlineStr">
        <is>
          <t>Yes</t>
        </is>
      </c>
      <c r="N13" s="17" t="inlineStr">
        <is>
          <t>No</t>
        </is>
      </c>
      <c r="O13" s="18" t="inlineStr">
        <is>
          <t>College friend</t>
        </is>
      </c>
    </row>
    <row r="14">
      <c r="A14" s="21" t="inlineStr">
        <is>
          <t>The Patels</t>
        </is>
      </c>
      <c r="B14" s="21" t="inlineStr">
        <is>
          <t>Patel</t>
        </is>
      </c>
      <c r="C14" s="21" t="inlineStr">
        <is>
          <t>77 Cedar Blvd, Metro</t>
        </is>
      </c>
      <c r="D14" s="21" t="inlineStr">
        <is>
          <t>patel@ex.com</t>
        </is>
      </c>
      <c r="E14" s="20" t="inlineStr">
        <is>
          <t>(555) 412-9032</t>
        </is>
      </c>
      <c r="F14" s="20" t="inlineStr">
        <is>
          <t>Yes</t>
        </is>
      </c>
      <c r="G14" s="20" t="inlineStr">
        <is>
          <t>Accepted</t>
        </is>
      </c>
      <c r="H14" s="41" t="n">
        <v>3</v>
      </c>
      <c r="I14" s="20" t="inlineStr">
        <is>
          <t>Vegan</t>
        </is>
      </c>
      <c r="J14" s="20" t="inlineStr">
        <is>
          <t>Yes</t>
        </is>
      </c>
      <c r="K14" s="20" t="inlineStr">
        <is>
          <t>No</t>
        </is>
      </c>
      <c r="L14" s="20" t="inlineStr">
        <is>
          <t>No</t>
        </is>
      </c>
      <c r="M14" s="20" t="inlineStr">
        <is>
          <t>Yes</t>
        </is>
      </c>
      <c r="N14" s="20" t="inlineStr">
        <is>
          <t>Yes</t>
        </is>
      </c>
      <c r="O14" s="21" t="inlineStr">
        <is>
          <t>1 child, vegan family</t>
        </is>
      </c>
    </row>
    <row r="15">
      <c r="A15" s="18" t="inlineStr">
        <is>
          <t>Olivia Reed</t>
        </is>
      </c>
      <c r="B15" s="18" t="inlineStr">
        <is>
          <t>Reed</t>
        </is>
      </c>
      <c r="C15" s="18" t="inlineStr">
        <is>
          <t>9 Maple Ct, Springfield</t>
        </is>
      </c>
      <c r="D15" s="18" t="inlineStr">
        <is>
          <t>olivia@ex.com</t>
        </is>
      </c>
      <c r="E15" s="17" t="inlineStr">
        <is>
          <t>(555) 200-2244</t>
        </is>
      </c>
      <c r="F15" s="17" t="inlineStr">
        <is>
          <t>Yes</t>
        </is>
      </c>
      <c r="G15" s="17" t="inlineStr">
        <is>
          <t>Pending</t>
        </is>
      </c>
      <c r="H15" s="40" t="n">
        <v>1</v>
      </c>
      <c r="I15" s="17" t="inlineStr">
        <is>
          <t>None</t>
        </is>
      </c>
      <c r="J15" s="17" t="inlineStr">
        <is>
          <t>No</t>
        </is>
      </c>
      <c r="K15" s="17" t="inlineStr">
        <is>
          <t>No</t>
        </is>
      </c>
      <c r="L15" s="17" t="inlineStr">
        <is>
          <t>No</t>
        </is>
      </c>
      <c r="M15" s="17" t="inlineStr">
        <is>
          <t>No</t>
        </is>
      </c>
      <c r="N15" s="17" t="inlineStr">
        <is>
          <t>No</t>
        </is>
      </c>
      <c r="O15" s="18" t="inlineStr">
        <is>
          <t>Work friend</t>
        </is>
      </c>
    </row>
    <row r="16">
      <c r="A16" s="21" t="inlineStr">
        <is>
          <t>James Sr. &amp; Carol Carter</t>
        </is>
      </c>
      <c r="B16" s="21" t="inlineStr">
        <is>
          <t>Carter</t>
        </is>
      </c>
      <c r="C16" s="21" t="inlineStr">
        <is>
          <t>88 Oak St, Rivertown</t>
        </is>
      </c>
      <c r="D16" s="21" t="inlineStr">
        <is>
          <t>carol@ex.com</t>
        </is>
      </c>
      <c r="E16" s="20" t="inlineStr">
        <is>
          <t>(555) 901-0000</t>
        </is>
      </c>
      <c r="F16" s="20" t="inlineStr">
        <is>
          <t>Yes</t>
        </is>
      </c>
      <c r="G16" s="20" t="inlineStr">
        <is>
          <t>Accepted</t>
        </is>
      </c>
      <c r="H16" s="41" t="n">
        <v>2</v>
      </c>
      <c r="I16" s="20" t="inlineStr">
        <is>
          <t>Beef</t>
        </is>
      </c>
      <c r="J16" s="20" t="inlineStr">
        <is>
          <t>No</t>
        </is>
      </c>
      <c r="K16" s="20" t="inlineStr">
        <is>
          <t>Yes</t>
        </is>
      </c>
      <c r="L16" s="20" t="inlineStr">
        <is>
          <t>No</t>
        </is>
      </c>
      <c r="M16" s="20" t="inlineStr">
        <is>
          <t>Yes</t>
        </is>
      </c>
      <c r="N16" s="20" t="inlineStr">
        <is>
          <t>Yes</t>
        </is>
      </c>
      <c r="O16" s="21" t="inlineStr">
        <is>
          <t>Parents of groom</t>
        </is>
      </c>
    </row>
    <row r="17">
      <c r="A17" s="18" t="n"/>
      <c r="B17" s="18" t="n"/>
      <c r="C17" s="18" t="n"/>
      <c r="D17" s="18" t="n"/>
      <c r="E17" s="17" t="n"/>
      <c r="F17" s="17" t="n"/>
      <c r="G17" s="17" t="n"/>
      <c r="H17" s="40" t="n"/>
      <c r="I17" s="17" t="n"/>
      <c r="J17" s="17" t="n"/>
      <c r="K17" s="17" t="n"/>
      <c r="L17" s="17" t="n"/>
      <c r="M17" s="17" t="n"/>
      <c r="N17" s="17" t="n"/>
      <c r="O17" s="18" t="n"/>
    </row>
    <row r="18">
      <c r="A18" s="21" t="n"/>
      <c r="B18" s="21" t="n"/>
      <c r="C18" s="21" t="n"/>
      <c r="D18" s="21" t="n"/>
      <c r="E18" s="20" t="n"/>
      <c r="F18" s="20" t="n"/>
      <c r="G18" s="20" t="n"/>
      <c r="H18" s="41" t="n"/>
      <c r="I18" s="20" t="n"/>
      <c r="J18" s="20" t="n"/>
      <c r="K18" s="20" t="n"/>
      <c r="L18" s="20" t="n"/>
      <c r="M18" s="20" t="n"/>
      <c r="N18" s="20" t="n"/>
      <c r="O18" s="21" t="n"/>
    </row>
    <row r="19">
      <c r="A19" s="18" t="n"/>
      <c r="B19" s="18" t="n"/>
      <c r="C19" s="18" t="n"/>
      <c r="D19" s="18" t="n"/>
      <c r="E19" s="17" t="n"/>
      <c r="F19" s="17" t="n"/>
      <c r="G19" s="17" t="n"/>
      <c r="H19" s="40" t="n"/>
      <c r="I19" s="17" t="n"/>
      <c r="J19" s="17" t="n"/>
      <c r="K19" s="17" t="n"/>
      <c r="L19" s="17" t="n"/>
      <c r="M19" s="17" t="n"/>
      <c r="N19" s="17" t="n"/>
      <c r="O19" s="18" t="n"/>
    </row>
    <row r="20">
      <c r="A20" s="21" t="n"/>
      <c r="B20" s="21" t="n"/>
      <c r="C20" s="21" t="n"/>
      <c r="D20" s="21" t="n"/>
      <c r="E20" s="20" t="n"/>
      <c r="F20" s="20" t="n"/>
      <c r="G20" s="20" t="n"/>
      <c r="H20" s="41" t="n"/>
      <c r="I20" s="20" t="n"/>
      <c r="J20" s="20" t="n"/>
      <c r="K20" s="20" t="n"/>
      <c r="L20" s="20" t="n"/>
      <c r="M20" s="20" t="n"/>
      <c r="N20" s="20" t="n"/>
      <c r="O20" s="21" t="n"/>
    </row>
    <row r="21">
      <c r="A21" s="18" t="n"/>
      <c r="B21" s="18" t="n"/>
      <c r="C21" s="18" t="n"/>
      <c r="D21" s="18" t="n"/>
      <c r="E21" s="17" t="n"/>
      <c r="F21" s="17" t="n"/>
      <c r="G21" s="17" t="n"/>
      <c r="H21" s="40" t="n"/>
      <c r="I21" s="17" t="n"/>
      <c r="J21" s="17" t="n"/>
      <c r="K21" s="17" t="n"/>
      <c r="L21" s="17" t="n"/>
      <c r="M21" s="17" t="n"/>
      <c r="N21" s="17" t="n"/>
      <c r="O21" s="18" t="n"/>
    </row>
    <row r="22">
      <c r="A22" s="21" t="n"/>
      <c r="B22" s="21" t="n"/>
      <c r="C22" s="21" t="n"/>
      <c r="D22" s="21" t="n"/>
      <c r="E22" s="20" t="n"/>
      <c r="F22" s="20" t="n"/>
      <c r="G22" s="20" t="n"/>
      <c r="H22" s="41" t="n"/>
      <c r="I22" s="20" t="n"/>
      <c r="J22" s="20" t="n"/>
      <c r="K22" s="20" t="n"/>
      <c r="L22" s="20" t="n"/>
      <c r="M22" s="20" t="n"/>
      <c r="N22" s="20" t="n"/>
      <c r="O22" s="21" t="n"/>
    </row>
    <row r="23">
      <c r="A23" s="18" t="n"/>
      <c r="B23" s="18" t="n"/>
      <c r="C23" s="18" t="n"/>
      <c r="D23" s="18" t="n"/>
      <c r="E23" s="17" t="n"/>
      <c r="F23" s="17" t="n"/>
      <c r="G23" s="17" t="n"/>
      <c r="H23" s="40" t="n"/>
      <c r="I23" s="17" t="n"/>
      <c r="J23" s="17" t="n"/>
      <c r="K23" s="17" t="n"/>
      <c r="L23" s="17" t="n"/>
      <c r="M23" s="17" t="n"/>
      <c r="N23" s="17" t="n"/>
      <c r="O23" s="18" t="n"/>
    </row>
    <row r="24">
      <c r="A24" s="21" t="n"/>
      <c r="B24" s="21" t="n"/>
      <c r="C24" s="21" t="n"/>
      <c r="D24" s="21" t="n"/>
      <c r="E24" s="20" t="n"/>
      <c r="F24" s="20" t="n"/>
      <c r="G24" s="20" t="n"/>
      <c r="H24" s="41" t="n"/>
      <c r="I24" s="20" t="n"/>
      <c r="J24" s="20" t="n"/>
      <c r="K24" s="20" t="n"/>
      <c r="L24" s="20" t="n"/>
      <c r="M24" s="20" t="n"/>
      <c r="N24" s="20" t="n"/>
      <c r="O24" s="21" t="n"/>
    </row>
    <row r="25">
      <c r="A25" s="18" t="n"/>
      <c r="B25" s="18" t="n"/>
      <c r="C25" s="18" t="n"/>
      <c r="D25" s="18" t="n"/>
      <c r="E25" s="17" t="n"/>
      <c r="F25" s="17" t="n"/>
      <c r="G25" s="17" t="n"/>
      <c r="H25" s="40" t="n"/>
      <c r="I25" s="17" t="n"/>
      <c r="J25" s="17" t="n"/>
      <c r="K25" s="17" t="n"/>
      <c r="L25" s="17" t="n"/>
      <c r="M25" s="17" t="n"/>
      <c r="N25" s="17" t="n"/>
      <c r="O25" s="18" t="n"/>
    </row>
    <row r="26">
      <c r="A26" s="21" t="n"/>
      <c r="B26" s="21" t="n"/>
      <c r="C26" s="21" t="n"/>
      <c r="D26" s="21" t="n"/>
      <c r="E26" s="20" t="n"/>
      <c r="F26" s="20" t="n"/>
      <c r="G26" s="20" t="n"/>
      <c r="H26" s="41" t="n"/>
      <c r="I26" s="20" t="n"/>
      <c r="J26" s="20" t="n"/>
      <c r="K26" s="20" t="n"/>
      <c r="L26" s="20" t="n"/>
      <c r="M26" s="20" t="n"/>
      <c r="N26" s="20" t="n"/>
      <c r="O26" s="21" t="n"/>
    </row>
    <row r="27">
      <c r="A27" s="18" t="n"/>
      <c r="B27" s="18" t="n"/>
      <c r="C27" s="18" t="n"/>
      <c r="D27" s="18" t="n"/>
      <c r="E27" s="17" t="n"/>
      <c r="F27" s="17" t="n"/>
      <c r="G27" s="17" t="n"/>
      <c r="H27" s="40" t="n"/>
      <c r="I27" s="17" t="n"/>
      <c r="J27" s="17" t="n"/>
      <c r="K27" s="17" t="n"/>
      <c r="L27" s="17" t="n"/>
      <c r="M27" s="17" t="n"/>
      <c r="N27" s="17" t="n"/>
      <c r="O27" s="18" t="n"/>
    </row>
    <row r="28">
      <c r="A28" s="21" t="n"/>
      <c r="B28" s="21" t="n"/>
      <c r="C28" s="21" t="n"/>
      <c r="D28" s="21" t="n"/>
      <c r="E28" s="20" t="n"/>
      <c r="F28" s="20" t="n"/>
      <c r="G28" s="20" t="n"/>
      <c r="H28" s="41" t="n"/>
      <c r="I28" s="20" t="n"/>
      <c r="J28" s="20" t="n"/>
      <c r="K28" s="20" t="n"/>
      <c r="L28" s="20" t="n"/>
      <c r="M28" s="20" t="n"/>
      <c r="N28" s="20" t="n"/>
      <c r="O28" s="21" t="n"/>
    </row>
    <row r="29">
      <c r="A29" s="18" t="n"/>
      <c r="B29" s="18" t="n"/>
      <c r="C29" s="18" t="n"/>
      <c r="D29" s="18" t="n"/>
      <c r="E29" s="17" t="n"/>
      <c r="F29" s="17" t="n"/>
      <c r="G29" s="17" t="n"/>
      <c r="H29" s="40" t="n"/>
      <c r="I29" s="17" t="n"/>
      <c r="J29" s="17" t="n"/>
      <c r="K29" s="17" t="n"/>
      <c r="L29" s="17" t="n"/>
      <c r="M29" s="17" t="n"/>
      <c r="N29" s="17" t="n"/>
      <c r="O29" s="18" t="n"/>
    </row>
    <row r="30">
      <c r="A30" s="21" t="n"/>
      <c r="B30" s="21" t="n"/>
      <c r="C30" s="21" t="n"/>
      <c r="D30" s="21" t="n"/>
      <c r="E30" s="20" t="n"/>
      <c r="F30" s="20" t="n"/>
      <c r="G30" s="20" t="n"/>
      <c r="H30" s="41" t="n"/>
      <c r="I30" s="20" t="n"/>
      <c r="J30" s="20" t="n"/>
      <c r="K30" s="20" t="n"/>
      <c r="L30" s="20" t="n"/>
      <c r="M30" s="20" t="n"/>
      <c r="N30" s="20" t="n"/>
      <c r="O30" s="21" t="n"/>
    </row>
    <row r="31">
      <c r="A31" s="18" t="n"/>
      <c r="B31" s="18" t="n"/>
      <c r="C31" s="18" t="n"/>
      <c r="D31" s="18" t="n"/>
      <c r="E31" s="17" t="n"/>
      <c r="F31" s="17" t="n"/>
      <c r="G31" s="17" t="n"/>
      <c r="H31" s="40" t="n"/>
      <c r="I31" s="17" t="n"/>
      <c r="J31" s="17" t="n"/>
      <c r="K31" s="17" t="n"/>
      <c r="L31" s="17" t="n"/>
      <c r="M31" s="17" t="n"/>
      <c r="N31" s="17" t="n"/>
      <c r="O31" s="18" t="n"/>
    </row>
    <row r="32">
      <c r="A32" s="21" t="n"/>
      <c r="B32" s="21" t="n"/>
      <c r="C32" s="21" t="n"/>
      <c r="D32" s="21" t="n"/>
      <c r="E32" s="20" t="n"/>
      <c r="F32" s="20" t="n"/>
      <c r="G32" s="20" t="n"/>
      <c r="H32" s="41" t="n"/>
      <c r="I32" s="20" t="n"/>
      <c r="J32" s="20" t="n"/>
      <c r="K32" s="20" t="n"/>
      <c r="L32" s="20" t="n"/>
      <c r="M32" s="20" t="n"/>
      <c r="N32" s="20" t="n"/>
      <c r="O32" s="21" t="n"/>
    </row>
    <row r="33">
      <c r="A33" s="18" t="n"/>
      <c r="B33" s="18" t="n"/>
      <c r="C33" s="18" t="n"/>
      <c r="D33" s="18" t="n"/>
      <c r="E33" s="17" t="n"/>
      <c r="F33" s="17" t="n"/>
      <c r="G33" s="17" t="n"/>
      <c r="H33" s="40" t="n"/>
      <c r="I33" s="17" t="n"/>
      <c r="J33" s="17" t="n"/>
      <c r="K33" s="17" t="n"/>
      <c r="L33" s="17" t="n"/>
      <c r="M33" s="17" t="n"/>
      <c r="N33" s="17" t="n"/>
      <c r="O33" s="18" t="n"/>
    </row>
    <row r="34">
      <c r="A34" s="21" t="n"/>
      <c r="B34" s="21" t="n"/>
      <c r="C34" s="21" t="n"/>
      <c r="D34" s="21" t="n"/>
      <c r="E34" s="20" t="n"/>
      <c r="F34" s="20" t="n"/>
      <c r="G34" s="20" t="n"/>
      <c r="H34" s="41" t="n"/>
      <c r="I34" s="20" t="n"/>
      <c r="J34" s="20" t="n"/>
      <c r="K34" s="20" t="n"/>
      <c r="L34" s="20" t="n"/>
      <c r="M34" s="20" t="n"/>
      <c r="N34" s="20" t="n"/>
      <c r="O34" s="21" t="n"/>
    </row>
    <row r="35">
      <c r="A35" s="18" t="n"/>
      <c r="B35" s="18" t="n"/>
      <c r="C35" s="18" t="n"/>
      <c r="D35" s="18" t="n"/>
      <c r="E35" s="17" t="n"/>
      <c r="F35" s="17" t="n"/>
      <c r="G35" s="17" t="n"/>
      <c r="H35" s="40" t="n"/>
      <c r="I35" s="17" t="n"/>
      <c r="J35" s="17" t="n"/>
      <c r="K35" s="17" t="n"/>
      <c r="L35" s="17" t="n"/>
      <c r="M35" s="17" t="n"/>
      <c r="N35" s="17" t="n"/>
      <c r="O35" s="18" t="n"/>
    </row>
    <row r="36">
      <c r="A36" s="21" t="n"/>
      <c r="B36" s="21" t="n"/>
      <c r="C36" s="21" t="n"/>
      <c r="D36" s="21" t="n"/>
      <c r="E36" s="20" t="n"/>
      <c r="F36" s="20" t="n"/>
      <c r="G36" s="20" t="n"/>
      <c r="H36" s="41" t="n"/>
      <c r="I36" s="20" t="n"/>
      <c r="J36" s="20" t="n"/>
      <c r="K36" s="20" t="n"/>
      <c r="L36" s="20" t="n"/>
      <c r="M36" s="20" t="n"/>
      <c r="N36" s="20" t="n"/>
      <c r="O36" s="21" t="n"/>
    </row>
    <row r="37">
      <c r="A37" s="18" t="n"/>
      <c r="B37" s="18" t="n"/>
      <c r="C37" s="18" t="n"/>
      <c r="D37" s="18" t="n"/>
      <c r="E37" s="17" t="n"/>
      <c r="F37" s="17" t="n"/>
      <c r="G37" s="17" t="n"/>
      <c r="H37" s="40" t="n"/>
      <c r="I37" s="17" t="n"/>
      <c r="J37" s="17" t="n"/>
      <c r="K37" s="17" t="n"/>
      <c r="L37" s="17" t="n"/>
      <c r="M37" s="17" t="n"/>
      <c r="N37" s="17" t="n"/>
      <c r="O37" s="18" t="n"/>
    </row>
    <row r="38">
      <c r="A38" s="21" t="n"/>
      <c r="B38" s="21" t="n"/>
      <c r="C38" s="21" t="n"/>
      <c r="D38" s="21" t="n"/>
      <c r="E38" s="20" t="n"/>
      <c r="F38" s="20" t="n"/>
      <c r="G38" s="20" t="n"/>
      <c r="H38" s="41" t="n"/>
      <c r="I38" s="20" t="n"/>
      <c r="J38" s="20" t="n"/>
      <c r="K38" s="20" t="n"/>
      <c r="L38" s="20" t="n"/>
      <c r="M38" s="20" t="n"/>
      <c r="N38" s="20" t="n"/>
      <c r="O38" s="21" t="n"/>
    </row>
    <row r="39">
      <c r="A39" s="18" t="n"/>
      <c r="B39" s="18" t="n"/>
      <c r="C39" s="18" t="n"/>
      <c r="D39" s="18" t="n"/>
      <c r="E39" s="17" t="n"/>
      <c r="F39" s="17" t="n"/>
      <c r="G39" s="17" t="n"/>
      <c r="H39" s="40" t="n"/>
      <c r="I39" s="17" t="n"/>
      <c r="J39" s="17" t="n"/>
      <c r="K39" s="17" t="n"/>
      <c r="L39" s="17" t="n"/>
      <c r="M39" s="17" t="n"/>
      <c r="N39" s="17" t="n"/>
      <c r="O39" s="18" t="n"/>
    </row>
    <row r="40">
      <c r="A40" s="21" t="n"/>
      <c r="B40" s="21" t="n"/>
      <c r="C40" s="21" t="n"/>
      <c r="D40" s="21" t="n"/>
      <c r="E40" s="20" t="n"/>
      <c r="F40" s="20" t="n"/>
      <c r="G40" s="20" t="n"/>
      <c r="H40" s="41" t="n"/>
      <c r="I40" s="20" t="n"/>
      <c r="J40" s="20" t="n"/>
      <c r="K40" s="20" t="n"/>
      <c r="L40" s="20" t="n"/>
      <c r="M40" s="20" t="n"/>
      <c r="N40" s="20" t="n"/>
      <c r="O40" s="21" t="n"/>
    </row>
    <row r="41">
      <c r="A41" s="18" t="n"/>
      <c r="B41" s="18" t="n"/>
      <c r="C41" s="18" t="n"/>
      <c r="D41" s="18" t="n"/>
      <c r="E41" s="17" t="n"/>
      <c r="F41" s="17" t="n"/>
      <c r="G41" s="17" t="n"/>
      <c r="H41" s="40" t="n"/>
      <c r="I41" s="17" t="n"/>
      <c r="J41" s="17" t="n"/>
      <c r="K41" s="17" t="n"/>
      <c r="L41" s="17" t="n"/>
      <c r="M41" s="17" t="n"/>
      <c r="N41" s="17" t="n"/>
      <c r="O41" s="18" t="n"/>
    </row>
    <row r="42">
      <c r="A42" s="21" t="n"/>
      <c r="B42" s="21" t="n"/>
      <c r="C42" s="21" t="n"/>
      <c r="D42" s="21" t="n"/>
      <c r="E42" s="20" t="n"/>
      <c r="F42" s="20" t="n"/>
      <c r="G42" s="20" t="n"/>
      <c r="H42" s="41" t="n"/>
      <c r="I42" s="20" t="n"/>
      <c r="J42" s="20" t="n"/>
      <c r="K42" s="20" t="n"/>
      <c r="L42" s="20" t="n"/>
      <c r="M42" s="20" t="n"/>
      <c r="N42" s="20" t="n"/>
      <c r="O42" s="21" t="n"/>
    </row>
    <row r="43">
      <c r="A43" s="18" t="n"/>
      <c r="B43" s="18" t="n"/>
      <c r="C43" s="18" t="n"/>
      <c r="D43" s="18" t="n"/>
      <c r="E43" s="17" t="n"/>
      <c r="F43" s="17" t="n"/>
      <c r="G43" s="17" t="n"/>
      <c r="H43" s="40" t="n"/>
      <c r="I43" s="17" t="n"/>
      <c r="J43" s="17" t="n"/>
      <c r="K43" s="17" t="n"/>
      <c r="L43" s="17" t="n"/>
      <c r="M43" s="17" t="n"/>
      <c r="N43" s="17" t="n"/>
      <c r="O43" s="18" t="n"/>
    </row>
    <row r="44">
      <c r="A44" s="21" t="n"/>
      <c r="B44" s="21" t="n"/>
      <c r="C44" s="21" t="n"/>
      <c r="D44" s="21" t="n"/>
      <c r="E44" s="20" t="n"/>
      <c r="F44" s="20" t="n"/>
      <c r="G44" s="20" t="n"/>
      <c r="H44" s="41" t="n"/>
      <c r="I44" s="20" t="n"/>
      <c r="J44" s="20" t="n"/>
      <c r="K44" s="20" t="n"/>
      <c r="L44" s="20" t="n"/>
      <c r="M44" s="20" t="n"/>
      <c r="N44" s="20" t="n"/>
      <c r="O44" s="21" t="n"/>
    </row>
    <row r="45">
      <c r="A45" s="18" t="n"/>
      <c r="B45" s="18" t="n"/>
      <c r="C45" s="18" t="n"/>
      <c r="D45" s="18" t="n"/>
      <c r="E45" s="17" t="n"/>
      <c r="F45" s="17" t="n"/>
      <c r="G45" s="17" t="n"/>
      <c r="H45" s="40" t="n"/>
      <c r="I45" s="17" t="n"/>
      <c r="J45" s="17" t="n"/>
      <c r="K45" s="17" t="n"/>
      <c r="L45" s="17" t="n"/>
      <c r="M45" s="17" t="n"/>
      <c r="N45" s="17" t="n"/>
      <c r="O45" s="18" t="n"/>
    </row>
    <row r="46">
      <c r="A46" s="21" t="n"/>
      <c r="B46" s="21" t="n"/>
      <c r="C46" s="21" t="n"/>
      <c r="D46" s="21" t="n"/>
      <c r="E46" s="20" t="n"/>
      <c r="F46" s="20" t="n"/>
      <c r="G46" s="20" t="n"/>
      <c r="H46" s="41" t="n"/>
      <c r="I46" s="20" t="n"/>
      <c r="J46" s="20" t="n"/>
      <c r="K46" s="20" t="n"/>
      <c r="L46" s="20" t="n"/>
      <c r="M46" s="20" t="n"/>
      <c r="N46" s="20" t="n"/>
      <c r="O46" s="21" t="n"/>
    </row>
    <row r="47">
      <c r="A47" s="18" t="n"/>
      <c r="B47" s="18" t="n"/>
      <c r="C47" s="18" t="n"/>
      <c r="D47" s="18" t="n"/>
      <c r="E47" s="17" t="n"/>
      <c r="F47" s="17" t="n"/>
      <c r="G47" s="17" t="n"/>
      <c r="H47" s="40" t="n"/>
      <c r="I47" s="17" t="n"/>
      <c r="J47" s="17" t="n"/>
      <c r="K47" s="17" t="n"/>
      <c r="L47" s="17" t="n"/>
      <c r="M47" s="17" t="n"/>
      <c r="N47" s="17" t="n"/>
      <c r="O47" s="18" t="n"/>
    </row>
    <row r="48">
      <c r="A48" s="21" t="n"/>
      <c r="B48" s="21" t="n"/>
      <c r="C48" s="21" t="n"/>
      <c r="D48" s="21" t="n"/>
      <c r="E48" s="20" t="n"/>
      <c r="F48" s="20" t="n"/>
      <c r="G48" s="20" t="n"/>
      <c r="H48" s="41" t="n"/>
      <c r="I48" s="20" t="n"/>
      <c r="J48" s="20" t="n"/>
      <c r="K48" s="20" t="n"/>
      <c r="L48" s="20" t="n"/>
      <c r="M48" s="20" t="n"/>
      <c r="N48" s="20" t="n"/>
      <c r="O48" s="21" t="n"/>
    </row>
    <row r="49">
      <c r="A49" s="18" t="n"/>
      <c r="B49" s="18" t="n"/>
      <c r="C49" s="18" t="n"/>
      <c r="D49" s="18" t="n"/>
      <c r="E49" s="17" t="n"/>
      <c r="F49" s="17" t="n"/>
      <c r="G49" s="17" t="n"/>
      <c r="H49" s="40" t="n"/>
      <c r="I49" s="17" t="n"/>
      <c r="J49" s="17" t="n"/>
      <c r="K49" s="17" t="n"/>
      <c r="L49" s="17" t="n"/>
      <c r="M49" s="17" t="n"/>
      <c r="N49" s="17" t="n"/>
      <c r="O49" s="18" t="n"/>
    </row>
    <row r="50">
      <c r="A50" s="21" t="n"/>
      <c r="B50" s="21" t="n"/>
      <c r="C50" s="21" t="n"/>
      <c r="D50" s="21" t="n"/>
      <c r="E50" s="20" t="n"/>
      <c r="F50" s="20" t="n"/>
      <c r="G50" s="20" t="n"/>
      <c r="H50" s="41" t="n"/>
      <c r="I50" s="20" t="n"/>
      <c r="J50" s="20" t="n"/>
      <c r="K50" s="20" t="n"/>
      <c r="L50" s="20" t="n"/>
      <c r="M50" s="20" t="n"/>
      <c r="N50" s="20" t="n"/>
      <c r="O50" s="21" t="n"/>
    </row>
    <row r="51">
      <c r="A51" s="18" t="n"/>
      <c r="B51" s="18" t="n"/>
      <c r="C51" s="18" t="n"/>
      <c r="D51" s="18" t="n"/>
      <c r="E51" s="17" t="n"/>
      <c r="F51" s="17" t="n"/>
      <c r="G51" s="17" t="n"/>
      <c r="H51" s="40" t="n"/>
      <c r="I51" s="17" t="n"/>
      <c r="J51" s="17" t="n"/>
      <c r="K51" s="17" t="n"/>
      <c r="L51" s="17" t="n"/>
      <c r="M51" s="17" t="n"/>
      <c r="N51" s="17" t="n"/>
      <c r="O51" s="18" t="n"/>
    </row>
    <row r="52">
      <c r="A52" s="21" t="n"/>
      <c r="B52" s="21" t="n"/>
      <c r="C52" s="21" t="n"/>
      <c r="D52" s="21" t="n"/>
      <c r="E52" s="20" t="n"/>
      <c r="F52" s="20" t="n"/>
      <c r="G52" s="20" t="n"/>
      <c r="H52" s="41" t="n"/>
      <c r="I52" s="20" t="n"/>
      <c r="J52" s="20" t="n"/>
      <c r="K52" s="20" t="n"/>
      <c r="L52" s="20" t="n"/>
      <c r="M52" s="20" t="n"/>
      <c r="N52" s="20" t="n"/>
      <c r="O52" s="21" t="n"/>
    </row>
    <row r="53">
      <c r="A53" s="18" t="n"/>
      <c r="B53" s="18" t="n"/>
      <c r="C53" s="18" t="n"/>
      <c r="D53" s="18" t="n"/>
      <c r="E53" s="17" t="n"/>
      <c r="F53" s="17" t="n"/>
      <c r="G53" s="17" t="n"/>
      <c r="H53" s="40" t="n"/>
      <c r="I53" s="17" t="n"/>
      <c r="J53" s="17" t="n"/>
      <c r="K53" s="17" t="n"/>
      <c r="L53" s="17" t="n"/>
      <c r="M53" s="17" t="n"/>
      <c r="N53" s="17" t="n"/>
      <c r="O53" s="18" t="n"/>
    </row>
    <row r="54">
      <c r="A54" s="21" t="n"/>
      <c r="B54" s="21" t="n"/>
      <c r="C54" s="21" t="n"/>
      <c r="D54" s="21" t="n"/>
      <c r="E54" s="20" t="n"/>
      <c r="F54" s="20" t="n"/>
      <c r="G54" s="20" t="n"/>
      <c r="H54" s="41" t="n"/>
      <c r="I54" s="20" t="n"/>
      <c r="J54" s="20" t="n"/>
      <c r="K54" s="20" t="n"/>
      <c r="L54" s="20" t="n"/>
      <c r="M54" s="20" t="n"/>
      <c r="N54" s="20" t="n"/>
      <c r="O54" s="21" t="n"/>
    </row>
    <row r="55">
      <c r="A55" s="18" t="n"/>
      <c r="B55" s="18" t="n"/>
      <c r="C55" s="18" t="n"/>
      <c r="D55" s="18" t="n"/>
      <c r="E55" s="17" t="n"/>
      <c r="F55" s="17" t="n"/>
      <c r="G55" s="17" t="n"/>
      <c r="H55" s="40" t="n"/>
      <c r="I55" s="17" t="n"/>
      <c r="J55" s="17" t="n"/>
      <c r="K55" s="17" t="n"/>
      <c r="L55" s="17" t="n"/>
      <c r="M55" s="17" t="n"/>
      <c r="N55" s="17" t="n"/>
      <c r="O55" s="18" t="n"/>
    </row>
    <row r="56">
      <c r="A56" s="21" t="n"/>
      <c r="B56" s="21" t="n"/>
      <c r="C56" s="21" t="n"/>
      <c r="D56" s="21" t="n"/>
      <c r="E56" s="20" t="n"/>
      <c r="F56" s="20" t="n"/>
      <c r="G56" s="20" t="n"/>
      <c r="H56" s="41" t="n"/>
      <c r="I56" s="20" t="n"/>
      <c r="J56" s="20" t="n"/>
      <c r="K56" s="20" t="n"/>
      <c r="L56" s="20" t="n"/>
      <c r="M56" s="20" t="n"/>
      <c r="N56" s="20" t="n"/>
      <c r="O56" s="21" t="n"/>
    </row>
    <row r="57">
      <c r="A57" s="18" t="n"/>
      <c r="B57" s="18" t="n"/>
      <c r="C57" s="18" t="n"/>
      <c r="D57" s="18" t="n"/>
      <c r="E57" s="17" t="n"/>
      <c r="F57" s="17" t="n"/>
      <c r="G57" s="17" t="n"/>
      <c r="H57" s="40" t="n"/>
      <c r="I57" s="17" t="n"/>
      <c r="J57" s="17" t="n"/>
      <c r="K57" s="17" t="n"/>
      <c r="L57" s="17" t="n"/>
      <c r="M57" s="17" t="n"/>
      <c r="N57" s="17" t="n"/>
      <c r="O57" s="18" t="n"/>
    </row>
    <row r="58">
      <c r="A58" s="21" t="n"/>
      <c r="B58" s="21" t="n"/>
      <c r="C58" s="21" t="n"/>
      <c r="D58" s="21" t="n"/>
      <c r="E58" s="20" t="n"/>
      <c r="F58" s="20" t="n"/>
      <c r="G58" s="20" t="n"/>
      <c r="H58" s="41" t="n"/>
      <c r="I58" s="20" t="n"/>
      <c r="J58" s="20" t="n"/>
      <c r="K58" s="20" t="n"/>
      <c r="L58" s="20" t="n"/>
      <c r="M58" s="20" t="n"/>
      <c r="N58" s="20" t="n"/>
      <c r="O58" s="21" t="n"/>
    </row>
    <row r="59">
      <c r="A59" s="18" t="n"/>
      <c r="B59" s="18" t="n"/>
      <c r="C59" s="18" t="n"/>
      <c r="D59" s="18" t="n"/>
      <c r="E59" s="17" t="n"/>
      <c r="F59" s="17" t="n"/>
      <c r="G59" s="17" t="n"/>
      <c r="H59" s="40" t="n"/>
      <c r="I59" s="17" t="n"/>
      <c r="J59" s="17" t="n"/>
      <c r="K59" s="17" t="n"/>
      <c r="L59" s="17" t="n"/>
      <c r="M59" s="17" t="n"/>
      <c r="N59" s="17" t="n"/>
      <c r="O59" s="18" t="n"/>
    </row>
    <row r="60">
      <c r="A60" s="21" t="n"/>
      <c r="B60" s="21" t="n"/>
      <c r="C60" s="21" t="n"/>
      <c r="D60" s="21" t="n"/>
      <c r="E60" s="20" t="n"/>
      <c r="F60" s="20" t="n"/>
      <c r="G60" s="20" t="n"/>
      <c r="H60" s="41" t="n"/>
      <c r="I60" s="20" t="n"/>
      <c r="J60" s="20" t="n"/>
      <c r="K60" s="20" t="n"/>
      <c r="L60" s="20" t="n"/>
      <c r="M60" s="20" t="n"/>
      <c r="N60" s="20" t="n"/>
      <c r="O60" s="21" t="n"/>
    </row>
    <row r="61">
      <c r="A61" s="18" t="n"/>
      <c r="B61" s="18" t="n"/>
      <c r="C61" s="18" t="n"/>
      <c r="D61" s="18" t="n"/>
      <c r="E61" s="17" t="n"/>
      <c r="F61" s="17" t="n"/>
      <c r="G61" s="17" t="n"/>
      <c r="H61" s="40" t="n"/>
      <c r="I61" s="17" t="n"/>
      <c r="J61" s="17" t="n"/>
      <c r="K61" s="17" t="n"/>
      <c r="L61" s="17" t="n"/>
      <c r="M61" s="17" t="n"/>
      <c r="N61" s="17" t="n"/>
      <c r="O61" s="18" t="n"/>
    </row>
    <row r="62">
      <c r="A62" s="21" t="n"/>
      <c r="B62" s="21" t="n"/>
      <c r="C62" s="21" t="n"/>
      <c r="D62" s="21" t="n"/>
      <c r="E62" s="20" t="n"/>
      <c r="F62" s="20" t="n"/>
      <c r="G62" s="20" t="n"/>
      <c r="H62" s="41" t="n"/>
      <c r="I62" s="20" t="n"/>
      <c r="J62" s="20" t="n"/>
      <c r="K62" s="20" t="n"/>
      <c r="L62" s="20" t="n"/>
      <c r="M62" s="20" t="n"/>
      <c r="N62" s="20" t="n"/>
      <c r="O62" s="21" t="n"/>
    </row>
    <row r="63">
      <c r="A63" s="18" t="n"/>
      <c r="B63" s="18" t="n"/>
      <c r="C63" s="18" t="n"/>
      <c r="D63" s="18" t="n"/>
      <c r="E63" s="17" t="n"/>
      <c r="F63" s="17" t="n"/>
      <c r="G63" s="17" t="n"/>
      <c r="H63" s="40" t="n"/>
      <c r="I63" s="17" t="n"/>
      <c r="J63" s="17" t="n"/>
      <c r="K63" s="17" t="n"/>
      <c r="L63" s="17" t="n"/>
      <c r="M63" s="17" t="n"/>
      <c r="N63" s="17" t="n"/>
      <c r="O63" s="18" t="n"/>
    </row>
    <row r="64">
      <c r="A64" s="21" t="n"/>
      <c r="B64" s="21" t="n"/>
      <c r="C64" s="21" t="n"/>
      <c r="D64" s="21" t="n"/>
      <c r="E64" s="20" t="n"/>
      <c r="F64" s="20" t="n"/>
      <c r="G64" s="20" t="n"/>
      <c r="H64" s="41" t="n"/>
      <c r="I64" s="20" t="n"/>
      <c r="J64" s="20" t="n"/>
      <c r="K64" s="20" t="n"/>
      <c r="L64" s="20" t="n"/>
      <c r="M64" s="20" t="n"/>
      <c r="N64" s="20" t="n"/>
      <c r="O64" s="21" t="n"/>
    </row>
    <row r="65">
      <c r="A65" s="18" t="n"/>
      <c r="B65" s="18" t="n"/>
      <c r="C65" s="18" t="n"/>
      <c r="D65" s="18" t="n"/>
      <c r="E65" s="17" t="n"/>
      <c r="F65" s="17" t="n"/>
      <c r="G65" s="17" t="n"/>
      <c r="H65" s="40" t="n"/>
      <c r="I65" s="17" t="n"/>
      <c r="J65" s="17" t="n"/>
      <c r="K65" s="17" t="n"/>
      <c r="L65" s="17" t="n"/>
      <c r="M65" s="17" t="n"/>
      <c r="N65" s="17" t="n"/>
      <c r="O65" s="18" t="n"/>
    </row>
    <row r="66">
      <c r="A66" s="21" t="n"/>
      <c r="B66" s="21" t="n"/>
      <c r="C66" s="21" t="n"/>
      <c r="D66" s="21" t="n"/>
      <c r="E66" s="20" t="n"/>
      <c r="F66" s="20" t="n"/>
      <c r="G66" s="20" t="n"/>
      <c r="H66" s="41" t="n"/>
      <c r="I66" s="20" t="n"/>
      <c r="J66" s="20" t="n"/>
      <c r="K66" s="20" t="n"/>
      <c r="L66" s="20" t="n"/>
      <c r="M66" s="20" t="n"/>
      <c r="N66" s="20" t="n"/>
      <c r="O66" s="21" t="n"/>
    </row>
    <row r="67">
      <c r="A67" s="18" t="n"/>
      <c r="B67" s="18" t="n"/>
      <c r="C67" s="18" t="n"/>
      <c r="D67" s="18" t="n"/>
      <c r="E67" s="17" t="n"/>
      <c r="F67" s="17" t="n"/>
      <c r="G67" s="17" t="n"/>
      <c r="H67" s="40" t="n"/>
      <c r="I67" s="17" t="n"/>
      <c r="J67" s="17" t="n"/>
      <c r="K67" s="17" t="n"/>
      <c r="L67" s="17" t="n"/>
      <c r="M67" s="17" t="n"/>
      <c r="N67" s="17" t="n"/>
      <c r="O67" s="18" t="n"/>
    </row>
    <row r="68">
      <c r="A68" s="21" t="n"/>
      <c r="B68" s="21" t="n"/>
      <c r="C68" s="21" t="n"/>
      <c r="D68" s="21" t="n"/>
      <c r="E68" s="20" t="n"/>
      <c r="F68" s="20" t="n"/>
      <c r="G68" s="20" t="n"/>
      <c r="H68" s="41" t="n"/>
      <c r="I68" s="20" t="n"/>
      <c r="J68" s="20" t="n"/>
      <c r="K68" s="20" t="n"/>
      <c r="L68" s="20" t="n"/>
      <c r="M68" s="20" t="n"/>
      <c r="N68" s="20" t="n"/>
      <c r="O68" s="21" t="n"/>
    </row>
    <row r="69">
      <c r="A69" s="18" t="n"/>
      <c r="B69" s="18" t="n"/>
      <c r="C69" s="18" t="n"/>
      <c r="D69" s="18" t="n"/>
      <c r="E69" s="17" t="n"/>
      <c r="F69" s="17" t="n"/>
      <c r="G69" s="17" t="n"/>
      <c r="H69" s="40" t="n"/>
      <c r="I69" s="17" t="n"/>
      <c r="J69" s="17" t="n"/>
      <c r="K69" s="17" t="n"/>
      <c r="L69" s="17" t="n"/>
      <c r="M69" s="17" t="n"/>
      <c r="N69" s="17" t="n"/>
      <c r="O69" s="18" t="n"/>
    </row>
    <row r="70">
      <c r="A70" s="21" t="n"/>
      <c r="B70" s="21" t="n"/>
      <c r="C70" s="21" t="n"/>
      <c r="D70" s="21" t="n"/>
      <c r="E70" s="20" t="n"/>
      <c r="F70" s="20" t="n"/>
      <c r="G70" s="20" t="n"/>
      <c r="H70" s="41" t="n"/>
      <c r="I70" s="20" t="n"/>
      <c r="J70" s="20" t="n"/>
      <c r="K70" s="20" t="n"/>
      <c r="L70" s="20" t="n"/>
      <c r="M70" s="20" t="n"/>
      <c r="N70" s="20" t="n"/>
      <c r="O70" s="21" t="n"/>
    </row>
    <row r="71">
      <c r="A71" s="18" t="n"/>
      <c r="B71" s="18" t="n"/>
      <c r="C71" s="18" t="n"/>
      <c r="D71" s="18" t="n"/>
      <c r="E71" s="17" t="n"/>
      <c r="F71" s="17" t="n"/>
      <c r="G71" s="17" t="n"/>
      <c r="H71" s="40" t="n"/>
      <c r="I71" s="17" t="n"/>
      <c r="J71" s="17" t="n"/>
      <c r="K71" s="17" t="n"/>
      <c r="L71" s="17" t="n"/>
      <c r="M71" s="17" t="n"/>
      <c r="N71" s="17" t="n"/>
      <c r="O71" s="18" t="n"/>
    </row>
    <row r="72">
      <c r="A72" s="21" t="n"/>
      <c r="B72" s="21" t="n"/>
      <c r="C72" s="21" t="n"/>
      <c r="D72" s="21" t="n"/>
      <c r="E72" s="20" t="n"/>
      <c r="F72" s="20" t="n"/>
      <c r="G72" s="20" t="n"/>
      <c r="H72" s="41" t="n"/>
      <c r="I72" s="20" t="n"/>
      <c r="J72" s="20" t="n"/>
      <c r="K72" s="20" t="n"/>
      <c r="L72" s="20" t="n"/>
      <c r="M72" s="20" t="n"/>
      <c r="N72" s="20" t="n"/>
      <c r="O72" s="21" t="n"/>
    </row>
    <row r="73">
      <c r="A73" s="18" t="n"/>
      <c r="B73" s="18" t="n"/>
      <c r="C73" s="18" t="n"/>
      <c r="D73" s="18" t="n"/>
      <c r="E73" s="17" t="n"/>
      <c r="F73" s="17" t="n"/>
      <c r="G73" s="17" t="n"/>
      <c r="H73" s="40" t="n"/>
      <c r="I73" s="17" t="n"/>
      <c r="J73" s="17" t="n"/>
      <c r="K73" s="17" t="n"/>
      <c r="L73" s="17" t="n"/>
      <c r="M73" s="17" t="n"/>
      <c r="N73" s="17" t="n"/>
      <c r="O73" s="18" t="n"/>
    </row>
    <row r="74">
      <c r="A74" s="21" t="n"/>
      <c r="B74" s="21" t="n"/>
      <c r="C74" s="21" t="n"/>
      <c r="D74" s="21" t="n"/>
      <c r="E74" s="20" t="n"/>
      <c r="F74" s="20" t="n"/>
      <c r="G74" s="20" t="n"/>
      <c r="H74" s="41" t="n"/>
      <c r="I74" s="20" t="n"/>
      <c r="J74" s="20" t="n"/>
      <c r="K74" s="20" t="n"/>
      <c r="L74" s="20" t="n"/>
      <c r="M74" s="20" t="n"/>
      <c r="N74" s="20" t="n"/>
      <c r="O74" s="21" t="n"/>
    </row>
    <row r="75">
      <c r="A75" s="18" t="n"/>
      <c r="B75" s="18" t="n"/>
      <c r="C75" s="18" t="n"/>
      <c r="D75" s="18" t="n"/>
      <c r="E75" s="17" t="n"/>
      <c r="F75" s="17" t="n"/>
      <c r="G75" s="17" t="n"/>
      <c r="H75" s="40" t="n"/>
      <c r="I75" s="17" t="n"/>
      <c r="J75" s="17" t="n"/>
      <c r="K75" s="17" t="n"/>
      <c r="L75" s="17" t="n"/>
      <c r="M75" s="17" t="n"/>
      <c r="N75" s="17" t="n"/>
      <c r="O75" s="18" t="n"/>
    </row>
    <row r="76">
      <c r="A76" s="21" t="n"/>
      <c r="B76" s="21" t="n"/>
      <c r="C76" s="21" t="n"/>
      <c r="D76" s="21" t="n"/>
      <c r="E76" s="20" t="n"/>
      <c r="F76" s="20" t="n"/>
      <c r="G76" s="20" t="n"/>
      <c r="H76" s="41" t="n"/>
      <c r="I76" s="20" t="n"/>
      <c r="J76" s="20" t="n"/>
      <c r="K76" s="20" t="n"/>
      <c r="L76" s="20" t="n"/>
      <c r="M76" s="20" t="n"/>
      <c r="N76" s="20" t="n"/>
      <c r="O76" s="21" t="n"/>
    </row>
    <row r="77">
      <c r="A77" s="18" t="n"/>
      <c r="B77" s="18" t="n"/>
      <c r="C77" s="18" t="n"/>
      <c r="D77" s="18" t="n"/>
      <c r="E77" s="17" t="n"/>
      <c r="F77" s="17" t="n"/>
      <c r="G77" s="17" t="n"/>
      <c r="H77" s="40" t="n"/>
      <c r="I77" s="17" t="n"/>
      <c r="J77" s="17" t="n"/>
      <c r="K77" s="17" t="n"/>
      <c r="L77" s="17" t="n"/>
      <c r="M77" s="17" t="n"/>
      <c r="N77" s="17" t="n"/>
      <c r="O77" s="18" t="n"/>
    </row>
    <row r="78">
      <c r="A78" s="21" t="n"/>
      <c r="B78" s="21" t="n"/>
      <c r="C78" s="21" t="n"/>
      <c r="D78" s="21" t="n"/>
      <c r="E78" s="20" t="n"/>
      <c r="F78" s="20" t="n"/>
      <c r="G78" s="20" t="n"/>
      <c r="H78" s="41" t="n"/>
      <c r="I78" s="20" t="n"/>
      <c r="J78" s="20" t="n"/>
      <c r="K78" s="20" t="n"/>
      <c r="L78" s="20" t="n"/>
      <c r="M78" s="20" t="n"/>
      <c r="N78" s="20" t="n"/>
      <c r="O78" s="21" t="n"/>
    </row>
    <row r="79">
      <c r="A79" s="18" t="n"/>
      <c r="B79" s="18" t="n"/>
      <c r="C79" s="18" t="n"/>
      <c r="D79" s="18" t="n"/>
      <c r="E79" s="17" t="n"/>
      <c r="F79" s="17" t="n"/>
      <c r="G79" s="17" t="n"/>
      <c r="H79" s="40" t="n"/>
      <c r="I79" s="17" t="n"/>
      <c r="J79" s="17" t="n"/>
      <c r="K79" s="17" t="n"/>
      <c r="L79" s="17" t="n"/>
      <c r="M79" s="17" t="n"/>
      <c r="N79" s="17" t="n"/>
      <c r="O79" s="18" t="n"/>
    </row>
    <row r="80">
      <c r="A80" s="21" t="n"/>
      <c r="B80" s="21" t="n"/>
      <c r="C80" s="21" t="n"/>
      <c r="D80" s="21" t="n"/>
      <c r="E80" s="20" t="n"/>
      <c r="F80" s="20" t="n"/>
      <c r="G80" s="20" t="n"/>
      <c r="H80" s="41" t="n"/>
      <c r="I80" s="20" t="n"/>
      <c r="J80" s="20" t="n"/>
      <c r="K80" s="20" t="n"/>
      <c r="L80" s="20" t="n"/>
      <c r="M80" s="20" t="n"/>
      <c r="N80" s="20" t="n"/>
      <c r="O80" s="21" t="n"/>
    </row>
    <row r="81">
      <c r="A81" s="18" t="n"/>
      <c r="B81" s="18" t="n"/>
      <c r="C81" s="18" t="n"/>
      <c r="D81" s="18" t="n"/>
      <c r="E81" s="17" t="n"/>
      <c r="F81" s="17" t="n"/>
      <c r="G81" s="17" t="n"/>
      <c r="H81" s="40" t="n"/>
      <c r="I81" s="17" t="n"/>
      <c r="J81" s="17" t="n"/>
      <c r="K81" s="17" t="n"/>
      <c r="L81" s="17" t="n"/>
      <c r="M81" s="17" t="n"/>
      <c r="N81" s="17" t="n"/>
      <c r="O81" s="18" t="n"/>
    </row>
    <row r="82">
      <c r="A82" s="21" t="n"/>
      <c r="B82" s="21" t="n"/>
      <c r="C82" s="21" t="n"/>
      <c r="D82" s="21" t="n"/>
      <c r="E82" s="20" t="n"/>
      <c r="F82" s="20" t="n"/>
      <c r="G82" s="20" t="n"/>
      <c r="H82" s="41" t="n"/>
      <c r="I82" s="20" t="n"/>
      <c r="J82" s="20" t="n"/>
      <c r="K82" s="20" t="n"/>
      <c r="L82" s="20" t="n"/>
      <c r="M82" s="20" t="n"/>
      <c r="N82" s="20" t="n"/>
      <c r="O82" s="21" t="n"/>
    </row>
    <row r="83">
      <c r="A83" s="18" t="n"/>
      <c r="B83" s="18" t="n"/>
      <c r="C83" s="18" t="n"/>
      <c r="D83" s="18" t="n"/>
      <c r="E83" s="17" t="n"/>
      <c r="F83" s="17" t="n"/>
      <c r="G83" s="17" t="n"/>
      <c r="H83" s="40" t="n"/>
      <c r="I83" s="17" t="n"/>
      <c r="J83" s="17" t="n"/>
      <c r="K83" s="17" t="n"/>
      <c r="L83" s="17" t="n"/>
      <c r="M83" s="17" t="n"/>
      <c r="N83" s="17" t="n"/>
      <c r="O83" s="18" t="n"/>
    </row>
    <row r="84">
      <c r="A84" s="21" t="n"/>
      <c r="B84" s="21" t="n"/>
      <c r="C84" s="21" t="n"/>
      <c r="D84" s="21" t="n"/>
      <c r="E84" s="20" t="n"/>
      <c r="F84" s="20" t="n"/>
      <c r="G84" s="20" t="n"/>
      <c r="H84" s="41" t="n"/>
      <c r="I84" s="20" t="n"/>
      <c r="J84" s="20" t="n"/>
      <c r="K84" s="20" t="n"/>
      <c r="L84" s="20" t="n"/>
      <c r="M84" s="20" t="n"/>
      <c r="N84" s="20" t="n"/>
      <c r="O84" s="21" t="n"/>
    </row>
    <row r="85">
      <c r="A85" s="18" t="n"/>
      <c r="B85" s="18" t="n"/>
      <c r="C85" s="18" t="n"/>
      <c r="D85" s="18" t="n"/>
      <c r="E85" s="17" t="n"/>
      <c r="F85" s="17" t="n"/>
      <c r="G85" s="17" t="n"/>
      <c r="H85" s="40" t="n"/>
      <c r="I85" s="17" t="n"/>
      <c r="J85" s="17" t="n"/>
      <c r="K85" s="17" t="n"/>
      <c r="L85" s="17" t="n"/>
      <c r="M85" s="17" t="n"/>
      <c r="N85" s="17" t="n"/>
      <c r="O85" s="18" t="n"/>
    </row>
    <row r="86">
      <c r="A86" s="21" t="n"/>
      <c r="B86" s="21" t="n"/>
      <c r="C86" s="21" t="n"/>
      <c r="D86" s="21" t="n"/>
      <c r="E86" s="20" t="n"/>
      <c r="F86" s="20" t="n"/>
      <c r="G86" s="20" t="n"/>
      <c r="H86" s="41" t="n"/>
      <c r="I86" s="20" t="n"/>
      <c r="J86" s="20" t="n"/>
      <c r="K86" s="20" t="n"/>
      <c r="L86" s="20" t="n"/>
      <c r="M86" s="20" t="n"/>
      <c r="N86" s="20" t="n"/>
      <c r="O86" s="21" t="n"/>
    </row>
    <row r="87">
      <c r="A87" s="18" t="n"/>
      <c r="B87" s="18" t="n"/>
      <c r="C87" s="18" t="n"/>
      <c r="D87" s="18" t="n"/>
      <c r="E87" s="17" t="n"/>
      <c r="F87" s="17" t="n"/>
      <c r="G87" s="17" t="n"/>
      <c r="H87" s="40" t="n"/>
      <c r="I87" s="17" t="n"/>
      <c r="J87" s="17" t="n"/>
      <c r="K87" s="17" t="n"/>
      <c r="L87" s="17" t="n"/>
      <c r="M87" s="17" t="n"/>
      <c r="N87" s="17" t="n"/>
      <c r="O87" s="18" t="n"/>
    </row>
    <row r="88">
      <c r="A88" s="21" t="n"/>
      <c r="B88" s="21" t="n"/>
      <c r="C88" s="21" t="n"/>
      <c r="D88" s="21" t="n"/>
      <c r="E88" s="20" t="n"/>
      <c r="F88" s="20" t="n"/>
      <c r="G88" s="20" t="n"/>
      <c r="H88" s="41" t="n"/>
      <c r="I88" s="20" t="n"/>
      <c r="J88" s="20" t="n"/>
      <c r="K88" s="20" t="n"/>
      <c r="L88" s="20" t="n"/>
      <c r="M88" s="20" t="n"/>
      <c r="N88" s="20" t="n"/>
      <c r="O88" s="21" t="n"/>
    </row>
    <row r="89">
      <c r="A89" s="18" t="n"/>
      <c r="B89" s="18" t="n"/>
      <c r="C89" s="18" t="n"/>
      <c r="D89" s="18" t="n"/>
      <c r="E89" s="17" t="n"/>
      <c r="F89" s="17" t="n"/>
      <c r="G89" s="17" t="n"/>
      <c r="H89" s="40" t="n"/>
      <c r="I89" s="17" t="n"/>
      <c r="J89" s="17" t="n"/>
      <c r="K89" s="17" t="n"/>
      <c r="L89" s="17" t="n"/>
      <c r="M89" s="17" t="n"/>
      <c r="N89" s="17" t="n"/>
      <c r="O89" s="18" t="n"/>
    </row>
    <row r="90">
      <c r="A90" s="21" t="n"/>
      <c r="B90" s="21" t="n"/>
      <c r="C90" s="21" t="n"/>
      <c r="D90" s="21" t="n"/>
      <c r="E90" s="20" t="n"/>
      <c r="F90" s="20" t="n"/>
      <c r="G90" s="20" t="n"/>
      <c r="H90" s="41" t="n"/>
      <c r="I90" s="20" t="n"/>
      <c r="J90" s="20" t="n"/>
      <c r="K90" s="20" t="n"/>
      <c r="L90" s="20" t="n"/>
      <c r="M90" s="20" t="n"/>
      <c r="N90" s="20" t="n"/>
      <c r="O90" s="21" t="n"/>
    </row>
    <row r="91">
      <c r="A91" s="18" t="n"/>
      <c r="B91" s="18" t="n"/>
      <c r="C91" s="18" t="n"/>
      <c r="D91" s="18" t="n"/>
      <c r="E91" s="17" t="n"/>
      <c r="F91" s="17" t="n"/>
      <c r="G91" s="17" t="n"/>
      <c r="H91" s="40" t="n"/>
      <c r="I91" s="17" t="n"/>
      <c r="J91" s="17" t="n"/>
      <c r="K91" s="17" t="n"/>
      <c r="L91" s="17" t="n"/>
      <c r="M91" s="17" t="n"/>
      <c r="N91" s="17" t="n"/>
      <c r="O91" s="18" t="n"/>
    </row>
    <row r="92">
      <c r="A92" s="21" t="n"/>
      <c r="B92" s="21" t="n"/>
      <c r="C92" s="21" t="n"/>
      <c r="D92" s="21" t="n"/>
      <c r="E92" s="20" t="n"/>
      <c r="F92" s="20" t="n"/>
      <c r="G92" s="20" t="n"/>
      <c r="H92" s="41" t="n"/>
      <c r="I92" s="20" t="n"/>
      <c r="J92" s="20" t="n"/>
      <c r="K92" s="20" t="n"/>
      <c r="L92" s="20" t="n"/>
      <c r="M92" s="20" t="n"/>
      <c r="N92" s="20" t="n"/>
      <c r="O92" s="21" t="n"/>
    </row>
    <row r="93">
      <c r="A93" s="18" t="n"/>
      <c r="B93" s="18" t="n"/>
      <c r="C93" s="18" t="n"/>
      <c r="D93" s="18" t="n"/>
      <c r="E93" s="17" t="n"/>
      <c r="F93" s="17" t="n"/>
      <c r="G93" s="17" t="n"/>
      <c r="H93" s="40" t="n"/>
      <c r="I93" s="17" t="n"/>
      <c r="J93" s="17" t="n"/>
      <c r="K93" s="17" t="n"/>
      <c r="L93" s="17" t="n"/>
      <c r="M93" s="17" t="n"/>
      <c r="N93" s="17" t="n"/>
      <c r="O93" s="18" t="n"/>
    </row>
    <row r="94">
      <c r="A94" s="21" t="n"/>
      <c r="B94" s="21" t="n"/>
      <c r="C94" s="21" t="n"/>
      <c r="D94" s="21" t="n"/>
      <c r="E94" s="20" t="n"/>
      <c r="F94" s="20" t="n"/>
      <c r="G94" s="20" t="n"/>
      <c r="H94" s="41" t="n"/>
      <c r="I94" s="20" t="n"/>
      <c r="J94" s="20" t="n"/>
      <c r="K94" s="20" t="n"/>
      <c r="L94" s="20" t="n"/>
      <c r="M94" s="20" t="n"/>
      <c r="N94" s="20" t="n"/>
      <c r="O94" s="21" t="n"/>
    </row>
    <row r="95">
      <c r="A95" s="18" t="n"/>
      <c r="B95" s="18" t="n"/>
      <c r="C95" s="18" t="n"/>
      <c r="D95" s="18" t="n"/>
      <c r="E95" s="17" t="n"/>
      <c r="F95" s="17" t="n"/>
      <c r="G95" s="17" t="n"/>
      <c r="H95" s="40" t="n"/>
      <c r="I95" s="17" t="n"/>
      <c r="J95" s="17" t="n"/>
      <c r="K95" s="17" t="n"/>
      <c r="L95" s="17" t="n"/>
      <c r="M95" s="17" t="n"/>
      <c r="N95" s="17" t="n"/>
      <c r="O95" s="18" t="n"/>
    </row>
    <row r="96">
      <c r="A96" s="21" t="n"/>
      <c r="B96" s="21" t="n"/>
      <c r="C96" s="21" t="n"/>
      <c r="D96" s="21" t="n"/>
      <c r="E96" s="20" t="n"/>
      <c r="F96" s="20" t="n"/>
      <c r="G96" s="20" t="n"/>
      <c r="H96" s="41" t="n"/>
      <c r="I96" s="20" t="n"/>
      <c r="J96" s="20" t="n"/>
      <c r="K96" s="20" t="n"/>
      <c r="L96" s="20" t="n"/>
      <c r="M96" s="20" t="n"/>
      <c r="N96" s="20" t="n"/>
      <c r="O96" s="21" t="n"/>
    </row>
    <row r="97">
      <c r="A97" s="18" t="n"/>
      <c r="B97" s="18" t="n"/>
      <c r="C97" s="18" t="n"/>
      <c r="D97" s="18" t="n"/>
      <c r="E97" s="17" t="n"/>
      <c r="F97" s="17" t="n"/>
      <c r="G97" s="17" t="n"/>
      <c r="H97" s="40" t="n"/>
      <c r="I97" s="17" t="n"/>
      <c r="J97" s="17" t="n"/>
      <c r="K97" s="17" t="n"/>
      <c r="L97" s="17" t="n"/>
      <c r="M97" s="17" t="n"/>
      <c r="N97" s="17" t="n"/>
      <c r="O97" s="18" t="n"/>
    </row>
    <row r="98">
      <c r="A98" s="21" t="n"/>
      <c r="B98" s="21" t="n"/>
      <c r="C98" s="21" t="n"/>
      <c r="D98" s="21" t="n"/>
      <c r="E98" s="20" t="n"/>
      <c r="F98" s="20" t="n"/>
      <c r="G98" s="20" t="n"/>
      <c r="H98" s="41" t="n"/>
      <c r="I98" s="20" t="n"/>
      <c r="J98" s="20" t="n"/>
      <c r="K98" s="20" t="n"/>
      <c r="L98" s="20" t="n"/>
      <c r="M98" s="20" t="n"/>
      <c r="N98" s="20" t="n"/>
      <c r="O98" s="21" t="n"/>
    </row>
    <row r="99">
      <c r="A99" s="18" t="n"/>
      <c r="B99" s="18" t="n"/>
      <c r="C99" s="18" t="n"/>
      <c r="D99" s="18" t="n"/>
      <c r="E99" s="17" t="n"/>
      <c r="F99" s="17" t="n"/>
      <c r="G99" s="17" t="n"/>
      <c r="H99" s="40" t="n"/>
      <c r="I99" s="17" t="n"/>
      <c r="J99" s="17" t="n"/>
      <c r="K99" s="17" t="n"/>
      <c r="L99" s="17" t="n"/>
      <c r="M99" s="17" t="n"/>
      <c r="N99" s="17" t="n"/>
      <c r="O99" s="18" t="n"/>
    </row>
    <row r="100">
      <c r="A100" s="21" t="n"/>
      <c r="B100" s="21" t="n"/>
      <c r="C100" s="21" t="n"/>
      <c r="D100" s="21" t="n"/>
      <c r="E100" s="20" t="n"/>
      <c r="F100" s="20" t="n"/>
      <c r="G100" s="20" t="n"/>
      <c r="H100" s="41" t="n"/>
      <c r="I100" s="20" t="n"/>
      <c r="J100" s="20" t="n"/>
      <c r="K100" s="20" t="n"/>
      <c r="L100" s="20" t="n"/>
      <c r="M100" s="20" t="n"/>
      <c r="N100" s="20" t="n"/>
      <c r="O100" s="21" t="n"/>
    </row>
    <row r="101">
      <c r="A101" s="18" t="n"/>
      <c r="B101" s="18" t="n"/>
      <c r="C101" s="18" t="n"/>
      <c r="D101" s="18" t="n"/>
      <c r="E101" s="17" t="n"/>
      <c r="F101" s="17" t="n"/>
      <c r="G101" s="17" t="n"/>
      <c r="H101" s="40" t="n"/>
      <c r="I101" s="17" t="n"/>
      <c r="J101" s="17" t="n"/>
      <c r="K101" s="17" t="n"/>
      <c r="L101" s="17" t="n"/>
      <c r="M101" s="17" t="n"/>
      <c r="N101" s="17" t="n"/>
      <c r="O101" s="18" t="n"/>
    </row>
    <row r="102">
      <c r="A102" s="21" t="n"/>
      <c r="B102" s="21" t="n"/>
      <c r="C102" s="21" t="n"/>
      <c r="D102" s="21" t="n"/>
      <c r="E102" s="20" t="n"/>
      <c r="F102" s="20" t="n"/>
      <c r="G102" s="20" t="n"/>
      <c r="H102" s="41" t="n"/>
      <c r="I102" s="20" t="n"/>
      <c r="J102" s="20" t="n"/>
      <c r="K102" s="20" t="n"/>
      <c r="L102" s="20" t="n"/>
      <c r="M102" s="20" t="n"/>
      <c r="N102" s="20" t="n"/>
      <c r="O102" s="21" t="n"/>
    </row>
    <row r="103">
      <c r="A103" s="18" t="n"/>
      <c r="B103" s="18" t="n"/>
      <c r="C103" s="18" t="n"/>
      <c r="D103" s="18" t="n"/>
      <c r="E103" s="17" t="n"/>
      <c r="F103" s="17" t="n"/>
      <c r="G103" s="17" t="n"/>
      <c r="H103" s="40" t="n"/>
      <c r="I103" s="17" t="n"/>
      <c r="J103" s="17" t="n"/>
      <c r="K103" s="17" t="n"/>
      <c r="L103" s="17" t="n"/>
      <c r="M103" s="17" t="n"/>
      <c r="N103" s="17" t="n"/>
      <c r="O103" s="18" t="n"/>
    </row>
    <row r="104">
      <c r="A104" s="21" t="n"/>
      <c r="B104" s="21" t="n"/>
      <c r="C104" s="21" t="n"/>
      <c r="D104" s="21" t="n"/>
      <c r="E104" s="20" t="n"/>
      <c r="F104" s="20" t="n"/>
      <c r="G104" s="20" t="n"/>
      <c r="H104" s="41" t="n"/>
      <c r="I104" s="20" t="n"/>
      <c r="J104" s="20" t="n"/>
      <c r="K104" s="20" t="n"/>
      <c r="L104" s="20" t="n"/>
      <c r="M104" s="20" t="n"/>
      <c r="N104" s="20" t="n"/>
      <c r="O104" s="21" t="n"/>
    </row>
    <row r="105">
      <c r="A105" s="18" t="n"/>
      <c r="B105" s="18" t="n"/>
      <c r="C105" s="18" t="n"/>
      <c r="D105" s="18" t="n"/>
      <c r="E105" s="17" t="n"/>
      <c r="F105" s="17" t="n"/>
      <c r="G105" s="17" t="n"/>
      <c r="H105" s="40" t="n"/>
      <c r="I105" s="17" t="n"/>
      <c r="J105" s="17" t="n"/>
      <c r="K105" s="17" t="n"/>
      <c r="L105" s="17" t="n"/>
      <c r="M105" s="17" t="n"/>
      <c r="N105" s="17" t="n"/>
      <c r="O105" s="18" t="n"/>
    </row>
    <row r="106">
      <c r="A106" s="21" t="n"/>
      <c r="B106" s="21" t="n"/>
      <c r="C106" s="21" t="n"/>
      <c r="D106" s="21" t="n"/>
      <c r="E106" s="20" t="n"/>
      <c r="F106" s="20" t="n"/>
      <c r="G106" s="20" t="n"/>
      <c r="H106" s="41" t="n"/>
      <c r="I106" s="20" t="n"/>
      <c r="J106" s="20" t="n"/>
      <c r="K106" s="20" t="n"/>
      <c r="L106" s="20" t="n"/>
      <c r="M106" s="20" t="n"/>
      <c r="N106" s="20" t="n"/>
      <c r="O106" s="21" t="n"/>
    </row>
    <row r="107">
      <c r="A107" s="18" t="n"/>
      <c r="B107" s="18" t="n"/>
      <c r="C107" s="18" t="n"/>
      <c r="D107" s="18" t="n"/>
      <c r="E107" s="17" t="n"/>
      <c r="F107" s="17" t="n"/>
      <c r="G107" s="17" t="n"/>
      <c r="H107" s="40" t="n"/>
      <c r="I107" s="17" t="n"/>
      <c r="J107" s="17" t="n"/>
      <c r="K107" s="17" t="n"/>
      <c r="L107" s="17" t="n"/>
      <c r="M107" s="17" t="n"/>
      <c r="N107" s="17" t="n"/>
      <c r="O107" s="18" t="n"/>
    </row>
    <row r="108">
      <c r="A108" s="21" t="n"/>
      <c r="B108" s="21" t="n"/>
      <c r="C108" s="21" t="n"/>
      <c r="D108" s="21" t="n"/>
      <c r="E108" s="20" t="n"/>
      <c r="F108" s="20" t="n"/>
      <c r="G108" s="20" t="n"/>
      <c r="H108" s="41" t="n"/>
      <c r="I108" s="20" t="n"/>
      <c r="J108" s="20" t="n"/>
      <c r="K108" s="20" t="n"/>
      <c r="L108" s="20" t="n"/>
      <c r="M108" s="20" t="n"/>
      <c r="N108" s="20" t="n"/>
      <c r="O108" s="21" t="n"/>
    </row>
    <row r="109">
      <c r="A109" s="18" t="n"/>
      <c r="B109" s="18" t="n"/>
      <c r="C109" s="18" t="n"/>
      <c r="D109" s="18" t="n"/>
      <c r="E109" s="17" t="n"/>
      <c r="F109" s="17" t="n"/>
      <c r="G109" s="17" t="n"/>
      <c r="H109" s="40" t="n"/>
      <c r="I109" s="17" t="n"/>
      <c r="J109" s="17" t="n"/>
      <c r="K109" s="17" t="n"/>
      <c r="L109" s="17" t="n"/>
      <c r="M109" s="17" t="n"/>
      <c r="N109" s="17" t="n"/>
      <c r="O109" s="18" t="n"/>
    </row>
    <row r="110">
      <c r="A110" s="21" t="n"/>
      <c r="B110" s="21" t="n"/>
      <c r="C110" s="21" t="n"/>
      <c r="D110" s="21" t="n"/>
      <c r="E110" s="20" t="n"/>
      <c r="F110" s="20" t="n"/>
      <c r="G110" s="20" t="n"/>
      <c r="H110" s="41" t="n"/>
      <c r="I110" s="20" t="n"/>
      <c r="J110" s="20" t="n"/>
      <c r="K110" s="20" t="n"/>
      <c r="L110" s="20" t="n"/>
      <c r="M110" s="20" t="n"/>
      <c r="N110" s="20" t="n"/>
      <c r="O110" s="21" t="n"/>
    </row>
    <row r="111">
      <c r="A111" s="18" t="n"/>
      <c r="B111" s="18" t="n"/>
      <c r="C111" s="18" t="n"/>
      <c r="D111" s="18" t="n"/>
      <c r="E111" s="17" t="n"/>
      <c r="F111" s="17" t="n"/>
      <c r="G111" s="17" t="n"/>
      <c r="H111" s="40" t="n"/>
      <c r="I111" s="17" t="n"/>
      <c r="J111" s="17" t="n"/>
      <c r="K111" s="17" t="n"/>
      <c r="L111" s="17" t="n"/>
      <c r="M111" s="17" t="n"/>
      <c r="N111" s="17" t="n"/>
      <c r="O111" s="18" t="n"/>
    </row>
    <row r="112">
      <c r="A112" s="21" t="n"/>
      <c r="B112" s="21" t="n"/>
      <c r="C112" s="21" t="n"/>
      <c r="D112" s="21" t="n"/>
      <c r="E112" s="20" t="n"/>
      <c r="F112" s="20" t="n"/>
      <c r="G112" s="20" t="n"/>
      <c r="H112" s="41" t="n"/>
      <c r="I112" s="20" t="n"/>
      <c r="J112" s="20" t="n"/>
      <c r="K112" s="20" t="n"/>
      <c r="L112" s="20" t="n"/>
      <c r="M112" s="20" t="n"/>
      <c r="N112" s="20" t="n"/>
      <c r="O112" s="21" t="n"/>
    </row>
    <row r="113">
      <c r="A113" s="18" t="n"/>
      <c r="B113" s="18" t="n"/>
      <c r="C113" s="18" t="n"/>
      <c r="D113" s="18" t="n"/>
      <c r="E113" s="17" t="n"/>
      <c r="F113" s="17" t="n"/>
      <c r="G113" s="17" t="n"/>
      <c r="H113" s="40" t="n"/>
      <c r="I113" s="17" t="n"/>
      <c r="J113" s="17" t="n"/>
      <c r="K113" s="17" t="n"/>
      <c r="L113" s="17" t="n"/>
      <c r="M113" s="17" t="n"/>
      <c r="N113" s="17" t="n"/>
      <c r="O113" s="18" t="n"/>
    </row>
    <row r="114">
      <c r="A114" s="21" t="n"/>
      <c r="B114" s="21" t="n"/>
      <c r="C114" s="21" t="n"/>
      <c r="D114" s="21" t="n"/>
      <c r="E114" s="20" t="n"/>
      <c r="F114" s="20" t="n"/>
      <c r="G114" s="20" t="n"/>
      <c r="H114" s="41" t="n"/>
      <c r="I114" s="20" t="n"/>
      <c r="J114" s="20" t="n"/>
      <c r="K114" s="20" t="n"/>
      <c r="L114" s="20" t="n"/>
      <c r="M114" s="20" t="n"/>
      <c r="N114" s="20" t="n"/>
      <c r="O114" s="21" t="n"/>
    </row>
    <row r="115">
      <c r="A115" s="18" t="n"/>
      <c r="B115" s="18" t="n"/>
      <c r="C115" s="18" t="n"/>
      <c r="D115" s="18" t="n"/>
      <c r="E115" s="17" t="n"/>
      <c r="F115" s="17" t="n"/>
      <c r="G115" s="17" t="n"/>
      <c r="H115" s="40" t="n"/>
      <c r="I115" s="17" t="n"/>
      <c r="J115" s="17" t="n"/>
      <c r="K115" s="17" t="n"/>
      <c r="L115" s="17" t="n"/>
      <c r="M115" s="17" t="n"/>
      <c r="N115" s="17" t="n"/>
      <c r="O115" s="18" t="n"/>
    </row>
    <row r="116">
      <c r="A116" s="21" t="n"/>
      <c r="B116" s="21" t="n"/>
      <c r="C116" s="21" t="n"/>
      <c r="D116" s="21" t="n"/>
      <c r="E116" s="20" t="n"/>
      <c r="F116" s="20" t="n"/>
      <c r="G116" s="20" t="n"/>
      <c r="H116" s="41" t="n"/>
      <c r="I116" s="20" t="n"/>
      <c r="J116" s="20" t="n"/>
      <c r="K116" s="20" t="n"/>
      <c r="L116" s="20" t="n"/>
      <c r="M116" s="20" t="n"/>
      <c r="N116" s="20" t="n"/>
      <c r="O116" s="21" t="n"/>
    </row>
    <row r="117">
      <c r="A117" s="18" t="n"/>
      <c r="B117" s="18" t="n"/>
      <c r="C117" s="18" t="n"/>
      <c r="D117" s="18" t="n"/>
      <c r="E117" s="17" t="n"/>
      <c r="F117" s="17" t="n"/>
      <c r="G117" s="17" t="n"/>
      <c r="H117" s="40" t="n"/>
      <c r="I117" s="17" t="n"/>
      <c r="J117" s="17" t="n"/>
      <c r="K117" s="17" t="n"/>
      <c r="L117" s="17" t="n"/>
      <c r="M117" s="17" t="n"/>
      <c r="N117" s="17" t="n"/>
      <c r="O117" s="18" t="n"/>
    </row>
    <row r="118">
      <c r="A118" s="21" t="n"/>
      <c r="B118" s="21" t="n"/>
      <c r="C118" s="21" t="n"/>
      <c r="D118" s="21" t="n"/>
      <c r="E118" s="20" t="n"/>
      <c r="F118" s="20" t="n"/>
      <c r="G118" s="20" t="n"/>
      <c r="H118" s="41" t="n"/>
      <c r="I118" s="20" t="n"/>
      <c r="J118" s="20" t="n"/>
      <c r="K118" s="20" t="n"/>
      <c r="L118" s="20" t="n"/>
      <c r="M118" s="20" t="n"/>
      <c r="N118" s="20" t="n"/>
      <c r="O118" s="21" t="n"/>
    </row>
    <row r="119">
      <c r="A119" s="18" t="n"/>
      <c r="B119" s="18" t="n"/>
      <c r="C119" s="18" t="n"/>
      <c r="D119" s="18" t="n"/>
      <c r="E119" s="17" t="n"/>
      <c r="F119" s="17" t="n"/>
      <c r="G119" s="17" t="n"/>
      <c r="H119" s="40" t="n"/>
      <c r="I119" s="17" t="n"/>
      <c r="J119" s="17" t="n"/>
      <c r="K119" s="17" t="n"/>
      <c r="L119" s="17" t="n"/>
      <c r="M119" s="17" t="n"/>
      <c r="N119" s="17" t="n"/>
      <c r="O119" s="18" t="n"/>
    </row>
    <row r="120">
      <c r="A120" s="21" t="n"/>
      <c r="B120" s="21" t="n"/>
      <c r="C120" s="21" t="n"/>
      <c r="D120" s="21" t="n"/>
      <c r="E120" s="20" t="n"/>
      <c r="F120" s="20" t="n"/>
      <c r="G120" s="20" t="n"/>
      <c r="H120" s="41" t="n"/>
      <c r="I120" s="20" t="n"/>
      <c r="J120" s="20" t="n"/>
      <c r="K120" s="20" t="n"/>
      <c r="L120" s="20" t="n"/>
      <c r="M120" s="20" t="n"/>
      <c r="N120" s="20" t="n"/>
      <c r="O120" s="21" t="n"/>
    </row>
    <row r="121">
      <c r="A121" s="18" t="n"/>
      <c r="B121" s="18" t="n"/>
      <c r="C121" s="18" t="n"/>
      <c r="D121" s="18" t="n"/>
      <c r="E121" s="17" t="n"/>
      <c r="F121" s="17" t="n"/>
      <c r="G121" s="17" t="n"/>
      <c r="H121" s="40" t="n"/>
      <c r="I121" s="17" t="n"/>
      <c r="J121" s="17" t="n"/>
      <c r="K121" s="17" t="n"/>
      <c r="L121" s="17" t="n"/>
      <c r="M121" s="17" t="n"/>
      <c r="N121" s="17" t="n"/>
      <c r="O121" s="18" t="n"/>
    </row>
    <row r="122">
      <c r="A122" s="21" t="n"/>
      <c r="B122" s="21" t="n"/>
      <c r="C122" s="21" t="n"/>
      <c r="D122" s="21" t="n"/>
      <c r="E122" s="20" t="n"/>
      <c r="F122" s="20" t="n"/>
      <c r="G122" s="20" t="n"/>
      <c r="H122" s="41" t="n"/>
      <c r="I122" s="20" t="n"/>
      <c r="J122" s="20" t="n"/>
      <c r="K122" s="20" t="n"/>
      <c r="L122" s="20" t="n"/>
      <c r="M122" s="20" t="n"/>
      <c r="N122" s="20" t="n"/>
      <c r="O122" s="21" t="n"/>
    </row>
    <row r="123">
      <c r="A123" s="18" t="n"/>
      <c r="B123" s="18" t="n"/>
      <c r="C123" s="18" t="n"/>
      <c r="D123" s="18" t="n"/>
      <c r="E123" s="17" t="n"/>
      <c r="F123" s="17" t="n"/>
      <c r="G123" s="17" t="n"/>
      <c r="H123" s="40" t="n"/>
      <c r="I123" s="17" t="n"/>
      <c r="J123" s="17" t="n"/>
      <c r="K123" s="17" t="n"/>
      <c r="L123" s="17" t="n"/>
      <c r="M123" s="17" t="n"/>
      <c r="N123" s="17" t="n"/>
      <c r="O123" s="18" t="n"/>
    </row>
    <row r="124">
      <c r="A124" s="21" t="n"/>
      <c r="B124" s="21" t="n"/>
      <c r="C124" s="21" t="n"/>
      <c r="D124" s="21" t="n"/>
      <c r="E124" s="20" t="n"/>
      <c r="F124" s="20" t="n"/>
      <c r="G124" s="20" t="n"/>
      <c r="H124" s="41" t="n"/>
      <c r="I124" s="20" t="n"/>
      <c r="J124" s="20" t="n"/>
      <c r="K124" s="20" t="n"/>
      <c r="L124" s="20" t="n"/>
      <c r="M124" s="20" t="n"/>
      <c r="N124" s="20" t="n"/>
      <c r="O124" s="21" t="n"/>
    </row>
    <row r="125">
      <c r="A125" s="18" t="n"/>
      <c r="B125" s="18" t="n"/>
      <c r="C125" s="18" t="n"/>
      <c r="D125" s="18" t="n"/>
      <c r="E125" s="17" t="n"/>
      <c r="F125" s="17" t="n"/>
      <c r="G125" s="17" t="n"/>
      <c r="H125" s="40" t="n"/>
      <c r="I125" s="17" t="n"/>
      <c r="J125" s="17" t="n"/>
      <c r="K125" s="17" t="n"/>
      <c r="L125" s="17" t="n"/>
      <c r="M125" s="17" t="n"/>
      <c r="N125" s="17" t="n"/>
      <c r="O125" s="18" t="n"/>
    </row>
    <row r="126">
      <c r="A126" s="21" t="n"/>
      <c r="B126" s="21" t="n"/>
      <c r="C126" s="21" t="n"/>
      <c r="D126" s="21" t="n"/>
      <c r="E126" s="20" t="n"/>
      <c r="F126" s="20" t="n"/>
      <c r="G126" s="20" t="n"/>
      <c r="H126" s="41" t="n"/>
      <c r="I126" s="20" t="n"/>
      <c r="J126" s="20" t="n"/>
      <c r="K126" s="20" t="n"/>
      <c r="L126" s="20" t="n"/>
      <c r="M126" s="20" t="n"/>
      <c r="N126" s="20" t="n"/>
      <c r="O126" s="21" t="n"/>
    </row>
    <row r="127">
      <c r="A127" s="18" t="n"/>
      <c r="B127" s="18" t="n"/>
      <c r="C127" s="18" t="n"/>
      <c r="D127" s="18" t="n"/>
      <c r="E127" s="17" t="n"/>
      <c r="F127" s="17" t="n"/>
      <c r="G127" s="17" t="n"/>
      <c r="H127" s="40" t="n"/>
      <c r="I127" s="17" t="n"/>
      <c r="J127" s="17" t="n"/>
      <c r="K127" s="17" t="n"/>
      <c r="L127" s="17" t="n"/>
      <c r="M127" s="17" t="n"/>
      <c r="N127" s="17" t="n"/>
      <c r="O127" s="18" t="n"/>
    </row>
    <row r="128">
      <c r="A128" s="21" t="n"/>
      <c r="B128" s="21" t="n"/>
      <c r="C128" s="21" t="n"/>
      <c r="D128" s="21" t="n"/>
      <c r="E128" s="20" t="n"/>
      <c r="F128" s="20" t="n"/>
      <c r="G128" s="20" t="n"/>
      <c r="H128" s="41" t="n"/>
      <c r="I128" s="20" t="n"/>
      <c r="J128" s="20" t="n"/>
      <c r="K128" s="20" t="n"/>
      <c r="L128" s="20" t="n"/>
      <c r="M128" s="20" t="n"/>
      <c r="N128" s="20" t="n"/>
      <c r="O128" s="21" t="n"/>
    </row>
    <row r="129">
      <c r="A129" s="18" t="n"/>
      <c r="B129" s="18" t="n"/>
      <c r="C129" s="18" t="n"/>
      <c r="D129" s="18" t="n"/>
      <c r="E129" s="17" t="n"/>
      <c r="F129" s="17" t="n"/>
      <c r="G129" s="17" t="n"/>
      <c r="H129" s="40" t="n"/>
      <c r="I129" s="17" t="n"/>
      <c r="J129" s="17" t="n"/>
      <c r="K129" s="17" t="n"/>
      <c r="L129" s="17" t="n"/>
      <c r="M129" s="17" t="n"/>
      <c r="N129" s="17" t="n"/>
      <c r="O129" s="18" t="n"/>
    </row>
    <row r="130">
      <c r="A130" s="21" t="n"/>
      <c r="B130" s="21" t="n"/>
      <c r="C130" s="21" t="n"/>
      <c r="D130" s="21" t="n"/>
      <c r="E130" s="20" t="n"/>
      <c r="F130" s="20" t="n"/>
      <c r="G130" s="20" t="n"/>
      <c r="H130" s="41" t="n"/>
      <c r="I130" s="20" t="n"/>
      <c r="J130" s="20" t="n"/>
      <c r="K130" s="20" t="n"/>
      <c r="L130" s="20" t="n"/>
      <c r="M130" s="20" t="n"/>
      <c r="N130" s="20" t="n"/>
      <c r="O130" s="21" t="n"/>
    </row>
    <row r="131">
      <c r="A131" s="18" t="n"/>
      <c r="B131" s="18" t="n"/>
      <c r="C131" s="18" t="n"/>
      <c r="D131" s="18" t="n"/>
      <c r="E131" s="17" t="n"/>
      <c r="F131" s="17" t="n"/>
      <c r="G131" s="17" t="n"/>
      <c r="H131" s="40" t="n"/>
      <c r="I131" s="17" t="n"/>
      <c r="J131" s="17" t="n"/>
      <c r="K131" s="17" t="n"/>
      <c r="L131" s="17" t="n"/>
      <c r="M131" s="17" t="n"/>
      <c r="N131" s="17" t="n"/>
      <c r="O131" s="18" t="n"/>
    </row>
    <row r="132">
      <c r="A132" s="21" t="n"/>
      <c r="B132" s="21" t="n"/>
      <c r="C132" s="21" t="n"/>
      <c r="D132" s="21" t="n"/>
      <c r="E132" s="20" t="n"/>
      <c r="F132" s="20" t="n"/>
      <c r="G132" s="20" t="n"/>
      <c r="H132" s="41" t="n"/>
      <c r="I132" s="20" t="n"/>
      <c r="J132" s="20" t="n"/>
      <c r="K132" s="20" t="n"/>
      <c r="L132" s="20" t="n"/>
      <c r="M132" s="20" t="n"/>
      <c r="N132" s="20" t="n"/>
      <c r="O132" s="21" t="n"/>
    </row>
    <row r="133">
      <c r="A133" s="18" t="n"/>
      <c r="B133" s="18" t="n"/>
      <c r="C133" s="18" t="n"/>
      <c r="D133" s="18" t="n"/>
      <c r="E133" s="17" t="n"/>
      <c r="F133" s="17" t="n"/>
      <c r="G133" s="17" t="n"/>
      <c r="H133" s="40" t="n"/>
      <c r="I133" s="17" t="n"/>
      <c r="J133" s="17" t="n"/>
      <c r="K133" s="17" t="n"/>
      <c r="L133" s="17" t="n"/>
      <c r="M133" s="17" t="n"/>
      <c r="N133" s="17" t="n"/>
      <c r="O133" s="18" t="n"/>
    </row>
    <row r="134">
      <c r="A134" s="21" t="n"/>
      <c r="B134" s="21" t="n"/>
      <c r="C134" s="21" t="n"/>
      <c r="D134" s="21" t="n"/>
      <c r="E134" s="20" t="n"/>
      <c r="F134" s="20" t="n"/>
      <c r="G134" s="20" t="n"/>
      <c r="H134" s="41" t="n"/>
      <c r="I134" s="20" t="n"/>
      <c r="J134" s="20" t="n"/>
      <c r="K134" s="20" t="n"/>
      <c r="L134" s="20" t="n"/>
      <c r="M134" s="20" t="n"/>
      <c r="N134" s="20" t="n"/>
      <c r="O134" s="21" t="n"/>
    </row>
    <row r="135">
      <c r="A135" s="18" t="n"/>
      <c r="B135" s="18" t="n"/>
      <c r="C135" s="18" t="n"/>
      <c r="D135" s="18" t="n"/>
      <c r="E135" s="17" t="n"/>
      <c r="F135" s="17" t="n"/>
      <c r="G135" s="17" t="n"/>
      <c r="H135" s="40" t="n"/>
      <c r="I135" s="17" t="n"/>
      <c r="J135" s="17" t="n"/>
      <c r="K135" s="17" t="n"/>
      <c r="L135" s="17" t="n"/>
      <c r="M135" s="17" t="n"/>
      <c r="N135" s="17" t="n"/>
      <c r="O135" s="18" t="n"/>
    </row>
    <row r="136">
      <c r="A136" s="21" t="n"/>
      <c r="B136" s="21" t="n"/>
      <c r="C136" s="21" t="n"/>
      <c r="D136" s="21" t="n"/>
      <c r="E136" s="20" t="n"/>
      <c r="F136" s="20" t="n"/>
      <c r="G136" s="20" t="n"/>
      <c r="H136" s="41" t="n"/>
      <c r="I136" s="20" t="n"/>
      <c r="J136" s="20" t="n"/>
      <c r="K136" s="20" t="n"/>
      <c r="L136" s="20" t="n"/>
      <c r="M136" s="20" t="n"/>
      <c r="N136" s="20" t="n"/>
      <c r="O136" s="21" t="n"/>
    </row>
    <row r="137">
      <c r="A137" s="18" t="n"/>
      <c r="B137" s="18" t="n"/>
      <c r="C137" s="18" t="n"/>
      <c r="D137" s="18" t="n"/>
      <c r="E137" s="17" t="n"/>
      <c r="F137" s="17" t="n"/>
      <c r="G137" s="17" t="n"/>
      <c r="H137" s="40" t="n"/>
      <c r="I137" s="17" t="n"/>
      <c r="J137" s="17" t="n"/>
      <c r="K137" s="17" t="n"/>
      <c r="L137" s="17" t="n"/>
      <c r="M137" s="17" t="n"/>
      <c r="N137" s="17" t="n"/>
      <c r="O137" s="18" t="n"/>
    </row>
    <row r="138">
      <c r="A138" s="21" t="n"/>
      <c r="B138" s="21" t="n"/>
      <c r="C138" s="21" t="n"/>
      <c r="D138" s="21" t="n"/>
      <c r="E138" s="20" t="n"/>
      <c r="F138" s="20" t="n"/>
      <c r="G138" s="20" t="n"/>
      <c r="H138" s="41" t="n"/>
      <c r="I138" s="20" t="n"/>
      <c r="J138" s="20" t="n"/>
      <c r="K138" s="20" t="n"/>
      <c r="L138" s="20" t="n"/>
      <c r="M138" s="20" t="n"/>
      <c r="N138" s="20" t="n"/>
      <c r="O138" s="21" t="n"/>
    </row>
    <row r="139">
      <c r="A139" s="18" t="n"/>
      <c r="B139" s="18" t="n"/>
      <c r="C139" s="18" t="n"/>
      <c r="D139" s="18" t="n"/>
      <c r="E139" s="17" t="n"/>
      <c r="F139" s="17" t="n"/>
      <c r="G139" s="17" t="n"/>
      <c r="H139" s="40" t="n"/>
      <c r="I139" s="17" t="n"/>
      <c r="J139" s="17" t="n"/>
      <c r="K139" s="17" t="n"/>
      <c r="L139" s="17" t="n"/>
      <c r="M139" s="17" t="n"/>
      <c r="N139" s="17" t="n"/>
      <c r="O139" s="18" t="n"/>
    </row>
    <row r="140">
      <c r="A140" s="21" t="n"/>
      <c r="B140" s="21" t="n"/>
      <c r="C140" s="21" t="n"/>
      <c r="D140" s="21" t="n"/>
      <c r="E140" s="20" t="n"/>
      <c r="F140" s="20" t="n"/>
      <c r="G140" s="20" t="n"/>
      <c r="H140" s="41" t="n"/>
      <c r="I140" s="20" t="n"/>
      <c r="J140" s="20" t="n"/>
      <c r="K140" s="20" t="n"/>
      <c r="L140" s="20" t="n"/>
      <c r="M140" s="20" t="n"/>
      <c r="N140" s="20" t="n"/>
      <c r="O140" s="21" t="n"/>
    </row>
    <row r="141">
      <c r="A141" s="18" t="n"/>
      <c r="B141" s="18" t="n"/>
      <c r="C141" s="18" t="n"/>
      <c r="D141" s="18" t="n"/>
      <c r="E141" s="17" t="n"/>
      <c r="F141" s="17" t="n"/>
      <c r="G141" s="17" t="n"/>
      <c r="H141" s="40" t="n"/>
      <c r="I141" s="17" t="n"/>
      <c r="J141" s="17" t="n"/>
      <c r="K141" s="17" t="n"/>
      <c r="L141" s="17" t="n"/>
      <c r="M141" s="17" t="n"/>
      <c r="N141" s="17" t="n"/>
      <c r="O141" s="18" t="n"/>
    </row>
    <row r="142">
      <c r="A142" s="21" t="n"/>
      <c r="B142" s="21" t="n"/>
      <c r="C142" s="21" t="n"/>
      <c r="D142" s="21" t="n"/>
      <c r="E142" s="20" t="n"/>
      <c r="F142" s="20" t="n"/>
      <c r="G142" s="20" t="n"/>
      <c r="H142" s="41" t="n"/>
      <c r="I142" s="20" t="n"/>
      <c r="J142" s="20" t="n"/>
      <c r="K142" s="20" t="n"/>
      <c r="L142" s="20" t="n"/>
      <c r="M142" s="20" t="n"/>
      <c r="N142" s="20" t="n"/>
      <c r="O142" s="21" t="n"/>
    </row>
    <row r="143">
      <c r="A143" s="18" t="n"/>
      <c r="B143" s="18" t="n"/>
      <c r="C143" s="18" t="n"/>
      <c r="D143" s="18" t="n"/>
      <c r="E143" s="17" t="n"/>
      <c r="F143" s="17" t="n"/>
      <c r="G143" s="17" t="n"/>
      <c r="H143" s="40" t="n"/>
      <c r="I143" s="17" t="n"/>
      <c r="J143" s="17" t="n"/>
      <c r="K143" s="17" t="n"/>
      <c r="L143" s="17" t="n"/>
      <c r="M143" s="17" t="n"/>
      <c r="N143" s="17" t="n"/>
      <c r="O143" s="18" t="n"/>
    </row>
    <row r="144">
      <c r="A144" s="21" t="n"/>
      <c r="B144" s="21" t="n"/>
      <c r="C144" s="21" t="n"/>
      <c r="D144" s="21" t="n"/>
      <c r="E144" s="20" t="n"/>
      <c r="F144" s="20" t="n"/>
      <c r="G144" s="20" t="n"/>
      <c r="H144" s="41" t="n"/>
      <c r="I144" s="20" t="n"/>
      <c r="J144" s="20" t="n"/>
      <c r="K144" s="20" t="n"/>
      <c r="L144" s="20" t="n"/>
      <c r="M144" s="20" t="n"/>
      <c r="N144" s="20" t="n"/>
      <c r="O144" s="21" t="n"/>
    </row>
    <row r="145">
      <c r="A145" s="18" t="n"/>
      <c r="B145" s="18" t="n"/>
      <c r="C145" s="18" t="n"/>
      <c r="D145" s="18" t="n"/>
      <c r="E145" s="17" t="n"/>
      <c r="F145" s="17" t="n"/>
      <c r="G145" s="17" t="n"/>
      <c r="H145" s="40" t="n"/>
      <c r="I145" s="17" t="n"/>
      <c r="J145" s="17" t="n"/>
      <c r="K145" s="17" t="n"/>
      <c r="L145" s="17" t="n"/>
      <c r="M145" s="17" t="n"/>
      <c r="N145" s="17" t="n"/>
      <c r="O145" s="18" t="n"/>
    </row>
    <row r="146">
      <c r="A146" s="21" t="n"/>
      <c r="B146" s="21" t="n"/>
      <c r="C146" s="21" t="n"/>
      <c r="D146" s="21" t="n"/>
      <c r="E146" s="20" t="n"/>
      <c r="F146" s="20" t="n"/>
      <c r="G146" s="20" t="n"/>
      <c r="H146" s="41" t="n"/>
      <c r="I146" s="20" t="n"/>
      <c r="J146" s="20" t="n"/>
      <c r="K146" s="20" t="n"/>
      <c r="L146" s="20" t="n"/>
      <c r="M146" s="20" t="n"/>
      <c r="N146" s="20" t="n"/>
      <c r="O146" s="21" t="n"/>
    </row>
    <row r="147">
      <c r="A147" s="18" t="n"/>
      <c r="B147" s="18" t="n"/>
      <c r="C147" s="18" t="n"/>
      <c r="D147" s="18" t="n"/>
      <c r="E147" s="17" t="n"/>
      <c r="F147" s="17" t="n"/>
      <c r="G147" s="17" t="n"/>
      <c r="H147" s="40" t="n"/>
      <c r="I147" s="17" t="n"/>
      <c r="J147" s="17" t="n"/>
      <c r="K147" s="17" t="n"/>
      <c r="L147" s="17" t="n"/>
      <c r="M147" s="17" t="n"/>
      <c r="N147" s="17" t="n"/>
      <c r="O147" s="18" t="n"/>
    </row>
    <row r="148">
      <c r="A148" s="21" t="n"/>
      <c r="B148" s="21" t="n"/>
      <c r="C148" s="21" t="n"/>
      <c r="D148" s="21" t="n"/>
      <c r="E148" s="20" t="n"/>
      <c r="F148" s="20" t="n"/>
      <c r="G148" s="20" t="n"/>
      <c r="H148" s="41" t="n"/>
      <c r="I148" s="20" t="n"/>
      <c r="J148" s="20" t="n"/>
      <c r="K148" s="20" t="n"/>
      <c r="L148" s="20" t="n"/>
      <c r="M148" s="20" t="n"/>
      <c r="N148" s="20" t="n"/>
      <c r="O148" s="21" t="n"/>
    </row>
    <row r="149">
      <c r="A149" s="18" t="n"/>
      <c r="B149" s="18" t="n"/>
      <c r="C149" s="18" t="n"/>
      <c r="D149" s="18" t="n"/>
      <c r="E149" s="17" t="n"/>
      <c r="F149" s="17" t="n"/>
      <c r="G149" s="17" t="n"/>
      <c r="H149" s="40" t="n"/>
      <c r="I149" s="17" t="n"/>
      <c r="J149" s="17" t="n"/>
      <c r="K149" s="17" t="n"/>
      <c r="L149" s="17" t="n"/>
      <c r="M149" s="17" t="n"/>
      <c r="N149" s="17" t="n"/>
      <c r="O149" s="18" t="n"/>
    </row>
    <row r="150">
      <c r="A150" s="21" t="n"/>
      <c r="B150" s="21" t="n"/>
      <c r="C150" s="21" t="n"/>
      <c r="D150" s="21" t="n"/>
      <c r="E150" s="20" t="n"/>
      <c r="F150" s="20" t="n"/>
      <c r="G150" s="20" t="n"/>
      <c r="H150" s="41" t="n"/>
      <c r="I150" s="20" t="n"/>
      <c r="J150" s="20" t="n"/>
      <c r="K150" s="20" t="n"/>
      <c r="L150" s="20" t="n"/>
      <c r="M150" s="20" t="n"/>
      <c r="N150" s="20" t="n"/>
      <c r="O150" s="21" t="n"/>
    </row>
    <row r="151">
      <c r="A151" s="18" t="n"/>
      <c r="B151" s="18" t="n"/>
      <c r="C151" s="18" t="n"/>
      <c r="D151" s="18" t="n"/>
      <c r="E151" s="17" t="n"/>
      <c r="F151" s="17" t="n"/>
      <c r="G151" s="17" t="n"/>
      <c r="H151" s="40" t="n"/>
      <c r="I151" s="17" t="n"/>
      <c r="J151" s="17" t="n"/>
      <c r="K151" s="17" t="n"/>
      <c r="L151" s="17" t="n"/>
      <c r="M151" s="17" t="n"/>
      <c r="N151" s="17" t="n"/>
      <c r="O151" s="18" t="n"/>
    </row>
    <row r="152">
      <c r="A152" s="21" t="n"/>
      <c r="B152" s="21" t="n"/>
      <c r="C152" s="21" t="n"/>
      <c r="D152" s="21" t="n"/>
      <c r="E152" s="20" t="n"/>
      <c r="F152" s="20" t="n"/>
      <c r="G152" s="20" t="n"/>
      <c r="H152" s="41" t="n"/>
      <c r="I152" s="20" t="n"/>
      <c r="J152" s="20" t="n"/>
      <c r="K152" s="20" t="n"/>
      <c r="L152" s="20" t="n"/>
      <c r="M152" s="20" t="n"/>
      <c r="N152" s="20" t="n"/>
      <c r="O152" s="21" t="n"/>
    </row>
    <row r="153">
      <c r="A153" s="18" t="n"/>
      <c r="B153" s="18" t="n"/>
      <c r="C153" s="18" t="n"/>
      <c r="D153" s="18" t="n"/>
      <c r="E153" s="17" t="n"/>
      <c r="F153" s="17" t="n"/>
      <c r="G153" s="17" t="n"/>
      <c r="H153" s="40" t="n"/>
      <c r="I153" s="17" t="n"/>
      <c r="J153" s="17" t="n"/>
      <c r="K153" s="17" t="n"/>
      <c r="L153" s="17" t="n"/>
      <c r="M153" s="17" t="n"/>
      <c r="N153" s="17" t="n"/>
      <c r="O153" s="18" t="n"/>
    </row>
    <row r="154">
      <c r="A154" s="21" t="n"/>
      <c r="B154" s="21" t="n"/>
      <c r="C154" s="21" t="n"/>
      <c r="D154" s="21" t="n"/>
      <c r="E154" s="20" t="n"/>
      <c r="F154" s="20" t="n"/>
      <c r="G154" s="20" t="n"/>
      <c r="H154" s="41" t="n"/>
      <c r="I154" s="20" t="n"/>
      <c r="J154" s="20" t="n"/>
      <c r="K154" s="20" t="n"/>
      <c r="L154" s="20" t="n"/>
      <c r="M154" s="20" t="n"/>
      <c r="N154" s="20" t="n"/>
      <c r="O154" s="21" t="n"/>
    </row>
    <row r="155">
      <c r="A155" s="18" t="n"/>
      <c r="B155" s="18" t="n"/>
      <c r="C155" s="18" t="n"/>
      <c r="D155" s="18" t="n"/>
      <c r="E155" s="17" t="n"/>
      <c r="F155" s="17" t="n"/>
      <c r="G155" s="17" t="n"/>
      <c r="H155" s="40" t="n"/>
      <c r="I155" s="17" t="n"/>
      <c r="J155" s="17" t="n"/>
      <c r="K155" s="17" t="n"/>
      <c r="L155" s="17" t="n"/>
      <c r="M155" s="17" t="n"/>
      <c r="N155" s="17" t="n"/>
      <c r="O155" s="18" t="n"/>
    </row>
    <row r="156">
      <c r="A156" s="21" t="n"/>
      <c r="B156" s="21" t="n"/>
      <c r="C156" s="21" t="n"/>
      <c r="D156" s="21" t="n"/>
      <c r="E156" s="20" t="n"/>
      <c r="F156" s="20" t="n"/>
      <c r="G156" s="20" t="n"/>
      <c r="H156" s="41" t="n"/>
      <c r="I156" s="20" t="n"/>
      <c r="J156" s="20" t="n"/>
      <c r="K156" s="20" t="n"/>
      <c r="L156" s="20" t="n"/>
      <c r="M156" s="20" t="n"/>
      <c r="N156" s="20" t="n"/>
      <c r="O156" s="21" t="n"/>
    </row>
    <row r="157">
      <c r="A157" s="18" t="n"/>
      <c r="B157" s="18" t="n"/>
      <c r="C157" s="18" t="n"/>
      <c r="D157" s="18" t="n"/>
      <c r="E157" s="17" t="n"/>
      <c r="F157" s="17" t="n"/>
      <c r="G157" s="17" t="n"/>
      <c r="H157" s="40" t="n"/>
      <c r="I157" s="17" t="n"/>
      <c r="J157" s="17" t="n"/>
      <c r="K157" s="17" t="n"/>
      <c r="L157" s="17" t="n"/>
      <c r="M157" s="17" t="n"/>
      <c r="N157" s="17" t="n"/>
      <c r="O157" s="18" t="n"/>
    </row>
    <row r="158">
      <c r="A158" s="21" t="n"/>
      <c r="B158" s="21" t="n"/>
      <c r="C158" s="21" t="n"/>
      <c r="D158" s="21" t="n"/>
      <c r="E158" s="20" t="n"/>
      <c r="F158" s="20" t="n"/>
      <c r="G158" s="20" t="n"/>
      <c r="H158" s="41" t="n"/>
      <c r="I158" s="20" t="n"/>
      <c r="J158" s="20" t="n"/>
      <c r="K158" s="20" t="n"/>
      <c r="L158" s="20" t="n"/>
      <c r="M158" s="20" t="n"/>
      <c r="N158" s="20" t="n"/>
      <c r="O158" s="21" t="n"/>
    </row>
    <row r="159">
      <c r="A159" s="18" t="n"/>
      <c r="B159" s="18" t="n"/>
      <c r="C159" s="18" t="n"/>
      <c r="D159" s="18" t="n"/>
      <c r="E159" s="17" t="n"/>
      <c r="F159" s="17" t="n"/>
      <c r="G159" s="17" t="n"/>
      <c r="H159" s="40" t="n"/>
      <c r="I159" s="17" t="n"/>
      <c r="J159" s="17" t="n"/>
      <c r="K159" s="17" t="n"/>
      <c r="L159" s="17" t="n"/>
      <c r="M159" s="17" t="n"/>
      <c r="N159" s="17" t="n"/>
      <c r="O159" s="18" t="n"/>
    </row>
    <row r="160">
      <c r="A160" s="21" t="n"/>
      <c r="B160" s="21" t="n"/>
      <c r="C160" s="21" t="n"/>
      <c r="D160" s="21" t="n"/>
      <c r="E160" s="20" t="n"/>
      <c r="F160" s="20" t="n"/>
      <c r="G160" s="20" t="n"/>
      <c r="H160" s="41" t="n"/>
      <c r="I160" s="20" t="n"/>
      <c r="J160" s="20" t="n"/>
      <c r="K160" s="20" t="n"/>
      <c r="L160" s="20" t="n"/>
      <c r="M160" s="20" t="n"/>
      <c r="N160" s="20" t="n"/>
      <c r="O160" s="21" t="n"/>
    </row>
    <row r="161">
      <c r="A161" s="18" t="n"/>
      <c r="B161" s="18" t="n"/>
      <c r="C161" s="18" t="n"/>
      <c r="D161" s="18" t="n"/>
      <c r="E161" s="17" t="n"/>
      <c r="F161" s="17" t="n"/>
      <c r="G161" s="17" t="n"/>
      <c r="H161" s="40" t="n"/>
      <c r="I161" s="17" t="n"/>
      <c r="J161" s="17" t="n"/>
      <c r="K161" s="17" t="n"/>
      <c r="L161" s="17" t="n"/>
      <c r="M161" s="17" t="n"/>
      <c r="N161" s="17" t="n"/>
      <c r="O161" s="18" t="n"/>
    </row>
    <row r="162">
      <c r="A162" s="21" t="n"/>
      <c r="B162" s="21" t="n"/>
      <c r="C162" s="21" t="n"/>
      <c r="D162" s="21" t="n"/>
      <c r="E162" s="20" t="n"/>
      <c r="F162" s="20" t="n"/>
      <c r="G162" s="20" t="n"/>
      <c r="H162" s="41" t="n"/>
      <c r="I162" s="20" t="n"/>
      <c r="J162" s="20" t="n"/>
      <c r="K162" s="20" t="n"/>
      <c r="L162" s="20" t="n"/>
      <c r="M162" s="20" t="n"/>
      <c r="N162" s="20" t="n"/>
      <c r="O162" s="21" t="n"/>
    </row>
    <row r="163">
      <c r="A163" s="18" t="n"/>
      <c r="B163" s="18" t="n"/>
      <c r="C163" s="18" t="n"/>
      <c r="D163" s="18" t="n"/>
      <c r="E163" s="17" t="n"/>
      <c r="F163" s="17" t="n"/>
      <c r="G163" s="17" t="n"/>
      <c r="H163" s="40" t="n"/>
      <c r="I163" s="17" t="n"/>
      <c r="J163" s="17" t="n"/>
      <c r="K163" s="17" t="n"/>
      <c r="L163" s="17" t="n"/>
      <c r="M163" s="17" t="n"/>
      <c r="N163" s="17" t="n"/>
      <c r="O163" s="18" t="n"/>
    </row>
    <row r="164">
      <c r="A164" s="21" t="n"/>
      <c r="B164" s="21" t="n"/>
      <c r="C164" s="21" t="n"/>
      <c r="D164" s="21" t="n"/>
      <c r="E164" s="20" t="n"/>
      <c r="F164" s="20" t="n"/>
      <c r="G164" s="20" t="n"/>
      <c r="H164" s="41" t="n"/>
      <c r="I164" s="20" t="n"/>
      <c r="J164" s="20" t="n"/>
      <c r="K164" s="20" t="n"/>
      <c r="L164" s="20" t="n"/>
      <c r="M164" s="20" t="n"/>
      <c r="N164" s="20" t="n"/>
      <c r="O164" s="21" t="n"/>
    </row>
    <row r="165">
      <c r="A165" s="18" t="n"/>
      <c r="B165" s="18" t="n"/>
      <c r="C165" s="18" t="n"/>
      <c r="D165" s="18" t="n"/>
      <c r="E165" s="17" t="n"/>
      <c r="F165" s="17" t="n"/>
      <c r="G165" s="17" t="n"/>
      <c r="H165" s="40" t="n"/>
      <c r="I165" s="17" t="n"/>
      <c r="J165" s="17" t="n"/>
      <c r="K165" s="17" t="n"/>
      <c r="L165" s="17" t="n"/>
      <c r="M165" s="17" t="n"/>
      <c r="N165" s="17" t="n"/>
      <c r="O165" s="18" t="n"/>
    </row>
    <row r="166">
      <c r="A166" s="21" t="n"/>
      <c r="B166" s="21" t="n"/>
      <c r="C166" s="21" t="n"/>
      <c r="D166" s="21" t="n"/>
      <c r="E166" s="20" t="n"/>
      <c r="F166" s="20" t="n"/>
      <c r="G166" s="20" t="n"/>
      <c r="H166" s="41" t="n"/>
      <c r="I166" s="20" t="n"/>
      <c r="J166" s="20" t="n"/>
      <c r="K166" s="20" t="n"/>
      <c r="L166" s="20" t="n"/>
      <c r="M166" s="20" t="n"/>
      <c r="N166" s="20" t="n"/>
      <c r="O166" s="21" t="n"/>
    </row>
    <row r="167">
      <c r="A167" s="18" t="n"/>
      <c r="B167" s="18" t="n"/>
      <c r="C167" s="18" t="n"/>
      <c r="D167" s="18" t="n"/>
      <c r="E167" s="17" t="n"/>
      <c r="F167" s="17" t="n"/>
      <c r="G167" s="17" t="n"/>
      <c r="H167" s="40" t="n"/>
      <c r="I167" s="17" t="n"/>
      <c r="J167" s="17" t="n"/>
      <c r="K167" s="17" t="n"/>
      <c r="L167" s="17" t="n"/>
      <c r="M167" s="17" t="n"/>
      <c r="N167" s="17" t="n"/>
      <c r="O167" s="18" t="n"/>
    </row>
    <row r="168">
      <c r="A168" s="21" t="n"/>
      <c r="B168" s="21" t="n"/>
      <c r="C168" s="21" t="n"/>
      <c r="D168" s="21" t="n"/>
      <c r="E168" s="20" t="n"/>
      <c r="F168" s="20" t="n"/>
      <c r="G168" s="20" t="n"/>
      <c r="H168" s="41" t="n"/>
      <c r="I168" s="20" t="n"/>
      <c r="J168" s="20" t="n"/>
      <c r="K168" s="20" t="n"/>
      <c r="L168" s="20" t="n"/>
      <c r="M168" s="20" t="n"/>
      <c r="N168" s="20" t="n"/>
      <c r="O168" s="21" t="n"/>
    </row>
    <row r="169">
      <c r="A169" s="18" t="n"/>
      <c r="B169" s="18" t="n"/>
      <c r="C169" s="18" t="n"/>
      <c r="D169" s="18" t="n"/>
      <c r="E169" s="17" t="n"/>
      <c r="F169" s="17" t="n"/>
      <c r="G169" s="17" t="n"/>
      <c r="H169" s="40" t="n"/>
      <c r="I169" s="17" t="n"/>
      <c r="J169" s="17" t="n"/>
      <c r="K169" s="17" t="n"/>
      <c r="L169" s="17" t="n"/>
      <c r="M169" s="17" t="n"/>
      <c r="N169" s="17" t="n"/>
      <c r="O169" s="18" t="n"/>
    </row>
    <row r="170">
      <c r="A170" s="21" t="n"/>
      <c r="B170" s="21" t="n"/>
      <c r="C170" s="21" t="n"/>
      <c r="D170" s="21" t="n"/>
      <c r="E170" s="20" t="n"/>
      <c r="F170" s="20" t="n"/>
      <c r="G170" s="20" t="n"/>
      <c r="H170" s="41" t="n"/>
      <c r="I170" s="20" t="n"/>
      <c r="J170" s="20" t="n"/>
      <c r="K170" s="20" t="n"/>
      <c r="L170" s="20" t="n"/>
      <c r="M170" s="20" t="n"/>
      <c r="N170" s="20" t="n"/>
      <c r="O170" s="21" t="n"/>
    </row>
    <row r="171">
      <c r="A171" s="18" t="n"/>
      <c r="B171" s="18" t="n"/>
      <c r="C171" s="18" t="n"/>
      <c r="D171" s="18" t="n"/>
      <c r="E171" s="17" t="n"/>
      <c r="F171" s="17" t="n"/>
      <c r="G171" s="17" t="n"/>
      <c r="H171" s="40" t="n"/>
      <c r="I171" s="17" t="n"/>
      <c r="J171" s="17" t="n"/>
      <c r="K171" s="17" t="n"/>
      <c r="L171" s="17" t="n"/>
      <c r="M171" s="17" t="n"/>
      <c r="N171" s="17" t="n"/>
      <c r="O171" s="18" t="n"/>
    </row>
    <row r="172">
      <c r="A172" s="21" t="n"/>
      <c r="B172" s="21" t="n"/>
      <c r="C172" s="21" t="n"/>
      <c r="D172" s="21" t="n"/>
      <c r="E172" s="20" t="n"/>
      <c r="F172" s="20" t="n"/>
      <c r="G172" s="20" t="n"/>
      <c r="H172" s="41" t="n"/>
      <c r="I172" s="20" t="n"/>
      <c r="J172" s="20" t="n"/>
      <c r="K172" s="20" t="n"/>
      <c r="L172" s="20" t="n"/>
      <c r="M172" s="20" t="n"/>
      <c r="N172" s="20" t="n"/>
      <c r="O172" s="21" t="n"/>
    </row>
    <row r="173">
      <c r="A173" s="18" t="n"/>
      <c r="B173" s="18" t="n"/>
      <c r="C173" s="18" t="n"/>
      <c r="D173" s="18" t="n"/>
      <c r="E173" s="17" t="n"/>
      <c r="F173" s="17" t="n"/>
      <c r="G173" s="17" t="n"/>
      <c r="H173" s="40" t="n"/>
      <c r="I173" s="17" t="n"/>
      <c r="J173" s="17" t="n"/>
      <c r="K173" s="17" t="n"/>
      <c r="L173" s="17" t="n"/>
      <c r="M173" s="17" t="n"/>
      <c r="N173" s="17" t="n"/>
      <c r="O173" s="18" t="n"/>
    </row>
    <row r="174">
      <c r="A174" s="21" t="n"/>
      <c r="B174" s="21" t="n"/>
      <c r="C174" s="21" t="n"/>
      <c r="D174" s="21" t="n"/>
      <c r="E174" s="20" t="n"/>
      <c r="F174" s="20" t="n"/>
      <c r="G174" s="20" t="n"/>
      <c r="H174" s="41" t="n"/>
      <c r="I174" s="20" t="n"/>
      <c r="J174" s="20" t="n"/>
      <c r="K174" s="20" t="n"/>
      <c r="L174" s="20" t="n"/>
      <c r="M174" s="20" t="n"/>
      <c r="N174" s="20" t="n"/>
      <c r="O174" s="21" t="n"/>
    </row>
    <row r="175">
      <c r="A175" s="18" t="n"/>
      <c r="B175" s="18" t="n"/>
      <c r="C175" s="18" t="n"/>
      <c r="D175" s="18" t="n"/>
      <c r="E175" s="17" t="n"/>
      <c r="F175" s="17" t="n"/>
      <c r="G175" s="17" t="n"/>
      <c r="H175" s="40" t="n"/>
      <c r="I175" s="17" t="n"/>
      <c r="J175" s="17" t="n"/>
      <c r="K175" s="17" t="n"/>
      <c r="L175" s="17" t="n"/>
      <c r="M175" s="17" t="n"/>
      <c r="N175" s="17" t="n"/>
      <c r="O175" s="18" t="n"/>
    </row>
    <row r="176">
      <c r="A176" s="21" t="n"/>
      <c r="B176" s="21" t="n"/>
      <c r="C176" s="21" t="n"/>
      <c r="D176" s="21" t="n"/>
      <c r="E176" s="20" t="n"/>
      <c r="F176" s="20" t="n"/>
      <c r="G176" s="20" t="n"/>
      <c r="H176" s="41" t="n"/>
      <c r="I176" s="20" t="n"/>
      <c r="J176" s="20" t="n"/>
      <c r="K176" s="20" t="n"/>
      <c r="L176" s="20" t="n"/>
      <c r="M176" s="20" t="n"/>
      <c r="N176" s="20" t="n"/>
      <c r="O176" s="21" t="n"/>
    </row>
    <row r="177">
      <c r="A177" s="18" t="n"/>
      <c r="B177" s="18" t="n"/>
      <c r="C177" s="18" t="n"/>
      <c r="D177" s="18" t="n"/>
      <c r="E177" s="17" t="n"/>
      <c r="F177" s="17" t="n"/>
      <c r="G177" s="17" t="n"/>
      <c r="H177" s="40" t="n"/>
      <c r="I177" s="17" t="n"/>
      <c r="J177" s="17" t="n"/>
      <c r="K177" s="17" t="n"/>
      <c r="L177" s="17" t="n"/>
      <c r="M177" s="17" t="n"/>
      <c r="N177" s="17" t="n"/>
      <c r="O177" s="18" t="n"/>
    </row>
    <row r="178">
      <c r="A178" s="21" t="n"/>
      <c r="B178" s="21" t="n"/>
      <c r="C178" s="21" t="n"/>
      <c r="D178" s="21" t="n"/>
      <c r="E178" s="20" t="n"/>
      <c r="F178" s="20" t="n"/>
      <c r="G178" s="20" t="n"/>
      <c r="H178" s="41" t="n"/>
      <c r="I178" s="20" t="n"/>
      <c r="J178" s="20" t="n"/>
      <c r="K178" s="20" t="n"/>
      <c r="L178" s="20" t="n"/>
      <c r="M178" s="20" t="n"/>
      <c r="N178" s="20" t="n"/>
      <c r="O178" s="21" t="n"/>
    </row>
    <row r="179">
      <c r="A179" s="18" t="n"/>
      <c r="B179" s="18" t="n"/>
      <c r="C179" s="18" t="n"/>
      <c r="D179" s="18" t="n"/>
      <c r="E179" s="17" t="n"/>
      <c r="F179" s="17" t="n"/>
      <c r="G179" s="17" t="n"/>
      <c r="H179" s="40" t="n"/>
      <c r="I179" s="17" t="n"/>
      <c r="J179" s="17" t="n"/>
      <c r="K179" s="17" t="n"/>
      <c r="L179" s="17" t="n"/>
      <c r="M179" s="17" t="n"/>
      <c r="N179" s="17" t="n"/>
      <c r="O179" s="18" t="n"/>
    </row>
    <row r="180">
      <c r="A180" s="21" t="n"/>
      <c r="B180" s="21" t="n"/>
      <c r="C180" s="21" t="n"/>
      <c r="D180" s="21" t="n"/>
      <c r="E180" s="20" t="n"/>
      <c r="F180" s="20" t="n"/>
      <c r="G180" s="20" t="n"/>
      <c r="H180" s="41" t="n"/>
      <c r="I180" s="20" t="n"/>
      <c r="J180" s="20" t="n"/>
      <c r="K180" s="20" t="n"/>
      <c r="L180" s="20" t="n"/>
      <c r="M180" s="20" t="n"/>
      <c r="N180" s="20" t="n"/>
      <c r="O180" s="21" t="n"/>
    </row>
    <row r="181">
      <c r="A181" s="18" t="n"/>
      <c r="B181" s="18" t="n"/>
      <c r="C181" s="18" t="n"/>
      <c r="D181" s="18" t="n"/>
      <c r="E181" s="17" t="n"/>
      <c r="F181" s="17" t="n"/>
      <c r="G181" s="17" t="n"/>
      <c r="H181" s="40" t="n"/>
      <c r="I181" s="17" t="n"/>
      <c r="J181" s="17" t="n"/>
      <c r="K181" s="17" t="n"/>
      <c r="L181" s="17" t="n"/>
      <c r="M181" s="17" t="n"/>
      <c r="N181" s="17" t="n"/>
      <c r="O181" s="18" t="n"/>
    </row>
    <row r="182">
      <c r="A182" s="21" t="n"/>
      <c r="B182" s="21" t="n"/>
      <c r="C182" s="21" t="n"/>
      <c r="D182" s="21" t="n"/>
      <c r="E182" s="20" t="n"/>
      <c r="F182" s="20" t="n"/>
      <c r="G182" s="20" t="n"/>
      <c r="H182" s="41" t="n"/>
      <c r="I182" s="20" t="n"/>
      <c r="J182" s="20" t="n"/>
      <c r="K182" s="20" t="n"/>
      <c r="L182" s="20" t="n"/>
      <c r="M182" s="20" t="n"/>
      <c r="N182" s="20" t="n"/>
      <c r="O182" s="21" t="n"/>
    </row>
    <row r="183">
      <c r="A183" s="18" t="n"/>
      <c r="B183" s="18" t="n"/>
      <c r="C183" s="18" t="n"/>
      <c r="D183" s="18" t="n"/>
      <c r="E183" s="17" t="n"/>
      <c r="F183" s="17" t="n"/>
      <c r="G183" s="17" t="n"/>
      <c r="H183" s="40" t="n"/>
      <c r="I183" s="17" t="n"/>
      <c r="J183" s="17" t="n"/>
      <c r="K183" s="17" t="n"/>
      <c r="L183" s="17" t="n"/>
      <c r="M183" s="17" t="n"/>
      <c r="N183" s="17" t="n"/>
      <c r="O183" s="18" t="n"/>
    </row>
    <row r="184">
      <c r="A184" s="21" t="n"/>
      <c r="B184" s="21" t="n"/>
      <c r="C184" s="21" t="n"/>
      <c r="D184" s="21" t="n"/>
      <c r="E184" s="20" t="n"/>
      <c r="F184" s="20" t="n"/>
      <c r="G184" s="20" t="n"/>
      <c r="H184" s="41" t="n"/>
      <c r="I184" s="20" t="n"/>
      <c r="J184" s="20" t="n"/>
      <c r="K184" s="20" t="n"/>
      <c r="L184" s="20" t="n"/>
      <c r="M184" s="20" t="n"/>
      <c r="N184" s="20" t="n"/>
      <c r="O184" s="21" t="n"/>
    </row>
    <row r="185">
      <c r="A185" s="18" t="n"/>
      <c r="B185" s="18" t="n"/>
      <c r="C185" s="18" t="n"/>
      <c r="D185" s="18" t="n"/>
      <c r="E185" s="17" t="n"/>
      <c r="F185" s="17" t="n"/>
      <c r="G185" s="17" t="n"/>
      <c r="H185" s="40" t="n"/>
      <c r="I185" s="17" t="n"/>
      <c r="J185" s="17" t="n"/>
      <c r="K185" s="17" t="n"/>
      <c r="L185" s="17" t="n"/>
      <c r="M185" s="17" t="n"/>
      <c r="N185" s="17" t="n"/>
      <c r="O185" s="18" t="n"/>
    </row>
    <row r="186">
      <c r="A186" s="21" t="n"/>
      <c r="B186" s="21" t="n"/>
      <c r="C186" s="21" t="n"/>
      <c r="D186" s="21" t="n"/>
      <c r="E186" s="20" t="n"/>
      <c r="F186" s="20" t="n"/>
      <c r="G186" s="20" t="n"/>
      <c r="H186" s="41" t="n"/>
      <c r="I186" s="20" t="n"/>
      <c r="J186" s="20" t="n"/>
      <c r="K186" s="20" t="n"/>
      <c r="L186" s="20" t="n"/>
      <c r="M186" s="20" t="n"/>
      <c r="N186" s="20" t="n"/>
      <c r="O186" s="21" t="n"/>
    </row>
    <row r="187">
      <c r="A187" s="18" t="n"/>
      <c r="B187" s="18" t="n"/>
      <c r="C187" s="18" t="n"/>
      <c r="D187" s="18" t="n"/>
      <c r="E187" s="17" t="n"/>
      <c r="F187" s="17" t="n"/>
      <c r="G187" s="17" t="n"/>
      <c r="H187" s="40" t="n"/>
      <c r="I187" s="17" t="n"/>
      <c r="J187" s="17" t="n"/>
      <c r="K187" s="17" t="n"/>
      <c r="L187" s="17" t="n"/>
      <c r="M187" s="17" t="n"/>
      <c r="N187" s="17" t="n"/>
      <c r="O187" s="18" t="n"/>
    </row>
    <row r="188">
      <c r="A188" s="21" t="n"/>
      <c r="B188" s="21" t="n"/>
      <c r="C188" s="21" t="n"/>
      <c r="D188" s="21" t="n"/>
      <c r="E188" s="20" t="n"/>
      <c r="F188" s="20" t="n"/>
      <c r="G188" s="20" t="n"/>
      <c r="H188" s="41" t="n"/>
      <c r="I188" s="20" t="n"/>
      <c r="J188" s="20" t="n"/>
      <c r="K188" s="20" t="n"/>
      <c r="L188" s="20" t="n"/>
      <c r="M188" s="20" t="n"/>
      <c r="N188" s="20" t="n"/>
      <c r="O188" s="21" t="n"/>
    </row>
    <row r="189">
      <c r="A189" s="18" t="n"/>
      <c r="B189" s="18" t="n"/>
      <c r="C189" s="18" t="n"/>
      <c r="D189" s="18" t="n"/>
      <c r="E189" s="17" t="n"/>
      <c r="F189" s="17" t="n"/>
      <c r="G189" s="17" t="n"/>
      <c r="H189" s="40" t="n"/>
      <c r="I189" s="17" t="n"/>
      <c r="J189" s="17" t="n"/>
      <c r="K189" s="17" t="n"/>
      <c r="L189" s="17" t="n"/>
      <c r="M189" s="17" t="n"/>
      <c r="N189" s="17" t="n"/>
      <c r="O189" s="18" t="n"/>
    </row>
    <row r="190">
      <c r="A190" s="21" t="n"/>
      <c r="B190" s="21" t="n"/>
      <c r="C190" s="21" t="n"/>
      <c r="D190" s="21" t="n"/>
      <c r="E190" s="20" t="n"/>
      <c r="F190" s="20" t="n"/>
      <c r="G190" s="20" t="n"/>
      <c r="H190" s="41" t="n"/>
      <c r="I190" s="20" t="n"/>
      <c r="J190" s="20" t="n"/>
      <c r="K190" s="20" t="n"/>
      <c r="L190" s="20" t="n"/>
      <c r="M190" s="20" t="n"/>
      <c r="N190" s="20" t="n"/>
      <c r="O190" s="21" t="n"/>
    </row>
    <row r="191">
      <c r="A191" s="18" t="n"/>
      <c r="B191" s="18" t="n"/>
      <c r="C191" s="18" t="n"/>
      <c r="D191" s="18" t="n"/>
      <c r="E191" s="17" t="n"/>
      <c r="F191" s="17" t="n"/>
      <c r="G191" s="17" t="n"/>
      <c r="H191" s="40" t="n"/>
      <c r="I191" s="17" t="n"/>
      <c r="J191" s="17" t="n"/>
      <c r="K191" s="17" t="n"/>
      <c r="L191" s="17" t="n"/>
      <c r="M191" s="17" t="n"/>
      <c r="N191" s="17" t="n"/>
      <c r="O191" s="18" t="n"/>
    </row>
    <row r="192">
      <c r="A192" s="21" t="n"/>
      <c r="B192" s="21" t="n"/>
      <c r="C192" s="21" t="n"/>
      <c r="D192" s="21" t="n"/>
      <c r="E192" s="20" t="n"/>
      <c r="F192" s="20" t="n"/>
      <c r="G192" s="20" t="n"/>
      <c r="H192" s="41" t="n"/>
      <c r="I192" s="20" t="n"/>
      <c r="J192" s="20" t="n"/>
      <c r="K192" s="20" t="n"/>
      <c r="L192" s="20" t="n"/>
      <c r="M192" s="20" t="n"/>
      <c r="N192" s="20" t="n"/>
      <c r="O192" s="21" t="n"/>
    </row>
    <row r="193">
      <c r="A193" s="18" t="n"/>
      <c r="B193" s="18" t="n"/>
      <c r="C193" s="18" t="n"/>
      <c r="D193" s="18" t="n"/>
      <c r="E193" s="17" t="n"/>
      <c r="F193" s="17" t="n"/>
      <c r="G193" s="17" t="n"/>
      <c r="H193" s="40" t="n"/>
      <c r="I193" s="17" t="n"/>
      <c r="J193" s="17" t="n"/>
      <c r="K193" s="17" t="n"/>
      <c r="L193" s="17" t="n"/>
      <c r="M193" s="17" t="n"/>
      <c r="N193" s="17" t="n"/>
      <c r="O193" s="18" t="n"/>
    </row>
    <row r="194">
      <c r="A194" s="21" t="n"/>
      <c r="B194" s="21" t="n"/>
      <c r="C194" s="21" t="n"/>
      <c r="D194" s="21" t="n"/>
      <c r="E194" s="20" t="n"/>
      <c r="F194" s="20" t="n"/>
      <c r="G194" s="20" t="n"/>
      <c r="H194" s="41" t="n"/>
      <c r="I194" s="20" t="n"/>
      <c r="J194" s="20" t="n"/>
      <c r="K194" s="20" t="n"/>
      <c r="L194" s="20" t="n"/>
      <c r="M194" s="20" t="n"/>
      <c r="N194" s="20" t="n"/>
      <c r="O194" s="21" t="n"/>
    </row>
    <row r="195">
      <c r="A195" s="18" t="n"/>
      <c r="B195" s="18" t="n"/>
      <c r="C195" s="18" t="n"/>
      <c r="D195" s="18" t="n"/>
      <c r="E195" s="17" t="n"/>
      <c r="F195" s="17" t="n"/>
      <c r="G195" s="17" t="n"/>
      <c r="H195" s="40" t="n"/>
      <c r="I195" s="17" t="n"/>
      <c r="J195" s="17" t="n"/>
      <c r="K195" s="17" t="n"/>
      <c r="L195" s="17" t="n"/>
      <c r="M195" s="17" t="n"/>
      <c r="N195" s="17" t="n"/>
      <c r="O195" s="18" t="n"/>
    </row>
    <row r="196">
      <c r="A196" s="21" t="n"/>
      <c r="B196" s="21" t="n"/>
      <c r="C196" s="21" t="n"/>
      <c r="D196" s="21" t="n"/>
      <c r="E196" s="20" t="n"/>
      <c r="F196" s="20" t="n"/>
      <c r="G196" s="20" t="n"/>
      <c r="H196" s="41" t="n"/>
      <c r="I196" s="20" t="n"/>
      <c r="J196" s="20" t="n"/>
      <c r="K196" s="20" t="n"/>
      <c r="L196" s="20" t="n"/>
      <c r="M196" s="20" t="n"/>
      <c r="N196" s="20" t="n"/>
      <c r="O196" s="21" t="n"/>
    </row>
    <row r="197">
      <c r="A197" s="18" t="n"/>
      <c r="B197" s="18" t="n"/>
      <c r="C197" s="18" t="n"/>
      <c r="D197" s="18" t="n"/>
      <c r="E197" s="17" t="n"/>
      <c r="F197" s="17" t="n"/>
      <c r="G197" s="17" t="n"/>
      <c r="H197" s="40" t="n"/>
      <c r="I197" s="17" t="n"/>
      <c r="J197" s="17" t="n"/>
      <c r="K197" s="17" t="n"/>
      <c r="L197" s="17" t="n"/>
      <c r="M197" s="17" t="n"/>
      <c r="N197" s="17" t="n"/>
      <c r="O197" s="18" t="n"/>
    </row>
    <row r="198">
      <c r="A198" s="21" t="n"/>
      <c r="B198" s="21" t="n"/>
      <c r="C198" s="21" t="n"/>
      <c r="D198" s="21" t="n"/>
      <c r="E198" s="20" t="n"/>
      <c r="F198" s="20" t="n"/>
      <c r="G198" s="20" t="n"/>
      <c r="H198" s="41" t="n"/>
      <c r="I198" s="20" t="n"/>
      <c r="J198" s="20" t="n"/>
      <c r="K198" s="20" t="n"/>
      <c r="L198" s="20" t="n"/>
      <c r="M198" s="20" t="n"/>
      <c r="N198" s="20" t="n"/>
      <c r="O198" s="21" t="n"/>
    </row>
    <row r="199">
      <c r="A199" s="18" t="n"/>
      <c r="B199" s="18" t="n"/>
      <c r="C199" s="18" t="n"/>
      <c r="D199" s="18" t="n"/>
      <c r="E199" s="17" t="n"/>
      <c r="F199" s="17" t="n"/>
      <c r="G199" s="17" t="n"/>
      <c r="H199" s="40" t="n"/>
      <c r="I199" s="17" t="n"/>
      <c r="J199" s="17" t="n"/>
      <c r="K199" s="17" t="n"/>
      <c r="L199" s="17" t="n"/>
      <c r="M199" s="17" t="n"/>
      <c r="N199" s="17" t="n"/>
      <c r="O199" s="18" t="n"/>
    </row>
    <row r="200">
      <c r="A200" s="21" t="n"/>
      <c r="B200" s="21" t="n"/>
      <c r="C200" s="21" t="n"/>
      <c r="D200" s="21" t="n"/>
      <c r="E200" s="20" t="n"/>
      <c r="F200" s="20" t="n"/>
      <c r="G200" s="20" t="n"/>
      <c r="H200" s="41" t="n"/>
      <c r="I200" s="20" t="n"/>
      <c r="J200" s="20" t="n"/>
      <c r="K200" s="20" t="n"/>
      <c r="L200" s="20" t="n"/>
      <c r="M200" s="20" t="n"/>
      <c r="N200" s="20" t="n"/>
      <c r="O200" s="21" t="n"/>
    </row>
    <row r="201">
      <c r="A201" s="18" t="n"/>
      <c r="B201" s="18" t="n"/>
      <c r="C201" s="18" t="n"/>
      <c r="D201" s="18" t="n"/>
      <c r="E201" s="17" t="n"/>
      <c r="F201" s="17" t="n"/>
      <c r="G201" s="17" t="n"/>
      <c r="H201" s="40" t="n"/>
      <c r="I201" s="17" t="n"/>
      <c r="J201" s="17" t="n"/>
      <c r="K201" s="17" t="n"/>
      <c r="L201" s="17" t="n"/>
      <c r="M201" s="17" t="n"/>
      <c r="N201" s="17" t="n"/>
      <c r="O201" s="18" t="n"/>
    </row>
    <row r="202">
      <c r="A202" s="21" t="n"/>
      <c r="B202" s="21" t="n"/>
      <c r="C202" s="21" t="n"/>
      <c r="D202" s="21" t="n"/>
      <c r="E202" s="20" t="n"/>
      <c r="F202" s="20" t="n"/>
      <c r="G202" s="20" t="n"/>
      <c r="H202" s="41" t="n"/>
      <c r="I202" s="20" t="n"/>
      <c r="J202" s="20" t="n"/>
      <c r="K202" s="20" t="n"/>
      <c r="L202" s="20" t="n"/>
      <c r="M202" s="20" t="n"/>
      <c r="N202" s="20" t="n"/>
      <c r="O202" s="21" t="n"/>
    </row>
    <row r="203">
      <c r="A203" s="18" t="n"/>
      <c r="B203" s="18" t="n"/>
      <c r="C203" s="18" t="n"/>
      <c r="D203" s="18" t="n"/>
      <c r="E203" s="17" t="n"/>
      <c r="F203" s="17" t="n"/>
      <c r="G203" s="17" t="n"/>
      <c r="H203" s="40" t="n"/>
      <c r="I203" s="17" t="n"/>
      <c r="J203" s="17" t="n"/>
      <c r="K203" s="17" t="n"/>
      <c r="L203" s="17" t="n"/>
      <c r="M203" s="17" t="n"/>
      <c r="N203" s="17" t="n"/>
      <c r="O203" s="18" t="n"/>
    </row>
    <row r="204">
      <c r="A204" s="21" t="n"/>
      <c r="B204" s="21" t="n"/>
      <c r="C204" s="21" t="n"/>
      <c r="D204" s="21" t="n"/>
      <c r="E204" s="20" t="n"/>
      <c r="F204" s="20" t="n"/>
      <c r="G204" s="20" t="n"/>
      <c r="H204" s="41" t="n"/>
      <c r="I204" s="20" t="n"/>
      <c r="J204" s="20" t="n"/>
      <c r="K204" s="20" t="n"/>
      <c r="L204" s="20" t="n"/>
      <c r="M204" s="20" t="n"/>
      <c r="N204" s="20" t="n"/>
      <c r="O204" s="21" t="n"/>
    </row>
  </sheetData>
  <mergeCells count="2">
    <mergeCell ref="A1:O1"/>
    <mergeCell ref="A2:O2"/>
  </mergeCells>
  <conditionalFormatting sqref="G5:G204">
    <cfRule type="cellIs" priority="1" operator="equal" dxfId="0">
      <formula>"Accepted"</formula>
    </cfRule>
    <cfRule type="cellIs" priority="2" operator="equal" dxfId="1">
      <formula>"Declined"</formula>
    </cfRule>
    <cfRule type="cellIs" priority="3" operator="equal" dxfId="2">
      <formula>"Pending"</formula>
    </cfRule>
  </conditionalFormatting>
  <dataValidations count="8">
    <dataValidation sqref="F5:F204" showDropDown="0" showInputMessage="0" showErrorMessage="0" allowBlank="1" type="list">
      <formula1>=YesNoList</formula1>
    </dataValidation>
    <dataValidation sqref="G5:G204" showDropDown="0" showInputMessage="0" showErrorMessage="0" allowBlank="1" type="list">
      <formula1>=RsvpList</formula1>
    </dataValidation>
    <dataValidation sqref="I5:I204" showDropDown="0" showInputMessage="0" showErrorMessage="0" allowBlank="1" type="list">
      <formula1>=MealList</formula1>
    </dataValidation>
    <dataValidation sqref="J5:J204" showDropDown="0" showInputMessage="0" showErrorMessage="0" allowBlank="1" type="list">
      <formula1>=YesNoList</formula1>
    </dataValidation>
    <dataValidation sqref="K5:K204" showDropDown="0" showInputMessage="0" showErrorMessage="0" allowBlank="1" type="list">
      <formula1>=YesNoList</formula1>
    </dataValidation>
    <dataValidation sqref="L5:L204" showDropDown="0" showInputMessage="0" showErrorMessage="0" allowBlank="1" type="list">
      <formula1>=YesNoList</formula1>
    </dataValidation>
    <dataValidation sqref="M5:M204" showDropDown="0" showInputMessage="0" showErrorMessage="0" allowBlank="1" type="list">
      <formula1>=YesNoList</formula1>
    </dataValidation>
    <dataValidation sqref="N5:N204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5D3BA"/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8" customWidth="1" min="3" max="3"/>
    <col width="4" customWidth="1" min="4" max="4"/>
    <col width="22" customWidth="1" min="5" max="5"/>
    <col width="16" customWidth="1" min="6" max="6"/>
    <col width="16" customWidth="1" min="7" max="7"/>
  </cols>
  <sheetData>
    <row r="1" ht="46" customHeight="1">
      <c r="A1" s="1" t="inlineStr">
        <is>
          <t xml:space="preserve">  ✉  RSVP DASHBOARD</t>
        </is>
      </c>
    </row>
    <row r="2" ht="22" customHeight="1">
      <c r="A2" s="2" t="inlineStr">
        <is>
          <t xml:space="preserve">  Live response tracking and meal counts.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>
      <c r="B5" s="12" t="inlineStr">
        <is>
          <t>RESPONSE SUMMARY</t>
        </is>
      </c>
      <c r="E5" s="9" t="inlineStr">
        <is>
          <t>MEAL COUNTS</t>
        </is>
      </c>
    </row>
    <row r="6" ht="24" customHeight="1">
      <c r="B6" s="13" t="inlineStr">
        <is>
          <t>Invited Guests (seats)</t>
        </is>
      </c>
      <c r="C6" s="36">
        <f>SUMPRODUCT((GuestInvited="Yes")*IFERROR(GuestSeats,0))</f>
        <v/>
      </c>
      <c r="E6" s="16" t="inlineStr">
        <is>
          <t>Meal</t>
        </is>
      </c>
      <c r="F6" s="16" t="inlineStr">
        <is>
          <t>Count</t>
        </is>
      </c>
    </row>
    <row r="7" ht="24" customHeight="1">
      <c r="B7" s="13" t="inlineStr">
        <is>
          <t>Accepted (seats)</t>
        </is>
      </c>
      <c r="C7" s="36">
        <f>SUMPRODUCT((GuestRsvp="Accepted")*IFERROR(GuestSeats,0))</f>
        <v/>
      </c>
      <c r="E7" s="23" t="inlineStr">
        <is>
          <t>Beef</t>
        </is>
      </c>
      <c r="F7" s="44">
        <f>SUMPRODUCT((GuestMeal="Beef")*(GuestRsvp="Accepted")*IFERROR(GuestSeats,0))</f>
        <v/>
      </c>
    </row>
    <row r="8" ht="24" customHeight="1">
      <c r="B8" s="13" t="inlineStr">
        <is>
          <t>Declined (count)</t>
        </is>
      </c>
      <c r="C8" s="36">
        <f>COUNTIF(GuestRsvp,"Declined")</f>
        <v/>
      </c>
      <c r="E8" s="21" t="inlineStr">
        <is>
          <t>Chicken</t>
        </is>
      </c>
      <c r="F8" s="41">
        <f>SUMPRODUCT((GuestMeal="Chicken")*(GuestRsvp="Accepted")*IFERROR(GuestSeats,0))</f>
        <v/>
      </c>
    </row>
    <row r="9" ht="24" customHeight="1">
      <c r="B9" s="13" t="inlineStr">
        <is>
          <t>Pending (count)</t>
        </is>
      </c>
      <c r="C9" s="36">
        <f>COUNTIF(GuestRsvp,"Pending")</f>
        <v/>
      </c>
      <c r="E9" s="23" t="inlineStr">
        <is>
          <t>Fish</t>
        </is>
      </c>
      <c r="F9" s="44">
        <f>SUMPRODUCT((GuestMeal="Fish")*(GuestRsvp="Accepted")*IFERROR(GuestSeats,0))</f>
        <v/>
      </c>
    </row>
    <row r="10" ht="24" customHeight="1">
      <c r="B10" s="13" t="inlineStr">
        <is>
          <t>RSVP Completion %</t>
        </is>
      </c>
      <c r="C10" s="45">
        <f>IFERROR(COUNTIF(GuestRsvp,"Accepted")+COUNTIF(GuestRsvp,"Declined"),0)/MAX(COUNTA(GuestName),1)</f>
        <v/>
      </c>
      <c r="E10" s="21" t="inlineStr">
        <is>
          <t>Vegetarian</t>
        </is>
      </c>
      <c r="F10" s="41">
        <f>SUMPRODUCT((GuestMeal="Vegetarian")*(GuestRsvp="Accepted")*IFERROR(GuestSeats,0))</f>
        <v/>
      </c>
    </row>
    <row r="11" ht="24" customHeight="1">
      <c r="B11" s="13" t="inlineStr">
        <is>
          <t>Attendance %</t>
        </is>
      </c>
      <c r="C11" s="45">
        <f>IFERROR(SUMPRODUCT((GuestRsvp="Accepted")*IFERROR(GuestSeats,0))/MAX(SUMPRODUCT((GuestInvited="Yes")*IFERROR(GuestSeats,0)),1),0)</f>
        <v/>
      </c>
      <c r="E11" s="23" t="inlineStr">
        <is>
          <t>Vegan</t>
        </is>
      </c>
      <c r="F11" s="44">
        <f>SUMPRODUCT((GuestMeal="Vegan")*(GuestRsvp="Accepted")*IFERROR(GuestSeats,0))</f>
        <v/>
      </c>
    </row>
    <row r="12">
      <c r="E12" s="21" t="inlineStr">
        <is>
          <t>Kids</t>
        </is>
      </c>
      <c r="F12" s="41">
        <f>SUMPRODUCT((GuestMeal="Kids")*(GuestRsvp="Accepted")*IFERROR(GuestSeats,0))</f>
        <v/>
      </c>
    </row>
    <row r="13">
      <c r="E13" s="23" t="inlineStr">
        <is>
          <t>None</t>
        </is>
      </c>
      <c r="F13" s="44">
        <f>SUMPRODUCT((GuestMeal="None")*(GuestRsvp="Accepted")*IFERROR(GuestSeats,0))</f>
        <v/>
      </c>
    </row>
    <row r="15">
      <c r="B15" s="16" t="inlineStr">
        <is>
          <t>Status</t>
        </is>
      </c>
      <c r="C15" s="16" t="inlineStr">
        <is>
          <t>Count</t>
        </is>
      </c>
    </row>
    <row r="16">
      <c r="B16" s="23" t="inlineStr">
        <is>
          <t>Accepted</t>
        </is>
      </c>
      <c r="C16" s="44">
        <f>COUNTIF(GuestRsvp,"Accepted")</f>
        <v/>
      </c>
    </row>
    <row r="17">
      <c r="B17" s="23" t="inlineStr">
        <is>
          <t>Declined</t>
        </is>
      </c>
      <c r="C17" s="44">
        <f>COUNTIF(GuestRsvp,"Declined")</f>
        <v/>
      </c>
    </row>
    <row r="18">
      <c r="B18" s="23" t="inlineStr">
        <is>
          <t>Pending</t>
        </is>
      </c>
      <c r="C18" s="44">
        <f>COUNTIF(GuestRsvp,"Pending")</f>
        <v/>
      </c>
    </row>
  </sheetData>
  <mergeCells count="4">
    <mergeCell ref="E5:F5"/>
    <mergeCell ref="B5:C5"/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tabColor rgb="001B4F48"/>
    <outlinePr summaryBelow="1" summaryRight="1"/>
    <pageSetUpPr/>
  </sheetPr>
  <dimension ref="A1:F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2" customWidth="1" min="4" max="4"/>
    <col width="14" customWidth="1" min="5" max="5"/>
    <col width="28" customWidth="1" min="6" max="6"/>
  </cols>
  <sheetData>
    <row r="1" ht="46" customHeight="1">
      <c r="A1" s="1" t="inlineStr">
        <is>
          <t xml:space="preserve">  🪑  SEATING PLANNER</t>
        </is>
      </c>
    </row>
    <row r="2" ht="22" customHeight="1">
      <c r="A2" s="2" t="inlineStr">
        <is>
          <t xml:space="preserve">  Assign tables with live capacity warnings and VIP flags.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16" t="inlineStr">
        <is>
          <t>Table</t>
        </is>
      </c>
      <c r="B4" s="16" t="inlineStr">
        <is>
          <t>Assigned Guests</t>
        </is>
      </c>
      <c r="C4" s="16" t="inlineStr">
        <is>
          <t>Seated</t>
        </is>
      </c>
      <c r="D4" s="16" t="inlineStr">
        <is>
          <t>Capacity</t>
        </is>
      </c>
      <c r="E4" s="16" t="inlineStr">
        <is>
          <t>Open</t>
        </is>
      </c>
      <c r="F4" s="16" t="inlineStr">
        <is>
          <t>VIP / Notes</t>
        </is>
      </c>
    </row>
    <row r="5">
      <c r="A5" s="17" t="inlineStr">
        <is>
          <t>Table 1</t>
        </is>
      </c>
      <c r="B5" s="18" t="inlineStr">
        <is>
          <t>Bride, Groom, MOH, Best Man, parents (8)</t>
        </is>
      </c>
      <c r="C5" s="40" t="n">
        <v>8</v>
      </c>
      <c r="D5" s="40" t="n">
        <v>10</v>
      </c>
      <c r="E5" s="40">
        <f>IF(D5="","",D5-IFERROR(C5,0))</f>
        <v/>
      </c>
      <c r="F5" s="18" t="inlineStr">
        <is>
          <t>Head table — VIP</t>
        </is>
      </c>
    </row>
    <row r="6">
      <c r="A6" s="20" t="inlineStr">
        <is>
          <t>Table 2</t>
        </is>
      </c>
      <c r="B6" s="21" t="inlineStr">
        <is>
          <t>Bennett family</t>
        </is>
      </c>
      <c r="C6" s="41" t="n">
        <v>9</v>
      </c>
      <c r="D6" s="41" t="n">
        <v>10</v>
      </c>
      <c r="E6" s="41">
        <f>IF(D6="","",D6-IFERROR(C6,0))</f>
        <v/>
      </c>
      <c r="F6" s="21" t="inlineStr">
        <is>
          <t>VIP — grandparents</t>
        </is>
      </c>
    </row>
    <row r="7">
      <c r="A7" s="17" t="inlineStr">
        <is>
          <t>Table 3</t>
        </is>
      </c>
      <c r="B7" s="18" t="inlineStr">
        <is>
          <t>Carter family</t>
        </is>
      </c>
      <c r="C7" s="40" t="n">
        <v>10</v>
      </c>
      <c r="D7" s="40" t="n">
        <v>10</v>
      </c>
      <c r="E7" s="40">
        <f>IF(D7="","",D7-IFERROR(C7,0))</f>
        <v/>
      </c>
      <c r="F7" s="18" t="inlineStr"/>
    </row>
    <row r="8">
      <c r="A8" s="20" t="inlineStr">
        <is>
          <t>Table 4</t>
        </is>
      </c>
      <c r="B8" s="21" t="inlineStr">
        <is>
          <t>College friends</t>
        </is>
      </c>
      <c r="C8" s="41" t="n">
        <v>8</v>
      </c>
      <c r="D8" s="41" t="n">
        <v>10</v>
      </c>
      <c r="E8" s="41">
        <f>IF(D8="","",D8-IFERROR(C8,0))</f>
        <v/>
      </c>
      <c r="F8" s="21" t="inlineStr"/>
    </row>
    <row r="9">
      <c r="A9" s="17" t="inlineStr">
        <is>
          <t>Table 5</t>
        </is>
      </c>
      <c r="B9" s="18" t="inlineStr">
        <is>
          <t>Work friends</t>
        </is>
      </c>
      <c r="C9" s="40" t="n">
        <v>7</v>
      </c>
      <c r="D9" s="40" t="n">
        <v>10</v>
      </c>
      <c r="E9" s="40">
        <f>IF(D9="","",D9-IFERROR(C9,0))</f>
        <v/>
      </c>
      <c r="F9" s="18" t="inlineStr"/>
    </row>
    <row r="10">
      <c r="A10" s="20" t="inlineStr">
        <is>
          <t>Table 6</t>
        </is>
      </c>
      <c r="B10" s="21" t="inlineStr">
        <is>
          <t>Patel + Rivera families</t>
        </is>
      </c>
      <c r="C10" s="41" t="n">
        <v>10</v>
      </c>
      <c r="D10" s="41" t="n">
        <v>10</v>
      </c>
      <c r="E10" s="41">
        <f>IF(D10="","",D10-IFERROR(C10,0))</f>
        <v/>
      </c>
      <c r="F10" s="21" t="inlineStr">
        <is>
          <t>1 highchair needed</t>
        </is>
      </c>
    </row>
    <row r="11">
      <c r="A11" s="17" t="inlineStr">
        <is>
          <t>Table 7</t>
        </is>
      </c>
      <c r="B11" s="18" t="inlineStr">
        <is>
          <t>Neighbors &amp; family friends</t>
        </is>
      </c>
      <c r="C11" s="40" t="n">
        <v>9</v>
      </c>
      <c r="D11" s="40" t="n">
        <v>10</v>
      </c>
      <c r="E11" s="40">
        <f>IF(D11="","",D11-IFERROR(C11,0))</f>
        <v/>
      </c>
      <c r="F11" s="18" t="inlineStr"/>
    </row>
    <row r="12">
      <c r="A12" s="20" t="inlineStr">
        <is>
          <t>Table 8</t>
        </is>
      </c>
      <c r="B12" s="21" t="inlineStr">
        <is>
          <t>Plus-ones &amp; misc</t>
        </is>
      </c>
      <c r="C12" s="41" t="n">
        <v>6</v>
      </c>
      <c r="D12" s="41" t="n">
        <v>10</v>
      </c>
      <c r="E12" s="41">
        <f>IF(D12="","",D12-IFERROR(C12,0))</f>
        <v/>
      </c>
      <c r="F12" s="21" t="inlineStr"/>
    </row>
    <row r="13">
      <c r="A13" s="17" t="n"/>
      <c r="B13" s="18" t="n"/>
      <c r="C13" s="40" t="n"/>
      <c r="D13" s="40" t="n"/>
      <c r="E13" s="40">
        <f>IF(D13="","",D13-IFERROR(C13,0))</f>
        <v/>
      </c>
      <c r="F13" s="18" t="n"/>
    </row>
    <row r="14">
      <c r="A14" s="20" t="n"/>
      <c r="B14" s="21" t="n"/>
      <c r="C14" s="41" t="n"/>
      <c r="D14" s="41" t="n"/>
      <c r="E14" s="41">
        <f>IF(D14="","",D14-IFERROR(C14,0))</f>
        <v/>
      </c>
      <c r="F14" s="21" t="n"/>
    </row>
    <row r="15">
      <c r="A15" s="17" t="n"/>
      <c r="B15" s="18" t="n"/>
      <c r="C15" s="40" t="n"/>
      <c r="D15" s="40" t="n"/>
      <c r="E15" s="40">
        <f>IF(D15="","",D15-IFERROR(C15,0))</f>
        <v/>
      </c>
      <c r="F15" s="18" t="n"/>
    </row>
    <row r="16">
      <c r="A16" s="20" t="n"/>
      <c r="B16" s="21" t="n"/>
      <c r="C16" s="41" t="n"/>
      <c r="D16" s="41" t="n"/>
      <c r="E16" s="41">
        <f>IF(D16="","",D16-IFERROR(C16,0))</f>
        <v/>
      </c>
      <c r="F16" s="21" t="n"/>
    </row>
    <row r="17">
      <c r="A17" s="17" t="n"/>
      <c r="B17" s="18" t="n"/>
      <c r="C17" s="40" t="n"/>
      <c r="D17" s="40" t="n"/>
      <c r="E17" s="40">
        <f>IF(D17="","",D17-IFERROR(C17,0))</f>
        <v/>
      </c>
      <c r="F17" s="18" t="n"/>
    </row>
    <row r="18">
      <c r="A18" s="20" t="n"/>
      <c r="B18" s="21" t="n"/>
      <c r="C18" s="41" t="n"/>
      <c r="D18" s="41" t="n"/>
      <c r="E18" s="41">
        <f>IF(D18="","",D18-IFERROR(C18,0))</f>
        <v/>
      </c>
      <c r="F18" s="21" t="n"/>
    </row>
    <row r="19">
      <c r="A19" s="17" t="n"/>
      <c r="B19" s="18" t="n"/>
      <c r="C19" s="40" t="n"/>
      <c r="D19" s="40" t="n"/>
      <c r="E19" s="40">
        <f>IF(D19="","",D19-IFERROR(C19,0))</f>
        <v/>
      </c>
      <c r="F19" s="18" t="n"/>
    </row>
    <row r="20">
      <c r="A20" s="20" t="n"/>
      <c r="B20" s="21" t="n"/>
      <c r="C20" s="41" t="n"/>
      <c r="D20" s="41" t="n"/>
      <c r="E20" s="41">
        <f>IF(D20="","",D20-IFERROR(C20,0))</f>
        <v/>
      </c>
      <c r="F20" s="21" t="n"/>
    </row>
    <row r="21">
      <c r="A21" s="17" t="n"/>
      <c r="B21" s="18" t="n"/>
      <c r="C21" s="40" t="n"/>
      <c r="D21" s="40" t="n"/>
      <c r="E21" s="40">
        <f>IF(D21="","",D21-IFERROR(C21,0))</f>
        <v/>
      </c>
      <c r="F21" s="18" t="n"/>
    </row>
    <row r="22">
      <c r="A22" s="20" t="n"/>
      <c r="B22" s="21" t="n"/>
      <c r="C22" s="41" t="n"/>
      <c r="D22" s="41" t="n"/>
      <c r="E22" s="41">
        <f>IF(D22="","",D22-IFERROR(C22,0))</f>
        <v/>
      </c>
      <c r="F22" s="21" t="n"/>
    </row>
    <row r="23">
      <c r="A23" s="17" t="n"/>
      <c r="B23" s="18" t="n"/>
      <c r="C23" s="40" t="n"/>
      <c r="D23" s="40" t="n"/>
      <c r="E23" s="40">
        <f>IF(D23="","",D23-IFERROR(C23,0))</f>
        <v/>
      </c>
      <c r="F23" s="18" t="n"/>
    </row>
    <row r="24">
      <c r="A24" s="20" t="n"/>
      <c r="B24" s="21" t="n"/>
      <c r="C24" s="41" t="n"/>
      <c r="D24" s="41" t="n"/>
      <c r="E24" s="41">
        <f>IF(D24="","",D24-IFERROR(C24,0))</f>
        <v/>
      </c>
      <c r="F24" s="21" t="n"/>
    </row>
    <row r="25">
      <c r="A25" s="17" t="n"/>
      <c r="B25" s="18" t="n"/>
      <c r="C25" s="40" t="n"/>
      <c r="D25" s="40" t="n"/>
      <c r="E25" s="40">
        <f>IF(D25="","",D25-IFERROR(C25,0))</f>
        <v/>
      </c>
      <c r="F25" s="18" t="n"/>
    </row>
    <row r="26">
      <c r="A26" s="20" t="n"/>
      <c r="B26" s="21" t="n"/>
      <c r="C26" s="41" t="n"/>
      <c r="D26" s="41" t="n"/>
      <c r="E26" s="41">
        <f>IF(D26="","",D26-IFERROR(C26,0))</f>
        <v/>
      </c>
      <c r="F26" s="21" t="n"/>
    </row>
    <row r="27">
      <c r="A27" s="17" t="n"/>
      <c r="B27" s="18" t="n"/>
      <c r="C27" s="40" t="n"/>
      <c r="D27" s="40" t="n"/>
      <c r="E27" s="40">
        <f>IF(D27="","",D27-IFERROR(C27,0))</f>
        <v/>
      </c>
      <c r="F27" s="18" t="n"/>
    </row>
    <row r="28">
      <c r="A28" s="20" t="n"/>
      <c r="B28" s="21" t="n"/>
      <c r="C28" s="41" t="n"/>
      <c r="D28" s="41" t="n"/>
      <c r="E28" s="41">
        <f>IF(D28="","",D28-IFERROR(C28,0))</f>
        <v/>
      </c>
      <c r="F28" s="21" t="n"/>
    </row>
    <row r="29">
      <c r="A29" s="17" t="n"/>
      <c r="B29" s="18" t="n"/>
      <c r="C29" s="40" t="n"/>
      <c r="D29" s="40" t="n"/>
      <c r="E29" s="40">
        <f>IF(D29="","",D29-IFERROR(C29,0))</f>
        <v/>
      </c>
      <c r="F29" s="18" t="n"/>
    </row>
    <row r="30">
      <c r="A30" s="20" t="n"/>
      <c r="B30" s="21" t="n"/>
      <c r="C30" s="41" t="n"/>
      <c r="D30" s="41" t="n"/>
      <c r="E30" s="41">
        <f>IF(D30="","",D30-IFERROR(C30,0))</f>
        <v/>
      </c>
      <c r="F30" s="21" t="n"/>
    </row>
    <row r="31">
      <c r="A31" s="17" t="n"/>
      <c r="B31" s="18" t="n"/>
      <c r="C31" s="40" t="n"/>
      <c r="D31" s="40" t="n"/>
      <c r="E31" s="40">
        <f>IF(D31="","",D31-IFERROR(C31,0))</f>
        <v/>
      </c>
      <c r="F31" s="18" t="n"/>
    </row>
    <row r="32">
      <c r="A32" s="20" t="n"/>
      <c r="B32" s="21" t="n"/>
      <c r="C32" s="41" t="n"/>
      <c r="D32" s="41" t="n"/>
      <c r="E32" s="41">
        <f>IF(D32="","",D32-IFERROR(C32,0))</f>
        <v/>
      </c>
      <c r="F32" s="21" t="n"/>
    </row>
    <row r="33">
      <c r="A33" s="17" t="n"/>
      <c r="B33" s="18" t="n"/>
      <c r="C33" s="40" t="n"/>
      <c r="D33" s="40" t="n"/>
      <c r="E33" s="40">
        <f>IF(D33="","",D33-IFERROR(C33,0))</f>
        <v/>
      </c>
      <c r="F33" s="18" t="n"/>
    </row>
    <row r="34">
      <c r="A34" s="20" t="n"/>
      <c r="B34" s="21" t="n"/>
      <c r="C34" s="41" t="n"/>
      <c r="D34" s="41" t="n"/>
      <c r="E34" s="41">
        <f>IF(D34="","",D34-IFERROR(C34,0))</f>
        <v/>
      </c>
      <c r="F34" s="21" t="n"/>
    </row>
    <row r="38">
      <c r="A38" s="9" t="inlineStr">
        <is>
          <t>CAPACITY SUMMARY</t>
        </is>
      </c>
    </row>
    <row r="39">
      <c r="A39" s="13" t="inlineStr">
        <is>
          <t>Total Seated</t>
        </is>
      </c>
      <c r="B39" s="46">
        <f>SUM(C5:C34)</f>
        <v/>
      </c>
    </row>
    <row r="40">
      <c r="A40" s="13" t="inlineStr">
        <is>
          <t>Total Capacity</t>
        </is>
      </c>
      <c r="B40" s="46">
        <f>SUM(D5:D34)</f>
        <v/>
      </c>
    </row>
    <row r="41">
      <c r="A41" s="13" t="inlineStr">
        <is>
          <t>Seats Open</t>
        </is>
      </c>
      <c r="B41" s="46">
        <f>SUM(E5:E34)</f>
        <v/>
      </c>
    </row>
    <row r="42">
      <c r="A42" s="13" t="inlineStr">
        <is>
          <t>Accepted Guests (need seats)</t>
        </is>
      </c>
      <c r="B42" s="46">
        <f>SUMPRODUCT((GuestRsvp="Accepted")*IFERROR(GuestSeats,0))</f>
        <v/>
      </c>
    </row>
  </sheetData>
  <mergeCells count="3">
    <mergeCell ref="A38:F38"/>
    <mergeCell ref="A2:F2"/>
    <mergeCell ref="A1:F1"/>
  </mergeCells>
  <conditionalFormatting sqref="A5:F34">
    <cfRule type="expression" priority="1" dxfId="1">
      <formula>AND($C5&lt;&gt;"",$C5&gt;$D5)</formula>
    </cfRule>
    <cfRule type="expression" priority="3" dxfId="3">
      <formula>ISNUMBER(SEARCH("VIP",$F5))</formula>
    </cfRule>
  </conditionalFormatting>
  <conditionalFormatting sqref="E5:E34">
    <cfRule type="cellIs" priority="2" operator="equal" dxfId="0">
      <formula>0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937356"/>
    <outlinePr summaryBelow="1" summaryRight="1"/>
    <pageSetUpPr/>
  </sheetPr>
  <dimension ref="A1:G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24" customWidth="1" min="4" max="4"/>
    <col width="18" customWidth="1" min="5" max="5"/>
    <col width="14" customWidth="1" min="6" max="6"/>
    <col width="26" customWidth="1" min="7" max="7"/>
  </cols>
  <sheetData>
    <row r="1" ht="46" customHeight="1">
      <c r="A1" s="1" t="inlineStr">
        <is>
          <t xml:space="preserve">  👗  BRIDAL PARTY</t>
        </is>
      </c>
    </row>
    <row r="2" ht="22" customHeight="1">
      <c r="A2" s="2" t="inlineStr">
        <is>
          <t xml:space="preserve">  Wedding party, roles, sizes, outfits, gifts, and tasks.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16" t="inlineStr">
        <is>
          <t>Role</t>
        </is>
      </c>
      <c r="B4" s="16" t="inlineStr">
        <is>
          <t>Name</t>
        </is>
      </c>
      <c r="C4" s="16" t="inlineStr">
        <is>
          <t>Phone</t>
        </is>
      </c>
      <c r="D4" s="16" t="inlineStr">
        <is>
          <t>Outfit / Size</t>
        </is>
      </c>
      <c r="E4" s="16" t="inlineStr">
        <is>
          <t>Gift</t>
        </is>
      </c>
      <c r="F4" s="16" t="inlineStr">
        <is>
          <t>Gift Status</t>
        </is>
      </c>
      <c r="G4" s="16" t="inlineStr">
        <is>
          <t>Tasks</t>
        </is>
      </c>
    </row>
    <row r="5">
      <c r="A5" s="17" t="inlineStr">
        <is>
          <t>Maid of Honor</t>
        </is>
      </c>
      <c r="B5" s="18" t="inlineStr">
        <is>
          <t>Emily Bennett</t>
        </is>
      </c>
      <c r="C5" s="17" t="inlineStr">
        <is>
          <t>(555) 412-7799</t>
        </is>
      </c>
      <c r="D5" s="18" t="inlineStr">
        <is>
          <t>Dress — Emerald, M</t>
        </is>
      </c>
      <c r="E5" s="18" t="inlineStr">
        <is>
          <t>Robe + jewelry</t>
        </is>
      </c>
      <c r="F5" s="17" t="inlineStr">
        <is>
          <t>Ordered</t>
        </is>
      </c>
      <c r="G5" s="18" t="inlineStr">
        <is>
          <t>Plan shower</t>
        </is>
      </c>
    </row>
    <row r="6">
      <c r="A6" s="20" t="inlineStr">
        <is>
          <t>Bridesmaid</t>
        </is>
      </c>
      <c r="B6" s="21" t="inlineStr">
        <is>
          <t>Maya Rivera</t>
        </is>
      </c>
      <c r="C6" s="20" t="inlineStr">
        <is>
          <t>(555) 412-7000</t>
        </is>
      </c>
      <c r="D6" s="21" t="inlineStr">
        <is>
          <t>Dress — Emerald, S</t>
        </is>
      </c>
      <c r="E6" s="21" t="inlineStr">
        <is>
          <t>Robe</t>
        </is>
      </c>
      <c r="F6" s="20" t="inlineStr">
        <is>
          <t>Ordered</t>
        </is>
      </c>
      <c r="G6" s="21" t="inlineStr">
        <is>
          <t>Bouquet help</t>
        </is>
      </c>
    </row>
    <row r="7">
      <c r="A7" s="17" t="inlineStr">
        <is>
          <t>Bridesmaid</t>
        </is>
      </c>
      <c r="B7" s="18" t="inlineStr">
        <is>
          <t>Olivia Reed</t>
        </is>
      </c>
      <c r="C7" s="17" t="inlineStr">
        <is>
          <t>(555) 200-2244</t>
        </is>
      </c>
      <c r="D7" s="18" t="inlineStr">
        <is>
          <t>Dress — Emerald, L</t>
        </is>
      </c>
      <c r="E7" s="18" t="inlineStr">
        <is>
          <t>Robe</t>
        </is>
      </c>
      <c r="F7" s="17" t="inlineStr">
        <is>
          <t>Pending</t>
        </is>
      </c>
      <c r="G7" s="18" t="inlineStr"/>
    </row>
    <row r="8">
      <c r="A8" s="20" t="inlineStr">
        <is>
          <t>Best Man</t>
        </is>
      </c>
      <c r="B8" s="21" t="inlineStr">
        <is>
          <t>Daniel Carter</t>
        </is>
      </c>
      <c r="C8" s="20" t="inlineStr">
        <is>
          <t>(555) 901-2271</t>
        </is>
      </c>
      <c r="D8" s="21" t="inlineStr">
        <is>
          <t>Suit — Charcoal, 42R</t>
        </is>
      </c>
      <c r="E8" s="21" t="inlineStr">
        <is>
          <t>Cufflinks</t>
        </is>
      </c>
      <c r="F8" s="20" t="inlineStr">
        <is>
          <t>Ordered</t>
        </is>
      </c>
      <c r="G8" s="21" t="inlineStr">
        <is>
          <t>Plan stag</t>
        </is>
      </c>
    </row>
    <row r="9">
      <c r="A9" s="17" t="inlineStr">
        <is>
          <t>Groomsman</t>
        </is>
      </c>
      <c r="B9" s="18" t="inlineStr">
        <is>
          <t>Aiden Brooks</t>
        </is>
      </c>
      <c r="C9" s="17" t="inlineStr">
        <is>
          <t>(555) 901-2272</t>
        </is>
      </c>
      <c r="D9" s="18" t="inlineStr">
        <is>
          <t>Suit — Charcoal, 40R</t>
        </is>
      </c>
      <c r="E9" s="18" t="inlineStr">
        <is>
          <t>Cufflinks</t>
        </is>
      </c>
      <c r="F9" s="17" t="inlineStr">
        <is>
          <t>Pending</t>
        </is>
      </c>
      <c r="G9" s="18" t="inlineStr"/>
    </row>
    <row r="10">
      <c r="A10" s="20" t="inlineStr">
        <is>
          <t>Groomsman</t>
        </is>
      </c>
      <c r="B10" s="21" t="inlineStr">
        <is>
          <t>Marc Lane</t>
        </is>
      </c>
      <c r="C10" s="20" t="inlineStr">
        <is>
          <t>(555) 200-8842</t>
        </is>
      </c>
      <c r="D10" s="21" t="inlineStr">
        <is>
          <t>Suit — Charcoal, 44R</t>
        </is>
      </c>
      <c r="E10" s="21" t="inlineStr">
        <is>
          <t>Cufflinks</t>
        </is>
      </c>
      <c r="F10" s="20" t="inlineStr">
        <is>
          <t>Pending</t>
        </is>
      </c>
      <c r="G10" s="21" t="inlineStr"/>
    </row>
    <row r="11">
      <c r="A11" s="17" t="inlineStr">
        <is>
          <t>Flower Girl</t>
        </is>
      </c>
      <c r="B11" s="18" t="inlineStr">
        <is>
          <t>Lily Patel</t>
        </is>
      </c>
      <c r="C11" s="17" t="inlineStr">
        <is>
          <t>—</t>
        </is>
      </c>
      <c r="D11" s="18" t="inlineStr">
        <is>
          <t>Ivory dress, 6Y</t>
        </is>
      </c>
      <c r="E11" s="18" t="inlineStr">
        <is>
          <t>Charm bracelet</t>
        </is>
      </c>
      <c r="F11" s="17" t="inlineStr">
        <is>
          <t>Ordered</t>
        </is>
      </c>
      <c r="G11" s="18" t="inlineStr"/>
    </row>
    <row r="12">
      <c r="A12" s="20" t="inlineStr">
        <is>
          <t>Ring Bearer</t>
        </is>
      </c>
      <c r="B12" s="21" t="inlineStr">
        <is>
          <t>Noah Carter</t>
        </is>
      </c>
      <c r="C12" s="20" t="inlineStr">
        <is>
          <t>—</t>
        </is>
      </c>
      <c r="D12" s="21" t="inlineStr">
        <is>
          <t>Mini suit, 5Y</t>
        </is>
      </c>
      <c r="E12" s="21" t="inlineStr">
        <is>
          <t>Toy + medal</t>
        </is>
      </c>
      <c r="F12" s="20" t="inlineStr">
        <is>
          <t>Ordered</t>
        </is>
      </c>
      <c r="G12" s="21" t="inlineStr"/>
    </row>
    <row r="13">
      <c r="A13" s="17" t="inlineStr">
        <is>
          <t>Mother of Bride</t>
        </is>
      </c>
      <c r="B13" s="18" t="inlineStr">
        <is>
          <t>Linda Bennett</t>
        </is>
      </c>
      <c r="C13" s="17" t="inlineStr">
        <is>
          <t>(555) 412-7833</t>
        </is>
      </c>
      <c r="D13" s="18" t="inlineStr">
        <is>
          <t>Gown — Champagne</t>
        </is>
      </c>
      <c r="E13" s="18" t="inlineStr">
        <is>
          <t>Corsage</t>
        </is>
      </c>
      <c r="F13" s="17" t="inlineStr">
        <is>
          <t>Pending</t>
        </is>
      </c>
      <c r="G13" s="18" t="inlineStr"/>
    </row>
    <row r="14">
      <c r="A14" s="20" t="inlineStr">
        <is>
          <t>Mother of Groom</t>
        </is>
      </c>
      <c r="B14" s="21" t="inlineStr">
        <is>
          <t>Carol Carter</t>
        </is>
      </c>
      <c r="C14" s="20" t="inlineStr">
        <is>
          <t>(555) 901-0000</t>
        </is>
      </c>
      <c r="D14" s="21" t="inlineStr">
        <is>
          <t>Gown — Navy</t>
        </is>
      </c>
      <c r="E14" s="21" t="inlineStr">
        <is>
          <t>Corsage</t>
        </is>
      </c>
      <c r="F14" s="20" t="inlineStr">
        <is>
          <t>Pending</t>
        </is>
      </c>
      <c r="G14" s="21" t="inlineStr"/>
    </row>
    <row r="15">
      <c r="A15" s="17" t="n"/>
      <c r="B15" s="18" t="n"/>
      <c r="C15" s="17" t="n"/>
      <c r="D15" s="18" t="n"/>
      <c r="E15" s="18" t="n"/>
      <c r="F15" s="17" t="n"/>
      <c r="G15" s="18" t="n"/>
    </row>
    <row r="16">
      <c r="A16" s="20" t="n"/>
      <c r="B16" s="21" t="n"/>
      <c r="C16" s="20" t="n"/>
      <c r="D16" s="21" t="n"/>
      <c r="E16" s="21" t="n"/>
      <c r="F16" s="20" t="n"/>
      <c r="G16" s="21" t="n"/>
    </row>
    <row r="17">
      <c r="A17" s="17" t="n"/>
      <c r="B17" s="18" t="n"/>
      <c r="C17" s="17" t="n"/>
      <c r="D17" s="18" t="n"/>
      <c r="E17" s="18" t="n"/>
      <c r="F17" s="17" t="n"/>
      <c r="G17" s="18" t="n"/>
    </row>
    <row r="18">
      <c r="A18" s="20" t="n"/>
      <c r="B18" s="21" t="n"/>
      <c r="C18" s="20" t="n"/>
      <c r="D18" s="21" t="n"/>
      <c r="E18" s="21" t="n"/>
      <c r="F18" s="20" t="n"/>
      <c r="G18" s="21" t="n"/>
    </row>
    <row r="19">
      <c r="A19" s="17" t="n"/>
      <c r="B19" s="18" t="n"/>
      <c r="C19" s="17" t="n"/>
      <c r="D19" s="18" t="n"/>
      <c r="E19" s="18" t="n"/>
      <c r="F19" s="17" t="n"/>
      <c r="G19" s="18" t="n"/>
    </row>
    <row r="20">
      <c r="A20" s="20" t="n"/>
      <c r="B20" s="21" t="n"/>
      <c r="C20" s="20" t="n"/>
      <c r="D20" s="21" t="n"/>
      <c r="E20" s="21" t="n"/>
      <c r="F20" s="20" t="n"/>
      <c r="G20" s="21" t="n"/>
    </row>
    <row r="21">
      <c r="A21" s="17" t="n"/>
      <c r="B21" s="18" t="n"/>
      <c r="C21" s="17" t="n"/>
      <c r="D21" s="18" t="n"/>
      <c r="E21" s="18" t="n"/>
      <c r="F21" s="17" t="n"/>
      <c r="G21" s="18" t="n"/>
    </row>
    <row r="22">
      <c r="A22" s="20" t="n"/>
      <c r="B22" s="21" t="n"/>
      <c r="C22" s="20" t="n"/>
      <c r="D22" s="21" t="n"/>
      <c r="E22" s="21" t="n"/>
      <c r="F22" s="20" t="n"/>
      <c r="G22" s="21" t="n"/>
    </row>
    <row r="23">
      <c r="A23" s="17" t="n"/>
      <c r="B23" s="18" t="n"/>
      <c r="C23" s="17" t="n"/>
      <c r="D23" s="18" t="n"/>
      <c r="E23" s="18" t="n"/>
      <c r="F23" s="17" t="n"/>
      <c r="G23" s="18" t="n"/>
    </row>
    <row r="24">
      <c r="A24" s="20" t="n"/>
      <c r="B24" s="21" t="n"/>
      <c r="C24" s="20" t="n"/>
      <c r="D24" s="21" t="n"/>
      <c r="E24" s="21" t="n"/>
      <c r="F24" s="20" t="n"/>
      <c r="G24" s="21" t="n"/>
    </row>
    <row r="25">
      <c r="A25" s="17" t="n"/>
      <c r="B25" s="18" t="n"/>
      <c r="C25" s="17" t="n"/>
      <c r="D25" s="18" t="n"/>
      <c r="E25" s="18" t="n"/>
      <c r="F25" s="17" t="n"/>
      <c r="G25" s="18" t="n"/>
    </row>
    <row r="26">
      <c r="A26" s="20" t="n"/>
      <c r="B26" s="21" t="n"/>
      <c r="C26" s="20" t="n"/>
      <c r="D26" s="21" t="n"/>
      <c r="E26" s="21" t="n"/>
      <c r="F26" s="20" t="n"/>
      <c r="G26" s="21" t="n"/>
    </row>
    <row r="27">
      <c r="A27" s="17" t="n"/>
      <c r="B27" s="18" t="n"/>
      <c r="C27" s="17" t="n"/>
      <c r="D27" s="18" t="n"/>
      <c r="E27" s="18" t="n"/>
      <c r="F27" s="17" t="n"/>
      <c r="G27" s="18" t="n"/>
    </row>
    <row r="28">
      <c r="A28" s="20" t="n"/>
      <c r="B28" s="21" t="n"/>
      <c r="C28" s="20" t="n"/>
      <c r="D28" s="21" t="n"/>
      <c r="E28" s="21" t="n"/>
      <c r="F28" s="20" t="n"/>
      <c r="G28" s="21" t="n"/>
    </row>
    <row r="29">
      <c r="A29" s="17" t="n"/>
      <c r="B29" s="18" t="n"/>
      <c r="C29" s="17" t="n"/>
      <c r="D29" s="18" t="n"/>
      <c r="E29" s="18" t="n"/>
      <c r="F29" s="17" t="n"/>
      <c r="G29" s="18" t="n"/>
    </row>
    <row r="30">
      <c r="A30" s="20" t="n"/>
      <c r="B30" s="21" t="n"/>
      <c r="C30" s="20" t="n"/>
      <c r="D30" s="21" t="n"/>
      <c r="E30" s="21" t="n"/>
      <c r="F30" s="20" t="n"/>
      <c r="G30" s="21" t="n"/>
    </row>
    <row r="31">
      <c r="A31" s="17" t="n"/>
      <c r="B31" s="18" t="n"/>
      <c r="C31" s="17" t="n"/>
      <c r="D31" s="18" t="n"/>
      <c r="E31" s="18" t="n"/>
      <c r="F31" s="17" t="n"/>
      <c r="G31" s="18" t="n"/>
    </row>
    <row r="32">
      <c r="A32" s="20" t="n"/>
      <c r="B32" s="21" t="n"/>
      <c r="C32" s="20" t="n"/>
      <c r="D32" s="21" t="n"/>
      <c r="E32" s="21" t="n"/>
      <c r="F32" s="20" t="n"/>
      <c r="G32" s="21" t="n"/>
    </row>
    <row r="33">
      <c r="A33" s="17" t="n"/>
      <c r="B33" s="18" t="n"/>
      <c r="C33" s="17" t="n"/>
      <c r="D33" s="18" t="n"/>
      <c r="E33" s="18" t="n"/>
      <c r="F33" s="17" t="n"/>
      <c r="G33" s="18" t="n"/>
    </row>
    <row r="34">
      <c r="A34" s="20" t="n"/>
      <c r="B34" s="21" t="n"/>
      <c r="C34" s="20" t="n"/>
      <c r="D34" s="21" t="n"/>
      <c r="E34" s="21" t="n"/>
      <c r="F34" s="20" t="n"/>
      <c r="G34" s="21" t="n"/>
    </row>
  </sheetData>
  <mergeCells count="2">
    <mergeCell ref="A2:G2"/>
    <mergeCell ref="A1:G1"/>
  </mergeCells>
  <dataValidations count="1">
    <dataValidation sqref="F5:F34" showDropDown="0" showInputMessage="0" showErrorMessage="0" allowBlank="1" type="list">
      <formula1>=StatusList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75E6C1"/>
    <outlinePr summaryBelow="1" summaryRight="1"/>
    <pageSetUpPr/>
  </sheetPr>
  <dimension ref="A1:G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4" customWidth="1" min="4" max="4"/>
    <col width="16" customWidth="1" min="5" max="5"/>
    <col width="16" customWidth="1" min="6" max="6"/>
    <col width="26" customWidth="1" min="7" max="7"/>
  </cols>
  <sheetData>
    <row r="1" ht="46" customHeight="1">
      <c r="A1" s="1" t="inlineStr">
        <is>
          <t xml:space="preserve">  👰  DRESS &amp; ATTIRE</t>
        </is>
      </c>
    </row>
    <row r="2" ht="22" customHeight="1">
      <c r="A2" s="2" t="inlineStr">
        <is>
          <t xml:space="preserve">  Dress, suit, accessories, alterations, and fitting appointments.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16" t="inlineStr">
        <is>
          <t>Item</t>
        </is>
      </c>
      <c r="B4" s="16" t="inlineStr">
        <is>
          <t>Vendor</t>
        </is>
      </c>
      <c r="C4" s="16" t="inlineStr">
        <is>
          <t>Size</t>
        </is>
      </c>
      <c r="D4" s="16" t="inlineStr">
        <is>
          <t>Cost</t>
        </is>
      </c>
      <c r="E4" s="16" t="inlineStr">
        <is>
          <t>Status</t>
        </is>
      </c>
      <c r="F4" s="16" t="inlineStr">
        <is>
          <t>Fitting Date</t>
        </is>
      </c>
      <c r="G4" s="16" t="inlineStr">
        <is>
          <t>Notes</t>
        </is>
      </c>
    </row>
    <row r="5">
      <c r="A5" s="18" t="inlineStr">
        <is>
          <t>Wedding Dress</t>
        </is>
      </c>
      <c r="B5" s="18" t="inlineStr">
        <is>
          <t>Belle Bridal</t>
        </is>
      </c>
      <c r="C5" s="17" t="inlineStr">
        <is>
          <t>6</t>
        </is>
      </c>
      <c r="D5" s="32" t="n">
        <v>2800</v>
      </c>
      <c r="E5" s="17" t="inlineStr">
        <is>
          <t>Ordered</t>
        </is>
      </c>
      <c r="F5" s="19" t="n">
        <v>46217</v>
      </c>
      <c r="G5" s="18" t="inlineStr">
        <is>
          <t>2nd fitting</t>
        </is>
      </c>
    </row>
    <row r="6">
      <c r="A6" s="21" t="inlineStr">
        <is>
          <t>Veil</t>
        </is>
      </c>
      <c r="B6" s="21" t="inlineStr">
        <is>
          <t>Belle Bridal</t>
        </is>
      </c>
      <c r="C6" s="20" t="inlineStr">
        <is>
          <t>—</t>
        </is>
      </c>
      <c r="D6" s="34" t="n">
        <v>250</v>
      </c>
      <c r="E6" s="20" t="inlineStr">
        <is>
          <t>Ordered</t>
        </is>
      </c>
      <c r="F6" s="22" t="n">
        <v>46217</v>
      </c>
      <c r="G6" s="21" t="inlineStr">
        <is>
          <t>Cathedral length</t>
        </is>
      </c>
    </row>
    <row r="7">
      <c r="A7" s="18" t="inlineStr">
        <is>
          <t>Bridal Shoes</t>
        </is>
      </c>
      <c r="B7" s="18" t="inlineStr">
        <is>
          <t>Glass Slipper Co.</t>
        </is>
      </c>
      <c r="C7" s="17" t="inlineStr">
        <is>
          <t>7</t>
        </is>
      </c>
      <c r="D7" s="32" t="n">
        <v>180</v>
      </c>
      <c r="E7" s="17" t="inlineStr">
        <is>
          <t>Purchased</t>
        </is>
      </c>
      <c r="F7" s="19" t="n"/>
      <c r="G7" s="18" t="inlineStr">
        <is>
          <t>Block heel</t>
        </is>
      </c>
    </row>
    <row r="8">
      <c r="A8" s="21" t="inlineStr">
        <is>
          <t>Bridal Jewelry</t>
        </is>
      </c>
      <c r="B8" s="21" t="inlineStr">
        <is>
          <t>Aurelia Fine</t>
        </is>
      </c>
      <c r="C8" s="20" t="inlineStr">
        <is>
          <t>—</t>
        </is>
      </c>
      <c r="D8" s="34" t="n">
        <v>600</v>
      </c>
      <c r="E8" s="20" t="inlineStr">
        <is>
          <t>Purchased</t>
        </is>
      </c>
      <c r="F8" s="22" t="n"/>
      <c r="G8" s="21" t="inlineStr">
        <is>
          <t>Borrowed earrings</t>
        </is>
      </c>
    </row>
    <row r="9">
      <c r="A9" s="18" t="inlineStr">
        <is>
          <t>Alterations</t>
        </is>
      </c>
      <c r="B9" s="18" t="inlineStr">
        <is>
          <t>Stitch Studio</t>
        </is>
      </c>
      <c r="C9" s="17" t="inlineStr">
        <is>
          <t>—</t>
        </is>
      </c>
      <c r="D9" s="32" t="n">
        <v>350</v>
      </c>
      <c r="E9" s="17" t="inlineStr">
        <is>
          <t>In Progress</t>
        </is>
      </c>
      <c r="F9" s="19" t="n">
        <v>46232</v>
      </c>
      <c r="G9" s="18" t="inlineStr">
        <is>
          <t>Hem + bustle</t>
        </is>
      </c>
    </row>
    <row r="10">
      <c r="A10" s="21" t="inlineStr">
        <is>
          <t>Groom Suit</t>
        </is>
      </c>
      <c r="B10" s="21" t="inlineStr">
        <is>
          <t>Bespoke Tailors</t>
        </is>
      </c>
      <c r="C10" s="20" t="inlineStr">
        <is>
          <t>42R</t>
        </is>
      </c>
      <c r="D10" s="34" t="n">
        <v>800</v>
      </c>
      <c r="E10" s="20" t="inlineStr">
        <is>
          <t>Ordered</t>
        </is>
      </c>
      <c r="F10" s="22" t="n">
        <v>46252</v>
      </c>
      <c r="G10" s="21" t="inlineStr">
        <is>
          <t>Charcoal 3-piece</t>
        </is>
      </c>
    </row>
    <row r="11">
      <c r="A11" s="18" t="inlineStr">
        <is>
          <t>Groom Shoes</t>
        </is>
      </c>
      <c r="B11" s="18" t="inlineStr">
        <is>
          <t>Oxford &amp; Co.</t>
        </is>
      </c>
      <c r="C11" s="17" t="inlineStr">
        <is>
          <t>10</t>
        </is>
      </c>
      <c r="D11" s="32" t="n">
        <v>160</v>
      </c>
      <c r="E11" s="17" t="inlineStr">
        <is>
          <t>Purchased</t>
        </is>
      </c>
      <c r="F11" s="19" t="n"/>
      <c r="G11" s="18" t="inlineStr">
        <is>
          <t>Black oxfords</t>
        </is>
      </c>
    </row>
    <row r="12">
      <c r="A12" s="21" t="inlineStr">
        <is>
          <t>Tie / Pocket Square</t>
        </is>
      </c>
      <c r="B12" s="21" t="inlineStr">
        <is>
          <t>Bespoke Tailors</t>
        </is>
      </c>
      <c r="C12" s="20" t="inlineStr">
        <is>
          <t>—</t>
        </is>
      </c>
      <c r="D12" s="34" t="n">
        <v>90</v>
      </c>
      <c r="E12" s="20" t="inlineStr">
        <is>
          <t>Ordered</t>
        </is>
      </c>
      <c r="F12" s="22" t="n"/>
      <c r="G12" s="21" t="inlineStr">
        <is>
          <t>Emerald silk</t>
        </is>
      </c>
    </row>
    <row r="13">
      <c r="A13" s="18" t="n"/>
      <c r="B13" s="18" t="n"/>
      <c r="C13" s="17" t="n"/>
      <c r="D13" s="32" t="n"/>
      <c r="E13" s="17" t="n"/>
      <c r="F13" s="19" t="n"/>
      <c r="G13" s="18" t="n"/>
    </row>
    <row r="14">
      <c r="A14" s="21" t="n"/>
      <c r="B14" s="21" t="n"/>
      <c r="C14" s="20" t="n"/>
      <c r="D14" s="34" t="n"/>
      <c r="E14" s="20" t="n"/>
      <c r="F14" s="22" t="n"/>
      <c r="G14" s="21" t="n"/>
    </row>
    <row r="15">
      <c r="A15" s="18" t="n"/>
      <c r="B15" s="18" t="n"/>
      <c r="C15" s="17" t="n"/>
      <c r="D15" s="32" t="n"/>
      <c r="E15" s="17" t="n"/>
      <c r="F15" s="19" t="n"/>
      <c r="G15" s="18" t="n"/>
    </row>
    <row r="16">
      <c r="A16" s="21" t="n"/>
      <c r="B16" s="21" t="n"/>
      <c r="C16" s="20" t="n"/>
      <c r="D16" s="34" t="n"/>
      <c r="E16" s="20" t="n"/>
      <c r="F16" s="22" t="n"/>
      <c r="G16" s="21" t="n"/>
    </row>
    <row r="17">
      <c r="A17" s="18" t="n"/>
      <c r="B17" s="18" t="n"/>
      <c r="C17" s="17" t="n"/>
      <c r="D17" s="32" t="n"/>
      <c r="E17" s="17" t="n"/>
      <c r="F17" s="19" t="n"/>
      <c r="G17" s="18" t="n"/>
    </row>
    <row r="18">
      <c r="A18" s="21" t="n"/>
      <c r="B18" s="21" t="n"/>
      <c r="C18" s="20" t="n"/>
      <c r="D18" s="34" t="n"/>
      <c r="E18" s="20" t="n"/>
      <c r="F18" s="22" t="n"/>
      <c r="G18" s="21" t="n"/>
    </row>
    <row r="19">
      <c r="A19" s="18" t="n"/>
      <c r="B19" s="18" t="n"/>
      <c r="C19" s="17" t="n"/>
      <c r="D19" s="32" t="n"/>
      <c r="E19" s="17" t="n"/>
      <c r="F19" s="19" t="n"/>
      <c r="G19" s="18" t="n"/>
    </row>
    <row r="20">
      <c r="A20" s="21" t="n"/>
      <c r="B20" s="21" t="n"/>
      <c r="C20" s="20" t="n"/>
      <c r="D20" s="34" t="n"/>
      <c r="E20" s="20" t="n"/>
      <c r="F20" s="22" t="n"/>
      <c r="G20" s="21" t="n"/>
    </row>
    <row r="21">
      <c r="A21" s="18" t="n"/>
      <c r="B21" s="18" t="n"/>
      <c r="C21" s="17" t="n"/>
      <c r="D21" s="32" t="n"/>
      <c r="E21" s="17" t="n"/>
      <c r="F21" s="19" t="n"/>
      <c r="G21" s="18" t="n"/>
    </row>
    <row r="22">
      <c r="A22" s="21" t="n"/>
      <c r="B22" s="21" t="n"/>
      <c r="C22" s="20" t="n"/>
      <c r="D22" s="34" t="n"/>
      <c r="E22" s="20" t="n"/>
      <c r="F22" s="22" t="n"/>
      <c r="G22" s="21" t="n"/>
    </row>
    <row r="23">
      <c r="A23" s="18" t="n"/>
      <c r="B23" s="18" t="n"/>
      <c r="C23" s="17" t="n"/>
      <c r="D23" s="32" t="n"/>
      <c r="E23" s="17" t="n"/>
      <c r="F23" s="19" t="n"/>
      <c r="G23" s="18" t="n"/>
    </row>
    <row r="24">
      <c r="A24" s="21" t="n"/>
      <c r="B24" s="21" t="n"/>
      <c r="C24" s="20" t="n"/>
      <c r="D24" s="34" t="n"/>
      <c r="E24" s="20" t="n"/>
      <c r="F24" s="22" t="n"/>
      <c r="G24" s="21" t="n"/>
    </row>
    <row r="25">
      <c r="A25" s="18" t="n"/>
      <c r="B25" s="18" t="n"/>
      <c r="C25" s="17" t="n"/>
      <c r="D25" s="32" t="n"/>
      <c r="E25" s="17" t="n"/>
      <c r="F25" s="19" t="n"/>
      <c r="G25" s="18" t="n"/>
    </row>
    <row r="26">
      <c r="A26" s="21" t="n"/>
      <c r="B26" s="21" t="n"/>
      <c r="C26" s="20" t="n"/>
      <c r="D26" s="34" t="n"/>
      <c r="E26" s="20" t="n"/>
      <c r="F26" s="22" t="n"/>
      <c r="G26" s="21" t="n"/>
    </row>
    <row r="27">
      <c r="A27" s="18" t="n"/>
      <c r="B27" s="18" t="n"/>
      <c r="C27" s="17" t="n"/>
      <c r="D27" s="32" t="n"/>
      <c r="E27" s="17" t="n"/>
      <c r="F27" s="19" t="n"/>
      <c r="G27" s="18" t="n"/>
    </row>
    <row r="28">
      <c r="A28" s="21" t="n"/>
      <c r="B28" s="21" t="n"/>
      <c r="C28" s="20" t="n"/>
      <c r="D28" s="34" t="n"/>
      <c r="E28" s="20" t="n"/>
      <c r="F28" s="22" t="n"/>
      <c r="G28" s="21" t="n"/>
    </row>
    <row r="29">
      <c r="A29" s="18" t="n"/>
      <c r="B29" s="18" t="n"/>
      <c r="C29" s="17" t="n"/>
      <c r="D29" s="32" t="n"/>
      <c r="E29" s="17" t="n"/>
      <c r="F29" s="19" t="n"/>
      <c r="G29" s="18" t="n"/>
    </row>
  </sheetData>
  <mergeCells count="2">
    <mergeCell ref="A2:G2"/>
    <mergeCell ref="A1:G1"/>
  </mergeCells>
  <dataValidations count="1">
    <dataValidation sqref="E5:E29" showDropDown="0" showInputMessage="0" showErrorMessage="0" allowBlank="1" type="list">
      <formula1>=StatusList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5D3BA"/>
    <outlinePr summaryBelow="1" summaryRight="1"/>
    <pageSetUpPr/>
  </sheetPr>
  <dimension ref="A1:F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6" customWidth="1" min="3" max="3"/>
    <col width="14" customWidth="1" min="4" max="4"/>
    <col width="16" customWidth="1" min="5" max="5"/>
    <col width="26" customWidth="1" min="6" max="6"/>
  </cols>
  <sheetData>
    <row r="1" ht="46" customHeight="1">
      <c r="A1" s="1" t="inlineStr">
        <is>
          <t xml:space="preserve">  💄  BEAUTY TIMELINE</t>
        </is>
      </c>
    </row>
    <row r="2" ht="22" customHeight="1">
      <c r="A2" s="2" t="inlineStr">
        <is>
          <t xml:space="preserve">  Countdown of hair, skin, nails, and wellness appointments.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16" t="inlineStr">
        <is>
          <t>Treatment</t>
        </is>
      </c>
      <c r="B4" s="16" t="inlineStr">
        <is>
          <t>Provider</t>
        </is>
      </c>
      <c r="C4" s="16" t="inlineStr">
        <is>
          <t>Appointment</t>
        </is>
      </c>
      <c r="D4" s="16" t="inlineStr">
        <is>
          <t>Cost</t>
        </is>
      </c>
      <c r="E4" s="16" t="inlineStr">
        <is>
          <t>Status</t>
        </is>
      </c>
      <c r="F4" s="16" t="inlineStr">
        <is>
          <t>Notes</t>
        </is>
      </c>
    </row>
    <row r="5">
      <c r="A5" s="18" t="inlineStr">
        <is>
          <t>Skincare facial #1</t>
        </is>
      </c>
      <c r="B5" s="18" t="inlineStr">
        <is>
          <t>Glow Spa</t>
        </is>
      </c>
      <c r="C5" s="19" t="n">
        <v>46172</v>
      </c>
      <c r="D5" s="32" t="n">
        <v>120</v>
      </c>
      <c r="E5" s="17" t="inlineStr">
        <is>
          <t>Complete</t>
        </is>
      </c>
      <c r="F5" s="18" t="inlineStr">
        <is>
          <t>Monthly until wedding</t>
        </is>
      </c>
    </row>
    <row r="6">
      <c r="A6" s="21" t="inlineStr">
        <is>
          <t>Hair color &amp; cut</t>
        </is>
      </c>
      <c r="B6" s="21" t="inlineStr">
        <is>
          <t>Radiant Beauty</t>
        </is>
      </c>
      <c r="C6" s="22" t="n">
        <v>46188</v>
      </c>
      <c r="D6" s="34" t="n">
        <v>180</v>
      </c>
      <c r="E6" s="20" t="inlineStr">
        <is>
          <t>Booked</t>
        </is>
      </c>
      <c r="F6" s="21" t="inlineStr">
        <is>
          <t>Pre-wedding refresh</t>
        </is>
      </c>
    </row>
    <row r="7">
      <c r="A7" s="18" t="inlineStr">
        <is>
          <t>Hair &amp; makeup trial</t>
        </is>
      </c>
      <c r="B7" s="18" t="inlineStr">
        <is>
          <t>Radiant + Glow</t>
        </is>
      </c>
      <c r="C7" s="19" t="n">
        <v>46217</v>
      </c>
      <c r="D7" s="32" t="n">
        <v>200</v>
      </c>
      <c r="E7" s="17" t="inlineStr">
        <is>
          <t>Booked</t>
        </is>
      </c>
      <c r="F7" s="18" t="inlineStr">
        <is>
          <t>Bring veil</t>
        </is>
      </c>
    </row>
    <row r="8">
      <c r="A8" s="21" t="inlineStr">
        <is>
          <t>Spray tan trial</t>
        </is>
      </c>
      <c r="B8" s="21" t="inlineStr">
        <is>
          <t>Sunlit Studio</t>
        </is>
      </c>
      <c r="C8" s="22" t="n">
        <v>46222</v>
      </c>
      <c r="D8" s="34" t="n">
        <v>45</v>
      </c>
      <c r="E8" s="20" t="inlineStr">
        <is>
          <t>Booked</t>
        </is>
      </c>
      <c r="F8" s="21" t="inlineStr">
        <is>
          <t>Test shade</t>
        </is>
      </c>
    </row>
    <row r="9">
      <c r="A9" s="18" t="inlineStr">
        <is>
          <t>Nails (gel)</t>
        </is>
      </c>
      <c r="B9" s="18" t="inlineStr">
        <is>
          <t>Polished</t>
        </is>
      </c>
      <c r="C9" s="19" t="n">
        <v>46245</v>
      </c>
      <c r="D9" s="32" t="n">
        <v>60</v>
      </c>
      <c r="E9" s="17" t="inlineStr">
        <is>
          <t>Pending</t>
        </is>
      </c>
      <c r="F9" s="18" t="inlineStr">
        <is>
          <t>Day before</t>
        </is>
      </c>
    </row>
    <row r="10">
      <c r="A10" s="21" t="inlineStr">
        <is>
          <t>Spray tan (final)</t>
        </is>
      </c>
      <c r="B10" s="21" t="inlineStr">
        <is>
          <t>Sunlit Studio</t>
        </is>
      </c>
      <c r="C10" s="22" t="n">
        <v>46246</v>
      </c>
      <c r="D10" s="34" t="n">
        <v>45</v>
      </c>
      <c r="E10" s="20" t="inlineStr">
        <is>
          <t>Pending</t>
        </is>
      </c>
      <c r="F10" s="21" t="inlineStr">
        <is>
          <t>Day before</t>
        </is>
      </c>
    </row>
    <row r="11">
      <c r="A11" s="18" t="inlineStr">
        <is>
          <t>Bridal hair &amp; makeup</t>
        </is>
      </c>
      <c r="B11" s="18" t="inlineStr">
        <is>
          <t>Radiant + Glow</t>
        </is>
      </c>
      <c r="C11" s="19" t="n">
        <v>46247</v>
      </c>
      <c r="D11" s="32" t="n">
        <v>350</v>
      </c>
      <c r="E11" s="17" t="inlineStr">
        <is>
          <t>Booked</t>
        </is>
      </c>
      <c r="F11" s="18" t="inlineStr">
        <is>
          <t>Wedding morning 8am</t>
        </is>
      </c>
    </row>
    <row r="12">
      <c r="A12" s="21" t="inlineStr">
        <is>
          <t>Massage (couple)</t>
        </is>
      </c>
      <c r="B12" s="21" t="inlineStr">
        <is>
          <t>Serenity Spa</t>
        </is>
      </c>
      <c r="C12" s="22" t="n">
        <v>46244</v>
      </c>
      <c r="D12" s="34" t="n">
        <v>220</v>
      </c>
      <c r="E12" s="20" t="inlineStr">
        <is>
          <t>Pending</t>
        </is>
      </c>
      <c r="F12" s="21" t="inlineStr">
        <is>
          <t>Relax pre-wedding</t>
        </is>
      </c>
    </row>
    <row r="13">
      <c r="A13" s="18" t="n"/>
      <c r="B13" s="18" t="n"/>
      <c r="C13" s="19" t="n"/>
      <c r="D13" s="32" t="n"/>
      <c r="E13" s="17" t="n"/>
      <c r="F13" s="18" t="n"/>
    </row>
    <row r="14">
      <c r="A14" s="21" t="n"/>
      <c r="B14" s="21" t="n"/>
      <c r="C14" s="22" t="n"/>
      <c r="D14" s="34" t="n"/>
      <c r="E14" s="20" t="n"/>
      <c r="F14" s="21" t="n"/>
    </row>
    <row r="15">
      <c r="A15" s="18" t="n"/>
      <c r="B15" s="18" t="n"/>
      <c r="C15" s="19" t="n"/>
      <c r="D15" s="32" t="n"/>
      <c r="E15" s="17" t="n"/>
      <c r="F15" s="18" t="n"/>
    </row>
    <row r="16">
      <c r="A16" s="21" t="n"/>
      <c r="B16" s="21" t="n"/>
      <c r="C16" s="22" t="n"/>
      <c r="D16" s="34" t="n"/>
      <c r="E16" s="20" t="n"/>
      <c r="F16" s="21" t="n"/>
    </row>
    <row r="17">
      <c r="A17" s="18" t="n"/>
      <c r="B17" s="18" t="n"/>
      <c r="C17" s="19" t="n"/>
      <c r="D17" s="32" t="n"/>
      <c r="E17" s="17" t="n"/>
      <c r="F17" s="18" t="n"/>
    </row>
    <row r="18">
      <c r="A18" s="21" t="n"/>
      <c r="B18" s="21" t="n"/>
      <c r="C18" s="22" t="n"/>
      <c r="D18" s="34" t="n"/>
      <c r="E18" s="20" t="n"/>
      <c r="F18" s="21" t="n"/>
    </row>
    <row r="19">
      <c r="A19" s="18" t="n"/>
      <c r="B19" s="18" t="n"/>
      <c r="C19" s="19" t="n"/>
      <c r="D19" s="32" t="n"/>
      <c r="E19" s="17" t="n"/>
      <c r="F19" s="18" t="n"/>
    </row>
    <row r="20">
      <c r="A20" s="21" t="n"/>
      <c r="B20" s="21" t="n"/>
      <c r="C20" s="22" t="n"/>
      <c r="D20" s="34" t="n"/>
      <c r="E20" s="20" t="n"/>
      <c r="F20" s="21" t="n"/>
    </row>
    <row r="21">
      <c r="A21" s="18" t="n"/>
      <c r="B21" s="18" t="n"/>
      <c r="C21" s="19" t="n"/>
      <c r="D21" s="32" t="n"/>
      <c r="E21" s="17" t="n"/>
      <c r="F21" s="18" t="n"/>
    </row>
    <row r="22">
      <c r="A22" s="21" t="n"/>
      <c r="B22" s="21" t="n"/>
      <c r="C22" s="22" t="n"/>
      <c r="D22" s="34" t="n"/>
      <c r="E22" s="20" t="n"/>
      <c r="F22" s="21" t="n"/>
    </row>
    <row r="23">
      <c r="A23" s="18" t="n"/>
      <c r="B23" s="18" t="n"/>
      <c r="C23" s="19" t="n"/>
      <c r="D23" s="32" t="n"/>
      <c r="E23" s="17" t="n"/>
      <c r="F23" s="18" t="n"/>
    </row>
    <row r="24">
      <c r="A24" s="21" t="n"/>
      <c r="B24" s="21" t="n"/>
      <c r="C24" s="22" t="n"/>
      <c r="D24" s="34" t="n"/>
      <c r="E24" s="20" t="n"/>
      <c r="F24" s="21" t="n"/>
    </row>
    <row r="25">
      <c r="A25" s="18" t="n"/>
      <c r="B25" s="18" t="n"/>
      <c r="C25" s="19" t="n"/>
      <c r="D25" s="32" t="n"/>
      <c r="E25" s="17" t="n"/>
      <c r="F25" s="18" t="n"/>
    </row>
    <row r="26">
      <c r="A26" s="21" t="n"/>
      <c r="B26" s="21" t="n"/>
      <c r="C26" s="22" t="n"/>
      <c r="D26" s="34" t="n"/>
      <c r="E26" s="20" t="n"/>
      <c r="F26" s="21" t="n"/>
    </row>
    <row r="27">
      <c r="A27" s="18" t="n"/>
      <c r="B27" s="18" t="n"/>
      <c r="C27" s="19" t="n"/>
      <c r="D27" s="32" t="n"/>
      <c r="E27" s="17" t="n"/>
      <c r="F27" s="18" t="n"/>
    </row>
    <row r="28">
      <c r="A28" s="21" t="n"/>
      <c r="B28" s="21" t="n"/>
      <c r="C28" s="22" t="n"/>
      <c r="D28" s="34" t="n"/>
      <c r="E28" s="20" t="n"/>
      <c r="F28" s="21" t="n"/>
    </row>
    <row r="29">
      <c r="A29" s="18" t="n"/>
      <c r="B29" s="18" t="n"/>
      <c r="C29" s="19" t="n"/>
      <c r="D29" s="32" t="n"/>
      <c r="E29" s="17" t="n"/>
      <c r="F29" s="18" t="n"/>
    </row>
  </sheetData>
  <mergeCells count="2">
    <mergeCell ref="A2:F2"/>
    <mergeCell ref="A1:F1"/>
  </mergeCells>
  <dataValidations count="1">
    <dataValidation sqref="E5:E29" showDropDown="0" showInputMessage="0" showErrorMessage="0" allowBlank="1" type="list">
      <formula1>=StatusList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B4F48"/>
    <outlinePr summaryBelow="1" summaryRight="1"/>
    <pageSetUpPr/>
  </sheetPr>
  <dimension ref="A1:D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22" customWidth="1" min="3" max="3"/>
    <col width="28" customWidth="1" min="4" max="4"/>
  </cols>
  <sheetData>
    <row r="1" ht="46" customHeight="1">
      <c r="A1" s="1" t="inlineStr">
        <is>
          <t xml:space="preserve">  💐  CEREMONY PLANNER</t>
        </is>
      </c>
    </row>
    <row r="2" ht="22" customHeight="1">
      <c r="A2" s="2" t="inlineStr">
        <is>
          <t xml:space="preserve">  Processional order, readings, music, and vow logistics.</t>
        </is>
      </c>
    </row>
    <row r="3" ht="6" customHeight="1">
      <c r="A3" s="3" t="n"/>
      <c r="B3" s="3" t="n"/>
      <c r="C3" s="3" t="n"/>
      <c r="D3" s="3" t="n"/>
    </row>
    <row r="4" ht="30" customHeight="1">
      <c r="A4" s="16" t="inlineStr">
        <is>
          <t>Segment</t>
        </is>
      </c>
      <c r="B4" s="16" t="inlineStr">
        <is>
          <t>Detail</t>
        </is>
      </c>
      <c r="C4" s="16" t="inlineStr">
        <is>
          <t>Person / Vendor</t>
        </is>
      </c>
      <c r="D4" s="16" t="inlineStr">
        <is>
          <t>Music / Notes</t>
        </is>
      </c>
    </row>
    <row r="5">
      <c r="A5" s="18" t="inlineStr">
        <is>
          <t>Prelude</t>
        </is>
      </c>
      <c r="B5" s="18" t="inlineStr">
        <is>
          <t>Guests seated</t>
        </is>
      </c>
      <c r="C5" s="18" t="inlineStr">
        <is>
          <t>DJ — Skyline</t>
        </is>
      </c>
      <c r="D5" s="18" t="inlineStr">
        <is>
          <t>Acoustic instrumental</t>
        </is>
      </c>
    </row>
    <row r="6">
      <c r="A6" s="21" t="inlineStr">
        <is>
          <t>Processional — Grandparents</t>
        </is>
      </c>
      <c r="B6" s="21" t="inlineStr">
        <is>
          <t>Seated first</t>
        </is>
      </c>
      <c r="C6" s="21" t="inlineStr">
        <is>
          <t>Ushers</t>
        </is>
      </c>
      <c r="D6" s="21" t="inlineStr">
        <is>
          <t>Canon in D</t>
        </is>
      </c>
    </row>
    <row r="7">
      <c r="A7" s="18" t="inlineStr">
        <is>
          <t>Processional — Parents</t>
        </is>
      </c>
      <c r="B7" s="18" t="inlineStr">
        <is>
          <t>Mothers seated</t>
        </is>
      </c>
      <c r="C7" s="18" t="inlineStr">
        <is>
          <t>Ushers</t>
        </is>
      </c>
      <c r="D7" s="18" t="inlineStr">
        <is>
          <t>Canon in D</t>
        </is>
      </c>
    </row>
    <row r="8">
      <c r="A8" s="21" t="inlineStr">
        <is>
          <t>Processional — Wedding Party</t>
        </is>
      </c>
      <c r="B8" s="21" t="inlineStr">
        <is>
          <t>Bridesmaids + groomsmen</t>
        </is>
      </c>
      <c r="C8" s="21" t="inlineStr">
        <is>
          <t>Coordinator</t>
        </is>
      </c>
      <c r="D8" s="21" t="inlineStr">
        <is>
          <t>A Thousand Years (instr.)</t>
        </is>
      </c>
    </row>
    <row r="9">
      <c r="A9" s="18" t="inlineStr">
        <is>
          <t>Processional — Flower Girl/Ring Bearer</t>
        </is>
      </c>
      <c r="B9" s="18" t="inlineStr">
        <is>
          <t>Down the aisle</t>
        </is>
      </c>
      <c r="C9" s="18" t="inlineStr">
        <is>
          <t>Coordinator</t>
        </is>
      </c>
      <c r="D9" s="18" t="inlineStr"/>
    </row>
    <row r="10">
      <c r="A10" s="21" t="inlineStr">
        <is>
          <t>Bride's Entrance</t>
        </is>
      </c>
      <c r="B10" s="21" t="inlineStr">
        <is>
          <t>Escorted by father</t>
        </is>
      </c>
      <c r="C10" s="21" t="inlineStr">
        <is>
          <t>—</t>
        </is>
      </c>
      <c r="D10" s="21" t="inlineStr">
        <is>
          <t>Here Comes the Sun</t>
        </is>
      </c>
    </row>
    <row r="11">
      <c r="A11" s="18" t="inlineStr">
        <is>
          <t>Welcome &amp; Opening</t>
        </is>
      </c>
      <c r="B11" s="18" t="inlineStr">
        <is>
          <t>Officiant remarks</t>
        </is>
      </c>
      <c r="C11" s="18" t="inlineStr">
        <is>
          <t>Rev. Hale</t>
        </is>
      </c>
      <c r="D11" s="18" t="inlineStr"/>
    </row>
    <row r="12">
      <c r="A12" s="21" t="inlineStr">
        <is>
          <t>Reading 1</t>
        </is>
      </c>
      <c r="B12" s="21" t="inlineStr">
        <is>
          <t>Poem</t>
        </is>
      </c>
      <c r="C12" s="21" t="inlineStr">
        <is>
          <t>Emily Bennett</t>
        </is>
      </c>
      <c r="D12" s="21" t="inlineStr">
        <is>
          <t>‘The Art of Marriage’</t>
        </is>
      </c>
    </row>
    <row r="13">
      <c r="A13" s="18" t="inlineStr">
        <is>
          <t>Reading 2</t>
        </is>
      </c>
      <c r="B13" s="18" t="inlineStr">
        <is>
          <t>Scripture / passage</t>
        </is>
      </c>
      <c r="C13" s="18" t="inlineStr">
        <is>
          <t>Daniel Carter</t>
        </is>
      </c>
      <c r="D13" s="18" t="inlineStr"/>
    </row>
    <row r="14">
      <c r="A14" s="21" t="inlineStr">
        <is>
          <t>Vows</t>
        </is>
      </c>
      <c r="B14" s="21" t="inlineStr">
        <is>
          <t>Personal vows</t>
        </is>
      </c>
      <c r="C14" s="21" t="inlineStr">
        <is>
          <t>Couple</t>
        </is>
      </c>
      <c r="D14" s="21" t="inlineStr">
        <is>
          <t>Handwritten</t>
        </is>
      </c>
    </row>
    <row r="15">
      <c r="A15" s="18" t="inlineStr">
        <is>
          <t>Ring Exchange</t>
        </is>
      </c>
      <c r="B15" s="18" t="inlineStr">
        <is>
          <t>Rings from ring bearer</t>
        </is>
      </c>
      <c r="C15" s="18" t="inlineStr">
        <is>
          <t>Couple</t>
        </is>
      </c>
      <c r="D15" s="18" t="inlineStr"/>
    </row>
    <row r="16">
      <c r="A16" s="21" t="inlineStr">
        <is>
          <t>Pronouncement &amp; Kiss</t>
        </is>
      </c>
      <c r="B16" s="21" t="inlineStr">
        <is>
          <t>—</t>
        </is>
      </c>
      <c r="C16" s="21" t="inlineStr">
        <is>
          <t>Rev. Hale</t>
        </is>
      </c>
      <c r="D16" s="21" t="inlineStr"/>
    </row>
    <row r="17">
      <c r="A17" s="18" t="inlineStr">
        <is>
          <t>Recessional</t>
        </is>
      </c>
      <c r="B17" s="18" t="inlineStr">
        <is>
          <t>Newlyweds exit</t>
        </is>
      </c>
      <c r="C17" s="18" t="inlineStr">
        <is>
          <t>DJ</t>
        </is>
      </c>
      <c r="D17" s="18" t="inlineStr">
        <is>
          <t>Signed, Sealed, Delivered</t>
        </is>
      </c>
    </row>
    <row r="18">
      <c r="A18" s="21" t="n"/>
      <c r="B18" s="21" t="n"/>
      <c r="C18" s="21" t="n"/>
      <c r="D18" s="21" t="n"/>
    </row>
    <row r="19">
      <c r="A19" s="18" t="n"/>
      <c r="B19" s="18" t="n"/>
      <c r="C19" s="18" t="n"/>
      <c r="D19" s="18" t="n"/>
    </row>
    <row r="20">
      <c r="A20" s="21" t="n"/>
      <c r="B20" s="21" t="n"/>
      <c r="C20" s="21" t="n"/>
      <c r="D20" s="21" t="n"/>
    </row>
    <row r="21">
      <c r="A21" s="18" t="n"/>
      <c r="B21" s="18" t="n"/>
      <c r="C21" s="18" t="n"/>
      <c r="D21" s="18" t="n"/>
    </row>
    <row r="22">
      <c r="A22" s="21" t="n"/>
      <c r="B22" s="21" t="n"/>
      <c r="C22" s="21" t="n"/>
      <c r="D22" s="21" t="n"/>
    </row>
    <row r="23">
      <c r="A23" s="18" t="n"/>
      <c r="B23" s="18" t="n"/>
      <c r="C23" s="18" t="n"/>
      <c r="D23" s="18" t="n"/>
    </row>
    <row r="24">
      <c r="A24" s="21" t="n"/>
      <c r="B24" s="21" t="n"/>
      <c r="C24" s="21" t="n"/>
      <c r="D24" s="21" t="n"/>
    </row>
    <row r="25">
      <c r="A25" s="18" t="n"/>
      <c r="B25" s="18" t="n"/>
      <c r="C25" s="18" t="n"/>
      <c r="D25" s="18" t="n"/>
    </row>
    <row r="26">
      <c r="A26" s="21" t="n"/>
      <c r="B26" s="21" t="n"/>
      <c r="C26" s="21" t="n"/>
      <c r="D26" s="21" t="n"/>
    </row>
    <row r="27">
      <c r="A27" s="18" t="n"/>
      <c r="B27" s="18" t="n"/>
      <c r="C27" s="18" t="n"/>
      <c r="D27" s="18" t="n"/>
    </row>
    <row r="28">
      <c r="A28" s="21" t="n"/>
      <c r="B28" s="21" t="n"/>
      <c r="C28" s="21" t="n"/>
      <c r="D28" s="21" t="n"/>
    </row>
    <row r="29">
      <c r="A29" s="18" t="n"/>
      <c r="B29" s="18" t="n"/>
      <c r="C29" s="18" t="n"/>
      <c r="D29" s="18" t="n"/>
    </row>
  </sheetData>
  <mergeCells count="2">
    <mergeCell ref="A1:D1"/>
    <mergeCell ref="A2:D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937356"/>
    <outlinePr summaryBelow="1" summaryRight="1"/>
    <pageSetUpPr/>
  </sheetPr>
  <dimension ref="A1:D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0" customWidth="1" min="3" max="3"/>
    <col width="30" customWidth="1" min="4" max="4"/>
  </cols>
  <sheetData>
    <row r="1" ht="46" customHeight="1">
      <c r="A1" s="1" t="inlineStr">
        <is>
          <t xml:space="preserve">  🥂  RECEPTION PLANNER</t>
        </is>
      </c>
    </row>
    <row r="2" ht="22" customHeight="1">
      <c r="A2" s="2" t="inlineStr">
        <is>
          <t xml:space="preserve">  Run of show for the reception — entrances, dances, speeches, exit.</t>
        </is>
      </c>
    </row>
    <row r="3" ht="6" customHeight="1">
      <c r="A3" s="3" t="n"/>
      <c r="B3" s="3" t="n"/>
      <c r="C3" s="3" t="n"/>
      <c r="D3" s="3" t="n"/>
    </row>
    <row r="4" ht="30" customHeight="1">
      <c r="A4" s="16" t="inlineStr">
        <is>
          <t>Time</t>
        </is>
      </c>
      <c r="B4" s="16" t="inlineStr">
        <is>
          <t>Event</t>
        </is>
      </c>
      <c r="C4" s="16" t="inlineStr">
        <is>
          <t>Lead</t>
        </is>
      </c>
      <c r="D4" s="16" t="inlineStr">
        <is>
          <t>Music / Notes</t>
        </is>
      </c>
    </row>
    <row r="5">
      <c r="A5" s="17" t="inlineStr">
        <is>
          <t>6:00 PM</t>
        </is>
      </c>
      <c r="B5" s="18" t="inlineStr">
        <is>
          <t>Grand entrance</t>
        </is>
      </c>
      <c r="C5" s="18" t="inlineStr">
        <is>
          <t>DJ</t>
        </is>
      </c>
      <c r="D5" s="18" t="inlineStr">
        <is>
          <t>Can't Stop the Feeling</t>
        </is>
      </c>
    </row>
    <row r="6">
      <c r="A6" s="20" t="inlineStr">
        <is>
          <t>6:05 PM</t>
        </is>
      </c>
      <c r="B6" s="21" t="inlineStr">
        <is>
          <t>First dance</t>
        </is>
      </c>
      <c r="C6" s="21" t="inlineStr">
        <is>
          <t>Couple</t>
        </is>
      </c>
      <c r="D6" s="21" t="inlineStr">
        <is>
          <t>Perfect — Ed Sheeran</t>
        </is>
      </c>
    </row>
    <row r="7">
      <c r="A7" s="17" t="inlineStr">
        <is>
          <t>6:15 PM</t>
        </is>
      </c>
      <c r="B7" s="18" t="inlineStr">
        <is>
          <t>Welcome toast</t>
        </is>
      </c>
      <c r="C7" s="18" t="inlineStr">
        <is>
          <t>Father of bride</t>
        </is>
      </c>
      <c r="D7" s="18" t="inlineStr"/>
    </row>
    <row r="8">
      <c r="A8" s="20" t="inlineStr">
        <is>
          <t>6:30 PM</t>
        </is>
      </c>
      <c r="B8" s="21" t="inlineStr">
        <is>
          <t>Dinner service</t>
        </is>
      </c>
      <c r="C8" s="21" t="inlineStr">
        <is>
          <t>Grand Catering</t>
        </is>
      </c>
      <c r="D8" s="21" t="inlineStr">
        <is>
          <t>Plated, 3 courses</t>
        </is>
      </c>
    </row>
    <row r="9">
      <c r="A9" s="17" t="inlineStr">
        <is>
          <t>7:30 PM</t>
        </is>
      </c>
      <c r="B9" s="18" t="inlineStr">
        <is>
          <t>Speeches</t>
        </is>
      </c>
      <c r="C9" s="18" t="inlineStr">
        <is>
          <t>MOH + Best Man</t>
        </is>
      </c>
      <c r="D9" s="18" t="inlineStr">
        <is>
          <t>5 min each</t>
        </is>
      </c>
    </row>
    <row r="10">
      <c r="A10" s="20" t="inlineStr">
        <is>
          <t>7:50 PM</t>
        </is>
      </c>
      <c r="B10" s="21" t="inlineStr">
        <is>
          <t>Parent dances</t>
        </is>
      </c>
      <c r="C10" s="21" t="inlineStr">
        <is>
          <t>Couple</t>
        </is>
      </c>
      <c r="D10" s="21" t="inlineStr">
        <is>
          <t>Mother-son / Father-daughter</t>
        </is>
      </c>
    </row>
    <row r="11">
      <c r="A11" s="17" t="inlineStr">
        <is>
          <t>8:00 PM</t>
        </is>
      </c>
      <c r="B11" s="18" t="inlineStr">
        <is>
          <t>Cake cutting</t>
        </is>
      </c>
      <c r="C11" s="18" t="inlineStr">
        <is>
          <t>Couple</t>
        </is>
      </c>
      <c r="D11" s="18" t="inlineStr">
        <is>
          <t>Sweet Layers</t>
        </is>
      </c>
    </row>
    <row r="12">
      <c r="A12" s="20" t="inlineStr">
        <is>
          <t>8:15 PM</t>
        </is>
      </c>
      <c r="B12" s="21" t="inlineStr">
        <is>
          <t>Open dancing</t>
        </is>
      </c>
      <c r="C12" s="21" t="inlineStr">
        <is>
          <t>DJ</t>
        </is>
      </c>
      <c r="D12" s="21" t="inlineStr">
        <is>
          <t>Party playlist</t>
        </is>
      </c>
    </row>
    <row r="13">
      <c r="A13" s="17" t="inlineStr">
        <is>
          <t>9:00 PM</t>
        </is>
      </c>
      <c r="B13" s="18" t="inlineStr">
        <is>
          <t>Bouquet toss</t>
        </is>
      </c>
      <c r="C13" s="18" t="inlineStr">
        <is>
          <t>Bride</t>
        </is>
      </c>
      <c r="D13" s="18" t="inlineStr"/>
    </row>
    <row r="14">
      <c r="A14" s="20" t="inlineStr">
        <is>
          <t>9:15 PM</t>
        </is>
      </c>
      <c r="B14" s="21" t="inlineStr">
        <is>
          <t>Garter toss</t>
        </is>
      </c>
      <c r="C14" s="21" t="inlineStr">
        <is>
          <t>Groom</t>
        </is>
      </c>
      <c r="D14" s="21" t="inlineStr"/>
    </row>
    <row r="15">
      <c r="A15" s="17" t="inlineStr">
        <is>
          <t>9:30 PM</t>
        </is>
      </c>
      <c r="B15" s="18" t="inlineStr">
        <is>
          <t>Late-night snack</t>
        </is>
      </c>
      <c r="C15" s="18" t="inlineStr">
        <is>
          <t>Catering</t>
        </is>
      </c>
      <c r="D15" s="18" t="inlineStr">
        <is>
          <t>Slider bar</t>
        </is>
      </c>
    </row>
    <row r="16">
      <c r="A16" s="20" t="inlineStr">
        <is>
          <t>10:30 PM</t>
        </is>
      </c>
      <c r="B16" s="21" t="inlineStr">
        <is>
          <t>Last dance</t>
        </is>
      </c>
      <c r="C16" s="21" t="inlineStr">
        <is>
          <t>Couple</t>
        </is>
      </c>
      <c r="D16" s="21" t="inlineStr">
        <is>
          <t>At Last — Etta James</t>
        </is>
      </c>
    </row>
    <row r="17">
      <c r="A17" s="17" t="inlineStr">
        <is>
          <t>10:45 PM</t>
        </is>
      </c>
      <c r="B17" s="18" t="inlineStr">
        <is>
          <t>Sparkler send-off</t>
        </is>
      </c>
      <c r="C17" s="18" t="inlineStr">
        <is>
          <t>Coordinator</t>
        </is>
      </c>
      <c r="D17" s="18" t="inlineStr">
        <is>
          <t>Getaway car ready</t>
        </is>
      </c>
    </row>
    <row r="18">
      <c r="A18" s="20" t="n"/>
      <c r="B18" s="21" t="n"/>
      <c r="C18" s="21" t="n"/>
      <c r="D18" s="21" t="n"/>
    </row>
    <row r="19">
      <c r="A19" s="17" t="n"/>
      <c r="B19" s="18" t="n"/>
      <c r="C19" s="18" t="n"/>
      <c r="D19" s="18" t="n"/>
    </row>
    <row r="20">
      <c r="A20" s="20" t="n"/>
      <c r="B20" s="21" t="n"/>
      <c r="C20" s="21" t="n"/>
      <c r="D20" s="21" t="n"/>
    </row>
    <row r="21">
      <c r="A21" s="17" t="n"/>
      <c r="B21" s="18" t="n"/>
      <c r="C21" s="18" t="n"/>
      <c r="D21" s="18" t="n"/>
    </row>
    <row r="22">
      <c r="A22" s="20" t="n"/>
      <c r="B22" s="21" t="n"/>
      <c r="C22" s="21" t="n"/>
      <c r="D22" s="21" t="n"/>
    </row>
    <row r="23">
      <c r="A23" s="17" t="n"/>
      <c r="B23" s="18" t="n"/>
      <c r="C23" s="18" t="n"/>
      <c r="D23" s="18" t="n"/>
    </row>
    <row r="24">
      <c r="A24" s="20" t="n"/>
      <c r="B24" s="21" t="n"/>
      <c r="C24" s="21" t="n"/>
      <c r="D24" s="21" t="n"/>
    </row>
    <row r="25">
      <c r="A25" s="17" t="n"/>
      <c r="B25" s="18" t="n"/>
      <c r="C25" s="18" t="n"/>
      <c r="D25" s="18" t="n"/>
    </row>
    <row r="26">
      <c r="A26" s="20" t="n"/>
      <c r="B26" s="21" t="n"/>
      <c r="C26" s="21" t="n"/>
      <c r="D26" s="21" t="n"/>
    </row>
    <row r="27">
      <c r="A27" s="17" t="n"/>
      <c r="B27" s="18" t="n"/>
      <c r="C27" s="18" t="n"/>
      <c r="D27" s="18" t="n"/>
    </row>
    <row r="28">
      <c r="A28" s="20" t="n"/>
      <c r="B28" s="21" t="n"/>
      <c r="C28" s="21" t="n"/>
      <c r="D28" s="21" t="n"/>
    </row>
    <row r="29">
      <c r="A29" s="17" t="n"/>
      <c r="B29" s="18" t="n"/>
      <c r="C29" s="18" t="n"/>
      <c r="D29" s="18" t="n"/>
    </row>
  </sheetData>
  <mergeCells count="2">
    <mergeCell ref="A1:D1"/>
    <mergeCell ref="A2:D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75E6C1"/>
    <outlinePr summaryBelow="1" summaryRight="1"/>
    <pageSetUpPr/>
  </sheetPr>
  <dimension ref="A1:D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6" customWidth="1" min="3" max="3"/>
    <col width="16" customWidth="1" min="4" max="4"/>
  </cols>
  <sheetData>
    <row r="1" ht="46" customHeight="1">
      <c r="A1" s="1" t="inlineStr">
        <is>
          <t xml:space="preserve">  🍽  MENU PLANNER</t>
        </is>
      </c>
    </row>
    <row r="2" ht="22" customHeight="1">
      <c r="A2" s="2" t="inlineStr">
        <is>
          <t xml:space="preserve">  Courses, bar, cocktails, dietary, and kids' meals.</t>
        </is>
      </c>
    </row>
    <row r="3" ht="6" customHeight="1">
      <c r="A3" s="3" t="n"/>
      <c r="B3" s="3" t="n"/>
      <c r="C3" s="3" t="n"/>
      <c r="D3" s="3" t="n"/>
    </row>
    <row r="4" ht="30" customHeight="1">
      <c r="A4" s="16" t="inlineStr">
        <is>
          <t>Course</t>
        </is>
      </c>
      <c r="B4" s="16" t="inlineStr">
        <is>
          <t>Selection</t>
        </is>
      </c>
      <c r="C4" s="16" t="inlineStr">
        <is>
          <t>Notes / Dietary</t>
        </is>
      </c>
      <c r="D4" s="16" t="inlineStr">
        <is>
          <t>Per-Head Cost</t>
        </is>
      </c>
    </row>
    <row r="5">
      <c r="A5" s="18" t="inlineStr">
        <is>
          <t>Passed Hors d'oeuvres</t>
        </is>
      </c>
      <c r="B5" s="18" t="inlineStr">
        <is>
          <t>Caprese skewers · mini crab cakes · bruschetta</t>
        </is>
      </c>
      <c r="C5" s="18" t="inlineStr">
        <is>
          <t>GF option available</t>
        </is>
      </c>
      <c r="D5" s="32" t="n">
        <v>12</v>
      </c>
    </row>
    <row r="6">
      <c r="A6" s="21" t="inlineStr">
        <is>
          <t>Salad</t>
        </is>
      </c>
      <c r="B6" s="21" t="inlineStr">
        <is>
          <t>Mixed greens, candied pecans, goat cheese</t>
        </is>
      </c>
      <c r="C6" s="21" t="inlineStr">
        <is>
          <t>Vegan w/o cheese</t>
        </is>
      </c>
      <c r="D6" s="34" t="n">
        <v>0</v>
      </c>
    </row>
    <row r="7">
      <c r="A7" s="18" t="inlineStr">
        <is>
          <t>Entrée — Beef</t>
        </is>
      </c>
      <c r="B7" s="18" t="inlineStr">
        <is>
          <t>Filet mignon, truffle mash, asparagus</t>
        </is>
      </c>
      <c r="C7" s="18" t="inlineStr"/>
      <c r="D7" s="32" t="n">
        <v>0</v>
      </c>
    </row>
    <row r="8">
      <c r="A8" s="21" t="inlineStr">
        <is>
          <t>Entrée — Chicken</t>
        </is>
      </c>
      <c r="B8" s="21" t="inlineStr">
        <is>
          <t>Herb chicken, risotto, seasonal veg</t>
        </is>
      </c>
      <c r="C8" s="21" t="inlineStr"/>
      <c r="D8" s="34" t="n">
        <v>0</v>
      </c>
    </row>
    <row r="9">
      <c r="A9" s="18" t="inlineStr">
        <is>
          <t>Entrée — Fish</t>
        </is>
      </c>
      <c r="B9" s="18" t="inlineStr">
        <is>
          <t>Pan-seared salmon, quinoa, greens</t>
        </is>
      </c>
      <c r="C9" s="18" t="inlineStr"/>
      <c r="D9" s="32" t="n">
        <v>0</v>
      </c>
    </row>
    <row r="10">
      <c r="A10" s="21" t="inlineStr">
        <is>
          <t>Entrée — Vegetarian</t>
        </is>
      </c>
      <c r="B10" s="21" t="inlineStr">
        <is>
          <t>Wild mushroom wellington</t>
        </is>
      </c>
      <c r="C10" s="21" t="inlineStr">
        <is>
          <t>Vegan available</t>
        </is>
      </c>
      <c r="D10" s="34" t="n">
        <v>0</v>
      </c>
    </row>
    <row r="11">
      <c r="A11" s="18" t="inlineStr">
        <is>
          <t>Kids Meal</t>
        </is>
      </c>
      <c r="B11" s="18" t="inlineStr">
        <is>
          <t>Chicken tenders, fruit, fries</t>
        </is>
      </c>
      <c r="C11" s="18" t="inlineStr"/>
      <c r="D11" s="32" t="n">
        <v>18</v>
      </c>
    </row>
    <row r="12">
      <c r="A12" s="21" t="inlineStr">
        <is>
          <t>Cake</t>
        </is>
      </c>
      <c r="B12" s="21" t="inlineStr">
        <is>
          <t>3-tier lemon &amp; vanilla</t>
        </is>
      </c>
      <c r="C12" s="21" t="inlineStr">
        <is>
          <t>Sweet Layers</t>
        </is>
      </c>
      <c r="D12" s="34" t="n">
        <v>0</v>
      </c>
    </row>
    <row r="13">
      <c r="A13" s="18" t="inlineStr">
        <is>
          <t>Dessert Table</t>
        </is>
      </c>
      <c r="B13" s="18" t="inlineStr">
        <is>
          <t>Macarons, mini tarts, chocolate truffles</t>
        </is>
      </c>
      <c r="C13" s="18" t="inlineStr"/>
      <c r="D13" s="32" t="n">
        <v>8</v>
      </c>
    </row>
    <row r="14">
      <c r="A14" s="21" t="inlineStr">
        <is>
          <t>Bar</t>
        </is>
      </c>
      <c r="B14" s="21" t="inlineStr">
        <is>
          <t>Open bar — beer, wine, signature cocktails</t>
        </is>
      </c>
      <c r="C14" s="21" t="inlineStr">
        <is>
          <t>Cash for top-shelf</t>
        </is>
      </c>
      <c r="D14" s="34" t="n">
        <v>35</v>
      </c>
    </row>
    <row r="15">
      <c r="A15" s="18" t="inlineStr">
        <is>
          <t>Signature Cocktail 1</t>
        </is>
      </c>
      <c r="B15" s="18" t="inlineStr">
        <is>
          <t>‘The Emerald’ — gin, cucumber, mint</t>
        </is>
      </c>
      <c r="C15" s="18" t="inlineStr"/>
      <c r="D15" s="32" t="n">
        <v>0</v>
      </c>
    </row>
    <row r="16">
      <c r="A16" s="21" t="inlineStr">
        <is>
          <t>Signature Cocktail 2</t>
        </is>
      </c>
      <c r="B16" s="21" t="inlineStr">
        <is>
          <t>‘Golden Hour’ — bourbon, honey, lemon</t>
        </is>
      </c>
      <c r="C16" s="21" t="inlineStr"/>
      <c r="D16" s="34" t="n">
        <v>0</v>
      </c>
    </row>
    <row r="17">
      <c r="A17" s="18" t="inlineStr">
        <is>
          <t>Late-night Snack</t>
        </is>
      </c>
      <c r="B17" s="18" t="inlineStr">
        <is>
          <t>Slider bar + fries</t>
        </is>
      </c>
      <c r="C17" s="18" t="inlineStr"/>
      <c r="D17" s="32" t="n">
        <v>9</v>
      </c>
    </row>
    <row r="18">
      <c r="A18" s="21" t="n"/>
      <c r="B18" s="21" t="n"/>
      <c r="C18" s="21" t="n"/>
      <c r="D18" s="34" t="n"/>
    </row>
    <row r="19">
      <c r="A19" s="18" t="n"/>
      <c r="B19" s="18" t="n"/>
      <c r="C19" s="18" t="n"/>
      <c r="D19" s="32" t="n"/>
    </row>
    <row r="20">
      <c r="A20" s="21" t="n"/>
      <c r="B20" s="21" t="n"/>
      <c r="C20" s="21" t="n"/>
      <c r="D20" s="34" t="n"/>
    </row>
    <row r="21">
      <c r="A21" s="18" t="n"/>
      <c r="B21" s="18" t="n"/>
      <c r="C21" s="18" t="n"/>
      <c r="D21" s="32" t="n"/>
    </row>
    <row r="22">
      <c r="A22" s="21" t="n"/>
      <c r="B22" s="21" t="n"/>
      <c r="C22" s="21" t="n"/>
      <c r="D22" s="34" t="n"/>
    </row>
    <row r="23">
      <c r="A23" s="18" t="n"/>
      <c r="B23" s="18" t="n"/>
      <c r="C23" s="18" t="n"/>
      <c r="D23" s="32" t="n"/>
    </row>
    <row r="24">
      <c r="A24" s="21" t="n"/>
      <c r="B24" s="21" t="n"/>
      <c r="C24" s="21" t="n"/>
      <c r="D24" s="34" t="n"/>
    </row>
    <row r="25">
      <c r="A25" s="18" t="n"/>
      <c r="B25" s="18" t="n"/>
      <c r="C25" s="18" t="n"/>
      <c r="D25" s="32" t="n"/>
    </row>
    <row r="26">
      <c r="A26" s="21" t="n"/>
      <c r="B26" s="21" t="n"/>
      <c r="C26" s="21" t="n"/>
      <c r="D26" s="34" t="n"/>
    </row>
    <row r="27">
      <c r="A27" s="18" t="n"/>
      <c r="B27" s="18" t="n"/>
      <c r="C27" s="18" t="n"/>
      <c r="D27" s="32" t="n"/>
    </row>
    <row r="28">
      <c r="A28" s="21" t="n"/>
      <c r="B28" s="21" t="n"/>
      <c r="C28" s="21" t="n"/>
      <c r="D28" s="34" t="n"/>
    </row>
    <row r="29">
      <c r="A29" s="18" t="n"/>
      <c r="B29" s="18" t="n"/>
      <c r="C29" s="18" t="n"/>
      <c r="D29" s="32" t="n"/>
    </row>
  </sheetData>
  <mergeCells count="2">
    <mergeCell ref="A1:D1"/>
    <mergeCell ref="A2:D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E5D3BA"/>
    <outlinePr summaryBelow="1" summaryRight="1"/>
    <pageSetUpPr/>
  </sheetPr>
  <dimension ref="A1:D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4" customWidth="1" min="3" max="3"/>
    <col width="14" customWidth="1" min="4" max="4"/>
  </cols>
  <sheetData>
    <row r="1" ht="46" customHeight="1">
      <c r="A1" s="1" t="inlineStr">
        <is>
          <t xml:space="preserve">  🎵  MUSIC PLANNER</t>
        </is>
      </c>
    </row>
    <row r="2" ht="22" customHeight="1">
      <c r="A2" s="2" t="inlineStr">
        <is>
          <t xml:space="preserve">  Ceremony, cocktail, reception playlist, and the do-not-play list.</t>
        </is>
      </c>
    </row>
    <row r="3" ht="6" customHeight="1">
      <c r="A3" s="3" t="n"/>
      <c r="B3" s="3" t="n"/>
      <c r="C3" s="3" t="n"/>
      <c r="D3" s="3" t="n"/>
    </row>
    <row r="4" ht="30" customHeight="1">
      <c r="A4" s="16" t="inlineStr">
        <is>
          <t>Moment</t>
        </is>
      </c>
      <c r="B4" s="16" t="inlineStr">
        <is>
          <t>Song</t>
        </is>
      </c>
      <c r="C4" s="16" t="inlineStr">
        <is>
          <t>Artist</t>
        </is>
      </c>
      <c r="D4" s="16" t="inlineStr">
        <is>
          <t>Status</t>
        </is>
      </c>
    </row>
    <row r="5">
      <c r="A5" s="18" t="inlineStr">
        <is>
          <t>Processional</t>
        </is>
      </c>
      <c r="B5" s="18" t="inlineStr">
        <is>
          <t>Canon in D</t>
        </is>
      </c>
      <c r="C5" s="18" t="inlineStr">
        <is>
          <t>Pachelbel</t>
        </is>
      </c>
      <c r="D5" s="17" t="inlineStr">
        <is>
          <t>Confirmed</t>
        </is>
      </c>
    </row>
    <row r="6">
      <c r="A6" s="21" t="inlineStr">
        <is>
          <t>Bride's Entrance</t>
        </is>
      </c>
      <c r="B6" s="21" t="inlineStr">
        <is>
          <t>Here Comes the Sun</t>
        </is>
      </c>
      <c r="C6" s="21" t="inlineStr">
        <is>
          <t>The Beatles (instr.)</t>
        </is>
      </c>
      <c r="D6" s="20" t="inlineStr">
        <is>
          <t>Confirmed</t>
        </is>
      </c>
    </row>
    <row r="7">
      <c r="A7" s="18" t="inlineStr">
        <is>
          <t>Recessional</t>
        </is>
      </c>
      <c r="B7" s="18" t="inlineStr">
        <is>
          <t>Signed, Sealed, Delivered</t>
        </is>
      </c>
      <c r="C7" s="18" t="inlineStr">
        <is>
          <t>Stevie Wonder</t>
        </is>
      </c>
      <c r="D7" s="17" t="inlineStr">
        <is>
          <t>Confirmed</t>
        </is>
      </c>
    </row>
    <row r="8">
      <c r="A8" s="21" t="inlineStr">
        <is>
          <t>Cocktail Hour</t>
        </is>
      </c>
      <c r="B8" s="21" t="inlineStr">
        <is>
          <t>Jazz standards playlist</t>
        </is>
      </c>
      <c r="C8" s="21" t="inlineStr">
        <is>
          <t>Various</t>
        </is>
      </c>
      <c r="D8" s="20" t="inlineStr">
        <is>
          <t>Confirmed</t>
        </is>
      </c>
    </row>
    <row r="9">
      <c r="A9" s="18" t="inlineStr">
        <is>
          <t>Grand Entrance</t>
        </is>
      </c>
      <c r="B9" s="18" t="inlineStr">
        <is>
          <t>Can't Stop the Feeling</t>
        </is>
      </c>
      <c r="C9" s="18" t="inlineStr">
        <is>
          <t>Justin Timberlake</t>
        </is>
      </c>
      <c r="D9" s="17" t="inlineStr">
        <is>
          <t>Confirmed</t>
        </is>
      </c>
    </row>
    <row r="10">
      <c r="A10" s="21" t="inlineStr">
        <is>
          <t>First Dance</t>
        </is>
      </c>
      <c r="B10" s="21" t="inlineStr">
        <is>
          <t>Perfect</t>
        </is>
      </c>
      <c r="C10" s="21" t="inlineStr">
        <is>
          <t>Ed Sheeran</t>
        </is>
      </c>
      <c r="D10" s="20" t="inlineStr">
        <is>
          <t>Confirmed</t>
        </is>
      </c>
    </row>
    <row r="11">
      <c r="A11" s="18" t="inlineStr">
        <is>
          <t>Mother-Son Dance</t>
        </is>
      </c>
      <c r="B11" s="18" t="inlineStr">
        <is>
          <t>A Song for Mama</t>
        </is>
      </c>
      <c r="C11" s="18" t="inlineStr">
        <is>
          <t>Boyz II Men</t>
        </is>
      </c>
      <c r="D11" s="17" t="inlineStr">
        <is>
          <t>Confirmed</t>
        </is>
      </c>
    </row>
    <row r="12">
      <c r="A12" s="21" t="inlineStr">
        <is>
          <t>Father-Daughter Dance</t>
        </is>
      </c>
      <c r="B12" s="21" t="inlineStr">
        <is>
          <t>My Girl</t>
        </is>
      </c>
      <c r="C12" s="21" t="inlineStr">
        <is>
          <t>The Temptations</t>
        </is>
      </c>
      <c r="D12" s="20" t="inlineStr">
        <is>
          <t>Confirmed</t>
        </is>
      </c>
    </row>
    <row r="13">
      <c r="A13" s="18" t="inlineStr">
        <is>
          <t>Cake Cutting</t>
        </is>
      </c>
      <c r="B13" s="18" t="inlineStr">
        <is>
          <t>Sugar, Sugar</t>
        </is>
      </c>
      <c r="C13" s="18" t="inlineStr">
        <is>
          <t>The Archies</t>
        </is>
      </c>
      <c r="D13" s="17" t="inlineStr">
        <is>
          <t>Confirmed</t>
        </is>
      </c>
    </row>
    <row r="14">
      <c r="A14" s="21" t="inlineStr">
        <is>
          <t>Last Dance</t>
        </is>
      </c>
      <c r="B14" s="21" t="inlineStr">
        <is>
          <t>At Last</t>
        </is>
      </c>
      <c r="C14" s="21" t="inlineStr">
        <is>
          <t>Etta James</t>
        </is>
      </c>
      <c r="D14" s="20" t="inlineStr">
        <is>
          <t>Confirmed</t>
        </is>
      </c>
    </row>
    <row r="15">
      <c r="A15" s="18" t="inlineStr">
        <is>
          <t>DO NOT PLAY</t>
        </is>
      </c>
      <c r="B15" s="18" t="inlineStr">
        <is>
          <t>Chicken Dance</t>
        </is>
      </c>
      <c r="C15" s="18" t="inlineStr">
        <is>
          <t>—</t>
        </is>
      </c>
      <c r="D15" s="17" t="inlineStr">
        <is>
          <t>Banned</t>
        </is>
      </c>
    </row>
    <row r="16">
      <c r="A16" s="21" t="inlineStr">
        <is>
          <t>DO NOT PLAY</t>
        </is>
      </c>
      <c r="B16" s="21" t="inlineStr">
        <is>
          <t>Macarena</t>
        </is>
      </c>
      <c r="C16" s="21" t="inlineStr">
        <is>
          <t>—</t>
        </is>
      </c>
      <c r="D16" s="20" t="inlineStr">
        <is>
          <t>Banned</t>
        </is>
      </c>
    </row>
    <row r="17">
      <c r="A17" s="18" t="n"/>
      <c r="B17" s="18" t="n"/>
      <c r="C17" s="18" t="n"/>
      <c r="D17" s="17" t="n"/>
    </row>
    <row r="18">
      <c r="A18" s="21" t="n"/>
      <c r="B18" s="21" t="n"/>
      <c r="C18" s="21" t="n"/>
      <c r="D18" s="20" t="n"/>
    </row>
    <row r="19">
      <c r="A19" s="18" t="n"/>
      <c r="B19" s="18" t="n"/>
      <c r="C19" s="18" t="n"/>
      <c r="D19" s="17" t="n"/>
    </row>
    <row r="20">
      <c r="A20" s="21" t="n"/>
      <c r="B20" s="21" t="n"/>
      <c r="C20" s="21" t="n"/>
      <c r="D20" s="20" t="n"/>
    </row>
    <row r="21">
      <c r="A21" s="18" t="n"/>
      <c r="B21" s="18" t="n"/>
      <c r="C21" s="18" t="n"/>
      <c r="D21" s="17" t="n"/>
    </row>
    <row r="22">
      <c r="A22" s="21" t="n"/>
      <c r="B22" s="21" t="n"/>
      <c r="C22" s="21" t="n"/>
      <c r="D22" s="20" t="n"/>
    </row>
    <row r="23">
      <c r="A23" s="18" t="n"/>
      <c r="B23" s="18" t="n"/>
      <c r="C23" s="18" t="n"/>
      <c r="D23" s="17" t="n"/>
    </row>
    <row r="24">
      <c r="A24" s="21" t="n"/>
      <c r="B24" s="21" t="n"/>
      <c r="C24" s="21" t="n"/>
      <c r="D24" s="20" t="n"/>
    </row>
    <row r="25">
      <c r="A25" s="18" t="n"/>
      <c r="B25" s="18" t="n"/>
      <c r="C25" s="18" t="n"/>
      <c r="D25" s="17" t="n"/>
    </row>
    <row r="26">
      <c r="A26" s="21" t="n"/>
      <c r="B26" s="21" t="n"/>
      <c r="C26" s="21" t="n"/>
      <c r="D26" s="20" t="n"/>
    </row>
    <row r="27">
      <c r="A27" s="18" t="n"/>
      <c r="B27" s="18" t="n"/>
      <c r="C27" s="18" t="n"/>
      <c r="D27" s="17" t="n"/>
    </row>
    <row r="28">
      <c r="A28" s="21" t="n"/>
      <c r="B28" s="21" t="n"/>
      <c r="C28" s="21" t="n"/>
      <c r="D28" s="20" t="n"/>
    </row>
    <row r="29">
      <c r="A29" s="18" t="n"/>
      <c r="B29" s="18" t="n"/>
      <c r="C29" s="18" t="n"/>
      <c r="D29" s="17" t="n"/>
    </row>
    <row r="30">
      <c r="A30" s="21" t="n"/>
      <c r="B30" s="21" t="n"/>
      <c r="C30" s="21" t="n"/>
      <c r="D30" s="20" t="n"/>
    </row>
    <row r="31">
      <c r="A31" s="18" t="n"/>
      <c r="B31" s="18" t="n"/>
      <c r="C31" s="18" t="n"/>
      <c r="D31" s="17" t="n"/>
    </row>
    <row r="32">
      <c r="A32" s="21" t="n"/>
      <c r="B32" s="21" t="n"/>
      <c r="C32" s="21" t="n"/>
      <c r="D32" s="20" t="n"/>
    </row>
    <row r="33">
      <c r="A33" s="18" t="n"/>
      <c r="B33" s="18" t="n"/>
      <c r="C33" s="18" t="n"/>
      <c r="D33" s="17" t="n"/>
    </row>
    <row r="34">
      <c r="A34" s="21" t="n"/>
      <c r="B34" s="21" t="n"/>
      <c r="C34" s="21" t="n"/>
      <c r="D34" s="20" t="n"/>
    </row>
  </sheetData>
  <mergeCells count="2">
    <mergeCell ref="A1:D1"/>
    <mergeCell ref="A2:D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1B4F48"/>
    <outlinePr summaryBelow="1" summaryRight="1"/>
    <pageSetUpPr/>
  </sheetPr>
  <dimension ref="A1:F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2" customWidth="1" min="3" max="3"/>
    <col width="14" customWidth="1" min="4" max="4"/>
    <col width="14" customWidth="1" min="5" max="5"/>
    <col width="24" customWidth="1" min="6" max="6"/>
  </cols>
  <sheetData>
    <row r="1" ht="46" customHeight="1">
      <c r="A1" s="1" t="inlineStr">
        <is>
          <t xml:space="preserve">  🌸  FLORAL PLANNER</t>
        </is>
      </c>
    </row>
    <row r="2" ht="22" customHeight="1">
      <c r="A2" s="2" t="inlineStr">
        <is>
          <t xml:space="preserve">  Bouquets, centerpieces, and ceremony / reception florals.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16" t="inlineStr">
        <is>
          <t>Item</t>
        </is>
      </c>
      <c r="B4" s="16" t="inlineStr">
        <is>
          <t>Description</t>
        </is>
      </c>
      <c r="C4" s="16" t="inlineStr">
        <is>
          <t>Quantity</t>
        </is>
      </c>
      <c r="D4" s="16" t="inlineStr">
        <is>
          <t>Unit Cost</t>
        </is>
      </c>
      <c r="E4" s="16" t="inlineStr">
        <is>
          <t>Total</t>
        </is>
      </c>
      <c r="F4" s="16" t="inlineStr">
        <is>
          <t>Notes</t>
        </is>
      </c>
    </row>
    <row r="5">
      <c r="A5" s="18" t="inlineStr">
        <is>
          <t>Bridal Bouquet</t>
        </is>
      </c>
      <c r="B5" s="18" t="inlineStr">
        <is>
          <t>Garden roses, ranunculus, eucalyptus</t>
        </is>
      </c>
      <c r="C5" s="17" t="n">
        <v>1</v>
      </c>
      <c r="D5" s="32" t="n">
        <v>250</v>
      </c>
      <c r="E5" s="32">
        <f>IF(C5="","",C5*D5)</f>
        <v/>
      </c>
      <c r="F5" s="18" t="inlineStr">
        <is>
          <t>Cascade style</t>
        </is>
      </c>
    </row>
    <row r="6">
      <c r="A6" s="21" t="inlineStr">
        <is>
          <t>Bridesmaid Bouquets</t>
        </is>
      </c>
      <c r="B6" s="21" t="inlineStr">
        <is>
          <t>Smaller garden mix</t>
        </is>
      </c>
      <c r="C6" s="20" t="n">
        <v>3</v>
      </c>
      <c r="D6" s="34" t="n">
        <v>85</v>
      </c>
      <c r="E6" s="34">
        <f>IF(C6="","",C6*D6)</f>
        <v/>
      </c>
      <c r="F6" s="21" t="inlineStr"/>
    </row>
    <row r="7">
      <c r="A7" s="18" t="inlineStr">
        <is>
          <t>Boutonnières</t>
        </is>
      </c>
      <c r="B7" s="18" t="inlineStr">
        <is>
          <t>Rose + greenery</t>
        </is>
      </c>
      <c r="C7" s="17" t="n">
        <v>6</v>
      </c>
      <c r="D7" s="32" t="n">
        <v>25</v>
      </c>
      <c r="E7" s="32">
        <f>IF(C7="","",C7*D7)</f>
        <v/>
      </c>
      <c r="F7" s="18" t="inlineStr"/>
    </row>
    <row r="8">
      <c r="A8" s="21" t="inlineStr">
        <is>
          <t>Corsages</t>
        </is>
      </c>
      <c r="B8" s="21" t="inlineStr">
        <is>
          <t>Wrist — mothers/grandmothers</t>
        </is>
      </c>
      <c r="C8" s="20" t="n">
        <v>4</v>
      </c>
      <c r="D8" s="34" t="n">
        <v>35</v>
      </c>
      <c r="E8" s="34">
        <f>IF(C8="","",C8*D8)</f>
        <v/>
      </c>
      <c r="F8" s="21" t="inlineStr"/>
    </row>
    <row r="9">
      <c r="A9" s="18" t="inlineStr">
        <is>
          <t>Ceremony Arch</t>
        </is>
      </c>
      <c r="B9" s="18" t="inlineStr">
        <is>
          <t>Lush emerald + ivory installation</t>
        </is>
      </c>
      <c r="C9" s="17" t="n">
        <v>1</v>
      </c>
      <c r="D9" s="32" t="n">
        <v>850</v>
      </c>
      <c r="E9" s="32">
        <f>IF(C9="","",C9*D9)</f>
        <v/>
      </c>
      <c r="F9" s="18" t="inlineStr">
        <is>
          <t>Focal point</t>
        </is>
      </c>
    </row>
    <row r="10">
      <c r="A10" s="21" t="inlineStr">
        <is>
          <t>Aisle Markers</t>
        </is>
      </c>
      <c r="B10" s="21" t="inlineStr">
        <is>
          <t>Petals + small arrangements</t>
        </is>
      </c>
      <c r="C10" s="20" t="n">
        <v>8</v>
      </c>
      <c r="D10" s="34" t="n">
        <v>30</v>
      </c>
      <c r="E10" s="34">
        <f>IF(C10="","",C10*D10)</f>
        <v/>
      </c>
      <c r="F10" s="21" t="inlineStr"/>
    </row>
    <row r="11">
      <c r="A11" s="18" t="inlineStr">
        <is>
          <t>Centerpieces — Tall</t>
        </is>
      </c>
      <c r="B11" s="18" t="inlineStr">
        <is>
          <t>Elevated arrangements</t>
        </is>
      </c>
      <c r="C11" s="17" t="n">
        <v>8</v>
      </c>
      <c r="D11" s="32" t="n">
        <v>120</v>
      </c>
      <c r="E11" s="32">
        <f>IF(C11="","",C11*D11)</f>
        <v/>
      </c>
      <c r="F11" s="18" t="inlineStr">
        <is>
          <t>Head + VIP tables</t>
        </is>
      </c>
    </row>
    <row r="12">
      <c r="A12" s="21" t="inlineStr">
        <is>
          <t>Centerpieces — Low</t>
        </is>
      </c>
      <c r="B12" s="21" t="inlineStr">
        <is>
          <t>Compote bowls</t>
        </is>
      </c>
      <c r="C12" s="20" t="n">
        <v>8</v>
      </c>
      <c r="D12" s="34" t="n">
        <v>75</v>
      </c>
      <c r="E12" s="34">
        <f>IF(C12="","",C12*D12)</f>
        <v/>
      </c>
      <c r="F12" s="21" t="inlineStr"/>
    </row>
    <row r="13">
      <c r="A13" s="18" t="inlineStr">
        <is>
          <t>Cake Flowers</t>
        </is>
      </c>
      <c r="B13" s="18" t="inlineStr">
        <is>
          <t>Fresh blooms for cake</t>
        </is>
      </c>
      <c r="C13" s="17" t="n">
        <v>1</v>
      </c>
      <c r="D13" s="32" t="n">
        <v>60</v>
      </c>
      <c r="E13" s="32">
        <f>IF(C13="","",C13*D13)</f>
        <v/>
      </c>
      <c r="F13" s="18" t="inlineStr"/>
    </row>
    <row r="14">
      <c r="A14" s="21" t="inlineStr">
        <is>
          <t>Flower Girl Petals</t>
        </is>
      </c>
      <c r="B14" s="21" t="inlineStr">
        <is>
          <t>Loose petals basket</t>
        </is>
      </c>
      <c r="C14" s="20" t="n">
        <v>1</v>
      </c>
      <c r="D14" s="34" t="n">
        <v>25</v>
      </c>
      <c r="E14" s="34">
        <f>IF(C14="","",C14*D14)</f>
        <v/>
      </c>
      <c r="F14" s="21" t="inlineStr"/>
    </row>
    <row r="15">
      <c r="A15" s="18" t="n"/>
      <c r="B15" s="18" t="n"/>
      <c r="C15" s="17" t="n"/>
      <c r="D15" s="32" t="n"/>
      <c r="E15" s="32" t="n"/>
      <c r="F15" s="18" t="n"/>
    </row>
    <row r="16">
      <c r="A16" s="21" t="n"/>
      <c r="B16" s="21" t="n"/>
      <c r="C16" s="20" t="n"/>
      <c r="D16" s="34" t="n"/>
      <c r="E16" s="34" t="n"/>
      <c r="F16" s="21" t="n"/>
    </row>
    <row r="17">
      <c r="A17" s="18" t="n"/>
      <c r="B17" s="18" t="n"/>
      <c r="C17" s="17" t="n"/>
      <c r="D17" s="32" t="n"/>
      <c r="E17" s="32" t="n"/>
      <c r="F17" s="18" t="n"/>
    </row>
    <row r="18">
      <c r="A18" s="21" t="n"/>
      <c r="B18" s="21" t="n"/>
      <c r="C18" s="20" t="n"/>
      <c r="D18" s="34" t="n"/>
      <c r="E18" s="34" t="n"/>
      <c r="F18" s="21" t="n"/>
    </row>
    <row r="19">
      <c r="A19" s="18" t="n"/>
      <c r="B19" s="18" t="n"/>
      <c r="C19" s="17" t="n"/>
      <c r="D19" s="32" t="n"/>
      <c r="E19" s="32" t="n"/>
      <c r="F19" s="18" t="n"/>
    </row>
    <row r="20">
      <c r="A20" s="21" t="n"/>
      <c r="B20" s="21" t="n"/>
      <c r="C20" s="20" t="n"/>
      <c r="D20" s="34" t="n"/>
      <c r="E20" s="34" t="n"/>
      <c r="F20" s="21" t="n"/>
    </row>
    <row r="21">
      <c r="A21" s="18" t="n"/>
      <c r="B21" s="18" t="n"/>
      <c r="C21" s="17" t="n"/>
      <c r="D21" s="32" t="n"/>
      <c r="E21" s="32" t="n"/>
      <c r="F21" s="18" t="n"/>
    </row>
    <row r="22">
      <c r="A22" s="21" t="n"/>
      <c r="B22" s="21" t="n"/>
      <c r="C22" s="20" t="n"/>
      <c r="D22" s="34" t="n"/>
      <c r="E22" s="34" t="n"/>
      <c r="F22" s="21" t="n"/>
    </row>
    <row r="23">
      <c r="A23" s="18" t="n"/>
      <c r="B23" s="18" t="n"/>
      <c r="C23" s="17" t="n"/>
      <c r="D23" s="32" t="n"/>
      <c r="E23" s="32" t="n"/>
      <c r="F23" s="18" t="n"/>
    </row>
    <row r="24">
      <c r="A24" s="21" t="n"/>
      <c r="B24" s="21" t="n"/>
      <c r="C24" s="20" t="n"/>
      <c r="D24" s="34" t="n"/>
      <c r="E24" s="34" t="n"/>
      <c r="F24" s="21" t="n"/>
    </row>
    <row r="25">
      <c r="A25" s="18" t="n"/>
      <c r="B25" s="18" t="n"/>
      <c r="C25" s="17" t="n"/>
      <c r="D25" s="32" t="n"/>
      <c r="E25" s="32" t="n"/>
      <c r="F25" s="18" t="n"/>
    </row>
    <row r="26">
      <c r="A26" s="21" t="n"/>
      <c r="B26" s="21" t="n"/>
      <c r="C26" s="20" t="n"/>
      <c r="D26" s="34" t="n"/>
      <c r="E26" s="34" t="n"/>
      <c r="F26" s="21" t="n"/>
    </row>
    <row r="27">
      <c r="A27" s="18" t="n"/>
      <c r="B27" s="18" t="n"/>
      <c r="C27" s="17" t="n"/>
      <c r="D27" s="32" t="n"/>
      <c r="E27" s="32" t="n"/>
      <c r="F27" s="18" t="n"/>
    </row>
    <row r="28">
      <c r="A28" s="21" t="n"/>
      <c r="B28" s="21" t="n"/>
      <c r="C28" s="20" t="n"/>
      <c r="D28" s="34" t="n"/>
      <c r="E28" s="34" t="n"/>
      <c r="F28" s="21" t="n"/>
    </row>
    <row r="29">
      <c r="A29" s="18" t="n"/>
      <c r="B29" s="18" t="n"/>
      <c r="C29" s="17" t="n"/>
      <c r="D29" s="32" t="n"/>
      <c r="E29" s="32" t="n"/>
      <c r="F29" s="18" t="n"/>
    </row>
  </sheetData>
  <mergeCells count="2">
    <mergeCell ref="A2:F2"/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937356"/>
    <outlinePr summaryBelow="1" summaryRight="1"/>
    <pageSetUpPr/>
  </sheetPr>
  <dimension ref="A1:F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20" customWidth="1" min="4" max="4"/>
    <col width="14" customWidth="1" min="5" max="5"/>
    <col width="16" customWidth="1" min="6" max="6"/>
  </cols>
  <sheetData>
    <row r="1" ht="46" customHeight="1">
      <c r="A1" s="1" t="inlineStr">
        <is>
          <t xml:space="preserve">  🕯  DECOR PLANNER</t>
        </is>
      </c>
    </row>
    <row r="2" ht="22" customHeight="1">
      <c r="A2" s="2" t="inlineStr">
        <is>
          <t xml:space="preserve">  Decor, rentals, lighting, signage, and furniture.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16" t="inlineStr">
        <is>
          <t>Item</t>
        </is>
      </c>
      <c r="B4" s="16" t="inlineStr">
        <is>
          <t>Type</t>
        </is>
      </c>
      <c r="C4" s="16" t="inlineStr">
        <is>
          <t>Quantity</t>
        </is>
      </c>
      <c r="D4" s="16" t="inlineStr">
        <is>
          <t>Source</t>
        </is>
      </c>
      <c r="E4" s="16" t="inlineStr">
        <is>
          <t>Cost</t>
        </is>
      </c>
      <c r="F4" s="16" t="inlineStr">
        <is>
          <t>Status</t>
        </is>
      </c>
    </row>
    <row r="5">
      <c r="A5" s="18" t="inlineStr">
        <is>
          <t>String / bistro lighting</t>
        </is>
      </c>
      <c r="B5" s="18" t="inlineStr">
        <is>
          <t>Lighting</t>
        </is>
      </c>
      <c r="C5" s="17" t="n">
        <v>1</v>
      </c>
      <c r="D5" s="18" t="inlineStr">
        <is>
          <t>Luxe Rentals</t>
        </is>
      </c>
      <c r="E5" s="32" t="n">
        <v>450</v>
      </c>
      <c r="F5" s="17" t="inlineStr">
        <is>
          <t>Booked</t>
        </is>
      </c>
    </row>
    <row r="6">
      <c r="A6" s="21" t="inlineStr">
        <is>
          <t>Uplighting (emerald)</t>
        </is>
      </c>
      <c r="B6" s="21" t="inlineStr">
        <is>
          <t>Lighting</t>
        </is>
      </c>
      <c r="C6" s="20" t="n">
        <v>12</v>
      </c>
      <c r="D6" s="21" t="inlineStr">
        <is>
          <t>Skyline</t>
        </is>
      </c>
      <c r="E6" s="34" t="n">
        <v>360</v>
      </c>
      <c r="F6" s="20" t="inlineStr">
        <is>
          <t>Booked</t>
        </is>
      </c>
    </row>
    <row r="7">
      <c r="A7" s="18" t="inlineStr">
        <is>
          <t>Lounge furniture set</t>
        </is>
      </c>
      <c r="B7" s="18" t="inlineStr">
        <is>
          <t>Furniture</t>
        </is>
      </c>
      <c r="C7" s="17" t="n">
        <v>1</v>
      </c>
      <c r="D7" s="18" t="inlineStr">
        <is>
          <t>Luxe Rentals</t>
        </is>
      </c>
      <c r="E7" s="32" t="n">
        <v>600</v>
      </c>
      <c r="F7" s="17" t="inlineStr">
        <is>
          <t>Booked</t>
        </is>
      </c>
    </row>
    <row r="8">
      <c r="A8" s="21" t="inlineStr">
        <is>
          <t>Welcome sign (acrylic)</t>
        </is>
      </c>
      <c r="B8" s="21" t="inlineStr">
        <is>
          <t>Signage</t>
        </is>
      </c>
      <c r="C8" s="20" t="n">
        <v>1</v>
      </c>
      <c r="D8" s="21" t="inlineStr">
        <is>
          <t>Etsy / Custom</t>
        </is>
      </c>
      <c r="E8" s="34" t="n">
        <v>95</v>
      </c>
      <c r="F8" s="20" t="inlineStr">
        <is>
          <t>Ordered</t>
        </is>
      </c>
    </row>
    <row r="9">
      <c r="A9" s="18" t="inlineStr">
        <is>
          <t>Seating chart display</t>
        </is>
      </c>
      <c r="B9" s="18" t="inlineStr">
        <is>
          <t>Signage</t>
        </is>
      </c>
      <c r="C9" s="17" t="n">
        <v>1</v>
      </c>
      <c r="D9" s="18" t="inlineStr">
        <is>
          <t>Custom</t>
        </is>
      </c>
      <c r="E9" s="32" t="n">
        <v>120</v>
      </c>
      <c r="F9" s="17" t="inlineStr">
        <is>
          <t>Ordered</t>
        </is>
      </c>
    </row>
    <row r="10">
      <c r="A10" s="21" t="inlineStr">
        <is>
          <t>Table numbers</t>
        </is>
      </c>
      <c r="B10" s="21" t="inlineStr">
        <is>
          <t>Signage</t>
        </is>
      </c>
      <c r="C10" s="20" t="n">
        <v>16</v>
      </c>
      <c r="D10" s="21" t="inlineStr">
        <is>
          <t>Custom</t>
        </is>
      </c>
      <c r="E10" s="34" t="n">
        <v>80</v>
      </c>
      <c r="F10" s="20" t="inlineStr">
        <is>
          <t>Ordered</t>
        </is>
      </c>
    </row>
    <row r="11">
      <c r="A11" s="18" t="inlineStr">
        <is>
          <t>Candles &amp; holders</t>
        </is>
      </c>
      <c r="B11" s="18" t="inlineStr">
        <is>
          <t>Decor</t>
        </is>
      </c>
      <c r="C11" s="17" t="n">
        <v>60</v>
      </c>
      <c r="D11" s="18" t="inlineStr">
        <is>
          <t>Bulk</t>
        </is>
      </c>
      <c r="E11" s="32" t="n">
        <v>240</v>
      </c>
      <c r="F11" s="17" t="inlineStr">
        <is>
          <t>Purchased</t>
        </is>
      </c>
    </row>
    <row r="12">
      <c r="A12" s="21" t="inlineStr">
        <is>
          <t>Aisle runner</t>
        </is>
      </c>
      <c r="B12" s="21" t="inlineStr">
        <is>
          <t>Decor</t>
        </is>
      </c>
      <c r="C12" s="20" t="n">
        <v>1</v>
      </c>
      <c r="D12" s="21" t="inlineStr">
        <is>
          <t>Luxe Rentals</t>
        </is>
      </c>
      <c r="E12" s="34" t="n">
        <v>75</v>
      </c>
      <c r="F12" s="20" t="inlineStr">
        <is>
          <t>Booked</t>
        </is>
      </c>
    </row>
    <row r="13">
      <c r="A13" s="18" t="inlineStr">
        <is>
          <t>Charger plates</t>
        </is>
      </c>
      <c r="B13" s="18" t="inlineStr">
        <is>
          <t>Rentals</t>
        </is>
      </c>
      <c r="C13" s="17" t="n">
        <v>140</v>
      </c>
      <c r="D13" s="18" t="inlineStr">
        <is>
          <t>Luxe Rentals</t>
        </is>
      </c>
      <c r="E13" s="32" t="n">
        <v>280</v>
      </c>
      <c r="F13" s="17" t="inlineStr">
        <is>
          <t>Booked</t>
        </is>
      </c>
    </row>
    <row r="14">
      <c r="A14" s="21" t="inlineStr">
        <is>
          <t>Linens (emerald/ivory)</t>
        </is>
      </c>
      <c r="B14" s="21" t="inlineStr">
        <is>
          <t>Rentals</t>
        </is>
      </c>
      <c r="C14" s="20" t="n">
        <v>16</v>
      </c>
      <c r="D14" s="21" t="inlineStr">
        <is>
          <t>Luxe Rentals</t>
        </is>
      </c>
      <c r="E14" s="34" t="n">
        <v>320</v>
      </c>
      <c r="F14" s="20" t="inlineStr">
        <is>
          <t>Booked</t>
        </is>
      </c>
    </row>
    <row r="15">
      <c r="A15" s="18" t="inlineStr">
        <is>
          <t>Arbor draping</t>
        </is>
      </c>
      <c r="B15" s="18" t="inlineStr">
        <is>
          <t>Decor</t>
        </is>
      </c>
      <c r="C15" s="17" t="n">
        <v>1</v>
      </c>
      <c r="D15" s="18" t="inlineStr">
        <is>
          <t>Petal &amp; Stem</t>
        </is>
      </c>
      <c r="E15" s="32" t="n">
        <v>150</v>
      </c>
      <c r="F15" s="17" t="inlineStr">
        <is>
          <t>Pending</t>
        </is>
      </c>
    </row>
    <row r="16">
      <c r="A16" s="21" t="n"/>
      <c r="B16" s="21" t="n"/>
      <c r="C16" s="20" t="n"/>
      <c r="D16" s="21" t="n"/>
      <c r="E16" s="34" t="n"/>
      <c r="F16" s="20" t="n"/>
    </row>
    <row r="17">
      <c r="A17" s="18" t="n"/>
      <c r="B17" s="18" t="n"/>
      <c r="C17" s="17" t="n"/>
      <c r="D17" s="18" t="n"/>
      <c r="E17" s="32" t="n"/>
      <c r="F17" s="17" t="n"/>
    </row>
    <row r="18">
      <c r="A18" s="21" t="n"/>
      <c r="B18" s="21" t="n"/>
      <c r="C18" s="20" t="n"/>
      <c r="D18" s="21" t="n"/>
      <c r="E18" s="34" t="n"/>
      <c r="F18" s="20" t="n"/>
    </row>
    <row r="19">
      <c r="A19" s="18" t="n"/>
      <c r="B19" s="18" t="n"/>
      <c r="C19" s="17" t="n"/>
      <c r="D19" s="18" t="n"/>
      <c r="E19" s="32" t="n"/>
      <c r="F19" s="17" t="n"/>
    </row>
    <row r="20">
      <c r="A20" s="21" t="n"/>
      <c r="B20" s="21" t="n"/>
      <c r="C20" s="20" t="n"/>
      <c r="D20" s="21" t="n"/>
      <c r="E20" s="34" t="n"/>
      <c r="F20" s="20" t="n"/>
    </row>
    <row r="21">
      <c r="A21" s="18" t="n"/>
      <c r="B21" s="18" t="n"/>
      <c r="C21" s="17" t="n"/>
      <c r="D21" s="18" t="n"/>
      <c r="E21" s="32" t="n"/>
      <c r="F21" s="17" t="n"/>
    </row>
    <row r="22">
      <c r="A22" s="21" t="n"/>
      <c r="B22" s="21" t="n"/>
      <c r="C22" s="20" t="n"/>
      <c r="D22" s="21" t="n"/>
      <c r="E22" s="34" t="n"/>
      <c r="F22" s="20" t="n"/>
    </row>
    <row r="23">
      <c r="A23" s="18" t="n"/>
      <c r="B23" s="18" t="n"/>
      <c r="C23" s="17" t="n"/>
      <c r="D23" s="18" t="n"/>
      <c r="E23" s="32" t="n"/>
      <c r="F23" s="17" t="n"/>
    </row>
    <row r="24">
      <c r="A24" s="21" t="n"/>
      <c r="B24" s="21" t="n"/>
      <c r="C24" s="20" t="n"/>
      <c r="D24" s="21" t="n"/>
      <c r="E24" s="34" t="n"/>
      <c r="F24" s="20" t="n"/>
    </row>
    <row r="25">
      <c r="A25" s="18" t="n"/>
      <c r="B25" s="18" t="n"/>
      <c r="C25" s="17" t="n"/>
      <c r="D25" s="18" t="n"/>
      <c r="E25" s="32" t="n"/>
      <c r="F25" s="17" t="n"/>
    </row>
    <row r="26">
      <c r="A26" s="21" t="n"/>
      <c r="B26" s="21" t="n"/>
      <c r="C26" s="20" t="n"/>
      <c r="D26" s="21" t="n"/>
      <c r="E26" s="34" t="n"/>
      <c r="F26" s="20" t="n"/>
    </row>
    <row r="27">
      <c r="A27" s="18" t="n"/>
      <c r="B27" s="18" t="n"/>
      <c r="C27" s="17" t="n"/>
      <c r="D27" s="18" t="n"/>
      <c r="E27" s="32" t="n"/>
      <c r="F27" s="17" t="n"/>
    </row>
    <row r="28">
      <c r="A28" s="21" t="n"/>
      <c r="B28" s="21" t="n"/>
      <c r="C28" s="20" t="n"/>
      <c r="D28" s="21" t="n"/>
      <c r="E28" s="34" t="n"/>
      <c r="F28" s="20" t="n"/>
    </row>
    <row r="29">
      <c r="A29" s="18" t="n"/>
      <c r="B29" s="18" t="n"/>
      <c r="C29" s="17" t="n"/>
      <c r="D29" s="18" t="n"/>
      <c r="E29" s="32" t="n"/>
      <c r="F29" s="17" t="n"/>
    </row>
    <row r="30">
      <c r="A30" s="21" t="n"/>
      <c r="B30" s="21" t="n"/>
      <c r="C30" s="20" t="n"/>
      <c r="D30" s="21" t="n"/>
      <c r="E30" s="34" t="n"/>
      <c r="F30" s="20" t="n"/>
    </row>
    <row r="31">
      <c r="A31" s="18" t="n"/>
      <c r="B31" s="18" t="n"/>
      <c r="C31" s="17" t="n"/>
      <c r="D31" s="18" t="n"/>
      <c r="E31" s="32" t="n"/>
      <c r="F31" s="17" t="n"/>
    </row>
    <row r="32">
      <c r="A32" s="21" t="n"/>
      <c r="B32" s="21" t="n"/>
      <c r="C32" s="20" t="n"/>
      <c r="D32" s="21" t="n"/>
      <c r="E32" s="34" t="n"/>
      <c r="F32" s="20" t="n"/>
    </row>
    <row r="33">
      <c r="A33" s="18" t="n"/>
      <c r="B33" s="18" t="n"/>
      <c r="C33" s="17" t="n"/>
      <c r="D33" s="18" t="n"/>
      <c r="E33" s="32" t="n"/>
      <c r="F33" s="17" t="n"/>
    </row>
    <row r="34">
      <c r="A34" s="21" t="n"/>
      <c r="B34" s="21" t="n"/>
      <c r="C34" s="20" t="n"/>
      <c r="D34" s="21" t="n"/>
      <c r="E34" s="34" t="n"/>
      <c r="F34" s="20" t="n"/>
    </row>
  </sheetData>
  <mergeCells count="2">
    <mergeCell ref="A2:F2"/>
    <mergeCell ref="A1:F1"/>
  </mergeCells>
  <dataValidations count="1">
    <dataValidation sqref="F5:F34" showDropDown="0" showInputMessage="0" showErrorMessage="0" allowBlank="1" type="list">
      <formula1>=StatusList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75E6C1"/>
    <outlinePr summaryBelow="1" summaryRight="1"/>
    <pageSetUpPr/>
  </sheetPr>
  <dimension ref="A1:D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14" customWidth="1" min="3" max="3"/>
    <col width="12" customWidth="1" min="4" max="4"/>
  </cols>
  <sheetData>
    <row r="1" ht="46" customHeight="1">
      <c r="A1" s="1" t="inlineStr">
        <is>
          <t xml:space="preserve">  📸  PHOTOGRAPHY SHOT LIST</t>
        </is>
      </c>
    </row>
    <row r="2" ht="22" customHeight="1">
      <c r="A2" s="2" t="inlineStr">
        <is>
          <t xml:space="preserve">  Every must-have shot, grouped and check-off ready.</t>
        </is>
      </c>
    </row>
    <row r="3" ht="6" customHeight="1">
      <c r="A3" s="3" t="n"/>
      <c r="B3" s="3" t="n"/>
      <c r="C3" s="3" t="n"/>
      <c r="D3" s="3" t="n"/>
    </row>
    <row r="4" ht="30" customHeight="1">
      <c r="A4" s="16" t="inlineStr">
        <is>
          <t>Group</t>
        </is>
      </c>
      <c r="B4" s="16" t="inlineStr">
        <is>
          <t>Shot</t>
        </is>
      </c>
      <c r="C4" s="16" t="inlineStr">
        <is>
          <t>Priority</t>
        </is>
      </c>
      <c r="D4" s="16" t="inlineStr">
        <is>
          <t>Captured</t>
        </is>
      </c>
    </row>
    <row r="5">
      <c r="A5" s="18" t="inlineStr">
        <is>
          <t>Details</t>
        </is>
      </c>
      <c r="B5" s="18" t="inlineStr">
        <is>
          <t>Rings, invitation suite, shoes, dress</t>
        </is>
      </c>
      <c r="C5" s="17" t="inlineStr">
        <is>
          <t>High</t>
        </is>
      </c>
      <c r="D5" s="17" t="inlineStr">
        <is>
          <t>No</t>
        </is>
      </c>
    </row>
    <row r="6">
      <c r="A6" s="21" t="inlineStr">
        <is>
          <t>Getting Ready</t>
        </is>
      </c>
      <c r="B6" s="21" t="inlineStr">
        <is>
          <t>Bride with bridesmaids</t>
        </is>
      </c>
      <c r="C6" s="20" t="inlineStr">
        <is>
          <t>High</t>
        </is>
      </c>
      <c r="D6" s="20" t="inlineStr">
        <is>
          <t>No</t>
        </is>
      </c>
    </row>
    <row r="7">
      <c r="A7" s="18" t="inlineStr">
        <is>
          <t>Getting Ready</t>
        </is>
      </c>
      <c r="B7" s="18" t="inlineStr">
        <is>
          <t>Groom with groomsmen</t>
        </is>
      </c>
      <c r="C7" s="17" t="inlineStr">
        <is>
          <t>High</t>
        </is>
      </c>
      <c r="D7" s="17" t="inlineStr">
        <is>
          <t>No</t>
        </is>
      </c>
    </row>
    <row r="8">
      <c r="A8" s="21" t="inlineStr">
        <is>
          <t>First Look</t>
        </is>
      </c>
      <c r="B8" s="21" t="inlineStr">
        <is>
          <t>Couple first look reaction</t>
        </is>
      </c>
      <c r="C8" s="20" t="inlineStr">
        <is>
          <t>High</t>
        </is>
      </c>
      <c r="D8" s="20" t="inlineStr">
        <is>
          <t>No</t>
        </is>
      </c>
    </row>
    <row r="9">
      <c r="A9" s="18" t="inlineStr">
        <is>
          <t>Bride</t>
        </is>
      </c>
      <c r="B9" s="18" t="inlineStr">
        <is>
          <t>Solo bridal portraits</t>
        </is>
      </c>
      <c r="C9" s="17" t="inlineStr">
        <is>
          <t>High</t>
        </is>
      </c>
      <c r="D9" s="17" t="inlineStr">
        <is>
          <t>No</t>
        </is>
      </c>
    </row>
    <row r="10">
      <c r="A10" s="21" t="inlineStr">
        <is>
          <t>Groom</t>
        </is>
      </c>
      <c r="B10" s="21" t="inlineStr">
        <is>
          <t>Solo groom portraits</t>
        </is>
      </c>
      <c r="C10" s="20" t="inlineStr">
        <is>
          <t>Medium</t>
        </is>
      </c>
      <c r="D10" s="20" t="inlineStr">
        <is>
          <t>No</t>
        </is>
      </c>
    </row>
    <row r="11">
      <c r="A11" s="18" t="inlineStr">
        <is>
          <t>Family</t>
        </is>
      </c>
      <c r="B11" s="18" t="inlineStr">
        <is>
          <t>Bride + parents</t>
        </is>
      </c>
      <c r="C11" s="17" t="inlineStr">
        <is>
          <t>High</t>
        </is>
      </c>
      <c r="D11" s="17" t="inlineStr">
        <is>
          <t>No</t>
        </is>
      </c>
    </row>
    <row r="12">
      <c r="A12" s="21" t="inlineStr">
        <is>
          <t>Family</t>
        </is>
      </c>
      <c r="B12" s="21" t="inlineStr">
        <is>
          <t>Groom + parents</t>
        </is>
      </c>
      <c r="C12" s="20" t="inlineStr">
        <is>
          <t>High</t>
        </is>
      </c>
      <c r="D12" s="20" t="inlineStr">
        <is>
          <t>No</t>
        </is>
      </c>
    </row>
    <row r="13">
      <c r="A13" s="18" t="inlineStr">
        <is>
          <t>Family</t>
        </is>
      </c>
      <c r="B13" s="18" t="inlineStr">
        <is>
          <t>Full family — both sides</t>
        </is>
      </c>
      <c r="C13" s="17" t="inlineStr">
        <is>
          <t>High</t>
        </is>
      </c>
      <c r="D13" s="17" t="inlineStr">
        <is>
          <t>No</t>
        </is>
      </c>
    </row>
    <row r="14">
      <c r="A14" s="21" t="inlineStr">
        <is>
          <t>Wedding Party</t>
        </is>
      </c>
      <c r="B14" s="21" t="inlineStr">
        <is>
          <t>Full party fun + formal</t>
        </is>
      </c>
      <c r="C14" s="20" t="inlineStr">
        <is>
          <t>High</t>
        </is>
      </c>
      <c r="D14" s="20" t="inlineStr">
        <is>
          <t>No</t>
        </is>
      </c>
    </row>
    <row r="15">
      <c r="A15" s="18" t="inlineStr">
        <is>
          <t>Ceremony</t>
        </is>
      </c>
      <c r="B15" s="18" t="inlineStr">
        <is>
          <t>Processional, vows, first kiss</t>
        </is>
      </c>
      <c r="C15" s="17" t="inlineStr">
        <is>
          <t>High</t>
        </is>
      </c>
      <c r="D15" s="17" t="inlineStr">
        <is>
          <t>No</t>
        </is>
      </c>
    </row>
    <row r="16">
      <c r="A16" s="21" t="inlineStr">
        <is>
          <t>Ceremony</t>
        </is>
      </c>
      <c r="B16" s="21" t="inlineStr">
        <is>
          <t>Ring exchange close-up</t>
        </is>
      </c>
      <c r="C16" s="20" t="inlineStr">
        <is>
          <t>High</t>
        </is>
      </c>
      <c r="D16" s="20" t="inlineStr">
        <is>
          <t>No</t>
        </is>
      </c>
    </row>
    <row r="17">
      <c r="A17" s="18" t="inlineStr">
        <is>
          <t>Reception</t>
        </is>
      </c>
      <c r="B17" s="18" t="inlineStr">
        <is>
          <t>Grand entrance, first dance</t>
        </is>
      </c>
      <c r="C17" s="17" t="inlineStr">
        <is>
          <t>High</t>
        </is>
      </c>
      <c r="D17" s="17" t="inlineStr">
        <is>
          <t>No</t>
        </is>
      </c>
    </row>
    <row r="18">
      <c r="A18" s="21" t="inlineStr">
        <is>
          <t>Reception</t>
        </is>
      </c>
      <c r="B18" s="21" t="inlineStr">
        <is>
          <t>Toasts, cake cutting</t>
        </is>
      </c>
      <c r="C18" s="20" t="inlineStr">
        <is>
          <t>Medium</t>
        </is>
      </c>
      <c r="D18" s="20" t="inlineStr">
        <is>
          <t>No</t>
        </is>
      </c>
    </row>
    <row r="19">
      <c r="A19" s="18" t="inlineStr">
        <is>
          <t>Golden Hour</t>
        </is>
      </c>
      <c r="B19" s="18" t="inlineStr">
        <is>
          <t>Couple sunset portraits</t>
        </is>
      </c>
      <c r="C19" s="17" t="inlineStr">
        <is>
          <t>High</t>
        </is>
      </c>
      <c r="D19" s="17" t="inlineStr">
        <is>
          <t>No</t>
        </is>
      </c>
    </row>
    <row r="20">
      <c r="A20" s="21" t="inlineStr">
        <is>
          <t>Detail</t>
        </is>
      </c>
      <c r="B20" s="21" t="inlineStr">
        <is>
          <t>Tablescape + centerpieces</t>
        </is>
      </c>
      <c r="C20" s="20" t="inlineStr">
        <is>
          <t>Medium</t>
        </is>
      </c>
      <c r="D20" s="20" t="inlineStr">
        <is>
          <t>No</t>
        </is>
      </c>
    </row>
    <row r="21">
      <c r="A21" s="18" t="inlineStr">
        <is>
          <t>Exit</t>
        </is>
      </c>
      <c r="B21" s="18" t="inlineStr">
        <is>
          <t>Sparkler send-off</t>
        </is>
      </c>
      <c r="C21" s="17" t="inlineStr">
        <is>
          <t>High</t>
        </is>
      </c>
      <c r="D21" s="17" t="inlineStr">
        <is>
          <t>No</t>
        </is>
      </c>
    </row>
    <row r="22">
      <c r="A22" s="21" t="n"/>
      <c r="B22" s="21" t="n"/>
      <c r="C22" s="20" t="n"/>
      <c r="D22" s="20" t="n"/>
    </row>
    <row r="23">
      <c r="A23" s="18" t="n"/>
      <c r="B23" s="18" t="n"/>
      <c r="C23" s="17" t="n"/>
      <c r="D23" s="17" t="n"/>
    </row>
    <row r="24">
      <c r="A24" s="21" t="n"/>
      <c r="B24" s="21" t="n"/>
      <c r="C24" s="20" t="n"/>
      <c r="D24" s="20" t="n"/>
    </row>
    <row r="25">
      <c r="A25" s="18" t="n"/>
      <c r="B25" s="18" t="n"/>
      <c r="C25" s="17" t="n"/>
      <c r="D25" s="17" t="n"/>
    </row>
    <row r="26">
      <c r="A26" s="21" t="n"/>
      <c r="B26" s="21" t="n"/>
      <c r="C26" s="20" t="n"/>
      <c r="D26" s="20" t="n"/>
    </row>
    <row r="27">
      <c r="A27" s="18" t="n"/>
      <c r="B27" s="18" t="n"/>
      <c r="C27" s="17" t="n"/>
      <c r="D27" s="17" t="n"/>
    </row>
    <row r="28">
      <c r="A28" s="21" t="n"/>
      <c r="B28" s="21" t="n"/>
      <c r="C28" s="20" t="n"/>
      <c r="D28" s="20" t="n"/>
    </row>
    <row r="29">
      <c r="A29" s="18" t="n"/>
      <c r="B29" s="18" t="n"/>
      <c r="C29" s="17" t="n"/>
      <c r="D29" s="17" t="n"/>
    </row>
    <row r="30">
      <c r="A30" s="21" t="n"/>
      <c r="B30" s="21" t="n"/>
      <c r="C30" s="20" t="n"/>
      <c r="D30" s="20" t="n"/>
    </row>
    <row r="31">
      <c r="A31" s="18" t="n"/>
      <c r="B31" s="18" t="n"/>
      <c r="C31" s="17" t="n"/>
      <c r="D31" s="17" t="n"/>
    </row>
    <row r="32">
      <c r="A32" s="21" t="n"/>
      <c r="B32" s="21" t="n"/>
      <c r="C32" s="20" t="n"/>
      <c r="D32" s="20" t="n"/>
    </row>
    <row r="33">
      <c r="A33" s="18" t="n"/>
      <c r="B33" s="18" t="n"/>
      <c r="C33" s="17" t="n"/>
      <c r="D33" s="17" t="n"/>
    </row>
    <row r="34">
      <c r="A34" s="21" t="n"/>
      <c r="B34" s="21" t="n"/>
      <c r="C34" s="20" t="n"/>
      <c r="D34" s="20" t="n"/>
    </row>
    <row r="35">
      <c r="A35" s="18" t="n"/>
      <c r="B35" s="18" t="n"/>
      <c r="C35" s="17" t="n"/>
      <c r="D35" s="17" t="n"/>
    </row>
    <row r="36">
      <c r="A36" s="21" t="n"/>
      <c r="B36" s="21" t="n"/>
      <c r="C36" s="20" t="n"/>
      <c r="D36" s="20" t="n"/>
    </row>
    <row r="37">
      <c r="A37" s="18" t="n"/>
      <c r="B37" s="18" t="n"/>
      <c r="C37" s="17" t="n"/>
      <c r="D37" s="17" t="n"/>
    </row>
    <row r="38">
      <c r="A38" s="21" t="n"/>
      <c r="B38" s="21" t="n"/>
      <c r="C38" s="20" t="n"/>
      <c r="D38" s="20" t="n"/>
    </row>
    <row r="39">
      <c r="A39" s="18" t="n"/>
      <c r="B39" s="18" t="n"/>
      <c r="C39" s="17" t="n"/>
      <c r="D39" s="17" t="n"/>
    </row>
    <row r="40">
      <c r="A40" s="21" t="n"/>
      <c r="B40" s="21" t="n"/>
      <c r="C40" s="20" t="n"/>
      <c r="D40" s="20" t="n"/>
    </row>
    <row r="41">
      <c r="A41" s="18" t="n"/>
      <c r="B41" s="18" t="n"/>
      <c r="C41" s="17" t="n"/>
      <c r="D41" s="17" t="n"/>
    </row>
    <row r="42">
      <c r="A42" s="21" t="n"/>
      <c r="B42" s="21" t="n"/>
      <c r="C42" s="20" t="n"/>
      <c r="D42" s="20" t="n"/>
    </row>
    <row r="43">
      <c r="A43" s="18" t="n"/>
      <c r="B43" s="18" t="n"/>
      <c r="C43" s="17" t="n"/>
      <c r="D43" s="17" t="n"/>
    </row>
    <row r="44">
      <c r="A44" s="21" t="n"/>
      <c r="B44" s="21" t="n"/>
      <c r="C44" s="20" t="n"/>
      <c r="D44" s="20" t="n"/>
    </row>
  </sheetData>
  <mergeCells count="2">
    <mergeCell ref="A1:D1"/>
    <mergeCell ref="A2:D2"/>
  </mergeCells>
  <conditionalFormatting sqref="A5:D44">
    <cfRule type="expression" priority="1" dxfId="0">
      <formula>$D5="Yes"</formula>
    </cfRule>
  </conditionalFormatting>
  <dataValidations count="2">
    <dataValidation sqref="C5:C44" showDropDown="0" showInputMessage="0" showErrorMessage="0" allowBlank="1" type="list">
      <formula1>=PriorityList</formula1>
    </dataValidation>
    <dataValidation sqref="D5:D44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E5D3BA"/>
    <outlinePr summaryBelow="1" summaryRight="1"/>
    <pageSetUpPr/>
  </sheetPr>
  <dimension ref="A1:F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12" customWidth="1" min="5" max="5"/>
    <col width="26" customWidth="1" min="6" max="6"/>
  </cols>
  <sheetData>
    <row r="1" ht="46" customHeight="1">
      <c r="A1" s="1" t="inlineStr">
        <is>
          <t xml:space="preserve">  🌴  HONEYMOON PLANNER</t>
        </is>
      </c>
    </row>
    <row r="2" ht="22" customHeight="1">
      <c r="A2" s="2" t="inlineStr">
        <is>
          <t xml:space="preserve">  Flights, hotels, activities, and the travel checklist.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16" t="inlineStr">
        <is>
          <t>Category</t>
        </is>
      </c>
      <c r="B4" s="16" t="inlineStr">
        <is>
          <t>Item</t>
        </is>
      </c>
      <c r="C4" s="16" t="inlineStr">
        <is>
          <t>Date</t>
        </is>
      </c>
      <c r="D4" s="16" t="inlineStr">
        <is>
          <t>Cost</t>
        </is>
      </c>
      <c r="E4" s="16" t="inlineStr">
        <is>
          <t>Booked</t>
        </is>
      </c>
      <c r="F4" s="16" t="inlineStr">
        <is>
          <t>Confirmation / Notes</t>
        </is>
      </c>
    </row>
    <row r="5">
      <c r="A5" s="18" t="inlineStr">
        <is>
          <t>Destination</t>
        </is>
      </c>
      <c r="B5" s="18" t="inlineStr">
        <is>
          <t>Amalfi Coast, Italy</t>
        </is>
      </c>
      <c r="C5" s="19" t="n"/>
      <c r="D5" s="32" t="n">
        <v>0</v>
      </c>
      <c r="E5" s="17" t="inlineStr">
        <is>
          <t>Yes</t>
        </is>
      </c>
      <c r="F5" s="18" t="inlineStr">
        <is>
          <t>10 nights</t>
        </is>
      </c>
    </row>
    <row r="6">
      <c r="A6" s="21" t="inlineStr">
        <is>
          <t>Flights</t>
        </is>
      </c>
      <c r="B6" s="21" t="inlineStr">
        <is>
          <t>Round-trip — JFK ↔ Naples</t>
        </is>
      </c>
      <c r="C6" s="22" t="n">
        <v>46262</v>
      </c>
      <c r="D6" s="34" t="n">
        <v>2400</v>
      </c>
      <c r="E6" s="20" t="inlineStr">
        <is>
          <t>Yes</t>
        </is>
      </c>
      <c r="F6" s="21" t="inlineStr">
        <is>
          <t>Conf. AB12CD</t>
        </is>
      </c>
    </row>
    <row r="7">
      <c r="A7" s="18" t="inlineStr">
        <is>
          <t>Hotel</t>
        </is>
      </c>
      <c r="B7" s="18" t="inlineStr">
        <is>
          <t>Cliffside resort, Positano</t>
        </is>
      </c>
      <c r="C7" s="19" t="n">
        <v>46262</v>
      </c>
      <c r="D7" s="32" t="n">
        <v>4200</v>
      </c>
      <c r="E7" s="17" t="inlineStr">
        <is>
          <t>Yes</t>
        </is>
      </c>
      <c r="F7" s="18" t="inlineStr">
        <is>
          <t>Conf. POS-9981</t>
        </is>
      </c>
    </row>
    <row r="8">
      <c r="A8" s="21" t="inlineStr">
        <is>
          <t>Transfer</t>
        </is>
      </c>
      <c r="B8" s="21" t="inlineStr">
        <is>
          <t>Airport → hotel private car</t>
        </is>
      </c>
      <c r="C8" s="22" t="n">
        <v>46262</v>
      </c>
      <c r="D8" s="34" t="n">
        <v>180</v>
      </c>
      <c r="E8" s="20" t="inlineStr">
        <is>
          <t>Yes</t>
        </is>
      </c>
      <c r="F8" s="21" t="inlineStr"/>
    </row>
    <row r="9">
      <c r="A9" s="18" t="inlineStr">
        <is>
          <t>Activity</t>
        </is>
      </c>
      <c r="B9" s="18" t="inlineStr">
        <is>
          <t>Capri boat day</t>
        </is>
      </c>
      <c r="C9" s="19" t="n">
        <v>46264</v>
      </c>
      <c r="D9" s="32" t="n">
        <v>350</v>
      </c>
      <c r="E9" s="17" t="inlineStr">
        <is>
          <t>No</t>
        </is>
      </c>
      <c r="F9" s="18" t="inlineStr">
        <is>
          <t>Book 2 weeks ahead</t>
        </is>
      </c>
    </row>
    <row r="10">
      <c r="A10" s="21" t="inlineStr">
        <is>
          <t>Activity</t>
        </is>
      </c>
      <c r="B10" s="21" t="inlineStr">
        <is>
          <t>Cooking class</t>
        </is>
      </c>
      <c r="C10" s="22" t="n">
        <v>46265</v>
      </c>
      <c r="D10" s="34" t="n">
        <v>200</v>
      </c>
      <c r="E10" s="20" t="inlineStr">
        <is>
          <t>No</t>
        </is>
      </c>
      <c r="F10" s="21" t="inlineStr"/>
    </row>
    <row r="11">
      <c r="A11" s="18" t="inlineStr">
        <is>
          <t>Activity</t>
        </is>
      </c>
      <c r="B11" s="18" t="inlineStr">
        <is>
          <t>Pompeii guided tour</t>
        </is>
      </c>
      <c r="C11" s="19" t="n">
        <v>46267</v>
      </c>
      <c r="D11" s="32" t="n">
        <v>160</v>
      </c>
      <c r="E11" s="17" t="inlineStr">
        <is>
          <t>No</t>
        </is>
      </c>
      <c r="F11" s="18" t="inlineStr"/>
    </row>
    <row r="12">
      <c r="A12" s="21" t="inlineStr">
        <is>
          <t>Dining</t>
        </is>
      </c>
      <c r="B12" s="21" t="inlineStr">
        <is>
          <t>Anniversary dinner reservation</t>
        </is>
      </c>
      <c r="C12" s="22" t="n">
        <v>46266</v>
      </c>
      <c r="D12" s="34" t="n">
        <v>250</v>
      </c>
      <c r="E12" s="20" t="inlineStr">
        <is>
          <t>No</t>
        </is>
      </c>
      <c r="F12" s="21" t="inlineStr">
        <is>
          <t>Michelin star</t>
        </is>
      </c>
    </row>
    <row r="13">
      <c r="A13" s="18" t="inlineStr">
        <is>
          <t>Travel Docs</t>
        </is>
      </c>
      <c r="B13" s="18" t="inlineStr">
        <is>
          <t>Passports valid 6+ months</t>
        </is>
      </c>
      <c r="C13" s="19" t="n"/>
      <c r="D13" s="32" t="n">
        <v>0</v>
      </c>
      <c r="E13" s="17" t="inlineStr">
        <is>
          <t>Yes</t>
        </is>
      </c>
      <c r="F13" s="18" t="inlineStr">
        <is>
          <t>Both confirmed</t>
        </is>
      </c>
    </row>
    <row r="14">
      <c r="A14" s="21" t="inlineStr">
        <is>
          <t>Travel Docs</t>
        </is>
      </c>
      <c r="B14" s="21" t="inlineStr">
        <is>
          <t>Travel insurance</t>
        </is>
      </c>
      <c r="C14" s="22" t="n">
        <v>46257</v>
      </c>
      <c r="D14" s="34" t="n">
        <v>220</v>
      </c>
      <c r="E14" s="20" t="inlineStr">
        <is>
          <t>No</t>
        </is>
      </c>
      <c r="F14" s="21" t="inlineStr"/>
    </row>
    <row r="15">
      <c r="A15" s="18" t="n"/>
      <c r="B15" s="18" t="n"/>
      <c r="C15" s="19" t="n"/>
      <c r="D15" s="32" t="n"/>
      <c r="E15" s="17" t="n"/>
      <c r="F15" s="18" t="n"/>
    </row>
    <row r="16">
      <c r="A16" s="21" t="n"/>
      <c r="B16" s="21" t="n"/>
      <c r="C16" s="22" t="n"/>
      <c r="D16" s="34" t="n"/>
      <c r="E16" s="20" t="n"/>
      <c r="F16" s="21" t="n"/>
    </row>
    <row r="17">
      <c r="A17" s="18" t="n"/>
      <c r="B17" s="18" t="n"/>
      <c r="C17" s="19" t="n"/>
      <c r="D17" s="32" t="n"/>
      <c r="E17" s="17" t="n"/>
      <c r="F17" s="18" t="n"/>
    </row>
    <row r="18">
      <c r="A18" s="21" t="n"/>
      <c r="B18" s="21" t="n"/>
      <c r="C18" s="22" t="n"/>
      <c r="D18" s="34" t="n"/>
      <c r="E18" s="20" t="n"/>
      <c r="F18" s="21" t="n"/>
    </row>
    <row r="19">
      <c r="A19" s="18" t="n"/>
      <c r="B19" s="18" t="n"/>
      <c r="C19" s="19" t="n"/>
      <c r="D19" s="32" t="n"/>
      <c r="E19" s="17" t="n"/>
      <c r="F19" s="18" t="n"/>
    </row>
    <row r="20">
      <c r="A20" s="21" t="n"/>
      <c r="B20" s="21" t="n"/>
      <c r="C20" s="22" t="n"/>
      <c r="D20" s="34" t="n"/>
      <c r="E20" s="20" t="n"/>
      <c r="F20" s="21" t="n"/>
    </row>
    <row r="21">
      <c r="A21" s="18" t="n"/>
      <c r="B21" s="18" t="n"/>
      <c r="C21" s="19" t="n"/>
      <c r="D21" s="32" t="n"/>
      <c r="E21" s="17" t="n"/>
      <c r="F21" s="18" t="n"/>
    </row>
    <row r="22">
      <c r="A22" s="21" t="n"/>
      <c r="B22" s="21" t="n"/>
      <c r="C22" s="22" t="n"/>
      <c r="D22" s="34" t="n"/>
      <c r="E22" s="20" t="n"/>
      <c r="F22" s="21" t="n"/>
    </row>
    <row r="23">
      <c r="A23" s="18" t="n"/>
      <c r="B23" s="18" t="n"/>
      <c r="C23" s="19" t="n"/>
      <c r="D23" s="32" t="n"/>
      <c r="E23" s="17" t="n"/>
      <c r="F23" s="18" t="n"/>
    </row>
    <row r="24">
      <c r="A24" s="21" t="n"/>
      <c r="B24" s="21" t="n"/>
      <c r="C24" s="22" t="n"/>
      <c r="D24" s="34" t="n"/>
      <c r="E24" s="20" t="n"/>
      <c r="F24" s="21" t="n"/>
    </row>
    <row r="25">
      <c r="A25" s="18" t="n"/>
      <c r="B25" s="18" t="n"/>
      <c r="C25" s="19" t="n"/>
      <c r="D25" s="32" t="n"/>
      <c r="E25" s="17" t="n"/>
      <c r="F25" s="18" t="n"/>
    </row>
    <row r="26">
      <c r="A26" s="21" t="n"/>
      <c r="B26" s="21" t="n"/>
      <c r="C26" s="22" t="n"/>
      <c r="D26" s="34" t="n"/>
      <c r="E26" s="20" t="n"/>
      <c r="F26" s="21" t="n"/>
    </row>
    <row r="27">
      <c r="A27" s="18" t="n"/>
      <c r="B27" s="18" t="n"/>
      <c r="C27" s="19" t="n"/>
      <c r="D27" s="32" t="n"/>
      <c r="E27" s="17" t="n"/>
      <c r="F27" s="18" t="n"/>
    </row>
    <row r="28">
      <c r="A28" s="21" t="n"/>
      <c r="B28" s="21" t="n"/>
      <c r="C28" s="22" t="n"/>
      <c r="D28" s="34" t="n"/>
      <c r="E28" s="20" t="n"/>
      <c r="F28" s="21" t="n"/>
    </row>
    <row r="29">
      <c r="A29" s="18" t="n"/>
      <c r="B29" s="18" t="n"/>
      <c r="C29" s="19" t="n"/>
      <c r="D29" s="32" t="n"/>
      <c r="E29" s="17" t="n"/>
      <c r="F29" s="18" t="n"/>
    </row>
  </sheetData>
  <mergeCells count="2">
    <mergeCell ref="A2:F2"/>
    <mergeCell ref="A1:F1"/>
  </mergeCells>
  <dataValidations count="1">
    <dataValidation sqref="E5:E29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1B4F48"/>
    <outlinePr summaryBelow="1" summaryRight="1"/>
    <pageSetUpPr/>
  </sheetPr>
  <dimension ref="A1:F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4" customWidth="1" min="3" max="3"/>
    <col width="14" customWidth="1" min="4" max="4"/>
    <col width="12" customWidth="1" min="5" max="5"/>
    <col width="26" customWidth="1" min="6" max="6"/>
  </cols>
  <sheetData>
    <row r="1" ht="46" customHeight="1">
      <c r="A1" s="1" t="inlineStr">
        <is>
          <t xml:space="preserve">  🎁  REGISTRY TRACKER</t>
        </is>
      </c>
    </row>
    <row r="2" ht="22" customHeight="1">
      <c r="A2" s="2" t="inlineStr">
        <is>
          <t xml:space="preserve">  Registry items, store, price, priority, and purchase status.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16" t="inlineStr">
        <is>
          <t>Item</t>
        </is>
      </c>
      <c r="B4" s="16" t="inlineStr">
        <is>
          <t>Store</t>
        </is>
      </c>
      <c r="C4" s="16" t="inlineStr">
        <is>
          <t>Price</t>
        </is>
      </c>
      <c r="D4" s="16" t="inlineStr">
        <is>
          <t>Priority</t>
        </is>
      </c>
      <c r="E4" s="16" t="inlineStr">
        <is>
          <t>Purchased</t>
        </is>
      </c>
      <c r="F4" s="16" t="inlineStr">
        <is>
          <t>Link / Notes</t>
        </is>
      </c>
    </row>
    <row r="5">
      <c r="A5" s="18" t="inlineStr">
        <is>
          <t>Stand mixer</t>
        </is>
      </c>
      <c r="B5" s="18" t="inlineStr">
        <is>
          <t>Williams Sonoma</t>
        </is>
      </c>
      <c r="C5" s="32" t="n">
        <v>450</v>
      </c>
      <c r="D5" s="17" t="inlineStr">
        <is>
          <t>High</t>
        </is>
      </c>
      <c r="E5" s="17" t="inlineStr">
        <is>
          <t>Yes</t>
        </is>
      </c>
      <c r="F5" s="18" t="inlineStr">
        <is>
          <t>Emerald color</t>
        </is>
      </c>
    </row>
    <row r="6">
      <c r="A6" s="21" t="inlineStr">
        <is>
          <t>Cookware set</t>
        </is>
      </c>
      <c r="B6" s="21" t="inlineStr">
        <is>
          <t>Williams Sonoma</t>
        </is>
      </c>
      <c r="C6" s="34" t="n">
        <v>600</v>
      </c>
      <c r="D6" s="20" t="inlineStr">
        <is>
          <t>High</t>
        </is>
      </c>
      <c r="E6" s="20" t="inlineStr">
        <is>
          <t>No</t>
        </is>
      </c>
      <c r="F6" s="21" t="inlineStr">
        <is>
          <t>12-piece</t>
        </is>
      </c>
    </row>
    <row r="7">
      <c r="A7" s="18" t="inlineStr">
        <is>
          <t>Dinnerware (set of 8)</t>
        </is>
      </c>
      <c r="B7" s="18" t="inlineStr">
        <is>
          <t>Crate &amp; Barrel</t>
        </is>
      </c>
      <c r="C7" s="32" t="n">
        <v>320</v>
      </c>
      <c r="D7" s="17" t="inlineStr">
        <is>
          <t>High</t>
        </is>
      </c>
      <c r="E7" s="17" t="inlineStr">
        <is>
          <t>No</t>
        </is>
      </c>
      <c r="F7" s="18" t="inlineStr"/>
    </row>
    <row r="8">
      <c r="A8" s="21" t="inlineStr">
        <is>
          <t>Flatware set</t>
        </is>
      </c>
      <c r="B8" s="21" t="inlineStr">
        <is>
          <t>Crate &amp; Barrel</t>
        </is>
      </c>
      <c r="C8" s="34" t="n">
        <v>180</v>
      </c>
      <c r="D8" s="20" t="inlineStr">
        <is>
          <t>Medium</t>
        </is>
      </c>
      <c r="E8" s="20" t="inlineStr">
        <is>
          <t>Yes</t>
        </is>
      </c>
      <c r="F8" s="21" t="inlineStr"/>
    </row>
    <row r="9">
      <c r="A9" s="18" t="inlineStr">
        <is>
          <t>Bedding set (king)</t>
        </is>
      </c>
      <c r="B9" s="18" t="inlineStr">
        <is>
          <t>Pottery Barn</t>
        </is>
      </c>
      <c r="C9" s="32" t="n">
        <v>280</v>
      </c>
      <c r="D9" s="17" t="inlineStr">
        <is>
          <t>Medium</t>
        </is>
      </c>
      <c r="E9" s="17" t="inlineStr">
        <is>
          <t>No</t>
        </is>
      </c>
      <c r="F9" s="18" t="inlineStr"/>
    </row>
    <row r="10">
      <c r="A10" s="21" t="inlineStr">
        <is>
          <t>Bath towel bundle</t>
        </is>
      </c>
      <c r="B10" s="21" t="inlineStr">
        <is>
          <t>Pottery Barn</t>
        </is>
      </c>
      <c r="C10" s="34" t="n">
        <v>140</v>
      </c>
      <c r="D10" s="20" t="inlineStr">
        <is>
          <t>Medium</t>
        </is>
      </c>
      <c r="E10" s="20" t="inlineStr">
        <is>
          <t>Yes</t>
        </is>
      </c>
      <c r="F10" s="21" t="inlineStr"/>
    </row>
    <row r="11">
      <c r="A11" s="18" t="inlineStr">
        <is>
          <t>Espresso machine</t>
        </is>
      </c>
      <c r="B11" s="18" t="inlineStr">
        <is>
          <t>Breville</t>
        </is>
      </c>
      <c r="C11" s="32" t="n">
        <v>700</v>
      </c>
      <c r="D11" s="17" t="inlineStr">
        <is>
          <t>High</t>
        </is>
      </c>
      <c r="E11" s="17" t="inlineStr">
        <is>
          <t>No</t>
        </is>
      </c>
      <c r="F11" s="18" t="inlineStr">
        <is>
          <t>Most wanted</t>
        </is>
      </c>
    </row>
    <row r="12">
      <c r="A12" s="21" t="inlineStr">
        <is>
          <t>Luggage set</t>
        </is>
      </c>
      <c r="B12" s="21" t="inlineStr">
        <is>
          <t>Away</t>
        </is>
      </c>
      <c r="C12" s="34" t="n">
        <v>595</v>
      </c>
      <c r="D12" s="20" t="inlineStr">
        <is>
          <t>Low</t>
        </is>
      </c>
      <c r="E12" s="20" t="inlineStr">
        <is>
          <t>No</t>
        </is>
      </c>
      <c r="F12" s="21" t="inlineStr">
        <is>
          <t>For honeymoon</t>
        </is>
      </c>
    </row>
    <row r="13">
      <c r="A13" s="18" t="inlineStr">
        <is>
          <t>Smart speaker</t>
        </is>
      </c>
      <c r="B13" s="18" t="inlineStr">
        <is>
          <t>Amazon</t>
        </is>
      </c>
      <c r="C13" s="32" t="n">
        <v>120</v>
      </c>
      <c r="D13" s="17" t="inlineStr">
        <is>
          <t>Low</t>
        </is>
      </c>
      <c r="E13" s="17" t="inlineStr">
        <is>
          <t>Yes</t>
        </is>
      </c>
      <c r="F13" s="18" t="inlineStr"/>
    </row>
    <row r="14">
      <c r="A14" s="21" t="inlineStr">
        <is>
          <t>Wine fridge</t>
        </is>
      </c>
      <c r="B14" s="21" t="inlineStr">
        <is>
          <t>Wayfair</t>
        </is>
      </c>
      <c r="C14" s="34" t="n">
        <v>350</v>
      </c>
      <c r="D14" s="20" t="inlineStr">
        <is>
          <t>Low</t>
        </is>
      </c>
      <c r="E14" s="20" t="inlineStr">
        <is>
          <t>No</t>
        </is>
      </c>
      <c r="F14" s="21" t="inlineStr"/>
    </row>
    <row r="15">
      <c r="A15" s="18" t="n"/>
      <c r="B15" s="18" t="n"/>
      <c r="C15" s="32" t="n"/>
      <c r="D15" s="17" t="n"/>
      <c r="E15" s="17" t="n"/>
      <c r="F15" s="18" t="n"/>
    </row>
    <row r="16">
      <c r="A16" s="21" t="n"/>
      <c r="B16" s="21" t="n"/>
      <c r="C16" s="34" t="n"/>
      <c r="D16" s="20" t="n"/>
      <c r="E16" s="20" t="n"/>
      <c r="F16" s="21" t="n"/>
    </row>
    <row r="17">
      <c r="A17" s="18" t="n"/>
      <c r="B17" s="18" t="n"/>
      <c r="C17" s="32" t="n"/>
      <c r="D17" s="17" t="n"/>
      <c r="E17" s="17" t="n"/>
      <c r="F17" s="18" t="n"/>
    </row>
    <row r="18">
      <c r="A18" s="21" t="n"/>
      <c r="B18" s="21" t="n"/>
      <c r="C18" s="34" t="n"/>
      <c r="D18" s="20" t="n"/>
      <c r="E18" s="20" t="n"/>
      <c r="F18" s="21" t="n"/>
    </row>
    <row r="19">
      <c r="A19" s="18" t="n"/>
      <c r="B19" s="18" t="n"/>
      <c r="C19" s="32" t="n"/>
      <c r="D19" s="17" t="n"/>
      <c r="E19" s="17" t="n"/>
      <c r="F19" s="18" t="n"/>
    </row>
    <row r="20">
      <c r="A20" s="21" t="n"/>
      <c r="B20" s="21" t="n"/>
      <c r="C20" s="34" t="n"/>
      <c r="D20" s="20" t="n"/>
      <c r="E20" s="20" t="n"/>
      <c r="F20" s="21" t="n"/>
    </row>
    <row r="21">
      <c r="A21" s="18" t="n"/>
      <c r="B21" s="18" t="n"/>
      <c r="C21" s="32" t="n"/>
      <c r="D21" s="17" t="n"/>
      <c r="E21" s="17" t="n"/>
      <c r="F21" s="18" t="n"/>
    </row>
    <row r="22">
      <c r="A22" s="21" t="n"/>
      <c r="B22" s="21" t="n"/>
      <c r="C22" s="34" t="n"/>
      <c r="D22" s="20" t="n"/>
      <c r="E22" s="20" t="n"/>
      <c r="F22" s="21" t="n"/>
    </row>
    <row r="23">
      <c r="A23" s="18" t="n"/>
      <c r="B23" s="18" t="n"/>
      <c r="C23" s="32" t="n"/>
      <c r="D23" s="17" t="n"/>
      <c r="E23" s="17" t="n"/>
      <c r="F23" s="18" t="n"/>
    </row>
    <row r="24">
      <c r="A24" s="21" t="n"/>
      <c r="B24" s="21" t="n"/>
      <c r="C24" s="34" t="n"/>
      <c r="D24" s="20" t="n"/>
      <c r="E24" s="20" t="n"/>
      <c r="F24" s="21" t="n"/>
    </row>
    <row r="25">
      <c r="A25" s="18" t="n"/>
      <c r="B25" s="18" t="n"/>
      <c r="C25" s="32" t="n"/>
      <c r="D25" s="17" t="n"/>
      <c r="E25" s="17" t="n"/>
      <c r="F25" s="18" t="n"/>
    </row>
    <row r="26">
      <c r="A26" s="21" t="n"/>
      <c r="B26" s="21" t="n"/>
      <c r="C26" s="34" t="n"/>
      <c r="D26" s="20" t="n"/>
      <c r="E26" s="20" t="n"/>
      <c r="F26" s="21" t="n"/>
    </row>
    <row r="27">
      <c r="A27" s="18" t="n"/>
      <c r="B27" s="18" t="n"/>
      <c r="C27" s="32" t="n"/>
      <c r="D27" s="17" t="n"/>
      <c r="E27" s="17" t="n"/>
      <c r="F27" s="18" t="n"/>
    </row>
    <row r="28">
      <c r="A28" s="21" t="n"/>
      <c r="B28" s="21" t="n"/>
      <c r="C28" s="34" t="n"/>
      <c r="D28" s="20" t="n"/>
      <c r="E28" s="20" t="n"/>
      <c r="F28" s="21" t="n"/>
    </row>
    <row r="29">
      <c r="A29" s="18" t="n"/>
      <c r="B29" s="18" t="n"/>
      <c r="C29" s="32" t="n"/>
      <c r="D29" s="17" t="n"/>
      <c r="E29" s="17" t="n"/>
      <c r="F29" s="18" t="n"/>
    </row>
    <row r="30">
      <c r="A30" s="21" t="n"/>
      <c r="B30" s="21" t="n"/>
      <c r="C30" s="34" t="n"/>
      <c r="D30" s="20" t="n"/>
      <c r="E30" s="20" t="n"/>
      <c r="F30" s="21" t="n"/>
    </row>
    <row r="31">
      <c r="A31" s="18" t="n"/>
      <c r="B31" s="18" t="n"/>
      <c r="C31" s="32" t="n"/>
      <c r="D31" s="17" t="n"/>
      <c r="E31" s="17" t="n"/>
      <c r="F31" s="18" t="n"/>
    </row>
    <row r="32">
      <c r="A32" s="21" t="n"/>
      <c r="B32" s="21" t="n"/>
      <c r="C32" s="34" t="n"/>
      <c r="D32" s="20" t="n"/>
      <c r="E32" s="20" t="n"/>
      <c r="F32" s="21" t="n"/>
    </row>
    <row r="33">
      <c r="A33" s="18" t="n"/>
      <c r="B33" s="18" t="n"/>
      <c r="C33" s="32" t="n"/>
      <c r="D33" s="17" t="n"/>
      <c r="E33" s="17" t="n"/>
      <c r="F33" s="18" t="n"/>
    </row>
    <row r="34">
      <c r="A34" s="21" t="n"/>
      <c r="B34" s="21" t="n"/>
      <c r="C34" s="34" t="n"/>
      <c r="D34" s="20" t="n"/>
      <c r="E34" s="20" t="n"/>
      <c r="F34" s="21" t="n"/>
    </row>
    <row r="35">
      <c r="A35" s="18" t="n"/>
      <c r="B35" s="18" t="n"/>
      <c r="C35" s="32" t="n"/>
      <c r="D35" s="17" t="n"/>
      <c r="E35" s="17" t="n"/>
      <c r="F35" s="18" t="n"/>
    </row>
    <row r="36">
      <c r="A36" s="21" t="n"/>
      <c r="B36" s="21" t="n"/>
      <c r="C36" s="34" t="n"/>
      <c r="D36" s="20" t="n"/>
      <c r="E36" s="20" t="n"/>
      <c r="F36" s="21" t="n"/>
    </row>
    <row r="37">
      <c r="A37" s="18" t="n"/>
      <c r="B37" s="18" t="n"/>
      <c r="C37" s="32" t="n"/>
      <c r="D37" s="17" t="n"/>
      <c r="E37" s="17" t="n"/>
      <c r="F37" s="18" t="n"/>
    </row>
    <row r="38">
      <c r="A38" s="21" t="n"/>
      <c r="B38" s="21" t="n"/>
      <c r="C38" s="34" t="n"/>
      <c r="D38" s="20" t="n"/>
      <c r="E38" s="20" t="n"/>
      <c r="F38" s="21" t="n"/>
    </row>
    <row r="39">
      <c r="A39" s="18" t="n"/>
      <c r="B39" s="18" t="n"/>
      <c r="C39" s="32" t="n"/>
      <c r="D39" s="17" t="n"/>
      <c r="E39" s="17" t="n"/>
      <c r="F39" s="18" t="n"/>
    </row>
    <row r="40">
      <c r="A40" s="21" t="n"/>
      <c r="B40" s="21" t="n"/>
      <c r="C40" s="34" t="n"/>
      <c r="D40" s="20" t="n"/>
      <c r="E40" s="20" t="n"/>
      <c r="F40" s="21" t="n"/>
    </row>
    <row r="41">
      <c r="A41" s="18" t="n"/>
      <c r="B41" s="18" t="n"/>
      <c r="C41" s="32" t="n"/>
      <c r="D41" s="17" t="n"/>
      <c r="E41" s="17" t="n"/>
      <c r="F41" s="18" t="n"/>
    </row>
    <row r="42">
      <c r="A42" s="21" t="n"/>
      <c r="B42" s="21" t="n"/>
      <c r="C42" s="34" t="n"/>
      <c r="D42" s="20" t="n"/>
      <c r="E42" s="20" t="n"/>
      <c r="F42" s="21" t="n"/>
    </row>
    <row r="43">
      <c r="A43" s="18" t="n"/>
      <c r="B43" s="18" t="n"/>
      <c r="C43" s="32" t="n"/>
      <c r="D43" s="17" t="n"/>
      <c r="E43" s="17" t="n"/>
      <c r="F43" s="18" t="n"/>
    </row>
    <row r="44">
      <c r="A44" s="21" t="n"/>
      <c r="B44" s="21" t="n"/>
      <c r="C44" s="34" t="n"/>
      <c r="D44" s="20" t="n"/>
      <c r="E44" s="20" t="n"/>
      <c r="F44" s="21" t="n"/>
    </row>
  </sheetData>
  <mergeCells count="2">
    <mergeCell ref="A2:F2"/>
    <mergeCell ref="A1:F1"/>
  </mergeCells>
  <conditionalFormatting sqref="A5:F44">
    <cfRule type="expression" priority="1" dxfId="0">
      <formula>$E5="Yes"</formula>
    </cfRule>
  </conditionalFormatting>
  <dataValidations count="2">
    <dataValidation sqref="D5:D44" showDropDown="0" showInputMessage="0" showErrorMessage="0" allowBlank="1" type="list">
      <formula1>=PriorityList</formula1>
    </dataValidation>
    <dataValidation sqref="E5:E44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937356"/>
    <outlinePr summaryBelow="1" summaryRight="1"/>
    <pageSetUpPr/>
  </sheetPr>
  <dimension ref="A1:F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6" customWidth="1" min="4" max="4"/>
    <col width="16" customWidth="1" min="5" max="5"/>
    <col width="22" customWidth="1" min="6" max="6"/>
  </cols>
  <sheetData>
    <row r="1" ht="46" customHeight="1">
      <c r="A1" s="1" t="inlineStr">
        <is>
          <t xml:space="preserve">  💝  GIFT TRACKER</t>
        </is>
      </c>
    </row>
    <row r="2" ht="22" customHeight="1">
      <c r="A2" s="2" t="inlineStr">
        <is>
          <t xml:space="preserve">  Gifts received, value, and thank-you status.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16" t="inlineStr">
        <is>
          <t>Gift</t>
        </is>
      </c>
      <c r="B4" s="16" t="inlineStr">
        <is>
          <t>From</t>
        </is>
      </c>
      <c r="C4" s="16" t="inlineStr">
        <is>
          <t>Value</t>
        </is>
      </c>
      <c r="D4" s="16" t="inlineStr">
        <is>
          <t>Received Date</t>
        </is>
      </c>
      <c r="E4" s="16" t="inlineStr">
        <is>
          <t>Thank-You Sent</t>
        </is>
      </c>
      <c r="F4" s="16" t="inlineStr">
        <is>
          <t>Notes</t>
        </is>
      </c>
    </row>
    <row r="5">
      <c r="A5" s="18" t="inlineStr">
        <is>
          <t>Stand mixer</t>
        </is>
      </c>
      <c r="B5" s="18" t="inlineStr">
        <is>
          <t>Linda &amp; Robert Bennett</t>
        </is>
      </c>
      <c r="C5" s="32" t="n">
        <v>450</v>
      </c>
      <c r="D5" s="19" t="n">
        <v>46197</v>
      </c>
      <c r="E5" s="17" t="inlineStr">
        <is>
          <t>No</t>
        </is>
      </c>
      <c r="F5" s="18" t="inlineStr">
        <is>
          <t>From registry</t>
        </is>
      </c>
    </row>
    <row r="6">
      <c r="A6" s="21" t="inlineStr">
        <is>
          <t>Cash gift</t>
        </is>
      </c>
      <c r="B6" s="21" t="inlineStr">
        <is>
          <t>Carter Family</t>
        </is>
      </c>
      <c r="C6" s="34" t="n">
        <v>500</v>
      </c>
      <c r="D6" s="22" t="n">
        <v>46199</v>
      </c>
      <c r="E6" s="20" t="inlineStr">
        <is>
          <t>No</t>
        </is>
      </c>
      <c r="F6" s="21" t="inlineStr"/>
    </row>
    <row r="7">
      <c r="A7" s="18" t="inlineStr">
        <is>
          <t>Crystal vase</t>
        </is>
      </c>
      <c r="B7" s="18" t="inlineStr">
        <is>
          <t>The Hartleys</t>
        </is>
      </c>
      <c r="C7" s="32" t="n">
        <v>120</v>
      </c>
      <c r="D7" s="19" t="n">
        <v>46200</v>
      </c>
      <c r="E7" s="17" t="inlineStr">
        <is>
          <t>No</t>
        </is>
      </c>
      <c r="F7" s="18" t="inlineStr"/>
    </row>
    <row r="8">
      <c r="A8" s="21" t="inlineStr">
        <is>
          <t>Espresso machine</t>
        </is>
      </c>
      <c r="B8" s="21" t="inlineStr">
        <is>
          <t>Sophia &amp; Marc Lane</t>
        </is>
      </c>
      <c r="C8" s="34" t="n">
        <v>700</v>
      </c>
      <c r="D8" s="22" t="n">
        <v>46201</v>
      </c>
      <c r="E8" s="20" t="inlineStr">
        <is>
          <t>No</t>
        </is>
      </c>
      <c r="F8" s="21" t="inlineStr"/>
    </row>
    <row r="9">
      <c r="A9" s="18" t="inlineStr">
        <is>
          <t>Gift card — Crate &amp; Barrel</t>
        </is>
      </c>
      <c r="B9" s="18" t="inlineStr">
        <is>
          <t>Olivia Reed</t>
        </is>
      </c>
      <c r="C9" s="32" t="n">
        <v>100</v>
      </c>
      <c r="D9" s="19" t="n">
        <v>46201</v>
      </c>
      <c r="E9" s="17" t="inlineStr">
        <is>
          <t>No</t>
        </is>
      </c>
      <c r="F9" s="18" t="inlineStr"/>
    </row>
    <row r="10">
      <c r="A10" s="21" t="inlineStr">
        <is>
          <t>Hand towels set</t>
        </is>
      </c>
      <c r="B10" s="21" t="inlineStr">
        <is>
          <t>Grandma Rose</t>
        </is>
      </c>
      <c r="C10" s="34" t="n">
        <v>60</v>
      </c>
      <c r="D10" s="22" t="n">
        <v>46196</v>
      </c>
      <c r="E10" s="20" t="inlineStr">
        <is>
          <t>Yes</t>
        </is>
      </c>
      <c r="F10" s="21" t="inlineStr">
        <is>
          <t>Handmade</t>
        </is>
      </c>
    </row>
    <row r="11">
      <c r="A11" s="18" t="n"/>
      <c r="B11" s="18" t="n"/>
      <c r="C11" s="32" t="n"/>
      <c r="D11" s="19" t="n"/>
      <c r="E11" s="17" t="n"/>
      <c r="F11" s="18" t="n"/>
    </row>
    <row r="12">
      <c r="A12" s="21" t="n"/>
      <c r="B12" s="21" t="n"/>
      <c r="C12" s="34" t="n"/>
      <c r="D12" s="22" t="n"/>
      <c r="E12" s="20" t="n"/>
      <c r="F12" s="21" t="n"/>
    </row>
    <row r="13">
      <c r="A13" s="18" t="n"/>
      <c r="B13" s="18" t="n"/>
      <c r="C13" s="32" t="n"/>
      <c r="D13" s="19" t="n"/>
      <c r="E13" s="17" t="n"/>
      <c r="F13" s="18" t="n"/>
    </row>
    <row r="14">
      <c r="A14" s="21" t="n"/>
      <c r="B14" s="21" t="n"/>
      <c r="C14" s="34" t="n"/>
      <c r="D14" s="22" t="n"/>
      <c r="E14" s="20" t="n"/>
      <c r="F14" s="21" t="n"/>
    </row>
    <row r="15">
      <c r="A15" s="18" t="n"/>
      <c r="B15" s="18" t="n"/>
      <c r="C15" s="32" t="n"/>
      <c r="D15" s="19" t="n"/>
      <c r="E15" s="17" t="n"/>
      <c r="F15" s="18" t="n"/>
    </row>
    <row r="16">
      <c r="A16" s="21" t="n"/>
      <c r="B16" s="21" t="n"/>
      <c r="C16" s="34" t="n"/>
      <c r="D16" s="22" t="n"/>
      <c r="E16" s="20" t="n"/>
      <c r="F16" s="21" t="n"/>
    </row>
    <row r="17">
      <c r="A17" s="18" t="n"/>
      <c r="B17" s="18" t="n"/>
      <c r="C17" s="32" t="n"/>
      <c r="D17" s="19" t="n"/>
      <c r="E17" s="17" t="n"/>
      <c r="F17" s="18" t="n"/>
    </row>
    <row r="18">
      <c r="A18" s="21" t="n"/>
      <c r="B18" s="21" t="n"/>
      <c r="C18" s="34" t="n"/>
      <c r="D18" s="22" t="n"/>
      <c r="E18" s="20" t="n"/>
      <c r="F18" s="21" t="n"/>
    </row>
    <row r="19">
      <c r="A19" s="18" t="n"/>
      <c r="B19" s="18" t="n"/>
      <c r="C19" s="32" t="n"/>
      <c r="D19" s="19" t="n"/>
      <c r="E19" s="17" t="n"/>
      <c r="F19" s="18" t="n"/>
    </row>
    <row r="20">
      <c r="A20" s="21" t="n"/>
      <c r="B20" s="21" t="n"/>
      <c r="C20" s="34" t="n"/>
      <c r="D20" s="22" t="n"/>
      <c r="E20" s="20" t="n"/>
      <c r="F20" s="21" t="n"/>
    </row>
    <row r="21">
      <c r="A21" s="18" t="n"/>
      <c r="B21" s="18" t="n"/>
      <c r="C21" s="32" t="n"/>
      <c r="D21" s="19" t="n"/>
      <c r="E21" s="17" t="n"/>
      <c r="F21" s="18" t="n"/>
    </row>
    <row r="22">
      <c r="A22" s="21" t="n"/>
      <c r="B22" s="21" t="n"/>
      <c r="C22" s="34" t="n"/>
      <c r="D22" s="22" t="n"/>
      <c r="E22" s="20" t="n"/>
      <c r="F22" s="21" t="n"/>
    </row>
    <row r="23">
      <c r="A23" s="18" t="n"/>
      <c r="B23" s="18" t="n"/>
      <c r="C23" s="32" t="n"/>
      <c r="D23" s="19" t="n"/>
      <c r="E23" s="17" t="n"/>
      <c r="F23" s="18" t="n"/>
    </row>
    <row r="24">
      <c r="A24" s="21" t="n"/>
      <c r="B24" s="21" t="n"/>
      <c r="C24" s="34" t="n"/>
      <c r="D24" s="22" t="n"/>
      <c r="E24" s="20" t="n"/>
      <c r="F24" s="21" t="n"/>
    </row>
    <row r="25">
      <c r="A25" s="18" t="n"/>
      <c r="B25" s="18" t="n"/>
      <c r="C25" s="32" t="n"/>
      <c r="D25" s="19" t="n"/>
      <c r="E25" s="17" t="n"/>
      <c r="F25" s="18" t="n"/>
    </row>
    <row r="26">
      <c r="A26" s="21" t="n"/>
      <c r="B26" s="21" t="n"/>
      <c r="C26" s="34" t="n"/>
      <c r="D26" s="22" t="n"/>
      <c r="E26" s="20" t="n"/>
      <c r="F26" s="21" t="n"/>
    </row>
    <row r="27">
      <c r="A27" s="18" t="n"/>
      <c r="B27" s="18" t="n"/>
      <c r="C27" s="32" t="n"/>
      <c r="D27" s="19" t="n"/>
      <c r="E27" s="17" t="n"/>
      <c r="F27" s="18" t="n"/>
    </row>
    <row r="28">
      <c r="A28" s="21" t="n"/>
      <c r="B28" s="21" t="n"/>
      <c r="C28" s="34" t="n"/>
      <c r="D28" s="22" t="n"/>
      <c r="E28" s="20" t="n"/>
      <c r="F28" s="21" t="n"/>
    </row>
    <row r="29">
      <c r="A29" s="18" t="n"/>
      <c r="B29" s="18" t="n"/>
      <c r="C29" s="32" t="n"/>
      <c r="D29" s="19" t="n"/>
      <c r="E29" s="17" t="n"/>
      <c r="F29" s="18" t="n"/>
    </row>
    <row r="30">
      <c r="A30" s="21" t="n"/>
      <c r="B30" s="21" t="n"/>
      <c r="C30" s="34" t="n"/>
      <c r="D30" s="22" t="n"/>
      <c r="E30" s="20" t="n"/>
      <c r="F30" s="21" t="n"/>
    </row>
    <row r="31">
      <c r="A31" s="18" t="n"/>
      <c r="B31" s="18" t="n"/>
      <c r="C31" s="32" t="n"/>
      <c r="D31" s="19" t="n"/>
      <c r="E31" s="17" t="n"/>
      <c r="F31" s="18" t="n"/>
    </row>
    <row r="32">
      <c r="A32" s="21" t="n"/>
      <c r="B32" s="21" t="n"/>
      <c r="C32" s="34" t="n"/>
      <c r="D32" s="22" t="n"/>
      <c r="E32" s="20" t="n"/>
      <c r="F32" s="21" t="n"/>
    </row>
    <row r="33">
      <c r="A33" s="18" t="n"/>
      <c r="B33" s="18" t="n"/>
      <c r="C33" s="32" t="n"/>
      <c r="D33" s="19" t="n"/>
      <c r="E33" s="17" t="n"/>
      <c r="F33" s="18" t="n"/>
    </row>
    <row r="34">
      <c r="A34" s="21" t="n"/>
      <c r="B34" s="21" t="n"/>
      <c r="C34" s="34" t="n"/>
      <c r="D34" s="22" t="n"/>
      <c r="E34" s="20" t="n"/>
      <c r="F34" s="21" t="n"/>
    </row>
    <row r="35">
      <c r="A35" s="18" t="n"/>
      <c r="B35" s="18" t="n"/>
      <c r="C35" s="32" t="n"/>
      <c r="D35" s="19" t="n"/>
      <c r="E35" s="17" t="n"/>
      <c r="F35" s="18" t="n"/>
    </row>
    <row r="36">
      <c r="A36" s="21" t="n"/>
      <c r="B36" s="21" t="n"/>
      <c r="C36" s="34" t="n"/>
      <c r="D36" s="22" t="n"/>
      <c r="E36" s="20" t="n"/>
      <c r="F36" s="21" t="n"/>
    </row>
    <row r="37">
      <c r="A37" s="18" t="n"/>
      <c r="B37" s="18" t="n"/>
      <c r="C37" s="32" t="n"/>
      <c r="D37" s="19" t="n"/>
      <c r="E37" s="17" t="n"/>
      <c r="F37" s="18" t="n"/>
    </row>
    <row r="38">
      <c r="A38" s="21" t="n"/>
      <c r="B38" s="21" t="n"/>
      <c r="C38" s="34" t="n"/>
      <c r="D38" s="22" t="n"/>
      <c r="E38" s="20" t="n"/>
      <c r="F38" s="21" t="n"/>
    </row>
    <row r="39">
      <c r="A39" s="18" t="n"/>
      <c r="B39" s="18" t="n"/>
      <c r="C39" s="32" t="n"/>
      <c r="D39" s="19" t="n"/>
      <c r="E39" s="17" t="n"/>
      <c r="F39" s="18" t="n"/>
    </row>
    <row r="40">
      <c r="A40" s="21" t="n"/>
      <c r="B40" s="21" t="n"/>
      <c r="C40" s="34" t="n"/>
      <c r="D40" s="22" t="n"/>
      <c r="E40" s="20" t="n"/>
      <c r="F40" s="21" t="n"/>
    </row>
    <row r="41">
      <c r="A41" s="18" t="n"/>
      <c r="B41" s="18" t="n"/>
      <c r="C41" s="32" t="n"/>
      <c r="D41" s="19" t="n"/>
      <c r="E41" s="17" t="n"/>
      <c r="F41" s="18" t="n"/>
    </row>
    <row r="42">
      <c r="A42" s="21" t="n"/>
      <c r="B42" s="21" t="n"/>
      <c r="C42" s="34" t="n"/>
      <c r="D42" s="22" t="n"/>
      <c r="E42" s="20" t="n"/>
      <c r="F42" s="21" t="n"/>
    </row>
    <row r="43">
      <c r="A43" s="18" t="n"/>
      <c r="B43" s="18" t="n"/>
      <c r="C43" s="32" t="n"/>
      <c r="D43" s="19" t="n"/>
      <c r="E43" s="17" t="n"/>
      <c r="F43" s="18" t="n"/>
    </row>
    <row r="44">
      <c r="A44" s="21" t="n"/>
      <c r="B44" s="21" t="n"/>
      <c r="C44" s="34" t="n"/>
      <c r="D44" s="22" t="n"/>
      <c r="E44" s="20" t="n"/>
      <c r="F44" s="21" t="n"/>
    </row>
    <row r="45">
      <c r="A45" s="18" t="n"/>
      <c r="B45" s="18" t="n"/>
      <c r="C45" s="32" t="n"/>
      <c r="D45" s="19" t="n"/>
      <c r="E45" s="17" t="n"/>
      <c r="F45" s="18" t="n"/>
    </row>
    <row r="46">
      <c r="A46" s="21" t="n"/>
      <c r="B46" s="21" t="n"/>
      <c r="C46" s="34" t="n"/>
      <c r="D46" s="22" t="n"/>
      <c r="E46" s="20" t="n"/>
      <c r="F46" s="21" t="n"/>
    </row>
    <row r="47">
      <c r="A47" s="18" t="n"/>
      <c r="B47" s="18" t="n"/>
      <c r="C47" s="32" t="n"/>
      <c r="D47" s="19" t="n"/>
      <c r="E47" s="17" t="n"/>
      <c r="F47" s="18" t="n"/>
    </row>
    <row r="48">
      <c r="A48" s="21" t="n"/>
      <c r="B48" s="21" t="n"/>
      <c r="C48" s="34" t="n"/>
      <c r="D48" s="22" t="n"/>
      <c r="E48" s="20" t="n"/>
      <c r="F48" s="21" t="n"/>
    </row>
    <row r="49">
      <c r="A49" s="18" t="n"/>
      <c r="B49" s="18" t="n"/>
      <c r="C49" s="32" t="n"/>
      <c r="D49" s="19" t="n"/>
      <c r="E49" s="17" t="n"/>
      <c r="F49" s="18" t="n"/>
    </row>
    <row r="50">
      <c r="A50" s="21" t="n"/>
      <c r="B50" s="21" t="n"/>
      <c r="C50" s="34" t="n"/>
      <c r="D50" s="22" t="n"/>
      <c r="E50" s="20" t="n"/>
      <c r="F50" s="21" t="n"/>
    </row>
    <row r="51">
      <c r="A51" s="18" t="n"/>
      <c r="B51" s="18" t="n"/>
      <c r="C51" s="32" t="n"/>
      <c r="D51" s="19" t="n"/>
      <c r="E51" s="17" t="n"/>
      <c r="F51" s="18" t="n"/>
    </row>
    <row r="52">
      <c r="A52" s="21" t="n"/>
      <c r="B52" s="21" t="n"/>
      <c r="C52" s="34" t="n"/>
      <c r="D52" s="22" t="n"/>
      <c r="E52" s="20" t="n"/>
      <c r="F52" s="21" t="n"/>
    </row>
    <row r="53">
      <c r="A53" s="18" t="n"/>
      <c r="B53" s="18" t="n"/>
      <c r="C53" s="32" t="n"/>
      <c r="D53" s="19" t="n"/>
      <c r="E53" s="17" t="n"/>
      <c r="F53" s="18" t="n"/>
    </row>
    <row r="54">
      <c r="A54" s="21" t="n"/>
      <c r="B54" s="21" t="n"/>
      <c r="C54" s="34" t="n"/>
      <c r="D54" s="22" t="n"/>
      <c r="E54" s="20" t="n"/>
      <c r="F54" s="21" t="n"/>
    </row>
    <row r="55">
      <c r="A55" s="18" t="n"/>
      <c r="B55" s="18" t="n"/>
      <c r="C55" s="32" t="n"/>
      <c r="D55" s="19" t="n"/>
      <c r="E55" s="17" t="n"/>
      <c r="F55" s="18" t="n"/>
    </row>
    <row r="56">
      <c r="A56" s="21" t="n"/>
      <c r="B56" s="21" t="n"/>
      <c r="C56" s="34" t="n"/>
      <c r="D56" s="22" t="n"/>
      <c r="E56" s="20" t="n"/>
      <c r="F56" s="21" t="n"/>
    </row>
    <row r="57">
      <c r="A57" s="18" t="n"/>
      <c r="B57" s="18" t="n"/>
      <c r="C57" s="32" t="n"/>
      <c r="D57" s="19" t="n"/>
      <c r="E57" s="17" t="n"/>
      <c r="F57" s="18" t="n"/>
    </row>
    <row r="58">
      <c r="A58" s="21" t="n"/>
      <c r="B58" s="21" t="n"/>
      <c r="C58" s="34" t="n"/>
      <c r="D58" s="22" t="n"/>
      <c r="E58" s="20" t="n"/>
      <c r="F58" s="21" t="n"/>
    </row>
    <row r="59">
      <c r="A59" s="18" t="n"/>
      <c r="B59" s="18" t="n"/>
      <c r="C59" s="32" t="n"/>
      <c r="D59" s="19" t="n"/>
      <c r="E59" s="17" t="n"/>
      <c r="F59" s="18" t="n"/>
    </row>
    <row r="60">
      <c r="A60" s="21" t="n"/>
      <c r="B60" s="21" t="n"/>
      <c r="C60" s="34" t="n"/>
      <c r="D60" s="22" t="n"/>
      <c r="E60" s="20" t="n"/>
      <c r="F60" s="21" t="n"/>
    </row>
    <row r="61">
      <c r="A61" s="18" t="n"/>
      <c r="B61" s="18" t="n"/>
      <c r="C61" s="32" t="n"/>
      <c r="D61" s="19" t="n"/>
      <c r="E61" s="17" t="n"/>
      <c r="F61" s="18" t="n"/>
    </row>
    <row r="62">
      <c r="A62" s="21" t="n"/>
      <c r="B62" s="21" t="n"/>
      <c r="C62" s="34" t="n"/>
      <c r="D62" s="22" t="n"/>
      <c r="E62" s="20" t="n"/>
      <c r="F62" s="21" t="n"/>
    </row>
    <row r="63">
      <c r="A63" s="18" t="n"/>
      <c r="B63" s="18" t="n"/>
      <c r="C63" s="32" t="n"/>
      <c r="D63" s="19" t="n"/>
      <c r="E63" s="17" t="n"/>
      <c r="F63" s="18" t="n"/>
    </row>
    <row r="64">
      <c r="A64" s="21" t="n"/>
      <c r="B64" s="21" t="n"/>
      <c r="C64" s="34" t="n"/>
      <c r="D64" s="22" t="n"/>
      <c r="E64" s="20" t="n"/>
      <c r="F64" s="21" t="n"/>
    </row>
  </sheetData>
  <mergeCells count="2">
    <mergeCell ref="A2:F2"/>
    <mergeCell ref="A1:F1"/>
  </mergeCells>
  <dataValidations count="1">
    <dataValidation sqref="E5:E64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75E6C1"/>
    <outlinePr summaryBelow="1" summaryRight="1"/>
    <pageSetUpPr/>
  </sheetPr>
  <dimension ref="A1:F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2" customWidth="1" min="3" max="3"/>
    <col width="12" customWidth="1" min="4" max="4"/>
    <col width="16" customWidth="1" min="5" max="5"/>
    <col width="24" customWidth="1" min="6" max="6"/>
  </cols>
  <sheetData>
    <row r="1" ht="46" customHeight="1">
      <c r="A1" s="1" t="inlineStr">
        <is>
          <t xml:space="preserve">  💌  THANK-YOU CARD TRACKER</t>
        </is>
      </c>
    </row>
    <row r="2" ht="22" customHeight="1">
      <c r="A2" s="2" t="inlineStr">
        <is>
          <t xml:space="preserve">  Track every card from written to mailed.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16" t="inlineStr">
        <is>
          <t>Recipient</t>
        </is>
      </c>
      <c r="B4" s="16" t="inlineStr">
        <is>
          <t>Gift</t>
        </is>
      </c>
      <c r="C4" s="16" t="inlineStr">
        <is>
          <t>Written</t>
        </is>
      </c>
      <c r="D4" s="16" t="inlineStr">
        <is>
          <t>Mailed</t>
        </is>
      </c>
      <c r="E4" s="16" t="inlineStr">
        <is>
          <t>Date Sent</t>
        </is>
      </c>
      <c r="F4" s="16" t="inlineStr">
        <is>
          <t>Notes</t>
        </is>
      </c>
    </row>
    <row r="5">
      <c r="A5" s="18" t="inlineStr">
        <is>
          <t>Linda &amp; Robert Bennett</t>
        </is>
      </c>
      <c r="B5" s="18" t="inlineStr">
        <is>
          <t>Stand mixer</t>
        </is>
      </c>
      <c r="C5" s="17" t="inlineStr">
        <is>
          <t>Yes</t>
        </is>
      </c>
      <c r="D5" s="17" t="inlineStr">
        <is>
          <t>No</t>
        </is>
      </c>
      <c r="E5" s="19" t="n"/>
      <c r="F5" s="18" t="inlineStr"/>
    </row>
    <row r="6">
      <c r="A6" s="21" t="inlineStr">
        <is>
          <t>Carter Family</t>
        </is>
      </c>
      <c r="B6" s="21" t="inlineStr">
        <is>
          <t>Cash gift</t>
        </is>
      </c>
      <c r="C6" s="20" t="inlineStr">
        <is>
          <t>No</t>
        </is>
      </c>
      <c r="D6" s="20" t="inlineStr">
        <is>
          <t>No</t>
        </is>
      </c>
      <c r="E6" s="22" t="n"/>
      <c r="F6" s="21" t="inlineStr"/>
    </row>
    <row r="7">
      <c r="A7" s="18" t="inlineStr">
        <is>
          <t>The Hartleys</t>
        </is>
      </c>
      <c r="B7" s="18" t="inlineStr">
        <is>
          <t>Crystal vase</t>
        </is>
      </c>
      <c r="C7" s="17" t="inlineStr">
        <is>
          <t>No</t>
        </is>
      </c>
      <c r="D7" s="17" t="inlineStr">
        <is>
          <t>No</t>
        </is>
      </c>
      <c r="E7" s="19" t="n"/>
      <c r="F7" s="18" t="inlineStr"/>
    </row>
    <row r="8">
      <c r="A8" s="21" t="inlineStr">
        <is>
          <t>Sophia &amp; Marc Lane</t>
        </is>
      </c>
      <c r="B8" s="21" t="inlineStr">
        <is>
          <t>Espresso machine</t>
        </is>
      </c>
      <c r="C8" s="20" t="inlineStr">
        <is>
          <t>Yes</t>
        </is>
      </c>
      <c r="D8" s="20" t="inlineStr">
        <is>
          <t>Yes</t>
        </is>
      </c>
      <c r="E8" s="22" t="n">
        <v>46201</v>
      </c>
      <c r="F8" s="21" t="inlineStr">
        <is>
          <t>Hand-delivered</t>
        </is>
      </c>
    </row>
    <row r="9">
      <c r="A9" s="18" t="inlineStr">
        <is>
          <t>Olivia Reed</t>
        </is>
      </c>
      <c r="B9" s="18" t="inlineStr">
        <is>
          <t>Gift card</t>
        </is>
      </c>
      <c r="C9" s="17" t="inlineStr">
        <is>
          <t>No</t>
        </is>
      </c>
      <c r="D9" s="17" t="inlineStr">
        <is>
          <t>No</t>
        </is>
      </c>
      <c r="E9" s="19" t="n"/>
      <c r="F9" s="18" t="inlineStr"/>
    </row>
    <row r="10">
      <c r="A10" s="21" t="inlineStr">
        <is>
          <t>Grandma Rose</t>
        </is>
      </c>
      <c r="B10" s="21" t="inlineStr">
        <is>
          <t>Hand towels</t>
        </is>
      </c>
      <c r="C10" s="20" t="inlineStr">
        <is>
          <t>Yes</t>
        </is>
      </c>
      <c r="D10" s="20" t="inlineStr">
        <is>
          <t>Yes</t>
        </is>
      </c>
      <c r="E10" s="22" t="n">
        <v>46200</v>
      </c>
      <c r="F10" s="21" t="inlineStr"/>
    </row>
    <row r="11">
      <c r="A11" s="18" t="n"/>
      <c r="B11" s="18" t="n"/>
      <c r="C11" s="17" t="n"/>
      <c r="D11" s="17" t="n"/>
      <c r="E11" s="19" t="n"/>
      <c r="F11" s="18" t="n"/>
    </row>
    <row r="12">
      <c r="A12" s="21" t="n"/>
      <c r="B12" s="21" t="n"/>
      <c r="C12" s="20" t="n"/>
      <c r="D12" s="20" t="n"/>
      <c r="E12" s="22" t="n"/>
      <c r="F12" s="21" t="n"/>
    </row>
    <row r="13">
      <c r="A13" s="18" t="n"/>
      <c r="B13" s="18" t="n"/>
      <c r="C13" s="17" t="n"/>
      <c r="D13" s="17" t="n"/>
      <c r="E13" s="19" t="n"/>
      <c r="F13" s="18" t="n"/>
    </row>
    <row r="14">
      <c r="A14" s="21" t="n"/>
      <c r="B14" s="21" t="n"/>
      <c r="C14" s="20" t="n"/>
      <c r="D14" s="20" t="n"/>
      <c r="E14" s="22" t="n"/>
      <c r="F14" s="21" t="n"/>
    </row>
    <row r="15">
      <c r="A15" s="18" t="n"/>
      <c r="B15" s="18" t="n"/>
      <c r="C15" s="17" t="n"/>
      <c r="D15" s="17" t="n"/>
      <c r="E15" s="19" t="n"/>
      <c r="F15" s="18" t="n"/>
    </row>
    <row r="16">
      <c r="A16" s="21" t="n"/>
      <c r="B16" s="21" t="n"/>
      <c r="C16" s="20" t="n"/>
      <c r="D16" s="20" t="n"/>
      <c r="E16" s="22" t="n"/>
      <c r="F16" s="21" t="n"/>
    </row>
    <row r="17">
      <c r="A17" s="18" t="n"/>
      <c r="B17" s="18" t="n"/>
      <c r="C17" s="17" t="n"/>
      <c r="D17" s="17" t="n"/>
      <c r="E17" s="19" t="n"/>
      <c r="F17" s="18" t="n"/>
    </row>
    <row r="18">
      <c r="A18" s="21" t="n"/>
      <c r="B18" s="21" t="n"/>
      <c r="C18" s="20" t="n"/>
      <c r="D18" s="20" t="n"/>
      <c r="E18" s="22" t="n"/>
      <c r="F18" s="21" t="n"/>
    </row>
    <row r="19">
      <c r="A19" s="18" t="n"/>
      <c r="B19" s="18" t="n"/>
      <c r="C19" s="17" t="n"/>
      <c r="D19" s="17" t="n"/>
      <c r="E19" s="19" t="n"/>
      <c r="F19" s="18" t="n"/>
    </row>
    <row r="20">
      <c r="A20" s="21" t="n"/>
      <c r="B20" s="21" t="n"/>
      <c r="C20" s="20" t="n"/>
      <c r="D20" s="20" t="n"/>
      <c r="E20" s="22" t="n"/>
      <c r="F20" s="21" t="n"/>
    </row>
    <row r="21">
      <c r="A21" s="18" t="n"/>
      <c r="B21" s="18" t="n"/>
      <c r="C21" s="17" t="n"/>
      <c r="D21" s="17" t="n"/>
      <c r="E21" s="19" t="n"/>
      <c r="F21" s="18" t="n"/>
    </row>
    <row r="22">
      <c r="A22" s="21" t="n"/>
      <c r="B22" s="21" t="n"/>
      <c r="C22" s="20" t="n"/>
      <c r="D22" s="20" t="n"/>
      <c r="E22" s="22" t="n"/>
      <c r="F22" s="21" t="n"/>
    </row>
    <row r="23">
      <c r="A23" s="18" t="n"/>
      <c r="B23" s="18" t="n"/>
      <c r="C23" s="17" t="n"/>
      <c r="D23" s="17" t="n"/>
      <c r="E23" s="19" t="n"/>
      <c r="F23" s="18" t="n"/>
    </row>
    <row r="24">
      <c r="A24" s="21" t="n"/>
      <c r="B24" s="21" t="n"/>
      <c r="C24" s="20" t="n"/>
      <c r="D24" s="20" t="n"/>
      <c r="E24" s="22" t="n"/>
      <c r="F24" s="21" t="n"/>
    </row>
    <row r="25">
      <c r="A25" s="18" t="n"/>
      <c r="B25" s="18" t="n"/>
      <c r="C25" s="17" t="n"/>
      <c r="D25" s="17" t="n"/>
      <c r="E25" s="19" t="n"/>
      <c r="F25" s="18" t="n"/>
    </row>
    <row r="26">
      <c r="A26" s="21" t="n"/>
      <c r="B26" s="21" t="n"/>
      <c r="C26" s="20" t="n"/>
      <c r="D26" s="20" t="n"/>
      <c r="E26" s="22" t="n"/>
      <c r="F26" s="21" t="n"/>
    </row>
    <row r="27">
      <c r="A27" s="18" t="n"/>
      <c r="B27" s="18" t="n"/>
      <c r="C27" s="17" t="n"/>
      <c r="D27" s="17" t="n"/>
      <c r="E27" s="19" t="n"/>
      <c r="F27" s="18" t="n"/>
    </row>
    <row r="28">
      <c r="A28" s="21" t="n"/>
      <c r="B28" s="21" t="n"/>
      <c r="C28" s="20" t="n"/>
      <c r="D28" s="20" t="n"/>
      <c r="E28" s="22" t="n"/>
      <c r="F28" s="21" t="n"/>
    </row>
    <row r="29">
      <c r="A29" s="18" t="n"/>
      <c r="B29" s="18" t="n"/>
      <c r="C29" s="17" t="n"/>
      <c r="D29" s="17" t="n"/>
      <c r="E29" s="19" t="n"/>
      <c r="F29" s="18" t="n"/>
    </row>
    <row r="30">
      <c r="A30" s="21" t="n"/>
      <c r="B30" s="21" t="n"/>
      <c r="C30" s="20" t="n"/>
      <c r="D30" s="20" t="n"/>
      <c r="E30" s="22" t="n"/>
      <c r="F30" s="21" t="n"/>
    </row>
    <row r="31">
      <c r="A31" s="18" t="n"/>
      <c r="B31" s="18" t="n"/>
      <c r="C31" s="17" t="n"/>
      <c r="D31" s="17" t="n"/>
      <c r="E31" s="19" t="n"/>
      <c r="F31" s="18" t="n"/>
    </row>
    <row r="32">
      <c r="A32" s="21" t="n"/>
      <c r="B32" s="21" t="n"/>
      <c r="C32" s="20" t="n"/>
      <c r="D32" s="20" t="n"/>
      <c r="E32" s="22" t="n"/>
      <c r="F32" s="21" t="n"/>
    </row>
    <row r="33">
      <c r="A33" s="18" t="n"/>
      <c r="B33" s="18" t="n"/>
      <c r="C33" s="17" t="n"/>
      <c r="D33" s="17" t="n"/>
      <c r="E33" s="19" t="n"/>
      <c r="F33" s="18" t="n"/>
    </row>
    <row r="34">
      <c r="A34" s="21" t="n"/>
      <c r="B34" s="21" t="n"/>
      <c r="C34" s="20" t="n"/>
      <c r="D34" s="20" t="n"/>
      <c r="E34" s="22" t="n"/>
      <c r="F34" s="21" t="n"/>
    </row>
    <row r="35">
      <c r="A35" s="18" t="n"/>
      <c r="B35" s="18" t="n"/>
      <c r="C35" s="17" t="n"/>
      <c r="D35" s="17" t="n"/>
      <c r="E35" s="19" t="n"/>
      <c r="F35" s="18" t="n"/>
    </row>
    <row r="36">
      <c r="A36" s="21" t="n"/>
      <c r="B36" s="21" t="n"/>
      <c r="C36" s="20" t="n"/>
      <c r="D36" s="20" t="n"/>
      <c r="E36" s="22" t="n"/>
      <c r="F36" s="21" t="n"/>
    </row>
    <row r="37">
      <c r="A37" s="18" t="n"/>
      <c r="B37" s="18" t="n"/>
      <c r="C37" s="17" t="n"/>
      <c r="D37" s="17" t="n"/>
      <c r="E37" s="19" t="n"/>
      <c r="F37" s="18" t="n"/>
    </row>
    <row r="38">
      <c r="A38" s="21" t="n"/>
      <c r="B38" s="21" t="n"/>
      <c r="C38" s="20" t="n"/>
      <c r="D38" s="20" t="n"/>
      <c r="E38" s="22" t="n"/>
      <c r="F38" s="21" t="n"/>
    </row>
    <row r="39">
      <c r="A39" s="18" t="n"/>
      <c r="B39" s="18" t="n"/>
      <c r="C39" s="17" t="n"/>
      <c r="D39" s="17" t="n"/>
      <c r="E39" s="19" t="n"/>
      <c r="F39" s="18" t="n"/>
    </row>
    <row r="40">
      <c r="A40" s="21" t="n"/>
      <c r="B40" s="21" t="n"/>
      <c r="C40" s="20" t="n"/>
      <c r="D40" s="20" t="n"/>
      <c r="E40" s="22" t="n"/>
      <c r="F40" s="21" t="n"/>
    </row>
    <row r="41">
      <c r="A41" s="18" t="n"/>
      <c r="B41" s="18" t="n"/>
      <c r="C41" s="17" t="n"/>
      <c r="D41" s="17" t="n"/>
      <c r="E41" s="19" t="n"/>
      <c r="F41" s="18" t="n"/>
    </row>
    <row r="42">
      <c r="A42" s="21" t="n"/>
      <c r="B42" s="21" t="n"/>
      <c r="C42" s="20" t="n"/>
      <c r="D42" s="20" t="n"/>
      <c r="E42" s="22" t="n"/>
      <c r="F42" s="21" t="n"/>
    </row>
    <row r="43">
      <c r="A43" s="18" t="n"/>
      <c r="B43" s="18" t="n"/>
      <c r="C43" s="17" t="n"/>
      <c r="D43" s="17" t="n"/>
      <c r="E43" s="19" t="n"/>
      <c r="F43" s="18" t="n"/>
    </row>
    <row r="44">
      <c r="A44" s="21" t="n"/>
      <c r="B44" s="21" t="n"/>
      <c r="C44" s="20" t="n"/>
      <c r="D44" s="20" t="n"/>
      <c r="E44" s="22" t="n"/>
      <c r="F44" s="21" t="n"/>
    </row>
    <row r="45">
      <c r="A45" s="18" t="n"/>
      <c r="B45" s="18" t="n"/>
      <c r="C45" s="17" t="n"/>
      <c r="D45" s="17" t="n"/>
      <c r="E45" s="19" t="n"/>
      <c r="F45" s="18" t="n"/>
    </row>
    <row r="46">
      <c r="A46" s="21" t="n"/>
      <c r="B46" s="21" t="n"/>
      <c r="C46" s="20" t="n"/>
      <c r="D46" s="20" t="n"/>
      <c r="E46" s="22" t="n"/>
      <c r="F46" s="21" t="n"/>
    </row>
    <row r="47">
      <c r="A47" s="18" t="n"/>
      <c r="B47" s="18" t="n"/>
      <c r="C47" s="17" t="n"/>
      <c r="D47" s="17" t="n"/>
      <c r="E47" s="19" t="n"/>
      <c r="F47" s="18" t="n"/>
    </row>
    <row r="48">
      <c r="A48" s="21" t="n"/>
      <c r="B48" s="21" t="n"/>
      <c r="C48" s="20" t="n"/>
      <c r="D48" s="20" t="n"/>
      <c r="E48" s="22" t="n"/>
      <c r="F48" s="21" t="n"/>
    </row>
    <row r="49">
      <c r="A49" s="18" t="n"/>
      <c r="B49" s="18" t="n"/>
      <c r="C49" s="17" t="n"/>
      <c r="D49" s="17" t="n"/>
      <c r="E49" s="19" t="n"/>
      <c r="F49" s="18" t="n"/>
    </row>
    <row r="50">
      <c r="A50" s="21" t="n"/>
      <c r="B50" s="21" t="n"/>
      <c r="C50" s="20" t="n"/>
      <c r="D50" s="20" t="n"/>
      <c r="E50" s="22" t="n"/>
      <c r="F50" s="21" t="n"/>
    </row>
    <row r="51">
      <c r="A51" s="18" t="n"/>
      <c r="B51" s="18" t="n"/>
      <c r="C51" s="17" t="n"/>
      <c r="D51" s="17" t="n"/>
      <c r="E51" s="19" t="n"/>
      <c r="F51" s="18" t="n"/>
    </row>
    <row r="52">
      <c r="A52" s="21" t="n"/>
      <c r="B52" s="21" t="n"/>
      <c r="C52" s="20" t="n"/>
      <c r="D52" s="20" t="n"/>
      <c r="E52" s="22" t="n"/>
      <c r="F52" s="21" t="n"/>
    </row>
    <row r="53">
      <c r="A53" s="18" t="n"/>
      <c r="B53" s="18" t="n"/>
      <c r="C53" s="17" t="n"/>
      <c r="D53" s="17" t="n"/>
      <c r="E53" s="19" t="n"/>
      <c r="F53" s="18" t="n"/>
    </row>
    <row r="54">
      <c r="A54" s="21" t="n"/>
      <c r="B54" s="21" t="n"/>
      <c r="C54" s="20" t="n"/>
      <c r="D54" s="20" t="n"/>
      <c r="E54" s="22" t="n"/>
      <c r="F54" s="21" t="n"/>
    </row>
    <row r="55">
      <c r="A55" s="18" t="n"/>
      <c r="B55" s="18" t="n"/>
      <c r="C55" s="17" t="n"/>
      <c r="D55" s="17" t="n"/>
      <c r="E55" s="19" t="n"/>
      <c r="F55" s="18" t="n"/>
    </row>
    <row r="56">
      <c r="A56" s="21" t="n"/>
      <c r="B56" s="21" t="n"/>
      <c r="C56" s="20" t="n"/>
      <c r="D56" s="20" t="n"/>
      <c r="E56" s="22" t="n"/>
      <c r="F56" s="21" t="n"/>
    </row>
    <row r="57">
      <c r="A57" s="18" t="n"/>
      <c r="B57" s="18" t="n"/>
      <c r="C57" s="17" t="n"/>
      <c r="D57" s="17" t="n"/>
      <c r="E57" s="19" t="n"/>
      <c r="F57" s="18" t="n"/>
    </row>
    <row r="58">
      <c r="A58" s="21" t="n"/>
      <c r="B58" s="21" t="n"/>
      <c r="C58" s="20" t="n"/>
      <c r="D58" s="20" t="n"/>
      <c r="E58" s="22" t="n"/>
      <c r="F58" s="21" t="n"/>
    </row>
    <row r="59">
      <c r="A59" s="18" t="n"/>
      <c r="B59" s="18" t="n"/>
      <c r="C59" s="17" t="n"/>
      <c r="D59" s="17" t="n"/>
      <c r="E59" s="19" t="n"/>
      <c r="F59" s="18" t="n"/>
    </row>
    <row r="60">
      <c r="A60" s="21" t="n"/>
      <c r="B60" s="21" t="n"/>
      <c r="C60" s="20" t="n"/>
      <c r="D60" s="20" t="n"/>
      <c r="E60" s="22" t="n"/>
      <c r="F60" s="21" t="n"/>
    </row>
    <row r="61">
      <c r="A61" s="18" t="n"/>
      <c r="B61" s="18" t="n"/>
      <c r="C61" s="17" t="n"/>
      <c r="D61" s="17" t="n"/>
      <c r="E61" s="19" t="n"/>
      <c r="F61" s="18" t="n"/>
    </row>
    <row r="62">
      <c r="A62" s="21" t="n"/>
      <c r="B62" s="21" t="n"/>
      <c r="C62" s="20" t="n"/>
      <c r="D62" s="20" t="n"/>
      <c r="E62" s="22" t="n"/>
      <c r="F62" s="21" t="n"/>
    </row>
    <row r="63">
      <c r="A63" s="18" t="n"/>
      <c r="B63" s="18" t="n"/>
      <c r="C63" s="17" t="n"/>
      <c r="D63" s="17" t="n"/>
      <c r="E63" s="19" t="n"/>
      <c r="F63" s="18" t="n"/>
    </row>
    <row r="64">
      <c r="A64" s="21" t="n"/>
      <c r="B64" s="21" t="n"/>
      <c r="C64" s="20" t="n"/>
      <c r="D64" s="20" t="n"/>
      <c r="E64" s="22" t="n"/>
      <c r="F64" s="21" t="n"/>
    </row>
  </sheetData>
  <mergeCells count="2">
    <mergeCell ref="A2:F2"/>
    <mergeCell ref="A1:F1"/>
  </mergeCells>
  <conditionalFormatting sqref="A5:F64">
    <cfRule type="expression" priority="1" dxfId="0">
      <formula>$D5="Yes"</formula>
    </cfRule>
  </conditionalFormatting>
  <dataValidations count="2">
    <dataValidation sqref="C5:C64" showDropDown="0" showInputMessage="0" showErrorMessage="0" allowBlank="1" type="list">
      <formula1>=YesNoList</formula1>
    </dataValidation>
    <dataValidation sqref="D5:D64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E5D3BA"/>
    <outlinePr summaryBelow="1" summaryRight="1"/>
    <pageSetUpPr/>
  </sheetPr>
  <dimension ref="A1:F4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6" customWidth="1" min="3" max="3"/>
    <col width="26" customWidth="1" min="4" max="4"/>
    <col width="26" customWidth="1" min="5" max="5"/>
    <col width="2" customWidth="1" min="6" max="6"/>
  </cols>
  <sheetData>
    <row r="1" ht="46" customHeight="1">
      <c r="A1" s="1" t="inlineStr">
        <is>
          <t xml:space="preserve">  🖼  VISION BOARD</t>
        </is>
      </c>
    </row>
    <row r="2" ht="22" customHeight="1">
      <c r="A2" s="2" t="inlineStr">
        <is>
          <t xml:space="preserve">  Drop inspiration images into each tile. Notes + cost + priority below.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5" ht="22" customHeight="1">
      <c r="B5" s="47" t="inlineStr">
        <is>
          <t>⬆ Venue
Drop image here</t>
        </is>
      </c>
      <c r="C5" s="47" t="inlineStr">
        <is>
          <t>⬆ Dress
Drop image here</t>
        </is>
      </c>
      <c r="D5" s="47" t="inlineStr">
        <is>
          <t>⬆ Florals
Drop image here</t>
        </is>
      </c>
      <c r="E5" s="47" t="inlineStr">
        <is>
          <t>⬆ Cake
Drop image here</t>
        </is>
      </c>
    </row>
    <row r="6" ht="22" customHeight="1">
      <c r="B6" s="48" t="n"/>
      <c r="C6" s="48" t="n"/>
      <c r="D6" s="48" t="n"/>
      <c r="E6" s="48" t="n"/>
    </row>
    <row r="7" ht="22" customHeight="1">
      <c r="B7" s="48" t="n"/>
      <c r="C7" s="48" t="n"/>
      <c r="D7" s="48" t="n"/>
      <c r="E7" s="48" t="n"/>
    </row>
    <row r="8" ht="22" customHeight="1">
      <c r="B8" s="48" t="n"/>
      <c r="C8" s="48" t="n"/>
      <c r="D8" s="48" t="n"/>
      <c r="E8" s="48" t="n"/>
    </row>
    <row r="9" ht="22" customHeight="1">
      <c r="B9" s="48" t="n"/>
      <c r="C9" s="48" t="n"/>
      <c r="D9" s="48" t="n"/>
      <c r="E9" s="48" t="n"/>
    </row>
    <row r="10">
      <c r="B10" s="13" t="inlineStr">
        <is>
          <t>Notes / cost / priority ↓</t>
        </is>
      </c>
      <c r="C10" s="13" t="inlineStr">
        <is>
          <t>Notes / cost / priority ↓</t>
        </is>
      </c>
      <c r="D10" s="13" t="inlineStr">
        <is>
          <t>Notes / cost / priority ↓</t>
        </is>
      </c>
      <c r="E10" s="13" t="inlineStr">
        <is>
          <t>Notes / cost / priority ↓</t>
        </is>
      </c>
    </row>
    <row r="11">
      <c r="B11" s="14" t="inlineStr"/>
      <c r="C11" s="14" t="inlineStr"/>
      <c r="D11" s="14" t="inlineStr"/>
      <c r="E11" s="14" t="inlineStr"/>
    </row>
    <row r="12">
      <c r="B12" s="14" t="inlineStr"/>
      <c r="C12" s="14" t="inlineStr"/>
      <c r="D12" s="14" t="inlineStr"/>
      <c r="E12" s="14" t="inlineStr"/>
    </row>
    <row r="14" ht="22" customHeight="1">
      <c r="B14" s="47" t="inlineStr">
        <is>
          <t>⬆ Hair
Drop image here</t>
        </is>
      </c>
      <c r="C14" s="47" t="inlineStr">
        <is>
          <t>⬆ Makeup
Drop image here</t>
        </is>
      </c>
      <c r="D14" s="47" t="inlineStr">
        <is>
          <t>⬆ Decor
Drop image here</t>
        </is>
      </c>
      <c r="E14" s="47" t="inlineStr">
        <is>
          <t>⬆ Tablescapes
Drop image here</t>
        </is>
      </c>
    </row>
    <row r="15" ht="22" customHeight="1">
      <c r="B15" s="48" t="n"/>
      <c r="C15" s="48" t="n"/>
      <c r="D15" s="48" t="n"/>
      <c r="E15" s="48" t="n"/>
    </row>
    <row r="16" ht="22" customHeight="1">
      <c r="B16" s="48" t="n"/>
      <c r="C16" s="48" t="n"/>
      <c r="D16" s="48" t="n"/>
      <c r="E16" s="48" t="n"/>
    </row>
    <row r="17" ht="22" customHeight="1">
      <c r="B17" s="48" t="n"/>
      <c r="C17" s="48" t="n"/>
      <c r="D17" s="48" t="n"/>
      <c r="E17" s="48" t="n"/>
    </row>
    <row r="18" ht="22" customHeight="1">
      <c r="B18" s="48" t="n"/>
      <c r="C18" s="48" t="n"/>
      <c r="D18" s="48" t="n"/>
      <c r="E18" s="48" t="n"/>
    </row>
    <row r="19">
      <c r="B19" s="13" t="inlineStr">
        <is>
          <t>Notes / cost / priority ↓</t>
        </is>
      </c>
      <c r="C19" s="13" t="inlineStr">
        <is>
          <t>Notes / cost / priority ↓</t>
        </is>
      </c>
      <c r="D19" s="13" t="inlineStr">
        <is>
          <t>Notes / cost / priority ↓</t>
        </is>
      </c>
      <c r="E19" s="13" t="inlineStr">
        <is>
          <t>Notes / cost / priority ↓</t>
        </is>
      </c>
    </row>
    <row r="20">
      <c r="B20" s="14" t="inlineStr"/>
      <c r="C20" s="14" t="inlineStr"/>
      <c r="D20" s="14" t="inlineStr"/>
      <c r="E20" s="14" t="inlineStr"/>
    </row>
    <row r="21">
      <c r="B21" s="14" t="inlineStr"/>
      <c r="C21" s="14" t="inlineStr"/>
      <c r="D21" s="14" t="inlineStr"/>
      <c r="E21" s="14" t="inlineStr"/>
    </row>
    <row r="23" ht="22" customHeight="1">
      <c r="B23" s="47" t="inlineStr">
        <is>
          <t>⬆ Stationery
Drop image here</t>
        </is>
      </c>
      <c r="C23" s="47" t="inlineStr">
        <is>
          <t>⬆ Color Palette
Drop image here</t>
        </is>
      </c>
      <c r="D23" s="47" t="inlineStr">
        <is>
          <t>⬆ Bouquets
Drop image here</t>
        </is>
      </c>
      <c r="E23" s="47" t="inlineStr">
        <is>
          <t>⬆ Photo Poses
Drop image here</t>
        </is>
      </c>
    </row>
    <row r="24" ht="22" customHeight="1">
      <c r="B24" s="48" t="n"/>
      <c r="C24" s="48" t="n"/>
      <c r="D24" s="48" t="n"/>
      <c r="E24" s="48" t="n"/>
    </row>
    <row r="25" ht="22" customHeight="1">
      <c r="B25" s="48" t="n"/>
      <c r="C25" s="48" t="n"/>
      <c r="D25" s="48" t="n"/>
      <c r="E25" s="48" t="n"/>
    </row>
    <row r="26" ht="22" customHeight="1">
      <c r="B26" s="48" t="n"/>
      <c r="C26" s="48" t="n"/>
      <c r="D26" s="48" t="n"/>
      <c r="E26" s="48" t="n"/>
    </row>
    <row r="27" ht="22" customHeight="1">
      <c r="B27" s="48" t="n"/>
      <c r="C27" s="48" t="n"/>
      <c r="D27" s="48" t="n"/>
      <c r="E27" s="48" t="n"/>
    </row>
    <row r="28">
      <c r="B28" s="13" t="inlineStr">
        <is>
          <t>Notes / cost / priority ↓</t>
        </is>
      </c>
      <c r="C28" s="13" t="inlineStr">
        <is>
          <t>Notes / cost / priority ↓</t>
        </is>
      </c>
      <c r="D28" s="13" t="inlineStr">
        <is>
          <t>Notes / cost / priority ↓</t>
        </is>
      </c>
      <c r="E28" s="13" t="inlineStr">
        <is>
          <t>Notes / cost / priority ↓</t>
        </is>
      </c>
    </row>
    <row r="29">
      <c r="B29" s="14" t="inlineStr"/>
      <c r="C29" s="14" t="inlineStr"/>
      <c r="D29" s="14" t="inlineStr"/>
      <c r="E29" s="14" t="inlineStr"/>
    </row>
    <row r="30">
      <c r="B30" s="14" t="inlineStr"/>
      <c r="C30" s="14" t="inlineStr"/>
      <c r="D30" s="14" t="inlineStr"/>
      <c r="E30" s="14" t="inlineStr"/>
    </row>
    <row r="32" ht="22" customHeight="1">
      <c r="B32" s="47" t="inlineStr">
        <is>
          <t>⬆ Reception Setup
Drop image here</t>
        </is>
      </c>
      <c r="C32" s="47" t="inlineStr">
        <is>
          <t>⬆ Lighting
Drop image here</t>
        </is>
      </c>
      <c r="D32" s="47" t="inlineStr">
        <is>
          <t>⬆ Favors
Drop image here</t>
        </is>
      </c>
      <c r="E32" s="47" t="inlineStr">
        <is>
          <t>⬆ Travel Ideas
Drop image here</t>
        </is>
      </c>
    </row>
    <row r="33" ht="22" customHeight="1">
      <c r="B33" s="48" t="n"/>
      <c r="C33" s="48" t="n"/>
      <c r="D33" s="48" t="n"/>
      <c r="E33" s="48" t="n"/>
    </row>
    <row r="34" ht="22" customHeight="1">
      <c r="B34" s="48" t="n"/>
      <c r="C34" s="48" t="n"/>
      <c r="D34" s="48" t="n"/>
      <c r="E34" s="48" t="n"/>
    </row>
    <row r="35" ht="22" customHeight="1">
      <c r="B35" s="48" t="n"/>
      <c r="C35" s="48" t="n"/>
      <c r="D35" s="48" t="n"/>
      <c r="E35" s="48" t="n"/>
    </row>
    <row r="36" ht="22" customHeight="1">
      <c r="B36" s="48" t="n"/>
      <c r="C36" s="48" t="n"/>
      <c r="D36" s="48" t="n"/>
      <c r="E36" s="48" t="n"/>
    </row>
    <row r="37">
      <c r="B37" s="13" t="inlineStr">
        <is>
          <t>Notes / cost / priority ↓</t>
        </is>
      </c>
      <c r="C37" s="13" t="inlineStr">
        <is>
          <t>Notes / cost / priority ↓</t>
        </is>
      </c>
      <c r="D37" s="13" t="inlineStr">
        <is>
          <t>Notes / cost / priority ↓</t>
        </is>
      </c>
      <c r="E37" s="13" t="inlineStr">
        <is>
          <t>Notes / cost / priority ↓</t>
        </is>
      </c>
    </row>
    <row r="38">
      <c r="B38" s="14" t="inlineStr"/>
      <c r="C38" s="14" t="inlineStr"/>
      <c r="D38" s="14" t="inlineStr"/>
      <c r="E38" s="14" t="inlineStr"/>
    </row>
    <row r="39">
      <c r="B39" s="14" t="inlineStr"/>
      <c r="C39" s="14" t="inlineStr"/>
      <c r="D39" s="14" t="inlineStr"/>
      <c r="E39" s="14" t="inlineStr"/>
    </row>
    <row r="41">
      <c r="B41" s="9" t="inlineStr">
        <is>
          <t>Tip: In Excel use Insert ▸ Pictures ▸ Place in Cell. In Google Sheets use Insert ▸ Image ▸ Image in cell.</t>
        </is>
      </c>
    </row>
  </sheetData>
  <mergeCells count="19">
    <mergeCell ref="C23:C27"/>
    <mergeCell ref="B5:B9"/>
    <mergeCell ref="D5:D9"/>
    <mergeCell ref="A2:F2"/>
    <mergeCell ref="B41:E41"/>
    <mergeCell ref="C32:C36"/>
    <mergeCell ref="E32:E36"/>
    <mergeCell ref="D14:D18"/>
    <mergeCell ref="D23:D27"/>
    <mergeCell ref="E5:E9"/>
    <mergeCell ref="B32:B36"/>
    <mergeCell ref="C14:C18"/>
    <mergeCell ref="C5:C9"/>
    <mergeCell ref="E14:E18"/>
    <mergeCell ref="E23:E27"/>
    <mergeCell ref="B14:B18"/>
    <mergeCell ref="A1:F1"/>
    <mergeCell ref="B23:B27"/>
    <mergeCell ref="D32:D36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1B4F48"/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26" customWidth="1" min="3" max="3"/>
    <col width="6" customWidth="1" min="4" max="4"/>
    <col width="26" customWidth="1" min="5" max="5"/>
    <col width="6" customWidth="1" min="6" max="6"/>
    <col width="26" customWidth="1" min="7" max="7"/>
    <col width="6" customWidth="1" min="8" max="8"/>
  </cols>
  <sheetData>
    <row r="1" ht="46" customHeight="1">
      <c r="A1" s="1" t="inlineStr">
        <is>
          <t xml:space="preserve">  🧳  PACKING CHECKLISTS</t>
        </is>
      </c>
    </row>
    <row r="2" ht="22" customHeight="1">
      <c r="A2" s="2" t="inlineStr">
        <is>
          <t xml:space="preserve">  Wedding day, honeymoon, emergency kit, and vendor items.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28" customHeight="1">
      <c r="A4" s="16" t="inlineStr">
        <is>
          <t>WEDDING DAY</t>
        </is>
      </c>
      <c r="C4" s="16" t="inlineStr">
        <is>
          <t>HONEYMOON</t>
        </is>
      </c>
      <c r="E4" s="16" t="inlineStr">
        <is>
          <t>EMERGENCY KIT</t>
        </is>
      </c>
      <c r="G4" s="16" t="inlineStr">
        <is>
          <t>VENDOR / RECEPTION ITEMS</t>
        </is>
      </c>
    </row>
    <row r="5">
      <c r="A5" s="23" t="inlineStr">
        <is>
          <t>Dress + garment bag</t>
        </is>
      </c>
      <c r="B5" s="49" t="inlineStr">
        <is>
          <t>☐</t>
        </is>
      </c>
      <c r="C5" s="23" t="inlineStr">
        <is>
          <t>Passports</t>
        </is>
      </c>
      <c r="D5" s="49" t="inlineStr">
        <is>
          <t>☐</t>
        </is>
      </c>
      <c r="E5" s="23" t="inlineStr">
        <is>
          <t>Sewing kit</t>
        </is>
      </c>
      <c r="F5" s="49" t="inlineStr">
        <is>
          <t>☐</t>
        </is>
      </c>
      <c r="G5" s="23" t="inlineStr">
        <is>
          <t>Guest book + pen</t>
        </is>
      </c>
      <c r="H5" s="49" t="inlineStr">
        <is>
          <t>☐</t>
        </is>
      </c>
    </row>
    <row r="6">
      <c r="A6" s="21" t="inlineStr">
        <is>
          <t>Veil</t>
        </is>
      </c>
      <c r="B6" s="50" t="inlineStr">
        <is>
          <t>☐</t>
        </is>
      </c>
      <c r="C6" s="21" t="inlineStr">
        <is>
          <t>Tickets / confirmations</t>
        </is>
      </c>
      <c r="D6" s="50" t="inlineStr">
        <is>
          <t>☐</t>
        </is>
      </c>
      <c r="E6" s="21" t="inlineStr">
        <is>
          <t>Safety pins</t>
        </is>
      </c>
      <c r="F6" s="50" t="inlineStr">
        <is>
          <t>☐</t>
        </is>
      </c>
      <c r="G6" s="21" t="inlineStr">
        <is>
          <t>Card box</t>
        </is>
      </c>
      <c r="H6" s="50" t="inlineStr">
        <is>
          <t>☐</t>
        </is>
      </c>
    </row>
    <row r="7">
      <c r="A7" s="23" t="inlineStr">
        <is>
          <t>Shoes</t>
        </is>
      </c>
      <c r="B7" s="49" t="inlineStr">
        <is>
          <t>☐</t>
        </is>
      </c>
      <c r="C7" s="23" t="inlineStr">
        <is>
          <t>Swimwear</t>
        </is>
      </c>
      <c r="D7" s="49" t="inlineStr">
        <is>
          <t>☐</t>
        </is>
      </c>
      <c r="E7" s="23" t="inlineStr">
        <is>
          <t>Stain remover</t>
        </is>
      </c>
      <c r="F7" s="49" t="inlineStr">
        <is>
          <t>☐</t>
        </is>
      </c>
      <c r="G7" s="23" t="inlineStr">
        <is>
          <t>Toasting flutes</t>
        </is>
      </c>
      <c r="H7" s="49" t="inlineStr">
        <is>
          <t>☐</t>
        </is>
      </c>
    </row>
    <row r="8">
      <c r="A8" s="21" t="inlineStr">
        <is>
          <t>Jewelry</t>
        </is>
      </c>
      <c r="B8" s="50" t="inlineStr">
        <is>
          <t>☐</t>
        </is>
      </c>
      <c r="C8" s="21" t="inlineStr">
        <is>
          <t>Evening outfits</t>
        </is>
      </c>
      <c r="D8" s="50" t="inlineStr">
        <is>
          <t>☐</t>
        </is>
      </c>
      <c r="E8" s="21" t="inlineStr">
        <is>
          <t>Band-aids</t>
        </is>
      </c>
      <c r="F8" s="50" t="inlineStr">
        <is>
          <t>☐</t>
        </is>
      </c>
      <c r="G8" s="21" t="inlineStr">
        <is>
          <t>Cake server set</t>
        </is>
      </c>
      <c r="H8" s="50" t="inlineStr">
        <is>
          <t>☐</t>
        </is>
      </c>
    </row>
    <row r="9">
      <c r="A9" s="23" t="inlineStr">
        <is>
          <t>Vows book</t>
        </is>
      </c>
      <c r="B9" s="49" t="inlineStr">
        <is>
          <t>☐</t>
        </is>
      </c>
      <c r="C9" s="23" t="inlineStr">
        <is>
          <t>Sunscreen</t>
        </is>
      </c>
      <c r="D9" s="49" t="inlineStr">
        <is>
          <t>☐</t>
        </is>
      </c>
      <c r="E9" s="23" t="inlineStr">
        <is>
          <t>Pain reliever</t>
        </is>
      </c>
      <c r="F9" s="49" t="inlineStr">
        <is>
          <t>☐</t>
        </is>
      </c>
      <c r="G9" s="23" t="inlineStr">
        <is>
          <t>Table numbers</t>
        </is>
      </c>
      <c r="H9" s="49" t="inlineStr">
        <is>
          <t>☐</t>
        </is>
      </c>
    </row>
    <row r="10">
      <c r="A10" s="21" t="inlineStr">
        <is>
          <t>Rings</t>
        </is>
      </c>
      <c r="B10" s="50" t="inlineStr">
        <is>
          <t>☐</t>
        </is>
      </c>
      <c r="C10" s="21" t="inlineStr">
        <is>
          <t>Adapters</t>
        </is>
      </c>
      <c r="D10" s="50" t="inlineStr">
        <is>
          <t>☐</t>
        </is>
      </c>
      <c r="E10" s="21" t="inlineStr">
        <is>
          <t>Bobby pins</t>
        </is>
      </c>
      <c r="F10" s="50" t="inlineStr">
        <is>
          <t>☐</t>
        </is>
      </c>
      <c r="G10" s="21" t="inlineStr">
        <is>
          <t>Place cards</t>
        </is>
      </c>
      <c r="H10" s="50" t="inlineStr">
        <is>
          <t>☐</t>
        </is>
      </c>
    </row>
    <row r="11">
      <c r="A11" s="23" t="inlineStr">
        <is>
          <t>Something blue</t>
        </is>
      </c>
      <c r="B11" s="49" t="inlineStr">
        <is>
          <t>☐</t>
        </is>
      </c>
      <c r="C11" s="23" t="inlineStr">
        <is>
          <t>Medications</t>
        </is>
      </c>
      <c r="D11" s="49" t="inlineStr">
        <is>
          <t>☐</t>
        </is>
      </c>
      <c r="E11" s="23" t="inlineStr">
        <is>
          <t>Mints</t>
        </is>
      </c>
      <c r="F11" s="49" t="inlineStr">
        <is>
          <t>☐</t>
        </is>
      </c>
      <c r="G11" s="23" t="inlineStr">
        <is>
          <t>Signage</t>
        </is>
      </c>
      <c r="H11" s="49" t="inlineStr">
        <is>
          <t>☐</t>
        </is>
      </c>
    </row>
    <row r="12">
      <c r="A12" s="21" t="inlineStr">
        <is>
          <t>Emergency kit</t>
        </is>
      </c>
      <c r="B12" s="50" t="inlineStr">
        <is>
          <t>☐</t>
        </is>
      </c>
      <c r="C12" s="21" t="inlineStr">
        <is>
          <t>Camera</t>
        </is>
      </c>
      <c r="D12" s="50" t="inlineStr">
        <is>
          <t>☐</t>
        </is>
      </c>
      <c r="E12" s="21" t="inlineStr">
        <is>
          <t>Tissues</t>
        </is>
      </c>
      <c r="F12" s="50" t="inlineStr">
        <is>
          <t>☐</t>
        </is>
      </c>
      <c r="G12" s="21" t="inlineStr">
        <is>
          <t>Favors</t>
        </is>
      </c>
      <c r="H12" s="50" t="inlineStr">
        <is>
          <t>☐</t>
        </is>
      </c>
    </row>
    <row r="13">
      <c r="A13" s="23" t="inlineStr">
        <is>
          <t>Robe for getting ready</t>
        </is>
      </c>
      <c r="B13" s="49" t="inlineStr">
        <is>
          <t>☐</t>
        </is>
      </c>
      <c r="C13" s="23" t="inlineStr">
        <is>
          <t>Chargers</t>
        </is>
      </c>
      <c r="D13" s="49" t="inlineStr">
        <is>
          <t>☐</t>
        </is>
      </c>
      <c r="E13" s="23" t="inlineStr">
        <is>
          <t>Deodorant</t>
        </is>
      </c>
      <c r="F13" s="49" t="inlineStr">
        <is>
          <t>☐</t>
        </is>
      </c>
      <c r="G13" s="23" t="inlineStr">
        <is>
          <t>Tip envelopes</t>
        </is>
      </c>
      <c r="H13" s="49" t="inlineStr">
        <is>
          <t>☐</t>
        </is>
      </c>
    </row>
    <row r="14">
      <c r="A14" s="21" t="inlineStr">
        <is>
          <t>Perfume</t>
        </is>
      </c>
      <c r="B14" s="50" t="inlineStr">
        <is>
          <t>☐</t>
        </is>
      </c>
      <c r="C14" s="21" t="inlineStr">
        <is>
          <t>Travel insurance docs</t>
        </is>
      </c>
      <c r="D14" s="50" t="inlineStr">
        <is>
          <t>☐</t>
        </is>
      </c>
      <c r="E14" s="21" t="inlineStr">
        <is>
          <t>Phone charger</t>
        </is>
      </c>
      <c r="F14" s="50" t="inlineStr">
        <is>
          <t>☐</t>
        </is>
      </c>
      <c r="G14" s="21" t="inlineStr">
        <is>
          <t>Timeline printouts</t>
        </is>
      </c>
      <c r="H14" s="50" t="inlineStr">
        <is>
          <t>☐</t>
        </is>
      </c>
    </row>
    <row r="15">
      <c r="A15" s="23" t="inlineStr">
        <is>
          <t>Flat shoes for reception</t>
        </is>
      </c>
      <c r="B15" s="49" t="inlineStr">
        <is>
          <t>☐</t>
        </is>
      </c>
      <c r="E15" s="23" t="inlineStr">
        <is>
          <t>Snacks</t>
        </is>
      </c>
      <c r="F15" s="49" t="inlineStr">
        <is>
          <t>☐</t>
        </is>
      </c>
      <c r="G15" s="23" t="inlineStr">
        <is>
          <t>Vendor meals list</t>
        </is>
      </c>
      <c r="H15" s="49" t="inlineStr">
        <is>
          <t>☐</t>
        </is>
      </c>
    </row>
    <row r="16">
      <c r="E16" s="21" t="inlineStr">
        <is>
          <t>Static spray</t>
        </is>
      </c>
      <c r="F16" s="50" t="inlineStr">
        <is>
          <t>☐</t>
        </is>
      </c>
    </row>
    <row r="17">
      <c r="E17" s="23" t="inlineStr">
        <is>
          <t>Double-sided tape</t>
        </is>
      </c>
      <c r="F17" s="49" t="inlineStr">
        <is>
          <t>☐</t>
        </is>
      </c>
    </row>
  </sheetData>
  <mergeCells count="6">
    <mergeCell ref="A4:B4"/>
    <mergeCell ref="G4:H4"/>
    <mergeCell ref="E4:F4"/>
    <mergeCell ref="A2:H2"/>
    <mergeCell ref="A1:H1"/>
    <mergeCell ref="C4:D4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C94C4C"/>
    <outlinePr summaryBelow="1" summaryRight="1"/>
    <pageSetUpPr/>
  </sheetPr>
  <dimension ref="A1:E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  <col width="16" customWidth="1" min="4" max="4"/>
    <col width="28" customWidth="1" min="5" max="5"/>
  </cols>
  <sheetData>
    <row r="1" ht="46" customHeight="1">
      <c r="A1" s="1" t="inlineStr">
        <is>
          <t xml:space="preserve">  💒  WEDDING DAY COMMAND CENTER</t>
        </is>
      </c>
    </row>
    <row r="2" ht="22" customHeight="1">
      <c r="A2" s="2" t="inlineStr">
        <is>
          <t xml:space="preserve">  Hour-by-hour run of show — the single source of truth for the big day.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A4" s="16" t="inlineStr">
        <is>
          <t>Time</t>
        </is>
      </c>
      <c r="B4" s="16" t="inlineStr">
        <is>
          <t>Event</t>
        </is>
      </c>
      <c r="C4" s="16" t="inlineStr">
        <is>
          <t>Owner / Vendor</t>
        </is>
      </c>
      <c r="D4" s="16" t="inlineStr">
        <is>
          <t>Location</t>
        </is>
      </c>
      <c r="E4" s="16" t="inlineStr">
        <is>
          <t>Notes</t>
        </is>
      </c>
    </row>
    <row r="5">
      <c r="A5" s="51" t="inlineStr">
        <is>
          <t>8:00 AM</t>
        </is>
      </c>
      <c r="B5" s="18" t="inlineStr">
        <is>
          <t>Hair &amp; makeup begins (bridal suite)</t>
        </is>
      </c>
      <c r="C5" s="18" t="inlineStr">
        <is>
          <t>Radiant Beauty</t>
        </is>
      </c>
      <c r="D5" s="18" t="inlineStr">
        <is>
          <t>Bridal Suite</t>
        </is>
      </c>
      <c r="E5" s="18" t="inlineStr">
        <is>
          <t>Bride last</t>
        </is>
      </c>
    </row>
    <row r="6">
      <c r="A6" s="51" t="inlineStr">
        <is>
          <t>10:30 AM</t>
        </is>
      </c>
      <c r="B6" s="21" t="inlineStr">
        <is>
          <t>Photographer arrives — detail shots</t>
        </is>
      </c>
      <c r="C6" s="21" t="inlineStr">
        <is>
          <t>Lumiere Photography</t>
        </is>
      </c>
      <c r="D6" s="21" t="inlineStr">
        <is>
          <t>Bridal Suite</t>
        </is>
      </c>
      <c r="E6" s="21" t="inlineStr">
        <is>
          <t>Rings, dress, invites ready</t>
        </is>
      </c>
    </row>
    <row r="7">
      <c r="A7" s="51" t="inlineStr">
        <is>
          <t>11:30 AM</t>
        </is>
      </c>
      <c r="B7" s="18" t="inlineStr">
        <is>
          <t>Groomsmen arrive &amp; dress</t>
        </is>
      </c>
      <c r="C7" s="18" t="inlineStr">
        <is>
          <t>Best Man</t>
        </is>
      </c>
      <c r="D7" s="18" t="inlineStr">
        <is>
          <t>Groom Suite</t>
        </is>
      </c>
      <c r="E7" s="18" t="inlineStr"/>
    </row>
    <row r="8">
      <c r="A8" s="51" t="inlineStr">
        <is>
          <t>12:30 PM</t>
        </is>
      </c>
      <c r="B8" s="21" t="inlineStr">
        <is>
          <t>Florist delivers bouquets &amp; boutonnières</t>
        </is>
      </c>
      <c r="C8" s="21" t="inlineStr">
        <is>
          <t>Petal &amp; Stem</t>
        </is>
      </c>
      <c r="D8" s="21" t="inlineStr">
        <is>
          <t>Both Suites</t>
        </is>
      </c>
      <c r="E8" s="21" t="inlineStr"/>
    </row>
    <row r="9">
      <c r="A9" s="51" t="inlineStr">
        <is>
          <t>1:00 PM</t>
        </is>
      </c>
      <c r="B9" s="18" t="inlineStr">
        <is>
          <t>First look</t>
        </is>
      </c>
      <c r="C9" s="18" t="inlineStr">
        <is>
          <t>Couple + Photo</t>
        </is>
      </c>
      <c r="D9" s="18" t="inlineStr">
        <is>
          <t>Garden</t>
        </is>
      </c>
      <c r="E9" s="18" t="inlineStr">
        <is>
          <t>Private moment</t>
        </is>
      </c>
    </row>
    <row r="10">
      <c r="A10" s="51" t="inlineStr">
        <is>
          <t>1:30 PM</t>
        </is>
      </c>
      <c r="B10" s="21" t="inlineStr">
        <is>
          <t>Wedding party photos</t>
        </is>
      </c>
      <c r="C10" s="21" t="inlineStr">
        <is>
          <t>Photo + Video</t>
        </is>
      </c>
      <c r="D10" s="21" t="inlineStr">
        <is>
          <t>Garden</t>
        </is>
      </c>
      <c r="E10" s="21" t="inlineStr"/>
    </row>
    <row r="11">
      <c r="A11" s="51" t="inlineStr">
        <is>
          <t>2:30 PM</t>
        </is>
      </c>
      <c r="B11" s="18" t="inlineStr">
        <is>
          <t>Vendors complete ceremony setup</t>
        </is>
      </c>
      <c r="C11" s="18" t="inlineStr">
        <is>
          <t>Coordinator</t>
        </is>
      </c>
      <c r="D11" s="18" t="inlineStr">
        <is>
          <t>Ceremony Lawn</t>
        </is>
      </c>
      <c r="E11" s="18" t="inlineStr">
        <is>
          <t>Chairs, arch, sound</t>
        </is>
      </c>
    </row>
    <row r="12">
      <c r="A12" s="51" t="inlineStr">
        <is>
          <t>3:00 PM</t>
        </is>
      </c>
      <c r="B12" s="21" t="inlineStr">
        <is>
          <t>Catering &amp; rentals arrive</t>
        </is>
      </c>
      <c r="C12" s="21" t="inlineStr">
        <is>
          <t>Grand Catering / Luxe</t>
        </is>
      </c>
      <c r="D12" s="21" t="inlineStr">
        <is>
          <t>Reception Hall</t>
        </is>
      </c>
      <c r="E12" s="21" t="inlineStr"/>
    </row>
    <row r="13">
      <c r="A13" s="51" t="inlineStr">
        <is>
          <t>3:45 PM</t>
        </is>
      </c>
      <c r="B13" s="18" t="inlineStr">
        <is>
          <t>Guests begin arriving</t>
        </is>
      </c>
      <c r="C13" s="18" t="inlineStr">
        <is>
          <t>Ushers</t>
        </is>
      </c>
      <c r="D13" s="18" t="inlineStr">
        <is>
          <t>Ceremony Lawn</t>
        </is>
      </c>
      <c r="E13" s="18" t="inlineStr">
        <is>
          <t>Prelude music</t>
        </is>
      </c>
    </row>
    <row r="14">
      <c r="A14" s="52" t="inlineStr">
        <is>
          <t>4:30 PM</t>
        </is>
      </c>
      <c r="B14" s="53" t="inlineStr">
        <is>
          <t>CEREMONY BEGINS</t>
        </is>
      </c>
      <c r="C14" s="53" t="inlineStr">
        <is>
          <t>Officiant</t>
        </is>
      </c>
      <c r="D14" s="53" t="inlineStr">
        <is>
          <t>Ceremony Lawn</t>
        </is>
      </c>
      <c r="E14" s="53" t="inlineStr">
        <is>
          <t>Processional</t>
        </is>
      </c>
    </row>
    <row r="15">
      <c r="A15" s="51" t="inlineStr">
        <is>
          <t>5:00 PM</t>
        </is>
      </c>
      <c r="B15" s="18" t="inlineStr">
        <is>
          <t>Ceremony ends — cocktail hour</t>
        </is>
      </c>
      <c r="C15" s="18" t="inlineStr">
        <is>
          <t>DJ / Bar</t>
        </is>
      </c>
      <c r="D15" s="18" t="inlineStr">
        <is>
          <t>Terrace</t>
        </is>
      </c>
      <c r="E15" s="18" t="inlineStr">
        <is>
          <t>Signature cocktails</t>
        </is>
      </c>
    </row>
    <row r="16">
      <c r="A16" s="51" t="inlineStr">
        <is>
          <t>5:15 PM</t>
        </is>
      </c>
      <c r="B16" s="21" t="inlineStr">
        <is>
          <t>Family &amp; couple portraits</t>
        </is>
      </c>
      <c r="C16" s="21" t="inlineStr">
        <is>
          <t>Photo</t>
        </is>
      </c>
      <c r="D16" s="21" t="inlineStr">
        <is>
          <t>Garden</t>
        </is>
      </c>
      <c r="E16" s="21" t="inlineStr">
        <is>
          <t>Shot list ready</t>
        </is>
      </c>
    </row>
    <row r="17">
      <c r="A17" s="51" t="inlineStr">
        <is>
          <t>6:00 PM</t>
        </is>
      </c>
      <c r="B17" s="18" t="inlineStr">
        <is>
          <t>Reception entrance &amp; first dance</t>
        </is>
      </c>
      <c r="C17" s="18" t="inlineStr">
        <is>
          <t>DJ</t>
        </is>
      </c>
      <c r="D17" s="18" t="inlineStr">
        <is>
          <t>Reception Hall</t>
        </is>
      </c>
      <c r="E17" s="18" t="inlineStr"/>
    </row>
    <row r="18">
      <c r="A18" s="51" t="inlineStr">
        <is>
          <t>6:30 PM</t>
        </is>
      </c>
      <c r="B18" s="21" t="inlineStr">
        <is>
          <t>Dinner service (plated)</t>
        </is>
      </c>
      <c r="C18" s="21" t="inlineStr">
        <is>
          <t>Grand Catering</t>
        </is>
      </c>
      <c r="D18" s="21" t="inlineStr">
        <is>
          <t>Reception Hall</t>
        </is>
      </c>
      <c r="E18" s="21" t="inlineStr">
        <is>
          <t>Meal counts confirmed</t>
        </is>
      </c>
    </row>
    <row r="19">
      <c r="A19" s="51" t="inlineStr">
        <is>
          <t>7:30 PM</t>
        </is>
      </c>
      <c r="B19" s="18" t="inlineStr">
        <is>
          <t>Toasts &amp; speeches</t>
        </is>
      </c>
      <c r="C19" s="18" t="inlineStr">
        <is>
          <t>MOH / Best Man</t>
        </is>
      </c>
      <c r="D19" s="18" t="inlineStr">
        <is>
          <t>Reception Hall</t>
        </is>
      </c>
      <c r="E19" s="18" t="inlineStr"/>
    </row>
    <row r="20">
      <c r="A20" s="51" t="inlineStr">
        <is>
          <t>8:00 PM</t>
        </is>
      </c>
      <c r="B20" s="21" t="inlineStr">
        <is>
          <t>Cake cutting</t>
        </is>
      </c>
      <c r="C20" s="21" t="inlineStr">
        <is>
          <t>Couple</t>
        </is>
      </c>
      <c r="D20" s="21" t="inlineStr">
        <is>
          <t>Reception Hall</t>
        </is>
      </c>
      <c r="E20" s="21" t="inlineStr">
        <is>
          <t>Sweet Layers</t>
        </is>
      </c>
    </row>
    <row r="21">
      <c r="A21" s="51" t="inlineStr">
        <is>
          <t>8:15 PM</t>
        </is>
      </c>
      <c r="B21" s="18" t="inlineStr">
        <is>
          <t>Open dancing</t>
        </is>
      </c>
      <c r="C21" s="18" t="inlineStr">
        <is>
          <t>DJ</t>
        </is>
      </c>
      <c r="D21" s="18" t="inlineStr">
        <is>
          <t>Dance Floor</t>
        </is>
      </c>
      <c r="E21" s="18" t="inlineStr">
        <is>
          <t>Do-not-play list given</t>
        </is>
      </c>
    </row>
    <row r="22">
      <c r="A22" s="51" t="inlineStr">
        <is>
          <t>9:30 PM</t>
        </is>
      </c>
      <c r="B22" s="21" t="inlineStr">
        <is>
          <t>Bouquet &amp; garter toss</t>
        </is>
      </c>
      <c r="C22" s="21" t="inlineStr">
        <is>
          <t>DJ</t>
        </is>
      </c>
      <c r="D22" s="21" t="inlineStr">
        <is>
          <t>Dance Floor</t>
        </is>
      </c>
      <c r="E22" s="21" t="inlineStr"/>
    </row>
    <row r="23">
      <c r="A23" s="51" t="inlineStr">
        <is>
          <t>10:30 PM</t>
        </is>
      </c>
      <c r="B23" s="18" t="inlineStr">
        <is>
          <t>Last dance &amp; sparkler exit</t>
        </is>
      </c>
      <c r="C23" s="18" t="inlineStr">
        <is>
          <t>Coordinator</t>
        </is>
      </c>
      <c r="D23" s="18" t="inlineStr">
        <is>
          <t>Front Drive</t>
        </is>
      </c>
      <c r="E23" s="18" t="inlineStr">
        <is>
          <t>Sparklers + getaway car</t>
        </is>
      </c>
    </row>
    <row r="24">
      <c r="A24" s="51" t="inlineStr">
        <is>
          <t>11:00 PM</t>
        </is>
      </c>
      <c r="B24" s="21" t="inlineStr">
        <is>
          <t>Vendor breakdown &amp; load-out</t>
        </is>
      </c>
      <c r="C24" s="21" t="inlineStr">
        <is>
          <t>Coordinator</t>
        </is>
      </c>
      <c r="D24" s="21" t="inlineStr">
        <is>
          <t>All areas</t>
        </is>
      </c>
      <c r="E24" s="21" t="inlineStr">
        <is>
          <t>Gifts to suite</t>
        </is>
      </c>
    </row>
    <row r="26">
      <c r="A26" s="9" t="inlineStr">
        <is>
          <t>EMERGENCY CONTACTS</t>
        </is>
      </c>
    </row>
    <row r="27">
      <c r="A27" s="13" t="inlineStr">
        <is>
          <t>Coordinator</t>
        </is>
      </c>
      <c r="B27" s="14" t="inlineStr">
        <is>
          <t>Marcus Reed — (555) 200-2299</t>
        </is>
      </c>
    </row>
    <row r="28">
      <c r="A28" s="13" t="inlineStr">
        <is>
          <t>Planner</t>
        </is>
      </c>
      <c r="B28" s="14" t="inlineStr">
        <is>
          <t>Sophia Lane — (555) 200-8841</t>
        </is>
      </c>
    </row>
    <row r="29">
      <c r="A29" s="13" t="inlineStr">
        <is>
          <t>Venue Manager</t>
        </is>
      </c>
      <c r="B29" s="14" t="inlineStr">
        <is>
          <t>Hartwell Estate — (555) 200-1000</t>
        </is>
      </c>
    </row>
    <row r="30">
      <c r="A30" s="13" t="inlineStr">
        <is>
          <t>Maid of Honor</t>
        </is>
      </c>
      <c r="B30" s="14" t="inlineStr">
        <is>
          <t>Emily Bennett — (555) 412-7799</t>
        </is>
      </c>
    </row>
    <row r="31">
      <c r="A31" s="13" t="inlineStr">
        <is>
          <t>Best Man</t>
        </is>
      </c>
      <c r="B31" s="14" t="inlineStr">
        <is>
          <t>Daniel Carter — (555) 901-2271</t>
        </is>
      </c>
    </row>
  </sheetData>
  <mergeCells count="8">
    <mergeCell ref="B31:E31"/>
    <mergeCell ref="B27:E27"/>
    <mergeCell ref="A26:E26"/>
    <mergeCell ref="A2:E2"/>
    <mergeCell ref="B30:E30"/>
    <mergeCell ref="B29:E29"/>
    <mergeCell ref="A1:E1"/>
    <mergeCell ref="B28:E2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001B4F48"/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8" customWidth="1" min="3" max="3"/>
    <col width="18" customWidth="1" min="4" max="4"/>
    <col width="4" customWidth="1" min="5" max="5"/>
    <col width="30" customWidth="1" min="6" max="6"/>
    <col width="18" customWidth="1" min="7" max="7"/>
  </cols>
  <sheetData>
    <row r="1" ht="46" customHeight="1">
      <c r="A1" s="1" t="inlineStr">
        <is>
          <t xml:space="preserve">  📊  ANALYTICS — READINESS SCORE</t>
        </is>
      </c>
    </row>
    <row r="2" ht="22" customHeight="1">
      <c r="A2" s="2" t="inlineStr">
        <is>
          <t xml:space="preserve">  Weighted health scores across every dimension of planning.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>
      <c r="B5" s="12" t="inlineStr">
        <is>
          <t>HEALTH SCORES</t>
        </is>
      </c>
      <c r="F5" s="9" t="inlineStr">
        <is>
          <t>OVERALL READINESS</t>
        </is>
      </c>
    </row>
    <row r="6" ht="30" customHeight="1">
      <c r="B6" s="16" t="inlineStr">
        <is>
          <t>Dimension</t>
        </is>
      </c>
      <c r="C6" s="16" t="inlineStr">
        <is>
          <t>Score</t>
        </is>
      </c>
      <c r="D6" s="16" t="inlineStr">
        <is>
          <t>Status</t>
        </is>
      </c>
      <c r="F6" s="54">
        <f>AVERAGE(C7:C12)</f>
        <v/>
      </c>
    </row>
    <row r="7">
      <c r="B7" s="23" t="inlineStr">
        <is>
          <t>Budget Health</t>
        </is>
      </c>
      <c r="C7" s="38">
        <f>IFERROR(1-MAX(BudTotalActual-TotalBudget,0)/TotalBudget,0)</f>
        <v/>
      </c>
      <c r="D7" s="55">
        <f>IF(C7&gt;=0.75,"On Track",IF(C7&gt;=0.5,"Watch","Behind"))</f>
        <v/>
      </c>
    </row>
    <row r="8">
      <c r="B8" s="21" t="inlineStr">
        <is>
          <t>Planning Completion</t>
        </is>
      </c>
      <c r="C8" s="39">
        <f>IFERROR(COUNTIF(ChkDone,"Yes")/MAX(COUNTA(ChkTask),1),0)</f>
        <v/>
      </c>
      <c r="D8" s="20">
        <f>IF(C8&gt;=0.75,"On Track",IF(C8&gt;=0.5,"Watch","Behind"))</f>
        <v/>
      </c>
    </row>
    <row r="9">
      <c r="B9" s="23" t="inlineStr">
        <is>
          <t>Timeline Health</t>
        </is>
      </c>
      <c r="C9" s="38">
        <f>IFERROR(COUNTIF(TLDone,"Yes")/MAX(COUNTA(TLTask),1),0)</f>
        <v/>
      </c>
      <c r="D9" s="55">
        <f>IF(C9&gt;=0.75,"On Track",IF(C9&gt;=0.5,"Watch","Behind"))</f>
        <v/>
      </c>
      <c r="F9" s="56" t="inlineStr">
        <is>
          <t>Wedding Readiness Score</t>
        </is>
      </c>
    </row>
    <row r="10">
      <c r="B10" s="21" t="inlineStr">
        <is>
          <t>Vendor Completion</t>
        </is>
      </c>
      <c r="C10" s="39">
        <f>IFERROR(COUNTIF(VenContract,"Signed")/MAX(COUNTA(VenName),1),0)</f>
        <v/>
      </c>
      <c r="D10" s="20">
        <f>IF(C10&gt;=0.75,"On Track",IF(C10&gt;=0.5,"Watch","Behind"))</f>
        <v/>
      </c>
    </row>
    <row r="11">
      <c r="B11" s="23" t="inlineStr">
        <is>
          <t>Guest Completion</t>
        </is>
      </c>
      <c r="C11" s="38">
        <f>IFERROR((COUNTIF(GuestRsvp,"Accepted")+COUNTIF(GuestRsvp,"Declined"))/MAX(COUNTA(GuestName),1),0)</f>
        <v/>
      </c>
      <c r="D11" s="55">
        <f>IF(C11&gt;=0.75,"On Track",IF(C11&gt;=0.5,"Watch","Behind"))</f>
        <v/>
      </c>
    </row>
    <row r="12">
      <c r="B12" s="21" t="inlineStr">
        <is>
          <t>Payment Health</t>
        </is>
      </c>
      <c r="C12" s="39">
        <f>IFERROR(COUNTIF(PayPaid,"Yes")/MAX(COUNTA(PayVendor),1),0)</f>
        <v/>
      </c>
      <c r="D12" s="20">
        <f>IF(C12&gt;=0.75,"On Track",IF(C12&gt;=0.5,"Watch","Behind"))</f>
        <v/>
      </c>
    </row>
  </sheetData>
  <mergeCells count="6">
    <mergeCell ref="B5:D5"/>
    <mergeCell ref="A1:G1"/>
    <mergeCell ref="F5:G5"/>
    <mergeCell ref="A2:G2"/>
    <mergeCell ref="F6:G8"/>
    <mergeCell ref="F9:G9"/>
  </mergeCells>
  <conditionalFormatting sqref="C7:C12">
    <cfRule type="colorScale" priority="1">
      <colorScale>
        <cfvo type="num" val="0"/>
        <cfvo type="num" val="0.5"/>
        <cfvo type="num" val="1"/>
        <color rgb="FFFBE6E6"/>
        <color rgb="FFFFF3CD"/>
        <color rgb="FF75E6C1"/>
      </colorScale>
    </cfRule>
  </conditionalFormatting>
  <conditionalFormatting sqref="D7:D12">
    <cfRule type="cellIs" priority="2" operator="equal" dxfId="0">
      <formula>"On Track"</formula>
    </cfRule>
    <cfRule type="cellIs" priority="3" operator="equal" dxfId="1">
      <formula>"Behind"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tabColor rgb="00E5D3BA"/>
    <outlinePr summaryBelow="1" summaryRight="1"/>
    <pageSetUpPr/>
  </sheetPr>
  <dimension ref="A1:J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22" customWidth="1" min="3" max="3"/>
    <col width="4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46" customHeight="1">
      <c r="A1" s="1" t="inlineStr">
        <is>
          <t xml:space="preserve">  ⚙  SETTINGS</t>
        </is>
      </c>
    </row>
    <row r="2" ht="22" customHeight="1">
      <c r="A2" s="2" t="inlineStr">
        <is>
          <t xml:space="preserve">  Edit once — drives the entire planning system.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5">
      <c r="B5" s="12" t="inlineStr">
        <is>
          <t>WEDDING CONTROLS</t>
        </is>
      </c>
      <c r="E5" s="9" t="inlineStr">
        <is>
          <t>DROPDOWN LISTS</t>
        </is>
      </c>
    </row>
    <row r="6">
      <c r="B6" s="13" t="inlineStr">
        <is>
          <t>Wedding Date</t>
        </is>
      </c>
      <c r="C6" s="57" t="n">
        <v>46550</v>
      </c>
      <c r="E6" s="16" t="inlineStr">
        <is>
          <t>Budget Categories</t>
        </is>
      </c>
      <c r="F6" s="16" t="inlineStr">
        <is>
          <t>Vendor Types</t>
        </is>
      </c>
      <c r="G6" s="16" t="inlineStr">
        <is>
          <t>Statuses</t>
        </is>
      </c>
      <c r="H6" s="16" t="inlineStr">
        <is>
          <t>Meal Types</t>
        </is>
      </c>
      <c r="I6" s="16" t="inlineStr">
        <is>
          <t>Priority</t>
        </is>
      </c>
      <c r="J6" s="16" t="inlineStr">
        <is>
          <t>Wedding Styles</t>
        </is>
      </c>
    </row>
    <row r="7">
      <c r="B7" s="13" t="inlineStr">
        <is>
          <t>Total Budget</t>
        </is>
      </c>
      <c r="C7" s="24" t="n">
        <v>45000</v>
      </c>
      <c r="E7" s="23" t="inlineStr">
        <is>
          <t>Venue</t>
        </is>
      </c>
      <c r="F7" s="23" t="inlineStr">
        <is>
          <t>Venue</t>
        </is>
      </c>
      <c r="G7" s="23" t="inlineStr">
        <is>
          <t>Not Started</t>
        </is>
      </c>
      <c r="H7" s="23" t="inlineStr">
        <is>
          <t>Beef</t>
        </is>
      </c>
      <c r="I7" s="23" t="inlineStr">
        <is>
          <t>High</t>
        </is>
      </c>
      <c r="J7" s="23" t="inlineStr">
        <is>
          <t>Classic</t>
        </is>
      </c>
    </row>
    <row r="8">
      <c r="B8" s="13" t="inlineStr">
        <is>
          <t>Estimated Guests</t>
        </is>
      </c>
      <c r="C8" s="36" t="n">
        <v>140</v>
      </c>
      <c r="E8" s="23" t="inlineStr">
        <is>
          <t>Photography</t>
        </is>
      </c>
      <c r="F8" s="23" t="inlineStr">
        <is>
          <t>Photographer</t>
        </is>
      </c>
      <c r="G8" s="23" t="inlineStr">
        <is>
          <t>In Progress</t>
        </is>
      </c>
      <c r="H8" s="23" t="inlineStr">
        <is>
          <t>Chicken</t>
        </is>
      </c>
      <c r="I8" s="23" t="inlineStr">
        <is>
          <t>Medium</t>
        </is>
      </c>
      <c r="J8" s="23" t="inlineStr">
        <is>
          <t>Modern</t>
        </is>
      </c>
    </row>
    <row r="9">
      <c r="B9" s="13" t="inlineStr">
        <is>
          <t>Number of Tables</t>
        </is>
      </c>
      <c r="C9" s="36" t="n">
        <v>16</v>
      </c>
      <c r="E9" s="23" t="inlineStr">
        <is>
          <t>Videography</t>
        </is>
      </c>
      <c r="F9" s="23" t="inlineStr">
        <is>
          <t>Videographer</t>
        </is>
      </c>
      <c r="G9" s="23" t="inlineStr">
        <is>
          <t>Booked</t>
        </is>
      </c>
      <c r="H9" s="23" t="inlineStr">
        <is>
          <t>Fish</t>
        </is>
      </c>
      <c r="I9" s="23" t="inlineStr">
        <is>
          <t>Low</t>
        </is>
      </c>
      <c r="J9" s="23" t="inlineStr">
        <is>
          <t>Rustic</t>
        </is>
      </c>
    </row>
    <row r="10">
      <c r="B10" s="13" t="inlineStr">
        <is>
          <t>Seats Per Table</t>
        </is>
      </c>
      <c r="C10" s="36" t="n">
        <v>10</v>
      </c>
      <c r="E10" s="23" t="inlineStr">
        <is>
          <t>Florist</t>
        </is>
      </c>
      <c r="F10" s="23" t="inlineStr">
        <is>
          <t>DJ</t>
        </is>
      </c>
      <c r="G10" s="23" t="inlineStr">
        <is>
          <t>Complete</t>
        </is>
      </c>
      <c r="H10" s="23" t="inlineStr">
        <is>
          <t>Vegetarian</t>
        </is>
      </c>
      <c r="J10" s="23" t="inlineStr">
        <is>
          <t>Boho</t>
        </is>
      </c>
    </row>
    <row r="11">
      <c r="B11" s="13" t="inlineStr">
        <is>
          <t>Monthly Savings</t>
        </is>
      </c>
      <c r="C11" s="24" t="n">
        <v>1500</v>
      </c>
      <c r="E11" s="23" t="inlineStr">
        <is>
          <t>Cake</t>
        </is>
      </c>
      <c r="F11" s="23" t="inlineStr">
        <is>
          <t>Band</t>
        </is>
      </c>
      <c r="G11" s="23" t="inlineStr">
        <is>
          <t>Overdue</t>
        </is>
      </c>
      <c r="H11" s="23" t="inlineStr">
        <is>
          <t>Vegan</t>
        </is>
      </c>
      <c r="J11" s="23" t="inlineStr">
        <is>
          <t>Glam</t>
        </is>
      </c>
    </row>
    <row r="12">
      <c r="B12" s="13" t="inlineStr">
        <is>
          <t>Tax Rate</t>
        </is>
      </c>
      <c r="C12" s="58" t="n">
        <v>0.08</v>
      </c>
      <c r="E12" s="23" t="inlineStr">
        <is>
          <t>Decor</t>
        </is>
      </c>
      <c r="F12" s="23" t="inlineStr">
        <is>
          <t>Florist</t>
        </is>
      </c>
      <c r="H12" s="23" t="inlineStr">
        <is>
          <t>Kids</t>
        </is>
      </c>
      <c r="J12" s="23" t="inlineStr">
        <is>
          <t>Garden</t>
        </is>
      </c>
    </row>
    <row r="13">
      <c r="B13" s="13" t="inlineStr">
        <is>
          <t>Today (auto)</t>
        </is>
      </c>
      <c r="C13" s="57">
        <f>TODAY()</f>
        <v/>
      </c>
      <c r="E13" s="23" t="inlineStr">
        <is>
          <t>Dress</t>
        </is>
      </c>
      <c r="F13" s="23" t="inlineStr">
        <is>
          <t>Cake</t>
        </is>
      </c>
      <c r="H13" s="23" t="inlineStr">
        <is>
          <t>None</t>
        </is>
      </c>
      <c r="J13" s="23" t="inlineStr">
        <is>
          <t>Beach</t>
        </is>
      </c>
    </row>
    <row r="14">
      <c r="E14" s="23" t="inlineStr">
        <is>
          <t>Suit</t>
        </is>
      </c>
      <c r="F14" s="23" t="inlineStr">
        <is>
          <t>Officiant</t>
        </is>
      </c>
      <c r="J14" s="23" t="inlineStr">
        <is>
          <t>Vintage</t>
        </is>
      </c>
    </row>
    <row r="15">
      <c r="E15" s="23" t="inlineStr">
        <is>
          <t>Jewelry</t>
        </is>
      </c>
      <c r="F15" s="23" t="inlineStr">
        <is>
          <t>Transportation</t>
        </is>
      </c>
      <c r="J15" s="23" t="inlineStr">
        <is>
          <t>Minimalist</t>
        </is>
      </c>
    </row>
    <row r="16">
      <c r="E16" s="23" t="inlineStr">
        <is>
          <t>Hair</t>
        </is>
      </c>
      <c r="F16" s="23" t="inlineStr">
        <is>
          <t>Hair</t>
        </is>
      </c>
      <c r="J16" s="23" t="inlineStr">
        <is>
          <t>Destination</t>
        </is>
      </c>
    </row>
    <row r="17">
      <c r="E17" s="23" t="inlineStr">
        <is>
          <t>Makeup</t>
        </is>
      </c>
      <c r="F17" s="23" t="inlineStr">
        <is>
          <t>Makeup</t>
        </is>
      </c>
    </row>
    <row r="18">
      <c r="E18" s="23" t="inlineStr">
        <is>
          <t>Invitations</t>
        </is>
      </c>
      <c r="F18" s="23" t="inlineStr">
        <is>
          <t>Decor</t>
        </is>
      </c>
    </row>
    <row r="19">
      <c r="E19" s="23" t="inlineStr">
        <is>
          <t>Transportation</t>
        </is>
      </c>
      <c r="F19" s="23" t="inlineStr">
        <is>
          <t>Rental Company</t>
        </is>
      </c>
    </row>
    <row r="20">
      <c r="E20" s="23" t="inlineStr">
        <is>
          <t>Accommodation</t>
        </is>
      </c>
      <c r="F20" s="23" t="inlineStr">
        <is>
          <t>Planner</t>
        </is>
      </c>
    </row>
    <row r="21">
      <c r="E21" s="23" t="inlineStr">
        <is>
          <t>Entertainment</t>
        </is>
      </c>
      <c r="F21" s="23" t="inlineStr">
        <is>
          <t>Caterer</t>
        </is>
      </c>
    </row>
    <row r="22">
      <c r="E22" s="23" t="inlineStr">
        <is>
          <t>Music</t>
        </is>
      </c>
      <c r="F22" s="23" t="inlineStr">
        <is>
          <t>Stationery</t>
        </is>
      </c>
    </row>
    <row r="23">
      <c r="E23" s="23" t="inlineStr">
        <is>
          <t>Catering</t>
        </is>
      </c>
    </row>
    <row r="24">
      <c r="E24" s="23" t="inlineStr">
        <is>
          <t>Bar</t>
        </is>
      </c>
    </row>
    <row r="25">
      <c r="E25" s="23" t="inlineStr">
        <is>
          <t>Flowers</t>
        </is>
      </c>
    </row>
    <row r="26">
      <c r="E26" s="16" t="inlineStr">
        <is>
          <t>RSVP Status</t>
        </is>
      </c>
      <c r="F26" s="16" t="inlineStr">
        <is>
          <t>Contract Status</t>
        </is>
      </c>
      <c r="G26" s="16" t="inlineStr">
        <is>
          <t>Payment Methods</t>
        </is>
      </c>
      <c r="H26" s="16" t="inlineStr">
        <is>
          <t>Relationships</t>
        </is>
      </c>
      <c r="I26" s="16" t="inlineStr">
        <is>
          <t>Yes / No</t>
        </is>
      </c>
      <c r="J26" s="16" t="inlineStr">
        <is>
          <t>Timeline Phases</t>
        </is>
      </c>
    </row>
    <row r="27">
      <c r="E27" s="23" t="inlineStr">
        <is>
          <t>Pending</t>
        </is>
      </c>
      <c r="F27" s="23" t="inlineStr">
        <is>
          <t>Signed</t>
        </is>
      </c>
      <c r="G27" s="23" t="inlineStr">
        <is>
          <t>Card</t>
        </is>
      </c>
      <c r="H27" s="23" t="inlineStr">
        <is>
          <t>Family</t>
        </is>
      </c>
      <c r="I27" s="23" t="inlineStr">
        <is>
          <t>Yes</t>
        </is>
      </c>
      <c r="J27" s="23" t="inlineStr">
        <is>
          <t>18 Months</t>
        </is>
      </c>
    </row>
    <row r="28">
      <c r="E28" s="23" t="inlineStr">
        <is>
          <t>Accepted</t>
        </is>
      </c>
      <c r="F28" s="23" t="inlineStr">
        <is>
          <t>Pending</t>
        </is>
      </c>
      <c r="G28" s="23" t="inlineStr">
        <is>
          <t>Bank Transfer</t>
        </is>
      </c>
      <c r="H28" s="23" t="inlineStr">
        <is>
          <t>Friend</t>
        </is>
      </c>
      <c r="I28" s="23" t="inlineStr">
        <is>
          <t>No</t>
        </is>
      </c>
      <c r="J28" s="23" t="inlineStr">
        <is>
          <t>12 Months</t>
        </is>
      </c>
    </row>
    <row r="29">
      <c r="E29" s="23" t="inlineStr">
        <is>
          <t>Declined</t>
        </is>
      </c>
      <c r="F29" s="23" t="inlineStr">
        <is>
          <t>Sent</t>
        </is>
      </c>
      <c r="G29" s="23" t="inlineStr">
        <is>
          <t>Check</t>
        </is>
      </c>
      <c r="H29" s="23" t="inlineStr">
        <is>
          <t>Work</t>
        </is>
      </c>
      <c r="J29" s="23" t="inlineStr">
        <is>
          <t>9 Months</t>
        </is>
      </c>
    </row>
    <row r="30">
      <c r="F30" s="23" t="inlineStr">
        <is>
          <t>Not Started</t>
        </is>
      </c>
      <c r="G30" s="23" t="inlineStr">
        <is>
          <t>Cash</t>
        </is>
      </c>
      <c r="H30" s="23" t="inlineStr">
        <is>
          <t>Partner Family</t>
        </is>
      </c>
      <c r="J30" s="23" t="inlineStr">
        <is>
          <t>6 Months</t>
        </is>
      </c>
    </row>
    <row r="31">
      <c r="G31" s="23" t="inlineStr">
        <is>
          <t>PayPal</t>
        </is>
      </c>
      <c r="H31" s="23" t="inlineStr">
        <is>
          <t>Plus One</t>
        </is>
      </c>
      <c r="J31" s="23" t="inlineStr">
        <is>
          <t>3 Months</t>
        </is>
      </c>
    </row>
    <row r="32">
      <c r="G32" s="23" t="inlineStr">
        <is>
          <t>Venmo</t>
        </is>
      </c>
      <c r="H32" s="23" t="inlineStr">
        <is>
          <t>Vendor</t>
        </is>
      </c>
      <c r="J32" s="23" t="inlineStr">
        <is>
          <t>1 Month</t>
        </is>
      </c>
    </row>
    <row r="33">
      <c r="J33" s="23" t="inlineStr">
        <is>
          <t>2 Weeks</t>
        </is>
      </c>
    </row>
    <row r="34">
      <c r="J34" s="23" t="inlineStr">
        <is>
          <t>Wedding Week</t>
        </is>
      </c>
    </row>
    <row r="35">
      <c r="J35" s="23" t="inlineStr">
        <is>
          <t>Wedding Day</t>
        </is>
      </c>
    </row>
    <row r="36">
      <c r="J36" s="23" t="inlineStr">
        <is>
          <t>Post Wedding</t>
        </is>
      </c>
    </row>
  </sheetData>
  <mergeCells count="4">
    <mergeCell ref="A1:J1"/>
    <mergeCell ref="B5:C5"/>
    <mergeCell ref="E5:J5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2026-06-29T03:23:25Z</dcterms:created>
  <dcterms:modified xsi:type="dcterms:W3CDTF">2026-06-29T03:23:25Z</dcterms:modified>
</cp:coreProperties>
</file>