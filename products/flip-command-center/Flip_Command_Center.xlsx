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Deal Analyzer" sheetId="3" state="visible" r:id="rId3"/>
    <sheet name="Property Details" sheetId="4" state="visible" r:id="rId4"/>
    <sheet name="Rehab Budget" sheetId="5" state="visible" r:id="rId5"/>
    <sheet name="Scope of Work" sheetId="6" state="visible" r:id="rId6"/>
    <sheet name="Contractors" sheetId="7" state="visible" r:id="rId7"/>
    <sheet name="Draws &amp; Payments" sheetId="8" state="visible" r:id="rId8"/>
    <sheet name="Materials" sheetId="9" state="visible" r:id="rId9"/>
    <sheet name="Timeline" sheetId="10" state="visible" r:id="rId10"/>
    <sheet name="Holding Costs" sheetId="11" state="visible" r:id="rId11"/>
    <sheet name="Financing" sheetId="12" state="visible" r:id="rId12"/>
    <sheet name="Comps &amp; ARV" sheetId="13" state="visible" r:id="rId13"/>
    <sheet name="Selling &amp; Exit" sheetId="14" state="visible" r:id="rId14"/>
    <sheet name="Punch List" sheetId="15" state="visible" r:id="rId15"/>
    <sheet name="Photo Log" sheetId="16" state="visible" r:id="rId16"/>
    <sheet name="Settings" sheetId="17" state="visible" r:id="rId17"/>
  </sheets>
  <definedNames>
    <definedName name="ProjectName">Settings!$C$6</definedName>
    <definedName name="Investor">Settings!$C$7</definedName>
    <definedName name="PurchaseDate">Settings!$C$8</definedName>
    <definedName name="TargetSell">Settings!$C$9</definedName>
    <definedName name="ProfitTarget">Settings!$C$10</definedName>
    <definedName name="ROITarget">Settings!$C$11</definedName>
    <definedName name="TaskStatusList">Settings!$E$7:$E$9</definedName>
    <definedName name="PhaseStatusList">Settings!$F$7:$F$9</definedName>
    <definedName name="PayStatusList">Settings!$G$7:$G$9</definedName>
    <definedName name="MatStatusList">Settings!$H$7:$H$9</definedName>
    <definedName name="BidStatusList">Settings!$I$7:$I$9</definedName>
    <definedName name="TradeList">Settings!$J$7:$J$18</definedName>
    <definedName name="RoomList">Settings!$K$7:$K$16</definedName>
    <definedName name="ARV">'Deal Analyzer'!$C$6</definedName>
    <definedName name="PurchasePrice">'Deal Analyzer'!$C$7</definedName>
    <definedName name="BuyClosing">'Deal Analyzer'!$C$9</definedName>
    <definedName name="HoldMonths">'Deal Analyzer'!$C$10</definedName>
    <definedName name="SellCostPct">'Deal Analyzer'!$C$11</definedName>
    <definedName name="LoanLTV">'Deal Analyzer'!$C$12</definedName>
    <definedName name="LoanRate">'Deal Analyzer'!$C$13</definedName>
    <definedName name="Rule70">'Deal Analyzer'!$C$14</definedName>
    <definedName name="LoanAmount">'Deal Analyzer'!$F$6</definedName>
    <definedName name="DownPayment">'Deal Analyzer'!$F$7</definedName>
    <definedName name="SellingCosts">'Deal Analyzer'!$F$9</definedName>
    <definedName name="AllInCost">'Deal Analyzer'!$F$10</definedName>
    <definedName name="CashInvested">'Deal Analyzer'!$F$11</definedName>
    <definedName name="ProjectedProfit">'Deal Analyzer'!$F$12</definedName>
    <definedName name="CashOnCash">'Deal Analyzer'!$F$13</definedName>
    <definedName name="ReturnOnCost">'Deal Analyzer'!$F$14</definedName>
    <definedName name="MAO70">'Deal Analyzer'!$F$15</definedName>
    <definedName name="RehabCat">'Rehab Budget'!$B$5:$B$15</definedName>
    <definedName name="RehabPlanned">'Rehab Budget'!$C$5:$C$15</definedName>
    <definedName name="RehabActual">'Rehab Budget'!$D$5:$D$15</definedName>
    <definedName name="RehabBudget">'Rehab Budget'!$C$16</definedName>
    <definedName name="RehabSpent">'Rehab Budget'!$D$16</definedName>
    <definedName name="TaskName">'Scope of Work'!$B$5:$B$49</definedName>
    <definedName name="TaskStatus">'Scope of Work'!$D$5:$D$49</definedName>
    <definedName name="PayAmount">'Draws &amp; Payments'!$D$5:$D$44</definedName>
    <definedName name="PayStatus">'Draws &amp; Payments'!$E$5:$E$44</definedName>
    <definedName name="PaidToDate">'Draws &amp; Payments'!$D$45</definedName>
    <definedName name="PhaseName">'Timeline'!$A$5:$A$24</definedName>
    <definedName name="PhaseStatus">'Timeline'!$D$5:$D$24</definedName>
    <definedName name="HoldingMonthly">'Holding Costs'!$C$10</definedName>
    <definedName name="HoldingTotal">'Holding Costs'!$D$10</definedName>
    <definedName name="CompPrice">'Comps &amp; ARV'!$D$5:$D$16</definedName>
    <definedName name="HealthRange">'Dashboard'!$C$13:$C$18</definedName>
  </definedNames>
  <calcPr calcId="124519" fullCalcOnLoad="1"/>
</workbook>
</file>

<file path=xl/styles.xml><?xml version="1.0" encoding="utf-8"?>
<styleSheet xmlns="http://schemas.openxmlformats.org/spreadsheetml/2006/main">
  <numFmts count="5">
    <numFmt numFmtId="164" formatCode="yyyy-mm-dd"/>
    <numFmt numFmtId="165" formatCode="mm/dd/yyyy"/>
    <numFmt numFmtId="166" formatCode="&quot;$&quot;#,##0"/>
    <numFmt numFmtId="167" formatCode="0.0%"/>
    <numFmt numFmtId="168" formatCode="&quot;$&quot;#,##0;[Red]-&quot;$&quot;#,##0"/>
  </numFmts>
  <fonts count="16">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name val="Calibri"/>
      <b val="1"/>
      <i val="1"/>
      <color rgb="00937356"/>
      <sz val="11"/>
    </font>
    <font>
      <color rgb="00333333"/>
      <sz val="11"/>
    </font>
    <font>
      <b val="1"/>
      <color rgb="001B4F48"/>
      <sz val="13"/>
    </font>
    <font>
      <b val="1"/>
      <color rgb="001B4F48"/>
    </font>
    <font>
      <b val="1"/>
      <color rgb="00937356"/>
      <sz val="9"/>
    </font>
    <font>
      <b val="1"/>
      <color rgb="001B4F48"/>
      <sz val="18"/>
    </font>
    <font>
      <b val="1"/>
      <color rgb="001B4F48"/>
      <sz val="14"/>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5">
    <border>
      <left/>
      <right/>
      <top/>
      <bottom/>
      <diagonal/>
    </border>
    <border/>
    <border>
      <left style="thin">
        <color rgb="00D6D2C8"/>
      </left>
      <right style="thin">
        <color rgb="00D6D2C8"/>
      </right>
      <top style="thin">
        <color rgb="00D6D2C8"/>
      </top>
      <bottom style="thin">
        <color rgb="00D6D2C8"/>
      </bottom>
    </border>
    <border>
      <left style="medium">
        <color rgb="00C9A86A"/>
      </left>
      <right style="medium">
        <color rgb="00C9A86A"/>
      </right>
      <top style="medium">
        <color rgb="00C9A86A"/>
      </top>
      <bottom style="medium">
        <color rgb="00C9A86A"/>
      </bottom>
    </border>
    <border>
      <left style="thin">
        <color rgb="00D6D2C8"/>
      </left>
      <right style="thin">
        <color rgb="00D6D2C8"/>
      </right>
      <top style="medium">
        <color rgb="00C9A86A"/>
      </top>
      <bottom style="thin">
        <color rgb="00D6D2C8"/>
      </bottom>
    </border>
  </borders>
  <cellStyleXfs count="13">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9" fillId="4" borderId="3" applyAlignment="1">
      <alignment horizontal="center" vertical="center" wrapText="1"/>
    </xf>
    <xf numFmtId="0" fontId="6" fillId="0" borderId="1" applyAlignment="1">
      <alignment horizontal="left" vertical="top" wrapText="1" indent="1"/>
    </xf>
  </cellStyleXfs>
  <cellXfs count="58">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2">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2">
      <alignment horizontal="left" vertical="top" wrapText="1" indent="1"/>
    </xf>
    <xf numFmtId="0" fontId="5" fillId="2" borderId="2" applyAlignment="1" pivotButton="0" quotePrefix="0" xfId="5">
      <alignment horizontal="center" vertical="center" wrapText="1"/>
    </xf>
    <xf numFmtId="0" fontId="10" fillId="7" borderId="2" applyAlignment="1" pivotButton="0" quotePrefix="0" xfId="0">
      <alignment horizontal="left" vertical="top" wrapText="1" indent="1"/>
    </xf>
    <xf numFmtId="0" fontId="0" fillId="7" borderId="0" pivotButton="0" quotePrefix="0" xfId="0"/>
    <xf numFmtId="0" fontId="13" fillId="9" borderId="4" applyAlignment="1" pivotButton="0" quotePrefix="0" xfId="0">
      <alignment horizontal="center" vertical="center"/>
    </xf>
    <xf numFmtId="0" fontId="0" fillId="9" borderId="4" pivotButton="0" quotePrefix="0" xfId="0"/>
    <xf numFmtId="166" fontId="14" fillId="9" borderId="2" applyAlignment="1" pivotButton="0" quotePrefix="0" xfId="0">
      <alignment horizontal="center" vertical="center"/>
    </xf>
    <xf numFmtId="0" fontId="0" fillId="9" borderId="2" pivotButton="0" quotePrefix="0" xfId="0"/>
    <xf numFmtId="9" fontId="14" fillId="9" borderId="2" applyAlignment="1" pivotButton="0" quotePrefix="0" xfId="0">
      <alignment horizontal="center" vertical="center"/>
    </xf>
    <xf numFmtId="0" fontId="15"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166" fontId="7" fillId="3" borderId="2" applyAlignment="1" pivotButton="0" quotePrefix="0" xfId="8">
      <alignment horizontal="center" vertical="center"/>
    </xf>
    <xf numFmtId="166" fontId="7" fillId="0" borderId="2" applyAlignment="1" pivotButton="0" quotePrefix="0" xfId="10">
      <alignment horizontal="left" vertical="center" indent="1"/>
    </xf>
    <xf numFmtId="1" fontId="7" fillId="3" borderId="2" applyAlignment="1" pivotButton="0" quotePrefix="0" xfId="8">
      <alignment horizontal="center" vertical="center"/>
    </xf>
    <xf numFmtId="9" fontId="7" fillId="3" borderId="2" applyAlignment="1" pivotButton="0" quotePrefix="0" xfId="8">
      <alignment horizontal="center" vertical="center"/>
    </xf>
    <xf numFmtId="166" fontId="7" fillId="6" borderId="2" applyAlignment="1" pivotButton="0" quotePrefix="0" xfId="10">
      <alignment horizontal="left" vertical="center" indent="1"/>
    </xf>
    <xf numFmtId="167" fontId="7" fillId="3" borderId="2" applyAlignment="1" pivotButton="0" quotePrefix="0" xfId="8">
      <alignment horizontal="center" vertical="center"/>
    </xf>
    <xf numFmtId="9" fontId="7" fillId="6" borderId="2" applyAlignment="1" pivotButton="0" quotePrefix="0" xfId="10">
      <alignment horizontal="left" vertical="center" indent="1"/>
    </xf>
    <xf numFmtId="9" fontId="7" fillId="0" borderId="2" applyAlignment="1" pivotButton="0" quotePrefix="0" xfId="10">
      <alignment horizontal="left" vertical="center" indent="1"/>
    </xf>
    <xf numFmtId="0" fontId="11" fillId="6" borderId="2" applyAlignment="1" pivotButton="0" quotePrefix="0" xfId="0">
      <alignment horizontal="center" vertical="center" wrapText="1"/>
    </xf>
    <xf numFmtId="0" fontId="0" fillId="6" borderId="2" pivotButton="0" quotePrefix="0" xfId="0"/>
    <xf numFmtId="0" fontId="7" fillId="0" borderId="2" applyAlignment="1" pivotButton="0" quotePrefix="0" xfId="10">
      <alignment horizontal="left" vertical="center" indent="1"/>
    </xf>
    <xf numFmtId="168" fontId="6" fillId="0" borderId="2" applyAlignment="1" pivotButton="0" quotePrefix="0" xfId="6">
      <alignment horizontal="center" vertical="center" wrapText="1"/>
    </xf>
    <xf numFmtId="166" fontId="7" fillId="8" borderId="2" applyAlignment="1" pivotButton="0" quotePrefix="0" xfId="8">
      <alignment horizontal="center" vertical="center"/>
    </xf>
    <xf numFmtId="168" fontId="6" fillId="8" borderId="2" applyAlignment="1" pivotButton="0" quotePrefix="0" xfId="6">
      <alignment horizontal="center" vertical="center" wrapText="1"/>
    </xf>
    <xf numFmtId="166" fontId="12" fillId="3" borderId="2" applyAlignment="1" pivotButton="0" quotePrefix="0" xfId="6">
      <alignment horizontal="center" vertical="center" wrapText="1"/>
    </xf>
    <xf numFmtId="9" fontId="12" fillId="3" borderId="2" applyAlignment="1" pivotButton="0" quotePrefix="0" xfId="6">
      <alignment horizontal="center" vertical="center" wrapText="1"/>
    </xf>
    <xf numFmtId="0" fontId="6" fillId="9" borderId="2" applyAlignment="1" pivotButton="0" quotePrefix="0" xfId="6">
      <alignment horizontal="center" vertical="center" wrapText="1"/>
    </xf>
    <xf numFmtId="0" fontId="6" fillId="9" borderId="2" applyAlignment="1" pivotButton="0" quotePrefix="0" xfId="7">
      <alignment horizontal="left" vertical="center" wrapText="1" indent="1"/>
    </xf>
    <xf numFmtId="166" fontId="6" fillId="9" borderId="2" applyAlignment="1" pivotButton="0" quotePrefix="0" xfId="6">
      <alignment horizontal="center" vertical="center" wrapText="1"/>
    </xf>
    <xf numFmtId="166" fontId="6" fillId="8" borderId="2" applyAlignment="1" pivotButton="0" quotePrefix="0" xfId="6">
      <alignment horizontal="center" vertical="center" wrapText="1"/>
    </xf>
    <xf numFmtId="165" fontId="6" fillId="9" borderId="2" applyAlignment="1" pivotButton="0" quotePrefix="0" xfId="6">
      <alignment horizontal="center" vertical="center" wrapText="1"/>
    </xf>
    <xf numFmtId="165" fontId="6" fillId="8" borderId="2" applyAlignment="1" pivotButton="0" quotePrefix="0" xfId="6">
      <alignment horizontal="center" vertical="center" wrapText="1"/>
    </xf>
    <xf numFmtId="0" fontId="6" fillId="3" borderId="2" applyAlignment="1" pivotButton="0" quotePrefix="0" xfId="6">
      <alignment horizontal="center" vertical="center" wrapText="1"/>
    </xf>
    <xf numFmtId="166" fontId="6" fillId="0" borderId="2" applyAlignment="1" pivotButton="0" quotePrefix="0" xfId="6">
      <alignment horizontal="center" vertical="center" wrapText="1"/>
    </xf>
    <xf numFmtId="167" fontId="7" fillId="0" borderId="2" applyAlignment="1" pivotButton="0" quotePrefix="0" xfId="10">
      <alignment horizontal="left" vertical="center" indent="1"/>
    </xf>
    <xf numFmtId="3" fontId="6" fillId="9" borderId="2" applyAlignment="1" pivotButton="0" quotePrefix="0" xfId="6">
      <alignment horizontal="center" vertical="center" wrapText="1"/>
    </xf>
    <xf numFmtId="3" fontId="6" fillId="8" borderId="2" applyAlignment="1" pivotButton="0" quotePrefix="0" xfId="6">
      <alignment horizontal="center" vertical="center" wrapText="1"/>
    </xf>
    <xf numFmtId="0" fontId="6" fillId="3" borderId="2" applyAlignment="1" pivotButton="0" quotePrefix="0" xfId="7">
      <alignment horizontal="left" vertical="center" wrapText="1" indent="1"/>
    </xf>
    <xf numFmtId="0" fontId="6" fillId="7" borderId="2" applyAlignment="1" pivotButton="0" quotePrefix="0" xfId="12">
      <alignment horizontal="left" vertical="top" wrapText="1" indent="1"/>
    </xf>
    <xf numFmtId="0" fontId="9" fillId="4" borderId="3" applyAlignment="1" pivotButton="0" quotePrefix="0" xfId="11">
      <alignment horizontal="center" vertical="center" wrapText="1"/>
    </xf>
    <xf numFmtId="0" fontId="6" fillId="4" borderId="2" applyAlignment="1" pivotButton="0" quotePrefix="0" xfId="7">
      <alignment horizontal="left" vertical="center" wrapText="1" indent="1"/>
    </xf>
    <xf numFmtId="0" fontId="7" fillId="3" borderId="2" applyAlignment="1" pivotButton="0" quotePrefix="0" xfId="8">
      <alignment horizontal="center" vertical="center"/>
    </xf>
    <xf numFmtId="165" fontId="7" fillId="3" borderId="2" applyAlignment="1" pivotButton="0" quotePrefix="0" xfId="8">
      <alignment horizontal="center" vertical="center"/>
    </xf>
  </cellXfs>
  <cellStyles count="13">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imgbox" xfId="11" hidden="0"/>
    <cellStyle name="body" xfId="12" hidden="0"/>
  </cellStyles>
  <dxfs count="4">
    <dxf>
      <fill>
        <patternFill patternType="solid">
          <fgColor rgb="00FBE6E6"/>
        </patternFill>
      </fill>
    </dxf>
    <dxf>
      <fill>
        <patternFill patternType="solid">
          <fgColor rgb="00E3F8EF"/>
        </patternFill>
      </fill>
    </dxf>
    <dxf>
      <fill>
        <patternFill patternType="solid">
          <fgColor rgb="00FBF0E2"/>
        </patternFill>
      </fill>
    </dxf>
    <dxf>
      <fill>
        <patternFill patternType="solid">
          <f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Rehab: Planned vs Actual</a:t>
            </a:r>
          </a:p>
        </rich>
      </tx>
    </title>
    <plotArea>
      <barChart>
        <barDir val="col"/>
        <grouping val="clustered"/>
        <ser>
          <idx val="0"/>
          <order val="0"/>
          <tx>
            <strRef>
              <f>'Rehab Budget'!C4</f>
            </strRef>
          </tx>
          <spPr>
            <a:ln>
              <a:prstDash val="solid"/>
            </a:ln>
          </spPr>
          <cat>
            <numRef>
              <f>'Rehab Budget'!$B$5:$B$15</f>
            </numRef>
          </cat>
          <val>
            <numRef>
              <f>'Rehab Budget'!$C$5:$C$15</f>
            </numRef>
          </val>
        </ser>
        <ser>
          <idx val="1"/>
          <order val="1"/>
          <tx>
            <strRef>
              <f>'Rehab Budget'!D4</f>
            </strRef>
          </tx>
          <spPr>
            <a:ln>
              <a:prstDash val="solid"/>
            </a:ln>
          </spPr>
          <cat>
            <numRef>
              <f>'Rehab Budget'!$B$5:$B$15</f>
            </numRef>
          </cat>
          <val>
            <numRef>
              <f>'Rehab Budget'!$D$5:$D$15</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HOME RENOVATION &amp; FLIP COMMAND CENTER™</t>
        </is>
      </c>
    </row>
    <row r="2" ht="24" customHeight="1">
      <c r="A2" s="2" t="inlineStr">
        <is>
          <t xml:space="preserve">  Analyze the deal, run the rehab, hit your number — one system from offer to sold.</t>
        </is>
      </c>
    </row>
    <row r="3" ht="6" customHeight="1">
      <c r="A3" s="3" t="n"/>
      <c r="B3" s="3" t="n"/>
      <c r="C3" s="3" t="n"/>
    </row>
    <row r="5">
      <c r="B5" s="4" t="inlineStr">
        <is>
          <t>YOUR WHOLE FLIP, IN ONE PLACE</t>
        </is>
      </c>
    </row>
    <row r="6" ht="22" customHeight="1">
      <c r="B6" s="5" t="inlineStr">
        <is>
          <t>A deal analyzer that runs the 70% rule, all-in cost, cash-on-cash ROI and projected profit in seconds — plus a rehab budget (planned vs actual by category), scope of work, contractor directory, draw schedule, materials list, timeline, holding costs, financing, comps &amp; ARV, a selling/exit calculator and a before/after photo log. Whether it's your first flip or your fiftieth, know your number before you buy — and protect it all the way to the closing table.</t>
        </is>
      </c>
    </row>
    <row r="7" ht="22" customHeight="1">
      <c r="B7" s="6" t="n"/>
    </row>
    <row r="8" ht="22" customHeight="1">
      <c r="B8" s="6" t="n"/>
    </row>
    <row r="9" ht="22" customHeight="1">
      <c r="B9" s="6" t="n"/>
    </row>
    <row r="11">
      <c r="B11" s="7" t="inlineStr">
        <is>
          <t>START HERE — 6 QUICK STEPS</t>
        </is>
      </c>
    </row>
    <row r="12" ht="22" customHeight="1">
      <c r="B12" s="8" t="inlineStr">
        <is>
          <t>1.  Open the Deal Analyzer — enter ARV, purchase price &amp; rehab budget.</t>
        </is>
      </c>
    </row>
    <row r="13" ht="22" customHeight="1">
      <c r="B13" s="8" t="inlineStr">
        <is>
          <t>2.  It runs the 70% rule, all-in cost, profit &amp; ROI, and gives you a BUY / PASS verdict.</t>
        </is>
      </c>
    </row>
    <row r="14" ht="22" customHeight="1">
      <c r="B14" s="8" t="inlineStr">
        <is>
          <t>3.  Build the Rehab Budget by category and the Scope of Work room by room.</t>
        </is>
      </c>
    </row>
    <row r="15" ht="22" customHeight="1">
      <c r="B15" s="8" t="inlineStr">
        <is>
          <t>4.  Load contractors, the draw schedule, materials &amp; the project timeline.</t>
        </is>
      </c>
    </row>
    <row r="16" ht="22" customHeight="1">
      <c r="B16" s="8" t="inlineStr">
        <is>
          <t>5.  As work happens, log actual costs &amp; payments and check off tasks.</t>
        </is>
      </c>
    </row>
    <row r="17" ht="22" customHeight="1">
      <c r="B17" s="8" t="inlineStr">
        <is>
          <t>6.  Watch the Dashboard track profit, budget-used, ROI &amp; a Deal Score live.</t>
        </is>
      </c>
    </row>
    <row r="20" ht="26" customHeight="1">
      <c r="B20" s="9" t="inlineStr">
        <is>
          <t xml:space="preserve">  GOOD TO KNOW</t>
        </is>
      </c>
    </row>
    <row r="21" ht="22" customHeight="1">
      <c r="B21" s="10" t="inlineStr">
        <is>
          <t>A sample deal (the Maplewood Flip) is included so you can see how it all connects — just type over it with your own numbers. The Deal Analyzer, rehab budget, holding costs and selling costs all roll into one projected profit, ROI and Deal Score. Twelve matching printable pages (deal analyzer, rehab budget, scope of work, draw schedule, punch list &amp; more) are included for the job-site binder. This is a planning &amp; analysis tool, not financial, tax or investment advice — run your own numbers and confirm local costs, permits and market comps.</t>
        </is>
      </c>
    </row>
    <row r="22" ht="22" customHeight="1">
      <c r="B22" s="11" t="n"/>
    </row>
    <row r="23" ht="22" customHeight="1">
      <c r="B23" s="11" t="n"/>
    </row>
    <row r="25">
      <c r="B25" s="4" t="inlineStr">
        <is>
          <t>Know your number before you buy — then protect it to the closing table.</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HOME RENOVATION &amp; FLIP COMMAND CENTER™</t>
        </is>
      </c>
    </row>
    <row r="2" ht="24" customHeight="1">
      <c r="A2" s="2" t="inlineStr">
        <is>
          <t xml:space="preserve">  Profit, ROI, budget &amp; timeline — your whole flip, from offer to sold, on one screen.</t>
        </is>
      </c>
    </row>
    <row r="3" ht="6" customHeight="1">
      <c r="A3" s="3" t="n"/>
      <c r="B3" s="3" t="n"/>
      <c r="C3" s="3" t="n"/>
      <c r="D3" s="3" t="n"/>
      <c r="E3" s="3" t="n"/>
      <c r="F3" s="3" t="n"/>
      <c r="G3" s="3" t="n"/>
      <c r="H3" s="3" t="n"/>
      <c r="I3" s="3" t="n"/>
      <c r="J3" s="3" t="n"/>
      <c r="K3" s="3" t="n"/>
      <c r="L3" s="3" t="n"/>
      <c r="M3" s="3" t="n"/>
      <c r="N3" s="3" t="n"/>
    </row>
    <row r="5" ht="18" customHeight="1">
      <c r="B5" s="12" t="inlineStr">
        <is>
          <t>ARV</t>
        </is>
      </c>
      <c r="C5" s="13" t="n"/>
      <c r="D5" s="12" t="inlineStr">
        <is>
          <t>PURCHASE</t>
        </is>
      </c>
      <c r="E5" s="13" t="n"/>
      <c r="F5" s="12" t="inlineStr">
        <is>
          <t>REHAB BUDGET</t>
        </is>
      </c>
      <c r="G5" s="13" t="n"/>
      <c r="H5" s="12" t="inlineStr">
        <is>
          <t>ALL-IN COST</t>
        </is>
      </c>
      <c r="I5" s="13" t="n"/>
      <c r="J5" s="12" t="inlineStr">
        <is>
          <t>PROJECTED PROFIT</t>
        </is>
      </c>
      <c r="K5" s="13" t="n"/>
      <c r="L5" s="12" t="inlineStr">
        <is>
          <t>CASH-ON-CASH ROI</t>
        </is>
      </c>
      <c r="M5" s="13" t="n"/>
    </row>
    <row r="6" ht="40" customHeight="1">
      <c r="B6" s="14">
        <f>ARV</f>
        <v/>
      </c>
      <c r="C6" s="15" t="n"/>
      <c r="D6" s="14">
        <f>PurchasePrice</f>
        <v/>
      </c>
      <c r="E6" s="15" t="n"/>
      <c r="F6" s="14">
        <f>RehabBudget</f>
        <v/>
      </c>
      <c r="G6" s="15" t="n"/>
      <c r="H6" s="14">
        <f>AllInCost</f>
        <v/>
      </c>
      <c r="I6" s="15" t="n"/>
      <c r="J6" s="14">
        <f>ProjectedProfit</f>
        <v/>
      </c>
      <c r="K6" s="15" t="n"/>
      <c r="L6" s="16">
        <f>CashOnCash</f>
        <v/>
      </c>
      <c r="M6" s="15" t="n"/>
    </row>
    <row r="8" ht="18" customHeight="1">
      <c r="B8" s="12" t="inlineStr">
        <is>
          <t>70% RULE MAO</t>
        </is>
      </c>
      <c r="C8" s="13" t="n"/>
      <c r="D8" s="12" t="inlineStr">
        <is>
          <t>VERDICT</t>
        </is>
      </c>
      <c r="E8" s="13" t="n"/>
      <c r="F8" s="12" t="inlineStr">
        <is>
          <t>BUDGET USED</t>
        </is>
      </c>
      <c r="G8" s="13" t="n"/>
      <c r="H8" s="12" t="inlineStr">
        <is>
          <t>SPENT TO DATE</t>
        </is>
      </c>
      <c r="I8" s="13" t="n"/>
      <c r="J8" s="12" t="inlineStr">
        <is>
          <t>TASKS DONE</t>
        </is>
      </c>
      <c r="K8" s="13" t="n"/>
      <c r="L8" s="12" t="inlineStr">
        <is>
          <t>DEAL SCORE</t>
        </is>
      </c>
      <c r="M8" s="13" t="n"/>
    </row>
    <row r="9" ht="40" customHeight="1">
      <c r="B9" s="14">
        <f>MAO70</f>
        <v/>
      </c>
      <c r="C9" s="15" t="n"/>
      <c r="D9" s="17">
        <f>IF(PurchasePrice&lt;=MAO70,"BUY","PASS")</f>
        <v/>
      </c>
      <c r="E9" s="15" t="n"/>
      <c r="F9" s="16">
        <f>IFERROR(RehabSpent/RehabBudget,0)</f>
        <v/>
      </c>
      <c r="G9" s="15" t="n"/>
      <c r="H9" s="14">
        <f>RehabSpent</f>
        <v/>
      </c>
      <c r="I9" s="15" t="n"/>
      <c r="J9" s="16">
        <f>IFERROR(COUNTIF(TaskStatus,"Done")/COUNTA(TaskName),0)</f>
        <v/>
      </c>
      <c r="K9" s="15" t="n"/>
      <c r="L9" s="16">
        <f>IFERROR(AVERAGE(HealthRange),0)</f>
        <v/>
      </c>
      <c r="M9" s="15" t="n"/>
    </row>
    <row r="11" ht="26" customHeight="1">
      <c r="B11" s="4" t="inlineStr">
        <is>
          <t>DEAL &amp; PROJECT HEALTH</t>
        </is>
      </c>
      <c r="H11" s="4" t="inlineStr">
        <is>
          <t>REHAB BUDGET — PLANNED vs ACTUAL</t>
        </is>
      </c>
    </row>
    <row r="12" ht="30" customHeight="1">
      <c r="B12" s="9" t="inlineStr">
        <is>
          <t>Check</t>
        </is>
      </c>
      <c r="C12" s="9" t="inlineStr">
        <is>
          <t>Score</t>
        </is>
      </c>
      <c r="D12" s="9" t="inlineStr">
        <is>
          <t>Status</t>
        </is>
      </c>
    </row>
    <row r="13">
      <c r="B13" s="18" t="inlineStr">
        <is>
          <t>Profit margin (of ARV)</t>
        </is>
      </c>
      <c r="C13" s="19">
        <f>IFERROR(MIN((ProjectedProfit/ARV)/ProfitTarget,1),0)</f>
        <v/>
      </c>
      <c r="D13" s="20">
        <f>IF(C13&gt;=0.85,"Strong",IF(C13&gt;=0.6,"On track","Watch"))</f>
        <v/>
      </c>
    </row>
    <row r="14">
      <c r="B14" s="21" t="inlineStr">
        <is>
          <t>Cash-on-cash ROI</t>
        </is>
      </c>
      <c r="C14" s="22">
        <f>IFERROR(MIN(CashOnCash/ROITarget,1),0)</f>
        <v/>
      </c>
      <c r="D14" s="23">
        <f>IF(C14&gt;=0.85,"Strong",IF(C14&gt;=0.6,"On track","Watch"))</f>
        <v/>
      </c>
    </row>
    <row r="15">
      <c r="B15" s="18" t="inlineStr">
        <is>
          <t>Meets 70% rule</t>
        </is>
      </c>
      <c r="C15" s="19">
        <f>IF(PurchasePrice&lt;=MAO70,1,0.6)</f>
        <v/>
      </c>
      <c r="D15" s="20">
        <f>IF(C15&gt;=0.85,"Strong",IF(C15&gt;=0.6,"On track","Watch"))</f>
        <v/>
      </c>
    </row>
    <row r="16">
      <c r="B16" s="21" t="inlineStr">
        <is>
          <t>Rehab on budget</t>
        </is>
      </c>
      <c r="C16" s="22">
        <f>IFERROR(IF(RehabSpent&lt;=RehabBudget,1,MAX(0,2-RehabSpent/RehabBudget)),0)</f>
        <v/>
      </c>
      <c r="D16" s="23">
        <f>IF(C16&gt;=0.85,"Strong",IF(C16&gt;=0.6,"On track","Watch"))</f>
        <v/>
      </c>
    </row>
    <row r="17">
      <c r="B17" s="18" t="inlineStr">
        <is>
          <t>Scope complete</t>
        </is>
      </c>
      <c r="C17" s="19">
        <f>IFERROR(COUNTIF(TaskStatus,"Done")/COUNTA(TaskName),0)</f>
        <v/>
      </c>
      <c r="D17" s="20">
        <f>IF(C17&gt;=0.85,"Strong",IF(C17&gt;=0.6,"On track","Watch"))</f>
        <v/>
      </c>
    </row>
    <row r="18">
      <c r="B18" s="21" t="inlineStr">
        <is>
          <t>Timeline progress</t>
        </is>
      </c>
      <c r="C18" s="22">
        <f>IFERROR(COUNTIF(PhaseStatus,"Done")/COUNTA(PhaseName),0)</f>
        <v/>
      </c>
      <c r="D18" s="23">
        <f>IF(C18&gt;=0.85,"Strong",IF(C18&gt;=0.6,"On track","Watch"))</f>
        <v/>
      </c>
    </row>
    <row r="21" ht="26" customHeight="1">
      <c r="B21" s="2" t="inlineStr">
        <is>
          <t>Home Renovation &amp; Flip Command Center™ — know your number before you buy. Edit the deal in the Deal Analyzer.</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30" customWidth="1" min="2" max="2"/>
    <col width="16" customWidth="1" min="3" max="3"/>
    <col width="4" customWidth="1" min="4" max="4"/>
    <col width="30" customWidth="1" min="5" max="5"/>
    <col width="16" customWidth="1" min="6" max="6"/>
    <col width="2" customWidth="1" min="7" max="7"/>
  </cols>
  <sheetData>
    <row r="1" ht="46" customHeight="1">
      <c r="A1" s="1" t="inlineStr">
        <is>
          <t xml:space="preserve">  🧮  DEAL ANALYZER</t>
        </is>
      </c>
    </row>
    <row r="2" ht="22" customHeight="1">
      <c r="A2" s="2" t="inlineStr">
        <is>
          <t xml:space="preserve">  Enter the numbers once — the 70% rule, all-in cost, profit &amp; ROI compute instantly.</t>
        </is>
      </c>
    </row>
    <row r="3" ht="6" customHeight="1">
      <c r="A3" s="3" t="n"/>
      <c r="B3" s="3" t="n"/>
      <c r="C3" s="3" t="n"/>
      <c r="D3" s="3" t="n"/>
      <c r="E3" s="3" t="n"/>
      <c r="F3" s="3" t="n"/>
    </row>
    <row r="5" ht="22" customHeight="1">
      <c r="B5" s="4" t="inlineStr">
        <is>
          <t>THE NUMBERS  (enter these)</t>
        </is>
      </c>
      <c r="E5" s="4" t="inlineStr">
        <is>
          <t>THE DEAL  (auto-calculated)</t>
        </is>
      </c>
    </row>
    <row r="6">
      <c r="B6" s="24" t="inlineStr">
        <is>
          <t>After-Repair Value (ARV)</t>
        </is>
      </c>
      <c r="C6" s="25" t="n">
        <v>340000</v>
      </c>
      <c r="E6" s="24" t="inlineStr">
        <is>
          <t>Loan Amount</t>
        </is>
      </c>
      <c r="F6" s="26">
        <f>PurchasePrice*LoanLTV</f>
        <v/>
      </c>
    </row>
    <row r="7">
      <c r="B7" s="24" t="inlineStr">
        <is>
          <t>Purchase Price</t>
        </is>
      </c>
      <c r="C7" s="25" t="n">
        <v>185000</v>
      </c>
      <c r="E7" s="24" t="inlineStr">
        <is>
          <t>Down Payment (cash)</t>
        </is>
      </c>
      <c r="F7" s="26">
        <f>PurchasePrice-LoanAmount</f>
        <v/>
      </c>
    </row>
    <row r="8">
      <c r="B8" s="24" t="inlineStr">
        <is>
          <t>Rehab Budget</t>
        </is>
      </c>
      <c r="C8" s="26">
        <f>RehabBudget</f>
        <v/>
      </c>
      <c r="E8" s="24" t="inlineStr">
        <is>
          <t>Holding Costs (total)</t>
        </is>
      </c>
      <c r="F8" s="26">
        <f>HoldingTotal</f>
        <v/>
      </c>
    </row>
    <row r="9">
      <c r="B9" s="24" t="inlineStr">
        <is>
          <t>Buy-Side Closing Costs</t>
        </is>
      </c>
      <c r="C9" s="25" t="n">
        <v>3500</v>
      </c>
      <c r="E9" s="24" t="inlineStr">
        <is>
          <t>Selling Costs</t>
        </is>
      </c>
      <c r="F9" s="26">
        <f>ARV*SellCostPct</f>
        <v/>
      </c>
    </row>
    <row r="10">
      <c r="B10" s="24" t="inlineStr">
        <is>
          <t>Holding Period (months)</t>
        </is>
      </c>
      <c r="C10" s="27" t="n">
        <v>5</v>
      </c>
      <c r="E10" s="24" t="inlineStr">
        <is>
          <t>All-In Cost</t>
        </is>
      </c>
      <c r="F10" s="26">
        <f>PurchasePrice+RehabBudget+BuyClosing+HoldingTotal+SellingCosts</f>
        <v/>
      </c>
    </row>
    <row r="11">
      <c r="B11" s="24" t="inlineStr">
        <is>
          <t>Selling Cost % (agent + closing)</t>
        </is>
      </c>
      <c r="C11" s="28" t="n">
        <v>0.07000000000000001</v>
      </c>
      <c r="E11" s="24" t="inlineStr">
        <is>
          <t>Cash Invested</t>
        </is>
      </c>
      <c r="F11" s="26">
        <f>DownPayment+RehabBudget+BuyClosing+HoldingTotal</f>
        <v/>
      </c>
    </row>
    <row r="12">
      <c r="B12" s="24" t="inlineStr">
        <is>
          <t>Loan-to-Value (of purchase)</t>
        </is>
      </c>
      <c r="C12" s="28" t="n">
        <v>0.8</v>
      </c>
      <c r="E12" s="24" t="inlineStr">
        <is>
          <t>Projected Profit</t>
        </is>
      </c>
      <c r="F12" s="29">
        <f>ARV-AllInCost</f>
        <v/>
      </c>
    </row>
    <row r="13">
      <c r="B13" s="24" t="inlineStr">
        <is>
          <t>Loan Rate (annual)</t>
        </is>
      </c>
      <c r="C13" s="30" t="n">
        <v>0.1</v>
      </c>
      <c r="E13" s="24" t="inlineStr">
        <is>
          <t>Cash-on-Cash ROI</t>
        </is>
      </c>
      <c r="F13" s="31">
        <f>IFERROR(ProjectedProfit/CashInvested,0)</f>
        <v/>
      </c>
    </row>
    <row r="14">
      <c r="B14" s="24" t="inlineStr">
        <is>
          <t>70% Rule Factor</t>
        </is>
      </c>
      <c r="C14" s="28" t="n">
        <v>0.7</v>
      </c>
      <c r="E14" s="24" t="inlineStr">
        <is>
          <t>Return on Cost</t>
        </is>
      </c>
      <c r="F14" s="32">
        <f>IFERROR(ProjectedProfit/AllInCost,0)</f>
        <v/>
      </c>
    </row>
    <row r="15">
      <c r="E15" s="24" t="inlineStr">
        <is>
          <t>70% Rule — Max Offer (MAO)</t>
        </is>
      </c>
      <c r="F15" s="26">
        <f>Rule70*ARV-RehabBudget</f>
        <v/>
      </c>
    </row>
    <row r="17" ht="24" customHeight="1">
      <c r="B17" s="33">
        <f>IF(PurchasePrice&lt;=MAO70,"✓  BUY — $"&amp;TEXT(ProjectedProfit,"#,##0")&amp;" projected profit ("&amp;TEXT(CashOnCash,"0%")&amp;" ROI), under the 70% rule","✗  PASS / RENEGOTIATE — offer is above your 70% max of $"&amp;TEXT(MAO70,"#,##0"))</f>
        <v/>
      </c>
      <c r="C17" s="34" t="n"/>
      <c r="D17" s="34" t="n"/>
      <c r="E17" s="34" t="n"/>
      <c r="F17" s="34" t="n"/>
    </row>
    <row r="18" ht="24" customHeight="1">
      <c r="B18" s="34" t="n"/>
      <c r="C18" s="34" t="n"/>
      <c r="D18" s="34" t="n"/>
      <c r="E18" s="34" t="n"/>
      <c r="F18" s="34" t="n"/>
    </row>
  </sheetData>
  <mergeCells count="5">
    <mergeCell ref="A2:F2"/>
    <mergeCell ref="B5:C5"/>
    <mergeCell ref="B17:F18"/>
    <mergeCell ref="A1:F1"/>
    <mergeCell ref="E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 customWidth="1" min="1" max="1"/>
    <col width="24" customWidth="1" min="2" max="2"/>
    <col width="22" customWidth="1" min="3" max="3"/>
    <col width="4" customWidth="1" min="4" max="4"/>
    <col width="22" customWidth="1" min="5" max="5"/>
    <col width="22" customWidth="1" min="6" max="6"/>
    <col width="2" customWidth="1" min="7" max="7"/>
  </cols>
  <sheetData>
    <row r="1" ht="46" customHeight="1">
      <c r="A1" s="1" t="inlineStr">
        <is>
          <t xml:space="preserve">  🏠  PROPERTY DETAILS</t>
        </is>
      </c>
    </row>
    <row r="2" ht="22" customHeight="1">
      <c r="A2" s="2" t="inlineStr">
        <is>
          <t xml:space="preserve">  The subject property at a glance — specs, dates &amp; the story of the deal.</t>
        </is>
      </c>
    </row>
    <row r="3" ht="6" customHeight="1">
      <c r="A3" s="3" t="n"/>
      <c r="B3" s="3" t="n"/>
      <c r="C3" s="3" t="n"/>
      <c r="D3" s="3" t="n"/>
      <c r="E3" s="3" t="n"/>
      <c r="F3" s="3" t="n"/>
    </row>
    <row r="5" ht="22" customHeight="1">
      <c r="B5" s="4" t="inlineStr">
        <is>
          <t>Maplewood Flip — 214 Maple St</t>
        </is>
      </c>
    </row>
    <row r="6" ht="24" customHeight="1">
      <c r="B6" s="24" t="inlineStr">
        <is>
          <t>Address</t>
        </is>
      </c>
      <c r="C6" s="35" t="inlineStr">
        <is>
          <t>214 Maple St</t>
        </is>
      </c>
      <c r="E6" s="24" t="inlineStr">
        <is>
          <t>City / State</t>
        </is>
      </c>
      <c r="F6" s="35" t="inlineStr">
        <is>
          <t>Springfield, USA</t>
        </is>
      </c>
    </row>
    <row r="7" ht="24" customHeight="1">
      <c r="B7" s="24" t="inlineStr">
        <is>
          <t>Beds / Baths</t>
        </is>
      </c>
      <c r="C7" s="35" t="inlineStr">
        <is>
          <t>3 / 2</t>
        </is>
      </c>
      <c r="E7" s="24" t="inlineStr">
        <is>
          <t>Square Feet</t>
        </is>
      </c>
      <c r="F7" s="35" t="inlineStr">
        <is>
          <t>1,600</t>
        </is>
      </c>
    </row>
    <row r="8" ht="24" customHeight="1">
      <c r="B8" s="24" t="inlineStr">
        <is>
          <t>Year Built</t>
        </is>
      </c>
      <c r="C8" s="35" t="inlineStr">
        <is>
          <t>1974</t>
        </is>
      </c>
      <c r="E8" s="24" t="inlineStr">
        <is>
          <t>Lot Size</t>
        </is>
      </c>
      <c r="F8" s="35" t="inlineStr">
        <is>
          <t>0.19 acre</t>
        </is>
      </c>
    </row>
    <row r="9" ht="24" customHeight="1">
      <c r="B9" s="24" t="inlineStr">
        <is>
          <t>Property Type</t>
        </is>
      </c>
      <c r="C9" s="35" t="inlineStr">
        <is>
          <t>Single-family</t>
        </is>
      </c>
      <c r="E9" s="24" t="inlineStr">
        <is>
          <t>Purchase Date</t>
        </is>
      </c>
      <c r="F9" s="35" t="inlineStr">
        <is>
          <t>See Settings</t>
        </is>
      </c>
    </row>
    <row r="10" ht="24" customHeight="1">
      <c r="B10" s="24" t="inlineStr">
        <is>
          <t>Condition at Buy</t>
        </is>
      </c>
      <c r="C10" s="35" t="inlineStr">
        <is>
          <t>Dated, cosmetic + roof</t>
        </is>
      </c>
      <c r="E10" s="24" t="inlineStr">
        <is>
          <t>Exit Strategy</t>
        </is>
      </c>
      <c r="F10" s="35" t="inlineStr">
        <is>
          <t>Fix &amp; flip</t>
        </is>
      </c>
    </row>
    <row r="11" ht="24" customHeight="1">
      <c r="B11" s="24" t="inlineStr">
        <is>
          <t>MLS # (on sale)</t>
        </is>
      </c>
      <c r="C11" s="35" t="inlineStr">
        <is>
          <t>—</t>
        </is>
      </c>
      <c r="E11" s="24" t="inlineStr">
        <is>
          <t>Notes</t>
        </is>
      </c>
      <c r="F11" s="35" t="inlineStr">
        <is>
          <t>Great school zone; strong comps</t>
        </is>
      </c>
    </row>
  </sheetData>
  <mergeCells count="3">
    <mergeCell ref="A2:F2"/>
    <mergeCell ref="A1:F1"/>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4" customWidth="1" min="3" max="3"/>
    <col width="14" customWidth="1" min="4" max="4"/>
    <col width="14" customWidth="1" min="5" max="5"/>
    <col width="12" customWidth="1" min="6" max="6"/>
    <col width="2" customWidth="1" min="7" max="7"/>
  </cols>
  <sheetData>
    <row r="1" ht="46" customHeight="1">
      <c r="A1" s="1" t="inlineStr">
        <is>
          <t xml:space="preserve">  🔨  REHAB BUDGET</t>
        </is>
      </c>
    </row>
    <row r="2" ht="22" customHeight="1">
      <c r="A2" s="2" t="inlineStr">
        <is>
          <t xml:space="preserve">  Every category — planned vs actual, so overruns show up the day they happen.</t>
        </is>
      </c>
    </row>
    <row r="3" ht="6" customHeight="1">
      <c r="A3" s="3" t="n"/>
      <c r="B3" s="3" t="n"/>
      <c r="C3" s="3" t="n"/>
      <c r="D3" s="3" t="n"/>
      <c r="E3" s="3" t="n"/>
      <c r="F3" s="3" t="n"/>
    </row>
    <row r="4" ht="30" customHeight="1">
      <c r="B4" s="9" t="inlineStr">
        <is>
          <t>Category</t>
        </is>
      </c>
      <c r="C4" s="9" t="inlineStr">
        <is>
          <t>Planned</t>
        </is>
      </c>
      <c r="D4" s="9" t="inlineStr">
        <is>
          <t>Actual</t>
        </is>
      </c>
      <c r="E4" s="9" t="inlineStr">
        <is>
          <t>Remaining</t>
        </is>
      </c>
      <c r="F4" s="9" t="inlineStr">
        <is>
          <t>% Used</t>
        </is>
      </c>
    </row>
    <row r="5">
      <c r="B5" s="18" t="inlineStr">
        <is>
          <t>Demo &amp; dumpster</t>
        </is>
      </c>
      <c r="C5" s="25" t="n">
        <v>2800</v>
      </c>
      <c r="D5" s="25" t="n">
        <v>3100</v>
      </c>
      <c r="E5" s="36">
        <f>C5-D5</f>
        <v/>
      </c>
      <c r="F5" s="19">
        <f>IFERROR(D5/C5,0)</f>
        <v/>
      </c>
    </row>
    <row r="6">
      <c r="B6" s="21" t="inlineStr">
        <is>
          <t>Roof</t>
        </is>
      </c>
      <c r="C6" s="37" t="n">
        <v>6500</v>
      </c>
      <c r="D6" s="37" t="n">
        <v>6500</v>
      </c>
      <c r="E6" s="38">
        <f>C6-D6</f>
        <v/>
      </c>
      <c r="F6" s="22">
        <f>IFERROR(D6/C6,0)</f>
        <v/>
      </c>
    </row>
    <row r="7">
      <c r="B7" s="18" t="inlineStr">
        <is>
          <t>Kitchen</t>
        </is>
      </c>
      <c r="C7" s="25" t="n">
        <v>10500</v>
      </c>
      <c r="D7" s="25" t="n">
        <v>5500</v>
      </c>
      <c r="E7" s="36">
        <f>C7-D7</f>
        <v/>
      </c>
      <c r="F7" s="19">
        <f>IFERROR(D7/C7,0)</f>
        <v/>
      </c>
    </row>
    <row r="8">
      <c r="B8" s="21" t="inlineStr">
        <is>
          <t>Bathrooms (2)</t>
        </is>
      </c>
      <c r="C8" s="37" t="n">
        <v>6500</v>
      </c>
      <c r="D8" s="37" t="n">
        <v>3900</v>
      </c>
      <c r="E8" s="38">
        <f>C8-D8</f>
        <v/>
      </c>
      <c r="F8" s="22">
        <f>IFERROR(D8/C8,0)</f>
        <v/>
      </c>
    </row>
    <row r="9">
      <c r="B9" s="18" t="inlineStr">
        <is>
          <t>Flooring</t>
        </is>
      </c>
      <c r="C9" s="25" t="n">
        <v>4500</v>
      </c>
      <c r="D9" s="25" t="n">
        <v>4500</v>
      </c>
      <c r="E9" s="36">
        <f>C9-D9</f>
        <v/>
      </c>
      <c r="F9" s="19">
        <f>IFERROR(D9/C9,0)</f>
        <v/>
      </c>
    </row>
    <row r="10">
      <c r="B10" s="21" t="inlineStr">
        <is>
          <t>Interior &amp; exterior paint</t>
        </is>
      </c>
      <c r="C10" s="37" t="n">
        <v>3200</v>
      </c>
      <c r="D10" s="37" t="n">
        <v>900</v>
      </c>
      <c r="E10" s="38">
        <f>C10-D10</f>
        <v/>
      </c>
      <c r="F10" s="22">
        <f>IFERROR(D10/C10,0)</f>
        <v/>
      </c>
    </row>
    <row r="11">
      <c r="B11" s="18" t="inlineStr">
        <is>
          <t>HVAC</t>
        </is>
      </c>
      <c r="C11" s="25" t="n">
        <v>4000</v>
      </c>
      <c r="D11" s="25" t="n">
        <v>4000</v>
      </c>
      <c r="E11" s="36">
        <f>C11-D11</f>
        <v/>
      </c>
      <c r="F11" s="19">
        <f>IFERROR(D11/C11,0)</f>
        <v/>
      </c>
    </row>
    <row r="12">
      <c r="B12" s="21" t="inlineStr">
        <is>
          <t>Electrical</t>
        </is>
      </c>
      <c r="C12" s="37" t="n">
        <v>2500</v>
      </c>
      <c r="D12" s="37" t="n">
        <v>2650</v>
      </c>
      <c r="E12" s="38">
        <f>C12-D12</f>
        <v/>
      </c>
      <c r="F12" s="22">
        <f>IFERROR(D12/C12,0)</f>
        <v/>
      </c>
    </row>
    <row r="13">
      <c r="B13" s="18" t="inlineStr">
        <is>
          <t>Plumbing</t>
        </is>
      </c>
      <c r="C13" s="25" t="n">
        <v>2000</v>
      </c>
      <c r="D13" s="25" t="n">
        <v>1900</v>
      </c>
      <c r="E13" s="36">
        <f>C13-D13</f>
        <v/>
      </c>
      <c r="F13" s="19">
        <f>IFERROR(D13/C13,0)</f>
        <v/>
      </c>
    </row>
    <row r="14">
      <c r="B14" s="21" t="inlineStr">
        <is>
          <t>Landscaping &amp; curb appeal</t>
        </is>
      </c>
      <c r="C14" s="37" t="n">
        <v>1500</v>
      </c>
      <c r="D14" s="37" t="n">
        <v>0</v>
      </c>
      <c r="E14" s="38">
        <f>C14-D14</f>
        <v/>
      </c>
      <c r="F14" s="22">
        <f>IFERROR(D14/C14,0)</f>
        <v/>
      </c>
    </row>
    <row r="15">
      <c r="B15" s="18" t="inlineStr">
        <is>
          <t>Permits &amp; fees</t>
        </is>
      </c>
      <c r="C15" s="25" t="n">
        <v>1000</v>
      </c>
      <c r="D15" s="25" t="n">
        <v>1050</v>
      </c>
      <c r="E15" s="36">
        <f>C15-D15</f>
        <v/>
      </c>
      <c r="F15" s="19">
        <f>IFERROR(D15/C15,0)</f>
        <v/>
      </c>
    </row>
    <row r="16">
      <c r="B16" s="9" t="inlineStr">
        <is>
          <t>TOTAL</t>
        </is>
      </c>
      <c r="C16" s="39">
        <f>SUM(C5:C15)</f>
        <v/>
      </c>
      <c r="D16" s="39">
        <f>SUM(D5:D15)</f>
        <v/>
      </c>
      <c r="E16" s="39">
        <f>SUM(E5:E15)</f>
        <v/>
      </c>
      <c r="F16" s="40">
        <f>IFERROR(D16/C16,0)</f>
        <v/>
      </c>
    </row>
  </sheetData>
  <mergeCells count="2">
    <mergeCell ref="A2:F2"/>
    <mergeCell ref="A1:F1"/>
  </mergeCells>
  <conditionalFormatting sqref="F5:F15">
    <cfRule type="cellIs" priority="1" operator="greaterThan" dxfId="0">
      <formula>1</formula>
    </cfRule>
  </conditionalFormatting>
  <conditionalFormatting sqref="D5:D15">
    <cfRule type="dataBar" priority="2">
      <dataBar showValue="1">
        <cfvo type="num" val="0"/>
        <cfvo type="num" val="10500"/>
        <color rgb="001B4F48"/>
      </dataBar>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16" customWidth="1" min="3" max="3"/>
    <col width="14" customWidth="1" min="4" max="4"/>
  </cols>
  <sheetData>
    <row r="1" ht="46" customHeight="1">
      <c r="A1" s="1" t="inlineStr">
        <is>
          <t xml:space="preserve">  📋  SCOPE OF WORK</t>
        </is>
      </c>
    </row>
    <row r="2" ht="22" customHeight="1">
      <c r="A2" s="2" t="inlineStr">
        <is>
          <t xml:space="preserve">  Room by room, task by task — the full punch of the rehab, checked off as it's done.</t>
        </is>
      </c>
    </row>
    <row r="3" ht="6" customHeight="1">
      <c r="A3" s="3" t="n"/>
      <c r="B3" s="3" t="n"/>
      <c r="C3" s="3" t="n"/>
      <c r="D3" s="3" t="n"/>
    </row>
    <row r="4" ht="30" customHeight="1">
      <c r="A4" s="9" t="inlineStr">
        <is>
          <t>Room / Area</t>
        </is>
      </c>
      <c r="B4" s="9" t="inlineStr">
        <is>
          <t>Task</t>
        </is>
      </c>
      <c r="C4" s="9" t="inlineStr">
        <is>
          <t>Trade</t>
        </is>
      </c>
      <c r="D4" s="9" t="inlineStr">
        <is>
          <t>Status</t>
        </is>
      </c>
    </row>
    <row r="5">
      <c r="A5" s="41" t="inlineStr">
        <is>
          <t>Exterior</t>
        </is>
      </c>
      <c r="B5" s="42" t="inlineStr">
        <is>
          <t>Tear off &amp; replace roof</t>
        </is>
      </c>
      <c r="C5" s="41" t="inlineStr">
        <is>
          <t>Roofing</t>
        </is>
      </c>
      <c r="D5" s="41" t="inlineStr">
        <is>
          <t>Done</t>
        </is>
      </c>
    </row>
    <row r="6">
      <c r="A6" s="23" t="inlineStr">
        <is>
          <t>Exterior</t>
        </is>
      </c>
      <c r="B6" s="21" t="inlineStr">
        <is>
          <t>Power-wash &amp; paint siding</t>
        </is>
      </c>
      <c r="C6" s="23" t="inlineStr">
        <is>
          <t>Paint</t>
        </is>
      </c>
      <c r="D6" s="23" t="inlineStr">
        <is>
          <t>In Progress</t>
        </is>
      </c>
    </row>
    <row r="7">
      <c r="A7" s="41" t="inlineStr">
        <is>
          <t>Exterior</t>
        </is>
      </c>
      <c r="B7" s="42" t="inlineStr">
        <is>
          <t>New front door &amp; hardware</t>
        </is>
      </c>
      <c r="C7" s="41" t="inlineStr">
        <is>
          <t>General</t>
        </is>
      </c>
      <c r="D7" s="41" t="inlineStr">
        <is>
          <t>Not Started</t>
        </is>
      </c>
    </row>
    <row r="8">
      <c r="A8" s="23" t="inlineStr">
        <is>
          <t>Whole House</t>
        </is>
      </c>
      <c r="B8" s="21" t="inlineStr">
        <is>
          <t>Full demo of dated finishes</t>
        </is>
      </c>
      <c r="C8" s="23" t="inlineStr">
        <is>
          <t>Demo</t>
        </is>
      </c>
      <c r="D8" s="23" t="inlineStr">
        <is>
          <t>Done</t>
        </is>
      </c>
    </row>
    <row r="9">
      <c r="A9" s="41" t="inlineStr">
        <is>
          <t>Whole House</t>
        </is>
      </c>
      <c r="B9" s="42" t="inlineStr">
        <is>
          <t>Replace HVAC system</t>
        </is>
      </c>
      <c r="C9" s="41" t="inlineStr">
        <is>
          <t>HVAC</t>
        </is>
      </c>
      <c r="D9" s="41" t="inlineStr">
        <is>
          <t>Done</t>
        </is>
      </c>
    </row>
    <row r="10">
      <c r="A10" s="23" t="inlineStr">
        <is>
          <t>Whole House</t>
        </is>
      </c>
      <c r="B10" s="21" t="inlineStr">
        <is>
          <t>Rewire &amp; new panel</t>
        </is>
      </c>
      <c r="C10" s="23" t="inlineStr">
        <is>
          <t>Electrical</t>
        </is>
      </c>
      <c r="D10" s="23" t="inlineStr">
        <is>
          <t>Done</t>
        </is>
      </c>
    </row>
    <row r="11">
      <c r="A11" s="41" t="inlineStr">
        <is>
          <t>Whole House</t>
        </is>
      </c>
      <c r="B11" s="42" t="inlineStr">
        <is>
          <t>Re-pipe &amp; fixtures</t>
        </is>
      </c>
      <c r="C11" s="41" t="inlineStr">
        <is>
          <t>Plumbing</t>
        </is>
      </c>
      <c r="D11" s="41" t="inlineStr">
        <is>
          <t>Done</t>
        </is>
      </c>
    </row>
    <row r="12">
      <c r="A12" s="23" t="inlineStr">
        <is>
          <t>Kitchen</t>
        </is>
      </c>
      <c r="B12" s="21" t="inlineStr">
        <is>
          <t>Cabinets &amp; quartz counters</t>
        </is>
      </c>
      <c r="C12" s="23" t="inlineStr">
        <is>
          <t>Kitchen</t>
        </is>
      </c>
      <c r="D12" s="23" t="inlineStr">
        <is>
          <t>In Progress</t>
        </is>
      </c>
    </row>
    <row r="13">
      <c r="A13" s="41" t="inlineStr">
        <is>
          <t>Kitchen</t>
        </is>
      </c>
      <c r="B13" s="42" t="inlineStr">
        <is>
          <t>Tile backsplash</t>
        </is>
      </c>
      <c r="C13" s="41" t="inlineStr">
        <is>
          <t>Kitchen</t>
        </is>
      </c>
      <c r="D13" s="41" t="inlineStr">
        <is>
          <t>Not Started</t>
        </is>
      </c>
    </row>
    <row r="14">
      <c r="A14" s="23" t="inlineStr">
        <is>
          <t>Kitchen</t>
        </is>
      </c>
      <c r="B14" s="21" t="inlineStr">
        <is>
          <t>Stainless appliance package</t>
        </is>
      </c>
      <c r="C14" s="23" t="inlineStr">
        <is>
          <t>Kitchen</t>
        </is>
      </c>
      <c r="D14" s="23" t="inlineStr">
        <is>
          <t>Not Started</t>
        </is>
      </c>
    </row>
    <row r="15">
      <c r="A15" s="41" t="inlineStr">
        <is>
          <t>Primary Bath</t>
        </is>
      </c>
      <c r="B15" s="42" t="inlineStr">
        <is>
          <t>New vanity, tile &amp; tub</t>
        </is>
      </c>
      <c r="C15" s="41" t="inlineStr">
        <is>
          <t>Bath</t>
        </is>
      </c>
      <c r="D15" s="41" t="inlineStr">
        <is>
          <t>In Progress</t>
        </is>
      </c>
    </row>
    <row r="16">
      <c r="A16" s="23" t="inlineStr">
        <is>
          <t>Hall Bath</t>
        </is>
      </c>
      <c r="B16" s="21" t="inlineStr">
        <is>
          <t>New vanity, tile &amp; toilet</t>
        </is>
      </c>
      <c r="C16" s="23" t="inlineStr">
        <is>
          <t>Bath</t>
        </is>
      </c>
      <c r="D16" s="23" t="inlineStr">
        <is>
          <t>Done</t>
        </is>
      </c>
    </row>
    <row r="17">
      <c r="A17" s="41" t="inlineStr">
        <is>
          <t>Whole House</t>
        </is>
      </c>
      <c r="B17" s="42" t="inlineStr">
        <is>
          <t>LVP flooring throughout</t>
        </is>
      </c>
      <c r="C17" s="41" t="inlineStr">
        <is>
          <t>Flooring</t>
        </is>
      </c>
      <c r="D17" s="41" t="inlineStr">
        <is>
          <t>Done</t>
        </is>
      </c>
    </row>
    <row r="18">
      <c r="A18" s="23" t="inlineStr">
        <is>
          <t>Whole House</t>
        </is>
      </c>
      <c r="B18" s="21" t="inlineStr">
        <is>
          <t>Interior paint (walls/trim)</t>
        </is>
      </c>
      <c r="C18" s="23" t="inlineStr">
        <is>
          <t>Paint</t>
        </is>
      </c>
      <c r="D18" s="23" t="inlineStr">
        <is>
          <t>In Progress</t>
        </is>
      </c>
    </row>
    <row r="19">
      <c r="A19" s="41" t="inlineStr">
        <is>
          <t>Living</t>
        </is>
      </c>
      <c r="B19" s="42" t="inlineStr">
        <is>
          <t>New trim &amp; lighting</t>
        </is>
      </c>
      <c r="C19" s="41" t="inlineStr">
        <is>
          <t>General</t>
        </is>
      </c>
      <c r="D19" s="41" t="inlineStr">
        <is>
          <t>Done</t>
        </is>
      </c>
    </row>
    <row r="20">
      <c r="A20" s="23" t="inlineStr">
        <is>
          <t>Bedrooms</t>
        </is>
      </c>
      <c r="B20" s="21" t="inlineStr">
        <is>
          <t>Closets &amp; doors</t>
        </is>
      </c>
      <c r="C20" s="23" t="inlineStr">
        <is>
          <t>General</t>
        </is>
      </c>
      <c r="D20" s="23" t="inlineStr">
        <is>
          <t>Done</t>
        </is>
      </c>
    </row>
    <row r="21">
      <c r="A21" s="41" t="inlineStr">
        <is>
          <t>Yard</t>
        </is>
      </c>
      <c r="B21" s="42" t="inlineStr">
        <is>
          <t>Sod, mulch &amp; fresh landscaping</t>
        </is>
      </c>
      <c r="C21" s="41" t="inlineStr">
        <is>
          <t>Landscaping</t>
        </is>
      </c>
      <c r="D21" s="41" t="inlineStr">
        <is>
          <t>Not Started</t>
        </is>
      </c>
    </row>
    <row r="22">
      <c r="A22" s="23" t="inlineStr">
        <is>
          <t>Whole House</t>
        </is>
      </c>
      <c r="B22" s="21" t="inlineStr">
        <is>
          <t>Deep clean &amp; stage</t>
        </is>
      </c>
      <c r="C22" s="23" t="inlineStr">
        <is>
          <t>General</t>
        </is>
      </c>
      <c r="D22" s="23" t="inlineStr">
        <is>
          <t>Done</t>
        </is>
      </c>
    </row>
    <row r="23">
      <c r="A23" s="41" t="n"/>
      <c r="B23" s="42" t="n"/>
      <c r="C23" s="41" t="n"/>
      <c r="D23" s="41" t="n"/>
    </row>
    <row r="24">
      <c r="A24" s="23" t="n"/>
      <c r="B24" s="21" t="n"/>
      <c r="C24" s="23" t="n"/>
      <c r="D24" s="23" t="n"/>
    </row>
    <row r="25">
      <c r="A25" s="41" t="n"/>
      <c r="B25" s="42" t="n"/>
      <c r="C25" s="41" t="n"/>
      <c r="D25" s="41" t="n"/>
    </row>
    <row r="26">
      <c r="A26" s="23" t="n"/>
      <c r="B26" s="21" t="n"/>
      <c r="C26" s="23" t="n"/>
      <c r="D26" s="23" t="n"/>
    </row>
    <row r="27">
      <c r="A27" s="41" t="n"/>
      <c r="B27" s="42" t="n"/>
      <c r="C27" s="41" t="n"/>
      <c r="D27" s="41" t="n"/>
    </row>
    <row r="28">
      <c r="A28" s="23" t="n"/>
      <c r="B28" s="21" t="n"/>
      <c r="C28" s="23" t="n"/>
      <c r="D28" s="23" t="n"/>
    </row>
    <row r="29">
      <c r="A29" s="41" t="n"/>
      <c r="B29" s="42" t="n"/>
      <c r="C29" s="41" t="n"/>
      <c r="D29" s="41" t="n"/>
    </row>
    <row r="30">
      <c r="A30" s="23" t="n"/>
      <c r="B30" s="21" t="n"/>
      <c r="C30" s="23" t="n"/>
      <c r="D30" s="23" t="n"/>
    </row>
    <row r="31">
      <c r="A31" s="41" t="n"/>
      <c r="B31" s="42" t="n"/>
      <c r="C31" s="41" t="n"/>
      <c r="D31" s="41" t="n"/>
    </row>
    <row r="32">
      <c r="A32" s="23" t="n"/>
      <c r="B32" s="21" t="n"/>
      <c r="C32" s="23" t="n"/>
      <c r="D32" s="23" t="n"/>
    </row>
    <row r="33">
      <c r="A33" s="41" t="n"/>
      <c r="B33" s="42" t="n"/>
      <c r="C33" s="41" t="n"/>
      <c r="D33" s="41" t="n"/>
    </row>
    <row r="34">
      <c r="A34" s="23" t="n"/>
      <c r="B34" s="21" t="n"/>
      <c r="C34" s="23" t="n"/>
      <c r="D34" s="23" t="n"/>
    </row>
    <row r="35">
      <c r="A35" s="41" t="n"/>
      <c r="B35" s="42" t="n"/>
      <c r="C35" s="41" t="n"/>
      <c r="D35" s="41" t="n"/>
    </row>
    <row r="36">
      <c r="A36" s="23" t="n"/>
      <c r="B36" s="21" t="n"/>
      <c r="C36" s="23" t="n"/>
      <c r="D36" s="23" t="n"/>
    </row>
    <row r="37">
      <c r="A37" s="41" t="n"/>
      <c r="B37" s="42" t="n"/>
      <c r="C37" s="41" t="n"/>
      <c r="D37" s="41" t="n"/>
    </row>
    <row r="38">
      <c r="A38" s="23" t="n"/>
      <c r="B38" s="21" t="n"/>
      <c r="C38" s="23" t="n"/>
      <c r="D38" s="23" t="n"/>
    </row>
    <row r="39">
      <c r="A39" s="41" t="n"/>
      <c r="B39" s="42" t="n"/>
      <c r="C39" s="41" t="n"/>
      <c r="D39" s="41" t="n"/>
    </row>
    <row r="40">
      <c r="A40" s="23" t="n"/>
      <c r="B40" s="21" t="n"/>
      <c r="C40" s="23" t="n"/>
      <c r="D40" s="23" t="n"/>
    </row>
    <row r="41">
      <c r="A41" s="41" t="n"/>
      <c r="B41" s="42" t="n"/>
      <c r="C41" s="41" t="n"/>
      <c r="D41" s="41" t="n"/>
    </row>
    <row r="42">
      <c r="A42" s="23" t="n"/>
      <c r="B42" s="21" t="n"/>
      <c r="C42" s="23" t="n"/>
      <c r="D42" s="23" t="n"/>
    </row>
    <row r="43">
      <c r="A43" s="41" t="n"/>
      <c r="B43" s="42" t="n"/>
      <c r="C43" s="41" t="n"/>
      <c r="D43" s="41" t="n"/>
    </row>
    <row r="44">
      <c r="A44" s="23" t="n"/>
      <c r="B44" s="21" t="n"/>
      <c r="C44" s="23" t="n"/>
      <c r="D44" s="23" t="n"/>
    </row>
    <row r="45">
      <c r="A45" s="41" t="n"/>
      <c r="B45" s="42" t="n"/>
      <c r="C45" s="41" t="n"/>
      <c r="D45" s="41" t="n"/>
    </row>
    <row r="46">
      <c r="A46" s="23" t="n"/>
      <c r="B46" s="21" t="n"/>
      <c r="C46" s="23" t="n"/>
      <c r="D46" s="23" t="n"/>
    </row>
    <row r="47">
      <c r="A47" s="41" t="n"/>
      <c r="B47" s="42" t="n"/>
      <c r="C47" s="41" t="n"/>
      <c r="D47" s="41" t="n"/>
    </row>
    <row r="48">
      <c r="A48" s="23" t="n"/>
      <c r="B48" s="21" t="n"/>
      <c r="C48" s="23" t="n"/>
      <c r="D48" s="23" t="n"/>
    </row>
    <row r="49">
      <c r="A49" s="41" t="n"/>
      <c r="B49" s="42" t="n"/>
      <c r="C49" s="41" t="n"/>
      <c r="D49" s="41" t="n"/>
    </row>
  </sheetData>
  <mergeCells count="2">
    <mergeCell ref="A1:D1"/>
    <mergeCell ref="A2:D2"/>
  </mergeCells>
  <conditionalFormatting sqref="D5:D49">
    <cfRule type="cellIs" priority="1" operator="equal" dxfId="1">
      <formula>"Done"</formula>
    </cfRule>
    <cfRule type="cellIs" priority="2" operator="equal" dxfId="2">
      <formula>"In Progress"</formula>
    </cfRule>
    <cfRule type="cellIs" priority="3" operator="equal" dxfId="3">
      <formula>"Not Started"</formula>
    </cfRule>
  </conditionalFormatting>
  <dataValidations count="3">
    <dataValidation sqref="A5:A49" showDropDown="0" showInputMessage="0" showErrorMessage="0" allowBlank="1" type="list">
      <formula1>=RoomList</formula1>
    </dataValidation>
    <dataValidation sqref="C5:C49" showDropDown="0" showInputMessage="0" showErrorMessage="0" allowBlank="1" type="list">
      <formula1>=TradeList</formula1>
    </dataValidation>
    <dataValidation sqref="D5:D49" showDropDown="0" showInputMessage="0" showErrorMessage="0" allowBlank="1" type="list">
      <formula1>=TaskStatusList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16" customWidth="1" min="1" max="1"/>
    <col width="24" customWidth="1" min="2" max="2"/>
    <col width="14" customWidth="1" min="3" max="3"/>
    <col width="18" customWidth="1" min="4" max="4"/>
    <col width="12" customWidth="1" min="5" max="5"/>
    <col width="12" customWidth="1" min="6" max="6"/>
  </cols>
  <sheetData>
    <row r="1" ht="46" customHeight="1">
      <c r="A1" s="1" t="inlineStr">
        <is>
          <t xml:space="preserve">  👷  CONTRACTORS &amp; VENDORS</t>
        </is>
      </c>
    </row>
    <row r="2" ht="22" customHeight="1">
      <c r="A2" s="2" t="inlineStr">
        <is>
          <t xml:space="preserve">  Your crew &amp; bids in one place — trade, contact, bid amount and who's hired.</t>
        </is>
      </c>
    </row>
    <row r="3" ht="6" customHeight="1">
      <c r="A3" s="3" t="n"/>
      <c r="B3" s="3" t="n"/>
      <c r="C3" s="3" t="n"/>
      <c r="D3" s="3" t="n"/>
      <c r="E3" s="3" t="n"/>
      <c r="F3" s="3" t="n"/>
    </row>
    <row r="4" ht="30" customHeight="1">
      <c r="A4" s="9" t="inlineStr">
        <is>
          <t>Trade</t>
        </is>
      </c>
      <c r="B4" s="9" t="inlineStr">
        <is>
          <t>Company</t>
        </is>
      </c>
      <c r="C4" s="9" t="inlineStr">
        <is>
          <t>Contact</t>
        </is>
      </c>
      <c r="D4" s="9" t="inlineStr">
        <is>
          <t>Phone</t>
        </is>
      </c>
      <c r="E4" s="9" t="inlineStr">
        <is>
          <t>Bid</t>
        </is>
      </c>
      <c r="F4" s="9" t="inlineStr">
        <is>
          <t>Status</t>
        </is>
      </c>
    </row>
    <row r="5">
      <c r="A5" s="41" t="inlineStr">
        <is>
          <t>Roofing</t>
        </is>
      </c>
      <c r="B5" s="42" t="inlineStr">
        <is>
          <t>Summit Roofing Co.</t>
        </is>
      </c>
      <c r="C5" s="42" t="inlineStr">
        <is>
          <t>Dave R.</t>
        </is>
      </c>
      <c r="D5" s="42" t="inlineStr">
        <is>
          <t>(555) 201-8834</t>
        </is>
      </c>
      <c r="E5" s="43" t="n">
        <v>6500</v>
      </c>
      <c r="F5" s="41" t="inlineStr">
        <is>
          <t>Hired</t>
        </is>
      </c>
    </row>
    <row r="6">
      <c r="A6" s="23" t="inlineStr">
        <is>
          <t>HVAC</t>
        </is>
      </c>
      <c r="B6" s="21" t="inlineStr">
        <is>
          <t>TempPro Heating &amp; Air</t>
        </is>
      </c>
      <c r="C6" s="21" t="inlineStr">
        <is>
          <t>Maria L.</t>
        </is>
      </c>
      <c r="D6" s="21" t="inlineStr">
        <is>
          <t>(555) 442-1190</t>
        </is>
      </c>
      <c r="E6" s="44" t="n">
        <v>4000</v>
      </c>
      <c r="F6" s="23" t="inlineStr">
        <is>
          <t>Hired</t>
        </is>
      </c>
    </row>
    <row r="7">
      <c r="A7" s="41" t="inlineStr">
        <is>
          <t>Electrical</t>
        </is>
      </c>
      <c r="B7" s="42" t="inlineStr">
        <is>
          <t>Bright Spark Electric</t>
        </is>
      </c>
      <c r="C7" s="42" t="inlineStr">
        <is>
          <t>Tomas K.</t>
        </is>
      </c>
      <c r="D7" s="42" t="inlineStr">
        <is>
          <t>(555) 778-2213</t>
        </is>
      </c>
      <c r="E7" s="43" t="n">
        <v>2500</v>
      </c>
      <c r="F7" s="41" t="inlineStr">
        <is>
          <t>Hired</t>
        </is>
      </c>
    </row>
    <row r="8">
      <c r="A8" s="23" t="inlineStr">
        <is>
          <t>Plumbing</t>
        </is>
      </c>
      <c r="B8" s="21" t="inlineStr">
        <is>
          <t>FlowRight Plumbing</t>
        </is>
      </c>
      <c r="C8" s="21" t="inlineStr">
        <is>
          <t>Angela D.</t>
        </is>
      </c>
      <c r="D8" s="21" t="inlineStr">
        <is>
          <t>(555) 330-4471</t>
        </is>
      </c>
      <c r="E8" s="44" t="n">
        <v>2000</v>
      </c>
      <c r="F8" s="23" t="inlineStr">
        <is>
          <t>Hired</t>
        </is>
      </c>
    </row>
    <row r="9">
      <c r="A9" s="41" t="inlineStr">
        <is>
          <t>Kitchen</t>
        </is>
      </c>
      <c r="B9" s="42" t="inlineStr">
        <is>
          <t>Craft Cabinet Works</t>
        </is>
      </c>
      <c r="C9" s="42" t="inlineStr">
        <is>
          <t>Sam P.</t>
        </is>
      </c>
      <c r="D9" s="42" t="inlineStr">
        <is>
          <t>(555) 610-9902</t>
        </is>
      </c>
      <c r="E9" s="43" t="n">
        <v>10500</v>
      </c>
      <c r="F9" s="41" t="inlineStr">
        <is>
          <t>Hired</t>
        </is>
      </c>
    </row>
    <row r="10">
      <c r="A10" s="23" t="inlineStr">
        <is>
          <t>Flooring</t>
        </is>
      </c>
      <c r="B10" s="21" t="inlineStr">
        <is>
          <t>Statewide Floors</t>
        </is>
      </c>
      <c r="C10" s="21" t="inlineStr">
        <is>
          <t>Nick B.</t>
        </is>
      </c>
      <c r="D10" s="21" t="inlineStr">
        <is>
          <t>(555) 118-3320</t>
        </is>
      </c>
      <c r="E10" s="44" t="n">
        <v>4500</v>
      </c>
      <c r="F10" s="23" t="inlineStr">
        <is>
          <t>Hired</t>
        </is>
      </c>
    </row>
    <row r="11">
      <c r="A11" s="41" t="inlineStr">
        <is>
          <t>Paint</t>
        </is>
      </c>
      <c r="B11" s="42" t="inlineStr">
        <is>
          <t>TrueColor Painting</t>
        </is>
      </c>
      <c r="C11" s="42" t="inlineStr">
        <is>
          <t>Rosa M.</t>
        </is>
      </c>
      <c r="D11" s="42" t="inlineStr">
        <is>
          <t>(555) 905-6612</t>
        </is>
      </c>
      <c r="E11" s="43" t="n">
        <v>3200</v>
      </c>
      <c r="F11" s="41" t="inlineStr">
        <is>
          <t>Bidding</t>
        </is>
      </c>
    </row>
    <row r="12">
      <c r="A12" s="23" t="inlineStr">
        <is>
          <t>Landscaping</t>
        </is>
      </c>
      <c r="B12" s="21" t="inlineStr">
        <is>
          <t>GreenScape Curb</t>
        </is>
      </c>
      <c r="C12" s="21" t="inlineStr">
        <is>
          <t>Leo V.</t>
        </is>
      </c>
      <c r="D12" s="21" t="inlineStr">
        <is>
          <t>(555) 274-8890</t>
        </is>
      </c>
      <c r="E12" s="44" t="n">
        <v>1500</v>
      </c>
      <c r="F12" s="23" t="inlineStr">
        <is>
          <t>Bidding</t>
        </is>
      </c>
    </row>
    <row r="13">
      <c r="A13" s="41" t="n"/>
      <c r="B13" s="42" t="n"/>
      <c r="C13" s="42" t="n"/>
      <c r="D13" s="42" t="n"/>
      <c r="E13" s="43" t="n"/>
      <c r="F13" s="41" t="n"/>
    </row>
    <row r="14">
      <c r="A14" s="23" t="n"/>
      <c r="B14" s="21" t="n"/>
      <c r="C14" s="21" t="n"/>
      <c r="D14" s="21" t="n"/>
      <c r="E14" s="44" t="n"/>
      <c r="F14" s="23" t="n"/>
    </row>
    <row r="15">
      <c r="A15" s="41" t="n"/>
      <c r="B15" s="42" t="n"/>
      <c r="C15" s="42" t="n"/>
      <c r="D15" s="42" t="n"/>
      <c r="E15" s="43" t="n"/>
      <c r="F15" s="41" t="n"/>
    </row>
    <row r="16">
      <c r="A16" s="23" t="n"/>
      <c r="B16" s="21" t="n"/>
      <c r="C16" s="21" t="n"/>
      <c r="D16" s="21" t="n"/>
      <c r="E16" s="44" t="n"/>
      <c r="F16" s="23" t="n"/>
    </row>
    <row r="17">
      <c r="A17" s="41" t="n"/>
      <c r="B17" s="42" t="n"/>
      <c r="C17" s="42" t="n"/>
      <c r="D17" s="42" t="n"/>
      <c r="E17" s="43" t="n"/>
      <c r="F17" s="41" t="n"/>
    </row>
    <row r="18">
      <c r="A18" s="23" t="n"/>
      <c r="B18" s="21" t="n"/>
      <c r="C18" s="21" t="n"/>
      <c r="D18" s="21" t="n"/>
      <c r="E18" s="44" t="n"/>
      <c r="F18" s="23" t="n"/>
    </row>
    <row r="19">
      <c r="A19" s="41" t="n"/>
      <c r="B19" s="42" t="n"/>
      <c r="C19" s="42" t="n"/>
      <c r="D19" s="42" t="n"/>
      <c r="E19" s="43" t="n"/>
      <c r="F19" s="41" t="n"/>
    </row>
    <row r="20">
      <c r="A20" s="23" t="n"/>
      <c r="B20" s="21" t="n"/>
      <c r="C20" s="21" t="n"/>
      <c r="D20" s="21" t="n"/>
      <c r="E20" s="44" t="n"/>
      <c r="F20" s="23" t="n"/>
    </row>
    <row r="21">
      <c r="A21" s="41" t="n"/>
      <c r="B21" s="42" t="n"/>
      <c r="C21" s="42" t="n"/>
      <c r="D21" s="42" t="n"/>
      <c r="E21" s="43" t="n"/>
      <c r="F21" s="41" t="n"/>
    </row>
    <row r="22">
      <c r="A22" s="23" t="n"/>
      <c r="B22" s="21" t="n"/>
      <c r="C22" s="21" t="n"/>
      <c r="D22" s="21" t="n"/>
      <c r="E22" s="44" t="n"/>
      <c r="F22" s="23" t="n"/>
    </row>
    <row r="23">
      <c r="A23" s="41" t="n"/>
      <c r="B23" s="42" t="n"/>
      <c r="C23" s="42" t="n"/>
      <c r="D23" s="42" t="n"/>
      <c r="E23" s="43" t="n"/>
      <c r="F23" s="41" t="n"/>
    </row>
    <row r="24">
      <c r="A24" s="23" t="n"/>
      <c r="B24" s="21" t="n"/>
      <c r="C24" s="21" t="n"/>
      <c r="D24" s="21" t="n"/>
      <c r="E24" s="44" t="n"/>
      <c r="F24" s="23" t="n"/>
    </row>
    <row r="25">
      <c r="A25" s="41" t="n"/>
      <c r="B25" s="42" t="n"/>
      <c r="C25" s="42" t="n"/>
      <c r="D25" s="42" t="n"/>
      <c r="E25" s="43" t="n"/>
      <c r="F25" s="41" t="n"/>
    </row>
    <row r="26">
      <c r="A26" s="23" t="n"/>
      <c r="B26" s="21" t="n"/>
      <c r="C26" s="21" t="n"/>
      <c r="D26" s="21" t="n"/>
      <c r="E26" s="44" t="n"/>
      <c r="F26" s="23" t="n"/>
    </row>
    <row r="27">
      <c r="A27" s="41" t="n"/>
      <c r="B27" s="42" t="n"/>
      <c r="C27" s="42" t="n"/>
      <c r="D27" s="42" t="n"/>
      <c r="E27" s="43" t="n"/>
      <c r="F27" s="41" t="n"/>
    </row>
    <row r="28">
      <c r="A28" s="23" t="n"/>
      <c r="B28" s="21" t="n"/>
      <c r="C28" s="21" t="n"/>
      <c r="D28" s="21" t="n"/>
      <c r="E28" s="44" t="n"/>
      <c r="F28" s="23" t="n"/>
    </row>
    <row r="29">
      <c r="A29" s="41" t="n"/>
      <c r="B29" s="42" t="n"/>
      <c r="C29" s="42" t="n"/>
      <c r="D29" s="42" t="n"/>
      <c r="E29" s="43" t="n"/>
      <c r="F29" s="41" t="n"/>
    </row>
    <row r="30">
      <c r="A30" s="23" t="n"/>
      <c r="B30" s="21" t="n"/>
      <c r="C30" s="21" t="n"/>
      <c r="D30" s="21" t="n"/>
      <c r="E30" s="44" t="n"/>
      <c r="F30" s="23" t="n"/>
    </row>
    <row r="31">
      <c r="A31" s="41" t="n"/>
      <c r="B31" s="42" t="n"/>
      <c r="C31" s="42" t="n"/>
      <c r="D31" s="42" t="n"/>
      <c r="E31" s="43" t="n"/>
      <c r="F31" s="41" t="n"/>
    </row>
    <row r="32">
      <c r="A32" s="23" t="n"/>
      <c r="B32" s="21" t="n"/>
      <c r="C32" s="21" t="n"/>
      <c r="D32" s="21" t="n"/>
      <c r="E32" s="44" t="n"/>
      <c r="F32" s="23" t="n"/>
    </row>
    <row r="33">
      <c r="A33" s="41" t="n"/>
      <c r="B33" s="42" t="n"/>
      <c r="C33" s="42" t="n"/>
      <c r="D33" s="42" t="n"/>
      <c r="E33" s="43" t="n"/>
      <c r="F33" s="41" t="n"/>
    </row>
    <row r="34">
      <c r="A34" s="23" t="n"/>
      <c r="B34" s="21" t="n"/>
      <c r="C34" s="21" t="n"/>
      <c r="D34" s="21" t="n"/>
      <c r="E34" s="44" t="n"/>
      <c r="F34" s="23" t="n"/>
    </row>
  </sheetData>
  <mergeCells count="2">
    <mergeCell ref="A2:F2"/>
    <mergeCell ref="A1:F1"/>
  </mergeCells>
  <conditionalFormatting sqref="F5:F34">
    <cfRule type="cellIs" priority="1" operator="equal" dxfId="1">
      <formula>"Hired"</formula>
    </cfRule>
    <cfRule type="cellIs" priority="2" operator="equal" dxfId="2">
      <formula>"Bidding"</formula>
    </cfRule>
    <cfRule type="cellIs" priority="3" operator="equal" dxfId="0">
      <formula>"Passed"</formula>
    </cfRule>
  </conditionalFormatting>
  <dataValidations count="2">
    <dataValidation sqref="A5:A34" showDropDown="0" showInputMessage="0" showErrorMessage="0" allowBlank="1" type="list">
      <formula1>=TradeList</formula1>
    </dataValidation>
    <dataValidation sqref="F5:F34" showDropDown="0" showInputMessage="0" showErrorMessage="0" allowBlank="1" type="list">
      <formula1>=BidStatusList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5"/>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2" customWidth="1" min="3" max="3"/>
    <col width="14" customWidth="1" min="4" max="4"/>
    <col width="14" customWidth="1" min="5" max="5"/>
  </cols>
  <sheetData>
    <row r="1" ht="46" customHeight="1">
      <c r="A1" s="1" t="inlineStr">
        <is>
          <t xml:space="preserve">  💵  DRAWS &amp; PAYMENTS</t>
        </is>
      </c>
    </row>
    <row r="2" ht="22" customHeight="1">
      <c r="A2" s="2" t="inlineStr">
        <is>
          <t xml:space="preserve">  Every dollar out the door — draws, deposits &amp; final payments, with what's still scheduled.</t>
        </is>
      </c>
    </row>
    <row r="3" ht="6" customHeight="1">
      <c r="A3" s="3" t="n"/>
      <c r="B3" s="3" t="n"/>
      <c r="C3" s="3" t="n"/>
      <c r="D3" s="3" t="n"/>
      <c r="E3" s="3" t="n"/>
    </row>
    <row r="4" ht="30" customHeight="1">
      <c r="A4" s="9" t="inlineStr">
        <is>
          <t>Date</t>
        </is>
      </c>
      <c r="B4" s="9" t="inlineStr">
        <is>
          <t>Payee</t>
        </is>
      </c>
      <c r="C4" s="9" t="inlineStr">
        <is>
          <t>Category</t>
        </is>
      </c>
      <c r="D4" s="9" t="inlineStr">
        <is>
          <t>Amount</t>
        </is>
      </c>
      <c r="E4" s="9" t="inlineStr">
        <is>
          <t>Status</t>
        </is>
      </c>
    </row>
    <row r="5">
      <c r="A5" s="45" t="n">
        <v>46154</v>
      </c>
      <c r="B5" s="42" t="inlineStr">
        <is>
          <t>Title company</t>
        </is>
      </c>
      <c r="C5" s="42" t="inlineStr">
        <is>
          <t>Buy-side closing</t>
        </is>
      </c>
      <c r="D5" s="43" t="n">
        <v>3500</v>
      </c>
      <c r="E5" s="41" t="inlineStr">
        <is>
          <t>Paid</t>
        </is>
      </c>
    </row>
    <row r="6">
      <c r="A6" s="46" t="n">
        <v>46160</v>
      </c>
      <c r="B6" s="21" t="inlineStr">
        <is>
          <t>Summit Roofing Co.</t>
        </is>
      </c>
      <c r="C6" s="21" t="inlineStr">
        <is>
          <t>Roof</t>
        </is>
      </c>
      <c r="D6" s="44" t="n">
        <v>6500</v>
      </c>
      <c r="E6" s="23" t="inlineStr">
        <is>
          <t>Paid</t>
        </is>
      </c>
    </row>
    <row r="7">
      <c r="A7" s="45" t="n">
        <v>46166</v>
      </c>
      <c r="B7" s="42" t="inlineStr">
        <is>
          <t>Junk Bros (dumpster)</t>
        </is>
      </c>
      <c r="C7" s="42" t="inlineStr">
        <is>
          <t>Demo &amp; dumpster</t>
        </is>
      </c>
      <c r="D7" s="43" t="n">
        <v>3100</v>
      </c>
      <c r="E7" s="41" t="inlineStr">
        <is>
          <t>Paid</t>
        </is>
      </c>
    </row>
    <row r="8">
      <c r="A8" s="46" t="n">
        <v>46174</v>
      </c>
      <c r="B8" s="21" t="inlineStr">
        <is>
          <t>TempPro Heating &amp; Air</t>
        </is>
      </c>
      <c r="C8" s="21" t="inlineStr">
        <is>
          <t>HVAC</t>
        </is>
      </c>
      <c r="D8" s="44" t="n">
        <v>4000</v>
      </c>
      <c r="E8" s="23" t="inlineStr">
        <is>
          <t>Paid</t>
        </is>
      </c>
    </row>
    <row r="9">
      <c r="A9" s="45" t="n">
        <v>46180</v>
      </c>
      <c r="B9" s="42" t="inlineStr">
        <is>
          <t>Bright Spark Electric</t>
        </is>
      </c>
      <c r="C9" s="42" t="inlineStr">
        <is>
          <t>Electrical</t>
        </is>
      </c>
      <c r="D9" s="43" t="n">
        <v>2650</v>
      </c>
      <c r="E9" s="41" t="inlineStr">
        <is>
          <t>Paid</t>
        </is>
      </c>
    </row>
    <row r="10">
      <c r="A10" s="46" t="n">
        <v>46186</v>
      </c>
      <c r="B10" s="21" t="inlineStr">
        <is>
          <t>FlowRight Plumbing</t>
        </is>
      </c>
      <c r="C10" s="21" t="inlineStr">
        <is>
          <t>Plumbing</t>
        </is>
      </c>
      <c r="D10" s="44" t="n">
        <v>1900</v>
      </c>
      <c r="E10" s="23" t="inlineStr">
        <is>
          <t>Paid</t>
        </is>
      </c>
    </row>
    <row r="11">
      <c r="A11" s="45" t="n">
        <v>46194</v>
      </c>
      <c r="B11" s="42" t="inlineStr">
        <is>
          <t>Statewide Floors</t>
        </is>
      </c>
      <c r="C11" s="42" t="inlineStr">
        <is>
          <t>Flooring</t>
        </is>
      </c>
      <c r="D11" s="43" t="n">
        <v>4500</v>
      </c>
      <c r="E11" s="41" t="inlineStr">
        <is>
          <t>Paid</t>
        </is>
      </c>
    </row>
    <row r="12">
      <c r="A12" s="46" t="n">
        <v>46204</v>
      </c>
      <c r="B12" s="21" t="inlineStr">
        <is>
          <t>Craft Cabinet Works</t>
        </is>
      </c>
      <c r="C12" s="21" t="inlineStr">
        <is>
          <t>Kitchen (deposit)</t>
        </is>
      </c>
      <c r="D12" s="44" t="n">
        <v>5500</v>
      </c>
      <c r="E12" s="23" t="inlineStr">
        <is>
          <t>Paid</t>
        </is>
      </c>
    </row>
    <row r="13">
      <c r="A13" s="45" t="n">
        <v>46216</v>
      </c>
      <c r="B13" s="42" t="inlineStr">
        <is>
          <t>Hall-bath materials</t>
        </is>
      </c>
      <c r="C13" s="42" t="inlineStr">
        <is>
          <t>Bathrooms (2)</t>
        </is>
      </c>
      <c r="D13" s="43" t="n">
        <v>3900</v>
      </c>
      <c r="E13" s="41" t="inlineStr">
        <is>
          <t>Paid</t>
        </is>
      </c>
    </row>
    <row r="14">
      <c r="A14" s="46" t="n">
        <v>46230</v>
      </c>
      <c r="B14" s="21" t="inlineStr">
        <is>
          <t>Craft Cabinet Works</t>
        </is>
      </c>
      <c r="C14" s="21" t="inlineStr">
        <is>
          <t>Kitchen (final)</t>
        </is>
      </c>
      <c r="D14" s="44" t="n">
        <v>5000</v>
      </c>
      <c r="E14" s="23" t="inlineStr">
        <is>
          <t>Scheduled</t>
        </is>
      </c>
    </row>
    <row r="15">
      <c r="A15" s="45" t="n">
        <v>46236</v>
      </c>
      <c r="B15" s="42" t="inlineStr">
        <is>
          <t>TrueColor Painting</t>
        </is>
      </c>
      <c r="C15" s="42" t="inlineStr">
        <is>
          <t>Paint</t>
        </is>
      </c>
      <c r="D15" s="43" t="n">
        <v>3200</v>
      </c>
      <c r="E15" s="41" t="inlineStr">
        <is>
          <t>Scheduled</t>
        </is>
      </c>
    </row>
    <row r="16">
      <c r="A16" s="46" t="n">
        <v>46244</v>
      </c>
      <c r="B16" s="21" t="inlineStr">
        <is>
          <t>GreenScape Curb</t>
        </is>
      </c>
      <c r="C16" s="21" t="inlineStr">
        <is>
          <t>Landscaping</t>
        </is>
      </c>
      <c r="D16" s="44" t="n">
        <v>1500</v>
      </c>
      <c r="E16" s="23" t="inlineStr">
        <is>
          <t>Unpaid</t>
        </is>
      </c>
    </row>
    <row r="17">
      <c r="A17" s="45" t="n"/>
      <c r="B17" s="42" t="n"/>
      <c r="C17" s="42" t="n"/>
      <c r="D17" s="43" t="n"/>
      <c r="E17" s="41" t="n"/>
    </row>
    <row r="18">
      <c r="A18" s="46" t="n"/>
      <c r="B18" s="21" t="n"/>
      <c r="C18" s="21" t="n"/>
      <c r="D18" s="44" t="n"/>
      <c r="E18" s="23" t="n"/>
    </row>
    <row r="19">
      <c r="A19" s="45" t="n"/>
      <c r="B19" s="42" t="n"/>
      <c r="C19" s="42" t="n"/>
      <c r="D19" s="43" t="n"/>
      <c r="E19" s="41" t="n"/>
    </row>
    <row r="20">
      <c r="A20" s="46" t="n"/>
      <c r="B20" s="21" t="n"/>
      <c r="C20" s="21" t="n"/>
      <c r="D20" s="44" t="n"/>
      <c r="E20" s="23" t="n"/>
    </row>
    <row r="21">
      <c r="A21" s="45" t="n"/>
      <c r="B21" s="42" t="n"/>
      <c r="C21" s="42" t="n"/>
      <c r="D21" s="43" t="n"/>
      <c r="E21" s="41" t="n"/>
    </row>
    <row r="22">
      <c r="A22" s="46" t="n"/>
      <c r="B22" s="21" t="n"/>
      <c r="C22" s="21" t="n"/>
      <c r="D22" s="44" t="n"/>
      <c r="E22" s="23" t="n"/>
    </row>
    <row r="23">
      <c r="A23" s="45" t="n"/>
      <c r="B23" s="42" t="n"/>
      <c r="C23" s="42" t="n"/>
      <c r="D23" s="43" t="n"/>
      <c r="E23" s="41" t="n"/>
    </row>
    <row r="24">
      <c r="A24" s="46" t="n"/>
      <c r="B24" s="21" t="n"/>
      <c r="C24" s="21" t="n"/>
      <c r="D24" s="44" t="n"/>
      <c r="E24" s="23" t="n"/>
    </row>
    <row r="25">
      <c r="A25" s="45" t="n"/>
      <c r="B25" s="42" t="n"/>
      <c r="C25" s="42" t="n"/>
      <c r="D25" s="43" t="n"/>
      <c r="E25" s="41" t="n"/>
    </row>
    <row r="26">
      <c r="A26" s="46" t="n"/>
      <c r="B26" s="21" t="n"/>
      <c r="C26" s="21" t="n"/>
      <c r="D26" s="44" t="n"/>
      <c r="E26" s="23" t="n"/>
    </row>
    <row r="27">
      <c r="A27" s="45" t="n"/>
      <c r="B27" s="42" t="n"/>
      <c r="C27" s="42" t="n"/>
      <c r="D27" s="43" t="n"/>
      <c r="E27" s="41" t="n"/>
    </row>
    <row r="28">
      <c r="A28" s="46" t="n"/>
      <c r="B28" s="21" t="n"/>
      <c r="C28" s="21" t="n"/>
      <c r="D28" s="44" t="n"/>
      <c r="E28" s="23" t="n"/>
    </row>
    <row r="29">
      <c r="A29" s="45" t="n"/>
      <c r="B29" s="42" t="n"/>
      <c r="C29" s="42" t="n"/>
      <c r="D29" s="43" t="n"/>
      <c r="E29" s="41" t="n"/>
    </row>
    <row r="30">
      <c r="A30" s="46" t="n"/>
      <c r="B30" s="21" t="n"/>
      <c r="C30" s="21" t="n"/>
      <c r="D30" s="44" t="n"/>
      <c r="E30" s="23" t="n"/>
    </row>
    <row r="31">
      <c r="A31" s="45" t="n"/>
      <c r="B31" s="42" t="n"/>
      <c r="C31" s="42" t="n"/>
      <c r="D31" s="43" t="n"/>
      <c r="E31" s="41" t="n"/>
    </row>
    <row r="32">
      <c r="A32" s="46" t="n"/>
      <c r="B32" s="21" t="n"/>
      <c r="C32" s="21" t="n"/>
      <c r="D32" s="44" t="n"/>
      <c r="E32" s="23" t="n"/>
    </row>
    <row r="33">
      <c r="A33" s="45" t="n"/>
      <c r="B33" s="42" t="n"/>
      <c r="C33" s="42" t="n"/>
      <c r="D33" s="43" t="n"/>
      <c r="E33" s="41" t="n"/>
    </row>
    <row r="34">
      <c r="A34" s="46" t="n"/>
      <c r="B34" s="21" t="n"/>
      <c r="C34" s="21" t="n"/>
      <c r="D34" s="44" t="n"/>
      <c r="E34" s="23" t="n"/>
    </row>
    <row r="35">
      <c r="A35" s="45" t="n"/>
      <c r="B35" s="42" t="n"/>
      <c r="C35" s="42" t="n"/>
      <c r="D35" s="43" t="n"/>
      <c r="E35" s="41" t="n"/>
    </row>
    <row r="36">
      <c r="A36" s="46" t="n"/>
      <c r="B36" s="21" t="n"/>
      <c r="C36" s="21" t="n"/>
      <c r="D36" s="44" t="n"/>
      <c r="E36" s="23" t="n"/>
    </row>
    <row r="37">
      <c r="A37" s="45" t="n"/>
      <c r="B37" s="42" t="n"/>
      <c r="C37" s="42" t="n"/>
      <c r="D37" s="43" t="n"/>
      <c r="E37" s="41" t="n"/>
    </row>
    <row r="38">
      <c r="A38" s="46" t="n"/>
      <c r="B38" s="21" t="n"/>
      <c r="C38" s="21" t="n"/>
      <c r="D38" s="44" t="n"/>
      <c r="E38" s="23" t="n"/>
    </row>
    <row r="39">
      <c r="A39" s="45" t="n"/>
      <c r="B39" s="42" t="n"/>
      <c r="C39" s="42" t="n"/>
      <c r="D39" s="43" t="n"/>
      <c r="E39" s="41" t="n"/>
    </row>
    <row r="40">
      <c r="A40" s="46" t="n"/>
      <c r="B40" s="21" t="n"/>
      <c r="C40" s="21" t="n"/>
      <c r="D40" s="44" t="n"/>
      <c r="E40" s="23" t="n"/>
    </row>
    <row r="41">
      <c r="A41" s="45" t="n"/>
      <c r="B41" s="42" t="n"/>
      <c r="C41" s="42" t="n"/>
      <c r="D41" s="43" t="n"/>
      <c r="E41" s="41" t="n"/>
    </row>
    <row r="42">
      <c r="A42" s="46" t="n"/>
      <c r="B42" s="21" t="n"/>
      <c r="C42" s="21" t="n"/>
      <c r="D42" s="44" t="n"/>
      <c r="E42" s="23" t="n"/>
    </row>
    <row r="43">
      <c r="A43" s="45" t="n"/>
      <c r="B43" s="42" t="n"/>
      <c r="C43" s="42" t="n"/>
      <c r="D43" s="43" t="n"/>
      <c r="E43" s="41" t="n"/>
    </row>
    <row r="44">
      <c r="A44" s="46" t="n"/>
      <c r="B44" s="21" t="n"/>
      <c r="C44" s="21" t="n"/>
      <c r="D44" s="44" t="n"/>
      <c r="E44" s="23" t="n"/>
    </row>
    <row r="45">
      <c r="C45" s="9" t="inlineStr">
        <is>
          <t>PAID TO DATE</t>
        </is>
      </c>
      <c r="D45" s="39">
        <f>SUMIF(PayStatus,"Paid",PayAmount)</f>
        <v/>
      </c>
      <c r="E45" s="47" t="n"/>
    </row>
  </sheetData>
  <mergeCells count="2">
    <mergeCell ref="A2:E2"/>
    <mergeCell ref="A1:E1"/>
  </mergeCells>
  <conditionalFormatting sqref="E5:E44">
    <cfRule type="cellIs" priority="1" operator="equal" dxfId="1">
      <formula>"Paid"</formula>
    </cfRule>
    <cfRule type="cellIs" priority="2" operator="equal" dxfId="2">
      <formula>"Scheduled"</formula>
    </cfRule>
    <cfRule type="cellIs" priority="3" operator="equal" dxfId="0">
      <formula>"Unpaid"</formula>
    </cfRule>
  </conditionalFormatting>
  <dataValidations count="1">
    <dataValidation sqref="E5:E44" showDropDown="0" showInputMessage="0" showErrorMessage="0" allowBlank="1" type="list">
      <formula1>=PayStatusList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4"/>
  <sheetViews>
    <sheetView showGridLines="0" workbookViewId="0">
      <pane ySplit="4" topLeftCell="A5" activePane="bottomLeft" state="frozen"/>
      <selection pane="bottomLeft" activeCell="A1" sqref="A1"/>
    </sheetView>
  </sheetViews>
  <sheetFormatPr baseColWidth="8" defaultRowHeight="15"/>
  <cols>
    <col width="28" customWidth="1" min="1" max="1"/>
    <col width="16" customWidth="1" min="2" max="2"/>
    <col width="20" customWidth="1" min="3" max="3"/>
    <col width="12" customWidth="1" min="4" max="4"/>
    <col width="12" customWidth="1" min="5" max="5"/>
  </cols>
  <sheetData>
    <row r="1" ht="46" customHeight="1">
      <c r="A1" s="1" t="inlineStr">
        <is>
          <t xml:space="preserve">  🧱  MATERIALS &amp; PURCHASES</t>
        </is>
      </c>
    </row>
    <row r="2" ht="22" customHeight="1">
      <c r="A2" s="2" t="inlineStr">
        <is>
          <t xml:space="preserve">  The shopping list — every material, where it's from, what it costs &amp; what's still needed.</t>
        </is>
      </c>
    </row>
    <row r="3" ht="6" customHeight="1">
      <c r="A3" s="3" t="n"/>
      <c r="B3" s="3" t="n"/>
      <c r="C3" s="3" t="n"/>
      <c r="D3" s="3" t="n"/>
      <c r="E3" s="3" t="n"/>
    </row>
    <row r="4" ht="30" customHeight="1">
      <c r="A4" s="9" t="inlineStr">
        <is>
          <t>Item</t>
        </is>
      </c>
      <c r="B4" s="9" t="inlineStr">
        <is>
          <t>Room</t>
        </is>
      </c>
      <c r="C4" s="9" t="inlineStr">
        <is>
          <t>Store</t>
        </is>
      </c>
      <c r="D4" s="9" t="inlineStr">
        <is>
          <t>Cost</t>
        </is>
      </c>
      <c r="E4" s="9" t="inlineStr">
        <is>
          <t>Status</t>
        </is>
      </c>
    </row>
    <row r="5">
      <c r="A5" s="42" t="inlineStr">
        <is>
          <t>LVP flooring (1,600 sf)</t>
        </is>
      </c>
      <c r="B5" s="41" t="inlineStr">
        <is>
          <t>Whole House</t>
        </is>
      </c>
      <c r="C5" s="42" t="inlineStr">
        <is>
          <t>Floor &amp; Decor</t>
        </is>
      </c>
      <c r="D5" s="43" t="n">
        <v>3400</v>
      </c>
      <c r="E5" s="41" t="inlineStr">
        <is>
          <t>Bought</t>
        </is>
      </c>
    </row>
    <row r="6">
      <c r="A6" s="21" t="inlineStr">
        <is>
          <t>Quartz counters</t>
        </is>
      </c>
      <c r="B6" s="23" t="inlineStr">
        <is>
          <t>Kitchen</t>
        </is>
      </c>
      <c r="C6" s="21" t="inlineStr">
        <is>
          <t>Local fabricator</t>
        </is>
      </c>
      <c r="D6" s="44" t="n">
        <v>2600</v>
      </c>
      <c r="E6" s="23" t="inlineStr">
        <is>
          <t>Ordered</t>
        </is>
      </c>
    </row>
    <row r="7">
      <c r="A7" s="42" t="inlineStr">
        <is>
          <t>Stainless appliances</t>
        </is>
      </c>
      <c r="B7" s="41" t="inlineStr">
        <is>
          <t>Kitchen</t>
        </is>
      </c>
      <c r="C7" s="42" t="inlineStr">
        <is>
          <t>Home Depot</t>
        </is>
      </c>
      <c r="D7" s="43" t="n">
        <v>2800</v>
      </c>
      <c r="E7" s="41" t="inlineStr">
        <is>
          <t>Need</t>
        </is>
      </c>
    </row>
    <row r="8">
      <c r="A8" s="21" t="inlineStr">
        <is>
          <t>Vanities (2)</t>
        </is>
      </c>
      <c r="B8" s="23" t="inlineStr">
        <is>
          <t>Baths</t>
        </is>
      </c>
      <c r="C8" s="21" t="inlineStr">
        <is>
          <t>Wayfair</t>
        </is>
      </c>
      <c r="D8" s="44" t="n">
        <v>900</v>
      </c>
      <c r="E8" s="23" t="inlineStr">
        <is>
          <t>Bought</t>
        </is>
      </c>
    </row>
    <row r="9">
      <c r="A9" s="42" t="inlineStr">
        <is>
          <t>Interior paint (12 gal)</t>
        </is>
      </c>
      <c r="B9" s="41" t="inlineStr">
        <is>
          <t>Whole House</t>
        </is>
      </c>
      <c r="C9" s="42" t="inlineStr">
        <is>
          <t>Sherwin-Williams</t>
        </is>
      </c>
      <c r="D9" s="43" t="n">
        <v>480</v>
      </c>
      <c r="E9" s="41" t="inlineStr">
        <is>
          <t>Bought</t>
        </is>
      </c>
    </row>
    <row r="10">
      <c r="A10" s="21" t="inlineStr">
        <is>
          <t>Light fixtures</t>
        </is>
      </c>
      <c r="B10" s="23" t="inlineStr">
        <is>
          <t>Whole House</t>
        </is>
      </c>
      <c r="C10" s="21" t="inlineStr">
        <is>
          <t>Amazon</t>
        </is>
      </c>
      <c r="D10" s="44" t="n">
        <v>640</v>
      </c>
      <c r="E10" s="23" t="inlineStr">
        <is>
          <t>Ordered</t>
        </is>
      </c>
    </row>
    <row r="11">
      <c r="A11" s="42" t="inlineStr">
        <is>
          <t>Front door</t>
        </is>
      </c>
      <c r="B11" s="41" t="inlineStr">
        <is>
          <t>Exterior</t>
        </is>
      </c>
      <c r="C11" s="42" t="inlineStr">
        <is>
          <t>Home Depot</t>
        </is>
      </c>
      <c r="D11" s="43" t="n">
        <v>420</v>
      </c>
      <c r="E11" s="41" t="inlineStr">
        <is>
          <t>Need</t>
        </is>
      </c>
    </row>
    <row r="12">
      <c r="A12" s="21" t="inlineStr">
        <is>
          <t>Cabinet hardware</t>
        </is>
      </c>
      <c r="B12" s="23" t="inlineStr">
        <is>
          <t>Kitchen</t>
        </is>
      </c>
      <c r="C12" s="21" t="inlineStr">
        <is>
          <t>Amazon</t>
        </is>
      </c>
      <c r="D12" s="44" t="n">
        <v>180</v>
      </c>
      <c r="E12" s="23" t="inlineStr">
        <is>
          <t>Bought</t>
        </is>
      </c>
    </row>
    <row r="13">
      <c r="A13" s="42" t="inlineStr">
        <is>
          <t>Bathroom tile</t>
        </is>
      </c>
      <c r="B13" s="41" t="inlineStr">
        <is>
          <t>Baths</t>
        </is>
      </c>
      <c r="C13" s="42" t="inlineStr">
        <is>
          <t>Floor &amp; Decor</t>
        </is>
      </c>
      <c r="D13" s="43" t="n">
        <v>560</v>
      </c>
      <c r="E13" s="41" t="inlineStr">
        <is>
          <t>Bought</t>
        </is>
      </c>
    </row>
    <row r="14">
      <c r="A14" s="21" t="inlineStr">
        <is>
          <t>Backsplash tile</t>
        </is>
      </c>
      <c r="B14" s="23" t="inlineStr">
        <is>
          <t>Kitchen</t>
        </is>
      </c>
      <c r="C14" s="21" t="inlineStr">
        <is>
          <t>Floor &amp; Decor</t>
        </is>
      </c>
      <c r="D14" s="44" t="n">
        <v>240</v>
      </c>
      <c r="E14" s="23" t="inlineStr">
        <is>
          <t>Need</t>
        </is>
      </c>
    </row>
    <row r="15">
      <c r="A15" s="42" t="inlineStr">
        <is>
          <t>Sod &amp; mulch</t>
        </is>
      </c>
      <c r="B15" s="41" t="inlineStr">
        <is>
          <t>Yard</t>
        </is>
      </c>
      <c r="C15" s="42" t="inlineStr">
        <is>
          <t>Local nursery</t>
        </is>
      </c>
      <c r="D15" s="43" t="n">
        <v>380</v>
      </c>
      <c r="E15" s="41" t="inlineStr">
        <is>
          <t>Need</t>
        </is>
      </c>
    </row>
    <row r="16">
      <c r="A16" s="21" t="inlineStr">
        <is>
          <t>Faucets &amp; fixtures</t>
        </is>
      </c>
      <c r="B16" s="23" t="inlineStr">
        <is>
          <t>Baths/Kitchen</t>
        </is>
      </c>
      <c r="C16" s="21" t="inlineStr">
        <is>
          <t>Ferguson</t>
        </is>
      </c>
      <c r="D16" s="44" t="n">
        <v>720</v>
      </c>
      <c r="E16" s="23" t="inlineStr">
        <is>
          <t>Ordered</t>
        </is>
      </c>
    </row>
    <row r="17">
      <c r="A17" s="42" t="n"/>
      <c r="B17" s="41" t="n"/>
      <c r="C17" s="42" t="n"/>
      <c r="D17" s="43" t="n"/>
      <c r="E17" s="41" t="n"/>
    </row>
    <row r="18">
      <c r="A18" s="21" t="n"/>
      <c r="B18" s="23" t="n"/>
      <c r="C18" s="21" t="n"/>
      <c r="D18" s="44" t="n"/>
      <c r="E18" s="23" t="n"/>
    </row>
    <row r="19">
      <c r="A19" s="42" t="n"/>
      <c r="B19" s="41" t="n"/>
      <c r="C19" s="42" t="n"/>
      <c r="D19" s="43" t="n"/>
      <c r="E19" s="41" t="n"/>
    </row>
    <row r="20">
      <c r="A20" s="21" t="n"/>
      <c r="B20" s="23" t="n"/>
      <c r="C20" s="21" t="n"/>
      <c r="D20" s="44" t="n"/>
      <c r="E20" s="23" t="n"/>
    </row>
    <row r="21">
      <c r="A21" s="42" t="n"/>
      <c r="B21" s="41" t="n"/>
      <c r="C21" s="42" t="n"/>
      <c r="D21" s="43" t="n"/>
      <c r="E21" s="41" t="n"/>
    </row>
    <row r="22">
      <c r="A22" s="21" t="n"/>
      <c r="B22" s="23" t="n"/>
      <c r="C22" s="21" t="n"/>
      <c r="D22" s="44" t="n"/>
      <c r="E22" s="23" t="n"/>
    </row>
    <row r="23">
      <c r="A23" s="42" t="n"/>
      <c r="B23" s="41" t="n"/>
      <c r="C23" s="42" t="n"/>
      <c r="D23" s="43" t="n"/>
      <c r="E23" s="41" t="n"/>
    </row>
    <row r="24">
      <c r="A24" s="21" t="n"/>
      <c r="B24" s="23" t="n"/>
      <c r="C24" s="21" t="n"/>
      <c r="D24" s="44" t="n"/>
      <c r="E24" s="23" t="n"/>
    </row>
    <row r="25">
      <c r="A25" s="42" t="n"/>
      <c r="B25" s="41" t="n"/>
      <c r="C25" s="42" t="n"/>
      <c r="D25" s="43" t="n"/>
      <c r="E25" s="41" t="n"/>
    </row>
    <row r="26">
      <c r="A26" s="21" t="n"/>
      <c r="B26" s="23" t="n"/>
      <c r="C26" s="21" t="n"/>
      <c r="D26" s="44" t="n"/>
      <c r="E26" s="23" t="n"/>
    </row>
    <row r="27">
      <c r="A27" s="42" t="n"/>
      <c r="B27" s="41" t="n"/>
      <c r="C27" s="42" t="n"/>
      <c r="D27" s="43" t="n"/>
      <c r="E27" s="41" t="n"/>
    </row>
    <row r="28">
      <c r="A28" s="21" t="n"/>
      <c r="B28" s="23" t="n"/>
      <c r="C28" s="21" t="n"/>
      <c r="D28" s="44" t="n"/>
      <c r="E28" s="23" t="n"/>
    </row>
    <row r="29">
      <c r="A29" s="42" t="n"/>
      <c r="B29" s="41" t="n"/>
      <c r="C29" s="42" t="n"/>
      <c r="D29" s="43" t="n"/>
      <c r="E29" s="41" t="n"/>
    </row>
    <row r="30">
      <c r="A30" s="21" t="n"/>
      <c r="B30" s="23" t="n"/>
      <c r="C30" s="21" t="n"/>
      <c r="D30" s="44" t="n"/>
      <c r="E30" s="23" t="n"/>
    </row>
    <row r="31">
      <c r="A31" s="42" t="n"/>
      <c r="B31" s="41" t="n"/>
      <c r="C31" s="42" t="n"/>
      <c r="D31" s="43" t="n"/>
      <c r="E31" s="41" t="n"/>
    </row>
    <row r="32">
      <c r="A32" s="21" t="n"/>
      <c r="B32" s="23" t="n"/>
      <c r="C32" s="21" t="n"/>
      <c r="D32" s="44" t="n"/>
      <c r="E32" s="23" t="n"/>
    </row>
    <row r="33">
      <c r="A33" s="42" t="n"/>
      <c r="B33" s="41" t="n"/>
      <c r="C33" s="42" t="n"/>
      <c r="D33" s="43" t="n"/>
      <c r="E33" s="41" t="n"/>
    </row>
    <row r="34">
      <c r="A34" s="21" t="n"/>
      <c r="B34" s="23" t="n"/>
      <c r="C34" s="21" t="n"/>
      <c r="D34" s="44" t="n"/>
      <c r="E34" s="23" t="n"/>
    </row>
    <row r="35">
      <c r="A35" s="42" t="n"/>
      <c r="B35" s="41" t="n"/>
      <c r="C35" s="42" t="n"/>
      <c r="D35" s="43" t="n"/>
      <c r="E35" s="41" t="n"/>
    </row>
    <row r="36">
      <c r="A36" s="21" t="n"/>
      <c r="B36" s="23" t="n"/>
      <c r="C36" s="21" t="n"/>
      <c r="D36" s="44" t="n"/>
      <c r="E36" s="23" t="n"/>
    </row>
    <row r="37">
      <c r="A37" s="42" t="n"/>
      <c r="B37" s="41" t="n"/>
      <c r="C37" s="42" t="n"/>
      <c r="D37" s="43" t="n"/>
      <c r="E37" s="41" t="n"/>
    </row>
    <row r="38">
      <c r="A38" s="21" t="n"/>
      <c r="B38" s="23" t="n"/>
      <c r="C38" s="21" t="n"/>
      <c r="D38" s="44" t="n"/>
      <c r="E38" s="23" t="n"/>
    </row>
    <row r="39">
      <c r="A39" s="42" t="n"/>
      <c r="B39" s="41" t="n"/>
      <c r="C39" s="42" t="n"/>
      <c r="D39" s="43" t="n"/>
      <c r="E39" s="41" t="n"/>
    </row>
    <row r="40">
      <c r="A40" s="21" t="n"/>
      <c r="B40" s="23" t="n"/>
      <c r="C40" s="21" t="n"/>
      <c r="D40" s="44" t="n"/>
      <c r="E40" s="23" t="n"/>
    </row>
    <row r="41">
      <c r="A41" s="42" t="n"/>
      <c r="B41" s="41" t="n"/>
      <c r="C41" s="42" t="n"/>
      <c r="D41" s="43" t="n"/>
      <c r="E41" s="41" t="n"/>
    </row>
    <row r="42">
      <c r="A42" s="21" t="n"/>
      <c r="B42" s="23" t="n"/>
      <c r="C42" s="21" t="n"/>
      <c r="D42" s="44" t="n"/>
      <c r="E42" s="23" t="n"/>
    </row>
    <row r="43">
      <c r="A43" s="42" t="n"/>
      <c r="B43" s="41" t="n"/>
      <c r="C43" s="42" t="n"/>
      <c r="D43" s="43" t="n"/>
      <c r="E43" s="41" t="n"/>
    </row>
    <row r="44">
      <c r="A44" s="21" t="n"/>
      <c r="B44" s="23" t="n"/>
      <c r="C44" s="21" t="n"/>
      <c r="D44" s="44" t="n"/>
      <c r="E44" s="23" t="n"/>
    </row>
  </sheetData>
  <mergeCells count="2">
    <mergeCell ref="A2:E2"/>
    <mergeCell ref="A1:E1"/>
  </mergeCells>
  <conditionalFormatting sqref="E5:E44">
    <cfRule type="cellIs" priority="1" operator="equal" dxfId="1">
      <formula>"Bought"</formula>
    </cfRule>
    <cfRule type="cellIs" priority="2" operator="equal" dxfId="2">
      <formula>"Ordered"</formula>
    </cfRule>
    <cfRule type="cellIs" priority="3" operator="equal" dxfId="0">
      <formula>"Need"</formula>
    </cfRule>
  </conditionalFormatting>
  <dataValidations count="2">
    <dataValidation sqref="B5:B44" showDropDown="0" showInputMessage="0" showErrorMessage="0" allowBlank="1" type="list">
      <formula1>=RoomList</formula1>
    </dataValidation>
    <dataValidation sqref="E5:E44" showDropDown="0" showInputMessage="0" showErrorMessage="0" allowBlank="1" type="list">
      <formula1>=MatStatusList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s>
  <sheetData>
    <row r="1" ht="46" customHeight="1">
      <c r="A1" s="1" t="inlineStr">
        <is>
          <t xml:space="preserve">  🗓  TIMELINE &amp; PHASES</t>
        </is>
      </c>
    </row>
    <row r="2" ht="22" customHeight="1">
      <c r="A2" s="2" t="inlineStr">
        <is>
          <t xml:space="preserve">  The whole job on a calendar — each phase, its dates and where it stands right now.</t>
        </is>
      </c>
    </row>
    <row r="3" ht="6" customHeight="1">
      <c r="A3" s="3" t="n"/>
      <c r="B3" s="3" t="n"/>
      <c r="C3" s="3" t="n"/>
      <c r="D3" s="3" t="n"/>
    </row>
    <row r="4" ht="30" customHeight="1">
      <c r="A4" s="9" t="inlineStr">
        <is>
          <t>Phase</t>
        </is>
      </c>
      <c r="B4" s="9" t="inlineStr">
        <is>
          <t>Start</t>
        </is>
      </c>
      <c r="C4" s="9" t="inlineStr">
        <is>
          <t>Target End</t>
        </is>
      </c>
      <c r="D4" s="9" t="inlineStr">
        <is>
          <t>Status</t>
        </is>
      </c>
    </row>
    <row r="5">
      <c r="A5" s="42" t="inlineStr">
        <is>
          <t>Acquisition &amp; permits</t>
        </is>
      </c>
      <c r="B5" s="45" t="n">
        <v>46149</v>
      </c>
      <c r="C5" s="45" t="n">
        <v>46164</v>
      </c>
      <c r="D5" s="41" t="inlineStr">
        <is>
          <t>Done</t>
        </is>
      </c>
    </row>
    <row r="6">
      <c r="A6" s="21" t="inlineStr">
        <is>
          <t>Demo</t>
        </is>
      </c>
      <c r="B6" s="46" t="n">
        <v>46164</v>
      </c>
      <c r="C6" s="46" t="n">
        <v>46174</v>
      </c>
      <c r="D6" s="23" t="inlineStr">
        <is>
          <t>Done</t>
        </is>
      </c>
    </row>
    <row r="7">
      <c r="A7" s="42" t="inlineStr">
        <is>
          <t>Rough-in (MEP)</t>
        </is>
      </c>
      <c r="B7" s="45" t="n">
        <v>46174</v>
      </c>
      <c r="C7" s="45" t="n">
        <v>46192</v>
      </c>
      <c r="D7" s="41" t="inlineStr">
        <is>
          <t>Done</t>
        </is>
      </c>
    </row>
    <row r="8">
      <c r="A8" s="21" t="inlineStr">
        <is>
          <t>Kitchen &amp; baths</t>
        </is>
      </c>
      <c r="B8" s="46" t="n">
        <v>46192</v>
      </c>
      <c r="C8" s="46" t="n">
        <v>46234</v>
      </c>
      <c r="D8" s="23" t="inlineStr">
        <is>
          <t>In Progress</t>
        </is>
      </c>
    </row>
    <row r="9">
      <c r="A9" s="42" t="inlineStr">
        <is>
          <t>Finishes (floor/paint/trim)</t>
        </is>
      </c>
      <c r="B9" s="45" t="n">
        <v>46204</v>
      </c>
      <c r="C9" s="45" t="n">
        <v>46242</v>
      </c>
      <c r="D9" s="41" t="inlineStr">
        <is>
          <t>In Progress</t>
        </is>
      </c>
    </row>
    <row r="10">
      <c r="A10" s="21" t="inlineStr">
        <is>
          <t>Punch list &amp; staging</t>
        </is>
      </c>
      <c r="B10" s="46" t="n">
        <v>46242</v>
      </c>
      <c r="C10" s="46" t="n">
        <v>46250</v>
      </c>
      <c r="D10" s="23" t="inlineStr">
        <is>
          <t>Not Started</t>
        </is>
      </c>
    </row>
    <row r="11">
      <c r="A11" s="42" t="inlineStr">
        <is>
          <t>List &amp; sell</t>
        </is>
      </c>
      <c r="B11" s="45" t="n">
        <v>46250</v>
      </c>
      <c r="C11" s="45" t="n">
        <v>46284</v>
      </c>
      <c r="D11" s="41" t="inlineStr">
        <is>
          <t>Not Started</t>
        </is>
      </c>
    </row>
    <row r="12">
      <c r="A12" s="21" t="n"/>
      <c r="B12" s="46" t="n"/>
      <c r="C12" s="46" t="n"/>
      <c r="D12" s="23" t="n"/>
    </row>
    <row r="13">
      <c r="A13" s="42" t="n"/>
      <c r="B13" s="45" t="n"/>
      <c r="C13" s="45" t="n"/>
      <c r="D13" s="41" t="n"/>
    </row>
    <row r="14">
      <c r="A14" s="21" t="n"/>
      <c r="B14" s="46" t="n"/>
      <c r="C14" s="46" t="n"/>
      <c r="D14" s="23" t="n"/>
    </row>
    <row r="15">
      <c r="A15" s="42" t="n"/>
      <c r="B15" s="45" t="n"/>
      <c r="C15" s="45" t="n"/>
      <c r="D15" s="41" t="n"/>
    </row>
    <row r="16">
      <c r="A16" s="21" t="n"/>
      <c r="B16" s="46" t="n"/>
      <c r="C16" s="46" t="n"/>
      <c r="D16" s="23" t="n"/>
    </row>
    <row r="17">
      <c r="A17" s="42" t="n"/>
      <c r="B17" s="45" t="n"/>
      <c r="C17" s="45" t="n"/>
      <c r="D17" s="41" t="n"/>
    </row>
    <row r="18">
      <c r="A18" s="21" t="n"/>
      <c r="B18" s="46" t="n"/>
      <c r="C18" s="46" t="n"/>
      <c r="D18" s="23" t="n"/>
    </row>
    <row r="19">
      <c r="A19" s="42" t="n"/>
      <c r="B19" s="45" t="n"/>
      <c r="C19" s="45" t="n"/>
      <c r="D19" s="41" t="n"/>
    </row>
    <row r="20">
      <c r="A20" s="21" t="n"/>
      <c r="B20" s="46" t="n"/>
      <c r="C20" s="46" t="n"/>
      <c r="D20" s="23" t="n"/>
    </row>
    <row r="21">
      <c r="A21" s="42" t="n"/>
      <c r="B21" s="45" t="n"/>
      <c r="C21" s="45" t="n"/>
      <c r="D21" s="41" t="n"/>
    </row>
    <row r="22">
      <c r="A22" s="21" t="n"/>
      <c r="B22" s="46" t="n"/>
      <c r="C22" s="46" t="n"/>
      <c r="D22" s="23" t="n"/>
    </row>
    <row r="23">
      <c r="A23" s="42" t="n"/>
      <c r="B23" s="45" t="n"/>
      <c r="C23" s="45" t="n"/>
      <c r="D23" s="41" t="n"/>
    </row>
    <row r="24">
      <c r="A24" s="21" t="n"/>
      <c r="B24" s="46" t="n"/>
      <c r="C24" s="46" t="n"/>
      <c r="D24" s="23" t="n"/>
    </row>
  </sheetData>
  <mergeCells count="2">
    <mergeCell ref="A1:D1"/>
    <mergeCell ref="A2:D2"/>
  </mergeCells>
  <conditionalFormatting sqref="D5:D24">
    <cfRule type="cellIs" priority="1" operator="equal" dxfId="1">
      <formula>"Done"</formula>
    </cfRule>
    <cfRule type="cellIs" priority="2" operator="equal" dxfId="2">
      <formula>"In Progress"</formula>
    </cfRule>
    <cfRule type="cellIs" priority="3" operator="equal" dxfId="3">
      <formula>"Not Started"</formula>
    </cfRule>
  </conditionalFormatting>
  <dataValidations count="1">
    <dataValidation sqref="D5:D24" showDropDown="0" showInputMessage="0" showErrorMessage="0" allowBlank="1" type="list">
      <formula1>=PhaseStatusList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 customWidth="1" min="1" max="1"/>
    <col width="30" customWidth="1" min="2" max="2"/>
    <col width="16" customWidth="1" min="3" max="3"/>
    <col width="16" customWidth="1" min="4" max="4"/>
    <col width="2" customWidth="1" min="5" max="5"/>
  </cols>
  <sheetData>
    <row r="1" ht="46" customHeight="1">
      <c r="A1" s="1" t="inlineStr">
        <is>
          <t xml:space="preserve">  🕰  HOLDING COSTS</t>
        </is>
      </c>
    </row>
    <row r="2" ht="22" customHeight="1">
      <c r="A2" s="2" t="inlineStr">
        <is>
          <t xml:space="preserve">  The silent profit-killer — every month you hold, itemized. Fewer months = more profit.</t>
        </is>
      </c>
    </row>
    <row r="3" ht="6" customHeight="1">
      <c r="A3" s="3" t="n"/>
      <c r="B3" s="3" t="n"/>
      <c r="C3" s="3" t="n"/>
      <c r="D3" s="3" t="n"/>
    </row>
    <row r="4" ht="30" customHeight="1">
      <c r="B4" s="9" t="inlineStr">
        <is>
          <t>Line Item</t>
        </is>
      </c>
      <c r="C4" s="9" t="inlineStr">
        <is>
          <t>Per Month</t>
        </is>
      </c>
      <c r="D4" s="9" t="inlineStr">
        <is>
          <t>× Months</t>
        </is>
      </c>
    </row>
    <row r="5">
      <c r="B5" s="18" t="inlineStr">
        <is>
          <t>Loan interest</t>
        </is>
      </c>
      <c r="C5" s="26">
        <f>LoanAmount*LoanRate/12</f>
        <v/>
      </c>
      <c r="D5" s="48">
        <f>C5*HoldMonths</f>
        <v/>
      </c>
    </row>
    <row r="6">
      <c r="B6" s="21" t="inlineStr">
        <is>
          <t>Property taxes</t>
        </is>
      </c>
      <c r="C6" s="37" t="n">
        <v>300</v>
      </c>
      <c r="D6" s="44">
        <f>C6*HoldMonths</f>
        <v/>
      </c>
    </row>
    <row r="7">
      <c r="B7" s="18" t="inlineStr">
        <is>
          <t>Insurance (builder's risk)</t>
        </is>
      </c>
      <c r="C7" s="25" t="n">
        <v>120</v>
      </c>
      <c r="D7" s="48">
        <f>C7*HoldMonths</f>
        <v/>
      </c>
    </row>
    <row r="8">
      <c r="B8" s="21" t="inlineStr">
        <is>
          <t>Utilities</t>
        </is>
      </c>
      <c r="C8" s="37" t="n">
        <v>180</v>
      </c>
      <c r="D8" s="44">
        <f>C8*HoldMonths</f>
        <v/>
      </c>
    </row>
    <row r="9">
      <c r="B9" s="18" t="inlineStr">
        <is>
          <t>Lawn / security / misc</t>
        </is>
      </c>
      <c r="C9" s="25" t="n">
        <v>67</v>
      </c>
      <c r="D9" s="48">
        <f>C9*HoldMonths</f>
        <v/>
      </c>
    </row>
    <row r="10">
      <c r="B10" s="9" t="inlineStr">
        <is>
          <t>TOTAL HOLDING</t>
        </is>
      </c>
      <c r="C10" s="39">
        <f>SUM(C5:C9)</f>
        <v/>
      </c>
      <c r="D10" s="39">
        <f>SUM(D5:D9)</f>
        <v/>
      </c>
    </row>
    <row r="12">
      <c r="B12" s="4" t="inlineStr">
        <is>
          <t>Every extra month of holding eats directly into profit — this is why speed matters on a flip.</t>
        </is>
      </c>
    </row>
  </sheetData>
  <mergeCells count="3">
    <mergeCell ref="B12:D1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 customWidth="1" min="1" max="1"/>
    <col width="30" customWidth="1" min="2" max="2"/>
    <col width="18" customWidth="1" min="3" max="3"/>
    <col width="2" customWidth="1" min="4" max="4"/>
  </cols>
  <sheetData>
    <row r="1" ht="46" customHeight="1">
      <c r="A1" s="1" t="inlineStr">
        <is>
          <t xml:space="preserve">  🏦  FINANCING</t>
        </is>
      </c>
    </row>
    <row r="2" ht="22" customHeight="1">
      <c r="A2" s="2" t="inlineStr">
        <is>
          <t xml:space="preserve">  How the deal is funded — loan, cash in, and what the money costs you each month.</t>
        </is>
      </c>
    </row>
    <row r="3" ht="6" customHeight="1">
      <c r="A3" s="3" t="n"/>
      <c r="B3" s="3" t="n"/>
      <c r="C3" s="3" t="n"/>
    </row>
    <row r="5" ht="22" customHeight="1">
      <c r="B5" s="4" t="inlineStr">
        <is>
          <t>THE CAPITAL STACK</t>
        </is>
      </c>
    </row>
    <row r="6">
      <c r="B6" s="24" t="inlineStr">
        <is>
          <t>Purchase Price</t>
        </is>
      </c>
      <c r="C6" s="26">
        <f>PurchasePrice</f>
        <v/>
      </c>
    </row>
    <row r="7">
      <c r="B7" s="24" t="inlineStr">
        <is>
          <t>Loan-to-Value</t>
        </is>
      </c>
      <c r="C7" s="32">
        <f>LoanLTV</f>
        <v/>
      </c>
    </row>
    <row r="8">
      <c r="B8" s="24" t="inlineStr">
        <is>
          <t>Loan Amount</t>
        </is>
      </c>
      <c r="C8" s="26">
        <f>LoanAmount</f>
        <v/>
      </c>
    </row>
    <row r="9">
      <c r="B9" s="24" t="inlineStr">
        <is>
          <t>Down Payment (cash)</t>
        </is>
      </c>
      <c r="C9" s="26">
        <f>DownPayment</f>
        <v/>
      </c>
    </row>
    <row r="10">
      <c r="B10" s="24" t="inlineStr">
        <is>
          <t>Loan Rate (annual)</t>
        </is>
      </c>
      <c r="C10" s="49">
        <f>LoanRate</f>
        <v/>
      </c>
    </row>
    <row r="11">
      <c r="B11" s="24" t="inlineStr">
        <is>
          <t>Interest / Month</t>
        </is>
      </c>
      <c r="C11" s="26">
        <f>LoanAmount*LoanRate/12</f>
        <v/>
      </c>
    </row>
    <row r="12">
      <c r="B12" s="24" t="inlineStr">
        <is>
          <t>Interest Over Hold</t>
        </is>
      </c>
      <c r="C12" s="26">
        <f>LoanAmount*LoanRate/12*HoldMonths</f>
        <v/>
      </c>
    </row>
    <row r="13">
      <c r="B13" s="24" t="inlineStr">
        <is>
          <t>Rehab (out of pocket)</t>
        </is>
      </c>
      <c r="C13" s="26">
        <f>RehabBudget</f>
        <v/>
      </c>
    </row>
    <row r="14">
      <c r="B14" s="24" t="inlineStr">
        <is>
          <t>Buy-Side Closing</t>
        </is>
      </c>
      <c r="C14" s="26">
        <f>BuyClosing</f>
        <v/>
      </c>
    </row>
    <row r="15">
      <c r="B15" s="24" t="inlineStr">
        <is>
          <t>Total Cash Invested</t>
        </is>
      </c>
      <c r="C15" s="29">
        <f>CashInvested</f>
        <v/>
      </c>
    </row>
  </sheetData>
  <mergeCells count="3">
    <mergeCell ref="A1:C1"/>
    <mergeCell ref="B5:C5"/>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22" customWidth="1" min="1" max="1"/>
    <col width="12" customWidth="1" min="2" max="2"/>
    <col width="14" customWidth="1" min="3" max="3"/>
    <col width="16" customWidth="1" min="4" max="4"/>
    <col width="30" customWidth="1" min="5" max="5"/>
  </cols>
  <sheetData>
    <row r="1" ht="46" customHeight="1">
      <c r="A1" s="1" t="inlineStr">
        <is>
          <t xml:space="preserve">  📊  COMPS &amp; ARV</t>
        </is>
      </c>
    </row>
    <row r="2" ht="22" customHeight="1">
      <c r="A2" s="2" t="inlineStr">
        <is>
          <t xml:space="preserve">  The sold comparables behind your ARV — the most important number in the whole deal.</t>
        </is>
      </c>
    </row>
    <row r="3" ht="6" customHeight="1">
      <c r="A3" s="3" t="n"/>
      <c r="B3" s="3" t="n"/>
      <c r="C3" s="3" t="n"/>
      <c r="D3" s="3" t="n"/>
      <c r="E3" s="3" t="n"/>
    </row>
    <row r="4" ht="30" customHeight="1">
      <c r="A4" s="9" t="inlineStr">
        <is>
          <t>Comp Address</t>
        </is>
      </c>
      <c r="B4" s="9" t="inlineStr">
        <is>
          <t>Sq Ft</t>
        </is>
      </c>
      <c r="C4" s="9" t="inlineStr">
        <is>
          <t>Beds / Baths</t>
        </is>
      </c>
      <c r="D4" s="9" t="inlineStr">
        <is>
          <t>Sold Price</t>
        </is>
      </c>
      <c r="E4" s="9" t="inlineStr">
        <is>
          <t>Notes</t>
        </is>
      </c>
    </row>
    <row r="5">
      <c r="A5" s="42" t="inlineStr">
        <is>
          <t>221 Maple St</t>
        </is>
      </c>
      <c r="B5" s="50" t="n">
        <v>1580</v>
      </c>
      <c r="C5" s="42" t="inlineStr">
        <is>
          <t>3 / 2</t>
        </is>
      </c>
      <c r="D5" s="43" t="n">
        <v>336000</v>
      </c>
      <c r="E5" s="42" t="inlineStr">
        <is>
          <t>Sold 30 days ago · updated</t>
        </is>
      </c>
    </row>
    <row r="6">
      <c r="A6" s="21" t="inlineStr">
        <is>
          <t>18 Birch Ln</t>
        </is>
      </c>
      <c r="B6" s="51" t="n">
        <v>1620</v>
      </c>
      <c r="C6" s="21" t="inlineStr">
        <is>
          <t>3 / 2</t>
        </is>
      </c>
      <c r="D6" s="44" t="n">
        <v>344000</v>
      </c>
      <c r="E6" s="21" t="inlineStr">
        <is>
          <t>Similar finishes</t>
        </is>
      </c>
    </row>
    <row r="7">
      <c r="A7" s="42" t="inlineStr">
        <is>
          <t>305 Oak Ave</t>
        </is>
      </c>
      <c r="B7" s="50" t="n">
        <v>1550</v>
      </c>
      <c r="C7" s="42" t="inlineStr">
        <is>
          <t>3 / 2</t>
        </is>
      </c>
      <c r="D7" s="43" t="n">
        <v>331000</v>
      </c>
      <c r="E7" s="42" t="inlineStr">
        <is>
          <t>Slightly smaller lot</t>
        </is>
      </c>
    </row>
    <row r="8">
      <c r="A8" s="21" t="inlineStr">
        <is>
          <t>42 Cedar Ct</t>
        </is>
      </c>
      <c r="B8" s="51" t="n">
        <v>1660</v>
      </c>
      <c r="C8" s="21" t="inlineStr">
        <is>
          <t>4 / 2</t>
        </is>
      </c>
      <c r="D8" s="44" t="n">
        <v>349000</v>
      </c>
      <c r="E8" s="21" t="inlineStr">
        <is>
          <t>Extra bedroom</t>
        </is>
      </c>
    </row>
    <row r="9">
      <c r="A9" s="42" t="inlineStr">
        <is>
          <t>119 Maple St</t>
        </is>
      </c>
      <c r="B9" s="50" t="n">
        <v>1600</v>
      </c>
      <c r="C9" s="42" t="inlineStr">
        <is>
          <t>3 / 2</t>
        </is>
      </c>
      <c r="D9" s="43" t="n">
        <v>338000</v>
      </c>
      <c r="E9" s="42" t="inlineStr">
        <is>
          <t>Best comp — same street</t>
        </is>
      </c>
    </row>
    <row r="10">
      <c r="A10" s="21" t="n"/>
      <c r="B10" s="51" t="n"/>
      <c r="C10" s="21" t="n"/>
      <c r="D10" s="44" t="n"/>
      <c r="E10" s="21" t="n"/>
    </row>
    <row r="11">
      <c r="A11" s="42" t="n"/>
      <c r="B11" s="50" t="n"/>
      <c r="C11" s="42" t="n"/>
      <c r="D11" s="43" t="n"/>
      <c r="E11" s="42" t="n"/>
    </row>
    <row r="12">
      <c r="A12" s="21" t="n"/>
      <c r="B12" s="51" t="n"/>
      <c r="C12" s="21" t="n"/>
      <c r="D12" s="44" t="n"/>
      <c r="E12" s="21" t="n"/>
    </row>
    <row r="13">
      <c r="A13" s="42" t="n"/>
      <c r="B13" s="50" t="n"/>
      <c r="C13" s="42" t="n"/>
      <c r="D13" s="43" t="n"/>
      <c r="E13" s="42" t="n"/>
    </row>
    <row r="14">
      <c r="A14" s="21" t="n"/>
      <c r="B14" s="51" t="n"/>
      <c r="C14" s="21" t="n"/>
      <c r="D14" s="44" t="n"/>
      <c r="E14" s="21" t="n"/>
    </row>
    <row r="15">
      <c r="A15" s="42" t="n"/>
      <c r="B15" s="50" t="n"/>
      <c r="C15" s="42" t="n"/>
      <c r="D15" s="43" t="n"/>
      <c r="E15" s="42" t="n"/>
    </row>
    <row r="16">
      <c r="A16" s="21" t="n"/>
      <c r="B16" s="51" t="n"/>
      <c r="C16" s="21" t="n"/>
      <c r="D16" s="44" t="n"/>
      <c r="E16" s="21" t="n"/>
    </row>
    <row r="17">
      <c r="A17" s="9" t="inlineStr">
        <is>
          <t>AVERAGE COMP</t>
        </is>
      </c>
      <c r="B17" s="47" t="n"/>
      <c r="C17" s="47" t="n"/>
      <c r="D17" s="39">
        <f>IFERROR(AVERAGE(CompPrice),0)</f>
        <v/>
      </c>
      <c r="E17" s="52" t="inlineStr">
        <is>
          <t>← use this to set your ARV in the Deal Analyzer</t>
        </is>
      </c>
    </row>
  </sheetData>
  <mergeCells count="2">
    <mergeCell ref="A2:E2"/>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2" customWidth="1" min="1" max="1"/>
    <col width="30" customWidth="1" min="2" max="2"/>
    <col width="18" customWidth="1" min="3" max="3"/>
    <col width="2" customWidth="1" min="4" max="4"/>
  </cols>
  <sheetData>
    <row r="1" ht="46" customHeight="1">
      <c r="A1" s="1" t="inlineStr">
        <is>
          <t xml:space="preserve">  🏷  SELLING &amp; EXIT</t>
        </is>
      </c>
    </row>
    <row r="2" ht="22" customHeight="1">
      <c r="A2" s="2" t="inlineStr">
        <is>
          <t xml:space="preserve">  The closing table — sale price minus selling costs, and the profit you actually pocket.</t>
        </is>
      </c>
    </row>
    <row r="3" ht="6" customHeight="1">
      <c r="A3" s="3" t="n"/>
      <c r="B3" s="3" t="n"/>
      <c r="C3" s="3" t="n"/>
    </row>
    <row r="5" ht="22" customHeight="1">
      <c r="B5" s="4" t="inlineStr">
        <is>
          <t>THE PAYDAY</t>
        </is>
      </c>
    </row>
    <row r="6">
      <c r="B6" s="24" t="inlineStr">
        <is>
          <t>Sale Price (target = ARV)</t>
        </is>
      </c>
      <c r="C6" s="26">
        <f>ARV</f>
        <v/>
      </c>
    </row>
    <row r="7">
      <c r="B7" s="24" t="inlineStr">
        <is>
          <t>Agent Commission + Closing</t>
        </is>
      </c>
      <c r="C7" s="26">
        <f>ARV*SellCostPct</f>
        <v/>
      </c>
    </row>
    <row r="8">
      <c r="B8" s="24" t="inlineStr">
        <is>
          <t>Net Sale Proceeds</t>
        </is>
      </c>
      <c r="C8" s="26">
        <f>ARV-ARV*SellCostPct</f>
        <v/>
      </c>
    </row>
    <row r="9">
      <c r="B9" s="24" t="inlineStr">
        <is>
          <t>Less: Loan Payoff</t>
        </is>
      </c>
      <c r="C9" s="26">
        <f>LoanAmount</f>
        <v/>
      </c>
    </row>
    <row r="10">
      <c r="B10" s="24" t="inlineStr">
        <is>
          <t>Less: Cash Invested</t>
        </is>
      </c>
      <c r="C10" s="26">
        <f>CashInvested</f>
        <v/>
      </c>
    </row>
    <row r="11">
      <c r="B11" s="24" t="inlineStr">
        <is>
          <t>Projected Profit</t>
        </is>
      </c>
      <c r="C11" s="29">
        <f>ProjectedProfit</f>
        <v/>
      </c>
    </row>
    <row r="12">
      <c r="B12" s="24" t="inlineStr">
        <is>
          <t>Cash-on-Cash ROI</t>
        </is>
      </c>
      <c r="C12" s="31">
        <f>CashOnCash</f>
        <v/>
      </c>
    </row>
    <row r="13">
      <c r="B13" s="24" t="inlineStr">
        <is>
          <t>Profit Margin (of ARV)</t>
        </is>
      </c>
      <c r="C13" s="32">
        <f>IFERROR(ProjectedProfit/ARV,0)</f>
        <v/>
      </c>
    </row>
  </sheetData>
  <mergeCells count="3">
    <mergeCell ref="A1:C1"/>
    <mergeCell ref="B5:C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16" customWidth="1" min="3" max="3"/>
  </cols>
  <sheetData>
    <row r="1" ht="46" customHeight="1">
      <c r="A1" s="1" t="inlineStr">
        <is>
          <t xml:space="preserve">  ✅  PUNCH LIST &amp; FINAL WALKTHROUGH</t>
        </is>
      </c>
    </row>
    <row r="2" ht="22" customHeight="1">
      <c r="A2" s="2" t="inlineStr">
        <is>
          <t xml:space="preserve">  The last 2% that sells the house — every little fix before photos &amp; showings.</t>
        </is>
      </c>
    </row>
    <row r="3" ht="6" customHeight="1">
      <c r="A3" s="3" t="n"/>
      <c r="B3" s="3" t="n"/>
      <c r="C3" s="3" t="n"/>
    </row>
    <row r="4" ht="30" customHeight="1">
      <c r="A4" s="9" t="inlineStr">
        <is>
          <t>Room / Area</t>
        </is>
      </c>
      <c r="B4" s="9" t="inlineStr">
        <is>
          <t>Item</t>
        </is>
      </c>
      <c r="C4" s="9" t="inlineStr">
        <is>
          <t>Status</t>
        </is>
      </c>
    </row>
    <row r="5">
      <c r="A5" s="41" t="inlineStr">
        <is>
          <t>Kitchen</t>
        </is>
      </c>
      <c r="B5" s="42" t="inlineStr">
        <is>
          <t>Touch-up paint on cabinets</t>
        </is>
      </c>
      <c r="C5" s="41" t="inlineStr">
        <is>
          <t>Not Started</t>
        </is>
      </c>
    </row>
    <row r="6">
      <c r="A6" s="23" t="inlineStr">
        <is>
          <t>Primary Bath</t>
        </is>
      </c>
      <c r="B6" s="21" t="inlineStr">
        <is>
          <t>Caulk tub &amp; re-seat toilet</t>
        </is>
      </c>
      <c r="C6" s="23" t="inlineStr">
        <is>
          <t>Not Started</t>
        </is>
      </c>
    </row>
    <row r="7">
      <c r="A7" s="41" t="inlineStr">
        <is>
          <t>Whole House</t>
        </is>
      </c>
      <c r="B7" s="42" t="inlineStr">
        <is>
          <t>Replace 2 outlet covers</t>
        </is>
      </c>
      <c r="C7" s="41" t="inlineStr">
        <is>
          <t>Not Started</t>
        </is>
      </c>
    </row>
    <row r="8">
      <c r="A8" s="23" t="inlineStr">
        <is>
          <t>Exterior</t>
        </is>
      </c>
      <c r="B8" s="21" t="inlineStr">
        <is>
          <t>Fix sticking front door</t>
        </is>
      </c>
      <c r="C8" s="23" t="inlineStr">
        <is>
          <t>Not Started</t>
        </is>
      </c>
    </row>
    <row r="9">
      <c r="A9" s="41" t="inlineStr">
        <is>
          <t>Living</t>
        </is>
      </c>
      <c r="B9" s="42" t="inlineStr">
        <is>
          <t>Adjust closet door alignment</t>
        </is>
      </c>
      <c r="C9" s="41" t="inlineStr">
        <is>
          <t>Not Started</t>
        </is>
      </c>
    </row>
    <row r="10">
      <c r="A10" s="23" t="inlineStr">
        <is>
          <t>Whole House</t>
        </is>
      </c>
      <c r="B10" s="21" t="inlineStr">
        <is>
          <t>Final deep clean</t>
        </is>
      </c>
      <c r="C10" s="23" t="inlineStr">
        <is>
          <t>Not Started</t>
        </is>
      </c>
    </row>
    <row r="11">
      <c r="A11" s="41" t="inlineStr">
        <is>
          <t>Yard</t>
        </is>
      </c>
      <c r="B11" s="42" t="inlineStr">
        <is>
          <t>Blow off driveway &amp; walk</t>
        </is>
      </c>
      <c r="C11" s="41" t="inlineStr">
        <is>
          <t>Not Started</t>
        </is>
      </c>
    </row>
    <row r="12">
      <c r="A12" s="23" t="inlineStr">
        <is>
          <t>Kitchen</t>
        </is>
      </c>
      <c r="B12" s="21" t="inlineStr">
        <is>
          <t>Test all appliances</t>
        </is>
      </c>
      <c r="C12" s="23" t="inlineStr">
        <is>
          <t>Not Started</t>
        </is>
      </c>
    </row>
    <row r="13">
      <c r="A13" s="41" t="n"/>
      <c r="B13" s="42" t="n"/>
      <c r="C13" s="41" t="n"/>
    </row>
    <row r="14">
      <c r="A14" s="23" t="n"/>
      <c r="B14" s="21" t="n"/>
      <c r="C14" s="23" t="n"/>
    </row>
    <row r="15">
      <c r="A15" s="41" t="n"/>
      <c r="B15" s="42" t="n"/>
      <c r="C15" s="41" t="n"/>
    </row>
    <row r="16">
      <c r="A16" s="23" t="n"/>
      <c r="B16" s="21" t="n"/>
      <c r="C16" s="23" t="n"/>
    </row>
    <row r="17">
      <c r="A17" s="41" t="n"/>
      <c r="B17" s="42" t="n"/>
      <c r="C17" s="41" t="n"/>
    </row>
    <row r="18">
      <c r="A18" s="23" t="n"/>
      <c r="B18" s="21" t="n"/>
      <c r="C18" s="23" t="n"/>
    </row>
    <row r="19">
      <c r="A19" s="41" t="n"/>
      <c r="B19" s="42" t="n"/>
      <c r="C19" s="41" t="n"/>
    </row>
    <row r="20">
      <c r="A20" s="23" t="n"/>
      <c r="B20" s="21" t="n"/>
      <c r="C20" s="23" t="n"/>
    </row>
    <row r="21">
      <c r="A21" s="41" t="n"/>
      <c r="B21" s="42" t="n"/>
      <c r="C21" s="41" t="n"/>
    </row>
    <row r="22">
      <c r="A22" s="23" t="n"/>
      <c r="B22" s="21" t="n"/>
      <c r="C22" s="23" t="n"/>
    </row>
    <row r="23">
      <c r="A23" s="41" t="n"/>
      <c r="B23" s="42" t="n"/>
      <c r="C23" s="41" t="n"/>
    </row>
    <row r="24">
      <c r="A24" s="23" t="n"/>
      <c r="B24" s="21" t="n"/>
      <c r="C24" s="23" t="n"/>
    </row>
  </sheetData>
  <mergeCells count="2">
    <mergeCell ref="A1:C1"/>
    <mergeCell ref="A2:C2"/>
  </mergeCells>
  <conditionalFormatting sqref="C5:C24">
    <cfRule type="cellIs" priority="1" operator="equal" dxfId="1">
      <formula>"Done"</formula>
    </cfRule>
    <cfRule type="cellIs" priority="2" operator="equal" dxfId="2">
      <formula>"In Progress"</formula>
    </cfRule>
    <cfRule type="cellIs" priority="3" operator="equal" dxfId="3">
      <formula>"Not Started"</formula>
    </cfRule>
  </conditionalFormatting>
  <dataValidations count="2">
    <dataValidation sqref="A5:A24" showDropDown="0" showInputMessage="0" showErrorMessage="0" allowBlank="1" type="list">
      <formula1>=RoomList</formula1>
    </dataValidation>
    <dataValidation sqref="C5:C24" showDropDown="0" showInputMessage="0" showErrorMessage="0" allowBlank="1" type="list">
      <formula1>=TaskStatusList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 customWidth="1" min="1" max="1"/>
    <col width="26" customWidth="1" min="2" max="2"/>
    <col width="26" customWidth="1" min="3" max="3"/>
    <col width="26" customWidth="1" min="4" max="4"/>
    <col width="2" customWidth="1" min="5" max="5"/>
  </cols>
  <sheetData>
    <row r="1" ht="46" customHeight="1">
      <c r="A1" s="1" t="inlineStr">
        <is>
          <t xml:space="preserve">  📸  BEFORE &amp; AFTER PHOTO LOG</t>
        </is>
      </c>
    </row>
    <row r="2" ht="22" customHeight="1">
      <c r="A2" s="2" t="inlineStr">
        <is>
          <t xml:space="preserve">  Document the transformation — for the listing, the portfolio &amp; the next lender.</t>
        </is>
      </c>
    </row>
    <row r="3" ht="6" customHeight="1">
      <c r="A3" s="3" t="n"/>
      <c r="B3" s="3" t="n"/>
      <c r="C3" s="3" t="n"/>
      <c r="D3" s="3" t="n"/>
      <c r="E3" s="3" t="n"/>
    </row>
    <row r="5" ht="22" customHeight="1">
      <c r="B5" s="4" t="inlineStr">
        <is>
          <t>HOW TO ADD PHOTOS</t>
        </is>
      </c>
    </row>
    <row r="6" ht="26" customHeight="1">
      <c r="B6" s="53" t="inlineStr">
        <is>
          <t>Google Sheets: click a box, Insert ▸ Image ▸ Image in cell, or paste =IMAGE("link"). Excel: Insert ▸ Pictures ▸ Place in Cell. Shoot each room before demo and again when staged — before/after pairs sell the listing, win the next lender and build your flipping brand.</t>
        </is>
      </c>
      <c r="C6" s="11" t="n"/>
      <c r="D6" s="11" t="n"/>
    </row>
    <row r="7" ht="26" customHeight="1">
      <c r="B7" s="11" t="n"/>
      <c r="C7" s="11" t="n"/>
      <c r="D7" s="11" t="n"/>
    </row>
    <row r="9" ht="120" customHeight="1">
      <c r="B9" s="54" t="inlineStr">
        <is>
          <t>📸
Kitchen — Before
(add photo)</t>
        </is>
      </c>
      <c r="C9" s="54" t="inlineStr">
        <is>
          <t>📸
Kitchen — After
(add photo)</t>
        </is>
      </c>
      <c r="D9" s="54" t="inlineStr">
        <is>
          <t>📸
Primary Bath
(add photo)</t>
        </is>
      </c>
    </row>
    <row r="10"/>
    <row r="11"/>
    <row r="12"/>
    <row r="13" ht="30" customHeight="1">
      <c r="B13" s="55" t="inlineStr">
        <is>
          <t>Room · before / after · date…</t>
        </is>
      </c>
      <c r="C13" s="55" t="inlineStr">
        <is>
          <t>Room · before / after · date…</t>
        </is>
      </c>
      <c r="D13" s="55" t="inlineStr">
        <is>
          <t>Room · before / after · date…</t>
        </is>
      </c>
    </row>
    <row r="15" ht="120" customHeight="1">
      <c r="B15" s="54" t="inlineStr">
        <is>
          <t>📸
Living Room
(add photo)</t>
        </is>
      </c>
      <c r="C15" s="54" t="inlineStr">
        <is>
          <t>📸
Exterior / Curb
(add photo)</t>
        </is>
      </c>
      <c r="D15" s="54" t="inlineStr">
        <is>
          <t>📸
Whole-House Reveal
(add photo)</t>
        </is>
      </c>
    </row>
    <row r="16"/>
    <row r="17"/>
    <row r="18"/>
    <row r="19" ht="30" customHeight="1">
      <c r="B19" s="55" t="inlineStr">
        <is>
          <t>Room · before / after · date…</t>
        </is>
      </c>
      <c r="C19" s="55" t="inlineStr">
        <is>
          <t>Room · before / after · date…</t>
        </is>
      </c>
      <c r="D19" s="55" t="inlineStr">
        <is>
          <t>Room · before / after · date…</t>
        </is>
      </c>
    </row>
  </sheetData>
  <mergeCells count="10">
    <mergeCell ref="D9:D12"/>
    <mergeCell ref="B5:D5"/>
    <mergeCell ref="B6:D7"/>
    <mergeCell ref="C9:C12"/>
    <mergeCell ref="B9:B12"/>
    <mergeCell ref="A2:E2"/>
    <mergeCell ref="D15:D18"/>
    <mergeCell ref="A1:E1"/>
    <mergeCell ref="B15:B18"/>
    <mergeCell ref="C15:C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 customWidth="1" min="1" max="1"/>
    <col width="26" customWidth="1" min="2" max="2"/>
    <col width="20" customWidth="1" min="3" max="3"/>
    <col width="3"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46" customHeight="1">
      <c r="A1" s="1" t="inlineStr">
        <is>
          <t xml:space="preserve">  ⚙  SETTINGS</t>
        </is>
      </c>
    </row>
    <row r="2" ht="22" customHeight="1">
      <c r="A2" s="2" t="inlineStr">
        <is>
          <t xml:space="preserve">  Set your project details &amp; lists once — every tab follows.</t>
        </is>
      </c>
    </row>
    <row r="3" ht="6" customHeight="1">
      <c r="A3" s="3" t="n"/>
      <c r="B3" s="3" t="n"/>
      <c r="C3" s="3" t="n"/>
      <c r="D3" s="3" t="n"/>
      <c r="E3" s="3" t="n"/>
      <c r="F3" s="3" t="n"/>
      <c r="G3" s="3" t="n"/>
      <c r="H3" s="3" t="n"/>
      <c r="I3" s="3" t="n"/>
      <c r="J3" s="3" t="n"/>
      <c r="K3" s="3" t="n"/>
      <c r="L3" s="3" t="n"/>
    </row>
    <row r="5">
      <c r="B5" s="7" t="inlineStr">
        <is>
          <t>PROJECT INPUTS</t>
        </is>
      </c>
      <c r="E5" s="4" t="inlineStr">
        <is>
          <t>DROPDOWN LISTS</t>
        </is>
      </c>
    </row>
    <row r="6">
      <c r="B6" s="24" t="inlineStr">
        <is>
          <t>Project Name</t>
        </is>
      </c>
      <c r="C6" s="56" t="inlineStr">
        <is>
          <t>Maplewood Flip — 214 Maple St</t>
        </is>
      </c>
      <c r="E6" s="9" t="inlineStr">
        <is>
          <t>Task</t>
        </is>
      </c>
      <c r="F6" s="9" t="inlineStr">
        <is>
          <t>Phase</t>
        </is>
      </c>
      <c r="G6" s="9" t="inlineStr">
        <is>
          <t>Payment</t>
        </is>
      </c>
      <c r="H6" s="9" t="inlineStr">
        <is>
          <t>Materials</t>
        </is>
      </c>
      <c r="I6" s="9" t="inlineStr">
        <is>
          <t>Bid</t>
        </is>
      </c>
      <c r="J6" s="9" t="inlineStr">
        <is>
          <t>Trade</t>
        </is>
      </c>
      <c r="K6" s="9" t="inlineStr">
        <is>
          <t>Room / Area</t>
        </is>
      </c>
    </row>
    <row r="7">
      <c r="B7" s="24" t="inlineStr">
        <is>
          <t>Investor / Flipper</t>
        </is>
      </c>
      <c r="C7" s="56" t="inlineStr">
        <is>
          <t>Your Name</t>
        </is>
      </c>
      <c r="E7" s="18" t="inlineStr">
        <is>
          <t>Done</t>
        </is>
      </c>
      <c r="F7" s="18" t="inlineStr">
        <is>
          <t>Done</t>
        </is>
      </c>
      <c r="G7" s="18" t="inlineStr">
        <is>
          <t>Paid</t>
        </is>
      </c>
      <c r="H7" s="18" t="inlineStr">
        <is>
          <t>Bought</t>
        </is>
      </c>
      <c r="I7" s="18" t="inlineStr">
        <is>
          <t>Hired</t>
        </is>
      </c>
      <c r="J7" s="18" t="inlineStr">
        <is>
          <t>General</t>
        </is>
      </c>
      <c r="K7" s="18" t="inlineStr">
        <is>
          <t>Exterior</t>
        </is>
      </c>
    </row>
    <row r="8">
      <c r="B8" s="24" t="inlineStr">
        <is>
          <t>Purchase Date</t>
        </is>
      </c>
      <c r="C8" s="57" t="n">
        <v>46149</v>
      </c>
      <c r="E8" s="18" t="inlineStr">
        <is>
          <t>In Progress</t>
        </is>
      </c>
      <c r="F8" s="18" t="inlineStr">
        <is>
          <t>In Progress</t>
        </is>
      </c>
      <c r="G8" s="18" t="inlineStr">
        <is>
          <t>Scheduled</t>
        </is>
      </c>
      <c r="H8" s="18" t="inlineStr">
        <is>
          <t>Ordered</t>
        </is>
      </c>
      <c r="I8" s="18" t="inlineStr">
        <is>
          <t>Bidding</t>
        </is>
      </c>
      <c r="J8" s="18" t="inlineStr">
        <is>
          <t>Demo</t>
        </is>
      </c>
      <c r="K8" s="18" t="inlineStr">
        <is>
          <t>Kitchen</t>
        </is>
      </c>
    </row>
    <row r="9">
      <c r="B9" s="24" t="inlineStr">
        <is>
          <t>Target Sell Date</t>
        </is>
      </c>
      <c r="C9" s="57" t="n">
        <v>46269</v>
      </c>
      <c r="E9" s="18" t="inlineStr">
        <is>
          <t>Not Started</t>
        </is>
      </c>
      <c r="F9" s="18" t="inlineStr">
        <is>
          <t>Not Started</t>
        </is>
      </c>
      <c r="G9" s="18" t="inlineStr">
        <is>
          <t>Unpaid</t>
        </is>
      </c>
      <c r="H9" s="18" t="inlineStr">
        <is>
          <t>Need</t>
        </is>
      </c>
      <c r="I9" s="18" t="inlineStr">
        <is>
          <t>Passed</t>
        </is>
      </c>
      <c r="J9" s="18" t="inlineStr">
        <is>
          <t>Roofing</t>
        </is>
      </c>
      <c r="K9" s="18" t="inlineStr">
        <is>
          <t>Primary Bath</t>
        </is>
      </c>
    </row>
    <row r="10">
      <c r="B10" s="24" t="inlineStr">
        <is>
          <t>Profit Target (of ARV)</t>
        </is>
      </c>
      <c r="C10" s="28" t="n">
        <v>0.15</v>
      </c>
      <c r="J10" s="18" t="inlineStr">
        <is>
          <t>Kitchen</t>
        </is>
      </c>
      <c r="K10" s="18" t="inlineStr">
        <is>
          <t>Hall Bath</t>
        </is>
      </c>
    </row>
    <row r="11">
      <c r="B11" s="24" t="inlineStr">
        <is>
          <t>ROI Target (cash-on-cash)</t>
        </is>
      </c>
      <c r="C11" s="28" t="n">
        <v>0.3</v>
      </c>
      <c r="J11" s="18" t="inlineStr">
        <is>
          <t>Bath</t>
        </is>
      </c>
      <c r="K11" s="18" t="inlineStr">
        <is>
          <t>Living</t>
        </is>
      </c>
    </row>
    <row r="12">
      <c r="J12" s="18" t="inlineStr">
        <is>
          <t>Flooring</t>
        </is>
      </c>
      <c r="K12" s="18" t="inlineStr">
        <is>
          <t>Bedrooms</t>
        </is>
      </c>
    </row>
    <row r="13">
      <c r="J13" s="18" t="inlineStr">
        <is>
          <t>Paint</t>
        </is>
      </c>
      <c r="K13" s="18" t="inlineStr">
        <is>
          <t>Basement</t>
        </is>
      </c>
    </row>
    <row r="14">
      <c r="J14" s="18" t="inlineStr">
        <is>
          <t>HVAC</t>
        </is>
      </c>
      <c r="K14" s="18" t="inlineStr">
        <is>
          <t>Whole House</t>
        </is>
      </c>
    </row>
    <row r="15">
      <c r="J15" s="18" t="inlineStr">
        <is>
          <t>Electrical</t>
        </is>
      </c>
      <c r="K15" s="18" t="inlineStr">
        <is>
          <t>Yard</t>
        </is>
      </c>
    </row>
    <row r="16">
      <c r="J16" s="18" t="inlineStr">
        <is>
          <t>Plumbing</t>
        </is>
      </c>
      <c r="K16" s="18" t="inlineStr">
        <is>
          <t>Other</t>
        </is>
      </c>
    </row>
    <row r="17">
      <c r="J17" s="18" t="inlineStr">
        <is>
          <t>Landscaping</t>
        </is>
      </c>
    </row>
    <row r="18">
      <c r="J18" s="18" t="inlineStr">
        <is>
          <t>Other</t>
        </is>
      </c>
    </row>
  </sheetData>
  <mergeCells count="4">
    <mergeCell ref="E5:L5"/>
    <mergeCell ref="A2:L2"/>
    <mergeCell ref="B5:C5"/>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2026-07-21T02:52:05Z</dcterms:created>
  <dcterms:modified xsi:type="dcterms:W3CDTF">2026-07-21T02:52:06Z</dcterms:modified>
</cp:coreProperties>
</file>