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 vs Actual" sheetId="3" state="visible" r:id="rId3"/>
    <sheet name="Rooms" sheetId="4" state="visible" r:id="rId4"/>
    <sheet name="Line Items" sheetId="5" state="visible" r:id="rId5"/>
    <sheet name="Contractors" sheetId="6" state="visible" r:id="rId6"/>
    <sheet name="Payments" sheetId="7" state="visible" r:id="rId7"/>
    <sheet name="Change Orders" sheetId="8" state="visible" r:id="rId8"/>
    <sheet name="Materials" sheetId="9" state="visible" r:id="rId9"/>
    <sheet name="Timeline" sheetId="10" state="visible" r:id="rId10"/>
    <sheet name="Financing" sheetId="11" state="visible" r:id="rId11"/>
    <sheet name="Decisions" sheetId="12" state="visible" r:id="rId12"/>
    <sheet name="Monthly Summary" sheetId="13" state="visible" r:id="rId13"/>
    <sheet name="Settings" sheetId="14" state="visible" r:id="rId14"/>
  </sheets>
  <definedNames>
    <definedName name="Project">Settings!$C$6</definedName>
    <definedName name="Owner">Settings!$C$7</definedName>
    <definedName name="ContingencyRate">Settings!$C$8</definedName>
    <definedName name="RoomGoal">Settings!$C$9</definedName>
    <definedName name="OutstandingGoal">Settings!$C$10</definedName>
    <definedName name="ChangeGoal">Settings!$C$11</definedName>
    <definedName name="ContingencyUsed">Settings!$C$12</definedName>
    <definedName name="PctComplete">Settings!$C$13</definedName>
    <definedName name="RoomBank">Settings!$E$7:$E$12</definedName>
    <definedName name="CategoryList">Settings!$F$7:$F$12</definedName>
    <definedName name="StatusList">Settings!$G$7:$G$10</definedName>
    <definedName name="YesNoList">Settings!$H$7:$H$8</definedName>
    <definedName name="RoomName">'Rooms'!$B$5:$B$9</definedName>
    <definedName name="RoomBudget">'Rooms'!$C$5:$C$9</definedName>
    <definedName name="RoomSpent">'Rooms'!$D$5:$D$9</definedName>
    <definedName name="TotalBudget">'Rooms'!$C$10</definedName>
    <definedName name="TotalSpent">'Rooms'!$D$10</definedName>
    <definedName name="Remaining">'Rooms'!$E$10</definedName>
    <definedName name="RoomsUnder">'Rooms'!$C$12</definedName>
    <definedName name="RoomCount">'Rooms'!$C$13</definedName>
    <definedName name="BudgetUsed">'Budget vs Actual'!$C$8</definedName>
    <definedName name="ContingencyReserve">'Budget vs Actual'!$C$11</definedName>
    <definedName name="ContingencyLeft">'Budget vs Actual'!$C$13</definedName>
    <definedName name="LineBudget">'Line Items'!$E$5:$E$38</definedName>
    <definedName name="LineActual">'Line Items'!$F$5:$F$38</definedName>
    <definedName name="Bid">'Contractors'!$D$5:$D$28</definedName>
    <definedName name="PayAmt">'Payments'!$D$5:$D$34</definedName>
    <definedName name="PaidToDate">'Payments'!$D$35</definedName>
    <definedName name="Outstanding">'Payments'!$D$36</definedName>
    <definedName name="ChangeAmt">'Change Orders'!$D$5:$D$30</definedName>
    <definedName name="ChangeOrders">'Change Orders'!$D$31</definedName>
    <definedName name="MatCost">'Materials'!$E$5:$E$30</definedName>
    <definedName name="FundAmt">'Financing'!$C$5:$C$7</definedName>
    <definedName name="Decided">'Decisions'!$E$5:$E$30</definedName>
    <definedName name="SpendTrend">'Monthly Summary'!$C$7:$C$12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1B4F48"/>
      <sz val="14"/>
    </font>
    <font>
      <b val="1"/>
      <color rgb="001B4F48"/>
      <sz val="13"/>
    </font>
    <font>
      <b val="1"/>
      <color rgb="00C94C4C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0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5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164" fontId="11" fillId="6" borderId="2" applyAlignment="1" pivotButton="0" quotePrefix="0" xfId="6">
      <alignment horizontal="center" vertical="center" wrapText="1"/>
    </xf>
    <xf numFmtId="9" fontId="12" fillId="6" borderId="2" applyAlignment="1" pivotButton="0" quotePrefix="0" xfId="6">
      <alignment horizontal="center" vertical="center" wrapText="1"/>
    </xf>
    <xf numFmtId="164" fontId="12" fillId="6" borderId="2" applyAlignment="1" pivotButton="0" quotePrefix="0" xfId="6">
      <alignment horizontal="center" vertical="center" wrapText="1"/>
    </xf>
    <xf numFmtId="164" fontId="10" fillId="6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9" fontId="10" fillId="6" borderId="2" applyAlignment="1" pivotButton="0" quotePrefix="0" xfId="6">
      <alignment horizontal="center" vertical="center" wrapText="1"/>
    </xf>
    <xf numFmtId="3" fontId="7" fillId="0" borderId="2" applyAlignment="1" pivotButton="0" quotePrefix="0" xfId="10">
      <alignment horizontal="left" vertical="center" inden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4" fontId="7" fillId="7" borderId="2" applyAlignment="1" pivotButton="0" quotePrefix="0" xfId="10">
      <alignment horizontal="left" vertical="center" indent="1"/>
    </xf>
    <xf numFmtId="164" fontId="13" fillId="3" borderId="2" applyAlignment="1" pivotButton="0" quotePrefix="0" xfId="6">
      <alignment horizontal="center" vertical="center" wrapText="1"/>
    </xf>
    <xf numFmtId="9" fontId="7" fillId="6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9" fontId="7" fillId="8" borderId="2" applyAlignment="1" pivotButton="0" quotePrefix="0" xfId="8">
      <alignment horizontal="center" vertical="center"/>
    </xf>
    <xf numFmtId="0" fontId="10" fillId="6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Spent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Summary'!$B$7:$B$12</f>
            </numRef>
          </cat>
          <val>
            <numRef>
              <f>'Monthly Summary'!$C$7:$C$12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Spent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Summary'!$B$7:$B$12</f>
            </numRef>
          </cat>
          <val>
            <numRef>
              <f>'Monthly Summary'!$C$7:$C$12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🔨  HOME RENOVATION &amp; REMODEL BUDGET COMMAND CENTER™</t>
        </is>
      </c>
    </row>
    <row r="2" ht="24" customHeight="1">
      <c r="A2" s="2" t="inlineStr">
        <is>
          <t xml:space="preserve">  Know what it costs, what you've spent, and what's left — before it's a surprise.</t>
        </is>
      </c>
    </row>
    <row r="3" ht="6" customHeight="1">
      <c r="A3" s="3" t="n"/>
      <c r="B3" s="3" t="n"/>
      <c r="C3" s="3" t="n"/>
    </row>
    <row r="5">
      <c r="B5" s="4" t="inlineStr">
        <is>
          <t>YOUR WHOLE REMODEL, IN ONE PLACE</t>
        </is>
      </c>
    </row>
    <row r="6" ht="22" customHeight="1">
      <c r="B6" s="5" t="inlineStr">
        <is>
          <t>A renovation goes over budget in the gaps — the change order nobody tracked, the room that crept, the contingency that vanished. This closes them: a budget-vs-actual engine tracks every room against its budget, holds a contingency reserve, and shows your remaining money and your variance live. Track line items, contractors, payments, change orders, materials and your timeline — all in ONE premium Google Sheets &amp; Excel system built for a remodel.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contingency rate &amp; goals.</t>
        </is>
      </c>
    </row>
    <row r="13" ht="22" customHeight="1">
      <c r="B13" s="8" t="inlineStr">
        <is>
          <t>2.  Enter each Room's budget in the Rooms tab.</t>
        </is>
      </c>
    </row>
    <row r="14" ht="22" customHeight="1">
      <c r="B14" s="8" t="inlineStr">
        <is>
          <t>3.  Log Line Items, Contractors and Payments as they come.</t>
        </is>
      </c>
    </row>
    <row r="15" ht="22" customHeight="1">
      <c r="B15" s="8" t="inlineStr">
        <is>
          <t>4.  Track Change Orders — the #1 cause of overruns.</t>
        </is>
      </c>
    </row>
    <row r="16" ht="22" customHeight="1">
      <c r="B16" s="8" t="inlineStr">
        <is>
          <t>5.  Pick your Materials and run the Timeline &amp; Financing.</t>
        </is>
      </c>
    </row>
    <row r="17" ht="22" customHeight="1">
      <c r="B17" s="8" t="inlineStr">
        <is>
          <t>6.  Check the Dashboard: spent, remaining &amp; a Reno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remodel (Cedar &amp; Stone, homeowner Reese) is included so you can see how it all connects — just type over it with your own rooms and numbers. Your remaining budget and your contingency reserve are the two numbers that decide whether a remodel finishes on budget, and they roll into a live Reno Score. Twelve matching printable pages (budget worksheet, room list, contractor list, payment log &amp; more) are included. This is a budgeting &amp; organizing tool, not construction, financial or legal advice — confirm figures with your own contractors and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The budget you track is the budget you keep. Log the change orders.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🔨  HOME RENOVATION &amp; REMODEL BUDGET COMMAND CENTER™</t>
        </is>
      </c>
    </row>
    <row r="2" ht="24" customHeight="1">
      <c r="A2" s="2" t="inlineStr">
        <is>
          <t xml:space="preserve">  Budget, spent, remaining, contingency &amp; a Reno Score — your whole remodel,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TOTAL BUDGET</t>
        </is>
      </c>
      <c r="C5" s="13" t="n"/>
      <c r="D5" s="12" t="inlineStr">
        <is>
          <t>TOTAL SPENT</t>
        </is>
      </c>
      <c r="E5" s="13" t="n"/>
      <c r="F5" s="12" t="inlineStr">
        <is>
          <t>REMAINING</t>
        </is>
      </c>
      <c r="G5" s="13" t="n"/>
      <c r="H5" s="12" t="inlineStr">
        <is>
          <t>BUDGET USED</t>
        </is>
      </c>
      <c r="I5" s="13" t="n"/>
      <c r="J5" s="12" t="inlineStr">
        <is>
          <t>CONTINGENCY</t>
        </is>
      </c>
      <c r="K5" s="13" t="n"/>
      <c r="L5" s="12" t="inlineStr">
        <is>
          <t>CONTINGENCY LEFT</t>
        </is>
      </c>
      <c r="M5" s="13" t="n"/>
    </row>
    <row r="6" ht="40" customHeight="1">
      <c r="B6" s="14">
        <f>TotalBudget</f>
        <v/>
      </c>
      <c r="C6" s="15" t="n"/>
      <c r="D6" s="14">
        <f>TotalSpent</f>
        <v/>
      </c>
      <c r="E6" s="15" t="n"/>
      <c r="F6" s="14">
        <f>Remaining</f>
        <v/>
      </c>
      <c r="G6" s="15" t="n"/>
      <c r="H6" s="16">
        <f>BudgetUsed</f>
        <v/>
      </c>
      <c r="I6" s="15" t="n"/>
      <c r="J6" s="14">
        <f>ContingencyReserve</f>
        <v/>
      </c>
      <c r="K6" s="15" t="n"/>
      <c r="L6" s="14">
        <f>ContingencyLeft</f>
        <v/>
      </c>
      <c r="M6" s="15" t="n"/>
    </row>
    <row r="8" ht="18" customHeight="1">
      <c r="B8" s="12" t="inlineStr">
        <is>
          <t>ROOMS</t>
        </is>
      </c>
      <c r="C8" s="13" t="n"/>
      <c r="D8" s="12" t="inlineStr">
        <is>
          <t>PAID TO DATE</t>
        </is>
      </c>
      <c r="E8" s="13" t="n"/>
      <c r="F8" s="12" t="inlineStr">
        <is>
          <t>OUTSTANDING</t>
        </is>
      </c>
      <c r="G8" s="13" t="n"/>
      <c r="H8" s="12" t="inlineStr">
        <is>
          <t>CHANGE ORDERS</t>
        </is>
      </c>
      <c r="I8" s="13" t="n"/>
      <c r="J8" s="12" t="inlineStr">
        <is>
          <t>% COMPLETE</t>
        </is>
      </c>
      <c r="K8" s="13" t="n"/>
      <c r="L8" s="12" t="inlineStr">
        <is>
          <t>RENO SCORE</t>
        </is>
      </c>
      <c r="M8" s="13" t="n"/>
    </row>
    <row r="9" ht="40" customHeight="1">
      <c r="B9" s="17">
        <f>RoomCount</f>
        <v/>
      </c>
      <c r="C9" s="15" t="n"/>
      <c r="D9" s="14">
        <f>PaidToDate</f>
        <v/>
      </c>
      <c r="E9" s="15" t="n"/>
      <c r="F9" s="14">
        <f>Outstanding</f>
        <v/>
      </c>
      <c r="G9" s="15" t="n"/>
      <c r="H9" s="14">
        <f>ChangeOrders</f>
        <v/>
      </c>
      <c r="I9" s="15" t="n"/>
      <c r="J9" s="16">
        <f>PctComplete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RENO HEALTH</t>
        </is>
      </c>
      <c r="H11" s="4" t="inlineStr">
        <is>
          <t>SPENT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8" t="inlineStr">
        <is>
          <t>Under total budget</t>
        </is>
      </c>
      <c r="C13" s="19">
        <f>IF(TotalSpent&lt;=TotalBudget,1,IFERROR(TotalBudget/TotalSpent,0))</f>
        <v/>
      </c>
      <c r="D13" s="20">
        <f>IF(C13&gt;=0.85,"Strong",IF(C13&gt;=0.6,"OK","Watch"))</f>
        <v/>
      </c>
    </row>
    <row r="14">
      <c r="B14" s="21" t="inlineStr">
        <is>
          <t>Every room on budget</t>
        </is>
      </c>
      <c r="C14" s="22">
        <f>IFERROR(RoomsUnder/RoomCount,0)</f>
        <v/>
      </c>
      <c r="D14" s="23">
        <f>IF(C14&gt;=0.85,"Strong",IF(C14&gt;=0.6,"OK","Watch"))</f>
        <v/>
      </c>
    </row>
    <row r="15">
      <c r="B15" s="18" t="inlineStr">
        <is>
          <t>Contingency healthy</t>
        </is>
      </c>
      <c r="C15" s="19">
        <f>IFERROR(MIN((ContingencyLeft/ContingencyReserve)/0.5,1),0)</f>
        <v/>
      </c>
      <c r="D15" s="20">
        <f>IF(C15&gt;=0.85,"Strong",IF(C15&gt;=0.6,"OK","Watch"))</f>
        <v/>
      </c>
    </row>
    <row r="16">
      <c r="B16" s="21" t="inlineStr">
        <is>
          <t>Scope defined</t>
        </is>
      </c>
      <c r="C16" s="22">
        <f>IFERROR(MIN(RoomCount/RoomGoal,1),0)</f>
        <v/>
      </c>
      <c r="D16" s="23">
        <f>IF(C16&gt;=0.85,"Strong",IF(C16&gt;=0.6,"OK","Watch"))</f>
        <v/>
      </c>
    </row>
    <row r="17">
      <c r="B17" s="18" t="inlineStr">
        <is>
          <t>Payments current</t>
        </is>
      </c>
      <c r="C17" s="19">
        <f>IF(Outstanding&lt;=OutstandingGoal,1,IFERROR(OutstandingGoal/Outstanding,0))</f>
        <v/>
      </c>
      <c r="D17" s="20">
        <f>IF(C17&gt;=0.85,"Strong",IF(C17&gt;=0.6,"OK","Watch"))</f>
        <v/>
      </c>
    </row>
    <row r="18">
      <c r="B18" s="21" t="inlineStr">
        <is>
          <t>Change orders in check</t>
        </is>
      </c>
      <c r="C18" s="22">
        <f>IFERROR(MIN(ChangeGoal/ChangeOrders,1),0)</f>
        <v/>
      </c>
      <c r="D18" s="23">
        <f>IF(C18&gt;=0.85,"Strong",IF(C18&gt;=0.6,"OK","Watch"))</f>
        <v/>
      </c>
    </row>
    <row r="21" ht="26" customHeight="1">
      <c r="B21" s="2" t="inlineStr">
        <is>
          <t>Home Renovation &amp; Remodel Budget Command Center™ — on budget, on schedule, no surprises.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📊  BUDGET VS ACTUAL</t>
        </is>
      </c>
    </row>
    <row r="2" ht="22" customHeight="1">
      <c r="A2" s="2" t="inlineStr">
        <is>
          <t xml:space="preserve">  Your whole project — budget, spent, remaining, and a contingency reserve so surprises don't sink you.</t>
        </is>
      </c>
    </row>
    <row r="3" ht="6" customHeight="1">
      <c r="A3" s="3" t="n"/>
      <c r="B3" s="3" t="n"/>
      <c r="C3" s="3" t="n"/>
    </row>
    <row r="5">
      <c r="B5" s="24" t="inlineStr">
        <is>
          <t>Total project budget</t>
        </is>
      </c>
      <c r="C5" s="25">
        <f>TotalBudget</f>
        <v/>
      </c>
    </row>
    <row r="6">
      <c r="B6" s="24" t="inlineStr">
        <is>
          <t>− Spent to date</t>
        </is>
      </c>
      <c r="C6" s="26">
        <f>TotalSpent</f>
        <v/>
      </c>
    </row>
    <row r="7">
      <c r="B7" s="9">
        <f> REMAINING BUDGET</f>
        <v/>
      </c>
      <c r="C7" s="27">
        <f>TotalBudget-TotalSpent</f>
        <v/>
      </c>
    </row>
    <row r="8">
      <c r="B8" s="9">
        <f> BUDGET USED</f>
        <v/>
      </c>
      <c r="C8" s="28">
        <f>IFERROR(TotalSpent/TotalBudget,0)</f>
        <v/>
      </c>
    </row>
    <row r="10">
      <c r="B10" s="4" t="inlineStr">
        <is>
          <t>CONTINGENCY RESERVE</t>
        </is>
      </c>
    </row>
    <row r="11">
      <c r="B11" s="24" t="inlineStr">
        <is>
          <t>Contingency reserve (rate × budget)</t>
        </is>
      </c>
      <c r="C11" s="26">
        <f>ContingencyRate*TotalBudget</f>
        <v/>
      </c>
    </row>
    <row r="12">
      <c r="B12" s="24" t="inlineStr">
        <is>
          <t>− Contingency used</t>
        </is>
      </c>
      <c r="C12" s="26">
        <f>ContingencyUsed</f>
        <v/>
      </c>
    </row>
    <row r="13">
      <c r="B13" s="9">
        <f> CONTINGENCY LEFT</f>
        <v/>
      </c>
      <c r="C13" s="29">
        <f>ContingencyRate*TotalBudget-ContingencyUsed</f>
        <v/>
      </c>
    </row>
    <row r="15">
      <c r="B15" s="4" t="inlineStr">
        <is>
          <t>FLAGSHIP ROOM — KITCHEN</t>
        </is>
      </c>
    </row>
    <row r="16">
      <c r="B16" s="24" t="inlineStr">
        <is>
          <t>Kitchen budget</t>
        </is>
      </c>
      <c r="C16" s="26">
        <f>INDEX(RoomBudget,1)</f>
        <v/>
      </c>
    </row>
    <row r="17">
      <c r="B17" s="24" t="inlineStr">
        <is>
          <t>Kitchen spent</t>
        </is>
      </c>
      <c r="C17" s="26">
        <f>INDEX(RoomSpent,1)</f>
        <v/>
      </c>
    </row>
    <row r="18">
      <c r="B18" s="9">
        <f> Kitchen variance (remaining)</f>
        <v/>
      </c>
      <c r="C18" s="30">
        <f>INDEX(RoomBudget,1)-INDEX(RoomSpent,1)</f>
        <v/>
      </c>
    </row>
    <row r="20">
      <c r="B20" s="4" t="inlineStr">
        <is>
          <t>Remaining budget and contingency left are the two numbers to watch.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6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🏠  ROOMS</t>
        </is>
      </c>
    </row>
    <row r="2" ht="22" customHeight="1">
      <c r="A2" s="2" t="inlineStr">
        <is>
          <t xml:space="preserve">  Every room against its budget — spent, remaining and % used. This is where overruns hide.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Room</t>
        </is>
      </c>
      <c r="C4" s="9" t="inlineStr">
        <is>
          <t>Budget</t>
        </is>
      </c>
      <c r="D4" s="9" t="inlineStr">
        <is>
          <t>Spent</t>
        </is>
      </c>
      <c r="E4" s="9" t="inlineStr">
        <is>
          <t>Remaining</t>
        </is>
      </c>
      <c r="F4" s="9" t="inlineStr">
        <is>
          <t>% Used</t>
        </is>
      </c>
    </row>
    <row r="5">
      <c r="B5" s="18" t="inlineStr">
        <is>
          <t>Kitchen</t>
        </is>
      </c>
      <c r="C5" s="31" t="n">
        <v>30000</v>
      </c>
      <c r="D5" s="31" t="n">
        <v>22000</v>
      </c>
      <c r="E5" s="32">
        <f>C5-D5</f>
        <v/>
      </c>
      <c r="F5" s="19">
        <f>IFERROR(D5/C5,0)</f>
        <v/>
      </c>
    </row>
    <row r="6">
      <c r="B6" s="21" t="inlineStr">
        <is>
          <t>Primary Bath</t>
        </is>
      </c>
      <c r="C6" s="33" t="n">
        <v>15000</v>
      </c>
      <c r="D6" s="33" t="n">
        <v>11000</v>
      </c>
      <c r="E6" s="34">
        <f>C6-D6</f>
        <v/>
      </c>
      <c r="F6" s="22">
        <f>IFERROR(D6/C6,0)</f>
        <v/>
      </c>
    </row>
    <row r="7">
      <c r="B7" s="18" t="inlineStr">
        <is>
          <t>Living Room</t>
        </is>
      </c>
      <c r="C7" s="31" t="n">
        <v>8000</v>
      </c>
      <c r="D7" s="31" t="n">
        <v>5000</v>
      </c>
      <c r="E7" s="32">
        <f>C7-D7</f>
        <v/>
      </c>
      <c r="F7" s="19">
        <f>IFERROR(D7/C7,0)</f>
        <v/>
      </c>
    </row>
    <row r="8">
      <c r="B8" s="21" t="inlineStr">
        <is>
          <t>Exterior &amp; Paint</t>
        </is>
      </c>
      <c r="C8" s="33" t="n">
        <v>5000</v>
      </c>
      <c r="D8" s="33" t="n">
        <v>3000</v>
      </c>
      <c r="E8" s="34">
        <f>C8-D8</f>
        <v/>
      </c>
      <c r="F8" s="22">
        <f>IFERROR(D8/C8,0)</f>
        <v/>
      </c>
    </row>
    <row r="9">
      <c r="B9" s="18" t="inlineStr">
        <is>
          <t>Landscaping</t>
        </is>
      </c>
      <c r="C9" s="31" t="n">
        <v>2000</v>
      </c>
      <c r="D9" s="31" t="n">
        <v>1000</v>
      </c>
      <c r="E9" s="32">
        <f>C9-D9</f>
        <v/>
      </c>
      <c r="F9" s="19">
        <f>IFERROR(D9/C9,0)</f>
        <v/>
      </c>
    </row>
    <row r="10">
      <c r="B10" s="9" t="inlineStr">
        <is>
          <t>TOTAL PROJECT</t>
        </is>
      </c>
      <c r="C10" s="35">
        <f>SUM(RoomBudget)</f>
        <v/>
      </c>
      <c r="D10" s="35">
        <f>SUM(RoomSpent)</f>
        <v/>
      </c>
      <c r="E10" s="30">
        <f>C10-D10</f>
        <v/>
      </c>
      <c r="F10" s="36">
        <f>IFERROR(D10/C10,0)</f>
        <v/>
      </c>
    </row>
    <row r="12">
      <c r="B12" s="24" t="inlineStr">
        <is>
          <t>Rooms on budget</t>
        </is>
      </c>
      <c r="C12" s="37">
        <f>SUMPRODUCT((RoomSpent&lt;=RoomBudget)*1)</f>
        <v/>
      </c>
    </row>
    <row r="13">
      <c r="B13" s="24" t="inlineStr">
        <is>
          <t>Rooms scoped</t>
        </is>
      </c>
      <c r="C13" s="37">
        <f>COUNTA(RoomName)</f>
        <v/>
      </c>
    </row>
  </sheetData>
  <mergeCells count="2">
    <mergeCell ref="A2:F2"/>
    <mergeCell ref="A1:F1"/>
  </mergeCells>
  <conditionalFormatting sqref="F5:F9">
    <cfRule type="colorScale" priority="1">
      <colorScale>
        <cfvo type="num" val="0.5"/>
        <cfvo type="num" val="0.85"/>
        <cfvo type="num" val="1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6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📋  LINE ITEMS</t>
        </is>
      </c>
    </row>
    <row r="2" ht="22" customHeight="1">
      <c r="A2" s="2" t="inlineStr">
        <is>
          <t xml:space="preserve">  Every line of the job — by room and category, budget vs actual, so nothing slips through.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Room</t>
        </is>
      </c>
      <c r="D4" s="9" t="inlineStr">
        <is>
          <t>Category</t>
        </is>
      </c>
      <c r="E4" s="9" t="inlineStr">
        <is>
          <t>Budget</t>
        </is>
      </c>
      <c r="F4" s="9" t="inlineStr">
        <is>
          <t>Actual</t>
        </is>
      </c>
    </row>
    <row r="5">
      <c r="B5" s="38" t="inlineStr">
        <is>
          <t>Cabinets</t>
        </is>
      </c>
      <c r="C5" s="39" t="inlineStr">
        <is>
          <t>Kitchen</t>
        </is>
      </c>
      <c r="D5" s="39" t="inlineStr">
        <is>
          <t>Materials</t>
        </is>
      </c>
      <c r="E5" s="40" t="n">
        <v>9000</v>
      </c>
      <c r="F5" s="40" t="n">
        <v>8800</v>
      </c>
    </row>
    <row r="6">
      <c r="B6" s="21" t="inlineStr">
        <is>
          <t>Countertops</t>
        </is>
      </c>
      <c r="C6" s="23" t="inlineStr">
        <is>
          <t>Kitchen</t>
        </is>
      </c>
      <c r="D6" s="23" t="inlineStr">
        <is>
          <t>Materials</t>
        </is>
      </c>
      <c r="E6" s="34" t="n">
        <v>4500</v>
      </c>
      <c r="F6" s="34" t="n">
        <v>4500</v>
      </c>
    </row>
    <row r="7">
      <c r="B7" s="38" t="inlineStr">
        <is>
          <t>Appliances</t>
        </is>
      </c>
      <c r="C7" s="39" t="inlineStr">
        <is>
          <t>Kitchen</t>
        </is>
      </c>
      <c r="D7" s="39" t="inlineStr">
        <is>
          <t>Appliances</t>
        </is>
      </c>
      <c r="E7" s="40" t="n">
        <v>6000</v>
      </c>
      <c r="F7" s="40" t="n">
        <v>5200</v>
      </c>
    </row>
    <row r="8">
      <c r="B8" s="21" t="inlineStr">
        <is>
          <t>Tile &amp; floors</t>
        </is>
      </c>
      <c r="C8" s="23" t="inlineStr">
        <is>
          <t>Primary Bath</t>
        </is>
      </c>
      <c r="D8" s="23" t="inlineStr">
        <is>
          <t>Materials</t>
        </is>
      </c>
      <c r="E8" s="34" t="n">
        <v>3500</v>
      </c>
      <c r="F8" s="34" t="n">
        <v>3200</v>
      </c>
    </row>
    <row r="9">
      <c r="B9" s="38" t="inlineStr">
        <is>
          <t>Vanity</t>
        </is>
      </c>
      <c r="C9" s="39" t="inlineStr">
        <is>
          <t>Primary Bath</t>
        </is>
      </c>
      <c r="D9" s="39" t="inlineStr">
        <is>
          <t>Fixtures</t>
        </is>
      </c>
      <c r="E9" s="40" t="n">
        <v>2200</v>
      </c>
      <c r="F9" s="40" t="n">
        <v>2100</v>
      </c>
    </row>
    <row r="10">
      <c r="B10" s="21" t="inlineStr">
        <is>
          <t>Paint</t>
        </is>
      </c>
      <c r="C10" s="23" t="inlineStr">
        <is>
          <t>Living Room</t>
        </is>
      </c>
      <c r="D10" s="23" t="inlineStr">
        <is>
          <t>Labor</t>
        </is>
      </c>
      <c r="E10" s="34" t="n">
        <v>1800</v>
      </c>
      <c r="F10" s="34" t="n">
        <v>1700</v>
      </c>
    </row>
    <row r="11">
      <c r="B11" s="38" t="inlineStr">
        <is>
          <t>Lighting</t>
        </is>
      </c>
      <c r="C11" s="39" t="inlineStr">
        <is>
          <t>Kitchen</t>
        </is>
      </c>
      <c r="D11" s="39" t="inlineStr">
        <is>
          <t>Fixtures</t>
        </is>
      </c>
      <c r="E11" s="40" t="n">
        <v>2000</v>
      </c>
      <c r="F11" s="40" t="n">
        <v>1900</v>
      </c>
    </row>
    <row r="12">
      <c r="B12" s="21" t="inlineStr">
        <is>
          <t>Windows</t>
        </is>
      </c>
      <c r="C12" s="23" t="inlineStr">
        <is>
          <t>Exterior &amp; Paint</t>
        </is>
      </c>
      <c r="D12" s="23" t="inlineStr">
        <is>
          <t>Materials</t>
        </is>
      </c>
      <c r="E12" s="34" t="n">
        <v>3000</v>
      </c>
      <c r="F12" s="34" t="n">
        <v>2900</v>
      </c>
    </row>
    <row r="13">
      <c r="B13" s="38" t="n"/>
      <c r="C13" s="39" t="n"/>
      <c r="D13" s="39" t="n"/>
      <c r="E13" s="40" t="n"/>
      <c r="F13" s="40" t="n"/>
    </row>
    <row r="14">
      <c r="B14" s="21" t="n"/>
      <c r="C14" s="23" t="n"/>
      <c r="D14" s="23" t="n"/>
      <c r="E14" s="34" t="n"/>
      <c r="F14" s="34" t="n"/>
    </row>
    <row r="15">
      <c r="B15" s="38" t="n"/>
      <c r="C15" s="39" t="n"/>
      <c r="D15" s="39" t="n"/>
      <c r="E15" s="40" t="n"/>
      <c r="F15" s="40" t="n"/>
    </row>
    <row r="16">
      <c r="B16" s="21" t="n"/>
      <c r="C16" s="23" t="n"/>
      <c r="D16" s="23" t="n"/>
      <c r="E16" s="34" t="n"/>
      <c r="F16" s="34" t="n"/>
    </row>
    <row r="17">
      <c r="B17" s="38" t="n"/>
      <c r="C17" s="39" t="n"/>
      <c r="D17" s="39" t="n"/>
      <c r="E17" s="40" t="n"/>
      <c r="F17" s="40" t="n"/>
    </row>
    <row r="18">
      <c r="B18" s="21" t="n"/>
      <c r="C18" s="23" t="n"/>
      <c r="D18" s="23" t="n"/>
      <c r="E18" s="34" t="n"/>
      <c r="F18" s="34" t="n"/>
    </row>
    <row r="19">
      <c r="B19" s="38" t="n"/>
      <c r="C19" s="39" t="n"/>
      <c r="D19" s="39" t="n"/>
      <c r="E19" s="40" t="n"/>
      <c r="F19" s="40" t="n"/>
    </row>
    <row r="20">
      <c r="B20" s="21" t="n"/>
      <c r="C20" s="23" t="n"/>
      <c r="D20" s="23" t="n"/>
      <c r="E20" s="34" t="n"/>
      <c r="F20" s="34" t="n"/>
    </row>
    <row r="21">
      <c r="B21" s="38" t="n"/>
      <c r="C21" s="39" t="n"/>
      <c r="D21" s="39" t="n"/>
      <c r="E21" s="40" t="n"/>
      <c r="F21" s="40" t="n"/>
    </row>
    <row r="22">
      <c r="B22" s="21" t="n"/>
      <c r="C22" s="23" t="n"/>
      <c r="D22" s="23" t="n"/>
      <c r="E22" s="34" t="n"/>
      <c r="F22" s="34" t="n"/>
    </row>
    <row r="23">
      <c r="B23" s="38" t="n"/>
      <c r="C23" s="39" t="n"/>
      <c r="D23" s="39" t="n"/>
      <c r="E23" s="40" t="n"/>
      <c r="F23" s="40" t="n"/>
    </row>
    <row r="24">
      <c r="B24" s="21" t="n"/>
      <c r="C24" s="23" t="n"/>
      <c r="D24" s="23" t="n"/>
      <c r="E24" s="34" t="n"/>
      <c r="F24" s="34" t="n"/>
    </row>
    <row r="25">
      <c r="B25" s="38" t="n"/>
      <c r="C25" s="39" t="n"/>
      <c r="D25" s="39" t="n"/>
      <c r="E25" s="40" t="n"/>
      <c r="F25" s="40" t="n"/>
    </row>
    <row r="26">
      <c r="B26" s="21" t="n"/>
      <c r="C26" s="23" t="n"/>
      <c r="D26" s="23" t="n"/>
      <c r="E26" s="34" t="n"/>
      <c r="F26" s="34" t="n"/>
    </row>
    <row r="27">
      <c r="B27" s="38" t="n"/>
      <c r="C27" s="39" t="n"/>
      <c r="D27" s="39" t="n"/>
      <c r="E27" s="40" t="n"/>
      <c r="F27" s="40" t="n"/>
    </row>
    <row r="28">
      <c r="B28" s="21" t="n"/>
      <c r="C28" s="23" t="n"/>
      <c r="D28" s="23" t="n"/>
      <c r="E28" s="34" t="n"/>
      <c r="F28" s="34" t="n"/>
    </row>
    <row r="29">
      <c r="B29" s="38" t="n"/>
      <c r="C29" s="39" t="n"/>
      <c r="D29" s="39" t="n"/>
      <c r="E29" s="40" t="n"/>
      <c r="F29" s="40" t="n"/>
    </row>
    <row r="30">
      <c r="B30" s="21" t="n"/>
      <c r="C30" s="23" t="n"/>
      <c r="D30" s="23" t="n"/>
      <c r="E30" s="34" t="n"/>
      <c r="F30" s="34" t="n"/>
    </row>
    <row r="31">
      <c r="B31" s="38" t="n"/>
      <c r="C31" s="39" t="n"/>
      <c r="D31" s="39" t="n"/>
      <c r="E31" s="40" t="n"/>
      <c r="F31" s="40" t="n"/>
    </row>
    <row r="32">
      <c r="B32" s="21" t="n"/>
      <c r="C32" s="23" t="n"/>
      <c r="D32" s="23" t="n"/>
      <c r="E32" s="34" t="n"/>
      <c r="F32" s="34" t="n"/>
    </row>
    <row r="33">
      <c r="B33" s="38" t="n"/>
      <c r="C33" s="39" t="n"/>
      <c r="D33" s="39" t="n"/>
      <c r="E33" s="40" t="n"/>
      <c r="F33" s="40" t="n"/>
    </row>
    <row r="34">
      <c r="B34" s="21" t="n"/>
      <c r="C34" s="23" t="n"/>
      <c r="D34" s="23" t="n"/>
      <c r="E34" s="34" t="n"/>
      <c r="F34" s="34" t="n"/>
    </row>
    <row r="35">
      <c r="B35" s="38" t="n"/>
      <c r="C35" s="39" t="n"/>
      <c r="D35" s="39" t="n"/>
      <c r="E35" s="40" t="n"/>
      <c r="F35" s="40" t="n"/>
    </row>
    <row r="36">
      <c r="B36" s="21" t="n"/>
      <c r="C36" s="23" t="n"/>
      <c r="D36" s="23" t="n"/>
      <c r="E36" s="34" t="n"/>
      <c r="F36" s="34" t="n"/>
    </row>
    <row r="37">
      <c r="B37" s="38" t="n"/>
      <c r="C37" s="39" t="n"/>
      <c r="D37" s="39" t="n"/>
      <c r="E37" s="40" t="n"/>
      <c r="F37" s="40" t="n"/>
    </row>
    <row r="38">
      <c r="B38" s="21" t="n"/>
      <c r="C38" s="23" t="n"/>
      <c r="D38" s="23" t="n"/>
      <c r="E38" s="34" t="n"/>
      <c r="F38" s="34" t="n"/>
    </row>
    <row r="39">
      <c r="B39" s="9" t="inlineStr">
        <is>
          <t>TOTALS</t>
        </is>
      </c>
      <c r="C39" s="41" t="n"/>
      <c r="D39" s="41" t="n"/>
      <c r="E39" s="35">
        <f>SUM(LineBudget)</f>
        <v/>
      </c>
      <c r="F39" s="30">
        <f>SUM(LineActual)</f>
        <v/>
      </c>
    </row>
  </sheetData>
  <mergeCells count="2">
    <mergeCell ref="A2:F2"/>
    <mergeCell ref="A1:F1"/>
  </mergeCells>
  <dataValidations count="2">
    <dataValidation sqref="C5:C38" showDropDown="0" showInputMessage="0" showErrorMessage="0" allowBlank="1" type="list">
      <formula1>=RoomBank</formula1>
    </dataValidation>
    <dataValidation sqref="D5:D38" showDropDown="0" showInputMessage="0" showErrorMessage="0" allowBlank="1" type="list">
      <formula1>=CategoryList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4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👷  CONTRACTORS</t>
        </is>
      </c>
    </row>
    <row r="2" ht="22" customHeight="1">
      <c r="A2" s="2" t="inlineStr">
        <is>
          <t xml:space="preserve">  Who's doing what, for how much — bids and contacts in one place.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Contractor</t>
        </is>
      </c>
      <c r="C4" s="9" t="inlineStr">
        <is>
          <t>Trade</t>
        </is>
      </c>
      <c r="D4" s="9" t="inlineStr">
        <is>
          <t>Bid</t>
        </is>
      </c>
      <c r="E4" s="9" t="inlineStr">
        <is>
          <t>Phone</t>
        </is>
      </c>
    </row>
    <row r="5">
      <c r="B5" s="38" t="inlineStr">
        <is>
          <t>Cedar &amp; Stone GC</t>
        </is>
      </c>
      <c r="C5" s="38" t="inlineStr">
        <is>
          <t>General</t>
        </is>
      </c>
      <c r="D5" s="40" t="n">
        <v>42000</v>
      </c>
      <c r="E5" s="38" t="inlineStr">
        <is>
          <t>555-0100</t>
        </is>
      </c>
    </row>
    <row r="6">
      <c r="B6" s="21" t="inlineStr">
        <is>
          <t>Bright Spark Electric</t>
        </is>
      </c>
      <c r="C6" s="21" t="inlineStr">
        <is>
          <t>Electrical</t>
        </is>
      </c>
      <c r="D6" s="34" t="n">
        <v>6000</v>
      </c>
      <c r="E6" s="21" t="inlineStr">
        <is>
          <t>555-0110</t>
        </is>
      </c>
    </row>
    <row r="7">
      <c r="B7" s="38" t="inlineStr">
        <is>
          <t>FlowRight Plumbing</t>
        </is>
      </c>
      <c r="C7" s="38" t="inlineStr">
        <is>
          <t>Plumbing</t>
        </is>
      </c>
      <c r="D7" s="40" t="n">
        <v>5500</v>
      </c>
      <c r="E7" s="38" t="inlineStr">
        <is>
          <t>555-0120</t>
        </is>
      </c>
    </row>
    <row r="8">
      <c r="B8" s="21" t="inlineStr">
        <is>
          <t>TrueLine Painting</t>
        </is>
      </c>
      <c r="C8" s="21" t="inlineStr">
        <is>
          <t>Painting</t>
        </is>
      </c>
      <c r="D8" s="34" t="n">
        <v>4200</v>
      </c>
      <c r="E8" s="21" t="inlineStr">
        <is>
          <t>555-0130</t>
        </is>
      </c>
    </row>
    <row r="9">
      <c r="B9" s="38" t="inlineStr">
        <is>
          <t>Stoneworks Tile</t>
        </is>
      </c>
      <c r="C9" s="38" t="inlineStr">
        <is>
          <t>Tile</t>
        </is>
      </c>
      <c r="D9" s="40" t="n">
        <v>3800</v>
      </c>
      <c r="E9" s="38" t="inlineStr">
        <is>
          <t>555-0140</t>
        </is>
      </c>
    </row>
    <row r="10">
      <c r="B10" s="21" t="n"/>
      <c r="C10" s="21" t="n"/>
      <c r="D10" s="34" t="n"/>
      <c r="E10" s="21" t="n"/>
    </row>
    <row r="11">
      <c r="B11" s="38" t="n"/>
      <c r="C11" s="38" t="n"/>
      <c r="D11" s="40" t="n"/>
      <c r="E11" s="38" t="n"/>
    </row>
    <row r="12">
      <c r="B12" s="21" t="n"/>
      <c r="C12" s="21" t="n"/>
      <c r="D12" s="34" t="n"/>
      <c r="E12" s="21" t="n"/>
    </row>
    <row r="13">
      <c r="B13" s="38" t="n"/>
      <c r="C13" s="38" t="n"/>
      <c r="D13" s="40" t="n"/>
      <c r="E13" s="38" t="n"/>
    </row>
    <row r="14">
      <c r="B14" s="21" t="n"/>
      <c r="C14" s="21" t="n"/>
      <c r="D14" s="34" t="n"/>
      <c r="E14" s="21" t="n"/>
    </row>
    <row r="15">
      <c r="B15" s="38" t="n"/>
      <c r="C15" s="38" t="n"/>
      <c r="D15" s="40" t="n"/>
      <c r="E15" s="38" t="n"/>
    </row>
    <row r="16">
      <c r="B16" s="21" t="n"/>
      <c r="C16" s="21" t="n"/>
      <c r="D16" s="34" t="n"/>
      <c r="E16" s="21" t="n"/>
    </row>
    <row r="17">
      <c r="B17" s="38" t="n"/>
      <c r="C17" s="38" t="n"/>
      <c r="D17" s="40" t="n"/>
      <c r="E17" s="38" t="n"/>
    </row>
    <row r="18">
      <c r="B18" s="21" t="n"/>
      <c r="C18" s="21" t="n"/>
      <c r="D18" s="34" t="n"/>
      <c r="E18" s="21" t="n"/>
    </row>
    <row r="19">
      <c r="B19" s="38" t="n"/>
      <c r="C19" s="38" t="n"/>
      <c r="D19" s="40" t="n"/>
      <c r="E19" s="38" t="n"/>
    </row>
    <row r="20">
      <c r="B20" s="21" t="n"/>
      <c r="C20" s="21" t="n"/>
      <c r="D20" s="34" t="n"/>
      <c r="E20" s="21" t="n"/>
    </row>
    <row r="21">
      <c r="B21" s="38" t="n"/>
      <c r="C21" s="38" t="n"/>
      <c r="D21" s="40" t="n"/>
      <c r="E21" s="38" t="n"/>
    </row>
    <row r="22">
      <c r="B22" s="21" t="n"/>
      <c r="C22" s="21" t="n"/>
      <c r="D22" s="34" t="n"/>
      <c r="E22" s="21" t="n"/>
    </row>
    <row r="23">
      <c r="B23" s="38" t="n"/>
      <c r="C23" s="38" t="n"/>
      <c r="D23" s="40" t="n"/>
      <c r="E23" s="38" t="n"/>
    </row>
    <row r="24">
      <c r="B24" s="21" t="n"/>
      <c r="C24" s="21" t="n"/>
      <c r="D24" s="34" t="n"/>
      <c r="E24" s="21" t="n"/>
    </row>
    <row r="25">
      <c r="B25" s="38" t="n"/>
      <c r="C25" s="38" t="n"/>
      <c r="D25" s="40" t="n"/>
      <c r="E25" s="38" t="n"/>
    </row>
    <row r="26">
      <c r="B26" s="21" t="n"/>
      <c r="C26" s="21" t="n"/>
      <c r="D26" s="34" t="n"/>
      <c r="E26" s="21" t="n"/>
    </row>
    <row r="27">
      <c r="B27" s="38" t="n"/>
      <c r="C27" s="38" t="n"/>
      <c r="D27" s="40" t="n"/>
      <c r="E27" s="38" t="n"/>
    </row>
    <row r="28">
      <c r="B28" s="21" t="n"/>
      <c r="C28" s="21" t="n"/>
      <c r="D28" s="34" t="n"/>
      <c r="E28" s="21" t="n"/>
    </row>
    <row r="29">
      <c r="B29" s="9" t="inlineStr">
        <is>
          <t>TOTAL BIDS</t>
        </is>
      </c>
      <c r="C29" s="41" t="n"/>
      <c r="D29" s="30">
        <f>SUM(Bid)</f>
        <v/>
      </c>
      <c r="E29" s="41" t="n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6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💳  PAYMENTS</t>
        </is>
      </c>
    </row>
    <row r="2" ht="22" customHeight="1">
      <c r="A2" s="2" t="inlineStr">
        <is>
          <t xml:space="preserve">  Every draw and payment made — so you always know what's paid and what's still owed.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Date</t>
        </is>
      </c>
      <c r="C4" s="9" t="inlineStr">
        <is>
          <t>Paid To</t>
        </is>
      </c>
      <c r="D4" s="9" t="inlineStr">
        <is>
          <t>Amount</t>
        </is>
      </c>
    </row>
    <row r="5">
      <c r="B5" s="38" t="inlineStr">
        <is>
          <t>May 1</t>
        </is>
      </c>
      <c r="C5" s="38" t="inlineStr">
        <is>
          <t>GC deposit</t>
        </is>
      </c>
      <c r="D5" s="40" t="n">
        <v>10000</v>
      </c>
    </row>
    <row r="6">
      <c r="B6" s="21" t="inlineStr">
        <is>
          <t>Jun 1</t>
        </is>
      </c>
      <c r="C6" s="21" t="inlineStr">
        <is>
          <t>Cabinets</t>
        </is>
      </c>
      <c r="D6" s="34" t="n">
        <v>8000</v>
      </c>
    </row>
    <row r="7">
      <c r="B7" s="38" t="inlineStr">
        <is>
          <t>Jun 15</t>
        </is>
      </c>
      <c r="C7" s="38" t="inlineStr">
        <is>
          <t>Plumber</t>
        </is>
      </c>
      <c r="D7" s="40" t="n">
        <v>4000</v>
      </c>
    </row>
    <row r="8">
      <c r="B8" s="21" t="inlineStr">
        <is>
          <t>Jul 1</t>
        </is>
      </c>
      <c r="C8" s="21" t="inlineStr">
        <is>
          <t>Electrician</t>
        </is>
      </c>
      <c r="D8" s="34" t="n">
        <v>3000</v>
      </c>
    </row>
    <row r="9">
      <c r="B9" s="38" t="inlineStr">
        <is>
          <t>Jul 10</t>
        </is>
      </c>
      <c r="C9" s="38" t="inlineStr">
        <is>
          <t>GC draw 2</t>
        </is>
      </c>
      <c r="D9" s="40" t="n">
        <v>9000</v>
      </c>
    </row>
    <row r="10">
      <c r="B10" s="21" t="inlineStr">
        <is>
          <t>Jul 20</t>
        </is>
      </c>
      <c r="C10" s="21" t="inlineStr">
        <is>
          <t>Painter</t>
        </is>
      </c>
      <c r="D10" s="34" t="n">
        <v>4000</v>
      </c>
    </row>
    <row r="11">
      <c r="B11" s="38" t="n"/>
      <c r="C11" s="38" t="n"/>
      <c r="D11" s="40" t="n"/>
    </row>
    <row r="12">
      <c r="B12" s="21" t="n"/>
      <c r="C12" s="21" t="n"/>
      <c r="D12" s="34" t="n"/>
    </row>
    <row r="13">
      <c r="B13" s="38" t="n"/>
      <c r="C13" s="38" t="n"/>
      <c r="D13" s="40" t="n"/>
    </row>
    <row r="14">
      <c r="B14" s="21" t="n"/>
      <c r="C14" s="21" t="n"/>
      <c r="D14" s="34" t="n"/>
    </row>
    <row r="15">
      <c r="B15" s="38" t="n"/>
      <c r="C15" s="38" t="n"/>
      <c r="D15" s="40" t="n"/>
    </row>
    <row r="16">
      <c r="B16" s="21" t="n"/>
      <c r="C16" s="21" t="n"/>
      <c r="D16" s="34" t="n"/>
    </row>
    <row r="17">
      <c r="B17" s="38" t="n"/>
      <c r="C17" s="38" t="n"/>
      <c r="D17" s="40" t="n"/>
    </row>
    <row r="18">
      <c r="B18" s="21" t="n"/>
      <c r="C18" s="21" t="n"/>
      <c r="D18" s="34" t="n"/>
    </row>
    <row r="19">
      <c r="B19" s="38" t="n"/>
      <c r="C19" s="38" t="n"/>
      <c r="D19" s="40" t="n"/>
    </row>
    <row r="20">
      <c r="B20" s="21" t="n"/>
      <c r="C20" s="21" t="n"/>
      <c r="D20" s="34" t="n"/>
    </row>
    <row r="21">
      <c r="B21" s="38" t="n"/>
      <c r="C21" s="38" t="n"/>
      <c r="D21" s="40" t="n"/>
    </row>
    <row r="22">
      <c r="B22" s="21" t="n"/>
      <c r="C22" s="21" t="n"/>
      <c r="D22" s="34" t="n"/>
    </row>
    <row r="23">
      <c r="B23" s="38" t="n"/>
      <c r="C23" s="38" t="n"/>
      <c r="D23" s="40" t="n"/>
    </row>
    <row r="24">
      <c r="B24" s="21" t="n"/>
      <c r="C24" s="21" t="n"/>
      <c r="D24" s="34" t="n"/>
    </row>
    <row r="25">
      <c r="B25" s="38" t="n"/>
      <c r="C25" s="38" t="n"/>
      <c r="D25" s="40" t="n"/>
    </row>
    <row r="26">
      <c r="B26" s="21" t="n"/>
      <c r="C26" s="21" t="n"/>
      <c r="D26" s="34" t="n"/>
    </row>
    <row r="27">
      <c r="B27" s="38" t="n"/>
      <c r="C27" s="38" t="n"/>
      <c r="D27" s="40" t="n"/>
    </row>
    <row r="28">
      <c r="B28" s="21" t="n"/>
      <c r="C28" s="21" t="n"/>
      <c r="D28" s="34" t="n"/>
    </row>
    <row r="29">
      <c r="B29" s="38" t="n"/>
      <c r="C29" s="38" t="n"/>
      <c r="D29" s="40" t="n"/>
    </row>
    <row r="30">
      <c r="B30" s="21" t="n"/>
      <c r="C30" s="21" t="n"/>
      <c r="D30" s="34" t="n"/>
    </row>
    <row r="31">
      <c r="B31" s="38" t="n"/>
      <c r="C31" s="38" t="n"/>
      <c r="D31" s="40" t="n"/>
    </row>
    <row r="32">
      <c r="B32" s="21" t="n"/>
      <c r="C32" s="21" t="n"/>
      <c r="D32" s="34" t="n"/>
    </row>
    <row r="33">
      <c r="B33" s="38" t="n"/>
      <c r="C33" s="38" t="n"/>
      <c r="D33" s="40" t="n"/>
    </row>
    <row r="34">
      <c r="B34" s="21" t="n"/>
      <c r="C34" s="21" t="n"/>
      <c r="D34" s="34" t="n"/>
    </row>
    <row r="35">
      <c r="B35" s="9" t="inlineStr">
        <is>
          <t>PAID TO DATE</t>
        </is>
      </c>
      <c r="C35" s="41" t="n"/>
      <c r="D35" s="30">
        <f>SUM(PayAmt)</f>
        <v/>
      </c>
    </row>
    <row r="36">
      <c r="B36" s="24" t="inlineStr">
        <is>
          <t>Outstanding (committed − paid)</t>
        </is>
      </c>
      <c r="D36" s="42">
        <f>TotalSpent-PaidToDate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🔧  CHANGE ORDERS</t>
        </is>
      </c>
    </row>
    <row r="2" ht="22" customHeight="1">
      <c r="A2" s="2" t="inlineStr">
        <is>
          <t xml:space="preserve">  Every mid-project change and what it added — the #1 reason remodels blow the budget.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Change</t>
        </is>
      </c>
      <c r="C4" s="9" t="inlineStr">
        <is>
          <t>Room</t>
        </is>
      </c>
      <c r="D4" s="9" t="inlineStr">
        <is>
          <t>Amount</t>
        </is>
      </c>
    </row>
    <row r="5">
      <c r="B5" s="38" t="inlineStr">
        <is>
          <t>Move gas line</t>
        </is>
      </c>
      <c r="C5" s="39" t="inlineStr">
        <is>
          <t>Kitchen</t>
        </is>
      </c>
      <c r="D5" s="40" t="n">
        <v>1200</v>
      </c>
    </row>
    <row r="6">
      <c r="B6" s="21" t="inlineStr">
        <is>
          <t>Extra tile</t>
        </is>
      </c>
      <c r="C6" s="23" t="inlineStr">
        <is>
          <t>Primary Bath</t>
        </is>
      </c>
      <c r="D6" s="34" t="n">
        <v>800</v>
      </c>
    </row>
    <row r="7">
      <c r="B7" s="38" t="inlineStr">
        <is>
          <t>Add outlet</t>
        </is>
      </c>
      <c r="C7" s="39" t="inlineStr">
        <is>
          <t>Living Room</t>
        </is>
      </c>
      <c r="D7" s="40" t="n">
        <v>400</v>
      </c>
    </row>
    <row r="8">
      <c r="B8" s="21" t="inlineStr">
        <is>
          <t>Upgrade faucet</t>
        </is>
      </c>
      <c r="C8" s="23" t="inlineStr">
        <is>
          <t>Kitchen</t>
        </is>
      </c>
      <c r="D8" s="34" t="n">
        <v>600</v>
      </c>
    </row>
    <row r="9">
      <c r="B9" s="38" t="n"/>
      <c r="C9" s="39" t="n"/>
      <c r="D9" s="40" t="n"/>
    </row>
    <row r="10">
      <c r="B10" s="21" t="n"/>
      <c r="C10" s="23" t="n"/>
      <c r="D10" s="34" t="n"/>
    </row>
    <row r="11">
      <c r="B11" s="38" t="n"/>
      <c r="C11" s="39" t="n"/>
      <c r="D11" s="40" t="n"/>
    </row>
    <row r="12">
      <c r="B12" s="21" t="n"/>
      <c r="C12" s="23" t="n"/>
      <c r="D12" s="34" t="n"/>
    </row>
    <row r="13">
      <c r="B13" s="38" t="n"/>
      <c r="C13" s="39" t="n"/>
      <c r="D13" s="40" t="n"/>
    </row>
    <row r="14">
      <c r="B14" s="21" t="n"/>
      <c r="C14" s="23" t="n"/>
      <c r="D14" s="34" t="n"/>
    </row>
    <row r="15">
      <c r="B15" s="38" t="n"/>
      <c r="C15" s="39" t="n"/>
      <c r="D15" s="40" t="n"/>
    </row>
    <row r="16">
      <c r="B16" s="21" t="n"/>
      <c r="C16" s="23" t="n"/>
      <c r="D16" s="34" t="n"/>
    </row>
    <row r="17">
      <c r="B17" s="38" t="n"/>
      <c r="C17" s="39" t="n"/>
      <c r="D17" s="40" t="n"/>
    </row>
    <row r="18">
      <c r="B18" s="21" t="n"/>
      <c r="C18" s="23" t="n"/>
      <c r="D18" s="34" t="n"/>
    </row>
    <row r="19">
      <c r="B19" s="38" t="n"/>
      <c r="C19" s="39" t="n"/>
      <c r="D19" s="40" t="n"/>
    </row>
    <row r="20">
      <c r="B20" s="21" t="n"/>
      <c r="C20" s="23" t="n"/>
      <c r="D20" s="34" t="n"/>
    </row>
    <row r="21">
      <c r="B21" s="38" t="n"/>
      <c r="C21" s="39" t="n"/>
      <c r="D21" s="40" t="n"/>
    </row>
    <row r="22">
      <c r="B22" s="21" t="n"/>
      <c r="C22" s="23" t="n"/>
      <c r="D22" s="34" t="n"/>
    </row>
    <row r="23">
      <c r="B23" s="38" t="n"/>
      <c r="C23" s="39" t="n"/>
      <c r="D23" s="40" t="n"/>
    </row>
    <row r="24">
      <c r="B24" s="21" t="n"/>
      <c r="C24" s="23" t="n"/>
      <c r="D24" s="34" t="n"/>
    </row>
    <row r="25">
      <c r="B25" s="38" t="n"/>
      <c r="C25" s="39" t="n"/>
      <c r="D25" s="40" t="n"/>
    </row>
    <row r="26">
      <c r="B26" s="21" t="n"/>
      <c r="C26" s="23" t="n"/>
      <c r="D26" s="34" t="n"/>
    </row>
    <row r="27">
      <c r="B27" s="38" t="n"/>
      <c r="C27" s="39" t="n"/>
      <c r="D27" s="40" t="n"/>
    </row>
    <row r="28">
      <c r="B28" s="21" t="n"/>
      <c r="C28" s="23" t="n"/>
      <c r="D28" s="34" t="n"/>
    </row>
    <row r="29">
      <c r="B29" s="38" t="n"/>
      <c r="C29" s="39" t="n"/>
      <c r="D29" s="40" t="n"/>
    </row>
    <row r="30">
      <c r="B30" s="21" t="n"/>
      <c r="C30" s="23" t="n"/>
      <c r="D30" s="34" t="n"/>
    </row>
    <row r="31">
      <c r="B31" s="9" t="inlineStr">
        <is>
          <t>TOTAL CHANGE ORDERS</t>
        </is>
      </c>
      <c r="C31" s="41" t="n"/>
      <c r="D31" s="43">
        <f>SUM(ChangeAmt)</f>
        <v/>
      </c>
    </row>
  </sheetData>
  <mergeCells count="2">
    <mergeCell ref="A1:D1"/>
    <mergeCell ref="A2:D2"/>
  </mergeCells>
  <dataValidations count="1">
    <dataValidation sqref="C5:C30" showDropDown="0" showInputMessage="0" showErrorMessage="0" allowBlank="1" type="list">
      <formula1>=RoomBank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2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🧱  MATERIALS &amp; FINISHES</t>
        </is>
      </c>
    </row>
    <row r="2" ht="22" customHeight="1">
      <c r="A2" s="2" t="inlineStr">
        <is>
          <t xml:space="preserve">  Every selection — the finish, the room and the cost, so your choices and your budget stay in sync.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Room</t>
        </is>
      </c>
      <c r="D4" s="9" t="inlineStr">
        <is>
          <t>Selection</t>
        </is>
      </c>
      <c r="E4" s="9" t="inlineStr">
        <is>
          <t>Cost</t>
        </is>
      </c>
    </row>
    <row r="5">
      <c r="B5" s="38" t="inlineStr">
        <is>
          <t>Cabinets</t>
        </is>
      </c>
      <c r="C5" s="39" t="inlineStr">
        <is>
          <t>Kitchen</t>
        </is>
      </c>
      <c r="D5" s="38" t="inlineStr">
        <is>
          <t>Shaker white</t>
        </is>
      </c>
      <c r="E5" s="40" t="n">
        <v>8800</v>
      </c>
    </row>
    <row r="6">
      <c r="B6" s="21" t="inlineStr">
        <is>
          <t>Countertop</t>
        </is>
      </c>
      <c r="C6" s="23" t="inlineStr">
        <is>
          <t>Kitchen</t>
        </is>
      </c>
      <c r="D6" s="21" t="inlineStr">
        <is>
          <t>Quartz</t>
        </is>
      </c>
      <c r="E6" s="34" t="n">
        <v>4500</v>
      </c>
    </row>
    <row r="7">
      <c r="B7" s="38" t="inlineStr">
        <is>
          <t>Backsplash</t>
        </is>
      </c>
      <c r="C7" s="39" t="inlineStr">
        <is>
          <t>Kitchen</t>
        </is>
      </c>
      <c r="D7" s="38" t="inlineStr">
        <is>
          <t>Subway tile</t>
        </is>
      </c>
      <c r="E7" s="40" t="n">
        <v>700</v>
      </c>
    </row>
    <row r="8">
      <c r="B8" s="21" t="inlineStr">
        <is>
          <t>Floor tile</t>
        </is>
      </c>
      <c r="C8" s="23" t="inlineStr">
        <is>
          <t>Primary Bath</t>
        </is>
      </c>
      <c r="D8" s="21" t="inlineStr">
        <is>
          <t>Hex marble</t>
        </is>
      </c>
      <c r="E8" s="34" t="n">
        <v>1200</v>
      </c>
    </row>
    <row r="9">
      <c r="B9" s="38" t="inlineStr">
        <is>
          <t>Vanity</t>
        </is>
      </c>
      <c r="C9" s="39" t="inlineStr">
        <is>
          <t>Primary Bath</t>
        </is>
      </c>
      <c r="D9" s="38" t="inlineStr">
        <is>
          <t>Walnut 48in</t>
        </is>
      </c>
      <c r="E9" s="40" t="n">
        <v>2100</v>
      </c>
    </row>
    <row r="10">
      <c r="B10" s="21" t="inlineStr">
        <is>
          <t>Paint</t>
        </is>
      </c>
      <c r="C10" s="23" t="inlineStr">
        <is>
          <t>Living Room</t>
        </is>
      </c>
      <c r="D10" s="21" t="inlineStr">
        <is>
          <t>Sage green</t>
        </is>
      </c>
      <c r="E10" s="34" t="n">
        <v>300</v>
      </c>
    </row>
    <row r="11">
      <c r="B11" s="38" t="n"/>
      <c r="C11" s="39" t="n"/>
      <c r="D11" s="38" t="n"/>
      <c r="E11" s="40" t="n"/>
    </row>
    <row r="12">
      <c r="B12" s="21" t="n"/>
      <c r="C12" s="23" t="n"/>
      <c r="D12" s="21" t="n"/>
      <c r="E12" s="34" t="n"/>
    </row>
    <row r="13">
      <c r="B13" s="38" t="n"/>
      <c r="C13" s="39" t="n"/>
      <c r="D13" s="38" t="n"/>
      <c r="E13" s="40" t="n"/>
    </row>
    <row r="14">
      <c r="B14" s="21" t="n"/>
      <c r="C14" s="23" t="n"/>
      <c r="D14" s="21" t="n"/>
      <c r="E14" s="34" t="n"/>
    </row>
    <row r="15">
      <c r="B15" s="38" t="n"/>
      <c r="C15" s="39" t="n"/>
      <c r="D15" s="38" t="n"/>
      <c r="E15" s="40" t="n"/>
    </row>
    <row r="16">
      <c r="B16" s="21" t="n"/>
      <c r="C16" s="23" t="n"/>
      <c r="D16" s="21" t="n"/>
      <c r="E16" s="34" t="n"/>
    </row>
    <row r="17">
      <c r="B17" s="38" t="n"/>
      <c r="C17" s="39" t="n"/>
      <c r="D17" s="38" t="n"/>
      <c r="E17" s="40" t="n"/>
    </row>
    <row r="18">
      <c r="B18" s="21" t="n"/>
      <c r="C18" s="23" t="n"/>
      <c r="D18" s="21" t="n"/>
      <c r="E18" s="34" t="n"/>
    </row>
    <row r="19">
      <c r="B19" s="38" t="n"/>
      <c r="C19" s="39" t="n"/>
      <c r="D19" s="38" t="n"/>
      <c r="E19" s="40" t="n"/>
    </row>
    <row r="20">
      <c r="B20" s="21" t="n"/>
      <c r="C20" s="23" t="n"/>
      <c r="D20" s="21" t="n"/>
      <c r="E20" s="34" t="n"/>
    </row>
    <row r="21">
      <c r="B21" s="38" t="n"/>
      <c r="C21" s="39" t="n"/>
      <c r="D21" s="38" t="n"/>
      <c r="E21" s="40" t="n"/>
    </row>
    <row r="22">
      <c r="B22" s="21" t="n"/>
      <c r="C22" s="23" t="n"/>
      <c r="D22" s="21" t="n"/>
      <c r="E22" s="34" t="n"/>
    </row>
    <row r="23">
      <c r="B23" s="38" t="n"/>
      <c r="C23" s="39" t="n"/>
      <c r="D23" s="38" t="n"/>
      <c r="E23" s="40" t="n"/>
    </row>
    <row r="24">
      <c r="B24" s="21" t="n"/>
      <c r="C24" s="23" t="n"/>
      <c r="D24" s="21" t="n"/>
      <c r="E24" s="34" t="n"/>
    </row>
    <row r="25">
      <c r="B25" s="38" t="n"/>
      <c r="C25" s="39" t="n"/>
      <c r="D25" s="38" t="n"/>
      <c r="E25" s="40" t="n"/>
    </row>
    <row r="26">
      <c r="B26" s="21" t="n"/>
      <c r="C26" s="23" t="n"/>
      <c r="D26" s="21" t="n"/>
      <c r="E26" s="34" t="n"/>
    </row>
    <row r="27">
      <c r="B27" s="38" t="n"/>
      <c r="C27" s="39" t="n"/>
      <c r="D27" s="38" t="n"/>
      <c r="E27" s="40" t="n"/>
    </row>
    <row r="28">
      <c r="B28" s="21" t="n"/>
      <c r="C28" s="23" t="n"/>
      <c r="D28" s="21" t="n"/>
      <c r="E28" s="34" t="n"/>
    </row>
    <row r="29">
      <c r="B29" s="38" t="n"/>
      <c r="C29" s="39" t="n"/>
      <c r="D29" s="38" t="n"/>
      <c r="E29" s="40" t="n"/>
    </row>
    <row r="30">
      <c r="B30" s="21" t="n"/>
      <c r="C30" s="23" t="n"/>
      <c r="D30" s="21" t="n"/>
      <c r="E30" s="34" t="n"/>
    </row>
    <row r="31">
      <c r="B31" s="9" t="inlineStr">
        <is>
          <t>TOTAL SELECTIONS</t>
        </is>
      </c>
      <c r="C31" s="41" t="n"/>
      <c r="D31" s="41" t="n"/>
      <c r="E31" s="30">
        <f>SUM(MatCost)</f>
        <v/>
      </c>
    </row>
  </sheetData>
  <mergeCells count="2">
    <mergeCell ref="A2:E2"/>
    <mergeCell ref="A1:E1"/>
  </mergeCells>
  <dataValidations count="1">
    <dataValidation sqref="C5:C30" showDropDown="0" showInputMessage="0" showErrorMessage="0" allowBlank="1" type="list">
      <formula1>=RoomBank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📅  TIMELINE</t>
        </is>
      </c>
    </row>
    <row r="2" ht="22" customHeight="1">
      <c r="A2" s="2" t="inlineStr">
        <is>
          <t xml:space="preserve">  Every phase and how far along it is — so you always know how close the finish line really is.</t>
        </is>
      </c>
    </row>
    <row r="3" ht="6" customHeight="1">
      <c r="A3" s="3" t="n"/>
      <c r="B3" s="3" t="n"/>
      <c r="C3" s="3" t="n"/>
      <c r="D3" s="3" t="n"/>
    </row>
    <row r="5">
      <c r="B5" s="24" t="inlineStr">
        <is>
          <t>Project % complete</t>
        </is>
      </c>
      <c r="C5" s="44">
        <f>PctComplete</f>
        <v/>
      </c>
    </row>
    <row r="7" ht="30" customHeight="1">
      <c r="B7" s="9" t="inlineStr">
        <is>
          <t>Phase</t>
        </is>
      </c>
      <c r="C7" s="9" t="inlineStr">
        <is>
          <t>Status</t>
        </is>
      </c>
      <c r="D7" s="9" t="inlineStr">
        <is>
          <t>% Done</t>
        </is>
      </c>
    </row>
    <row r="8">
      <c r="B8" s="18" t="inlineStr">
        <is>
          <t>Demo</t>
        </is>
      </c>
      <c r="C8" s="20" t="inlineStr">
        <is>
          <t>Done</t>
        </is>
      </c>
      <c r="D8" s="45" t="n">
        <v>1</v>
      </c>
    </row>
    <row r="9">
      <c r="B9" s="21" t="inlineStr">
        <is>
          <t>Rough-in (elec/plumb)</t>
        </is>
      </c>
      <c r="C9" s="23" t="inlineStr">
        <is>
          <t>Done</t>
        </is>
      </c>
      <c r="D9" s="46" t="n">
        <v>1</v>
      </c>
    </row>
    <row r="10">
      <c r="B10" s="18" t="inlineStr">
        <is>
          <t>Cabinets &amp; counters</t>
        </is>
      </c>
      <c r="C10" s="20" t="inlineStr">
        <is>
          <t>In progress</t>
        </is>
      </c>
      <c r="D10" s="45" t="n">
        <v>0.7</v>
      </c>
    </row>
    <row r="11">
      <c r="B11" s="21" t="inlineStr">
        <is>
          <t>Tile &amp; floors</t>
        </is>
      </c>
      <c r="C11" s="23" t="inlineStr">
        <is>
          <t>In progress</t>
        </is>
      </c>
      <c r="D11" s="46" t="n">
        <v>0.5</v>
      </c>
    </row>
    <row r="12">
      <c r="B12" s="18" t="inlineStr">
        <is>
          <t>Paint &amp; finish</t>
        </is>
      </c>
      <c r="C12" s="20" t="inlineStr">
        <is>
          <t>Not started</t>
        </is>
      </c>
      <c r="D12" s="45" t="n">
        <v>0</v>
      </c>
    </row>
    <row r="13">
      <c r="B13" s="21" t="inlineStr">
        <is>
          <t>Final &amp; punch list</t>
        </is>
      </c>
      <c r="C13" s="23" t="inlineStr">
        <is>
          <t>Not started</t>
        </is>
      </c>
      <c r="D13" s="46" t="n">
        <v>0</v>
      </c>
    </row>
  </sheetData>
  <mergeCells count="2">
    <mergeCell ref="A1:D1"/>
    <mergeCell ref="A2:D2"/>
  </mergeCells>
  <conditionalFormatting sqref="D8:D13">
    <cfRule type="dataBar" priority="1">
      <dataBar>
        <cfvo type="num" val="0"/>
        <cfvo type="num" val="1"/>
        <color rgb="0075E6C1"/>
      </dataBar>
    </cfRule>
  </conditionalFormatting>
  <dataValidations count="1">
    <dataValidation sqref="C8:C13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🏦  FINANCING</t>
        </is>
      </c>
    </row>
    <row r="2" ht="22" customHeight="1">
      <c r="A2" s="2" t="inlineStr">
        <is>
          <t xml:space="preserve">  How the project is paid for — cash, HELOC, cards — so your funding covers the budget.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Source</t>
        </is>
      </c>
      <c r="C4" s="9" t="inlineStr">
        <is>
          <t>Amount</t>
        </is>
      </c>
    </row>
    <row r="5">
      <c r="B5" s="18" t="inlineStr">
        <is>
          <t>Cash / savings</t>
        </is>
      </c>
      <c r="C5" s="31" t="n">
        <v>25000</v>
      </c>
    </row>
    <row r="6">
      <c r="B6" s="21" t="inlineStr">
        <is>
          <t>HELOC</t>
        </is>
      </c>
      <c r="C6" s="33" t="n">
        <v>30000</v>
      </c>
    </row>
    <row r="7">
      <c r="B7" s="18" t="inlineStr">
        <is>
          <t>0% card</t>
        </is>
      </c>
      <c r="C7" s="31" t="n">
        <v>5000</v>
      </c>
    </row>
    <row r="8">
      <c r="B8" s="9" t="inlineStr">
        <is>
          <t>TOTAL FUNDING</t>
        </is>
      </c>
      <c r="C8" s="30">
        <f>SUM(FundAmt)</f>
        <v/>
      </c>
    </row>
    <row r="10">
      <c r="B10" s="24" t="inlineStr">
        <is>
          <t>Funding vs budget</t>
        </is>
      </c>
      <c r="C10" s="25">
        <f>SUM(FundAmt)-TotalBudget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20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✅  DECISIONS</t>
        </is>
      </c>
    </row>
    <row r="2" ht="22" customHeight="1">
      <c r="A2" s="2" t="inlineStr">
        <is>
          <t xml:space="preserve">  Every choice to make — the room, the pick and whether it's locked. Decision paralysis stalls remodels.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Decision</t>
        </is>
      </c>
      <c r="C4" s="9" t="inlineStr">
        <is>
          <t>Room</t>
        </is>
      </c>
      <c r="D4" s="9" t="inlineStr">
        <is>
          <t>Choice</t>
        </is>
      </c>
      <c r="E4" s="9" t="inlineStr">
        <is>
          <t>Decided?</t>
        </is>
      </c>
    </row>
    <row r="5">
      <c r="B5" s="38" t="inlineStr">
        <is>
          <t>Cabinet color</t>
        </is>
      </c>
      <c r="C5" s="39" t="inlineStr">
        <is>
          <t>Kitchen</t>
        </is>
      </c>
      <c r="D5" s="38" t="inlineStr">
        <is>
          <t>Shaker white</t>
        </is>
      </c>
      <c r="E5" s="39" t="inlineStr">
        <is>
          <t>Yes</t>
        </is>
      </c>
    </row>
    <row r="6">
      <c r="B6" s="21" t="inlineStr">
        <is>
          <t>Countertop</t>
        </is>
      </c>
      <c r="C6" s="23" t="inlineStr">
        <is>
          <t>Kitchen</t>
        </is>
      </c>
      <c r="D6" s="21" t="inlineStr">
        <is>
          <t>Quartz</t>
        </is>
      </c>
      <c r="E6" s="23" t="inlineStr">
        <is>
          <t>Yes</t>
        </is>
      </c>
    </row>
    <row r="7">
      <c r="B7" s="38" t="inlineStr">
        <is>
          <t>Tile</t>
        </is>
      </c>
      <c r="C7" s="39" t="inlineStr">
        <is>
          <t>Primary Bath</t>
        </is>
      </c>
      <c r="D7" s="38" t="inlineStr">
        <is>
          <t>Hex marble</t>
        </is>
      </c>
      <c r="E7" s="39" t="inlineStr">
        <is>
          <t>Yes</t>
        </is>
      </c>
    </row>
    <row r="8">
      <c r="B8" s="21" t="inlineStr">
        <is>
          <t>Paint</t>
        </is>
      </c>
      <c r="C8" s="23" t="inlineStr">
        <is>
          <t>Living Room</t>
        </is>
      </c>
      <c r="D8" s="21" t="inlineStr">
        <is>
          <t>Sage green</t>
        </is>
      </c>
      <c r="E8" s="23" t="inlineStr">
        <is>
          <t>No</t>
        </is>
      </c>
    </row>
    <row r="9">
      <c r="B9" s="38" t="inlineStr">
        <is>
          <t>Lighting</t>
        </is>
      </c>
      <c r="C9" s="39" t="inlineStr">
        <is>
          <t>Kitchen</t>
        </is>
      </c>
      <c r="D9" s="38" t="inlineStr">
        <is>
          <t>Pendants</t>
        </is>
      </c>
      <c r="E9" s="39" t="inlineStr">
        <is>
          <t>No</t>
        </is>
      </c>
    </row>
    <row r="10">
      <c r="B10" s="21" t="n"/>
      <c r="C10" s="23" t="n"/>
      <c r="D10" s="21" t="n"/>
      <c r="E10" s="23" t="n"/>
    </row>
    <row r="11">
      <c r="B11" s="38" t="n"/>
      <c r="C11" s="39" t="n"/>
      <c r="D11" s="38" t="n"/>
      <c r="E11" s="39" t="n"/>
    </row>
    <row r="12">
      <c r="B12" s="21" t="n"/>
      <c r="C12" s="23" t="n"/>
      <c r="D12" s="21" t="n"/>
      <c r="E12" s="23" t="n"/>
    </row>
    <row r="13">
      <c r="B13" s="38" t="n"/>
      <c r="C13" s="39" t="n"/>
      <c r="D13" s="38" t="n"/>
      <c r="E13" s="39" t="n"/>
    </row>
    <row r="14">
      <c r="B14" s="21" t="n"/>
      <c r="C14" s="23" t="n"/>
      <c r="D14" s="21" t="n"/>
      <c r="E14" s="23" t="n"/>
    </row>
    <row r="15">
      <c r="B15" s="38" t="n"/>
      <c r="C15" s="39" t="n"/>
      <c r="D15" s="38" t="n"/>
      <c r="E15" s="39" t="n"/>
    </row>
    <row r="16">
      <c r="B16" s="21" t="n"/>
      <c r="C16" s="23" t="n"/>
      <c r="D16" s="21" t="n"/>
      <c r="E16" s="23" t="n"/>
    </row>
    <row r="17">
      <c r="B17" s="38" t="n"/>
      <c r="C17" s="39" t="n"/>
      <c r="D17" s="38" t="n"/>
      <c r="E17" s="39" t="n"/>
    </row>
    <row r="18">
      <c r="B18" s="21" t="n"/>
      <c r="C18" s="23" t="n"/>
      <c r="D18" s="21" t="n"/>
      <c r="E18" s="23" t="n"/>
    </row>
    <row r="19">
      <c r="B19" s="38" t="n"/>
      <c r="C19" s="39" t="n"/>
      <c r="D19" s="38" t="n"/>
      <c r="E19" s="39" t="n"/>
    </row>
    <row r="20">
      <c r="B20" s="21" t="n"/>
      <c r="C20" s="23" t="n"/>
      <c r="D20" s="21" t="n"/>
      <c r="E20" s="23" t="n"/>
    </row>
    <row r="21">
      <c r="B21" s="38" t="n"/>
      <c r="C21" s="39" t="n"/>
      <c r="D21" s="38" t="n"/>
      <c r="E21" s="39" t="n"/>
    </row>
    <row r="22">
      <c r="B22" s="21" t="n"/>
      <c r="C22" s="23" t="n"/>
      <c r="D22" s="21" t="n"/>
      <c r="E22" s="23" t="n"/>
    </row>
    <row r="23">
      <c r="B23" s="38" t="n"/>
      <c r="C23" s="39" t="n"/>
      <c r="D23" s="38" t="n"/>
      <c r="E23" s="39" t="n"/>
    </row>
    <row r="24">
      <c r="B24" s="21" t="n"/>
      <c r="C24" s="23" t="n"/>
      <c r="D24" s="21" t="n"/>
      <c r="E24" s="23" t="n"/>
    </row>
    <row r="25">
      <c r="B25" s="38" t="n"/>
      <c r="C25" s="39" t="n"/>
      <c r="D25" s="38" t="n"/>
      <c r="E25" s="39" t="n"/>
    </row>
    <row r="26">
      <c r="B26" s="21" t="n"/>
      <c r="C26" s="23" t="n"/>
      <c r="D26" s="21" t="n"/>
      <c r="E26" s="23" t="n"/>
    </row>
    <row r="27">
      <c r="B27" s="38" t="n"/>
      <c r="C27" s="39" t="n"/>
      <c r="D27" s="38" t="n"/>
      <c r="E27" s="39" t="n"/>
    </row>
    <row r="28">
      <c r="B28" s="21" t="n"/>
      <c r="C28" s="23" t="n"/>
      <c r="D28" s="21" t="n"/>
      <c r="E28" s="23" t="n"/>
    </row>
    <row r="29">
      <c r="B29" s="38" t="n"/>
      <c r="C29" s="39" t="n"/>
      <c r="D29" s="38" t="n"/>
      <c r="E29" s="39" t="n"/>
    </row>
    <row r="30">
      <c r="B30" s="21" t="n"/>
      <c r="C30" s="23" t="n"/>
      <c r="D30" s="21" t="n"/>
      <c r="E30" s="23" t="n"/>
    </row>
    <row r="31">
      <c r="B31" s="9" t="inlineStr">
        <is>
          <t>DECIDED</t>
        </is>
      </c>
      <c r="C31" s="41" t="n"/>
      <c r="D31" s="41" t="n"/>
      <c r="E31" s="47">
        <f>COUNTIF(Decided,"Yes")&amp;" / "&amp;COUNTA(Decided)</f>
        <v/>
      </c>
    </row>
  </sheetData>
  <mergeCells count="2">
    <mergeCell ref="A2:E2"/>
    <mergeCell ref="A1:E1"/>
  </mergeCells>
  <dataValidations count="2">
    <dataValidation sqref="C5:C30" showDropDown="0" showInputMessage="0" showErrorMessage="0" allowBlank="1" type="list">
      <formula1>=RoomBank</formula1>
    </dataValidation>
    <dataValidation sqref="E5:E3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What you spent each month — watch the burn rate against your remaining budget.</t>
        </is>
      </c>
    </row>
    <row r="3" ht="6" customHeight="1">
      <c r="A3" s="3" t="n"/>
      <c r="B3" s="3" t="n"/>
      <c r="C3" s="3" t="n"/>
    </row>
    <row r="5">
      <c r="B5" s="4" t="inlineStr">
        <is>
          <t>THE TREND</t>
        </is>
      </c>
    </row>
    <row r="6" ht="30" customHeight="1">
      <c r="B6" s="9" t="inlineStr">
        <is>
          <t>Month</t>
        </is>
      </c>
      <c r="C6" s="9" t="inlineStr">
        <is>
          <t>Spent</t>
        </is>
      </c>
    </row>
    <row r="7">
      <c r="B7" s="18" t="inlineStr">
        <is>
          <t>Feb</t>
        </is>
      </c>
      <c r="C7" s="31" t="n">
        <v>4000</v>
      </c>
    </row>
    <row r="8">
      <c r="B8" s="21" t="inlineStr">
        <is>
          <t>Mar</t>
        </is>
      </c>
      <c r="C8" s="33" t="n">
        <v>9000</v>
      </c>
    </row>
    <row r="9">
      <c r="B9" s="18" t="inlineStr">
        <is>
          <t>Apr</t>
        </is>
      </c>
      <c r="C9" s="31" t="n">
        <v>7000</v>
      </c>
    </row>
    <row r="10">
      <c r="B10" s="21" t="inlineStr">
        <is>
          <t>May</t>
        </is>
      </c>
      <c r="C10" s="33" t="n">
        <v>8000</v>
      </c>
    </row>
    <row r="11">
      <c r="B11" s="18" t="inlineStr">
        <is>
          <t>Jun</t>
        </is>
      </c>
      <c r="C11" s="31" t="n">
        <v>8000</v>
      </c>
    </row>
    <row r="12">
      <c r="B12" s="21" t="inlineStr">
        <is>
          <t>Jul</t>
        </is>
      </c>
      <c r="C12" s="33" t="n">
        <v>6000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goals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GOALS</t>
        </is>
      </c>
      <c r="E5" s="4" t="inlineStr">
        <is>
          <t>DROPDOWN LISTS</t>
        </is>
      </c>
    </row>
    <row r="6">
      <c r="B6" s="24" t="inlineStr">
        <is>
          <t>Project name</t>
        </is>
      </c>
      <c r="C6" s="48" t="inlineStr">
        <is>
          <t>Cedar &amp; Stone Reno</t>
        </is>
      </c>
      <c r="E6" s="9" t="inlineStr">
        <is>
          <t>Room</t>
        </is>
      </c>
      <c r="F6" s="9" t="inlineStr">
        <is>
          <t>Category</t>
        </is>
      </c>
      <c r="G6" s="9" t="inlineStr">
        <is>
          <t>Status</t>
        </is>
      </c>
      <c r="H6" s="9" t="inlineStr">
        <is>
          <t>Yes / No</t>
        </is>
      </c>
    </row>
    <row r="7">
      <c r="B7" s="24" t="inlineStr">
        <is>
          <t>Homeowner</t>
        </is>
      </c>
      <c r="C7" s="48" t="inlineStr">
        <is>
          <t>Reese</t>
        </is>
      </c>
      <c r="E7" s="18" t="inlineStr">
        <is>
          <t>Kitchen</t>
        </is>
      </c>
      <c r="F7" s="18" t="inlineStr">
        <is>
          <t>Materials</t>
        </is>
      </c>
      <c r="G7" s="18" t="inlineStr">
        <is>
          <t>Not started</t>
        </is>
      </c>
      <c r="H7" s="18" t="inlineStr">
        <is>
          <t>Yes</t>
        </is>
      </c>
    </row>
    <row r="8">
      <c r="B8" s="24" t="inlineStr">
        <is>
          <t>Contingency rate</t>
        </is>
      </c>
      <c r="C8" s="45" t="n">
        <v>0.15</v>
      </c>
      <c r="E8" s="18" t="inlineStr">
        <is>
          <t>Primary Bath</t>
        </is>
      </c>
      <c r="F8" s="18" t="inlineStr">
        <is>
          <t>Labor</t>
        </is>
      </c>
      <c r="G8" s="18" t="inlineStr">
        <is>
          <t>In progress</t>
        </is>
      </c>
      <c r="H8" s="18" t="inlineStr">
        <is>
          <t>No</t>
        </is>
      </c>
    </row>
    <row r="9">
      <c r="B9" s="24" t="inlineStr">
        <is>
          <t>Rooms-scoped goal</t>
        </is>
      </c>
      <c r="C9" s="49" t="n">
        <v>5</v>
      </c>
      <c r="E9" s="18" t="inlineStr">
        <is>
          <t>Living Room</t>
        </is>
      </c>
      <c r="F9" s="18" t="inlineStr">
        <is>
          <t>Permits</t>
        </is>
      </c>
      <c r="G9" s="18" t="inlineStr">
        <is>
          <t>Done</t>
        </is>
      </c>
    </row>
    <row r="10">
      <c r="B10" s="24" t="inlineStr">
        <is>
          <t>Outstanding goal (max)</t>
        </is>
      </c>
      <c r="C10" s="31" t="n">
        <v>5000</v>
      </c>
      <c r="E10" s="18" t="inlineStr">
        <is>
          <t>Exterior &amp; Paint</t>
        </is>
      </c>
      <c r="F10" s="18" t="inlineStr">
        <is>
          <t>Fixtures</t>
        </is>
      </c>
      <c r="G10" s="18" t="inlineStr">
        <is>
          <t>On hold</t>
        </is>
      </c>
    </row>
    <row r="11">
      <c r="B11" s="24" t="inlineStr">
        <is>
          <t>Change-orders goal (max)</t>
        </is>
      </c>
      <c r="C11" s="31" t="n">
        <v>1200</v>
      </c>
      <c r="E11" s="18" t="inlineStr">
        <is>
          <t>Landscaping</t>
        </is>
      </c>
      <c r="F11" s="18" t="inlineStr">
        <is>
          <t>Appliances</t>
        </is>
      </c>
    </row>
    <row r="12">
      <c r="B12" s="24" t="inlineStr">
        <is>
          <t>Contingency used</t>
        </is>
      </c>
      <c r="C12" s="31" t="n">
        <v>2000</v>
      </c>
      <c r="E12" s="18" t="inlineStr">
        <is>
          <t>Whole Home</t>
        </is>
      </c>
      <c r="F12" s="18" t="inlineStr">
        <is>
          <t>Other</t>
        </is>
      </c>
    </row>
    <row r="13">
      <c r="B13" s="24" t="inlineStr">
        <is>
          <t>Project % complete</t>
        </is>
      </c>
      <c r="C13" s="45" t="n">
        <v>0.65</v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2026-07-24T05:33:41Z</dcterms:created>
  <dcterms:modified xsi:type="dcterms:W3CDTF">2026-07-24T05:33:41Z</dcterms:modified>
</cp:coreProperties>
</file>