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Commission Calculator" sheetId="3" state="visible" r:id="rId3"/>
    <sheet name="Pipeline" sheetId="4" state="visible" r:id="rId4"/>
    <sheet name="Closings" sheetId="5" state="visible" r:id="rId5"/>
    <sheet name="Buyers &amp; Sellers" sheetId="6" state="visible" r:id="rId6"/>
    <sheet name="Listings" sheetId="7" state="visible" r:id="rId7"/>
    <sheet name="Lead Sources" sheetId="8" state="visible" r:id="rId8"/>
    <sheet name="Database" sheetId="9" state="visible" r:id="rId9"/>
    <sheet name="Goals &amp; GCI" sheetId="10" state="visible" r:id="rId10"/>
    <sheet name="Business Expenses" sheetId="11" state="visible" r:id="rId11"/>
    <sheet name="Mileage &amp; Auto" sheetId="12" state="visible" r:id="rId12"/>
    <sheet name="Monthly Summary" sheetId="13" state="visible" r:id="rId13"/>
    <sheet name="Settings" sheetId="14" state="visible" r:id="rId14"/>
  </sheets>
  <definedNames>
    <definedName name="Business">Settings!$C$6</definedName>
    <definedName name="Owner">Settings!$C$7</definedName>
    <definedName name="MarginGoal">Settings!$C$8</definedName>
    <definedName name="CommGoal">Settings!$C$9</definedName>
    <definedName name="PaceGoal">Settings!$C$10</definedName>
    <definedName name="PipeGoal">Settings!$C$11</definedName>
    <definedName name="ProfitGoal">Settings!$C$12</definedName>
    <definedName name="TouchGoal">Settings!$C$13</definedName>
    <definedName name="GCIGoal">Settings!$C$14</definedName>
    <definedName name="SideList">Settings!$E$7:$E$10</definedName>
    <definedName name="StageList">Settings!$F$7:$F$12</definedName>
    <definedName name="SourceList">Settings!$G$7:$G$13</definedName>
    <definedName name="YesNoList">Settings!$H$7:$H$8</definedName>
    <definedName name="SalePrice">'Commission Calculator'!$C$5</definedName>
    <definedName name="CommRate">'Commission Calculator'!$C$6</definedName>
    <definedName name="GCIDeal">'Commission Calculator'!$C$7</definedName>
    <definedName name="AgentSplit">'Commission Calculator'!$C$8</definedName>
    <definedName name="AgentComm">'Commission Calculator'!$C$9</definedName>
    <definedName name="CostAmt">'Commission Calculator'!$C$13:$C$16</definedName>
    <definedName name="DealCosts">'Commission Calculator'!$C$17</definedName>
    <definedName name="NetDeal">'Commission Calculator'!$C$18</definedName>
    <definedName name="NetMargin">'Commission Calculator'!$C$19</definedName>
    <definedName name="ClosePrice">'Closings'!$C$5:$C$12</definedName>
    <definedName name="CloseGCI">'Closings'!$F$5:$F$12</definedName>
    <definedName name="VolumeYTD">'Closings'!$C$13</definedName>
    <definedName name="GCI_YTD">'Closings'!$F$13</definedName>
    <definedName name="ClosingsYTD">'Closings'!$F$15</definedName>
    <definedName name="AvgPrice">'Closings'!$F$16</definedName>
    <definedName name="PipeName">'Pipeline'!$B$5:$B$12</definedName>
    <definedName name="PipeGCI">'Pipeline'!$E$5:$E$12</definedName>
    <definedName name="PipelineGCI">'Pipeline'!$E$13</definedName>
    <definedName name="PipelineDeals">'Pipeline'!$E$15</definedName>
    <definedName name="ListDOM">'Listings'!$D$5:$D$8</definedName>
    <definedName name="AvgDOM">'Listings'!$D$9</definedName>
    <definedName name="DBContacts">'Database'!$C$5:$C$8</definedName>
    <definedName name="DBTouchCol">'Database'!$D$5:$D$8</definedName>
    <definedName name="DBTouches">'Database'!$D$9</definedName>
    <definedName name="ExpAmt">'Business Expenses'!$C$5:$C$11</definedName>
    <definedName name="BizExp">'Business Expenses'!$C$12</definedName>
    <definedName name="NetIncome">'Business Expenses'!$C$14</definedName>
    <definedName name="MonthGCI">'Monthly Summary'!$C$5:$C$10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&quot;$&quot;#,##0,,&quot;M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1B4F48"/>
      <sz val="12"/>
    </font>
    <font>
      <b val="1"/>
      <color rgb="00C94C4C"/>
    </font>
    <font>
      <b val="1"/>
      <color rgb="001B4F48"/>
      <sz val="13"/>
    </font>
    <font>
      <b val="1"/>
      <color rgb="00937356"/>
      <sz val="9"/>
    </font>
    <font>
      <b val="1"/>
      <color rgb="001B4F48"/>
      <sz val="18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8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4" fillId="9" borderId="3" applyAlignment="1" pivotButton="0" quotePrefix="0" xfId="0">
      <alignment horizontal="center" vertical="center"/>
    </xf>
    <xf numFmtId="0" fontId="0" fillId="9" borderId="3" pivotButton="0" quotePrefix="0" xfId="0"/>
    <xf numFmtId="164" fontId="15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5" fillId="9" borderId="2" applyAlignment="1" pivotButton="0" quotePrefix="0" xfId="0">
      <alignment horizontal="center" vertical="center"/>
    </xf>
    <xf numFmtId="3" fontId="15" fillId="9" borderId="2" applyAlignment="1" pivotButton="0" quotePrefix="0" xfId="0">
      <alignment horizontal="center" vertical="center"/>
    </xf>
    <xf numFmtId="166" fontId="15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4" fontId="7" fillId="3" borderId="2" applyAlignment="1" pivotButton="0" quotePrefix="0" xfId="8">
      <alignment horizontal="center" vertical="center"/>
    </xf>
    <xf numFmtId="10" fontId="7" fillId="3" borderId="2" applyAlignment="1" pivotButton="0" quotePrefix="0" xfId="8">
      <alignment horizontal="center" vertical="center"/>
    </xf>
    <xf numFmtId="164" fontId="10" fillId="6" borderId="2" applyAlignment="1" pivotButton="0" quotePrefix="0" xfId="6">
      <alignment horizontal="center" vertical="center" wrapText="1"/>
    </xf>
    <xf numFmtId="9" fontId="7" fillId="3" borderId="2" applyAlignment="1" pivotButton="0" quotePrefix="0" xfId="8">
      <alignment horizontal="center" vertical="center"/>
    </xf>
    <xf numFmtId="164" fontId="11" fillId="6" borderId="2" applyAlignment="1" pivotButton="0" quotePrefix="0" xfId="6">
      <alignment horizontal="center" vertical="center" wrapText="1"/>
    </xf>
    <xf numFmtId="164" fontId="7" fillId="8" borderId="2" applyAlignment="1" pivotButton="0" quotePrefix="0" xfId="8">
      <alignment horizontal="center" vertical="center"/>
    </xf>
    <xf numFmtId="164" fontId="12" fillId="3" borderId="2" applyAlignment="1" pivotButton="0" quotePrefix="0" xfId="6">
      <alignment horizontal="center" vertical="center" wrapText="1"/>
    </xf>
    <xf numFmtId="164" fontId="13" fillId="6" borderId="2" applyAlignment="1" pivotButton="0" quotePrefix="0" xfId="6">
      <alignment horizontal="center" vertical="center" wrapText="1"/>
    </xf>
    <xf numFmtId="9" fontId="7" fillId="6" borderId="2" applyAlignment="1" pivotButton="0" quotePrefix="0" xfId="10">
      <alignment horizontal="left" vertical="center" indent="1"/>
    </xf>
    <xf numFmtId="0" fontId="6" fillId="3" borderId="2" applyAlignment="1" pivotButton="0" quotePrefix="0" xfId="6">
      <alignment horizontal="center" vertical="center" wrapText="1"/>
    </xf>
    <xf numFmtId="3" fontId="7" fillId="6" borderId="2" applyAlignment="1" pivotButton="0" quotePrefix="0" xfId="10">
      <alignment horizontal="left" vertical="center" indent="1"/>
    </xf>
    <xf numFmtId="164" fontId="10" fillId="0" borderId="2" applyAlignment="1" pivotButton="0" quotePrefix="0" xfId="6">
      <alignment horizontal="center" vertical="center" wrapText="1"/>
    </xf>
    <xf numFmtId="164" fontId="10" fillId="8" borderId="2" applyAlignment="1" pivotButton="0" quotePrefix="0" xfId="6">
      <alignment horizontal="center" vertical="center" wrapText="1"/>
    </xf>
    <xf numFmtId="164" fontId="10" fillId="3" borderId="2" applyAlignment="1" pivotButton="0" quotePrefix="0" xfId="6">
      <alignment horizontal="center" vertical="center" wrapText="1"/>
    </xf>
    <xf numFmtId="164" fontId="7" fillId="6" borderId="2" applyAlignment="1" pivotButton="0" quotePrefix="0" xfId="10">
      <alignment horizontal="left" vertical="center" indent="1"/>
    </xf>
    <xf numFmtId="0" fontId="6" fillId="9" borderId="2" applyAlignment="1" pivotButton="0" quotePrefix="0" xfId="7">
      <alignment horizontal="left" vertical="center" wrapText="1" indent="1"/>
    </xf>
    <xf numFmtId="0" fontId="6" fillId="9" borderId="2" applyAlignment="1" pivotButton="0" quotePrefix="0" xfId="6">
      <alignment horizontal="center" vertical="center" wrapText="1"/>
    </xf>
    <xf numFmtId="3" fontId="7" fillId="3" borderId="2" applyAlignment="1" pivotButton="0" quotePrefix="0" xfId="8">
      <alignment horizontal="center" vertical="center"/>
    </xf>
    <xf numFmtId="3" fontId="7" fillId="8" borderId="2" applyAlignment="1" pivotButton="0" quotePrefix="0" xfId="8">
      <alignment horizontal="center" vertical="center"/>
    </xf>
    <xf numFmtId="1" fontId="10" fillId="6" borderId="2" applyAlignment="1" pivotButton="0" quotePrefix="0" xfId="6">
      <alignment horizontal="center" vertical="center" wrapText="1"/>
    </xf>
    <xf numFmtId="164" fontId="6" fillId="0" borderId="2" applyAlignment="1" pivotButton="0" quotePrefix="0" xfId="6">
      <alignment horizontal="center" vertical="center" wrapText="1"/>
    </xf>
    <xf numFmtId="164" fontId="6" fillId="8" borderId="2" applyAlignment="1" pivotButton="0" quotePrefix="0" xfId="6">
      <alignment horizontal="center" vertical="center" wrapText="1"/>
    </xf>
    <xf numFmtId="3" fontId="10" fillId="3" borderId="2" applyAlignment="1" pivotButton="0" quotePrefix="0" xfId="6">
      <alignment horizontal="center" vertical="center" wrapText="1"/>
    </xf>
    <xf numFmtId="3" fontId="10" fillId="6" borderId="2" applyAlignment="1" pivotButton="0" quotePrefix="0" xfId="6">
      <alignment horizontal="center" vertical="center" wrapText="1"/>
    </xf>
    <xf numFmtId="164" fontId="7" fillId="7" borderId="2" applyAlignment="1" pivotButton="0" quotePrefix="0" xfId="10">
      <alignment horizontal="left" vertical="center" indent="1"/>
    </xf>
    <xf numFmtId="164" fontId="11" fillId="3" borderId="2" applyAlignment="1" pivotButton="0" quotePrefix="0" xfId="6">
      <alignment horizontal="center" vertical="center" wrapText="1"/>
    </xf>
    <xf numFmtId="3" fontId="7" fillId="7" borderId="2" applyAlignment="1" pivotButton="0" quotePrefix="0" xfId="10">
      <alignment horizontal="left" vertical="center" indent="1"/>
    </xf>
    <xf numFmtId="3" fontId="6" fillId="9" borderId="2" applyAlignment="1" pivotButton="0" quotePrefix="0" xfId="6">
      <alignment horizontal="center" vertical="center" wrapText="1"/>
    </xf>
    <xf numFmtId="165" fontId="6" fillId="9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GCI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Summary'!$C$5:$C$10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GCI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Summary'!$C$5:$C$10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🏡  REAL ESTATE AGENT COMMAND CENTER™</t>
        </is>
      </c>
    </row>
    <row r="2" ht="24" customHeight="1">
      <c r="A2" s="2" t="inlineStr">
        <is>
          <t xml:space="preserve">  Know your GCI, your net, and your real business.</t>
        </is>
      </c>
    </row>
    <row r="3" ht="6" customHeight="1">
      <c r="A3" s="3" t="n"/>
      <c r="B3" s="3" t="n"/>
      <c r="C3" s="3" t="n"/>
    </row>
    <row r="5">
      <c r="B5" s="4" t="inlineStr">
        <is>
          <t>YOUR WHOLE REAL-ESTATE BUSINESS, IN ONE PLACE</t>
        </is>
      </c>
    </row>
    <row r="6" ht="22" customHeight="1">
      <c r="B6" s="5" t="inlineStr">
        <is>
          <t>An agent's business lives or dies on two numbers: the commission each deal really nets after the split and costs, and whether the pipeline will hit the goal. This makes both visible: a commission calculator that turns a sale price into GCI, agent commission and your true net per deal, and a pipeline that shows what's coming. Track closings, buyers &amp; sellers, listings, lead-source ROI, your database, expenses and mileage, and a GCI goal — all in ONE premium Google Sheets &amp; Excel system built for real-estate agents.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split, GCI goal &amp; database touches goal.</t>
        </is>
      </c>
    </row>
    <row r="13" ht="22" customHeight="1">
      <c r="B13" s="8" t="inlineStr">
        <is>
          <t>2.  Use the Commission Calculator to net any deal before you take it.</t>
        </is>
      </c>
    </row>
    <row r="14" ht="22" customHeight="1">
      <c r="B14" s="8" t="inlineStr">
        <is>
          <t>3.  Log your Closings; GCI, volume and net income roll up.</t>
        </is>
      </c>
    </row>
    <row r="15" ht="22" customHeight="1">
      <c r="B15" s="8" t="inlineStr">
        <is>
          <t>4.  Fill the Pipeline and track buyers, sellers and listings.</t>
        </is>
      </c>
    </row>
    <row r="16" ht="22" customHeight="1">
      <c r="B16" s="8" t="inlineStr">
        <is>
          <t>5.  Track lead-source ROI, your database, expenses and mileage.</t>
        </is>
      </c>
    </row>
    <row r="17" ht="22" customHeight="1">
      <c r="B17" s="8" t="inlineStr">
        <is>
          <t>6.  Check the Dashboard: GCI, net &amp; an Agent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agent (Taylor Brooks) is included so you can see how it all connects — just type over it with your own deals and numbers. GCI and net income are the two numbers that decide whether a real-estate business is really working, and they roll into a live Agent Score. Twelve matching printable pages (commission worksheet, pipeline, closing checklist, database plan &amp; more) are included. This is a business tool, not financial, legal or tax advice — confirm your split, fees and figures with your broker and your own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Net every deal, fill the pipeline, and touch the database — that's how agents win.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🏡  REAL ESTATE AGENT COMMAND CENTER™</t>
        </is>
      </c>
    </row>
    <row r="2" ht="24" customHeight="1">
      <c r="A2" s="2" t="inlineStr">
        <is>
          <t xml:space="preserve">  GCI, net per deal, pipeline &amp; an Agent Score — your whole real-estate business,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AVG SALE PRICE</t>
        </is>
      </c>
      <c r="C5" s="13" t="n"/>
      <c r="D5" s="12" t="inlineStr">
        <is>
          <t>COMMISSION</t>
        </is>
      </c>
      <c r="E5" s="13" t="n"/>
      <c r="F5" s="12" t="inlineStr">
        <is>
          <t>GCI / DEAL</t>
        </is>
      </c>
      <c r="G5" s="13" t="n"/>
      <c r="H5" s="12" t="inlineStr">
        <is>
          <t>NET / DEAL</t>
        </is>
      </c>
      <c r="I5" s="13" t="n"/>
      <c r="J5" s="12" t="inlineStr">
        <is>
          <t>CLOSINGS YTD</t>
        </is>
      </c>
      <c r="K5" s="13" t="n"/>
      <c r="L5" s="12" t="inlineStr">
        <is>
          <t>VOLUME YTD</t>
        </is>
      </c>
      <c r="M5" s="13" t="n"/>
    </row>
    <row r="6" ht="40" customHeight="1">
      <c r="B6" s="14">
        <f>AvgPrice</f>
        <v/>
      </c>
      <c r="C6" s="15" t="n"/>
      <c r="D6" s="16">
        <f>CommRate</f>
        <v/>
      </c>
      <c r="E6" s="15" t="n"/>
      <c r="F6" s="14">
        <f>GCIDeal</f>
        <v/>
      </c>
      <c r="G6" s="15" t="n"/>
      <c r="H6" s="14">
        <f>NetDeal</f>
        <v/>
      </c>
      <c r="I6" s="15" t="n"/>
      <c r="J6" s="17">
        <f>ClosingsYTD</f>
        <v/>
      </c>
      <c r="K6" s="15" t="n"/>
      <c r="L6" s="18">
        <f>VolumeYTD</f>
        <v/>
      </c>
      <c r="M6" s="15" t="n"/>
    </row>
    <row r="8" ht="18" customHeight="1">
      <c r="B8" s="12" t="inlineStr">
        <is>
          <t>GCI YTD</t>
        </is>
      </c>
      <c r="C8" s="13" t="n"/>
      <c r="D8" s="12" t="inlineStr">
        <is>
          <t>NET INCOME</t>
        </is>
      </c>
      <c r="E8" s="13" t="n"/>
      <c r="F8" s="12" t="inlineStr">
        <is>
          <t>PIPELINE</t>
        </is>
      </c>
      <c r="G8" s="13" t="n"/>
      <c r="H8" s="12" t="inlineStr">
        <is>
          <t>PIPELINE GCI</t>
        </is>
      </c>
      <c r="I8" s="13" t="n"/>
      <c r="J8" s="12" t="inlineStr">
        <is>
          <t>GOAL PROGRESS</t>
        </is>
      </c>
      <c r="K8" s="13" t="n"/>
      <c r="L8" s="12" t="inlineStr">
        <is>
          <t>AGENT SCORE</t>
        </is>
      </c>
      <c r="M8" s="13" t="n"/>
    </row>
    <row r="9" ht="40" customHeight="1">
      <c r="B9" s="14">
        <f>GCI_YTD</f>
        <v/>
      </c>
      <c r="C9" s="15" t="n"/>
      <c r="D9" s="14">
        <f>NetIncome</f>
        <v/>
      </c>
      <c r="E9" s="15" t="n"/>
      <c r="F9" s="17">
        <f>PipelineDeals</f>
        <v/>
      </c>
      <c r="G9" s="15" t="n"/>
      <c r="H9" s="14">
        <f>PipelineGCI</f>
        <v/>
      </c>
      <c r="I9" s="15" t="n"/>
      <c r="J9" s="16">
        <f>IFERROR(GCI_YTD/GCIGoal,0)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AGENT HEALTH</t>
        </is>
      </c>
      <c r="H11" s="4" t="inlineStr">
        <is>
          <t>GCI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19" t="inlineStr">
        <is>
          <t>Net margin healthy</t>
        </is>
      </c>
      <c r="C13" s="20">
        <f>IFERROR(MIN(NetMargin/MarginGoal,1),0)</f>
        <v/>
      </c>
      <c r="D13" s="21">
        <f>IF(C13&gt;=0.85,"Strong",IF(C13&gt;=0.6,"OK","Watch"))</f>
        <v/>
      </c>
    </row>
    <row r="14">
      <c r="B14" s="22" t="inlineStr">
        <is>
          <t>GCI per deal on target</t>
        </is>
      </c>
      <c r="C14" s="23">
        <f>IFERROR(MIN(AgentComm/CommGoal,1),0)</f>
        <v/>
      </c>
      <c r="D14" s="24">
        <f>IF(C14&gt;=0.85,"Strong",IF(C14&gt;=0.6,"OK","Watch"))</f>
        <v/>
      </c>
    </row>
    <row r="15">
      <c r="B15" s="19" t="inlineStr">
        <is>
          <t>Closings on pace</t>
        </is>
      </c>
      <c r="C15" s="20">
        <f>IFERROR(MIN(ClosingsYTD/PaceGoal,1),0)</f>
        <v/>
      </c>
      <c r="D15" s="21">
        <f>IF(C15&gt;=0.85,"Strong",IF(C15&gt;=0.6,"OK","Watch"))</f>
        <v/>
      </c>
    </row>
    <row r="16">
      <c r="B16" s="22" t="inlineStr">
        <is>
          <t>Pipeline full</t>
        </is>
      </c>
      <c r="C16" s="23">
        <f>IFERROR(MIN(PipelineDeals/PipeGoal,1),0)</f>
        <v/>
      </c>
      <c r="D16" s="24">
        <f>IF(C16&gt;=0.85,"Strong",IF(C16&gt;=0.6,"OK","Watch"))</f>
        <v/>
      </c>
    </row>
    <row r="17">
      <c r="B17" s="19" t="inlineStr">
        <is>
          <t>Profitable</t>
        </is>
      </c>
      <c r="C17" s="20">
        <f>IFERROR(MIN(NetIncome/ProfitGoal,1),0)</f>
        <v/>
      </c>
      <c r="D17" s="21">
        <f>IF(C17&gt;=0.85,"Strong",IF(C17&gt;=0.6,"OK","Watch"))</f>
        <v/>
      </c>
    </row>
    <row r="18">
      <c r="B18" s="22" t="inlineStr">
        <is>
          <t>Database nurtured</t>
        </is>
      </c>
      <c r="C18" s="23">
        <f>IFERROR(MIN(DBTouches/TouchGoal,1),0)</f>
        <v/>
      </c>
      <c r="D18" s="24">
        <f>IF(C18&gt;=0.85,"Strong",IF(C18&gt;=0.6,"OK","Watch"))</f>
        <v/>
      </c>
    </row>
    <row r="21" ht="26" customHeight="1">
      <c r="B21" s="2" t="inlineStr">
        <is>
          <t>Real Estate Agent Command Center™ — know your GCI, your net, and your real business.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🧮  COMMISSION CALCULATOR</t>
        </is>
      </c>
    </row>
    <row r="2" ht="22" customHeight="1">
      <c r="A2" s="2" t="inlineStr">
        <is>
          <t xml:space="preserve">  Sale price → GCI → your split → net per deal — know what a deal really pays before you take it.</t>
        </is>
      </c>
    </row>
    <row r="3" ht="6" customHeight="1">
      <c r="A3" s="3" t="n"/>
      <c r="B3" s="3" t="n"/>
      <c r="C3" s="3" t="n"/>
    </row>
    <row r="5">
      <c r="B5" s="25" t="inlineStr">
        <is>
          <t>Sale price</t>
        </is>
      </c>
      <c r="C5" s="26" t="n">
        <v>450000</v>
      </c>
    </row>
    <row r="6">
      <c r="B6" s="25" t="inlineStr">
        <is>
          <t>Commission rate (your side)</t>
        </is>
      </c>
      <c r="C6" s="27" t="n">
        <v>0.03</v>
      </c>
    </row>
    <row r="7">
      <c r="B7" s="9">
        <f> GROSS COMMISSION (GCI)</f>
        <v/>
      </c>
      <c r="C7" s="28">
        <f>SalePrice*CommRate</f>
        <v/>
      </c>
    </row>
    <row r="8">
      <c r="B8" s="25" t="inlineStr">
        <is>
          <t>Agent split % (you keep)</t>
        </is>
      </c>
      <c r="C8" s="29" t="n">
        <v>0.7</v>
      </c>
    </row>
    <row r="9">
      <c r="B9" s="9">
        <f> AGENT COMMISSION</f>
        <v/>
      </c>
      <c r="C9" s="30">
        <f>GCIDeal*AgentSplit</f>
        <v/>
      </c>
    </row>
    <row r="11">
      <c r="B11" s="4" t="inlineStr">
        <is>
          <t>TRANSACTION COSTS</t>
        </is>
      </c>
    </row>
    <row r="12" ht="30" customHeight="1">
      <c r="B12" s="9" t="inlineStr">
        <is>
          <t>Cost</t>
        </is>
      </c>
      <c r="C12" s="9" t="inlineStr">
        <is>
          <t>Amount</t>
        </is>
      </c>
    </row>
    <row r="13">
      <c r="B13" s="19" t="inlineStr">
        <is>
          <t>Brokerage transaction fee</t>
        </is>
      </c>
      <c r="C13" s="26" t="n">
        <v>395</v>
      </c>
    </row>
    <row r="14">
      <c r="B14" s="22" t="inlineStr">
        <is>
          <t>Marketing &amp; staging</t>
        </is>
      </c>
      <c r="C14" s="31" t="n">
        <v>600</v>
      </c>
    </row>
    <row r="15">
      <c r="B15" s="19" t="inlineStr">
        <is>
          <t>Transaction coordinator</t>
        </is>
      </c>
      <c r="C15" s="26" t="n">
        <v>400</v>
      </c>
    </row>
    <row r="16">
      <c r="B16" s="22" t="inlineStr">
        <is>
          <t>E&amp;O / misc</t>
        </is>
      </c>
      <c r="C16" s="31" t="n">
        <v>55</v>
      </c>
    </row>
    <row r="17">
      <c r="B17" s="9">
        <f> DEAL COSTS</f>
        <v/>
      </c>
      <c r="C17" s="32">
        <f>SUM(CostAmt)</f>
        <v/>
      </c>
    </row>
    <row r="18">
      <c r="B18" s="9">
        <f> NET PER DEAL</f>
        <v/>
      </c>
      <c r="C18" s="33">
        <f>AgentComm-DealCosts</f>
        <v/>
      </c>
    </row>
    <row r="19">
      <c r="B19" s="25" t="inlineStr">
        <is>
          <t>Net margin (net ÷ agent commission)</t>
        </is>
      </c>
      <c r="C19" s="34">
        <f>IFERROR(NetDeal/AgentComm,0)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8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🔭  PIPELINE</t>
        </is>
      </c>
    </row>
    <row r="2" ht="22" customHeight="1">
      <c r="A2" s="2" t="inlineStr">
        <is>
          <t xml:space="preserve">  What's coming — stage, price and estimated agent commission, so you can see the goal from here.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Deal</t>
        </is>
      </c>
      <c r="C4" s="9" t="inlineStr">
        <is>
          <t>Stage</t>
        </is>
      </c>
      <c r="D4" s="9" t="inlineStr">
        <is>
          <t>Price</t>
        </is>
      </c>
      <c r="E4" s="9" t="inlineStr">
        <is>
          <t>Est. GCI</t>
        </is>
      </c>
    </row>
    <row r="5">
      <c r="B5" s="19" t="inlineStr">
        <is>
          <t>Ford — buyer</t>
        </is>
      </c>
      <c r="C5" s="21" t="inlineStr">
        <is>
          <t>Under contract</t>
        </is>
      </c>
      <c r="D5" s="26" t="n">
        <v>470000</v>
      </c>
      <c r="E5" s="26" t="n">
        <v>9870</v>
      </c>
    </row>
    <row r="6">
      <c r="B6" s="22" t="inlineStr">
        <is>
          <t>Nguyen — listing</t>
        </is>
      </c>
      <c r="C6" s="24" t="inlineStr">
        <is>
          <t>Offer</t>
        </is>
      </c>
      <c r="D6" s="31" t="n">
        <v>520000</v>
      </c>
      <c r="E6" s="31" t="n">
        <v>10920</v>
      </c>
    </row>
    <row r="7">
      <c r="B7" s="19" t="inlineStr">
        <is>
          <t>Ramos — buyer</t>
        </is>
      </c>
      <c r="C7" s="21" t="inlineStr">
        <is>
          <t>Showing</t>
        </is>
      </c>
      <c r="D7" s="26" t="n">
        <v>380000</v>
      </c>
      <c r="E7" s="26" t="n">
        <v>7980</v>
      </c>
    </row>
    <row r="8">
      <c r="B8" s="22" t="inlineStr">
        <is>
          <t>Bexar Condo</t>
        </is>
      </c>
      <c r="C8" s="24" t="inlineStr">
        <is>
          <t>Under contract</t>
        </is>
      </c>
      <c r="D8" s="31" t="n">
        <v>300000</v>
      </c>
      <c r="E8" s="31" t="n">
        <v>6300</v>
      </c>
    </row>
    <row r="9">
      <c r="B9" s="19" t="inlineStr">
        <is>
          <t>Whit — listing</t>
        </is>
      </c>
      <c r="C9" s="21" t="inlineStr">
        <is>
          <t>Lead</t>
        </is>
      </c>
      <c r="D9" s="26" t="n">
        <v>610000</v>
      </c>
      <c r="E9" s="26" t="n">
        <v>12810</v>
      </c>
    </row>
    <row r="10">
      <c r="B10" s="22" t="inlineStr">
        <is>
          <t>Ivy Duplex</t>
        </is>
      </c>
      <c r="C10" s="24" t="inlineStr">
        <is>
          <t>Showing</t>
        </is>
      </c>
      <c r="D10" s="31" t="n">
        <v>540000</v>
      </c>
      <c r="E10" s="31" t="n">
        <v>11340</v>
      </c>
    </row>
    <row r="11">
      <c r="B11" s="19" t="inlineStr">
        <is>
          <t>Osei — buyer</t>
        </is>
      </c>
      <c r="C11" s="21" t="inlineStr">
        <is>
          <t>Offer</t>
        </is>
      </c>
      <c r="D11" s="26" t="n">
        <v>415000</v>
      </c>
      <c r="E11" s="26" t="n">
        <v>8715</v>
      </c>
    </row>
    <row r="12">
      <c r="B12" s="22" t="inlineStr">
        <is>
          <t>Vance — listing</t>
        </is>
      </c>
      <c r="C12" s="24" t="inlineStr">
        <is>
          <t>Lead</t>
        </is>
      </c>
      <c r="D12" s="31" t="n">
        <v>495000</v>
      </c>
      <c r="E12" s="31" t="n">
        <v>10395</v>
      </c>
    </row>
    <row r="13">
      <c r="B13" s="9" t="inlineStr">
        <is>
          <t>PIPELINE</t>
        </is>
      </c>
      <c r="C13" s="35" t="n"/>
      <c r="D13" s="35" t="n"/>
      <c r="E13" s="28">
        <f>SUM(PipeGCI)</f>
        <v/>
      </c>
    </row>
    <row r="15">
      <c r="B15" s="25" t="inlineStr">
        <is>
          <t>Deals in pipeline</t>
        </is>
      </c>
      <c r="E15" s="36">
        <f>COUNTA(PipeName)</f>
        <v/>
      </c>
    </row>
  </sheetData>
  <mergeCells count="2">
    <mergeCell ref="A2:E2"/>
    <mergeCell ref="A1:E1"/>
  </mergeCells>
  <dataValidations count="8">
    <dataValidation sqref="C5" showDropDown="0" showInputMessage="0" showErrorMessage="0" allowBlank="1" type="list">
      <formula1>=StageList</formula1>
    </dataValidation>
    <dataValidation sqref="C6" showDropDown="0" showInputMessage="0" showErrorMessage="0" allowBlank="1" type="list">
      <formula1>=StageList</formula1>
    </dataValidation>
    <dataValidation sqref="C7" showDropDown="0" showInputMessage="0" showErrorMessage="0" allowBlank="1" type="list">
      <formula1>=StageList</formula1>
    </dataValidation>
    <dataValidation sqref="C8" showDropDown="0" showInputMessage="0" showErrorMessage="0" allowBlank="1" type="list">
      <formula1>=StageList</formula1>
    </dataValidation>
    <dataValidation sqref="C9" showDropDown="0" showInputMessage="0" showErrorMessage="0" allowBlank="1" type="list">
      <formula1>=StageList</formula1>
    </dataValidation>
    <dataValidation sqref="C10" showDropDown="0" showInputMessage="0" showErrorMessage="0" allowBlank="1" type="list">
      <formula1>=StageList</formula1>
    </dataValidation>
    <dataValidation sqref="C11" showDropDown="0" showInputMessage="0" showErrorMessage="0" allowBlank="1" type="list">
      <formula1>=StageList</formula1>
    </dataValidation>
    <dataValidation sqref="C12" showDropDown="0" showInputMessage="0" showErrorMessage="0" allowBlank="1" type="list">
      <formula1>=StageList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16" customWidth="1" min="3" max="3"/>
    <col width="14" customWidth="1" min="4" max="4"/>
    <col width="1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✅  CLOSINGS</t>
        </is>
      </c>
    </row>
    <row r="2" ht="22" customHeight="1">
      <c r="A2" s="2" t="inlineStr">
        <is>
          <t xml:space="preserve">  Every closed deal this year — sale price and agent commission roll up to your GCI and volume.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Address</t>
        </is>
      </c>
      <c r="C4" s="9" t="inlineStr">
        <is>
          <t>Sale Price</t>
        </is>
      </c>
      <c r="D4" s="9" t="inlineStr">
        <is>
          <t>Side</t>
        </is>
      </c>
      <c r="E4" s="9" t="inlineStr">
        <is>
          <t>Closed</t>
        </is>
      </c>
      <c r="F4" s="9" t="inlineStr">
        <is>
          <t>Agent GCI</t>
        </is>
      </c>
    </row>
    <row r="5">
      <c r="B5" s="19" t="inlineStr">
        <is>
          <t>102 Elm St</t>
        </is>
      </c>
      <c r="C5" s="26" t="n">
        <v>400000</v>
      </c>
      <c r="D5" s="21" t="inlineStr">
        <is>
          <t>Listing</t>
        </is>
      </c>
      <c r="E5" s="21" t="inlineStr">
        <is>
          <t>Jan 18</t>
        </is>
      </c>
      <c r="F5" s="37">
        <f>C5*CommRate*AgentSplit</f>
        <v/>
      </c>
    </row>
    <row r="6">
      <c r="B6" s="22" t="inlineStr">
        <is>
          <t>55 Oak Ave</t>
        </is>
      </c>
      <c r="C6" s="31" t="n">
        <v>450000</v>
      </c>
      <c r="D6" s="24" t="inlineStr">
        <is>
          <t>Buyer</t>
        </is>
      </c>
      <c r="E6" s="24" t="inlineStr">
        <is>
          <t>Feb 09</t>
        </is>
      </c>
      <c r="F6" s="38">
        <f>C6*CommRate*AgentSplit</f>
        <v/>
      </c>
    </row>
    <row r="7">
      <c r="B7" s="19" t="inlineStr">
        <is>
          <t>8 Birch Ln</t>
        </is>
      </c>
      <c r="C7" s="26" t="n">
        <v>500000</v>
      </c>
      <c r="D7" s="21" t="inlineStr">
        <is>
          <t>Listing</t>
        </is>
      </c>
      <c r="E7" s="21" t="inlineStr">
        <is>
          <t>Mar 02</t>
        </is>
      </c>
      <c r="F7" s="37">
        <f>C7*CommRate*AgentSplit</f>
        <v/>
      </c>
    </row>
    <row r="8">
      <c r="B8" s="22" t="inlineStr">
        <is>
          <t>240 Cedar Ct</t>
        </is>
      </c>
      <c r="C8" s="31" t="n">
        <v>350000</v>
      </c>
      <c r="D8" s="24" t="inlineStr">
        <is>
          <t>Buyer</t>
        </is>
      </c>
      <c r="E8" s="24" t="inlineStr">
        <is>
          <t>Mar 21</t>
        </is>
      </c>
      <c r="F8" s="38">
        <f>C8*CommRate*AgentSplit</f>
        <v/>
      </c>
    </row>
    <row r="9">
      <c r="B9" s="19" t="inlineStr">
        <is>
          <t>77 Maple Dr</t>
        </is>
      </c>
      <c r="C9" s="26" t="n">
        <v>550000</v>
      </c>
      <c r="D9" s="21" t="inlineStr">
        <is>
          <t>Listing</t>
        </is>
      </c>
      <c r="E9" s="21" t="inlineStr">
        <is>
          <t>Apr 12</t>
        </is>
      </c>
      <c r="F9" s="37">
        <f>C9*CommRate*AgentSplit</f>
        <v/>
      </c>
    </row>
    <row r="10">
      <c r="B10" s="22" t="inlineStr">
        <is>
          <t>16 Pine Rd</t>
        </is>
      </c>
      <c r="C10" s="31" t="n">
        <v>425000</v>
      </c>
      <c r="D10" s="24" t="inlineStr">
        <is>
          <t>Buyer</t>
        </is>
      </c>
      <c r="E10" s="24" t="inlineStr">
        <is>
          <t>May 04</t>
        </is>
      </c>
      <c r="F10" s="38">
        <f>C10*CommRate*AgentSplit</f>
        <v/>
      </c>
    </row>
    <row r="11">
      <c r="B11" s="19" t="inlineStr">
        <is>
          <t>301 Ash Blvd</t>
        </is>
      </c>
      <c r="C11" s="26" t="n">
        <v>475000</v>
      </c>
      <c r="D11" s="21" t="inlineStr">
        <is>
          <t>Both</t>
        </is>
      </c>
      <c r="E11" s="21" t="inlineStr">
        <is>
          <t>May 27</t>
        </is>
      </c>
      <c r="F11" s="37">
        <f>C11*CommRate*AgentSplit</f>
        <v/>
      </c>
    </row>
    <row r="12">
      <c r="B12" s="22" t="inlineStr">
        <is>
          <t>9 Willow Way</t>
        </is>
      </c>
      <c r="C12" s="31" t="n">
        <v>450000</v>
      </c>
      <c r="D12" s="24" t="inlineStr">
        <is>
          <t>Listing</t>
        </is>
      </c>
      <c r="E12" s="24" t="inlineStr">
        <is>
          <t>Jun 15</t>
        </is>
      </c>
      <c r="F12" s="38">
        <f>C12*CommRate*AgentSplit</f>
        <v/>
      </c>
    </row>
    <row r="13">
      <c r="B13" s="9" t="inlineStr">
        <is>
          <t>YTD TOTALS</t>
        </is>
      </c>
      <c r="C13" s="39">
        <f>SUM(ClosePrice)</f>
        <v/>
      </c>
      <c r="D13" s="35" t="n"/>
      <c r="E13" s="35" t="n"/>
      <c r="F13" s="28">
        <f>SUM(CloseGCI)</f>
        <v/>
      </c>
    </row>
    <row r="15">
      <c r="B15" s="25" t="inlineStr">
        <is>
          <t>Closings YTD</t>
        </is>
      </c>
      <c r="F15" s="36">
        <f>COUNTA(ClosePrice)</f>
        <v/>
      </c>
    </row>
    <row r="16">
      <c r="B16" s="25" t="inlineStr">
        <is>
          <t>Average sale price</t>
        </is>
      </c>
      <c r="F16" s="40">
        <f>IFERROR(VolumeYTD/ClosingsYTD,0)</f>
        <v/>
      </c>
    </row>
  </sheetData>
  <mergeCells count="2">
    <mergeCell ref="A2:F2"/>
    <mergeCell ref="A1:F1"/>
  </mergeCells>
  <dataValidations count="8">
    <dataValidation sqref="D5" showDropDown="0" showInputMessage="0" showErrorMessage="0" allowBlank="1" type="list">
      <formula1>=SideList</formula1>
    </dataValidation>
    <dataValidation sqref="D6" showDropDown="0" showInputMessage="0" showErrorMessage="0" allowBlank="1" type="list">
      <formula1>=SideList</formula1>
    </dataValidation>
    <dataValidation sqref="D7" showDropDown="0" showInputMessage="0" showErrorMessage="0" allowBlank="1" type="list">
      <formula1>=SideList</formula1>
    </dataValidation>
    <dataValidation sqref="D8" showDropDown="0" showInputMessage="0" showErrorMessage="0" allowBlank="1" type="list">
      <formula1>=SideList</formula1>
    </dataValidation>
    <dataValidation sqref="D9" showDropDown="0" showInputMessage="0" showErrorMessage="0" allowBlank="1" type="list">
      <formula1>=SideList</formula1>
    </dataValidation>
    <dataValidation sqref="D10" showDropDown="0" showInputMessage="0" showErrorMessage="0" allowBlank="1" type="list">
      <formula1>=SideList</formula1>
    </dataValidation>
    <dataValidation sqref="D11" showDropDown="0" showInputMessage="0" showErrorMessage="0" allowBlank="1" type="list">
      <formula1>=SideList</formula1>
    </dataValidation>
    <dataValidation sqref="D12" showDropDown="0" showInputMessage="0" showErrorMessage="0" allowBlank="1" type="list">
      <formula1>=SideList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8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👥  BUYERS &amp; SELLERS</t>
        </is>
      </c>
    </row>
    <row r="2" ht="22" customHeight="1">
      <c r="A2" s="2" t="inlineStr">
        <is>
          <t xml:space="preserve">  Your active clients — type, stage and where they came from.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Client</t>
        </is>
      </c>
      <c r="C4" s="9" t="inlineStr">
        <is>
          <t>Type</t>
        </is>
      </c>
      <c r="D4" s="9" t="inlineStr">
        <is>
          <t>Stage</t>
        </is>
      </c>
      <c r="E4" s="9" t="inlineStr">
        <is>
          <t>Source</t>
        </is>
      </c>
    </row>
    <row r="5">
      <c r="B5" s="41" t="inlineStr">
        <is>
          <t>Ford Family</t>
        </is>
      </c>
      <c r="C5" s="42" t="inlineStr">
        <is>
          <t>Buyer</t>
        </is>
      </c>
      <c r="D5" s="42" t="inlineStr">
        <is>
          <t>Under contract</t>
        </is>
      </c>
      <c r="E5" s="42" t="inlineStr">
        <is>
          <t>Referral</t>
        </is>
      </c>
    </row>
    <row r="6">
      <c r="B6" s="22" t="inlineStr">
        <is>
          <t>Nguyen</t>
        </is>
      </c>
      <c r="C6" s="24" t="inlineStr">
        <is>
          <t>Seller</t>
        </is>
      </c>
      <c r="D6" s="24" t="inlineStr">
        <is>
          <t>Offer</t>
        </is>
      </c>
      <c r="E6" s="24" t="inlineStr">
        <is>
          <t>Sphere</t>
        </is>
      </c>
    </row>
    <row r="7">
      <c r="B7" s="41" t="inlineStr">
        <is>
          <t>Ramos</t>
        </is>
      </c>
      <c r="C7" s="42" t="inlineStr">
        <is>
          <t>Buyer</t>
        </is>
      </c>
      <c r="D7" s="42" t="inlineStr">
        <is>
          <t>Showing</t>
        </is>
      </c>
      <c r="E7" s="42" t="inlineStr">
        <is>
          <t>Zillow</t>
        </is>
      </c>
    </row>
    <row r="8">
      <c r="B8" s="22" t="inlineStr">
        <is>
          <t>Whitfield</t>
        </is>
      </c>
      <c r="C8" s="24" t="inlineStr">
        <is>
          <t>Seller</t>
        </is>
      </c>
      <c r="D8" s="24" t="inlineStr">
        <is>
          <t>Lead</t>
        </is>
      </c>
      <c r="E8" s="24" t="inlineStr">
        <is>
          <t>Past client</t>
        </is>
      </c>
    </row>
    <row r="9">
      <c r="B9" s="41" t="inlineStr">
        <is>
          <t>Osei</t>
        </is>
      </c>
      <c r="C9" s="42" t="inlineStr">
        <is>
          <t>Buyer</t>
        </is>
      </c>
      <c r="D9" s="42" t="inlineStr">
        <is>
          <t>Offer</t>
        </is>
      </c>
      <c r="E9" s="42" t="inlineStr">
        <is>
          <t>Open house</t>
        </is>
      </c>
    </row>
    <row r="10">
      <c r="B10" s="22" t="n"/>
      <c r="C10" s="24" t="n"/>
      <c r="D10" s="24" t="n"/>
      <c r="E10" s="24" t="n"/>
    </row>
    <row r="11">
      <c r="B11" s="41" t="n"/>
      <c r="C11" s="42" t="n"/>
      <c r="D11" s="42" t="n"/>
      <c r="E11" s="42" t="n"/>
    </row>
    <row r="12">
      <c r="B12" s="22" t="n"/>
      <c r="C12" s="24" t="n"/>
      <c r="D12" s="24" t="n"/>
      <c r="E12" s="24" t="n"/>
    </row>
    <row r="13">
      <c r="B13" s="41" t="n"/>
      <c r="C13" s="42" t="n"/>
      <c r="D13" s="42" t="n"/>
      <c r="E13" s="42" t="n"/>
    </row>
    <row r="14">
      <c r="B14" s="22" t="n"/>
      <c r="C14" s="24" t="n"/>
      <c r="D14" s="24" t="n"/>
      <c r="E14" s="24" t="n"/>
    </row>
    <row r="15">
      <c r="B15" s="41" t="n"/>
      <c r="C15" s="42" t="n"/>
      <c r="D15" s="42" t="n"/>
      <c r="E15" s="42" t="n"/>
    </row>
    <row r="16">
      <c r="B16" s="22" t="n"/>
      <c r="C16" s="24" t="n"/>
      <c r="D16" s="24" t="n"/>
      <c r="E16" s="24" t="n"/>
    </row>
    <row r="17">
      <c r="B17" s="41" t="n"/>
      <c r="C17" s="42" t="n"/>
      <c r="D17" s="42" t="n"/>
      <c r="E17" s="42" t="n"/>
    </row>
    <row r="18">
      <c r="B18" s="22" t="n"/>
      <c r="C18" s="24" t="n"/>
      <c r="D18" s="24" t="n"/>
      <c r="E18" s="24" t="n"/>
    </row>
    <row r="19">
      <c r="B19" s="41" t="n"/>
      <c r="C19" s="42" t="n"/>
      <c r="D19" s="42" t="n"/>
      <c r="E19" s="42" t="n"/>
    </row>
    <row r="20">
      <c r="B20" s="22" t="n"/>
      <c r="C20" s="24" t="n"/>
      <c r="D20" s="24" t="n"/>
      <c r="E20" s="24" t="n"/>
    </row>
    <row r="21">
      <c r="B21" s="41" t="n"/>
      <c r="C21" s="42" t="n"/>
      <c r="D21" s="42" t="n"/>
      <c r="E21" s="42" t="n"/>
    </row>
    <row r="22">
      <c r="B22" s="22" t="n"/>
      <c r="C22" s="24" t="n"/>
      <c r="D22" s="24" t="n"/>
      <c r="E22" s="24" t="n"/>
    </row>
    <row r="23">
      <c r="B23" s="41" t="n"/>
      <c r="C23" s="42" t="n"/>
      <c r="D23" s="42" t="n"/>
      <c r="E23" s="42" t="n"/>
    </row>
    <row r="24">
      <c r="B24" s="22" t="n"/>
      <c r="C24" s="24" t="n"/>
      <c r="D24" s="24" t="n"/>
      <c r="E24" s="24" t="n"/>
    </row>
    <row r="25">
      <c r="B25" s="41" t="n"/>
      <c r="C25" s="42" t="n"/>
      <c r="D25" s="42" t="n"/>
      <c r="E25" s="42" t="n"/>
    </row>
    <row r="26">
      <c r="B26" s="22" t="n"/>
      <c r="C26" s="24" t="n"/>
      <c r="D26" s="24" t="n"/>
      <c r="E26" s="24" t="n"/>
    </row>
    <row r="27">
      <c r="B27" s="41" t="n"/>
      <c r="C27" s="42" t="n"/>
      <c r="D27" s="42" t="n"/>
      <c r="E27" s="42" t="n"/>
    </row>
    <row r="28">
      <c r="B28" s="22" t="n"/>
      <c r="C28" s="24" t="n"/>
      <c r="D28" s="24" t="n"/>
      <c r="E28" s="24" t="n"/>
    </row>
  </sheetData>
  <mergeCells count="2">
    <mergeCell ref="A2:E2"/>
    <mergeCell ref="A1:E1"/>
  </mergeCells>
  <dataValidations count="2">
    <dataValidation sqref="D5:D28" showDropDown="0" showInputMessage="0" showErrorMessage="0" allowBlank="1" type="list">
      <formula1>=StageList</formula1>
    </dataValidation>
    <dataValidation sqref="E5:E28" showDropDown="0" showInputMessage="0" showErrorMessage="0" allowBlank="1" type="list">
      <formula1>=SourceList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6" customWidth="1" min="3" max="3"/>
    <col width="12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🏠  LISTINGS</t>
        </is>
      </c>
    </row>
    <row r="2" ht="22" customHeight="1">
      <c r="A2" s="2" t="inlineStr">
        <is>
          <t xml:space="preserve">  Your active listings — price, days on market and status, so nothing goes stale.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Address</t>
        </is>
      </c>
      <c r="C4" s="9" t="inlineStr">
        <is>
          <t>List Price</t>
        </is>
      </c>
      <c r="D4" s="9" t="inlineStr">
        <is>
          <t>DOM</t>
        </is>
      </c>
      <c r="E4" s="9" t="inlineStr">
        <is>
          <t>Status</t>
        </is>
      </c>
    </row>
    <row r="5">
      <c r="B5" s="19" t="inlineStr">
        <is>
          <t>77 Maple Dr</t>
        </is>
      </c>
      <c r="C5" s="26" t="n">
        <v>550000</v>
      </c>
      <c r="D5" s="43" t="n">
        <v>12</v>
      </c>
      <c r="E5" s="21" t="inlineStr">
        <is>
          <t>Active</t>
        </is>
      </c>
    </row>
    <row r="6">
      <c r="B6" s="22" t="inlineStr">
        <is>
          <t>Nguyen — 520 Vine</t>
        </is>
      </c>
      <c r="C6" s="31" t="n">
        <v>520000</v>
      </c>
      <c r="D6" s="44" t="n">
        <v>8</v>
      </c>
      <c r="E6" s="24" t="inlineStr">
        <is>
          <t>Pending</t>
        </is>
      </c>
    </row>
    <row r="7">
      <c r="B7" s="19" t="inlineStr">
        <is>
          <t>Whit — 610 Hill</t>
        </is>
      </c>
      <c r="C7" s="26" t="n">
        <v>610000</v>
      </c>
      <c r="D7" s="43" t="n">
        <v>21</v>
      </c>
      <c r="E7" s="21" t="inlineStr">
        <is>
          <t>Active</t>
        </is>
      </c>
    </row>
    <row r="8">
      <c r="B8" s="22" t="inlineStr">
        <is>
          <t>Vance — 495 Park</t>
        </is>
      </c>
      <c r="C8" s="31" t="n">
        <v>495000</v>
      </c>
      <c r="D8" s="44" t="n">
        <v>4</v>
      </c>
      <c r="E8" s="24" t="inlineStr">
        <is>
          <t>Coming soon</t>
        </is>
      </c>
    </row>
    <row r="9">
      <c r="B9" s="9" t="inlineStr">
        <is>
          <t>AVG DAYS ON MARKET</t>
        </is>
      </c>
      <c r="C9" s="35" t="n"/>
      <c r="D9" s="45">
        <f>IFERROR(AVERAGE(ListDOM),0)</f>
        <v/>
      </c>
      <c r="E9" s="35" t="n"/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2" customWidth="1" min="3" max="3"/>
    <col width="14" customWidth="1" min="4" max="4"/>
    <col width="1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📣  LEAD SOURCES</t>
        </is>
      </c>
    </row>
    <row r="2" ht="22" customHeight="1">
      <c r="A2" s="2" t="inlineStr">
        <is>
          <t xml:space="preserve">  Where deals really come from — leads, closings and spend, so you invest where it pays.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Source</t>
        </is>
      </c>
      <c r="C4" s="9" t="inlineStr">
        <is>
          <t>Leads</t>
        </is>
      </c>
      <c r="D4" s="9" t="inlineStr">
        <is>
          <t>Closings</t>
        </is>
      </c>
      <c r="E4" s="9" t="inlineStr">
        <is>
          <t>Spend</t>
        </is>
      </c>
      <c r="F4" s="9" t="inlineStr">
        <is>
          <t>Cost/Deal</t>
        </is>
      </c>
    </row>
    <row r="5">
      <c r="B5" s="19" t="inlineStr">
        <is>
          <t>Referral</t>
        </is>
      </c>
      <c r="C5" s="43" t="n">
        <v>14</v>
      </c>
      <c r="D5" s="43" t="n">
        <v>4</v>
      </c>
      <c r="E5" s="26" t="n">
        <v>0</v>
      </c>
      <c r="F5" s="46">
        <f>IFERROR(E5/D5,0)</f>
        <v/>
      </c>
    </row>
    <row r="6">
      <c r="B6" s="22" t="inlineStr">
        <is>
          <t>Sphere / past client</t>
        </is>
      </c>
      <c r="C6" s="44" t="n">
        <v>10</v>
      </c>
      <c r="D6" s="44" t="n">
        <v>2</v>
      </c>
      <c r="E6" s="31" t="n">
        <v>300</v>
      </c>
      <c r="F6" s="47">
        <f>IFERROR(E6/D6,0)</f>
        <v/>
      </c>
    </row>
    <row r="7">
      <c r="B7" s="19" t="inlineStr">
        <is>
          <t>Zillow</t>
        </is>
      </c>
      <c r="C7" s="43" t="n">
        <v>22</v>
      </c>
      <c r="D7" s="43" t="n">
        <v>1</v>
      </c>
      <c r="E7" s="26" t="n">
        <v>1200</v>
      </c>
      <c r="F7" s="46">
        <f>IFERROR(E7/D7,0)</f>
        <v/>
      </c>
    </row>
    <row r="8">
      <c r="B8" s="22" t="inlineStr">
        <is>
          <t>Open house</t>
        </is>
      </c>
      <c r="C8" s="44" t="n">
        <v>8</v>
      </c>
      <c r="D8" s="44" t="n">
        <v>1</v>
      </c>
      <c r="E8" s="31" t="n">
        <v>150</v>
      </c>
      <c r="F8" s="47">
        <f>IFERROR(E8/D8,0)</f>
        <v/>
      </c>
    </row>
    <row r="9">
      <c r="B9" s="19" t="inlineStr">
        <is>
          <t>Social media</t>
        </is>
      </c>
      <c r="C9" s="43" t="n">
        <v>30</v>
      </c>
      <c r="D9" s="43" t="n">
        <v>0</v>
      </c>
      <c r="E9" s="26" t="n">
        <v>400</v>
      </c>
      <c r="F9" s="46">
        <f>IFERROR(E9/D9,0)</f>
        <v/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4" customWidth="1" min="3" max="3"/>
    <col width="18" customWidth="1" min="4" max="4"/>
    <col width="2" customWidth="1" min="5" max="5"/>
  </cols>
  <sheetData>
    <row r="1" ht="46" customHeight="1">
      <c r="A1" s="1" t="inlineStr">
        <is>
          <t xml:space="preserve">  📇  DATABASE</t>
        </is>
      </c>
    </row>
    <row r="2" ht="22" customHeight="1">
      <c r="A2" s="2" t="inlineStr">
        <is>
          <t xml:space="preserve">  Your sphere by group — contacts and touches this month. The database is the business.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Group</t>
        </is>
      </c>
      <c r="C4" s="9" t="inlineStr">
        <is>
          <t>Contacts</t>
        </is>
      </c>
      <c r="D4" s="9" t="inlineStr">
        <is>
          <t>Touches (mo)</t>
        </is>
      </c>
    </row>
    <row r="5">
      <c r="B5" s="19" t="inlineStr">
        <is>
          <t>A — raving fans</t>
        </is>
      </c>
      <c r="C5" s="43" t="n">
        <v>40</v>
      </c>
      <c r="D5" s="43" t="n">
        <v>8</v>
      </c>
    </row>
    <row r="6">
      <c r="B6" s="22" t="inlineStr">
        <is>
          <t>B — past clients</t>
        </is>
      </c>
      <c r="C6" s="44" t="n">
        <v>120</v>
      </c>
      <c r="D6" s="44" t="n">
        <v>3</v>
      </c>
    </row>
    <row r="7">
      <c r="B7" s="19" t="inlineStr">
        <is>
          <t>C — sphere</t>
        </is>
      </c>
      <c r="C7" s="43" t="n">
        <v>260</v>
      </c>
      <c r="D7" s="43" t="n">
        <v>1</v>
      </c>
    </row>
    <row r="8">
      <c r="B8" s="22" t="inlineStr">
        <is>
          <t>D — new leads</t>
        </is>
      </c>
      <c r="C8" s="44" t="n">
        <v>55</v>
      </c>
      <c r="D8" s="44" t="n">
        <v>0</v>
      </c>
    </row>
    <row r="9">
      <c r="B9" s="9" t="inlineStr">
        <is>
          <t>TOTALS</t>
        </is>
      </c>
      <c r="C9" s="48">
        <f>SUM(DBContacts)</f>
        <v/>
      </c>
      <c r="D9" s="49">
        <f>SUM(DBTouchCol)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🎯  GOALS &amp; GCI</t>
        </is>
      </c>
    </row>
    <row r="2" ht="22" customHeight="1">
      <c r="A2" s="2" t="inlineStr">
        <is>
          <t xml:space="preserve">  Your GCI goal vs where you are — and the pace it takes to hit it.</t>
        </is>
      </c>
    </row>
    <row r="3" ht="6" customHeight="1">
      <c r="A3" s="3" t="n"/>
      <c r="B3" s="3" t="n"/>
      <c r="C3" s="3" t="n"/>
    </row>
    <row r="5">
      <c r="B5" s="25" t="inlineStr">
        <is>
          <t>Annual GCI goal</t>
        </is>
      </c>
      <c r="C5" s="50">
        <f>GCIGoal</f>
        <v/>
      </c>
    </row>
    <row r="6">
      <c r="B6" s="25" t="inlineStr">
        <is>
          <t>GCI earned (YTD)</t>
        </is>
      </c>
      <c r="C6" s="40">
        <f>GCI_YTD</f>
        <v/>
      </c>
    </row>
    <row r="7">
      <c r="B7" s="9">
        <f> REMAINING TO GOAL</f>
        <v/>
      </c>
      <c r="C7" s="51">
        <f>MAX(GCIGoal-GCI_YTD,0)</f>
        <v/>
      </c>
    </row>
    <row r="8">
      <c r="B8" s="25" t="inlineStr">
        <is>
          <t>Goal progress</t>
        </is>
      </c>
      <c r="C8" s="34">
        <f>IFERROR(GCI_YTD/GCIGoal,0)</f>
        <v/>
      </c>
    </row>
    <row r="9">
      <c r="B9" s="25" t="inlineStr">
        <is>
          <t>Pipeline GCI (coming)</t>
        </is>
      </c>
      <c r="C9" s="40">
        <f>PipelineGCI</f>
        <v/>
      </c>
    </row>
    <row r="10">
      <c r="B10" s="25" t="inlineStr">
        <is>
          <t>Avg GCI per closing</t>
        </is>
      </c>
      <c r="C10" s="40">
        <f>IFERROR(GCI_YTD/ClosingsYTD,0)</f>
        <v/>
      </c>
    </row>
    <row r="11">
      <c r="B11" s="25" t="inlineStr">
        <is>
          <t>Closings still needed</t>
        </is>
      </c>
      <c r="C11" s="52">
        <f>IFERROR(ROUNDUP(MAX(GCIGoal-GCI_YTD,0)/(GCI_YTD/ClosingsYTD),0),0)</f>
        <v/>
      </c>
    </row>
    <row r="13">
      <c r="B13" s="7" t="inlineStr">
        <is>
          <t>Fill the pipeline, and the goal takes care of itself.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💰  BUSINESS EXPENSES</t>
        </is>
      </c>
    </row>
    <row r="2" ht="22" customHeight="1">
      <c r="A2" s="2" t="inlineStr">
        <is>
          <t xml:space="preserve">  Your business costs (YTD) — netted against your GCI to show what you really made.</t>
        </is>
      </c>
    </row>
    <row r="3" ht="6" customHeight="1">
      <c r="A3" s="3" t="n"/>
      <c r="B3" s="3" t="n"/>
      <c r="C3" s="3" t="n"/>
    </row>
    <row r="4" ht="30" customHeight="1">
      <c r="B4" s="9" t="inlineStr">
        <is>
          <t>Expense</t>
        </is>
      </c>
      <c r="C4" s="9" t="inlineStr">
        <is>
          <t>Amount</t>
        </is>
      </c>
    </row>
    <row r="5">
      <c r="B5" s="19" t="inlineStr">
        <is>
          <t>Marketing</t>
        </is>
      </c>
      <c r="C5" s="26" t="n">
        <v>6000</v>
      </c>
    </row>
    <row r="6">
      <c r="B6" s="22" t="inlineStr">
        <is>
          <t>CRM &amp; tech</t>
        </is>
      </c>
      <c r="C6" s="31" t="n">
        <v>1800</v>
      </c>
    </row>
    <row r="7">
      <c r="B7" s="19" t="inlineStr">
        <is>
          <t>Dues &amp; MLS</t>
        </is>
      </c>
      <c r="C7" s="26" t="n">
        <v>2400</v>
      </c>
    </row>
    <row r="8">
      <c r="B8" s="22" t="inlineStr">
        <is>
          <t>Car &amp; fuel</t>
        </is>
      </c>
      <c r="C8" s="31" t="n">
        <v>4200</v>
      </c>
    </row>
    <row r="9">
      <c r="B9" s="19" t="inlineStr">
        <is>
          <t>TC &amp; E&amp;O</t>
        </is>
      </c>
      <c r="C9" s="26" t="n">
        <v>3000</v>
      </c>
    </row>
    <row r="10">
      <c r="B10" s="22" t="inlineStr">
        <is>
          <t>Staging &amp; photos</t>
        </is>
      </c>
      <c r="C10" s="31" t="n">
        <v>5200</v>
      </c>
    </row>
    <row r="11">
      <c r="B11" s="19" t="inlineStr">
        <is>
          <t>Coaching</t>
        </is>
      </c>
      <c r="C11" s="26" t="n">
        <v>3000</v>
      </c>
    </row>
    <row r="12">
      <c r="B12" s="9" t="inlineStr">
        <is>
          <t>TOTAL EXPENSES (YTD)</t>
        </is>
      </c>
      <c r="C12" s="32">
        <f>SUM(ExpAmt)</f>
        <v/>
      </c>
    </row>
    <row r="14">
      <c r="B14" s="9">
        <f> NET INCOME (GCI − expenses)</f>
        <v/>
      </c>
      <c r="C14" s="33">
        <f>GCI_YTD-BizExp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4" customWidth="1" min="2" max="2"/>
    <col width="26" customWidth="1" min="3" max="3"/>
    <col width="12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🚗  MILEAGE &amp; AUTO</t>
        </is>
      </c>
    </row>
    <row r="2" ht="22" customHeight="1">
      <c r="A2" s="2" t="inlineStr">
        <is>
          <t xml:space="preserve">  Every business drive — showings, listings and closings, deductible at tax time.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Date</t>
        </is>
      </c>
      <c r="C4" s="9" t="inlineStr">
        <is>
          <t>Purpose</t>
        </is>
      </c>
      <c r="D4" s="9" t="inlineStr">
        <is>
          <t>Miles</t>
        </is>
      </c>
      <c r="E4" s="9" t="inlineStr">
        <is>
          <t>Cost</t>
        </is>
      </c>
    </row>
    <row r="5">
      <c r="B5" s="41" t="inlineStr">
        <is>
          <t>Jun 3</t>
        </is>
      </c>
      <c r="C5" s="41" t="inlineStr">
        <is>
          <t>Showings — 4 homes</t>
        </is>
      </c>
      <c r="D5" s="53" t="n">
        <v>42</v>
      </c>
      <c r="E5" s="54" t="n">
        <v>28.14</v>
      </c>
    </row>
    <row r="6">
      <c r="B6" s="22" t="inlineStr">
        <is>
          <t>Jun 9</t>
        </is>
      </c>
      <c r="C6" s="22" t="inlineStr">
        <is>
          <t>Listing appt</t>
        </is>
      </c>
      <c r="D6" s="55" t="n">
        <v>18</v>
      </c>
      <c r="E6" s="56" t="n">
        <v>12.06</v>
      </c>
    </row>
    <row r="7">
      <c r="B7" s="41" t="inlineStr">
        <is>
          <t>Jun 15</t>
        </is>
      </c>
      <c r="C7" s="41" t="inlineStr">
        <is>
          <t>Closing — Willow</t>
        </is>
      </c>
      <c r="D7" s="53" t="n">
        <v>26</v>
      </c>
      <c r="E7" s="54" t="n">
        <v>17.42</v>
      </c>
    </row>
    <row r="8">
      <c r="B8" s="22" t="inlineStr">
        <is>
          <t>Jun 22</t>
        </is>
      </c>
      <c r="C8" s="22" t="inlineStr">
        <is>
          <t>Open house</t>
        </is>
      </c>
      <c r="D8" s="55" t="n">
        <v>14</v>
      </c>
      <c r="E8" s="56" t="n">
        <v>9.380000000000001</v>
      </c>
    </row>
    <row r="9">
      <c r="B9" s="41" t="n"/>
      <c r="C9" s="41" t="n"/>
      <c r="D9" s="53" t="n"/>
      <c r="E9" s="54" t="n"/>
    </row>
    <row r="10">
      <c r="B10" s="22" t="n"/>
      <c r="C10" s="22" t="n"/>
      <c r="D10" s="55" t="n"/>
      <c r="E10" s="56" t="n"/>
    </row>
    <row r="11">
      <c r="B11" s="41" t="n"/>
      <c r="C11" s="41" t="n"/>
      <c r="D11" s="53" t="n"/>
      <c r="E11" s="54" t="n"/>
    </row>
    <row r="12">
      <c r="B12" s="22" t="n"/>
      <c r="C12" s="22" t="n"/>
      <c r="D12" s="55" t="n"/>
      <c r="E12" s="56" t="n"/>
    </row>
    <row r="13">
      <c r="B13" s="41" t="n"/>
      <c r="C13" s="41" t="n"/>
      <c r="D13" s="53" t="n"/>
      <c r="E13" s="54" t="n"/>
    </row>
    <row r="14">
      <c r="B14" s="22" t="n"/>
      <c r="C14" s="22" t="n"/>
      <c r="D14" s="55" t="n"/>
      <c r="E14" s="56" t="n"/>
    </row>
    <row r="15">
      <c r="B15" s="41" t="n"/>
      <c r="C15" s="41" t="n"/>
      <c r="D15" s="53" t="n"/>
      <c r="E15" s="54" t="n"/>
    </row>
    <row r="16">
      <c r="B16" s="22" t="n"/>
      <c r="C16" s="22" t="n"/>
      <c r="D16" s="55" t="n"/>
      <c r="E16" s="56" t="n"/>
    </row>
    <row r="17">
      <c r="B17" s="41" t="n"/>
      <c r="C17" s="41" t="n"/>
      <c r="D17" s="53" t="n"/>
      <c r="E17" s="54" t="n"/>
    </row>
    <row r="18">
      <c r="B18" s="22" t="n"/>
      <c r="C18" s="22" t="n"/>
      <c r="D18" s="55" t="n"/>
      <c r="E18" s="56" t="n"/>
    </row>
    <row r="19">
      <c r="B19" s="41" t="n"/>
      <c r="C19" s="41" t="n"/>
      <c r="D19" s="53" t="n"/>
      <c r="E19" s="54" t="n"/>
    </row>
    <row r="20">
      <c r="B20" s="22" t="n"/>
      <c r="C20" s="22" t="n"/>
      <c r="D20" s="55" t="n"/>
      <c r="E20" s="56" t="n"/>
    </row>
    <row r="21">
      <c r="B21" s="41" t="n"/>
      <c r="C21" s="41" t="n"/>
      <c r="D21" s="53" t="n"/>
      <c r="E21" s="54" t="n"/>
    </row>
    <row r="22">
      <c r="B22" s="22" t="n"/>
      <c r="C22" s="22" t="n"/>
      <c r="D22" s="55" t="n"/>
      <c r="E22" s="56" t="n"/>
    </row>
    <row r="23">
      <c r="B23" s="41" t="n"/>
      <c r="C23" s="41" t="n"/>
      <c r="D23" s="53" t="n"/>
      <c r="E23" s="54" t="n"/>
    </row>
    <row r="24">
      <c r="B24" s="22" t="n"/>
      <c r="C24" s="22" t="n"/>
      <c r="D24" s="55" t="n"/>
      <c r="E24" s="56" t="n"/>
    </row>
    <row r="25">
      <c r="B25" s="41" t="n"/>
      <c r="C25" s="41" t="n"/>
      <c r="D25" s="53" t="n"/>
      <c r="E25" s="54" t="n"/>
    </row>
    <row r="26">
      <c r="B26" s="22" t="n"/>
      <c r="C26" s="22" t="n"/>
      <c r="D26" s="55" t="n"/>
      <c r="E26" s="56" t="n"/>
    </row>
    <row r="27">
      <c r="B27" s="41" t="n"/>
      <c r="C27" s="41" t="n"/>
      <c r="D27" s="53" t="n"/>
      <c r="E27" s="54" t="n"/>
    </row>
    <row r="28">
      <c r="B28" s="22" t="n"/>
      <c r="C28" s="22" t="n"/>
      <c r="D28" s="55" t="n"/>
      <c r="E28" s="56" t="n"/>
    </row>
  </sheetData>
  <mergeCells count="2">
    <mergeCell ref="A2:E2"/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GCI &amp; closings by month — watch the year build toward your goal.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Month</t>
        </is>
      </c>
      <c r="C4" s="9" t="inlineStr">
        <is>
          <t>Agent GCI</t>
        </is>
      </c>
      <c r="D4" s="9" t="inlineStr">
        <is>
          <t>Closings</t>
        </is>
      </c>
    </row>
    <row r="5">
      <c r="B5" s="19" t="inlineStr">
        <is>
          <t>Jan</t>
        </is>
      </c>
      <c r="C5" s="26" t="n">
        <v>8400</v>
      </c>
      <c r="D5" s="43" t="n">
        <v>1</v>
      </c>
    </row>
    <row r="6">
      <c r="B6" s="22" t="inlineStr">
        <is>
          <t>Feb</t>
        </is>
      </c>
      <c r="C6" s="31" t="n">
        <v>10500</v>
      </c>
      <c r="D6" s="44" t="n">
        <v>1</v>
      </c>
    </row>
    <row r="7">
      <c r="B7" s="19" t="inlineStr">
        <is>
          <t>Mar</t>
        </is>
      </c>
      <c r="C7" s="26" t="n">
        <v>14700</v>
      </c>
      <c r="D7" s="43" t="n">
        <v>2</v>
      </c>
    </row>
    <row r="8">
      <c r="B8" s="22" t="inlineStr">
        <is>
          <t>Apr</t>
        </is>
      </c>
      <c r="C8" s="31" t="n">
        <v>11550</v>
      </c>
      <c r="D8" s="44" t="n">
        <v>1</v>
      </c>
    </row>
    <row r="9">
      <c r="B9" s="19" t="inlineStr">
        <is>
          <t>May</t>
        </is>
      </c>
      <c r="C9" s="26" t="n">
        <v>16800</v>
      </c>
      <c r="D9" s="43" t="n">
        <v>2</v>
      </c>
    </row>
    <row r="10">
      <c r="B10" s="22" t="inlineStr">
        <is>
          <t>Jun</t>
        </is>
      </c>
      <c r="C10" s="31" t="n">
        <v>13650</v>
      </c>
      <c r="D10" s="44" t="n">
        <v>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25" t="inlineStr">
        <is>
          <t>Agent name</t>
        </is>
      </c>
      <c r="C6" s="57" t="inlineStr">
        <is>
          <t>Taylor Brooks</t>
        </is>
      </c>
      <c r="E6" s="9" t="inlineStr">
        <is>
          <t>Side</t>
        </is>
      </c>
      <c r="F6" s="9" t="inlineStr">
        <is>
          <t>Stage</t>
        </is>
      </c>
      <c r="G6" s="9" t="inlineStr">
        <is>
          <t>Source</t>
        </is>
      </c>
      <c r="H6" s="9" t="inlineStr">
        <is>
          <t>Yes / No</t>
        </is>
      </c>
    </row>
    <row r="7">
      <c r="B7" s="25" t="inlineStr">
        <is>
          <t>Brokerage</t>
        </is>
      </c>
      <c r="C7" s="57" t="inlineStr">
        <is>
          <t>Summit Realty</t>
        </is>
      </c>
      <c r="E7" s="19" t="inlineStr">
        <is>
          <t>Listing</t>
        </is>
      </c>
      <c r="F7" s="19" t="inlineStr">
        <is>
          <t>Lead</t>
        </is>
      </c>
      <c r="G7" s="19" t="inlineStr">
        <is>
          <t>Referral</t>
        </is>
      </c>
      <c r="H7" s="19" t="inlineStr">
        <is>
          <t>Yes</t>
        </is>
      </c>
    </row>
    <row r="8">
      <c r="B8" s="25" t="inlineStr">
        <is>
          <t>Net-margin goal %</t>
        </is>
      </c>
      <c r="C8" s="29" t="n">
        <v>0.7</v>
      </c>
      <c r="E8" s="19" t="inlineStr">
        <is>
          <t>Buyer</t>
        </is>
      </c>
      <c r="F8" s="19" t="inlineStr">
        <is>
          <t>Showing</t>
        </is>
      </c>
      <c r="G8" s="19" t="inlineStr">
        <is>
          <t>Sphere</t>
        </is>
      </c>
      <c r="H8" s="19" t="inlineStr">
        <is>
          <t>No</t>
        </is>
      </c>
    </row>
    <row r="9">
      <c r="B9" s="25" t="inlineStr">
        <is>
          <t>GCI-per-deal goal ($)</t>
        </is>
      </c>
      <c r="C9" s="26" t="n">
        <v>8000</v>
      </c>
      <c r="E9" s="19" t="inlineStr">
        <is>
          <t>Both</t>
        </is>
      </c>
      <c r="F9" s="19" t="inlineStr">
        <is>
          <t>Offer</t>
        </is>
      </c>
      <c r="G9" s="19" t="inlineStr">
        <is>
          <t>Zillow</t>
        </is>
      </c>
    </row>
    <row r="10">
      <c r="B10" s="25" t="inlineStr">
        <is>
          <t>Closings pace goal (YTD)</t>
        </is>
      </c>
      <c r="C10" s="43" t="n">
        <v>6</v>
      </c>
      <c r="E10" s="19" t="inlineStr">
        <is>
          <t>Referral</t>
        </is>
      </c>
      <c r="F10" s="19" t="inlineStr">
        <is>
          <t>Under contract</t>
        </is>
      </c>
      <c r="G10" s="19" t="inlineStr">
        <is>
          <t>Open house</t>
        </is>
      </c>
    </row>
    <row r="11">
      <c r="B11" s="25" t="inlineStr">
        <is>
          <t>Pipeline deals goal</t>
        </is>
      </c>
      <c r="C11" s="43" t="n">
        <v>6</v>
      </c>
      <c r="F11" s="19" t="inlineStr">
        <is>
          <t>Closed</t>
        </is>
      </c>
      <c r="G11" s="19" t="inlineStr">
        <is>
          <t>Social</t>
        </is>
      </c>
    </row>
    <row r="12">
      <c r="B12" s="25" t="inlineStr">
        <is>
          <t>Net income goal (YTD)</t>
        </is>
      </c>
      <c r="C12" s="26" t="n">
        <v>40000</v>
      </c>
      <c r="F12" s="19" t="inlineStr">
        <is>
          <t>Lost</t>
        </is>
      </c>
      <c r="G12" s="19" t="inlineStr">
        <is>
          <t>Sign call</t>
        </is>
      </c>
    </row>
    <row r="13">
      <c r="B13" s="25" t="inlineStr">
        <is>
          <t>Database touches goal</t>
        </is>
      </c>
      <c r="C13" s="43" t="n">
        <v>30</v>
      </c>
      <c r="G13" s="19" t="inlineStr">
        <is>
          <t>Past client</t>
        </is>
      </c>
    </row>
    <row r="14">
      <c r="B14" s="25" t="inlineStr">
        <is>
          <t>Annual GCI goal</t>
        </is>
      </c>
      <c r="C14" s="26" t="n">
        <v>100000</v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2026-07-23T23:10:58Z</dcterms:created>
  <dcterms:modified xsi:type="dcterms:W3CDTF">2026-07-23T23:10:58Z</dcterms:modified>
</cp:coreProperties>
</file>