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Ingredients" sheetId="3" state="visible" r:id="rId3"/>
    <sheet name="Recipe Costing" sheetId="4" state="visible" r:id="rId4"/>
    <sheet name="Menu Items" sheetId="5" state="visible" r:id="rId5"/>
    <sheet name="Menu Engineering" sheetId="6" state="visible" r:id="rId6"/>
    <sheet name="Price Calculator" sheetId="7" state="visible" r:id="rId7"/>
    <sheet name="Sales Mix" sheetId="8" state="visible" r:id="rId8"/>
    <sheet name="Portion &amp; Yield" sheetId="9" state="visible" r:id="rId9"/>
    <sheet name="Specials &amp; LTO" sheetId="10" state="visible" r:id="rId10"/>
    <sheet name="Batch &amp; Prep" sheetId="11" state="visible" r:id="rId11"/>
    <sheet name="Vendor Prices" sheetId="12" state="visible" r:id="rId12"/>
    <sheet name="Waste Log" sheetId="13" state="visible" r:id="rId13"/>
    <sheet name="Settings" sheetId="14" state="visible" r:id="rId14"/>
  </sheets>
  <definedNames>
    <definedName name="Restaurant">Settings!$C$6</definedName>
    <definedName name="Owner">Settings!$C$7</definedName>
    <definedName name="TargetFC">Settings!$C$8</definedName>
    <definedName name="MarginGoal">Settings!$C$9</definedName>
    <definedName name="Currency">Settings!$C$10</definedName>
    <definedName name="UnitList">Settings!$E$7:$E$17</definedName>
    <definedName name="StationList">Settings!$F$7:$F$13</definedName>
    <definedName name="CatList">Settings!$G$7:$G$14</definedName>
    <definedName name="YesNoList">Settings!$H$7:$H$8</definedName>
    <definedName name="IngName">'Ingredients'!$B$5:$B$18</definedName>
    <definedName name="IngCostUnit">'Ingredients'!$F$5:$F$18</definedName>
    <definedName name="BurgerCost">'Recipe Costing'!$F$16</definedName>
    <definedName name="MenuItem">'Menu Items'!$B$5:$B$12</definedName>
    <definedName name="MenuCost">'Menu Items'!$D$5:$D$12</definedName>
    <definedName name="MenuPrice">'Menu Items'!$E$5:$E$12</definedName>
    <definedName name="MenuUnits">'Menu Items'!$F$5:$F$12</definedName>
    <definedName name="MenuFC">'Menu Items'!$G$5:$G$12</definedName>
    <definedName name="MenuMargin">'Menu Items'!$H$5:$H$12</definedName>
    <definedName name="MenuClass">'Menu Items'!$I$5:$I$12</definedName>
    <definedName name="AvgUnits">'Menu Items'!$C$15</definedName>
    <definedName name="AvgMargin">'Menu Items'!$C$16</definedName>
    <definedName name="AvgFC">'Menu Items'!$G$13</definedName>
    <definedName name="AvgCost">'Menu Items'!$D$13</definedName>
    <definedName name="AvgPrice">'Menu Items'!$E$13</definedName>
    <definedName name="TotalRevenue">'Sales Mix'!$D$13</definedName>
    <definedName name="TotalProfit">'Sales Mix'!$E$13</definedName>
    <definedName name="WasteCost">'Waste Log'!$D$5:$D$28</definedName>
    <definedName name="WasteTotal">'Waste Log'!$D$29</definedName>
    <definedName name="HealthRange">'Dashboard'!$C$13:$C$18</definedName>
  </definedNames>
  <calcPr calcId="124519" fullCalcOnLoad="1"/>
</workbook>
</file>

<file path=xl/styles.xml><?xml version="1.0" encoding="utf-8"?>
<styleSheet xmlns="http://schemas.openxmlformats.org/spreadsheetml/2006/main">
  <numFmts count="4">
    <numFmt numFmtId="164" formatCode="&quot;$&quot;#,##0"/>
    <numFmt numFmtId="165" formatCode="&quot;$&quot;#,##0.00"/>
    <numFmt numFmtId="166" formatCode="0.##"/>
    <numFmt numFmtId="167" formatCode="+0%;[Red]-0%"/>
  </numFmts>
  <fonts count="17">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i val="1"/>
      <color rgb="00937356"/>
    </font>
    <font>
      <b val="1"/>
      <color rgb="001B4F48"/>
      <sz val="13"/>
    </font>
    <font>
      <b val="1"/>
      <color rgb="00C94C4C"/>
    </font>
    <font>
      <b val="1"/>
      <color rgb="00937356"/>
      <sz val="9"/>
    </font>
    <font>
      <b val="1"/>
      <color rgb="001B4F48"/>
      <sz val="18"/>
    </font>
    <font>
      <b val="1"/>
      <color rgb="001B4F48"/>
      <sz val="12"/>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BE6E6"/>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67">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4" fillId="10" borderId="3" applyAlignment="1" pivotButton="0" quotePrefix="0" xfId="0">
      <alignment horizontal="center" vertical="center"/>
    </xf>
    <xf numFmtId="0" fontId="0" fillId="10" borderId="3" pivotButton="0" quotePrefix="0" xfId="0"/>
    <xf numFmtId="3" fontId="15" fillId="10" borderId="2" applyAlignment="1" pivotButton="0" quotePrefix="0" xfId="0">
      <alignment horizontal="center" vertical="center"/>
    </xf>
    <xf numFmtId="0" fontId="0" fillId="10" borderId="2" pivotButton="0" quotePrefix="0" xfId="0"/>
    <xf numFmtId="9" fontId="15" fillId="10" borderId="2" applyAlignment="1" pivotButton="0" quotePrefix="0" xfId="0">
      <alignment horizontal="center" vertical="center"/>
    </xf>
    <xf numFmtId="165" fontId="15" fillId="10" borderId="2" applyAlignment="1" pivotButton="0" quotePrefix="0" xfId="0">
      <alignment horizontal="center" vertical="center"/>
    </xf>
    <xf numFmtId="0" fontId="16"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3" fontId="7" fillId="3" borderId="2" applyAlignment="1" pivotButton="0" quotePrefix="0" xfId="8">
      <alignment horizontal="center" vertical="center"/>
    </xf>
    <xf numFmtId="165" fontId="7" fillId="3" borderId="2" applyAlignment="1" pivotButton="0" quotePrefix="0" xfId="8">
      <alignment horizontal="center" vertical="center"/>
    </xf>
    <xf numFmtId="165" fontId="6" fillId="0" borderId="2" applyAlignment="1" pivotButton="0" quotePrefix="0" xfId="6">
      <alignment horizontal="center" vertical="center" wrapText="1"/>
    </xf>
    <xf numFmtId="3" fontId="7" fillId="8" borderId="2" applyAlignment="1" pivotButton="0" quotePrefix="0" xfId="8">
      <alignment horizontal="center" vertical="center"/>
    </xf>
    <xf numFmtId="165" fontId="7" fillId="8" borderId="2" applyAlignment="1" pivotButton="0" quotePrefix="0" xfId="8">
      <alignment horizontal="center" vertical="center"/>
    </xf>
    <xf numFmtId="165" fontId="6" fillId="8" borderId="2" applyAlignment="1" pivotButton="0" quotePrefix="0" xfId="6">
      <alignment horizontal="center" vertical="center" wrapText="1"/>
    </xf>
    <xf numFmtId="0" fontId="10" fillId="0" borderId="0" pivotButton="0" quotePrefix="0" xfId="0"/>
    <xf numFmtId="0" fontId="11" fillId="0" borderId="0" pivotButton="0" quotePrefix="0" xfId="0"/>
    <xf numFmtId="166" fontId="7" fillId="3" borderId="2" applyAlignment="1" pivotButton="0" quotePrefix="0" xfId="8">
      <alignment horizontal="center" vertical="center"/>
    </xf>
    <xf numFmtId="166" fontId="7" fillId="8" borderId="2" applyAlignment="1" pivotButton="0" quotePrefix="0" xfId="8">
      <alignment horizontal="center" vertical="center"/>
    </xf>
    <xf numFmtId="0" fontId="6" fillId="3" borderId="2" applyAlignment="1" pivotButton="0" quotePrefix="0" xfId="6">
      <alignment horizontal="center" vertical="center" wrapText="1"/>
    </xf>
    <xf numFmtId="165" fontId="10" fillId="3" borderId="2" applyAlignment="1" pivotButton="0" quotePrefix="0" xfId="6">
      <alignment horizontal="center" vertical="center" wrapText="1"/>
    </xf>
    <xf numFmtId="165" fontId="12" fillId="6" borderId="2" applyAlignment="1" pivotButton="0" quotePrefix="0" xfId="10">
      <alignment horizontal="left" vertical="center" indent="1"/>
    </xf>
    <xf numFmtId="3" fontId="10" fillId="3" borderId="2" pivotButton="0" quotePrefix="0" xfId="0"/>
    <xf numFmtId="9" fontId="10" fillId="3" borderId="2" applyAlignment="1" pivotButton="0" quotePrefix="0" xfId="6">
      <alignment horizontal="center" vertical="center" wrapText="1"/>
    </xf>
    <xf numFmtId="0" fontId="8" fillId="4" borderId="2" applyAlignment="1" pivotButton="0" quotePrefix="0" xfId="9">
      <alignment horizontal="left" vertical="center" indent="1"/>
    </xf>
    <xf numFmtId="3" fontId="7" fillId="0" borderId="2" applyAlignment="1" pivotButton="0" quotePrefix="0" xfId="10">
      <alignment horizontal="left" vertical="center" indent="1"/>
    </xf>
    <xf numFmtId="165" fontId="7" fillId="0" borderId="2" applyAlignment="1" pivotButton="0" quotePrefix="0" xfId="10">
      <alignment horizontal="left" vertical="center" indent="1"/>
    </xf>
    <xf numFmtId="0" fontId="10" fillId="6" borderId="2" applyAlignment="1" pivotButton="0" quotePrefix="0" xfId="7">
      <alignment horizontal="left" vertical="center" wrapText="1" indent="1"/>
    </xf>
    <xf numFmtId="1" fontId="10" fillId="0" borderId="2" applyAlignment="1" pivotButton="0" quotePrefix="0" xfId="6">
      <alignment horizontal="center" vertical="center" wrapText="1"/>
    </xf>
    <xf numFmtId="0" fontId="10" fillId="7" borderId="2" applyAlignment="1" pivotButton="0" quotePrefix="0" xfId="7">
      <alignment horizontal="left" vertical="center" wrapText="1" indent="1"/>
    </xf>
    <xf numFmtId="0" fontId="10" fillId="3" borderId="2" applyAlignment="1" pivotButton="0" quotePrefix="0" xfId="7">
      <alignment horizontal="left" vertical="center" wrapText="1" indent="1"/>
    </xf>
    <xf numFmtId="0" fontId="10" fillId="9" borderId="2" applyAlignment="1" pivotButton="0" quotePrefix="0" xfId="7">
      <alignment horizontal="left" vertical="center" wrapText="1" indent="1"/>
    </xf>
    <xf numFmtId="1" fontId="10" fillId="3" borderId="2" applyAlignment="1" pivotButton="0" quotePrefix="0" xfId="6">
      <alignment horizontal="center" vertical="center" wrapText="1"/>
    </xf>
    <xf numFmtId="9" fontId="7" fillId="3" borderId="2" applyAlignment="1" pivotButton="0" quotePrefix="0" xfId="8">
      <alignment horizontal="center" vertical="center"/>
    </xf>
    <xf numFmtId="165" fontId="10" fillId="0" borderId="2" applyAlignment="1" pivotButton="0" quotePrefix="0" xfId="6">
      <alignment horizontal="center" vertical="center" wrapText="1"/>
    </xf>
    <xf numFmtId="9" fontId="7" fillId="8" borderId="2" applyAlignment="1" pivotButton="0" quotePrefix="0" xfId="8">
      <alignment horizontal="center" vertical="center"/>
    </xf>
    <xf numFmtId="165" fontId="10" fillId="8" borderId="2" applyAlignment="1" pivotButton="0" quotePrefix="0" xfId="6">
      <alignment horizontal="center" vertical="center" wrapText="1"/>
    </xf>
    <xf numFmtId="3" fontId="6" fillId="0" borderId="2" applyAlignment="1" pivotButton="0" quotePrefix="0" xfId="6">
      <alignment horizontal="center" vertical="center" wrapText="1"/>
    </xf>
    <xf numFmtId="164" fontId="6" fillId="0" borderId="2" applyAlignment="1" pivotButton="0" quotePrefix="0" xfId="6">
      <alignment horizontal="center" vertical="center" wrapText="1"/>
    </xf>
    <xf numFmtId="3" fontId="6" fillId="8" borderId="2" applyAlignment="1" pivotButton="0" quotePrefix="0" xfId="6">
      <alignment horizontal="center" vertical="center" wrapText="1"/>
    </xf>
    <xf numFmtId="164" fontId="6" fillId="8" borderId="2" applyAlignment="1" pivotButton="0" quotePrefix="0" xfId="6">
      <alignment horizontal="center" vertical="center" wrapText="1"/>
    </xf>
    <xf numFmtId="164" fontId="10" fillId="3" borderId="2" applyAlignment="1" pivotButton="0" quotePrefix="0" xfId="6">
      <alignment horizontal="center" vertical="center" wrapText="1"/>
    </xf>
    <xf numFmtId="164" fontId="10" fillId="0" borderId="2" applyAlignment="1" pivotButton="0" quotePrefix="0" xfId="6">
      <alignment horizontal="center" vertical="center" wrapText="1"/>
    </xf>
    <xf numFmtId="164" fontId="10" fillId="8" borderId="2" applyAlignment="1" pivotButton="0" quotePrefix="0" xfId="6">
      <alignment horizontal="center" vertical="center" wrapText="1"/>
    </xf>
    <xf numFmtId="167" fontId="6" fillId="0" borderId="2" applyAlignment="1" pivotButton="0" quotePrefix="0" xfId="6">
      <alignment horizontal="center" vertical="center" wrapText="1"/>
    </xf>
    <xf numFmtId="167" fontId="6" fillId="8" borderId="2" applyAlignment="1" pivotButton="0" quotePrefix="0" xfId="6">
      <alignment horizontal="center" vertical="center" wrapText="1"/>
    </xf>
    <xf numFmtId="0" fontId="6" fillId="10" borderId="2" applyAlignment="1" pivotButton="0" quotePrefix="0" xfId="7">
      <alignment horizontal="left" vertical="center" wrapText="1" indent="1"/>
    </xf>
    <xf numFmtId="165" fontId="6" fillId="10" borderId="2" applyAlignment="1" pivotButton="0" quotePrefix="0" xfId="6">
      <alignment horizontal="center" vertical="center" wrapText="1"/>
    </xf>
    <xf numFmtId="165" fontId="13" fillId="3" borderId="2" applyAlignment="1" pivotButton="0" quotePrefix="0" xfId="6">
      <alignment horizontal="center" vertical="center" wrapText="1"/>
    </xf>
    <xf numFmtId="0" fontId="7" fillId="3" borderId="2" applyAlignment="1" pivotButton="0" quotePrefix="0" xfId="8">
      <alignment horizontal="center" vertical="center"/>
    </xf>
    <xf numFmtId="164"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4">
    <dxf>
      <fill>
        <patternFill patternType="solid">
          <fgColor rgb="00E3F8EF"/>
        </patternFill>
      </fill>
    </dxf>
    <dxf>
      <fill>
        <patternFill patternType="solid">
          <fgColor rgb="00FBF0E2"/>
        </patternFill>
      </fill>
    </dxf>
    <dxf>
      <fill>
        <patternFill patternType="solid">
          <fgColor rgb="00E5D3BA"/>
        </patternFill>
      </fill>
    </dxf>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Menu Mix by Class</a:t>
            </a:r>
          </a:p>
        </rich>
      </tx>
    </title>
    <plotArea>
      <doughnutChart>
        <varyColors val="1"/>
        <ser>
          <idx val="0"/>
          <order val="0"/>
          <spPr>
            <a:ln>
              <a:prstDash val="solid"/>
            </a:ln>
          </spPr>
          <cat>
            <numRef>
              <f>'Menu Engineering'!$B$5:$B$8</f>
            </numRef>
          </cat>
          <val>
            <numRef>
              <f>'Menu Engineering'!$C$5:$C$8</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Menu Mix by Class</a:t>
            </a:r>
          </a:p>
        </rich>
      </tx>
    </title>
    <plotArea>
      <doughnutChart>
        <varyColors val="1"/>
        <ser>
          <idx val="0"/>
          <order val="0"/>
          <spPr>
            <a:ln>
              <a:prstDash val="solid"/>
            </a:ln>
          </spPr>
          <cat>
            <numRef>
              <f>'Menu Engineering'!$B$5:$B$8</f>
            </numRef>
          </cat>
          <val>
            <numRef>
              <f>'Menu Engineering'!$C$5:$C$8</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row>
      <rowOff>0</rowOff>
    </from>
    <ext cx="324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RECIPE COSTING &amp; MENU ENGINEERING COMMAND CENTER™</t>
        </is>
      </c>
    </row>
    <row r="2" ht="24" customHeight="1">
      <c r="A2" s="2" t="inlineStr">
        <is>
          <t xml:space="preserve">  Cost every plate, price with intent &amp; engineer a more profitable menu.</t>
        </is>
      </c>
    </row>
    <row r="3" ht="6" customHeight="1">
      <c r="A3" s="3" t="n"/>
      <c r="B3" s="3" t="n"/>
      <c r="C3" s="3" t="n"/>
    </row>
    <row r="5">
      <c r="B5" s="4" t="inlineStr">
        <is>
          <t>YOUR WHOLE MENU'S PROFIT, IN ONE PLACE</t>
        </is>
      </c>
    </row>
    <row r="6" ht="22" customHeight="1">
      <c r="B6" s="5" t="inlineStr">
        <is>
          <t>Build an ingredient price library, cost every recipe down to the plate, and see each menu item's food-cost % and margin at a glance. Then engineer your menu: the star/plowhorse/puzzle/dog matrix shows exactly which items to promote, reprice, rework or cut. A price calculator turns any plate cost into a target-margin price, and vendor, waste, yield and batch tools keep your real costs honest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add your restaurant name &amp; target food-cost %.</t>
        </is>
      </c>
    </row>
    <row r="13" ht="22" customHeight="1">
      <c r="B13" s="8" t="inlineStr">
        <is>
          <t>2.  Fill the Ingredients library — pack size &amp; price gives cost per unit.</t>
        </is>
      </c>
    </row>
    <row r="14" ht="22" customHeight="1">
      <c r="B14" s="8" t="inlineStr">
        <is>
          <t>3.  Cost a recipe on Recipe Costing — quantities × unit cost = plate cost.</t>
        </is>
      </c>
    </row>
    <row r="15" ht="22" customHeight="1">
      <c r="B15" s="8" t="inlineStr">
        <is>
          <t>4.  Add each plate to Menu Items — food-cost % and margin calculate live.</t>
        </is>
      </c>
    </row>
    <row r="16" ht="22" customHeight="1">
      <c r="B16" s="8" t="inlineStr">
        <is>
          <t>5.  Read Menu Engineering — promote Stars, fix Plowhorses, reprice Puzzles, cut Dogs.</t>
        </is>
      </c>
    </row>
    <row r="17" ht="22" customHeight="1">
      <c r="B17" s="8" t="inlineStr">
        <is>
          <t>6.  Check the Dashboard: food-cost %, margins, the matrix &amp; a Menu Score.</t>
        </is>
      </c>
    </row>
    <row r="20" ht="26" customHeight="1">
      <c r="B20" s="9" t="inlineStr">
        <is>
          <t xml:space="preserve">  GOOD TO KNOW</t>
        </is>
      </c>
    </row>
    <row r="21" ht="22" customHeight="1">
      <c r="B21" s="10" t="inlineStr">
        <is>
          <t>Sample data for a fictional bistro (The Copper Skillet) is included so you can see how it all connects — just type over it with your own recipes and prices. Menu engineering classifies every item by popularity and profitability so you know where the money is. Twelve matching printable pages (recipe cost cards, prep sheets, a menu-engineering worksheet &amp; more) are included to print for the line. This is a business tool, not financial or accounting advice — confirm figures with your own books.</t>
        </is>
      </c>
    </row>
    <row r="22" ht="22" customHeight="1">
      <c r="B22" s="11" t="n"/>
    </row>
    <row r="23" ht="22" customHeight="1">
      <c r="B23" s="11" t="n"/>
    </row>
    <row r="25">
      <c r="B25" s="4" t="inlineStr">
        <is>
          <t>A menu isn't a list of dishes — it's your most powerful profit lever.</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RECIPE COSTING &amp; MENU ENGINEERING COMMAND CENTER™</t>
        </is>
      </c>
    </row>
    <row r="2" ht="24" customHeight="1">
      <c r="A2" s="2" t="inlineStr">
        <is>
          <t xml:space="preserve">  Food cost, margins, the star/dog matrix &amp; a Menu Score — your whole menu's profit, at a glance.</t>
        </is>
      </c>
    </row>
    <row r="3" ht="6" customHeight="1">
      <c r="A3" s="3" t="n"/>
      <c r="B3" s="3" t="n"/>
      <c r="C3" s="3" t="n"/>
      <c r="D3" s="3" t="n"/>
      <c r="E3" s="3" t="n"/>
      <c r="F3" s="3" t="n"/>
      <c r="G3" s="3" t="n"/>
      <c r="H3" s="3" t="n"/>
      <c r="I3" s="3" t="n"/>
      <c r="J3" s="3" t="n"/>
      <c r="K3" s="3" t="n"/>
      <c r="L3" s="3" t="n"/>
      <c r="M3" s="3" t="n"/>
      <c r="N3" s="3" t="n"/>
    </row>
    <row r="5" ht="18" customHeight="1">
      <c r="B5" s="12" t="inlineStr">
        <is>
          <t>MENU ITEMS</t>
        </is>
      </c>
      <c r="C5" s="13" t="n"/>
      <c r="D5" s="12" t="inlineStr">
        <is>
          <t>AVG FOOD COST</t>
        </is>
      </c>
      <c r="E5" s="13" t="n"/>
      <c r="F5" s="12" t="inlineStr">
        <is>
          <t>TARGET FOOD COST</t>
        </is>
      </c>
      <c r="G5" s="13" t="n"/>
      <c r="H5" s="12" t="inlineStr">
        <is>
          <t>AVG PLATE COST</t>
        </is>
      </c>
      <c r="I5" s="13" t="n"/>
      <c r="J5" s="12" t="inlineStr">
        <is>
          <t>AVG MENU PRICE</t>
        </is>
      </c>
      <c r="K5" s="13" t="n"/>
      <c r="L5" s="12" t="inlineStr">
        <is>
          <t>AVG MARGIN</t>
        </is>
      </c>
      <c r="M5" s="13" t="n"/>
    </row>
    <row r="6" ht="40" customHeight="1">
      <c r="B6" s="14">
        <f>COUNTA(MenuItem)</f>
        <v/>
      </c>
      <c r="C6" s="15" t="n"/>
      <c r="D6" s="16">
        <f>AvgFC</f>
        <v/>
      </c>
      <c r="E6" s="15" t="n"/>
      <c r="F6" s="16">
        <f>TargetFC</f>
        <v/>
      </c>
      <c r="G6" s="15" t="n"/>
      <c r="H6" s="17">
        <f>AvgCost</f>
        <v/>
      </c>
      <c r="I6" s="15" t="n"/>
      <c r="J6" s="17">
        <f>AvgPrice</f>
        <v/>
      </c>
      <c r="K6" s="15" t="n"/>
      <c r="L6" s="17">
        <f>AvgMargin</f>
        <v/>
      </c>
      <c r="M6" s="15" t="n"/>
    </row>
    <row r="8" ht="18" customHeight="1">
      <c r="B8" s="12" t="inlineStr">
        <is>
          <t>STARS</t>
        </is>
      </c>
      <c r="C8" s="13" t="n"/>
      <c r="D8" s="12" t="inlineStr">
        <is>
          <t>PLOWHORSES</t>
        </is>
      </c>
      <c r="E8" s="13" t="n"/>
      <c r="F8" s="12" t="inlineStr">
        <is>
          <t>PUZZLES</t>
        </is>
      </c>
      <c r="G8" s="13" t="n"/>
      <c r="H8" s="12" t="inlineStr">
        <is>
          <t>DOGS</t>
        </is>
      </c>
      <c r="I8" s="13" t="n"/>
      <c r="J8" s="12" t="inlineStr">
        <is>
          <t>TOP MARGIN</t>
        </is>
      </c>
      <c r="K8" s="13" t="n"/>
      <c r="L8" s="12" t="inlineStr">
        <is>
          <t>MENU SCORE</t>
        </is>
      </c>
      <c r="M8" s="13" t="n"/>
    </row>
    <row r="9" ht="40" customHeight="1">
      <c r="B9" s="14">
        <f>COUNTIF(MenuClass,"Star")</f>
        <v/>
      </c>
      <c r="C9" s="15" t="n"/>
      <c r="D9" s="14">
        <f>COUNTIF(MenuClass,"Plowhorse")</f>
        <v/>
      </c>
      <c r="E9" s="15" t="n"/>
      <c r="F9" s="14">
        <f>COUNTIF(MenuClass,"Puzzle")</f>
        <v/>
      </c>
      <c r="G9" s="15" t="n"/>
      <c r="H9" s="14">
        <f>COUNTIF(MenuClass,"Dog")</f>
        <v/>
      </c>
      <c r="I9" s="15" t="n"/>
      <c r="J9" s="18">
        <f>INDEX(MenuItem,MATCH(MAX(MenuMargin),MenuMargin,0))</f>
        <v/>
      </c>
      <c r="K9" s="15" t="n"/>
      <c r="L9" s="16">
        <f>IFERROR(AVERAGE(HealthRange),0)</f>
        <v/>
      </c>
      <c r="M9" s="15" t="n"/>
    </row>
    <row r="11" ht="26" customHeight="1">
      <c r="B11" s="4" t="inlineStr">
        <is>
          <t>MENU HEALTH</t>
        </is>
      </c>
      <c r="H11" s="4" t="inlineStr">
        <is>
          <t>MENU MIX BY CLASS</t>
        </is>
      </c>
    </row>
    <row r="12" ht="30" customHeight="1">
      <c r="B12" s="9" t="inlineStr">
        <is>
          <t>Check</t>
        </is>
      </c>
      <c r="C12" s="9" t="inlineStr">
        <is>
          <t>Score</t>
        </is>
      </c>
      <c r="D12" s="9" t="inlineStr">
        <is>
          <t>Status</t>
        </is>
      </c>
    </row>
    <row r="13">
      <c r="B13" s="19" t="inlineStr">
        <is>
          <t>Food cost on target</t>
        </is>
      </c>
      <c r="C13" s="20">
        <f>IFERROR(MIN(TargetFC/AvgFC,1),0)</f>
        <v/>
      </c>
      <c r="D13" s="21">
        <f>IF(C13&gt;=0.85,"Strong",IF(C13&gt;=0.6,"OK","Fix"))</f>
        <v/>
      </c>
    </row>
    <row r="14">
      <c r="B14" s="22" t="inlineStr">
        <is>
          <t>Margin vs goal</t>
        </is>
      </c>
      <c r="C14" s="23">
        <f>IFERROR(MIN(AvgMargin/MarginGoal,1),0)</f>
        <v/>
      </c>
      <c r="D14" s="24">
        <f>IF(C14&gt;=0.85,"Strong",IF(C14&gt;=0.6,"OK","Fix"))</f>
        <v/>
      </c>
    </row>
    <row r="15">
      <c r="B15" s="19" t="inlineStr">
        <is>
          <t>Menu fully costed</t>
        </is>
      </c>
      <c r="C15" s="20">
        <f>IFERROR(COUNTIF(MenuCost,"&gt;0")/COUNTA(MenuItem),0)</f>
        <v/>
      </c>
      <c r="D15" s="21">
        <f>IF(C15&gt;=0.85,"Strong",IF(C15&gt;=0.6,"OK","Fix"))</f>
        <v/>
      </c>
    </row>
    <row r="16">
      <c r="B16" s="22" t="inlineStr">
        <is>
          <t>Items above margin goal</t>
        </is>
      </c>
      <c r="C16" s="23">
        <f>IFERROR(COUNTIF(MenuMargin,"&gt;="&amp;MarginGoal)/COUNTA(MenuItem),0)</f>
        <v/>
      </c>
      <c r="D16" s="24">
        <f>IF(C16&gt;=0.85,"Strong",IF(C16&gt;=0.6,"OK","Fix"))</f>
        <v/>
      </c>
    </row>
    <row r="17">
      <c r="B17" s="19" t="inlineStr">
        <is>
          <t>Menu balance (few dogs)</t>
        </is>
      </c>
      <c r="C17" s="20">
        <f>IFERROR(1-COUNTIF(MenuClass,"Dog")/COUNTA(MenuItem),0)</f>
        <v/>
      </c>
      <c r="D17" s="21">
        <f>IF(C17&gt;=0.85,"Strong",IF(C17&gt;=0.6,"OK","Fix"))</f>
        <v/>
      </c>
    </row>
    <row r="18">
      <c r="B18" s="22" t="inlineStr">
        <is>
          <t>Contribution margin</t>
        </is>
      </c>
      <c r="C18" s="23">
        <f>IFERROR(MIN((1-AvgFC)/0.7,1),0)</f>
        <v/>
      </c>
      <c r="D18" s="24">
        <f>IF(C18&gt;=0.85,"Strong",IF(C18&gt;=0.6,"OK","Fix"))</f>
        <v/>
      </c>
    </row>
    <row r="21" ht="26" customHeight="1">
      <c r="B21" s="2" t="inlineStr">
        <is>
          <t>Recipe Costing &amp; Menu Engineering Command Center™ — cost every plate, price with intent.</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4" customWidth="1" min="3" max="3"/>
    <col width="10" customWidth="1" min="4" max="4"/>
    <col width="14" customWidth="1" min="5" max="5"/>
    <col width="16" customWidth="1" min="6" max="6"/>
    <col width="2" customWidth="1" min="7" max="7"/>
  </cols>
  <sheetData>
    <row r="1" ht="46" customHeight="1">
      <c r="A1" s="1" t="inlineStr">
        <is>
          <t xml:space="preserve">  🧺  INGREDIENT LIBRARY</t>
        </is>
      </c>
    </row>
    <row r="2" ht="22" customHeight="1">
      <c r="A2" s="2" t="inlineStr">
        <is>
          <t xml:space="preserve">  Pack size &amp; price for every ingredient — this gives the cost per unit behind every recipe.</t>
        </is>
      </c>
    </row>
    <row r="3" ht="6" customHeight="1">
      <c r="A3" s="3" t="n"/>
      <c r="B3" s="3" t="n"/>
      <c r="C3" s="3" t="n"/>
      <c r="D3" s="3" t="n"/>
      <c r="E3" s="3" t="n"/>
      <c r="F3" s="3" t="n"/>
    </row>
    <row r="4" ht="30" customHeight="1">
      <c r="B4" s="9" t="inlineStr">
        <is>
          <t>Ingredient</t>
        </is>
      </c>
      <c r="C4" s="9" t="inlineStr">
        <is>
          <t>Pack Size</t>
        </is>
      </c>
      <c r="D4" s="9" t="inlineStr">
        <is>
          <t>Unit</t>
        </is>
      </c>
      <c r="E4" s="9" t="inlineStr">
        <is>
          <t>Pack Price</t>
        </is>
      </c>
      <c r="F4" s="9" t="inlineStr">
        <is>
          <t>Cost / Unit</t>
        </is>
      </c>
    </row>
    <row r="5">
      <c r="B5" s="19" t="inlineStr">
        <is>
          <t>Ground beef 80/20</t>
        </is>
      </c>
      <c r="C5" s="25" t="n">
        <v>160</v>
      </c>
      <c r="D5" s="21" t="inlineStr">
        <is>
          <t>oz</t>
        </is>
      </c>
      <c r="E5" s="26" t="n">
        <v>44.8</v>
      </c>
      <c r="F5" s="27">
        <f>IFERROR(E5/C5,0)</f>
        <v/>
      </c>
    </row>
    <row r="6">
      <c r="B6" s="22" t="inlineStr">
        <is>
          <t>Brioche bun</t>
        </is>
      </c>
      <c r="C6" s="28" t="n">
        <v>12</v>
      </c>
      <c r="D6" s="24" t="inlineStr">
        <is>
          <t>each</t>
        </is>
      </c>
      <c r="E6" s="29" t="n">
        <v>6.6</v>
      </c>
      <c r="F6" s="30">
        <f>IFERROR(E6/C6,0)</f>
        <v/>
      </c>
    </row>
    <row r="7">
      <c r="B7" s="19" t="inlineStr">
        <is>
          <t>Cheddar cheese</t>
        </is>
      </c>
      <c r="C7" s="25" t="n">
        <v>80</v>
      </c>
      <c r="D7" s="21" t="inlineStr">
        <is>
          <t>oz</t>
        </is>
      </c>
      <c r="E7" s="26" t="n">
        <v>28</v>
      </c>
      <c r="F7" s="27">
        <f>IFERROR(E7/C7,0)</f>
        <v/>
      </c>
    </row>
    <row r="8">
      <c r="B8" s="22" t="inlineStr">
        <is>
          <t>Lettuce</t>
        </is>
      </c>
      <c r="C8" s="28" t="n">
        <v>100</v>
      </c>
      <c r="D8" s="24" t="inlineStr">
        <is>
          <t>oz</t>
        </is>
      </c>
      <c r="E8" s="29" t="n">
        <v>8</v>
      </c>
      <c r="F8" s="30">
        <f>IFERROR(E8/C8,0)</f>
        <v/>
      </c>
    </row>
    <row r="9">
      <c r="B9" s="19" t="inlineStr">
        <is>
          <t>Tomato</t>
        </is>
      </c>
      <c r="C9" s="25" t="n">
        <v>120</v>
      </c>
      <c r="D9" s="21" t="inlineStr">
        <is>
          <t>oz</t>
        </is>
      </c>
      <c r="E9" s="26" t="n">
        <v>12</v>
      </c>
      <c r="F9" s="27">
        <f>IFERROR(E9/C9,0)</f>
        <v/>
      </c>
    </row>
    <row r="10">
      <c r="B10" s="22" t="inlineStr">
        <is>
          <t>Special sauce</t>
        </is>
      </c>
      <c r="C10" s="28" t="n">
        <v>64</v>
      </c>
      <c r="D10" s="24" t="inlineStr">
        <is>
          <t>oz</t>
        </is>
      </c>
      <c r="E10" s="29" t="n">
        <v>7.68</v>
      </c>
      <c r="F10" s="30">
        <f>IFERROR(E10/C10,0)</f>
        <v/>
      </c>
    </row>
    <row r="11">
      <c r="B11" s="19" t="inlineStr">
        <is>
          <t>Pickles</t>
        </is>
      </c>
      <c r="C11" s="25" t="n">
        <v>128</v>
      </c>
      <c r="D11" s="21" t="inlineStr">
        <is>
          <t>oz</t>
        </is>
      </c>
      <c r="E11" s="26" t="n">
        <v>11.52</v>
      </c>
      <c r="F11" s="27">
        <f>IFERROR(E11/C11,0)</f>
        <v/>
      </c>
    </row>
    <row r="12">
      <c r="B12" s="22" t="inlineStr">
        <is>
          <t>Onion</t>
        </is>
      </c>
      <c r="C12" s="28" t="n">
        <v>160</v>
      </c>
      <c r="D12" s="24" t="inlineStr">
        <is>
          <t>oz</t>
        </is>
      </c>
      <c r="E12" s="29" t="n">
        <v>9.6</v>
      </c>
      <c r="F12" s="30">
        <f>IFERROR(E12/C12,0)</f>
        <v/>
      </c>
    </row>
    <row r="13">
      <c r="B13" s="19" t="inlineStr">
        <is>
          <t>Pizza dough ball</t>
        </is>
      </c>
      <c r="C13" s="25" t="n">
        <v>20</v>
      </c>
      <c r="D13" s="21" t="inlineStr">
        <is>
          <t>each</t>
        </is>
      </c>
      <c r="E13" s="26" t="n">
        <v>11</v>
      </c>
      <c r="F13" s="27">
        <f>IFERROR(E13/C13,0)</f>
        <v/>
      </c>
    </row>
    <row r="14">
      <c r="B14" s="22" t="inlineStr">
        <is>
          <t>Mozzarella</t>
        </is>
      </c>
      <c r="C14" s="28" t="n">
        <v>80</v>
      </c>
      <c r="D14" s="24" t="inlineStr">
        <is>
          <t>oz</t>
        </is>
      </c>
      <c r="E14" s="29" t="n">
        <v>24</v>
      </c>
      <c r="F14" s="30">
        <f>IFERROR(E14/C14,0)</f>
        <v/>
      </c>
    </row>
    <row r="15">
      <c r="B15" s="19" t="inlineStr">
        <is>
          <t>Salmon fillet</t>
        </is>
      </c>
      <c r="C15" s="25" t="n">
        <v>40</v>
      </c>
      <c r="D15" s="21" t="inlineStr">
        <is>
          <t>oz</t>
        </is>
      </c>
      <c r="E15" s="26" t="n">
        <v>320</v>
      </c>
      <c r="F15" s="27">
        <f>IFERROR(E15/C15,0)</f>
        <v/>
      </c>
    </row>
    <row r="16">
      <c r="B16" s="22" t="inlineStr">
        <is>
          <t>Ribeye steak</t>
        </is>
      </c>
      <c r="C16" s="28" t="n">
        <v>32</v>
      </c>
      <c r="D16" s="24" t="inlineStr">
        <is>
          <t>oz</t>
        </is>
      </c>
      <c r="E16" s="29" t="n">
        <v>288</v>
      </c>
      <c r="F16" s="30">
        <f>IFERROR(E16/C16,0)</f>
        <v/>
      </c>
    </row>
    <row r="17">
      <c r="B17" s="19" t="inlineStr">
        <is>
          <t>Dry pasta</t>
        </is>
      </c>
      <c r="C17" s="25" t="n">
        <v>160</v>
      </c>
      <c r="D17" s="21" t="inlineStr">
        <is>
          <t>oz</t>
        </is>
      </c>
      <c r="E17" s="26" t="n">
        <v>16</v>
      </c>
      <c r="F17" s="27">
        <f>IFERROR(E17/C17,0)</f>
        <v/>
      </c>
    </row>
    <row r="18">
      <c r="B18" s="22" t="inlineStr">
        <is>
          <t>Romaine</t>
        </is>
      </c>
      <c r="C18" s="28" t="n">
        <v>100</v>
      </c>
      <c r="D18" s="24" t="inlineStr">
        <is>
          <t>oz</t>
        </is>
      </c>
      <c r="E18" s="29" t="n">
        <v>9</v>
      </c>
      <c r="F18" s="30">
        <f>IFERROR(E18/C18,0)</f>
        <v/>
      </c>
    </row>
  </sheetData>
  <mergeCells count="2">
    <mergeCell ref="A2:F2"/>
    <mergeCell ref="A1:F1"/>
  </mergeCells>
  <dataValidations count="5">
    <dataValidation sqref="D5:D18" showDropDown="0" showInputMessage="0" showErrorMessage="0" allowBlank="1" type="list">
      <formula1>=UnitList</formula1>
    </dataValidation>
    <dataValidation sqref="D5:D18" showDropDown="0" showInputMessage="0" showErrorMessage="0" allowBlank="1" type="list">
      <formula1>=UnitList</formula1>
    </dataValidation>
    <dataValidation sqref="D5:D18" showDropDown="0" showInputMessage="0" showErrorMessage="0" allowBlank="1" type="list">
      <formula1>=UnitList</formula1>
    </dataValidation>
    <dataValidation sqref="D5:D18" showDropDown="0" showInputMessage="0" showErrorMessage="0" allowBlank="1" type="list">
      <formula1>=UnitList</formula1>
    </dataValidation>
    <dataValidation sqref="D5:D18" showDropDown="0" showInputMessage="0" showErrorMessage="0" allowBlank="1" type="list">
      <formula1>=UnitList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28" customWidth="1" min="2" max="2"/>
    <col width="10" customWidth="1" min="3" max="3"/>
    <col width="10" customWidth="1" min="4" max="4"/>
    <col width="14" customWidth="1" min="5" max="5"/>
    <col width="14" customWidth="1" min="6" max="6"/>
    <col width="2" customWidth="1" min="7" max="7"/>
  </cols>
  <sheetData>
    <row r="1" ht="46" customHeight="1">
      <c r="A1" s="1" t="inlineStr">
        <is>
          <t xml:space="preserve">  🧮  RECIPE COSTING</t>
        </is>
      </c>
    </row>
    <row r="2" ht="22" customHeight="1">
      <c r="A2" s="2" t="inlineStr">
        <is>
          <t xml:space="preserve">  Cost a plate line by line — quantity × unit cost. Change a price and the plate re-costs itself.</t>
        </is>
      </c>
    </row>
    <row r="3" ht="6" customHeight="1">
      <c r="A3" s="3" t="n"/>
      <c r="B3" s="3" t="n"/>
      <c r="C3" s="3" t="n"/>
      <c r="D3" s="3" t="n"/>
      <c r="E3" s="3" t="n"/>
      <c r="F3" s="3" t="n"/>
    </row>
    <row r="5">
      <c r="B5" s="4" t="inlineStr">
        <is>
          <t>RECIPE</t>
        </is>
      </c>
      <c r="D5" s="31" t="inlineStr">
        <is>
          <t>Classic Burger</t>
        </is>
      </c>
      <c r="E5" s="32" t="inlineStr">
        <is>
          <t>Yield →</t>
        </is>
      </c>
      <c r="F5" s="31" t="n">
        <v>1</v>
      </c>
    </row>
    <row r="6" ht="30" customHeight="1">
      <c r="B6" s="9" t="inlineStr">
        <is>
          <t>Ingredient</t>
        </is>
      </c>
      <c r="C6" s="9" t="inlineStr">
        <is>
          <t>Qty</t>
        </is>
      </c>
      <c r="D6" s="9" t="inlineStr">
        <is>
          <t>Unit</t>
        </is>
      </c>
      <c r="E6" s="9" t="inlineStr">
        <is>
          <t>Cost/Unit</t>
        </is>
      </c>
      <c r="F6" s="9" t="inlineStr">
        <is>
          <t>Ext. Cost</t>
        </is>
      </c>
    </row>
    <row r="7">
      <c r="B7" s="19" t="inlineStr">
        <is>
          <t>Ground beef 80/20</t>
        </is>
      </c>
      <c r="C7" s="33" t="n">
        <v>6</v>
      </c>
      <c r="D7" s="21" t="inlineStr">
        <is>
          <t>oz</t>
        </is>
      </c>
      <c r="E7" s="26" t="n">
        <v>0.28</v>
      </c>
      <c r="F7" s="27">
        <f>C7*E7</f>
        <v/>
      </c>
    </row>
    <row r="8">
      <c r="B8" s="22" t="inlineStr">
        <is>
          <t>Brioche bun</t>
        </is>
      </c>
      <c r="C8" s="34" t="n">
        <v>1</v>
      </c>
      <c r="D8" s="24" t="inlineStr">
        <is>
          <t>each</t>
        </is>
      </c>
      <c r="E8" s="29" t="n">
        <v>0.55</v>
      </c>
      <c r="F8" s="30">
        <f>C8*E8</f>
        <v/>
      </c>
    </row>
    <row r="9">
      <c r="B9" s="19" t="inlineStr">
        <is>
          <t>Cheddar cheese</t>
        </is>
      </c>
      <c r="C9" s="33" t="n">
        <v>1</v>
      </c>
      <c r="D9" s="21" t="inlineStr">
        <is>
          <t>oz</t>
        </is>
      </c>
      <c r="E9" s="26" t="n">
        <v>0.35</v>
      </c>
      <c r="F9" s="27">
        <f>C9*E9</f>
        <v/>
      </c>
    </row>
    <row r="10">
      <c r="B10" s="22" t="inlineStr">
        <is>
          <t>Lettuce</t>
        </is>
      </c>
      <c r="C10" s="34" t="n">
        <v>0.5</v>
      </c>
      <c r="D10" s="24" t="inlineStr">
        <is>
          <t>oz</t>
        </is>
      </c>
      <c r="E10" s="29" t="n">
        <v>0.08</v>
      </c>
      <c r="F10" s="30">
        <f>C10*E10</f>
        <v/>
      </c>
    </row>
    <row r="11">
      <c r="B11" s="19" t="inlineStr">
        <is>
          <t>Tomato</t>
        </is>
      </c>
      <c r="C11" s="33" t="n">
        <v>1</v>
      </c>
      <c r="D11" s="21" t="inlineStr">
        <is>
          <t>oz</t>
        </is>
      </c>
      <c r="E11" s="26" t="n">
        <v>0.1</v>
      </c>
      <c r="F11" s="27">
        <f>C11*E11</f>
        <v/>
      </c>
    </row>
    <row r="12">
      <c r="B12" s="22" t="inlineStr">
        <is>
          <t>Special sauce</t>
        </is>
      </c>
      <c r="C12" s="34" t="n">
        <v>1</v>
      </c>
      <c r="D12" s="24" t="inlineStr">
        <is>
          <t>oz</t>
        </is>
      </c>
      <c r="E12" s="29" t="n">
        <v>0.12</v>
      </c>
      <c r="F12" s="30">
        <f>C12*E12</f>
        <v/>
      </c>
    </row>
    <row r="13">
      <c r="B13" s="19" t="inlineStr">
        <is>
          <t>Pickles</t>
        </is>
      </c>
      <c r="C13" s="33" t="n">
        <v>0.5</v>
      </c>
      <c r="D13" s="21" t="inlineStr">
        <is>
          <t>oz</t>
        </is>
      </c>
      <c r="E13" s="26" t="n">
        <v>0.09</v>
      </c>
      <c r="F13" s="27">
        <f>C13*E13</f>
        <v/>
      </c>
    </row>
    <row r="14">
      <c r="B14" s="22" t="inlineStr">
        <is>
          <t>Onion</t>
        </is>
      </c>
      <c r="C14" s="34" t="n">
        <v>0.5</v>
      </c>
      <c r="D14" s="24" t="inlineStr">
        <is>
          <t>oz</t>
        </is>
      </c>
      <c r="E14" s="29" t="n">
        <v>0.06</v>
      </c>
      <c r="F14" s="30">
        <f>C14*E14</f>
        <v/>
      </c>
    </row>
    <row r="15">
      <c r="B15" s="9" t="inlineStr">
        <is>
          <t>TOTAL RECIPE COST</t>
        </is>
      </c>
      <c r="C15" s="35" t="n"/>
      <c r="D15" s="35" t="n"/>
      <c r="E15" s="35" t="n"/>
      <c r="F15" s="36">
        <f>SUM(F7:F14)</f>
        <v/>
      </c>
    </row>
    <row r="16">
      <c r="B16" s="7" t="inlineStr">
        <is>
          <t>COST PER SERVING  (total ÷ yield)</t>
        </is>
      </c>
      <c r="F16" s="37">
        <f>IFERROR(F15/F5,0)</f>
        <v/>
      </c>
    </row>
    <row r="18">
      <c r="B18" s="7" t="inlineStr">
        <is>
          <t>Cost/Unit values come from your Ingredient Library — restate or link them here.</t>
        </is>
      </c>
    </row>
  </sheetData>
  <mergeCells count="4">
    <mergeCell ref="A2:F2"/>
    <mergeCell ref="B5:C5"/>
    <mergeCell ref="A1:F1"/>
    <mergeCell ref="B16:E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2" customWidth="1" min="4" max="4"/>
    <col width="12" customWidth="1" min="5" max="5"/>
    <col width="10" customWidth="1" min="6" max="6"/>
    <col width="12" customWidth="1" min="7" max="7"/>
    <col width="12" customWidth="1" min="8" max="8"/>
    <col width="14" customWidth="1" min="9" max="9"/>
    <col width="2" customWidth="1" min="10" max="10"/>
  </cols>
  <sheetData>
    <row r="1" ht="46" customHeight="1">
      <c r="A1" s="1" t="inlineStr">
        <is>
          <t xml:space="preserve">  📋  MENU ITEMS</t>
        </is>
      </c>
    </row>
    <row r="2" ht="22" customHeight="1">
      <c r="A2" s="2" t="inlineStr">
        <is>
          <t xml:space="preserve">  Every plate's cost, price, food-cost % &amp; margin — and its menu-engineering class, live.</t>
        </is>
      </c>
    </row>
    <row r="3" ht="6" customHeight="1">
      <c r="A3" s="3" t="n"/>
      <c r="B3" s="3" t="n"/>
      <c r="C3" s="3" t="n"/>
      <c r="D3" s="3" t="n"/>
      <c r="E3" s="3" t="n"/>
      <c r="F3" s="3" t="n"/>
      <c r="G3" s="3" t="n"/>
      <c r="H3" s="3" t="n"/>
      <c r="I3" s="3" t="n"/>
    </row>
    <row r="4" ht="30" customHeight="1">
      <c r="B4" s="9" t="inlineStr">
        <is>
          <t>Item</t>
        </is>
      </c>
      <c r="C4" s="9" t="inlineStr">
        <is>
          <t>Category</t>
        </is>
      </c>
      <c r="D4" s="9" t="inlineStr">
        <is>
          <t>Plate Cost</t>
        </is>
      </c>
      <c r="E4" s="9" t="inlineStr">
        <is>
          <t>Price</t>
        </is>
      </c>
      <c r="F4" s="9" t="inlineStr">
        <is>
          <t>Units/mo</t>
        </is>
      </c>
      <c r="G4" s="9" t="inlineStr">
        <is>
          <t>Food Cost %</t>
        </is>
      </c>
      <c r="H4" s="9" t="inlineStr">
        <is>
          <t>Margin $</t>
        </is>
      </c>
      <c r="I4" s="9" t="inlineStr">
        <is>
          <t>Class</t>
        </is>
      </c>
    </row>
    <row r="5">
      <c r="B5" s="19" t="inlineStr">
        <is>
          <t>Classic Burger</t>
        </is>
      </c>
      <c r="C5" s="21" t="inlineStr">
        <is>
          <t>Entrée</t>
        </is>
      </c>
      <c r="D5" s="26">
        <f>BurgerCost</f>
        <v/>
      </c>
      <c r="E5" s="26" t="n">
        <v>15</v>
      </c>
      <c r="F5" s="25" t="n">
        <v>340</v>
      </c>
      <c r="G5" s="20">
        <f>IFERROR(D5/E5,0)</f>
        <v/>
      </c>
      <c r="H5" s="27">
        <f>E5-D5</f>
        <v/>
      </c>
      <c r="I5" s="21">
        <f>IF(AND(F5&gt;=$C$15,H5&gt;=$C$16),"Star",IF(F5&gt;=$C$15,"Plowhorse",IF(H5&gt;=$C$16,"Puzzle","Dog")))</f>
        <v/>
      </c>
    </row>
    <row r="6">
      <c r="B6" s="22" t="inlineStr">
        <is>
          <t>Margherita Pizza</t>
        </is>
      </c>
      <c r="C6" s="24" t="inlineStr">
        <is>
          <t>Pizza</t>
        </is>
      </c>
      <c r="D6" s="29" t="n">
        <v>3.1</v>
      </c>
      <c r="E6" s="29" t="n">
        <v>14</v>
      </c>
      <c r="F6" s="28" t="n">
        <v>240</v>
      </c>
      <c r="G6" s="23">
        <f>IFERROR(D6/E6,0)</f>
        <v/>
      </c>
      <c r="H6" s="30">
        <f>E6-D6</f>
        <v/>
      </c>
      <c r="I6" s="24">
        <f>IF(AND(F6&gt;=$C$15,H6&gt;=$C$16),"Star",IF(F6&gt;=$C$15,"Plowhorse",IF(H6&gt;=$C$16,"Puzzle","Dog")))</f>
        <v/>
      </c>
    </row>
    <row r="7">
      <c r="B7" s="19" t="inlineStr">
        <is>
          <t>Caesar Salad</t>
        </is>
      </c>
      <c r="C7" s="21" t="inlineStr">
        <is>
          <t>Salad</t>
        </is>
      </c>
      <c r="D7" s="26" t="n">
        <v>2.4</v>
      </c>
      <c r="E7" s="26" t="n">
        <v>11</v>
      </c>
      <c r="F7" s="25" t="n">
        <v>150</v>
      </c>
      <c r="G7" s="20">
        <f>IFERROR(D7/E7,0)</f>
        <v/>
      </c>
      <c r="H7" s="27">
        <f>E7-D7</f>
        <v/>
      </c>
      <c r="I7" s="21">
        <f>IF(AND(F7&gt;=$C$15,H7&gt;=$C$16),"Star",IF(F7&gt;=$C$15,"Plowhorse",IF(H7&gt;=$C$16,"Puzzle","Dog")))</f>
        <v/>
      </c>
    </row>
    <row r="8">
      <c r="B8" s="22" t="inlineStr">
        <is>
          <t>Ribeye Steak</t>
        </is>
      </c>
      <c r="C8" s="24" t="inlineStr">
        <is>
          <t>Entrée</t>
        </is>
      </c>
      <c r="D8" s="29" t="n">
        <v>11.5</v>
      </c>
      <c r="E8" s="29" t="n">
        <v>33</v>
      </c>
      <c r="F8" s="28" t="n">
        <v>110</v>
      </c>
      <c r="G8" s="23">
        <f>IFERROR(D8/E8,0)</f>
        <v/>
      </c>
      <c r="H8" s="30">
        <f>E8-D8</f>
        <v/>
      </c>
      <c r="I8" s="24">
        <f>IF(AND(F8&gt;=$C$15,H8&gt;=$C$16),"Star",IF(F8&gt;=$C$15,"Plowhorse",IF(H8&gt;=$C$16,"Puzzle","Dog")))</f>
        <v/>
      </c>
    </row>
    <row r="9">
      <c r="B9" s="19" t="inlineStr">
        <is>
          <t>Salmon Fillet</t>
        </is>
      </c>
      <c r="C9" s="21" t="inlineStr">
        <is>
          <t>Entrée</t>
        </is>
      </c>
      <c r="D9" s="26" t="n">
        <v>8.199999999999999</v>
      </c>
      <c r="E9" s="26" t="n">
        <v>27</v>
      </c>
      <c r="F9" s="25" t="n">
        <v>200</v>
      </c>
      <c r="G9" s="20">
        <f>IFERROR(D9/E9,0)</f>
        <v/>
      </c>
      <c r="H9" s="27">
        <f>E9-D9</f>
        <v/>
      </c>
      <c r="I9" s="21">
        <f>IF(AND(F9&gt;=$C$15,H9&gt;=$C$16),"Star",IF(F9&gt;=$C$15,"Plowhorse",IF(H9&gt;=$C$16,"Puzzle","Dog")))</f>
        <v/>
      </c>
    </row>
    <row r="10">
      <c r="B10" s="22" t="inlineStr">
        <is>
          <t>Truffle Fries</t>
        </is>
      </c>
      <c r="C10" s="24" t="inlineStr">
        <is>
          <t>Side</t>
        </is>
      </c>
      <c r="D10" s="29" t="n">
        <v>1.8</v>
      </c>
      <c r="E10" s="29" t="n">
        <v>9</v>
      </c>
      <c r="F10" s="28" t="n">
        <v>320</v>
      </c>
      <c r="G10" s="23">
        <f>IFERROR(D10/E10,0)</f>
        <v/>
      </c>
      <c r="H10" s="30">
        <f>E10-D10</f>
        <v/>
      </c>
      <c r="I10" s="24">
        <f>IF(AND(F10&gt;=$C$15,H10&gt;=$C$16),"Star",IF(F10&gt;=$C$15,"Plowhorse",IF(H10&gt;=$C$16,"Puzzle","Dog")))</f>
        <v/>
      </c>
    </row>
    <row r="11">
      <c r="B11" s="19" t="inlineStr">
        <is>
          <t>Pasta Carbonara</t>
        </is>
      </c>
      <c r="C11" s="21" t="inlineStr">
        <is>
          <t>Pasta</t>
        </is>
      </c>
      <c r="D11" s="26" t="n">
        <v>3.6</v>
      </c>
      <c r="E11" s="26" t="n">
        <v>18</v>
      </c>
      <c r="F11" s="25" t="n">
        <v>250</v>
      </c>
      <c r="G11" s="20">
        <f>IFERROR(D11/E11,0)</f>
        <v/>
      </c>
      <c r="H11" s="27">
        <f>E11-D11</f>
        <v/>
      </c>
      <c r="I11" s="21">
        <f>IF(AND(F11&gt;=$C$15,H11&gt;=$C$16),"Star",IF(F11&gt;=$C$15,"Plowhorse",IF(H11&gt;=$C$16,"Puzzle","Dog")))</f>
        <v/>
      </c>
    </row>
    <row r="12">
      <c r="B12" s="22" t="inlineStr">
        <is>
          <t>Fish Tacos</t>
        </is>
      </c>
      <c r="C12" s="24" t="inlineStr">
        <is>
          <t>Entrée</t>
        </is>
      </c>
      <c r="D12" s="29" t="n">
        <v>4.5</v>
      </c>
      <c r="E12" s="29" t="n">
        <v>17</v>
      </c>
      <c r="F12" s="28" t="n">
        <v>230</v>
      </c>
      <c r="G12" s="23">
        <f>IFERROR(D12/E12,0)</f>
        <v/>
      </c>
      <c r="H12" s="30">
        <f>E12-D12</f>
        <v/>
      </c>
      <c r="I12" s="24">
        <f>IF(AND(F12&gt;=$C$15,H12&gt;=$C$16),"Star",IF(F12&gt;=$C$15,"Plowhorse",IF(H12&gt;=$C$16,"Puzzle","Dog")))</f>
        <v/>
      </c>
    </row>
    <row r="13">
      <c r="B13" s="9" t="inlineStr">
        <is>
          <t>MENU</t>
        </is>
      </c>
      <c r="C13" s="35" t="n"/>
      <c r="D13" s="36">
        <f>AVERAGE(MenuCost)</f>
        <v/>
      </c>
      <c r="E13" s="36">
        <f>AVERAGE(MenuPrice)</f>
        <v/>
      </c>
      <c r="F13" s="38">
        <f>SUM(MenuUnits)</f>
        <v/>
      </c>
      <c r="G13" s="39">
        <f>AVERAGE(MenuFC)</f>
        <v/>
      </c>
      <c r="H13" s="36">
        <f>AVERAGE(MenuMargin)</f>
        <v/>
      </c>
      <c r="I13" s="35" t="n"/>
    </row>
    <row r="15">
      <c r="B15" s="40" t="inlineStr">
        <is>
          <t>Avg units (popularity line)</t>
        </is>
      </c>
      <c r="C15" s="41">
        <f>AVERAGE(MenuUnits)</f>
        <v/>
      </c>
    </row>
    <row r="16">
      <c r="B16" s="40" t="inlineStr">
        <is>
          <t>Avg margin (profit line)</t>
        </is>
      </c>
      <c r="C16" s="42">
        <f>AVERAGE(MenuMargin)</f>
        <v/>
      </c>
    </row>
  </sheetData>
  <mergeCells count="2">
    <mergeCell ref="A1:I1"/>
    <mergeCell ref="A2:I2"/>
  </mergeCells>
  <conditionalFormatting sqref="G5:G12">
    <cfRule type="colorScale" priority="1">
      <colorScale>
        <cfvo type="num" val="0.15"/>
        <cfvo type="num" val="0.3"/>
        <cfvo type="num" val="0.45"/>
        <color rgb="FF75E6C1"/>
        <color rgb="FFFFF3CD"/>
        <color rgb="FFFBE6E6"/>
      </colorScale>
    </cfRule>
  </conditionalFormatting>
  <conditionalFormatting sqref="I5:I12">
    <cfRule type="cellIs" priority="2" operator="equal" dxfId="0">
      <formula>"Star"</formula>
    </cfRule>
    <cfRule type="cellIs" priority="3" operator="equal" dxfId="1">
      <formula>"Plowhorse"</formula>
    </cfRule>
    <cfRule type="cellIs" priority="4" operator="equal" dxfId="2">
      <formula>"Puzzle"</formula>
    </cfRule>
    <cfRule type="cellIs" priority="5" operator="equal" dxfId="3">
      <formula>"Dog"</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 customWidth="1" min="1" max="1"/>
    <col width="26" customWidth="1" min="2" max="2"/>
    <col width="16" customWidth="1" min="3" max="3"/>
    <col width="30" customWidth="1" min="4" max="4"/>
    <col width="2" customWidth="1" min="5" max="5"/>
  </cols>
  <sheetData>
    <row r="1" ht="46" customHeight="1">
      <c r="A1" s="1" t="inlineStr">
        <is>
          <t xml:space="preserve">  ⭐  MENU ENGINEERING</t>
        </is>
      </c>
    </row>
    <row r="2" ht="22" customHeight="1">
      <c r="A2" s="2" t="inlineStr">
        <is>
          <t xml:space="preserve">  Every item by popularity × profitability. Promote Stars, rework Plowhorses, reprice Puzzles, cut Dogs.</t>
        </is>
      </c>
    </row>
    <row r="3" ht="6" customHeight="1">
      <c r="A3" s="3" t="n"/>
      <c r="B3" s="3" t="n"/>
      <c r="C3" s="3" t="n"/>
      <c r="D3" s="3" t="n"/>
    </row>
    <row r="4" ht="30" customHeight="1">
      <c r="B4" s="9" t="inlineStr">
        <is>
          <t>Class</t>
        </is>
      </c>
      <c r="C4" s="9" t="inlineStr">
        <is>
          <t>Count</t>
        </is>
      </c>
      <c r="D4" s="9" t="inlineStr">
        <is>
          <t>What to do</t>
        </is>
      </c>
    </row>
    <row r="5">
      <c r="B5" s="43" t="inlineStr">
        <is>
          <t>Star</t>
        </is>
      </c>
      <c r="C5" s="44">
        <f>COUNTIF(MenuClass,"Star")</f>
        <v/>
      </c>
      <c r="D5" s="19" t="inlineStr">
        <is>
          <t>High profit + popular → feature it, protect it, never discount.</t>
        </is>
      </c>
    </row>
    <row r="6">
      <c r="B6" s="45" t="inlineStr">
        <is>
          <t>Plowhorse</t>
        </is>
      </c>
      <c r="C6" s="44">
        <f>COUNTIF(MenuClass,"Plowhorse")</f>
        <v/>
      </c>
      <c r="D6" s="19" t="inlineStr">
        <is>
          <t>Popular but low profit → trim cost or nudge price up.</t>
        </is>
      </c>
    </row>
    <row r="7">
      <c r="B7" s="46" t="inlineStr">
        <is>
          <t>Puzzle</t>
        </is>
      </c>
      <c r="C7" s="44">
        <f>COUNTIF(MenuClass,"Puzzle")</f>
        <v/>
      </c>
      <c r="D7" s="19" t="inlineStr">
        <is>
          <t>High profit but slow → reposition, rename, upsell it.</t>
        </is>
      </c>
    </row>
    <row r="8">
      <c r="B8" s="47" t="inlineStr">
        <is>
          <t>Dog</t>
        </is>
      </c>
      <c r="C8" s="44">
        <f>COUNTIF(MenuClass,"Dog")</f>
        <v/>
      </c>
      <c r="D8" s="19" t="inlineStr">
        <is>
          <t>Low profit + slow → rework or cut it from the menu.</t>
        </is>
      </c>
    </row>
    <row r="9">
      <c r="B9" s="9" t="inlineStr">
        <is>
          <t>TOTAL ITEMS</t>
        </is>
      </c>
      <c r="C9" s="48">
        <f>COUNTA(MenuItem)</f>
        <v/>
      </c>
      <c r="D9" s="35" t="n"/>
    </row>
    <row r="11">
      <c r="B11" s="7" t="inlineStr">
        <is>
          <t>The matrix uses your menu's own average popularity &amp; margin as the dividing lines.</t>
        </is>
      </c>
    </row>
  </sheetData>
  <mergeCells count="3">
    <mergeCell ref="B11:D11"/>
    <mergeCell ref="A1:D1"/>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4" customWidth="1" min="3" max="3"/>
    <col width="16" customWidth="1" min="4" max="4"/>
    <col width="16" customWidth="1" min="5" max="5"/>
    <col width="16" customWidth="1" min="6" max="6"/>
    <col width="2" customWidth="1" min="7" max="7"/>
  </cols>
  <sheetData>
    <row r="1" ht="46" customHeight="1">
      <c r="A1" s="1" t="inlineStr">
        <is>
          <t xml:space="preserve">  💲  PRICE CALCULATOR</t>
        </is>
      </c>
    </row>
    <row r="2" ht="22" customHeight="1">
      <c r="A2" s="2" t="inlineStr">
        <is>
          <t xml:space="preserve">  Turn any plate cost into a target-margin price — no more pricing by gut feel.</t>
        </is>
      </c>
    </row>
    <row r="3" ht="6" customHeight="1">
      <c r="A3" s="3" t="n"/>
      <c r="B3" s="3" t="n"/>
      <c r="C3" s="3" t="n"/>
      <c r="D3" s="3" t="n"/>
      <c r="E3" s="3" t="n"/>
      <c r="F3" s="3" t="n"/>
    </row>
    <row r="4" ht="30" customHeight="1">
      <c r="B4" s="9" t="inlineStr">
        <is>
          <t>Item</t>
        </is>
      </c>
      <c r="C4" s="9" t="inlineStr">
        <is>
          <t>Plate Cost</t>
        </is>
      </c>
      <c r="D4" s="9" t="inlineStr">
        <is>
          <t>Target FC %</t>
        </is>
      </c>
      <c r="E4" s="9" t="inlineStr">
        <is>
          <t>Suggested Price</t>
        </is>
      </c>
      <c r="F4" s="9" t="inlineStr">
        <is>
          <t>Margin $</t>
        </is>
      </c>
    </row>
    <row r="5">
      <c r="B5" s="19" t="inlineStr">
        <is>
          <t>New Wings App</t>
        </is>
      </c>
      <c r="C5" s="26" t="n">
        <v>2.8</v>
      </c>
      <c r="D5" s="49" t="n">
        <v>0.3</v>
      </c>
      <c r="E5" s="50">
        <f>IFERROR(C5/D5,0)</f>
        <v/>
      </c>
      <c r="F5" s="27">
        <f>E5-C5</f>
        <v/>
      </c>
    </row>
    <row r="6">
      <c r="B6" s="22" t="inlineStr">
        <is>
          <t>Veggie Bowl</t>
        </is>
      </c>
      <c r="C6" s="29" t="n">
        <v>3.2</v>
      </c>
      <c r="D6" s="51" t="n">
        <v>0.28</v>
      </c>
      <c r="E6" s="52">
        <f>IFERROR(C6/D6,0)</f>
        <v/>
      </c>
      <c r="F6" s="30">
        <f>E6-C6</f>
        <v/>
      </c>
    </row>
    <row r="7">
      <c r="B7" s="19" t="inlineStr">
        <is>
          <t>Steak Sandwich</t>
        </is>
      </c>
      <c r="C7" s="26" t="n">
        <v>5.4</v>
      </c>
      <c r="D7" s="49" t="n">
        <v>0.32</v>
      </c>
      <c r="E7" s="50">
        <f>IFERROR(C7/D7,0)</f>
        <v/>
      </c>
      <c r="F7" s="27">
        <f>E7-C7</f>
        <v/>
      </c>
    </row>
    <row r="8">
      <c r="B8" s="22" t="inlineStr">
        <is>
          <t>Dessert Special</t>
        </is>
      </c>
      <c r="C8" s="29" t="n">
        <v>1.9</v>
      </c>
      <c r="D8" s="51" t="n">
        <v>0.25</v>
      </c>
      <c r="E8" s="52">
        <f>IFERROR(C8/D8,0)</f>
        <v/>
      </c>
      <c r="F8" s="30">
        <f>E8-C8</f>
        <v/>
      </c>
    </row>
    <row r="10">
      <c r="B10" s="4" t="inlineStr">
        <is>
          <t>Suggested price = plate cost ÷ target food-cost %. Round to a menu-friendly number.</t>
        </is>
      </c>
    </row>
  </sheetData>
  <mergeCells count="3">
    <mergeCell ref="A2:F2"/>
    <mergeCell ref="B10:F1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2" customWidth="1" min="3" max="3"/>
    <col width="16" customWidth="1" min="4" max="4"/>
    <col width="16" customWidth="1" min="5" max="5"/>
    <col width="2" customWidth="1" min="6" max="6"/>
  </cols>
  <sheetData>
    <row r="1" ht="46" customHeight="1">
      <c r="A1" s="1" t="inlineStr">
        <is>
          <t xml:space="preserve">  📊  SALES MIX</t>
        </is>
      </c>
    </row>
    <row r="2" ht="22" customHeight="1">
      <c r="A2" s="2" t="inlineStr">
        <is>
          <t xml:space="preserve">  Where the money actually comes from — revenue &amp; profit contribution per item.</t>
        </is>
      </c>
    </row>
    <row r="3" ht="6" customHeight="1">
      <c r="A3" s="3" t="n"/>
      <c r="B3" s="3" t="n"/>
      <c r="C3" s="3" t="n"/>
      <c r="D3" s="3" t="n"/>
      <c r="E3" s="3" t="n"/>
    </row>
    <row r="4" ht="30" customHeight="1">
      <c r="B4" s="9" t="inlineStr">
        <is>
          <t>Item</t>
        </is>
      </c>
      <c r="C4" s="9" t="inlineStr">
        <is>
          <t>Units/mo</t>
        </is>
      </c>
      <c r="D4" s="9" t="inlineStr">
        <is>
          <t>Revenue</t>
        </is>
      </c>
      <c r="E4" s="9" t="inlineStr">
        <is>
          <t>Profit</t>
        </is>
      </c>
    </row>
    <row r="5">
      <c r="B5" s="19" t="inlineStr">
        <is>
          <t>Classic Burger</t>
        </is>
      </c>
      <c r="C5" s="53">
        <f>INDEX(MenuUnits,1)</f>
        <v/>
      </c>
      <c r="D5" s="54">
        <f>INDEX(MenuPrice,1)*C5</f>
        <v/>
      </c>
      <c r="E5" s="54">
        <f>INDEX(MenuMargin,1)*C5</f>
        <v/>
      </c>
    </row>
    <row r="6">
      <c r="B6" s="22" t="inlineStr">
        <is>
          <t>Margherita Pizza</t>
        </is>
      </c>
      <c r="C6" s="55">
        <f>INDEX(MenuUnits,2)</f>
        <v/>
      </c>
      <c r="D6" s="56">
        <f>INDEX(MenuPrice,2)*C6</f>
        <v/>
      </c>
      <c r="E6" s="56">
        <f>INDEX(MenuMargin,2)*C6</f>
        <v/>
      </c>
    </row>
    <row r="7">
      <c r="B7" s="19" t="inlineStr">
        <is>
          <t>Caesar Salad</t>
        </is>
      </c>
      <c r="C7" s="53">
        <f>INDEX(MenuUnits,3)</f>
        <v/>
      </c>
      <c r="D7" s="54">
        <f>INDEX(MenuPrice,3)*C7</f>
        <v/>
      </c>
      <c r="E7" s="54">
        <f>INDEX(MenuMargin,3)*C7</f>
        <v/>
      </c>
    </row>
    <row r="8">
      <c r="B8" s="22" t="inlineStr">
        <is>
          <t>Ribeye Steak</t>
        </is>
      </c>
      <c r="C8" s="55">
        <f>INDEX(MenuUnits,4)</f>
        <v/>
      </c>
      <c r="D8" s="56">
        <f>INDEX(MenuPrice,4)*C8</f>
        <v/>
      </c>
      <c r="E8" s="56">
        <f>INDEX(MenuMargin,4)*C8</f>
        <v/>
      </c>
    </row>
    <row r="9">
      <c r="B9" s="19" t="inlineStr">
        <is>
          <t>Salmon Fillet</t>
        </is>
      </c>
      <c r="C9" s="53">
        <f>INDEX(MenuUnits,5)</f>
        <v/>
      </c>
      <c r="D9" s="54">
        <f>INDEX(MenuPrice,5)*C9</f>
        <v/>
      </c>
      <c r="E9" s="54">
        <f>INDEX(MenuMargin,5)*C9</f>
        <v/>
      </c>
    </row>
    <row r="10">
      <c r="B10" s="22" t="inlineStr">
        <is>
          <t>Truffle Fries</t>
        </is>
      </c>
      <c r="C10" s="55">
        <f>INDEX(MenuUnits,6)</f>
        <v/>
      </c>
      <c r="D10" s="56">
        <f>INDEX(MenuPrice,6)*C10</f>
        <v/>
      </c>
      <c r="E10" s="56">
        <f>INDEX(MenuMargin,6)*C10</f>
        <v/>
      </c>
    </row>
    <row r="11">
      <c r="B11" s="19" t="inlineStr">
        <is>
          <t>Pasta Carbonara</t>
        </is>
      </c>
      <c r="C11" s="53">
        <f>INDEX(MenuUnits,7)</f>
        <v/>
      </c>
      <c r="D11" s="54">
        <f>INDEX(MenuPrice,7)*C11</f>
        <v/>
      </c>
      <c r="E11" s="54">
        <f>INDEX(MenuMargin,7)*C11</f>
        <v/>
      </c>
    </row>
    <row r="12">
      <c r="B12" s="22" t="inlineStr">
        <is>
          <t>Fish Tacos</t>
        </is>
      </c>
      <c r="C12" s="55">
        <f>INDEX(MenuUnits,8)</f>
        <v/>
      </c>
      <c r="D12" s="56">
        <f>INDEX(MenuPrice,8)*C12</f>
        <v/>
      </c>
      <c r="E12" s="56">
        <f>INDEX(MenuMargin,8)*C12</f>
        <v/>
      </c>
    </row>
    <row r="13">
      <c r="B13" s="9" t="inlineStr">
        <is>
          <t>TOTAL / MONTH</t>
        </is>
      </c>
      <c r="C13" s="38">
        <f>SUM(MenuUnits)</f>
        <v/>
      </c>
      <c r="D13" s="57">
        <f>SUM(D5:D12)</f>
        <v/>
      </c>
      <c r="E13" s="57">
        <f>SUM(E5:E12)</f>
        <v/>
      </c>
    </row>
  </sheetData>
  <mergeCells count="2">
    <mergeCell ref="A2:E2"/>
    <mergeCell ref="A1:E1"/>
  </mergeCells>
  <conditionalFormatting sqref="E5:E12">
    <cfRule type="dataBar" priority="1">
      <dataBar showValue="1">
        <cfvo type="num" val="0"/>
        <cfvo type="max"/>
        <color rgb="001B4F48"/>
      </dataBar>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8" customWidth="1" min="3" max="3"/>
    <col width="12" customWidth="1" min="4" max="4"/>
    <col width="18" customWidth="1" min="5" max="5"/>
    <col width="2" customWidth="1" min="6" max="6"/>
  </cols>
  <sheetData>
    <row r="1" ht="46" customHeight="1">
      <c r="A1" s="1" t="inlineStr">
        <is>
          <t xml:space="preserve">  🔪  PORTION &amp; YIELD</t>
        </is>
      </c>
    </row>
    <row r="2" ht="22" customHeight="1">
      <c r="A2" s="2" t="inlineStr">
        <is>
          <t xml:space="preserve">  Trim, bones &amp; shrinkage cost money — edible-portion cost is your true cost.</t>
        </is>
      </c>
    </row>
    <row r="3" ht="6" customHeight="1">
      <c r="A3" s="3" t="n"/>
      <c r="B3" s="3" t="n"/>
      <c r="C3" s="3" t="n"/>
      <c r="D3" s="3" t="n"/>
      <c r="E3" s="3" t="n"/>
    </row>
    <row r="4" ht="30" customHeight="1">
      <c r="B4" s="9" t="inlineStr">
        <is>
          <t>Item</t>
        </is>
      </c>
      <c r="C4" s="9" t="inlineStr">
        <is>
          <t>As-Purchased Cost</t>
        </is>
      </c>
      <c r="D4" s="9" t="inlineStr">
        <is>
          <t>Yield %</t>
        </is>
      </c>
      <c r="E4" s="9" t="inlineStr">
        <is>
          <t>True (EP) Cost</t>
        </is>
      </c>
    </row>
    <row r="5">
      <c r="B5" s="19" t="inlineStr">
        <is>
          <t>Whole salmon side</t>
        </is>
      </c>
      <c r="C5" s="26" t="n">
        <v>8</v>
      </c>
      <c r="D5" s="49" t="n">
        <v>0.72</v>
      </c>
      <c r="E5" s="50">
        <f>IFERROR(C5/D5,0)</f>
        <v/>
      </c>
    </row>
    <row r="6">
      <c r="B6" s="22" t="inlineStr">
        <is>
          <t>Beef tenderloin</t>
        </is>
      </c>
      <c r="C6" s="29" t="n">
        <v>12</v>
      </c>
      <c r="D6" s="51" t="n">
        <v>0.68</v>
      </c>
      <c r="E6" s="52">
        <f>IFERROR(C6/D6,0)</f>
        <v/>
      </c>
    </row>
    <row r="7">
      <c r="B7" s="19" t="inlineStr">
        <is>
          <t>Romaine case</t>
        </is>
      </c>
      <c r="C7" s="26" t="n">
        <v>0.09</v>
      </c>
      <c r="D7" s="49" t="n">
        <v>0.85</v>
      </c>
      <c r="E7" s="50">
        <f>IFERROR(C7/D7,0)</f>
        <v/>
      </c>
    </row>
    <row r="8">
      <c r="B8" s="22" t="inlineStr">
        <is>
          <t>Whole chicken</t>
        </is>
      </c>
      <c r="C8" s="29" t="n">
        <v>4.2</v>
      </c>
      <c r="D8" s="51" t="n">
        <v>0.65</v>
      </c>
      <c r="E8" s="52">
        <f>IFERROR(C8/D8,0)</f>
        <v/>
      </c>
    </row>
    <row r="10">
      <c r="B10" s="4" t="inlineStr">
        <is>
          <t>True cost = as-purchased cost ÷ yield %. Always cost recipes at edible-portion cost.</t>
        </is>
      </c>
    </row>
  </sheetData>
  <mergeCells count="3">
    <mergeCell ref="A2:E2"/>
    <mergeCell ref="B10:E10"/>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4" customWidth="1" min="3" max="3"/>
    <col width="12" customWidth="1" min="4" max="4"/>
    <col width="14" customWidth="1" min="5" max="5"/>
    <col width="14" customWidth="1" min="6" max="6"/>
    <col width="2" customWidth="1" min="7" max="7"/>
  </cols>
  <sheetData>
    <row r="1" ht="46" customHeight="1">
      <c r="A1" s="1" t="inlineStr">
        <is>
          <t xml:space="preserve">  ✨  SPECIALS &amp; LTO</t>
        </is>
      </c>
    </row>
    <row r="2" ht="22" customHeight="1">
      <c r="A2" s="2" t="inlineStr">
        <is>
          <t xml:space="preserve">  Cost and price limited-time offers before you run them — protect the margin.</t>
        </is>
      </c>
    </row>
    <row r="3" ht="6" customHeight="1">
      <c r="A3" s="3" t="n"/>
      <c r="B3" s="3" t="n"/>
      <c r="C3" s="3" t="n"/>
      <c r="D3" s="3" t="n"/>
      <c r="E3" s="3" t="n"/>
      <c r="F3" s="3" t="n"/>
    </row>
    <row r="4" ht="30" customHeight="1">
      <c r="B4" s="9" t="inlineStr">
        <is>
          <t>Special</t>
        </is>
      </c>
      <c r="C4" s="9" t="inlineStr">
        <is>
          <t>Plate Cost</t>
        </is>
      </c>
      <c r="D4" s="9" t="inlineStr">
        <is>
          <t>Price</t>
        </is>
      </c>
      <c r="E4" s="9" t="inlineStr">
        <is>
          <t>Proj. Units</t>
        </is>
      </c>
      <c r="F4" s="9" t="inlineStr">
        <is>
          <t>Proj. Profit</t>
        </is>
      </c>
    </row>
    <row r="5">
      <c r="B5" s="19" t="inlineStr">
        <is>
          <t>Lobster Roll (summer)</t>
        </is>
      </c>
      <c r="C5" s="26" t="n">
        <v>9.5</v>
      </c>
      <c r="D5" s="26" t="n">
        <v>26</v>
      </c>
      <c r="E5" s="25" t="n">
        <v>80</v>
      </c>
      <c r="F5" s="58">
        <f>(D5-C5)*E5</f>
        <v/>
      </c>
    </row>
    <row r="6">
      <c r="B6" s="22" t="inlineStr">
        <is>
          <t>Pumpkin Ravioli (fall)</t>
        </is>
      </c>
      <c r="C6" s="29" t="n">
        <v>4.1</v>
      </c>
      <c r="D6" s="29" t="n">
        <v>19</v>
      </c>
      <c r="E6" s="28" t="n">
        <v>120</v>
      </c>
      <c r="F6" s="59">
        <f>(D6-C6)*E6</f>
        <v/>
      </c>
    </row>
    <row r="7">
      <c r="B7" s="19" t="inlineStr">
        <is>
          <t>Valentine Prix Fixe</t>
        </is>
      </c>
      <c r="C7" s="26" t="n">
        <v>14</v>
      </c>
      <c r="D7" s="26" t="n">
        <v>55</v>
      </c>
      <c r="E7" s="25" t="n">
        <v>60</v>
      </c>
      <c r="F7" s="58">
        <f>(D7-C7)*E7</f>
        <v/>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6" customWidth="1" min="4" max="4"/>
    <col width="16" customWidth="1" min="5" max="5"/>
    <col width="2" customWidth="1" min="6" max="6"/>
  </cols>
  <sheetData>
    <row r="1" ht="46" customHeight="1">
      <c r="A1" s="1" t="inlineStr">
        <is>
          <t xml:space="preserve">  🍲  BATCH &amp; PREP</t>
        </is>
      </c>
    </row>
    <row r="2" ht="22" customHeight="1">
      <c r="A2" s="2" t="inlineStr">
        <is>
          <t xml:space="preserve">  Cost your prep batches — batch cost ÷ yield gives the true cost per portion.</t>
        </is>
      </c>
    </row>
    <row r="3" ht="6" customHeight="1">
      <c r="A3" s="3" t="n"/>
      <c r="B3" s="3" t="n"/>
      <c r="C3" s="3" t="n"/>
      <c r="D3" s="3" t="n"/>
      <c r="E3" s="3" t="n"/>
    </row>
    <row r="4" ht="30" customHeight="1">
      <c r="B4" s="9" t="inlineStr">
        <is>
          <t>Component</t>
        </is>
      </c>
      <c r="C4" s="9" t="inlineStr">
        <is>
          <t>Batch Yield</t>
        </is>
      </c>
      <c r="D4" s="9" t="inlineStr">
        <is>
          <t>Batch Cost</t>
        </is>
      </c>
      <c r="E4" s="9" t="inlineStr">
        <is>
          <t>Cost / Serving</t>
        </is>
      </c>
    </row>
    <row r="5">
      <c r="B5" s="19" t="inlineStr">
        <is>
          <t>Marinara (gal)</t>
        </is>
      </c>
      <c r="C5" s="25" t="n">
        <v>96</v>
      </c>
      <c r="D5" s="26" t="n">
        <v>14.4</v>
      </c>
      <c r="E5" s="50">
        <f>IFERROR(D5/C5,0)</f>
        <v/>
      </c>
    </row>
    <row r="6">
      <c r="B6" s="22" t="inlineStr">
        <is>
          <t>Caesar dressing (qt)</t>
        </is>
      </c>
      <c r="C6" s="28" t="n">
        <v>32</v>
      </c>
      <c r="D6" s="29" t="n">
        <v>6.8</v>
      </c>
      <c r="E6" s="52">
        <f>IFERROR(D6/C6,0)</f>
        <v/>
      </c>
    </row>
    <row r="7">
      <c r="B7" s="19" t="inlineStr">
        <is>
          <t>Burger patties</t>
        </is>
      </c>
      <c r="C7" s="25" t="n">
        <v>40</v>
      </c>
      <c r="D7" s="26" t="n">
        <v>67.2</v>
      </c>
      <c r="E7" s="50">
        <f>IFERROR(D7/C7,0)</f>
        <v/>
      </c>
    </row>
    <row r="8">
      <c r="B8" s="22" t="inlineStr">
        <is>
          <t>Pizza dough (batch)</t>
        </is>
      </c>
      <c r="C8" s="28" t="n">
        <v>20</v>
      </c>
      <c r="D8" s="29" t="n">
        <v>11</v>
      </c>
      <c r="E8" s="52">
        <f>IFERROR(D8/C8,0)</f>
        <v/>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6" customWidth="1" min="3" max="3"/>
    <col width="16" customWidth="1" min="4" max="4"/>
    <col width="14" customWidth="1" min="5" max="5"/>
    <col width="2" customWidth="1" min="6" max="6"/>
  </cols>
  <sheetData>
    <row r="1" ht="46" customHeight="1">
      <c r="A1" s="1" t="inlineStr">
        <is>
          <t xml:space="preserve">  🚚  VENDOR PRICES</t>
        </is>
      </c>
    </row>
    <row r="2" ht="22" customHeight="1">
      <c r="A2" s="2" t="inlineStr">
        <is>
          <t xml:space="preserve">  Track what your suppliers charge — spot creep before it eats your margin.</t>
        </is>
      </c>
    </row>
    <row r="3" ht="6" customHeight="1">
      <c r="A3" s="3" t="n"/>
      <c r="B3" s="3" t="n"/>
      <c r="C3" s="3" t="n"/>
      <c r="D3" s="3" t="n"/>
      <c r="E3" s="3" t="n"/>
    </row>
    <row r="4" ht="30" customHeight="1">
      <c r="B4" s="9" t="inlineStr">
        <is>
          <t>Ingredient (pack)</t>
        </is>
      </c>
      <c r="C4" s="9" t="inlineStr">
        <is>
          <t>Last Price</t>
        </is>
      </c>
      <c r="D4" s="9" t="inlineStr">
        <is>
          <t>This Price</t>
        </is>
      </c>
      <c r="E4" s="9" t="inlineStr">
        <is>
          <t>Change</t>
        </is>
      </c>
    </row>
    <row r="5">
      <c r="B5" s="19" t="inlineStr">
        <is>
          <t>Ground beef 80/20 (case)</t>
        </is>
      </c>
      <c r="C5" s="26" t="n">
        <v>42</v>
      </c>
      <c r="D5" s="26" t="n">
        <v>44.8</v>
      </c>
      <c r="E5" s="60">
        <f>IFERROR((D5-C5)/C5,0)</f>
        <v/>
      </c>
    </row>
    <row r="6">
      <c r="B6" s="22" t="inlineStr">
        <is>
          <t>Salmon fillet (case)</t>
        </is>
      </c>
      <c r="C6" s="29" t="n">
        <v>300</v>
      </c>
      <c r="D6" s="29" t="n">
        <v>320</v>
      </c>
      <c r="E6" s="61">
        <f>IFERROR((D6-C6)/C6,0)</f>
        <v/>
      </c>
    </row>
    <row r="7">
      <c r="B7" s="19" t="inlineStr">
        <is>
          <t>Mozzarella (case)</t>
        </is>
      </c>
      <c r="C7" s="26" t="n">
        <v>25</v>
      </c>
      <c r="D7" s="26" t="n">
        <v>24</v>
      </c>
      <c r="E7" s="60">
        <f>IFERROR((D7-C7)/C7,0)</f>
        <v/>
      </c>
    </row>
    <row r="8">
      <c r="B8" s="22" t="inlineStr">
        <is>
          <t>Brioche bun (dozen)</t>
        </is>
      </c>
      <c r="C8" s="29" t="n">
        <v>6</v>
      </c>
      <c r="D8" s="29" t="n">
        <v>6.6</v>
      </c>
      <c r="E8" s="61">
        <f>IFERROR((D8-C8)/C8,0)</f>
        <v/>
      </c>
    </row>
    <row r="9">
      <c r="B9" s="19" t="inlineStr">
        <is>
          <t>Olive oil (jug)</t>
        </is>
      </c>
      <c r="C9" s="26" t="n">
        <v>28</v>
      </c>
      <c r="D9" s="26" t="n">
        <v>31</v>
      </c>
      <c r="E9" s="60">
        <f>IFERROR((D9-C9)/C9,0)</f>
        <v/>
      </c>
    </row>
  </sheetData>
  <mergeCells count="2">
    <mergeCell ref="A2:E2"/>
    <mergeCell ref="A1:E1"/>
  </mergeCells>
  <conditionalFormatting sqref="E5:E9">
    <cfRule type="cellIs" priority="1" operator="greaterThan" dxfId="3">
      <formula>0.05</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24" customWidth="1" min="3" max="3"/>
    <col width="14" customWidth="1" min="4" max="4"/>
    <col width="2" customWidth="1" min="5" max="5"/>
  </cols>
  <sheetData>
    <row r="1" ht="46" customHeight="1">
      <c r="A1" s="1" t="inlineStr">
        <is>
          <t xml:space="preserve">  🗑  WASTE LOG</t>
        </is>
      </c>
    </row>
    <row r="2" ht="22" customHeight="1">
      <c r="A2" s="2" t="inlineStr">
        <is>
          <t xml:space="preserve">  Every dollar thrown away, logged — waste is pure profit leaving the building.</t>
        </is>
      </c>
    </row>
    <row r="3" ht="6" customHeight="1">
      <c r="A3" s="3" t="n"/>
      <c r="B3" s="3" t="n"/>
      <c r="C3" s="3" t="n"/>
      <c r="D3" s="3" t="n"/>
    </row>
    <row r="4" ht="30" customHeight="1">
      <c r="B4" s="9" t="inlineStr">
        <is>
          <t>Item</t>
        </is>
      </c>
      <c r="C4" s="9" t="inlineStr">
        <is>
          <t>Reason</t>
        </is>
      </c>
      <c r="D4" s="9" t="inlineStr">
        <is>
          <t>Cost</t>
        </is>
      </c>
    </row>
    <row r="5">
      <c r="B5" s="62" t="inlineStr">
        <is>
          <t>Spoiled produce</t>
        </is>
      </c>
      <c r="C5" s="62" t="inlineStr">
        <is>
          <t>Over-ordered</t>
        </is>
      </c>
      <c r="D5" s="63" t="n">
        <v>42</v>
      </c>
    </row>
    <row r="6">
      <c r="B6" s="22" t="inlineStr">
        <is>
          <t>Overcooked steaks</t>
        </is>
      </c>
      <c r="C6" s="22" t="inlineStr">
        <is>
          <t>Kitchen error</t>
        </is>
      </c>
      <c r="D6" s="30" t="n">
        <v>34</v>
      </c>
    </row>
    <row r="7">
      <c r="B7" s="62" t="inlineStr">
        <is>
          <t>Expired dairy</t>
        </is>
      </c>
      <c r="C7" s="62" t="inlineStr">
        <is>
          <t>Rotation miss</t>
        </is>
      </c>
      <c r="D7" s="63" t="n">
        <v>18</v>
      </c>
    </row>
    <row r="8">
      <c r="B8" s="22" t="inlineStr">
        <is>
          <t>Prep trim</t>
        </is>
      </c>
      <c r="C8" s="22" t="inlineStr">
        <is>
          <t>Normal yield loss</t>
        </is>
      </c>
      <c r="D8" s="30" t="n">
        <v>26</v>
      </c>
    </row>
    <row r="9">
      <c r="B9" s="62" t="n"/>
      <c r="C9" s="62" t="n"/>
      <c r="D9" s="63" t="n"/>
    </row>
    <row r="10">
      <c r="B10" s="22" t="n"/>
      <c r="C10" s="22" t="n"/>
      <c r="D10" s="30" t="n"/>
    </row>
    <row r="11">
      <c r="B11" s="62" t="n"/>
      <c r="C11" s="62" t="n"/>
      <c r="D11" s="63" t="n"/>
    </row>
    <row r="12">
      <c r="B12" s="22" t="n"/>
      <c r="C12" s="22" t="n"/>
      <c r="D12" s="30" t="n"/>
    </row>
    <row r="13">
      <c r="B13" s="62" t="n"/>
      <c r="C13" s="62" t="n"/>
      <c r="D13" s="63" t="n"/>
    </row>
    <row r="14">
      <c r="B14" s="22" t="n"/>
      <c r="C14" s="22" t="n"/>
      <c r="D14" s="30" t="n"/>
    </row>
    <row r="15">
      <c r="B15" s="62" t="n"/>
      <c r="C15" s="62" t="n"/>
      <c r="D15" s="63" t="n"/>
    </row>
    <row r="16">
      <c r="B16" s="22" t="n"/>
      <c r="C16" s="22" t="n"/>
      <c r="D16" s="30" t="n"/>
    </row>
    <row r="17">
      <c r="B17" s="62" t="n"/>
      <c r="C17" s="62" t="n"/>
      <c r="D17" s="63" t="n"/>
    </row>
    <row r="18">
      <c r="B18" s="22" t="n"/>
      <c r="C18" s="22" t="n"/>
      <c r="D18" s="30" t="n"/>
    </row>
    <row r="19">
      <c r="B19" s="62" t="n"/>
      <c r="C19" s="62" t="n"/>
      <c r="D19" s="63" t="n"/>
    </row>
    <row r="20">
      <c r="B20" s="22" t="n"/>
      <c r="C20" s="22" t="n"/>
      <c r="D20" s="30" t="n"/>
    </row>
    <row r="21">
      <c r="B21" s="62" t="n"/>
      <c r="C21" s="62" t="n"/>
      <c r="D21" s="63" t="n"/>
    </row>
    <row r="22">
      <c r="B22" s="22" t="n"/>
      <c r="C22" s="22" t="n"/>
      <c r="D22" s="30" t="n"/>
    </row>
    <row r="23">
      <c r="B23" s="62" t="n"/>
      <c r="C23" s="62" t="n"/>
      <c r="D23" s="63" t="n"/>
    </row>
    <row r="24">
      <c r="B24" s="22" t="n"/>
      <c r="C24" s="22" t="n"/>
      <c r="D24" s="30" t="n"/>
    </row>
    <row r="25">
      <c r="B25" s="62" t="n"/>
      <c r="C25" s="62" t="n"/>
      <c r="D25" s="63" t="n"/>
    </row>
    <row r="26">
      <c r="B26" s="22" t="n"/>
      <c r="C26" s="22" t="n"/>
      <c r="D26" s="30" t="n"/>
    </row>
    <row r="27">
      <c r="B27" s="62" t="n"/>
      <c r="C27" s="62" t="n"/>
      <c r="D27" s="63" t="n"/>
    </row>
    <row r="28">
      <c r="B28" s="22" t="n"/>
      <c r="C28" s="22" t="n"/>
      <c r="D28" s="30" t="n"/>
    </row>
    <row r="29">
      <c r="B29" s="9" t="inlineStr">
        <is>
          <t>TOTAL WASTE / MO</t>
        </is>
      </c>
      <c r="C29" s="35" t="n"/>
      <c r="D29" s="64">
        <f>SUM(WasteCost)</f>
        <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26" customWidth="1" min="2" max="2"/>
    <col width="20" customWidth="1" min="3" max="3"/>
    <col width="3" customWidth="1" min="4" max="4"/>
    <col width="15" customWidth="1" min="5" max="5"/>
    <col width="15" customWidth="1" min="6" max="6"/>
    <col width="15" customWidth="1" min="7" max="7"/>
    <col width="15" customWidth="1" min="8" max="8"/>
    <col width="15" customWidth="1" min="9" max="9"/>
    <col width="15" customWidth="1" min="10" max="10"/>
  </cols>
  <sheetData>
    <row r="1" ht="46" customHeight="1">
      <c r="A1" s="1" t="inlineStr">
        <is>
          <t xml:space="preserve">  ⚙  SETTINGS</t>
        </is>
      </c>
    </row>
    <row r="2" ht="22" customHeight="1">
      <c r="A2" s="2" t="inlineStr">
        <is>
          <t xml:space="preserve">  Set your restaurant, target food-cost % &amp; lists once — every tab follows.</t>
        </is>
      </c>
    </row>
    <row r="3" ht="6" customHeight="1">
      <c r="A3" s="3" t="n"/>
      <c r="B3" s="3" t="n"/>
      <c r="C3" s="3" t="n"/>
      <c r="D3" s="3" t="n"/>
      <c r="E3" s="3" t="n"/>
      <c r="F3" s="3" t="n"/>
      <c r="G3" s="3" t="n"/>
      <c r="H3" s="3" t="n"/>
      <c r="I3" s="3" t="n"/>
      <c r="J3" s="3" t="n"/>
    </row>
    <row r="5">
      <c r="B5" s="7" t="inlineStr">
        <is>
          <t>YOUR RESTAURANT</t>
        </is>
      </c>
      <c r="E5" s="4" t="inlineStr">
        <is>
          <t>DROPDOWN LISTS</t>
        </is>
      </c>
    </row>
    <row r="6">
      <c r="B6" s="40" t="inlineStr">
        <is>
          <t>Restaurant name</t>
        </is>
      </c>
      <c r="C6" s="65" t="inlineStr">
        <is>
          <t>The Copper Skillet</t>
        </is>
      </c>
      <c r="E6" s="9" t="inlineStr">
        <is>
          <t>Unit</t>
        </is>
      </c>
      <c r="F6" s="9" t="inlineStr">
        <is>
          <t>Station</t>
        </is>
      </c>
      <c r="G6" s="9" t="inlineStr">
        <is>
          <t>Category</t>
        </is>
      </c>
      <c r="H6" s="9" t="inlineStr">
        <is>
          <t>Yes / No</t>
        </is>
      </c>
    </row>
    <row r="7">
      <c r="B7" s="40" t="inlineStr">
        <is>
          <t>Owner / chef</t>
        </is>
      </c>
      <c r="C7" s="65" t="inlineStr">
        <is>
          <t>Marco</t>
        </is>
      </c>
      <c r="E7" s="19" t="inlineStr">
        <is>
          <t>oz</t>
        </is>
      </c>
      <c r="F7" s="19" t="inlineStr">
        <is>
          <t>Grill</t>
        </is>
      </c>
      <c r="G7" s="19" t="inlineStr">
        <is>
          <t>Appetizer</t>
        </is>
      </c>
      <c r="H7" s="19" t="inlineStr">
        <is>
          <t>Yes</t>
        </is>
      </c>
    </row>
    <row r="8">
      <c r="B8" s="40" t="inlineStr">
        <is>
          <t>Target food-cost %</t>
        </is>
      </c>
      <c r="C8" s="49" t="n">
        <v>0.3</v>
      </c>
      <c r="E8" s="19" t="inlineStr">
        <is>
          <t>lb</t>
        </is>
      </c>
      <c r="F8" s="19" t="inlineStr">
        <is>
          <t>Sauté</t>
        </is>
      </c>
      <c r="G8" s="19" t="inlineStr">
        <is>
          <t>Salad</t>
        </is>
      </c>
      <c r="H8" s="19" t="inlineStr">
        <is>
          <t>No</t>
        </is>
      </c>
    </row>
    <row r="9">
      <c r="B9" s="40" t="inlineStr">
        <is>
          <t>Margin goal ($/plate)</t>
        </is>
      </c>
      <c r="C9" s="66" t="n">
        <v>12</v>
      </c>
      <c r="E9" s="19" t="inlineStr">
        <is>
          <t>each</t>
        </is>
      </c>
      <c r="F9" s="19" t="inlineStr">
        <is>
          <t>Fry</t>
        </is>
      </c>
      <c r="G9" s="19" t="inlineStr">
        <is>
          <t>Entrée</t>
        </is>
      </c>
    </row>
    <row r="10">
      <c r="B10" s="40" t="inlineStr">
        <is>
          <t>Currency</t>
        </is>
      </c>
      <c r="C10" s="65" t="inlineStr">
        <is>
          <t>USD ($)</t>
        </is>
      </c>
      <c r="E10" s="19" t="inlineStr">
        <is>
          <t>cup</t>
        </is>
      </c>
      <c r="F10" s="19" t="inlineStr">
        <is>
          <t>Cold</t>
        </is>
      </c>
      <c r="G10" s="19" t="inlineStr">
        <is>
          <t>Side</t>
        </is>
      </c>
    </row>
    <row r="11">
      <c r="E11" s="19" t="inlineStr">
        <is>
          <t>tbsp</t>
        </is>
      </c>
      <c r="F11" s="19" t="inlineStr">
        <is>
          <t>Pizza</t>
        </is>
      </c>
      <c r="G11" s="19" t="inlineStr">
        <is>
          <t>Pizza</t>
        </is>
      </c>
    </row>
    <row r="12">
      <c r="E12" s="19" t="inlineStr">
        <is>
          <t>tsp</t>
        </is>
      </c>
      <c r="F12" s="19" t="inlineStr">
        <is>
          <t>Pantry</t>
        </is>
      </c>
      <c r="G12" s="19" t="inlineStr">
        <is>
          <t>Pasta</t>
        </is>
      </c>
    </row>
    <row r="13">
      <c r="E13" s="19" t="inlineStr">
        <is>
          <t>g</t>
        </is>
      </c>
      <c r="F13" s="19" t="inlineStr">
        <is>
          <t>Pastry</t>
        </is>
      </c>
      <c r="G13" s="19" t="inlineStr">
        <is>
          <t>Dessert</t>
        </is>
      </c>
    </row>
    <row r="14">
      <c r="E14" s="19" t="inlineStr">
        <is>
          <t>kg</t>
        </is>
      </c>
      <c r="G14" s="19" t="inlineStr">
        <is>
          <t>Drink</t>
        </is>
      </c>
    </row>
    <row r="15">
      <c r="E15" s="19" t="inlineStr">
        <is>
          <t>ml</t>
        </is>
      </c>
    </row>
    <row r="16">
      <c r="E16" s="19" t="inlineStr">
        <is>
          <t>L</t>
        </is>
      </c>
    </row>
    <row r="17">
      <c r="E17" s="19" t="inlineStr">
        <is>
          <t>slice</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2026-07-22T02:09:04Z</dcterms:created>
  <dcterms:modified xsi:type="dcterms:W3CDTF">2026-07-22T02:09:04Z</dcterms:modified>
</cp:coreProperties>
</file>