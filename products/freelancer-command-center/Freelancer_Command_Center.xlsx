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Cashflow &amp; Tax" sheetId="3" state="visible" r:id="rId3"/>
    <sheet name="Invoices" sheetId="4" state="visible" r:id="rId4"/>
    <sheet name="Clients" sheetId="5" state="visible" r:id="rId5"/>
    <sheet name="Time &amp; Rates" sheetId="6" state="visible" r:id="rId6"/>
    <sheet name="Business Expenses" sheetId="7" state="visible" r:id="rId7"/>
    <sheet name="Tax Vault" sheetId="8" state="visible" r:id="rId8"/>
    <sheet name="Mileage &amp; Home Office" sheetId="9" state="visible" r:id="rId9"/>
    <sheet name="Pipeline" sheetId="10" state="visible" r:id="rId10"/>
    <sheet name="Savings &amp; Runway" sheetId="11" state="visible" r:id="rId11"/>
    <sheet name="Subscriptions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IncomeGoal">Settings!$C$8</definedName>
    <definedName name="MarginGoal">Settings!$C$9</definedName>
    <definedName name="RateGoal">Settings!$C$10</definedName>
    <definedName name="TakeGoal">Settings!$C$11</definedName>
    <definedName name="RunwayGoalMonths">Settings!$C$12</definedName>
    <definedName name="TaxRate">Settings!$C$13</definedName>
    <definedName name="InvStatusList">Settings!$E$7:$E$11</definedName>
    <definedName name="ExpCatList">Settings!$F$7:$F$13</definedName>
    <definedName name="PipeStageList">Settings!$G$7:$G$11</definedName>
    <definedName name="YesNoList">Settings!$H$7:$H$8</definedName>
    <definedName name="InvAmount">'Invoices'!$D$5:$D$10</definedName>
    <definedName name="InvStatus">'Invoices'!$E$5:$E$10</definedName>
    <definedName name="MonthlyIncome">'Invoices'!$D$11</definedName>
    <definedName name="Outstanding">'Invoices'!$D$12</definedName>
    <definedName name="InvCount">'Invoices'!$D$13</definedName>
    <definedName name="ExpAmt">'Business Expenses'!$D$5:$D$10</definedName>
    <definedName name="BizExp">'Business Expenses'!$D$11</definedName>
    <definedName name="NetIncome">'Cashflow &amp; Tax'!$C$8</definedName>
    <definedName name="TaxSetAside">'Cashflow &amp; Tax'!$C$12</definedName>
    <definedName name="TakeHome">'Cashflow &amp; Tax'!$C$13</definedName>
    <definedName name="TaxSaved">'Cashflow &amp; Tax'!$C$15</definedName>
    <definedName name="ProfitMargin">'Cashflow &amp; Tax'!$C$16</definedName>
    <definedName name="BillableHours">'Time &amp; Rates'!$C$6</definedName>
    <definedName name="AvailableHours">'Time &amp; Rates'!$C$7</definedName>
    <definedName name="Utilization">'Time &amp; Rates'!$C$8</definedName>
    <definedName name="EffRate">'Time &amp; Rates'!$C$9</definedName>
    <definedName name="DeductAmt">'Mileage &amp; Home Office'!$D$5:$D$28</definedName>
    <definedName name="PipeValue">'Pipeline'!$D$5:$D$28</definedName>
    <definedName name="EmergencyFund">'Savings &amp; Runway'!$C$5</definedName>
    <definedName name="MonthlyNeed">'Savings &amp; Runway'!$C$6</definedName>
    <definedName name="RunwayPct">'Savings &amp; Runway'!$C$8</definedName>
    <definedName name="SubMonthly">'Subscriptions'!$C$5:$C$28</definedName>
    <definedName name="MonthTake">'Monthly Summary'!$D$5:$D$10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1B4F48"/>
      <sz val="12"/>
    </font>
    <font>
      <b val="1"/>
      <color rgb="001B4F48"/>
      <sz val="13"/>
    </font>
    <font>
      <b val="1"/>
      <color rgb="00937356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6" fillId="9" borderId="2" applyAlignment="1" pivotButton="0" quotePrefix="0" xfId="0">
      <alignment horizontal="center" vertical="center"/>
    </xf>
    <xf numFmtId="0" fontId="0" fillId="9" borderId="2" pivotButton="0" quotePrefix="0" xfId="0"/>
    <xf numFmtId="165" fontId="16" fillId="9" borderId="2" applyAlignment="1" pivotButton="0" quotePrefix="0" xfId="0">
      <alignment horizontal="center" vertical="center"/>
    </xf>
    <xf numFmtId="3" fontId="16" fillId="9" borderId="2" applyAlignment="1" pivotButton="0" quotePrefix="0" xfId="0">
      <alignment horizontal="center" vertical="center"/>
    </xf>
    <xf numFmtId="9" fontId="16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164" fontId="7" fillId="0" borderId="2" applyAlignment="1" pivotButton="0" quotePrefix="0" xfId="10">
      <alignment horizontal="left" vertical="center" indent="1"/>
    </xf>
    <xf numFmtId="164" fontId="12" fillId="6" borderId="2" applyAlignment="1" pivotButton="0" quotePrefix="0" xfId="6">
      <alignment horizontal="center" vertical="center" wrapText="1"/>
    </xf>
    <xf numFmtId="9" fontId="7" fillId="7" borderId="2" applyAlignment="1" pivotButton="0" quotePrefix="0" xfId="10">
      <alignment horizontal="left" vertical="center" indent="1"/>
    </xf>
    <xf numFmtId="164" fontId="7" fillId="7" borderId="2" applyAlignment="1" pivotButton="0" quotePrefix="0" xfId="10">
      <alignment horizontal="left" vertical="center" indent="1"/>
    </xf>
    <xf numFmtId="164" fontId="13" fillId="6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9" fontId="7" fillId="6" borderId="2" applyAlignment="1" pivotButton="0" quotePrefix="0" xfId="10">
      <alignment horizontal="left" vertical="center" indent="1"/>
    </xf>
    <xf numFmtId="164" fontId="7" fillId="8" borderId="2" applyAlignment="1" pivotButton="0" quotePrefix="0" xfId="8">
      <alignment horizontal="center" vertical="center"/>
    </xf>
    <xf numFmtId="0" fontId="6" fillId="3" borderId="2" applyAlignment="1" pivotButton="0" quotePrefix="0" xfId="6">
      <alignment horizontal="center" vertical="center" wrapText="1"/>
    </xf>
    <xf numFmtId="164" fontId="10" fillId="6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0" fontId="6" fillId="9" borderId="2" applyAlignment="1" pivotButton="0" quotePrefix="0" xfId="7">
      <alignment horizontal="left" vertical="center" wrapText="1" indent="1"/>
    </xf>
    <xf numFmtId="3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165" fontId="12" fillId="6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0" fillId="6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6" fontId="12" fillId="6" borderId="2" applyAlignment="1" pivotButton="0" quotePrefix="0" xfId="6">
      <alignment horizontal="center" vertical="center" wrapText="1"/>
    </xf>
    <xf numFmtId="165" fontId="11" fillId="3" borderId="2" applyAlignment="1" pivotButton="0" quotePrefix="0" xfId="6">
      <alignment horizontal="center" vertical="center" wrapText="1"/>
    </xf>
    <xf numFmtId="164" fontId="14" fillId="0" borderId="2" applyAlignment="1" pivotButton="0" quotePrefix="0" xfId="6">
      <alignment horizontal="center" vertical="center" wrapText="1"/>
    </xf>
    <xf numFmtId="164" fontId="14" fillId="8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Take-home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Summary'!$D$5:$D$10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Take-home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Summary'!$D$5:$D$10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💼  FREELANCER CASHFLOW &amp; TAX COMMAND CENTER™</t>
        </is>
      </c>
    </row>
    <row r="2" ht="24" customHeight="1">
      <c r="A2" s="2" t="inlineStr">
        <is>
          <t xml:space="preserve">  Get paid, set aside tax, and know your real hourly rate.</t>
        </is>
      </c>
    </row>
    <row r="3" ht="6" customHeight="1">
      <c r="A3" s="3" t="n"/>
      <c r="B3" s="3" t="n"/>
      <c r="C3" s="3" t="n"/>
    </row>
    <row r="5">
      <c r="B5" s="4" t="inlineStr">
        <is>
          <t>YOUR WHOLE FREELANCE BUSINESS, IN ONE PLACE</t>
        </is>
      </c>
    </row>
    <row r="6" ht="22" customHeight="1">
      <c r="B6" s="5" t="inlineStr">
        <is>
          <t>Freelancing lives or dies on two numbers: what you actually keep after expenses and tax, and what you truly earn per hour. This makes both visible: a cashflow-and-tax engine that takes your income, subtracts business expenses, sets aside tax automatically and shows your real take-home. Send and track invoices, keep clients and a pipeline, log deductible expenses and mileage, build a tax vault and a runway, and watch your monthly take-home — all in ONE premium Google Sheets &amp; Excel system built for freelancers and the self-employed.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income, rate &amp; tax set-aside %.</t>
        </is>
      </c>
    </row>
    <row r="13" ht="22" customHeight="1">
      <c r="B13" s="8" t="inlineStr">
        <is>
          <t>2.  Add Invoices; paid ones become your income, unpaid your outstanding.</t>
        </is>
      </c>
    </row>
    <row r="14" ht="22" customHeight="1">
      <c r="B14" s="8" t="inlineStr">
        <is>
          <t>3.  Log Business Expenses by category — every deduction counts.</t>
        </is>
      </c>
    </row>
    <row r="15" ht="22" customHeight="1">
      <c r="B15" s="8" t="inlineStr">
        <is>
          <t>4.  The Cashflow &amp; Tax engine sets aside tax and shows your take-home.</t>
        </is>
      </c>
    </row>
    <row r="16" ht="22" customHeight="1">
      <c r="B16" s="8" t="inlineStr">
        <is>
          <t>5.  Track time &amp; rates, the tax vault, mileage and your runway.</t>
        </is>
      </c>
    </row>
    <row r="17" ht="22" customHeight="1">
      <c r="B17" s="8" t="inlineStr">
        <is>
          <t>6.  Check the Dashboard: take-home, rate &amp; a Freelance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freelancer (Studio Fern) is included so you can see how it all connects — just type over it with your own invoices and expenses. Take-home after tax and your effective hourly rate are the two numbers that decide whether freelancing is really working, and they roll into a live Freelance Score. Twelve matching printable pages (invoice, tax set-aside worksheet, mileage log, expense sheet &amp; more) are included. This is a business tool, not financial, legal or tax advice — the tax set-aside is an estimate; confirm your rate and payments with your own tax advisor.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Set the tax aside before you spend it — that's how the self-employed sleep at night.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💼  FREELANCER CASHFLOW &amp; TAX COMMAND CENTER™</t>
        </is>
      </c>
    </row>
    <row r="2" ht="24" customHeight="1">
      <c r="A2" s="2" t="inlineStr">
        <is>
          <t xml:space="preserve">  Take-home, effective rate, tax set-aside &amp; a Freelance Score — your whole business,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MONTHLY INCOME</t>
        </is>
      </c>
      <c r="C5" s="13" t="n"/>
      <c r="D5" s="12" t="inlineStr">
        <is>
          <t>EXPENSES</t>
        </is>
      </c>
      <c r="E5" s="13" t="n"/>
      <c r="F5" s="12" t="inlineStr">
        <is>
          <t>NET INCOME</t>
        </is>
      </c>
      <c r="G5" s="13" t="n"/>
      <c r="H5" s="12" t="inlineStr">
        <is>
          <t>TAX SET-ASIDE</t>
        </is>
      </c>
      <c r="I5" s="13" t="n"/>
      <c r="J5" s="12" t="inlineStr">
        <is>
          <t>TAKE-HOME</t>
        </is>
      </c>
      <c r="K5" s="13" t="n"/>
      <c r="L5" s="12" t="inlineStr">
        <is>
          <t>EFFECTIVE RATE</t>
        </is>
      </c>
      <c r="M5" s="13" t="n"/>
    </row>
    <row r="6" ht="40" customHeight="1">
      <c r="B6" s="14">
        <f>MonthlyIncome</f>
        <v/>
      </c>
      <c r="C6" s="15" t="n"/>
      <c r="D6" s="14">
        <f>BizExp</f>
        <v/>
      </c>
      <c r="E6" s="15" t="n"/>
      <c r="F6" s="14">
        <f>NetIncome</f>
        <v/>
      </c>
      <c r="G6" s="15" t="n"/>
      <c r="H6" s="14">
        <f>TaxSetAside</f>
        <v/>
      </c>
      <c r="I6" s="15" t="n"/>
      <c r="J6" s="14">
        <f>TakeHome</f>
        <v/>
      </c>
      <c r="K6" s="15" t="n"/>
      <c r="L6" s="16">
        <f>EffRate</f>
        <v/>
      </c>
      <c r="M6" s="15" t="n"/>
    </row>
    <row r="8" ht="18" customHeight="1">
      <c r="B8" s="12" t="inlineStr">
        <is>
          <t>BILLABLE HOURS</t>
        </is>
      </c>
      <c r="C8" s="13" t="n"/>
      <c r="D8" s="12" t="inlineStr">
        <is>
          <t>UTILIZATION</t>
        </is>
      </c>
      <c r="E8" s="13" t="n"/>
      <c r="F8" s="12" t="inlineStr">
        <is>
          <t>INVOICES</t>
        </is>
      </c>
      <c r="G8" s="13" t="n"/>
      <c r="H8" s="12" t="inlineStr">
        <is>
          <t>OUTSTANDING</t>
        </is>
      </c>
      <c r="I8" s="13" t="n"/>
      <c r="J8" s="12" t="inlineStr">
        <is>
          <t>YEAR PACE</t>
        </is>
      </c>
      <c r="K8" s="13" t="n"/>
      <c r="L8" s="12" t="inlineStr">
        <is>
          <t>FREELANCE SCORE</t>
        </is>
      </c>
      <c r="M8" s="13" t="n"/>
    </row>
    <row r="9" ht="40" customHeight="1">
      <c r="B9" s="17">
        <f>BillableHours</f>
        <v/>
      </c>
      <c r="C9" s="15" t="n"/>
      <c r="D9" s="18">
        <f>Utilization</f>
        <v/>
      </c>
      <c r="E9" s="15" t="n"/>
      <c r="F9" s="17">
        <f>InvCount</f>
        <v/>
      </c>
      <c r="G9" s="15" t="n"/>
      <c r="H9" s="14">
        <f>Outstanding</f>
        <v/>
      </c>
      <c r="I9" s="15" t="n"/>
      <c r="J9" s="14">
        <f>MonthlyIncome*12</f>
        <v/>
      </c>
      <c r="K9" s="15" t="n"/>
      <c r="L9" s="18">
        <f>IFERROR(AVERAGE(HealthRange),0)</f>
        <v/>
      </c>
      <c r="M9" s="15" t="n"/>
    </row>
    <row r="11" ht="26" customHeight="1">
      <c r="B11" s="4" t="inlineStr">
        <is>
          <t>FREELANCE HEALTH</t>
        </is>
      </c>
      <c r="H11" s="4" t="inlineStr">
        <is>
          <t>TAKE-HOME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Income vs goal</t>
        </is>
      </c>
      <c r="C13" s="20">
        <f>IFERROR(MIN(MonthlyIncome/IncomeGoal,1),0)</f>
        <v/>
      </c>
      <c r="D13" s="21">
        <f>IF(C13&gt;=0.85,"Strong",IF(C13&gt;=0.6,"OK","Watch"))</f>
        <v/>
      </c>
    </row>
    <row r="14">
      <c r="B14" s="22" t="inlineStr">
        <is>
          <t>Margin healthy</t>
        </is>
      </c>
      <c r="C14" s="23">
        <f>IFERROR(MIN(ProfitMargin/MarginGoal,1),0)</f>
        <v/>
      </c>
      <c r="D14" s="24">
        <f>IF(C14&gt;=0.85,"Strong",IF(C14&gt;=0.6,"OK","Watch"))</f>
        <v/>
      </c>
    </row>
    <row r="15">
      <c r="B15" s="19" t="inlineStr">
        <is>
          <t>Effective rate on target</t>
        </is>
      </c>
      <c r="C15" s="20">
        <f>IFERROR(MIN(EffRate/RateGoal,1),0)</f>
        <v/>
      </c>
      <c r="D15" s="21">
        <f>IF(C15&gt;=0.85,"Strong",IF(C15&gt;=0.6,"OK","Watch"))</f>
        <v/>
      </c>
    </row>
    <row r="16">
      <c r="B16" s="22" t="inlineStr">
        <is>
          <t>Take-home vs goal</t>
        </is>
      </c>
      <c r="C16" s="23">
        <f>IFERROR(MIN(TakeHome/TakeGoal,1),0)</f>
        <v/>
      </c>
      <c r="D16" s="24">
        <f>IF(C16&gt;=0.85,"Strong",IF(C16&gt;=0.6,"OK","Watch"))</f>
        <v/>
      </c>
    </row>
    <row r="17">
      <c r="B17" s="19" t="inlineStr">
        <is>
          <t>Tax set aside</t>
        </is>
      </c>
      <c r="C17" s="20">
        <f>IFERROR(MIN(TaxSaved/TaxSetAside,1),0)</f>
        <v/>
      </c>
      <c r="D17" s="21">
        <f>IF(C17&gt;=0.85,"Strong",IF(C17&gt;=0.6,"OK","Watch"))</f>
        <v/>
      </c>
    </row>
    <row r="18">
      <c r="B18" s="22" t="inlineStr">
        <is>
          <t>Runway built</t>
        </is>
      </c>
      <c r="C18" s="23">
        <f>IFERROR(MIN(RunwayPct,1),0)</f>
        <v/>
      </c>
      <c r="D18" s="24">
        <f>IF(C18&gt;=0.85,"Strong",IF(C18&gt;=0.6,"OK","Watch"))</f>
        <v/>
      </c>
    </row>
    <row r="21" ht="26" customHeight="1">
      <c r="B21" s="2" t="inlineStr">
        <is>
          <t>Freelancer Cashflow &amp; Tax Command Center™ — get paid, set aside tax, keep what's yours.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💰  CASHFLOW &amp; TAX</t>
        </is>
      </c>
    </row>
    <row r="2" ht="22" customHeight="1">
      <c r="A2" s="2" t="inlineStr">
        <is>
          <t xml:space="preserve">  Income in, expenses and tax out — the number that's actually yours to keep.</t>
        </is>
      </c>
    </row>
    <row r="3" ht="6" customHeight="1">
      <c r="A3" s="3" t="n"/>
      <c r="B3" s="3" t="n"/>
      <c r="C3" s="3" t="n"/>
    </row>
    <row r="5">
      <c r="B5" s="4" t="inlineStr">
        <is>
          <t>THIS MONTH</t>
        </is>
      </c>
    </row>
    <row r="6">
      <c r="B6" s="25" t="inlineStr">
        <is>
          <t>Income (paid invoices)</t>
        </is>
      </c>
      <c r="C6" s="26">
        <f>MonthlyIncome</f>
        <v/>
      </c>
    </row>
    <row r="7">
      <c r="B7" s="25" t="inlineStr">
        <is>
          <t>− Business expenses</t>
        </is>
      </c>
      <c r="C7" s="27">
        <f>BizExp</f>
        <v/>
      </c>
    </row>
    <row r="8">
      <c r="B8" s="9">
        <f> NET INCOME</f>
        <v/>
      </c>
      <c r="C8" s="28">
        <f>MonthlyIncome-BizExp</f>
        <v/>
      </c>
    </row>
    <row r="10">
      <c r="B10" s="4" t="inlineStr">
        <is>
          <t>THE TAX VAULT</t>
        </is>
      </c>
    </row>
    <row r="11">
      <c r="B11" s="25" t="inlineStr">
        <is>
          <t>Tax set-aside % (from Settings)</t>
        </is>
      </c>
      <c r="C11" s="29">
        <f>TaxRate</f>
        <v/>
      </c>
    </row>
    <row r="12">
      <c r="B12" s="25" t="inlineStr">
        <is>
          <t>− Tax to set aside</t>
        </is>
      </c>
      <c r="C12" s="30">
        <f>ROUND(NetIncome*TaxRate,0)</f>
        <v/>
      </c>
    </row>
    <row r="13">
      <c r="B13" s="9">
        <f> YOUR TAKE-HOME (what's really yours)</f>
        <v/>
      </c>
      <c r="C13" s="31">
        <f>NetIncome-TaxSetAside</f>
        <v/>
      </c>
    </row>
    <row r="15">
      <c r="B15" s="25" t="inlineStr">
        <is>
          <t>Tax actually moved to the vault</t>
        </is>
      </c>
      <c r="C15" s="32" t="n">
        <v>2040</v>
      </c>
    </row>
    <row r="16">
      <c r="B16" s="25" t="inlineStr">
        <is>
          <t>Profit margin (net ÷ income)</t>
        </is>
      </c>
      <c r="C16" s="33">
        <f>IFERROR(NetIncome/MonthlyIncome,0)</f>
        <v/>
      </c>
    </row>
    <row r="18">
      <c r="B18" s="7" t="inlineStr">
        <is>
          <t>Set the tax aside the day you get paid — don't touch the vault.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🧾  INVOICES</t>
        </is>
      </c>
    </row>
    <row r="2" ht="22" customHeight="1">
      <c r="A2" s="2" t="inlineStr">
        <is>
          <t xml:space="preserve">  What you've billed — paid invoices become income, unpaid become your outstanding.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</t>
        </is>
      </c>
      <c r="C4" s="9" t="inlineStr">
        <is>
          <t>Invoice #</t>
        </is>
      </c>
      <c r="D4" s="9" t="inlineStr">
        <is>
          <t>Amount</t>
        </is>
      </c>
      <c r="E4" s="9" t="inlineStr">
        <is>
          <t>Status</t>
        </is>
      </c>
    </row>
    <row r="5">
      <c r="B5" s="19" t="inlineStr">
        <is>
          <t>Northwind Co.</t>
        </is>
      </c>
      <c r="C5" s="21" t="inlineStr">
        <is>
          <t>INV-101</t>
        </is>
      </c>
      <c r="D5" s="32" t="n">
        <v>1800</v>
      </c>
      <c r="E5" s="21" t="inlineStr">
        <is>
          <t>Paid</t>
        </is>
      </c>
    </row>
    <row r="6">
      <c r="B6" s="22" t="inlineStr">
        <is>
          <t>Acme Studio</t>
        </is>
      </c>
      <c r="C6" s="24" t="inlineStr">
        <is>
          <t>INV-102</t>
        </is>
      </c>
      <c r="D6" s="34" t="n">
        <v>1500</v>
      </c>
      <c r="E6" s="24" t="inlineStr">
        <is>
          <t>Paid</t>
        </is>
      </c>
    </row>
    <row r="7">
      <c r="B7" s="19" t="inlineStr">
        <is>
          <t>Lumen Labs</t>
        </is>
      </c>
      <c r="C7" s="21" t="inlineStr">
        <is>
          <t>INV-103</t>
        </is>
      </c>
      <c r="D7" s="32" t="n">
        <v>2200</v>
      </c>
      <c r="E7" s="21" t="inlineStr">
        <is>
          <t>Paid</t>
        </is>
      </c>
    </row>
    <row r="8">
      <c r="B8" s="22" t="inlineStr">
        <is>
          <t>Bright Agency</t>
        </is>
      </c>
      <c r="C8" s="24" t="inlineStr">
        <is>
          <t>INV-104</t>
        </is>
      </c>
      <c r="D8" s="34" t="n">
        <v>2500</v>
      </c>
      <c r="E8" s="24" t="inlineStr">
        <is>
          <t>Paid</t>
        </is>
      </c>
    </row>
    <row r="9">
      <c r="B9" s="19" t="inlineStr">
        <is>
          <t>Cobalt Inc.</t>
        </is>
      </c>
      <c r="C9" s="21" t="inlineStr">
        <is>
          <t>INV-105</t>
        </is>
      </c>
      <c r="D9" s="32" t="n">
        <v>1400</v>
      </c>
      <c r="E9" s="21" t="inlineStr">
        <is>
          <t>Unpaid</t>
        </is>
      </c>
    </row>
    <row r="10">
      <c r="B10" s="22" t="inlineStr">
        <is>
          <t>Vertex Media</t>
        </is>
      </c>
      <c r="C10" s="24" t="inlineStr">
        <is>
          <t>INV-106</t>
        </is>
      </c>
      <c r="D10" s="34" t="n">
        <v>1000</v>
      </c>
      <c r="E10" s="24" t="inlineStr">
        <is>
          <t>Sent</t>
        </is>
      </c>
    </row>
    <row r="11">
      <c r="B11" s="9" t="inlineStr">
        <is>
          <t>INCOME (paid)</t>
        </is>
      </c>
      <c r="C11" s="35" t="n"/>
      <c r="D11" s="36">
        <f>SUMIF(InvStatus,"Paid",InvAmount)</f>
        <v/>
      </c>
      <c r="E11" s="35" t="n"/>
    </row>
    <row r="12">
      <c r="B12" s="9" t="inlineStr">
        <is>
          <t>OUTSTANDING (unpaid + sent)</t>
        </is>
      </c>
      <c r="C12" s="35" t="n"/>
      <c r="D12" s="37">
        <f>SUMIF(InvStatus,"Unpaid",InvAmount)+SUMIF(InvStatus,"Sent",InvAmount)+SUMIF(InvStatus,"Overdue",InvAmount)</f>
        <v/>
      </c>
      <c r="E12" s="35" t="n"/>
    </row>
    <row r="13">
      <c r="B13" s="25" t="inlineStr">
        <is>
          <t>Invoices this month</t>
        </is>
      </c>
      <c r="D13" s="38">
        <f>COUNTA(InvStatus)</f>
        <v/>
      </c>
    </row>
  </sheetData>
  <mergeCells count="2">
    <mergeCell ref="A2:E2"/>
    <mergeCell ref="A1:E1"/>
  </mergeCells>
  <dataValidations count="6">
    <dataValidation sqref="E5" showDropDown="0" showInputMessage="0" showErrorMessage="0" allowBlank="1" type="list">
      <formula1>=InvStatusList</formula1>
    </dataValidation>
    <dataValidation sqref="E6" showDropDown="0" showInputMessage="0" showErrorMessage="0" allowBlank="1" type="list">
      <formula1>=InvStatusList</formula1>
    </dataValidation>
    <dataValidation sqref="E7" showDropDown="0" showInputMessage="0" showErrorMessage="0" allowBlank="1" type="list">
      <formula1>=InvStatusList</formula1>
    </dataValidation>
    <dataValidation sqref="E8" showDropDown="0" showInputMessage="0" showErrorMessage="0" allowBlank="1" type="list">
      <formula1>=InvStatusList</formula1>
    </dataValidation>
    <dataValidation sqref="E9" showDropDown="0" showInputMessage="0" showErrorMessage="0" allowBlank="1" type="list">
      <formula1>=InvStatusList</formula1>
    </dataValidation>
    <dataValidation sqref="E10" showDropDown="0" showInputMessage="0" showErrorMessage="0" allowBlank="1" type="list">
      <formula1>=InvStatusList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🤝  CLIENTS</t>
        </is>
      </c>
    </row>
    <row r="2" ht="22" customHeight="1">
      <c r="A2" s="2" t="inlineStr">
        <is>
          <t xml:space="preserve">  Your roster — retainer or project, since when, and their rate.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</t>
        </is>
      </c>
      <c r="C4" s="9" t="inlineStr">
        <is>
          <t>Type</t>
        </is>
      </c>
      <c r="D4" s="9" t="inlineStr">
        <is>
          <t>Since</t>
        </is>
      </c>
      <c r="E4" s="9" t="inlineStr">
        <is>
          <t>Rate/hr</t>
        </is>
      </c>
    </row>
    <row r="5">
      <c r="B5" s="39" t="inlineStr">
        <is>
          <t>Northwind Co.</t>
        </is>
      </c>
      <c r="C5" s="39" t="inlineStr">
        <is>
          <t>Retainer</t>
        </is>
      </c>
      <c r="D5" s="40" t="inlineStr">
        <is>
          <t>2024</t>
        </is>
      </c>
      <c r="E5" s="41" t="n">
        <v>85</v>
      </c>
    </row>
    <row r="6">
      <c r="B6" s="22" t="inlineStr">
        <is>
          <t>Acme Studio</t>
        </is>
      </c>
      <c r="C6" s="22" t="inlineStr">
        <is>
          <t>Project</t>
        </is>
      </c>
      <c r="D6" s="42" t="inlineStr">
        <is>
          <t>2025</t>
        </is>
      </c>
      <c r="E6" s="43" t="n">
        <v>75</v>
      </c>
    </row>
    <row r="7">
      <c r="B7" s="39" t="inlineStr">
        <is>
          <t>Lumen Labs</t>
        </is>
      </c>
      <c r="C7" s="39" t="inlineStr">
        <is>
          <t>Retainer</t>
        </is>
      </c>
      <c r="D7" s="40" t="inlineStr">
        <is>
          <t>2023</t>
        </is>
      </c>
      <c r="E7" s="41" t="n">
        <v>95</v>
      </c>
    </row>
    <row r="8">
      <c r="B8" s="22" t="inlineStr">
        <is>
          <t>Bright Agency</t>
        </is>
      </c>
      <c r="C8" s="22" t="inlineStr">
        <is>
          <t>Project</t>
        </is>
      </c>
      <c r="D8" s="42" t="inlineStr">
        <is>
          <t>2025</t>
        </is>
      </c>
      <c r="E8" s="43" t="n">
        <v>80</v>
      </c>
    </row>
    <row r="9">
      <c r="B9" s="39" t="inlineStr">
        <is>
          <t>Cobalt Inc.</t>
        </is>
      </c>
      <c r="C9" s="39" t="inlineStr">
        <is>
          <t>Project</t>
        </is>
      </c>
      <c r="D9" s="40" t="inlineStr">
        <is>
          <t>2026</t>
        </is>
      </c>
      <c r="E9" s="41" t="n">
        <v>70</v>
      </c>
    </row>
    <row r="10">
      <c r="B10" s="22" t="n"/>
      <c r="C10" s="22" t="n"/>
      <c r="D10" s="42" t="n"/>
      <c r="E10" s="43" t="n"/>
    </row>
    <row r="11">
      <c r="B11" s="39" t="n"/>
      <c r="C11" s="39" t="n"/>
      <c r="D11" s="40" t="n"/>
      <c r="E11" s="41" t="n"/>
    </row>
    <row r="12">
      <c r="B12" s="22" t="n"/>
      <c r="C12" s="22" t="n"/>
      <c r="D12" s="42" t="n"/>
      <c r="E12" s="43" t="n"/>
    </row>
    <row r="13">
      <c r="B13" s="39" t="n"/>
      <c r="C13" s="39" t="n"/>
      <c r="D13" s="40" t="n"/>
      <c r="E13" s="41" t="n"/>
    </row>
    <row r="14">
      <c r="B14" s="22" t="n"/>
      <c r="C14" s="22" t="n"/>
      <c r="D14" s="42" t="n"/>
      <c r="E14" s="43" t="n"/>
    </row>
    <row r="15">
      <c r="B15" s="39" t="n"/>
      <c r="C15" s="39" t="n"/>
      <c r="D15" s="40" t="n"/>
      <c r="E15" s="41" t="n"/>
    </row>
    <row r="16">
      <c r="B16" s="22" t="n"/>
      <c r="C16" s="22" t="n"/>
      <c r="D16" s="42" t="n"/>
      <c r="E16" s="43" t="n"/>
    </row>
    <row r="17">
      <c r="B17" s="39" t="n"/>
      <c r="C17" s="39" t="n"/>
      <c r="D17" s="40" t="n"/>
      <c r="E17" s="41" t="n"/>
    </row>
    <row r="18">
      <c r="B18" s="22" t="n"/>
      <c r="C18" s="22" t="n"/>
      <c r="D18" s="42" t="n"/>
      <c r="E18" s="43" t="n"/>
    </row>
    <row r="19">
      <c r="B19" s="39" t="n"/>
      <c r="C19" s="39" t="n"/>
      <c r="D19" s="40" t="n"/>
      <c r="E19" s="41" t="n"/>
    </row>
    <row r="20">
      <c r="B20" s="22" t="n"/>
      <c r="C20" s="22" t="n"/>
      <c r="D20" s="42" t="n"/>
      <c r="E20" s="43" t="n"/>
    </row>
    <row r="21">
      <c r="B21" s="39" t="n"/>
      <c r="C21" s="39" t="n"/>
      <c r="D21" s="40" t="n"/>
      <c r="E21" s="41" t="n"/>
    </row>
    <row r="22">
      <c r="B22" s="22" t="n"/>
      <c r="C22" s="22" t="n"/>
      <c r="D22" s="42" t="n"/>
      <c r="E22" s="43" t="n"/>
    </row>
    <row r="23">
      <c r="B23" s="39" t="n"/>
      <c r="C23" s="39" t="n"/>
      <c r="D23" s="40" t="n"/>
      <c r="E23" s="41" t="n"/>
    </row>
    <row r="24">
      <c r="B24" s="22" t="n"/>
      <c r="C24" s="22" t="n"/>
      <c r="D24" s="42" t="n"/>
      <c r="E24" s="43" t="n"/>
    </row>
    <row r="25">
      <c r="B25" s="39" t="n"/>
      <c r="C25" s="39" t="n"/>
      <c r="D25" s="40" t="n"/>
      <c r="E25" s="41" t="n"/>
    </row>
    <row r="26">
      <c r="B26" s="22" t="n"/>
      <c r="C26" s="22" t="n"/>
      <c r="D26" s="42" t="n"/>
      <c r="E26" s="43" t="n"/>
    </row>
    <row r="27">
      <c r="B27" s="39" t="n"/>
      <c r="C27" s="39" t="n"/>
      <c r="D27" s="40" t="n"/>
      <c r="E27" s="41" t="n"/>
    </row>
    <row r="28">
      <c r="B28" s="22" t="n"/>
      <c r="C28" s="22" t="n"/>
      <c r="D28" s="42" t="n"/>
      <c r="E28" s="43" t="n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⏱  TIME &amp; RATES</t>
        </is>
      </c>
    </row>
    <row r="2" ht="22" customHeight="1">
      <c r="A2" s="2" t="inlineStr">
        <is>
          <t xml:space="preserve">  Billable hours and your rate card — see what you truly earn per hour.</t>
        </is>
      </c>
    </row>
    <row r="3" ht="6" customHeight="1">
      <c r="A3" s="3" t="n"/>
      <c r="B3" s="3" t="n"/>
      <c r="C3" s="3" t="n"/>
    </row>
    <row r="5">
      <c r="B5" s="4" t="inlineStr">
        <is>
          <t>THIS MONTH</t>
        </is>
      </c>
    </row>
    <row r="6">
      <c r="B6" s="25" t="inlineStr">
        <is>
          <t>Billable hours</t>
        </is>
      </c>
      <c r="C6" s="44" t="n">
        <v>100</v>
      </c>
    </row>
    <row r="7">
      <c r="B7" s="25" t="inlineStr">
        <is>
          <t>Available hours</t>
        </is>
      </c>
      <c r="C7" s="44" t="n">
        <v>160</v>
      </c>
    </row>
    <row r="8">
      <c r="B8" s="25" t="inlineStr">
        <is>
          <t>Utilization (billable ÷ available)</t>
        </is>
      </c>
      <c r="C8" s="33">
        <f>IFERROR(BillableHours/AvailableHours,0)</f>
        <v/>
      </c>
    </row>
    <row r="9">
      <c r="B9" s="9">
        <f> EFFECTIVE RATE (net ÷ billable hrs)</f>
        <v/>
      </c>
      <c r="C9" s="45">
        <f>IFERROR(NetIncome/BillableHours,0)</f>
        <v/>
      </c>
    </row>
    <row r="11">
      <c r="B11" s="4" t="inlineStr">
        <is>
          <t>RATE CARD</t>
        </is>
      </c>
    </row>
    <row r="12" ht="30" customHeight="1">
      <c r="B12" s="9" t="inlineStr">
        <is>
          <t>Service</t>
        </is>
      </c>
      <c r="C12" s="9" t="inlineStr">
        <is>
          <t>Rate</t>
        </is>
      </c>
    </row>
    <row r="13">
      <c r="B13" s="19" t="inlineStr">
        <is>
          <t>Design — hourly</t>
        </is>
      </c>
      <c r="C13" s="32" t="n">
        <v>85</v>
      </c>
    </row>
    <row r="14">
      <c r="B14" s="22" t="inlineStr">
        <is>
          <t>Strategy call</t>
        </is>
      </c>
      <c r="C14" s="34" t="n">
        <v>150</v>
      </c>
    </row>
    <row r="15">
      <c r="B15" s="19" t="inlineStr">
        <is>
          <t>Retainer (mo)</t>
        </is>
      </c>
      <c r="C15" s="32" t="n">
        <v>2200</v>
      </c>
    </row>
    <row r="16">
      <c r="B16" s="22" t="inlineStr">
        <is>
          <t>Rush surcharge</t>
        </is>
      </c>
      <c r="C16" s="34" t="n">
        <v>40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💳  BUSINESS EXPENSES</t>
        </is>
      </c>
    </row>
    <row r="2" ht="22" customHeight="1">
      <c r="A2" s="2" t="inlineStr">
        <is>
          <t xml:space="preserve">  Every deductible cost by category — lowers your net and your tax, and feeds the engine.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Category</t>
        </is>
      </c>
      <c r="D4" s="9" t="inlineStr">
        <is>
          <t>Amount</t>
        </is>
      </c>
    </row>
    <row r="5">
      <c r="B5" s="19" t="inlineStr">
        <is>
          <t>Design software</t>
        </is>
      </c>
      <c r="C5" s="21" t="inlineStr">
        <is>
          <t>Software</t>
        </is>
      </c>
      <c r="D5" s="32" t="n">
        <v>250</v>
      </c>
    </row>
    <row r="6">
      <c r="B6" s="22" t="inlineStr">
        <is>
          <t>Cloud &amp; subscriptions</t>
        </is>
      </c>
      <c r="C6" s="24" t="inlineStr">
        <is>
          <t>Software</t>
        </is>
      </c>
      <c r="D6" s="34" t="n">
        <v>180</v>
      </c>
    </row>
    <row r="7">
      <c r="B7" s="19" t="inlineStr">
        <is>
          <t>New monitor</t>
        </is>
      </c>
      <c r="C7" s="21" t="inlineStr">
        <is>
          <t>Equipment</t>
        </is>
      </c>
      <c r="D7" s="32" t="n">
        <v>150</v>
      </c>
    </row>
    <row r="8">
      <c r="B8" s="22" t="inlineStr">
        <is>
          <t>Ads &amp; portfolio</t>
        </is>
      </c>
      <c r="C8" s="24" t="inlineStr">
        <is>
          <t>Marketing</t>
        </is>
      </c>
      <c r="D8" s="34" t="n">
        <v>120</v>
      </c>
    </row>
    <row r="9">
      <c r="B9" s="19" t="inlineStr">
        <is>
          <t>Contractor help</t>
        </is>
      </c>
      <c r="C9" s="21" t="inlineStr">
        <is>
          <t>Contractor</t>
        </is>
      </c>
      <c r="D9" s="32" t="n">
        <v>300</v>
      </c>
    </row>
    <row r="10">
      <c r="B10" s="22" t="inlineStr">
        <is>
          <t>Misc &amp; office</t>
        </is>
      </c>
      <c r="C10" s="24" t="inlineStr">
        <is>
          <t>Office</t>
        </is>
      </c>
      <c r="D10" s="34" t="n">
        <v>200</v>
      </c>
    </row>
    <row r="11">
      <c r="B11" s="9" t="inlineStr">
        <is>
          <t>TOTAL EXPENSES</t>
        </is>
      </c>
      <c r="C11" s="35" t="n"/>
      <c r="D11" s="37">
        <f>SUM(ExpAmt)</f>
        <v/>
      </c>
    </row>
  </sheetData>
  <mergeCells count="2">
    <mergeCell ref="A1:D1"/>
    <mergeCell ref="A2:D2"/>
  </mergeCells>
  <dataValidations count="6">
    <dataValidation sqref="C5" showDropDown="0" showInputMessage="0" showErrorMessage="0" allowBlank="1" type="list">
      <formula1>=ExpCatList</formula1>
    </dataValidation>
    <dataValidation sqref="C6" showDropDown="0" showInputMessage="0" showErrorMessage="0" allowBlank="1" type="list">
      <formula1>=ExpCatList</formula1>
    </dataValidation>
    <dataValidation sqref="C7" showDropDown="0" showInputMessage="0" showErrorMessage="0" allowBlank="1" type="list">
      <formula1>=ExpCatList</formula1>
    </dataValidation>
    <dataValidation sqref="C8" showDropDown="0" showInputMessage="0" showErrorMessage="0" allowBlank="1" type="list">
      <formula1>=ExpCatList</formula1>
    </dataValidation>
    <dataValidation sqref="C9" showDropDown="0" showInputMessage="0" showErrorMessage="0" allowBlank="1" type="list">
      <formula1>=ExpCatList</formula1>
    </dataValidation>
    <dataValidation sqref="C10" showDropDown="0" showInputMessage="0" showErrorMessage="0" allowBlank="1" type="list">
      <formula1>=ExpCatList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🏦  TAX VAULT</t>
        </is>
      </c>
    </row>
    <row r="2" ht="22" customHeight="1">
      <c r="A2" s="2" t="inlineStr">
        <is>
          <t xml:space="preserve">  Quarterly estimated taxes — what's due and when, so a bill never surprises you.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Quarter</t>
        </is>
      </c>
      <c r="C4" s="9" t="inlineStr">
        <is>
          <t>Due</t>
        </is>
      </c>
      <c r="D4" s="9" t="inlineStr">
        <is>
          <t>Estimate</t>
        </is>
      </c>
    </row>
    <row r="5">
      <c r="B5" s="19" t="inlineStr">
        <is>
          <t>Q1</t>
        </is>
      </c>
      <c r="C5" s="21" t="inlineStr">
        <is>
          <t>Apr 15</t>
        </is>
      </c>
      <c r="D5" s="32" t="n">
        <v>5100</v>
      </c>
    </row>
    <row r="6">
      <c r="B6" s="22" t="inlineStr">
        <is>
          <t>Q2</t>
        </is>
      </c>
      <c r="C6" s="24" t="inlineStr">
        <is>
          <t>Jun 15</t>
        </is>
      </c>
      <c r="D6" s="34" t="n">
        <v>5400</v>
      </c>
    </row>
    <row r="7">
      <c r="B7" s="19" t="inlineStr">
        <is>
          <t>Q3</t>
        </is>
      </c>
      <c r="C7" s="21" t="inlineStr">
        <is>
          <t>Sep 15</t>
        </is>
      </c>
      <c r="D7" s="32" t="n">
        <v>6200</v>
      </c>
    </row>
    <row r="8">
      <c r="B8" s="22" t="inlineStr">
        <is>
          <t>Q4</t>
        </is>
      </c>
      <c r="C8" s="24" t="inlineStr">
        <is>
          <t>Jan 15</t>
        </is>
      </c>
      <c r="D8" s="34" t="n">
        <v>6800</v>
      </c>
    </row>
    <row r="9">
      <c r="B9" s="9" t="inlineStr">
        <is>
          <t>ANNUAL ESTIMATE</t>
        </is>
      </c>
      <c r="C9" s="35" t="n"/>
      <c r="D9" s="37">
        <f>SUM(D5:D8)</f>
        <v/>
      </c>
    </row>
    <row r="11">
      <c r="B11" s="25" t="inlineStr">
        <is>
          <t>This month's set-aside</t>
        </is>
      </c>
      <c r="D11" s="26">
        <f>TaxSetAside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🚗  MILEAGE &amp; HOME OFFICE</t>
        </is>
      </c>
    </row>
    <row r="2" ht="22" customHeight="1">
      <c r="A2" s="2" t="inlineStr">
        <is>
          <t xml:space="preserve">  The deductions freelancers forget — miles, home office, phone and learning.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Deduction</t>
        </is>
      </c>
      <c r="C4" s="9" t="inlineStr">
        <is>
          <t>Detail</t>
        </is>
      </c>
      <c r="D4" s="9" t="inlineStr">
        <is>
          <t>Amount</t>
        </is>
      </c>
    </row>
    <row r="5">
      <c r="B5" s="39" t="inlineStr">
        <is>
          <t>Business miles (July)</t>
        </is>
      </c>
      <c r="C5" s="39" t="inlineStr">
        <is>
          <t>312 mi × $0.67</t>
        </is>
      </c>
      <c r="D5" s="46" t="n">
        <v>209.04</v>
      </c>
    </row>
    <row r="6">
      <c r="B6" s="22" t="inlineStr">
        <is>
          <t>Home office %</t>
        </is>
      </c>
      <c r="C6" s="22" t="inlineStr">
        <is>
          <t>12% of rent/utilities</t>
        </is>
      </c>
      <c r="D6" s="47" t="n">
        <v>264</v>
      </c>
    </row>
    <row r="7">
      <c r="B7" s="39" t="inlineStr">
        <is>
          <t>Phone &amp; internet</t>
        </is>
      </c>
      <c r="C7" s="39" t="inlineStr">
        <is>
          <t>60% business use</t>
        </is>
      </c>
      <c r="D7" s="46" t="n">
        <v>78</v>
      </c>
    </row>
    <row r="8">
      <c r="B8" s="22" t="inlineStr">
        <is>
          <t>Professional development</t>
        </is>
      </c>
      <c r="C8" s="22" t="inlineStr">
        <is>
          <t>1 course</t>
        </is>
      </c>
      <c r="D8" s="47" t="n">
        <v>49</v>
      </c>
    </row>
    <row r="9">
      <c r="B9" s="39" t="n"/>
      <c r="C9" s="39" t="n"/>
      <c r="D9" s="46" t="n"/>
    </row>
    <row r="10">
      <c r="B10" s="22" t="n"/>
      <c r="C10" s="22" t="n"/>
      <c r="D10" s="47" t="n"/>
    </row>
    <row r="11">
      <c r="B11" s="39" t="n"/>
      <c r="C11" s="39" t="n"/>
      <c r="D11" s="46" t="n"/>
    </row>
    <row r="12">
      <c r="B12" s="22" t="n"/>
      <c r="C12" s="22" t="n"/>
      <c r="D12" s="47" t="n"/>
    </row>
    <row r="13">
      <c r="B13" s="39" t="n"/>
      <c r="C13" s="39" t="n"/>
      <c r="D13" s="46" t="n"/>
    </row>
    <row r="14">
      <c r="B14" s="22" t="n"/>
      <c r="C14" s="22" t="n"/>
      <c r="D14" s="47" t="n"/>
    </row>
    <row r="15">
      <c r="B15" s="39" t="n"/>
      <c r="C15" s="39" t="n"/>
      <c r="D15" s="46" t="n"/>
    </row>
    <row r="16">
      <c r="B16" s="22" t="n"/>
      <c r="C16" s="22" t="n"/>
      <c r="D16" s="47" t="n"/>
    </row>
    <row r="17">
      <c r="B17" s="39" t="n"/>
      <c r="C17" s="39" t="n"/>
      <c r="D17" s="46" t="n"/>
    </row>
    <row r="18">
      <c r="B18" s="22" t="n"/>
      <c r="C18" s="22" t="n"/>
      <c r="D18" s="47" t="n"/>
    </row>
    <row r="19">
      <c r="B19" s="39" t="n"/>
      <c r="C19" s="39" t="n"/>
      <c r="D19" s="46" t="n"/>
    </row>
    <row r="20">
      <c r="B20" s="22" t="n"/>
      <c r="C20" s="22" t="n"/>
      <c r="D20" s="47" t="n"/>
    </row>
    <row r="21">
      <c r="B21" s="39" t="n"/>
      <c r="C21" s="39" t="n"/>
      <c r="D21" s="46" t="n"/>
    </row>
    <row r="22">
      <c r="B22" s="22" t="n"/>
      <c r="C22" s="22" t="n"/>
      <c r="D22" s="47" t="n"/>
    </row>
    <row r="23">
      <c r="B23" s="39" t="n"/>
      <c r="C23" s="39" t="n"/>
      <c r="D23" s="46" t="n"/>
    </row>
    <row r="24">
      <c r="B24" s="22" t="n"/>
      <c r="C24" s="22" t="n"/>
      <c r="D24" s="47" t="n"/>
    </row>
    <row r="25">
      <c r="B25" s="39" t="n"/>
      <c r="C25" s="39" t="n"/>
      <c r="D25" s="46" t="n"/>
    </row>
    <row r="26">
      <c r="B26" s="22" t="n"/>
      <c r="C26" s="22" t="n"/>
      <c r="D26" s="47" t="n"/>
    </row>
    <row r="27">
      <c r="B27" s="39" t="n"/>
      <c r="C27" s="39" t="n"/>
      <c r="D27" s="46" t="n"/>
    </row>
    <row r="28">
      <c r="B28" s="22" t="n"/>
      <c r="C28" s="22" t="n"/>
      <c r="D28" s="47" t="n"/>
    </row>
    <row r="29">
      <c r="B29" s="9" t="inlineStr">
        <is>
          <t>TOTAL DEDUCTIONS</t>
        </is>
      </c>
      <c r="C29" s="35" t="n"/>
      <c r="D29" s="48">
        <f>SUM(DeductAmt)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4" customWidth="1" min="4" max="4"/>
    <col width="24" customWidth="1" min="5" max="5"/>
    <col width="2" customWidth="1" min="6" max="6"/>
  </cols>
  <sheetData>
    <row r="1" ht="46" customHeight="1">
      <c r="A1" s="1" t="inlineStr">
        <is>
          <t xml:space="preserve">  🔭  PIPELINE</t>
        </is>
      </c>
    </row>
    <row r="2" ht="22" customHeight="1">
      <c r="A2" s="2" t="inlineStr">
        <is>
          <t xml:space="preserve">  What's coming — prospects, stage, value and the next step, so work never dries up.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Prospect</t>
        </is>
      </c>
      <c r="C4" s="9" t="inlineStr">
        <is>
          <t>Stage</t>
        </is>
      </c>
      <c r="D4" s="9" t="inlineStr">
        <is>
          <t>Value</t>
        </is>
      </c>
      <c r="E4" s="9" t="inlineStr">
        <is>
          <t>Next step</t>
        </is>
      </c>
    </row>
    <row r="5">
      <c r="B5" s="39" t="inlineStr">
        <is>
          <t>Delta Corp</t>
        </is>
      </c>
      <c r="C5" s="49" t="inlineStr">
        <is>
          <t>Proposal</t>
        </is>
      </c>
      <c r="D5" s="41" t="n">
        <v>3200</v>
      </c>
      <c r="E5" s="39" t="inlineStr">
        <is>
          <t>Follow up Fri</t>
        </is>
      </c>
    </row>
    <row r="6">
      <c r="B6" s="22" t="inlineStr">
        <is>
          <t>Ember Co.</t>
        </is>
      </c>
      <c r="C6" s="24" t="inlineStr">
        <is>
          <t>Negotiating</t>
        </is>
      </c>
      <c r="D6" s="43" t="n">
        <v>2500</v>
      </c>
      <c r="E6" s="22" t="inlineStr">
        <is>
          <t>Send contract</t>
        </is>
      </c>
    </row>
    <row r="7">
      <c r="B7" s="39" t="inlineStr">
        <is>
          <t>Fable Studio</t>
        </is>
      </c>
      <c r="C7" s="49" t="inlineStr">
        <is>
          <t>Lead</t>
        </is>
      </c>
      <c r="D7" s="41" t="n">
        <v>1800</v>
      </c>
      <c r="E7" s="39" t="inlineStr">
        <is>
          <t>Discovery call</t>
        </is>
      </c>
    </row>
    <row r="8">
      <c r="B8" s="22" t="inlineStr">
        <is>
          <t>Grove Media</t>
        </is>
      </c>
      <c r="C8" s="24" t="inlineStr">
        <is>
          <t>Proposal</t>
        </is>
      </c>
      <c r="D8" s="43" t="n">
        <v>4000</v>
      </c>
      <c r="E8" s="22" t="inlineStr">
        <is>
          <t>Await sign-off</t>
        </is>
      </c>
    </row>
    <row r="9">
      <c r="B9" s="39" t="n"/>
      <c r="C9" s="49" t="n"/>
      <c r="D9" s="41" t="n"/>
      <c r="E9" s="39" t="n"/>
    </row>
    <row r="10">
      <c r="B10" s="22" t="n"/>
      <c r="C10" s="24" t="n"/>
      <c r="D10" s="43" t="n"/>
      <c r="E10" s="22" t="n"/>
    </row>
    <row r="11">
      <c r="B11" s="39" t="n"/>
      <c r="C11" s="49" t="n"/>
      <c r="D11" s="41" t="n"/>
      <c r="E11" s="39" t="n"/>
    </row>
    <row r="12">
      <c r="B12" s="22" t="n"/>
      <c r="C12" s="24" t="n"/>
      <c r="D12" s="43" t="n"/>
      <c r="E12" s="22" t="n"/>
    </row>
    <row r="13">
      <c r="B13" s="39" t="n"/>
      <c r="C13" s="49" t="n"/>
      <c r="D13" s="41" t="n"/>
      <c r="E13" s="39" t="n"/>
    </row>
    <row r="14">
      <c r="B14" s="22" t="n"/>
      <c r="C14" s="24" t="n"/>
      <c r="D14" s="43" t="n"/>
      <c r="E14" s="22" t="n"/>
    </row>
    <row r="15">
      <c r="B15" s="39" t="n"/>
      <c r="C15" s="49" t="n"/>
      <c r="D15" s="41" t="n"/>
      <c r="E15" s="39" t="n"/>
    </row>
    <row r="16">
      <c r="B16" s="22" t="n"/>
      <c r="C16" s="24" t="n"/>
      <c r="D16" s="43" t="n"/>
      <c r="E16" s="22" t="n"/>
    </row>
    <row r="17">
      <c r="B17" s="39" t="n"/>
      <c r="C17" s="49" t="n"/>
      <c r="D17" s="41" t="n"/>
      <c r="E17" s="39" t="n"/>
    </row>
    <row r="18">
      <c r="B18" s="22" t="n"/>
      <c r="C18" s="24" t="n"/>
      <c r="D18" s="43" t="n"/>
      <c r="E18" s="22" t="n"/>
    </row>
    <row r="19">
      <c r="B19" s="39" t="n"/>
      <c r="C19" s="49" t="n"/>
      <c r="D19" s="41" t="n"/>
      <c r="E19" s="39" t="n"/>
    </row>
    <row r="20">
      <c r="B20" s="22" t="n"/>
      <c r="C20" s="24" t="n"/>
      <c r="D20" s="43" t="n"/>
      <c r="E20" s="22" t="n"/>
    </row>
    <row r="21">
      <c r="B21" s="39" t="n"/>
      <c r="C21" s="49" t="n"/>
      <c r="D21" s="41" t="n"/>
      <c r="E21" s="39" t="n"/>
    </row>
    <row r="22">
      <c r="B22" s="22" t="n"/>
      <c r="C22" s="24" t="n"/>
      <c r="D22" s="43" t="n"/>
      <c r="E22" s="22" t="n"/>
    </row>
    <row r="23">
      <c r="B23" s="39" t="n"/>
      <c r="C23" s="49" t="n"/>
      <c r="D23" s="41" t="n"/>
      <c r="E23" s="39" t="n"/>
    </row>
    <row r="24">
      <c r="B24" s="22" t="n"/>
      <c r="C24" s="24" t="n"/>
      <c r="D24" s="43" t="n"/>
      <c r="E24" s="22" t="n"/>
    </row>
    <row r="25">
      <c r="B25" s="39" t="n"/>
      <c r="C25" s="49" t="n"/>
      <c r="D25" s="41" t="n"/>
      <c r="E25" s="39" t="n"/>
    </row>
    <row r="26">
      <c r="B26" s="22" t="n"/>
      <c r="C26" s="24" t="n"/>
      <c r="D26" s="43" t="n"/>
      <c r="E26" s="22" t="n"/>
    </row>
    <row r="27">
      <c r="B27" s="39" t="n"/>
      <c r="C27" s="49" t="n"/>
      <c r="D27" s="41" t="n"/>
      <c r="E27" s="39" t="n"/>
    </row>
    <row r="28">
      <c r="B28" s="22" t="n"/>
      <c r="C28" s="24" t="n"/>
      <c r="D28" s="43" t="n"/>
      <c r="E28" s="22" t="n"/>
    </row>
    <row r="29">
      <c r="B29" s="9" t="inlineStr">
        <is>
          <t>PIPELINE VALUE</t>
        </is>
      </c>
      <c r="C29" s="35" t="n"/>
      <c r="D29" s="36">
        <f>SUM(PipeValue)</f>
        <v/>
      </c>
      <c r="E29" s="35" t="n"/>
    </row>
  </sheetData>
  <mergeCells count="2">
    <mergeCell ref="A2:E2"/>
    <mergeCell ref="A1:E1"/>
  </mergeCells>
  <dataValidations count="1">
    <dataValidation sqref="C5:C28" showDropDown="0" showInputMessage="0" showErrorMessage="0" allowBlank="1" type="list">
      <formula1>=PipeStageList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🛟  SAVINGS &amp; RUNWAY</t>
        </is>
      </c>
    </row>
    <row r="2" ht="22" customHeight="1">
      <c r="A2" s="2" t="inlineStr">
        <is>
          <t xml:space="preserve">  Your cushion — how many months you could cover, and your retirement set-aside.</t>
        </is>
      </c>
    </row>
    <row r="3" ht="6" customHeight="1">
      <c r="A3" s="3" t="n"/>
      <c r="B3" s="3" t="n"/>
      <c r="C3" s="3" t="n"/>
    </row>
    <row r="5">
      <c r="B5" s="25" t="inlineStr">
        <is>
          <t>Emergency fund balance</t>
        </is>
      </c>
      <c r="C5" s="32" t="n">
        <v>6000</v>
      </c>
    </row>
    <row r="6">
      <c r="B6" s="25" t="inlineStr">
        <is>
          <t>Monthly living need</t>
        </is>
      </c>
      <c r="C6" s="32" t="n">
        <v>5000</v>
      </c>
    </row>
    <row r="7">
      <c r="B7" s="9">
        <f> RUNWAY (months covered)</f>
        <v/>
      </c>
      <c r="C7" s="50">
        <f>IFERROR(EmergencyFund/MonthlyNeed,0)</f>
        <v/>
      </c>
    </row>
    <row r="8">
      <c r="B8" s="25" t="inlineStr">
        <is>
          <t>Runway funded (of goal months)</t>
        </is>
      </c>
      <c r="C8" s="33">
        <f>IFERROR(EmergencyFund/(RunwayGoalMonths*MonthlyNeed),0)</f>
        <v/>
      </c>
    </row>
    <row r="10">
      <c r="B10" s="25" t="inlineStr">
        <is>
          <t>Retirement set-aside (this month)</t>
        </is>
      </c>
      <c r="C10" s="32" t="n">
        <v>400</v>
      </c>
    </row>
    <row r="11">
      <c r="B11" s="25" t="inlineStr">
        <is>
          <t>Retirement goal (monthly)</t>
        </is>
      </c>
      <c r="C11" s="32" t="n">
        <v>1200</v>
      </c>
    </row>
    <row r="13">
      <c r="B13" s="7" t="inlineStr">
        <is>
          <t>Three to six months of runway is the freelancer's safety net.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🔁  SUBSCRIPTIONS &amp; TOOLS</t>
        </is>
      </c>
    </row>
    <row r="2" ht="22" customHeight="1">
      <c r="A2" s="2" t="inlineStr">
        <is>
          <t xml:space="preserve">  Every recurring tool — the quiet monthly drain on a freelance business.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Tool</t>
        </is>
      </c>
      <c r="C4" s="9" t="inlineStr">
        <is>
          <t>Monthly</t>
        </is>
      </c>
      <c r="D4" s="9" t="inlineStr">
        <is>
          <t>Billing</t>
        </is>
      </c>
    </row>
    <row r="5">
      <c r="B5" s="39" t="inlineStr">
        <is>
          <t>Design suite</t>
        </is>
      </c>
      <c r="C5" s="46" t="n">
        <v>55</v>
      </c>
      <c r="D5" s="39" t="inlineStr">
        <is>
          <t>Monthly</t>
        </is>
      </c>
    </row>
    <row r="6">
      <c r="B6" s="22" t="inlineStr">
        <is>
          <t>Cloud storage</t>
        </is>
      </c>
      <c r="C6" s="47" t="n">
        <v>12</v>
      </c>
      <c r="D6" s="22" t="inlineStr">
        <is>
          <t>Monthly</t>
        </is>
      </c>
    </row>
    <row r="7">
      <c r="B7" s="39" t="inlineStr">
        <is>
          <t>Accounting app</t>
        </is>
      </c>
      <c r="C7" s="46" t="n">
        <v>25</v>
      </c>
      <c r="D7" s="39" t="inlineStr">
        <is>
          <t>Monthly</t>
        </is>
      </c>
    </row>
    <row r="8">
      <c r="B8" s="22" t="inlineStr">
        <is>
          <t>Domain &amp; hosting</t>
        </is>
      </c>
      <c r="C8" s="47" t="n">
        <v>18</v>
      </c>
      <c r="D8" s="22" t="inlineStr">
        <is>
          <t>Monthly</t>
        </is>
      </c>
    </row>
    <row r="9">
      <c r="B9" s="39" t="inlineStr">
        <is>
          <t>Email &amp; CRM</t>
        </is>
      </c>
      <c r="C9" s="46" t="n">
        <v>29</v>
      </c>
      <c r="D9" s="39" t="inlineStr">
        <is>
          <t>Monthly</t>
        </is>
      </c>
    </row>
    <row r="10">
      <c r="B10" s="22" t="inlineStr">
        <is>
          <t>Stock assets</t>
        </is>
      </c>
      <c r="C10" s="47" t="n">
        <v>41</v>
      </c>
      <c r="D10" s="22" t="inlineStr">
        <is>
          <t>Monthly</t>
        </is>
      </c>
    </row>
    <row r="11">
      <c r="B11" s="39" t="n"/>
      <c r="C11" s="46" t="n"/>
      <c r="D11" s="39" t="n"/>
    </row>
    <row r="12">
      <c r="B12" s="22" t="n"/>
      <c r="C12" s="47" t="n"/>
      <c r="D12" s="22" t="n"/>
    </row>
    <row r="13">
      <c r="B13" s="39" t="n"/>
      <c r="C13" s="46" t="n"/>
      <c r="D13" s="39" t="n"/>
    </row>
    <row r="14">
      <c r="B14" s="22" t="n"/>
      <c r="C14" s="47" t="n"/>
      <c r="D14" s="22" t="n"/>
    </row>
    <row r="15">
      <c r="B15" s="39" t="n"/>
      <c r="C15" s="46" t="n"/>
      <c r="D15" s="39" t="n"/>
    </row>
    <row r="16">
      <c r="B16" s="22" t="n"/>
      <c r="C16" s="47" t="n"/>
      <c r="D16" s="22" t="n"/>
    </row>
    <row r="17">
      <c r="B17" s="39" t="n"/>
      <c r="C17" s="46" t="n"/>
      <c r="D17" s="39" t="n"/>
    </row>
    <row r="18">
      <c r="B18" s="22" t="n"/>
      <c r="C18" s="47" t="n"/>
      <c r="D18" s="22" t="n"/>
    </row>
    <row r="19">
      <c r="B19" s="39" t="n"/>
      <c r="C19" s="46" t="n"/>
      <c r="D19" s="39" t="n"/>
    </row>
    <row r="20">
      <c r="B20" s="22" t="n"/>
      <c r="C20" s="47" t="n"/>
      <c r="D20" s="22" t="n"/>
    </row>
    <row r="21">
      <c r="B21" s="39" t="n"/>
      <c r="C21" s="46" t="n"/>
      <c r="D21" s="39" t="n"/>
    </row>
    <row r="22">
      <c r="B22" s="22" t="n"/>
      <c r="C22" s="47" t="n"/>
      <c r="D22" s="22" t="n"/>
    </row>
    <row r="23">
      <c r="B23" s="39" t="n"/>
      <c r="C23" s="46" t="n"/>
      <c r="D23" s="39" t="n"/>
    </row>
    <row r="24">
      <c r="B24" s="22" t="n"/>
      <c r="C24" s="47" t="n"/>
      <c r="D24" s="22" t="n"/>
    </row>
    <row r="25">
      <c r="B25" s="39" t="n"/>
      <c r="C25" s="46" t="n"/>
      <c r="D25" s="39" t="n"/>
    </row>
    <row r="26">
      <c r="B26" s="22" t="n"/>
      <c r="C26" s="47" t="n"/>
      <c r="D26" s="22" t="n"/>
    </row>
    <row r="27">
      <c r="B27" s="39" t="n"/>
      <c r="C27" s="46" t="n"/>
      <c r="D27" s="39" t="n"/>
    </row>
    <row r="28">
      <c r="B28" s="22" t="n"/>
      <c r="C28" s="47" t="n"/>
      <c r="D28" s="22" t="n"/>
    </row>
    <row r="29">
      <c r="B29" s="9" t="inlineStr">
        <is>
          <t>MONTHLY / ANNUAL</t>
        </is>
      </c>
      <c r="C29" s="51">
        <f>SUM(SubMonthly)</f>
        <v/>
      </c>
      <c r="D29" s="37">
        <f>SUM(SubMonthly)*12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Income &amp; take-home by month — watch the real, after-tax number grow.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Month</t>
        </is>
      </c>
      <c r="C4" s="9" t="inlineStr">
        <is>
          <t>Income</t>
        </is>
      </c>
      <c r="D4" s="9" t="inlineStr">
        <is>
          <t>Take-home</t>
        </is>
      </c>
      <c r="E4" s="9" t="inlineStr">
        <is>
          <t>Tax set aside</t>
        </is>
      </c>
    </row>
    <row r="5">
      <c r="B5" s="19" t="inlineStr">
        <is>
          <t>Jul</t>
        </is>
      </c>
      <c r="C5" s="32" t="n">
        <v>8000</v>
      </c>
      <c r="D5" s="32" t="n">
        <v>4760</v>
      </c>
      <c r="E5" s="52">
        <f>C5-D5</f>
        <v/>
      </c>
    </row>
    <row r="6">
      <c r="B6" s="22" t="inlineStr">
        <is>
          <t>Aug</t>
        </is>
      </c>
      <c r="C6" s="34" t="n">
        <v>7400</v>
      </c>
      <c r="D6" s="34" t="n">
        <v>4400</v>
      </c>
      <c r="E6" s="53">
        <f>C6-D6</f>
        <v/>
      </c>
    </row>
    <row r="7">
      <c r="B7" s="19" t="inlineStr">
        <is>
          <t>Sep</t>
        </is>
      </c>
      <c r="C7" s="32" t="n">
        <v>9200</v>
      </c>
      <c r="D7" s="32" t="n">
        <v>5460</v>
      </c>
      <c r="E7" s="52">
        <f>C7-D7</f>
        <v/>
      </c>
    </row>
    <row r="8">
      <c r="B8" s="22" t="inlineStr">
        <is>
          <t>Oct</t>
        </is>
      </c>
      <c r="C8" s="34" t="n">
        <v>6800</v>
      </c>
      <c r="D8" s="34" t="n">
        <v>4050</v>
      </c>
      <c r="E8" s="53">
        <f>C8-D8</f>
        <v/>
      </c>
    </row>
    <row r="9">
      <c r="B9" s="19" t="inlineStr">
        <is>
          <t>Nov</t>
        </is>
      </c>
      <c r="C9" s="32" t="n">
        <v>8600</v>
      </c>
      <c r="D9" s="32" t="n">
        <v>5100</v>
      </c>
      <c r="E9" s="52">
        <f>C9-D9</f>
        <v/>
      </c>
    </row>
    <row r="10">
      <c r="B10" s="22" t="inlineStr">
        <is>
          <t>Dec</t>
        </is>
      </c>
      <c r="C10" s="34" t="n">
        <v>10200</v>
      </c>
      <c r="D10" s="34" t="n">
        <v>6050</v>
      </c>
      <c r="E10" s="53">
        <f>C10-D10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5" t="inlineStr">
        <is>
          <t>Your name / business</t>
        </is>
      </c>
      <c r="C6" s="54" t="inlineStr">
        <is>
          <t>Studio Fern</t>
        </is>
      </c>
      <c r="E6" s="9" t="inlineStr">
        <is>
          <t>Inv status</t>
        </is>
      </c>
      <c r="F6" s="9" t="inlineStr">
        <is>
          <t>Exp category</t>
        </is>
      </c>
      <c r="G6" s="9" t="inlineStr">
        <is>
          <t>Pipe stage</t>
        </is>
      </c>
      <c r="H6" s="9" t="inlineStr">
        <is>
          <t>Yes / No</t>
        </is>
      </c>
    </row>
    <row r="7">
      <c r="B7" s="25" t="inlineStr">
        <is>
          <t>Owner</t>
        </is>
      </c>
      <c r="C7" s="54" t="inlineStr">
        <is>
          <t>Sasha</t>
        </is>
      </c>
      <c r="E7" s="19" t="inlineStr">
        <is>
          <t>Paid</t>
        </is>
      </c>
      <c r="F7" s="19" t="inlineStr">
        <is>
          <t>Software</t>
        </is>
      </c>
      <c r="G7" s="19" t="inlineStr">
        <is>
          <t>Lead</t>
        </is>
      </c>
      <c r="H7" s="19" t="inlineStr">
        <is>
          <t>Yes</t>
        </is>
      </c>
    </row>
    <row r="8">
      <c r="B8" s="25" t="inlineStr">
        <is>
          <t>Monthly income goal</t>
        </is>
      </c>
      <c r="C8" s="32" t="n">
        <v>7500</v>
      </c>
      <c r="E8" s="19" t="inlineStr">
        <is>
          <t>Sent</t>
        </is>
      </c>
      <c r="F8" s="19" t="inlineStr">
        <is>
          <t>Equipment</t>
        </is>
      </c>
      <c r="G8" s="19" t="inlineStr">
        <is>
          <t>Proposal</t>
        </is>
      </c>
      <c r="H8" s="19" t="inlineStr">
        <is>
          <t>No</t>
        </is>
      </c>
    </row>
    <row r="9">
      <c r="B9" s="25" t="inlineStr">
        <is>
          <t>Profit-margin goal %</t>
        </is>
      </c>
      <c r="C9" s="55" t="n">
        <v>0.7</v>
      </c>
      <c r="E9" s="19" t="inlineStr">
        <is>
          <t>Unpaid</t>
        </is>
      </c>
      <c r="F9" s="19" t="inlineStr">
        <is>
          <t>Marketing</t>
        </is>
      </c>
      <c r="G9" s="19" t="inlineStr">
        <is>
          <t>Negotiating</t>
        </is>
      </c>
    </row>
    <row r="10">
      <c r="B10" s="25" t="inlineStr">
        <is>
          <t>Effective-rate goal ($/hr)</t>
        </is>
      </c>
      <c r="C10" s="32" t="n">
        <v>60</v>
      </c>
      <c r="E10" s="19" t="inlineStr">
        <is>
          <t>Overdue</t>
        </is>
      </c>
      <c r="F10" s="19" t="inlineStr">
        <is>
          <t>Contractor</t>
        </is>
      </c>
      <c r="G10" s="19" t="inlineStr">
        <is>
          <t>Won</t>
        </is>
      </c>
    </row>
    <row r="11">
      <c r="B11" s="25" t="inlineStr">
        <is>
          <t>Monthly take-home goal</t>
        </is>
      </c>
      <c r="C11" s="32" t="n">
        <v>4000</v>
      </c>
      <c r="E11" s="19" t="inlineStr">
        <is>
          <t>Draft</t>
        </is>
      </c>
      <c r="F11" s="19" t="inlineStr">
        <is>
          <t>Office</t>
        </is>
      </c>
      <c r="G11" s="19" t="inlineStr">
        <is>
          <t>Lost</t>
        </is>
      </c>
    </row>
    <row r="12">
      <c r="B12" s="25" t="inlineStr">
        <is>
          <t>Runway goal (months)</t>
        </is>
      </c>
      <c r="C12" s="44" t="n">
        <v>3</v>
      </c>
      <c r="F12" s="19" t="inlineStr">
        <is>
          <t>Travel</t>
        </is>
      </c>
    </row>
    <row r="13">
      <c r="B13" s="25" t="inlineStr">
        <is>
          <t>Tax set-aside %</t>
        </is>
      </c>
      <c r="C13" s="55" t="n">
        <v>0.3</v>
      </c>
      <c r="F13" s="19" t="inlineStr">
        <is>
          <t>Other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2026-07-23T18:25:08Z</dcterms:created>
  <dcterms:modified xsi:type="dcterms:W3CDTF">2026-07-23T18:25:08Z</dcterms:modified>
</cp:coreProperties>
</file>