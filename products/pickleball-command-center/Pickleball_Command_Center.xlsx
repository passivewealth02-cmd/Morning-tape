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Player Profile" sheetId="3" state="visible" r:id="rId3"/>
    <sheet name="Matches" sheetId="4" state="visible" r:id="rId4"/>
    <sheet name="Tournaments" sheetId="5" state="visible" r:id="rId5"/>
    <sheet name="Practice" sheetId="6" state="visible" r:id="rId6"/>
    <sheet name="Skills" sheetId="7" state="visible" r:id="rId7"/>
    <sheet name="Equipment" sheetId="8" state="visible" r:id="rId8"/>
    <sheet name="Budget" sheetId="9" state="visible" r:id="rId9"/>
    <sheet name="Fitness" sheetId="10" state="visible" r:id="rId10"/>
    <sheet name="Partners" sheetId="11" state="visible" r:id="rId11"/>
    <sheet name="Club &amp; League" sheetId="12" state="visible" r:id="rId12"/>
    <sheet name="Travel" sheetId="13" state="visible" r:id="rId13"/>
    <sheet name="Nutrition" sheetId="14" state="visible" r:id="rId14"/>
    <sheet name="Goals" sheetId="15" state="visible" r:id="rId15"/>
    <sheet name="Gallery" sheetId="16" state="visible" r:id="rId16"/>
    <sheet name="Analytics" sheetId="17" state="visible" r:id="rId17"/>
    <sheet name="Settings" sheetId="18" state="visible" r:id="rId18"/>
  </sheets>
  <definedNames>
    <definedName name="PlayerName">Settings!$C$6</definedName>
    <definedName name="PlayLevel">Settings!$C$7</definedName>
    <definedName name="PlayerRating">Settings!$C$8</definedName>
    <definedName name="AgeDiv">Settings!$C$9</definedName>
    <definedName name="HomeClub">Settings!$C$10</definedName>
    <definedName name="MonthlyBudget">Settings!$C$11</definedName>
    <definedName name="SeasonTarget">Settings!$C$12</definedName>
    <definedName name="SkillList">Settings!$E$7:$E$18</definedName>
    <definedName name="MatchTypeList">Settings!$F$7:$F$11</definedName>
    <definedName name="TournLevelList">Settings!$G$7:$G$13</definedName>
    <definedName name="ExpenseCatList">Settings!$H$7:$H$17</definedName>
    <definedName name="EquipTypeList">Settings!$I$7:$I$13</definedName>
    <definedName name="GoalCatList">Settings!$J$7:$J$12</definedName>
    <definedName name="ClubList">Settings!$K$7:$K$10</definedName>
    <definedName name="ResultList">Settings!$E$22:$E$23</definedName>
    <definedName name="CondList">Settings!$F$22:$F$26</definedName>
    <definedName name="YesNoList">Settings!$G$22:$G$23</definedName>
    <definedName name="MatchDate">'Matches'!$A$5:$A$64</definedName>
    <definedName name="MatchPartner">'Matches'!$C$5:$C$64</definedName>
    <definedName name="MatchType">'Matches'!$E$5:$E$64</definedName>
    <definedName name="MatchResult">'Matches'!$G$5:$G$64</definedName>
    <definedName name="ResultLabel">'Matches'!$J$5:$J$6</definedName>
    <definedName name="ResultCount">'Matches'!$K$5:$K$6</definedName>
    <definedName name="TournName">'Tournaments'!$A$5:$A$34</definedName>
    <definedName name="TournDate">'Tournaments'!$C$5:$C$34</definedName>
    <definedName name="TournPlace">'Tournaments'!$F$5:$F$34</definedName>
    <definedName name="TournPrize">'Tournaments'!$G$5:$G$34</definedName>
    <definedName name="PracticeDate">'Practice'!$A$5:$A$44</definedName>
    <definedName name="PracticeHrs">'Practice'!$C$5:$C$44</definedName>
    <definedName name="SkillName">'Skills'!$A$5:$A$16</definedName>
    <definedName name="SkillStart">'Skills'!$B$5:$B$16</definedName>
    <definedName name="SkillCurrent">'Skills'!$C$5:$C$16</definedName>
    <definedName name="EquipName">'Equipment'!$A$5:$A$34</definedName>
    <definedName name="EquipReplace">'Equipment'!$G$5:$G$34</definedName>
    <definedName name="BudgetCat">'Budget'!$A$5:$A$15</definedName>
    <definedName name="BudgetActual">'Budget'!$C$5:$C$15</definedName>
    <definedName name="BudgetTotalPlanned">'Budget'!$B$16</definedName>
    <definedName name="BudgetTotalActual">'Budget'!$C$16</definedName>
    <definedName name="FitDate">'Fitness'!$A$5:$A$44</definedName>
    <definedName name="FitType">'Fitness'!$C$5:$C$44</definedName>
    <definedName name="PartnerName">'Partners'!$A$5:$A$7</definedName>
    <definedName name="PartnerWinPct">'Partners'!$E$5:$E$7</definedName>
    <definedName name="PartnerRecord">'Partners'!$F$5:$F$7</definedName>
    <definedName name="GoalCategory">'Goals'!$B$5:$B$10</definedName>
    <definedName name="GoalProgress">'Goals'!$E$5:$E$10</definedName>
    <definedName name="HealthRange">'Analytics'!$C$7:$C$12</definedName>
    <definedName name="CourtMonth">'Analytics'!$B$17:$B$22</definedName>
    <definedName name="CourtHrs">'Analytics'!$C$17:$C$22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yyyy-mm-dd"/>
    <numFmt numFmtId="166" formatCode="mm/dd/yyyy"/>
    <numFmt numFmtId="167" formatCode="0.0"/>
    <numFmt numFmtId="168" formatCode="&quot;$&quot;#,##0;[Red]-&quot;$&quot;#,##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color rgb="00333333"/>
      <sz val="11"/>
    </font>
    <font>
      <color rgb="00937356"/>
      <sz val="11"/>
    </font>
    <font>
      <b val="1"/>
      <color rgb="001B4F48"/>
    </font>
    <font>
      <color rgb="001B4F48"/>
      <sz val="12"/>
    </font>
    <font>
      <color rgb="00937356"/>
      <sz val="12"/>
    </font>
    <font>
      <b val="1"/>
      <color rgb="001B4F48"/>
      <sz val="46"/>
    </font>
    <font>
      <b val="1"/>
      <color rgb="00937356"/>
      <sz val="9"/>
    </font>
    <font>
      <b val="1"/>
      <color rgb="001B4F48"/>
      <sz val="18"/>
    </font>
    <font>
      <b val="1"/>
      <color rgb="001B4F48"/>
      <sz val="16"/>
    </font>
  </fonts>
  <fills count="11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  <fill>
      <patternFill patternType="solid">
        <fgColor rgb="00E3F8EF"/>
      </patternFill>
    </fill>
    <fill>
      <patternFill patternType="solid">
        <fgColor rgb="00FBF8F2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3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</cellStyleXfs>
  <cellXfs count="67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3" fillId="0" borderId="1" applyAlignment="1" pivotButton="0" quotePrefix="0" xfId="3">
      <alignment horizontal="left" vertical="center"/>
    </xf>
    <xf numFmtId="0" fontId="5" fillId="2" borderId="2" applyAlignment="1" pivotButton="0" quotePrefix="0" xfId="5">
      <alignment horizontal="center" vertical="center" wrapText="1"/>
    </xf>
    <xf numFmtId="0" fontId="10" fillId="6" borderId="2" applyAlignment="1" pivotButton="0" quotePrefix="0" xfId="0">
      <alignment horizontal="left" vertical="top" wrapText="1" indent="1"/>
    </xf>
    <xf numFmtId="0" fontId="0" fillId="6" borderId="0" pivotButton="0" quotePrefix="0" xfId="0"/>
    <xf numFmtId="0" fontId="16" fillId="7" borderId="4" applyAlignment="1" pivotButton="0" quotePrefix="0" xfId="0">
      <alignment horizontal="center" vertical="center"/>
    </xf>
    <xf numFmtId="0" fontId="0" fillId="7" borderId="4" pivotButton="0" quotePrefix="0" xfId="0"/>
    <xf numFmtId="0" fontId="17" fillId="7" borderId="2" applyAlignment="1" pivotButton="0" quotePrefix="0" xfId="0">
      <alignment horizontal="center" vertical="center"/>
    </xf>
    <xf numFmtId="0" fontId="0" fillId="7" borderId="2" pivotButton="0" quotePrefix="0" xfId="0"/>
    <xf numFmtId="9" fontId="17" fillId="7" borderId="2" applyAlignment="1" pivotButton="0" quotePrefix="0" xfId="0">
      <alignment horizontal="center" vertical="center"/>
    </xf>
    <xf numFmtId="2" fontId="17" fillId="7" borderId="2" applyAlignment="1" pivotButton="0" quotePrefix="0" xfId="0">
      <alignment horizontal="center" vertical="center"/>
    </xf>
    <xf numFmtId="167" fontId="17" fillId="7" borderId="2" applyAlignment="1" pivotButton="0" quotePrefix="0" xfId="0">
      <alignment horizontal="center" vertical="center"/>
    </xf>
    <xf numFmtId="164" fontId="17" fillId="7" borderId="2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0" fontId="11" fillId="0" borderId="2" applyAlignment="1" pivotButton="0" quotePrefix="0" xfId="0">
      <alignment horizontal="center"/>
    </xf>
    <xf numFmtId="0" fontId="6" fillId="0" borderId="2" applyAlignment="1" pivotButton="0" quotePrefix="0" xfId="7">
      <alignment horizontal="left" vertical="center" wrapText="1" indent="1"/>
    </xf>
    <xf numFmtId="166" fontId="6" fillId="7" borderId="2" applyAlignment="1" pivotButton="0" quotePrefix="0" xfId="6">
      <alignment horizontal="center" vertical="center" wrapText="1"/>
    </xf>
    <xf numFmtId="0" fontId="6" fillId="7" borderId="2" applyAlignment="1" pivotButton="0" quotePrefix="0" xfId="7">
      <alignment horizontal="left" vertical="center" wrapText="1" indent="1"/>
    </xf>
    <xf numFmtId="0" fontId="6" fillId="7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0" fontId="6" fillId="8" borderId="2" applyAlignment="1" pivotButton="0" quotePrefix="0" xfId="6">
      <alignment horizontal="center" vertical="center" wrapText="1"/>
    </xf>
    <xf numFmtId="164" fontId="6" fillId="7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164" fontId="12" fillId="3" borderId="2" applyAlignment="1" pivotButton="0" quotePrefix="0" xfId="6">
      <alignment horizontal="center" vertical="center" wrapText="1"/>
    </xf>
    <xf numFmtId="167" fontId="6" fillId="7" borderId="2" applyAlignment="1" pivotButton="0" quotePrefix="0" xfId="6">
      <alignment horizontal="center" vertical="center" wrapText="1"/>
    </xf>
    <xf numFmtId="167" fontId="6" fillId="8" borderId="2" applyAlignment="1" pivotButton="0" quotePrefix="0" xfId="6">
      <alignment horizontal="center" vertical="center" wrapText="1"/>
    </xf>
    <xf numFmtId="1" fontId="6" fillId="0" borderId="2" applyAlignment="1" pivotButton="0" quotePrefix="0" xfId="6">
      <alignment horizontal="center" vertical="center" wrapText="1"/>
    </xf>
    <xf numFmtId="1" fontId="7" fillId="3" borderId="2" applyAlignment="1" pivotButton="0" quotePrefix="0" xfId="8">
      <alignment horizontal="center" vertical="center"/>
    </xf>
    <xf numFmtId="1" fontId="6" fillId="8" borderId="2" applyAlignment="1" pivotButton="0" quotePrefix="0" xfId="6">
      <alignment horizontal="center" vertical="center" wrapText="1"/>
    </xf>
    <xf numFmtId="1" fontId="7" fillId="8" borderId="2" applyAlignment="1" pivotButton="0" quotePrefix="0" xfId="8">
      <alignment horizontal="center" vertical="center"/>
    </xf>
    <xf numFmtId="167" fontId="12" fillId="3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168" fontId="6" fillId="0" borderId="2" applyAlignment="1" pivotButton="0" quotePrefix="0" xfId="6">
      <alignment horizontal="center" vertical="center" wrapText="1"/>
    </xf>
    <xf numFmtId="9" fontId="6" fillId="0" borderId="2" applyAlignment="1" pivotButton="0" quotePrefix="0" xfId="6">
      <alignment horizontal="center" vertical="center" wrapText="1"/>
    </xf>
    <xf numFmtId="164" fontId="7" fillId="8" borderId="2" applyAlignment="1" pivotButton="0" quotePrefix="0" xfId="8">
      <alignment horizontal="center" vertical="center"/>
    </xf>
    <xf numFmtId="168" fontId="6" fillId="8" borderId="2" applyAlignment="1" pivotButton="0" quotePrefix="0" xfId="6">
      <alignment horizontal="center" vertical="center" wrapText="1"/>
    </xf>
    <xf numFmtId="9" fontId="6" fillId="8" borderId="2" applyAlignment="1" pivotButton="0" quotePrefix="0" xfId="6">
      <alignment horizontal="center" vertical="center" wrapText="1"/>
    </xf>
    <xf numFmtId="164" fontId="7" fillId="0" borderId="2" applyAlignment="1" pivotButton="0" quotePrefix="0" xfId="10">
      <alignment horizontal="left" vertical="center" indent="1"/>
    </xf>
    <xf numFmtId="164" fontId="7" fillId="9" borderId="2" applyAlignment="1" pivotButton="0" quotePrefix="0" xfId="10">
      <alignment horizontal="left" vertical="center" indent="1"/>
    </xf>
    <xf numFmtId="9" fontId="12" fillId="3" borderId="2" applyAlignment="1" pivotButton="0" quotePrefix="0" xfId="6">
      <alignment horizontal="center" vertical="center" wrapText="1"/>
    </xf>
    <xf numFmtId="1" fontId="6" fillId="7" borderId="2" applyAlignment="1" pivotButton="0" quotePrefix="0" xfId="6">
      <alignment horizontal="center" vertical="center" wrapText="1"/>
    </xf>
    <xf numFmtId="0" fontId="12" fillId="0" borderId="2" applyAlignment="1" pivotButton="0" quotePrefix="0" xfId="6">
      <alignment horizontal="center" vertical="center" wrapText="1"/>
    </xf>
    <xf numFmtId="0" fontId="12" fillId="8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0" fontId="6" fillId="9" borderId="2" applyAlignment="1" pivotButton="0" quotePrefix="0" xfId="6">
      <alignment horizontal="center" vertical="center" wrapText="1"/>
    </xf>
    <xf numFmtId="9" fontId="7" fillId="3" borderId="2" applyAlignment="1" pivotButton="0" quotePrefix="0" xfId="8">
      <alignment horizontal="center" vertical="center"/>
    </xf>
    <xf numFmtId="166" fontId="6" fillId="0" borderId="2" applyAlignment="1" pivotButton="0" quotePrefix="0" xfId="6">
      <alignment horizontal="center" vertical="center" wrapText="1"/>
    </xf>
    <xf numFmtId="9" fontId="7" fillId="8" borderId="2" applyAlignment="1" pivotButton="0" quotePrefix="0" xfId="8">
      <alignment horizontal="center" vertical="center"/>
    </xf>
    <xf numFmtId="0" fontId="13" fillId="9" borderId="2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9" fillId="4" borderId="3" applyAlignment="1" pivotButton="0" quotePrefix="0" xfId="11">
      <alignment horizontal="center" vertical="center" wrapText="1"/>
    </xf>
    <xf numFmtId="9" fontId="15" fillId="10" borderId="4" applyAlignment="1" pivotButton="0" quotePrefix="0" xfId="0">
      <alignment horizontal="center" vertical="center"/>
    </xf>
    <xf numFmtId="0" fontId="0" fillId="10" borderId="4" pivotButton="0" quotePrefix="0" xfId="0"/>
    <xf numFmtId="0" fontId="0" fillId="10" borderId="2" pivotButton="0" quotePrefix="0" xfId="0"/>
    <xf numFmtId="0" fontId="2" fillId="10" borderId="1" applyAlignment="1" pivotButton="0" quotePrefix="0" xfId="2">
      <alignment horizontal="left" vertical="center" indent="2"/>
    </xf>
    <xf numFmtId="167" fontId="6" fillId="0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2" fontId="7" fillId="3" borderId="2" applyAlignment="1" pivotButton="0" quotePrefix="0" xfId="8">
      <alignment horizontal="center" vertical="center"/>
    </xf>
  </cellXfs>
  <cellStyles count="13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</cellStyles>
  <dxfs count="6">
    <dxf>
      <font>
        <b val="1"/>
        <color rgb="001B4F48"/>
      </font>
      <fill>
        <patternFill patternType="solid">
          <fgColor rgb="00E3F8EF"/>
        </patternFill>
      </fill>
    </dxf>
    <dxf>
      <font>
        <b val="1"/>
        <color rgb="00C94C4C"/>
      </font>
      <fill>
        <patternFill patternType="solid">
          <fgColor rgb="00FBE6E6"/>
        </patternFill>
      </fill>
    </dxf>
    <dxf>
      <fill>
        <patternFill patternType="solid">
          <fgColor rgb="00FBF0E2"/>
        </patternFill>
      </fill>
    </dxf>
    <dxf>
      <font>
        <b val="1"/>
        <color rgb="00937356"/>
      </font>
      <fill>
        <patternFill patternType="solid">
          <fgColor rgb="00FBF0E2"/>
        </patternFill>
      </fill>
    </dxf>
    <dxf>
      <fill>
        <patternFill patternType="solid">
          <fgColor rgb="00E3F8EF"/>
        </patternFill>
      </fill>
    </dxf>
    <dxf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Match Results (W/L)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'Matches'!$J$5:$J$6</f>
            </numRef>
          </cat>
          <val>
            <numRef>
              <f>'Matches'!$K$5:$K$6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Court Time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'Analytics'!C16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'Analytics'!$B$17:$B$22</f>
            </numRef>
          </cat>
          <val>
            <numRef>
              <f>'Analytics'!$C$17:$C$22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Skill Progress — Start vs Now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'Skills'!B4</f>
            </strRef>
          </tx>
          <spPr>
            <a:ln>
              <a:prstDash val="solid"/>
            </a:ln>
          </spPr>
          <cat>
            <numRef>
              <f>'Skills'!$A$5:$A$16</f>
            </numRef>
          </cat>
          <val>
            <numRef>
              <f>'Skills'!$B$5:$B$16</f>
            </numRef>
          </val>
        </ser>
        <ser>
          <idx val="1"/>
          <order val="1"/>
          <tx>
            <strRef>
              <f>'Skills'!C4</f>
            </strRef>
          </tx>
          <spPr>
            <a:ln>
              <a:prstDash val="solid"/>
            </a:ln>
          </spPr>
          <cat>
            <numRef>
              <f>'Skills'!$A$5:$A$16</f>
            </numRef>
          </cat>
          <val>
            <numRef>
              <f>'Skills'!$C$5:$C$16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'Budget'!$A$5:$A$15</f>
            </numRef>
          </cat>
          <val>
            <numRef>
              <f>'Budget'!$C$5:$C$15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Skill Progress — Start vs Now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'Skills'!B4</f>
            </strRef>
          </tx>
          <spPr>
            <a:ln>
              <a:prstDash val="solid"/>
            </a:ln>
          </spPr>
          <cat>
            <numRef>
              <f>'Skills'!$A$5:$A$16</f>
            </numRef>
          </cat>
          <val>
            <numRef>
              <f>'Skills'!$B$5:$B$16</f>
            </numRef>
          </val>
        </ser>
        <ser>
          <idx val="1"/>
          <order val="1"/>
          <tx>
            <strRef>
              <f>'Skills'!C4</f>
            </strRef>
          </tx>
          <spPr>
            <a:ln>
              <a:prstDash val="solid"/>
            </a:ln>
          </spPr>
          <cat>
            <numRef>
              <f>'Skills'!$A$5:$A$16</f>
            </numRef>
          </cat>
          <val>
            <numRef>
              <f>'Skills'!$C$5:$C$16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 by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'Analytics'!C6</f>
            </strRef>
          </tx>
          <spPr>
            <a:ln>
              <a:prstDash val="solid"/>
            </a:ln>
          </spPr>
          <cat>
            <numRef>
              <f>'Analytics'!$B$7:$B$12</f>
            </numRef>
          </cat>
          <val>
            <numRef>
              <f>'Analytics'!$C$7:$C$12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4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14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1B4F48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2" customWidth="1" min="2" max="2"/>
    <col width="3" customWidth="1" min="3" max="3"/>
  </cols>
  <sheetData>
    <row r="1" ht="58" customHeight="1">
      <c r="A1" s="1" t="inlineStr">
        <is>
          <t xml:space="preserve">  🏓  PICKLEBALL COMMAND CENTER™</t>
        </is>
      </c>
    </row>
    <row r="2" ht="24" customHeight="1">
      <c r="A2" s="2" t="inlineStr">
        <is>
          <t xml:space="preserve">  The ultimate pickleball performance, league &amp; tournament management system.</t>
        </is>
      </c>
    </row>
    <row r="3" ht="6" customHeight="1">
      <c r="A3" s="3" t="n"/>
      <c r="B3" s="3" t="n"/>
      <c r="C3" s="3" t="n"/>
    </row>
    <row r="5">
      <c r="B5" s="4" t="inlineStr">
        <is>
          <t>YOUR WHOLE PICKLEBALL JOURNEY — IN ONE PLACE</t>
        </is>
      </c>
    </row>
    <row r="6" ht="22" customHeight="1">
      <c r="B6" s="5" t="inlineStr">
        <is>
          <t>Most pickleball spreadsheets only track scores. Pickleball Command Center™ brings match tracking, player performance, tournaments, practice, skills, equipment, fitness, finances, partners, travel, nutrition and goals into ONE premium Excel &amp; Google Sheets dashboard — so whether you play once a week or compete every weekend, you improve your game and stay organized. It's not a score tracker — it's your pickleball operating system.</t>
        </is>
      </c>
    </row>
    <row r="7" ht="22" customHeight="1"/>
    <row r="8" ht="22" customHeight="1"/>
    <row r="9" ht="22" customHeight="1"/>
    <row r="11">
      <c r="B11" s="6" t="inlineStr">
        <is>
          <t>START HERE</t>
        </is>
      </c>
    </row>
    <row r="12" ht="22" customHeight="1">
      <c r="B12" s="5" t="inlineStr">
        <is>
          <t>1.  Open Settings and add your name, level, rating &amp; season target.</t>
        </is>
      </c>
    </row>
    <row r="13" ht="22" customHeight="1">
      <c r="B13" s="5" t="inlineStr">
        <is>
          <t>2.  Fill in your Player Profile (division, club, coach, goals).</t>
        </is>
      </c>
    </row>
    <row r="14" ht="22" customHeight="1">
      <c r="B14" s="5" t="inlineStr">
        <is>
          <t>3.  Log matches in the Match Tracker — win % calculates itself.</t>
        </is>
      </c>
    </row>
    <row r="15" ht="22" customHeight="1">
      <c r="B15" s="5" t="inlineStr">
        <is>
          <t>4.  Plan practices, rate your skills &amp; track equipment replacements.</t>
        </is>
      </c>
    </row>
    <row r="16" ht="22" customHeight="1">
      <c r="B16" s="5" t="inlineStr">
        <is>
          <t>5.  Set budgets, log fitness &amp; partners — everything rolls up automatically.</t>
        </is>
      </c>
    </row>
    <row r="17" ht="22" customHeight="1">
      <c r="B17" s="5" t="inlineStr">
        <is>
          <t>6.  Watch the Executive Dashboard track wins, court time &amp; your performance score.</t>
        </is>
      </c>
    </row>
    <row r="20" ht="26" customHeight="1">
      <c r="B20" s="7" t="inlineStr">
        <is>
          <t xml:space="preserve">  GOOD TO KNOW</t>
        </is>
      </c>
    </row>
    <row r="21" ht="22" customHeight="1">
      <c r="B21" s="8" t="inlineStr">
        <is>
          <t>Realistic sample data (a 3.5 league &amp; tournament season) is included so you can see how everything connects — just type over it with your own. Win %, court time, skill progress, budget, partner records and the Pickleball Performance Score all update automatically. Every sheet is print-friendly and works in Excel and Google Sheets, on desktop and mobile.</t>
        </is>
      </c>
    </row>
    <row r="22" ht="22" customHeight="1">
      <c r="B22" s="9" t="n"/>
    </row>
    <row r="23" ht="22" customHeight="1">
      <c r="B23" s="9" t="n"/>
    </row>
    <row r="25">
      <c r="B25" s="4" t="inlineStr">
        <is>
          <t>One organized system, more time on the court — game on!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F48"/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🏓  PICKLEBALL COMMAND CENTER™</t>
        </is>
      </c>
    </row>
    <row r="2" ht="24" customHeight="1">
      <c r="A2" s="2" t="inlineStr">
        <is>
          <t xml:space="preserve">  Matches, skills, tournaments, fitness &amp; finances — your whole game,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0" t="inlineStr">
        <is>
          <t>MATCHES PLAYED</t>
        </is>
      </c>
      <c r="C5" s="11" t="n"/>
      <c r="D5" s="10" t="inlineStr">
        <is>
          <t>WIN PERCENTAGE</t>
        </is>
      </c>
      <c r="E5" s="11" t="n"/>
      <c r="F5" s="10" t="inlineStr">
        <is>
          <t>CURRENT RATING</t>
        </is>
      </c>
      <c r="G5" s="11" t="n"/>
      <c r="H5" s="10" t="inlineStr">
        <is>
          <t>TOURNAMENT WINS</t>
        </is>
      </c>
      <c r="I5" s="11" t="n"/>
      <c r="J5" s="10" t="inlineStr">
        <is>
          <t>PRACTICE (30 DAYS)</t>
        </is>
      </c>
      <c r="K5" s="11" t="n"/>
      <c r="L5" s="10" t="inlineStr">
        <is>
          <t>COURT TIME (HRS)</t>
        </is>
      </c>
      <c r="M5" s="11" t="n"/>
    </row>
    <row r="6" ht="40" customHeight="1">
      <c r="B6" s="12">
        <f>COUNTA(MatchResult)</f>
        <v/>
      </c>
      <c r="C6" s="13" t="n"/>
      <c r="D6" s="14">
        <f>IFERROR(COUNTIF(MatchResult,"W")/COUNTA(MatchResult),0)</f>
        <v/>
      </c>
      <c r="E6" s="13" t="n"/>
      <c r="F6" s="15">
        <f>PlayerRating</f>
        <v/>
      </c>
      <c r="G6" s="13" t="n"/>
      <c r="H6" s="12">
        <f>COUNTIF(TournPlace,"1st")</f>
        <v/>
      </c>
      <c r="I6" s="13" t="n"/>
      <c r="J6" s="12">
        <f>COUNTIFS(PracticeDate,"&gt;="&amp;TODAY()-30)</f>
        <v/>
      </c>
      <c r="K6" s="13" t="n"/>
      <c r="L6" s="16">
        <f>SUM(PracticeHrs)+COUNTA(MatchResult)</f>
        <v/>
      </c>
      <c r="M6" s="13" t="n"/>
    </row>
    <row r="8" ht="18" customHeight="1">
      <c r="B8" s="10" t="inlineStr">
        <is>
          <t>MONTHLY BUDGET</t>
        </is>
      </c>
      <c r="C8" s="11" t="n"/>
      <c r="D8" s="10" t="inlineStr">
        <is>
          <t>GEAR TO REPLACE</t>
        </is>
      </c>
      <c r="E8" s="11" t="n"/>
      <c r="F8" s="10" t="inlineStr">
        <is>
          <t>FITNESS PROGRESS</t>
        </is>
      </c>
      <c r="G8" s="11" t="n"/>
      <c r="H8" s="10" t="inlineStr">
        <is>
          <t>UPCOMING EVENTS</t>
        </is>
      </c>
      <c r="I8" s="11" t="n"/>
      <c r="J8" s="10" t="inlineStr">
        <is>
          <t>TOP PARTNER</t>
        </is>
      </c>
      <c r="K8" s="11" t="n"/>
      <c r="L8" s="10" t="inlineStr">
        <is>
          <t>SEASON PROGRESS</t>
        </is>
      </c>
      <c r="M8" s="11" t="n"/>
    </row>
    <row r="9" ht="40" customHeight="1">
      <c r="B9" s="17">
        <f>MonthlyBudget</f>
        <v/>
      </c>
      <c r="C9" s="13" t="n"/>
      <c r="D9" s="12">
        <f>SUMPRODUCT((EquipReplace&lt;=TODAY()+60)*(EquipReplace&lt;&gt;"")*(EquipName&lt;&gt;""))</f>
        <v/>
      </c>
      <c r="E9" s="13" t="n"/>
      <c r="F9" s="14">
        <f>IFERROR(AVERAGEIF(GoalCategory,"Fitness",GoalProgress),0)</f>
        <v/>
      </c>
      <c r="G9" s="13" t="n"/>
      <c r="H9" s="12">
        <f>COUNTIF(TournDate,"&gt;="&amp;TODAY())</f>
        <v/>
      </c>
      <c r="I9" s="13" t="n"/>
      <c r="J9" s="18">
        <f>INDEX(PartnerRecord,MATCH(MAX(PartnerWinPct),PartnerWinPct,0))</f>
        <v/>
      </c>
      <c r="K9" s="13" t="n"/>
      <c r="L9" s="14">
        <f>IFERROR(COUNTA(MatchResult)/SeasonTarget,0)</f>
        <v/>
      </c>
      <c r="M9" s="13" t="n"/>
    </row>
    <row r="11" ht="26" customHeight="1">
      <c r="B11" s="4" t="inlineStr">
        <is>
          <t>MATCHES &amp; COURT TIME</t>
        </is>
      </c>
    </row>
    <row r="29" ht="26" customHeight="1">
      <c r="B29" s="4" t="inlineStr">
        <is>
          <t>SKILLS &amp; SPENDING</t>
        </is>
      </c>
    </row>
    <row r="47" ht="26" customHeight="1">
      <c r="B47" s="2" t="inlineStr">
        <is>
          <t>Pickleball Command Center™ — improve your game, one organized season at a time. Edit anything in Settings.</t>
        </is>
      </c>
    </row>
  </sheetData>
  <mergeCells count="29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47:M47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5E6C1"/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8" customWidth="1" min="3" max="3"/>
    <col width="6" customWidth="1" min="4" max="4"/>
    <col width="24" customWidth="1" min="5" max="5"/>
    <col width="24" customWidth="1" min="6" max="6"/>
    <col width="2" customWidth="1" min="7" max="7"/>
  </cols>
  <sheetData>
    <row r="1" ht="46" customHeight="1">
      <c r="A1" s="1" t="inlineStr">
        <is>
          <t xml:space="preserve">  🏓  PLAYER PROFILE</t>
        </is>
      </c>
    </row>
    <row r="2" ht="22" customHeight="1">
      <c r="A2" s="2" t="inlineStr">
        <is>
          <t xml:space="preserve">  Who you are on the court — the essentials, all in one place.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THE PLAYER</t>
        </is>
      </c>
    </row>
    <row r="6" ht="24" customHeight="1">
      <c r="B6" s="19" t="inlineStr">
        <is>
          <t>Player Name</t>
        </is>
      </c>
      <c r="C6" s="20">
        <f>PlayerName</f>
        <v/>
      </c>
      <c r="E6" s="19" t="inlineStr">
        <is>
          <t>Age Division</t>
        </is>
      </c>
      <c r="F6" s="20">
        <f>AgeDiv</f>
        <v/>
      </c>
    </row>
    <row r="7" ht="24" customHeight="1">
      <c r="B7" s="19" t="inlineStr">
        <is>
          <t>Playing Level</t>
        </is>
      </c>
      <c r="C7" s="20">
        <f>PlayLevel</f>
        <v/>
      </c>
      <c r="E7" s="19" t="inlineStr">
        <is>
          <t>Current Rating (DUPR)</t>
        </is>
      </c>
      <c r="F7" s="20">
        <f>PlayerRating</f>
        <v/>
      </c>
    </row>
    <row r="8" ht="24" customHeight="1">
      <c r="B8" s="19" t="inlineStr">
        <is>
          <t>Dominant Hand</t>
        </is>
      </c>
      <c r="C8" s="20" t="inlineStr">
        <is>
          <t>Right</t>
        </is>
      </c>
      <c r="E8" s="19" t="inlineStr">
        <is>
          <t>Preferred Position</t>
        </is>
      </c>
      <c r="F8" s="20" t="inlineStr">
        <is>
          <t>Left / Even</t>
        </is>
      </c>
    </row>
    <row r="10" ht="22" customHeight="1">
      <c r="B10" s="4" t="inlineStr">
        <is>
          <t>TEAM &amp; SUPPORT</t>
        </is>
      </c>
    </row>
    <row r="11" ht="24" customHeight="1">
      <c r="B11" s="19" t="inlineStr">
        <is>
          <t>Home Club</t>
        </is>
      </c>
      <c r="C11" s="20">
        <f>HomeClub</f>
        <v/>
      </c>
      <c r="E11" s="19" t="inlineStr">
        <is>
          <t>Coach</t>
        </is>
      </c>
      <c r="F11" s="20" t="inlineStr">
        <is>
          <t>Coach Diaz</t>
        </is>
      </c>
    </row>
    <row r="12" ht="24" customHeight="1">
      <c r="B12" s="19" t="inlineStr">
        <is>
          <t>Primary Partner</t>
        </is>
      </c>
      <c r="C12" s="20" t="inlineStr">
        <is>
          <t>Chris P.</t>
        </is>
      </c>
      <c r="E12" s="19" t="inlineStr">
        <is>
          <t>Playing Since</t>
        </is>
      </c>
      <c r="F12" s="20" t="inlineStr">
        <is>
          <t>2021</t>
        </is>
      </c>
    </row>
    <row r="13" ht="24" customHeight="1">
      <c r="B13" s="19" t="inlineStr">
        <is>
          <t>Emergency Contact</t>
        </is>
      </c>
      <c r="C13" s="20" t="inlineStr">
        <is>
          <t>Pat R. — (555) 210-4521</t>
        </is>
      </c>
      <c r="E13" s="19" t="inlineStr">
        <is>
          <t>Medical Notes</t>
        </is>
      </c>
      <c r="F13" s="20" t="inlineStr">
        <is>
          <t>None — carry inhaler</t>
        </is>
      </c>
    </row>
    <row r="15" ht="22" customHeight="1">
      <c r="B15" s="4" t="inlineStr">
        <is>
          <t>SEASON GOALS</t>
        </is>
      </c>
    </row>
    <row r="16">
      <c r="B16" s="21" t="inlineStr">
        <is>
          <t>◆</t>
        </is>
      </c>
      <c r="C16" s="22" t="inlineStr">
        <is>
          <t>Reach a 4.0 DUPR rating</t>
        </is>
      </c>
    </row>
    <row r="17">
      <c r="B17" s="21" t="inlineStr">
        <is>
          <t>◆</t>
        </is>
      </c>
      <c r="C17" s="22" t="inlineStr">
        <is>
          <t>Medal at a 3.5 sanctioned tournament</t>
        </is>
      </c>
    </row>
    <row r="18">
      <c r="B18" s="21" t="inlineStr">
        <is>
          <t>◆</t>
        </is>
      </c>
      <c r="C18" s="22" t="inlineStr">
        <is>
          <t>Play 40 matches this season</t>
        </is>
      </c>
    </row>
    <row r="19">
      <c r="B19" s="21" t="inlineStr">
        <is>
          <t>◆</t>
        </is>
      </c>
      <c r="C19" s="22" t="inlineStr">
        <is>
          <t>Master the third-shot drop</t>
        </is>
      </c>
    </row>
  </sheetData>
  <mergeCells count="9">
    <mergeCell ref="C18:F18"/>
    <mergeCell ref="A1:G1"/>
    <mergeCell ref="C17:F17"/>
    <mergeCell ref="B15:F15"/>
    <mergeCell ref="B10:F10"/>
    <mergeCell ref="B5:F5"/>
    <mergeCell ref="C16:F16"/>
    <mergeCell ref="A2:G2"/>
    <mergeCell ref="C19:F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5D3BA"/>
    <outlinePr summaryBelow="1" summaryRight="1"/>
    <pageSetUpPr/>
  </sheetPr>
  <dimension ref="A1:K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20" customWidth="1" min="4" max="4"/>
    <col width="14" customWidth="1" min="5" max="5"/>
    <col width="15" customWidth="1" min="6" max="6"/>
    <col width="10" customWidth="1" min="7" max="7"/>
    <col width="20" customWidth="1" min="8" max="8"/>
    <col width="3" customWidth="1" min="9" max="9"/>
    <col width="12" customWidth="1" min="10" max="10"/>
    <col width="10" customWidth="1" min="11" max="11"/>
  </cols>
  <sheetData>
    <row r="1" ht="46" customHeight="1">
      <c r="A1" s="1" t="inlineStr">
        <is>
          <t xml:space="preserve">  🎾  MATCH TRACKER</t>
        </is>
      </c>
    </row>
    <row r="2" ht="22" customHeight="1">
      <c r="A2" s="2" t="inlineStr">
        <is>
          <t xml:space="preserve">  Every game logged — win %, partner records &amp; form all calculate automatically.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Date</t>
        </is>
      </c>
      <c r="B4" s="7" t="inlineStr">
        <is>
          <t>Opponents</t>
        </is>
      </c>
      <c r="C4" s="7" t="inlineStr">
        <is>
          <t>Partner</t>
        </is>
      </c>
      <c r="D4" s="7" t="inlineStr">
        <is>
          <t>Score</t>
        </is>
      </c>
      <c r="E4" s="7" t="inlineStr">
        <is>
          <t>Match Type</t>
        </is>
      </c>
      <c r="F4" s="7" t="inlineStr">
        <is>
          <t>Venue</t>
        </is>
      </c>
      <c r="G4" s="7" t="inlineStr">
        <is>
          <t>Result</t>
        </is>
      </c>
      <c r="H4" s="7" t="inlineStr">
        <is>
          <t>Notes</t>
        </is>
      </c>
      <c r="J4" s="7" t="inlineStr">
        <is>
          <t>Result</t>
        </is>
      </c>
      <c r="K4" s="7" t="inlineStr">
        <is>
          <t>Count</t>
        </is>
      </c>
    </row>
    <row r="5">
      <c r="A5" s="23" t="n">
        <v>46150</v>
      </c>
      <c r="B5" s="24" t="inlineStr">
        <is>
          <t>Rodriguez / Lin</t>
        </is>
      </c>
      <c r="C5" s="25" t="inlineStr">
        <is>
          <t>Chris P.</t>
        </is>
      </c>
      <c r="D5" s="24" t="inlineStr">
        <is>
          <t>11-7, 11-9</t>
        </is>
      </c>
      <c r="E5" s="25" t="inlineStr">
        <is>
          <t>Rec</t>
        </is>
      </c>
      <c r="F5" s="25" t="inlineStr">
        <is>
          <t>Riverside</t>
        </is>
      </c>
      <c r="G5" s="25" t="inlineStr">
        <is>
          <t>W</t>
        </is>
      </c>
      <c r="H5" s="24" t="n"/>
      <c r="J5" s="22" t="inlineStr">
        <is>
          <t>Wins</t>
        </is>
      </c>
      <c r="K5" s="26">
        <f>COUNTIF(MatchResult,"W")</f>
        <v/>
      </c>
    </row>
    <row r="6">
      <c r="A6" s="27" t="n">
        <v>46152</v>
      </c>
      <c r="B6" s="28" t="inlineStr">
        <is>
          <t>Boyd / Tran</t>
        </is>
      </c>
      <c r="C6" s="29" t="inlineStr">
        <is>
          <t>Sam T.</t>
        </is>
      </c>
      <c r="D6" s="28" t="inlineStr">
        <is>
          <t>9-11, 8-11</t>
        </is>
      </c>
      <c r="E6" s="29" t="inlineStr">
        <is>
          <t>League</t>
        </is>
      </c>
      <c r="F6" s="29" t="inlineStr">
        <is>
          <t>Downtown Rec</t>
        </is>
      </c>
      <c r="G6" s="29" t="inlineStr">
        <is>
          <t>L</t>
        </is>
      </c>
      <c r="H6" s="28" t="n"/>
      <c r="J6" s="22" t="inlineStr">
        <is>
          <t>Losses</t>
        </is>
      </c>
      <c r="K6" s="26">
        <f>COUNTIF(MatchResult,"L")</f>
        <v/>
      </c>
    </row>
    <row r="7">
      <c r="A7" s="23" t="n">
        <v>46155</v>
      </c>
      <c r="B7" s="24" t="inlineStr">
        <is>
          <t>Okafor / Diaz</t>
        </is>
      </c>
      <c r="C7" s="25" t="inlineStr">
        <is>
          <t>Chris P.</t>
        </is>
      </c>
      <c r="D7" s="24" t="inlineStr">
        <is>
          <t>11-6, 11-8</t>
        </is>
      </c>
      <c r="E7" s="25" t="inlineStr">
        <is>
          <t>Rec</t>
        </is>
      </c>
      <c r="F7" s="25" t="inlineStr">
        <is>
          <t>Riverside</t>
        </is>
      </c>
      <c r="G7" s="25" t="inlineStr">
        <is>
          <t>W</t>
        </is>
      </c>
      <c r="H7" s="24" t="n"/>
    </row>
    <row r="8">
      <c r="A8" s="27" t="n">
        <v>46157</v>
      </c>
      <c r="B8" s="28" t="inlineStr">
        <is>
          <t>Nguyen / Park</t>
        </is>
      </c>
      <c r="C8" s="29" t="inlineStr">
        <is>
          <t>Alex D.</t>
        </is>
      </c>
      <c r="D8" s="28" t="inlineStr">
        <is>
          <t>11-9, 9-11, 11-7</t>
        </is>
      </c>
      <c r="E8" s="29" t="inlineStr">
        <is>
          <t>Ladder</t>
        </is>
      </c>
      <c r="F8" s="29" t="inlineStr">
        <is>
          <t>Sunset Courts</t>
        </is>
      </c>
      <c r="G8" s="29" t="inlineStr">
        <is>
          <t>W</t>
        </is>
      </c>
      <c r="H8" s="28" t="n"/>
    </row>
    <row r="9">
      <c r="A9" s="23" t="n">
        <v>46160</v>
      </c>
      <c r="B9" s="24" t="inlineStr">
        <is>
          <t>Kim / Foster</t>
        </is>
      </c>
      <c r="C9" s="25" t="inlineStr">
        <is>
          <t>Chris P.</t>
        </is>
      </c>
      <c r="D9" s="24" t="inlineStr">
        <is>
          <t>8-11, 11-9, 9-11</t>
        </is>
      </c>
      <c r="E9" s="25" t="inlineStr">
        <is>
          <t>League</t>
        </is>
      </c>
      <c r="F9" s="25" t="inlineStr">
        <is>
          <t>Downtown Rec</t>
        </is>
      </c>
      <c r="G9" s="25" t="inlineStr">
        <is>
          <t>L</t>
        </is>
      </c>
      <c r="H9" s="24" t="n"/>
    </row>
    <row r="10">
      <c r="A10" s="27" t="n">
        <v>46162</v>
      </c>
      <c r="B10" s="28" t="inlineStr">
        <is>
          <t>Ramos / Webb</t>
        </is>
      </c>
      <c r="C10" s="29" t="inlineStr">
        <is>
          <t>Sam T.</t>
        </is>
      </c>
      <c r="D10" s="28" t="inlineStr">
        <is>
          <t>11-5, 11-7</t>
        </is>
      </c>
      <c r="E10" s="29" t="inlineStr">
        <is>
          <t>Rec</t>
        </is>
      </c>
      <c r="F10" s="29" t="inlineStr">
        <is>
          <t>Riverside</t>
        </is>
      </c>
      <c r="G10" s="29" t="inlineStr">
        <is>
          <t>W</t>
        </is>
      </c>
      <c r="H10" s="28" t="n"/>
    </row>
    <row r="11">
      <c r="A11" s="23" t="n">
        <v>46165</v>
      </c>
      <c r="B11" s="24" t="inlineStr">
        <is>
          <t>Silva / Cho</t>
        </is>
      </c>
      <c r="C11" s="25" t="inlineStr">
        <is>
          <t>Chris P.</t>
        </is>
      </c>
      <c r="D11" s="24" t="inlineStr">
        <is>
          <t>11-8, 11-6</t>
        </is>
      </c>
      <c r="E11" s="25" t="inlineStr">
        <is>
          <t>Tournament</t>
        </is>
      </c>
      <c r="F11" s="25" t="inlineStr">
        <is>
          <t>Metro Complex</t>
        </is>
      </c>
      <c r="G11" s="25" t="inlineStr">
        <is>
          <t>W</t>
        </is>
      </c>
      <c r="H11" s="24" t="n"/>
    </row>
    <row r="12">
      <c r="A12" s="27" t="n">
        <v>46165</v>
      </c>
      <c r="B12" s="28" t="inlineStr">
        <is>
          <t>Hill / Grant</t>
        </is>
      </c>
      <c r="C12" s="29" t="inlineStr">
        <is>
          <t>Chris P.</t>
        </is>
      </c>
      <c r="D12" s="28" t="inlineStr">
        <is>
          <t>11-9, 12-10</t>
        </is>
      </c>
      <c r="E12" s="29" t="inlineStr">
        <is>
          <t>Tournament</t>
        </is>
      </c>
      <c r="F12" s="29" t="inlineStr">
        <is>
          <t>Metro Complex</t>
        </is>
      </c>
      <c r="G12" s="29" t="inlineStr">
        <is>
          <t>W</t>
        </is>
      </c>
      <c r="H12" s="28" t="n"/>
    </row>
    <row r="13">
      <c r="A13" s="23" t="n">
        <v>46166</v>
      </c>
      <c r="B13" s="24" t="inlineStr">
        <is>
          <t>Adler / Meyer</t>
        </is>
      </c>
      <c r="C13" s="25" t="inlineStr">
        <is>
          <t>Chris P.</t>
        </is>
      </c>
      <c r="D13" s="24" t="inlineStr">
        <is>
          <t>7-11, 9-11</t>
        </is>
      </c>
      <c r="E13" s="25" t="inlineStr">
        <is>
          <t>Tournament</t>
        </is>
      </c>
      <c r="F13" s="25" t="inlineStr">
        <is>
          <t>Metro Complex</t>
        </is>
      </c>
      <c r="G13" s="25" t="inlineStr">
        <is>
          <t>L</t>
        </is>
      </c>
      <c r="H13" s="24" t="n"/>
    </row>
    <row r="14">
      <c r="A14" s="27" t="n">
        <v>46169</v>
      </c>
      <c r="B14" s="28" t="inlineStr">
        <is>
          <t>Brooks / Vale</t>
        </is>
      </c>
      <c r="C14" s="29" t="inlineStr">
        <is>
          <t>Alex D.</t>
        </is>
      </c>
      <c r="D14" s="28" t="inlineStr">
        <is>
          <t>11-6, 11-9</t>
        </is>
      </c>
      <c r="E14" s="29" t="inlineStr">
        <is>
          <t>Rec</t>
        </is>
      </c>
      <c r="F14" s="29" t="inlineStr">
        <is>
          <t>Riverside</t>
        </is>
      </c>
      <c r="G14" s="29" t="inlineStr">
        <is>
          <t>L</t>
        </is>
      </c>
      <c r="H14" s="28" t="n"/>
    </row>
    <row r="15">
      <c r="A15" s="23" t="n">
        <v>46171</v>
      </c>
      <c r="B15" s="24" t="inlineStr">
        <is>
          <t>Ito / Sato</t>
        </is>
      </c>
      <c r="C15" s="25" t="inlineStr">
        <is>
          <t>Chris P.</t>
        </is>
      </c>
      <c r="D15" s="24" t="inlineStr">
        <is>
          <t>11-7, 11-5</t>
        </is>
      </c>
      <c r="E15" s="25" t="inlineStr">
        <is>
          <t>League</t>
        </is>
      </c>
      <c r="F15" s="25" t="inlineStr">
        <is>
          <t>Downtown Rec</t>
        </is>
      </c>
      <c r="G15" s="25" t="inlineStr">
        <is>
          <t>W</t>
        </is>
      </c>
      <c r="H15" s="24" t="n"/>
    </row>
    <row r="16">
      <c r="A16" s="27" t="n">
        <v>46173</v>
      </c>
      <c r="B16" s="28" t="inlineStr">
        <is>
          <t>Pope / Ruiz</t>
        </is>
      </c>
      <c r="C16" s="29" t="inlineStr">
        <is>
          <t>Sam T.</t>
        </is>
      </c>
      <c r="D16" s="28" t="inlineStr">
        <is>
          <t>11-9, 8-11, 11-8</t>
        </is>
      </c>
      <c r="E16" s="29" t="inlineStr">
        <is>
          <t>Ladder</t>
        </is>
      </c>
      <c r="F16" s="29" t="inlineStr">
        <is>
          <t>Sunset Courts</t>
        </is>
      </c>
      <c r="G16" s="29" t="inlineStr">
        <is>
          <t>W</t>
        </is>
      </c>
      <c r="H16" s="28" t="n"/>
    </row>
    <row r="17">
      <c r="A17" s="23" t="n">
        <v>46176</v>
      </c>
      <c r="B17" s="24" t="inlineStr">
        <is>
          <t>Cross / Blake</t>
        </is>
      </c>
      <c r="C17" s="25" t="inlineStr">
        <is>
          <t>Chris P.</t>
        </is>
      </c>
      <c r="D17" s="24" t="inlineStr">
        <is>
          <t>9-11, 11-8, 11-9</t>
        </is>
      </c>
      <c r="E17" s="25" t="inlineStr">
        <is>
          <t>Rec</t>
        </is>
      </c>
      <c r="F17" s="25" t="inlineStr">
        <is>
          <t>Riverside</t>
        </is>
      </c>
      <c r="G17" s="25" t="inlineStr">
        <is>
          <t>W</t>
        </is>
      </c>
      <c r="H17" s="24" t="n"/>
    </row>
    <row r="18">
      <c r="A18" s="27" t="n">
        <v>46178</v>
      </c>
      <c r="B18" s="28" t="inlineStr">
        <is>
          <t>Nash / Owens</t>
        </is>
      </c>
      <c r="C18" s="29" t="inlineStr">
        <is>
          <t>Sam T.</t>
        </is>
      </c>
      <c r="D18" s="28" t="inlineStr">
        <is>
          <t>10-12, 9-11</t>
        </is>
      </c>
      <c r="E18" s="29" t="inlineStr">
        <is>
          <t>League</t>
        </is>
      </c>
      <c r="F18" s="29" t="inlineStr">
        <is>
          <t>Downtown Rec</t>
        </is>
      </c>
      <c r="G18" s="29" t="inlineStr">
        <is>
          <t>L</t>
        </is>
      </c>
      <c r="H18" s="28" t="n"/>
    </row>
    <row r="19">
      <c r="A19" s="23" t="n">
        <v>46181</v>
      </c>
      <c r="B19" s="24" t="inlineStr">
        <is>
          <t>Frost / Lane</t>
        </is>
      </c>
      <c r="C19" s="25" t="inlineStr">
        <is>
          <t>Chris P.</t>
        </is>
      </c>
      <c r="D19" s="24" t="inlineStr">
        <is>
          <t>11-6, 11-8</t>
        </is>
      </c>
      <c r="E19" s="25" t="inlineStr">
        <is>
          <t>Rec</t>
        </is>
      </c>
      <c r="F19" s="25" t="inlineStr">
        <is>
          <t>Riverside</t>
        </is>
      </c>
      <c r="G19" s="25" t="inlineStr">
        <is>
          <t>W</t>
        </is>
      </c>
      <c r="H19" s="24" t="n"/>
    </row>
    <row r="20">
      <c r="A20" s="27" t="n">
        <v>46183</v>
      </c>
      <c r="B20" s="28" t="inlineStr">
        <is>
          <t>Bauer / Quinn</t>
        </is>
      </c>
      <c r="C20" s="29" t="inlineStr">
        <is>
          <t>Alex D.</t>
        </is>
      </c>
      <c r="D20" s="28" t="inlineStr">
        <is>
          <t>11-9, 11-7</t>
        </is>
      </c>
      <c r="E20" s="29" t="inlineStr">
        <is>
          <t>Ladder</t>
        </is>
      </c>
      <c r="F20" s="29" t="inlineStr">
        <is>
          <t>Sunset Courts</t>
        </is>
      </c>
      <c r="G20" s="29" t="inlineStr">
        <is>
          <t>W</t>
        </is>
      </c>
      <c r="H20" s="28" t="n"/>
    </row>
    <row r="21">
      <c r="A21" s="23" t="n">
        <v>46186</v>
      </c>
      <c r="B21" s="24" t="inlineStr">
        <is>
          <t>Shaw / Reed</t>
        </is>
      </c>
      <c r="C21" s="25" t="inlineStr">
        <is>
          <t>Chris P.</t>
        </is>
      </c>
      <c r="D21" s="24" t="inlineStr">
        <is>
          <t>8-11, 11-9, 8-11</t>
        </is>
      </c>
      <c r="E21" s="25" t="inlineStr">
        <is>
          <t>League</t>
        </is>
      </c>
      <c r="F21" s="25" t="inlineStr">
        <is>
          <t>Downtown Rec</t>
        </is>
      </c>
      <c r="G21" s="25" t="inlineStr">
        <is>
          <t>L</t>
        </is>
      </c>
      <c r="H21" s="24" t="n"/>
    </row>
    <row r="22">
      <c r="A22" s="27" t="n">
        <v>46188</v>
      </c>
      <c r="B22" s="28" t="inlineStr">
        <is>
          <t>Todd / Marsh</t>
        </is>
      </c>
      <c r="C22" s="29" t="inlineStr">
        <is>
          <t>Sam T.</t>
        </is>
      </c>
      <c r="D22" s="28" t="inlineStr">
        <is>
          <t>11-7, 9-11, 11-6</t>
        </is>
      </c>
      <c r="E22" s="29" t="inlineStr">
        <is>
          <t>Rec</t>
        </is>
      </c>
      <c r="F22" s="29" t="inlineStr">
        <is>
          <t>Riverside</t>
        </is>
      </c>
      <c r="G22" s="29" t="inlineStr">
        <is>
          <t>W</t>
        </is>
      </c>
      <c r="H22" s="28" t="n"/>
    </row>
    <row r="23">
      <c r="A23" s="23" t="n">
        <v>46191</v>
      </c>
      <c r="B23" s="24" t="inlineStr">
        <is>
          <t>Vega / Cole</t>
        </is>
      </c>
      <c r="C23" s="25" t="inlineStr">
        <is>
          <t>Chris P.</t>
        </is>
      </c>
      <c r="D23" s="24" t="inlineStr">
        <is>
          <t>11-8, 11-10</t>
        </is>
      </c>
      <c r="E23" s="25" t="inlineStr">
        <is>
          <t>Tournament</t>
        </is>
      </c>
      <c r="F23" s="25" t="inlineStr">
        <is>
          <t>Lakeside</t>
        </is>
      </c>
      <c r="G23" s="25" t="inlineStr">
        <is>
          <t>W</t>
        </is>
      </c>
      <c r="H23" s="24" t="n"/>
    </row>
    <row r="24">
      <c r="A24" s="27" t="n">
        <v>46193</v>
      </c>
      <c r="B24" s="28" t="inlineStr">
        <is>
          <t>Dunn / Pratt</t>
        </is>
      </c>
      <c r="C24" s="29" t="inlineStr">
        <is>
          <t>Chris P.</t>
        </is>
      </c>
      <c r="D24" s="28" t="inlineStr">
        <is>
          <t>11-9, 9-11, 11-7</t>
        </is>
      </c>
      <c r="E24" s="29" t="inlineStr">
        <is>
          <t>Tournament</t>
        </is>
      </c>
      <c r="F24" s="29" t="inlineStr">
        <is>
          <t>Lakeside</t>
        </is>
      </c>
      <c r="G24" s="29" t="inlineStr">
        <is>
          <t>L</t>
        </is>
      </c>
      <c r="H24" s="28" t="n"/>
    </row>
    <row r="25">
      <c r="A25" s="23" t="n">
        <v>46196</v>
      </c>
      <c r="B25" s="24" t="inlineStr">
        <is>
          <t>Ford / Beck</t>
        </is>
      </c>
      <c r="C25" s="25" t="inlineStr">
        <is>
          <t>Chris P.</t>
        </is>
      </c>
      <c r="D25" s="24" t="inlineStr">
        <is>
          <t>11-6, 11-7</t>
        </is>
      </c>
      <c r="E25" s="25" t="inlineStr">
        <is>
          <t>Rec</t>
        </is>
      </c>
      <c r="F25" s="25" t="inlineStr">
        <is>
          <t>Riverside</t>
        </is>
      </c>
      <c r="G25" s="25" t="inlineStr">
        <is>
          <t>W</t>
        </is>
      </c>
      <c r="H25" s="24" t="n"/>
    </row>
    <row r="26">
      <c r="A26" s="27" t="n">
        <v>46199</v>
      </c>
      <c r="B26" s="28" t="inlineStr">
        <is>
          <t>Lowe / Kerr</t>
        </is>
      </c>
      <c r="C26" s="29" t="inlineStr">
        <is>
          <t>Alex D.</t>
        </is>
      </c>
      <c r="D26" s="28" t="inlineStr">
        <is>
          <t>9-11, 8-11</t>
        </is>
      </c>
      <c r="E26" s="29" t="inlineStr">
        <is>
          <t>League</t>
        </is>
      </c>
      <c r="F26" s="29" t="inlineStr">
        <is>
          <t>Downtown Rec</t>
        </is>
      </c>
      <c r="G26" s="29" t="inlineStr">
        <is>
          <t>L</t>
        </is>
      </c>
      <c r="H26" s="28" t="n"/>
    </row>
    <row r="27">
      <c r="A27" s="23" t="n">
        <v>46202</v>
      </c>
      <c r="B27" s="24" t="inlineStr">
        <is>
          <t>Hart / Dean</t>
        </is>
      </c>
      <c r="C27" s="25" t="inlineStr">
        <is>
          <t>Chris P.</t>
        </is>
      </c>
      <c r="D27" s="24" t="inlineStr">
        <is>
          <t>11-8, 11-9</t>
        </is>
      </c>
      <c r="E27" s="25" t="inlineStr">
        <is>
          <t>Rec</t>
        </is>
      </c>
      <c r="F27" s="25" t="inlineStr">
        <is>
          <t>Riverside</t>
        </is>
      </c>
      <c r="G27" s="25" t="inlineStr">
        <is>
          <t>W</t>
        </is>
      </c>
      <c r="H27" s="24" t="n"/>
    </row>
    <row r="28">
      <c r="A28" s="27" t="n">
        <v>46204</v>
      </c>
      <c r="B28" s="28" t="inlineStr">
        <is>
          <t>Page / Munoz</t>
        </is>
      </c>
      <c r="C28" s="29" t="inlineStr">
        <is>
          <t>Sam T.</t>
        </is>
      </c>
      <c r="D28" s="28" t="inlineStr">
        <is>
          <t>11-9, 11-6</t>
        </is>
      </c>
      <c r="E28" s="29" t="inlineStr">
        <is>
          <t>Ladder</t>
        </is>
      </c>
      <c r="F28" s="29" t="inlineStr">
        <is>
          <t>Sunset Courts</t>
        </is>
      </c>
      <c r="G28" s="29" t="inlineStr">
        <is>
          <t>W</t>
        </is>
      </c>
      <c r="H28" s="28" t="n"/>
    </row>
    <row r="29">
      <c r="A29" s="23" t="n"/>
      <c r="B29" s="24" t="n"/>
      <c r="C29" s="25" t="n"/>
      <c r="D29" s="24" t="n"/>
      <c r="E29" s="25" t="n"/>
      <c r="F29" s="25" t="n"/>
      <c r="G29" s="25" t="n"/>
      <c r="H29" s="24" t="n"/>
    </row>
    <row r="30">
      <c r="A30" s="27" t="n"/>
      <c r="B30" s="28" t="n"/>
      <c r="C30" s="29" t="n"/>
      <c r="D30" s="28" t="n"/>
      <c r="E30" s="29" t="n"/>
      <c r="F30" s="29" t="n"/>
      <c r="G30" s="29" t="n"/>
      <c r="H30" s="28" t="n"/>
    </row>
    <row r="31">
      <c r="A31" s="23" t="n"/>
      <c r="B31" s="24" t="n"/>
      <c r="C31" s="25" t="n"/>
      <c r="D31" s="24" t="n"/>
      <c r="E31" s="25" t="n"/>
      <c r="F31" s="25" t="n"/>
      <c r="G31" s="25" t="n"/>
      <c r="H31" s="24" t="n"/>
    </row>
    <row r="32">
      <c r="A32" s="27" t="n"/>
      <c r="B32" s="28" t="n"/>
      <c r="C32" s="29" t="n"/>
      <c r="D32" s="28" t="n"/>
      <c r="E32" s="29" t="n"/>
      <c r="F32" s="29" t="n"/>
      <c r="G32" s="29" t="n"/>
      <c r="H32" s="28" t="n"/>
    </row>
    <row r="33">
      <c r="A33" s="23" t="n"/>
      <c r="B33" s="24" t="n"/>
      <c r="C33" s="25" t="n"/>
      <c r="D33" s="24" t="n"/>
      <c r="E33" s="25" t="n"/>
      <c r="F33" s="25" t="n"/>
      <c r="G33" s="25" t="n"/>
      <c r="H33" s="24" t="n"/>
    </row>
    <row r="34">
      <c r="A34" s="27" t="n"/>
      <c r="B34" s="28" t="n"/>
      <c r="C34" s="29" t="n"/>
      <c r="D34" s="28" t="n"/>
      <c r="E34" s="29" t="n"/>
      <c r="F34" s="29" t="n"/>
      <c r="G34" s="29" t="n"/>
      <c r="H34" s="28" t="n"/>
    </row>
    <row r="35">
      <c r="A35" s="23" t="n"/>
      <c r="B35" s="24" t="n"/>
      <c r="C35" s="25" t="n"/>
      <c r="D35" s="24" t="n"/>
      <c r="E35" s="25" t="n"/>
      <c r="F35" s="25" t="n"/>
      <c r="G35" s="25" t="n"/>
      <c r="H35" s="24" t="n"/>
    </row>
    <row r="36">
      <c r="A36" s="27" t="n"/>
      <c r="B36" s="28" t="n"/>
      <c r="C36" s="29" t="n"/>
      <c r="D36" s="28" t="n"/>
      <c r="E36" s="29" t="n"/>
      <c r="F36" s="29" t="n"/>
      <c r="G36" s="29" t="n"/>
      <c r="H36" s="28" t="n"/>
    </row>
    <row r="37">
      <c r="A37" s="23" t="n"/>
      <c r="B37" s="24" t="n"/>
      <c r="C37" s="25" t="n"/>
      <c r="D37" s="24" t="n"/>
      <c r="E37" s="25" t="n"/>
      <c r="F37" s="25" t="n"/>
      <c r="G37" s="25" t="n"/>
      <c r="H37" s="24" t="n"/>
    </row>
    <row r="38">
      <c r="A38" s="27" t="n"/>
      <c r="B38" s="28" t="n"/>
      <c r="C38" s="29" t="n"/>
      <c r="D38" s="28" t="n"/>
      <c r="E38" s="29" t="n"/>
      <c r="F38" s="29" t="n"/>
      <c r="G38" s="29" t="n"/>
      <c r="H38" s="28" t="n"/>
    </row>
    <row r="39">
      <c r="A39" s="23" t="n"/>
      <c r="B39" s="24" t="n"/>
      <c r="C39" s="25" t="n"/>
      <c r="D39" s="24" t="n"/>
      <c r="E39" s="25" t="n"/>
      <c r="F39" s="25" t="n"/>
      <c r="G39" s="25" t="n"/>
      <c r="H39" s="24" t="n"/>
    </row>
    <row r="40">
      <c r="A40" s="27" t="n"/>
      <c r="B40" s="28" t="n"/>
      <c r="C40" s="29" t="n"/>
      <c r="D40" s="28" t="n"/>
      <c r="E40" s="29" t="n"/>
      <c r="F40" s="29" t="n"/>
      <c r="G40" s="29" t="n"/>
      <c r="H40" s="28" t="n"/>
    </row>
    <row r="41">
      <c r="A41" s="23" t="n"/>
      <c r="B41" s="24" t="n"/>
      <c r="C41" s="25" t="n"/>
      <c r="D41" s="24" t="n"/>
      <c r="E41" s="25" t="n"/>
      <c r="F41" s="25" t="n"/>
      <c r="G41" s="25" t="n"/>
      <c r="H41" s="24" t="n"/>
    </row>
    <row r="42">
      <c r="A42" s="27" t="n"/>
      <c r="B42" s="28" t="n"/>
      <c r="C42" s="29" t="n"/>
      <c r="D42" s="28" t="n"/>
      <c r="E42" s="29" t="n"/>
      <c r="F42" s="29" t="n"/>
      <c r="G42" s="29" t="n"/>
      <c r="H42" s="28" t="n"/>
    </row>
    <row r="43">
      <c r="A43" s="23" t="n"/>
      <c r="B43" s="24" t="n"/>
      <c r="C43" s="25" t="n"/>
      <c r="D43" s="24" t="n"/>
      <c r="E43" s="25" t="n"/>
      <c r="F43" s="25" t="n"/>
      <c r="G43" s="25" t="n"/>
      <c r="H43" s="24" t="n"/>
    </row>
    <row r="44">
      <c r="A44" s="27" t="n"/>
      <c r="B44" s="28" t="n"/>
      <c r="C44" s="29" t="n"/>
      <c r="D44" s="28" t="n"/>
      <c r="E44" s="29" t="n"/>
      <c r="F44" s="29" t="n"/>
      <c r="G44" s="29" t="n"/>
      <c r="H44" s="28" t="n"/>
    </row>
    <row r="45">
      <c r="A45" s="23" t="n"/>
      <c r="B45" s="24" t="n"/>
      <c r="C45" s="25" t="n"/>
      <c r="D45" s="24" t="n"/>
      <c r="E45" s="25" t="n"/>
      <c r="F45" s="25" t="n"/>
      <c r="G45" s="25" t="n"/>
      <c r="H45" s="24" t="n"/>
    </row>
    <row r="46">
      <c r="A46" s="27" t="n"/>
      <c r="B46" s="28" t="n"/>
      <c r="C46" s="29" t="n"/>
      <c r="D46" s="28" t="n"/>
      <c r="E46" s="29" t="n"/>
      <c r="F46" s="29" t="n"/>
      <c r="G46" s="29" t="n"/>
      <c r="H46" s="28" t="n"/>
    </row>
    <row r="47">
      <c r="A47" s="23" t="n"/>
      <c r="B47" s="24" t="n"/>
      <c r="C47" s="25" t="n"/>
      <c r="D47" s="24" t="n"/>
      <c r="E47" s="25" t="n"/>
      <c r="F47" s="25" t="n"/>
      <c r="G47" s="25" t="n"/>
      <c r="H47" s="24" t="n"/>
    </row>
    <row r="48">
      <c r="A48" s="27" t="n"/>
      <c r="B48" s="28" t="n"/>
      <c r="C48" s="29" t="n"/>
      <c r="D48" s="28" t="n"/>
      <c r="E48" s="29" t="n"/>
      <c r="F48" s="29" t="n"/>
      <c r="G48" s="29" t="n"/>
      <c r="H48" s="28" t="n"/>
    </row>
    <row r="49">
      <c r="A49" s="23" t="n"/>
      <c r="B49" s="24" t="n"/>
      <c r="C49" s="25" t="n"/>
      <c r="D49" s="24" t="n"/>
      <c r="E49" s="25" t="n"/>
      <c r="F49" s="25" t="n"/>
      <c r="G49" s="25" t="n"/>
      <c r="H49" s="24" t="n"/>
    </row>
    <row r="50">
      <c r="A50" s="27" t="n"/>
      <c r="B50" s="28" t="n"/>
      <c r="C50" s="29" t="n"/>
      <c r="D50" s="28" t="n"/>
      <c r="E50" s="29" t="n"/>
      <c r="F50" s="29" t="n"/>
      <c r="G50" s="29" t="n"/>
      <c r="H50" s="28" t="n"/>
    </row>
    <row r="51">
      <c r="A51" s="23" t="n"/>
      <c r="B51" s="24" t="n"/>
      <c r="C51" s="25" t="n"/>
      <c r="D51" s="24" t="n"/>
      <c r="E51" s="25" t="n"/>
      <c r="F51" s="25" t="n"/>
      <c r="G51" s="25" t="n"/>
      <c r="H51" s="24" t="n"/>
    </row>
    <row r="52">
      <c r="A52" s="27" t="n"/>
      <c r="B52" s="28" t="n"/>
      <c r="C52" s="29" t="n"/>
      <c r="D52" s="28" t="n"/>
      <c r="E52" s="29" t="n"/>
      <c r="F52" s="29" t="n"/>
      <c r="G52" s="29" t="n"/>
      <c r="H52" s="28" t="n"/>
    </row>
    <row r="53">
      <c r="A53" s="23" t="n"/>
      <c r="B53" s="24" t="n"/>
      <c r="C53" s="25" t="n"/>
      <c r="D53" s="24" t="n"/>
      <c r="E53" s="25" t="n"/>
      <c r="F53" s="25" t="n"/>
      <c r="G53" s="25" t="n"/>
      <c r="H53" s="24" t="n"/>
    </row>
    <row r="54">
      <c r="A54" s="27" t="n"/>
      <c r="B54" s="28" t="n"/>
      <c r="C54" s="29" t="n"/>
      <c r="D54" s="28" t="n"/>
      <c r="E54" s="29" t="n"/>
      <c r="F54" s="29" t="n"/>
      <c r="G54" s="29" t="n"/>
      <c r="H54" s="28" t="n"/>
    </row>
    <row r="55">
      <c r="A55" s="23" t="n"/>
      <c r="B55" s="24" t="n"/>
      <c r="C55" s="25" t="n"/>
      <c r="D55" s="24" t="n"/>
      <c r="E55" s="25" t="n"/>
      <c r="F55" s="25" t="n"/>
      <c r="G55" s="25" t="n"/>
      <c r="H55" s="24" t="n"/>
    </row>
    <row r="56">
      <c r="A56" s="27" t="n"/>
      <c r="B56" s="28" t="n"/>
      <c r="C56" s="29" t="n"/>
      <c r="D56" s="28" t="n"/>
      <c r="E56" s="29" t="n"/>
      <c r="F56" s="29" t="n"/>
      <c r="G56" s="29" t="n"/>
      <c r="H56" s="28" t="n"/>
    </row>
    <row r="57">
      <c r="A57" s="23" t="n"/>
      <c r="B57" s="24" t="n"/>
      <c r="C57" s="25" t="n"/>
      <c r="D57" s="24" t="n"/>
      <c r="E57" s="25" t="n"/>
      <c r="F57" s="25" t="n"/>
      <c r="G57" s="25" t="n"/>
      <c r="H57" s="24" t="n"/>
    </row>
    <row r="58">
      <c r="A58" s="27" t="n"/>
      <c r="B58" s="28" t="n"/>
      <c r="C58" s="29" t="n"/>
      <c r="D58" s="28" t="n"/>
      <c r="E58" s="29" t="n"/>
      <c r="F58" s="29" t="n"/>
      <c r="G58" s="29" t="n"/>
      <c r="H58" s="28" t="n"/>
    </row>
    <row r="59">
      <c r="A59" s="23" t="n"/>
      <c r="B59" s="24" t="n"/>
      <c r="C59" s="25" t="n"/>
      <c r="D59" s="24" t="n"/>
      <c r="E59" s="25" t="n"/>
      <c r="F59" s="25" t="n"/>
      <c r="G59" s="25" t="n"/>
      <c r="H59" s="24" t="n"/>
    </row>
    <row r="60">
      <c r="A60" s="27" t="n"/>
      <c r="B60" s="28" t="n"/>
      <c r="C60" s="29" t="n"/>
      <c r="D60" s="28" t="n"/>
      <c r="E60" s="29" t="n"/>
      <c r="F60" s="29" t="n"/>
      <c r="G60" s="29" t="n"/>
      <c r="H60" s="28" t="n"/>
    </row>
    <row r="61">
      <c r="A61" s="23" t="n"/>
      <c r="B61" s="24" t="n"/>
      <c r="C61" s="25" t="n"/>
      <c r="D61" s="24" t="n"/>
      <c r="E61" s="25" t="n"/>
      <c r="F61" s="25" t="n"/>
      <c r="G61" s="25" t="n"/>
      <c r="H61" s="24" t="n"/>
    </row>
    <row r="62">
      <c r="A62" s="27" t="n"/>
      <c r="B62" s="28" t="n"/>
      <c r="C62" s="29" t="n"/>
      <c r="D62" s="28" t="n"/>
      <c r="E62" s="29" t="n"/>
      <c r="F62" s="29" t="n"/>
      <c r="G62" s="29" t="n"/>
      <c r="H62" s="28" t="n"/>
    </row>
    <row r="63">
      <c r="A63" s="23" t="n"/>
      <c r="B63" s="24" t="n"/>
      <c r="C63" s="25" t="n"/>
      <c r="D63" s="24" t="n"/>
      <c r="E63" s="25" t="n"/>
      <c r="F63" s="25" t="n"/>
      <c r="G63" s="25" t="n"/>
      <c r="H63" s="24" t="n"/>
    </row>
    <row r="64">
      <c r="A64" s="27" t="n"/>
      <c r="B64" s="28" t="n"/>
      <c r="C64" s="29" t="n"/>
      <c r="D64" s="28" t="n"/>
      <c r="E64" s="29" t="n"/>
      <c r="F64" s="29" t="n"/>
      <c r="G64" s="29" t="n"/>
      <c r="H64" s="28" t="n"/>
    </row>
  </sheetData>
  <mergeCells count="2">
    <mergeCell ref="A2:H2"/>
    <mergeCell ref="A1:H1"/>
  </mergeCells>
  <conditionalFormatting sqref="G5:G64">
    <cfRule type="cellIs" priority="1" operator="equal" dxfId="0">
      <formula>"W"</formula>
    </cfRule>
    <cfRule type="cellIs" priority="2" operator="equal" dxfId="1">
      <formula>"L"</formula>
    </cfRule>
  </conditionalFormatting>
  <dataValidations count="3">
    <dataValidation sqref="C5:C64" showDropDown="0" showInputMessage="0" showErrorMessage="0" allowBlank="1" type="list">
      <formula1>=ClubList</formula1>
    </dataValidation>
    <dataValidation sqref="E5:E64" showDropDown="0" showInputMessage="0" showErrorMessage="0" allowBlank="1" type="list">
      <formula1>=MatchTypeList</formula1>
    </dataValidation>
    <dataValidation sqref="G5:G64" showDropDown="0" showInputMessage="0" showErrorMessage="0" allowBlank="1" type="list">
      <formula1>=ResultList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F48"/>
    <outlinePr summaryBelow="1" summaryRight="1"/>
    <pageSetUpPr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10" customWidth="1" min="4" max="4"/>
    <col width="11" customWidth="1" min="5" max="5"/>
    <col width="13" customWidth="1" min="6" max="6"/>
    <col width="11" customWidth="1" min="7" max="7"/>
    <col width="20" customWidth="1" min="8" max="8"/>
  </cols>
  <sheetData>
    <row r="1" ht="46" customHeight="1">
      <c r="A1" s="1" t="inlineStr">
        <is>
          <t xml:space="preserve">  🏆  TOURNAMENT MANAGER</t>
        </is>
      </c>
    </row>
    <row r="2" ht="22" customHeight="1">
      <c r="A2" s="2" t="inlineStr">
        <is>
          <t xml:space="preserve">  Every event tracked — registration, entry fees, placement &amp; prize money.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Tournament</t>
        </is>
      </c>
      <c r="B4" s="7" t="inlineStr">
        <is>
          <t>Location</t>
        </is>
      </c>
      <c r="C4" s="7" t="inlineStr">
        <is>
          <t>Date</t>
        </is>
      </c>
      <c r="D4" s="7" t="inlineStr">
        <is>
          <t>Level</t>
        </is>
      </c>
      <c r="E4" s="7" t="inlineStr">
        <is>
          <t>Entry Fee</t>
        </is>
      </c>
      <c r="F4" s="7" t="inlineStr">
        <is>
          <t>Placement</t>
        </is>
      </c>
      <c r="G4" s="7" t="inlineStr">
        <is>
          <t>Prize</t>
        </is>
      </c>
      <c r="H4" s="7" t="inlineStr">
        <is>
          <t>Notes</t>
        </is>
      </c>
    </row>
    <row r="5">
      <c r="A5" s="24" t="inlineStr">
        <is>
          <t>Spring Slam 3.5</t>
        </is>
      </c>
      <c r="B5" s="24" t="inlineStr">
        <is>
          <t>Metro Complex</t>
        </is>
      </c>
      <c r="C5" s="23" t="n">
        <v>46165</v>
      </c>
      <c r="D5" s="25" t="inlineStr">
        <is>
          <t>3.5</t>
        </is>
      </c>
      <c r="E5" s="30" t="n">
        <v>55</v>
      </c>
      <c r="F5" s="25" t="inlineStr">
        <is>
          <t>1st</t>
        </is>
      </c>
      <c r="G5" s="30" t="n">
        <v>150</v>
      </c>
      <c r="H5" s="24" t="inlineStr">
        <is>
          <t>Gold — great run!</t>
        </is>
      </c>
    </row>
    <row r="6">
      <c r="A6" s="28" t="inlineStr">
        <is>
          <t>Lakeside Open</t>
        </is>
      </c>
      <c r="B6" s="28" t="inlineStr">
        <is>
          <t>Lakeside</t>
        </is>
      </c>
      <c r="C6" s="27" t="n">
        <v>46192</v>
      </c>
      <c r="D6" s="29" t="inlineStr">
        <is>
          <t>3.5</t>
        </is>
      </c>
      <c r="E6" s="31" t="n">
        <v>60</v>
      </c>
      <c r="F6" s="29" t="inlineStr">
        <is>
          <t>3rd</t>
        </is>
      </c>
      <c r="G6" s="31" t="n">
        <v>0</v>
      </c>
      <c r="H6" s="28" t="inlineStr">
        <is>
          <t>Bronze medal match</t>
        </is>
      </c>
    </row>
    <row r="7">
      <c r="A7" s="24" t="inlineStr">
        <is>
          <t>Summer Shootout</t>
        </is>
      </c>
      <c r="B7" s="24" t="inlineStr">
        <is>
          <t>Riverside</t>
        </is>
      </c>
      <c r="C7" s="23" t="n">
        <v>46131</v>
      </c>
      <c r="D7" s="25" t="inlineStr">
        <is>
          <t>3.5</t>
        </is>
      </c>
      <c r="E7" s="30" t="n">
        <v>50</v>
      </c>
      <c r="F7" s="25" t="inlineStr">
        <is>
          <t>1st</t>
        </is>
      </c>
      <c r="G7" s="30" t="n">
        <v>200</v>
      </c>
      <c r="H7" s="24" t="inlineStr">
        <is>
          <t>Undefeated</t>
        </is>
      </c>
    </row>
    <row r="8">
      <c r="A8" s="28" t="inlineStr">
        <is>
          <t>Metro League Finals</t>
        </is>
      </c>
      <c r="B8" s="28" t="inlineStr">
        <is>
          <t>Downtown Rec</t>
        </is>
      </c>
      <c r="C8" s="27" t="n">
        <v>46178</v>
      </c>
      <c r="D8" s="29" t="inlineStr">
        <is>
          <t>3.5</t>
        </is>
      </c>
      <c r="E8" s="31" t="n">
        <v>45</v>
      </c>
      <c r="F8" s="29" t="inlineStr">
        <is>
          <t>5th</t>
        </is>
      </c>
      <c r="G8" s="31" t="n">
        <v>0</v>
      </c>
      <c r="H8" s="28" t="inlineStr">
        <is>
          <t>Tough bracket</t>
        </is>
      </c>
    </row>
    <row r="9">
      <c r="A9" s="24" t="inlineStr">
        <is>
          <t>Fall Classic</t>
        </is>
      </c>
      <c r="B9" s="24" t="inlineStr">
        <is>
          <t>Sunset Courts</t>
        </is>
      </c>
      <c r="C9" s="23" t="n">
        <v>46226</v>
      </c>
      <c r="D9" s="25" t="inlineStr">
        <is>
          <t>3.5</t>
        </is>
      </c>
      <c r="E9" s="30" t="n">
        <v>60</v>
      </c>
      <c r="F9" s="25" t="inlineStr">
        <is>
          <t>Registered</t>
        </is>
      </c>
      <c r="G9" s="30" t="n">
        <v>0</v>
      </c>
      <c r="H9" s="24" t="inlineStr">
        <is>
          <t>Bring extra paddle</t>
        </is>
      </c>
    </row>
    <row r="10">
      <c r="A10" s="28" t="inlineStr">
        <is>
          <t>Harvest Cup</t>
        </is>
      </c>
      <c r="B10" s="28" t="inlineStr">
        <is>
          <t>Metro Complex</t>
        </is>
      </c>
      <c r="C10" s="27" t="n">
        <v>46246</v>
      </c>
      <c r="D10" s="29" t="inlineStr">
        <is>
          <t>4.0</t>
        </is>
      </c>
      <c r="E10" s="31" t="n">
        <v>65</v>
      </c>
      <c r="F10" s="29" t="inlineStr">
        <is>
          <t>Registered</t>
        </is>
      </c>
      <c r="G10" s="31" t="n">
        <v>0</v>
      </c>
      <c r="H10" s="28" t="inlineStr">
        <is>
          <t>Playing up a level</t>
        </is>
      </c>
    </row>
    <row r="11">
      <c r="A11" s="24" t="inlineStr">
        <is>
          <t>Regional Championships</t>
        </is>
      </c>
      <c r="B11" s="24" t="inlineStr">
        <is>
          <t>State Center</t>
        </is>
      </c>
      <c r="C11" s="23" t="n">
        <v>46271</v>
      </c>
      <c r="D11" s="25" t="inlineStr">
        <is>
          <t>3.5</t>
        </is>
      </c>
      <c r="E11" s="30" t="n">
        <v>75</v>
      </c>
      <c r="F11" s="25" t="inlineStr">
        <is>
          <t>Registered</t>
        </is>
      </c>
      <c r="G11" s="30" t="n">
        <v>0</v>
      </c>
      <c r="H11" s="24" t="inlineStr">
        <is>
          <t>Season goal event</t>
        </is>
      </c>
    </row>
    <row r="12">
      <c r="A12" s="28" t="n"/>
      <c r="B12" s="28" t="n"/>
      <c r="C12" s="27" t="n"/>
      <c r="D12" s="29" t="n"/>
      <c r="E12" s="31" t="n"/>
      <c r="F12" s="29" t="n"/>
      <c r="G12" s="31" t="n"/>
      <c r="H12" s="28" t="n"/>
    </row>
    <row r="13">
      <c r="A13" s="24" t="n"/>
      <c r="B13" s="24" t="n"/>
      <c r="C13" s="23" t="n"/>
      <c r="D13" s="25" t="n"/>
      <c r="E13" s="30" t="n"/>
      <c r="F13" s="25" t="n"/>
      <c r="G13" s="30" t="n"/>
      <c r="H13" s="24" t="n"/>
    </row>
    <row r="14">
      <c r="A14" s="28" t="n"/>
      <c r="B14" s="28" t="n"/>
      <c r="C14" s="27" t="n"/>
      <c r="D14" s="29" t="n"/>
      <c r="E14" s="31" t="n"/>
      <c r="F14" s="29" t="n"/>
      <c r="G14" s="31" t="n"/>
      <c r="H14" s="28" t="n"/>
    </row>
    <row r="15">
      <c r="A15" s="24" t="n"/>
      <c r="B15" s="24" t="n"/>
      <c r="C15" s="23" t="n"/>
      <c r="D15" s="25" t="n"/>
      <c r="E15" s="30" t="n"/>
      <c r="F15" s="25" t="n"/>
      <c r="G15" s="30" t="n"/>
      <c r="H15" s="24" t="n"/>
    </row>
    <row r="16">
      <c r="A16" s="28" t="n"/>
      <c r="B16" s="28" t="n"/>
      <c r="C16" s="27" t="n"/>
      <c r="D16" s="29" t="n"/>
      <c r="E16" s="31" t="n"/>
      <c r="F16" s="29" t="n"/>
      <c r="G16" s="31" t="n"/>
      <c r="H16" s="28" t="n"/>
    </row>
    <row r="17">
      <c r="A17" s="24" t="n"/>
      <c r="B17" s="24" t="n"/>
      <c r="C17" s="23" t="n"/>
      <c r="D17" s="25" t="n"/>
      <c r="E17" s="30" t="n"/>
      <c r="F17" s="25" t="n"/>
      <c r="G17" s="30" t="n"/>
      <c r="H17" s="24" t="n"/>
    </row>
    <row r="18">
      <c r="A18" s="28" t="n"/>
      <c r="B18" s="28" t="n"/>
      <c r="C18" s="27" t="n"/>
      <c r="D18" s="29" t="n"/>
      <c r="E18" s="31" t="n"/>
      <c r="F18" s="29" t="n"/>
      <c r="G18" s="31" t="n"/>
      <c r="H18" s="28" t="n"/>
    </row>
    <row r="19">
      <c r="A19" s="24" t="n"/>
      <c r="B19" s="24" t="n"/>
      <c r="C19" s="23" t="n"/>
      <c r="D19" s="25" t="n"/>
      <c r="E19" s="30" t="n"/>
      <c r="F19" s="25" t="n"/>
      <c r="G19" s="30" t="n"/>
      <c r="H19" s="24" t="n"/>
    </row>
    <row r="20">
      <c r="A20" s="28" t="n"/>
      <c r="B20" s="28" t="n"/>
      <c r="C20" s="27" t="n"/>
      <c r="D20" s="29" t="n"/>
      <c r="E20" s="31" t="n"/>
      <c r="F20" s="29" t="n"/>
      <c r="G20" s="31" t="n"/>
      <c r="H20" s="28" t="n"/>
    </row>
    <row r="21">
      <c r="A21" s="24" t="n"/>
      <c r="B21" s="24" t="n"/>
      <c r="C21" s="23" t="n"/>
      <c r="D21" s="25" t="n"/>
      <c r="E21" s="30" t="n"/>
      <c r="F21" s="25" t="n"/>
      <c r="G21" s="30" t="n"/>
      <c r="H21" s="24" t="n"/>
    </row>
    <row r="22">
      <c r="A22" s="28" t="n"/>
      <c r="B22" s="28" t="n"/>
      <c r="C22" s="27" t="n"/>
      <c r="D22" s="29" t="n"/>
      <c r="E22" s="31" t="n"/>
      <c r="F22" s="29" t="n"/>
      <c r="G22" s="31" t="n"/>
      <c r="H22" s="28" t="n"/>
    </row>
    <row r="23">
      <c r="A23" s="24" t="n"/>
      <c r="B23" s="24" t="n"/>
      <c r="C23" s="23" t="n"/>
      <c r="D23" s="25" t="n"/>
      <c r="E23" s="30" t="n"/>
      <c r="F23" s="25" t="n"/>
      <c r="G23" s="30" t="n"/>
      <c r="H23" s="24" t="n"/>
    </row>
    <row r="24">
      <c r="A24" s="28" t="n"/>
      <c r="B24" s="28" t="n"/>
      <c r="C24" s="27" t="n"/>
      <c r="D24" s="29" t="n"/>
      <c r="E24" s="31" t="n"/>
      <c r="F24" s="29" t="n"/>
      <c r="G24" s="31" t="n"/>
      <c r="H24" s="28" t="n"/>
    </row>
    <row r="25">
      <c r="A25" s="24" t="n"/>
      <c r="B25" s="24" t="n"/>
      <c r="C25" s="23" t="n"/>
      <c r="D25" s="25" t="n"/>
      <c r="E25" s="30" t="n"/>
      <c r="F25" s="25" t="n"/>
      <c r="G25" s="30" t="n"/>
      <c r="H25" s="24" t="n"/>
    </row>
    <row r="26">
      <c r="A26" s="28" t="n"/>
      <c r="B26" s="28" t="n"/>
      <c r="C26" s="27" t="n"/>
      <c r="D26" s="29" t="n"/>
      <c r="E26" s="31" t="n"/>
      <c r="F26" s="29" t="n"/>
      <c r="G26" s="31" t="n"/>
      <c r="H26" s="28" t="n"/>
    </row>
    <row r="27">
      <c r="A27" s="24" t="n"/>
      <c r="B27" s="24" t="n"/>
      <c r="C27" s="23" t="n"/>
      <c r="D27" s="25" t="n"/>
      <c r="E27" s="30" t="n"/>
      <c r="F27" s="25" t="n"/>
      <c r="G27" s="30" t="n"/>
      <c r="H27" s="24" t="n"/>
    </row>
    <row r="28">
      <c r="A28" s="28" t="n"/>
      <c r="B28" s="28" t="n"/>
      <c r="C28" s="27" t="n"/>
      <c r="D28" s="29" t="n"/>
      <c r="E28" s="31" t="n"/>
      <c r="F28" s="29" t="n"/>
      <c r="G28" s="31" t="n"/>
      <c r="H28" s="28" t="n"/>
    </row>
    <row r="29">
      <c r="A29" s="24" t="n"/>
      <c r="B29" s="24" t="n"/>
      <c r="C29" s="23" t="n"/>
      <c r="D29" s="25" t="n"/>
      <c r="E29" s="30" t="n"/>
      <c r="F29" s="25" t="n"/>
      <c r="G29" s="30" t="n"/>
      <c r="H29" s="24" t="n"/>
    </row>
    <row r="30">
      <c r="A30" s="28" t="n"/>
      <c r="B30" s="28" t="n"/>
      <c r="C30" s="27" t="n"/>
      <c r="D30" s="29" t="n"/>
      <c r="E30" s="31" t="n"/>
      <c r="F30" s="29" t="n"/>
      <c r="G30" s="31" t="n"/>
      <c r="H30" s="28" t="n"/>
    </row>
    <row r="31">
      <c r="A31" s="24" t="n"/>
      <c r="B31" s="24" t="n"/>
      <c r="C31" s="23" t="n"/>
      <c r="D31" s="25" t="n"/>
      <c r="E31" s="30" t="n"/>
      <c r="F31" s="25" t="n"/>
      <c r="G31" s="30" t="n"/>
      <c r="H31" s="24" t="n"/>
    </row>
    <row r="32">
      <c r="A32" s="28" t="n"/>
      <c r="B32" s="28" t="n"/>
      <c r="C32" s="27" t="n"/>
      <c r="D32" s="29" t="n"/>
      <c r="E32" s="31" t="n"/>
      <c r="F32" s="29" t="n"/>
      <c r="G32" s="31" t="n"/>
      <c r="H32" s="28" t="n"/>
    </row>
    <row r="33">
      <c r="A33" s="24" t="n"/>
      <c r="B33" s="24" t="n"/>
      <c r="C33" s="23" t="n"/>
      <c r="D33" s="25" t="n"/>
      <c r="E33" s="30" t="n"/>
      <c r="F33" s="25" t="n"/>
      <c r="G33" s="30" t="n"/>
      <c r="H33" s="24" t="n"/>
    </row>
    <row r="34">
      <c r="A34" s="28" t="n"/>
      <c r="B34" s="28" t="n"/>
      <c r="C34" s="27" t="n"/>
      <c r="D34" s="29" t="n"/>
      <c r="E34" s="31" t="n"/>
      <c r="F34" s="29" t="n"/>
      <c r="G34" s="31" t="n"/>
      <c r="H34" s="28" t="n"/>
    </row>
    <row r="35">
      <c r="A35" s="7" t="inlineStr">
        <is>
          <t>TOTALS</t>
        </is>
      </c>
      <c r="E35" s="32">
        <f>SUM(E5:E34)</f>
        <v/>
      </c>
      <c r="G35" s="32">
        <f>SUM(G5:G34)</f>
        <v/>
      </c>
    </row>
  </sheetData>
  <mergeCells count="2">
    <mergeCell ref="A2:H2"/>
    <mergeCell ref="A1:H1"/>
  </mergeCells>
  <conditionalFormatting sqref="F5:F34">
    <cfRule type="cellIs" priority="1" operator="equal" dxfId="0">
      <formula>"1st"</formula>
    </cfRule>
    <cfRule type="cellIs" priority="2" operator="equal" dxfId="2">
      <formula>"Registered"</formula>
    </cfRule>
  </conditionalFormatting>
  <dataValidations count="1">
    <dataValidation sqref="D5:D34" showDropDown="0" showInputMessage="0" showErrorMessage="0" allowBlank="1" type="list">
      <formula1>=TournLevelList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37356"/>
    <outlinePr summaryBelow="1" summaryRight="1"/>
    <pageSetUpPr/>
  </sheetPr>
  <dimension ref="A1:E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5" customWidth="1" min="3" max="3"/>
    <col width="30" customWidth="1" min="4" max="4"/>
    <col width="26" customWidth="1" min="5" max="5"/>
  </cols>
  <sheetData>
    <row r="1" ht="46" customHeight="1">
      <c r="A1" s="1" t="inlineStr">
        <is>
          <t xml:space="preserve">  🎯  PRACTICE PLANNER</t>
        </is>
      </c>
    </row>
    <row r="2" ht="22" customHeight="1">
      <c r="A2" s="2" t="inlineStr">
        <is>
          <t xml:space="preserve">  Train with intent — focus areas, drills &amp; coach feedback, session by session.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7" t="inlineStr">
        <is>
          <t>Date</t>
        </is>
      </c>
      <c r="B4" s="7" t="inlineStr">
        <is>
          <t>Focus Area</t>
        </is>
      </c>
      <c r="C4" s="7" t="inlineStr">
        <is>
          <t>Duration (hrs)</t>
        </is>
      </c>
      <c r="D4" s="7" t="inlineStr">
        <is>
          <t>Drills</t>
        </is>
      </c>
      <c r="E4" s="7" t="inlineStr">
        <is>
          <t>Coach Feedback</t>
        </is>
      </c>
    </row>
    <row r="5">
      <c r="A5" s="23" t="n">
        <v>46204</v>
      </c>
      <c r="B5" s="24" t="inlineStr">
        <is>
          <t>Third shot drop + dinking</t>
        </is>
      </c>
      <c r="C5" s="33" t="n">
        <v>2</v>
      </c>
      <c r="D5" s="24" t="inlineStr">
        <is>
          <t>Drop targets, dink cross-court</t>
        </is>
      </c>
      <c r="E5" s="24" t="inlineStr">
        <is>
          <t>Softer hands, good</t>
        </is>
      </c>
    </row>
    <row r="6">
      <c r="A6" s="27" t="n">
        <v>46201</v>
      </c>
      <c r="B6" s="28" t="inlineStr">
        <is>
          <t>Serve &amp; return depth</t>
        </is>
      </c>
      <c r="C6" s="34" t="n">
        <v>1.5</v>
      </c>
      <c r="D6" s="28" t="inlineStr">
        <is>
          <t>Deep serve ladder, return placement</t>
        </is>
      </c>
      <c r="E6" s="28" t="inlineStr">
        <is>
          <t>Consistent depth</t>
        </is>
      </c>
    </row>
    <row r="7">
      <c r="A7" s="23" t="n">
        <v>46197</v>
      </c>
      <c r="B7" s="24" t="inlineStr">
        <is>
          <t>Speed-ups &amp; hands battles</t>
        </is>
      </c>
      <c r="C7" s="33" t="n">
        <v>1.5</v>
      </c>
      <c r="D7" s="24" t="inlineStr">
        <is>
          <t>Hand-speed drills, reset practice</t>
        </is>
      </c>
      <c r="E7" s="24" t="inlineStr">
        <is>
          <t>Quicker reactions</t>
        </is>
      </c>
    </row>
    <row r="8">
      <c r="A8" s="27" t="n">
        <v>46193</v>
      </c>
      <c r="B8" s="28" t="inlineStr">
        <is>
          <t>Footwork &amp; positioning</t>
        </is>
      </c>
      <c r="C8" s="34" t="n">
        <v>2</v>
      </c>
      <c r="D8" s="28" t="inlineStr">
        <is>
          <t>Split-step, kitchen line movement</t>
        </is>
      </c>
      <c r="E8" s="28" t="inlineStr">
        <is>
          <t>Stay balanced</t>
        </is>
      </c>
    </row>
    <row r="9">
      <c r="A9" s="23" t="n">
        <v>46188</v>
      </c>
      <c r="B9" s="24" t="inlineStr">
        <is>
          <t>Third shot drop</t>
        </is>
      </c>
      <c r="C9" s="33" t="n">
        <v>1</v>
      </c>
      <c r="D9" s="24" t="inlineStr">
        <is>
          <t>100 drops, transition zone</t>
        </is>
      </c>
      <c r="E9" s="24" t="inlineStr">
        <is>
          <t>70% in kitchen</t>
        </is>
      </c>
    </row>
    <row r="10">
      <c r="A10" s="27" t="n">
        <v>46181</v>
      </c>
      <c r="B10" s="28" t="inlineStr">
        <is>
          <t>Dinking patterns</t>
        </is>
      </c>
      <c r="C10" s="34" t="n">
        <v>1.5</v>
      </c>
      <c r="D10" s="28" t="inlineStr">
        <is>
          <t>Cross-court, figure-8, attack the middle</t>
        </is>
      </c>
      <c r="E10" s="28" t="inlineStr">
        <is>
          <t>Patience improving</t>
        </is>
      </c>
    </row>
    <row r="11">
      <c r="A11" s="23" t="n">
        <v>46172</v>
      </c>
      <c r="B11" s="24" t="inlineStr">
        <is>
          <t>Serve consistency</t>
        </is>
      </c>
      <c r="C11" s="33" t="n">
        <v>2</v>
      </c>
      <c r="D11" s="24" t="inlineStr">
        <is>
          <t>Serve targets, spin serves</t>
        </is>
      </c>
      <c r="E11" s="24" t="inlineStr">
        <is>
          <t>Add topspin</t>
        </is>
      </c>
    </row>
    <row r="12">
      <c r="A12" s="27" t="n">
        <v>46165</v>
      </c>
      <c r="B12" s="28" t="inlineStr">
        <is>
          <t>Reset &amp; defense</t>
        </is>
      </c>
      <c r="C12" s="34" t="n">
        <v>1</v>
      </c>
      <c r="D12" s="28" t="inlineStr">
        <is>
          <t>Block volleys, reset from baseline</t>
        </is>
      </c>
      <c r="E12" s="28" t="inlineStr">
        <is>
          <t>Calmer under fire</t>
        </is>
      </c>
    </row>
    <row r="13">
      <c r="A13" s="23" t="n">
        <v>46158</v>
      </c>
      <c r="B13" s="24" t="inlineStr">
        <is>
          <t>Match play sim</t>
        </is>
      </c>
      <c r="C13" s="33" t="n">
        <v>1.5</v>
      </c>
      <c r="D13" s="24" t="inlineStr">
        <is>
          <t>Games to 11, scenario drills</t>
        </is>
      </c>
      <c r="E13" s="24" t="inlineStr">
        <is>
          <t>Close out leads</t>
        </is>
      </c>
    </row>
    <row r="14">
      <c r="A14" s="27" t="n">
        <v>46151</v>
      </c>
      <c r="B14" s="28" t="inlineStr">
        <is>
          <t>Strategy &amp; stacking</t>
        </is>
      </c>
      <c r="C14" s="34" t="n">
        <v>1</v>
      </c>
      <c r="D14" s="28" t="inlineStr">
        <is>
          <t>Stacking, poaching signals</t>
        </is>
      </c>
      <c r="E14" s="28" t="inlineStr">
        <is>
          <t>Communicate more</t>
        </is>
      </c>
    </row>
    <row r="15">
      <c r="A15" s="23" t="n"/>
      <c r="B15" s="24" t="n"/>
      <c r="C15" s="33" t="n"/>
      <c r="D15" s="24" t="n"/>
      <c r="E15" s="24" t="n"/>
    </row>
    <row r="16">
      <c r="A16" s="27" t="n"/>
      <c r="B16" s="28" t="n"/>
      <c r="C16" s="34" t="n"/>
      <c r="D16" s="28" t="n"/>
      <c r="E16" s="28" t="n"/>
    </row>
    <row r="17">
      <c r="A17" s="23" t="n"/>
      <c r="B17" s="24" t="n"/>
      <c r="C17" s="33" t="n"/>
      <c r="D17" s="24" t="n"/>
      <c r="E17" s="24" t="n"/>
    </row>
    <row r="18">
      <c r="A18" s="27" t="n"/>
      <c r="B18" s="28" t="n"/>
      <c r="C18" s="34" t="n"/>
      <c r="D18" s="28" t="n"/>
      <c r="E18" s="28" t="n"/>
    </row>
    <row r="19">
      <c r="A19" s="23" t="n"/>
      <c r="B19" s="24" t="n"/>
      <c r="C19" s="33" t="n"/>
      <c r="D19" s="24" t="n"/>
      <c r="E19" s="24" t="n"/>
    </row>
    <row r="20">
      <c r="A20" s="27" t="n"/>
      <c r="B20" s="28" t="n"/>
      <c r="C20" s="34" t="n"/>
      <c r="D20" s="28" t="n"/>
      <c r="E20" s="28" t="n"/>
    </row>
    <row r="21">
      <c r="A21" s="23" t="n"/>
      <c r="B21" s="24" t="n"/>
      <c r="C21" s="33" t="n"/>
      <c r="D21" s="24" t="n"/>
      <c r="E21" s="24" t="n"/>
    </row>
    <row r="22">
      <c r="A22" s="27" t="n"/>
      <c r="B22" s="28" t="n"/>
      <c r="C22" s="34" t="n"/>
      <c r="D22" s="28" t="n"/>
      <c r="E22" s="28" t="n"/>
    </row>
    <row r="23">
      <c r="A23" s="23" t="n"/>
      <c r="B23" s="24" t="n"/>
      <c r="C23" s="33" t="n"/>
      <c r="D23" s="24" t="n"/>
      <c r="E23" s="24" t="n"/>
    </row>
    <row r="24">
      <c r="A24" s="27" t="n"/>
      <c r="B24" s="28" t="n"/>
      <c r="C24" s="34" t="n"/>
      <c r="D24" s="28" t="n"/>
      <c r="E24" s="28" t="n"/>
    </row>
    <row r="25">
      <c r="A25" s="23" t="n"/>
      <c r="B25" s="24" t="n"/>
      <c r="C25" s="33" t="n"/>
      <c r="D25" s="24" t="n"/>
      <c r="E25" s="24" t="n"/>
    </row>
    <row r="26">
      <c r="A26" s="27" t="n"/>
      <c r="B26" s="28" t="n"/>
      <c r="C26" s="34" t="n"/>
      <c r="D26" s="28" t="n"/>
      <c r="E26" s="28" t="n"/>
    </row>
    <row r="27">
      <c r="A27" s="23" t="n"/>
      <c r="B27" s="24" t="n"/>
      <c r="C27" s="33" t="n"/>
      <c r="D27" s="24" t="n"/>
      <c r="E27" s="24" t="n"/>
    </row>
    <row r="28">
      <c r="A28" s="27" t="n"/>
      <c r="B28" s="28" t="n"/>
      <c r="C28" s="34" t="n"/>
      <c r="D28" s="28" t="n"/>
      <c r="E28" s="28" t="n"/>
    </row>
    <row r="29">
      <c r="A29" s="23" t="n"/>
      <c r="B29" s="24" t="n"/>
      <c r="C29" s="33" t="n"/>
      <c r="D29" s="24" t="n"/>
      <c r="E29" s="24" t="n"/>
    </row>
    <row r="30">
      <c r="A30" s="27" t="n"/>
      <c r="B30" s="28" t="n"/>
      <c r="C30" s="34" t="n"/>
      <c r="D30" s="28" t="n"/>
      <c r="E30" s="28" t="n"/>
    </row>
    <row r="31">
      <c r="A31" s="23" t="n"/>
      <c r="B31" s="24" t="n"/>
      <c r="C31" s="33" t="n"/>
      <c r="D31" s="24" t="n"/>
      <c r="E31" s="24" t="n"/>
    </row>
    <row r="32">
      <c r="A32" s="27" t="n"/>
      <c r="B32" s="28" t="n"/>
      <c r="C32" s="34" t="n"/>
      <c r="D32" s="28" t="n"/>
      <c r="E32" s="28" t="n"/>
    </row>
    <row r="33">
      <c r="A33" s="23" t="n"/>
      <c r="B33" s="24" t="n"/>
      <c r="C33" s="33" t="n"/>
      <c r="D33" s="24" t="n"/>
      <c r="E33" s="24" t="n"/>
    </row>
    <row r="34">
      <c r="A34" s="27" t="n"/>
      <c r="B34" s="28" t="n"/>
      <c r="C34" s="34" t="n"/>
      <c r="D34" s="28" t="n"/>
      <c r="E34" s="28" t="n"/>
    </row>
    <row r="35">
      <c r="A35" s="23" t="n"/>
      <c r="B35" s="24" t="n"/>
      <c r="C35" s="33" t="n"/>
      <c r="D35" s="24" t="n"/>
      <c r="E35" s="24" t="n"/>
    </row>
    <row r="36">
      <c r="A36" s="27" t="n"/>
      <c r="B36" s="28" t="n"/>
      <c r="C36" s="34" t="n"/>
      <c r="D36" s="28" t="n"/>
      <c r="E36" s="28" t="n"/>
    </row>
    <row r="37">
      <c r="A37" s="23" t="n"/>
      <c r="B37" s="24" t="n"/>
      <c r="C37" s="33" t="n"/>
      <c r="D37" s="24" t="n"/>
      <c r="E37" s="24" t="n"/>
    </row>
    <row r="38">
      <c r="A38" s="27" t="n"/>
      <c r="B38" s="28" t="n"/>
      <c r="C38" s="34" t="n"/>
      <c r="D38" s="28" t="n"/>
      <c r="E38" s="28" t="n"/>
    </row>
    <row r="39">
      <c r="A39" s="23" t="n"/>
      <c r="B39" s="24" t="n"/>
      <c r="C39" s="33" t="n"/>
      <c r="D39" s="24" t="n"/>
      <c r="E39" s="24" t="n"/>
    </row>
    <row r="40">
      <c r="A40" s="27" t="n"/>
      <c r="B40" s="28" t="n"/>
      <c r="C40" s="34" t="n"/>
      <c r="D40" s="28" t="n"/>
      <c r="E40" s="28" t="n"/>
    </row>
    <row r="41">
      <c r="A41" s="23" t="n"/>
      <c r="B41" s="24" t="n"/>
      <c r="C41" s="33" t="n"/>
      <c r="D41" s="24" t="n"/>
      <c r="E41" s="24" t="n"/>
    </row>
    <row r="42">
      <c r="A42" s="27" t="n"/>
      <c r="B42" s="28" t="n"/>
      <c r="C42" s="34" t="n"/>
      <c r="D42" s="28" t="n"/>
      <c r="E42" s="28" t="n"/>
    </row>
    <row r="43">
      <c r="A43" s="23" t="n"/>
      <c r="B43" s="24" t="n"/>
      <c r="C43" s="33" t="n"/>
      <c r="D43" s="24" t="n"/>
      <c r="E43" s="24" t="n"/>
    </row>
    <row r="44">
      <c r="A44" s="27" t="n"/>
      <c r="B44" s="28" t="n"/>
      <c r="C44" s="34" t="n"/>
      <c r="D44" s="28" t="n"/>
      <c r="E44" s="28" t="n"/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5E6C1"/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 ht="46" customHeight="1">
      <c r="A1" s="1" t="inlineStr">
        <is>
          <t xml:space="preserve">  📈  SKILL DEVELOPMENT</t>
        </is>
      </c>
    </row>
    <row r="2" ht="22" customHeight="1">
      <c r="A2" s="2" t="inlineStr">
        <is>
          <t xml:space="preserve">  Rate every part of your game — watch each skill climb from start to now.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Skill</t>
        </is>
      </c>
      <c r="B4" s="7" t="inlineStr">
        <is>
          <t>Start</t>
        </is>
      </c>
      <c r="C4" s="7" t="inlineStr">
        <is>
          <t>Current</t>
        </is>
      </c>
      <c r="D4" s="7" t="inlineStr">
        <is>
          <t>Target</t>
        </is>
      </c>
      <c r="E4" s="7" t="inlineStr">
        <is>
          <t>Gain</t>
        </is>
      </c>
      <c r="F4" s="7" t="inlineStr">
        <is>
          <t>Focus Notes</t>
        </is>
      </c>
    </row>
    <row r="5">
      <c r="A5" s="22" t="inlineStr">
        <is>
          <t>Serve</t>
        </is>
      </c>
      <c r="B5" s="35" t="n">
        <v>6</v>
      </c>
      <c r="C5" s="36" t="n">
        <v>8</v>
      </c>
      <c r="D5" s="35" t="n">
        <v>9</v>
      </c>
      <c r="E5" s="26">
        <f>C5-B5</f>
        <v/>
      </c>
      <c r="F5" s="22" t="inlineStr">
        <is>
          <t>Depth + spin dialed in</t>
        </is>
      </c>
    </row>
    <row r="6">
      <c r="A6" s="28" t="inlineStr">
        <is>
          <t>Return</t>
        </is>
      </c>
      <c r="B6" s="37" t="n">
        <v>6</v>
      </c>
      <c r="C6" s="38" t="n">
        <v>7</v>
      </c>
      <c r="D6" s="37" t="n">
        <v>9</v>
      </c>
      <c r="E6" s="29">
        <f>C6-B6</f>
        <v/>
      </c>
      <c r="F6" s="28" t="inlineStr">
        <is>
          <t>Work on placement</t>
        </is>
      </c>
    </row>
    <row r="7">
      <c r="A7" s="22" t="inlineStr">
        <is>
          <t>Dinking</t>
        </is>
      </c>
      <c r="B7" s="35" t="n">
        <v>5</v>
      </c>
      <c r="C7" s="36" t="n">
        <v>7</v>
      </c>
      <c r="D7" s="35" t="n">
        <v>9</v>
      </c>
      <c r="E7" s="26">
        <f>C7-B7</f>
        <v/>
      </c>
      <c r="F7" s="22" t="inlineStr">
        <is>
          <t>Patience much better</t>
        </is>
      </c>
    </row>
    <row r="8">
      <c r="A8" s="28" t="inlineStr">
        <is>
          <t>Third Shot Drop</t>
        </is>
      </c>
      <c r="B8" s="37" t="n">
        <v>4</v>
      </c>
      <c r="C8" s="38" t="n">
        <v>6</v>
      </c>
      <c r="D8" s="37" t="n">
        <v>8</v>
      </c>
      <c r="E8" s="29">
        <f>C8-B8</f>
        <v/>
      </c>
      <c r="F8" s="28" t="inlineStr">
        <is>
          <t>Priority — drilling weekly</t>
        </is>
      </c>
    </row>
    <row r="9">
      <c r="A9" s="22" t="inlineStr">
        <is>
          <t>Volleys</t>
        </is>
      </c>
      <c r="B9" s="35" t="n">
        <v>6</v>
      </c>
      <c r="C9" s="36" t="n">
        <v>7</v>
      </c>
      <c r="D9" s="35" t="n">
        <v>8</v>
      </c>
      <c r="E9" s="26">
        <f>C9-B9</f>
        <v/>
      </c>
      <c r="F9" s="22" t="inlineStr">
        <is>
          <t>Punch volleys solid</t>
        </is>
      </c>
    </row>
    <row r="10">
      <c r="A10" s="28" t="inlineStr">
        <is>
          <t>Speed-Ups</t>
        </is>
      </c>
      <c r="B10" s="37" t="n">
        <v>5</v>
      </c>
      <c r="C10" s="38" t="n">
        <v>6</v>
      </c>
      <c r="D10" s="37" t="n">
        <v>8</v>
      </c>
      <c r="E10" s="29">
        <f>C10-B10</f>
        <v/>
      </c>
      <c r="F10" s="28" t="inlineStr">
        <is>
          <t>Pick better moments</t>
        </is>
      </c>
    </row>
    <row r="11">
      <c r="A11" s="22" t="inlineStr">
        <is>
          <t>Lobs</t>
        </is>
      </c>
      <c r="B11" s="35" t="n">
        <v>5</v>
      </c>
      <c r="C11" s="36" t="n">
        <v>6</v>
      </c>
      <c r="D11" s="35" t="n">
        <v>7</v>
      </c>
      <c r="E11" s="26">
        <f>C11-B11</f>
        <v/>
      </c>
      <c r="F11" s="22" t="inlineStr">
        <is>
          <t>Offensive lob developing</t>
        </is>
      </c>
    </row>
    <row r="12">
      <c r="A12" s="28" t="inlineStr">
        <is>
          <t>Court Positioning</t>
        </is>
      </c>
      <c r="B12" s="37" t="n">
        <v>6</v>
      </c>
      <c r="C12" s="38" t="n">
        <v>7</v>
      </c>
      <c r="D12" s="37" t="n">
        <v>9</v>
      </c>
      <c r="E12" s="29">
        <f>C12-B12</f>
        <v/>
      </c>
      <c r="F12" s="28" t="inlineStr">
        <is>
          <t>Get to the line faster</t>
        </is>
      </c>
    </row>
    <row r="13">
      <c r="A13" s="22" t="inlineStr">
        <is>
          <t>Footwork</t>
        </is>
      </c>
      <c r="B13" s="35" t="n">
        <v>5</v>
      </c>
      <c r="C13" s="36" t="n">
        <v>6</v>
      </c>
      <c r="D13" s="35" t="n">
        <v>8</v>
      </c>
      <c r="E13" s="26">
        <f>C13-B13</f>
        <v/>
      </c>
      <c r="F13" s="22" t="inlineStr">
        <is>
          <t>Split-step consistency</t>
        </is>
      </c>
    </row>
    <row r="14">
      <c r="A14" s="28" t="inlineStr">
        <is>
          <t>Strategy</t>
        </is>
      </c>
      <c r="B14" s="37" t="n">
        <v>6</v>
      </c>
      <c r="C14" s="38" t="n">
        <v>7</v>
      </c>
      <c r="D14" s="37" t="n">
        <v>9</v>
      </c>
      <c r="E14" s="29">
        <f>C14-B14</f>
        <v/>
      </c>
      <c r="F14" s="28" t="inlineStr">
        <is>
          <t>Attack the middle</t>
        </is>
      </c>
    </row>
    <row r="15">
      <c r="A15" s="22" t="inlineStr">
        <is>
          <t>Communication</t>
        </is>
      </c>
      <c r="B15" s="35" t="n">
        <v>7</v>
      </c>
      <c r="C15" s="36" t="n">
        <v>8</v>
      </c>
      <c r="D15" s="35" t="n">
        <v>9</v>
      </c>
      <c r="E15" s="26">
        <f>C15-B15</f>
        <v/>
      </c>
      <c r="F15" s="22" t="inlineStr">
        <is>
          <t>Great with Chris</t>
        </is>
      </c>
    </row>
    <row r="16">
      <c r="A16" s="28" t="inlineStr">
        <is>
          <t>Mental Game</t>
        </is>
      </c>
      <c r="B16" s="37" t="n">
        <v>5</v>
      </c>
      <c r="C16" s="38" t="n">
        <v>6</v>
      </c>
      <c r="D16" s="37" t="n">
        <v>8</v>
      </c>
      <c r="E16" s="29">
        <f>C16-B16</f>
        <v/>
      </c>
      <c r="F16" s="28" t="inlineStr">
        <is>
          <t>Reset after errors</t>
        </is>
      </c>
    </row>
    <row r="17">
      <c r="A17" s="7" t="inlineStr">
        <is>
          <t>AVERAGE</t>
        </is>
      </c>
      <c r="B17" s="39">
        <f>AVERAGE(B5:B16)</f>
        <v/>
      </c>
      <c r="C17" s="39">
        <f>AVERAGE(C5:C16)</f>
        <v/>
      </c>
      <c r="D17" s="39">
        <f>AVERAGE(D5:D16)</f>
        <v/>
      </c>
    </row>
  </sheetData>
  <mergeCells count="2">
    <mergeCell ref="A2:F2"/>
    <mergeCell ref="A1:F1"/>
  </mergeCells>
  <conditionalFormatting sqref="C5:C16">
    <cfRule type="colorScale" priority="1">
      <colorScale>
        <cfvo type="num" val="3"/>
        <cfvo type="num" val="10"/>
        <color rgb="FFFBF0E2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E5D3BA"/>
    <outlinePr summaryBelow="1" summaryRight="1"/>
    <pageSetUpPr/>
  </sheetPr>
  <dimension ref="A1:I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12" customWidth="1" min="4" max="4"/>
    <col width="11" customWidth="1" min="5" max="5"/>
    <col width="14" customWidth="1" min="6" max="6"/>
    <col width="13" customWidth="1" min="7" max="7"/>
    <col width="13" customWidth="1" min="8" max="8"/>
    <col width="18" customWidth="1" min="9" max="9"/>
  </cols>
  <sheetData>
    <row r="1" ht="46" customHeight="1">
      <c r="A1" s="1" t="inlineStr">
        <is>
          <t xml:space="preserve">  🎽  EQUIPMENT COMMAND CENTER</t>
        </is>
      </c>
    </row>
    <row r="2" ht="22" customHeight="1">
      <c r="A2" s="2" t="inlineStr">
        <is>
          <t xml:space="preserve">  Gear you can trust — track condition &amp; get automatic replacement reminders.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Item</t>
        </is>
      </c>
      <c r="B4" s="7" t="inlineStr">
        <is>
          <t>Type</t>
        </is>
      </c>
      <c r="C4" s="7" t="inlineStr">
        <is>
          <t>Brand</t>
        </is>
      </c>
      <c r="D4" s="7" t="inlineStr">
        <is>
          <t>Purchased</t>
        </is>
      </c>
      <c r="E4" s="7" t="inlineStr">
        <is>
          <t>Price</t>
        </is>
      </c>
      <c r="F4" s="7" t="inlineStr">
        <is>
          <t>Condition</t>
        </is>
      </c>
      <c r="G4" s="7" t="inlineStr">
        <is>
          <t>Replace By</t>
        </is>
      </c>
      <c r="H4" s="7" t="inlineStr">
        <is>
          <t>Status</t>
        </is>
      </c>
      <c r="I4" s="7" t="inlineStr">
        <is>
          <t>Notes</t>
        </is>
      </c>
    </row>
    <row r="5">
      <c r="A5" s="24" t="inlineStr">
        <is>
          <t>Primary Paddle</t>
        </is>
      </c>
      <c r="B5" s="25" t="inlineStr">
        <is>
          <t>Paddle</t>
        </is>
      </c>
      <c r="C5" s="24" t="inlineStr">
        <is>
          <t>Selkirk Vanguard</t>
        </is>
      </c>
      <c r="D5" s="23" t="n">
        <v>45996</v>
      </c>
      <c r="E5" s="30" t="n">
        <v>220</v>
      </c>
      <c r="F5" s="25" t="inlineStr">
        <is>
          <t>Worn</t>
        </is>
      </c>
      <c r="G5" s="23" t="n">
        <v>46231</v>
      </c>
      <c r="H5" s="25">
        <f>IF(G5="","",IF(G5&lt;=TODAY()+60,"DUE SOON","OK"))</f>
        <v/>
      </c>
      <c r="I5" s="24" t="inlineStr">
        <is>
          <t>Grip wearing, dead spot</t>
        </is>
      </c>
    </row>
    <row r="6">
      <c r="A6" s="28" t="inlineStr">
        <is>
          <t>Backup Paddle</t>
        </is>
      </c>
      <c r="B6" s="29" t="inlineStr">
        <is>
          <t>Paddle</t>
        </is>
      </c>
      <c r="C6" s="28" t="inlineStr">
        <is>
          <t>JOOLA Perseus</t>
        </is>
      </c>
      <c r="D6" s="27" t="n">
        <v>46116</v>
      </c>
      <c r="E6" s="31" t="n">
        <v>200</v>
      </c>
      <c r="F6" s="29" t="inlineStr">
        <is>
          <t>Excellent</t>
        </is>
      </c>
      <c r="G6" s="27" t="n">
        <v>46606</v>
      </c>
      <c r="H6" s="29">
        <f>IF(G6="","",IF(G6&lt;=TODAY()+60,"DUE SOON","OK"))</f>
        <v/>
      </c>
      <c r="I6" s="28" t="inlineStr">
        <is>
          <t>Match backup</t>
        </is>
      </c>
    </row>
    <row r="7">
      <c r="A7" s="24" t="inlineStr">
        <is>
          <t>Court Shoes</t>
        </is>
      </c>
      <c r="B7" s="25" t="inlineStr">
        <is>
          <t>Shoes</t>
        </is>
      </c>
      <c r="C7" s="24" t="inlineStr">
        <is>
          <t>K-Swiss Express</t>
        </is>
      </c>
      <c r="D7" s="23" t="n">
        <v>46056</v>
      </c>
      <c r="E7" s="30" t="n">
        <v>130</v>
      </c>
      <c r="F7" s="25" t="inlineStr">
        <is>
          <t>Replace Soon</t>
        </is>
      </c>
      <c r="G7" s="23" t="n">
        <v>46246</v>
      </c>
      <c r="H7" s="25">
        <f>IF(G7="","",IF(G7&lt;=TODAY()+60,"DUE SOON","OK"))</f>
        <v/>
      </c>
      <c r="I7" s="24" t="inlineStr">
        <is>
          <t>Tread low</t>
        </is>
      </c>
    </row>
    <row r="8">
      <c r="A8" s="28" t="inlineStr">
        <is>
          <t>Indoor Balls (x12)</t>
        </is>
      </c>
      <c r="B8" s="29" t="inlineStr">
        <is>
          <t>Balls</t>
        </is>
      </c>
      <c r="C8" s="28" t="inlineStr">
        <is>
          <t>Onix Fuse</t>
        </is>
      </c>
      <c r="D8" s="27" t="n">
        <v>46166</v>
      </c>
      <c r="E8" s="31" t="n">
        <v>30</v>
      </c>
      <c r="F8" s="29" t="inlineStr">
        <is>
          <t>Good</t>
        </is>
      </c>
      <c r="G8" s="27" t="n">
        <v>46326</v>
      </c>
      <c r="H8" s="29">
        <f>IF(G8="","",IF(G8&lt;=TODAY()+60,"DUE SOON","OK"))</f>
        <v/>
      </c>
      <c r="I8" s="28" t="inlineStr">
        <is>
          <t>Rotate stock</t>
        </is>
      </c>
    </row>
    <row r="9">
      <c r="A9" s="24" t="inlineStr">
        <is>
          <t>Outdoor Balls (x12)</t>
        </is>
      </c>
      <c r="B9" s="25" t="inlineStr">
        <is>
          <t>Balls</t>
        </is>
      </c>
      <c r="C9" s="24" t="inlineStr">
        <is>
          <t>Franklin X-40</t>
        </is>
      </c>
      <c r="D9" s="23" t="n">
        <v>46176</v>
      </c>
      <c r="E9" s="30" t="n">
        <v>32</v>
      </c>
      <c r="F9" s="25" t="inlineStr">
        <is>
          <t>Good</t>
        </is>
      </c>
      <c r="G9" s="23" t="n">
        <v>46296</v>
      </c>
      <c r="H9" s="25">
        <f>IF(G9="","",IF(G9&lt;=TODAY()+60,"DUE SOON","OK"))</f>
        <v/>
      </c>
      <c r="I9" s="24" t="inlineStr">
        <is>
          <t>Cracks appear fast</t>
        </is>
      </c>
    </row>
    <row r="10">
      <c r="A10" s="28" t="inlineStr">
        <is>
          <t>Paddle Bag</t>
        </is>
      </c>
      <c r="B10" s="29" t="inlineStr">
        <is>
          <t>Bag</t>
        </is>
      </c>
      <c r="C10" s="28" t="inlineStr">
        <is>
          <t>Selkirk Tour</t>
        </is>
      </c>
      <c r="D10" s="27" t="n">
        <v>45906</v>
      </c>
      <c r="E10" s="31" t="n">
        <v>90</v>
      </c>
      <c r="F10" s="29" t="inlineStr">
        <is>
          <t>Excellent</t>
        </is>
      </c>
      <c r="G10" s="27" t="n">
        <v>47106</v>
      </c>
      <c r="H10" s="29">
        <f>IF(G10="","",IF(G10&lt;=TODAY()+60,"DUE SOON","OK"))</f>
        <v/>
      </c>
      <c r="I10" s="28" t="inlineStr">
        <is>
          <t>Holds 4 paddles</t>
        </is>
      </c>
    </row>
    <row r="11">
      <c r="A11" s="24" t="inlineStr">
        <is>
          <t>Overgrips (x6)</t>
        </is>
      </c>
      <c r="B11" s="25" t="inlineStr">
        <is>
          <t>Grips</t>
        </is>
      </c>
      <c r="C11" s="24" t="inlineStr">
        <is>
          <t>Gamma</t>
        </is>
      </c>
      <c r="D11" s="23" t="n">
        <v>46186</v>
      </c>
      <c r="E11" s="30" t="n">
        <v>15</v>
      </c>
      <c r="F11" s="25" t="inlineStr">
        <is>
          <t>Good</t>
        </is>
      </c>
      <c r="G11" s="23" t="n">
        <v>46286</v>
      </c>
      <c r="H11" s="25">
        <f>IF(G11="","",IF(G11&lt;=TODAY()+60,"DUE SOON","OK"))</f>
        <v/>
      </c>
      <c r="I11" s="24" t="inlineStr">
        <is>
          <t>Fresh stock on hand</t>
        </is>
      </c>
    </row>
    <row r="12">
      <c r="A12" s="28" t="inlineStr">
        <is>
          <t>Court Eyewear</t>
        </is>
      </c>
      <c r="B12" s="29" t="inlineStr">
        <is>
          <t>Eyewear</t>
        </is>
      </c>
      <c r="C12" s="28" t="inlineStr">
        <is>
          <t>Tifosi</t>
        </is>
      </c>
      <c r="D12" s="27" t="n">
        <v>45946</v>
      </c>
      <c r="E12" s="31" t="n">
        <v>45</v>
      </c>
      <c r="F12" s="29" t="inlineStr">
        <is>
          <t>Good</t>
        </is>
      </c>
      <c r="G12" s="27" t="n">
        <v>46506</v>
      </c>
      <c r="H12" s="29">
        <f>IF(G12="","",IF(G12&lt;=TODAY()+60,"DUE SOON","OK"))</f>
        <v/>
      </c>
      <c r="I12" s="28" t="inlineStr">
        <is>
          <t>Anti-fog</t>
        </is>
      </c>
    </row>
    <row r="13">
      <c r="A13" s="24" t="inlineStr">
        <is>
          <t>Performance Tee (x3)</t>
        </is>
      </c>
      <c r="B13" s="25" t="inlineStr">
        <is>
          <t>Apparel</t>
        </is>
      </c>
      <c r="C13" s="24" t="inlineStr">
        <is>
          <t>Nike Dri-FIT</t>
        </is>
      </c>
      <c r="D13" s="23" t="n">
        <v>46086</v>
      </c>
      <c r="E13" s="30" t="n">
        <v>75</v>
      </c>
      <c r="F13" s="25" t="inlineStr">
        <is>
          <t>Good</t>
        </is>
      </c>
      <c r="G13" s="23" t="n">
        <v>46506</v>
      </c>
      <c r="H13" s="25">
        <f>IF(G13="","",IF(G13&lt;=TODAY()+60,"DUE SOON","OK"))</f>
        <v/>
      </c>
      <c r="I13" s="24" t="inlineStr">
        <is>
          <t>Match-day kit</t>
        </is>
      </c>
    </row>
    <row r="14">
      <c r="A14" s="28" t="n"/>
      <c r="B14" s="29" t="n"/>
      <c r="C14" s="28" t="n"/>
      <c r="D14" s="27" t="n"/>
      <c r="E14" s="31" t="n"/>
      <c r="F14" s="29" t="n"/>
      <c r="G14" s="27" t="n"/>
      <c r="H14" s="29" t="n"/>
      <c r="I14" s="28" t="n"/>
    </row>
    <row r="15">
      <c r="A15" s="24" t="n"/>
      <c r="B15" s="25" t="n"/>
      <c r="C15" s="24" t="n"/>
      <c r="D15" s="23" t="n"/>
      <c r="E15" s="30" t="n"/>
      <c r="F15" s="25" t="n"/>
      <c r="G15" s="23" t="n"/>
      <c r="H15" s="25" t="n"/>
      <c r="I15" s="24" t="n"/>
    </row>
    <row r="16">
      <c r="A16" s="28" t="n"/>
      <c r="B16" s="29" t="n"/>
      <c r="C16" s="28" t="n"/>
      <c r="D16" s="27" t="n"/>
      <c r="E16" s="31" t="n"/>
      <c r="F16" s="29" t="n"/>
      <c r="G16" s="27" t="n"/>
      <c r="H16" s="29" t="n"/>
      <c r="I16" s="28" t="n"/>
    </row>
    <row r="17">
      <c r="A17" s="24" t="n"/>
      <c r="B17" s="25" t="n"/>
      <c r="C17" s="24" t="n"/>
      <c r="D17" s="23" t="n"/>
      <c r="E17" s="30" t="n"/>
      <c r="F17" s="25" t="n"/>
      <c r="G17" s="23" t="n"/>
      <c r="H17" s="25" t="n"/>
      <c r="I17" s="24" t="n"/>
    </row>
    <row r="18">
      <c r="A18" s="28" t="n"/>
      <c r="B18" s="29" t="n"/>
      <c r="C18" s="28" t="n"/>
      <c r="D18" s="27" t="n"/>
      <c r="E18" s="31" t="n"/>
      <c r="F18" s="29" t="n"/>
      <c r="G18" s="27" t="n"/>
      <c r="H18" s="29" t="n"/>
      <c r="I18" s="28" t="n"/>
    </row>
    <row r="19">
      <c r="A19" s="24" t="n"/>
      <c r="B19" s="25" t="n"/>
      <c r="C19" s="24" t="n"/>
      <c r="D19" s="23" t="n"/>
      <c r="E19" s="30" t="n"/>
      <c r="F19" s="25" t="n"/>
      <c r="G19" s="23" t="n"/>
      <c r="H19" s="25" t="n"/>
      <c r="I19" s="24" t="n"/>
    </row>
    <row r="20">
      <c r="A20" s="28" t="n"/>
      <c r="B20" s="29" t="n"/>
      <c r="C20" s="28" t="n"/>
      <c r="D20" s="27" t="n"/>
      <c r="E20" s="31" t="n"/>
      <c r="F20" s="29" t="n"/>
      <c r="G20" s="27" t="n"/>
      <c r="H20" s="29" t="n"/>
      <c r="I20" s="28" t="n"/>
    </row>
    <row r="21">
      <c r="A21" s="24" t="n"/>
      <c r="B21" s="25" t="n"/>
      <c r="C21" s="24" t="n"/>
      <c r="D21" s="23" t="n"/>
      <c r="E21" s="30" t="n"/>
      <c r="F21" s="25" t="n"/>
      <c r="G21" s="23" t="n"/>
      <c r="H21" s="25" t="n"/>
      <c r="I21" s="24" t="n"/>
    </row>
    <row r="22">
      <c r="A22" s="28" t="n"/>
      <c r="B22" s="29" t="n"/>
      <c r="C22" s="28" t="n"/>
      <c r="D22" s="27" t="n"/>
      <c r="E22" s="31" t="n"/>
      <c r="F22" s="29" t="n"/>
      <c r="G22" s="27" t="n"/>
      <c r="H22" s="29" t="n"/>
      <c r="I22" s="28" t="n"/>
    </row>
    <row r="23">
      <c r="A23" s="24" t="n"/>
      <c r="B23" s="25" t="n"/>
      <c r="C23" s="24" t="n"/>
      <c r="D23" s="23" t="n"/>
      <c r="E23" s="30" t="n"/>
      <c r="F23" s="25" t="n"/>
      <c r="G23" s="23" t="n"/>
      <c r="H23" s="25" t="n"/>
      <c r="I23" s="24" t="n"/>
    </row>
    <row r="24">
      <c r="A24" s="28" t="n"/>
      <c r="B24" s="29" t="n"/>
      <c r="C24" s="28" t="n"/>
      <c r="D24" s="27" t="n"/>
      <c r="E24" s="31" t="n"/>
      <c r="F24" s="29" t="n"/>
      <c r="G24" s="27" t="n"/>
      <c r="H24" s="29" t="n"/>
      <c r="I24" s="28" t="n"/>
    </row>
    <row r="25">
      <c r="A25" s="24" t="n"/>
      <c r="B25" s="25" t="n"/>
      <c r="C25" s="24" t="n"/>
      <c r="D25" s="23" t="n"/>
      <c r="E25" s="30" t="n"/>
      <c r="F25" s="25" t="n"/>
      <c r="G25" s="23" t="n"/>
      <c r="H25" s="25" t="n"/>
      <c r="I25" s="24" t="n"/>
    </row>
    <row r="26">
      <c r="A26" s="28" t="n"/>
      <c r="B26" s="29" t="n"/>
      <c r="C26" s="28" t="n"/>
      <c r="D26" s="27" t="n"/>
      <c r="E26" s="31" t="n"/>
      <c r="F26" s="29" t="n"/>
      <c r="G26" s="27" t="n"/>
      <c r="H26" s="29" t="n"/>
      <c r="I26" s="28" t="n"/>
    </row>
    <row r="27">
      <c r="A27" s="24" t="n"/>
      <c r="B27" s="25" t="n"/>
      <c r="C27" s="24" t="n"/>
      <c r="D27" s="23" t="n"/>
      <c r="E27" s="30" t="n"/>
      <c r="F27" s="25" t="n"/>
      <c r="G27" s="23" t="n"/>
      <c r="H27" s="25" t="n"/>
      <c r="I27" s="24" t="n"/>
    </row>
    <row r="28">
      <c r="A28" s="28" t="n"/>
      <c r="B28" s="29" t="n"/>
      <c r="C28" s="28" t="n"/>
      <c r="D28" s="27" t="n"/>
      <c r="E28" s="31" t="n"/>
      <c r="F28" s="29" t="n"/>
      <c r="G28" s="27" t="n"/>
      <c r="H28" s="29" t="n"/>
      <c r="I28" s="28" t="n"/>
    </row>
    <row r="29">
      <c r="A29" s="24" t="n"/>
      <c r="B29" s="25" t="n"/>
      <c r="C29" s="24" t="n"/>
      <c r="D29" s="23" t="n"/>
      <c r="E29" s="30" t="n"/>
      <c r="F29" s="25" t="n"/>
      <c r="G29" s="23" t="n"/>
      <c r="H29" s="25" t="n"/>
      <c r="I29" s="24" t="n"/>
    </row>
    <row r="30">
      <c r="A30" s="28" t="n"/>
      <c r="B30" s="29" t="n"/>
      <c r="C30" s="28" t="n"/>
      <c r="D30" s="27" t="n"/>
      <c r="E30" s="31" t="n"/>
      <c r="F30" s="29" t="n"/>
      <c r="G30" s="27" t="n"/>
      <c r="H30" s="29" t="n"/>
      <c r="I30" s="28" t="n"/>
    </row>
    <row r="31">
      <c r="A31" s="24" t="n"/>
      <c r="B31" s="25" t="n"/>
      <c r="C31" s="24" t="n"/>
      <c r="D31" s="23" t="n"/>
      <c r="E31" s="30" t="n"/>
      <c r="F31" s="25" t="n"/>
      <c r="G31" s="23" t="n"/>
      <c r="H31" s="25" t="n"/>
      <c r="I31" s="24" t="n"/>
    </row>
    <row r="32">
      <c r="A32" s="28" t="n"/>
      <c r="B32" s="29" t="n"/>
      <c r="C32" s="28" t="n"/>
      <c r="D32" s="27" t="n"/>
      <c r="E32" s="31" t="n"/>
      <c r="F32" s="29" t="n"/>
      <c r="G32" s="27" t="n"/>
      <c r="H32" s="29" t="n"/>
      <c r="I32" s="28" t="n"/>
    </row>
    <row r="33">
      <c r="A33" s="24" t="n"/>
      <c r="B33" s="25" t="n"/>
      <c r="C33" s="24" t="n"/>
      <c r="D33" s="23" t="n"/>
      <c r="E33" s="30" t="n"/>
      <c r="F33" s="25" t="n"/>
      <c r="G33" s="23" t="n"/>
      <c r="H33" s="25" t="n"/>
      <c r="I33" s="24" t="n"/>
    </row>
    <row r="34">
      <c r="A34" s="28" t="n"/>
      <c r="B34" s="29" t="n"/>
      <c r="C34" s="28" t="n"/>
      <c r="D34" s="27" t="n"/>
      <c r="E34" s="31" t="n"/>
      <c r="F34" s="29" t="n"/>
      <c r="G34" s="27" t="n"/>
      <c r="H34" s="29" t="n"/>
      <c r="I34" s="28" t="n"/>
    </row>
    <row r="35">
      <c r="A35" s="7" t="inlineStr">
        <is>
          <t>TOTAL INVESTED</t>
        </is>
      </c>
      <c r="E35" s="32">
        <f>SUM(E5:E34)</f>
        <v/>
      </c>
    </row>
  </sheetData>
  <mergeCells count="2">
    <mergeCell ref="A1:I1"/>
    <mergeCell ref="A2:I2"/>
  </mergeCells>
  <conditionalFormatting sqref="H5:H34">
    <cfRule type="cellIs" priority="1" operator="equal" dxfId="3">
      <formula>"DUE SOON"</formula>
    </cfRule>
    <cfRule type="cellIs" priority="2" operator="equal" dxfId="4">
      <formula>"OK"</formula>
    </cfRule>
  </conditionalFormatting>
  <conditionalFormatting sqref="F5:F34">
    <cfRule type="cellIs" priority="3" operator="equal" dxfId="5">
      <formula>"Replace Soon"</formula>
    </cfRule>
  </conditionalFormatting>
  <dataValidations count="2">
    <dataValidation sqref="B5:B34" showDropDown="0" showInputMessage="0" showErrorMessage="0" allowBlank="1" type="list">
      <formula1>=EquipTypeList</formula1>
    </dataValidation>
    <dataValidation sqref="F5:F34" showDropDown="0" showInputMessage="0" showErrorMessage="0" allowBlank="1" type="list">
      <formula1>=CondList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4F48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3" customWidth="1" min="6" max="6"/>
    <col width="20" customWidth="1" min="7" max="7"/>
    <col width="14" customWidth="1" min="8" max="8"/>
  </cols>
  <sheetData>
    <row r="1" ht="46" customHeight="1">
      <c r="A1" s="1" t="inlineStr">
        <is>
          <t xml:space="preserve">  💰  PICKLEBALL BUDGET</t>
        </is>
      </c>
    </row>
    <row r="2" ht="22" customHeight="1">
      <c r="A2" s="2" t="inlineStr">
        <is>
          <t xml:space="preserve">  Know what the game costs — plan vs actual across every category, all year.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Category</t>
        </is>
      </c>
      <c r="B4" s="7" t="inlineStr">
        <is>
          <t>Annual Budget</t>
        </is>
      </c>
      <c r="C4" s="7" t="inlineStr">
        <is>
          <t>Spent (YTD)</t>
        </is>
      </c>
      <c r="D4" s="7" t="inlineStr">
        <is>
          <t>Remaining</t>
        </is>
      </c>
      <c r="E4" s="7" t="inlineStr">
        <is>
          <t>% Used</t>
        </is>
      </c>
    </row>
    <row r="5">
      <c r="A5" s="22" t="inlineStr">
        <is>
          <t>Club Membership</t>
        </is>
      </c>
      <c r="B5" s="40" t="n">
        <v>480</v>
      </c>
      <c r="C5" s="40" t="n">
        <v>480</v>
      </c>
      <c r="D5" s="41">
        <f>B5-C5</f>
        <v/>
      </c>
      <c r="E5" s="42">
        <f>IFERROR(C5/B5,0)</f>
        <v/>
      </c>
      <c r="G5" s="4" t="inlineStr">
        <is>
          <t>AT A GLANCE</t>
        </is>
      </c>
    </row>
    <row r="6">
      <c r="A6" s="28" t="inlineStr">
        <is>
          <t>Court Fees</t>
        </is>
      </c>
      <c r="B6" s="43" t="n">
        <v>240</v>
      </c>
      <c r="C6" s="43" t="n">
        <v>140</v>
      </c>
      <c r="D6" s="44">
        <f>B6-C6</f>
        <v/>
      </c>
      <c r="E6" s="45">
        <f>IFERROR(C6/B6,0)</f>
        <v/>
      </c>
      <c r="G6" s="19" t="inlineStr">
        <is>
          <t>Annual budget</t>
        </is>
      </c>
      <c r="H6" s="46">
        <f>B16</f>
        <v/>
      </c>
    </row>
    <row r="7">
      <c r="A7" s="22" t="inlineStr">
        <is>
          <t>Tournament Fees</t>
        </is>
      </c>
      <c r="B7" s="40" t="n">
        <v>360</v>
      </c>
      <c r="C7" s="40" t="n">
        <v>210</v>
      </c>
      <c r="D7" s="41">
        <f>B7-C7</f>
        <v/>
      </c>
      <c r="E7" s="42">
        <f>IFERROR(C7/B7,0)</f>
        <v/>
      </c>
      <c r="G7" s="19" t="inlineStr">
        <is>
          <t>Spent YTD</t>
        </is>
      </c>
      <c r="H7" s="46">
        <f>C16</f>
        <v/>
      </c>
    </row>
    <row r="8">
      <c r="A8" s="28" t="inlineStr">
        <is>
          <t>Lessons</t>
        </is>
      </c>
      <c r="B8" s="43" t="n">
        <v>300</v>
      </c>
      <c r="C8" s="43" t="n">
        <v>180</v>
      </c>
      <c r="D8" s="44">
        <f>B8-C8</f>
        <v/>
      </c>
      <c r="E8" s="45">
        <f>IFERROR(C8/B8,0)</f>
        <v/>
      </c>
      <c r="G8" s="19" t="inlineStr">
        <is>
          <t>Remaining</t>
        </is>
      </c>
      <c r="H8" s="46">
        <f>B16-C16</f>
        <v/>
      </c>
    </row>
    <row r="9">
      <c r="A9" s="22" t="inlineStr">
        <is>
          <t>Coaching</t>
        </is>
      </c>
      <c r="B9" s="40" t="n">
        <v>200</v>
      </c>
      <c r="C9" s="40" t="n">
        <v>120</v>
      </c>
      <c r="D9" s="41">
        <f>B9-C9</f>
        <v/>
      </c>
      <c r="E9" s="42">
        <f>IFERROR(C9/B9,0)</f>
        <v/>
      </c>
      <c r="G9" s="19" t="inlineStr">
        <is>
          <t>Monthly target</t>
        </is>
      </c>
      <c r="H9" s="46">
        <f>MonthlyBudget</f>
        <v/>
      </c>
    </row>
    <row r="10">
      <c r="A10" s="28" t="inlineStr">
        <is>
          <t>Equipment</t>
        </is>
      </c>
      <c r="B10" s="43" t="n">
        <v>300</v>
      </c>
      <c r="C10" s="43" t="n">
        <v>220</v>
      </c>
      <c r="D10" s="44">
        <f>B10-C10</f>
        <v/>
      </c>
      <c r="E10" s="45">
        <f>IFERROR(C10/B10,0)</f>
        <v/>
      </c>
      <c r="G10" s="19" t="inlineStr">
        <is>
          <t>Prize money won</t>
        </is>
      </c>
      <c r="H10" s="47">
        <f>SUM(TournPrize)</f>
        <v/>
      </c>
    </row>
    <row r="11">
      <c r="A11" s="22" t="inlineStr">
        <is>
          <t>Apparel</t>
        </is>
      </c>
      <c r="B11" s="40" t="n">
        <v>120</v>
      </c>
      <c r="C11" s="40" t="n">
        <v>60</v>
      </c>
      <c r="D11" s="41">
        <f>B11-C11</f>
        <v/>
      </c>
      <c r="E11" s="42">
        <f>IFERROR(C11/B11,0)</f>
        <v/>
      </c>
    </row>
    <row r="12">
      <c r="A12" s="28" t="inlineStr">
        <is>
          <t>Travel</t>
        </is>
      </c>
      <c r="B12" s="43" t="n">
        <v>120</v>
      </c>
      <c r="C12" s="43" t="n">
        <v>55</v>
      </c>
      <c r="D12" s="44">
        <f>B12-C12</f>
        <v/>
      </c>
      <c r="E12" s="45">
        <f>IFERROR(C12/B12,0)</f>
        <v/>
      </c>
    </row>
    <row r="13">
      <c r="A13" s="22" t="inlineStr">
        <is>
          <t>Hotels</t>
        </is>
      </c>
      <c r="B13" s="40" t="n">
        <v>180</v>
      </c>
      <c r="C13" s="40" t="n">
        <v>90</v>
      </c>
      <c r="D13" s="41">
        <f>B13-C13</f>
        <v/>
      </c>
      <c r="E13" s="42">
        <f>IFERROR(C13/B13,0)</f>
        <v/>
      </c>
    </row>
    <row r="14">
      <c r="A14" s="28" t="inlineStr">
        <is>
          <t>Meals</t>
        </is>
      </c>
      <c r="B14" s="43" t="n">
        <v>120</v>
      </c>
      <c r="C14" s="43" t="n">
        <v>70</v>
      </c>
      <c r="D14" s="44">
        <f>B14-C14</f>
        <v/>
      </c>
      <c r="E14" s="45">
        <f>IFERROR(C14/B14,0)</f>
        <v/>
      </c>
    </row>
    <row r="15">
      <c r="A15" s="22" t="inlineStr">
        <is>
          <t>Miscellaneous</t>
        </is>
      </c>
      <c r="B15" s="40" t="n">
        <v>80</v>
      </c>
      <c r="C15" s="40" t="n">
        <v>40</v>
      </c>
      <c r="D15" s="41">
        <f>B15-C15</f>
        <v/>
      </c>
      <c r="E15" s="42">
        <f>IFERROR(C15/B15,0)</f>
        <v/>
      </c>
    </row>
    <row r="16">
      <c r="A16" s="7" t="inlineStr">
        <is>
          <t>TOTAL</t>
        </is>
      </c>
      <c r="B16" s="32">
        <f>SUM(B5:B15)</f>
        <v/>
      </c>
      <c r="C16" s="32">
        <f>SUM(C5:C15)</f>
        <v/>
      </c>
      <c r="D16" s="32">
        <f>SUM(D5:D15)</f>
        <v/>
      </c>
      <c r="E16" s="48">
        <f>IFERROR(C16/B16,0)</f>
        <v/>
      </c>
    </row>
  </sheetData>
  <mergeCells count="3">
    <mergeCell ref="G5:H5"/>
    <mergeCell ref="A2:H2"/>
    <mergeCell ref="A1:H1"/>
  </mergeCells>
  <conditionalFormatting sqref="E5:E15">
    <cfRule type="dataBar" priority="1">
      <dataBar showValue="1">
        <cfvo type="num" val="0"/>
        <cfvo type="num" val="1.1"/>
        <color rgb="001B4F48"/>
      </dataBar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37356"/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11" customWidth="1" min="4" max="4"/>
    <col width="12" customWidth="1" min="5" max="5"/>
    <col width="28" customWidth="1" min="6" max="6"/>
  </cols>
  <sheetData>
    <row r="1" ht="46" customHeight="1">
      <c r="A1" s="1" t="inlineStr">
        <is>
          <t xml:space="preserve">  💪  FITNESS &amp; RECOVERY</t>
        </is>
      </c>
    </row>
    <row r="2" ht="22" customHeight="1">
      <c r="A2" s="2" t="inlineStr">
        <is>
          <t xml:space="preserve">  Fit players win more — strength, cardio, mobility &amp; recovery, all logged.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Date</t>
        </is>
      </c>
      <c r="B4" s="7" t="inlineStr">
        <is>
          <t>Activity</t>
        </is>
      </c>
      <c r="C4" s="7" t="inlineStr">
        <is>
          <t>Type</t>
        </is>
      </c>
      <c r="D4" s="7" t="inlineStr">
        <is>
          <t>Minutes</t>
        </is>
      </c>
      <c r="E4" s="7" t="inlineStr">
        <is>
          <t>Sleep (hrs)</t>
        </is>
      </c>
      <c r="F4" s="7" t="inlineStr">
        <is>
          <t>Notes</t>
        </is>
      </c>
    </row>
    <row r="5">
      <c r="A5" s="23" t="n">
        <v>46204</v>
      </c>
      <c r="B5" s="24" t="inlineStr">
        <is>
          <t>Strength — legs &amp; core</t>
        </is>
      </c>
      <c r="C5" s="25" t="inlineStr">
        <is>
          <t>Strength</t>
        </is>
      </c>
      <c r="D5" s="49" t="n">
        <v>45</v>
      </c>
      <c r="E5" s="33" t="n">
        <v>7.5</v>
      </c>
      <c r="F5" s="24" t="inlineStr">
        <is>
          <t>Squats, lunges, planks</t>
        </is>
      </c>
    </row>
    <row r="6">
      <c r="A6" s="27" t="n">
        <v>46203</v>
      </c>
      <c r="B6" s="28" t="inlineStr">
        <is>
          <t>Court cardio intervals</t>
        </is>
      </c>
      <c r="C6" s="29" t="inlineStr">
        <is>
          <t>Cardio</t>
        </is>
      </c>
      <c r="D6" s="37" t="n">
        <v>30</v>
      </c>
      <c r="E6" s="34" t="n">
        <v>7</v>
      </c>
      <c r="F6" s="28" t="inlineStr">
        <is>
          <t>Suicides, ladder drills</t>
        </is>
      </c>
    </row>
    <row r="7">
      <c r="A7" s="23" t="n">
        <v>46202</v>
      </c>
      <c r="B7" s="24" t="inlineStr">
        <is>
          <t>Mobility &amp; stretch</t>
        </is>
      </c>
      <c r="C7" s="25" t="inlineStr">
        <is>
          <t>Mobility</t>
        </is>
      </c>
      <c r="D7" s="49" t="n">
        <v>20</v>
      </c>
      <c r="E7" s="33" t="n">
        <v>8</v>
      </c>
      <c r="F7" s="24" t="inlineStr">
        <is>
          <t>Hips, shoulders, ankles</t>
        </is>
      </c>
    </row>
    <row r="8">
      <c r="A8" s="27" t="n">
        <v>46200</v>
      </c>
      <c r="B8" s="28" t="inlineStr">
        <is>
          <t>Recovery day</t>
        </is>
      </c>
      <c r="C8" s="29" t="inlineStr">
        <is>
          <t>Recovery</t>
        </is>
      </c>
      <c r="D8" s="37" t="n">
        <v>0</v>
      </c>
      <c r="E8" s="34" t="n">
        <v>8.5</v>
      </c>
      <c r="F8" s="28" t="inlineStr">
        <is>
          <t>Foam roll, light walk</t>
        </is>
      </c>
    </row>
    <row r="9">
      <c r="A9" s="23" t="n">
        <v>46198</v>
      </c>
      <c r="B9" s="24" t="inlineStr">
        <is>
          <t>Strength — upper body</t>
        </is>
      </c>
      <c r="C9" s="25" t="inlineStr">
        <is>
          <t>Strength</t>
        </is>
      </c>
      <c r="D9" s="49" t="n">
        <v>40</v>
      </c>
      <c r="E9" s="33" t="n">
        <v>7</v>
      </c>
      <c r="F9" s="24" t="inlineStr">
        <is>
          <t>Rows, presses, bands</t>
        </is>
      </c>
    </row>
    <row r="10">
      <c r="A10" s="27" t="n">
        <v>46196</v>
      </c>
      <c r="B10" s="28" t="inlineStr">
        <is>
          <t>Zone 2 cardio</t>
        </is>
      </c>
      <c r="C10" s="29" t="inlineStr">
        <is>
          <t>Cardio</t>
        </is>
      </c>
      <c r="D10" s="37" t="n">
        <v>35</v>
      </c>
      <c r="E10" s="34" t="n">
        <v>7.5</v>
      </c>
      <c r="F10" s="28" t="inlineStr">
        <is>
          <t>Easy bike</t>
        </is>
      </c>
    </row>
    <row r="11">
      <c r="A11" s="23" t="n">
        <v>46194</v>
      </c>
      <c r="B11" s="24" t="inlineStr">
        <is>
          <t>Yoga / balance</t>
        </is>
      </c>
      <c r="C11" s="25" t="inlineStr">
        <is>
          <t>Mobility</t>
        </is>
      </c>
      <c r="D11" s="49" t="n">
        <v>30</v>
      </c>
      <c r="E11" s="33" t="n">
        <v>8</v>
      </c>
      <c r="F11" s="24" t="inlineStr">
        <is>
          <t>Single-leg balance</t>
        </is>
      </c>
    </row>
    <row r="12">
      <c r="A12" s="27" t="n">
        <v>46191</v>
      </c>
      <c r="B12" s="28" t="inlineStr">
        <is>
          <t>Strength — full body</t>
        </is>
      </c>
      <c r="C12" s="29" t="inlineStr">
        <is>
          <t>Strength</t>
        </is>
      </c>
      <c r="D12" s="37" t="n">
        <v>45</v>
      </c>
      <c r="E12" s="34" t="n">
        <v>7</v>
      </c>
      <c r="F12" s="28" t="inlineStr">
        <is>
          <t>Compound lifts</t>
        </is>
      </c>
    </row>
    <row r="13">
      <c r="A13" s="23" t="n">
        <v>46188</v>
      </c>
      <c r="B13" s="24" t="inlineStr">
        <is>
          <t>Sprint intervals</t>
        </is>
      </c>
      <c r="C13" s="25" t="inlineStr">
        <is>
          <t>Cardio</t>
        </is>
      </c>
      <c r="D13" s="49" t="n">
        <v>25</v>
      </c>
      <c r="E13" s="33" t="n">
        <v>6.5</v>
      </c>
      <c r="F13" s="24" t="inlineStr">
        <is>
          <t>Left knee a little sore</t>
        </is>
      </c>
    </row>
    <row r="14">
      <c r="A14" s="27" t="n">
        <v>46184</v>
      </c>
      <c r="B14" s="28" t="inlineStr">
        <is>
          <t>Recovery + massage</t>
        </is>
      </c>
      <c r="C14" s="29" t="inlineStr">
        <is>
          <t>Recovery</t>
        </is>
      </c>
      <c r="D14" s="37" t="n">
        <v>0</v>
      </c>
      <c r="E14" s="34" t="n">
        <v>8.5</v>
      </c>
      <c r="F14" s="28" t="inlineStr">
        <is>
          <t>Deep tissue</t>
        </is>
      </c>
    </row>
    <row r="15">
      <c r="A15" s="23" t="n"/>
      <c r="B15" s="24" t="n"/>
      <c r="C15" s="25" t="n"/>
      <c r="D15" s="49" t="n"/>
      <c r="E15" s="33" t="n"/>
      <c r="F15" s="24" t="n"/>
    </row>
    <row r="16">
      <c r="A16" s="27" t="n"/>
      <c r="B16" s="28" t="n"/>
      <c r="C16" s="29" t="n"/>
      <c r="D16" s="37" t="n"/>
      <c r="E16" s="34" t="n"/>
      <c r="F16" s="28" t="n"/>
    </row>
    <row r="17">
      <c r="A17" s="23" t="n"/>
      <c r="B17" s="24" t="n"/>
      <c r="C17" s="25" t="n"/>
      <c r="D17" s="49" t="n"/>
      <c r="E17" s="33" t="n"/>
      <c r="F17" s="24" t="n"/>
    </row>
    <row r="18">
      <c r="A18" s="27" t="n"/>
      <c r="B18" s="28" t="n"/>
      <c r="C18" s="29" t="n"/>
      <c r="D18" s="37" t="n"/>
      <c r="E18" s="34" t="n"/>
      <c r="F18" s="28" t="n"/>
    </row>
    <row r="19">
      <c r="A19" s="23" t="n"/>
      <c r="B19" s="24" t="n"/>
      <c r="C19" s="25" t="n"/>
      <c r="D19" s="49" t="n"/>
      <c r="E19" s="33" t="n"/>
      <c r="F19" s="24" t="n"/>
    </row>
    <row r="20">
      <c r="A20" s="27" t="n"/>
      <c r="B20" s="28" t="n"/>
      <c r="C20" s="29" t="n"/>
      <c r="D20" s="37" t="n"/>
      <c r="E20" s="34" t="n"/>
      <c r="F20" s="28" t="n"/>
    </row>
    <row r="21">
      <c r="A21" s="23" t="n"/>
      <c r="B21" s="24" t="n"/>
      <c r="C21" s="25" t="n"/>
      <c r="D21" s="49" t="n"/>
      <c r="E21" s="33" t="n"/>
      <c r="F21" s="24" t="n"/>
    </row>
    <row r="22">
      <c r="A22" s="27" t="n"/>
      <c r="B22" s="28" t="n"/>
      <c r="C22" s="29" t="n"/>
      <c r="D22" s="37" t="n"/>
      <c r="E22" s="34" t="n"/>
      <c r="F22" s="28" t="n"/>
    </row>
    <row r="23">
      <c r="A23" s="23" t="n"/>
      <c r="B23" s="24" t="n"/>
      <c r="C23" s="25" t="n"/>
      <c r="D23" s="49" t="n"/>
      <c r="E23" s="33" t="n"/>
      <c r="F23" s="24" t="n"/>
    </row>
    <row r="24">
      <c r="A24" s="27" t="n"/>
      <c r="B24" s="28" t="n"/>
      <c r="C24" s="29" t="n"/>
      <c r="D24" s="37" t="n"/>
      <c r="E24" s="34" t="n"/>
      <c r="F24" s="28" t="n"/>
    </row>
    <row r="25">
      <c r="A25" s="23" t="n"/>
      <c r="B25" s="24" t="n"/>
      <c r="C25" s="25" t="n"/>
      <c r="D25" s="49" t="n"/>
      <c r="E25" s="33" t="n"/>
      <c r="F25" s="24" t="n"/>
    </row>
    <row r="26">
      <c r="A26" s="27" t="n"/>
      <c r="B26" s="28" t="n"/>
      <c r="C26" s="29" t="n"/>
      <c r="D26" s="37" t="n"/>
      <c r="E26" s="34" t="n"/>
      <c r="F26" s="28" t="n"/>
    </row>
    <row r="27">
      <c r="A27" s="23" t="n"/>
      <c r="B27" s="24" t="n"/>
      <c r="C27" s="25" t="n"/>
      <c r="D27" s="49" t="n"/>
      <c r="E27" s="33" t="n"/>
      <c r="F27" s="24" t="n"/>
    </row>
    <row r="28">
      <c r="A28" s="27" t="n"/>
      <c r="B28" s="28" t="n"/>
      <c r="C28" s="29" t="n"/>
      <c r="D28" s="37" t="n"/>
      <c r="E28" s="34" t="n"/>
      <c r="F28" s="28" t="n"/>
    </row>
    <row r="29">
      <c r="A29" s="23" t="n"/>
      <c r="B29" s="24" t="n"/>
      <c r="C29" s="25" t="n"/>
      <c r="D29" s="49" t="n"/>
      <c r="E29" s="33" t="n"/>
      <c r="F29" s="24" t="n"/>
    </row>
    <row r="30">
      <c r="A30" s="27" t="n"/>
      <c r="B30" s="28" t="n"/>
      <c r="C30" s="29" t="n"/>
      <c r="D30" s="37" t="n"/>
      <c r="E30" s="34" t="n"/>
      <c r="F30" s="28" t="n"/>
    </row>
    <row r="31">
      <c r="A31" s="23" t="n"/>
      <c r="B31" s="24" t="n"/>
      <c r="C31" s="25" t="n"/>
      <c r="D31" s="49" t="n"/>
      <c r="E31" s="33" t="n"/>
      <c r="F31" s="24" t="n"/>
    </row>
    <row r="32">
      <c r="A32" s="27" t="n"/>
      <c r="B32" s="28" t="n"/>
      <c r="C32" s="29" t="n"/>
      <c r="D32" s="37" t="n"/>
      <c r="E32" s="34" t="n"/>
      <c r="F32" s="28" t="n"/>
    </row>
    <row r="33">
      <c r="A33" s="23" t="n"/>
      <c r="B33" s="24" t="n"/>
      <c r="C33" s="25" t="n"/>
      <c r="D33" s="49" t="n"/>
      <c r="E33" s="33" t="n"/>
      <c r="F33" s="24" t="n"/>
    </row>
    <row r="34">
      <c r="A34" s="27" t="n"/>
      <c r="B34" s="28" t="n"/>
      <c r="C34" s="29" t="n"/>
      <c r="D34" s="37" t="n"/>
      <c r="E34" s="34" t="n"/>
      <c r="F34" s="28" t="n"/>
    </row>
    <row r="35">
      <c r="A35" s="23" t="n"/>
      <c r="B35" s="24" t="n"/>
      <c r="C35" s="25" t="n"/>
      <c r="D35" s="49" t="n"/>
      <c r="E35" s="33" t="n"/>
      <c r="F35" s="24" t="n"/>
    </row>
    <row r="36">
      <c r="A36" s="27" t="n"/>
      <c r="B36" s="28" t="n"/>
      <c r="C36" s="29" t="n"/>
      <c r="D36" s="37" t="n"/>
      <c r="E36" s="34" t="n"/>
      <c r="F36" s="28" t="n"/>
    </row>
    <row r="37">
      <c r="A37" s="23" t="n"/>
      <c r="B37" s="24" t="n"/>
      <c r="C37" s="25" t="n"/>
      <c r="D37" s="49" t="n"/>
      <c r="E37" s="33" t="n"/>
      <c r="F37" s="24" t="n"/>
    </row>
    <row r="38">
      <c r="A38" s="27" t="n"/>
      <c r="B38" s="28" t="n"/>
      <c r="C38" s="29" t="n"/>
      <c r="D38" s="37" t="n"/>
      <c r="E38" s="34" t="n"/>
      <c r="F38" s="28" t="n"/>
    </row>
    <row r="39">
      <c r="A39" s="23" t="n"/>
      <c r="B39" s="24" t="n"/>
      <c r="C39" s="25" t="n"/>
      <c r="D39" s="49" t="n"/>
      <c r="E39" s="33" t="n"/>
      <c r="F39" s="24" t="n"/>
    </row>
    <row r="40">
      <c r="A40" s="27" t="n"/>
      <c r="B40" s="28" t="n"/>
      <c r="C40" s="29" t="n"/>
      <c r="D40" s="37" t="n"/>
      <c r="E40" s="34" t="n"/>
      <c r="F40" s="28" t="n"/>
    </row>
    <row r="41">
      <c r="A41" s="23" t="n"/>
      <c r="B41" s="24" t="n"/>
      <c r="C41" s="25" t="n"/>
      <c r="D41" s="49" t="n"/>
      <c r="E41" s="33" t="n"/>
      <c r="F41" s="24" t="n"/>
    </row>
    <row r="42">
      <c r="A42" s="27" t="n"/>
      <c r="B42" s="28" t="n"/>
      <c r="C42" s="29" t="n"/>
      <c r="D42" s="37" t="n"/>
      <c r="E42" s="34" t="n"/>
      <c r="F42" s="28" t="n"/>
    </row>
    <row r="43">
      <c r="A43" s="23" t="n"/>
      <c r="B43" s="24" t="n"/>
      <c r="C43" s="25" t="n"/>
      <c r="D43" s="49" t="n"/>
      <c r="E43" s="33" t="n"/>
      <c r="F43" s="24" t="n"/>
    </row>
    <row r="44">
      <c r="A44" s="27" t="n"/>
      <c r="B44" s="28" t="n"/>
      <c r="C44" s="29" t="n"/>
      <c r="D44" s="37" t="n"/>
      <c r="E44" s="34" t="n"/>
      <c r="F44" s="28" t="n"/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5E6C1"/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10" customWidth="1" min="5" max="5"/>
    <col width="10" customWidth="1" min="6" max="6"/>
    <col width="26" customWidth="1" min="7" max="7"/>
    <col width="24" customWidth="1" min="8" max="8"/>
  </cols>
  <sheetData>
    <row r="1" ht="46" customHeight="1">
      <c r="A1" s="1" t="inlineStr">
        <is>
          <t xml:space="preserve">  🤝  DOUBLES PARTNER TRACKER</t>
        </is>
      </c>
    </row>
    <row r="2" ht="22" customHeight="1">
      <c r="A2" s="2" t="inlineStr">
        <is>
          <t xml:space="preserve">  Find your best match — records, chemistry notes &amp; win % for every partner.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Partner</t>
        </is>
      </c>
      <c r="B4" s="7" t="inlineStr">
        <is>
          <t>Matches</t>
        </is>
      </c>
      <c r="C4" s="7" t="inlineStr">
        <is>
          <t>Wins</t>
        </is>
      </c>
      <c r="D4" s="7" t="inlineStr">
        <is>
          <t>Losses</t>
        </is>
      </c>
      <c r="E4" s="7" t="inlineStr">
        <is>
          <t>Win %</t>
        </is>
      </c>
      <c r="F4" s="7" t="inlineStr">
        <is>
          <t>Record</t>
        </is>
      </c>
      <c r="G4" s="7" t="inlineStr">
        <is>
          <t>Strengths</t>
        </is>
      </c>
      <c r="H4" s="7" t="inlineStr">
        <is>
          <t>Areas to Improve</t>
        </is>
      </c>
    </row>
    <row r="5">
      <c r="A5" s="22" t="inlineStr">
        <is>
          <t>Chris P.</t>
        </is>
      </c>
      <c r="B5" s="26">
        <f>C5+D5</f>
        <v/>
      </c>
      <c r="C5" s="35">
        <f>COUNTIFS(MatchPartner,A5,MatchResult,"W")</f>
        <v/>
      </c>
      <c r="D5" s="35">
        <f>COUNTIFS(MatchPartner,A5,MatchResult,"L")</f>
        <v/>
      </c>
      <c r="E5" s="42">
        <f>IFERROR(C5/B5,0)</f>
        <v/>
      </c>
      <c r="F5" s="50">
        <f>C5&amp;"-"&amp;D5</f>
        <v/>
      </c>
      <c r="G5" s="22" t="inlineStr">
        <is>
          <t>Great hands, calm under pressure</t>
        </is>
      </c>
      <c r="H5" s="22" t="inlineStr">
        <is>
          <t>Poach more on returns</t>
        </is>
      </c>
    </row>
    <row r="6">
      <c r="A6" s="28" t="inlineStr">
        <is>
          <t>Sam T.</t>
        </is>
      </c>
      <c r="B6" s="29">
        <f>C6+D6</f>
        <v/>
      </c>
      <c r="C6" s="37">
        <f>COUNTIFS(MatchPartner,A6,MatchResult,"W")</f>
        <v/>
      </c>
      <c r="D6" s="37">
        <f>COUNTIFS(MatchPartner,A6,MatchResult,"L")</f>
        <v/>
      </c>
      <c r="E6" s="45">
        <f>IFERROR(C6/B6,0)</f>
        <v/>
      </c>
      <c r="F6" s="51">
        <f>C6&amp;"-"&amp;D6</f>
        <v/>
      </c>
      <c r="G6" s="28" t="inlineStr">
        <is>
          <t>Aggressive net play, big serve</t>
        </is>
      </c>
      <c r="H6" s="28" t="inlineStr">
        <is>
          <t>Shot selection late in games</t>
        </is>
      </c>
    </row>
    <row r="7">
      <c r="A7" s="22" t="inlineStr">
        <is>
          <t>Alex D.</t>
        </is>
      </c>
      <c r="B7" s="26">
        <f>C7+D7</f>
        <v/>
      </c>
      <c r="C7" s="35">
        <f>COUNTIFS(MatchPartner,A7,MatchResult,"W")</f>
        <v/>
      </c>
      <c r="D7" s="35">
        <f>COUNTIFS(MatchPartner,A7,MatchResult,"L")</f>
        <v/>
      </c>
      <c r="E7" s="42">
        <f>IFERROR(C7/B7,0)</f>
        <v/>
      </c>
      <c r="F7" s="50">
        <f>C7&amp;"-"&amp;D7</f>
        <v/>
      </c>
      <c r="G7" s="22" t="inlineStr">
        <is>
          <t>Fast, covers the court</t>
        </is>
      </c>
      <c r="H7" s="22" t="inlineStr">
        <is>
          <t>Third-shot consistency</t>
        </is>
      </c>
    </row>
  </sheetData>
  <mergeCells count="2">
    <mergeCell ref="A2:H2"/>
    <mergeCell ref="A1:H1"/>
  </mergeCells>
  <conditionalFormatting sqref="E5:E7">
    <cfRule type="dataBar" priority="1">
      <dataBar showValue="1">
        <cfvo type="num" val="0"/>
        <cfvo type="num" val="1"/>
        <color rgb="0075E6C1"/>
      </dataBar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5D3BA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18" customWidth="1" min="4" max="4"/>
    <col width="14" customWidth="1" min="5" max="5"/>
    <col width="3" customWidth="1" min="6" max="6"/>
    <col width="22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🏟  CLUB &amp; LEAGUE MANAGER</t>
        </is>
      </c>
    </row>
    <row r="2" ht="22" customHeight="1">
      <c r="A2" s="2" t="inlineStr">
        <is>
          <t xml:space="preserve">  Stay on top of league night — schedule, standings, duties &amp; contacts.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 ht="22" customHeight="1">
      <c r="B5" s="6" t="inlineStr">
        <is>
          <t>LEAGUE SCHEDULE</t>
        </is>
      </c>
      <c r="G5" s="4" t="inlineStr">
        <is>
          <t>TEAM STANDINGS</t>
        </is>
      </c>
    </row>
    <row r="6" ht="30" customHeight="1">
      <c r="B6" s="7" t="inlineStr">
        <is>
          <t>Week</t>
        </is>
      </c>
      <c r="C6" s="7" t="inlineStr">
        <is>
          <t>Opponent Team</t>
        </is>
      </c>
      <c r="D6" s="7" t="inlineStr">
        <is>
          <t>Court / Time</t>
        </is>
      </c>
      <c r="E6" s="7" t="inlineStr">
        <is>
          <t>Result</t>
        </is>
      </c>
      <c r="G6" s="7" t="inlineStr">
        <is>
          <t>Team</t>
        </is>
      </c>
      <c r="H6" s="7" t="inlineStr">
        <is>
          <t>W-L</t>
        </is>
      </c>
    </row>
    <row r="7">
      <c r="B7" s="22" t="inlineStr">
        <is>
          <t>Wk 5</t>
        </is>
      </c>
      <c r="C7" s="22" t="inlineStr">
        <is>
          <t>Net Ninjas</t>
        </is>
      </c>
      <c r="D7" s="22" t="inlineStr">
        <is>
          <t>Court 3 · 6:30p</t>
        </is>
      </c>
      <c r="E7" s="26" t="inlineStr">
        <is>
          <t>W 2-1</t>
        </is>
      </c>
      <c r="G7" s="22" t="inlineStr">
        <is>
          <t>Kitchen Kings</t>
        </is>
      </c>
      <c r="H7" s="26" t="inlineStr">
        <is>
          <t>7-1</t>
        </is>
      </c>
    </row>
    <row r="8">
      <c r="B8" s="28" t="inlineStr">
        <is>
          <t>Wk 6</t>
        </is>
      </c>
      <c r="C8" s="28" t="inlineStr">
        <is>
          <t>Dink Dynasty</t>
        </is>
      </c>
      <c r="D8" s="28" t="inlineStr">
        <is>
          <t>Court 1 · 6:30p</t>
        </is>
      </c>
      <c r="E8" s="29" t="inlineStr">
        <is>
          <t>L 1-2</t>
        </is>
      </c>
      <c r="G8" s="52" t="inlineStr">
        <is>
          <t>Riverside Risers ★</t>
        </is>
      </c>
      <c r="H8" s="53" t="inlineStr">
        <is>
          <t>6-2</t>
        </is>
      </c>
    </row>
    <row r="9">
      <c r="B9" s="22" t="inlineStr">
        <is>
          <t>Wk 7</t>
        </is>
      </c>
      <c r="C9" s="22" t="inlineStr">
        <is>
          <t>Kitchen Kings</t>
        </is>
      </c>
      <c r="D9" s="22" t="inlineStr">
        <is>
          <t>Court 2 · 7:00p</t>
        </is>
      </c>
      <c r="E9" s="26" t="inlineStr">
        <is>
          <t>W 3-0</t>
        </is>
      </c>
      <c r="G9" s="22" t="inlineStr">
        <is>
          <t>Dink Dynasty</t>
        </is>
      </c>
      <c r="H9" s="26" t="inlineStr">
        <is>
          <t>5-3</t>
        </is>
      </c>
    </row>
    <row r="10">
      <c r="B10" s="28" t="inlineStr">
        <is>
          <t>Wk 8</t>
        </is>
      </c>
      <c r="C10" s="28" t="inlineStr">
        <is>
          <t>Paddle Pushers</t>
        </is>
      </c>
      <c r="D10" s="28" t="inlineStr">
        <is>
          <t>Court 3 · 6:30p</t>
        </is>
      </c>
      <c r="E10" s="29" t="inlineStr">
        <is>
          <t>This week</t>
        </is>
      </c>
      <c r="G10" s="28" t="inlineStr">
        <is>
          <t>Net Ninjas</t>
        </is>
      </c>
      <c r="H10" s="29" t="inlineStr">
        <is>
          <t>4-4</t>
        </is>
      </c>
    </row>
    <row r="11">
      <c r="B11" s="22" t="inlineStr">
        <is>
          <t>Wk 9</t>
        </is>
      </c>
      <c r="C11" s="22" t="inlineStr">
        <is>
          <t>Third Shot Heroes</t>
        </is>
      </c>
      <c r="D11" s="22" t="inlineStr">
        <is>
          <t>Court 1 · 7:00p</t>
        </is>
      </c>
      <c r="E11" s="26" t="inlineStr">
        <is>
          <t>—</t>
        </is>
      </c>
      <c r="G11" s="22" t="inlineStr">
        <is>
          <t>Paddle Pushers</t>
        </is>
      </c>
      <c r="H11" s="26" t="inlineStr">
        <is>
          <t>3-5</t>
        </is>
      </c>
    </row>
    <row r="12">
      <c r="B12" s="28" t="inlineStr">
        <is>
          <t>Wk 10</t>
        </is>
      </c>
      <c r="C12" s="28" t="inlineStr">
        <is>
          <t>Bangers United</t>
        </is>
      </c>
      <c r="D12" s="28" t="inlineStr">
        <is>
          <t>Court 2 · 6:30p</t>
        </is>
      </c>
      <c r="E12" s="29" t="inlineStr">
        <is>
          <t>—</t>
        </is>
      </c>
    </row>
    <row r="14" ht="22" customHeight="1">
      <c r="B14" s="4" t="inlineStr">
        <is>
          <t>MY DUTIES &amp; CLUB CONTACTS</t>
        </is>
      </c>
    </row>
    <row r="15">
      <c r="B15" s="19" t="inlineStr">
        <is>
          <t>Volunteer duty</t>
        </is>
      </c>
      <c r="C15" s="20" t="inlineStr">
        <is>
          <t>Set up nets — Wk 9</t>
        </is>
      </c>
    </row>
    <row r="16">
      <c r="B16" s="19" t="inlineStr">
        <is>
          <t>League fee</t>
        </is>
      </c>
      <c r="C16" s="20" t="inlineStr">
        <is>
          <t>Paid ✓</t>
        </is>
      </c>
    </row>
    <row r="17">
      <c r="B17" s="19" t="inlineStr">
        <is>
          <t>Club president</t>
        </is>
      </c>
      <c r="C17" s="20" t="inlineStr">
        <is>
          <t>Dana K. — (555) 330-1180</t>
        </is>
      </c>
    </row>
    <row r="18">
      <c r="B18" s="19" t="inlineStr">
        <is>
          <t>League coordinator</t>
        </is>
      </c>
      <c r="C18" s="20" t="inlineStr">
        <is>
          <t>Marcus V. — (555) 774-2201</t>
        </is>
      </c>
    </row>
  </sheetData>
  <mergeCells count="9">
    <mergeCell ref="C16:E16"/>
    <mergeCell ref="A2:I2"/>
    <mergeCell ref="A1:I1"/>
    <mergeCell ref="G5:H5"/>
    <mergeCell ref="C18:E18"/>
    <mergeCell ref="C17:E17"/>
    <mergeCell ref="B5:E5"/>
    <mergeCell ref="C15:E15"/>
    <mergeCell ref="B14:E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B4F48"/>
    <outlinePr summaryBelow="1" summaryRight="1"/>
    <pageSetUpPr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8" customWidth="1" min="3" max="3"/>
    <col width="20" customWidth="1" min="4" max="4"/>
    <col width="18" customWidth="1" min="5" max="5"/>
    <col width="12" customWidth="1" min="6" max="6"/>
    <col width="22" customWidth="1" min="7" max="7"/>
  </cols>
  <sheetData>
    <row r="1" ht="46" customHeight="1">
      <c r="A1" s="1" t="inlineStr">
        <is>
          <t xml:space="preserve">  ✈  TRAVEL PLANNER</t>
        </is>
      </c>
    </row>
    <row r="2" ht="22" customHeight="1">
      <c r="A2" s="2" t="inlineStr">
        <is>
          <t xml:space="preserve">  Away tournaments made easy — hotels, transport &amp; costs in one place.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Event</t>
        </is>
      </c>
      <c r="B4" s="7" t="inlineStr">
        <is>
          <t>Date</t>
        </is>
      </c>
      <c r="C4" s="7" t="inlineStr">
        <is>
          <t>Venue</t>
        </is>
      </c>
      <c r="D4" s="7" t="inlineStr">
        <is>
          <t>Lodging</t>
        </is>
      </c>
      <c r="E4" s="7" t="inlineStr">
        <is>
          <t>Transport</t>
        </is>
      </c>
      <c r="F4" s="7" t="inlineStr">
        <is>
          <t>Est. Cost</t>
        </is>
      </c>
      <c r="G4" s="7" t="inlineStr">
        <is>
          <t>Notes</t>
        </is>
      </c>
    </row>
    <row r="5">
      <c r="A5" s="24" t="inlineStr">
        <is>
          <t>Regional Championships</t>
        </is>
      </c>
      <c r="B5" s="23" t="n">
        <v>46271</v>
      </c>
      <c r="C5" s="24" t="inlineStr">
        <is>
          <t>State Center</t>
        </is>
      </c>
      <c r="D5" s="24" t="inlineStr">
        <is>
          <t>Grand Hotel (2 nts)</t>
        </is>
      </c>
      <c r="E5" s="24" t="inlineStr">
        <is>
          <t>Drive · 180 mi</t>
        </is>
      </c>
      <c r="F5" s="30" t="n">
        <v>320</v>
      </c>
      <c r="G5" s="24" t="inlineStr">
        <is>
          <t>Book early rate</t>
        </is>
      </c>
    </row>
    <row r="6">
      <c r="A6" s="28" t="inlineStr">
        <is>
          <t>Harvest Cup</t>
        </is>
      </c>
      <c r="B6" s="27" t="n">
        <v>46246</v>
      </c>
      <c r="C6" s="28" t="inlineStr">
        <is>
          <t>Metro Complex</t>
        </is>
      </c>
      <c r="D6" s="28" t="inlineStr">
        <is>
          <t>Home</t>
        </is>
      </c>
      <c r="E6" s="28" t="inlineStr">
        <is>
          <t>Drive · 25 mi</t>
        </is>
      </c>
      <c r="F6" s="31" t="n">
        <v>20</v>
      </c>
      <c r="G6" s="28" t="inlineStr">
        <is>
          <t>Day trip</t>
        </is>
      </c>
    </row>
    <row r="7">
      <c r="A7" s="24" t="inlineStr">
        <is>
          <t>Fall Classic</t>
        </is>
      </c>
      <c r="B7" s="23" t="n">
        <v>46226</v>
      </c>
      <c r="C7" s="24" t="inlineStr">
        <is>
          <t>Sunset Courts</t>
        </is>
      </c>
      <c r="D7" s="24" t="inlineStr">
        <is>
          <t>Home</t>
        </is>
      </c>
      <c r="E7" s="24" t="inlineStr">
        <is>
          <t>Drive · 15 mi</t>
        </is>
      </c>
      <c r="F7" s="30" t="n">
        <v>12</v>
      </c>
      <c r="G7" s="24" t="inlineStr">
        <is>
          <t>Day trip</t>
        </is>
      </c>
    </row>
    <row r="8">
      <c r="A8" s="28" t="inlineStr">
        <is>
          <t>Winter Slam (maybe)</t>
        </is>
      </c>
      <c r="B8" s="27" t="n">
        <v>46301</v>
      </c>
      <c r="C8" s="28" t="inlineStr">
        <is>
          <t>Coastal Arena</t>
        </is>
      </c>
      <c r="D8" s="28" t="inlineStr">
        <is>
          <t>Seaside Inn (2 nts)</t>
        </is>
      </c>
      <c r="E8" s="28" t="inlineStr">
        <is>
          <t>Flight + rental</t>
        </is>
      </c>
      <c r="F8" s="31" t="n">
        <v>540</v>
      </c>
      <c r="G8" s="28" t="inlineStr">
        <is>
          <t>Pending registration</t>
        </is>
      </c>
    </row>
    <row r="9">
      <c r="A9" s="24" t="n"/>
      <c r="B9" s="23" t="n"/>
      <c r="C9" s="24" t="n"/>
      <c r="D9" s="24" t="n"/>
      <c r="E9" s="24" t="n"/>
      <c r="F9" s="30" t="n"/>
      <c r="G9" s="24" t="n"/>
    </row>
    <row r="10">
      <c r="A10" s="28" t="n"/>
      <c r="B10" s="27" t="n"/>
      <c r="C10" s="28" t="n"/>
      <c r="D10" s="28" t="n"/>
      <c r="E10" s="28" t="n"/>
      <c r="F10" s="31" t="n"/>
      <c r="G10" s="28" t="n"/>
    </row>
    <row r="11">
      <c r="A11" s="24" t="n"/>
      <c r="B11" s="23" t="n"/>
      <c r="C11" s="24" t="n"/>
      <c r="D11" s="24" t="n"/>
      <c r="E11" s="24" t="n"/>
      <c r="F11" s="30" t="n"/>
      <c r="G11" s="24" t="n"/>
    </row>
    <row r="12">
      <c r="A12" s="28" t="n"/>
      <c r="B12" s="27" t="n"/>
      <c r="C12" s="28" t="n"/>
      <c r="D12" s="28" t="n"/>
      <c r="E12" s="28" t="n"/>
      <c r="F12" s="31" t="n"/>
      <c r="G12" s="28" t="n"/>
    </row>
    <row r="13">
      <c r="A13" s="24" t="n"/>
      <c r="B13" s="23" t="n"/>
      <c r="C13" s="24" t="n"/>
      <c r="D13" s="24" t="n"/>
      <c r="E13" s="24" t="n"/>
      <c r="F13" s="30" t="n"/>
      <c r="G13" s="24" t="n"/>
    </row>
    <row r="14">
      <c r="A14" s="28" t="n"/>
      <c r="B14" s="27" t="n"/>
      <c r="C14" s="28" t="n"/>
      <c r="D14" s="28" t="n"/>
      <c r="E14" s="28" t="n"/>
      <c r="F14" s="31" t="n"/>
      <c r="G14" s="28" t="n"/>
    </row>
    <row r="15">
      <c r="A15" s="24" t="n"/>
      <c r="B15" s="23" t="n"/>
      <c r="C15" s="24" t="n"/>
      <c r="D15" s="24" t="n"/>
      <c r="E15" s="24" t="n"/>
      <c r="F15" s="30" t="n"/>
      <c r="G15" s="24" t="n"/>
    </row>
    <row r="16">
      <c r="A16" s="28" t="n"/>
      <c r="B16" s="27" t="n"/>
      <c r="C16" s="28" t="n"/>
      <c r="D16" s="28" t="n"/>
      <c r="E16" s="28" t="n"/>
      <c r="F16" s="31" t="n"/>
      <c r="G16" s="28" t="n"/>
    </row>
    <row r="17">
      <c r="A17" s="24" t="n"/>
      <c r="B17" s="23" t="n"/>
      <c r="C17" s="24" t="n"/>
      <c r="D17" s="24" t="n"/>
      <c r="E17" s="24" t="n"/>
      <c r="F17" s="30" t="n"/>
      <c r="G17" s="24" t="n"/>
    </row>
    <row r="18">
      <c r="A18" s="28" t="n"/>
      <c r="B18" s="27" t="n"/>
      <c r="C18" s="28" t="n"/>
      <c r="D18" s="28" t="n"/>
      <c r="E18" s="28" t="n"/>
      <c r="F18" s="31" t="n"/>
      <c r="G18" s="28" t="n"/>
    </row>
    <row r="19">
      <c r="A19" s="24" t="n"/>
      <c r="B19" s="23" t="n"/>
      <c r="C19" s="24" t="n"/>
      <c r="D19" s="24" t="n"/>
      <c r="E19" s="24" t="n"/>
      <c r="F19" s="30" t="n"/>
      <c r="G19" s="24" t="n"/>
    </row>
    <row r="20">
      <c r="A20" s="28" t="n"/>
      <c r="B20" s="27" t="n"/>
      <c r="C20" s="28" t="n"/>
      <c r="D20" s="28" t="n"/>
      <c r="E20" s="28" t="n"/>
      <c r="F20" s="31" t="n"/>
      <c r="G20" s="28" t="n"/>
    </row>
    <row r="21">
      <c r="A21" s="24" t="n"/>
      <c r="B21" s="23" t="n"/>
      <c r="C21" s="24" t="n"/>
      <c r="D21" s="24" t="n"/>
      <c r="E21" s="24" t="n"/>
      <c r="F21" s="30" t="n"/>
      <c r="G21" s="24" t="n"/>
    </row>
    <row r="22">
      <c r="A22" s="28" t="n"/>
      <c r="B22" s="27" t="n"/>
      <c r="C22" s="28" t="n"/>
      <c r="D22" s="28" t="n"/>
      <c r="E22" s="28" t="n"/>
      <c r="F22" s="31" t="n"/>
      <c r="G22" s="28" t="n"/>
    </row>
    <row r="23">
      <c r="A23" s="24" t="n"/>
      <c r="B23" s="23" t="n"/>
      <c r="C23" s="24" t="n"/>
      <c r="D23" s="24" t="n"/>
      <c r="E23" s="24" t="n"/>
      <c r="F23" s="30" t="n"/>
      <c r="G23" s="24" t="n"/>
    </row>
    <row r="24">
      <c r="A24" s="28" t="n"/>
      <c r="B24" s="27" t="n"/>
      <c r="C24" s="28" t="n"/>
      <c r="D24" s="28" t="n"/>
      <c r="E24" s="28" t="n"/>
      <c r="F24" s="31" t="n"/>
      <c r="G24" s="28" t="n"/>
    </row>
    <row r="25">
      <c r="A25" s="7" t="inlineStr">
        <is>
          <t>TOTAL</t>
        </is>
      </c>
      <c r="F25" s="32">
        <f>SUM(F5:F24)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3735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4" customWidth="1" min="4" max="4"/>
    <col width="22" customWidth="1" min="5" max="5"/>
    <col width="26" customWidth="1" min="6" max="6"/>
    <col width="2" customWidth="1" min="7" max="7"/>
  </cols>
  <sheetData>
    <row r="1" ht="46" customHeight="1">
      <c r="A1" s="1" t="inlineStr">
        <is>
          <t xml:space="preserve">  🥗  NUTRITION &amp; HYDRATION</t>
        </is>
      </c>
    </row>
    <row r="2" ht="22" customHeight="1">
      <c r="A2" s="2" t="inlineStr">
        <is>
          <t xml:space="preserve">  Fuel the win — match-day meals, hydration, recovery &amp; supplements.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MATCH-DAY FUEL</t>
        </is>
      </c>
      <c r="E5" s="4" t="inlineStr">
        <is>
          <t>SUPPLEMENTS</t>
        </is>
      </c>
    </row>
    <row r="6" ht="22" customHeight="1">
      <c r="B6" s="19" t="inlineStr">
        <is>
          <t>2–3 hrs before</t>
        </is>
      </c>
      <c r="C6" s="20" t="inlineStr">
        <is>
          <t>Oatmeal, banana, honey, coffee</t>
        </is>
      </c>
      <c r="E6" s="19" t="inlineStr">
        <is>
          <t>Morning</t>
        </is>
      </c>
      <c r="F6" s="20" t="inlineStr">
        <is>
          <t>Multivitamin, vitamin D</t>
        </is>
      </c>
    </row>
    <row r="7" ht="22" customHeight="1">
      <c r="B7" s="19" t="inlineStr">
        <is>
          <t>30 min before</t>
        </is>
      </c>
      <c r="C7" s="20" t="inlineStr">
        <is>
          <t>Half banana + electrolyte drink</t>
        </is>
      </c>
      <c r="E7" s="19" t="inlineStr">
        <is>
          <t>Pre-match</t>
        </is>
      </c>
      <c r="F7" s="20" t="inlineStr">
        <is>
          <t>Electrolytes, caffeine</t>
        </is>
      </c>
    </row>
    <row r="8" ht="22" customHeight="1">
      <c r="B8" s="19" t="inlineStr">
        <is>
          <t>Between matches</t>
        </is>
      </c>
      <c r="C8" s="20" t="inlineStr">
        <is>
          <t>Trail mix, dates, water</t>
        </is>
      </c>
      <c r="E8" s="19" t="inlineStr">
        <is>
          <t>Post-match</t>
        </is>
      </c>
      <c r="F8" s="20" t="inlineStr">
        <is>
          <t>Whey protein, magnesium</t>
        </is>
      </c>
    </row>
    <row r="9" ht="22" customHeight="1">
      <c r="B9" s="19" t="inlineStr">
        <is>
          <t>Post-match</t>
        </is>
      </c>
      <c r="C9" s="20" t="inlineStr">
        <is>
          <t>Protein shake + fruit</t>
        </is>
      </c>
      <c r="E9" s="19" t="inlineStr">
        <is>
          <t>Joint care</t>
        </is>
      </c>
      <c r="F9" s="20" t="inlineStr">
        <is>
          <t>Fish oil, collagen</t>
        </is>
      </c>
    </row>
    <row r="11" ht="22" customHeight="1">
      <c r="B11" s="4" t="inlineStr">
        <is>
          <t>HYDRATION PLAN</t>
        </is>
      </c>
      <c r="E11" s="4" t="inlineStr">
        <is>
          <t>GROCERY STAPLES</t>
        </is>
      </c>
    </row>
    <row r="12" ht="22" customHeight="1">
      <c r="B12" s="19" t="inlineStr">
        <is>
          <t>Daily target</t>
        </is>
      </c>
      <c r="C12" s="20" t="inlineStr">
        <is>
          <t>3–4 L water</t>
        </is>
      </c>
      <c r="E12" s="19" t="inlineStr">
        <is>
          <t>Proteins</t>
        </is>
      </c>
      <c r="F12" s="20" t="inlineStr">
        <is>
          <t>Chicken, eggs, Greek yogurt, salmon</t>
        </is>
      </c>
    </row>
    <row r="13" ht="22" customHeight="1">
      <c r="B13" s="19" t="inlineStr">
        <is>
          <t>On court</t>
        </is>
      </c>
      <c r="C13" s="20" t="inlineStr">
        <is>
          <t>500 ml + electrolytes / hour</t>
        </is>
      </c>
      <c r="E13" s="19" t="inlineStr">
        <is>
          <t>Carbs</t>
        </is>
      </c>
      <c r="F13" s="20" t="inlineStr">
        <is>
          <t>Oats, rice, sweet potato, bananas</t>
        </is>
      </c>
    </row>
    <row r="14" ht="22" customHeight="1">
      <c r="B14" s="19" t="inlineStr">
        <is>
          <t>Hot days</t>
        </is>
      </c>
      <c r="C14" s="20" t="inlineStr">
        <is>
          <t>Add sodium tabs</t>
        </is>
      </c>
      <c r="E14" s="19" t="inlineStr">
        <is>
          <t>Recovery</t>
        </is>
      </c>
      <c r="F14" s="20" t="inlineStr">
        <is>
          <t>Berries, spinach, nuts, tart cherry</t>
        </is>
      </c>
    </row>
    <row r="15" ht="22" customHeight="1">
      <c r="B15" s="19" t="inlineStr">
        <is>
          <t>Recovery</t>
        </is>
      </c>
      <c r="C15" s="20" t="inlineStr">
        <is>
          <t>16 oz per lb lost</t>
        </is>
      </c>
      <c r="E15" s="19" t="inlineStr">
        <is>
          <t>Hydration</t>
        </is>
      </c>
      <c r="F15" s="20" t="inlineStr">
        <is>
          <t>Electrolyte packs, coconut water</t>
        </is>
      </c>
    </row>
  </sheetData>
  <mergeCells count="6">
    <mergeCell ref="A1:G1"/>
    <mergeCell ref="B11:C11"/>
    <mergeCell ref="B5:C5"/>
    <mergeCell ref="E11:F11"/>
    <mergeCell ref="E5:F5"/>
    <mergeCell ref="A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5E6C1"/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2" customWidth="1" min="8" max="8"/>
  </cols>
  <sheetData>
    <row r="1" ht="46" customHeight="1">
      <c r="A1" s="1" t="inlineStr">
        <is>
          <t xml:space="preserve">  🎯  GOAL TRACKER</t>
        </is>
      </c>
    </row>
    <row r="2" ht="22" customHeight="1">
      <c r="A2" s="2" t="inlineStr">
        <is>
          <t xml:space="preserve">  Turn ambition into a plan — targets, progress bars &amp; season milestones.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Goal</t>
        </is>
      </c>
      <c r="B4" s="7" t="inlineStr">
        <is>
          <t>Category</t>
        </is>
      </c>
      <c r="C4" s="7" t="inlineStr">
        <is>
          <t>Target</t>
        </is>
      </c>
      <c r="D4" s="7" t="inlineStr">
        <is>
          <t>Current</t>
        </is>
      </c>
      <c r="E4" s="7" t="inlineStr">
        <is>
          <t>Progress</t>
        </is>
      </c>
      <c r="F4" s="7" t="inlineStr">
        <is>
          <t>Deadline</t>
        </is>
      </c>
    </row>
    <row r="5">
      <c r="A5" s="22" t="inlineStr">
        <is>
          <t>Reach 4.0 DUPR rating</t>
        </is>
      </c>
      <c r="B5" s="26" t="inlineStr">
        <is>
          <t>Ranking</t>
        </is>
      </c>
      <c r="C5" s="26" t="inlineStr">
        <is>
          <t>4.00</t>
        </is>
      </c>
      <c r="D5" s="26" t="inlineStr">
        <is>
          <t>3.75</t>
        </is>
      </c>
      <c r="E5" s="54" t="n">
        <v>0.75</v>
      </c>
      <c r="F5" s="55" t="n">
        <v>46356</v>
      </c>
    </row>
    <row r="6">
      <c r="A6" s="28" t="inlineStr">
        <is>
          <t>Medal at a 3.5 tournament</t>
        </is>
      </c>
      <c r="B6" s="29" t="inlineStr">
        <is>
          <t>Tournament</t>
        </is>
      </c>
      <c r="C6" s="29" t="inlineStr">
        <is>
          <t>Podium</t>
        </is>
      </c>
      <c r="D6" s="29" t="inlineStr">
        <is>
          <t>3rd @ Lakeside</t>
        </is>
      </c>
      <c r="E6" s="56" t="n">
        <v>0.6</v>
      </c>
      <c r="F6" s="27" t="n">
        <v>46271</v>
      </c>
    </row>
    <row r="7">
      <c r="A7" s="22" t="inlineStr">
        <is>
          <t>3× strength sessions / week</t>
        </is>
      </c>
      <c r="B7" s="26" t="inlineStr">
        <is>
          <t>Fitness</t>
        </is>
      </c>
      <c r="C7" s="26" t="inlineStr">
        <is>
          <t>12 / mo</t>
        </is>
      </c>
      <c r="D7" s="26" t="inlineStr">
        <is>
          <t>8 / mo</t>
        </is>
      </c>
      <c r="E7" s="54" t="n">
        <v>0.7</v>
      </c>
      <c r="F7" s="55" t="n">
        <v>46236</v>
      </c>
    </row>
    <row r="8">
      <c r="A8" s="28" t="inlineStr">
        <is>
          <t>Master the third-shot drop</t>
        </is>
      </c>
      <c r="B8" s="29" t="inlineStr">
        <is>
          <t>Skill</t>
        </is>
      </c>
      <c r="C8" s="29" t="inlineStr">
        <is>
          <t>8 / 10</t>
        </is>
      </c>
      <c r="D8" s="29" t="inlineStr">
        <is>
          <t>6 / 10</t>
        </is>
      </c>
      <c r="E8" s="56" t="n">
        <v>0.65</v>
      </c>
      <c r="F8" s="27" t="n">
        <v>46296</v>
      </c>
    </row>
    <row r="9">
      <c r="A9" s="22" t="inlineStr">
        <is>
          <t>12 practice sessions / month</t>
        </is>
      </c>
      <c r="B9" s="26" t="inlineStr">
        <is>
          <t>Practice</t>
        </is>
      </c>
      <c r="C9" s="26" t="inlineStr">
        <is>
          <t>12</t>
        </is>
      </c>
      <c r="D9" s="26" t="inlineStr">
        <is>
          <t>6</t>
        </is>
      </c>
      <c r="E9" s="54" t="n">
        <v>0.5</v>
      </c>
      <c r="F9" s="55" t="n">
        <v>46236</v>
      </c>
    </row>
    <row r="10">
      <c r="A10" s="28" t="inlineStr">
        <is>
          <t>Play 40 matches this season</t>
        </is>
      </c>
      <c r="B10" s="29" t="inlineStr">
        <is>
          <t>Milestone</t>
        </is>
      </c>
      <c r="C10" s="29" t="inlineStr">
        <is>
          <t>40</t>
        </is>
      </c>
      <c r="D10" s="29" t="inlineStr">
        <is>
          <t>24</t>
        </is>
      </c>
      <c r="E10" s="56" t="n">
        <v>0.6</v>
      </c>
      <c r="F10" s="27" t="n">
        <v>46326</v>
      </c>
    </row>
    <row r="13" ht="22" customHeight="1">
      <c r="B13" s="4" t="inlineStr">
        <is>
          <t>SEASON MILESTONES</t>
        </is>
      </c>
    </row>
    <row r="14">
      <c r="B14" s="57" t="inlineStr">
        <is>
          <t>☑</t>
        </is>
      </c>
      <c r="C14" s="22" t="inlineStr">
        <is>
          <t>First tournament gold (Spring Slam)</t>
        </is>
      </c>
    </row>
    <row r="15">
      <c r="B15" s="57" t="inlineStr">
        <is>
          <t>☑</t>
        </is>
      </c>
      <c r="C15" s="22" t="inlineStr">
        <is>
          <t>Broke 60% win rate</t>
        </is>
      </c>
    </row>
    <row r="16">
      <c r="B16" s="58" t="inlineStr">
        <is>
          <t>☐</t>
        </is>
      </c>
      <c r="C16" s="22" t="inlineStr">
        <is>
          <t>Reach 4.0 DUPR</t>
        </is>
      </c>
    </row>
    <row r="17">
      <c r="B17" s="58" t="inlineStr">
        <is>
          <t>☐</t>
        </is>
      </c>
      <c r="C17" s="22" t="inlineStr">
        <is>
          <t>Win a match playing up at 4.0</t>
        </is>
      </c>
    </row>
    <row r="18">
      <c r="B18" s="58" t="inlineStr">
        <is>
          <t>☐</t>
        </is>
      </c>
      <c r="C18" s="22" t="inlineStr">
        <is>
          <t>Complete a full injury-free season</t>
        </is>
      </c>
    </row>
  </sheetData>
  <mergeCells count="8">
    <mergeCell ref="C18:F18"/>
    <mergeCell ref="C17:F17"/>
    <mergeCell ref="A2:H2"/>
    <mergeCell ref="C16:F16"/>
    <mergeCell ref="C15:F15"/>
    <mergeCell ref="A1:H1"/>
    <mergeCell ref="B13:F13"/>
    <mergeCell ref="C14:F14"/>
  </mergeCells>
  <conditionalFormatting sqref="E5:E10">
    <cfRule type="dataBar" priority="1">
      <dataBar showValue="1">
        <cfvo type="num" val="0"/>
        <cfvo type="num" val="1"/>
        <color rgb="001B4F48"/>
      </dataBar>
    </cfRule>
  </conditionalFormatting>
  <dataValidations count="1">
    <dataValidation sqref="B5:B10" showDropDown="0" showInputMessage="0" showErrorMessage="0" allowBlank="1" type="list">
      <formula1>=GoalCatList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5D3BA"/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14" customWidth="1" min="4" max="4"/>
    <col width="3" customWidth="1" min="5" max="5"/>
    <col width="20" customWidth="1" min="6" max="6"/>
    <col width="20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📸  PHOTO &amp; MEMORY GALLERY</t>
        </is>
      </c>
    </row>
    <row r="2" ht="22" customHeight="1">
      <c r="A2" s="2" t="inlineStr">
        <is>
          <t xml:space="preserve">  Relive the season — paste photos of medals, teams &amp; big wins.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 ht="22" customHeight="1">
      <c r="B5" s="7" t="inlineStr">
        <is>
          <t xml:space="preserve">  Tournament Gold</t>
        </is>
      </c>
      <c r="F5" s="7" t="inlineStr">
        <is>
          <t xml:space="preserve">  Team Photo</t>
        </is>
      </c>
    </row>
    <row r="6" ht="24" customHeight="1">
      <c r="B6" s="59" t="inlineStr">
        <is>
          <t>📷
Paste photo here
(Insert ▸ Picture)</t>
        </is>
      </c>
      <c r="F6" s="59" t="inlineStr">
        <is>
          <t>📷
Paste photo here
(Insert ▸ Picture)</t>
        </is>
      </c>
    </row>
    <row r="7" ht="24" customHeight="1"/>
    <row r="8" ht="24" customHeight="1"/>
    <row r="9" ht="24" customHeight="1"/>
    <row r="10" ht="24" customHeight="1"/>
    <row r="11">
      <c r="B11" s="19" t="inlineStr">
        <is>
          <t>Event / Date</t>
        </is>
      </c>
      <c r="C11" s="20" t="inlineStr"/>
      <c r="F11" s="19" t="inlineStr">
        <is>
          <t>Event / Date</t>
        </is>
      </c>
      <c r="G11" s="20" t="inlineStr"/>
    </row>
    <row r="12">
      <c r="B12" s="19" t="inlineStr">
        <is>
          <t>Caption</t>
        </is>
      </c>
      <c r="C12" s="20" t="inlineStr"/>
      <c r="F12" s="19" t="inlineStr">
        <is>
          <t>Caption</t>
        </is>
      </c>
      <c r="G12" s="20" t="inlineStr"/>
    </row>
    <row r="14" ht="22" customHeight="1">
      <c r="B14" s="7" t="inlineStr">
        <is>
          <t xml:space="preserve">  Medal Ceremony</t>
        </is>
      </c>
      <c r="F14" s="7" t="inlineStr">
        <is>
          <t xml:space="preserve">  Action Shot</t>
        </is>
      </c>
    </row>
    <row r="15" ht="24" customHeight="1">
      <c r="B15" s="59" t="inlineStr">
        <is>
          <t>📷
Paste photo here
(Insert ▸ Picture)</t>
        </is>
      </c>
      <c r="F15" s="59" t="inlineStr">
        <is>
          <t>📷
Paste photo here
(Insert ▸ Picture)</t>
        </is>
      </c>
    </row>
    <row r="16" ht="24" customHeight="1"/>
    <row r="17" ht="24" customHeight="1"/>
    <row r="18" ht="24" customHeight="1"/>
    <row r="19" ht="24" customHeight="1"/>
    <row r="20">
      <c r="B20" s="19" t="inlineStr">
        <is>
          <t>Event / Date</t>
        </is>
      </c>
      <c r="C20" s="20" t="inlineStr"/>
      <c r="F20" s="19" t="inlineStr">
        <is>
          <t>Event / Date</t>
        </is>
      </c>
      <c r="G20" s="20" t="inlineStr"/>
    </row>
    <row r="21">
      <c r="B21" s="19" t="inlineStr">
        <is>
          <t>Caption</t>
        </is>
      </c>
      <c r="C21" s="20" t="inlineStr"/>
      <c r="F21" s="19" t="inlineStr">
        <is>
          <t>Caption</t>
        </is>
      </c>
      <c r="G21" s="20" t="inlineStr"/>
    </row>
    <row r="23" ht="22" customHeight="1">
      <c r="B23" s="7" t="inlineStr">
        <is>
          <t xml:space="preserve">  New Paddle</t>
        </is>
      </c>
      <c r="F23" s="7" t="inlineStr">
        <is>
          <t xml:space="preserve">  Club Event</t>
        </is>
      </c>
    </row>
    <row r="24" ht="24" customHeight="1">
      <c r="B24" s="59" t="inlineStr">
        <is>
          <t>📷
Paste photo here
(Insert ▸ Picture)</t>
        </is>
      </c>
      <c r="F24" s="59" t="inlineStr">
        <is>
          <t>📷
Paste photo here
(Insert ▸ Picture)</t>
        </is>
      </c>
    </row>
    <row r="25" ht="24" customHeight="1"/>
    <row r="26" ht="24" customHeight="1"/>
    <row r="27" ht="24" customHeight="1"/>
    <row r="28" ht="24" customHeight="1"/>
    <row r="29">
      <c r="B29" s="19" t="inlineStr">
        <is>
          <t>Event / Date</t>
        </is>
      </c>
      <c r="C29" s="20" t="inlineStr"/>
      <c r="F29" s="19" t="inlineStr">
        <is>
          <t>Event / Date</t>
        </is>
      </c>
      <c r="G29" s="20" t="inlineStr"/>
    </row>
    <row r="30">
      <c r="B30" s="19" t="inlineStr">
        <is>
          <t>Caption</t>
        </is>
      </c>
      <c r="C30" s="20" t="inlineStr"/>
      <c r="F30" s="19" t="inlineStr">
        <is>
          <t>Caption</t>
        </is>
      </c>
      <c r="G30" s="20" t="inlineStr"/>
    </row>
  </sheetData>
  <mergeCells count="26">
    <mergeCell ref="F6:H10"/>
    <mergeCell ref="G21:H21"/>
    <mergeCell ref="G12:H12"/>
    <mergeCell ref="B14:D14"/>
    <mergeCell ref="F5:H5"/>
    <mergeCell ref="F15:H19"/>
    <mergeCell ref="C30:D30"/>
    <mergeCell ref="B23:D23"/>
    <mergeCell ref="G11:H11"/>
    <mergeCell ref="F24:H28"/>
    <mergeCell ref="F23:H23"/>
    <mergeCell ref="C20:D20"/>
    <mergeCell ref="A2:I2"/>
    <mergeCell ref="C29:D29"/>
    <mergeCell ref="C12:D12"/>
    <mergeCell ref="B15:D19"/>
    <mergeCell ref="B5:D5"/>
    <mergeCell ref="B6:D10"/>
    <mergeCell ref="C21:D21"/>
    <mergeCell ref="F14:H14"/>
    <mergeCell ref="G30:H30"/>
    <mergeCell ref="C11:D11"/>
    <mergeCell ref="B24:D28"/>
    <mergeCell ref="G29:H29"/>
    <mergeCell ref="G20:H20"/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B4F48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8" customWidth="1" min="4" max="4"/>
    <col width="3" customWidth="1" min="5" max="5"/>
    <col width="16" customWidth="1" min="6" max="6"/>
    <col width="12" customWidth="1" min="7" max="7"/>
    <col width="12" customWidth="1" min="8" max="8"/>
    <col width="2" customWidth="1" min="9" max="9"/>
  </cols>
  <sheetData>
    <row r="1" ht="46" customHeight="1">
      <c r="A1" s="1" t="inlineStr">
        <is>
          <t xml:space="preserve">  📊  ANALYTICS DASHBOARD</t>
        </is>
      </c>
    </row>
    <row r="2" ht="22" customHeight="1">
      <c r="A2" s="2" t="inlineStr">
        <is>
          <t xml:space="preserve">  Your season by the numbers — every area scored into one Performance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>
      <c r="B5" s="6" t="inlineStr">
        <is>
          <t>PERFORMANCE DIMENSIONS</t>
        </is>
      </c>
      <c r="F5" s="4" t="inlineStr">
        <is>
          <t>PICKLEBALL PERFORMANCE SCORE</t>
        </is>
      </c>
    </row>
    <row r="6" ht="30" customHeight="1">
      <c r="B6" s="7" t="inlineStr">
        <is>
          <t>Dimension</t>
        </is>
      </c>
      <c r="C6" s="7" t="inlineStr">
        <is>
          <t>Score</t>
        </is>
      </c>
      <c r="D6" s="7" t="inlineStr">
        <is>
          <t>Status</t>
        </is>
      </c>
      <c r="F6" s="60">
        <f>IFERROR(AVERAGE(C7:C12),0)</f>
        <v/>
      </c>
      <c r="G6" s="61" t="n"/>
      <c r="H6" s="61" t="n"/>
    </row>
    <row r="7">
      <c r="B7" s="22" t="inlineStr">
        <is>
          <t>Win rate</t>
        </is>
      </c>
      <c r="C7" s="42">
        <f>IFERROR(COUNTIF(MatchResult,"W")/COUNTA(MatchResult),0)</f>
        <v/>
      </c>
      <c r="D7" s="26">
        <f>IF(C7&gt;=0.75,"Elite",IF(C7&gt;=0.5,"Solid","Develop"))</f>
        <v/>
      </c>
      <c r="F7" s="62" t="n"/>
      <c r="G7" s="62" t="n"/>
      <c r="H7" s="62" t="n"/>
    </row>
    <row r="8">
      <c r="B8" s="28" t="inlineStr">
        <is>
          <t>Skill level</t>
        </is>
      </c>
      <c r="C8" s="45">
        <f>IFERROR(AVERAGE(SkillCurrent)/10,0)</f>
        <v/>
      </c>
      <c r="D8" s="29">
        <f>IF(C8&gt;=0.75,"Elite",IF(C8&gt;=0.5,"Solid","Develop"))</f>
        <v/>
      </c>
      <c r="F8" s="62" t="n"/>
      <c r="G8" s="62" t="n"/>
      <c r="H8" s="62" t="n"/>
    </row>
    <row r="9">
      <c r="B9" s="22" t="inlineStr">
        <is>
          <t>Fitness consistency</t>
        </is>
      </c>
      <c r="C9" s="42">
        <f>IFERROR(AVERAGEIF(GoalCategory,"Fitness",GoalProgress),0)</f>
        <v/>
      </c>
      <c r="D9" s="26">
        <f>IF(C9&gt;=0.75,"Elite",IF(C9&gt;=0.5,"Solid","Develop"))</f>
        <v/>
      </c>
      <c r="F9" s="62" t="n"/>
      <c r="G9" s="62" t="n"/>
      <c r="H9" s="62" t="n"/>
    </row>
    <row r="10">
      <c r="B10" s="28" t="inlineStr">
        <is>
          <t>Tournament success</t>
        </is>
      </c>
      <c r="C10" s="45">
        <f>IFERROR(COUNTIF(TournPlace,"1st")/MAX(COUNTA(TournPlace),1),0)</f>
        <v/>
      </c>
      <c r="D10" s="29">
        <f>IF(C10&gt;=0.75,"Elite",IF(C10&gt;=0.5,"Solid","Develop"))</f>
        <v/>
      </c>
      <c r="F10" s="63" t="inlineStr">
        <is>
          <t>Wins · skills · fitness · tournaments · goals · practice.</t>
        </is>
      </c>
    </row>
    <row r="11">
      <c r="B11" s="22" t="inlineStr">
        <is>
          <t>Goal progress</t>
        </is>
      </c>
      <c r="C11" s="42">
        <f>IFERROR(AVERAGE(GoalProgress),0)</f>
        <v/>
      </c>
      <c r="D11" s="26">
        <f>IF(C11&gt;=0.75,"Elite",IF(C11&gt;=0.5,"Solid","Develop"))</f>
        <v/>
      </c>
    </row>
    <row r="12">
      <c r="B12" s="28" t="inlineStr">
        <is>
          <t>Practice consistency</t>
        </is>
      </c>
      <c r="C12" s="45">
        <f>IFERROR(MIN(COUNTIFS(PracticeDate,"&gt;="&amp;TODAY()-30)/8,1),0)</f>
        <v/>
      </c>
      <c r="D12" s="29">
        <f>IF(C12&gt;=0.75,"Elite",IF(C12&gt;=0.5,"Solid","Develop"))</f>
        <v/>
      </c>
    </row>
    <row r="15">
      <c r="B15" s="6" t="inlineStr">
        <is>
          <t>COURT TIME — LAST 6 MONTHS</t>
        </is>
      </c>
    </row>
    <row r="16">
      <c r="B16" s="7" t="inlineStr">
        <is>
          <t>Month</t>
        </is>
      </c>
      <c r="C16" s="7" t="inlineStr">
        <is>
          <t>Hours</t>
        </is>
      </c>
    </row>
    <row r="17">
      <c r="B17" s="22" t="inlineStr">
        <is>
          <t>Feb</t>
        </is>
      </c>
      <c r="C17" s="64" t="n">
        <v>5</v>
      </c>
    </row>
    <row r="18">
      <c r="B18" s="28" t="inlineStr">
        <is>
          <t>Mar</t>
        </is>
      </c>
      <c r="C18" s="34" t="n">
        <v>6</v>
      </c>
    </row>
    <row r="19">
      <c r="B19" s="22" t="inlineStr">
        <is>
          <t>Apr</t>
        </is>
      </c>
      <c r="C19" s="64" t="n">
        <v>7</v>
      </c>
    </row>
    <row r="20">
      <c r="B20" s="28" t="inlineStr">
        <is>
          <t>May</t>
        </is>
      </c>
      <c r="C20" s="34" t="n">
        <v>6</v>
      </c>
    </row>
    <row r="21">
      <c r="B21" s="22" t="inlineStr">
        <is>
          <t>Jun</t>
        </is>
      </c>
      <c r="C21" s="64" t="n">
        <v>8</v>
      </c>
    </row>
    <row r="22">
      <c r="B22" s="28" t="inlineStr">
        <is>
          <t>Jul</t>
        </is>
      </c>
      <c r="C22" s="34" t="n">
        <v>8</v>
      </c>
    </row>
  </sheetData>
  <mergeCells count="7">
    <mergeCell ref="F10:H10"/>
    <mergeCell ref="B5:D5"/>
    <mergeCell ref="F5:H5"/>
    <mergeCell ref="A2:H2"/>
    <mergeCell ref="A1:H1"/>
    <mergeCell ref="B15:D15"/>
    <mergeCell ref="F6:H9"/>
  </mergeCells>
  <conditionalFormatting sqref="C7:C12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E5D3BA"/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player details once — every dashboard follows. Edit the lists to fit any level.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5">
      <c r="B5" s="6" t="inlineStr">
        <is>
          <t>PLAYER INPUTS</t>
        </is>
      </c>
      <c r="E5" s="4" t="inlineStr">
        <is>
          <t>DROPDOWN LISTS</t>
        </is>
      </c>
    </row>
    <row r="6">
      <c r="B6" s="19" t="inlineStr">
        <is>
          <t>Player Name</t>
        </is>
      </c>
      <c r="C6" s="65" t="inlineStr">
        <is>
          <t>Jordan Reeves</t>
        </is>
      </c>
      <c r="E6" s="7" t="inlineStr">
        <is>
          <t>Skill</t>
        </is>
      </c>
      <c r="F6" s="7" t="inlineStr">
        <is>
          <t>Match Type</t>
        </is>
      </c>
      <c r="G6" s="7" t="inlineStr">
        <is>
          <t>Tournament Level</t>
        </is>
      </c>
      <c r="H6" s="7" t="inlineStr">
        <is>
          <t>Expense Category</t>
        </is>
      </c>
      <c r="I6" s="7" t="inlineStr">
        <is>
          <t>Equipment Type</t>
        </is>
      </c>
      <c r="J6" s="7" t="inlineStr">
        <is>
          <t>Goal Category</t>
        </is>
      </c>
      <c r="K6" s="7" t="inlineStr">
        <is>
          <t>Club</t>
        </is>
      </c>
    </row>
    <row r="7">
      <c r="B7" s="19" t="inlineStr">
        <is>
          <t>Playing Level</t>
        </is>
      </c>
      <c r="C7" s="65" t="inlineStr">
        <is>
          <t>3.5</t>
        </is>
      </c>
      <c r="E7" s="22" t="inlineStr">
        <is>
          <t>Serve</t>
        </is>
      </c>
      <c r="F7" s="22" t="inlineStr">
        <is>
          <t>Rec</t>
        </is>
      </c>
      <c r="G7" s="22" t="inlineStr">
        <is>
          <t>2.5</t>
        </is>
      </c>
      <c r="H7" s="22" t="inlineStr">
        <is>
          <t>Club Membership</t>
        </is>
      </c>
      <c r="I7" s="22" t="inlineStr">
        <is>
          <t>Paddle</t>
        </is>
      </c>
      <c r="J7" s="22" t="inlineStr">
        <is>
          <t>Ranking</t>
        </is>
      </c>
      <c r="K7" s="22" t="inlineStr">
        <is>
          <t>Riverside Pickleball Club</t>
        </is>
      </c>
    </row>
    <row r="8">
      <c r="B8" s="19" t="inlineStr">
        <is>
          <t>Current Rating (DUPR)</t>
        </is>
      </c>
      <c r="C8" s="66" t="n">
        <v>3.75</v>
      </c>
      <c r="E8" s="22" t="inlineStr">
        <is>
          <t>Return</t>
        </is>
      </c>
      <c r="F8" s="22" t="inlineStr">
        <is>
          <t>League</t>
        </is>
      </c>
      <c r="G8" s="22" t="inlineStr">
        <is>
          <t>3.0</t>
        </is>
      </c>
      <c r="H8" s="22" t="inlineStr">
        <is>
          <t>Court Fees</t>
        </is>
      </c>
      <c r="I8" s="22" t="inlineStr">
        <is>
          <t>Balls</t>
        </is>
      </c>
      <c r="J8" s="22" t="inlineStr">
        <is>
          <t>Tournament</t>
        </is>
      </c>
      <c r="K8" s="22" t="inlineStr">
        <is>
          <t>Downtown Rec Center</t>
        </is>
      </c>
    </row>
    <row r="9">
      <c r="B9" s="19" t="inlineStr">
        <is>
          <t>Age Division</t>
        </is>
      </c>
      <c r="C9" s="65" t="inlineStr">
        <is>
          <t>50+</t>
        </is>
      </c>
      <c r="E9" s="22" t="inlineStr">
        <is>
          <t>Dinking</t>
        </is>
      </c>
      <c r="F9" s="22" t="inlineStr">
        <is>
          <t>Tournament</t>
        </is>
      </c>
      <c r="G9" s="22" t="inlineStr">
        <is>
          <t>3.5</t>
        </is>
      </c>
      <c r="H9" s="22" t="inlineStr">
        <is>
          <t>Tournament Fees</t>
        </is>
      </c>
      <c r="I9" s="22" t="inlineStr">
        <is>
          <t>Shoes</t>
        </is>
      </c>
      <c r="J9" s="22" t="inlineStr">
        <is>
          <t>Fitness</t>
        </is>
      </c>
      <c r="K9" s="22" t="inlineStr">
        <is>
          <t>Sunset Courts</t>
        </is>
      </c>
    </row>
    <row r="10">
      <c r="B10" s="19" t="inlineStr">
        <is>
          <t>Home Club</t>
        </is>
      </c>
      <c r="C10" s="65" t="inlineStr">
        <is>
          <t>Riverside Pickleball Club</t>
        </is>
      </c>
      <c r="E10" s="22" t="inlineStr">
        <is>
          <t>Third Shot Drop</t>
        </is>
      </c>
      <c r="F10" s="22" t="inlineStr">
        <is>
          <t>Ladder</t>
        </is>
      </c>
      <c r="G10" s="22" t="inlineStr">
        <is>
          <t>4.0</t>
        </is>
      </c>
      <c r="H10" s="22" t="inlineStr">
        <is>
          <t>Lessons</t>
        </is>
      </c>
      <c r="I10" s="22" t="inlineStr">
        <is>
          <t>Bag</t>
        </is>
      </c>
      <c r="J10" s="22" t="inlineStr">
        <is>
          <t>Skill</t>
        </is>
      </c>
      <c r="K10" s="22" t="inlineStr">
        <is>
          <t>Metro League</t>
        </is>
      </c>
    </row>
    <row r="11">
      <c r="B11" s="19" t="inlineStr">
        <is>
          <t>Monthly Budget</t>
        </is>
      </c>
      <c r="C11" s="40" t="n">
        <v>180</v>
      </c>
      <c r="E11" s="22" t="inlineStr">
        <is>
          <t>Volleys</t>
        </is>
      </c>
      <c r="F11" s="22" t="inlineStr">
        <is>
          <t>Open Play</t>
        </is>
      </c>
      <c r="G11" s="22" t="inlineStr">
        <is>
          <t>4.5</t>
        </is>
      </c>
      <c r="H11" s="22" t="inlineStr">
        <is>
          <t>Coaching</t>
        </is>
      </c>
      <c r="I11" s="22" t="inlineStr">
        <is>
          <t>Apparel</t>
        </is>
      </c>
      <c r="J11" s="22" t="inlineStr">
        <is>
          <t>Practice</t>
        </is>
      </c>
    </row>
    <row r="12">
      <c r="B12" s="19" t="inlineStr">
        <is>
          <t>Season Match Target</t>
        </is>
      </c>
      <c r="C12" s="36" t="n">
        <v>40</v>
      </c>
      <c r="E12" s="22" t="inlineStr">
        <is>
          <t>Speed-Ups</t>
        </is>
      </c>
      <c r="G12" s="22" t="inlineStr">
        <is>
          <t>Open</t>
        </is>
      </c>
      <c r="H12" s="22" t="inlineStr">
        <is>
          <t>Equipment</t>
        </is>
      </c>
      <c r="I12" s="22" t="inlineStr">
        <is>
          <t>Grips</t>
        </is>
      </c>
      <c r="J12" s="22" t="inlineStr">
        <is>
          <t>Milestone</t>
        </is>
      </c>
    </row>
    <row r="13">
      <c r="E13" s="22" t="inlineStr">
        <is>
          <t>Lobs</t>
        </is>
      </c>
      <c r="G13" s="22" t="inlineStr">
        <is>
          <t>Senior</t>
        </is>
      </c>
      <c r="H13" s="22" t="inlineStr">
        <is>
          <t>Apparel</t>
        </is>
      </c>
      <c r="I13" s="22" t="inlineStr">
        <is>
          <t>Eyewear</t>
        </is>
      </c>
    </row>
    <row r="14">
      <c r="E14" s="22" t="inlineStr">
        <is>
          <t>Court Positioning</t>
        </is>
      </c>
      <c r="H14" s="22" t="inlineStr">
        <is>
          <t>Travel</t>
        </is>
      </c>
    </row>
    <row r="15">
      <c r="E15" s="22" t="inlineStr">
        <is>
          <t>Footwork</t>
        </is>
      </c>
      <c r="H15" s="22" t="inlineStr">
        <is>
          <t>Hotels</t>
        </is>
      </c>
    </row>
    <row r="16">
      <c r="E16" s="22" t="inlineStr">
        <is>
          <t>Strategy</t>
        </is>
      </c>
      <c r="H16" s="22" t="inlineStr">
        <is>
          <t>Meals</t>
        </is>
      </c>
    </row>
    <row r="17">
      <c r="E17" s="22" t="inlineStr">
        <is>
          <t>Communication</t>
        </is>
      </c>
      <c r="H17" s="22" t="inlineStr">
        <is>
          <t>Miscellaneous</t>
        </is>
      </c>
    </row>
    <row r="18">
      <c r="E18" s="22" t="inlineStr">
        <is>
          <t>Mental Game</t>
        </is>
      </c>
    </row>
    <row r="21">
      <c r="E21" s="7" t="inlineStr">
        <is>
          <t>Result</t>
        </is>
      </c>
      <c r="F21" s="7" t="inlineStr">
        <is>
          <t>Condition</t>
        </is>
      </c>
      <c r="G21" s="7" t="inlineStr">
        <is>
          <t>Yes / No</t>
        </is>
      </c>
    </row>
    <row r="22">
      <c r="E22" s="22" t="inlineStr">
        <is>
          <t>W</t>
        </is>
      </c>
      <c r="F22" s="22" t="inlineStr">
        <is>
          <t>New</t>
        </is>
      </c>
      <c r="G22" s="22" t="inlineStr">
        <is>
          <t>Yes</t>
        </is>
      </c>
    </row>
    <row r="23">
      <c r="E23" s="22" t="inlineStr">
        <is>
          <t>L</t>
        </is>
      </c>
      <c r="F23" s="22" t="inlineStr">
        <is>
          <t>Excellent</t>
        </is>
      </c>
      <c r="G23" s="22" t="inlineStr">
        <is>
          <t>No</t>
        </is>
      </c>
    </row>
    <row r="24">
      <c r="F24" s="22" t="inlineStr">
        <is>
          <t>Good</t>
        </is>
      </c>
    </row>
    <row r="25">
      <c r="F25" s="22" t="inlineStr">
        <is>
          <t>Worn</t>
        </is>
      </c>
    </row>
    <row r="26">
      <c r="F26" s="22" t="inlineStr">
        <is>
          <t>Replace Soon</t>
        </is>
      </c>
    </row>
  </sheetData>
  <mergeCells count="4">
    <mergeCell ref="A2:K2"/>
    <mergeCell ref="B5:C5"/>
    <mergeCell ref="A1:K1"/>
    <mergeCell ref="E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2026-07-03T17:04:22Z</dcterms:created>
  <dcterms:modified xsi:type="dcterms:W3CDTF">2026-07-03T17:04:22Z</dcterms:modified>
</cp:coreProperties>
</file>