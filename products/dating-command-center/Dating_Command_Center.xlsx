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3.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Dating Funnel" sheetId="3" state="visible" r:id="rId3"/>
    <sheet name="Effort &amp; Reciprocity" sheetId="4" state="visible" r:id="rId4"/>
    <sheet name="Green &amp; Red Flags" sheetId="5" state="visible" r:id="rId5"/>
    <sheet name="People" sheetId="6" state="visible" r:id="rId6"/>
    <sheet name="Date Log" sheetId="7" state="visible" r:id="rId7"/>
    <sheet name="Conversations" sheetId="8" state="visible" r:id="rId8"/>
    <sheet name="Time &amp; Money" sheetId="9" state="visible" r:id="rId9"/>
    <sheet name="Non-Negotiables" sheetId="10" state="visible" r:id="rId10"/>
    <sheet name="Safety Plan" sheetId="11" state="visible" r:id="rId11"/>
    <sheet name="Reflection" sheetId="12" state="visible" r:id="rId12"/>
    <sheet name="Monthly Summary" sheetId="13" state="visible" r:id="rId13"/>
    <sheet name="Settings" sheetId="14" state="visible" r:id="rId14"/>
  </sheets>
  <definedNames>
    <definedName name="Owner">Settings!$C$6</definedName>
    <definedName name="Budget">Settings!$C$7</definedName>
    <definedName name="HoursPerDate">Settings!$C$8</definedName>
    <definedName name="PrepPerDate">Settings!$C$9</definedName>
    <definedName name="SwipeHours">Settings!$C$10</definedName>
    <definedName name="MessageHours">Settings!$C$11</definedName>
    <definedName name="DaysToDate">Settings!$C$12</definedName>
    <definedName name="DaysGoal">Settings!$C$13</definedName>
    <definedName name="SecondDateGoal">Settings!$C$14</definedName>
    <definedName name="FlagGoal">Settings!$C$15</definedName>
    <definedName name="EffortGoal">Settings!$C$16</definedName>
    <definedName name="StatusList">Settings!$E$7:$E$13</definedName>
    <definedName name="MetOnList">Settings!$F$7:$F$14</definedName>
    <definedName name="FeltList">Settings!$G$7:$G$12</definedName>
    <definedName name="WeightList">Settings!$H$7:$H$9</definedName>
    <definedName name="YesNoList">Settings!$I$7:$I$8</definedName>
    <definedName name="SpendLines">'Time &amp; Money'!$C$6:$C$9</definedName>
    <definedName name="SpendTotal">'Time &amp; Money'!$C$10</definedName>
    <definedName name="BudgetLeft">'Time &amp; Money'!$C$12</definedName>
    <definedName name="Matches">'Dating Funnel'!$C$6</definedName>
    <definedName name="Conversations">'Dating Funnel'!$C$7</definedName>
    <definedName name="FirstDates">'Dating Funnel'!$C$8</definedName>
    <definedName name="SecondDates">'Dating Funnel'!$C$9</definedName>
    <definedName name="StillSeeing">'Dating Funnel'!$C$10</definedName>
    <definedName name="MatchToDate">'Dating Funnel'!$C$15</definedName>
    <definedName name="SecondDateRate">'Dating Funnel'!$C$16</definedName>
    <definedName name="HoursSpent">'Dating Funnel'!$C$19</definedName>
    <definedName name="CostPerFirstDate">'Dating Funnel'!$C$21</definedName>
    <definedName name="CostPerSecondDate">'Dating Funnel'!$C$22</definedName>
    <definedName name="HoursPerSecondDate">'Dating Funnel'!$C$23</definedName>
    <definedName name="FunnelDates">'Dating Funnel'!$H$7:$H$12</definedName>
    <definedName name="YouScores">'Effort &amp; Reciprocity'!$C$6:$C$11</definedName>
    <definedName name="ThemScores">'Effort &amp; Reciprocity'!$D$6:$D$11</definedName>
    <definedName name="EffortGap">'Effort &amp; Reciprocity'!$E$6:$E$11</definedName>
    <definedName name="YourEffort">'Effort &amp; Reciprocity'!$C$12</definedName>
    <definedName name="TheirEffort">'Effort &amp; Reciprocity'!$D$12</definedName>
    <definedName name="EffortRatio">'Effort &amp; Reciprocity'!$C$14</definedName>
    <definedName name="GreenSeen">'Green &amp; Red Flags'!$C$7:$C$18</definedName>
    <definedName name="RedSeen">'Green &amp; Red Flags'!$F$7:$F$18</definedName>
    <definedName name="GreenCount">'Green &amp; Red Flags'!$C$19</definedName>
    <definedName name="RedCount">'Green &amp; Red Flags'!$F$19</definedName>
    <definedName name="FlagNet">'Green &amp; Red Flags'!$C$21</definedName>
    <definedName name="PersonName">'People'!$B$5:$B$44</definedName>
    <definedName name="PersonStatus">'People'!$E$5:$E$44</definedName>
    <definedName name="DateCost">'Date Log'!$E$5:$E$14</definedName>
    <definedName name="DateHours">'Date Log'!$F$5:$F$14</definedName>
    <definedName name="DateFelt">'Date Log'!$G$5:$G$14</definedName>
    <definedName name="ConvoDays">'Conversations'!$C$5:$C$12</definedName>
    <definedName name="ConvoMet">'Conversations'!$F$5:$F$12</definedName>
    <definedName name="ConvoShare">'Conversations'!$G$5:$G$12</definedName>
    <definedName name="NonNegWeight">'Non-Negotiables'!$C$5:$C$44</definedName>
    <definedName name="SafetyDone">'Safety Plan'!$C$5:$C$13</definedName>
    <definedName name="SafetyHeld">'Safety Plan'!$C$14</definedName>
    <definedName name="SpendTrend">'Monthly Summary'!$C$19:$C$24</definedName>
    <definedName name="HealthRange">'Dashboard'!$C$13:$C$18</definedName>
  </definedNames>
  <calcPr calcId="124519" fullCalcOnLoad="1"/>
</workbook>
</file>

<file path=xl/styles.xml><?xml version="1.0" encoding="utf-8"?>
<styleSheet xmlns="http://schemas.openxmlformats.org/spreadsheetml/2006/main">
  <numFmts count="8">
    <numFmt numFmtId="164" formatCode="&quot;$&quot;#,##0"/>
    <numFmt numFmtId="165" formatCode="0.0"/>
    <numFmt numFmtId="166" formatCode="&quot;$&quot;#,##0.00"/>
    <numFmt numFmtId="167" formatCode="0.0&quot; hrs&quot;"/>
    <numFmt numFmtId="168" formatCode="0.0&quot; days&quot;"/>
    <numFmt numFmtId="169" formatCode="0.0%"/>
    <numFmt numFmtId="170" formatCode="0&quot; hrs&quot;"/>
    <numFmt numFmtId="171" formatCode="0.0&quot;\u00d7&quot;"/>
  </numFmts>
  <fonts count="20">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sz val="14"/>
    </font>
    <font>
      <b val="1"/>
      <color rgb="001B4F48"/>
      <sz val="12"/>
    </font>
    <font>
      <b val="1"/>
      <color rgb="001B4F48"/>
      <sz val="13"/>
    </font>
    <font>
      <b val="1"/>
      <color rgb="001B4F48"/>
      <sz val="16"/>
    </font>
    <font>
      <b val="1"/>
      <color rgb="00C94C4C"/>
      <sz val="13"/>
    </font>
    <font>
      <b val="1"/>
      <color rgb="001B4F48"/>
      <sz val="18"/>
    </font>
    <font>
      <b val="1"/>
      <color rgb="00C94C4C"/>
      <sz val="14"/>
    </font>
    <font>
      <b val="1"/>
      <color rgb="001B4F48"/>
    </font>
    <font>
      <b val="1"/>
      <color rgb="001B4F48"/>
      <sz val="15"/>
    </font>
    <font>
      <b val="1"/>
      <color rgb="00937356"/>
      <sz val="9"/>
    </font>
  </fonts>
  <fills count="11">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BE6E6"/>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81">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9" fillId="10" borderId="3" applyAlignment="1" pivotButton="0" quotePrefix="0" xfId="0">
      <alignment horizontal="center" vertical="center"/>
    </xf>
    <xf numFmtId="0" fontId="0" fillId="10" borderId="3" pivotButton="0" quotePrefix="0" xfId="0"/>
    <xf numFmtId="3" fontId="15" fillId="10" borderId="2" applyAlignment="1" pivotButton="0" quotePrefix="0" xfId="0">
      <alignment horizontal="center" vertical="center"/>
    </xf>
    <xf numFmtId="0" fontId="0" fillId="10" borderId="2" pivotButton="0" quotePrefix="0" xfId="0"/>
    <xf numFmtId="169" fontId="15" fillId="10" borderId="2" applyAlignment="1" pivotButton="0" quotePrefix="0" xfId="0">
      <alignment horizontal="center" vertical="center"/>
    </xf>
    <xf numFmtId="164" fontId="15" fillId="10" borderId="2" applyAlignment="1" pivotButton="0" quotePrefix="0" xfId="0">
      <alignment horizontal="center" vertical="center"/>
    </xf>
    <xf numFmtId="166" fontId="15" fillId="10" borderId="2" applyAlignment="1" pivotButton="0" quotePrefix="0" xfId="0">
      <alignment horizontal="center" vertical="center"/>
    </xf>
    <xf numFmtId="165" fontId="15" fillId="10" borderId="2" applyAlignment="1" pivotButton="0" quotePrefix="0" xfId="0">
      <alignment horizontal="center" vertical="center"/>
    </xf>
    <xf numFmtId="9" fontId="15" fillId="10"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0" fontId="8" fillId="4" borderId="2" applyAlignment="1" pivotButton="0" quotePrefix="0" xfId="9">
      <alignment horizontal="left" vertical="center" indent="1"/>
    </xf>
    <xf numFmtId="3" fontId="7" fillId="3" borderId="2" applyAlignment="1" pivotButton="0" quotePrefix="0" xfId="8">
      <alignment horizontal="center" vertical="center"/>
    </xf>
    <xf numFmtId="3" fontId="7" fillId="8" borderId="2" applyAlignment="1" pivotButton="0" quotePrefix="0" xfId="8">
      <alignment horizontal="center" vertical="center"/>
    </xf>
    <xf numFmtId="169" fontId="7" fillId="0" borderId="2" applyAlignment="1" pivotButton="0" quotePrefix="0" xfId="10">
      <alignment horizontal="left" vertical="center" indent="1"/>
    </xf>
    <xf numFmtId="169" fontId="10" fillId="3" borderId="2" applyAlignment="1" pivotButton="0" quotePrefix="0" xfId="6">
      <alignment horizontal="center" vertical="center" wrapText="1"/>
    </xf>
    <xf numFmtId="169" fontId="10" fillId="6" borderId="2" applyAlignment="1" pivotButton="0" quotePrefix="0" xfId="6">
      <alignment horizontal="center" vertical="center" wrapText="1"/>
    </xf>
    <xf numFmtId="170" fontId="7" fillId="0" borderId="2" applyAlignment="1" pivotButton="0" quotePrefix="0" xfId="10">
      <alignment horizontal="left" vertical="center" indent="1"/>
    </xf>
    <xf numFmtId="166" fontId="7" fillId="0" borderId="2" applyAlignment="1" pivotButton="0" quotePrefix="0" xfId="10">
      <alignment horizontal="left" vertical="center" indent="1"/>
    </xf>
    <xf numFmtId="166" fontId="12" fillId="3" borderId="2" applyAlignment="1" pivotButton="0" quotePrefix="0" xfId="6">
      <alignment horizontal="center" vertical="center" wrapText="1"/>
    </xf>
    <xf numFmtId="166" fontId="13" fillId="7" borderId="2" applyAlignment="1" pivotButton="0" quotePrefix="0" xfId="6">
      <alignment horizontal="center" vertical="center" wrapText="1"/>
    </xf>
    <xf numFmtId="167" fontId="13" fillId="7" borderId="2" applyAlignment="1" pivotButton="0" quotePrefix="0" xfId="6">
      <alignment horizontal="center" vertical="center" wrapText="1"/>
    </xf>
    <xf numFmtId="1" fontId="7" fillId="3" borderId="2" applyAlignment="1" pivotButton="0" quotePrefix="0" xfId="8">
      <alignment horizontal="center" vertical="center"/>
    </xf>
    <xf numFmtId="1" fontId="6" fillId="0" borderId="2" applyAlignment="1" pivotButton="0" quotePrefix="0" xfId="6">
      <alignment horizontal="center" vertical="center" wrapText="1"/>
    </xf>
    <xf numFmtId="1" fontId="7" fillId="8" borderId="2" applyAlignment="1" pivotButton="0" quotePrefix="0" xfId="8">
      <alignment horizontal="center" vertical="center"/>
    </xf>
    <xf numFmtId="1" fontId="6" fillId="8" borderId="2" applyAlignment="1" pivotButton="0" quotePrefix="0" xfId="6">
      <alignment horizontal="center" vertical="center" wrapText="1"/>
    </xf>
    <xf numFmtId="1" fontId="12" fillId="3" borderId="2" applyAlignment="1" pivotButton="0" quotePrefix="0" xfId="6">
      <alignment horizontal="center" vertical="center" wrapText="1"/>
    </xf>
    <xf numFmtId="1" fontId="14" fillId="9" borderId="2" applyAlignment="1" pivotButton="0" quotePrefix="0" xfId="6">
      <alignment horizontal="center" vertical="center" wrapText="1"/>
    </xf>
    <xf numFmtId="171" fontId="15" fillId="7" borderId="2" applyAlignment="1" pivotButton="0" quotePrefix="0" xfId="6">
      <alignment horizontal="center" vertical="center" wrapText="1"/>
    </xf>
    <xf numFmtId="171" fontId="7" fillId="0" borderId="2" applyAlignment="1" pivotButton="0" quotePrefix="0" xfId="10">
      <alignment horizontal="left" vertical="center" indent="1"/>
    </xf>
    <xf numFmtId="0" fontId="11" fillId="6" borderId="2" applyAlignment="1" pivotButton="0" quotePrefix="0" xfId="6">
      <alignment horizontal="center" vertical="center" wrapText="1"/>
    </xf>
    <xf numFmtId="0" fontId="7" fillId="3" borderId="2" applyAlignment="1" pivotButton="0" quotePrefix="0" xfId="8">
      <alignment horizontal="center" vertical="center"/>
    </xf>
    <xf numFmtId="0" fontId="7" fillId="8" borderId="2" applyAlignment="1" pivotButton="0" quotePrefix="0" xfId="8">
      <alignment horizontal="center" vertical="center"/>
    </xf>
    <xf numFmtId="1" fontId="10" fillId="6" borderId="2" applyAlignment="1" pivotButton="0" quotePrefix="0" xfId="6">
      <alignment horizontal="center" vertical="center" wrapText="1"/>
    </xf>
    <xf numFmtId="1" fontId="16" fillId="9" borderId="2" applyAlignment="1" pivotButton="0" quotePrefix="0" xfId="6">
      <alignment horizontal="center" vertical="center" wrapText="1"/>
    </xf>
    <xf numFmtId="1" fontId="13" fillId="3" borderId="2" applyAlignment="1" pivotButton="0" quotePrefix="0" xfId="6">
      <alignment horizontal="center" vertical="center" wrapText="1"/>
    </xf>
    <xf numFmtId="0" fontId="6" fillId="10" borderId="2" applyAlignment="1" pivotButton="0" quotePrefix="0" xfId="7">
      <alignment horizontal="left" vertical="center" wrapText="1" indent="1"/>
    </xf>
    <xf numFmtId="0" fontId="6" fillId="10" borderId="2" applyAlignment="1" pivotButton="0" quotePrefix="0" xfId="6">
      <alignment horizontal="center" vertical="center" wrapText="1"/>
    </xf>
    <xf numFmtId="1" fontId="7" fillId="0" borderId="2" applyAlignment="1" pivotButton="0" quotePrefix="0" xfId="10">
      <alignment horizontal="left" vertical="center" indent="1"/>
    </xf>
    <xf numFmtId="1" fontId="7" fillId="6" borderId="2" applyAlignment="1" pivotButton="0" quotePrefix="0" xfId="10">
      <alignment horizontal="left" vertical="center" indent="1"/>
    </xf>
    <xf numFmtId="1" fontId="7" fillId="7" borderId="2" applyAlignment="1" pivotButton="0" quotePrefix="0" xfId="10">
      <alignment horizontal="left" vertical="center" indent="1"/>
    </xf>
    <xf numFmtId="164" fontId="7" fillId="3" borderId="2" applyAlignment="1" pivotButton="0" quotePrefix="0" xfId="8">
      <alignment horizontal="center" vertical="center"/>
    </xf>
    <xf numFmtId="165" fontId="7" fillId="3" borderId="2" applyAlignment="1" pivotButton="0" quotePrefix="0" xfId="8">
      <alignment horizontal="center" vertical="center"/>
    </xf>
    <xf numFmtId="164" fontId="7" fillId="8" borderId="2" applyAlignment="1" pivotButton="0" quotePrefix="0" xfId="8">
      <alignment horizontal="center" vertical="center"/>
    </xf>
    <xf numFmtId="165" fontId="7" fillId="8" borderId="2" applyAlignment="1" pivotButton="0" quotePrefix="0" xfId="8">
      <alignment horizontal="center" vertical="center"/>
    </xf>
    <xf numFmtId="0" fontId="6" fillId="3" borderId="2" applyAlignment="1" pivotButton="0" quotePrefix="0" xfId="6">
      <alignment horizontal="center" vertical="center" wrapText="1"/>
    </xf>
    <xf numFmtId="164" fontId="17" fillId="3" borderId="2" applyAlignment="1" pivotButton="0" quotePrefix="0" xfId="6">
      <alignment horizontal="center" vertical="center" wrapText="1"/>
    </xf>
    <xf numFmtId="165" fontId="17" fillId="3" borderId="2" applyAlignment="1" pivotButton="0" quotePrefix="0" xfId="6">
      <alignment horizontal="center" vertical="center" wrapText="1"/>
    </xf>
    <xf numFmtId="0" fontId="17" fillId="6" borderId="2" applyAlignment="1" pivotButton="0" quotePrefix="0" xfId="6">
      <alignment horizontal="center" vertical="center" wrapText="1"/>
    </xf>
    <xf numFmtId="166" fontId="7" fillId="3" borderId="2" applyAlignment="1" pivotButton="0" quotePrefix="0" xfId="8">
      <alignment horizontal="center" vertical="center"/>
    </xf>
    <xf numFmtId="164" fontId="6" fillId="0" borderId="2" applyAlignment="1" pivotButton="0" quotePrefix="0" xfId="6">
      <alignment horizontal="center" vertical="center" wrapText="1"/>
    </xf>
    <xf numFmtId="166" fontId="7" fillId="8" borderId="2" applyAlignment="1" pivotButton="0" quotePrefix="0" xfId="8">
      <alignment horizontal="center" vertical="center"/>
    </xf>
    <xf numFmtId="164" fontId="6" fillId="8" borderId="2" applyAlignment="1" pivotButton="0" quotePrefix="0" xfId="6">
      <alignment horizontal="center" vertical="center" wrapText="1"/>
    </xf>
    <xf numFmtId="166" fontId="10" fillId="3" borderId="2" applyAlignment="1" pivotButton="0" quotePrefix="0" xfId="6">
      <alignment horizontal="center" vertical="center" wrapText="1"/>
    </xf>
    <xf numFmtId="164" fontId="11" fillId="7" borderId="2" applyAlignment="1" pivotButton="0" quotePrefix="0" xfId="6">
      <alignment horizontal="center" vertical="center" wrapText="1"/>
    </xf>
    <xf numFmtId="164" fontId="7" fillId="0" borderId="2" applyAlignment="1" pivotButton="0" quotePrefix="0" xfId="10">
      <alignment horizontal="left" vertical="center" indent="1"/>
    </xf>
    <xf numFmtId="166" fontId="12" fillId="6" borderId="2" applyAlignment="1" pivotButton="0" quotePrefix="0" xfId="6">
      <alignment horizontal="center" vertical="center" wrapText="1"/>
    </xf>
    <xf numFmtId="167" fontId="7" fillId="0" borderId="2" applyAlignment="1" pivotButton="0" quotePrefix="0" xfId="10">
      <alignment horizontal="left" vertical="center" indent="1"/>
    </xf>
    <xf numFmtId="167" fontId="10" fillId="3" borderId="2" applyAlignment="1" pivotButton="0" quotePrefix="0" xfId="6">
      <alignment horizontal="center" vertical="center" wrapText="1"/>
    </xf>
    <xf numFmtId="168" fontId="7" fillId="0" borderId="2" applyAlignment="1" pivotButton="0" quotePrefix="0" xfId="10">
      <alignment horizontal="left" vertical="center" indent="1"/>
    </xf>
    <xf numFmtId="3" fontId="7" fillId="0" borderId="2" applyAlignment="1" pivotButton="0" quotePrefix="0" xfId="10">
      <alignment horizontal="left" vertical="center" indent="1"/>
    </xf>
    <xf numFmtId="166" fontId="18" fillId="7" borderId="2" applyAlignment="1" pivotButton="0" quotePrefix="0" xfId="6">
      <alignment horizontal="center" vertical="center" wrapText="1"/>
    </xf>
    <xf numFmtId="167" fontId="18" fillId="7" borderId="2" applyAlignment="1" pivotButton="0" quotePrefix="0" xfId="6">
      <alignment horizontal="center" vertical="center" wrapText="1"/>
    </xf>
    <xf numFmtId="171" fontId="18" fillId="6" borderId="2" applyAlignment="1" pivotButton="0" quotePrefix="0" xfId="6">
      <alignment horizontal="center" vertical="center" wrapText="1"/>
    </xf>
    <xf numFmtId="9"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dxfs count="2">
    <dxf>
      <font>
        <b val="1"/>
        <color rgb="00C94C4C"/>
      </font>
      <fill>
        <patternFill patternType="solid">
          <fgColor rgb="00FBE6E6"/>
        </patternFill>
      </fill>
    </dxf>
    <dxf>
      <font>
        <b val="1"/>
        <color rgb="001B4F48"/>
      </font>
      <fill>
        <patternFill patternType="solid">
          <fgColor rgb="00E3F8E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First Dates by Month</a:t>
            </a:r>
          </a:p>
        </rich>
      </tx>
    </title>
    <plotArea>
      <barChart>
        <barDir val="col"/>
        <grouping val="clustered"/>
        <ser>
          <idx val="0"/>
          <order val="0"/>
          <spPr>
            <a:ln>
              <a:prstDash val="solid"/>
            </a:ln>
          </spPr>
          <cat>
            <numRef>
              <f>'Dating Funnel'!$E$7:$E$12</f>
            </numRef>
          </cat>
          <val>
            <numRef>
              <f>'Dating Funnel'!$H$7:$H$12</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First Dates by Month</a:t>
            </a:r>
          </a:p>
        </rich>
      </tx>
    </title>
    <plotArea>
      <barChart>
        <barDir val="col"/>
        <grouping val="clustered"/>
        <ser>
          <idx val="0"/>
          <order val="0"/>
          <spPr>
            <a:ln>
              <a:prstDash val="solid"/>
            </a:ln>
          </spPr>
          <cat>
            <numRef>
              <f>'Dating Funnel'!$E$7:$E$12</f>
            </numRef>
          </cat>
          <val>
            <numRef>
              <f>'Dating Funnel'!$H$7:$H$12</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Spend by Month</a:t>
            </a:r>
          </a:p>
        </rich>
      </tx>
    </title>
    <plotArea>
      <barChart>
        <barDir val="col"/>
        <grouping val="clustered"/>
        <ser>
          <idx val="0"/>
          <order val="0"/>
          <spPr>
            <a:ln>
              <a:prstDash val="solid"/>
            </a:ln>
          </spPr>
          <cat>
            <numRef>
              <f>'Monthly Summary'!$B$19:$B$24</f>
            </numRef>
          </cat>
          <val>
            <numRef>
              <f>'Monthly Summary'!$C$19:$C$24</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13.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DATING LIFE COMMAND CENTER™</t>
        </is>
      </c>
    </row>
    <row r="2" ht="24" customHeight="1">
      <c r="A2" s="2" t="inlineStr">
        <is>
          <t xml:space="preserve">  Not to judge anyone. To see clearly what you already feel.</t>
        </is>
      </c>
    </row>
    <row r="3" ht="6" customHeight="1">
      <c r="A3" s="3" t="n"/>
      <c r="B3" s="3" t="n"/>
      <c r="C3" s="3" t="n"/>
    </row>
    <row r="5">
      <c r="B5" s="4" t="inlineStr">
        <is>
          <t>WHAT THIS IS FOR</t>
        </is>
      </c>
    </row>
    <row r="6" ht="22" customHeight="1">
      <c r="B6" s="5" t="inlineStr">
        <is>
          <t>Dating is the only part of life we're told not to think about clearly. Everywhere else, you'd look at the numbers. So: this month you matched with 240 people, had 68 conversations, went on 14 first dates and 5 second dates. That's 69 hours and around $497 \u2014 which means every second date cost you about 14 hours and $99. Not to make you feel bad. To let you decide, on purpose, whether that's how you want to spend a Tuesday. And then the part that actually matters: an effort scorecard that shows, in a number, whether the person you're seeing is meeting you halfway.</t>
        </is>
      </c>
    </row>
    <row r="7" ht="22" customHeight="1">
      <c r="B7" s="6" t="n"/>
    </row>
    <row r="8" ht="22" customHeight="1">
      <c r="B8" s="6" t="n"/>
    </row>
    <row r="9" ht="22" customHeight="1">
      <c r="B9" s="6" t="n"/>
    </row>
    <row r="11">
      <c r="B11" s="7" t="inlineStr">
        <is>
          <t>START HERE — 6 QUICK STEPS</t>
        </is>
      </c>
    </row>
    <row r="12" ht="22" customHeight="1">
      <c r="B12" s="8" t="inlineStr">
        <is>
          <t>1.  Non-Negotiables first. Write them before you meet anyone.</t>
        </is>
      </c>
    </row>
    <row r="13" ht="22" customHeight="1">
      <c r="B13" s="8" t="inlineStr">
        <is>
          <t>2.  Dating Funnel: matches, conversations, dates. Just the counts.</t>
        </is>
      </c>
    </row>
    <row r="14" ht="22" customHeight="1">
      <c r="B14" s="8" t="inlineStr">
        <is>
          <t>3.  Log dates as you go — what it cost, how long, how it felt.</t>
        </is>
      </c>
    </row>
    <row r="15" ht="22" customHeight="1">
      <c r="B15" s="8" t="inlineStr">
        <is>
          <t>4.  Effort &amp; Reciprocity: score you, then score them. Honestly.</t>
        </is>
      </c>
    </row>
    <row r="16" ht="22" customHeight="1">
      <c r="B16" s="8" t="inlineStr">
        <is>
          <t>5.  Green &amp; Red Flags: tick what you've actually SEEN, not hoped.</t>
        </is>
      </c>
    </row>
    <row r="17" ht="22" customHeight="1">
      <c r="B17" s="8" t="inlineStr">
        <is>
          <t>6.  Reflection at month end. That page is the whole point.</t>
        </is>
      </c>
    </row>
    <row r="20" ht="26" customHeight="1">
      <c r="B20" s="9" t="inlineStr">
        <is>
          <t xml:space="preserve">  A FEW HONEST NOTES</t>
        </is>
      </c>
    </row>
    <row r="21" ht="22" customHeight="1">
      <c r="B21" s="10" t="inlineStr">
        <is>
          <t>This is a personal organizing and reflection tool. It is not relationship, psychological or medical advice, and no spreadsheet can tell you whether to love someone. The scores are a mirror, not a verdict \u2014 a low effort ratio doesn't mean a person is bad, it means you're doing more of the work, and only you can decide what to do about that. Please fill in the Safety Plan tab before your next first date. Sample data for a fictional person is included so you can see how it connects; type over it with your own. Keep this file private \u2014 it's yours.</t>
        </is>
      </c>
    </row>
    <row r="22" ht="22" customHeight="1">
      <c r="B22" s="11" t="n"/>
    </row>
    <row r="23" ht="22" customHeight="1">
      <c r="B23" s="11" t="n"/>
    </row>
    <row r="24" ht="22" customHeight="1">
      <c r="B24" s="11" t="n"/>
    </row>
    <row r="26">
      <c r="B26" s="4" t="inlineStr">
        <is>
          <t>You already know. This just puts a number on the thing you already know.</t>
        </is>
      </c>
    </row>
  </sheetData>
  <mergeCells count="14">
    <mergeCell ref="B17"/>
    <mergeCell ref="B12"/>
    <mergeCell ref="B13"/>
    <mergeCell ref="A1:C1"/>
    <mergeCell ref="B26"/>
    <mergeCell ref="B15"/>
    <mergeCell ref="B11"/>
    <mergeCell ref="B6:B9"/>
    <mergeCell ref="B16"/>
    <mergeCell ref="B20"/>
    <mergeCell ref="B21:B24"/>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DATING LIFE COMMAND CENTER™</t>
        </is>
      </c>
    </row>
    <row r="2" ht="24" customHeight="1">
      <c r="A2" s="2" t="inlineStr">
        <is>
          <t xml:space="preserve">  Your month, honestly — and whether they're meeting you halfway.</t>
        </is>
      </c>
    </row>
    <row r="3" ht="6" customHeight="1">
      <c r="A3" s="3" t="n"/>
      <c r="B3" s="3" t="n"/>
      <c r="C3" s="3" t="n"/>
      <c r="D3" s="3" t="n"/>
      <c r="E3" s="3" t="n"/>
      <c r="F3" s="3" t="n"/>
      <c r="G3" s="3" t="n"/>
      <c r="H3" s="3" t="n"/>
      <c r="I3" s="3" t="n"/>
      <c r="J3" s="3" t="n"/>
      <c r="K3" s="3" t="n"/>
      <c r="L3" s="3" t="n"/>
      <c r="M3" s="3" t="n"/>
      <c r="N3" s="3" t="n"/>
    </row>
    <row r="5" ht="18" customHeight="1">
      <c r="B5" s="12" t="inlineStr">
        <is>
          <t>MATCHES</t>
        </is>
      </c>
      <c r="C5" s="13" t="n"/>
      <c r="D5" s="12" t="inlineStr">
        <is>
          <t>CONVERSATIONS</t>
        </is>
      </c>
      <c r="E5" s="13" t="n"/>
      <c r="F5" s="12" t="inlineStr">
        <is>
          <t>FIRST DATES</t>
        </is>
      </c>
      <c r="G5" s="13" t="n"/>
      <c r="H5" s="12" t="inlineStr">
        <is>
          <t>SECOND DATES</t>
        </is>
      </c>
      <c r="I5" s="13" t="n"/>
      <c r="J5" s="12" t="inlineStr">
        <is>
          <t>SECOND-DATE RATE</t>
        </is>
      </c>
      <c r="K5" s="13" t="n"/>
      <c r="L5" s="12" t="inlineStr">
        <is>
          <t>STILL SEEING</t>
        </is>
      </c>
      <c r="M5" s="13" t="n"/>
    </row>
    <row r="6" ht="40" customHeight="1">
      <c r="B6" s="14">
        <f>Matches</f>
        <v/>
      </c>
      <c r="C6" s="15" t="n"/>
      <c r="D6" s="14">
        <f>Conversations</f>
        <v/>
      </c>
      <c r="E6" s="15" t="n"/>
      <c r="F6" s="14">
        <f>FirstDates</f>
        <v/>
      </c>
      <c r="G6" s="15" t="n"/>
      <c r="H6" s="14">
        <f>SecondDates</f>
        <v/>
      </c>
      <c r="I6" s="15" t="n"/>
      <c r="J6" s="16">
        <f>SecondDateRate</f>
        <v/>
      </c>
      <c r="K6" s="15" t="n"/>
      <c r="L6" s="14">
        <f>StillSeeing</f>
        <v/>
      </c>
      <c r="M6" s="15" t="n"/>
    </row>
    <row r="8" ht="18" customHeight="1">
      <c r="B8" s="12" t="inlineStr">
        <is>
          <t>HOURS THIS MONTH</t>
        </is>
      </c>
      <c r="C8" s="13" t="n"/>
      <c r="D8" s="12" t="inlineStr">
        <is>
          <t>SPENT THIS MONTH</t>
        </is>
      </c>
      <c r="E8" s="13" t="n"/>
      <c r="F8" s="12" t="inlineStr">
        <is>
          <t>PER SECOND DATE</t>
        </is>
      </c>
      <c r="G8" s="13" t="n"/>
      <c r="H8" s="12" t="inlineStr">
        <is>
          <t>HOURS PER SECOND DATE</t>
        </is>
      </c>
      <c r="I8" s="13" t="n"/>
      <c r="J8" s="12" t="inlineStr">
        <is>
          <t>YOU'RE DOING</t>
        </is>
      </c>
      <c r="K8" s="13" t="n"/>
      <c r="L8" s="12" t="inlineStr">
        <is>
          <t>DATING SCORE</t>
        </is>
      </c>
      <c r="M8" s="13" t="n"/>
    </row>
    <row r="9" ht="40" customHeight="1">
      <c r="B9" s="14">
        <f>HoursSpent</f>
        <v/>
      </c>
      <c r="C9" s="15" t="n"/>
      <c r="D9" s="17">
        <f>SpendTotal</f>
        <v/>
      </c>
      <c r="E9" s="15" t="n"/>
      <c r="F9" s="18">
        <f>CostPerSecondDate</f>
        <v/>
      </c>
      <c r="G9" s="15" t="n"/>
      <c r="H9" s="19">
        <f>HoursPerSecondDate</f>
        <v/>
      </c>
      <c r="I9" s="15" t="n"/>
      <c r="J9" s="19">
        <f>EffortRatio</f>
        <v/>
      </c>
      <c r="K9" s="15" t="n"/>
      <c r="L9" s="20">
        <f>IFERROR(AVERAGE(HealthRange),0)</f>
        <v/>
      </c>
      <c r="M9" s="15" t="n"/>
    </row>
    <row r="11" ht="26" customHeight="1">
      <c r="B11" s="4" t="inlineStr">
        <is>
          <t>HOW IT'S ACTUALLY GOING</t>
        </is>
      </c>
      <c r="H11" s="4" t="inlineStr">
        <is>
          <t>FIRST DATES BY MONTH</t>
        </is>
      </c>
    </row>
    <row r="12" ht="30" customHeight="1">
      <c r="B12" s="9" t="inlineStr">
        <is>
          <t>Check</t>
        </is>
      </c>
      <c r="C12" s="9" t="inlineStr">
        <is>
          <t>Score</t>
        </is>
      </c>
      <c r="D12" s="9" t="inlineStr">
        <is>
          <t>Status</t>
        </is>
      </c>
    </row>
    <row r="13">
      <c r="B13" s="21" t="inlineStr">
        <is>
          <t>You're meeting people, not texting them</t>
        </is>
      </c>
      <c r="C13" s="22">
        <f>IFERROR(MIN(DaysGoal/DaysToDate,1),0)</f>
        <v/>
      </c>
      <c r="D13" s="23">
        <f>IF(C13&gt;=0.85,"Good",IF(C13&gt;=0.6,"OK","Look at this"))</f>
        <v/>
      </c>
    </row>
    <row r="14">
      <c r="B14" s="24" t="inlineStr">
        <is>
          <t>Second dates happening</t>
        </is>
      </c>
      <c r="C14" s="25">
        <f>IFERROR(MIN(SecondDateRate/SecondDateGoal,1),0)</f>
        <v/>
      </c>
      <c r="D14" s="26">
        <f>IF(C14&gt;=0.85,"Good",IF(C14&gt;=0.6,"OK","Look at this"))</f>
        <v/>
      </c>
    </row>
    <row r="15">
      <c r="B15" s="21" t="inlineStr">
        <is>
          <t>Green flags outweigh red</t>
        </is>
      </c>
      <c r="C15" s="22">
        <f>IFERROR(MIN(FlagNet/FlagGoal,1),0)</f>
        <v/>
      </c>
      <c r="D15" s="23">
        <f>IF(C15&gt;=0.85,"Good",IF(C15&gt;=0.6,"OK","Look at this"))</f>
        <v/>
      </c>
    </row>
    <row r="16">
      <c r="B16" s="24" t="inlineStr">
        <is>
          <t>Spending inside your budget</t>
        </is>
      </c>
      <c r="C16" s="25">
        <f>IFERROR(MIN(Budget/SpendTotal,1),0)</f>
        <v/>
      </c>
      <c r="D16" s="26">
        <f>IF(C16&gt;=0.85,"Good",IF(C16&gt;=0.6,"OK","Look at this"))</f>
        <v/>
      </c>
    </row>
    <row r="17">
      <c r="B17" s="21" t="inlineStr">
        <is>
          <t>Safety steps held</t>
        </is>
      </c>
      <c r="C17" s="22">
        <f>IFERROR(MIN(SafetyHeld/9,1),0)</f>
        <v/>
      </c>
      <c r="D17" s="23">
        <f>IF(C17&gt;=0.85,"Good",IF(C17&gt;=0.6,"OK","Look at this"))</f>
        <v/>
      </c>
    </row>
    <row r="18">
      <c r="B18" s="24" t="inlineStr">
        <is>
          <t>Effort is reciprocal</t>
        </is>
      </c>
      <c r="C18" s="25">
        <f>IFERROR(MIN(EffortGoal/EffortRatio,1),0)</f>
        <v/>
      </c>
      <c r="D18" s="26">
        <f>IF(C18&gt;=0.85,"Good",IF(C18&gt;=0.6,"OK","Look at this"))</f>
        <v/>
      </c>
    </row>
    <row r="21" ht="26" customHeight="1">
      <c r="B21" s="2" t="inlineStr">
        <is>
          <t>Dating Life Command Center™ — a mirror, not a verdict.</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8" defaultRowHeight="15"/>
  <cols>
    <col width="2" customWidth="1" min="1" max="1"/>
    <col width="46" customWidth="1" min="2" max="2"/>
    <col width="18" customWidth="1" min="3" max="3"/>
    <col width="3" customWidth="1" min="4" max="4"/>
    <col width="12" customWidth="1" min="5" max="5"/>
    <col width="14" customWidth="1" min="6" max="6"/>
    <col width="14" customWidth="1" min="7" max="7"/>
    <col width="14" customWidth="1" min="8" max="8"/>
    <col width="14" customWidth="1" min="9" max="9"/>
    <col width="2" customWidth="1" min="10" max="10"/>
  </cols>
  <sheetData>
    <row r="1" ht="46" customHeight="1">
      <c r="A1" s="1" t="inlineStr">
        <is>
          <t xml:space="preserve">  📊  DATING FUNNEL — THE ENGINE</t>
        </is>
      </c>
    </row>
    <row r="2" ht="22" customHeight="1">
      <c r="A2" s="2" t="inlineStr">
        <is>
          <t xml:space="preserve">  Matches to conversations to dates to second dates — and what each one really costs.</t>
        </is>
      </c>
    </row>
    <row r="3" ht="6" customHeight="1">
      <c r="A3" s="3" t="n"/>
      <c r="B3" s="3" t="n"/>
      <c r="C3" s="3" t="n"/>
      <c r="D3" s="3" t="n"/>
      <c r="E3" s="3" t="n"/>
      <c r="F3" s="3" t="n"/>
      <c r="G3" s="3" t="n"/>
      <c r="H3" s="3" t="n"/>
      <c r="I3" s="3" t="n"/>
    </row>
    <row r="5">
      <c r="B5" s="4" t="inlineStr">
        <is>
          <t>THIS MONTH</t>
        </is>
      </c>
      <c r="E5" s="4" t="inlineStr">
        <is>
          <t>THE FUNNEL, MONTH BY MONTH</t>
        </is>
      </c>
    </row>
    <row r="6" ht="30" customHeight="1">
      <c r="B6" s="27" t="inlineStr">
        <is>
          <t>Matches</t>
        </is>
      </c>
      <c r="C6" s="28" t="n">
        <v>240</v>
      </c>
      <c r="E6" s="9" t="inlineStr">
        <is>
          <t>Month</t>
        </is>
      </c>
      <c r="F6" s="9" t="inlineStr">
        <is>
          <t>Matches</t>
        </is>
      </c>
      <c r="G6" s="9" t="inlineStr">
        <is>
          <t>Convos</t>
        </is>
      </c>
      <c r="H6" s="9" t="inlineStr">
        <is>
          <t>1st dates</t>
        </is>
      </c>
      <c r="I6" s="9" t="inlineStr">
        <is>
          <t>2nd dates</t>
        </is>
      </c>
    </row>
    <row r="7">
      <c r="B7" s="27" t="inlineStr">
        <is>
          <t>→ Conversations that actually started</t>
        </is>
      </c>
      <c r="C7" s="28" t="n">
        <v>68</v>
      </c>
      <c r="E7" s="21" t="inlineStr">
        <is>
          <t>Feb</t>
        </is>
      </c>
      <c r="F7" s="28" t="n">
        <v>190</v>
      </c>
      <c r="G7" s="28" t="n">
        <v>44</v>
      </c>
      <c r="H7" s="28" t="n">
        <v>8</v>
      </c>
      <c r="I7" s="28" t="n">
        <v>2</v>
      </c>
    </row>
    <row r="8">
      <c r="B8" s="27" t="inlineStr">
        <is>
          <t>→ First dates</t>
        </is>
      </c>
      <c r="C8" s="28" t="n">
        <v>14</v>
      </c>
      <c r="E8" s="24" t="inlineStr">
        <is>
          <t>Mar</t>
        </is>
      </c>
      <c r="F8" s="29" t="n">
        <v>205</v>
      </c>
      <c r="G8" s="29" t="n">
        <v>51</v>
      </c>
      <c r="H8" s="29" t="n">
        <v>9</v>
      </c>
      <c r="I8" s="29" t="n">
        <v>3</v>
      </c>
    </row>
    <row r="9">
      <c r="B9" s="27" t="inlineStr">
        <is>
          <t>→ Second dates</t>
        </is>
      </c>
      <c r="C9" s="28" t="n">
        <v>5</v>
      </c>
      <c r="E9" s="21" t="inlineStr">
        <is>
          <t>Apr</t>
        </is>
      </c>
      <c r="F9" s="28" t="n">
        <v>218</v>
      </c>
      <c r="G9" s="28" t="n">
        <v>55</v>
      </c>
      <c r="H9" s="28" t="n">
        <v>11</v>
      </c>
      <c r="I9" s="28" t="n">
        <v>3</v>
      </c>
    </row>
    <row r="10">
      <c r="B10" s="27" t="inlineStr">
        <is>
          <t>→ Still seeing</t>
        </is>
      </c>
      <c r="C10" s="28" t="n">
        <v>2</v>
      </c>
      <c r="E10" s="24" t="inlineStr">
        <is>
          <t>May</t>
        </is>
      </c>
      <c r="F10" s="29" t="n">
        <v>226</v>
      </c>
      <c r="G10" s="29" t="n">
        <v>61</v>
      </c>
      <c r="H10" s="29" t="n">
        <v>12</v>
      </c>
      <c r="I10" s="29" t="n">
        <v>4</v>
      </c>
    </row>
    <row r="11">
      <c r="E11" s="21" t="inlineStr">
        <is>
          <t>Jun</t>
        </is>
      </c>
      <c r="F11" s="28" t="n">
        <v>233</v>
      </c>
      <c r="G11" s="28" t="n">
        <v>64</v>
      </c>
      <c r="H11" s="28" t="n">
        <v>13</v>
      </c>
      <c r="I11" s="28" t="n">
        <v>4</v>
      </c>
    </row>
    <row r="12">
      <c r="B12" s="4" t="inlineStr">
        <is>
          <t>WHAT SURVIVES EACH STEP</t>
        </is>
      </c>
      <c r="E12" s="24" t="inlineStr">
        <is>
          <t>Jul</t>
        </is>
      </c>
      <c r="F12" s="29" t="n">
        <v>240</v>
      </c>
      <c r="G12" s="29" t="n">
        <v>68</v>
      </c>
      <c r="H12" s="29" t="n">
        <v>14</v>
      </c>
      <c r="I12" s="29" t="n">
        <v>5</v>
      </c>
    </row>
    <row r="13">
      <c r="B13" s="27" t="inlineStr">
        <is>
          <t>Matches that become a conversation</t>
        </is>
      </c>
      <c r="C13" s="30">
        <f>IFERROR(Conversations/Matches,0)</f>
        <v/>
      </c>
    </row>
    <row r="14">
      <c r="B14" s="27" t="inlineStr">
        <is>
          <t>Conversations that become a date</t>
        </is>
      </c>
      <c r="C14" s="30">
        <f>IFERROR(FirstDates/Conversations,0)</f>
        <v/>
      </c>
    </row>
    <row r="15">
      <c r="B15" s="9">
        <f> MATCHES THAT BECOME A DATE</f>
        <v/>
      </c>
      <c r="C15" s="31">
        <f>IFERROR(FirstDates/Matches,0)</f>
        <v/>
      </c>
    </row>
    <row r="16">
      <c r="B16" s="9">
        <f> FIRST DATES THAT BECOME A SECOND</f>
        <v/>
      </c>
      <c r="C16" s="32">
        <f>IFERROR(SecondDates/FirstDates,0)</f>
        <v/>
      </c>
    </row>
    <row r="18">
      <c r="B18" s="4" t="inlineStr">
        <is>
          <t>WHAT IT COST YOU</t>
        </is>
      </c>
    </row>
    <row r="19">
      <c r="B19" s="27" t="inlineStr">
        <is>
          <t>Hours spent this month</t>
        </is>
      </c>
      <c r="C19" s="33">
        <f>SwipeHours+MessageHours+FirstDates*(HoursPerDate+PrepPerDate)</f>
        <v/>
      </c>
    </row>
    <row r="20">
      <c r="B20" s="27" t="inlineStr">
        <is>
          <t>Money spent this month</t>
        </is>
      </c>
      <c r="C20" s="34">
        <f>SpendTotal</f>
        <v/>
      </c>
    </row>
    <row r="21">
      <c r="B21" s="9">
        <f> PER FIRST DATE</f>
        <v/>
      </c>
      <c r="C21" s="35">
        <f>IFERROR(SpendTotal/FirstDates,0)</f>
        <v/>
      </c>
    </row>
    <row r="22">
      <c r="B22" s="9">
        <f> PER SECOND DATE</f>
        <v/>
      </c>
      <c r="C22" s="36">
        <f>IFERROR(SpendTotal/SecondDates,0)</f>
        <v/>
      </c>
    </row>
    <row r="23">
      <c r="B23" s="9">
        <f> HOURS PER SECOND DATE</f>
        <v/>
      </c>
      <c r="C23" s="37">
        <f>IFERROR(HoursSpent/SecondDates,0)</f>
        <v/>
      </c>
    </row>
    <row r="25">
      <c r="B25" s="4" t="inlineStr">
        <is>
          <t>Not to make you feel bad. To let you decide, on purpose, how you want to spend a Tuesday.</t>
        </is>
      </c>
    </row>
  </sheetData>
  <mergeCells count="3">
    <mergeCell ref="A1:I1"/>
    <mergeCell ref="E5:I5"/>
    <mergeCell ref="A2:I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 customWidth="1" min="1" max="1"/>
    <col width="38" customWidth="1" min="2" max="2"/>
    <col width="14" customWidth="1" min="3" max="3"/>
    <col width="14" customWidth="1" min="4" max="4"/>
    <col width="16" customWidth="1" min="5" max="5"/>
    <col width="2" customWidth="1" min="6" max="6"/>
  </cols>
  <sheetData>
    <row r="1" ht="46" customHeight="1">
      <c r="A1" s="1" t="inlineStr">
        <is>
          <t xml:space="preserve">  ⚖  EFFORT &amp; RECIPROCITY</t>
        </is>
      </c>
    </row>
    <row r="2" ht="22" customHeight="1">
      <c r="A2" s="2" t="inlineStr">
        <is>
          <t xml:space="preserve">  Score yourself, then score them. Out of ten, on what actually happened.</t>
        </is>
      </c>
    </row>
    <row r="3" ht="6" customHeight="1">
      <c r="A3" s="3" t="n"/>
      <c r="B3" s="3" t="n"/>
      <c r="C3" s="3" t="n"/>
      <c r="D3" s="3" t="n"/>
      <c r="E3" s="3" t="n"/>
    </row>
    <row r="4">
      <c r="B4" s="4" t="inlineStr">
        <is>
          <t>Be fair to both of you. Score what happened this month, not what you hope happens next month.</t>
        </is>
      </c>
    </row>
    <row r="5" ht="30" customHeight="1">
      <c r="B5" s="9" t="inlineStr">
        <is>
          <t>What</t>
        </is>
      </c>
      <c r="C5" s="9" t="inlineStr">
        <is>
          <t>You</t>
        </is>
      </c>
      <c r="D5" s="9" t="inlineStr">
        <is>
          <t>Them</t>
        </is>
      </c>
      <c r="E5" s="9" t="inlineStr">
        <is>
          <t>Difference</t>
        </is>
      </c>
    </row>
    <row r="6">
      <c r="B6" s="21" t="inlineStr">
        <is>
          <t>Initiating contact</t>
        </is>
      </c>
      <c r="C6" s="38" t="n">
        <v>9</v>
      </c>
      <c r="D6" s="38" t="n">
        <v>2</v>
      </c>
      <c r="E6" s="39">
        <f>C6-D6</f>
        <v/>
      </c>
    </row>
    <row r="7">
      <c r="B7" s="24" t="inlineStr">
        <is>
          <t>Planning the dates</t>
        </is>
      </c>
      <c r="C7" s="40" t="n">
        <v>9</v>
      </c>
      <c r="D7" s="40" t="n">
        <v>2</v>
      </c>
      <c r="E7" s="41">
        <f>C7-D7</f>
        <v/>
      </c>
    </row>
    <row r="8">
      <c r="B8" s="21" t="inlineStr">
        <is>
          <t>Paying / splitting fairly</t>
        </is>
      </c>
      <c r="C8" s="38" t="n">
        <v>6</v>
      </c>
      <c r="D8" s="38" t="n">
        <v>4</v>
      </c>
      <c r="E8" s="39">
        <f>C8-D8</f>
        <v/>
      </c>
    </row>
    <row r="9">
      <c r="B9" s="24" t="inlineStr">
        <is>
          <t>Being flexible on timing</t>
        </is>
      </c>
      <c r="C9" s="40" t="n">
        <v>8</v>
      </c>
      <c r="D9" s="40" t="n">
        <v>3</v>
      </c>
      <c r="E9" s="41">
        <f>C9-D9</f>
        <v/>
      </c>
    </row>
    <row r="10">
      <c r="B10" s="21" t="inlineStr">
        <is>
          <t>Following through on plans</t>
        </is>
      </c>
      <c r="C10" s="38" t="n">
        <v>9</v>
      </c>
      <c r="D10" s="38" t="n">
        <v>3</v>
      </c>
      <c r="E10" s="39">
        <f>C10-D10</f>
        <v/>
      </c>
    </row>
    <row r="11">
      <c r="B11" s="24" t="inlineStr">
        <is>
          <t>Asking about their life</t>
        </is>
      </c>
      <c r="C11" s="40" t="n">
        <v>7</v>
      </c>
      <c r="D11" s="40" t="n">
        <v>2</v>
      </c>
      <c r="E11" s="41">
        <f>C11-D11</f>
        <v/>
      </c>
    </row>
    <row r="12">
      <c r="B12" s="9" t="inlineStr">
        <is>
          <t>TOTAL</t>
        </is>
      </c>
      <c r="C12" s="42">
        <f>SUM(YouScores)</f>
        <v/>
      </c>
      <c r="D12" s="42">
        <f>SUM(ThemScores)</f>
        <v/>
      </c>
      <c r="E12" s="43">
        <f>YourEffort-TheirEffort</f>
        <v/>
      </c>
    </row>
    <row r="14">
      <c r="B14" s="9">
        <f> YOU ARE DOING THIS MUCH OF THE WORK</f>
        <v/>
      </c>
      <c r="C14" s="44">
        <f>IFERROR(YourEffort/TheirEffort,0)</f>
        <v/>
      </c>
    </row>
    <row r="15">
      <c r="B15" s="27" t="inlineStr">
        <is>
          <t>Anything at 1.0 is even. Your goal</t>
        </is>
      </c>
      <c r="C15" s="45">
        <f>EffortGoal</f>
        <v/>
      </c>
    </row>
    <row r="16">
      <c r="B16" s="9">
        <f> WHERE THAT LEAVES YOU</f>
        <v/>
      </c>
      <c r="C16" s="46">
        <f>IF(EffortRatio&lt;=EffortGoal,"MET HALFWAY",IF(EffortRatio&lt;=2,"CARRYING IT","CARRYING ALL OF IT"))</f>
        <v/>
      </c>
    </row>
    <row r="18">
      <c r="B18" s="4" t="inlineStr">
        <is>
          <t>A low score here doesn't make someone a bad person. It just means you're doing more of the work.</t>
        </is>
      </c>
    </row>
    <row r="19">
      <c r="B19" s="27" t="inlineStr">
        <is>
          <t>What you do with that is entirely yours to decide.</t>
        </is>
      </c>
    </row>
  </sheetData>
  <mergeCells count="2">
    <mergeCell ref="A2:E2"/>
    <mergeCell ref="A1:E1"/>
  </mergeCells>
  <conditionalFormatting sqref="E6:E11">
    <cfRule type="cellIs" priority="1" operator="greaterThanOrEqual" dxfId="0">
      <formula>5</formula>
    </cfRule>
  </conditionalFormatting>
  <conditionalFormatting sqref="C16">
    <cfRule type="cellIs" priority="2" operator="equal" dxfId="0">
      <formula>"CARRYING ALL OF IT"</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showGridLines="0" workbookViewId="0">
      <pane ySplit="6" topLeftCell="A7" activePane="bottomLeft" state="frozen"/>
      <selection pane="bottomLeft" activeCell="A1" sqref="A1"/>
    </sheetView>
  </sheetViews>
  <sheetFormatPr baseColWidth="8" defaultRowHeight="15"/>
  <cols>
    <col width="2" customWidth="1" min="1" max="1"/>
    <col width="48" customWidth="1" min="2" max="2"/>
    <col width="14" customWidth="1" min="3" max="3"/>
    <col width="3" customWidth="1" min="4" max="4"/>
    <col width="48" customWidth="1" min="5" max="5"/>
    <col width="14" customWidth="1" min="6" max="6"/>
    <col width="2" customWidth="1" min="7" max="7"/>
  </cols>
  <sheetData>
    <row r="1" ht="46" customHeight="1">
      <c r="A1" s="1" t="inlineStr">
        <is>
          <t xml:space="preserve">  🚩  GREEN &amp; RED FLAGS</t>
        </is>
      </c>
    </row>
    <row r="2" ht="22" customHeight="1">
      <c r="A2" s="2" t="inlineStr">
        <is>
          <t xml:space="preserve">  Tick what you have actually SEEN. Not what you hope. Not what they said once.</t>
        </is>
      </c>
    </row>
    <row r="3" ht="6" customHeight="1">
      <c r="A3" s="3" t="n"/>
      <c r="B3" s="3" t="n"/>
      <c r="C3" s="3" t="n"/>
      <c r="D3" s="3" t="n"/>
      <c r="E3" s="3" t="n"/>
      <c r="F3" s="3" t="n"/>
    </row>
    <row r="5">
      <c r="B5" s="4" t="inlineStr">
        <is>
          <t>GREEN — THE ONES THAT MATTER</t>
        </is>
      </c>
      <c r="E5" s="4" t="inlineStr">
        <is>
          <t>RED — THE ONES WE TALK OURSELVES OUT OF</t>
        </is>
      </c>
    </row>
    <row r="6" ht="30" customHeight="1">
      <c r="B6" s="9" t="inlineStr">
        <is>
          <t>Green flag</t>
        </is>
      </c>
      <c r="C6" s="9" t="inlineStr">
        <is>
          <t>Seen it?</t>
        </is>
      </c>
      <c r="E6" s="9" t="inlineStr">
        <is>
          <t>Red flag</t>
        </is>
      </c>
      <c r="F6" s="9" t="inlineStr">
        <is>
          <t>Seen it?</t>
        </is>
      </c>
    </row>
    <row r="7">
      <c r="B7" s="21" t="inlineStr">
        <is>
          <t>Texts back in a normal amount of time</t>
        </is>
      </c>
      <c r="C7" s="47" t="inlineStr">
        <is>
          <t>Yes</t>
        </is>
      </c>
      <c r="E7" s="21" t="inlineStr">
        <is>
          <t>Only texts late at night</t>
        </is>
      </c>
      <c r="F7" s="47" t="inlineStr">
        <is>
          <t>Yes</t>
        </is>
      </c>
    </row>
    <row r="8">
      <c r="B8" s="24" t="inlineStr">
        <is>
          <t>Asks questions about your life</t>
        </is>
      </c>
      <c r="C8" s="48" t="inlineStr">
        <is>
          <t>Yes</t>
        </is>
      </c>
      <c r="E8" s="24" t="inlineStr">
        <is>
          <t>Vague about plans until the last minute</t>
        </is>
      </c>
      <c r="F8" s="48" t="inlineStr">
        <is>
          <t>Yes</t>
        </is>
      </c>
    </row>
    <row r="9">
      <c r="B9" s="21" t="inlineStr">
        <is>
          <t>Plans an actual date, with a time and a place</t>
        </is>
      </c>
      <c r="C9" s="47" t="inlineStr">
        <is>
          <t>No</t>
        </is>
      </c>
      <c r="E9" s="21" t="inlineStr">
        <is>
          <t>Speaks badly about every ex</t>
        </is>
      </c>
      <c r="F9" s="47" t="inlineStr">
        <is>
          <t>No</t>
        </is>
      </c>
    </row>
    <row r="10">
      <c r="B10" s="24" t="inlineStr">
        <is>
          <t>Is kind to waiting staff</t>
        </is>
      </c>
      <c r="C10" s="48" t="inlineStr">
        <is>
          <t>Yes</t>
        </is>
      </c>
      <c r="E10" s="24" t="inlineStr">
        <is>
          <t>Pushes past a no</t>
        </is>
      </c>
      <c r="F10" s="48" t="inlineStr">
        <is>
          <t>No</t>
        </is>
      </c>
    </row>
    <row r="11">
      <c r="B11" s="21" t="inlineStr">
        <is>
          <t>Talks about their friends warmly</t>
        </is>
      </c>
      <c r="C11" s="47" t="inlineStr">
        <is>
          <t>Yes</t>
        </is>
      </c>
      <c r="E11" s="21" t="inlineStr">
        <is>
          <t>Love-bombs, then goes quiet</t>
        </is>
      </c>
      <c r="F11" s="47" t="inlineStr">
        <is>
          <t>No</t>
        </is>
      </c>
    </row>
    <row r="12">
      <c r="B12" s="24" t="inlineStr">
        <is>
          <t>Handles a small disagreement calmly</t>
        </is>
      </c>
      <c r="C12" s="48" t="inlineStr">
        <is>
          <t>Yes</t>
        </is>
      </c>
      <c r="E12" s="24" t="inlineStr">
        <is>
          <t>Won't be seen with you in public</t>
        </is>
      </c>
      <c r="F12" s="48" t="inlineStr">
        <is>
          <t>No</t>
        </is>
      </c>
    </row>
    <row r="13">
      <c r="B13" s="21" t="inlineStr">
        <is>
          <t>Respects a no the first time</t>
        </is>
      </c>
      <c r="C13" s="47" t="inlineStr">
        <is>
          <t>Yes</t>
        </is>
      </c>
      <c r="E13" s="21" t="inlineStr">
        <is>
          <t>Makes you feel like you're too much</t>
        </is>
      </c>
      <c r="F13" s="47" t="inlineStr">
        <is>
          <t>No</t>
        </is>
      </c>
    </row>
    <row r="14">
      <c r="B14" s="24" t="inlineStr">
        <is>
          <t>Is where they said they'd be</t>
        </is>
      </c>
      <c r="C14" s="48" t="inlineStr">
        <is>
          <t>Yes</t>
        </is>
      </c>
      <c r="E14" s="24" t="inlineStr">
        <is>
          <t>Rude to staff or strangers</t>
        </is>
      </c>
      <c r="F14" s="48" t="inlineStr">
        <is>
          <t>No</t>
        </is>
      </c>
    </row>
    <row r="15">
      <c r="B15" s="21" t="inlineStr">
        <is>
          <t>Introduces you to people in their life</t>
        </is>
      </c>
      <c r="C15" s="47" t="inlineStr">
        <is>
          <t>No</t>
        </is>
      </c>
      <c r="E15" s="21" t="inlineStr">
        <is>
          <t>Story details keep changing</t>
        </is>
      </c>
      <c r="F15" s="47" t="inlineStr">
        <is>
          <t>No</t>
        </is>
      </c>
    </row>
    <row r="16">
      <c r="B16" s="24" t="inlineStr">
        <is>
          <t>Says what they want out loud</t>
        </is>
      </c>
      <c r="C16" s="48" t="inlineStr">
        <is>
          <t>No</t>
        </is>
      </c>
      <c r="E16" s="24" t="inlineStr">
        <is>
          <t>Won't discuss what this is</t>
        </is>
      </c>
      <c r="F16" s="48" t="inlineStr">
        <is>
          <t>No</t>
        </is>
      </c>
    </row>
    <row r="17">
      <c r="B17" s="21" t="inlineStr">
        <is>
          <t>Remembers what you told them</t>
        </is>
      </c>
      <c r="C17" s="47" t="inlineStr">
        <is>
          <t>Yes</t>
        </is>
      </c>
      <c r="E17" s="21" t="inlineStr">
        <is>
          <t>Only reaches out when they need something</t>
        </is>
      </c>
      <c r="F17" s="47" t="inlineStr">
        <is>
          <t>No</t>
        </is>
      </c>
    </row>
    <row r="18">
      <c r="B18" s="24" t="inlineStr">
        <is>
          <t>You feel calm afterwards, not anxious</t>
        </is>
      </c>
      <c r="C18" s="48" t="inlineStr">
        <is>
          <t>Yes</t>
        </is>
      </c>
      <c r="E18" s="24" t="inlineStr">
        <is>
          <t>You feel anxious after seeing them</t>
        </is>
      </c>
      <c r="F18" s="48" t="inlineStr">
        <is>
          <t>No</t>
        </is>
      </c>
    </row>
    <row r="19">
      <c r="B19" s="9" t="inlineStr">
        <is>
          <t>GREEN FLAGS SEEN</t>
        </is>
      </c>
      <c r="C19" s="49">
        <f>COUNTIF(GreenSeen,"Yes")</f>
        <v/>
      </c>
      <c r="E19" s="9" t="inlineStr">
        <is>
          <t>RED FLAGS SEEN</t>
        </is>
      </c>
      <c r="F19" s="50">
        <f>COUNTIF(RedSeen,"Yes")</f>
        <v/>
      </c>
    </row>
    <row r="21">
      <c r="B21" s="9">
        <f> GREEN MINUS RED</f>
        <v/>
      </c>
      <c r="C21" s="51">
        <f>GreenCount-RedCount</f>
        <v/>
      </c>
      <c r="E21" s="4" t="inlineStr">
        <is>
          <t>One red flag you keep explaining away outweighs five green ones.</t>
        </is>
      </c>
    </row>
  </sheetData>
  <mergeCells count="4">
    <mergeCell ref="A2:F2"/>
    <mergeCell ref="E5:F5"/>
    <mergeCell ref="B5:C5"/>
    <mergeCell ref="A1:F1"/>
  </mergeCells>
  <conditionalFormatting sqref="C7:C18">
    <cfRule type="cellIs" priority="1" operator="equal" dxfId="1">
      <formula>"Yes"</formula>
    </cfRule>
  </conditionalFormatting>
  <conditionalFormatting sqref="F7:F18">
    <cfRule type="cellIs" priority="2" operator="equal" dxfId="0">
      <formula>"Yes"</formula>
    </cfRule>
  </conditionalFormatting>
  <dataValidations count="2">
    <dataValidation sqref="C7:C18" showDropDown="0" showInputMessage="0" showErrorMessage="0" allowBlank="1" type="list">
      <formula1>=YesNoList</formula1>
    </dataValidation>
    <dataValidation sqref="F7:F18" showDropDown="0" showInputMessage="0" showErrorMessage="0" allowBlank="1" type="list">
      <formula1>=YesNoList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showGridLines="0" workbookViewId="0">
      <pane ySplit="4" topLeftCell="A5" activePane="bottomLeft" state="frozen"/>
      <selection pane="bottomLeft" activeCell="A1" sqref="A1"/>
    </sheetView>
  </sheetViews>
  <sheetFormatPr baseColWidth="8" defaultRowHeight="15"/>
  <cols>
    <col width="2" customWidth="1" min="1" max="1"/>
    <col width="18" customWidth="1" min="2" max="2"/>
    <col width="22" customWidth="1" min="3" max="3"/>
    <col width="16" customWidth="1" min="4" max="4"/>
    <col width="22" customWidth="1" min="5" max="5"/>
    <col width="22" customWidth="1" min="6" max="6"/>
    <col width="2" customWidth="1" min="7" max="7"/>
  </cols>
  <sheetData>
    <row r="1" ht="46" customHeight="1">
      <c r="A1" s="1" t="inlineStr">
        <is>
          <t xml:space="preserve">  👥  PEOPLE</t>
        </is>
      </c>
    </row>
    <row r="2" ht="22" customHeight="1">
      <c r="A2" s="2" t="inlineStr">
        <is>
          <t xml:space="preserve">  Who you're talking to, where you met, and where it actually stands.</t>
        </is>
      </c>
    </row>
    <row r="3" ht="6" customHeight="1">
      <c r="A3" s="3" t="n"/>
      <c r="B3" s="3" t="n"/>
      <c r="C3" s="3" t="n"/>
      <c r="D3" s="3" t="n"/>
      <c r="E3" s="3" t="n"/>
      <c r="F3" s="3" t="n"/>
    </row>
    <row r="4" ht="30" customHeight="1">
      <c r="B4" s="9" t="inlineStr">
        <is>
          <t>Name</t>
        </is>
      </c>
      <c r="C4" s="9" t="inlineStr">
        <is>
          <t>Met on</t>
        </is>
      </c>
      <c r="D4" s="9" t="inlineStr">
        <is>
          <t>First date</t>
        </is>
      </c>
      <c r="E4" s="9" t="inlineStr">
        <is>
          <t>Status</t>
        </is>
      </c>
      <c r="F4" s="9" t="inlineStr">
        <is>
          <t>How it felt</t>
        </is>
      </c>
    </row>
    <row r="5">
      <c r="B5" s="52" t="inlineStr">
        <is>
          <t>J.</t>
        </is>
      </c>
      <c r="C5" s="53" t="inlineStr">
        <is>
          <t>Hinge</t>
        </is>
      </c>
      <c r="D5" s="53" t="inlineStr">
        <is>
          <t>07/06</t>
        </is>
      </c>
      <c r="E5" s="53" t="inlineStr">
        <is>
          <t>Seeing</t>
        </is>
      </c>
      <c r="F5" s="53" t="inlineStr">
        <is>
          <t>Good</t>
        </is>
      </c>
    </row>
    <row r="6">
      <c r="B6" s="24" t="inlineStr">
        <is>
          <t>M.</t>
        </is>
      </c>
      <c r="C6" s="26" t="inlineStr">
        <is>
          <t>Through friends</t>
        </is>
      </c>
      <c r="D6" s="26" t="inlineStr">
        <is>
          <t>07/13</t>
        </is>
      </c>
      <c r="E6" s="26" t="inlineStr">
        <is>
          <t>Seeing</t>
        </is>
      </c>
      <c r="F6" s="26" t="inlineStr">
        <is>
          <t>Great</t>
        </is>
      </c>
    </row>
    <row r="7">
      <c r="B7" s="52" t="inlineStr">
        <is>
          <t>R.</t>
        </is>
      </c>
      <c r="C7" s="53" t="inlineStr">
        <is>
          <t>Bumble</t>
        </is>
      </c>
      <c r="D7" s="53" t="inlineStr">
        <is>
          <t>07/02</t>
        </is>
      </c>
      <c r="E7" s="53" t="inlineStr">
        <is>
          <t>Slow fade</t>
        </is>
      </c>
      <c r="F7" s="53" t="inlineStr">
        <is>
          <t>Flat</t>
        </is>
      </c>
    </row>
    <row r="8">
      <c r="B8" s="24" t="inlineStr">
        <is>
          <t>T.</t>
        </is>
      </c>
      <c r="C8" s="26" t="inlineStr">
        <is>
          <t>Hinge</t>
        </is>
      </c>
      <c r="D8" s="26" t="inlineStr">
        <is>
          <t>06/28</t>
        </is>
      </c>
      <c r="E8" s="26" t="inlineStr">
        <is>
          <t>Ended it</t>
        </is>
      </c>
      <c r="F8" s="26" t="inlineStr">
        <is>
          <t>Relieved it ended</t>
        </is>
      </c>
    </row>
    <row r="9">
      <c r="B9" s="52" t="inlineStr">
        <is>
          <t>D.</t>
        </is>
      </c>
      <c r="C9" s="53" t="inlineStr">
        <is>
          <t>Out somewhere</t>
        </is>
      </c>
      <c r="D9" s="53" t="inlineStr">
        <is>
          <t>07/19</t>
        </is>
      </c>
      <c r="E9" s="53" t="inlineStr">
        <is>
          <t>First date booked</t>
        </is>
      </c>
      <c r="F9" s="53" t="inlineStr">
        <is>
          <t>Fine</t>
        </is>
      </c>
    </row>
    <row r="10">
      <c r="B10" s="24" t="inlineStr">
        <is>
          <t>A.</t>
        </is>
      </c>
      <c r="C10" s="26" t="inlineStr">
        <is>
          <t>Tinder</t>
        </is>
      </c>
      <c r="D10" s="26" t="inlineStr">
        <is>
          <t>06/21</t>
        </is>
      </c>
      <c r="E10" s="26" t="inlineStr">
        <is>
          <t>They ended it</t>
        </is>
      </c>
      <c r="F10" s="26" t="inlineStr">
        <is>
          <t>Fine</t>
        </is>
      </c>
    </row>
    <row r="11">
      <c r="B11" s="52" t="inlineStr">
        <is>
          <t>K.</t>
        </is>
      </c>
      <c r="C11" s="53" t="inlineStr">
        <is>
          <t>Hinge</t>
        </is>
      </c>
      <c r="D11" s="53" t="inlineStr">
        <is>
          <t>07/09</t>
        </is>
      </c>
      <c r="E11" s="53" t="inlineStr">
        <is>
          <t>Talking</t>
        </is>
      </c>
      <c r="F11" s="53" t="inlineStr">
        <is>
          <t>Good</t>
        </is>
      </c>
    </row>
    <row r="12">
      <c r="B12" s="24" t="n"/>
      <c r="C12" s="26" t="n"/>
      <c r="D12" s="26" t="n"/>
      <c r="E12" s="26" t="n"/>
      <c r="F12" s="26" t="n"/>
    </row>
    <row r="13">
      <c r="B13" s="52" t="n"/>
      <c r="C13" s="53" t="n"/>
      <c r="D13" s="53" t="n"/>
      <c r="E13" s="53" t="n"/>
      <c r="F13" s="53" t="n"/>
    </row>
    <row r="14">
      <c r="B14" s="24" t="n"/>
      <c r="C14" s="26" t="n"/>
      <c r="D14" s="26" t="n"/>
      <c r="E14" s="26" t="n"/>
      <c r="F14" s="26" t="n"/>
    </row>
    <row r="15">
      <c r="B15" s="52" t="n"/>
      <c r="C15" s="53" t="n"/>
      <c r="D15" s="53" t="n"/>
      <c r="E15" s="53" t="n"/>
      <c r="F15" s="53" t="n"/>
    </row>
    <row r="16">
      <c r="B16" s="24" t="n"/>
      <c r="C16" s="26" t="n"/>
      <c r="D16" s="26" t="n"/>
      <c r="E16" s="26" t="n"/>
      <c r="F16" s="26" t="n"/>
    </row>
    <row r="17">
      <c r="B17" s="52" t="n"/>
      <c r="C17" s="53" t="n"/>
      <c r="D17" s="53" t="n"/>
      <c r="E17" s="53" t="n"/>
      <c r="F17" s="53" t="n"/>
    </row>
    <row r="18">
      <c r="B18" s="24" t="n"/>
      <c r="C18" s="26" t="n"/>
      <c r="D18" s="26" t="n"/>
      <c r="E18" s="26" t="n"/>
      <c r="F18" s="26" t="n"/>
    </row>
    <row r="19">
      <c r="B19" s="52" t="n"/>
      <c r="C19" s="53" t="n"/>
      <c r="D19" s="53" t="n"/>
      <c r="E19" s="53" t="n"/>
      <c r="F19" s="53" t="n"/>
    </row>
    <row r="20">
      <c r="B20" s="24" t="n"/>
      <c r="C20" s="26" t="n"/>
      <c r="D20" s="26" t="n"/>
      <c r="E20" s="26" t="n"/>
      <c r="F20" s="26" t="n"/>
    </row>
    <row r="21">
      <c r="B21" s="52" t="n"/>
      <c r="C21" s="53" t="n"/>
      <c r="D21" s="53" t="n"/>
      <c r="E21" s="53" t="n"/>
      <c r="F21" s="53" t="n"/>
    </row>
    <row r="22">
      <c r="B22" s="24" t="n"/>
      <c r="C22" s="26" t="n"/>
      <c r="D22" s="26" t="n"/>
      <c r="E22" s="26" t="n"/>
      <c r="F22" s="26" t="n"/>
    </row>
    <row r="23">
      <c r="B23" s="52" t="n"/>
      <c r="C23" s="53" t="n"/>
      <c r="D23" s="53" t="n"/>
      <c r="E23" s="53" t="n"/>
      <c r="F23" s="53" t="n"/>
    </row>
    <row r="24">
      <c r="B24" s="24" t="n"/>
      <c r="C24" s="26" t="n"/>
      <c r="D24" s="26" t="n"/>
      <c r="E24" s="26" t="n"/>
      <c r="F24" s="26" t="n"/>
    </row>
    <row r="25">
      <c r="B25" s="52" t="n"/>
      <c r="C25" s="53" t="n"/>
      <c r="D25" s="53" t="n"/>
      <c r="E25" s="53" t="n"/>
      <c r="F25" s="53" t="n"/>
    </row>
    <row r="26">
      <c r="B26" s="24" t="n"/>
      <c r="C26" s="26" t="n"/>
      <c r="D26" s="26" t="n"/>
      <c r="E26" s="26" t="n"/>
      <c r="F26" s="26" t="n"/>
    </row>
    <row r="27">
      <c r="B27" s="52" t="n"/>
      <c r="C27" s="53" t="n"/>
      <c r="D27" s="53" t="n"/>
      <c r="E27" s="53" t="n"/>
      <c r="F27" s="53" t="n"/>
    </row>
    <row r="28">
      <c r="B28" s="24" t="n"/>
      <c r="C28" s="26" t="n"/>
      <c r="D28" s="26" t="n"/>
      <c r="E28" s="26" t="n"/>
      <c r="F28" s="26" t="n"/>
    </row>
    <row r="29">
      <c r="B29" s="52" t="n"/>
      <c r="C29" s="53" t="n"/>
      <c r="D29" s="53" t="n"/>
      <c r="E29" s="53" t="n"/>
      <c r="F29" s="53" t="n"/>
    </row>
    <row r="30">
      <c r="B30" s="24" t="n"/>
      <c r="C30" s="26" t="n"/>
      <c r="D30" s="26" t="n"/>
      <c r="E30" s="26" t="n"/>
      <c r="F30" s="26" t="n"/>
    </row>
    <row r="31">
      <c r="B31" s="52" t="n"/>
      <c r="C31" s="53" t="n"/>
      <c r="D31" s="53" t="n"/>
      <c r="E31" s="53" t="n"/>
      <c r="F31" s="53" t="n"/>
    </row>
    <row r="32">
      <c r="B32" s="24" t="n"/>
      <c r="C32" s="26" t="n"/>
      <c r="D32" s="26" t="n"/>
      <c r="E32" s="26" t="n"/>
      <c r="F32" s="26" t="n"/>
    </row>
    <row r="33">
      <c r="B33" s="52" t="n"/>
      <c r="C33" s="53" t="n"/>
      <c r="D33" s="53" t="n"/>
      <c r="E33" s="53" t="n"/>
      <c r="F33" s="53" t="n"/>
    </row>
    <row r="34">
      <c r="B34" s="24" t="n"/>
      <c r="C34" s="26" t="n"/>
      <c r="D34" s="26" t="n"/>
      <c r="E34" s="26" t="n"/>
      <c r="F34" s="26" t="n"/>
    </row>
    <row r="35">
      <c r="B35" s="52" t="n"/>
      <c r="C35" s="53" t="n"/>
      <c r="D35" s="53" t="n"/>
      <c r="E35" s="53" t="n"/>
      <c r="F35" s="53" t="n"/>
    </row>
    <row r="36">
      <c r="B36" s="24" t="n"/>
      <c r="C36" s="26" t="n"/>
      <c r="D36" s="26" t="n"/>
      <c r="E36" s="26" t="n"/>
      <c r="F36" s="26" t="n"/>
    </row>
    <row r="37">
      <c r="B37" s="52" t="n"/>
      <c r="C37" s="53" t="n"/>
      <c r="D37" s="53" t="n"/>
      <c r="E37" s="53" t="n"/>
      <c r="F37" s="53" t="n"/>
    </row>
    <row r="38">
      <c r="B38" s="24" t="n"/>
      <c r="C38" s="26" t="n"/>
      <c r="D38" s="26" t="n"/>
      <c r="E38" s="26" t="n"/>
      <c r="F38" s="26" t="n"/>
    </row>
    <row r="39">
      <c r="B39" s="52" t="n"/>
      <c r="C39" s="53" t="n"/>
      <c r="D39" s="53" t="n"/>
      <c r="E39" s="53" t="n"/>
      <c r="F39" s="53" t="n"/>
    </row>
    <row r="40">
      <c r="B40" s="24" t="n"/>
      <c r="C40" s="26" t="n"/>
      <c r="D40" s="26" t="n"/>
      <c r="E40" s="26" t="n"/>
      <c r="F40" s="26" t="n"/>
    </row>
    <row r="41">
      <c r="B41" s="52" t="n"/>
      <c r="C41" s="53" t="n"/>
      <c r="D41" s="53" t="n"/>
      <c r="E41" s="53" t="n"/>
      <c r="F41" s="53" t="n"/>
    </row>
    <row r="42">
      <c r="B42" s="24" t="n"/>
      <c r="C42" s="26" t="n"/>
      <c r="D42" s="26" t="n"/>
      <c r="E42" s="26" t="n"/>
      <c r="F42" s="26" t="n"/>
    </row>
    <row r="43">
      <c r="B43" s="52" t="n"/>
      <c r="C43" s="53" t="n"/>
      <c r="D43" s="53" t="n"/>
      <c r="E43" s="53" t="n"/>
      <c r="F43" s="53" t="n"/>
    </row>
    <row r="44">
      <c r="B44" s="24" t="n"/>
      <c r="C44" s="26" t="n"/>
      <c r="D44" s="26" t="n"/>
      <c r="E44" s="26" t="n"/>
      <c r="F44" s="26" t="n"/>
    </row>
    <row r="46">
      <c r="B46" s="27" t="inlineStr">
        <is>
          <t>People in the picture</t>
        </is>
      </c>
      <c r="E46" s="54">
        <f>COUNTA(PersonName)</f>
        <v/>
      </c>
    </row>
    <row r="47">
      <c r="B47" s="27" t="inlineStr">
        <is>
          <t>Actually seeing</t>
        </is>
      </c>
      <c r="E47" s="55">
        <f>COUNTIF(PersonStatus,"Seeing")</f>
        <v/>
      </c>
    </row>
    <row r="48">
      <c r="B48" s="27" t="inlineStr">
        <is>
          <t>Slow fading</t>
        </is>
      </c>
      <c r="E48" s="56">
        <f>COUNTIF(PersonStatus,"Slow fade")</f>
        <v/>
      </c>
    </row>
    <row r="50">
      <c r="B50" s="4" t="inlineStr">
        <is>
          <t>A slow fade is an answer. You're allowed to call it.</t>
        </is>
      </c>
    </row>
  </sheetData>
  <mergeCells count="2">
    <mergeCell ref="A2:F2"/>
    <mergeCell ref="A1:F1"/>
  </mergeCells>
  <dataValidations count="3">
    <dataValidation sqref="C5:C44" showDropDown="0" showInputMessage="0" showErrorMessage="0" allowBlank="1" type="list">
      <formula1>=MetOnList</formula1>
    </dataValidation>
    <dataValidation sqref="E5:E44" showDropDown="0" showInputMessage="0" showErrorMessage="0" allowBlank="1" type="list">
      <formula1>=StatusList</formula1>
    </dataValidation>
    <dataValidation sqref="F5:F44" showDropDown="0" showInputMessage="0" showErrorMessage="0" allowBlank="1" type="list">
      <formula1>=FeltList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2" customWidth="1" min="1" max="1"/>
    <col width="12" customWidth="1" min="2" max="2"/>
    <col width="14" customWidth="1" min="3" max="3"/>
    <col width="34" customWidth="1" min="4" max="4"/>
    <col width="14" customWidth="1" min="5" max="5"/>
    <col width="14" customWidth="1" min="6" max="6"/>
    <col width="20" customWidth="1" min="7" max="7"/>
    <col width="2" customWidth="1" min="8" max="8"/>
  </cols>
  <sheetData>
    <row r="1" ht="46" customHeight="1">
      <c r="A1" s="1" t="inlineStr">
        <is>
          <t xml:space="preserve">  📅  DATE LOG</t>
        </is>
      </c>
    </row>
    <row r="2" ht="22" customHeight="1">
      <c r="A2" s="2" t="inlineStr">
        <is>
          <t xml:space="preserve">  What you did, what it cost, how long it took — and honestly, how it felt.</t>
        </is>
      </c>
    </row>
    <row r="3" ht="6" customHeight="1">
      <c r="A3" s="3" t="n"/>
      <c r="B3" s="3" t="n"/>
      <c r="C3" s="3" t="n"/>
      <c r="D3" s="3" t="n"/>
      <c r="E3" s="3" t="n"/>
      <c r="F3" s="3" t="n"/>
      <c r="G3" s="3" t="n"/>
    </row>
    <row r="4" ht="30" customHeight="1">
      <c r="B4" s="9" t="inlineStr">
        <is>
          <t>Date</t>
        </is>
      </c>
      <c r="C4" s="9" t="inlineStr">
        <is>
          <t>Who</t>
        </is>
      </c>
      <c r="D4" s="9" t="inlineStr">
        <is>
          <t>What</t>
        </is>
      </c>
      <c r="E4" s="9" t="inlineStr">
        <is>
          <t>Cost</t>
        </is>
      </c>
      <c r="F4" s="9" t="inlineStr">
        <is>
          <t>Hours</t>
        </is>
      </c>
      <c r="G4" s="9" t="inlineStr">
        <is>
          <t>How it felt</t>
        </is>
      </c>
    </row>
    <row r="5">
      <c r="B5" s="23" t="inlineStr">
        <is>
          <t>07/02</t>
        </is>
      </c>
      <c r="C5" s="23" t="inlineStr">
        <is>
          <t>R.</t>
        </is>
      </c>
      <c r="D5" s="21" t="inlineStr">
        <is>
          <t>Coffee, 40 minutes</t>
        </is>
      </c>
      <c r="E5" s="57" t="n">
        <v>8</v>
      </c>
      <c r="F5" s="58" t="n">
        <v>1.5</v>
      </c>
      <c r="G5" s="47" t="inlineStr">
        <is>
          <t>Flat</t>
        </is>
      </c>
    </row>
    <row r="6">
      <c r="B6" s="26" t="inlineStr">
        <is>
          <t>07/06</t>
        </is>
      </c>
      <c r="C6" s="26" t="inlineStr">
        <is>
          <t>J.</t>
        </is>
      </c>
      <c r="D6" s="24" t="inlineStr">
        <is>
          <t>Dinner — they picked it</t>
        </is>
      </c>
      <c r="E6" s="59" t="n">
        <v>0</v>
      </c>
      <c r="F6" s="60" t="n">
        <v>3</v>
      </c>
      <c r="G6" s="48" t="inlineStr">
        <is>
          <t>Great</t>
        </is>
      </c>
    </row>
    <row r="7">
      <c r="B7" s="23" t="inlineStr">
        <is>
          <t>07/09</t>
        </is>
      </c>
      <c r="C7" s="23" t="inlineStr">
        <is>
          <t>K.</t>
        </is>
      </c>
      <c r="D7" s="21" t="inlineStr">
        <is>
          <t>Drinks after work</t>
        </is>
      </c>
      <c r="E7" s="57" t="n">
        <v>26</v>
      </c>
      <c r="F7" s="58" t="n">
        <v>2</v>
      </c>
      <c r="G7" s="47" t="inlineStr">
        <is>
          <t>Good</t>
        </is>
      </c>
    </row>
    <row r="8">
      <c r="B8" s="26" t="inlineStr">
        <is>
          <t>07/11</t>
        </is>
      </c>
      <c r="C8" s="26" t="inlineStr">
        <is>
          <t>J.</t>
        </is>
      </c>
      <c r="D8" s="24" t="inlineStr">
        <is>
          <t>Walk and the market</t>
        </is>
      </c>
      <c r="E8" s="59" t="n">
        <v>14</v>
      </c>
      <c r="F8" s="60" t="n">
        <v>2.5</v>
      </c>
      <c r="G8" s="48" t="inlineStr">
        <is>
          <t>Great</t>
        </is>
      </c>
    </row>
    <row r="9">
      <c r="B9" s="23" t="inlineStr">
        <is>
          <t>07/13</t>
        </is>
      </c>
      <c r="C9" s="23" t="inlineStr">
        <is>
          <t>M.</t>
        </is>
      </c>
      <c r="D9" s="21" t="inlineStr">
        <is>
          <t>Friend's birthday, then a bar</t>
        </is>
      </c>
      <c r="E9" s="57" t="n">
        <v>22</v>
      </c>
      <c r="F9" s="58" t="n">
        <v>4</v>
      </c>
      <c r="G9" s="47" t="inlineStr">
        <is>
          <t>Great</t>
        </is>
      </c>
    </row>
    <row r="10">
      <c r="B10" s="26" t="inlineStr">
        <is>
          <t>07/16</t>
        </is>
      </c>
      <c r="C10" s="26" t="inlineStr">
        <is>
          <t>R.</t>
        </is>
      </c>
      <c r="D10" s="24" t="inlineStr">
        <is>
          <t>They cancelled at 6pm</t>
        </is>
      </c>
      <c r="E10" s="59" t="n">
        <v>0</v>
      </c>
      <c r="F10" s="60" t="n">
        <v>0.5</v>
      </c>
      <c r="G10" s="48" t="inlineStr">
        <is>
          <t>Flat</t>
        </is>
      </c>
    </row>
    <row r="11">
      <c r="B11" s="23" t="inlineStr">
        <is>
          <t>07/19</t>
        </is>
      </c>
      <c r="C11" s="23" t="inlineStr">
        <is>
          <t>D.</t>
        </is>
      </c>
      <c r="D11" s="21" t="inlineStr">
        <is>
          <t>Coffee</t>
        </is>
      </c>
      <c r="E11" s="57" t="n">
        <v>9</v>
      </c>
      <c r="F11" s="58" t="n">
        <v>1.5</v>
      </c>
      <c r="G11" s="47" t="inlineStr">
        <is>
          <t>Fine</t>
        </is>
      </c>
    </row>
    <row r="12">
      <c r="B12" s="26" t="inlineStr">
        <is>
          <t>07/21</t>
        </is>
      </c>
      <c r="C12" s="26" t="inlineStr">
        <is>
          <t>M.</t>
        </is>
      </c>
      <c r="D12" s="24" t="inlineStr">
        <is>
          <t>Dinner — split it</t>
        </is>
      </c>
      <c r="E12" s="59" t="n">
        <v>31</v>
      </c>
      <c r="F12" s="60" t="n">
        <v>2.5</v>
      </c>
      <c r="G12" s="48" t="inlineStr">
        <is>
          <t>Great</t>
        </is>
      </c>
    </row>
    <row r="13">
      <c r="B13" s="23" t="inlineStr">
        <is>
          <t>07/24</t>
        </is>
      </c>
      <c r="C13" s="23" t="inlineStr">
        <is>
          <t>J.</t>
        </is>
      </c>
      <c r="D13" s="21" t="inlineStr">
        <is>
          <t>Their place, film</t>
        </is>
      </c>
      <c r="E13" s="57" t="n">
        <v>12</v>
      </c>
      <c r="F13" s="58" t="n">
        <v>3.5</v>
      </c>
      <c r="G13" s="47" t="inlineStr">
        <is>
          <t>Good</t>
        </is>
      </c>
    </row>
    <row r="14">
      <c r="B14" s="26" t="inlineStr">
        <is>
          <t>07/26</t>
        </is>
      </c>
      <c r="C14" s="26" t="inlineStr">
        <is>
          <t>M.</t>
        </is>
      </c>
      <c r="D14" s="24" t="inlineStr">
        <is>
          <t>Gallery then lunch</t>
        </is>
      </c>
      <c r="E14" s="59" t="n">
        <v>27</v>
      </c>
      <c r="F14" s="60" t="n">
        <v>3</v>
      </c>
      <c r="G14" s="48" t="inlineStr">
        <is>
          <t>Great</t>
        </is>
      </c>
    </row>
    <row r="15">
      <c r="B15" s="9" t="inlineStr">
        <is>
          <t>THIS MONTH</t>
        </is>
      </c>
      <c r="C15" s="61" t="n"/>
      <c r="D15" s="61" t="n"/>
      <c r="E15" s="62">
        <f>SUM(DateCost)</f>
        <v/>
      </c>
      <c r="F15" s="63">
        <f>SUM(DateHours)</f>
        <v/>
      </c>
      <c r="G15" s="64">
        <f>COUNTIF(DateFelt,"Great")&amp;" great"</f>
        <v/>
      </c>
    </row>
    <row r="17">
      <c r="B17" s="4" t="inlineStr">
        <is>
          <t>Look down the 'how it felt' column. That column is the answer.</t>
        </is>
      </c>
    </row>
  </sheetData>
  <mergeCells count="2">
    <mergeCell ref="A2:G2"/>
    <mergeCell ref="A1:G1"/>
  </mergeCells>
  <conditionalFormatting sqref="G5:G14">
    <cfRule type="cellIs" priority="1" operator="equal" dxfId="1">
      <formula>"Great"</formula>
    </cfRule>
    <cfRule type="cellIs" priority="2" operator="equal" dxfId="0">
      <formula>"Uncomfortable"</formula>
    </cfRule>
  </conditionalFormatting>
  <dataValidations count="1">
    <dataValidation sqref="G5:G14" showDropDown="0" showInputMessage="0" showErrorMessage="0" allowBlank="1" type="list">
      <formula1>=FeltList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2" customWidth="1" min="1" max="1"/>
    <col width="16" customWidth="1" min="2" max="2"/>
    <col width="18" customWidth="1" min="3" max="3"/>
    <col width="18" customWidth="1" min="4" max="4"/>
    <col width="18" customWidth="1" min="5" max="5"/>
    <col width="16" customWidth="1" min="6" max="6"/>
    <col width="18" customWidth="1" min="7" max="7"/>
    <col width="2" customWidth="1" min="8" max="8"/>
  </cols>
  <sheetData>
    <row r="1" ht="46" customHeight="1">
      <c r="A1" s="1" t="inlineStr">
        <is>
          <t xml:space="preserve">  💬  CONVERSATIONS</t>
        </is>
      </c>
    </row>
    <row r="2" ht="22" customHeight="1">
      <c r="A2" s="2" t="inlineStr">
        <is>
          <t xml:space="preserve">  Who's actually talking to you — and who's been texting for a month without asking you out.</t>
        </is>
      </c>
    </row>
    <row r="3" ht="6" customHeight="1">
      <c r="A3" s="3" t="n"/>
      <c r="B3" s="3" t="n"/>
      <c r="C3" s="3" t="n"/>
      <c r="D3" s="3" t="n"/>
      <c r="E3" s="3" t="n"/>
      <c r="F3" s="3" t="n"/>
      <c r="G3" s="3" t="n"/>
    </row>
    <row r="4" ht="30" customHeight="1">
      <c r="B4" s="9" t="inlineStr">
        <is>
          <t>Who</t>
        </is>
      </c>
      <c r="C4" s="9" t="inlineStr">
        <is>
          <t>Days talking</t>
        </is>
      </c>
      <c r="D4" s="9" t="inlineStr">
        <is>
          <t>You sent</t>
        </is>
      </c>
      <c r="E4" s="9" t="inlineStr">
        <is>
          <t>They sent</t>
        </is>
      </c>
      <c r="F4" s="9" t="inlineStr">
        <is>
          <t>Met yet?</t>
        </is>
      </c>
      <c r="G4" s="9" t="inlineStr">
        <is>
          <t>Their share</t>
        </is>
      </c>
    </row>
    <row r="5">
      <c r="B5" s="21" t="inlineStr">
        <is>
          <t>J.</t>
        </is>
      </c>
      <c r="C5" s="38" t="n">
        <v>24</v>
      </c>
      <c r="D5" s="28" t="n">
        <v>210</v>
      </c>
      <c r="E5" s="28" t="n">
        <v>186</v>
      </c>
      <c r="F5" s="47" t="inlineStr">
        <is>
          <t>Yes</t>
        </is>
      </c>
      <c r="G5" s="22">
        <f>IFERROR(E5/(D5+E5),0)</f>
        <v/>
      </c>
    </row>
    <row r="6">
      <c r="B6" s="24" t="inlineStr">
        <is>
          <t>M.</t>
        </is>
      </c>
      <c r="C6" s="40" t="n">
        <v>17</v>
      </c>
      <c r="D6" s="29" t="n">
        <v>164</v>
      </c>
      <c r="E6" s="29" t="n">
        <v>171</v>
      </c>
      <c r="F6" s="48" t="inlineStr">
        <is>
          <t>Yes</t>
        </is>
      </c>
      <c r="G6" s="25">
        <f>IFERROR(E6/(D6+E6),0)</f>
        <v/>
      </c>
    </row>
    <row r="7">
      <c r="B7" s="21" t="inlineStr">
        <is>
          <t>K.</t>
        </is>
      </c>
      <c r="C7" s="38" t="n">
        <v>12</v>
      </c>
      <c r="D7" s="28" t="n">
        <v>88</v>
      </c>
      <c r="E7" s="28" t="n">
        <v>41</v>
      </c>
      <c r="F7" s="47" t="inlineStr">
        <is>
          <t>Yes</t>
        </is>
      </c>
      <c r="G7" s="22">
        <f>IFERROR(E7/(D7+E7),0)</f>
        <v/>
      </c>
    </row>
    <row r="8">
      <c r="B8" s="24" t="inlineStr">
        <is>
          <t>D.</t>
        </is>
      </c>
      <c r="C8" s="40" t="n">
        <v>6</v>
      </c>
      <c r="D8" s="29" t="n">
        <v>34</v>
      </c>
      <c r="E8" s="29" t="n">
        <v>29</v>
      </c>
      <c r="F8" s="48" t="inlineStr">
        <is>
          <t>Yes</t>
        </is>
      </c>
      <c r="G8" s="25">
        <f>IFERROR(E8/(D8+E8),0)</f>
        <v/>
      </c>
    </row>
    <row r="9">
      <c r="B9" s="21" t="inlineStr">
        <is>
          <t>S.</t>
        </is>
      </c>
      <c r="C9" s="38" t="n">
        <v>19</v>
      </c>
      <c r="D9" s="28" t="n">
        <v>62</v>
      </c>
      <c r="E9" s="28" t="n">
        <v>11</v>
      </c>
      <c r="F9" s="47" t="inlineStr">
        <is>
          <t>No</t>
        </is>
      </c>
      <c r="G9" s="22">
        <f>IFERROR(E9/(D9+E9),0)</f>
        <v/>
      </c>
    </row>
    <row r="10">
      <c r="B10" s="24" t="inlineStr">
        <is>
          <t>N.</t>
        </is>
      </c>
      <c r="C10" s="40" t="n">
        <v>26</v>
      </c>
      <c r="D10" s="29" t="n">
        <v>47</v>
      </c>
      <c r="E10" s="29" t="n">
        <v>8</v>
      </c>
      <c r="F10" s="48" t="inlineStr">
        <is>
          <t>No</t>
        </is>
      </c>
      <c r="G10" s="25">
        <f>IFERROR(E10/(D10+E10),0)</f>
        <v/>
      </c>
    </row>
    <row r="11">
      <c r="B11" s="21" t="inlineStr">
        <is>
          <t>B.</t>
        </is>
      </c>
      <c r="C11" s="38" t="n">
        <v>9</v>
      </c>
      <c r="D11" s="28" t="n">
        <v>22</v>
      </c>
      <c r="E11" s="28" t="n">
        <v>4</v>
      </c>
      <c r="F11" s="47" t="inlineStr">
        <is>
          <t>No</t>
        </is>
      </c>
      <c r="G11" s="22">
        <f>IFERROR(E11/(D11+E11),0)</f>
        <v/>
      </c>
    </row>
    <row r="12">
      <c r="B12" s="24" t="inlineStr">
        <is>
          <t>L.</t>
        </is>
      </c>
      <c r="C12" s="40" t="n">
        <v>31</v>
      </c>
      <c r="D12" s="29" t="n">
        <v>38</v>
      </c>
      <c r="E12" s="29" t="n">
        <v>6</v>
      </c>
      <c r="F12" s="48" t="inlineStr">
        <is>
          <t>No</t>
        </is>
      </c>
      <c r="G12" s="25">
        <f>IFERROR(E12/(D12+E12),0)</f>
        <v/>
      </c>
    </row>
    <row r="14">
      <c r="B14" s="27" t="inlineStr">
        <is>
          <t>Talking but never met</t>
        </is>
      </c>
      <c r="F14" s="56">
        <f>COUNTIF(ConvoMet,"No")</f>
        <v/>
      </c>
    </row>
    <row r="15">
      <c r="B15" s="27" t="inlineStr">
        <is>
          <t>Longest one that's gone nowhere (days)</t>
        </is>
      </c>
      <c r="F15" s="54">
        <f>MAX(ConvoDays)</f>
        <v/>
      </c>
    </row>
    <row r="17">
      <c r="B17" s="4" t="inlineStr">
        <is>
          <t>Anyone under 35% is texting you, not dating you. Red rows are pen pals.</t>
        </is>
      </c>
    </row>
  </sheetData>
  <mergeCells count="2">
    <mergeCell ref="A2:G2"/>
    <mergeCell ref="A1:G1"/>
  </mergeCells>
  <conditionalFormatting sqref="G5:G12">
    <cfRule type="cellIs" priority="1" operator="lessThan" dxfId="0">
      <formula>0.35</formula>
    </cfRule>
  </conditionalFormatting>
  <dataValidations count="1">
    <dataValidation sqref="F5:F12" showDropDown="0" showInputMessage="0" showErrorMessage="0" allowBlank="1" type="list">
      <formula1>=YesNoList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2"/>
  <sheetViews>
    <sheetView showGridLines="0" workbookViewId="0">
      <selection activeCell="A1" sqref="A1"/>
    </sheetView>
  </sheetViews>
  <sheetFormatPr baseColWidth="8" defaultRowHeight="15"/>
  <cols>
    <col width="2" customWidth="1" min="1" max="1"/>
    <col width="44" customWidth="1" min="2" max="2"/>
    <col width="18" customWidth="1" min="3" max="3"/>
    <col width="18" customWidth="1" min="4" max="4"/>
    <col width="2" customWidth="1" min="5" max="5"/>
  </cols>
  <sheetData>
    <row r="1" ht="46" customHeight="1">
      <c r="A1" s="1" t="inlineStr">
        <is>
          <t xml:space="preserve">  💸  TIME &amp; MONEY</t>
        </is>
      </c>
    </row>
    <row r="2" ht="22" customHeight="1">
      <c r="A2" s="2" t="inlineStr">
        <is>
          <t xml:space="preserve">  What dating actually costs you a month — in both currencies.</t>
        </is>
      </c>
    </row>
    <row r="3" ht="6" customHeight="1">
      <c r="A3" s="3" t="n"/>
      <c r="B3" s="3" t="n"/>
      <c r="C3" s="3" t="n"/>
      <c r="D3" s="3" t="n"/>
    </row>
    <row r="4">
      <c r="B4" s="4" t="inlineStr">
        <is>
          <t>MONEY</t>
        </is>
      </c>
    </row>
    <row r="5" ht="30" customHeight="1">
      <c r="B5" s="9" t="inlineStr">
        <is>
          <t>Where it goes</t>
        </is>
      </c>
      <c r="C5" s="9" t="inlineStr">
        <is>
          <t>Monthly</t>
        </is>
      </c>
      <c r="D5" s="9" t="inlineStr">
        <is>
          <t>Yearly</t>
        </is>
      </c>
    </row>
    <row r="6">
      <c r="B6" s="21" t="inlineStr">
        <is>
          <t>Dating apps &amp; boosts</t>
        </is>
      </c>
      <c r="C6" s="65" t="n">
        <v>39.98</v>
      </c>
      <c r="D6" s="66">
        <f>C6*12</f>
        <v/>
      </c>
    </row>
    <row r="7">
      <c r="B7" s="24" t="inlineStr">
        <is>
          <t>Dates — your share</t>
        </is>
      </c>
      <c r="C7" s="67" t="n">
        <v>308</v>
      </c>
      <c r="D7" s="68">
        <f>C7*12</f>
        <v/>
      </c>
    </row>
    <row r="8">
      <c r="B8" s="21" t="inlineStr">
        <is>
          <t>Getting ready — hair, nails, outfits</t>
        </is>
      </c>
      <c r="C8" s="65" t="n">
        <v>85</v>
      </c>
      <c r="D8" s="66">
        <f>C8*12</f>
        <v/>
      </c>
    </row>
    <row r="9">
      <c r="B9" s="24" t="inlineStr">
        <is>
          <t>Rideshare, parking &amp; transit</t>
        </is>
      </c>
      <c r="C9" s="67" t="n">
        <v>64</v>
      </c>
      <c r="D9" s="68">
        <f>C9*12</f>
        <v/>
      </c>
    </row>
    <row r="10">
      <c r="B10" s="9">
        <f> TOTAL / MONTH</f>
        <v/>
      </c>
      <c r="C10" s="69">
        <f>SUM(SpendLines)</f>
        <v/>
      </c>
      <c r="D10" s="70">
        <f>SpendTotal*12</f>
        <v/>
      </c>
    </row>
    <row r="11">
      <c r="B11" s="27" t="inlineStr">
        <is>
          <t>Your monthly budget</t>
        </is>
      </c>
      <c r="C11" s="71">
        <f>Budget</f>
        <v/>
      </c>
    </row>
    <row r="12">
      <c r="B12" s="9">
        <f> UNDER OR OVER</f>
        <v/>
      </c>
      <c r="C12" s="72">
        <f>Budget-SpendTotal</f>
        <v/>
      </c>
    </row>
    <row r="14">
      <c r="B14" s="4" t="inlineStr">
        <is>
          <t>TIME</t>
        </is>
      </c>
    </row>
    <row r="15">
      <c r="B15" s="27" t="inlineStr">
        <is>
          <t>Swiping</t>
        </is>
      </c>
      <c r="C15" s="73">
        <f>SwipeHours</f>
        <v/>
      </c>
    </row>
    <row r="16">
      <c r="B16" s="27" t="inlineStr">
        <is>
          <t>Messaging</t>
        </is>
      </c>
      <c r="C16" s="73">
        <f>MessageHours</f>
        <v/>
      </c>
    </row>
    <row r="17">
      <c r="B17" s="27" t="inlineStr">
        <is>
          <t>On dates</t>
        </is>
      </c>
      <c r="C17" s="73">
        <f>FirstDates*HoursPerDate</f>
        <v/>
      </c>
    </row>
    <row r="18">
      <c r="B18" s="27" t="inlineStr">
        <is>
          <t>Getting ready</t>
        </is>
      </c>
      <c r="C18" s="73">
        <f>FirstDates*PrepPerDate</f>
        <v/>
      </c>
    </row>
    <row r="19">
      <c r="B19" s="9">
        <f> TOTAL HOURS THIS MONTH</f>
        <v/>
      </c>
      <c r="C19" s="74">
        <f>HoursSpent</f>
        <v/>
      </c>
    </row>
    <row r="20">
      <c r="B20" s="27" t="inlineStr">
        <is>
          <t>…which is this many full days</t>
        </is>
      </c>
      <c r="C20" s="75">
        <f>HoursSpent/24</f>
        <v/>
      </c>
    </row>
    <row r="22">
      <c r="B22" s="4" t="inlineStr">
        <is>
          <t>You are allowed to spend this. You're just not allowed to spend it by accident.</t>
        </is>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8"/>
  <sheetViews>
    <sheetView showGridLines="0" workbookViewId="0">
      <pane ySplit="4" topLeftCell="A5" activePane="bottomLeft" state="frozen"/>
      <selection pane="bottomLeft" activeCell="A1" sqref="A1"/>
    </sheetView>
  </sheetViews>
  <sheetFormatPr baseColWidth="8" defaultRowHeight="15"/>
  <cols>
    <col width="2" customWidth="1" min="1" max="1"/>
    <col width="36" customWidth="1" min="2" max="2"/>
    <col width="22" customWidth="1" min="3" max="3"/>
    <col width="54" customWidth="1" min="4" max="4"/>
    <col width="2" customWidth="1" min="5" max="5"/>
  </cols>
  <sheetData>
    <row r="1" ht="46" customHeight="1">
      <c r="A1" s="1" t="inlineStr">
        <is>
          <t xml:space="preserve">  🔒  NON-NEGOTIABLES</t>
        </is>
      </c>
    </row>
    <row r="2" ht="22" customHeight="1">
      <c r="A2" s="2" t="inlineStr">
        <is>
          <t xml:space="preserve">  Write these before you meet anyone. Read them when you're tempted to bend one.</t>
        </is>
      </c>
    </row>
    <row r="3" ht="6" customHeight="1">
      <c r="A3" s="3" t="n"/>
      <c r="B3" s="3" t="n"/>
      <c r="C3" s="3" t="n"/>
      <c r="D3" s="3" t="n"/>
    </row>
    <row r="4" ht="30" customHeight="1">
      <c r="B4" s="9" t="inlineStr">
        <is>
          <t>What</t>
        </is>
      </c>
      <c r="C4" s="9" t="inlineStr">
        <is>
          <t>Weight</t>
        </is>
      </c>
      <c r="D4" s="9" t="inlineStr">
        <is>
          <t>Why it matters to me</t>
        </is>
      </c>
    </row>
    <row r="5">
      <c r="B5" s="52" t="inlineStr">
        <is>
          <t>Wants children</t>
        </is>
      </c>
      <c r="C5" s="53" t="inlineStr">
        <is>
          <t>Dealbreaker</t>
        </is>
      </c>
      <c r="D5" s="52" t="inlineStr">
        <is>
          <t>I do, and I'm not negotiating on it</t>
        </is>
      </c>
    </row>
    <row r="6">
      <c r="B6" s="24" t="inlineStr">
        <is>
          <t>Actually single</t>
        </is>
      </c>
      <c r="C6" s="26" t="inlineStr">
        <is>
          <t>Dealbreaker</t>
        </is>
      </c>
      <c r="D6" s="24" t="inlineStr">
        <is>
          <t>Not 'separated'. Single.</t>
        </is>
      </c>
    </row>
    <row r="7">
      <c r="B7" s="52" t="inlineStr">
        <is>
          <t>Kind when things go wrong</t>
        </is>
      </c>
      <c r="C7" s="53" t="inlineStr">
        <is>
          <t>Dealbreaker</t>
        </is>
      </c>
      <c r="D7" s="52" t="inlineStr">
        <is>
          <t>Watch how they handle a cancelled train</t>
        </is>
      </c>
    </row>
    <row r="8">
      <c r="B8" s="24" t="inlineStr">
        <is>
          <t>Doesn't drink heavily</t>
        </is>
      </c>
      <c r="C8" s="26" t="inlineStr">
        <is>
          <t>Dealbreaker</t>
        </is>
      </c>
      <c r="D8" s="24" t="inlineStr">
        <is>
          <t>I know what that costs me</t>
        </is>
      </c>
    </row>
    <row r="9">
      <c r="B9" s="52" t="inlineStr">
        <is>
          <t>Has friends they've kept</t>
        </is>
      </c>
      <c r="C9" s="53" t="inlineStr">
        <is>
          <t>Strong preference</t>
        </is>
      </c>
      <c r="D9" s="52" t="inlineStr">
        <is>
          <t>Tells you almost everything</t>
        </is>
      </c>
    </row>
    <row r="10">
      <c r="B10" s="24" t="inlineStr">
        <is>
          <t>Same city, or moving here</t>
        </is>
      </c>
      <c r="C10" s="26" t="inlineStr">
        <is>
          <t>Strong preference</t>
        </is>
      </c>
      <c r="D10" s="24" t="inlineStr">
        <is>
          <t>I've done long distance</t>
        </is>
      </c>
    </row>
    <row r="11">
      <c r="B11" s="52" t="inlineStr">
        <is>
          <t>Financially steady</t>
        </is>
      </c>
      <c r="C11" s="53" t="inlineStr">
        <is>
          <t>Strong preference</t>
        </is>
      </c>
      <c r="D11" s="52" t="inlineStr">
        <is>
          <t>Not rich. Steady.</t>
        </is>
      </c>
    </row>
    <row r="12">
      <c r="B12" s="24" t="inlineStr">
        <is>
          <t>Reads something, anything</t>
        </is>
      </c>
      <c r="C12" s="26" t="inlineStr">
        <is>
          <t>Nice to have</t>
        </is>
      </c>
      <c r="D12" s="24" t="inlineStr">
        <is>
          <t>I just like it</t>
        </is>
      </c>
    </row>
    <row r="13">
      <c r="B13" s="52" t="inlineStr">
        <is>
          <t>Likes dogs</t>
        </is>
      </c>
      <c r="C13" s="53" t="inlineStr">
        <is>
          <t>Nice to have</t>
        </is>
      </c>
      <c r="D13" s="52" t="inlineStr">
        <is>
          <t>Biscuit gets a vote</t>
        </is>
      </c>
    </row>
    <row r="14">
      <c r="B14" s="24" t="n"/>
      <c r="C14" s="26" t="n"/>
      <c r="D14" s="24" t="n"/>
    </row>
    <row r="15">
      <c r="B15" s="52" t="n"/>
      <c r="C15" s="53" t="n"/>
      <c r="D15" s="52" t="n"/>
    </row>
    <row r="16">
      <c r="B16" s="24" t="n"/>
      <c r="C16" s="26" t="n"/>
      <c r="D16" s="24" t="n"/>
    </row>
    <row r="17">
      <c r="B17" s="52" t="n"/>
      <c r="C17" s="53" t="n"/>
      <c r="D17" s="52" t="n"/>
    </row>
    <row r="18">
      <c r="B18" s="24" t="n"/>
      <c r="C18" s="26" t="n"/>
      <c r="D18" s="24" t="n"/>
    </row>
    <row r="19">
      <c r="B19" s="52" t="n"/>
      <c r="C19" s="53" t="n"/>
      <c r="D19" s="52" t="n"/>
    </row>
    <row r="20">
      <c r="B20" s="24" t="n"/>
      <c r="C20" s="26" t="n"/>
      <c r="D20" s="24" t="n"/>
    </row>
    <row r="21">
      <c r="B21" s="52" t="n"/>
      <c r="C21" s="53" t="n"/>
      <c r="D21" s="52" t="n"/>
    </row>
    <row r="22">
      <c r="B22" s="24" t="n"/>
      <c r="C22" s="26" t="n"/>
      <c r="D22" s="24" t="n"/>
    </row>
    <row r="23">
      <c r="B23" s="52" t="n"/>
      <c r="C23" s="53" t="n"/>
      <c r="D23" s="52" t="n"/>
    </row>
    <row r="24">
      <c r="B24" s="24" t="n"/>
      <c r="C24" s="26" t="n"/>
      <c r="D24" s="24" t="n"/>
    </row>
    <row r="25">
      <c r="B25" s="52" t="n"/>
      <c r="C25" s="53" t="n"/>
      <c r="D25" s="52" t="n"/>
    </row>
    <row r="26">
      <c r="B26" s="24" t="n"/>
      <c r="C26" s="26" t="n"/>
      <c r="D26" s="24" t="n"/>
    </row>
    <row r="27">
      <c r="B27" s="52" t="n"/>
      <c r="C27" s="53" t="n"/>
      <c r="D27" s="52" t="n"/>
    </row>
    <row r="28">
      <c r="B28" s="24" t="n"/>
      <c r="C28" s="26" t="n"/>
      <c r="D28" s="24" t="n"/>
    </row>
    <row r="29">
      <c r="B29" s="52" t="n"/>
      <c r="C29" s="53" t="n"/>
      <c r="D29" s="52" t="n"/>
    </row>
    <row r="30">
      <c r="B30" s="24" t="n"/>
      <c r="C30" s="26" t="n"/>
      <c r="D30" s="24" t="n"/>
    </row>
    <row r="31">
      <c r="B31" s="52" t="n"/>
      <c r="C31" s="53" t="n"/>
      <c r="D31" s="52" t="n"/>
    </row>
    <row r="32">
      <c r="B32" s="24" t="n"/>
      <c r="C32" s="26" t="n"/>
      <c r="D32" s="24" t="n"/>
    </row>
    <row r="33">
      <c r="B33" s="52" t="n"/>
      <c r="C33" s="53" t="n"/>
      <c r="D33" s="52" t="n"/>
    </row>
    <row r="34">
      <c r="B34" s="24" t="n"/>
      <c r="C34" s="26" t="n"/>
      <c r="D34" s="24" t="n"/>
    </row>
    <row r="35">
      <c r="B35" s="52" t="n"/>
      <c r="C35" s="53" t="n"/>
      <c r="D35" s="52" t="n"/>
    </row>
    <row r="36">
      <c r="B36" s="24" t="n"/>
      <c r="C36" s="26" t="n"/>
      <c r="D36" s="24" t="n"/>
    </row>
    <row r="37">
      <c r="B37" s="52" t="n"/>
      <c r="C37" s="53" t="n"/>
      <c r="D37" s="52" t="n"/>
    </row>
    <row r="38">
      <c r="B38" s="24" t="n"/>
      <c r="C38" s="26" t="n"/>
      <c r="D38" s="24" t="n"/>
    </row>
    <row r="39">
      <c r="B39" s="52" t="n"/>
      <c r="C39" s="53" t="n"/>
      <c r="D39" s="52" t="n"/>
    </row>
    <row r="40">
      <c r="B40" s="24" t="n"/>
      <c r="C40" s="26" t="n"/>
      <c r="D40" s="24" t="n"/>
    </row>
    <row r="41">
      <c r="B41" s="52" t="n"/>
      <c r="C41" s="53" t="n"/>
      <c r="D41" s="52" t="n"/>
    </row>
    <row r="42">
      <c r="B42" s="24" t="n"/>
      <c r="C42" s="26" t="n"/>
      <c r="D42" s="24" t="n"/>
    </row>
    <row r="43">
      <c r="B43" s="52" t="n"/>
      <c r="C43" s="53" t="n"/>
      <c r="D43" s="52" t="n"/>
    </row>
    <row r="44">
      <c r="B44" s="24" t="n"/>
      <c r="C44" s="26" t="n"/>
      <c r="D44" s="24" t="n"/>
    </row>
    <row r="46">
      <c r="B46" s="27" t="inlineStr">
        <is>
          <t>Actual dealbreakers</t>
        </is>
      </c>
      <c r="C46" s="54">
        <f>COUNTIF(NonNegWeight,"Dealbreaker")</f>
        <v/>
      </c>
    </row>
    <row r="48">
      <c r="B48" s="4" t="inlineStr">
        <is>
          <t>If it's a dealbreaker, it's a dealbreaker on date one, not date twelve.</t>
        </is>
      </c>
    </row>
  </sheetData>
  <mergeCells count="2">
    <mergeCell ref="A1:D1"/>
    <mergeCell ref="A2:D2"/>
  </mergeCells>
  <conditionalFormatting sqref="C5:C44">
    <cfRule type="cellIs" priority="1" operator="equal" dxfId="0">
      <formula>"Dealbreaker"</formula>
    </cfRule>
  </conditionalFormatting>
  <dataValidations count="1">
    <dataValidation sqref="C5:C44" showDropDown="0" showInputMessage="0" showErrorMessage="0" allowBlank="1" type="list">
      <formula1>=WeightList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2" customWidth="1" min="1" max="1"/>
    <col width="62" customWidth="1" min="2" max="2"/>
    <col width="18" customWidth="1" min="3" max="3"/>
    <col width="2" customWidth="1" min="4" max="4"/>
  </cols>
  <sheetData>
    <row r="1" ht="46" customHeight="1">
      <c r="A1" s="1" t="inlineStr">
        <is>
          <t xml:space="preserve">  🛡  SAFETY PLAN</t>
        </is>
      </c>
    </row>
    <row r="2" ht="22" customHeight="1">
      <c r="A2" s="2" t="inlineStr">
        <is>
          <t xml:space="preserve">  Please fill this in before your next first date. All of it. Every time.</t>
        </is>
      </c>
    </row>
    <row r="3" ht="6" customHeight="1">
      <c r="A3" s="3" t="n"/>
      <c r="B3" s="3" t="n"/>
      <c r="C3" s="3" t="n"/>
    </row>
    <row r="4" ht="30" customHeight="1">
      <c r="B4" s="9" t="inlineStr">
        <is>
          <t>Step</t>
        </is>
      </c>
      <c r="C4" s="9" t="inlineStr">
        <is>
          <t>Doing it?</t>
        </is>
      </c>
    </row>
    <row r="5">
      <c r="B5" s="21" t="inlineStr">
        <is>
          <t>First date is somewhere public, always</t>
        </is>
      </c>
      <c r="C5" s="47" t="inlineStr">
        <is>
          <t>Yes</t>
        </is>
      </c>
    </row>
    <row r="6">
      <c r="B6" s="24" t="inlineStr">
        <is>
          <t>A friend has the name, photo and location</t>
        </is>
      </c>
      <c r="C6" s="48" t="inlineStr">
        <is>
          <t>Yes</t>
        </is>
      </c>
    </row>
    <row r="7">
      <c r="B7" s="21" t="inlineStr">
        <is>
          <t>Share live location for the first few dates</t>
        </is>
      </c>
      <c r="C7" s="47" t="inlineStr">
        <is>
          <t>Yes</t>
        </is>
      </c>
    </row>
    <row r="8">
      <c r="B8" s="24" t="inlineStr">
        <is>
          <t>Arrange your own transport there and back</t>
        </is>
      </c>
      <c r="C8" s="48" t="inlineStr">
        <is>
          <t>Yes</t>
        </is>
      </c>
    </row>
    <row r="9">
      <c r="B9" s="21" t="inlineStr">
        <is>
          <t>Video-call before meeting in person</t>
        </is>
      </c>
      <c r="C9" s="47" t="inlineStr">
        <is>
          <t>Yes</t>
        </is>
      </c>
    </row>
    <row r="10">
      <c r="B10" s="24" t="inlineStr">
        <is>
          <t>Reverse-image-search the photos</t>
        </is>
      </c>
      <c r="C10" s="48" t="inlineStr">
        <is>
          <t>Yes</t>
        </is>
      </c>
    </row>
    <row r="11">
      <c r="B11" s="21" t="inlineStr">
        <is>
          <t>Don't share your home address early</t>
        </is>
      </c>
      <c r="C11" s="47" t="inlineStr">
        <is>
          <t>Yes</t>
        </is>
      </c>
    </row>
    <row r="12">
      <c r="B12" s="24" t="inlineStr">
        <is>
          <t>Have a check-in text time agreed</t>
        </is>
      </c>
      <c r="C12" s="48" t="inlineStr">
        <is>
          <t>Yes</t>
        </is>
      </c>
    </row>
    <row r="13">
      <c r="B13" s="21" t="inlineStr">
        <is>
          <t>Trust the feeling and leave if you want to</t>
        </is>
      </c>
      <c r="C13" s="47" t="inlineStr">
        <is>
          <t>Yes</t>
        </is>
      </c>
    </row>
    <row r="14">
      <c r="B14" s="9">
        <f> STEPS YOU'RE ACTUALLY DOING</f>
        <v/>
      </c>
      <c r="C14" s="49">
        <f>COUNTIF(SafetyDone,"Yes")</f>
        <v/>
      </c>
    </row>
    <row r="16">
      <c r="B16" s="4" t="inlineStr">
        <is>
          <t>WHO KNOWS WHERE YOU ARE TONIGHT</t>
        </is>
      </c>
    </row>
    <row r="17">
      <c r="B17" s="27" t="inlineStr">
        <is>
          <t>Friend's name &amp; number</t>
        </is>
      </c>
      <c r="C17" s="47" t="inlineStr"/>
    </row>
    <row r="18">
      <c r="B18" s="27" t="inlineStr">
        <is>
          <t>What time you'll check in</t>
        </is>
      </c>
      <c r="C18" s="47" t="inlineStr"/>
    </row>
    <row r="19">
      <c r="B19" s="27" t="inlineStr">
        <is>
          <t>Where you're going</t>
        </is>
      </c>
      <c r="C19" s="47" t="inlineStr"/>
    </row>
    <row r="20">
      <c r="B20" s="27" t="inlineStr">
        <is>
          <t>Their name, photo &amp; profile link</t>
        </is>
      </c>
      <c r="C20" s="47" t="inlineStr"/>
    </row>
    <row r="21">
      <c r="B21" s="27" t="inlineStr">
        <is>
          <t>How you're getting home</t>
        </is>
      </c>
      <c r="C21" s="47" t="inlineStr"/>
    </row>
    <row r="23">
      <c r="B23" s="4" t="inlineStr">
        <is>
          <t>You never owe anyone a second more of your evening. Leaving early is always allowed.</t>
        </is>
      </c>
    </row>
  </sheetData>
  <mergeCells count="2">
    <mergeCell ref="A1:C1"/>
    <mergeCell ref="A2:C2"/>
  </mergeCells>
  <conditionalFormatting sqref="C5:C13">
    <cfRule type="cellIs" priority="1" operator="equal" dxfId="0">
      <formula>"No"</formula>
    </cfRule>
  </conditionalFormatting>
  <dataValidations count="1">
    <dataValidation sqref="C5:C13" showDropDown="0" showInputMessage="0" showErrorMessage="0" allowBlank="1" type="list">
      <formula1>=YesNoList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6"/>
  <sheetViews>
    <sheetView showGridLines="0" workbookViewId="0">
      <pane ySplit="4" topLeftCell="A5" activePane="bottomLeft" state="frozen"/>
      <selection pane="bottomLeft" activeCell="A1" sqref="A1"/>
    </sheetView>
  </sheetViews>
  <sheetFormatPr baseColWidth="8" defaultRowHeight="15"/>
  <cols>
    <col width="2" customWidth="1" min="1" max="1"/>
    <col width="46" customWidth="1" min="2" max="2"/>
    <col width="62" customWidth="1" min="3" max="3"/>
    <col width="2" customWidth="1" min="4" max="4"/>
  </cols>
  <sheetData>
    <row r="1" ht="46" customHeight="1">
      <c r="A1" s="1" t="inlineStr">
        <is>
          <t xml:space="preserve">  💭  REFLECTION &amp; PATTERNS</t>
        </is>
      </c>
    </row>
    <row r="2" ht="22" customHeight="1">
      <c r="A2" s="2" t="inlineStr">
        <is>
          <t xml:space="preserve">  The page that actually changes things. Do it at the end of every month.</t>
        </is>
      </c>
    </row>
    <row r="3" ht="6" customHeight="1">
      <c r="A3" s="3" t="n"/>
      <c r="B3" s="3" t="n"/>
      <c r="C3" s="3" t="n"/>
    </row>
    <row r="4" ht="30" customHeight="1">
      <c r="B4" s="9" t="inlineStr">
        <is>
          <t>Ask yourself</t>
        </is>
      </c>
      <c r="C4" s="9" t="inlineStr">
        <is>
          <t>Honestly</t>
        </is>
      </c>
    </row>
    <row r="5">
      <c r="B5" s="52" t="inlineStr">
        <is>
          <t>Who did I feel most like myself with?</t>
        </is>
      </c>
      <c r="C5" s="52" t="inlineStr">
        <is>
          <t>M. — I wasn't performing</t>
        </is>
      </c>
    </row>
    <row r="6">
      <c r="B6" s="24" t="inlineStr">
        <is>
          <t>Who did I feel anxious around, and why?</t>
        </is>
      </c>
      <c r="C6" s="24" t="inlineStr">
        <is>
          <t>R. — never knew where I stood</t>
        </is>
      </c>
    </row>
    <row r="7">
      <c r="B7" s="52" t="inlineStr">
        <is>
          <t>What pattern keeps repeating?</t>
        </is>
      </c>
      <c r="C7" s="52" t="inlineStr">
        <is>
          <t>I keep choosing people who need convincing</t>
        </is>
      </c>
    </row>
    <row r="8">
      <c r="B8" s="24" t="inlineStr">
        <is>
          <t>What did I do differently this month?</t>
        </is>
      </c>
      <c r="C8" s="24" t="inlineStr">
        <is>
          <t>Said no to a third R. reschedule</t>
        </is>
      </c>
    </row>
    <row r="9">
      <c r="B9" s="52" t="inlineStr">
        <is>
          <t>What am I tolerating that I shouldn't?</t>
        </is>
      </c>
      <c r="C9" s="52" t="inlineStr">
        <is>
          <t>Vague plans. It's not mysterious, it's rude.</t>
        </is>
      </c>
    </row>
    <row r="10">
      <c r="B10" s="24" t="inlineStr">
        <is>
          <t>What went better than last month?</t>
        </is>
      </c>
      <c r="C10" s="24" t="inlineStr">
        <is>
          <t>I stopped texting first every single time</t>
        </is>
      </c>
    </row>
    <row r="11">
      <c r="B11" s="52" t="inlineStr">
        <is>
          <t>What do I want more of?</t>
        </is>
      </c>
      <c r="C11" s="52" t="inlineStr">
        <is>
          <t>The easy, warm kind. Like M.</t>
        </is>
      </c>
    </row>
    <row r="12">
      <c r="B12" s="24" t="inlineStr">
        <is>
          <t>What would I tell a friend in my position?</t>
        </is>
      </c>
      <c r="C12" s="24" t="inlineStr">
        <is>
          <t>You already know. Believe yourself.</t>
        </is>
      </c>
    </row>
    <row r="13">
      <c r="B13" s="52" t="n"/>
      <c r="C13" s="52" t="n"/>
    </row>
    <row r="14">
      <c r="B14" s="24" t="n"/>
      <c r="C14" s="24" t="n"/>
    </row>
    <row r="15">
      <c r="B15" s="52" t="n"/>
      <c r="C15" s="52" t="n"/>
    </row>
    <row r="16">
      <c r="B16" s="24" t="n"/>
      <c r="C16" s="24" t="n"/>
    </row>
    <row r="17">
      <c r="B17" s="52" t="n"/>
      <c r="C17" s="52" t="n"/>
    </row>
    <row r="18">
      <c r="B18" s="24" t="n"/>
      <c r="C18" s="24" t="n"/>
    </row>
    <row r="19">
      <c r="B19" s="52" t="n"/>
      <c r="C19" s="52" t="n"/>
    </row>
    <row r="20">
      <c r="B20" s="24" t="n"/>
      <c r="C20" s="24" t="n"/>
    </row>
    <row r="21">
      <c r="B21" s="52" t="n"/>
      <c r="C21" s="52" t="n"/>
    </row>
    <row r="22">
      <c r="B22" s="24" t="n"/>
      <c r="C22" s="24" t="n"/>
    </row>
    <row r="23">
      <c r="B23" s="52" t="n"/>
      <c r="C23" s="52" t="n"/>
    </row>
    <row r="24">
      <c r="B24" s="24" t="n"/>
      <c r="C24" s="24" t="n"/>
    </row>
    <row r="25">
      <c r="B25" s="52" t="n"/>
      <c r="C25" s="52" t="n"/>
    </row>
    <row r="26">
      <c r="B26" s="24" t="n"/>
      <c r="C26" s="24" t="n"/>
    </row>
    <row r="27">
      <c r="B27" s="52" t="n"/>
      <c r="C27" s="52" t="n"/>
    </row>
    <row r="28">
      <c r="B28" s="24" t="n"/>
      <c r="C28" s="24" t="n"/>
    </row>
    <row r="29">
      <c r="B29" s="52" t="n"/>
      <c r="C29" s="52" t="n"/>
    </row>
    <row r="30">
      <c r="B30" s="24" t="n"/>
      <c r="C30" s="24" t="n"/>
    </row>
    <row r="31">
      <c r="B31" s="52" t="n"/>
      <c r="C31" s="52" t="n"/>
    </row>
    <row r="32">
      <c r="B32" s="24" t="n"/>
      <c r="C32" s="24" t="n"/>
    </row>
    <row r="33">
      <c r="B33" s="52" t="n"/>
      <c r="C33" s="52" t="n"/>
    </row>
    <row r="34">
      <c r="B34" s="24" t="n"/>
      <c r="C34" s="24" t="n"/>
    </row>
    <row r="35">
      <c r="B35" s="52" t="n"/>
      <c r="C35" s="52" t="n"/>
    </row>
    <row r="36">
      <c r="B36" s="24" t="n"/>
      <c r="C36" s="24" t="n"/>
    </row>
    <row r="37">
      <c r="B37" s="52" t="n"/>
      <c r="C37" s="52" t="n"/>
    </row>
    <row r="38">
      <c r="B38" s="24" t="n"/>
      <c r="C38" s="24" t="n"/>
    </row>
    <row r="39">
      <c r="B39" s="52" t="n"/>
      <c r="C39" s="52" t="n"/>
    </row>
    <row r="40">
      <c r="B40" s="24" t="n"/>
      <c r="C40" s="24" t="n"/>
    </row>
    <row r="41">
      <c r="B41" s="52" t="n"/>
      <c r="C41" s="52" t="n"/>
    </row>
    <row r="42">
      <c r="B42" s="24" t="n"/>
      <c r="C42" s="24" t="n"/>
    </row>
    <row r="43">
      <c r="B43" s="52" t="n"/>
      <c r="C43" s="52" t="n"/>
    </row>
    <row r="44">
      <c r="B44" s="24" t="n"/>
      <c r="C44" s="24" t="n"/>
    </row>
    <row r="46">
      <c r="B46" s="4" t="inlineStr">
        <is>
          <t>Patterns don't break because you noticed them once. They break because you wrote them down twice.</t>
        </is>
      </c>
    </row>
  </sheetData>
  <mergeCells count="2">
    <mergeCell ref="A1:C1"/>
    <mergeCell ref="A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 customWidth="1" min="1" max="1"/>
    <col width="42" customWidth="1" min="2" max="2"/>
    <col width="18" customWidth="1" min="3" max="3"/>
    <col width="2" customWidth="1" min="4" max="4"/>
  </cols>
  <sheetData>
    <row r="1" ht="46" customHeight="1">
      <c r="A1" s="1" t="inlineStr">
        <is>
          <t xml:space="preserve">  📈  MONTHLY SUMMARY</t>
        </is>
      </c>
    </row>
    <row r="2" ht="22" customHeight="1">
      <c r="A2" s="2" t="inlineStr">
        <is>
          <t xml:space="preserve">  The whole month in one place — and what you want the next one to look like.</t>
        </is>
      </c>
    </row>
    <row r="3" ht="6" customHeight="1">
      <c r="A3" s="3" t="n"/>
      <c r="B3" s="3" t="n"/>
      <c r="C3" s="3" t="n"/>
    </row>
    <row r="5">
      <c r="B5" s="4" t="inlineStr">
        <is>
          <t>THIS MONTH</t>
        </is>
      </c>
    </row>
    <row r="6">
      <c r="B6" s="27" t="inlineStr">
        <is>
          <t>Matches</t>
        </is>
      </c>
      <c r="C6" s="76">
        <f>Matches</f>
        <v/>
      </c>
    </row>
    <row r="7">
      <c r="B7" s="27" t="inlineStr">
        <is>
          <t>Conversations</t>
        </is>
      </c>
      <c r="C7" s="76">
        <f>Conversations</f>
        <v/>
      </c>
    </row>
    <row r="8">
      <c r="B8" s="27" t="inlineStr">
        <is>
          <t>First dates</t>
        </is>
      </c>
      <c r="C8" s="76">
        <f>FirstDates</f>
        <v/>
      </c>
    </row>
    <row r="9">
      <c r="B9" s="27" t="inlineStr">
        <is>
          <t>Second dates</t>
        </is>
      </c>
      <c r="C9" s="76">
        <f>SecondDates</f>
        <v/>
      </c>
    </row>
    <row r="10">
      <c r="B10" s="27" t="inlineStr">
        <is>
          <t>Still seeing</t>
        </is>
      </c>
      <c r="C10" s="76">
        <f>StillSeeing</f>
        <v/>
      </c>
    </row>
    <row r="11">
      <c r="B11" s="27" t="inlineStr">
        <is>
          <t>Hours spent</t>
        </is>
      </c>
      <c r="C11" s="33">
        <f>HoursSpent</f>
        <v/>
      </c>
    </row>
    <row r="12">
      <c r="B12" s="27" t="inlineStr">
        <is>
          <t>Money spent</t>
        </is>
      </c>
      <c r="C12" s="34">
        <f>SpendTotal</f>
        <v/>
      </c>
    </row>
    <row r="13">
      <c r="B13" s="9">
        <f> COST OF EVERY SECOND DATE</f>
        <v/>
      </c>
      <c r="C13" s="77">
        <f>CostPerSecondDate</f>
        <v/>
      </c>
    </row>
    <row r="14">
      <c r="B14" s="9">
        <f> HOURS FOR EVERY SECOND DATE</f>
        <v/>
      </c>
      <c r="C14" s="78">
        <f>HoursPerSecondDate</f>
        <v/>
      </c>
    </row>
    <row r="15">
      <c r="B15" s="9">
        <f> YOU ARE DOING THIS MUCH OF THE WORK</f>
        <v/>
      </c>
      <c r="C15" s="79">
        <f>EffortRatio</f>
        <v/>
      </c>
    </row>
    <row r="17">
      <c r="B17" s="4" t="inlineStr">
        <is>
          <t>SPEND, MONTH BY MONTH</t>
        </is>
      </c>
    </row>
    <row r="18" ht="30" customHeight="1">
      <c r="B18" s="9" t="inlineStr">
        <is>
          <t>Month</t>
        </is>
      </c>
      <c r="C18" s="9" t="inlineStr">
        <is>
          <t>Spend</t>
        </is>
      </c>
    </row>
    <row r="19">
      <c r="B19" s="21" t="inlineStr">
        <is>
          <t>Feb</t>
        </is>
      </c>
      <c r="C19" s="57" t="n">
        <v>392</v>
      </c>
    </row>
    <row r="20">
      <c r="B20" s="24" t="inlineStr">
        <is>
          <t>Mar</t>
        </is>
      </c>
      <c r="C20" s="59" t="n">
        <v>421</v>
      </c>
    </row>
    <row r="21">
      <c r="B21" s="21" t="inlineStr">
        <is>
          <t>Apr</t>
        </is>
      </c>
      <c r="C21" s="57" t="n">
        <v>448</v>
      </c>
    </row>
    <row r="22">
      <c r="B22" s="24" t="inlineStr">
        <is>
          <t>May</t>
        </is>
      </c>
      <c r="C22" s="59" t="n">
        <v>465</v>
      </c>
    </row>
    <row r="23">
      <c r="B23" s="21" t="inlineStr">
        <is>
          <t>Jun</t>
        </is>
      </c>
      <c r="C23" s="57" t="n">
        <v>482</v>
      </c>
    </row>
    <row r="24">
      <c r="B24" s="24" t="inlineStr">
        <is>
          <t>Jul</t>
        </is>
      </c>
      <c r="C24" s="59" t="n">
        <v>497</v>
      </c>
    </row>
  </sheetData>
  <mergeCells count="2">
    <mergeCell ref="A1:C1"/>
    <mergeCell ref="A2:C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I16"/>
  <sheetViews>
    <sheetView showGridLines="0" workbookViewId="0">
      <selection activeCell="A1" sqref="A1"/>
    </sheetView>
  </sheetViews>
  <sheetFormatPr baseColWidth="8" defaultRowHeight="15"/>
  <cols>
    <col width="2" customWidth="1" min="1" max="1"/>
    <col width="40" customWidth="1" min="2" max="2"/>
    <col width="20" customWidth="1" min="3" max="3"/>
    <col width="3" customWidth="1" min="4" max="4"/>
    <col width="24" customWidth="1" min="5" max="5"/>
    <col width="24" customWidth="1" min="6" max="6"/>
    <col width="24" customWidth="1" min="7" max="7"/>
    <col width="24" customWidth="1" min="8" max="8"/>
    <col width="24" customWidth="1" min="9" max="9"/>
  </cols>
  <sheetData>
    <row r="1" ht="46" customHeight="1">
      <c r="A1" s="1" t="inlineStr">
        <is>
          <t xml:space="preserve">  ⚙  SETTINGS</t>
        </is>
      </c>
    </row>
    <row r="2" ht="22" customHeight="1">
      <c r="A2" s="2" t="inlineStr">
        <is>
          <t xml:space="preserve">  Set your numbers &amp; what you're aiming for — every tab follows.</t>
        </is>
      </c>
    </row>
    <row r="3" ht="6" customHeight="1">
      <c r="A3" s="3" t="n"/>
      <c r="B3" s="3" t="n"/>
      <c r="C3" s="3" t="n"/>
      <c r="D3" s="3" t="n"/>
      <c r="E3" s="3" t="n"/>
      <c r="F3" s="3" t="n"/>
      <c r="G3" s="3" t="n"/>
      <c r="H3" s="3" t="n"/>
      <c r="I3" s="3" t="n"/>
    </row>
    <row r="5">
      <c r="B5" s="7" t="inlineStr">
        <is>
          <t>YOUR NUMBERS &amp; GOALS</t>
        </is>
      </c>
      <c r="E5" s="4" t="inlineStr">
        <is>
          <t>DROPDOWN LISTS</t>
        </is>
      </c>
    </row>
    <row r="6">
      <c r="B6" s="27" t="inlineStr">
        <is>
          <t>This is for</t>
        </is>
      </c>
      <c r="C6" s="47" t="inlineStr">
        <is>
          <t>Elise</t>
        </is>
      </c>
      <c r="E6" s="9" t="inlineStr">
        <is>
          <t>Status</t>
        </is>
      </c>
      <c r="F6" s="9" t="inlineStr">
        <is>
          <t>Met on</t>
        </is>
      </c>
      <c r="G6" s="9" t="inlineStr">
        <is>
          <t>How it felt</t>
        </is>
      </c>
      <c r="H6" s="9" t="inlineStr">
        <is>
          <t>Weight</t>
        </is>
      </c>
      <c r="I6" s="9" t="inlineStr">
        <is>
          <t>Yes / No</t>
        </is>
      </c>
    </row>
    <row r="7">
      <c r="B7" s="27" t="inlineStr">
        <is>
          <t>Monthly dating budget</t>
        </is>
      </c>
      <c r="C7" s="57" t="n">
        <v>520</v>
      </c>
      <c r="E7" s="21" t="inlineStr">
        <is>
          <t>Talking</t>
        </is>
      </c>
      <c r="F7" s="21" t="inlineStr">
        <is>
          <t>Hinge</t>
        </is>
      </c>
      <c r="G7" s="21" t="inlineStr">
        <is>
          <t>Great</t>
        </is>
      </c>
      <c r="H7" s="21" t="inlineStr">
        <is>
          <t>Dealbreaker</t>
        </is>
      </c>
      <c r="I7" s="21" t="inlineStr">
        <is>
          <t>Yes</t>
        </is>
      </c>
    </row>
    <row r="8">
      <c r="B8" s="27" t="inlineStr">
        <is>
          <t>Hours per date (including travel)</t>
        </is>
      </c>
      <c r="C8" s="58" t="n">
        <v>2.5</v>
      </c>
      <c r="E8" s="21" t="inlineStr">
        <is>
          <t>First date booked</t>
        </is>
      </c>
      <c r="F8" s="21" t="inlineStr">
        <is>
          <t>Bumble</t>
        </is>
      </c>
      <c r="G8" s="21" t="inlineStr">
        <is>
          <t>Good</t>
        </is>
      </c>
      <c r="H8" s="21" t="inlineStr">
        <is>
          <t>Strong preference</t>
        </is>
      </c>
      <c r="I8" s="21" t="inlineStr">
        <is>
          <t>No</t>
        </is>
      </c>
    </row>
    <row r="9">
      <c r="B9" s="27" t="inlineStr">
        <is>
          <t>Hours getting ready per date</t>
        </is>
      </c>
      <c r="C9" s="58" t="n">
        <v>1</v>
      </c>
      <c r="E9" s="21" t="inlineStr">
        <is>
          <t>Seeing</t>
        </is>
      </c>
      <c r="F9" s="21" t="inlineStr">
        <is>
          <t>Tinder</t>
        </is>
      </c>
      <c r="G9" s="21" t="inlineStr">
        <is>
          <t>Fine</t>
        </is>
      </c>
      <c r="H9" s="21" t="inlineStr">
        <is>
          <t>Nice to have</t>
        </is>
      </c>
    </row>
    <row r="10">
      <c r="B10" s="27" t="inlineStr">
        <is>
          <t>Hours swiping this month</t>
        </is>
      </c>
      <c r="C10" s="38" t="n">
        <v>9</v>
      </c>
      <c r="E10" s="21" t="inlineStr">
        <is>
          <t>Slow fade</t>
        </is>
      </c>
      <c r="F10" s="21" t="inlineStr">
        <is>
          <t>Through friends</t>
        </is>
      </c>
      <c r="G10" s="21" t="inlineStr">
        <is>
          <t>Flat</t>
        </is>
      </c>
    </row>
    <row r="11">
      <c r="B11" s="27" t="inlineStr">
        <is>
          <t>Hours messaging this month</t>
        </is>
      </c>
      <c r="C11" s="38" t="n">
        <v>11</v>
      </c>
      <c r="E11" s="21" t="inlineStr">
        <is>
          <t>Ended it</t>
        </is>
      </c>
      <c r="F11" s="21" t="inlineStr">
        <is>
          <t>At work</t>
        </is>
      </c>
      <c r="G11" s="21" t="inlineStr">
        <is>
          <t>Uncomfortable</t>
        </is>
      </c>
    </row>
    <row r="12">
      <c r="B12" s="27" t="inlineStr">
        <is>
          <t>Days from match to first date</t>
        </is>
      </c>
      <c r="C12" s="38" t="n">
        <v>9</v>
      </c>
      <c r="E12" s="21" t="inlineStr">
        <is>
          <t>They ended it</t>
        </is>
      </c>
      <c r="F12" s="21" t="inlineStr">
        <is>
          <t>Out somewhere</t>
        </is>
      </c>
      <c r="G12" s="21" t="inlineStr">
        <is>
          <t>Relieved it ended</t>
        </is>
      </c>
    </row>
    <row r="13">
      <c r="B13" s="27" t="inlineStr">
        <is>
          <t>Goal: meet within this many days</t>
        </is>
      </c>
      <c r="C13" s="38" t="n">
        <v>14</v>
      </c>
      <c r="E13" s="21" t="inlineStr">
        <is>
          <t>Paused</t>
        </is>
      </c>
      <c r="F13" s="21" t="inlineStr">
        <is>
          <t>Event</t>
        </is>
      </c>
    </row>
    <row r="14">
      <c r="B14" s="27" t="inlineStr">
        <is>
          <t>Goal: second-date rate</t>
        </is>
      </c>
      <c r="C14" s="80" t="n">
        <v>0.3</v>
      </c>
      <c r="F14" s="21" t="inlineStr">
        <is>
          <t>Other</t>
        </is>
      </c>
    </row>
    <row r="15">
      <c r="B15" s="27" t="inlineStr">
        <is>
          <t>Goal: green flags minus red, at least</t>
        </is>
      </c>
      <c r="C15" s="38" t="n">
        <v>6</v>
      </c>
    </row>
    <row r="16">
      <c r="B16" s="27" t="inlineStr">
        <is>
          <t>Goal: effort ratio no worse than</t>
        </is>
      </c>
      <c r="C16" s="58" t="n">
        <v>1.2</v>
      </c>
    </row>
  </sheetData>
  <mergeCells count="4">
    <mergeCell ref="A1:I1"/>
    <mergeCell ref="E5:I5"/>
    <mergeCell ref="B5:C5"/>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2026-07-27T01:26:23Z</dcterms:created>
  <dcterms:modified xsi:type="dcterms:W3CDTF">2026-07-27T01:26:23Z</dcterms:modified>
</cp:coreProperties>
</file>