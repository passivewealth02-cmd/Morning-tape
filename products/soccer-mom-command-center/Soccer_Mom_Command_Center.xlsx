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layers" sheetId="2" state="visible" r:id="rId2"/>
    <sheet name="Schedule" sheetId="3" state="visible" r:id="rId3"/>
    <sheet name="Practices" sheetId="4" state="visible" r:id="rId4"/>
    <sheet name="Budget" sheetId="5" state="visible" r:id="rId5"/>
    <sheet name="Equipment" sheetId="6" state="visible" r:id="rId6"/>
    <sheet name="Tournaments" sheetId="7" state="visible" r:id="rId7"/>
    <sheet name="Carpool" sheetId="8" state="visible" r:id="rId8"/>
    <sheet name="Roster" sheetId="9" state="visible" r:id="rId9"/>
    <sheet name="Meals" sheetId="10" state="visible" r:id="rId10"/>
    <sheet name="Packing" sheetId="11" state="visible" r:id="rId11"/>
    <sheet name="Mileage" sheetId="12" state="visible" r:id="rId12"/>
    <sheet name="Communication" sheetId="13" state="visible" r:id="rId13"/>
    <sheet name="Settings" sheetId="14" state="visible" r:id="rId14"/>
  </sheets>
  <definedNames>
    <definedName name="Season">Settings!$C$5</definedName>
    <definedName name="SeasonStart">Settings!$C$6</definedName>
    <definedName name="SeasonEnd">Settings!$C$7</definedName>
    <definedName name="League">Settings!$C$8</definedName>
    <definedName name="Division">Settings!$C$9</definedName>
    <definedName name="MonthlyBudget">Settings!$C$10</definedName>
    <definedName name="PlayerCount">Settings!$C$11</definedName>
    <definedName name="FuelPerMile">Settings!$C$12</definedName>
    <definedName name="TodayDate">Settings!$C$13</definedName>
    <definedName name="ExpenseList">Settings!$E$6:$E$17</definedName>
    <definedName name="PositionList">Settings!$F$6:$F$11</definedName>
    <definedName name="PracticeTypeList">Settings!$G$6:$G$11</definedName>
    <definedName name="ConditionList">Settings!$H$6:$H$9</definedName>
    <definedName name="VenueList">Settings!$I$6:$I$8</definedName>
    <definedName name="ResultList">Settings!$E$21:$E$24</definedName>
    <definedName name="LeagueList">Settings!$F$21:$F$30</definedName>
    <definedName name="DivisionList">Settings!$G$21:$G$25</definedName>
    <definedName name="FieldList">Settings!$H$21:$H$26</definedName>
    <definedName name="YesNoList">Settings!$I$21:$I$22</definedName>
    <definedName name="AttendanceList">Settings!$B$21:$B$24</definedName>
    <definedName name="UniformList">Settings!$B$28:$B$31</definedName>
    <definedName name="GameDates">Schedule!$A$5:$A$44</definedName>
    <definedName name="GameOpponents">Schedule!$B$5:$B$44</definedName>
    <definedName name="GameResults">Schedule!$J$5:$J$44</definedName>
    <definedName name="PracDates">Practices!$A$5:$A$54</definedName>
    <definedName name="PracAttendance">Practices!$E$5:$E$54</definedName>
    <definedName name="BudgetCategories">Budget!$A$5:$A$16</definedName>
    <definedName name="BudgetPlanned">Budget!$B$5:$B$16</definedName>
    <definedName name="BudgetActual">Budget!$C$5:$C$16</definedName>
    <definedName name="BudgetTotalPlanned">Budget!$B$17</definedName>
    <definedName name="BudgetTotalActual">Budget!$C$17</definedName>
    <definedName name="EquipItem">Equipment!$B$5:$B$34</definedName>
    <definedName name="EquipPurchased">Equipment!$E$5:$E$34</definedName>
    <definedName name="EquipReplaceBy">Equipment!$G$5:$G$34</definedName>
    <definedName name="TourStart">Tournaments!$B$5:$B$16</definedName>
    <definedName name="TourName">Tournaments!$A$5:$A$16</definedName>
    <definedName name="MileageMiles">Mileage!$C$5:$C$44</definedName>
    <definedName name="MileageTotal">Mileage!$H$5:$H$44</definedName>
    <definedName name="MileageDate">Mileage!$A$5:$A$44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yyyy-mm-dd"/>
    <numFmt numFmtId="166" formatCode="mm/dd/yyyy"/>
    <numFmt numFmtId="167" formatCode="&quot;$&quot;#,##0.000"/>
    <numFmt numFmtId="168" formatCode="0;[Red]-0"/>
    <numFmt numFmtId="169" formatCode="&quot;$&quot;#,##0.00;[Red]-&quot;$&quot;#,##0.00"/>
  </numFmts>
  <fonts count="11">
    <font>
      <name val="Calibri"/>
      <family val="2"/>
      <color theme="1"/>
      <sz val="11"/>
      <scheme val="minor"/>
    </font>
    <font>
      <b val="1"/>
      <color rgb="00FFFFFF"/>
      <sz val="22"/>
    </font>
    <font>
      <color rgb="00FFFFFF"/>
      <sz val="11"/>
    </font>
    <font>
      <b val="1"/>
      <color rgb="001B4F48"/>
      <sz val="12"/>
    </font>
    <font>
      <b val="1"/>
      <color rgb="00FFFFFF"/>
      <sz val="11"/>
    </font>
    <font>
      <color rgb="00333333"/>
      <sz val="11"/>
    </font>
    <font>
      <b val="1"/>
      <color rgb="00937356"/>
      <sz val="10"/>
    </font>
    <font>
      <b val="1"/>
      <color rgb="001B4F48"/>
      <sz val="20"/>
    </font>
    <font>
      <b val="1"/>
      <color rgb="001B4F48"/>
      <sz val="11"/>
    </font>
    <font>
      <b val="1"/>
      <color rgb="001B4F48"/>
      <sz val="14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FFFFFF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F4ECDE"/>
      </patternFill>
    </fill>
  </fills>
  <borders count="3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</borders>
  <cellStyleXfs count="14">
    <xf numFmtId="0" fontId="0" fillId="0" borderId="0"/>
    <xf numFmtId="0" fontId="1" fillId="2" borderId="1" applyAlignment="1">
      <alignment horizontal="left" vertical="center" indent="1"/>
    </xf>
    <xf numFmtId="0" fontId="2" fillId="2" borderId="1" applyAlignment="1">
      <alignment horizontal="left" vertical="center" indent="1"/>
    </xf>
    <xf numFmtId="0" fontId="3" fillId="0" borderId="1" applyAlignment="1">
      <alignment horizontal="left" vertical="center"/>
    </xf>
    <xf numFmtId="0" fontId="4" fillId="2" borderId="2" applyAlignment="1">
      <alignment horizontal="center" vertical="center" wrapText="1"/>
    </xf>
    <xf numFmtId="0" fontId="5" fillId="0" borderId="2" applyAlignment="1">
      <alignment horizontal="center" vertical="center" wrapText="1"/>
    </xf>
    <xf numFmtId="0" fontId="5" fillId="0" borderId="2" applyAlignment="1">
      <alignment horizontal="left" vertical="center" wrapText="1" indent="1"/>
    </xf>
    <xf numFmtId="0" fontId="6" fillId="3" borderId="1" applyAlignment="1">
      <alignment horizontal="center" vertical="center"/>
    </xf>
    <xf numFmtId="0" fontId="7" fillId="3" borderId="1" applyAlignment="1">
      <alignment horizontal="center" vertical="center"/>
    </xf>
    <xf numFmtId="164" fontId="7" fillId="3" borderId="1" applyAlignment="1">
      <alignment horizontal="center" vertical="center"/>
    </xf>
    <xf numFmtId="9" fontId="7" fillId="3" borderId="1" applyAlignment="1">
      <alignment horizontal="center" vertical="center"/>
    </xf>
    <xf numFmtId="0" fontId="8" fillId="4" borderId="2" applyAlignment="1">
      <alignment horizontal="center" vertical="center"/>
    </xf>
    <xf numFmtId="0" fontId="6" fillId="5" borderId="2" applyAlignment="1">
      <alignment horizontal="left" vertical="center" indent="1"/>
    </xf>
    <xf numFmtId="0" fontId="5" fillId="0" borderId="2" applyAlignment="1">
      <alignment horizontal="left" vertical="center" indent="1"/>
    </xf>
  </cellStyleXfs>
  <cellXfs count="44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1"/>
    </xf>
    <xf numFmtId="0" fontId="2" fillId="2" borderId="1" applyAlignment="1" pivotButton="0" quotePrefix="0" xfId="2">
      <alignment horizontal="left" vertical="center" indent="1"/>
    </xf>
    <xf numFmtId="0" fontId="6" fillId="3" borderId="2" applyAlignment="1" pivotButton="0" quotePrefix="0" xfId="7">
      <alignment horizontal="center" vertical="center"/>
    </xf>
    <xf numFmtId="0" fontId="0" fillId="0" borderId="2" pivotButton="0" quotePrefix="0" xfId="0"/>
    <xf numFmtId="0" fontId="7" fillId="3" borderId="2" applyAlignment="1" pivotButton="0" quotePrefix="0" xfId="8">
      <alignment horizontal="center" vertical="center"/>
    </xf>
    <xf numFmtId="164" fontId="7" fillId="3" borderId="2" applyAlignment="1" pivotButton="0" quotePrefix="0" xfId="9">
      <alignment horizontal="center" vertical="center"/>
    </xf>
    <xf numFmtId="9" fontId="7" fillId="3" borderId="2" applyAlignment="1" pivotButton="0" quotePrefix="0" xfId="10">
      <alignment horizontal="center" vertical="center"/>
    </xf>
    <xf numFmtId="0" fontId="3" fillId="0" borderId="1" applyAlignment="1" pivotButton="0" quotePrefix="0" xfId="3">
      <alignment horizontal="left" vertical="center"/>
    </xf>
    <xf numFmtId="0" fontId="10" fillId="2" borderId="2" applyAlignment="1" pivotButton="0" quotePrefix="0" xfId="0">
      <alignment horizontal="center" vertical="center"/>
    </xf>
    <xf numFmtId="0" fontId="6" fillId="5" borderId="2" applyAlignment="1" pivotButton="0" quotePrefix="0" xfId="12">
      <alignment horizontal="left" vertical="center" indent="1"/>
    </xf>
    <xf numFmtId="0" fontId="5" fillId="0" borderId="2" applyAlignment="1" pivotButton="0" quotePrefix="0" xfId="13">
      <alignment horizontal="left" vertical="center" indent="1"/>
    </xf>
    <xf numFmtId="0" fontId="4" fillId="2" borderId="2" applyAlignment="1" pivotButton="0" quotePrefix="0" xfId="4">
      <alignment horizontal="center" vertical="center" wrapText="1"/>
    </xf>
    <xf numFmtId="166" fontId="5" fillId="3" borderId="2" applyAlignment="1" pivotButton="0" quotePrefix="0" xfId="5">
      <alignment horizontal="center" vertical="center" wrapText="1"/>
    </xf>
    <xf numFmtId="0" fontId="5" fillId="3" borderId="2" applyAlignment="1" pivotButton="0" quotePrefix="0" xfId="6">
      <alignment horizontal="left" vertical="center" wrapText="1" indent="1"/>
    </xf>
    <xf numFmtId="0" fontId="5" fillId="3" borderId="2" applyAlignment="1" pivotButton="0" quotePrefix="0" xfId="5">
      <alignment horizontal="center" vertical="center" wrapText="1"/>
    </xf>
    <xf numFmtId="168" fontId="5" fillId="3" borderId="2" applyAlignment="1" pivotButton="0" quotePrefix="0" xfId="5">
      <alignment horizontal="center" vertical="center" wrapText="1"/>
    </xf>
    <xf numFmtId="166" fontId="5" fillId="6" borderId="2" applyAlignment="1" pivotButton="0" quotePrefix="0" xfId="5">
      <alignment horizontal="center" vertical="center" wrapText="1"/>
    </xf>
    <xf numFmtId="0" fontId="5" fillId="6" borderId="2" applyAlignment="1" pivotButton="0" quotePrefix="0" xfId="6">
      <alignment horizontal="left" vertical="center" wrapText="1" indent="1"/>
    </xf>
    <xf numFmtId="0" fontId="5" fillId="6" borderId="2" applyAlignment="1" pivotButton="0" quotePrefix="0" xfId="5">
      <alignment horizontal="center" vertical="center" wrapText="1"/>
    </xf>
    <xf numFmtId="168" fontId="5" fillId="6" borderId="2" applyAlignment="1" pivotButton="0" quotePrefix="0" xfId="5">
      <alignment horizontal="center" vertical="center" wrapText="1"/>
    </xf>
    <xf numFmtId="0" fontId="5" fillId="0" borderId="2" applyAlignment="1" pivotButton="0" quotePrefix="0" xfId="6">
      <alignment horizontal="left" vertical="center" wrapText="1" indent="1"/>
    </xf>
    <xf numFmtId="164" fontId="8" fillId="4" borderId="2" applyAlignment="1" pivotButton="0" quotePrefix="0" xfId="11">
      <alignment horizontal="center" vertical="center"/>
    </xf>
    <xf numFmtId="164" fontId="5" fillId="0" borderId="2" applyAlignment="1" pivotButton="0" quotePrefix="0" xfId="5">
      <alignment horizontal="center" vertical="center" wrapText="1"/>
    </xf>
    <xf numFmtId="169" fontId="5" fillId="0" borderId="2" applyAlignment="1" pivotButton="0" quotePrefix="0" xfId="5">
      <alignment horizontal="center" vertical="center" wrapText="1"/>
    </xf>
    <xf numFmtId="9" fontId="5" fillId="0" borderId="2" applyAlignment="1" pivotButton="0" quotePrefix="0" xfId="5">
      <alignment horizontal="center" vertical="center" wrapText="1"/>
    </xf>
    <xf numFmtId="164" fontId="3" fillId="0" borderId="2" applyAlignment="1" pivotButton="0" quotePrefix="0" xfId="13">
      <alignment horizontal="left" vertical="center" indent="1"/>
    </xf>
    <xf numFmtId="164" fontId="8" fillId="6" borderId="2" applyAlignment="1" pivotButton="0" quotePrefix="0" xfId="11">
      <alignment horizontal="center" vertical="center"/>
    </xf>
    <xf numFmtId="164" fontId="5" fillId="6" borderId="2" applyAlignment="1" pivotButton="0" quotePrefix="0" xfId="5">
      <alignment horizontal="center" vertical="center" wrapText="1"/>
    </xf>
    <xf numFmtId="169" fontId="5" fillId="6" borderId="2" applyAlignment="1" pivotButton="0" quotePrefix="0" xfId="5">
      <alignment horizontal="center" vertical="center" wrapText="1"/>
    </xf>
    <xf numFmtId="9" fontId="5" fillId="6" borderId="2" applyAlignment="1" pivotButton="0" quotePrefix="0" xfId="5">
      <alignment horizontal="center" vertical="center" wrapText="1"/>
    </xf>
    <xf numFmtId="169" fontId="3" fillId="0" borderId="2" applyAlignment="1" pivotButton="0" quotePrefix="0" xfId="13">
      <alignment horizontal="left" vertical="center" indent="1"/>
    </xf>
    <xf numFmtId="164" fontId="8" fillId="4" borderId="2" applyAlignment="1" pivotButton="0" quotePrefix="0" xfId="5">
      <alignment horizontal="center" vertical="center" wrapText="1"/>
    </xf>
    <xf numFmtId="9" fontId="8" fillId="4" borderId="2" applyAlignment="1" pivotButton="0" quotePrefix="0" xfId="5">
      <alignment horizontal="center" vertical="center" wrapText="1"/>
    </xf>
    <xf numFmtId="1" fontId="5" fillId="3" borderId="2" applyAlignment="1" pivotButton="0" quotePrefix="0" xfId="5">
      <alignment horizontal="center" vertical="center" wrapText="1"/>
    </xf>
    <xf numFmtId="164" fontId="5" fillId="3" borderId="2" applyAlignment="1" pivotButton="0" quotePrefix="0" xfId="5">
      <alignment horizontal="center" vertical="center" wrapText="1"/>
    </xf>
    <xf numFmtId="1" fontId="5" fillId="6" borderId="2" applyAlignment="1" pivotButton="0" quotePrefix="0" xfId="5">
      <alignment horizontal="center" vertical="center" wrapText="1"/>
    </xf>
    <xf numFmtId="1" fontId="5" fillId="0" borderId="2" applyAlignment="1" pivotButton="0" quotePrefix="0" xfId="5">
      <alignment horizontal="center" vertical="center" wrapText="1"/>
    </xf>
    <xf numFmtId="0" fontId="9" fillId="0" borderId="2" applyAlignment="1" pivotButton="0" quotePrefix="0" xfId="5">
      <alignment horizontal="center" vertical="center" wrapText="1"/>
    </xf>
    <xf numFmtId="0" fontId="9" fillId="6" borderId="2" applyAlignment="1" pivotButton="0" quotePrefix="0" xfId="5">
      <alignment horizontal="center" vertical="center" wrapText="1"/>
    </xf>
    <xf numFmtId="0" fontId="8" fillId="4" borderId="2" applyAlignment="1" pivotButton="0" quotePrefix="0" xfId="11">
      <alignment horizontal="center" vertical="center"/>
    </xf>
    <xf numFmtId="166" fontId="8" fillId="4" borderId="2" applyAlignment="1" pivotButton="0" quotePrefix="0" xfId="11">
      <alignment horizontal="center" vertical="center"/>
    </xf>
    <xf numFmtId="1" fontId="8" fillId="4" borderId="2" applyAlignment="1" pivotButton="0" quotePrefix="0" xfId="11">
      <alignment horizontal="center" vertical="center"/>
    </xf>
    <xf numFmtId="167" fontId="8" fillId="4" borderId="2" applyAlignment="1" pivotButton="0" quotePrefix="0" xfId="11">
      <alignment horizontal="center" vertical="center"/>
    </xf>
  </cellXfs>
  <cellStyles count="14">
    <cellStyle name="Normal" xfId="0" builtinId="0" hidden="0"/>
    <cellStyle name="title" xfId="1" hidden="0"/>
    <cellStyle name="subtitle" xfId="2" hidden="0"/>
    <cellStyle name="section" xfId="3" hidden="0"/>
    <cellStyle name="th" xfId="4" hidden="0"/>
    <cellStyle name="td" xfId="5" hidden="0"/>
    <cellStyle name="td_left" xfId="6" hidden="0"/>
    <cellStyle name="kpi_label" xfId="7" hidden="0"/>
    <cellStyle name="kpi_value" xfId="8" hidden="0"/>
    <cellStyle name="kpi_money" xfId="9" hidden="0"/>
    <cellStyle name="kpi_pct" xfId="10" hidden="0"/>
    <cellStyle name="input" xfId="11" hidden="0"/>
    <cellStyle name="field_label" xfId="12" hidden="0"/>
    <cellStyle name="field_value" xfId="13" hidden="0"/>
  </cellStyles>
  <dxfs count="5">
    <dxf>
      <fill>
        <patternFill patternType="solid">
          <fgColor rgb="00DCF5EC"/>
        </patternFill>
      </fill>
    </dxf>
    <dxf>
      <fill>
        <patternFill patternType="solid">
          <fgColor rgb="00F1F1F1"/>
        </patternFill>
      </fill>
    </dxf>
    <dxf>
      <fill>
        <patternFill patternType="solid">
          <fgColor rgb="00E3F8EF"/>
        </patternFill>
      </fill>
    </dxf>
    <dxf>
      <fill>
        <patternFill patternType="solid">
          <fgColor rgb="00FBE6E6"/>
        </patternFill>
      </fill>
    </dxf>
    <dxf>
      <fill>
        <patternFill patternType="solid">
          <fgColor rgb="00FBF0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'Budget'!$A$5:$A$16</f>
            </numRef>
          </cat>
          <val>
            <numRef>
              <f>'Budget'!$C$5:$C$16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'Budget'!B4</f>
            </strRef>
          </tx>
          <spPr>
            <a:ln>
              <a:prstDash val="solid"/>
            </a:ln>
          </spPr>
          <cat>
            <numRef>
              <f>'Budget'!$A$5:$A$16</f>
            </numRef>
          </cat>
          <val>
            <numRef>
              <f>'Budget'!$B$5:$B$16</f>
            </numRef>
          </val>
        </ser>
        <ser>
          <idx val="1"/>
          <order val="1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'Budget'!$A$5:$A$16</f>
            </numRef>
          </cat>
          <val>
            <numRef>
              <f>'Budget'!$C$5:$C$16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Breakdown</a:t>
            </a:r>
          </a:p>
        </rich>
      </tx>
    </title>
    <plotArea>
      <doughnutChart>
        <varyColors val="1"/>
        <ser>
          <idx val="0"/>
          <order val="0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'Budget'!$A$5:$A$16</f>
            </numRef>
          </cat>
          <val>
            <numRef>
              <f>'Budget'!$C$5:$C$16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'Budget'!B4</f>
            </strRef>
          </tx>
          <spPr>
            <a:ln>
              <a:prstDash val="solid"/>
            </a:ln>
          </spPr>
          <cat>
            <numRef>
              <f>'Budget'!$A$5:$A$16</f>
            </numRef>
          </cat>
          <val>
            <numRef>
              <f>'Budget'!$B$5:$B$16</f>
            </numRef>
          </val>
        </ser>
        <ser>
          <idx val="1"/>
          <order val="1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'Budget'!$A$5:$A$16</f>
            </numRef>
          </cat>
          <val>
            <numRef>
              <f>'Budget'!$C$5:$C$16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43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13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50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B4F48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" customWidth="1" min="10" max="10"/>
  </cols>
  <sheetData>
    <row r="1" ht="56" customHeight="1">
      <c r="A1" s="1" t="inlineStr">
        <is>
          <t xml:space="preserve">  ⚽  SOCCER MOM COMMAND CENTER</t>
        </is>
      </c>
    </row>
    <row r="2" ht="22" customHeight="1">
      <c r="A2" s="2" t="inlineStr">
        <is>
          <t xml:space="preserve">  Plan · Track · Travel · Fuel · Win — one premium dashboard for the whole soccer season.</t>
        </is>
      </c>
    </row>
    <row r="4" ht="22" customHeight="1">
      <c r="B4" s="3" t="inlineStr">
        <is>
          <t>⚽ Games This Month</t>
        </is>
      </c>
      <c r="C4" s="4" t="n"/>
      <c r="D4" s="3" t="inlineStr">
        <is>
          <t>🏃 Practices This Week</t>
        </is>
      </c>
      <c r="E4" s="4" t="n"/>
      <c r="F4" s="3" t="inlineStr">
        <is>
          <t>💰 Monthly Budget</t>
        </is>
      </c>
      <c r="G4" s="4" t="n"/>
      <c r="H4" s="3" t="inlineStr">
        <is>
          <t>💵 Budget Remaining</t>
        </is>
      </c>
      <c r="I4" s="4" t="n"/>
    </row>
    <row r="5" ht="56" customHeight="1">
      <c r="B5" s="5">
        <f>SUMPRODUCT((GameDates&lt;&gt;"")*(MONTH(IFERROR(GameDates,0))=MONTH(TODAY()))*(YEAR(IFERROR(GameDates,0))=YEAR(TODAY())))</f>
        <v/>
      </c>
      <c r="C5" s="4" t="n"/>
      <c r="D5" s="5">
        <f>SUMPRODUCT((PracDates&lt;&gt;"")*(PracDates-TODAY()&gt;=0)*(PracDates-TODAY()&lt;=7))</f>
        <v/>
      </c>
      <c r="E5" s="4" t="n"/>
      <c r="F5" s="6">
        <f>MonthlyBudget</f>
        <v/>
      </c>
      <c r="G5" s="4" t="n"/>
      <c r="H5" s="6">
        <f>MonthlyBudget-BudgetTotalActual</f>
        <v/>
      </c>
      <c r="I5" s="4" t="n"/>
    </row>
    <row r="7" ht="22" customHeight="1">
      <c r="B7" s="3" t="inlineStr">
        <is>
          <t>🏆 Upcoming Tournaments</t>
        </is>
      </c>
      <c r="C7" s="4" t="n"/>
      <c r="D7" s="3" t="inlineStr">
        <is>
          <t>🎽 Equipment Needed</t>
        </is>
      </c>
      <c r="E7" s="4" t="n"/>
      <c r="F7" s="3" t="inlineStr">
        <is>
          <t>⚠ Family Conflicts</t>
        </is>
      </c>
      <c r="G7" s="4" t="n"/>
      <c r="H7" s="3" t="inlineStr">
        <is>
          <t>✅ Practice Attendance</t>
        </is>
      </c>
      <c r="I7" s="4" t="n"/>
    </row>
    <row r="8" ht="56" customHeight="1">
      <c r="B8" s="5">
        <f>SUMPRODUCT((TourStart&lt;&gt;"")*(TourStart-TODAY()&gt;=0))</f>
        <v/>
      </c>
      <c r="C8" s="4" t="n"/>
      <c r="D8" s="5">
        <f>SUMPRODUCT((EquipItem&lt;&gt;"")*(EquipPurchased&lt;&gt;"Yes"))</f>
        <v/>
      </c>
      <c r="E8" s="4" t="n"/>
      <c r="F8" s="5">
        <f>SUMPRODUCT((GameDates&lt;&gt;"")*(COUNTIF(PracDates,GameDates)&gt;0))</f>
        <v/>
      </c>
      <c r="G8" s="4" t="n"/>
      <c r="H8" s="7">
        <f>IFERROR(SUMPRODUCT((PracAttendance="Present")*1)/SUMPRODUCT((PracAttendance&lt;&gt;"")*(PracAttendance&lt;&gt;"—")*1),0)</f>
        <v/>
      </c>
      <c r="I8" s="4" t="n"/>
    </row>
    <row r="10" ht="26" customHeight="1">
      <c r="B10" s="8" t="inlineStr">
        <is>
          <t>QUICK NAVIGATION</t>
        </is>
      </c>
    </row>
    <row r="11" ht="30" customHeight="1">
      <c r="B11" s="9" t="inlineStr">
        <is>
          <t>Schedule</t>
        </is>
      </c>
      <c r="C11" s="9" t="inlineStr">
        <is>
          <t>Budget</t>
        </is>
      </c>
      <c r="D11" s="9" t="inlineStr">
        <is>
          <t>Equipment</t>
        </is>
      </c>
      <c r="E11" s="9" t="inlineStr">
        <is>
          <t>Roster</t>
        </is>
      </c>
      <c r="F11" s="9" t="inlineStr">
        <is>
          <t>Travel</t>
        </is>
      </c>
      <c r="G11" s="9" t="inlineStr">
        <is>
          <t>Meals</t>
        </is>
      </c>
      <c r="H11" s="9" t="inlineStr">
        <is>
          <t>Carpool</t>
        </is>
      </c>
      <c r="I11" s="9" t="inlineStr">
        <is>
          <t>Comms</t>
        </is>
      </c>
    </row>
    <row r="13" ht="26" customHeight="1">
      <c r="B13" s="8" t="inlineStr">
        <is>
          <t>ANALYTICS</t>
        </is>
      </c>
    </row>
    <row r="34" ht="26" customHeight="1">
      <c r="B34" s="2" t="inlineStr">
        <is>
          <t>Soccer Mom Command Center v1.0  ·  Edit Settings → Season · Budget · Player Count  ·  Add games on Schedule</t>
        </is>
      </c>
    </row>
  </sheetData>
  <mergeCells count="21">
    <mergeCell ref="F4:G4"/>
    <mergeCell ref="B7:C7"/>
    <mergeCell ref="H4:I4"/>
    <mergeCell ref="F7:G7"/>
    <mergeCell ref="F5:G5"/>
    <mergeCell ref="B8:C8"/>
    <mergeCell ref="F8:G8"/>
    <mergeCell ref="B13:I13"/>
    <mergeCell ref="A1:J1"/>
    <mergeCell ref="D7:E7"/>
    <mergeCell ref="H7:I7"/>
    <mergeCell ref="B34:I34"/>
    <mergeCell ref="B10:I10"/>
    <mergeCell ref="D4:E4"/>
    <mergeCell ref="D8:E8"/>
    <mergeCell ref="B5:C5"/>
    <mergeCell ref="A2:J2"/>
    <mergeCell ref="D5:E5"/>
    <mergeCell ref="H5:I5"/>
    <mergeCell ref="H8:I8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937356"/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8" customWidth="1" min="3" max="3"/>
    <col width="4" customWidth="1" min="4" max="4"/>
    <col width="22" customWidth="1" min="5" max="5"/>
    <col width="28" customWidth="1" min="6" max="6"/>
  </cols>
  <sheetData>
    <row r="1" ht="44" customHeight="1">
      <c r="A1" s="1" t="inlineStr">
        <is>
          <t xml:space="preserve">  ⚽  PLAYER PROFILES</t>
        </is>
      </c>
    </row>
    <row r="2" ht="22" customHeight="1">
      <c r="A2" s="2" t="inlineStr">
        <is>
          <t xml:space="preserve">  One section per child. Duplicate the block as needed.</t>
        </is>
      </c>
    </row>
    <row r="4" ht="22" customHeight="1">
      <c r="B4" s="8" t="inlineStr">
        <is>
          <t xml:space="preserve">  PLAYER</t>
        </is>
      </c>
    </row>
    <row r="5" ht="24" customHeight="1">
      <c r="B5" s="10" t="inlineStr">
        <is>
          <t>Name</t>
        </is>
      </c>
      <c r="C5" s="11" t="inlineStr">
        <is>
          <t>Maya Rivera</t>
        </is>
      </c>
      <c r="E5" s="10" t="inlineStr">
        <is>
          <t>Team</t>
        </is>
      </c>
      <c r="F5" s="11" t="inlineStr">
        <is>
          <t>FC United U10 Girls</t>
        </is>
      </c>
    </row>
    <row r="6" ht="24" customHeight="1">
      <c r="B6" s="10" t="inlineStr">
        <is>
          <t>Age Group</t>
        </is>
      </c>
      <c r="C6" s="11" t="inlineStr">
        <is>
          <t>U10</t>
        </is>
      </c>
      <c r="E6" s="10" t="inlineStr">
        <is>
          <t>Jersey #</t>
        </is>
      </c>
      <c r="F6" s="11" t="n">
        <v>7</v>
      </c>
    </row>
    <row r="7" ht="24" customHeight="1">
      <c r="B7" s="10" t="inlineStr">
        <is>
          <t>Position</t>
        </is>
      </c>
      <c r="C7" s="11" t="inlineStr">
        <is>
          <t>Midfielder</t>
        </is>
      </c>
      <c r="E7" s="10" t="inlineStr">
        <is>
          <t>Coach</t>
        </is>
      </c>
      <c r="F7" s="11" t="inlineStr">
        <is>
          <t>Coach Daniels</t>
        </is>
      </c>
    </row>
    <row r="8" ht="24" customHeight="1">
      <c r="B8" s="10" t="inlineStr">
        <is>
          <t>League</t>
        </is>
      </c>
      <c r="C8" s="11" t="inlineStr">
        <is>
          <t>U10 Travel</t>
        </is>
      </c>
      <c r="E8" s="10" t="inlineStr">
        <is>
          <t>Practice Days</t>
        </is>
      </c>
      <c r="F8" s="11" t="inlineStr">
        <is>
          <t>Mon / Wed</t>
        </is>
      </c>
    </row>
    <row r="9" ht="24" customHeight="1">
      <c r="B9" s="10" t="inlineStr">
        <is>
          <t>Medical Notes</t>
        </is>
      </c>
      <c r="C9" s="11" t="inlineStr">
        <is>
          <t>Mild asthma — inhaler in bag</t>
        </is>
      </c>
      <c r="E9" s="10" t="inlineStr">
        <is>
          <t>Emergency Contact</t>
        </is>
      </c>
      <c r="F9" s="11" t="inlineStr">
        <is>
          <t>Mom: (555) 412-7833</t>
        </is>
      </c>
    </row>
    <row r="10" ht="24" customHeight="1">
      <c r="B10" s="10" t="inlineStr">
        <is>
          <t>Allergies</t>
        </is>
      </c>
      <c r="C10" s="11" t="inlineStr">
        <is>
          <t>Peanuts</t>
        </is>
      </c>
      <c r="E10" s="10" t="inlineStr">
        <is>
          <t>Preferred Foot</t>
        </is>
      </c>
      <c r="F10" s="11" t="inlineStr">
        <is>
          <t>Right</t>
        </is>
      </c>
    </row>
    <row r="11" ht="24" customHeight="1">
      <c r="B11" s="10" t="inlineStr">
        <is>
          <t>Goal for Season</t>
        </is>
      </c>
      <c r="C11" s="11" t="inlineStr">
        <is>
          <t>10 assists + start every game</t>
        </is>
      </c>
    </row>
    <row r="14" ht="22" customHeight="1">
      <c r="B14" s="8" t="inlineStr">
        <is>
          <t xml:space="preserve">  PLAYER</t>
        </is>
      </c>
    </row>
    <row r="15" ht="24" customHeight="1">
      <c r="B15" s="10" t="inlineStr">
        <is>
          <t>Name</t>
        </is>
      </c>
      <c r="C15" s="11" t="inlineStr">
        <is>
          <t>Diego Rivera</t>
        </is>
      </c>
      <c r="E15" s="10" t="inlineStr">
        <is>
          <t>Team</t>
        </is>
      </c>
      <c r="F15" s="11" t="inlineStr">
        <is>
          <t>FC United U13 Boys</t>
        </is>
      </c>
    </row>
    <row r="16" ht="24" customHeight="1">
      <c r="B16" s="10" t="inlineStr">
        <is>
          <t>Age Group</t>
        </is>
      </c>
      <c r="C16" s="11" t="inlineStr">
        <is>
          <t>U13</t>
        </is>
      </c>
      <c r="E16" s="10" t="inlineStr">
        <is>
          <t>Jersey #</t>
        </is>
      </c>
      <c r="F16" s="11" t="n">
        <v>11</v>
      </c>
    </row>
    <row r="17" ht="24" customHeight="1">
      <c r="B17" s="10" t="inlineStr">
        <is>
          <t>Position</t>
        </is>
      </c>
      <c r="C17" s="11" t="inlineStr">
        <is>
          <t>Forward</t>
        </is>
      </c>
      <c r="E17" s="10" t="inlineStr">
        <is>
          <t>Coach</t>
        </is>
      </c>
      <c r="F17" s="11" t="inlineStr">
        <is>
          <t>Coach Marin</t>
        </is>
      </c>
    </row>
    <row r="18" ht="24" customHeight="1">
      <c r="B18" s="10" t="inlineStr">
        <is>
          <t>League</t>
        </is>
      </c>
      <c r="C18" s="11" t="inlineStr">
        <is>
          <t>U13 Club</t>
        </is>
      </c>
      <c r="E18" s="10" t="inlineStr">
        <is>
          <t>Practice Days</t>
        </is>
      </c>
      <c r="F18" s="11" t="inlineStr">
        <is>
          <t>Tue / Thu / Sat</t>
        </is>
      </c>
    </row>
    <row r="19" ht="24" customHeight="1">
      <c r="B19" s="10" t="inlineStr">
        <is>
          <t>Medical Notes</t>
        </is>
      </c>
      <c r="C19" s="11" t="inlineStr">
        <is>
          <t>—</t>
        </is>
      </c>
      <c r="E19" s="10" t="inlineStr">
        <is>
          <t>Emergency Contact</t>
        </is>
      </c>
      <c r="F19" s="11" t="inlineStr">
        <is>
          <t>Dad: (555) 412-7901</t>
        </is>
      </c>
    </row>
    <row r="20" ht="24" customHeight="1">
      <c r="B20" s="10" t="inlineStr">
        <is>
          <t>Allergies</t>
        </is>
      </c>
      <c r="C20" s="11" t="inlineStr">
        <is>
          <t>None</t>
        </is>
      </c>
      <c r="E20" s="10" t="inlineStr">
        <is>
          <t>Preferred Foot</t>
        </is>
      </c>
      <c r="F20" s="11" t="inlineStr">
        <is>
          <t>Left</t>
        </is>
      </c>
    </row>
    <row r="21" ht="24" customHeight="1">
      <c r="B21" s="10" t="inlineStr">
        <is>
          <t>Goal for Season</t>
        </is>
      </c>
      <c r="C21" s="11" t="inlineStr">
        <is>
          <t>15 goals + tournament MVP</t>
        </is>
      </c>
    </row>
  </sheetData>
  <mergeCells count="4">
    <mergeCell ref="B4:F4"/>
    <mergeCell ref="A2:F2"/>
    <mergeCell ref="A1:F1"/>
    <mergeCell ref="B14:F14"/>
  </mergeCells>
  <dataValidations count="2">
    <dataValidation sqref="C5:C20" showDropDown="0" showInputMessage="0" showErrorMessage="0" allowBlank="1" type="list">
      <formula1>=PositionList</formula1>
    </dataValidation>
    <dataValidation sqref="F5:F20" showDropDown="0" showInputMessage="0" showErrorMessage="0" allowBlank="1" type="list">
      <formula1>=LeagueList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5E6C1"/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24" customWidth="1" min="6" max="6"/>
    <col width="22" customWidth="1" min="7" max="7"/>
    <col width="18" customWidth="1" min="8" max="8"/>
    <col width="18" customWidth="1" min="9" max="9"/>
    <col width="14" customWidth="1" min="10" max="10"/>
    <col width="26" customWidth="1" min="11" max="11"/>
    <col width="14" customWidth="1" min="12" max="12"/>
  </cols>
  <sheetData>
    <row r="1" ht="44" customHeight="1">
      <c r="A1" s="1" t="inlineStr">
        <is>
          <t xml:space="preserve">  📅  SEASON SCHEDULE</t>
        </is>
      </c>
    </row>
    <row r="2" ht="22" customHeight="1">
      <c r="A2" s="2" t="inlineStr">
        <is>
          <t xml:space="preserve">  Every match — countdown, venue, weather, result, notes.</t>
        </is>
      </c>
    </row>
    <row r="4" ht="30" customHeight="1">
      <c r="A4" s="12" t="inlineStr">
        <is>
          <t>Date</t>
        </is>
      </c>
      <c r="B4" s="12" t="inlineStr">
        <is>
          <t>Opponent</t>
        </is>
      </c>
      <c r="C4" s="12" t="inlineStr">
        <is>
          <t>Home/Away</t>
        </is>
      </c>
      <c r="D4" s="12" t="inlineStr">
        <is>
          <t>Kickoff</t>
        </is>
      </c>
      <c r="E4" s="12" t="inlineStr">
        <is>
          <t>Arrival</t>
        </is>
      </c>
      <c r="F4" s="12" t="inlineStr">
        <is>
          <t>Field</t>
        </is>
      </c>
      <c r="G4" s="12" t="inlineStr">
        <is>
          <t>Address</t>
        </is>
      </c>
      <c r="H4" s="12" t="inlineStr">
        <is>
          <t>Weather</t>
        </is>
      </c>
      <c r="I4" s="12" t="inlineStr">
        <is>
          <t>Uniform</t>
        </is>
      </c>
      <c r="J4" s="12" t="inlineStr">
        <is>
          <t>Result</t>
        </is>
      </c>
      <c r="K4" s="12" t="inlineStr">
        <is>
          <t>Notes</t>
        </is>
      </c>
      <c r="L4" s="12" t="inlineStr">
        <is>
          <t>Days Out</t>
        </is>
      </c>
    </row>
    <row r="5">
      <c r="A5" s="13" t="n">
        <v>46188</v>
      </c>
      <c r="B5" s="14" t="inlineStr">
        <is>
          <t>Riverside Rovers</t>
        </is>
      </c>
      <c r="C5" s="15" t="inlineStr">
        <is>
          <t>Home</t>
        </is>
      </c>
      <c r="D5" s="15" t="inlineStr">
        <is>
          <t>10:00</t>
        </is>
      </c>
      <c r="E5" s="15" t="inlineStr">
        <is>
          <t>9:15</t>
        </is>
      </c>
      <c r="F5" s="14" t="inlineStr">
        <is>
          <t>Riverside Park</t>
        </is>
      </c>
      <c r="G5" s="14" t="inlineStr">
        <is>
          <t>1500 River Rd</t>
        </is>
      </c>
      <c r="H5" s="15" t="inlineStr">
        <is>
          <t>Sunny 72°</t>
        </is>
      </c>
      <c r="I5" s="15" t="inlineStr">
        <is>
          <t>Home Green</t>
        </is>
      </c>
      <c r="J5" s="15" t="inlineStr">
        <is>
          <t>Win</t>
        </is>
      </c>
      <c r="K5" s="14" t="inlineStr">
        <is>
          <t>—</t>
        </is>
      </c>
      <c r="L5" s="16">
        <f>IF(A5="","",A5-TODAY())</f>
        <v/>
      </c>
    </row>
    <row r="6">
      <c r="A6" s="17" t="n">
        <v>46195</v>
      </c>
      <c r="B6" s="18" t="inlineStr">
        <is>
          <t>Lincoln Lions</t>
        </is>
      </c>
      <c r="C6" s="19" t="inlineStr">
        <is>
          <t>Away</t>
        </is>
      </c>
      <c r="D6" s="19" t="inlineStr">
        <is>
          <t>11:30</t>
        </is>
      </c>
      <c r="E6" s="19" t="inlineStr">
        <is>
          <t>10:00</t>
        </is>
      </c>
      <c r="F6" s="18" t="inlineStr">
        <is>
          <t>Lincoln Complex</t>
        </is>
      </c>
      <c r="G6" s="18" t="inlineStr">
        <is>
          <t>240 Lincoln Way</t>
        </is>
      </c>
      <c r="H6" s="19" t="inlineStr">
        <is>
          <t>Cloudy 65°</t>
        </is>
      </c>
      <c r="I6" s="19" t="inlineStr">
        <is>
          <t>Away White</t>
        </is>
      </c>
      <c r="J6" s="19" t="inlineStr">
        <is>
          <t>Draw</t>
        </is>
      </c>
      <c r="K6" s="18" t="inlineStr">
        <is>
          <t>—</t>
        </is>
      </c>
      <c r="L6" s="20">
        <f>IF(A6="","",A6-TODAY())</f>
        <v/>
      </c>
    </row>
    <row r="7">
      <c r="A7" s="13" t="n">
        <v>46199</v>
      </c>
      <c r="B7" s="14" t="inlineStr">
        <is>
          <t>Eastside Eagles</t>
        </is>
      </c>
      <c r="C7" s="15" t="inlineStr">
        <is>
          <t>Away</t>
        </is>
      </c>
      <c r="D7" s="15" t="inlineStr">
        <is>
          <t>9:00</t>
        </is>
      </c>
      <c r="E7" s="15" t="inlineStr">
        <is>
          <t>7:45</t>
        </is>
      </c>
      <c r="F7" s="14" t="inlineStr">
        <is>
          <t>Eastside Sports Ctr</t>
        </is>
      </c>
      <c r="G7" s="14" t="inlineStr">
        <is>
          <t>88 Eastside Blvd</t>
        </is>
      </c>
      <c r="H7" s="15" t="inlineStr">
        <is>
          <t>Rain 58°</t>
        </is>
      </c>
      <c r="I7" s="15" t="inlineStr">
        <is>
          <t>Away White</t>
        </is>
      </c>
      <c r="J7" s="15" t="inlineStr">
        <is>
          <t>Loss</t>
        </is>
      </c>
      <c r="K7" s="14" t="inlineStr">
        <is>
          <t>—</t>
        </is>
      </c>
      <c r="L7" s="16">
        <f>IF(A7="","",A7-TODAY())</f>
        <v/>
      </c>
    </row>
    <row r="8">
      <c r="A8" s="17" t="n">
        <v>46204</v>
      </c>
      <c r="B8" s="18" t="inlineStr">
        <is>
          <t>Memorial Hawks</t>
        </is>
      </c>
      <c r="C8" s="19" t="inlineStr">
        <is>
          <t>Home</t>
        </is>
      </c>
      <c r="D8" s="19" t="inlineStr">
        <is>
          <t>10:00</t>
        </is>
      </c>
      <c r="E8" s="19" t="inlineStr">
        <is>
          <t>9:15</t>
        </is>
      </c>
      <c r="F8" s="18" t="inlineStr">
        <is>
          <t>Memorial Field</t>
        </is>
      </c>
      <c r="G8" s="18" t="inlineStr">
        <is>
          <t>33 Memorial Pkwy</t>
        </is>
      </c>
      <c r="H8" s="19" t="inlineStr">
        <is>
          <t>Partly Cloudy</t>
        </is>
      </c>
      <c r="I8" s="19" t="inlineStr">
        <is>
          <t>Home Green</t>
        </is>
      </c>
      <c r="J8" s="19" t="inlineStr">
        <is>
          <t>—</t>
        </is>
      </c>
      <c r="K8" s="18" t="inlineStr">
        <is>
          <t>—</t>
        </is>
      </c>
      <c r="L8" s="20">
        <f>IF(A8="","",A8-TODAY())</f>
        <v/>
      </c>
    </row>
    <row r="9">
      <c r="A9" s="13" t="n">
        <v>46207</v>
      </c>
      <c r="B9" s="14" t="inlineStr">
        <is>
          <t>Northside FC</t>
        </is>
      </c>
      <c r="C9" s="15" t="inlineStr">
        <is>
          <t>Away</t>
        </is>
      </c>
      <c r="D9" s="15" t="inlineStr">
        <is>
          <t>1:30</t>
        </is>
      </c>
      <c r="E9" s="15" t="inlineStr">
        <is>
          <t>12:00</t>
        </is>
      </c>
      <c r="F9" s="14" t="inlineStr">
        <is>
          <t>Northside Park</t>
        </is>
      </c>
      <c r="G9" s="14" t="inlineStr">
        <is>
          <t>210 North Ave</t>
        </is>
      </c>
      <c r="H9" s="15" t="inlineStr">
        <is>
          <t>Sunny 70°</t>
        </is>
      </c>
      <c r="I9" s="15" t="inlineStr">
        <is>
          <t>Away White</t>
        </is>
      </c>
      <c r="J9" s="15" t="inlineStr">
        <is>
          <t>—</t>
        </is>
      </c>
      <c r="K9" s="14" t="inlineStr">
        <is>
          <t>—</t>
        </is>
      </c>
      <c r="L9" s="16">
        <f>IF(A9="","",A9-TODAY())</f>
        <v/>
      </c>
    </row>
    <row r="10">
      <c r="A10" s="17" t="n">
        <v>46211</v>
      </c>
      <c r="B10" s="18" t="inlineStr">
        <is>
          <t>Westside Wolves</t>
        </is>
      </c>
      <c r="C10" s="19" t="inlineStr">
        <is>
          <t>Home</t>
        </is>
      </c>
      <c r="D10" s="19" t="inlineStr">
        <is>
          <t>11:00</t>
        </is>
      </c>
      <c r="E10" s="19" t="inlineStr">
        <is>
          <t>10:15</t>
        </is>
      </c>
      <c r="F10" s="18" t="inlineStr">
        <is>
          <t>Riverside Park</t>
        </is>
      </c>
      <c r="G10" s="18" t="inlineStr">
        <is>
          <t>1500 River Rd</t>
        </is>
      </c>
      <c r="H10" s="19" t="inlineStr">
        <is>
          <t>TBD</t>
        </is>
      </c>
      <c r="I10" s="19" t="inlineStr">
        <is>
          <t>Home Green</t>
        </is>
      </c>
      <c r="J10" s="19" t="inlineStr">
        <is>
          <t>—</t>
        </is>
      </c>
      <c r="K10" s="18" t="inlineStr">
        <is>
          <t>—</t>
        </is>
      </c>
      <c r="L10" s="20">
        <f>IF(A10="","",A10-TODAY())</f>
        <v/>
      </c>
    </row>
    <row r="11">
      <c r="A11" s="13" t="n">
        <v>46214</v>
      </c>
      <c r="B11" s="14" t="inlineStr">
        <is>
          <t>Tournament: City Cup</t>
        </is>
      </c>
      <c r="C11" s="15" t="inlineStr">
        <is>
          <t>Neutral</t>
        </is>
      </c>
      <c r="D11" s="15" t="inlineStr">
        <is>
          <t>9:00</t>
        </is>
      </c>
      <c r="E11" s="15" t="inlineStr">
        <is>
          <t>7:30</t>
        </is>
      </c>
      <c r="F11" s="14" t="inlineStr">
        <is>
          <t>Lincoln Complex</t>
        </is>
      </c>
      <c r="G11" s="14" t="inlineStr">
        <is>
          <t>240 Lincoln Way</t>
        </is>
      </c>
      <c r="H11" s="15" t="inlineStr">
        <is>
          <t>TBD</t>
        </is>
      </c>
      <c r="I11" s="15" t="inlineStr">
        <is>
          <t>Home Green</t>
        </is>
      </c>
      <c r="J11" s="15" t="inlineStr">
        <is>
          <t>—</t>
        </is>
      </c>
      <c r="K11" s="14" t="inlineStr">
        <is>
          <t>—</t>
        </is>
      </c>
      <c r="L11" s="16">
        <f>IF(A11="","",A11-TODAY())</f>
        <v/>
      </c>
    </row>
    <row r="12">
      <c r="A12" s="17" t="n">
        <v>46218</v>
      </c>
      <c r="B12" s="18" t="inlineStr">
        <is>
          <t>Tournament: City Cup</t>
        </is>
      </c>
      <c r="C12" s="19" t="inlineStr">
        <is>
          <t>Neutral</t>
        </is>
      </c>
      <c r="D12" s="19" t="inlineStr">
        <is>
          <t>1:00</t>
        </is>
      </c>
      <c r="E12" s="19" t="inlineStr">
        <is>
          <t>11:30</t>
        </is>
      </c>
      <c r="F12" s="18" t="inlineStr">
        <is>
          <t>Lincoln Complex</t>
        </is>
      </c>
      <c r="G12" s="18" t="inlineStr">
        <is>
          <t>240 Lincoln Way</t>
        </is>
      </c>
      <c r="H12" s="19" t="inlineStr">
        <is>
          <t>TBD</t>
        </is>
      </c>
      <c r="I12" s="19" t="inlineStr">
        <is>
          <t>Away White</t>
        </is>
      </c>
      <c r="J12" s="19" t="inlineStr">
        <is>
          <t>—</t>
        </is>
      </c>
      <c r="K12" s="18" t="inlineStr">
        <is>
          <t>—</t>
        </is>
      </c>
      <c r="L12" s="20">
        <f>IF(A12="","",A12-TODAY())</f>
        <v/>
      </c>
    </row>
    <row r="13">
      <c r="A13" s="13" t="n">
        <v>46222</v>
      </c>
      <c r="B13" s="14" t="inlineStr">
        <is>
          <t>Riverside Rovers</t>
        </is>
      </c>
      <c r="C13" s="15" t="inlineStr">
        <is>
          <t>Away</t>
        </is>
      </c>
      <c r="D13" s="15" t="inlineStr">
        <is>
          <t>10:00</t>
        </is>
      </c>
      <c r="E13" s="15" t="inlineStr">
        <is>
          <t>8:45</t>
        </is>
      </c>
      <c r="F13" s="14" t="inlineStr">
        <is>
          <t>Riverside Park</t>
        </is>
      </c>
      <c r="G13" s="14" t="inlineStr">
        <is>
          <t>1500 River Rd</t>
        </is>
      </c>
      <c r="H13" s="15" t="inlineStr">
        <is>
          <t>TBD</t>
        </is>
      </c>
      <c r="I13" s="15" t="inlineStr">
        <is>
          <t>Away White</t>
        </is>
      </c>
      <c r="J13" s="15" t="inlineStr">
        <is>
          <t>—</t>
        </is>
      </c>
      <c r="K13" s="14" t="inlineStr">
        <is>
          <t>—</t>
        </is>
      </c>
      <c r="L13" s="16">
        <f>IF(A13="","",A13-TODAY())</f>
        <v/>
      </c>
    </row>
    <row r="14">
      <c r="A14" s="17" t="n">
        <v>46229</v>
      </c>
      <c r="B14" s="18" t="inlineStr">
        <is>
          <t>Memorial Hawks</t>
        </is>
      </c>
      <c r="C14" s="19" t="inlineStr">
        <is>
          <t>Away</t>
        </is>
      </c>
      <c r="D14" s="19" t="inlineStr">
        <is>
          <t>11:30</t>
        </is>
      </c>
      <c r="E14" s="19" t="inlineStr">
        <is>
          <t>10:00</t>
        </is>
      </c>
      <c r="F14" s="18" t="inlineStr">
        <is>
          <t>Memorial Field</t>
        </is>
      </c>
      <c r="G14" s="18" t="inlineStr">
        <is>
          <t>33 Memorial Pkwy</t>
        </is>
      </c>
      <c r="H14" s="19" t="inlineStr">
        <is>
          <t>TBD</t>
        </is>
      </c>
      <c r="I14" s="19" t="inlineStr">
        <is>
          <t>Away White</t>
        </is>
      </c>
      <c r="J14" s="19" t="inlineStr">
        <is>
          <t>—</t>
        </is>
      </c>
      <c r="K14" s="18" t="inlineStr">
        <is>
          <t>—</t>
        </is>
      </c>
      <c r="L14" s="20">
        <f>IF(A14="","",A14-TODAY())</f>
        <v/>
      </c>
    </row>
    <row r="15">
      <c r="A15" s="13" t="n">
        <v>46236</v>
      </c>
      <c r="B15" s="14" t="inlineStr">
        <is>
          <t>Eastside Eagles</t>
        </is>
      </c>
      <c r="C15" s="15" t="inlineStr">
        <is>
          <t>Home</t>
        </is>
      </c>
      <c r="D15" s="15" t="inlineStr">
        <is>
          <t>10:00</t>
        </is>
      </c>
      <c r="E15" s="15" t="inlineStr">
        <is>
          <t>9:15</t>
        </is>
      </c>
      <c r="F15" s="14" t="inlineStr">
        <is>
          <t>Riverside Park</t>
        </is>
      </c>
      <c r="G15" s="14" t="inlineStr">
        <is>
          <t>1500 River Rd</t>
        </is>
      </c>
      <c r="H15" s="15" t="inlineStr">
        <is>
          <t>TBD</t>
        </is>
      </c>
      <c r="I15" s="15" t="inlineStr">
        <is>
          <t>Home Green</t>
        </is>
      </c>
      <c r="J15" s="15" t="inlineStr">
        <is>
          <t>—</t>
        </is>
      </c>
      <c r="K15" s="14" t="inlineStr">
        <is>
          <t>—</t>
        </is>
      </c>
      <c r="L15" s="16">
        <f>IF(A15="","",A15-TODAY())</f>
        <v/>
      </c>
    </row>
    <row r="16">
      <c r="A16" s="17" t="n">
        <v>46243</v>
      </c>
      <c r="B16" s="18" t="inlineStr">
        <is>
          <t>Lincoln Lions</t>
        </is>
      </c>
      <c r="C16" s="19" t="inlineStr">
        <is>
          <t>Home</t>
        </is>
      </c>
      <c r="D16" s="19" t="inlineStr">
        <is>
          <t>12:00</t>
        </is>
      </c>
      <c r="E16" s="19" t="inlineStr">
        <is>
          <t>11:00</t>
        </is>
      </c>
      <c r="F16" s="18" t="inlineStr">
        <is>
          <t>Riverside Park</t>
        </is>
      </c>
      <c r="G16" s="18" t="inlineStr">
        <is>
          <t>1500 River Rd</t>
        </is>
      </c>
      <c r="H16" s="19" t="inlineStr">
        <is>
          <t>TBD</t>
        </is>
      </c>
      <c r="I16" s="19" t="inlineStr">
        <is>
          <t>Home Green</t>
        </is>
      </c>
      <c r="J16" s="19" t="inlineStr">
        <is>
          <t>—</t>
        </is>
      </c>
      <c r="K16" s="18" t="inlineStr">
        <is>
          <t>—</t>
        </is>
      </c>
      <c r="L16" s="20">
        <f>IF(A16="","",A16-TODAY())</f>
        <v/>
      </c>
    </row>
    <row r="17">
      <c r="A17" s="13" t="n"/>
      <c r="B17" s="14" t="n"/>
      <c r="C17" s="15" t="n"/>
      <c r="D17" s="15" t="n"/>
      <c r="E17" s="15" t="n"/>
      <c r="F17" s="14" t="n"/>
      <c r="G17" s="14" t="n"/>
      <c r="H17" s="15" t="n"/>
      <c r="I17" s="15" t="n"/>
      <c r="J17" s="15" t="n"/>
      <c r="K17" s="14" t="n"/>
      <c r="L17" s="16">
        <f>IF(A17="","",A17-TODAY())</f>
        <v/>
      </c>
    </row>
    <row r="18">
      <c r="A18" s="17" t="n"/>
      <c r="B18" s="18" t="n"/>
      <c r="C18" s="19" t="n"/>
      <c r="D18" s="19" t="n"/>
      <c r="E18" s="19" t="n"/>
      <c r="F18" s="18" t="n"/>
      <c r="G18" s="18" t="n"/>
      <c r="H18" s="19" t="n"/>
      <c r="I18" s="19" t="n"/>
      <c r="J18" s="19" t="n"/>
      <c r="K18" s="18" t="n"/>
      <c r="L18" s="20">
        <f>IF(A18="","",A18-TODAY())</f>
        <v/>
      </c>
    </row>
    <row r="19">
      <c r="A19" s="13" t="n"/>
      <c r="B19" s="14" t="n"/>
      <c r="C19" s="15" t="n"/>
      <c r="D19" s="15" t="n"/>
      <c r="E19" s="15" t="n"/>
      <c r="F19" s="14" t="n"/>
      <c r="G19" s="14" t="n"/>
      <c r="H19" s="15" t="n"/>
      <c r="I19" s="15" t="n"/>
      <c r="J19" s="15" t="n"/>
      <c r="K19" s="14" t="n"/>
      <c r="L19" s="16">
        <f>IF(A19="","",A19-TODAY())</f>
        <v/>
      </c>
    </row>
    <row r="20">
      <c r="A20" s="17" t="n"/>
      <c r="B20" s="18" t="n"/>
      <c r="C20" s="19" t="n"/>
      <c r="D20" s="19" t="n"/>
      <c r="E20" s="19" t="n"/>
      <c r="F20" s="18" t="n"/>
      <c r="G20" s="18" t="n"/>
      <c r="H20" s="19" t="n"/>
      <c r="I20" s="19" t="n"/>
      <c r="J20" s="19" t="n"/>
      <c r="K20" s="18" t="n"/>
      <c r="L20" s="20">
        <f>IF(A20="","",A20-TODAY())</f>
        <v/>
      </c>
    </row>
    <row r="21">
      <c r="A21" s="13" t="n"/>
      <c r="B21" s="14" t="n"/>
      <c r="C21" s="15" t="n"/>
      <c r="D21" s="15" t="n"/>
      <c r="E21" s="15" t="n"/>
      <c r="F21" s="14" t="n"/>
      <c r="G21" s="14" t="n"/>
      <c r="H21" s="15" t="n"/>
      <c r="I21" s="15" t="n"/>
      <c r="J21" s="15" t="n"/>
      <c r="K21" s="14" t="n"/>
      <c r="L21" s="16">
        <f>IF(A21="","",A21-TODAY())</f>
        <v/>
      </c>
    </row>
    <row r="22">
      <c r="A22" s="17" t="n"/>
      <c r="B22" s="18" t="n"/>
      <c r="C22" s="19" t="n"/>
      <c r="D22" s="19" t="n"/>
      <c r="E22" s="19" t="n"/>
      <c r="F22" s="18" t="n"/>
      <c r="G22" s="18" t="n"/>
      <c r="H22" s="19" t="n"/>
      <c r="I22" s="19" t="n"/>
      <c r="J22" s="19" t="n"/>
      <c r="K22" s="18" t="n"/>
      <c r="L22" s="20">
        <f>IF(A22="","",A22-TODAY())</f>
        <v/>
      </c>
    </row>
    <row r="23">
      <c r="A23" s="13" t="n"/>
      <c r="B23" s="14" t="n"/>
      <c r="C23" s="15" t="n"/>
      <c r="D23" s="15" t="n"/>
      <c r="E23" s="15" t="n"/>
      <c r="F23" s="14" t="n"/>
      <c r="G23" s="14" t="n"/>
      <c r="H23" s="15" t="n"/>
      <c r="I23" s="15" t="n"/>
      <c r="J23" s="15" t="n"/>
      <c r="K23" s="14" t="n"/>
      <c r="L23" s="16">
        <f>IF(A23="","",A23-TODAY())</f>
        <v/>
      </c>
    </row>
    <row r="24">
      <c r="A24" s="17" t="n"/>
      <c r="B24" s="18" t="n"/>
      <c r="C24" s="19" t="n"/>
      <c r="D24" s="19" t="n"/>
      <c r="E24" s="19" t="n"/>
      <c r="F24" s="18" t="n"/>
      <c r="G24" s="18" t="n"/>
      <c r="H24" s="19" t="n"/>
      <c r="I24" s="19" t="n"/>
      <c r="J24" s="19" t="n"/>
      <c r="K24" s="18" t="n"/>
      <c r="L24" s="20">
        <f>IF(A24="","",A24-TODAY())</f>
        <v/>
      </c>
    </row>
    <row r="25">
      <c r="A25" s="13" t="n"/>
      <c r="B25" s="14" t="n"/>
      <c r="C25" s="15" t="n"/>
      <c r="D25" s="15" t="n"/>
      <c r="E25" s="15" t="n"/>
      <c r="F25" s="14" t="n"/>
      <c r="G25" s="14" t="n"/>
      <c r="H25" s="15" t="n"/>
      <c r="I25" s="15" t="n"/>
      <c r="J25" s="15" t="n"/>
      <c r="K25" s="14" t="n"/>
      <c r="L25" s="16">
        <f>IF(A25="","",A25-TODAY())</f>
        <v/>
      </c>
    </row>
    <row r="26">
      <c r="A26" s="17" t="n"/>
      <c r="B26" s="18" t="n"/>
      <c r="C26" s="19" t="n"/>
      <c r="D26" s="19" t="n"/>
      <c r="E26" s="19" t="n"/>
      <c r="F26" s="18" t="n"/>
      <c r="G26" s="18" t="n"/>
      <c r="H26" s="19" t="n"/>
      <c r="I26" s="19" t="n"/>
      <c r="J26" s="19" t="n"/>
      <c r="K26" s="18" t="n"/>
      <c r="L26" s="20">
        <f>IF(A26="","",A26-TODAY())</f>
        <v/>
      </c>
    </row>
    <row r="27">
      <c r="A27" s="13" t="n"/>
      <c r="B27" s="14" t="n"/>
      <c r="C27" s="15" t="n"/>
      <c r="D27" s="15" t="n"/>
      <c r="E27" s="15" t="n"/>
      <c r="F27" s="14" t="n"/>
      <c r="G27" s="14" t="n"/>
      <c r="H27" s="15" t="n"/>
      <c r="I27" s="15" t="n"/>
      <c r="J27" s="15" t="n"/>
      <c r="K27" s="14" t="n"/>
      <c r="L27" s="16">
        <f>IF(A27="","",A27-TODAY())</f>
        <v/>
      </c>
    </row>
    <row r="28">
      <c r="A28" s="17" t="n"/>
      <c r="B28" s="18" t="n"/>
      <c r="C28" s="19" t="n"/>
      <c r="D28" s="19" t="n"/>
      <c r="E28" s="19" t="n"/>
      <c r="F28" s="18" t="n"/>
      <c r="G28" s="18" t="n"/>
      <c r="H28" s="19" t="n"/>
      <c r="I28" s="19" t="n"/>
      <c r="J28" s="19" t="n"/>
      <c r="K28" s="18" t="n"/>
      <c r="L28" s="20">
        <f>IF(A28="","",A28-TODAY())</f>
        <v/>
      </c>
    </row>
    <row r="29">
      <c r="A29" s="13" t="n"/>
      <c r="B29" s="14" t="n"/>
      <c r="C29" s="15" t="n"/>
      <c r="D29" s="15" t="n"/>
      <c r="E29" s="15" t="n"/>
      <c r="F29" s="14" t="n"/>
      <c r="G29" s="14" t="n"/>
      <c r="H29" s="15" t="n"/>
      <c r="I29" s="15" t="n"/>
      <c r="J29" s="15" t="n"/>
      <c r="K29" s="14" t="n"/>
      <c r="L29" s="16">
        <f>IF(A29="","",A29-TODAY())</f>
        <v/>
      </c>
    </row>
    <row r="30">
      <c r="A30" s="17" t="n"/>
      <c r="B30" s="18" t="n"/>
      <c r="C30" s="19" t="n"/>
      <c r="D30" s="19" t="n"/>
      <c r="E30" s="19" t="n"/>
      <c r="F30" s="18" t="n"/>
      <c r="G30" s="18" t="n"/>
      <c r="H30" s="19" t="n"/>
      <c r="I30" s="19" t="n"/>
      <c r="J30" s="19" t="n"/>
      <c r="K30" s="18" t="n"/>
      <c r="L30" s="20">
        <f>IF(A30="","",A30-TODAY())</f>
        <v/>
      </c>
    </row>
    <row r="31">
      <c r="A31" s="13" t="n"/>
      <c r="B31" s="14" t="n"/>
      <c r="C31" s="15" t="n"/>
      <c r="D31" s="15" t="n"/>
      <c r="E31" s="15" t="n"/>
      <c r="F31" s="14" t="n"/>
      <c r="G31" s="14" t="n"/>
      <c r="H31" s="15" t="n"/>
      <c r="I31" s="15" t="n"/>
      <c r="J31" s="15" t="n"/>
      <c r="K31" s="14" t="n"/>
      <c r="L31" s="16">
        <f>IF(A31="","",A31-TODAY())</f>
        <v/>
      </c>
    </row>
    <row r="32">
      <c r="A32" s="17" t="n"/>
      <c r="B32" s="18" t="n"/>
      <c r="C32" s="19" t="n"/>
      <c r="D32" s="19" t="n"/>
      <c r="E32" s="19" t="n"/>
      <c r="F32" s="18" t="n"/>
      <c r="G32" s="18" t="n"/>
      <c r="H32" s="19" t="n"/>
      <c r="I32" s="19" t="n"/>
      <c r="J32" s="19" t="n"/>
      <c r="K32" s="18" t="n"/>
      <c r="L32" s="20">
        <f>IF(A32="","",A32-TODAY())</f>
        <v/>
      </c>
    </row>
    <row r="33">
      <c r="A33" s="13" t="n"/>
      <c r="B33" s="14" t="n"/>
      <c r="C33" s="15" t="n"/>
      <c r="D33" s="15" t="n"/>
      <c r="E33" s="15" t="n"/>
      <c r="F33" s="14" t="n"/>
      <c r="G33" s="14" t="n"/>
      <c r="H33" s="15" t="n"/>
      <c r="I33" s="15" t="n"/>
      <c r="J33" s="15" t="n"/>
      <c r="K33" s="14" t="n"/>
      <c r="L33" s="16">
        <f>IF(A33="","",A33-TODAY())</f>
        <v/>
      </c>
    </row>
    <row r="34">
      <c r="A34" s="17" t="n"/>
      <c r="B34" s="18" t="n"/>
      <c r="C34" s="19" t="n"/>
      <c r="D34" s="19" t="n"/>
      <c r="E34" s="19" t="n"/>
      <c r="F34" s="18" t="n"/>
      <c r="G34" s="18" t="n"/>
      <c r="H34" s="19" t="n"/>
      <c r="I34" s="19" t="n"/>
      <c r="J34" s="19" t="n"/>
      <c r="K34" s="18" t="n"/>
      <c r="L34" s="20">
        <f>IF(A34="","",A34-TODAY())</f>
        <v/>
      </c>
    </row>
    <row r="35">
      <c r="A35" s="13" t="n"/>
      <c r="B35" s="14" t="n"/>
      <c r="C35" s="15" t="n"/>
      <c r="D35" s="15" t="n"/>
      <c r="E35" s="15" t="n"/>
      <c r="F35" s="14" t="n"/>
      <c r="G35" s="14" t="n"/>
      <c r="H35" s="15" t="n"/>
      <c r="I35" s="15" t="n"/>
      <c r="J35" s="15" t="n"/>
      <c r="K35" s="14" t="n"/>
      <c r="L35" s="16">
        <f>IF(A35="","",A35-TODAY())</f>
        <v/>
      </c>
    </row>
    <row r="36">
      <c r="A36" s="17" t="n"/>
      <c r="B36" s="18" t="n"/>
      <c r="C36" s="19" t="n"/>
      <c r="D36" s="19" t="n"/>
      <c r="E36" s="19" t="n"/>
      <c r="F36" s="18" t="n"/>
      <c r="G36" s="18" t="n"/>
      <c r="H36" s="19" t="n"/>
      <c r="I36" s="19" t="n"/>
      <c r="J36" s="19" t="n"/>
      <c r="K36" s="18" t="n"/>
      <c r="L36" s="20">
        <f>IF(A36="","",A36-TODAY())</f>
        <v/>
      </c>
    </row>
    <row r="37">
      <c r="A37" s="13" t="n"/>
      <c r="B37" s="14" t="n"/>
      <c r="C37" s="15" t="n"/>
      <c r="D37" s="15" t="n"/>
      <c r="E37" s="15" t="n"/>
      <c r="F37" s="14" t="n"/>
      <c r="G37" s="14" t="n"/>
      <c r="H37" s="15" t="n"/>
      <c r="I37" s="15" t="n"/>
      <c r="J37" s="15" t="n"/>
      <c r="K37" s="14" t="n"/>
      <c r="L37" s="16">
        <f>IF(A37="","",A37-TODAY())</f>
        <v/>
      </c>
    </row>
    <row r="38">
      <c r="A38" s="17" t="n"/>
      <c r="B38" s="18" t="n"/>
      <c r="C38" s="19" t="n"/>
      <c r="D38" s="19" t="n"/>
      <c r="E38" s="19" t="n"/>
      <c r="F38" s="18" t="n"/>
      <c r="G38" s="18" t="n"/>
      <c r="H38" s="19" t="n"/>
      <c r="I38" s="19" t="n"/>
      <c r="J38" s="19" t="n"/>
      <c r="K38" s="18" t="n"/>
      <c r="L38" s="20">
        <f>IF(A38="","",A38-TODAY())</f>
        <v/>
      </c>
    </row>
    <row r="39">
      <c r="A39" s="13" t="n"/>
      <c r="B39" s="14" t="n"/>
      <c r="C39" s="15" t="n"/>
      <c r="D39" s="15" t="n"/>
      <c r="E39" s="15" t="n"/>
      <c r="F39" s="14" t="n"/>
      <c r="G39" s="14" t="n"/>
      <c r="H39" s="15" t="n"/>
      <c r="I39" s="15" t="n"/>
      <c r="J39" s="15" t="n"/>
      <c r="K39" s="14" t="n"/>
      <c r="L39" s="16">
        <f>IF(A39="","",A39-TODAY())</f>
        <v/>
      </c>
    </row>
    <row r="40">
      <c r="A40" s="17" t="n"/>
      <c r="B40" s="18" t="n"/>
      <c r="C40" s="19" t="n"/>
      <c r="D40" s="19" t="n"/>
      <c r="E40" s="19" t="n"/>
      <c r="F40" s="18" t="n"/>
      <c r="G40" s="18" t="n"/>
      <c r="H40" s="19" t="n"/>
      <c r="I40" s="19" t="n"/>
      <c r="J40" s="19" t="n"/>
      <c r="K40" s="18" t="n"/>
      <c r="L40" s="20">
        <f>IF(A40="","",A40-TODAY())</f>
        <v/>
      </c>
    </row>
    <row r="41">
      <c r="A41" s="13" t="n"/>
      <c r="B41" s="14" t="n"/>
      <c r="C41" s="15" t="n"/>
      <c r="D41" s="15" t="n"/>
      <c r="E41" s="15" t="n"/>
      <c r="F41" s="14" t="n"/>
      <c r="G41" s="14" t="n"/>
      <c r="H41" s="15" t="n"/>
      <c r="I41" s="15" t="n"/>
      <c r="J41" s="15" t="n"/>
      <c r="K41" s="14" t="n"/>
      <c r="L41" s="16">
        <f>IF(A41="","",A41-TODAY())</f>
        <v/>
      </c>
    </row>
    <row r="42">
      <c r="A42" s="17" t="n"/>
      <c r="B42" s="18" t="n"/>
      <c r="C42" s="19" t="n"/>
      <c r="D42" s="19" t="n"/>
      <c r="E42" s="19" t="n"/>
      <c r="F42" s="18" t="n"/>
      <c r="G42" s="18" t="n"/>
      <c r="H42" s="19" t="n"/>
      <c r="I42" s="19" t="n"/>
      <c r="J42" s="19" t="n"/>
      <c r="K42" s="18" t="n"/>
      <c r="L42" s="20">
        <f>IF(A42="","",A42-TODAY())</f>
        <v/>
      </c>
    </row>
    <row r="43">
      <c r="A43" s="13" t="n"/>
      <c r="B43" s="14" t="n"/>
      <c r="C43" s="15" t="n"/>
      <c r="D43" s="15" t="n"/>
      <c r="E43" s="15" t="n"/>
      <c r="F43" s="14" t="n"/>
      <c r="G43" s="14" t="n"/>
      <c r="H43" s="15" t="n"/>
      <c r="I43" s="15" t="n"/>
      <c r="J43" s="15" t="n"/>
      <c r="K43" s="14" t="n"/>
      <c r="L43" s="16">
        <f>IF(A43="","",A43-TODAY())</f>
        <v/>
      </c>
    </row>
    <row r="44">
      <c r="A44" s="17" t="n"/>
      <c r="B44" s="18" t="n"/>
      <c r="C44" s="19" t="n"/>
      <c r="D44" s="19" t="n"/>
      <c r="E44" s="19" t="n"/>
      <c r="F44" s="18" t="n"/>
      <c r="G44" s="18" t="n"/>
      <c r="H44" s="19" t="n"/>
      <c r="I44" s="19" t="n"/>
      <c r="J44" s="19" t="n"/>
      <c r="K44" s="18" t="n"/>
      <c r="L44" s="20">
        <f>IF(A44="","",A44-TODAY())</f>
        <v/>
      </c>
    </row>
  </sheetData>
  <mergeCells count="2">
    <mergeCell ref="A2:L2"/>
    <mergeCell ref="A1:L1"/>
  </mergeCells>
  <conditionalFormatting sqref="A5:L44">
    <cfRule type="expression" priority="1" dxfId="0">
      <formula>AND($A5&lt;&gt;"",$A5-TODAY()&gt;=0,$A5-TODAY()&lt;=7)</formula>
    </cfRule>
    <cfRule type="expression" priority="2" dxfId="1">
      <formula>AND($A5&lt;&gt;"",$A5&lt;TODAY())</formula>
    </cfRule>
  </conditionalFormatting>
  <conditionalFormatting sqref="J5:J44">
    <cfRule type="cellIs" priority="3" operator="equal" dxfId="2">
      <formula>"Win"</formula>
    </cfRule>
    <cfRule type="cellIs" priority="4" operator="equal" dxfId="3">
      <formula>"Loss"</formula>
    </cfRule>
  </conditionalFormatting>
  <dataValidations count="4">
    <dataValidation sqref="C5:C44" showDropDown="0" showInputMessage="0" showErrorMessage="0" allowBlank="1" type="list">
      <formula1>=VenueList</formula1>
    </dataValidation>
    <dataValidation sqref="F5:F44" showDropDown="0" showInputMessage="0" showErrorMessage="0" allowBlank="1" type="list">
      <formula1>=FieldList</formula1>
    </dataValidation>
    <dataValidation sqref="I5:I44" showDropDown="0" showInputMessage="0" showErrorMessage="0" allowBlank="1" type="list">
      <formula1>=UniformList</formula1>
    </dataValidation>
    <dataValidation sqref="J5:J44" showDropDown="0" showInputMessage="0" showErrorMessage="0" allowBlank="1" type="list">
      <formula1>=ResultList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5E6C1"/>
    <outlinePr summaryBelow="1" summaryRight="1"/>
    <pageSetUpPr/>
  </sheetPr>
  <dimension ref="A1:G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14" customWidth="1" min="5" max="5"/>
    <col width="28" customWidth="1" min="6" max="6"/>
    <col width="26" customWidth="1" min="7" max="7"/>
  </cols>
  <sheetData>
    <row r="1" ht="44" customHeight="1">
      <c r="A1" s="1" t="inlineStr">
        <is>
          <t xml:space="preserve">  🏃  PRACTICE PLANNER</t>
        </is>
      </c>
    </row>
    <row r="2" ht="22" customHeight="1">
      <c r="A2" s="2" t="inlineStr">
        <is>
          <t xml:space="preserve">  Sessions, focus areas, attendance, coach notes &amp; drills.</t>
        </is>
      </c>
    </row>
    <row r="4" ht="30" customHeight="1">
      <c r="A4" s="12" t="inlineStr">
        <is>
          <t>Date</t>
        </is>
      </c>
      <c r="B4" s="12" t="inlineStr">
        <is>
          <t>Time</t>
        </is>
      </c>
      <c r="C4" s="12" t="inlineStr">
        <is>
          <t>Location</t>
        </is>
      </c>
      <c r="D4" s="12" t="inlineStr">
        <is>
          <t>Focus Area</t>
        </is>
      </c>
      <c r="E4" s="12" t="inlineStr">
        <is>
          <t>Attendance</t>
        </is>
      </c>
      <c r="F4" s="12" t="inlineStr">
        <is>
          <t>Coach Notes</t>
        </is>
      </c>
      <c r="G4" s="12" t="inlineStr">
        <is>
          <t>Homework Drills</t>
        </is>
      </c>
    </row>
    <row r="5">
      <c r="A5" s="13" t="n">
        <v>46192</v>
      </c>
      <c r="B5" s="15" t="inlineStr">
        <is>
          <t>5:30 PM</t>
        </is>
      </c>
      <c r="C5" s="14" t="inlineStr">
        <is>
          <t>Riverside Park</t>
        </is>
      </c>
      <c r="D5" s="14" t="inlineStr">
        <is>
          <t>Passing accuracy</t>
        </is>
      </c>
      <c r="E5" s="15" t="inlineStr">
        <is>
          <t>Present</t>
        </is>
      </c>
      <c r="F5" s="14" t="inlineStr">
        <is>
          <t>Strong tempo. Focus next on receiving.</t>
        </is>
      </c>
      <c r="G5" s="14" t="inlineStr">
        <is>
          <t>20 wall passes x 3 days</t>
        </is>
      </c>
    </row>
    <row r="6">
      <c r="A6" s="17" t="n">
        <v>46194</v>
      </c>
      <c r="B6" s="19" t="inlineStr">
        <is>
          <t>5:30 PM</t>
        </is>
      </c>
      <c r="C6" s="18" t="inlineStr">
        <is>
          <t>Riverside Park</t>
        </is>
      </c>
      <c r="D6" s="18" t="inlineStr">
        <is>
          <t>1v1 defending</t>
        </is>
      </c>
      <c r="E6" s="19" t="inlineStr">
        <is>
          <t>Present</t>
        </is>
      </c>
      <c r="F6" s="18" t="inlineStr">
        <is>
          <t>Body positioning improved.</t>
        </is>
      </c>
      <c r="G6" s="18" t="inlineStr">
        <is>
          <t>Mirror drill 10 min</t>
        </is>
      </c>
    </row>
    <row r="7">
      <c r="A7" s="13" t="n">
        <v>46197</v>
      </c>
      <c r="B7" s="15" t="inlineStr">
        <is>
          <t>5:30 PM</t>
        </is>
      </c>
      <c r="C7" s="14" t="inlineStr">
        <is>
          <t>Indoor Arena</t>
        </is>
      </c>
      <c r="D7" s="14" t="inlineStr">
        <is>
          <t>Conditioning</t>
        </is>
      </c>
      <c r="E7" s="15" t="inlineStr">
        <is>
          <t>Late</t>
        </is>
      </c>
      <c r="F7" s="14" t="inlineStr">
        <is>
          <t>Showed up 15 min late.</t>
        </is>
      </c>
      <c r="G7" s="14" t="inlineStr">
        <is>
          <t>Sprint ladder 3x</t>
        </is>
      </c>
    </row>
    <row r="8">
      <c r="A8" s="17" t="n">
        <v>46199</v>
      </c>
      <c r="B8" s="19" t="inlineStr">
        <is>
          <t>5:30 PM</t>
        </is>
      </c>
      <c r="C8" s="18" t="inlineStr">
        <is>
          <t>Riverside Park</t>
        </is>
      </c>
      <c r="D8" s="18" t="inlineStr">
        <is>
          <t>Shooting from distance</t>
        </is>
      </c>
      <c r="E8" s="19" t="inlineStr">
        <is>
          <t>Present</t>
        </is>
      </c>
      <c r="F8" s="18" t="inlineStr">
        <is>
          <t>Power was excellent today.</t>
        </is>
      </c>
      <c r="G8" s="18" t="inlineStr">
        <is>
          <t>Ball-strike technique</t>
        </is>
      </c>
    </row>
    <row r="9">
      <c r="A9" s="13" t="n">
        <v>46201</v>
      </c>
      <c r="B9" s="15" t="inlineStr">
        <is>
          <t>5:30 PM</t>
        </is>
      </c>
      <c r="C9" s="14" t="inlineStr">
        <is>
          <t>Riverside Park</t>
        </is>
      </c>
      <c r="D9" s="14" t="inlineStr">
        <is>
          <t>Tactical: 3-4-3</t>
        </is>
      </c>
      <c r="E9" s="15" t="inlineStr">
        <is>
          <t>Excused</t>
        </is>
      </c>
      <c r="F9" s="14" t="inlineStr">
        <is>
          <t>Doctor appt — light review at home.</t>
        </is>
      </c>
      <c r="G9" s="14" t="inlineStr">
        <is>
          <t>Watch position video</t>
        </is>
      </c>
    </row>
    <row r="10">
      <c r="A10" s="17" t="n">
        <v>46204</v>
      </c>
      <c r="B10" s="19" t="inlineStr">
        <is>
          <t>5:30 PM</t>
        </is>
      </c>
      <c r="C10" s="18" t="inlineStr">
        <is>
          <t>Riverside Park</t>
        </is>
      </c>
      <c r="D10" s="18" t="inlineStr">
        <is>
          <t>Scrimmage</t>
        </is>
      </c>
      <c r="E10" s="19" t="inlineStr">
        <is>
          <t>—</t>
        </is>
      </c>
      <c r="F10" s="18" t="inlineStr">
        <is>
          <t>—</t>
        </is>
      </c>
      <c r="G10" s="18" t="inlineStr">
        <is>
          <t>—</t>
        </is>
      </c>
    </row>
    <row r="11">
      <c r="A11" s="13" t="n">
        <v>46206</v>
      </c>
      <c r="B11" s="15" t="inlineStr">
        <is>
          <t>5:30 PM</t>
        </is>
      </c>
      <c r="C11" s="14" t="inlineStr">
        <is>
          <t>Riverside Park</t>
        </is>
      </c>
      <c r="D11" s="14" t="inlineStr">
        <is>
          <t>Crossing &amp; finishing</t>
        </is>
      </c>
      <c r="E11" s="15" t="inlineStr">
        <is>
          <t>—</t>
        </is>
      </c>
      <c r="F11" s="14" t="inlineStr">
        <is>
          <t>—</t>
        </is>
      </c>
      <c r="G11" s="14" t="inlineStr">
        <is>
          <t>—</t>
        </is>
      </c>
    </row>
    <row r="12">
      <c r="A12" s="17" t="n">
        <v>46209</v>
      </c>
      <c r="B12" s="19" t="inlineStr">
        <is>
          <t>5:30 PM</t>
        </is>
      </c>
      <c r="C12" s="18" t="inlineStr">
        <is>
          <t>Indoor Arena</t>
        </is>
      </c>
      <c r="D12" s="18" t="inlineStr">
        <is>
          <t>Goalkeeper rotation</t>
        </is>
      </c>
      <c r="E12" s="19" t="inlineStr">
        <is>
          <t>—</t>
        </is>
      </c>
      <c r="F12" s="18" t="inlineStr">
        <is>
          <t>—</t>
        </is>
      </c>
      <c r="G12" s="18" t="inlineStr">
        <is>
          <t>—</t>
        </is>
      </c>
    </row>
    <row r="13">
      <c r="A13" s="13" t="n">
        <v>46211</v>
      </c>
      <c r="B13" s="15" t="inlineStr">
        <is>
          <t>5:30 PM</t>
        </is>
      </c>
      <c r="C13" s="14" t="inlineStr">
        <is>
          <t>Riverside Park</t>
        </is>
      </c>
      <c r="D13" s="14" t="inlineStr">
        <is>
          <t>Set pieces</t>
        </is>
      </c>
      <c r="E13" s="15" t="inlineStr">
        <is>
          <t>—</t>
        </is>
      </c>
      <c r="F13" s="14" t="inlineStr">
        <is>
          <t>—</t>
        </is>
      </c>
      <c r="G13" s="14" t="inlineStr">
        <is>
          <t>—</t>
        </is>
      </c>
    </row>
    <row r="14">
      <c r="A14" s="17" t="n">
        <v>46213</v>
      </c>
      <c r="B14" s="19" t="inlineStr">
        <is>
          <t>5:30 PM</t>
        </is>
      </c>
      <c r="C14" s="18" t="inlineStr">
        <is>
          <t>Riverside Park</t>
        </is>
      </c>
      <c r="D14" s="18" t="inlineStr">
        <is>
          <t>Match prep</t>
        </is>
      </c>
      <c r="E14" s="19" t="inlineStr">
        <is>
          <t>—</t>
        </is>
      </c>
      <c r="F14" s="18" t="inlineStr">
        <is>
          <t>—</t>
        </is>
      </c>
      <c r="G14" s="18" t="inlineStr">
        <is>
          <t>—</t>
        </is>
      </c>
    </row>
    <row r="15">
      <c r="A15" s="13" t="n"/>
      <c r="B15" s="15" t="n"/>
      <c r="C15" s="14" t="n"/>
      <c r="D15" s="14" t="n"/>
      <c r="E15" s="15" t="n"/>
      <c r="F15" s="14" t="n"/>
      <c r="G15" s="14" t="n"/>
    </row>
    <row r="16">
      <c r="A16" s="17" t="n"/>
      <c r="B16" s="19" t="n"/>
      <c r="C16" s="18" t="n"/>
      <c r="D16" s="18" t="n"/>
      <c r="E16" s="19" t="n"/>
      <c r="F16" s="18" t="n"/>
      <c r="G16" s="18" t="n"/>
    </row>
    <row r="17">
      <c r="A17" s="13" t="n"/>
      <c r="B17" s="15" t="n"/>
      <c r="C17" s="14" t="n"/>
      <c r="D17" s="14" t="n"/>
      <c r="E17" s="15" t="n"/>
      <c r="F17" s="14" t="n"/>
      <c r="G17" s="14" t="n"/>
    </row>
    <row r="18">
      <c r="A18" s="17" t="n"/>
      <c r="B18" s="19" t="n"/>
      <c r="C18" s="18" t="n"/>
      <c r="D18" s="18" t="n"/>
      <c r="E18" s="19" t="n"/>
      <c r="F18" s="18" t="n"/>
      <c r="G18" s="18" t="n"/>
    </row>
    <row r="19">
      <c r="A19" s="13" t="n"/>
      <c r="B19" s="15" t="n"/>
      <c r="C19" s="14" t="n"/>
      <c r="D19" s="14" t="n"/>
      <c r="E19" s="15" t="n"/>
      <c r="F19" s="14" t="n"/>
      <c r="G19" s="14" t="n"/>
    </row>
    <row r="20">
      <c r="A20" s="17" t="n"/>
      <c r="B20" s="19" t="n"/>
      <c r="C20" s="18" t="n"/>
      <c r="D20" s="18" t="n"/>
      <c r="E20" s="19" t="n"/>
      <c r="F20" s="18" t="n"/>
      <c r="G20" s="18" t="n"/>
    </row>
    <row r="21">
      <c r="A21" s="13" t="n"/>
      <c r="B21" s="15" t="n"/>
      <c r="C21" s="14" t="n"/>
      <c r="D21" s="14" t="n"/>
      <c r="E21" s="15" t="n"/>
      <c r="F21" s="14" t="n"/>
      <c r="G21" s="14" t="n"/>
    </row>
    <row r="22">
      <c r="A22" s="17" t="n"/>
      <c r="B22" s="19" t="n"/>
      <c r="C22" s="18" t="n"/>
      <c r="D22" s="18" t="n"/>
      <c r="E22" s="19" t="n"/>
      <c r="F22" s="18" t="n"/>
      <c r="G22" s="18" t="n"/>
    </row>
    <row r="23">
      <c r="A23" s="13" t="n"/>
      <c r="B23" s="15" t="n"/>
      <c r="C23" s="14" t="n"/>
      <c r="D23" s="14" t="n"/>
      <c r="E23" s="15" t="n"/>
      <c r="F23" s="14" t="n"/>
      <c r="G23" s="14" t="n"/>
    </row>
    <row r="24">
      <c r="A24" s="17" t="n"/>
      <c r="B24" s="19" t="n"/>
      <c r="C24" s="18" t="n"/>
      <c r="D24" s="18" t="n"/>
      <c r="E24" s="19" t="n"/>
      <c r="F24" s="18" t="n"/>
      <c r="G24" s="18" t="n"/>
    </row>
    <row r="25">
      <c r="A25" s="13" t="n"/>
      <c r="B25" s="15" t="n"/>
      <c r="C25" s="14" t="n"/>
      <c r="D25" s="14" t="n"/>
      <c r="E25" s="15" t="n"/>
      <c r="F25" s="14" t="n"/>
      <c r="G25" s="14" t="n"/>
    </row>
    <row r="26">
      <c r="A26" s="17" t="n"/>
      <c r="B26" s="19" t="n"/>
      <c r="C26" s="18" t="n"/>
      <c r="D26" s="18" t="n"/>
      <c r="E26" s="19" t="n"/>
      <c r="F26" s="18" t="n"/>
      <c r="G26" s="18" t="n"/>
    </row>
    <row r="27">
      <c r="A27" s="13" t="n"/>
      <c r="B27" s="15" t="n"/>
      <c r="C27" s="14" t="n"/>
      <c r="D27" s="14" t="n"/>
      <c r="E27" s="15" t="n"/>
      <c r="F27" s="14" t="n"/>
      <c r="G27" s="14" t="n"/>
    </row>
    <row r="28">
      <c r="A28" s="17" t="n"/>
      <c r="B28" s="19" t="n"/>
      <c r="C28" s="18" t="n"/>
      <c r="D28" s="18" t="n"/>
      <c r="E28" s="19" t="n"/>
      <c r="F28" s="18" t="n"/>
      <c r="G28" s="18" t="n"/>
    </row>
    <row r="29">
      <c r="A29" s="13" t="n"/>
      <c r="B29" s="15" t="n"/>
      <c r="C29" s="14" t="n"/>
      <c r="D29" s="14" t="n"/>
      <c r="E29" s="15" t="n"/>
      <c r="F29" s="14" t="n"/>
      <c r="G29" s="14" t="n"/>
    </row>
    <row r="30">
      <c r="A30" s="17" t="n"/>
      <c r="B30" s="19" t="n"/>
      <c r="C30" s="18" t="n"/>
      <c r="D30" s="18" t="n"/>
      <c r="E30" s="19" t="n"/>
      <c r="F30" s="18" t="n"/>
      <c r="G30" s="18" t="n"/>
    </row>
    <row r="31">
      <c r="A31" s="13" t="n"/>
      <c r="B31" s="15" t="n"/>
      <c r="C31" s="14" t="n"/>
      <c r="D31" s="14" t="n"/>
      <c r="E31" s="15" t="n"/>
      <c r="F31" s="14" t="n"/>
      <c r="G31" s="14" t="n"/>
    </row>
    <row r="32">
      <c r="A32" s="17" t="n"/>
      <c r="B32" s="19" t="n"/>
      <c r="C32" s="18" t="n"/>
      <c r="D32" s="18" t="n"/>
      <c r="E32" s="19" t="n"/>
      <c r="F32" s="18" t="n"/>
      <c r="G32" s="18" t="n"/>
    </row>
    <row r="33">
      <c r="A33" s="13" t="n"/>
      <c r="B33" s="15" t="n"/>
      <c r="C33" s="14" t="n"/>
      <c r="D33" s="14" t="n"/>
      <c r="E33" s="15" t="n"/>
      <c r="F33" s="14" t="n"/>
      <c r="G33" s="14" t="n"/>
    </row>
    <row r="34">
      <c r="A34" s="17" t="n"/>
      <c r="B34" s="19" t="n"/>
      <c r="C34" s="18" t="n"/>
      <c r="D34" s="18" t="n"/>
      <c r="E34" s="19" t="n"/>
      <c r="F34" s="18" t="n"/>
      <c r="G34" s="18" t="n"/>
    </row>
    <row r="35">
      <c r="A35" s="13" t="n"/>
      <c r="B35" s="15" t="n"/>
      <c r="C35" s="14" t="n"/>
      <c r="D35" s="14" t="n"/>
      <c r="E35" s="15" t="n"/>
      <c r="F35" s="14" t="n"/>
      <c r="G35" s="14" t="n"/>
    </row>
    <row r="36">
      <c r="A36" s="17" t="n"/>
      <c r="B36" s="19" t="n"/>
      <c r="C36" s="18" t="n"/>
      <c r="D36" s="18" t="n"/>
      <c r="E36" s="19" t="n"/>
      <c r="F36" s="18" t="n"/>
      <c r="G36" s="18" t="n"/>
    </row>
    <row r="37">
      <c r="A37" s="13" t="n"/>
      <c r="B37" s="15" t="n"/>
      <c r="C37" s="14" t="n"/>
      <c r="D37" s="14" t="n"/>
      <c r="E37" s="15" t="n"/>
      <c r="F37" s="14" t="n"/>
      <c r="G37" s="14" t="n"/>
    </row>
    <row r="38">
      <c r="A38" s="17" t="n"/>
      <c r="B38" s="19" t="n"/>
      <c r="C38" s="18" t="n"/>
      <c r="D38" s="18" t="n"/>
      <c r="E38" s="19" t="n"/>
      <c r="F38" s="18" t="n"/>
      <c r="G38" s="18" t="n"/>
    </row>
    <row r="39">
      <c r="A39" s="13" t="n"/>
      <c r="B39" s="15" t="n"/>
      <c r="C39" s="14" t="n"/>
      <c r="D39" s="14" t="n"/>
      <c r="E39" s="15" t="n"/>
      <c r="F39" s="14" t="n"/>
      <c r="G39" s="14" t="n"/>
    </row>
    <row r="40">
      <c r="A40" s="17" t="n"/>
      <c r="B40" s="19" t="n"/>
      <c r="C40" s="18" t="n"/>
      <c r="D40" s="18" t="n"/>
      <c r="E40" s="19" t="n"/>
      <c r="F40" s="18" t="n"/>
      <c r="G40" s="18" t="n"/>
    </row>
    <row r="41">
      <c r="A41" s="13" t="n"/>
      <c r="B41" s="15" t="n"/>
      <c r="C41" s="14" t="n"/>
      <c r="D41" s="14" t="n"/>
      <c r="E41" s="15" t="n"/>
      <c r="F41" s="14" t="n"/>
      <c r="G41" s="14" t="n"/>
    </row>
    <row r="42">
      <c r="A42" s="17" t="n"/>
      <c r="B42" s="19" t="n"/>
      <c r="C42" s="18" t="n"/>
      <c r="D42" s="18" t="n"/>
      <c r="E42" s="19" t="n"/>
      <c r="F42" s="18" t="n"/>
      <c r="G42" s="18" t="n"/>
    </row>
    <row r="43">
      <c r="A43" s="13" t="n"/>
      <c r="B43" s="15" t="n"/>
      <c r="C43" s="14" t="n"/>
      <c r="D43" s="14" t="n"/>
      <c r="E43" s="15" t="n"/>
      <c r="F43" s="14" t="n"/>
      <c r="G43" s="14" t="n"/>
    </row>
    <row r="44">
      <c r="A44" s="17" t="n"/>
      <c r="B44" s="19" t="n"/>
      <c r="C44" s="18" t="n"/>
      <c r="D44" s="18" t="n"/>
      <c r="E44" s="19" t="n"/>
      <c r="F44" s="18" t="n"/>
      <c r="G44" s="18" t="n"/>
    </row>
    <row r="45">
      <c r="A45" s="13" t="n"/>
      <c r="B45" s="15" t="n"/>
      <c r="C45" s="14" t="n"/>
      <c r="D45" s="14" t="n"/>
      <c r="E45" s="15" t="n"/>
      <c r="F45" s="14" t="n"/>
      <c r="G45" s="14" t="n"/>
    </row>
    <row r="46">
      <c r="A46" s="17" t="n"/>
      <c r="B46" s="19" t="n"/>
      <c r="C46" s="18" t="n"/>
      <c r="D46" s="18" t="n"/>
      <c r="E46" s="19" t="n"/>
      <c r="F46" s="18" t="n"/>
      <c r="G46" s="18" t="n"/>
    </row>
    <row r="47">
      <c r="A47" s="13" t="n"/>
      <c r="B47" s="15" t="n"/>
      <c r="C47" s="14" t="n"/>
      <c r="D47" s="14" t="n"/>
      <c r="E47" s="15" t="n"/>
      <c r="F47" s="14" t="n"/>
      <c r="G47" s="14" t="n"/>
    </row>
    <row r="48">
      <c r="A48" s="17" t="n"/>
      <c r="B48" s="19" t="n"/>
      <c r="C48" s="18" t="n"/>
      <c r="D48" s="18" t="n"/>
      <c r="E48" s="19" t="n"/>
      <c r="F48" s="18" t="n"/>
      <c r="G48" s="18" t="n"/>
    </row>
    <row r="49">
      <c r="A49" s="13" t="n"/>
      <c r="B49" s="15" t="n"/>
      <c r="C49" s="14" t="n"/>
      <c r="D49" s="14" t="n"/>
      <c r="E49" s="15" t="n"/>
      <c r="F49" s="14" t="n"/>
      <c r="G49" s="14" t="n"/>
    </row>
    <row r="50">
      <c r="A50" s="17" t="n"/>
      <c r="B50" s="19" t="n"/>
      <c r="C50" s="18" t="n"/>
      <c r="D50" s="18" t="n"/>
      <c r="E50" s="19" t="n"/>
      <c r="F50" s="18" t="n"/>
      <c r="G50" s="18" t="n"/>
    </row>
    <row r="51">
      <c r="A51" s="13" t="n"/>
      <c r="B51" s="15" t="n"/>
      <c r="C51" s="14" t="n"/>
      <c r="D51" s="14" t="n"/>
      <c r="E51" s="15" t="n"/>
      <c r="F51" s="14" t="n"/>
      <c r="G51" s="14" t="n"/>
    </row>
    <row r="52">
      <c r="A52" s="17" t="n"/>
      <c r="B52" s="19" t="n"/>
      <c r="C52" s="18" t="n"/>
      <c r="D52" s="18" t="n"/>
      <c r="E52" s="19" t="n"/>
      <c r="F52" s="18" t="n"/>
      <c r="G52" s="18" t="n"/>
    </row>
    <row r="53">
      <c r="A53" s="13" t="n"/>
      <c r="B53" s="15" t="n"/>
      <c r="C53" s="14" t="n"/>
      <c r="D53" s="14" t="n"/>
      <c r="E53" s="15" t="n"/>
      <c r="F53" s="14" t="n"/>
      <c r="G53" s="14" t="n"/>
    </row>
    <row r="54">
      <c r="A54" s="17" t="n"/>
      <c r="B54" s="19" t="n"/>
      <c r="C54" s="18" t="n"/>
      <c r="D54" s="18" t="n"/>
      <c r="E54" s="19" t="n"/>
      <c r="F54" s="18" t="n"/>
      <c r="G54" s="18" t="n"/>
    </row>
  </sheetData>
  <mergeCells count="2">
    <mergeCell ref="A2:G2"/>
    <mergeCell ref="A1:G1"/>
  </mergeCells>
  <conditionalFormatting sqref="E5:E54">
    <cfRule type="cellIs" priority="1" operator="equal" dxfId="2">
      <formula>"Present"</formula>
    </cfRule>
    <cfRule type="cellIs" priority="2" operator="equal" dxfId="3">
      <formula>"Absent"</formula>
    </cfRule>
    <cfRule type="cellIs" priority="3" operator="equal" dxfId="4">
      <formula>"Late"</formula>
    </cfRule>
  </conditionalFormatting>
  <dataValidations count="3">
    <dataValidation sqref="C5:C54" showDropDown="0" showInputMessage="0" showErrorMessage="0" allowBlank="1" type="list">
      <formula1>=FieldList</formula1>
    </dataValidation>
    <dataValidation sqref="D5:D54" showDropDown="0" showInputMessage="0" showErrorMessage="0" allowBlank="1" type="list">
      <formula1>=PracticeTypeList</formula1>
    </dataValidation>
    <dataValidation sqref="E5:E54" showDropDown="0" showInputMessage="0" showErrorMessage="0" allowBlank="1" type="list">
      <formula1>=AttendanceList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4F48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6" customWidth="1" min="5" max="5"/>
    <col width="4" customWidth="1" min="6" max="6"/>
    <col width="24" customWidth="1" min="7" max="7"/>
    <col width="20" customWidth="1" min="8" max="8"/>
  </cols>
  <sheetData>
    <row r="1" ht="44" customHeight="1">
      <c r="A1" s="1" t="inlineStr">
        <is>
          <t xml:space="preserve">  💰  SOCCER BUDGET</t>
        </is>
      </c>
    </row>
    <row r="2" ht="22" customHeight="1">
      <c r="A2" s="2" t="inlineStr">
        <is>
          <t xml:space="preserve">  Plan, track, and check variance across every season cost.</t>
        </is>
      </c>
    </row>
    <row r="4" ht="30" customHeight="1">
      <c r="A4" s="12" t="inlineStr">
        <is>
          <t>Category</t>
        </is>
      </c>
      <c r="B4" s="12" t="inlineStr">
        <is>
          <t>Planned</t>
        </is>
      </c>
      <c r="C4" s="12" t="inlineStr">
        <is>
          <t>Actual</t>
        </is>
      </c>
      <c r="D4" s="12" t="inlineStr">
        <is>
          <t>Variance</t>
        </is>
      </c>
      <c r="E4" s="12" t="inlineStr">
        <is>
          <t>% Spent</t>
        </is>
      </c>
      <c r="G4" s="8" t="inlineStr">
        <is>
          <t>BUDGET KPIs</t>
        </is>
      </c>
    </row>
    <row r="5" ht="22" customHeight="1">
      <c r="A5" s="21" t="inlineStr">
        <is>
          <t>Registration</t>
        </is>
      </c>
      <c r="B5" s="22" t="n">
        <v>250</v>
      </c>
      <c r="C5" s="23" t="n">
        <v>250</v>
      </c>
      <c r="D5" s="24">
        <f>B5-C5</f>
        <v/>
      </c>
      <c r="E5" s="25">
        <f>IFERROR(C5/B5,0)</f>
        <v/>
      </c>
      <c r="G5" s="10" t="inlineStr">
        <is>
          <t>Total Planned</t>
        </is>
      </c>
      <c r="H5" s="26">
        <f>BudgetTotalPlanned</f>
        <v/>
      </c>
    </row>
    <row r="6" ht="22" customHeight="1">
      <c r="A6" s="18" t="inlineStr">
        <is>
          <t>Uniforms</t>
        </is>
      </c>
      <c r="B6" s="27" t="n">
        <v>180</v>
      </c>
      <c r="C6" s="28" t="n">
        <v>165</v>
      </c>
      <c r="D6" s="29">
        <f>B6-C6</f>
        <v/>
      </c>
      <c r="E6" s="30">
        <f>IFERROR(C6/B6,0)</f>
        <v/>
      </c>
      <c r="G6" s="10" t="inlineStr">
        <is>
          <t>Total Actual</t>
        </is>
      </c>
      <c r="H6" s="26">
        <f>BudgetTotalActual</f>
        <v/>
      </c>
    </row>
    <row r="7" ht="22" customHeight="1">
      <c r="A7" s="21" t="inlineStr">
        <is>
          <t>Cleats</t>
        </is>
      </c>
      <c r="B7" s="22" t="n">
        <v>95</v>
      </c>
      <c r="C7" s="23" t="n">
        <v>89.98999999999999</v>
      </c>
      <c r="D7" s="24">
        <f>B7-C7</f>
        <v/>
      </c>
      <c r="E7" s="25">
        <f>IFERROR(C7/B7,0)</f>
        <v/>
      </c>
      <c r="G7" s="10" t="inlineStr">
        <is>
          <t>Variance</t>
        </is>
      </c>
      <c r="H7" s="31">
        <f>BudgetTotalPlanned-BudgetTotalActual</f>
        <v/>
      </c>
    </row>
    <row r="8" ht="22" customHeight="1">
      <c r="A8" s="18" t="inlineStr">
        <is>
          <t>Shin Guards</t>
        </is>
      </c>
      <c r="B8" s="27" t="n">
        <v>25</v>
      </c>
      <c r="C8" s="28" t="n">
        <v>22</v>
      </c>
      <c r="D8" s="29">
        <f>B8-C8</f>
        <v/>
      </c>
      <c r="E8" s="30">
        <f>IFERROR(C8/B8,0)</f>
        <v/>
      </c>
      <c r="G8" s="10" t="inlineStr">
        <is>
          <t>Cost Per Month</t>
        </is>
      </c>
      <c r="H8" s="26">
        <f>BudgetTotalActual/MAX(1,(SeasonEnd-SeasonStart)/30)</f>
        <v/>
      </c>
    </row>
    <row r="9" ht="22" customHeight="1">
      <c r="A9" s="21" t="inlineStr">
        <is>
          <t>Balls</t>
        </is>
      </c>
      <c r="B9" s="22" t="n">
        <v>45</v>
      </c>
      <c r="C9" s="23" t="n">
        <v>42</v>
      </c>
      <c r="D9" s="24">
        <f>B9-C9</f>
        <v/>
      </c>
      <c r="E9" s="25">
        <f>IFERROR(C9/B9,0)</f>
        <v/>
      </c>
      <c r="G9" s="10" t="inlineStr">
        <is>
          <t>Cost Per Player</t>
        </is>
      </c>
      <c r="H9" s="26">
        <f>BudgetTotalActual/MAX(PlayerCount,1)</f>
        <v/>
      </c>
    </row>
    <row r="10" ht="22" customHeight="1">
      <c r="A10" s="18" t="inlineStr">
        <is>
          <t>Training Equipment</t>
        </is>
      </c>
      <c r="B10" s="27" t="n">
        <v>80</v>
      </c>
      <c r="C10" s="28" t="n">
        <v>60</v>
      </c>
      <c r="D10" s="29">
        <f>B10-C10</f>
        <v/>
      </c>
      <c r="E10" s="30">
        <f>IFERROR(C10/B10,0)</f>
        <v/>
      </c>
    </row>
    <row r="11" ht="22" customHeight="1">
      <c r="A11" s="21" t="inlineStr">
        <is>
          <t>Tournaments</t>
        </is>
      </c>
      <c r="B11" s="22" t="n">
        <v>450</v>
      </c>
      <c r="C11" s="23" t="n">
        <v>300</v>
      </c>
      <c r="D11" s="24">
        <f>B11-C11</f>
        <v/>
      </c>
      <c r="E11" s="25">
        <f>IFERROR(C11/B11,0)</f>
        <v/>
      </c>
    </row>
    <row r="12" ht="22" customHeight="1">
      <c r="A12" s="18" t="inlineStr">
        <is>
          <t>Hotels</t>
        </is>
      </c>
      <c r="B12" s="27" t="n">
        <v>380</v>
      </c>
      <c r="C12" s="28" t="n">
        <v>280</v>
      </c>
      <c r="D12" s="29">
        <f>B12-C12</f>
        <v/>
      </c>
      <c r="E12" s="30">
        <f>IFERROR(C12/B12,0)</f>
        <v/>
      </c>
    </row>
    <row r="13" ht="22" customHeight="1">
      <c r="A13" s="21" t="inlineStr">
        <is>
          <t>Fuel</t>
        </is>
      </c>
      <c r="B13" s="22" t="n">
        <v>240</v>
      </c>
      <c r="C13" s="23" t="n">
        <v>188</v>
      </c>
      <c r="D13" s="24">
        <f>B13-C13</f>
        <v/>
      </c>
      <c r="E13" s="25">
        <f>IFERROR(C13/B13,0)</f>
        <v/>
      </c>
    </row>
    <row r="14" ht="22" customHeight="1">
      <c r="A14" s="18" t="inlineStr">
        <is>
          <t>Food</t>
        </is>
      </c>
      <c r="B14" s="27" t="n">
        <v>180</v>
      </c>
      <c r="C14" s="28" t="n">
        <v>130</v>
      </c>
      <c r="D14" s="29">
        <f>B14-C14</f>
        <v/>
      </c>
      <c r="E14" s="30">
        <f>IFERROR(C14/B14,0)</f>
        <v/>
      </c>
    </row>
    <row r="15" ht="22" customHeight="1">
      <c r="A15" s="21" t="inlineStr">
        <is>
          <t>Team Fees</t>
        </is>
      </c>
      <c r="B15" s="22" t="n">
        <v>200</v>
      </c>
      <c r="C15" s="23" t="n">
        <v>200</v>
      </c>
      <c r="D15" s="24">
        <f>B15-C15</f>
        <v/>
      </c>
      <c r="E15" s="25">
        <f>IFERROR(C15/B15,0)</f>
        <v/>
      </c>
    </row>
    <row r="16" ht="22" customHeight="1">
      <c r="A16" s="18" t="inlineStr">
        <is>
          <t>Private Coaching</t>
        </is>
      </c>
      <c r="B16" s="27" t="n">
        <v>300</v>
      </c>
      <c r="C16" s="28" t="n">
        <v>150</v>
      </c>
      <c r="D16" s="29">
        <f>B16-C16</f>
        <v/>
      </c>
      <c r="E16" s="30">
        <f>IFERROR(C16/B16,0)</f>
        <v/>
      </c>
    </row>
    <row r="17">
      <c r="A17" s="12" t="inlineStr">
        <is>
          <t>TOTAL</t>
        </is>
      </c>
      <c r="B17" s="32">
        <f>SUM(B5:B16)</f>
        <v/>
      </c>
      <c r="C17" s="32">
        <f>SUM(C5:C16)</f>
        <v/>
      </c>
      <c r="D17" s="32">
        <f>SUM(D5:D16)</f>
        <v/>
      </c>
      <c r="E17" s="33">
        <f>IFERROR(C17/B17,0)</f>
        <v/>
      </c>
    </row>
  </sheetData>
  <mergeCells count="2">
    <mergeCell ref="A2:H2"/>
    <mergeCell ref="A1:H1"/>
  </mergeCells>
  <conditionalFormatting sqref="E5:E16">
    <cfRule type="dataBar" priority="1">
      <dataBar showValue="1">
        <cfvo type="num" val="0"/>
        <cfvo type="num" val="1"/>
        <color rgb="001B4F4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937356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2" customWidth="1" min="4" max="4"/>
    <col width="14" customWidth="1" min="5" max="5"/>
    <col width="14" customWidth="1" min="6" max="6"/>
    <col width="16" customWidth="1" min="7" max="7"/>
    <col width="14" customWidth="1" min="8" max="8"/>
    <col width="24" customWidth="1" min="9" max="9"/>
  </cols>
  <sheetData>
    <row r="1" ht="44" customHeight="1">
      <c r="A1" s="1" t="inlineStr">
        <is>
          <t xml:space="preserve">  🎽  EQUIPMENT TRACKER</t>
        </is>
      </c>
    </row>
    <row r="2" ht="22" customHeight="1">
      <c r="A2" s="2" t="inlineStr">
        <is>
          <t xml:space="preserve">  Size, condition, replacement dates — never get caught short.</t>
        </is>
      </c>
    </row>
    <row r="4" ht="30" customHeight="1">
      <c r="A4" s="12" t="inlineStr">
        <is>
          <t>Category</t>
        </is>
      </c>
      <c r="B4" s="12" t="inlineStr">
        <is>
          <t>Item</t>
        </is>
      </c>
      <c r="C4" s="12" t="inlineStr">
        <is>
          <t>Size</t>
        </is>
      </c>
      <c r="D4" s="12" t="inlineStr">
        <is>
          <t>Qty</t>
        </is>
      </c>
      <c r="E4" s="12" t="inlineStr">
        <is>
          <t>Purchased</t>
        </is>
      </c>
      <c r="F4" s="12" t="inlineStr">
        <is>
          <t>Condition</t>
        </is>
      </c>
      <c r="G4" s="12" t="inlineStr">
        <is>
          <t>Replace By</t>
        </is>
      </c>
      <c r="H4" s="12" t="inlineStr">
        <is>
          <t>Cost</t>
        </is>
      </c>
      <c r="I4" s="12" t="inlineStr">
        <is>
          <t>Notes</t>
        </is>
      </c>
    </row>
    <row r="5">
      <c r="A5" s="15" t="inlineStr">
        <is>
          <t>Cleats</t>
        </is>
      </c>
      <c r="B5" s="14" t="inlineStr">
        <is>
          <t>Adidas Predator</t>
        </is>
      </c>
      <c r="C5" s="15" t="inlineStr">
        <is>
          <t>5Y</t>
        </is>
      </c>
      <c r="D5" s="34" t="n">
        <v>1</v>
      </c>
      <c r="E5" s="15" t="inlineStr">
        <is>
          <t>Yes</t>
        </is>
      </c>
      <c r="F5" s="15" t="inlineStr">
        <is>
          <t>Good</t>
        </is>
      </c>
      <c r="G5" s="13" t="n">
        <v>46382</v>
      </c>
      <c r="H5" s="35" t="n">
        <v>89.98999999999999</v>
      </c>
      <c r="I5" s="14" t="inlineStr">
        <is>
          <t>Worn for one season</t>
        </is>
      </c>
    </row>
    <row r="6">
      <c r="A6" s="19" t="inlineStr">
        <is>
          <t>Cleats</t>
        </is>
      </c>
      <c r="B6" s="18" t="inlineStr">
        <is>
          <t>Indoor turf shoes</t>
        </is>
      </c>
      <c r="C6" s="19" t="inlineStr">
        <is>
          <t>5Y</t>
        </is>
      </c>
      <c r="D6" s="36" t="n">
        <v>1</v>
      </c>
      <c r="E6" s="19" t="inlineStr">
        <is>
          <t>Yes</t>
        </is>
      </c>
      <c r="F6" s="19" t="inlineStr">
        <is>
          <t>New</t>
        </is>
      </c>
      <c r="G6" s="17" t="n">
        <v>46567</v>
      </c>
      <c r="H6" s="28" t="n">
        <v>49.99</v>
      </c>
      <c r="I6" s="18" t="inlineStr"/>
    </row>
    <row r="7">
      <c r="A7" s="15" t="inlineStr">
        <is>
          <t>Socks</t>
        </is>
      </c>
      <c r="B7" s="14" t="inlineStr">
        <is>
          <t>Match socks (Green)</t>
        </is>
      </c>
      <c r="C7" s="15" t="inlineStr">
        <is>
          <t>M</t>
        </is>
      </c>
      <c r="D7" s="34" t="n">
        <v>4</v>
      </c>
      <c r="E7" s="15" t="inlineStr">
        <is>
          <t>Yes</t>
        </is>
      </c>
      <c r="F7" s="15" t="inlineStr">
        <is>
          <t>Good</t>
        </is>
      </c>
      <c r="G7" s="13" t="n">
        <v>46382</v>
      </c>
      <c r="H7" s="35" t="n">
        <v>32</v>
      </c>
      <c r="I7" s="14" t="inlineStr"/>
    </row>
    <row r="8">
      <c r="A8" s="19" t="inlineStr">
        <is>
          <t>Socks</t>
        </is>
      </c>
      <c r="B8" s="18" t="inlineStr">
        <is>
          <t>Training socks</t>
        </is>
      </c>
      <c r="C8" s="19" t="inlineStr">
        <is>
          <t>M</t>
        </is>
      </c>
      <c r="D8" s="36" t="n">
        <v>6</v>
      </c>
      <c r="E8" s="19" t="inlineStr">
        <is>
          <t>Yes</t>
        </is>
      </c>
      <c r="F8" s="19" t="inlineStr">
        <is>
          <t>Good</t>
        </is>
      </c>
      <c r="G8" s="17" t="n">
        <v>46322</v>
      </c>
      <c r="H8" s="28" t="n">
        <v>18</v>
      </c>
      <c r="I8" s="18" t="inlineStr"/>
    </row>
    <row r="9">
      <c r="A9" s="15" t="inlineStr">
        <is>
          <t>Jerseys</t>
        </is>
      </c>
      <c r="B9" s="14" t="inlineStr">
        <is>
          <t>Home jersey #7</t>
        </is>
      </c>
      <c r="C9" s="15" t="inlineStr">
        <is>
          <t>YM</t>
        </is>
      </c>
      <c r="D9" s="34" t="n">
        <v>1</v>
      </c>
      <c r="E9" s="15" t="inlineStr">
        <is>
          <t>Yes</t>
        </is>
      </c>
      <c r="F9" s="15" t="inlineStr">
        <is>
          <t>New</t>
        </is>
      </c>
      <c r="G9" s="13" t="n">
        <v>46567</v>
      </c>
      <c r="H9" s="35" t="n">
        <v>65</v>
      </c>
      <c r="I9" s="14" t="inlineStr"/>
    </row>
    <row r="10">
      <c r="A10" s="19" t="inlineStr">
        <is>
          <t>Jerseys</t>
        </is>
      </c>
      <c r="B10" s="18" t="inlineStr">
        <is>
          <t>Away jersey #7</t>
        </is>
      </c>
      <c r="C10" s="19" t="inlineStr">
        <is>
          <t>YM</t>
        </is>
      </c>
      <c r="D10" s="36" t="n">
        <v>1</v>
      </c>
      <c r="E10" s="19" t="inlineStr">
        <is>
          <t>Yes</t>
        </is>
      </c>
      <c r="F10" s="19" t="inlineStr">
        <is>
          <t>New</t>
        </is>
      </c>
      <c r="G10" s="17" t="n">
        <v>46567</v>
      </c>
      <c r="H10" s="28" t="n">
        <v>65</v>
      </c>
      <c r="I10" s="18" t="inlineStr"/>
    </row>
    <row r="11">
      <c r="A11" s="15" t="inlineStr">
        <is>
          <t>Shorts</t>
        </is>
      </c>
      <c r="B11" s="14" t="inlineStr">
        <is>
          <t>Match shorts (Green)</t>
        </is>
      </c>
      <c r="C11" s="15" t="inlineStr">
        <is>
          <t>YM</t>
        </is>
      </c>
      <c r="D11" s="34" t="n">
        <v>2</v>
      </c>
      <c r="E11" s="15" t="inlineStr">
        <is>
          <t>Yes</t>
        </is>
      </c>
      <c r="F11" s="15" t="inlineStr">
        <is>
          <t>Good</t>
        </is>
      </c>
      <c r="G11" s="13" t="n">
        <v>46382</v>
      </c>
      <c r="H11" s="35" t="n">
        <v>36</v>
      </c>
      <c r="I11" s="14" t="inlineStr"/>
    </row>
    <row r="12">
      <c r="A12" s="19" t="inlineStr">
        <is>
          <t>Water Bottles</t>
        </is>
      </c>
      <c r="B12" s="18" t="inlineStr">
        <is>
          <t>Insulated bottle 24oz</t>
        </is>
      </c>
      <c r="C12" s="19" t="inlineStr">
        <is>
          <t>—</t>
        </is>
      </c>
      <c r="D12" s="36" t="n">
        <v>2</v>
      </c>
      <c r="E12" s="19" t="inlineStr">
        <is>
          <t>Yes</t>
        </is>
      </c>
      <c r="F12" s="19" t="inlineStr">
        <is>
          <t>Good</t>
        </is>
      </c>
      <c r="G12" s="17" t="n">
        <v>46382</v>
      </c>
      <c r="H12" s="28" t="n">
        <v>18</v>
      </c>
      <c r="I12" s="18" t="inlineStr"/>
    </row>
    <row r="13">
      <c r="A13" s="15" t="inlineStr">
        <is>
          <t>Ball</t>
        </is>
      </c>
      <c r="B13" s="14" t="inlineStr">
        <is>
          <t>Match ball Size 4</t>
        </is>
      </c>
      <c r="C13" s="15" t="inlineStr">
        <is>
          <t>4</t>
        </is>
      </c>
      <c r="D13" s="34" t="n">
        <v>1</v>
      </c>
      <c r="E13" s="15" t="inlineStr">
        <is>
          <t>Yes</t>
        </is>
      </c>
      <c r="F13" s="15" t="inlineStr">
        <is>
          <t>Good</t>
        </is>
      </c>
      <c r="G13" s="13" t="n">
        <v>46322</v>
      </c>
      <c r="H13" s="35" t="n">
        <v>32</v>
      </c>
      <c r="I13" s="14" t="inlineStr"/>
    </row>
    <row r="14">
      <c r="A14" s="19" t="inlineStr">
        <is>
          <t>Ball</t>
        </is>
      </c>
      <c r="B14" s="18" t="inlineStr">
        <is>
          <t>Training ball Size 4</t>
        </is>
      </c>
      <c r="C14" s="19" t="inlineStr">
        <is>
          <t>4</t>
        </is>
      </c>
      <c r="D14" s="36" t="n">
        <v>2</v>
      </c>
      <c r="E14" s="19" t="inlineStr">
        <is>
          <t>Yes</t>
        </is>
      </c>
      <c r="F14" s="19" t="inlineStr">
        <is>
          <t>Fair</t>
        </is>
      </c>
      <c r="G14" s="17" t="n">
        <v>46262</v>
      </c>
      <c r="H14" s="28" t="n">
        <v>18</v>
      </c>
      <c r="I14" s="18" t="inlineStr">
        <is>
          <t>One losing air</t>
        </is>
      </c>
    </row>
    <row r="15">
      <c r="A15" s="15" t="inlineStr">
        <is>
          <t>Backpack</t>
        </is>
      </c>
      <c r="B15" s="14" t="inlineStr">
        <is>
          <t>Soccer pack</t>
        </is>
      </c>
      <c r="C15" s="15" t="inlineStr">
        <is>
          <t>—</t>
        </is>
      </c>
      <c r="D15" s="34" t="n">
        <v>1</v>
      </c>
      <c r="E15" s="15" t="inlineStr">
        <is>
          <t>Yes</t>
        </is>
      </c>
      <c r="F15" s="15" t="inlineStr">
        <is>
          <t>Good</t>
        </is>
      </c>
      <c r="G15" s="13" t="n">
        <v>46562</v>
      </c>
      <c r="H15" s="35" t="n">
        <v>45</v>
      </c>
      <c r="I15" s="14" t="inlineStr"/>
    </row>
    <row r="16">
      <c r="A16" s="19" t="inlineStr">
        <is>
          <t>Goalkeeper Gear</t>
        </is>
      </c>
      <c r="B16" s="18" t="inlineStr">
        <is>
          <t>GK gloves</t>
        </is>
      </c>
      <c r="C16" s="19" t="inlineStr">
        <is>
          <t>5</t>
        </is>
      </c>
      <c r="D16" s="36" t="n">
        <v>1</v>
      </c>
      <c r="E16" s="19" t="inlineStr">
        <is>
          <t>No</t>
        </is>
      </c>
      <c r="F16" s="19" t="inlineStr">
        <is>
          <t>Replace</t>
        </is>
      </c>
      <c r="G16" s="17" t="n">
        <v>46232</v>
      </c>
      <c r="H16" s="28" t="n">
        <v>35</v>
      </c>
      <c r="I16" s="18" t="inlineStr">
        <is>
          <t>Last year — too small</t>
        </is>
      </c>
    </row>
    <row r="17">
      <c r="A17" s="15" t="inlineStr">
        <is>
          <t>Rain Jacket</t>
        </is>
      </c>
      <c r="B17" s="14" t="inlineStr">
        <is>
          <t>Lightweight rain shell</t>
        </is>
      </c>
      <c r="C17" s="15" t="inlineStr">
        <is>
          <t>YM</t>
        </is>
      </c>
      <c r="D17" s="34" t="n">
        <v>1</v>
      </c>
      <c r="E17" s="15" t="inlineStr">
        <is>
          <t>Yes</t>
        </is>
      </c>
      <c r="F17" s="15" t="inlineStr">
        <is>
          <t>Good</t>
        </is>
      </c>
      <c r="G17" s="13" t="n">
        <v>46502</v>
      </c>
      <c r="H17" s="35" t="n">
        <v>38</v>
      </c>
      <c r="I17" s="14" t="inlineStr"/>
    </row>
    <row r="18">
      <c r="A18" s="19" t="inlineStr">
        <is>
          <t>First Aid Kit</t>
        </is>
      </c>
      <c r="B18" s="18" t="inlineStr">
        <is>
          <t>Compact bag kit</t>
        </is>
      </c>
      <c r="C18" s="19" t="inlineStr">
        <is>
          <t>—</t>
        </is>
      </c>
      <c r="D18" s="36" t="n">
        <v>1</v>
      </c>
      <c r="E18" s="19" t="inlineStr">
        <is>
          <t>Yes</t>
        </is>
      </c>
      <c r="F18" s="19" t="inlineStr">
        <is>
          <t>Good</t>
        </is>
      </c>
      <c r="G18" s="17" t="n">
        <v>46567</v>
      </c>
      <c r="H18" s="28" t="n">
        <v>22</v>
      </c>
      <c r="I18" s="18" t="inlineStr">
        <is>
          <t>Restock ice packs</t>
        </is>
      </c>
    </row>
    <row r="19">
      <c r="A19" s="15" t="inlineStr">
        <is>
          <t>Shin Guards</t>
        </is>
      </c>
      <c r="B19" s="14" t="inlineStr">
        <is>
          <t>Slip-in shin guards</t>
        </is>
      </c>
      <c r="C19" s="15" t="inlineStr">
        <is>
          <t>M</t>
        </is>
      </c>
      <c r="D19" s="34" t="n">
        <v>1</v>
      </c>
      <c r="E19" s="15" t="inlineStr">
        <is>
          <t>Yes</t>
        </is>
      </c>
      <c r="F19" s="15" t="inlineStr">
        <is>
          <t>Good</t>
        </is>
      </c>
      <c r="G19" s="13" t="n">
        <v>46382</v>
      </c>
      <c r="H19" s="35" t="n">
        <v>22</v>
      </c>
      <c r="I19" s="14" t="inlineStr"/>
    </row>
    <row r="20">
      <c r="A20" s="19" t="n"/>
      <c r="B20" s="18" t="n"/>
      <c r="C20" s="19" t="n"/>
      <c r="D20" s="36" t="n"/>
      <c r="E20" s="19" t="n"/>
      <c r="F20" s="19" t="n"/>
      <c r="G20" s="17" t="n"/>
      <c r="H20" s="28" t="n"/>
      <c r="I20" s="18" t="n"/>
    </row>
    <row r="21">
      <c r="A21" s="15" t="n"/>
      <c r="B21" s="14" t="n"/>
      <c r="C21" s="15" t="n"/>
      <c r="D21" s="34" t="n"/>
      <c r="E21" s="15" t="n"/>
      <c r="F21" s="15" t="n"/>
      <c r="G21" s="13" t="n"/>
      <c r="H21" s="35" t="n"/>
      <c r="I21" s="14" t="n"/>
    </row>
    <row r="22">
      <c r="A22" s="19" t="n"/>
      <c r="B22" s="18" t="n"/>
      <c r="C22" s="19" t="n"/>
      <c r="D22" s="36" t="n"/>
      <c r="E22" s="19" t="n"/>
      <c r="F22" s="19" t="n"/>
      <c r="G22" s="17" t="n"/>
      <c r="H22" s="28" t="n"/>
      <c r="I22" s="18" t="n"/>
    </row>
    <row r="23">
      <c r="A23" s="15" t="n"/>
      <c r="B23" s="14" t="n"/>
      <c r="C23" s="15" t="n"/>
      <c r="D23" s="34" t="n"/>
      <c r="E23" s="15" t="n"/>
      <c r="F23" s="15" t="n"/>
      <c r="G23" s="13" t="n"/>
      <c r="H23" s="35" t="n"/>
      <c r="I23" s="14" t="n"/>
    </row>
    <row r="24">
      <c r="A24" s="19" t="n"/>
      <c r="B24" s="18" t="n"/>
      <c r="C24" s="19" t="n"/>
      <c r="D24" s="36" t="n"/>
      <c r="E24" s="19" t="n"/>
      <c r="F24" s="19" t="n"/>
      <c r="G24" s="17" t="n"/>
      <c r="H24" s="28" t="n"/>
      <c r="I24" s="18" t="n"/>
    </row>
    <row r="25">
      <c r="A25" s="15" t="n"/>
      <c r="B25" s="14" t="n"/>
      <c r="C25" s="15" t="n"/>
      <c r="D25" s="34" t="n"/>
      <c r="E25" s="15" t="n"/>
      <c r="F25" s="15" t="n"/>
      <c r="G25" s="13" t="n"/>
      <c r="H25" s="35" t="n"/>
      <c r="I25" s="14" t="n"/>
    </row>
    <row r="26">
      <c r="A26" s="19" t="n"/>
      <c r="B26" s="18" t="n"/>
      <c r="C26" s="19" t="n"/>
      <c r="D26" s="36" t="n"/>
      <c r="E26" s="19" t="n"/>
      <c r="F26" s="19" t="n"/>
      <c r="G26" s="17" t="n"/>
      <c r="H26" s="28" t="n"/>
      <c r="I26" s="18" t="n"/>
    </row>
    <row r="27">
      <c r="A27" s="15" t="n"/>
      <c r="B27" s="14" t="n"/>
      <c r="C27" s="15" t="n"/>
      <c r="D27" s="34" t="n"/>
      <c r="E27" s="15" t="n"/>
      <c r="F27" s="15" t="n"/>
      <c r="G27" s="13" t="n"/>
      <c r="H27" s="35" t="n"/>
      <c r="I27" s="14" t="n"/>
    </row>
    <row r="28">
      <c r="A28" s="19" t="n"/>
      <c r="B28" s="18" t="n"/>
      <c r="C28" s="19" t="n"/>
      <c r="D28" s="36" t="n"/>
      <c r="E28" s="19" t="n"/>
      <c r="F28" s="19" t="n"/>
      <c r="G28" s="17" t="n"/>
      <c r="H28" s="28" t="n"/>
      <c r="I28" s="18" t="n"/>
    </row>
    <row r="29">
      <c r="A29" s="15" t="n"/>
      <c r="B29" s="14" t="n"/>
      <c r="C29" s="15" t="n"/>
      <c r="D29" s="34" t="n"/>
      <c r="E29" s="15" t="n"/>
      <c r="F29" s="15" t="n"/>
      <c r="G29" s="13" t="n"/>
      <c r="H29" s="35" t="n"/>
      <c r="I29" s="14" t="n"/>
    </row>
    <row r="30">
      <c r="A30" s="19" t="n"/>
      <c r="B30" s="18" t="n"/>
      <c r="C30" s="19" t="n"/>
      <c r="D30" s="36" t="n"/>
      <c r="E30" s="19" t="n"/>
      <c r="F30" s="19" t="n"/>
      <c r="G30" s="17" t="n"/>
      <c r="H30" s="28" t="n"/>
      <c r="I30" s="18" t="n"/>
    </row>
    <row r="31">
      <c r="A31" s="15" t="n"/>
      <c r="B31" s="14" t="n"/>
      <c r="C31" s="15" t="n"/>
      <c r="D31" s="34" t="n"/>
      <c r="E31" s="15" t="n"/>
      <c r="F31" s="15" t="n"/>
      <c r="G31" s="13" t="n"/>
      <c r="H31" s="35" t="n"/>
      <c r="I31" s="14" t="n"/>
    </row>
    <row r="32">
      <c r="A32" s="19" t="n"/>
      <c r="B32" s="18" t="n"/>
      <c r="C32" s="19" t="n"/>
      <c r="D32" s="36" t="n"/>
      <c r="E32" s="19" t="n"/>
      <c r="F32" s="19" t="n"/>
      <c r="G32" s="17" t="n"/>
      <c r="H32" s="28" t="n"/>
      <c r="I32" s="18" t="n"/>
    </row>
    <row r="33">
      <c r="A33" s="15" t="n"/>
      <c r="B33" s="14" t="n"/>
      <c r="C33" s="15" t="n"/>
      <c r="D33" s="34" t="n"/>
      <c r="E33" s="15" t="n"/>
      <c r="F33" s="15" t="n"/>
      <c r="G33" s="13" t="n"/>
      <c r="H33" s="35" t="n"/>
      <c r="I33" s="14" t="n"/>
    </row>
    <row r="34">
      <c r="A34" s="19" t="n"/>
      <c r="B34" s="18" t="n"/>
      <c r="C34" s="19" t="n"/>
      <c r="D34" s="36" t="n"/>
      <c r="E34" s="19" t="n"/>
      <c r="F34" s="19" t="n"/>
      <c r="G34" s="17" t="n"/>
      <c r="H34" s="28" t="n"/>
      <c r="I34" s="18" t="n"/>
    </row>
  </sheetData>
  <mergeCells count="2">
    <mergeCell ref="A1:I1"/>
    <mergeCell ref="A2:I2"/>
  </mergeCells>
  <conditionalFormatting sqref="A5:I34">
    <cfRule type="expression" priority="1" dxfId="4">
      <formula>AND($G5&lt;&gt;"",$G5-TODAY()&gt;=0,$G5-TODAY()&lt;=60)</formula>
    </cfRule>
  </conditionalFormatting>
  <conditionalFormatting sqref="F5:F34">
    <cfRule type="cellIs" priority="2" operator="equal" dxfId="3">
      <formula>"Replace"</formula>
    </cfRule>
  </conditionalFormatting>
  <conditionalFormatting sqref="E5:E34">
    <cfRule type="cellIs" priority="3" operator="equal" dxfId="3">
      <formula>"No"</formula>
    </cfRule>
    <cfRule type="cellIs" priority="4" operator="equal" dxfId="2">
      <formula>"Yes"</formula>
    </cfRule>
  </conditionalFormatting>
  <dataValidations count="2">
    <dataValidation sqref="E5:E34" showDropDown="0" showInputMessage="0" showErrorMessage="0" allowBlank="1" type="list">
      <formula1>=YesNoList</formula1>
    </dataValidation>
    <dataValidation sqref="F5:F34" showDropDown="0" showInputMessage="0" showErrorMessage="0" allowBlank="1" type="list">
      <formula1>=ConditionList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B4F48"/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4" customWidth="1" min="4" max="4"/>
    <col width="24" customWidth="1" min="5" max="5"/>
    <col width="14" customWidth="1" min="6" max="6"/>
    <col width="14" customWidth="1" min="7" max="7"/>
    <col width="16" customWidth="1" min="8" max="8"/>
    <col width="20" customWidth="1" min="9" max="9"/>
    <col width="24" customWidth="1" min="10" max="10"/>
  </cols>
  <sheetData>
    <row r="1" ht="44" customHeight="1">
      <c r="A1" s="1" t="inlineStr">
        <is>
          <t xml:space="preserve">  🏆  TOURNAMENT PLANNER</t>
        </is>
      </c>
    </row>
    <row r="2" ht="22" customHeight="1">
      <c r="A2" s="2" t="inlineStr">
        <is>
          <t xml:space="preserve">  Dates, venues, hotels, entry fees, packing status.</t>
        </is>
      </c>
    </row>
    <row r="4" ht="30" customHeight="1">
      <c r="A4" s="12" t="inlineStr">
        <is>
          <t>Tournament</t>
        </is>
      </c>
      <c r="B4" s="12" t="inlineStr">
        <is>
          <t>Start</t>
        </is>
      </c>
      <c r="C4" s="12" t="inlineStr">
        <is>
          <t>End</t>
        </is>
      </c>
      <c r="D4" s="12" t="inlineStr">
        <is>
          <t>Venue</t>
        </is>
      </c>
      <c r="E4" s="12" t="inlineStr">
        <is>
          <t>Hotel</t>
        </is>
      </c>
      <c r="F4" s="12" t="inlineStr">
        <is>
          <t>Entry Fee</t>
        </is>
      </c>
      <c r="G4" s="12" t="inlineStr">
        <is>
          <t># Matches</t>
        </is>
      </c>
      <c r="H4" s="12" t="inlineStr">
        <is>
          <t>Travel Time</t>
        </is>
      </c>
      <c r="I4" s="12" t="inlineStr">
        <is>
          <t>Hotel Conf.</t>
        </is>
      </c>
      <c r="J4" s="12" t="inlineStr">
        <is>
          <t>Notes</t>
        </is>
      </c>
    </row>
    <row r="5">
      <c r="A5" s="14" t="inlineStr">
        <is>
          <t>City Cup</t>
        </is>
      </c>
      <c r="B5" s="13" t="n">
        <v>46214</v>
      </c>
      <c r="C5" s="13" t="n">
        <v>46218</v>
      </c>
      <c r="D5" s="14" t="inlineStr">
        <is>
          <t>Lincoln Complex</t>
        </is>
      </c>
      <c r="E5" s="14" t="inlineStr">
        <is>
          <t>Hampton Inn Lincoln</t>
        </is>
      </c>
      <c r="F5" s="35" t="n">
        <v>125</v>
      </c>
      <c r="G5" s="34" t="n">
        <v>4</v>
      </c>
      <c r="H5" s="15" t="inlineStr">
        <is>
          <t>1h 10m</t>
        </is>
      </c>
      <c r="I5" s="14" t="inlineStr">
        <is>
          <t>HX-882211</t>
        </is>
      </c>
      <c r="J5" s="14" t="inlineStr">
        <is>
          <t>Pool play 9am/1pm</t>
        </is>
      </c>
    </row>
    <row r="6">
      <c r="A6" s="18" t="inlineStr">
        <is>
          <t>Riverbend Classic</t>
        </is>
      </c>
      <c r="B6" s="17" t="n">
        <v>46236</v>
      </c>
      <c r="C6" s="17" t="n">
        <v>46238</v>
      </c>
      <c r="D6" s="18" t="inlineStr">
        <is>
          <t>Riverbend Sports</t>
        </is>
      </c>
      <c r="E6" s="18" t="inlineStr">
        <is>
          <t>Marriott Riverbend</t>
        </is>
      </c>
      <c r="F6" s="28" t="n">
        <v>150</v>
      </c>
      <c r="G6" s="36" t="n">
        <v>3</v>
      </c>
      <c r="H6" s="19" t="inlineStr">
        <is>
          <t>2h 45m</t>
        </is>
      </c>
      <c r="I6" s="18" t="inlineStr">
        <is>
          <t>MR-441020</t>
        </is>
      </c>
      <c r="J6" s="18" t="inlineStr">
        <is>
          <t>Hotel block expires 11/1</t>
        </is>
      </c>
    </row>
    <row r="7">
      <c r="A7" s="14" t="inlineStr">
        <is>
          <t>Fall Showcase</t>
        </is>
      </c>
      <c r="B7" s="13" t="n">
        <v>46262</v>
      </c>
      <c r="C7" s="13" t="n">
        <v>46265</v>
      </c>
      <c r="D7" s="14" t="inlineStr">
        <is>
          <t>Capitol Fields</t>
        </is>
      </c>
      <c r="E7" s="14" t="inlineStr">
        <is>
          <t>Hyatt Place Capitol</t>
        </is>
      </c>
      <c r="F7" s="35" t="n">
        <v>195</v>
      </c>
      <c r="G7" s="34" t="n">
        <v>5</v>
      </c>
      <c r="H7" s="15" t="inlineStr">
        <is>
          <t>3h 30m</t>
        </is>
      </c>
      <c r="I7" s="14" t="inlineStr">
        <is>
          <t>HP-771188</t>
        </is>
      </c>
      <c r="J7" s="14" t="inlineStr">
        <is>
          <t>Scout opportunities</t>
        </is>
      </c>
    </row>
    <row r="8">
      <c r="A8" s="18" t="inlineStr">
        <is>
          <t>State Cup Qualifier</t>
        </is>
      </c>
      <c r="B8" s="17" t="n">
        <v>46287</v>
      </c>
      <c r="C8" s="17" t="n">
        <v>46290</v>
      </c>
      <c r="D8" s="18" t="inlineStr">
        <is>
          <t>State Complex</t>
        </is>
      </c>
      <c r="E8" s="18" t="inlineStr">
        <is>
          <t>Holiday Inn State</t>
        </is>
      </c>
      <c r="F8" s="28" t="n">
        <v>220</v>
      </c>
      <c r="G8" s="36" t="n">
        <v>3</v>
      </c>
      <c r="H8" s="19" t="inlineStr">
        <is>
          <t>4h 00m</t>
        </is>
      </c>
      <c r="I8" s="18" t="inlineStr">
        <is>
          <t>—</t>
        </is>
      </c>
      <c r="J8" s="18" t="inlineStr">
        <is>
          <t>Pending registration</t>
        </is>
      </c>
    </row>
    <row r="9">
      <c r="A9" s="14" t="n"/>
      <c r="B9" s="13" t="n"/>
      <c r="C9" s="13" t="n"/>
      <c r="D9" s="14" t="n"/>
      <c r="E9" s="14" t="n"/>
      <c r="F9" s="35" t="n"/>
      <c r="G9" s="34" t="n"/>
      <c r="H9" s="15" t="n"/>
      <c r="I9" s="14" t="n"/>
      <c r="J9" s="14" t="n"/>
    </row>
    <row r="10">
      <c r="A10" s="18" t="n"/>
      <c r="B10" s="17" t="n"/>
      <c r="C10" s="17" t="n"/>
      <c r="D10" s="18" t="n"/>
      <c r="E10" s="18" t="n"/>
      <c r="F10" s="28" t="n"/>
      <c r="G10" s="36" t="n"/>
      <c r="H10" s="19" t="n"/>
      <c r="I10" s="18" t="n"/>
      <c r="J10" s="18" t="n"/>
    </row>
    <row r="11">
      <c r="A11" s="14" t="n"/>
      <c r="B11" s="13" t="n"/>
      <c r="C11" s="13" t="n"/>
      <c r="D11" s="14" t="n"/>
      <c r="E11" s="14" t="n"/>
      <c r="F11" s="35" t="n"/>
      <c r="G11" s="34" t="n"/>
      <c r="H11" s="15" t="n"/>
      <c r="I11" s="14" t="n"/>
      <c r="J11" s="14" t="n"/>
    </row>
    <row r="12">
      <c r="A12" s="18" t="n"/>
      <c r="B12" s="17" t="n"/>
      <c r="C12" s="17" t="n"/>
      <c r="D12" s="18" t="n"/>
      <c r="E12" s="18" t="n"/>
      <c r="F12" s="28" t="n"/>
      <c r="G12" s="36" t="n"/>
      <c r="H12" s="19" t="n"/>
      <c r="I12" s="18" t="n"/>
      <c r="J12" s="18" t="n"/>
    </row>
    <row r="13">
      <c r="A13" s="14" t="n"/>
      <c r="B13" s="13" t="n"/>
      <c r="C13" s="13" t="n"/>
      <c r="D13" s="14" t="n"/>
      <c r="E13" s="14" t="n"/>
      <c r="F13" s="35" t="n"/>
      <c r="G13" s="34" t="n"/>
      <c r="H13" s="15" t="n"/>
      <c r="I13" s="14" t="n"/>
      <c r="J13" s="14" t="n"/>
    </row>
    <row r="14">
      <c r="A14" s="18" t="n"/>
      <c r="B14" s="17" t="n"/>
      <c r="C14" s="17" t="n"/>
      <c r="D14" s="18" t="n"/>
      <c r="E14" s="18" t="n"/>
      <c r="F14" s="28" t="n"/>
      <c r="G14" s="36" t="n"/>
      <c r="H14" s="19" t="n"/>
      <c r="I14" s="18" t="n"/>
      <c r="J14" s="18" t="n"/>
    </row>
    <row r="15">
      <c r="A15" s="14" t="n"/>
      <c r="B15" s="13" t="n"/>
      <c r="C15" s="13" t="n"/>
      <c r="D15" s="14" t="n"/>
      <c r="E15" s="14" t="n"/>
      <c r="F15" s="35" t="n"/>
      <c r="G15" s="34" t="n"/>
      <c r="H15" s="15" t="n"/>
      <c r="I15" s="14" t="n"/>
      <c r="J15" s="14" t="n"/>
    </row>
    <row r="16">
      <c r="A16" s="18" t="n"/>
      <c r="B16" s="17" t="n"/>
      <c r="C16" s="17" t="n"/>
      <c r="D16" s="18" t="n"/>
      <c r="E16" s="18" t="n"/>
      <c r="F16" s="28" t="n"/>
      <c r="G16" s="36" t="n"/>
      <c r="H16" s="19" t="n"/>
      <c r="I16" s="18" t="n"/>
      <c r="J16" s="18" t="n"/>
    </row>
  </sheetData>
  <mergeCells count="2">
    <mergeCell ref="A1:J1"/>
    <mergeCell ref="A2:J2"/>
  </mergeCells>
  <conditionalFormatting sqref="A5:J16">
    <cfRule type="expression" priority="1" dxfId="0">
      <formula>AND($B5&lt;&gt;"",$B5-TODAY()&gt;=0,$B5-TODAY()&lt;=30)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37356"/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4" customWidth="1" min="4" max="4"/>
    <col width="14" customWidth="1" min="5" max="5"/>
    <col width="14" customWidth="1" min="6" max="6"/>
    <col width="18" customWidth="1" min="7" max="7"/>
    <col width="18" customWidth="1" min="8" max="8"/>
  </cols>
  <sheetData>
    <row r="1" ht="44" customHeight="1">
      <c r="A1" s="1" t="inlineStr">
        <is>
          <t xml:space="preserve">  🚗  CARPOOL MANAGER</t>
        </is>
      </c>
    </row>
    <row r="2" ht="22" customHeight="1">
      <c r="A2" s="2" t="inlineStr">
        <is>
          <t xml:space="preserve">  Driver rotation, capacity, fuel contribution.</t>
        </is>
      </c>
    </row>
    <row r="4" ht="30" customHeight="1">
      <c r="A4" s="12" t="inlineStr">
        <is>
          <t>Date</t>
        </is>
      </c>
      <c r="B4" s="12" t="inlineStr">
        <is>
          <t>Event</t>
        </is>
      </c>
      <c r="C4" s="12" t="inlineStr">
        <is>
          <t>Driver</t>
        </is>
      </c>
      <c r="D4" s="12" t="inlineStr">
        <is>
          <t>Players</t>
        </is>
      </c>
      <c r="E4" s="12" t="inlineStr">
        <is>
          <t>Pickup</t>
        </is>
      </c>
      <c r="F4" s="12" t="inlineStr">
        <is>
          <t>Return</t>
        </is>
      </c>
      <c r="G4" s="12" t="inlineStr">
        <is>
          <t>Contact</t>
        </is>
      </c>
      <c r="H4" s="12" t="inlineStr">
        <is>
          <t>Fuel Share</t>
        </is>
      </c>
    </row>
    <row r="5">
      <c r="A5" s="13" t="n">
        <v>46204</v>
      </c>
      <c r="B5" s="14" t="inlineStr">
        <is>
          <t>Home vs Hawks</t>
        </is>
      </c>
      <c r="C5" s="14" t="inlineStr">
        <is>
          <t>Sarah R.</t>
        </is>
      </c>
      <c r="D5" s="14" t="inlineStr">
        <is>
          <t>Maya, Lily, Sophie</t>
        </is>
      </c>
      <c r="E5" s="15" t="inlineStr">
        <is>
          <t>8:30 AM</t>
        </is>
      </c>
      <c r="F5" s="15" t="inlineStr">
        <is>
          <t>12:30 PM</t>
        </is>
      </c>
      <c r="G5" s="15" t="inlineStr">
        <is>
          <t>(555) 412-7833</t>
        </is>
      </c>
      <c r="H5" s="35" t="n">
        <v>10</v>
      </c>
    </row>
    <row r="6">
      <c r="A6" s="17" t="n">
        <v>46207</v>
      </c>
      <c r="B6" s="18" t="inlineStr">
        <is>
          <t>Away @ Northside</t>
        </is>
      </c>
      <c r="C6" s="18" t="inlineStr">
        <is>
          <t>James C.</t>
        </is>
      </c>
      <c r="D6" s="18" t="inlineStr">
        <is>
          <t>Maya, Aiden</t>
        </is>
      </c>
      <c r="E6" s="19" t="inlineStr">
        <is>
          <t>11:30 AM</t>
        </is>
      </c>
      <c r="F6" s="19" t="inlineStr">
        <is>
          <t>4:30 PM</t>
        </is>
      </c>
      <c r="G6" s="19" t="inlineStr">
        <is>
          <t>(555) 412-7901</t>
        </is>
      </c>
      <c r="H6" s="28" t="n">
        <v>15</v>
      </c>
    </row>
    <row r="7">
      <c r="A7" s="13" t="n">
        <v>46211</v>
      </c>
      <c r="B7" s="14" t="inlineStr">
        <is>
          <t>Home vs Wolves</t>
        </is>
      </c>
      <c r="C7" s="14" t="inlineStr">
        <is>
          <t>Priya M.</t>
        </is>
      </c>
      <c r="D7" s="14" t="inlineStr">
        <is>
          <t>Maya, Diego, Liam</t>
        </is>
      </c>
      <c r="E7" s="15" t="inlineStr">
        <is>
          <t>9:30 AM</t>
        </is>
      </c>
      <c r="F7" s="15" t="inlineStr">
        <is>
          <t>1:30 PM</t>
        </is>
      </c>
      <c r="G7" s="15" t="inlineStr">
        <is>
          <t>(555) 388-2210</t>
        </is>
      </c>
      <c r="H7" s="35" t="n">
        <v>10</v>
      </c>
    </row>
    <row r="8">
      <c r="A8" s="17" t="n">
        <v>46214</v>
      </c>
      <c r="B8" s="18" t="inlineStr">
        <is>
          <t>City Cup Day 1</t>
        </is>
      </c>
      <c r="C8" s="18" t="inlineStr">
        <is>
          <t>Sarah R.</t>
        </is>
      </c>
      <c r="D8" s="18" t="inlineStr">
        <is>
          <t>Maya, Lily, Sophie, Mia</t>
        </is>
      </c>
      <c r="E8" s="19" t="inlineStr">
        <is>
          <t>6:30 AM</t>
        </is>
      </c>
      <c r="F8" s="19" t="inlineStr">
        <is>
          <t>8:00 PM</t>
        </is>
      </c>
      <c r="G8" s="19" t="inlineStr">
        <is>
          <t>(555) 412-7833</t>
        </is>
      </c>
      <c r="H8" s="28" t="n">
        <v>25</v>
      </c>
    </row>
    <row r="9">
      <c r="A9" s="13" t="n">
        <v>46218</v>
      </c>
      <c r="B9" s="14" t="inlineStr">
        <is>
          <t>City Cup Day 2</t>
        </is>
      </c>
      <c r="C9" s="14" t="inlineStr">
        <is>
          <t>Marcus K.</t>
        </is>
      </c>
      <c r="D9" s="14" t="inlineStr">
        <is>
          <t>Maya, Aiden</t>
        </is>
      </c>
      <c r="E9" s="15" t="inlineStr">
        <is>
          <t>10:00 AM</t>
        </is>
      </c>
      <c r="F9" s="15" t="inlineStr">
        <is>
          <t>6:00 PM</t>
        </is>
      </c>
      <c r="G9" s="15" t="inlineStr">
        <is>
          <t>(555) 901-2271</t>
        </is>
      </c>
      <c r="H9" s="35" t="n">
        <v>25</v>
      </c>
    </row>
    <row r="10">
      <c r="A10" s="17" t="n">
        <v>46222</v>
      </c>
      <c r="B10" s="18" t="inlineStr">
        <is>
          <t>Away @ Rovers</t>
        </is>
      </c>
      <c r="C10" s="18" t="inlineStr">
        <is>
          <t>Aisha P.</t>
        </is>
      </c>
      <c r="D10" s="18" t="inlineStr">
        <is>
          <t>Maya, Sophie, Lily</t>
        </is>
      </c>
      <c r="E10" s="19" t="inlineStr">
        <is>
          <t>8:00 AM</t>
        </is>
      </c>
      <c r="F10" s="19" t="inlineStr">
        <is>
          <t>1:00 PM</t>
        </is>
      </c>
      <c r="G10" s="19" t="inlineStr">
        <is>
          <t>(555) 388-3344</t>
        </is>
      </c>
      <c r="H10" s="28" t="n">
        <v>12</v>
      </c>
    </row>
    <row r="11">
      <c r="A11" s="13" t="n">
        <v>46229</v>
      </c>
      <c r="B11" s="14" t="inlineStr">
        <is>
          <t>Away @ Memorial</t>
        </is>
      </c>
      <c r="C11" s="14" t="inlineStr">
        <is>
          <t>Sarah R.</t>
        </is>
      </c>
      <c r="D11" s="14" t="inlineStr">
        <is>
          <t>Maya, Diego</t>
        </is>
      </c>
      <c r="E11" s="15" t="inlineStr">
        <is>
          <t>9:30 AM</t>
        </is>
      </c>
      <c r="F11" s="15" t="inlineStr">
        <is>
          <t>2:30 PM</t>
        </is>
      </c>
      <c r="G11" s="15" t="inlineStr">
        <is>
          <t>(555) 412-7833</t>
        </is>
      </c>
      <c r="H11" s="35" t="n">
        <v>8</v>
      </c>
    </row>
    <row r="12">
      <c r="A12" s="17" t="n"/>
      <c r="B12" s="18" t="n"/>
      <c r="C12" s="18" t="n"/>
      <c r="D12" s="18" t="n"/>
      <c r="E12" s="19" t="n"/>
      <c r="F12" s="19" t="n"/>
      <c r="G12" s="19" t="n"/>
      <c r="H12" s="28" t="n"/>
    </row>
    <row r="13">
      <c r="A13" s="13" t="n"/>
      <c r="B13" s="14" t="n"/>
      <c r="C13" s="14" t="n"/>
      <c r="D13" s="14" t="n"/>
      <c r="E13" s="15" t="n"/>
      <c r="F13" s="15" t="n"/>
      <c r="G13" s="15" t="n"/>
      <c r="H13" s="35" t="n"/>
    </row>
    <row r="14">
      <c r="A14" s="17" t="n"/>
      <c r="B14" s="18" t="n"/>
      <c r="C14" s="18" t="n"/>
      <c r="D14" s="18" t="n"/>
      <c r="E14" s="19" t="n"/>
      <c r="F14" s="19" t="n"/>
      <c r="G14" s="19" t="n"/>
      <c r="H14" s="28" t="n"/>
    </row>
    <row r="15">
      <c r="A15" s="13" t="n"/>
      <c r="B15" s="14" t="n"/>
      <c r="C15" s="14" t="n"/>
      <c r="D15" s="14" t="n"/>
      <c r="E15" s="15" t="n"/>
      <c r="F15" s="15" t="n"/>
      <c r="G15" s="15" t="n"/>
      <c r="H15" s="35" t="n"/>
    </row>
    <row r="16">
      <c r="A16" s="17" t="n"/>
      <c r="B16" s="18" t="n"/>
      <c r="C16" s="18" t="n"/>
      <c r="D16" s="18" t="n"/>
      <c r="E16" s="19" t="n"/>
      <c r="F16" s="19" t="n"/>
      <c r="G16" s="19" t="n"/>
      <c r="H16" s="28" t="n"/>
    </row>
    <row r="17">
      <c r="A17" s="13" t="n"/>
      <c r="B17" s="14" t="n"/>
      <c r="C17" s="14" t="n"/>
      <c r="D17" s="14" t="n"/>
      <c r="E17" s="15" t="n"/>
      <c r="F17" s="15" t="n"/>
      <c r="G17" s="15" t="n"/>
      <c r="H17" s="35" t="n"/>
    </row>
    <row r="18">
      <c r="A18" s="17" t="n"/>
      <c r="B18" s="18" t="n"/>
      <c r="C18" s="18" t="n"/>
      <c r="D18" s="18" t="n"/>
      <c r="E18" s="19" t="n"/>
      <c r="F18" s="19" t="n"/>
      <c r="G18" s="19" t="n"/>
      <c r="H18" s="28" t="n"/>
    </row>
    <row r="19">
      <c r="A19" s="13" t="n"/>
      <c r="B19" s="14" t="n"/>
      <c r="C19" s="14" t="n"/>
      <c r="D19" s="14" t="n"/>
      <c r="E19" s="15" t="n"/>
      <c r="F19" s="15" t="n"/>
      <c r="G19" s="15" t="n"/>
      <c r="H19" s="35" t="n"/>
    </row>
    <row r="20">
      <c r="A20" s="17" t="n"/>
      <c r="B20" s="18" t="n"/>
      <c r="C20" s="18" t="n"/>
      <c r="D20" s="18" t="n"/>
      <c r="E20" s="19" t="n"/>
      <c r="F20" s="19" t="n"/>
      <c r="G20" s="19" t="n"/>
      <c r="H20" s="28" t="n"/>
    </row>
    <row r="21">
      <c r="A21" s="13" t="n"/>
      <c r="B21" s="14" t="n"/>
      <c r="C21" s="14" t="n"/>
      <c r="D21" s="14" t="n"/>
      <c r="E21" s="15" t="n"/>
      <c r="F21" s="15" t="n"/>
      <c r="G21" s="15" t="n"/>
      <c r="H21" s="35" t="n"/>
    </row>
    <row r="22">
      <c r="A22" s="17" t="n"/>
      <c r="B22" s="18" t="n"/>
      <c r="C22" s="18" t="n"/>
      <c r="D22" s="18" t="n"/>
      <c r="E22" s="19" t="n"/>
      <c r="F22" s="19" t="n"/>
      <c r="G22" s="19" t="n"/>
      <c r="H22" s="28" t="n"/>
    </row>
    <row r="23">
      <c r="A23" s="13" t="n"/>
      <c r="B23" s="14" t="n"/>
      <c r="C23" s="14" t="n"/>
      <c r="D23" s="14" t="n"/>
      <c r="E23" s="15" t="n"/>
      <c r="F23" s="15" t="n"/>
      <c r="G23" s="15" t="n"/>
      <c r="H23" s="35" t="n"/>
    </row>
    <row r="24">
      <c r="A24" s="17" t="n"/>
      <c r="B24" s="18" t="n"/>
      <c r="C24" s="18" t="n"/>
      <c r="D24" s="18" t="n"/>
      <c r="E24" s="19" t="n"/>
      <c r="F24" s="19" t="n"/>
      <c r="G24" s="19" t="n"/>
      <c r="H24" s="28" t="n"/>
    </row>
    <row r="25">
      <c r="A25" s="13" t="n"/>
      <c r="B25" s="14" t="n"/>
      <c r="C25" s="14" t="n"/>
      <c r="D25" s="14" t="n"/>
      <c r="E25" s="15" t="n"/>
      <c r="F25" s="15" t="n"/>
      <c r="G25" s="15" t="n"/>
      <c r="H25" s="35" t="n"/>
    </row>
    <row r="26">
      <c r="A26" s="17" t="n"/>
      <c r="B26" s="18" t="n"/>
      <c r="C26" s="18" t="n"/>
      <c r="D26" s="18" t="n"/>
      <c r="E26" s="19" t="n"/>
      <c r="F26" s="19" t="n"/>
      <c r="G26" s="19" t="n"/>
      <c r="H26" s="28" t="n"/>
    </row>
    <row r="27">
      <c r="A27" s="13" t="n"/>
      <c r="B27" s="14" t="n"/>
      <c r="C27" s="14" t="n"/>
      <c r="D27" s="14" t="n"/>
      <c r="E27" s="15" t="n"/>
      <c r="F27" s="15" t="n"/>
      <c r="G27" s="15" t="n"/>
      <c r="H27" s="35" t="n"/>
    </row>
    <row r="28">
      <c r="A28" s="17" t="n"/>
      <c r="B28" s="18" t="n"/>
      <c r="C28" s="18" t="n"/>
      <c r="D28" s="18" t="n"/>
      <c r="E28" s="19" t="n"/>
      <c r="F28" s="19" t="n"/>
      <c r="G28" s="19" t="n"/>
      <c r="H28" s="28" t="n"/>
    </row>
    <row r="29">
      <c r="A29" s="13" t="n"/>
      <c r="B29" s="14" t="n"/>
      <c r="C29" s="14" t="n"/>
      <c r="D29" s="14" t="n"/>
      <c r="E29" s="15" t="n"/>
      <c r="F29" s="15" t="n"/>
      <c r="G29" s="15" t="n"/>
      <c r="H29" s="35" t="n"/>
    </row>
    <row r="30">
      <c r="A30" s="17" t="n"/>
      <c r="B30" s="18" t="n"/>
      <c r="C30" s="18" t="n"/>
      <c r="D30" s="18" t="n"/>
      <c r="E30" s="19" t="n"/>
      <c r="F30" s="19" t="n"/>
      <c r="G30" s="19" t="n"/>
      <c r="H30" s="28" t="n"/>
    </row>
    <row r="31">
      <c r="A31" s="13" t="n"/>
      <c r="B31" s="14" t="n"/>
      <c r="C31" s="14" t="n"/>
      <c r="D31" s="14" t="n"/>
      <c r="E31" s="15" t="n"/>
      <c r="F31" s="15" t="n"/>
      <c r="G31" s="15" t="n"/>
      <c r="H31" s="35" t="n"/>
    </row>
    <row r="32">
      <c r="A32" s="17" t="n"/>
      <c r="B32" s="18" t="n"/>
      <c r="C32" s="18" t="n"/>
      <c r="D32" s="18" t="n"/>
      <c r="E32" s="19" t="n"/>
      <c r="F32" s="19" t="n"/>
      <c r="G32" s="19" t="n"/>
      <c r="H32" s="28" t="n"/>
    </row>
    <row r="33">
      <c r="A33" s="13" t="n"/>
      <c r="B33" s="14" t="n"/>
      <c r="C33" s="14" t="n"/>
      <c r="D33" s="14" t="n"/>
      <c r="E33" s="15" t="n"/>
      <c r="F33" s="15" t="n"/>
      <c r="G33" s="15" t="n"/>
      <c r="H33" s="35" t="n"/>
    </row>
    <row r="34">
      <c r="A34" s="17" t="n"/>
      <c r="B34" s="18" t="n"/>
      <c r="C34" s="18" t="n"/>
      <c r="D34" s="18" t="n"/>
      <c r="E34" s="19" t="n"/>
      <c r="F34" s="19" t="n"/>
      <c r="G34" s="19" t="n"/>
      <c r="H34" s="28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5E6C1"/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8" customWidth="1" min="4" max="4"/>
    <col width="16" customWidth="1" min="5" max="5"/>
    <col width="14" customWidth="1" min="6" max="6"/>
    <col width="22" customWidth="1" min="7" max="7"/>
  </cols>
  <sheetData>
    <row r="1" ht="44" customHeight="1">
      <c r="A1" s="1" t="inlineStr">
        <is>
          <t xml:space="preserve">  👥  TEAM ROSTER</t>
        </is>
      </c>
    </row>
    <row r="2" ht="22" customHeight="1">
      <c r="A2" s="2" t="inlineStr">
        <is>
          <t xml:space="preserve">  Players, parents, contact info, positions, birthdays.</t>
        </is>
      </c>
    </row>
    <row r="4" ht="30" customHeight="1">
      <c r="A4" s="12" t="inlineStr">
        <is>
          <t>Player</t>
        </is>
      </c>
      <c r="B4" s="12" t="inlineStr">
        <is>
          <t>Parent</t>
        </is>
      </c>
      <c r="C4" s="12" t="inlineStr">
        <is>
          <t>Phone</t>
        </is>
      </c>
      <c r="D4" s="12" t="inlineStr">
        <is>
          <t>Email</t>
        </is>
      </c>
      <c r="E4" s="12" t="inlineStr">
        <is>
          <t>Position</t>
        </is>
      </c>
      <c r="F4" s="12" t="inlineStr">
        <is>
          <t>Birthday</t>
        </is>
      </c>
      <c r="G4" s="12" t="inlineStr">
        <is>
          <t>Emergency Contact</t>
        </is>
      </c>
    </row>
    <row r="5">
      <c r="A5" s="14" t="inlineStr">
        <is>
          <t>Maya Rivera</t>
        </is>
      </c>
      <c r="B5" s="14" t="inlineStr">
        <is>
          <t>Sarah Rivera</t>
        </is>
      </c>
      <c r="C5" s="15" t="inlineStr">
        <is>
          <t>(555) 412-7833</t>
        </is>
      </c>
      <c r="D5" s="14" t="inlineStr">
        <is>
          <t>sarah@example.com</t>
        </is>
      </c>
      <c r="E5" s="15" t="inlineStr">
        <is>
          <t>Midfielder</t>
        </is>
      </c>
      <c r="F5" s="13" t="n">
        <v>42441</v>
      </c>
      <c r="G5" s="14" t="inlineStr">
        <is>
          <t>James (Dad)</t>
        </is>
      </c>
    </row>
    <row r="6">
      <c r="A6" s="18" t="inlineStr">
        <is>
          <t>Lily Chen</t>
        </is>
      </c>
      <c r="B6" s="18" t="inlineStr">
        <is>
          <t>Priya Chen</t>
        </is>
      </c>
      <c r="C6" s="19" t="inlineStr">
        <is>
          <t>(555) 388-2210</t>
        </is>
      </c>
      <c r="D6" s="18" t="inlineStr">
        <is>
          <t>priya@example.com</t>
        </is>
      </c>
      <c r="E6" s="19" t="inlineStr">
        <is>
          <t>Defender</t>
        </is>
      </c>
      <c r="F6" s="17" t="n">
        <v>42555</v>
      </c>
      <c r="G6" s="18" t="inlineStr">
        <is>
          <t>Mark (Dad)</t>
        </is>
      </c>
    </row>
    <row r="7">
      <c r="A7" s="14" t="inlineStr">
        <is>
          <t>Sophie Park</t>
        </is>
      </c>
      <c r="B7" s="14" t="inlineStr">
        <is>
          <t>Aisha Park</t>
        </is>
      </c>
      <c r="C7" s="15" t="inlineStr">
        <is>
          <t>(555) 388-3344</t>
        </is>
      </c>
      <c r="D7" s="14" t="inlineStr">
        <is>
          <t>aisha@example.com</t>
        </is>
      </c>
      <c r="E7" s="15" t="inlineStr">
        <is>
          <t>Forward</t>
        </is>
      </c>
      <c r="F7" s="13" t="n">
        <v>42512</v>
      </c>
      <c r="G7" s="14" t="inlineStr">
        <is>
          <t>Alex (Stepdad)</t>
        </is>
      </c>
    </row>
    <row r="8">
      <c r="A8" s="18" t="inlineStr">
        <is>
          <t>Aiden Brooks</t>
        </is>
      </c>
      <c r="B8" s="18" t="inlineStr">
        <is>
          <t>Marcus Brooks</t>
        </is>
      </c>
      <c r="C8" s="19" t="inlineStr">
        <is>
          <t>(555) 901-2271</t>
        </is>
      </c>
      <c r="D8" s="18" t="inlineStr">
        <is>
          <t>marcus@example.com</t>
        </is>
      </c>
      <c r="E8" s="19" t="inlineStr">
        <is>
          <t>Goalkeeper</t>
        </is>
      </c>
      <c r="F8" s="17" t="n">
        <v>42631</v>
      </c>
      <c r="G8" s="18" t="inlineStr">
        <is>
          <t>Emily (Mom)</t>
        </is>
      </c>
    </row>
    <row r="9">
      <c r="A9" s="14" t="inlineStr">
        <is>
          <t>Mia Lopez</t>
        </is>
      </c>
      <c r="B9" s="14" t="inlineStr">
        <is>
          <t>Carla Lopez</t>
        </is>
      </c>
      <c r="C9" s="15" t="inlineStr">
        <is>
          <t>(555) 200-1188</t>
        </is>
      </c>
      <c r="D9" s="14" t="inlineStr">
        <is>
          <t>carla@example.com</t>
        </is>
      </c>
      <c r="E9" s="15" t="inlineStr">
        <is>
          <t>Defender</t>
        </is>
      </c>
      <c r="F9" s="13" t="n">
        <v>42339</v>
      </c>
      <c r="G9" s="14" t="inlineStr">
        <is>
          <t>—</t>
        </is>
      </c>
    </row>
    <row r="10">
      <c r="A10" s="18" t="inlineStr">
        <is>
          <t>Olivia Reed</t>
        </is>
      </c>
      <c r="B10" s="18" t="inlineStr">
        <is>
          <t>Hannah Reed</t>
        </is>
      </c>
      <c r="C10" s="19" t="inlineStr">
        <is>
          <t>(555) 200-2244</t>
        </is>
      </c>
      <c r="D10" s="18" t="inlineStr">
        <is>
          <t>hannah@example.com</t>
        </is>
      </c>
      <c r="E10" s="19" t="inlineStr">
        <is>
          <t>Midfielder</t>
        </is>
      </c>
      <c r="F10" s="17" t="n">
        <v>42399</v>
      </c>
      <c r="G10" s="18" t="inlineStr">
        <is>
          <t>Tom (Dad)</t>
        </is>
      </c>
    </row>
    <row r="11">
      <c r="A11" s="14" t="inlineStr">
        <is>
          <t>Sophia Diaz</t>
        </is>
      </c>
      <c r="B11" s="14" t="inlineStr">
        <is>
          <t>Elena Diaz</t>
        </is>
      </c>
      <c r="C11" s="15" t="inlineStr">
        <is>
          <t>(555) 200-7711</t>
        </is>
      </c>
      <c r="D11" s="14" t="inlineStr">
        <is>
          <t>elena@example.com</t>
        </is>
      </c>
      <c r="E11" s="15" t="inlineStr">
        <is>
          <t>Forward</t>
        </is>
      </c>
      <c r="F11" s="13" t="n">
        <v>42532</v>
      </c>
      <c r="G11" s="14" t="inlineStr">
        <is>
          <t>Luis (Dad)</t>
        </is>
      </c>
    </row>
    <row r="12">
      <c r="A12" s="18" t="inlineStr">
        <is>
          <t>Ava Patel</t>
        </is>
      </c>
      <c r="B12" s="18" t="inlineStr">
        <is>
          <t>Anika Patel</t>
        </is>
      </c>
      <c r="C12" s="19" t="inlineStr">
        <is>
          <t>(555) 412-9032</t>
        </is>
      </c>
      <c r="D12" s="18" t="inlineStr">
        <is>
          <t>anika@example.com</t>
        </is>
      </c>
      <c r="E12" s="19" t="inlineStr">
        <is>
          <t>Defender</t>
        </is>
      </c>
      <c r="F12" s="17" t="n">
        <v>42467</v>
      </c>
      <c r="G12" s="18" t="inlineStr">
        <is>
          <t>Raj (Dad)</t>
        </is>
      </c>
    </row>
    <row r="13">
      <c r="A13" s="14" t="inlineStr">
        <is>
          <t>Isla Wright</t>
        </is>
      </c>
      <c r="B13" s="14" t="inlineStr">
        <is>
          <t>Beth Wright</t>
        </is>
      </c>
      <c r="C13" s="15" t="inlineStr">
        <is>
          <t>(555) 412-7799</t>
        </is>
      </c>
      <c r="D13" s="14" t="inlineStr">
        <is>
          <t>beth@example.com</t>
        </is>
      </c>
      <c r="E13" s="15" t="inlineStr">
        <is>
          <t>Midfielder</t>
        </is>
      </c>
      <c r="F13" s="13" t="n">
        <v>42607</v>
      </c>
      <c r="G13" s="14" t="inlineStr">
        <is>
          <t>Sam (Dad)</t>
        </is>
      </c>
    </row>
    <row r="14">
      <c r="A14" s="18" t="inlineStr">
        <is>
          <t>Zara Khan</t>
        </is>
      </c>
      <c r="B14" s="18" t="inlineStr">
        <is>
          <t>Ayesha Khan</t>
        </is>
      </c>
      <c r="C14" s="19" t="inlineStr">
        <is>
          <t>(555) 388-9911</t>
        </is>
      </c>
      <c r="D14" s="18" t="inlineStr">
        <is>
          <t>ayesha@example.com</t>
        </is>
      </c>
      <c r="E14" s="19" t="inlineStr">
        <is>
          <t>Forward</t>
        </is>
      </c>
      <c r="F14" s="17" t="n">
        <v>42657</v>
      </c>
      <c r="G14" s="18" t="inlineStr">
        <is>
          <t>Imran (Dad)</t>
        </is>
      </c>
    </row>
    <row r="15">
      <c r="A15" s="14" t="inlineStr">
        <is>
          <t>Emma Carter</t>
        </is>
      </c>
      <c r="B15" s="14" t="inlineStr">
        <is>
          <t>Linda Carter</t>
        </is>
      </c>
      <c r="C15" s="15" t="inlineStr">
        <is>
          <t>(555) 412-7820</t>
        </is>
      </c>
      <c r="D15" s="14" t="inlineStr">
        <is>
          <t>linda@example.com</t>
        </is>
      </c>
      <c r="E15" s="15" t="inlineStr">
        <is>
          <t>Sub</t>
        </is>
      </c>
      <c r="F15" s="13" t="n">
        <v>42416</v>
      </c>
      <c r="G15" s="14" t="inlineStr">
        <is>
          <t>—</t>
        </is>
      </c>
    </row>
    <row r="16">
      <c r="A16" s="18" t="inlineStr">
        <is>
          <t>Hannah Ross</t>
        </is>
      </c>
      <c r="B16" s="18" t="inlineStr">
        <is>
          <t>Megan Ross</t>
        </is>
      </c>
      <c r="C16" s="19" t="inlineStr">
        <is>
          <t>(555) 412-7822</t>
        </is>
      </c>
      <c r="D16" s="18" t="inlineStr">
        <is>
          <t>megan@example.com</t>
        </is>
      </c>
      <c r="E16" s="19" t="inlineStr">
        <is>
          <t>Midfielder</t>
        </is>
      </c>
      <c r="F16" s="17" t="n">
        <v>42677</v>
      </c>
      <c r="G16" s="18" t="inlineStr">
        <is>
          <t>Dan (Dad)</t>
        </is>
      </c>
    </row>
    <row r="17">
      <c r="A17" s="14" t="n"/>
      <c r="B17" s="14" t="n"/>
      <c r="C17" s="15" t="n"/>
      <c r="D17" s="14" t="n"/>
      <c r="E17" s="15" t="n"/>
      <c r="F17" s="13" t="n"/>
      <c r="G17" s="14" t="n"/>
    </row>
    <row r="18">
      <c r="A18" s="18" t="n"/>
      <c r="B18" s="18" t="n"/>
      <c r="C18" s="19" t="n"/>
      <c r="D18" s="18" t="n"/>
      <c r="E18" s="19" t="n"/>
      <c r="F18" s="17" t="n"/>
      <c r="G18" s="18" t="n"/>
    </row>
    <row r="19">
      <c r="A19" s="14" t="n"/>
      <c r="B19" s="14" t="n"/>
      <c r="C19" s="15" t="n"/>
      <c r="D19" s="14" t="n"/>
      <c r="E19" s="15" t="n"/>
      <c r="F19" s="13" t="n"/>
      <c r="G19" s="14" t="n"/>
    </row>
    <row r="20">
      <c r="A20" s="18" t="n"/>
      <c r="B20" s="18" t="n"/>
      <c r="C20" s="19" t="n"/>
      <c r="D20" s="18" t="n"/>
      <c r="E20" s="19" t="n"/>
      <c r="F20" s="17" t="n"/>
      <c r="G20" s="18" t="n"/>
    </row>
    <row r="21">
      <c r="A21" s="14" t="n"/>
      <c r="B21" s="14" t="n"/>
      <c r="C21" s="15" t="n"/>
      <c r="D21" s="14" t="n"/>
      <c r="E21" s="15" t="n"/>
      <c r="F21" s="13" t="n"/>
      <c r="G21" s="14" t="n"/>
    </row>
    <row r="22">
      <c r="A22" s="18" t="n"/>
      <c r="B22" s="18" t="n"/>
      <c r="C22" s="19" t="n"/>
      <c r="D22" s="18" t="n"/>
      <c r="E22" s="19" t="n"/>
      <c r="F22" s="17" t="n"/>
      <c r="G22" s="18" t="n"/>
    </row>
    <row r="23">
      <c r="A23" s="14" t="n"/>
      <c r="B23" s="14" t="n"/>
      <c r="C23" s="15" t="n"/>
      <c r="D23" s="14" t="n"/>
      <c r="E23" s="15" t="n"/>
      <c r="F23" s="13" t="n"/>
      <c r="G23" s="14" t="n"/>
    </row>
    <row r="24">
      <c r="A24" s="18" t="n"/>
      <c r="B24" s="18" t="n"/>
      <c r="C24" s="19" t="n"/>
      <c r="D24" s="18" t="n"/>
      <c r="E24" s="19" t="n"/>
      <c r="F24" s="17" t="n"/>
      <c r="G24" s="18" t="n"/>
    </row>
  </sheetData>
  <mergeCells count="2">
    <mergeCell ref="A2:G2"/>
    <mergeCell ref="A1:G1"/>
  </mergeCells>
  <dataValidations count="1">
    <dataValidation sqref="E5:E24" showDropDown="0" showInputMessage="0" showErrorMessage="0" allowBlank="1" type="list">
      <formula1>=PositionList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37356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2" customWidth="1" min="3" max="3"/>
    <col width="6" customWidth="1" min="4" max="4"/>
    <col width="22" customWidth="1" min="5" max="5"/>
    <col width="14" customWidth="1" min="6" max="6"/>
  </cols>
  <sheetData>
    <row r="1" ht="44" customHeight="1">
      <c r="A1" s="1" t="inlineStr">
        <is>
          <t xml:space="preserve">  🍎  MEAL · SNACK · HYDRATION</t>
        </is>
      </c>
    </row>
    <row r="2" ht="22" customHeight="1">
      <c r="A2" s="2" t="inlineStr">
        <is>
          <t xml:space="preserve">  Game-day fuel, post-game recovery, snack roster, shopping list.</t>
        </is>
      </c>
    </row>
    <row r="4" ht="30" customHeight="1">
      <c r="A4" s="8" t="inlineStr">
        <is>
          <t>PRE-GAME MEAL (2–3 hrs before)</t>
        </is>
      </c>
      <c r="E4" s="12" t="inlineStr">
        <is>
          <t>HYDRATION TRACKER</t>
        </is>
      </c>
    </row>
    <row r="5" ht="26" customHeight="1">
      <c r="A5" s="12" t="inlineStr">
        <is>
          <t>Occasion</t>
        </is>
      </c>
      <c r="B5" s="12" t="inlineStr">
        <is>
          <t>Meal</t>
        </is>
      </c>
      <c r="C5" s="12" t="inlineStr">
        <is>
          <t>Notes</t>
        </is>
      </c>
      <c r="E5" s="12" t="inlineStr">
        <is>
          <t>Day</t>
        </is>
      </c>
      <c r="F5" s="12" t="inlineStr">
        <is>
          <t>oz</t>
        </is>
      </c>
    </row>
    <row r="6" ht="24" customHeight="1">
      <c r="A6" s="14" t="inlineStr">
        <is>
          <t>Saturday game day</t>
        </is>
      </c>
      <c r="B6" s="14" t="inlineStr">
        <is>
          <t>Whole-grain pasta + grilled chicken + steamed veggies</t>
        </is>
      </c>
      <c r="C6" s="14" t="inlineStr">
        <is>
          <t>Slow-release carbs; avoid heavy sauces</t>
        </is>
      </c>
      <c r="E6" s="21" t="inlineStr">
        <is>
          <t>Mon</t>
        </is>
      </c>
      <c r="F6" s="37" t="n">
        <v>64</v>
      </c>
    </row>
    <row r="7" ht="24" customHeight="1">
      <c r="A7" s="18" t="inlineStr">
        <is>
          <t>Sunday game day</t>
        </is>
      </c>
      <c r="B7" s="18" t="inlineStr">
        <is>
          <t>Oatmeal + banana + scrambled eggs + toast</t>
        </is>
      </c>
      <c r="C7" s="18" t="inlineStr">
        <is>
          <t>Carbs + protein</t>
        </is>
      </c>
      <c r="E7" s="18" t="inlineStr">
        <is>
          <t>Tue</t>
        </is>
      </c>
      <c r="F7" s="36" t="n">
        <v>72</v>
      </c>
    </row>
    <row r="8" ht="24" customHeight="1">
      <c r="A8" s="14" t="inlineStr">
        <is>
          <t>Tournament morning</t>
        </is>
      </c>
      <c r="B8" s="14" t="inlineStr">
        <is>
          <t>Bagel + peanut-free PB + Greek yogurt + berries</t>
        </is>
      </c>
      <c r="C8" s="14" t="inlineStr">
        <is>
          <t>Easy on stomach, sustained energy</t>
        </is>
      </c>
      <c r="E8" s="21" t="inlineStr">
        <is>
          <t>Wed</t>
        </is>
      </c>
      <c r="F8" s="37" t="n">
        <v>68</v>
      </c>
    </row>
    <row r="9">
      <c r="E9" s="18" t="inlineStr">
        <is>
          <t>Thu</t>
        </is>
      </c>
      <c r="F9" s="36" t="n">
        <v>80</v>
      </c>
    </row>
    <row r="10" ht="22" customHeight="1">
      <c r="A10" s="8" t="inlineStr">
        <is>
          <t>POST-GAME RECOVERY (within 60 min)</t>
        </is>
      </c>
      <c r="E10" s="21" t="inlineStr">
        <is>
          <t>Fri</t>
        </is>
      </c>
      <c r="F10" s="37" t="n">
        <v>72</v>
      </c>
    </row>
    <row r="11" ht="26" customHeight="1">
      <c r="A11" s="12" t="inlineStr">
        <is>
          <t>Occasion</t>
        </is>
      </c>
      <c r="B11" s="12" t="inlineStr">
        <is>
          <t>Meal</t>
        </is>
      </c>
      <c r="C11" s="12" t="inlineStr">
        <is>
          <t>Notes</t>
        </is>
      </c>
      <c r="E11" s="18" t="inlineStr">
        <is>
          <t>Sat (Game)</t>
        </is>
      </c>
      <c r="F11" s="36" t="n">
        <v>96</v>
      </c>
    </row>
    <row r="12" ht="24" customHeight="1">
      <c r="A12" s="14" t="inlineStr">
        <is>
          <t>Light recovery</t>
        </is>
      </c>
      <c r="B12" s="14" t="inlineStr">
        <is>
          <t>Chocolate milk + turkey wrap</t>
        </is>
      </c>
      <c r="C12" s="14" t="inlineStr">
        <is>
          <t>Carb + protein in 3:1 ratio</t>
        </is>
      </c>
      <c r="E12" s="21" t="inlineStr">
        <is>
          <t>Sun (Game)</t>
        </is>
      </c>
      <c r="F12" s="37" t="n">
        <v>88</v>
      </c>
    </row>
    <row r="13" ht="24" customHeight="1">
      <c r="A13" s="18" t="inlineStr">
        <is>
          <t>Big recovery</t>
        </is>
      </c>
      <c r="B13" s="18" t="inlineStr">
        <is>
          <t>Rice bowl + chicken + veggies + smoothie</t>
        </is>
      </c>
      <c r="C13" s="18" t="inlineStr">
        <is>
          <t>After 90+ min match</t>
        </is>
      </c>
    </row>
    <row r="14" ht="28" customHeight="1">
      <c r="A14" s="14" t="inlineStr">
        <is>
          <t>Heat day</t>
        </is>
      </c>
      <c r="B14" s="14" t="inlineStr">
        <is>
          <t>Electrolyte drink + watermelon + pretzels</t>
        </is>
      </c>
      <c r="C14" s="14" t="inlineStr">
        <is>
          <t>Replenish sodium</t>
        </is>
      </c>
      <c r="E14" s="12" t="inlineStr">
        <is>
          <t>SHOPPING LIST</t>
        </is>
      </c>
    </row>
    <row r="15">
      <c r="E15" s="21" t="inlineStr">
        <is>
          <t>Chocolate milk (qt)</t>
        </is>
      </c>
      <c r="F15" s="37" t="n">
        <v>2</v>
      </c>
    </row>
    <row r="16" ht="22" customHeight="1">
      <c r="A16" s="8" t="inlineStr">
        <is>
          <t>TOURNAMENT MEALS (multi-day)</t>
        </is>
      </c>
      <c r="E16" s="18" t="inlineStr">
        <is>
          <t>Bananas</t>
        </is>
      </c>
      <c r="F16" s="36" t="n">
        <v>10</v>
      </c>
    </row>
    <row r="17" ht="26" customHeight="1">
      <c r="A17" s="12" t="inlineStr">
        <is>
          <t>Occasion</t>
        </is>
      </c>
      <c r="B17" s="12" t="inlineStr">
        <is>
          <t>Meal</t>
        </is>
      </c>
      <c r="C17" s="12" t="inlineStr">
        <is>
          <t>Notes</t>
        </is>
      </c>
      <c r="E17" s="21" t="inlineStr">
        <is>
          <t>Whole-grain pasta</t>
        </is>
      </c>
      <c r="F17" s="37" t="n">
        <v>1</v>
      </c>
    </row>
    <row r="18" ht="24" customHeight="1">
      <c r="A18" s="14" t="inlineStr">
        <is>
          <t>Friday dinner</t>
        </is>
      </c>
      <c r="B18" s="14" t="inlineStr">
        <is>
          <t>Pasta night at hotel</t>
        </is>
      </c>
      <c r="C18" s="14" t="inlineStr">
        <is>
          <t>Carb load</t>
        </is>
      </c>
      <c r="E18" s="18" t="inlineStr">
        <is>
          <t>Chicken breast (lb)</t>
        </is>
      </c>
      <c r="F18" s="36" t="n">
        <v>2</v>
      </c>
    </row>
    <row r="19" ht="24" customHeight="1">
      <c r="A19" s="18" t="inlineStr">
        <is>
          <t>Saturday breakfast</t>
        </is>
      </c>
      <c r="B19" s="18" t="inlineStr">
        <is>
          <t>Continental breakfast + protein bar packed</t>
        </is>
      </c>
      <c r="C19" s="18" t="inlineStr">
        <is>
          <t>Eat by 7am if 9am kickoff</t>
        </is>
      </c>
      <c r="E19" s="21" t="inlineStr">
        <is>
          <t>Greek yogurt (tubs)</t>
        </is>
      </c>
      <c r="F19" s="37" t="n">
        <v>3</v>
      </c>
    </row>
    <row r="20" ht="24" customHeight="1">
      <c r="A20" s="14" t="inlineStr">
        <is>
          <t>Saturday lunch</t>
        </is>
      </c>
      <c r="B20" s="14" t="inlineStr">
        <is>
          <t>Sub sandwich + pretzels + fruit</t>
        </is>
      </c>
      <c r="C20" s="14" t="inlineStr">
        <is>
          <t>Between matches</t>
        </is>
      </c>
      <c r="E20" s="18" t="inlineStr">
        <is>
          <t>Bagels (pkg)</t>
        </is>
      </c>
      <c r="F20" s="36" t="n">
        <v>1</v>
      </c>
    </row>
    <row r="21" ht="24" customHeight="1">
      <c r="A21" s="18" t="inlineStr">
        <is>
          <t>Sunday breakfast</t>
        </is>
      </c>
      <c r="B21" s="18" t="inlineStr">
        <is>
          <t>Eggs + toast + smoothie</t>
        </is>
      </c>
      <c r="C21" s="18" t="inlineStr">
        <is>
          <t>Light if early game</t>
        </is>
      </c>
      <c r="E21" s="21" t="inlineStr">
        <is>
          <t>Sub bread</t>
        </is>
      </c>
      <c r="F21" s="37" t="n">
        <v>2</v>
      </c>
    </row>
    <row r="22">
      <c r="E22" s="18" t="inlineStr">
        <is>
          <t>Watermelon</t>
        </is>
      </c>
      <c r="F22" s="36" t="n">
        <v>1</v>
      </c>
    </row>
    <row r="23" ht="22" customHeight="1">
      <c r="A23" s="8" t="inlineStr">
        <is>
          <t>SNACK ROSTER (per game)</t>
        </is>
      </c>
      <c r="E23" s="21" t="inlineStr">
        <is>
          <t>Pretzels (bag)</t>
        </is>
      </c>
      <c r="F23" s="37" t="n">
        <v>2</v>
      </c>
    </row>
    <row r="24" ht="26" customHeight="1">
      <c r="A24" s="12" t="inlineStr">
        <is>
          <t>Game</t>
        </is>
      </c>
      <c r="B24" s="12" t="inlineStr">
        <is>
          <t>Family Assigned</t>
        </is>
      </c>
      <c r="C24" s="12" t="inlineStr">
        <is>
          <t>Snack</t>
        </is>
      </c>
      <c r="E24" s="18" t="inlineStr">
        <is>
          <t>Granola bars (box)</t>
        </is>
      </c>
      <c r="F24" s="36" t="n">
        <v>2</v>
      </c>
    </row>
    <row r="25" ht="24" customHeight="1">
      <c r="A25" s="14" t="inlineStr">
        <is>
          <t>Game 1 vs Hawks</t>
        </is>
      </c>
      <c r="B25" s="14" t="inlineStr">
        <is>
          <t>Rivera family</t>
        </is>
      </c>
      <c r="C25" s="14" t="inlineStr">
        <is>
          <t>Orange slices + pretzels</t>
        </is>
      </c>
      <c r="E25" s="21" t="inlineStr">
        <is>
          <t>Apples</t>
        </is>
      </c>
      <c r="F25" s="37" t="n">
        <v>8</v>
      </c>
    </row>
    <row r="26" ht="24" customHeight="1">
      <c r="A26" s="18" t="inlineStr">
        <is>
          <t>Game 2 @ Northside</t>
        </is>
      </c>
      <c r="B26" s="18" t="inlineStr">
        <is>
          <t>Chen family</t>
        </is>
      </c>
      <c r="C26" s="18" t="inlineStr">
        <is>
          <t>Granola bars + apples</t>
        </is>
      </c>
      <c r="E26" s="18" t="inlineStr">
        <is>
          <t>Trail mix (bag)</t>
        </is>
      </c>
      <c r="F26" s="36" t="n">
        <v>1</v>
      </c>
    </row>
    <row r="27" ht="24" customHeight="1">
      <c r="A27" s="14" t="inlineStr">
        <is>
          <t>Game 3 vs Wolves</t>
        </is>
      </c>
      <c r="B27" s="14" t="inlineStr">
        <is>
          <t>Park family</t>
        </is>
      </c>
      <c r="C27" s="14" t="inlineStr">
        <is>
          <t>Watermelon + crackers</t>
        </is>
      </c>
      <c r="E27" s="21" t="inlineStr">
        <is>
          <t>Electrolyte mix</t>
        </is>
      </c>
      <c r="F27" s="37" t="n">
        <v>1</v>
      </c>
    </row>
    <row r="28" ht="24" customHeight="1">
      <c r="A28" s="18" t="inlineStr">
        <is>
          <t>Tournament Day 1</t>
        </is>
      </c>
      <c r="B28" s="18" t="inlineStr">
        <is>
          <t>Brooks family</t>
        </is>
      </c>
      <c r="C28" s="18" t="inlineStr">
        <is>
          <t>Bagels + bananas + Gatorade</t>
        </is>
      </c>
      <c r="E28" s="18" t="inlineStr">
        <is>
          <t>Eggs (dozen)</t>
        </is>
      </c>
      <c r="F28" s="36" t="n">
        <v>1</v>
      </c>
    </row>
    <row r="29" ht="24" customHeight="1">
      <c r="A29" s="14" t="inlineStr">
        <is>
          <t>Tournament Day 2</t>
        </is>
      </c>
      <c r="B29" s="14" t="inlineStr">
        <is>
          <t>Lopez family</t>
        </is>
      </c>
      <c r="C29" s="14" t="inlineStr">
        <is>
          <t>Trail mix + grapes + water</t>
        </is>
      </c>
      <c r="E29" s="21" t="inlineStr">
        <is>
          <t>Smoothie kit</t>
        </is>
      </c>
      <c r="F29" s="37" t="n">
        <v>2</v>
      </c>
    </row>
  </sheetData>
  <mergeCells count="8">
    <mergeCell ref="A10:C10"/>
    <mergeCell ref="A2:F2"/>
    <mergeCell ref="E4:F4"/>
    <mergeCell ref="A23:C23"/>
    <mergeCell ref="A1:F1"/>
    <mergeCell ref="E14:F14"/>
    <mergeCell ref="A4:C4"/>
    <mergeCell ref="A16:C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37356"/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22" customWidth="1" min="3" max="3"/>
    <col width="6" customWidth="1" min="4" max="4"/>
    <col width="22" customWidth="1" min="5" max="5"/>
    <col width="6" customWidth="1" min="6" max="6"/>
    <col width="22" customWidth="1" min="7" max="7"/>
    <col width="6" customWidth="1" min="8" max="8"/>
    <col width="22" customWidth="1" min="9" max="9"/>
    <col width="6" customWidth="1" min="10" max="10"/>
    <col width="22" customWidth="1" min="11" max="11"/>
    <col width="6" customWidth="1" min="12" max="12"/>
  </cols>
  <sheetData>
    <row r="1" ht="44" customHeight="1">
      <c r="A1" s="1" t="inlineStr">
        <is>
          <t xml:space="preserve">  🎒  PACKING CHECKLISTS</t>
        </is>
      </c>
    </row>
    <row r="2" ht="22" customHeight="1">
      <c r="A2" s="2" t="inlineStr">
        <is>
          <t xml:space="preserve">  Six pre-built lists. Check items off as you pack.</t>
        </is>
      </c>
    </row>
    <row r="4" ht="30" customHeight="1">
      <c r="A4" s="12" t="inlineStr">
        <is>
          <t>PRACTICE</t>
        </is>
      </c>
      <c r="C4" s="12" t="inlineStr">
        <is>
          <t>GAME DAY</t>
        </is>
      </c>
      <c r="E4" s="12" t="inlineStr">
        <is>
          <t>TOURNAMENT WEEKEND</t>
        </is>
      </c>
      <c r="G4" s="12" t="inlineStr">
        <is>
          <t>OVERNIGHT TOURNAMENT</t>
        </is>
      </c>
      <c r="I4" s="12" t="inlineStr">
        <is>
          <t>SUMMER CAMP</t>
        </is>
      </c>
      <c r="K4" s="12" t="inlineStr">
        <is>
          <t>WINTER TRAINING</t>
        </is>
      </c>
    </row>
    <row r="5">
      <c r="A5" s="21" t="inlineStr">
        <is>
          <t>Cleats</t>
        </is>
      </c>
      <c r="B5" s="38" t="inlineStr">
        <is>
          <t>☐</t>
        </is>
      </c>
      <c r="C5" s="21" t="inlineStr">
        <is>
          <t>Match cleats</t>
        </is>
      </c>
      <c r="D5" s="38" t="inlineStr">
        <is>
          <t>☐</t>
        </is>
      </c>
      <c r="E5" s="21" t="inlineStr">
        <is>
          <t>All Game Day items × 3 matches</t>
        </is>
      </c>
      <c r="F5" s="38" t="inlineStr">
        <is>
          <t>☐</t>
        </is>
      </c>
      <c r="G5" s="21" t="inlineStr">
        <is>
          <t>Suitcase + toiletries</t>
        </is>
      </c>
      <c r="H5" s="38" t="inlineStr">
        <is>
          <t>☐</t>
        </is>
      </c>
      <c r="I5" s="21" t="inlineStr">
        <is>
          <t>Cleats + indoor shoes</t>
        </is>
      </c>
      <c r="J5" s="38" t="inlineStr">
        <is>
          <t>☐</t>
        </is>
      </c>
      <c r="K5" s="21" t="inlineStr">
        <is>
          <t>Indoor turf shoes</t>
        </is>
      </c>
      <c r="L5" s="38" t="inlineStr">
        <is>
          <t>☐</t>
        </is>
      </c>
    </row>
    <row r="6">
      <c r="A6" s="18" t="inlineStr">
        <is>
          <t>Shin guards</t>
        </is>
      </c>
      <c r="B6" s="39" t="inlineStr">
        <is>
          <t>☐</t>
        </is>
      </c>
      <c r="C6" s="18" t="inlineStr">
        <is>
          <t>Shin guards</t>
        </is>
      </c>
      <c r="D6" s="39" t="inlineStr">
        <is>
          <t>☐</t>
        </is>
      </c>
      <c r="E6" s="18" t="inlineStr">
        <is>
          <t>Spare cleats</t>
        </is>
      </c>
      <c r="F6" s="39" t="inlineStr">
        <is>
          <t>☐</t>
        </is>
      </c>
      <c r="G6" s="18" t="inlineStr">
        <is>
          <t>Pajamas</t>
        </is>
      </c>
      <c r="H6" s="39" t="inlineStr">
        <is>
          <t>☐</t>
        </is>
      </c>
      <c r="I6" s="18" t="inlineStr">
        <is>
          <t>Multiple training jerseys</t>
        </is>
      </c>
      <c r="J6" s="39" t="inlineStr">
        <is>
          <t>☐</t>
        </is>
      </c>
      <c r="K6" s="18" t="inlineStr">
        <is>
          <t>Long-sleeve base layer</t>
        </is>
      </c>
      <c r="L6" s="39" t="inlineStr">
        <is>
          <t>☐</t>
        </is>
      </c>
    </row>
    <row r="7">
      <c r="A7" s="21" t="inlineStr">
        <is>
          <t>Socks</t>
        </is>
      </c>
      <c r="B7" s="38" t="inlineStr">
        <is>
          <t>☐</t>
        </is>
      </c>
      <c r="C7" s="21" t="inlineStr">
        <is>
          <t>Match socks (home/away)</t>
        </is>
      </c>
      <c r="D7" s="38" t="inlineStr">
        <is>
          <t>☐</t>
        </is>
      </c>
      <c r="E7" s="21" t="inlineStr">
        <is>
          <t>Spare socks (x3)</t>
        </is>
      </c>
      <c r="F7" s="38" t="inlineStr">
        <is>
          <t>☐</t>
        </is>
      </c>
      <c r="G7" s="21" t="inlineStr">
        <is>
          <t>Casual outfit</t>
        </is>
      </c>
      <c r="H7" s="38" t="inlineStr">
        <is>
          <t>☐</t>
        </is>
      </c>
      <c r="I7" s="21" t="inlineStr">
        <is>
          <t>Shorts (x5)</t>
        </is>
      </c>
      <c r="J7" s="38" t="inlineStr">
        <is>
          <t>☐</t>
        </is>
      </c>
      <c r="K7" s="21" t="inlineStr">
        <is>
          <t>Track pants</t>
        </is>
      </c>
      <c r="L7" s="38" t="inlineStr">
        <is>
          <t>☐</t>
        </is>
      </c>
    </row>
    <row r="8">
      <c r="A8" s="18" t="inlineStr">
        <is>
          <t>Practice jersey</t>
        </is>
      </c>
      <c r="B8" s="39" t="inlineStr">
        <is>
          <t>☐</t>
        </is>
      </c>
      <c r="C8" s="18" t="inlineStr">
        <is>
          <t>Match jersey + shorts</t>
        </is>
      </c>
      <c r="D8" s="39" t="inlineStr">
        <is>
          <t>☐</t>
        </is>
      </c>
      <c r="E8" s="18" t="inlineStr">
        <is>
          <t>Both uniform sets</t>
        </is>
      </c>
      <c r="F8" s="39" t="inlineStr">
        <is>
          <t>☐</t>
        </is>
      </c>
      <c r="G8" s="18" t="inlineStr">
        <is>
          <t>Recovery snacks</t>
        </is>
      </c>
      <c r="H8" s="39" t="inlineStr">
        <is>
          <t>☐</t>
        </is>
      </c>
      <c r="I8" s="18" t="inlineStr">
        <is>
          <t>Sun hat</t>
        </is>
      </c>
      <c r="J8" s="39" t="inlineStr">
        <is>
          <t>☐</t>
        </is>
      </c>
      <c r="K8" s="18" t="inlineStr">
        <is>
          <t>Beanie</t>
        </is>
      </c>
      <c r="L8" s="39" t="inlineStr">
        <is>
          <t>☐</t>
        </is>
      </c>
    </row>
    <row r="9">
      <c r="A9" s="21" t="inlineStr">
        <is>
          <t>Shorts</t>
        </is>
      </c>
      <c r="B9" s="38" t="inlineStr">
        <is>
          <t>☐</t>
        </is>
      </c>
      <c r="C9" s="21" t="inlineStr">
        <is>
          <t>Water bottle (filled)</t>
        </is>
      </c>
      <c r="D9" s="38" t="inlineStr">
        <is>
          <t>☐</t>
        </is>
      </c>
      <c r="E9" s="21" t="inlineStr">
        <is>
          <t>Hotel essentials</t>
        </is>
      </c>
      <c r="F9" s="38" t="inlineStr">
        <is>
          <t>☐</t>
        </is>
      </c>
      <c r="G9" s="21" t="inlineStr">
        <is>
          <t>Hydration pack</t>
        </is>
      </c>
      <c r="H9" s="38" t="inlineStr">
        <is>
          <t>☐</t>
        </is>
      </c>
      <c r="I9" s="21" t="inlineStr">
        <is>
          <t>Sunscreen</t>
        </is>
      </c>
      <c r="J9" s="38" t="inlineStr">
        <is>
          <t>☐</t>
        </is>
      </c>
      <c r="K9" s="21" t="inlineStr">
        <is>
          <t>Gloves</t>
        </is>
      </c>
      <c r="L9" s="38" t="inlineStr">
        <is>
          <t>☐</t>
        </is>
      </c>
    </row>
    <row r="10">
      <c r="A10" s="18" t="inlineStr">
        <is>
          <t>Water bottle</t>
        </is>
      </c>
      <c r="B10" s="39" t="inlineStr">
        <is>
          <t>☐</t>
        </is>
      </c>
      <c r="C10" s="18" t="inlineStr">
        <is>
          <t>Backup water</t>
        </is>
      </c>
      <c r="D10" s="39" t="inlineStr">
        <is>
          <t>☐</t>
        </is>
      </c>
      <c r="E10" s="18" t="inlineStr">
        <is>
          <t>Phone charger</t>
        </is>
      </c>
      <c r="F10" s="39" t="inlineStr">
        <is>
          <t>☐</t>
        </is>
      </c>
      <c r="G10" s="18" t="inlineStr">
        <is>
          <t>Compression sleeves</t>
        </is>
      </c>
      <c r="H10" s="39" t="inlineStr">
        <is>
          <t>☐</t>
        </is>
      </c>
      <c r="I10" s="18" t="inlineStr">
        <is>
          <t>Insect repellent</t>
        </is>
      </c>
      <c r="J10" s="39" t="inlineStr">
        <is>
          <t>☐</t>
        </is>
      </c>
      <c r="K10" s="18" t="inlineStr">
        <is>
          <t>Water bottle (insulated)</t>
        </is>
      </c>
      <c r="L10" s="39" t="inlineStr">
        <is>
          <t>☐</t>
        </is>
      </c>
    </row>
    <row r="11">
      <c r="A11" s="21" t="inlineStr">
        <is>
          <t>Ball</t>
        </is>
      </c>
      <c r="B11" s="38" t="inlineStr">
        <is>
          <t>☐</t>
        </is>
      </c>
      <c r="C11" s="21" t="inlineStr">
        <is>
          <t>Goalkeeper gloves (if GK)</t>
        </is>
      </c>
      <c r="D11" s="38" t="inlineStr">
        <is>
          <t>☐</t>
        </is>
      </c>
      <c r="E11" s="21" t="inlineStr">
        <is>
          <t>Pop-up tent / shade</t>
        </is>
      </c>
      <c r="F11" s="38" t="inlineStr">
        <is>
          <t>☐</t>
        </is>
      </c>
      <c r="G11" s="21" t="inlineStr">
        <is>
          <t>Foam roller</t>
        </is>
      </c>
      <c r="H11" s="38" t="inlineStr">
        <is>
          <t>☐</t>
        </is>
      </c>
      <c r="I11" s="21" t="inlineStr">
        <is>
          <t>Water bottle (large)</t>
        </is>
      </c>
      <c r="J11" s="38" t="inlineStr">
        <is>
          <t>☐</t>
        </is>
      </c>
      <c r="K11" s="21" t="inlineStr">
        <is>
          <t>Layered jacket</t>
        </is>
      </c>
      <c r="L11" s="38" t="inlineStr">
        <is>
          <t>☐</t>
        </is>
      </c>
    </row>
    <row r="12">
      <c r="A12" s="18" t="inlineStr">
        <is>
          <t>Pinnie</t>
        </is>
      </c>
      <c r="B12" s="39" t="inlineStr">
        <is>
          <t>☐</t>
        </is>
      </c>
      <c r="C12" s="18" t="inlineStr">
        <is>
          <t>Snack + electrolytes</t>
        </is>
      </c>
      <c r="D12" s="39" t="inlineStr">
        <is>
          <t>☐</t>
        </is>
      </c>
      <c r="E12" s="18" t="inlineStr">
        <is>
          <t>Cooler with ice</t>
        </is>
      </c>
      <c r="F12" s="39" t="inlineStr">
        <is>
          <t>☐</t>
        </is>
      </c>
      <c r="G12" s="18" t="inlineStr">
        <is>
          <t>Tablet + headphones</t>
        </is>
      </c>
      <c r="H12" s="39" t="inlineStr">
        <is>
          <t>☐</t>
        </is>
      </c>
      <c r="I12" s="18" t="inlineStr">
        <is>
          <t>Notebook + pen</t>
        </is>
      </c>
      <c r="J12" s="39" t="inlineStr">
        <is>
          <t>☐</t>
        </is>
      </c>
      <c r="K12" s="18" t="inlineStr">
        <is>
          <t>Indoor ball</t>
        </is>
      </c>
      <c r="L12" s="39" t="inlineStr">
        <is>
          <t>☐</t>
        </is>
      </c>
    </row>
    <row r="13">
      <c r="A13" s="21" t="inlineStr">
        <is>
          <t>Snack</t>
        </is>
      </c>
      <c r="B13" s="38" t="inlineStr">
        <is>
          <t>☐</t>
        </is>
      </c>
      <c r="C13" s="21" t="inlineStr">
        <is>
          <t>Sunscreen</t>
        </is>
      </c>
      <c r="D13" s="38" t="inlineStr">
        <is>
          <t>☐</t>
        </is>
      </c>
      <c r="E13" s="21" t="inlineStr">
        <is>
          <t>Roll of toilet paper</t>
        </is>
      </c>
      <c r="F13" s="38" t="inlineStr">
        <is>
          <t>☐</t>
        </is>
      </c>
      <c r="G13" s="21" t="inlineStr">
        <is>
          <t>Homework folder</t>
        </is>
      </c>
      <c r="H13" s="38" t="inlineStr">
        <is>
          <t>☐</t>
        </is>
      </c>
      <c r="I13" s="21" t="inlineStr">
        <is>
          <t>Refillable snacks</t>
        </is>
      </c>
      <c r="J13" s="38" t="inlineStr">
        <is>
          <t>☐</t>
        </is>
      </c>
      <c r="K13" s="21" t="inlineStr">
        <is>
          <t>Hand warmers</t>
        </is>
      </c>
      <c r="L13" s="38" t="inlineStr">
        <is>
          <t>☐</t>
        </is>
      </c>
    </row>
    <row r="14">
      <c r="C14" s="18" t="inlineStr">
        <is>
          <t>Hat / sunglasses</t>
        </is>
      </c>
      <c r="D14" s="39" t="inlineStr">
        <is>
          <t>☐</t>
        </is>
      </c>
      <c r="E14" s="18" t="inlineStr">
        <is>
          <t>Spare ball</t>
        </is>
      </c>
      <c r="F14" s="39" t="inlineStr">
        <is>
          <t>☐</t>
        </is>
      </c>
      <c r="G14" s="18" t="inlineStr">
        <is>
          <t>Spare phone charger</t>
        </is>
      </c>
      <c r="H14" s="39" t="inlineStr">
        <is>
          <t>☐</t>
        </is>
      </c>
      <c r="I14" s="18" t="inlineStr">
        <is>
          <t>Inhaler / meds</t>
        </is>
      </c>
      <c r="J14" s="39" t="inlineStr">
        <is>
          <t>☐</t>
        </is>
      </c>
    </row>
    <row r="15">
      <c r="C15" s="21" t="inlineStr">
        <is>
          <t>Camp chair</t>
        </is>
      </c>
      <c r="D15" s="38" t="inlineStr">
        <is>
          <t>☐</t>
        </is>
      </c>
      <c r="E15" s="21" t="inlineStr">
        <is>
          <t>First-aid kit</t>
        </is>
      </c>
      <c r="F15" s="38" t="inlineStr">
        <is>
          <t>☐</t>
        </is>
      </c>
    </row>
    <row r="16">
      <c r="C16" s="18" t="inlineStr">
        <is>
          <t>Cash for entry</t>
        </is>
      </c>
      <c r="D16" s="39" t="inlineStr">
        <is>
          <t>☐</t>
        </is>
      </c>
      <c r="E16" s="18" t="inlineStr">
        <is>
          <t>Game schedule printout</t>
        </is>
      </c>
      <c r="F16" s="39" t="inlineStr">
        <is>
          <t>☐</t>
        </is>
      </c>
    </row>
    <row r="17">
      <c r="E17" s="21" t="inlineStr">
        <is>
          <t>Hotel confirmation</t>
        </is>
      </c>
      <c r="F17" s="38" t="inlineStr">
        <is>
          <t>☐</t>
        </is>
      </c>
    </row>
    <row r="18">
      <c r="E18" s="18" t="inlineStr">
        <is>
          <t>Driver / contact list</t>
        </is>
      </c>
      <c r="F18" s="39" t="inlineStr">
        <is>
          <t>☐</t>
        </is>
      </c>
    </row>
  </sheetData>
  <mergeCells count="8">
    <mergeCell ref="A4:B4"/>
    <mergeCell ref="G4:H4"/>
    <mergeCell ref="A2:L2"/>
    <mergeCell ref="E4:F4"/>
    <mergeCell ref="I4:J4"/>
    <mergeCell ref="A1:L1"/>
    <mergeCell ref="K4:L4"/>
    <mergeCell ref="C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5E6C1"/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4" customHeight="1">
      <c r="A1" s="1" t="inlineStr">
        <is>
          <t xml:space="preserve">  🗺  MILEAGE &amp; TRAVEL</t>
        </is>
      </c>
    </row>
    <row r="2" ht="22" customHeight="1">
      <c r="A2" s="2" t="inlineStr">
        <is>
          <t xml:space="preserve">  Miles, fuel, hotel, parking, tolls — auto-summed monthly.</t>
        </is>
      </c>
    </row>
    <row r="4" ht="30" customHeight="1">
      <c r="A4" s="12" t="inlineStr">
        <is>
          <t>Date</t>
        </is>
      </c>
      <c r="B4" s="12" t="inlineStr">
        <is>
          <t>Destination</t>
        </is>
      </c>
      <c r="C4" s="12" t="inlineStr">
        <is>
          <t>Miles</t>
        </is>
      </c>
      <c r="D4" s="12" t="inlineStr">
        <is>
          <t>Fuel $</t>
        </is>
      </c>
      <c r="E4" s="12" t="inlineStr">
        <is>
          <t>Hotel $</t>
        </is>
      </c>
      <c r="F4" s="12" t="inlineStr">
        <is>
          <t>Parking</t>
        </is>
      </c>
      <c r="G4" s="12" t="inlineStr">
        <is>
          <t>Tolls</t>
        </is>
      </c>
      <c r="H4" s="12" t="inlineStr">
        <is>
          <t>Total</t>
        </is>
      </c>
    </row>
    <row r="5">
      <c r="A5" s="13" t="n">
        <v>46181</v>
      </c>
      <c r="B5" s="14" t="inlineStr">
        <is>
          <t>Riverside Park (home)</t>
        </is>
      </c>
      <c r="C5" s="34" t="n">
        <v>12</v>
      </c>
      <c r="D5" s="35">
        <f>IF(C5="","",C5*FuelPerMile)</f>
        <v/>
      </c>
      <c r="E5" s="35" t="n">
        <v>0</v>
      </c>
      <c r="F5" s="35" t="n">
        <v>0</v>
      </c>
      <c r="G5" s="35" t="n">
        <v>0</v>
      </c>
      <c r="H5" s="35">
        <f>IF(C5="","",D5+IFERROR(E5,0)+IFERROR(F5,0)+IFERROR(G5,0))</f>
        <v/>
      </c>
    </row>
    <row r="6">
      <c r="A6" s="17" t="n">
        <v>46188</v>
      </c>
      <c r="B6" s="18" t="inlineStr">
        <is>
          <t>Lincoln Complex</t>
        </is>
      </c>
      <c r="C6" s="36" t="n">
        <v>45</v>
      </c>
      <c r="D6" s="28">
        <f>IF(C6="","",C6*FuelPerMile)</f>
        <v/>
      </c>
      <c r="E6" s="28" t="n">
        <v>0</v>
      </c>
      <c r="F6" s="28" t="n">
        <v>8</v>
      </c>
      <c r="G6" s="28" t="n">
        <v>3</v>
      </c>
      <c r="H6" s="28">
        <f>IF(C6="","",D6+IFERROR(E6,0)+IFERROR(F6,0)+IFERROR(G6,0))</f>
        <v/>
      </c>
    </row>
    <row r="7">
      <c r="A7" s="13" t="n">
        <v>46195</v>
      </c>
      <c r="B7" s="14" t="inlineStr">
        <is>
          <t>Eastside Sports Ctr</t>
        </is>
      </c>
      <c r="C7" s="34" t="n">
        <v>38</v>
      </c>
      <c r="D7" s="35">
        <f>IF(C7="","",C7*FuelPerMile)</f>
        <v/>
      </c>
      <c r="E7" s="35" t="n">
        <v>0</v>
      </c>
      <c r="F7" s="35" t="n">
        <v>5</v>
      </c>
      <c r="G7" s="35" t="n">
        <v>2</v>
      </c>
      <c r="H7" s="35">
        <f>IF(C7="","",D7+IFERROR(E7,0)+IFERROR(F7,0)+IFERROR(G7,0))</f>
        <v/>
      </c>
    </row>
    <row r="8">
      <c r="A8" s="17" t="n">
        <v>46199</v>
      </c>
      <c r="B8" s="18" t="inlineStr">
        <is>
          <t>Memorial Field</t>
        </is>
      </c>
      <c r="C8" s="36" t="n">
        <v>22</v>
      </c>
      <c r="D8" s="28">
        <f>IF(C8="","",C8*FuelPerMile)</f>
        <v/>
      </c>
      <c r="E8" s="28" t="n">
        <v>0</v>
      </c>
      <c r="F8" s="28" t="n">
        <v>0</v>
      </c>
      <c r="G8" s="28" t="n">
        <v>0</v>
      </c>
      <c r="H8" s="28">
        <f>IF(C8="","",D8+IFERROR(E8,0)+IFERROR(F8,0)+IFERROR(G8,0))</f>
        <v/>
      </c>
    </row>
    <row r="9">
      <c r="A9" s="13" t="n">
        <v>46204</v>
      </c>
      <c r="B9" s="14" t="inlineStr">
        <is>
          <t>Northside Park</t>
        </is>
      </c>
      <c r="C9" s="34" t="n">
        <v>52</v>
      </c>
      <c r="D9" s="35">
        <f>IF(C9="","",C9*FuelPerMile)</f>
        <v/>
      </c>
      <c r="E9" s="35" t="n">
        <v>0</v>
      </c>
      <c r="F9" s="35" t="n">
        <v>10</v>
      </c>
      <c r="G9" s="35" t="n">
        <v>0</v>
      </c>
      <c r="H9" s="35">
        <f>IF(C9="","",D9+IFERROR(E9,0)+IFERROR(F9,0)+IFERROR(G9,0))</f>
        <v/>
      </c>
    </row>
    <row r="10">
      <c r="A10" s="17" t="n">
        <v>46211</v>
      </c>
      <c r="B10" s="18" t="inlineStr">
        <is>
          <t>Riverside Park (home)</t>
        </is>
      </c>
      <c r="C10" s="36" t="n">
        <v>12</v>
      </c>
      <c r="D10" s="28">
        <f>IF(C10="","",C10*FuelPerMile)</f>
        <v/>
      </c>
      <c r="E10" s="28" t="n">
        <v>0</v>
      </c>
      <c r="F10" s="28" t="n">
        <v>0</v>
      </c>
      <c r="G10" s="28" t="n">
        <v>0</v>
      </c>
      <c r="H10" s="28">
        <f>IF(C10="","",D10+IFERROR(E10,0)+IFERROR(F10,0)+IFERROR(G10,0))</f>
        <v/>
      </c>
    </row>
    <row r="11">
      <c r="A11" s="13" t="n">
        <v>46214</v>
      </c>
      <c r="B11" s="14" t="inlineStr">
        <is>
          <t>City Cup — Lincoln</t>
        </is>
      </c>
      <c r="C11" s="34" t="n">
        <v>45</v>
      </c>
      <c r="D11" s="35">
        <f>IF(C11="","",C11*FuelPerMile)</f>
        <v/>
      </c>
      <c r="E11" s="35" t="n">
        <v>220</v>
      </c>
      <c r="F11" s="35" t="n">
        <v>18</v>
      </c>
      <c r="G11" s="35" t="n">
        <v>8</v>
      </c>
      <c r="H11" s="35">
        <f>IF(C11="","",D11+IFERROR(E11,0)+IFERROR(F11,0)+IFERROR(G11,0))</f>
        <v/>
      </c>
    </row>
    <row r="12">
      <c r="A12" s="17" t="n">
        <v>46218</v>
      </c>
      <c r="B12" s="18" t="inlineStr">
        <is>
          <t>City Cup — Lincoln</t>
        </is>
      </c>
      <c r="C12" s="36" t="n">
        <v>45</v>
      </c>
      <c r="D12" s="28">
        <f>IF(C12="","",C12*FuelPerMile)</f>
        <v/>
      </c>
      <c r="E12" s="28" t="n">
        <v>220</v>
      </c>
      <c r="F12" s="28" t="n">
        <v>18</v>
      </c>
      <c r="G12" s="28" t="n">
        <v>8</v>
      </c>
      <c r="H12" s="28">
        <f>IF(C12="","",D12+IFERROR(E12,0)+IFERROR(F12,0)+IFERROR(G12,0))</f>
        <v/>
      </c>
    </row>
    <row r="13">
      <c r="A13" s="13" t="n">
        <v>46236</v>
      </c>
      <c r="B13" s="14" t="inlineStr">
        <is>
          <t>Riverbend Sports</t>
        </is>
      </c>
      <c r="C13" s="34" t="n">
        <v>145</v>
      </c>
      <c r="D13" s="35">
        <f>IF(C13="","",C13*FuelPerMile)</f>
        <v/>
      </c>
      <c r="E13" s="35" t="n">
        <v>280</v>
      </c>
      <c r="F13" s="35" t="n">
        <v>25</v>
      </c>
      <c r="G13" s="35" t="n">
        <v>14</v>
      </c>
      <c r="H13" s="35">
        <f>IF(C13="","",D13+IFERROR(E13,0)+IFERROR(F13,0)+IFERROR(G13,0))</f>
        <v/>
      </c>
    </row>
    <row r="14">
      <c r="A14" s="17" t="n">
        <v>46262</v>
      </c>
      <c r="B14" s="18" t="inlineStr">
        <is>
          <t>Capitol Fields</t>
        </is>
      </c>
      <c r="C14" s="36" t="n">
        <v>210</v>
      </c>
      <c r="D14" s="28">
        <f>IF(C14="","",C14*FuelPerMile)</f>
        <v/>
      </c>
      <c r="E14" s="28" t="n">
        <v>340</v>
      </c>
      <c r="F14" s="28" t="n">
        <v>30</v>
      </c>
      <c r="G14" s="28" t="n">
        <v>18</v>
      </c>
      <c r="H14" s="28">
        <f>IF(C14="","",D14+IFERROR(E14,0)+IFERROR(F14,0)+IFERROR(G14,0))</f>
        <v/>
      </c>
    </row>
    <row r="15">
      <c r="A15" s="13" t="n"/>
      <c r="B15" s="14" t="n"/>
      <c r="C15" s="34" t="n"/>
      <c r="D15" s="35">
        <f>IF(C15="","",C15*FuelPerMile)</f>
        <v/>
      </c>
      <c r="E15" s="35" t="n"/>
      <c r="F15" s="35" t="n"/>
      <c r="G15" s="35" t="n"/>
      <c r="H15" s="35">
        <f>IF(C15="","",D15+IFERROR(E15,0)+IFERROR(F15,0)+IFERROR(G15,0))</f>
        <v/>
      </c>
    </row>
    <row r="16">
      <c r="A16" s="17" t="n"/>
      <c r="B16" s="18" t="n"/>
      <c r="C16" s="36" t="n"/>
      <c r="D16" s="28">
        <f>IF(C16="","",C16*FuelPerMile)</f>
        <v/>
      </c>
      <c r="E16" s="28" t="n"/>
      <c r="F16" s="28" t="n"/>
      <c r="G16" s="28" t="n"/>
      <c r="H16" s="28">
        <f>IF(C16="","",D16+IFERROR(E16,0)+IFERROR(F16,0)+IFERROR(G16,0))</f>
        <v/>
      </c>
    </row>
    <row r="17">
      <c r="A17" s="13" t="n"/>
      <c r="B17" s="14" t="n"/>
      <c r="C17" s="34" t="n"/>
      <c r="D17" s="35">
        <f>IF(C17="","",C17*FuelPerMile)</f>
        <v/>
      </c>
      <c r="E17" s="35" t="n"/>
      <c r="F17" s="35" t="n"/>
      <c r="G17" s="35" t="n"/>
      <c r="H17" s="35">
        <f>IF(C17="","",D17+IFERROR(E17,0)+IFERROR(F17,0)+IFERROR(G17,0))</f>
        <v/>
      </c>
    </row>
    <row r="18">
      <c r="A18" s="17" t="n"/>
      <c r="B18" s="18" t="n"/>
      <c r="C18" s="36" t="n"/>
      <c r="D18" s="28">
        <f>IF(C18="","",C18*FuelPerMile)</f>
        <v/>
      </c>
      <c r="E18" s="28" t="n"/>
      <c r="F18" s="28" t="n"/>
      <c r="G18" s="28" t="n"/>
      <c r="H18" s="28">
        <f>IF(C18="","",D18+IFERROR(E18,0)+IFERROR(F18,0)+IFERROR(G18,0))</f>
        <v/>
      </c>
    </row>
    <row r="19">
      <c r="A19" s="13" t="n"/>
      <c r="B19" s="14" t="n"/>
      <c r="C19" s="34" t="n"/>
      <c r="D19" s="35">
        <f>IF(C19="","",C19*FuelPerMile)</f>
        <v/>
      </c>
      <c r="E19" s="35" t="n"/>
      <c r="F19" s="35" t="n"/>
      <c r="G19" s="35" t="n"/>
      <c r="H19" s="35">
        <f>IF(C19="","",D19+IFERROR(E19,0)+IFERROR(F19,0)+IFERROR(G19,0))</f>
        <v/>
      </c>
    </row>
    <row r="20">
      <c r="A20" s="17" t="n"/>
      <c r="B20" s="18" t="n"/>
      <c r="C20" s="36" t="n"/>
      <c r="D20" s="28">
        <f>IF(C20="","",C20*FuelPerMile)</f>
        <v/>
      </c>
      <c r="E20" s="28" t="n"/>
      <c r="F20" s="28" t="n"/>
      <c r="G20" s="28" t="n"/>
      <c r="H20" s="28">
        <f>IF(C20="","",D20+IFERROR(E20,0)+IFERROR(F20,0)+IFERROR(G20,0))</f>
        <v/>
      </c>
    </row>
    <row r="21">
      <c r="A21" s="13" t="n"/>
      <c r="B21" s="14" t="n"/>
      <c r="C21" s="34" t="n"/>
      <c r="D21" s="35">
        <f>IF(C21="","",C21*FuelPerMile)</f>
        <v/>
      </c>
      <c r="E21" s="35" t="n"/>
      <c r="F21" s="35" t="n"/>
      <c r="G21" s="35" t="n"/>
      <c r="H21" s="35">
        <f>IF(C21="","",D21+IFERROR(E21,0)+IFERROR(F21,0)+IFERROR(G21,0))</f>
        <v/>
      </c>
    </row>
    <row r="22">
      <c r="A22" s="17" t="n"/>
      <c r="B22" s="18" t="n"/>
      <c r="C22" s="36" t="n"/>
      <c r="D22" s="28">
        <f>IF(C22="","",C22*FuelPerMile)</f>
        <v/>
      </c>
      <c r="E22" s="28" t="n"/>
      <c r="F22" s="28" t="n"/>
      <c r="G22" s="28" t="n"/>
      <c r="H22" s="28">
        <f>IF(C22="","",D22+IFERROR(E22,0)+IFERROR(F22,0)+IFERROR(G22,0))</f>
        <v/>
      </c>
    </row>
    <row r="23">
      <c r="A23" s="13" t="n"/>
      <c r="B23" s="14" t="n"/>
      <c r="C23" s="34" t="n"/>
      <c r="D23" s="35">
        <f>IF(C23="","",C23*FuelPerMile)</f>
        <v/>
      </c>
      <c r="E23" s="35" t="n"/>
      <c r="F23" s="35" t="n"/>
      <c r="G23" s="35" t="n"/>
      <c r="H23" s="35">
        <f>IF(C23="","",D23+IFERROR(E23,0)+IFERROR(F23,0)+IFERROR(G23,0))</f>
        <v/>
      </c>
    </row>
    <row r="24">
      <c r="A24" s="17" t="n"/>
      <c r="B24" s="18" t="n"/>
      <c r="C24" s="36" t="n"/>
      <c r="D24" s="28">
        <f>IF(C24="","",C24*FuelPerMile)</f>
        <v/>
      </c>
      <c r="E24" s="28" t="n"/>
      <c r="F24" s="28" t="n"/>
      <c r="G24" s="28" t="n"/>
      <c r="H24" s="28">
        <f>IF(C24="","",D24+IFERROR(E24,0)+IFERROR(F24,0)+IFERROR(G24,0))</f>
        <v/>
      </c>
    </row>
    <row r="25">
      <c r="A25" s="13" t="n"/>
      <c r="B25" s="14" t="n"/>
      <c r="C25" s="34" t="n"/>
      <c r="D25" s="35">
        <f>IF(C25="","",C25*FuelPerMile)</f>
        <v/>
      </c>
      <c r="E25" s="35" t="n"/>
      <c r="F25" s="35" t="n"/>
      <c r="G25" s="35" t="n"/>
      <c r="H25" s="35">
        <f>IF(C25="","",D25+IFERROR(E25,0)+IFERROR(F25,0)+IFERROR(G25,0))</f>
        <v/>
      </c>
    </row>
    <row r="26">
      <c r="A26" s="17" t="n"/>
      <c r="B26" s="18" t="n"/>
      <c r="C26" s="36" t="n"/>
      <c r="D26" s="28">
        <f>IF(C26="","",C26*FuelPerMile)</f>
        <v/>
      </c>
      <c r="E26" s="28" t="n"/>
      <c r="F26" s="28" t="n"/>
      <c r="G26" s="28" t="n"/>
      <c r="H26" s="28">
        <f>IF(C26="","",D26+IFERROR(E26,0)+IFERROR(F26,0)+IFERROR(G26,0))</f>
        <v/>
      </c>
    </row>
    <row r="27">
      <c r="A27" s="13" t="n"/>
      <c r="B27" s="14" t="n"/>
      <c r="C27" s="34" t="n"/>
      <c r="D27" s="35">
        <f>IF(C27="","",C27*FuelPerMile)</f>
        <v/>
      </c>
      <c r="E27" s="35" t="n"/>
      <c r="F27" s="35" t="n"/>
      <c r="G27" s="35" t="n"/>
      <c r="H27" s="35">
        <f>IF(C27="","",D27+IFERROR(E27,0)+IFERROR(F27,0)+IFERROR(G27,0))</f>
        <v/>
      </c>
    </row>
    <row r="28">
      <c r="A28" s="17" t="n"/>
      <c r="B28" s="18" t="n"/>
      <c r="C28" s="36" t="n"/>
      <c r="D28" s="28">
        <f>IF(C28="","",C28*FuelPerMile)</f>
        <v/>
      </c>
      <c r="E28" s="28" t="n"/>
      <c r="F28" s="28" t="n"/>
      <c r="G28" s="28" t="n"/>
      <c r="H28" s="28">
        <f>IF(C28="","",D28+IFERROR(E28,0)+IFERROR(F28,0)+IFERROR(G28,0))</f>
        <v/>
      </c>
    </row>
    <row r="29">
      <c r="A29" s="13" t="n"/>
      <c r="B29" s="14" t="n"/>
      <c r="C29" s="34" t="n"/>
      <c r="D29" s="35">
        <f>IF(C29="","",C29*FuelPerMile)</f>
        <v/>
      </c>
      <c r="E29" s="35" t="n"/>
      <c r="F29" s="35" t="n"/>
      <c r="G29" s="35" t="n"/>
      <c r="H29" s="35">
        <f>IF(C29="","",D29+IFERROR(E29,0)+IFERROR(F29,0)+IFERROR(G29,0))</f>
        <v/>
      </c>
    </row>
    <row r="30">
      <c r="A30" s="17" t="n"/>
      <c r="B30" s="18" t="n"/>
      <c r="C30" s="36" t="n"/>
      <c r="D30" s="28">
        <f>IF(C30="","",C30*FuelPerMile)</f>
        <v/>
      </c>
      <c r="E30" s="28" t="n"/>
      <c r="F30" s="28" t="n"/>
      <c r="G30" s="28" t="n"/>
      <c r="H30" s="28">
        <f>IF(C30="","",D30+IFERROR(E30,0)+IFERROR(F30,0)+IFERROR(G30,0))</f>
        <v/>
      </c>
    </row>
    <row r="31">
      <c r="A31" s="13" t="n"/>
      <c r="B31" s="14" t="n"/>
      <c r="C31" s="34" t="n"/>
      <c r="D31" s="35">
        <f>IF(C31="","",C31*FuelPerMile)</f>
        <v/>
      </c>
      <c r="E31" s="35" t="n"/>
      <c r="F31" s="35" t="n"/>
      <c r="G31" s="35" t="n"/>
      <c r="H31" s="35">
        <f>IF(C31="","",D31+IFERROR(E31,0)+IFERROR(F31,0)+IFERROR(G31,0))</f>
        <v/>
      </c>
    </row>
    <row r="32">
      <c r="A32" s="17" t="n"/>
      <c r="B32" s="18" t="n"/>
      <c r="C32" s="36" t="n"/>
      <c r="D32" s="28">
        <f>IF(C32="","",C32*FuelPerMile)</f>
        <v/>
      </c>
      <c r="E32" s="28" t="n"/>
      <c r="F32" s="28" t="n"/>
      <c r="G32" s="28" t="n"/>
      <c r="H32" s="28">
        <f>IF(C32="","",D32+IFERROR(E32,0)+IFERROR(F32,0)+IFERROR(G32,0))</f>
        <v/>
      </c>
    </row>
    <row r="33">
      <c r="A33" s="13" t="n"/>
      <c r="B33" s="14" t="n"/>
      <c r="C33" s="34" t="n"/>
      <c r="D33" s="35">
        <f>IF(C33="","",C33*FuelPerMile)</f>
        <v/>
      </c>
      <c r="E33" s="35" t="n"/>
      <c r="F33" s="35" t="n"/>
      <c r="G33" s="35" t="n"/>
      <c r="H33" s="35">
        <f>IF(C33="","",D33+IFERROR(E33,0)+IFERROR(F33,0)+IFERROR(G33,0))</f>
        <v/>
      </c>
    </row>
    <row r="34">
      <c r="A34" s="17" t="n"/>
      <c r="B34" s="18" t="n"/>
      <c r="C34" s="36" t="n"/>
      <c r="D34" s="28">
        <f>IF(C34="","",C34*FuelPerMile)</f>
        <v/>
      </c>
      <c r="E34" s="28" t="n"/>
      <c r="F34" s="28" t="n"/>
      <c r="G34" s="28" t="n"/>
      <c r="H34" s="28">
        <f>IF(C34="","",D34+IFERROR(E34,0)+IFERROR(F34,0)+IFERROR(G34,0))</f>
        <v/>
      </c>
    </row>
    <row r="35">
      <c r="A35" s="13" t="n"/>
      <c r="B35" s="14" t="n"/>
      <c r="C35" s="34" t="n"/>
      <c r="D35" s="35">
        <f>IF(C35="","",C35*FuelPerMile)</f>
        <v/>
      </c>
      <c r="E35" s="35" t="n"/>
      <c r="F35" s="35" t="n"/>
      <c r="G35" s="35" t="n"/>
      <c r="H35" s="35">
        <f>IF(C35="","",D35+IFERROR(E35,0)+IFERROR(F35,0)+IFERROR(G35,0))</f>
        <v/>
      </c>
    </row>
    <row r="36">
      <c r="A36" s="17" t="n"/>
      <c r="B36" s="18" t="n"/>
      <c r="C36" s="36" t="n"/>
      <c r="D36" s="28">
        <f>IF(C36="","",C36*FuelPerMile)</f>
        <v/>
      </c>
      <c r="E36" s="28" t="n"/>
      <c r="F36" s="28" t="n"/>
      <c r="G36" s="28" t="n"/>
      <c r="H36" s="28">
        <f>IF(C36="","",D36+IFERROR(E36,0)+IFERROR(F36,0)+IFERROR(G36,0))</f>
        <v/>
      </c>
    </row>
    <row r="37">
      <c r="A37" s="13" t="n"/>
      <c r="B37" s="14" t="n"/>
      <c r="C37" s="34" t="n"/>
      <c r="D37" s="35">
        <f>IF(C37="","",C37*FuelPerMile)</f>
        <v/>
      </c>
      <c r="E37" s="35" t="n"/>
      <c r="F37" s="35" t="n"/>
      <c r="G37" s="35" t="n"/>
      <c r="H37" s="35">
        <f>IF(C37="","",D37+IFERROR(E37,0)+IFERROR(F37,0)+IFERROR(G37,0))</f>
        <v/>
      </c>
    </row>
    <row r="38">
      <c r="A38" s="17" t="n"/>
      <c r="B38" s="18" t="n"/>
      <c r="C38" s="36" t="n"/>
      <c r="D38" s="28">
        <f>IF(C38="","",C38*FuelPerMile)</f>
        <v/>
      </c>
      <c r="E38" s="28" t="n"/>
      <c r="F38" s="28" t="n"/>
      <c r="G38" s="28" t="n"/>
      <c r="H38" s="28">
        <f>IF(C38="","",D38+IFERROR(E38,0)+IFERROR(F38,0)+IFERROR(G38,0))</f>
        <v/>
      </c>
    </row>
    <row r="39">
      <c r="A39" s="13" t="n"/>
      <c r="B39" s="14" t="n"/>
      <c r="C39" s="34" t="n"/>
      <c r="D39" s="35">
        <f>IF(C39="","",C39*FuelPerMile)</f>
        <v/>
      </c>
      <c r="E39" s="35" t="n"/>
      <c r="F39" s="35" t="n"/>
      <c r="G39" s="35" t="n"/>
      <c r="H39" s="35">
        <f>IF(C39="","",D39+IFERROR(E39,0)+IFERROR(F39,0)+IFERROR(G39,0))</f>
        <v/>
      </c>
    </row>
    <row r="40">
      <c r="A40" s="17" t="n"/>
      <c r="B40" s="18" t="n"/>
      <c r="C40" s="36" t="n"/>
      <c r="D40" s="28">
        <f>IF(C40="","",C40*FuelPerMile)</f>
        <v/>
      </c>
      <c r="E40" s="28" t="n"/>
      <c r="F40" s="28" t="n"/>
      <c r="G40" s="28" t="n"/>
      <c r="H40" s="28">
        <f>IF(C40="","",D40+IFERROR(E40,0)+IFERROR(F40,0)+IFERROR(G40,0))</f>
        <v/>
      </c>
    </row>
    <row r="41">
      <c r="A41" s="13" t="n"/>
      <c r="B41" s="14" t="n"/>
      <c r="C41" s="34" t="n"/>
      <c r="D41" s="35">
        <f>IF(C41="","",C41*FuelPerMile)</f>
        <v/>
      </c>
      <c r="E41" s="35" t="n"/>
      <c r="F41" s="35" t="n"/>
      <c r="G41" s="35" t="n"/>
      <c r="H41" s="35">
        <f>IF(C41="","",D41+IFERROR(E41,0)+IFERROR(F41,0)+IFERROR(G41,0))</f>
        <v/>
      </c>
    </row>
    <row r="42">
      <c r="A42" s="17" t="n"/>
      <c r="B42" s="18" t="n"/>
      <c r="C42" s="36" t="n"/>
      <c r="D42" s="28">
        <f>IF(C42="","",C42*FuelPerMile)</f>
        <v/>
      </c>
      <c r="E42" s="28" t="n"/>
      <c r="F42" s="28" t="n"/>
      <c r="G42" s="28" t="n"/>
      <c r="H42" s="28">
        <f>IF(C42="","",D42+IFERROR(E42,0)+IFERROR(F42,0)+IFERROR(G42,0))</f>
        <v/>
      </c>
    </row>
    <row r="43">
      <c r="A43" s="13" t="n"/>
      <c r="B43" s="14" t="n"/>
      <c r="C43" s="34" t="n"/>
      <c r="D43" s="35">
        <f>IF(C43="","",C43*FuelPerMile)</f>
        <v/>
      </c>
      <c r="E43" s="35" t="n"/>
      <c r="F43" s="35" t="n"/>
      <c r="G43" s="35" t="n"/>
      <c r="H43" s="35">
        <f>IF(C43="","",D43+IFERROR(E43,0)+IFERROR(F43,0)+IFERROR(G43,0))</f>
        <v/>
      </c>
    </row>
    <row r="44">
      <c r="A44" s="17" t="n"/>
      <c r="B44" s="18" t="n"/>
      <c r="C44" s="36" t="n"/>
      <c r="D44" s="28">
        <f>IF(C44="","",C44*FuelPerMile)</f>
        <v/>
      </c>
      <c r="E44" s="28" t="n"/>
      <c r="F44" s="28" t="n"/>
      <c r="G44" s="28" t="n"/>
      <c r="H44" s="28">
        <f>IF(C44="","",D44+IFERROR(E44,0)+IFERROR(F44,0)+IFERROR(G44,0))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B4F48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18" customWidth="1" min="4" max="4"/>
    <col width="16" customWidth="1" min="5" max="5"/>
  </cols>
  <sheetData>
    <row r="1" ht="44" customHeight="1">
      <c r="A1" s="1" t="inlineStr">
        <is>
          <t xml:space="preserve">  💬  TEAM COMMUNICATION</t>
        </is>
      </c>
    </row>
    <row r="2" ht="22" customHeight="1">
      <c r="A2" s="2" t="inlineStr">
        <is>
          <t xml:space="preserve">  Coach messages · events · volunteers · fundraisers · tasks.</t>
        </is>
      </c>
    </row>
    <row r="4" ht="22" customHeight="1">
      <c r="A4" s="8" t="inlineStr">
        <is>
          <t>COACH MESSAGES</t>
        </is>
      </c>
    </row>
    <row r="5" ht="26" customHeight="1">
      <c r="A5" s="12" t="inlineStr">
        <is>
          <t>Date</t>
        </is>
      </c>
      <c r="B5" s="12" t="inlineStr">
        <is>
          <t>From</t>
        </is>
      </c>
      <c r="C5" s="12" t="inlineStr">
        <is>
          <t>Message</t>
        </is>
      </c>
      <c r="D5" s="12" t="inlineStr">
        <is>
          <t>Channel</t>
        </is>
      </c>
      <c r="E5" s="12" t="inlineStr">
        <is>
          <t>Status</t>
        </is>
      </c>
    </row>
    <row r="6" ht="22" customHeight="1">
      <c r="A6" s="13" t="n">
        <v>46248</v>
      </c>
      <c r="B6" s="14" t="inlineStr">
        <is>
          <t>Coach Daniels</t>
        </is>
      </c>
      <c r="C6" s="14" t="inlineStr">
        <is>
          <t>Welcome message + season expectations. Reply with confirm.</t>
        </is>
      </c>
      <c r="D6" s="15" t="inlineStr">
        <is>
          <t>Email</t>
        </is>
      </c>
      <c r="E6" s="15" t="inlineStr">
        <is>
          <t>Acknowledged</t>
        </is>
      </c>
    </row>
    <row r="7" ht="22" customHeight="1">
      <c r="A7" s="17" t="n">
        <v>46254</v>
      </c>
      <c r="B7" s="18" t="inlineStr">
        <is>
          <t>Coach Daniels</t>
        </is>
      </c>
      <c r="C7" s="18" t="inlineStr">
        <is>
          <t>Bring shin guards + water to every practice. Practice 5:30pm sharp.</t>
        </is>
      </c>
      <c r="D7" s="19" t="inlineStr">
        <is>
          <t>WhatsApp</t>
        </is>
      </c>
      <c r="E7" s="19" t="inlineStr">
        <is>
          <t>Read</t>
        </is>
      </c>
    </row>
    <row r="8" ht="22" customHeight="1">
      <c r="A8" s="13" t="n">
        <v>46266</v>
      </c>
      <c r="B8" s="14" t="inlineStr">
        <is>
          <t>Coach Daniels</t>
        </is>
      </c>
      <c r="C8" s="14" t="inlineStr">
        <is>
          <t>Game schedule attached. Print and put on fridge.</t>
        </is>
      </c>
      <c r="D8" s="15" t="inlineStr">
        <is>
          <t>Email + PDF</t>
        </is>
      </c>
      <c r="E8" s="15" t="inlineStr">
        <is>
          <t>Saved</t>
        </is>
      </c>
    </row>
    <row r="10" ht="22" customHeight="1">
      <c r="A10" s="8" t="inlineStr">
        <is>
          <t>TEAM EVENTS</t>
        </is>
      </c>
    </row>
    <row r="11" ht="26" customHeight="1">
      <c r="A11" s="12" t="inlineStr">
        <is>
          <t>Date</t>
        </is>
      </c>
      <c r="B11" s="12" t="inlineStr">
        <is>
          <t>Event</t>
        </is>
      </c>
      <c r="C11" s="12" t="inlineStr">
        <is>
          <t>Detail</t>
        </is>
      </c>
      <c r="D11" s="12" t="inlineStr">
        <is>
          <t>Type</t>
        </is>
      </c>
      <c r="E11" s="12" t="inlineStr">
        <is>
          <t>Status</t>
        </is>
      </c>
    </row>
    <row r="12" ht="22" customHeight="1">
      <c r="A12" s="13" t="n">
        <v>46261</v>
      </c>
      <c r="B12" s="14" t="inlineStr">
        <is>
          <t>Team Picture Day</t>
        </is>
      </c>
      <c r="C12" s="14" t="inlineStr">
        <is>
          <t>Wear home jersey. Arrive 9:00am Riverside Park.</t>
        </is>
      </c>
      <c r="D12" s="15" t="inlineStr">
        <is>
          <t>Required</t>
        </is>
      </c>
      <c r="E12" s="15" t="inlineStr">
        <is>
          <t>Confirmed</t>
        </is>
      </c>
    </row>
    <row r="13" ht="22" customHeight="1">
      <c r="A13" s="17" t="n">
        <v>46279</v>
      </c>
      <c r="B13" s="18" t="inlineStr">
        <is>
          <t>Team BBQ at the field</t>
        </is>
      </c>
      <c r="C13" s="18" t="inlineStr">
        <is>
          <t>$10/family. Bring side dish.</t>
        </is>
      </c>
      <c r="D13" s="19" t="inlineStr">
        <is>
          <t>Optional</t>
        </is>
      </c>
      <c r="E13" s="19" t="inlineStr">
        <is>
          <t>RSVP'd</t>
        </is>
      </c>
    </row>
    <row r="14" ht="22" customHeight="1">
      <c r="A14" s="13" t="n">
        <v>46313</v>
      </c>
      <c r="B14" s="14" t="inlineStr">
        <is>
          <t>Pumpkin Patch fundraiser</t>
        </is>
      </c>
      <c r="C14" s="14" t="inlineStr">
        <is>
          <t>Volunteer parking lot helpers needed.</t>
        </is>
      </c>
      <c r="D14" s="15" t="inlineStr">
        <is>
          <t>Volunteer</t>
        </is>
      </c>
      <c r="E14" s="15" t="inlineStr">
        <is>
          <t>Pending</t>
        </is>
      </c>
    </row>
    <row r="16" ht="22" customHeight="1">
      <c r="A16" s="8" t="inlineStr">
        <is>
          <t>PARENT VOLUNTEER ROSTER</t>
        </is>
      </c>
    </row>
    <row r="17" ht="26" customHeight="1">
      <c r="A17" s="12" t="inlineStr">
        <is>
          <t>Task</t>
        </is>
      </c>
      <c r="B17" s="12" t="inlineStr">
        <is>
          <t>When</t>
        </is>
      </c>
      <c r="C17" s="12" t="inlineStr">
        <is>
          <t>Owner(s)</t>
        </is>
      </c>
      <c r="D17" s="12" t="inlineStr">
        <is>
          <t>Role</t>
        </is>
      </c>
      <c r="E17" s="12" t="inlineStr">
        <is>
          <t>Status</t>
        </is>
      </c>
    </row>
    <row r="18" ht="22" customHeight="1">
      <c r="A18" s="15" t="inlineStr">
        <is>
          <t>Concession stand</t>
        </is>
      </c>
      <c r="B18" s="14" t="inlineStr">
        <is>
          <t>Sat 9/12</t>
        </is>
      </c>
      <c r="C18" s="14" t="inlineStr">
        <is>
          <t>Sarah R. + James C.</t>
        </is>
      </c>
      <c r="D18" s="15" t="inlineStr">
        <is>
          <t>Lead</t>
        </is>
      </c>
      <c r="E18" s="15" t="inlineStr">
        <is>
          <t>Confirmed</t>
        </is>
      </c>
    </row>
    <row r="19" ht="22" customHeight="1">
      <c r="A19" s="19" t="inlineStr">
        <is>
          <t>Field setup</t>
        </is>
      </c>
      <c r="B19" s="18" t="inlineStr">
        <is>
          <t>Sun 9/13</t>
        </is>
      </c>
      <c r="C19" s="18" t="inlineStr">
        <is>
          <t>Marcus B.</t>
        </is>
      </c>
      <c r="D19" s="19" t="inlineStr">
        <is>
          <t>Setup</t>
        </is>
      </c>
      <c r="E19" s="19" t="inlineStr">
        <is>
          <t>Confirmed</t>
        </is>
      </c>
    </row>
    <row r="20" ht="22" customHeight="1">
      <c r="A20" s="15" t="inlineStr">
        <is>
          <t>Snack lead</t>
        </is>
      </c>
      <c r="B20" s="14" t="inlineStr">
        <is>
          <t>Sat 9/19</t>
        </is>
      </c>
      <c r="C20" s="14" t="inlineStr">
        <is>
          <t>Priya M.</t>
        </is>
      </c>
      <c r="D20" s="15" t="inlineStr">
        <is>
          <t>Lead</t>
        </is>
      </c>
      <c r="E20" s="15" t="inlineStr">
        <is>
          <t>Confirmed</t>
        </is>
      </c>
    </row>
    <row r="21" ht="22" customHeight="1">
      <c r="A21" s="19" t="inlineStr">
        <is>
          <t>Photo coordinator</t>
        </is>
      </c>
      <c r="B21" s="18" t="inlineStr">
        <is>
          <t>Aug 27</t>
        </is>
      </c>
      <c r="C21" s="18" t="inlineStr">
        <is>
          <t>Aisha P.</t>
        </is>
      </c>
      <c r="D21" s="19" t="inlineStr">
        <is>
          <t>Lead</t>
        </is>
      </c>
      <c r="E21" s="19" t="inlineStr">
        <is>
          <t>Confirmed</t>
        </is>
      </c>
    </row>
    <row r="23" ht="22" customHeight="1">
      <c r="A23" s="8" t="inlineStr">
        <is>
          <t>FUNDRAISERS</t>
        </is>
      </c>
    </row>
    <row r="24" ht="26" customHeight="1">
      <c r="A24" s="12" t="inlineStr">
        <is>
          <t>Activity</t>
        </is>
      </c>
      <c r="B24" s="12" t="inlineStr">
        <is>
          <t>When</t>
        </is>
      </c>
      <c r="C24" s="12" t="inlineStr">
        <is>
          <t>Goal</t>
        </is>
      </c>
      <c r="D24" s="12" t="inlineStr">
        <is>
          <t>Detail</t>
        </is>
      </c>
      <c r="E24" s="12" t="inlineStr">
        <is>
          <t>Status</t>
        </is>
      </c>
    </row>
    <row r="25" ht="22" customHeight="1">
      <c r="A25" s="15" t="inlineStr">
        <is>
          <t>Pumpkin Patch</t>
        </is>
      </c>
      <c r="B25" s="14" t="inlineStr">
        <is>
          <t>Oct 18</t>
        </is>
      </c>
      <c r="C25" s="14" t="inlineStr">
        <is>
          <t>Goal $3,500</t>
        </is>
      </c>
      <c r="D25" s="15" t="inlineStr">
        <is>
          <t>Per-family $200</t>
        </is>
      </c>
      <c r="E25" s="15" t="inlineStr">
        <is>
          <t>In progress</t>
        </is>
      </c>
    </row>
    <row r="26" ht="22" customHeight="1">
      <c r="A26" s="19" t="inlineStr">
        <is>
          <t>Spirit wear sale</t>
        </is>
      </c>
      <c r="B26" s="18" t="inlineStr">
        <is>
          <t>Sep 1–15</t>
        </is>
      </c>
      <c r="C26" s="18" t="inlineStr">
        <is>
          <t>Goal $1,800</t>
        </is>
      </c>
      <c r="D26" s="19" t="inlineStr">
        <is>
          <t>Margin 40%</t>
        </is>
      </c>
      <c r="E26" s="19" t="inlineStr">
        <is>
          <t>Open</t>
        </is>
      </c>
    </row>
    <row r="27" ht="22" customHeight="1">
      <c r="A27" s="15" t="inlineStr">
        <is>
          <t>Restaurant night</t>
        </is>
      </c>
      <c r="B27" s="14" t="inlineStr">
        <is>
          <t>Sep 22</t>
        </is>
      </c>
      <c r="C27" s="14" t="inlineStr">
        <is>
          <t>Goal $600</t>
        </is>
      </c>
      <c r="D27" s="15" t="inlineStr">
        <is>
          <t>Chipotle 25%</t>
        </is>
      </c>
      <c r="E27" s="15" t="inlineStr">
        <is>
          <t>Scheduled</t>
        </is>
      </c>
    </row>
    <row r="29" ht="22" customHeight="1">
      <c r="A29" s="8" t="inlineStr">
        <is>
          <t>TEAM TASKS</t>
        </is>
      </c>
    </row>
    <row r="30" ht="26" customHeight="1">
      <c r="A30" s="12" t="inlineStr">
        <is>
          <t>Task</t>
        </is>
      </c>
      <c r="B30" s="12" t="inlineStr">
        <is>
          <t>Owner</t>
        </is>
      </c>
      <c r="C30" s="12" t="inlineStr">
        <is>
          <t>Due</t>
        </is>
      </c>
      <c r="D30" s="12" t="inlineStr">
        <is>
          <t>Detail</t>
        </is>
      </c>
      <c r="E30" s="12" t="inlineStr">
        <is>
          <t>Status</t>
        </is>
      </c>
    </row>
    <row r="31" ht="22" customHeight="1">
      <c r="A31" s="15" t="inlineStr">
        <is>
          <t>Order new GK gloves</t>
        </is>
      </c>
      <c r="B31" s="14" t="inlineStr">
        <is>
          <t>Sarah R.</t>
        </is>
      </c>
      <c r="C31" s="14" t="inlineStr">
        <is>
          <t>Aug 22</t>
        </is>
      </c>
      <c r="D31" s="15" t="inlineStr">
        <is>
          <t>—</t>
        </is>
      </c>
      <c r="E31" s="15" t="inlineStr">
        <is>
          <t>Done</t>
        </is>
      </c>
    </row>
    <row r="32" ht="22" customHeight="1">
      <c r="A32" s="19" t="inlineStr">
        <is>
          <t>Print updated schedule</t>
        </is>
      </c>
      <c r="B32" s="18" t="inlineStr">
        <is>
          <t>Priya M.</t>
        </is>
      </c>
      <c r="C32" s="18" t="inlineStr">
        <is>
          <t>Sep 1</t>
        </is>
      </c>
      <c r="D32" s="19" t="inlineStr">
        <is>
          <t>—</t>
        </is>
      </c>
      <c r="E32" s="19" t="inlineStr">
        <is>
          <t>Open</t>
        </is>
      </c>
    </row>
    <row r="33" ht="22" customHeight="1">
      <c r="A33" s="15" t="inlineStr">
        <is>
          <t>Confirm tournament hotel</t>
        </is>
      </c>
      <c r="B33" s="14" t="inlineStr">
        <is>
          <t>Marcus B.</t>
        </is>
      </c>
      <c r="C33" s="14" t="inlineStr">
        <is>
          <t>Sep 5</t>
        </is>
      </c>
      <c r="D33" s="15" t="inlineStr">
        <is>
          <t>—</t>
        </is>
      </c>
      <c r="E33" s="15" t="inlineStr">
        <is>
          <t>Open</t>
        </is>
      </c>
    </row>
    <row r="34" ht="22" customHeight="1">
      <c r="A34" s="19" t="inlineStr">
        <is>
          <t>Update emergency contacts</t>
        </is>
      </c>
      <c r="B34" s="18" t="inlineStr">
        <is>
          <t>All families</t>
        </is>
      </c>
      <c r="C34" s="18" t="inlineStr">
        <is>
          <t>Sep 10</t>
        </is>
      </c>
      <c r="D34" s="19" t="inlineStr">
        <is>
          <t>—</t>
        </is>
      </c>
      <c r="E34" s="19" t="inlineStr">
        <is>
          <t>In progress</t>
        </is>
      </c>
    </row>
  </sheetData>
  <mergeCells count="7">
    <mergeCell ref="A29:E29"/>
    <mergeCell ref="A4:E4"/>
    <mergeCell ref="A2:E2"/>
    <mergeCell ref="A16:E16"/>
    <mergeCell ref="A10:E10"/>
    <mergeCell ref="A1:E1"/>
    <mergeCell ref="A23:E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5D3BA"/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2" customWidth="1" min="3" max="3"/>
    <col width="4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4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Season, budget, dropdowns. Edit once — drives every sheet.</t>
        </is>
      </c>
    </row>
    <row r="4">
      <c r="B4" s="8" t="inlineStr">
        <is>
          <t>USER CONTROLS</t>
        </is>
      </c>
      <c r="E4" s="8" t="inlineStr">
        <is>
          <t>DROPDOWN LISTS</t>
        </is>
      </c>
    </row>
    <row r="5">
      <c r="B5" s="10" t="inlineStr">
        <is>
          <t>Season</t>
        </is>
      </c>
      <c r="C5" s="40" t="inlineStr">
        <is>
          <t>Fall 2026</t>
        </is>
      </c>
      <c r="E5" s="12" t="inlineStr">
        <is>
          <t>Expense Categories</t>
        </is>
      </c>
      <c r="F5" s="12" t="inlineStr">
        <is>
          <t>Positions</t>
        </is>
      </c>
      <c r="G5" s="12" t="inlineStr">
        <is>
          <t>Practice Types</t>
        </is>
      </c>
      <c r="H5" s="12" t="inlineStr">
        <is>
          <t>Conditions</t>
        </is>
      </c>
      <c r="I5" s="12" t="inlineStr">
        <is>
          <t>Home / Away</t>
        </is>
      </c>
    </row>
    <row r="6">
      <c r="B6" s="10" t="inlineStr">
        <is>
          <t>Season Start Date</t>
        </is>
      </c>
      <c r="C6" s="41" t="n">
        <v>46258</v>
      </c>
      <c r="E6" s="21" t="inlineStr">
        <is>
          <t>Registration</t>
        </is>
      </c>
      <c r="F6" s="21" t="inlineStr">
        <is>
          <t>Goalkeeper</t>
        </is>
      </c>
      <c r="G6" s="21" t="inlineStr">
        <is>
          <t>Field Practice</t>
        </is>
      </c>
      <c r="H6" s="21" t="inlineStr">
        <is>
          <t>New</t>
        </is>
      </c>
      <c r="I6" s="21" t="inlineStr">
        <is>
          <t>Home</t>
        </is>
      </c>
    </row>
    <row r="7">
      <c r="B7" s="10" t="inlineStr">
        <is>
          <t>Season End Date</t>
        </is>
      </c>
      <c r="C7" s="41" t="n">
        <v>46348</v>
      </c>
      <c r="E7" s="21" t="inlineStr">
        <is>
          <t>Uniforms</t>
        </is>
      </c>
      <c r="F7" s="21" t="inlineStr">
        <is>
          <t>Defender</t>
        </is>
      </c>
      <c r="G7" s="21" t="inlineStr">
        <is>
          <t>Conditioning</t>
        </is>
      </c>
      <c r="H7" s="21" t="inlineStr">
        <is>
          <t>Good</t>
        </is>
      </c>
      <c r="I7" s="21" t="inlineStr">
        <is>
          <t>Away</t>
        </is>
      </c>
    </row>
    <row r="8">
      <c r="B8" s="10" t="inlineStr">
        <is>
          <t>League</t>
        </is>
      </c>
      <c r="C8" s="40" t="inlineStr">
        <is>
          <t>U10 Travel</t>
        </is>
      </c>
      <c r="E8" s="21" t="inlineStr">
        <is>
          <t>Cleats</t>
        </is>
      </c>
      <c r="F8" s="21" t="inlineStr">
        <is>
          <t>Midfielder</t>
        </is>
      </c>
      <c r="G8" s="21" t="inlineStr">
        <is>
          <t>Scrimmage</t>
        </is>
      </c>
      <c r="H8" s="21" t="inlineStr">
        <is>
          <t>Fair</t>
        </is>
      </c>
      <c r="I8" s="21" t="inlineStr">
        <is>
          <t>Neutral</t>
        </is>
      </c>
    </row>
    <row r="9">
      <c r="B9" s="10" t="inlineStr">
        <is>
          <t>Division</t>
        </is>
      </c>
      <c r="C9" s="40" t="inlineStr">
        <is>
          <t>Premier</t>
        </is>
      </c>
      <c r="E9" s="21" t="inlineStr">
        <is>
          <t>Shin Guards</t>
        </is>
      </c>
      <c r="F9" s="21" t="inlineStr">
        <is>
          <t>Forward</t>
        </is>
      </c>
      <c r="G9" s="21" t="inlineStr">
        <is>
          <t>Skills Clinic</t>
        </is>
      </c>
      <c r="H9" s="21" t="inlineStr">
        <is>
          <t>Replace</t>
        </is>
      </c>
    </row>
    <row r="10">
      <c r="B10" s="10" t="inlineStr">
        <is>
          <t>Monthly Soccer Budget</t>
        </is>
      </c>
      <c r="C10" s="22" t="n">
        <v>650</v>
      </c>
      <c r="E10" s="21" t="inlineStr">
        <is>
          <t>Balls</t>
        </is>
      </c>
      <c r="F10" s="21" t="inlineStr">
        <is>
          <t>Striker</t>
        </is>
      </c>
      <c r="G10" s="21" t="inlineStr">
        <is>
          <t>Tactical Session</t>
        </is>
      </c>
    </row>
    <row r="11">
      <c r="B11" s="10" t="inlineStr">
        <is>
          <t># of Players in Family</t>
        </is>
      </c>
      <c r="C11" s="42" t="n">
        <v>2</v>
      </c>
      <c r="E11" s="21" t="inlineStr">
        <is>
          <t>Training Equipment</t>
        </is>
      </c>
      <c r="F11" s="21" t="inlineStr">
        <is>
          <t>Sub</t>
        </is>
      </c>
      <c r="G11" s="21" t="inlineStr">
        <is>
          <t>Indoor</t>
        </is>
      </c>
    </row>
    <row r="12">
      <c r="B12" s="10" t="inlineStr">
        <is>
          <t>Fuel $ per Mile</t>
        </is>
      </c>
      <c r="C12" s="43" t="n">
        <v>0.18</v>
      </c>
      <c r="E12" s="21" t="inlineStr">
        <is>
          <t>Tournaments</t>
        </is>
      </c>
    </row>
    <row r="13">
      <c r="B13" s="10" t="inlineStr">
        <is>
          <t>Today (auto)</t>
        </is>
      </c>
      <c r="C13" s="41">
        <f>TODAY()</f>
        <v/>
      </c>
      <c r="E13" s="21" t="inlineStr">
        <is>
          <t>Hotels</t>
        </is>
      </c>
    </row>
    <row r="14">
      <c r="E14" s="21" t="inlineStr">
        <is>
          <t>Fuel</t>
        </is>
      </c>
    </row>
    <row r="15">
      <c r="E15" s="21" t="inlineStr">
        <is>
          <t>Food</t>
        </is>
      </c>
    </row>
    <row r="16">
      <c r="E16" s="21" t="inlineStr">
        <is>
          <t>Team Fees</t>
        </is>
      </c>
    </row>
    <row r="17">
      <c r="E17" s="21" t="inlineStr">
        <is>
          <t>Private Coaching</t>
        </is>
      </c>
    </row>
    <row r="20">
      <c r="B20" s="12" t="inlineStr">
        <is>
          <t>Attendance</t>
        </is>
      </c>
      <c r="E20" s="12" t="inlineStr">
        <is>
          <t>Results</t>
        </is>
      </c>
      <c r="F20" s="12" t="inlineStr">
        <is>
          <t>Leagues</t>
        </is>
      </c>
      <c r="G20" s="12" t="inlineStr">
        <is>
          <t>Divisions</t>
        </is>
      </c>
      <c r="H20" s="12" t="inlineStr">
        <is>
          <t>Fields</t>
        </is>
      </c>
      <c r="I20" s="12" t="inlineStr">
        <is>
          <t>Yes / No</t>
        </is>
      </c>
    </row>
    <row r="21">
      <c r="B21" s="21" t="inlineStr">
        <is>
          <t>Present</t>
        </is>
      </c>
      <c r="E21" s="21" t="inlineStr">
        <is>
          <t>Win</t>
        </is>
      </c>
      <c r="F21" s="21" t="inlineStr">
        <is>
          <t>U6</t>
        </is>
      </c>
      <c r="G21" s="21" t="inlineStr">
        <is>
          <t>Recreational</t>
        </is>
      </c>
      <c r="H21" s="21" t="inlineStr">
        <is>
          <t>Riverside Park</t>
        </is>
      </c>
      <c r="I21" s="21" t="inlineStr">
        <is>
          <t>Yes</t>
        </is>
      </c>
    </row>
    <row r="22">
      <c r="B22" s="21" t="inlineStr">
        <is>
          <t>Late</t>
        </is>
      </c>
      <c r="E22" s="21" t="inlineStr">
        <is>
          <t>Loss</t>
        </is>
      </c>
      <c r="F22" s="21" t="inlineStr">
        <is>
          <t>U8</t>
        </is>
      </c>
      <c r="G22" s="21" t="inlineStr">
        <is>
          <t>Select</t>
        </is>
      </c>
      <c r="H22" s="21" t="inlineStr">
        <is>
          <t>Memorial Field</t>
        </is>
      </c>
      <c r="I22" s="21" t="inlineStr">
        <is>
          <t>No</t>
        </is>
      </c>
    </row>
    <row r="23">
      <c r="B23" s="21" t="inlineStr">
        <is>
          <t>Absent</t>
        </is>
      </c>
      <c r="E23" s="21" t="inlineStr">
        <is>
          <t>Draw</t>
        </is>
      </c>
      <c r="F23" s="21" t="inlineStr">
        <is>
          <t>U10</t>
        </is>
      </c>
      <c r="G23" s="21" t="inlineStr">
        <is>
          <t>Premier</t>
        </is>
      </c>
      <c r="H23" s="21" t="inlineStr">
        <is>
          <t>Lincoln Complex</t>
        </is>
      </c>
    </row>
    <row r="24">
      <c r="B24" s="21" t="inlineStr">
        <is>
          <t>Excused</t>
        </is>
      </c>
      <c r="E24" s="21" t="inlineStr">
        <is>
          <t>—</t>
        </is>
      </c>
      <c r="F24" s="21" t="inlineStr">
        <is>
          <t>U12</t>
        </is>
      </c>
      <c r="G24" s="21" t="inlineStr">
        <is>
          <t>Elite</t>
        </is>
      </c>
      <c r="H24" s="21" t="inlineStr">
        <is>
          <t>Eastside Sports Center</t>
        </is>
      </c>
    </row>
    <row r="25">
      <c r="F25" s="21" t="inlineStr">
        <is>
          <t>U14</t>
        </is>
      </c>
      <c r="G25" s="21" t="inlineStr">
        <is>
          <t>Academy</t>
        </is>
      </c>
      <c r="H25" s="21" t="inlineStr">
        <is>
          <t>Indoor Arena</t>
        </is>
      </c>
    </row>
    <row r="26">
      <c r="F26" s="21" t="inlineStr">
        <is>
          <t>U16</t>
        </is>
      </c>
      <c r="H26" s="21" t="inlineStr">
        <is>
          <t>Other</t>
        </is>
      </c>
    </row>
    <row r="27">
      <c r="B27" s="12" t="inlineStr">
        <is>
          <t>Uniforms</t>
        </is>
      </c>
      <c r="F27" s="21" t="inlineStr">
        <is>
          <t>U18</t>
        </is>
      </c>
    </row>
    <row r="28">
      <c r="B28" s="21" t="inlineStr">
        <is>
          <t>Home Green</t>
        </is>
      </c>
      <c r="F28" s="21" t="inlineStr">
        <is>
          <t>Adult</t>
        </is>
      </c>
    </row>
    <row r="29">
      <c r="B29" s="21" t="inlineStr">
        <is>
          <t>Away White</t>
        </is>
      </c>
      <c r="F29" s="21" t="inlineStr">
        <is>
          <t>Club</t>
        </is>
      </c>
    </row>
    <row r="30">
      <c r="B30" s="21" t="inlineStr">
        <is>
          <t>Alternate Black</t>
        </is>
      </c>
      <c r="F30" s="21" t="inlineStr">
        <is>
          <t>Travel</t>
        </is>
      </c>
    </row>
    <row r="31">
      <c r="B31" s="21" t="inlineStr">
        <is>
          <t>Goalkeeper</t>
        </is>
      </c>
    </row>
  </sheetData>
  <mergeCells count="4">
    <mergeCell ref="A1:I1"/>
    <mergeCell ref="B4:C4"/>
    <mergeCell ref="A2:I2"/>
    <mergeCell ref="E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2026-06-29T03:34:26Z</dcterms:created>
  <dcterms:modified xsi:type="dcterms:W3CDTF">2026-06-29T03:34:26Z</dcterms:modified>
</cp:coreProperties>
</file>