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Tot Profiles" sheetId="3" state="visible" r:id="rId3"/>
    <sheet name="Milestones" sheetId="4" state="visible" r:id="rId4"/>
    <sheet name="First Words &amp; Concepts" sheetId="5" state="visible" r:id="rId5"/>
    <sheet name="Weekly Themes" sheetId="6" state="visible" r:id="rId6"/>
    <sheet name="Daily Rhythm" sheetId="7" state="visible" r:id="rId7"/>
    <sheet name="Tot Trays" sheetId="8" state="visible" r:id="rId8"/>
    <sheet name="Board-Book Log" sheetId="9" state="visible" r:id="rId9"/>
    <sheet name="Sensory Play" sheetId="10" state="visible" r:id="rId10"/>
    <sheet name="Outings" sheetId="11" state="visible" r:id="rId11"/>
    <sheet name="Attendance" sheetId="12" state="visible" r:id="rId12"/>
    <sheet name="Portfolio" sheetId="13" state="visible" r:id="rId13"/>
    <sheet name="Supplies" sheetId="14" state="visible" r:id="rId14"/>
    <sheet name="Ready for Preschool" sheetId="15" state="visible" r:id="rId15"/>
    <sheet name="Goals" sheetId="16" state="visible" r:id="rId16"/>
    <sheet name="Settings" sheetId="17" state="visible" r:id="rId17"/>
  </sheets>
  <definedNames>
    <definedName name="FamilyName">Settings!$C$6</definedName>
    <definedName name="SchoolYear">Settings!$C$7</definedName>
    <definedName name="Tots">Settings!$C$8</definedName>
    <definedName name="DaysGoal">Settings!$C$9</definedName>
    <definedName name="Words">Settings!$C$10</definedName>
    <definedName name="BoardBooks">Settings!$C$11</definedName>
    <definedName name="SuppliesBudget">Settings!$C$12</definedName>
    <definedName name="PreschoolDate">Settings!$C$13</definedName>
    <definedName name="DomainList">Settings!$E$7:$E$12</definedName>
    <definedName name="MileStatusList">Settings!$F$7:$F$9</definedName>
    <definedName name="TrayStatusList">Settings!$G$7:$G$9</definedName>
    <definedName name="ThemeStatusList">Settings!$H$7:$H$9</definedName>
    <definedName name="CategoryList">Settings!$I$7:$I$12</definedName>
    <definedName name="LovedList">Settings!$J$7:$J$9</definedName>
    <definedName name="YesNoList">Settings!$K$7:$K$8</definedName>
    <definedName name="MileDomain">'Milestones'!$A$5:$A$49</definedName>
    <definedName name="MileName">'Milestones'!$B$5:$B$49</definedName>
    <definedName name="MileStatus">'Milestones'!$D$5:$D$49</definedName>
    <definedName name="DomSumLabels">'Milestones'!$B$52:$B$57</definedName>
    <definedName name="DomSumVals">'Milestones'!$C$52:$C$57</definedName>
    <definedName name="ConceptName">'First Words &amp; Concepts'!$A$5:$A$34</definedName>
    <definedName name="ConceptCat">'First Words &amp; Concepts'!$B$5:$B$34</definedName>
    <definedName name="ConceptDone">'First Words &amp; Concepts'!$C$5:$C$34</definedName>
    <definedName name="ThemeName">'Weekly Themes'!$A$5:$A$34</definedName>
    <definedName name="ThemeStatus">'Weekly Themes'!$C$5:$C$34</definedName>
    <definedName name="TrayName">'Tot Trays'!$A$5:$A$44</definedName>
    <definedName name="TrayStatus">'Tot Trays'!$C$5:$C$44</definedName>
    <definedName name="TripName">'Outings'!$B$5:$B$34</definedName>
    <definedName name="AttDays">'Attendance'!$B$5:$B$44</definedName>
    <definedName name="DaysDone">'Attendance'!$B$45</definedName>
    <definedName name="SuppliesPlanTotal">'Supplies'!$C$13</definedName>
    <definedName name="SuppliesSpent">'Supplies'!$D$13</definedName>
    <definedName name="RdyName">'Ready for Preschool'!$A$5:$A$24</definedName>
    <definedName name="RdyDone">'Ready for Preschool'!$B$5:$B$24</definedName>
    <definedName name="GoalProgress">'Goals'!$D$5:$D$10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mm/dd/yyyy"/>
    <numFmt numFmtId="167" formatCode="&quot;$&quot;#,##0;[Red]-&quot;$&quot;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51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0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2" fillId="8" borderId="4" applyAlignment="1" pivotButton="0" quotePrefix="0" xfId="0">
      <alignment horizontal="center" vertical="center"/>
    </xf>
    <xf numFmtId="0" fontId="0" fillId="8" borderId="4" pivotButton="0" quotePrefix="0" xfId="0"/>
    <xf numFmtId="3" fontId="13" fillId="8" borderId="2" applyAlignment="1" pivotButton="0" quotePrefix="0" xfId="0">
      <alignment horizontal="center" vertical="center"/>
    </xf>
    <xf numFmtId="0" fontId="0" fillId="8" borderId="2" pivotButton="0" quotePrefix="0" xfId="0"/>
    <xf numFmtId="9" fontId="13" fillId="8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3" fontId="6" fillId="0" borderId="2" applyAlignment="1" pivotButton="0" quotePrefix="0" xfId="6">
      <alignment horizontal="center" vertical="center" wrapText="1"/>
    </xf>
    <xf numFmtId="3" fontId="7" fillId="6" borderId="2" applyAlignment="1" pivotButton="0" quotePrefix="0" xfId="10">
      <alignment horizontal="left" vertical="center" indent="1"/>
    </xf>
    <xf numFmtId="3" fontId="7" fillId="3" borderId="2" applyAlignment="1" pivotButton="0" quotePrefix="0" xfId="8">
      <alignment horizontal="center" vertical="center"/>
    </xf>
    <xf numFmtId="3" fontId="6" fillId="8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3" fontId="11" fillId="3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164" fontId="7" fillId="3" borderId="2" applyAlignment="1" pivotButton="0" quotePrefix="0" xfId="8">
      <alignment horizontal="center" vertical="center"/>
    </xf>
    <xf numFmtId="167" fontId="6" fillId="0" borderId="2" applyAlignment="1" pivotButton="0" quotePrefix="0" xfId="6">
      <alignment horizontal="center" vertical="center" wrapText="1"/>
    </xf>
    <xf numFmtId="164" fontId="7" fillId="9" borderId="2" applyAlignment="1" pivotButton="0" quotePrefix="0" xfId="8">
      <alignment horizontal="center" vertical="center"/>
    </xf>
    <xf numFmtId="167" fontId="6" fillId="9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9" fontId="7" fillId="3" borderId="2" applyAlignment="1" pivotButton="0" quotePrefix="0" xfId="8">
      <alignment horizontal="center" vertical="center"/>
    </xf>
    <xf numFmtId="9" fontId="7" fillId="9" borderId="2" applyAlignment="1" pivotButton="0" quotePrefix="0" xfId="8">
      <alignment horizontal="center" vertical="center"/>
    </xf>
    <xf numFmtId="0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4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Milestones Met by Domain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'Milestones'!$B$52:$B$57</f>
            </numRef>
          </cat>
          <val>
            <numRef>
              <f>'Milestones'!$C$52:$C$57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🧸  TOT-SCHOOL COMMAND CENTER™</t>
        </is>
      </c>
    </row>
    <row r="2" ht="24" customHeight="1">
      <c r="A2" s="2" t="inlineStr">
        <is>
          <t xml:space="preserve">  No pressure, all play — gentle rhythms, tot trays &amp; a keepsake of these tiny years.</t>
        </is>
      </c>
    </row>
    <row r="3" ht="6" customHeight="1">
      <c r="A3" s="3" t="n"/>
      <c r="B3" s="3" t="n"/>
      <c r="C3" s="3" t="n"/>
    </row>
    <row r="5">
      <c r="B5" s="4" t="inlineStr">
        <is>
          <t>YOUR WHOLE TOT-SCHOOL, IN ONE PLACE</t>
        </is>
      </c>
    </row>
    <row r="6" ht="22" customHeight="1">
      <c r="B6" s="5" t="inlineStr">
        <is>
          <t>Toddler milestones, first words &amp; concepts, gentle weekly themes, a tot-tray &amp; sensory activity planner, board-book read-alouds, messy play, outings, a portfolio of firsts and a ready-for-preschool checklist — all in ONE premium Google Sheets &amp; Excel system. A profile for every tot and a live dashboard that shows how they're growing. Play-based and pressure-free, it's made for toddlers (roughly 18 months to 3 years) — follow their lead and enjoy the little years.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family &amp; tots.</t>
        </is>
      </c>
    </row>
    <row r="13" ht="22" customHeight="1">
      <c r="B13" s="8" t="inlineStr">
        <is>
          <t>2.  Fill a Tot Profile for each little one — age, personality, what they love.</t>
        </is>
      </c>
    </row>
    <row r="14" ht="22" customHeight="1">
      <c r="B14" s="8" t="inlineStr">
        <is>
          <t>3.  Pick this week's gentle Theme, then set out a few Tot Trays from the play bank.</t>
        </is>
      </c>
    </row>
    <row r="15" ht="22" customHeight="1">
      <c r="B15" s="8" t="inlineStr">
        <is>
          <t>4.  As they grow, mark Milestones and check off First Words &amp; Concepts.</t>
        </is>
      </c>
    </row>
    <row r="16" ht="22" customHeight="1">
      <c r="B16" s="8" t="inlineStr">
        <is>
          <t>5.  Log board-book reads, outings &amp; save a few portfolio 'firsts' as you go.</t>
        </is>
      </c>
    </row>
    <row r="17" ht="22" customHeight="1">
      <c r="B17" s="8" t="inlineStr">
        <is>
          <t>6.  Watch the Dashboard track milestones, words, themes &amp; a Growing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the Bennett family (Theo, 2, and Nora, 14 months) is included so you can see how it all connects — just type over it with your own. Milestones, words, themes, trays and the ready-for-preschool checklist roll up into a live Growing Score. Twelve matching printable pages (weekly theme plan, milestone checklist, tot-tray planner, sensory bank, portfolio of firsts &amp; more) are included to print and keep. Every toddler grows on their own timeline — this is a gentle guide &amp; keepsake, never a test or a diagnosis.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Slow down and play — the little years are the big ones. You've got this.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🧸  TOT-SCHOOL COMMAND CENTER™</t>
        </is>
      </c>
    </row>
    <row r="2" ht="24" customHeight="1">
      <c r="A2" s="2" t="inlineStr">
        <is>
          <t xml:space="preserve">  Milestones, first words, gentle themes &amp; sweet firsts — your whole tot year,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TOTS</t>
        </is>
      </c>
      <c r="C5" s="13" t="n"/>
      <c r="D5" s="12" t="inlineStr">
        <is>
          <t>TOT-SCHOOL DAYS</t>
        </is>
      </c>
      <c r="E5" s="13" t="n"/>
      <c r="F5" s="12" t="inlineStr">
        <is>
          <t>WORDS SPOKEN</t>
        </is>
      </c>
      <c r="G5" s="13" t="n"/>
      <c r="H5" s="12" t="inlineStr">
        <is>
          <t>MILESTONES MET</t>
        </is>
      </c>
      <c r="I5" s="13" t="n"/>
      <c r="J5" s="12" t="inlineStr">
        <is>
          <t>THEMES DONE</t>
        </is>
      </c>
      <c r="K5" s="13" t="n"/>
      <c r="L5" s="12" t="inlineStr">
        <is>
          <t>TRAYS DONE</t>
        </is>
      </c>
      <c r="M5" s="13" t="n"/>
    </row>
    <row r="6" ht="40" customHeight="1">
      <c r="B6" s="14">
        <f>Tots</f>
        <v/>
      </c>
      <c r="C6" s="15" t="n"/>
      <c r="D6" s="14">
        <f>DaysDone</f>
        <v/>
      </c>
      <c r="E6" s="15" t="n"/>
      <c r="F6" s="14">
        <f>Words</f>
        <v/>
      </c>
      <c r="G6" s="15" t="n"/>
      <c r="H6" s="14">
        <f>COUNTIF(MileStatus,"Met")</f>
        <v/>
      </c>
      <c r="I6" s="15" t="n"/>
      <c r="J6" s="14">
        <f>COUNTIF(ThemeStatus,"Done")</f>
        <v/>
      </c>
      <c r="K6" s="15" t="n"/>
      <c r="L6" s="16">
        <f>IFERROR(COUNTIF(TrayStatus,"Done")/COUNTA(TrayName),0)</f>
        <v/>
      </c>
      <c r="M6" s="15" t="n"/>
    </row>
    <row r="8" ht="18" customHeight="1">
      <c r="B8" s="12" t="inlineStr">
        <is>
          <t>BOARD BOOKS</t>
        </is>
      </c>
      <c r="C8" s="13" t="n"/>
      <c r="D8" s="12" t="inlineStr">
        <is>
          <t>OUTINGS</t>
        </is>
      </c>
      <c r="E8" s="13" t="n"/>
      <c r="F8" s="12" t="inlineStr">
        <is>
          <t>SUPPLIES SPENT</t>
        </is>
      </c>
      <c r="G8" s="13" t="n"/>
      <c r="H8" s="12" t="inlineStr">
        <is>
          <t>PRESCHOOL-READY</t>
        </is>
      </c>
      <c r="I8" s="13" t="n"/>
      <c r="J8" s="12" t="inlineStr">
        <is>
          <t>GOALS</t>
        </is>
      </c>
      <c r="K8" s="13" t="n"/>
      <c r="L8" s="12" t="inlineStr">
        <is>
          <t>GROWING SCORE</t>
        </is>
      </c>
      <c r="M8" s="13" t="n"/>
    </row>
    <row r="9" ht="40" customHeight="1">
      <c r="B9" s="14">
        <f>BoardBooks</f>
        <v/>
      </c>
      <c r="C9" s="15" t="n"/>
      <c r="D9" s="14">
        <f>COUNTA(TripName)</f>
        <v/>
      </c>
      <c r="E9" s="15" t="n"/>
      <c r="F9" s="17">
        <f>SuppliesSpent</f>
        <v/>
      </c>
      <c r="G9" s="15" t="n"/>
      <c r="H9" s="16">
        <f>IFERROR(COUNTIF(RdyDone,"Yes")/COUNTA(RdyName),0)</f>
        <v/>
      </c>
      <c r="I9" s="15" t="n"/>
      <c r="J9" s="16">
        <f>IFERROR(AVERAGE(GoalProgress),0)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GROWING WELL?</t>
        </is>
      </c>
      <c r="H11" s="4" t="inlineStr">
        <is>
          <t>MILESTONES MET BY DOMAIN</t>
        </is>
      </c>
    </row>
    <row r="12" ht="30" customHeight="1">
      <c r="B12" s="9" t="inlineStr">
        <is>
          <t>Area</t>
        </is>
      </c>
      <c r="C12" s="9" t="inlineStr">
        <is>
          <t>Progress</t>
        </is>
      </c>
      <c r="D12" s="9" t="inlineStr">
        <is>
          <t>Status</t>
        </is>
      </c>
    </row>
    <row r="13">
      <c r="B13" s="18" t="inlineStr">
        <is>
          <t>Milestones met</t>
        </is>
      </c>
      <c r="C13" s="19">
        <f>IFERROR(COUNTIF(MileStatus,"Met")/COUNTA(MileName),0)</f>
        <v/>
      </c>
      <c r="D13" s="20">
        <f>IF(C13&gt;=0.85,"Thriving",IF(C13&gt;=0.6,"Growing","Emerging"))</f>
        <v/>
      </c>
    </row>
    <row r="14">
      <c r="B14" s="21" t="inlineStr">
        <is>
          <t>Words &amp; concepts</t>
        </is>
      </c>
      <c r="C14" s="22">
        <f>IFERROR(COUNTIF(ConceptDone,"Yes")/COUNTA(ConceptName),0)</f>
        <v/>
      </c>
      <c r="D14" s="23">
        <f>IF(C14&gt;=0.85,"Thriving",IF(C14&gt;=0.6,"Growing","Emerging"))</f>
        <v/>
      </c>
    </row>
    <row r="15">
      <c r="B15" s="18" t="inlineStr">
        <is>
          <t>Themes done</t>
        </is>
      </c>
      <c r="C15" s="19">
        <f>IFERROR(COUNTIF(ThemeStatus,"Done")/COUNTA(ThemeName),0)</f>
        <v/>
      </c>
      <c r="D15" s="20">
        <f>IF(C15&gt;=0.85,"Thriving",IF(C15&gt;=0.6,"Growing","Emerging"))</f>
        <v/>
      </c>
    </row>
    <row r="16">
      <c r="B16" s="21" t="inlineStr">
        <is>
          <t>Trays &amp; play done</t>
        </is>
      </c>
      <c r="C16" s="22">
        <f>IFERROR(COUNTIF(TrayStatus,"Done")/COUNTA(TrayName),0)</f>
        <v/>
      </c>
      <c r="D16" s="23">
        <f>IF(C16&gt;=0.85,"Thriving",IF(C16&gt;=0.6,"Growing","Emerging"))</f>
        <v/>
      </c>
    </row>
    <row r="17">
      <c r="B17" s="18" t="inlineStr">
        <is>
          <t>Ready for preschool</t>
        </is>
      </c>
      <c r="C17" s="19">
        <f>IFERROR(COUNTIF(RdyDone,"Yes")/COUNTA(RdyName),0)</f>
        <v/>
      </c>
      <c r="D17" s="20">
        <f>IF(C17&gt;=0.85,"Thriving",IF(C17&gt;=0.6,"Growing","Emerging"))</f>
        <v/>
      </c>
    </row>
    <row r="18">
      <c r="B18" s="21" t="inlineStr">
        <is>
          <t>Goals &amp; little wins</t>
        </is>
      </c>
      <c r="C18" s="22">
        <f>IFERROR(AVERAGE(GoalProgress),0)</f>
        <v/>
      </c>
      <c r="D18" s="23">
        <f>IF(C18&gt;=0.85,"Thriving",IF(C18&gt;=0.6,"Growing","Emerging"))</f>
        <v/>
      </c>
    </row>
    <row r="21" ht="26" customHeight="1">
      <c r="B21" s="2" t="inlineStr">
        <is>
          <t>Tot-School Command Center™ — no pressure, all play. Edit anything in Settings.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22" customWidth="1" min="3" max="3"/>
    <col width="4" customWidth="1" min="4" max="4"/>
    <col width="18" customWidth="1" min="5" max="5"/>
    <col width="18" customWidth="1" min="6" max="6"/>
    <col width="2" customWidth="1" min="7" max="7"/>
  </cols>
  <sheetData>
    <row r="1" ht="46" customHeight="1">
      <c r="A1" s="1" t="inlineStr">
        <is>
          <t xml:space="preserve">  🧸  TOT PROFILES</t>
        </is>
      </c>
    </row>
    <row r="2" ht="22" customHeight="1">
      <c r="A2" s="2" t="inlineStr">
        <is>
          <t xml:space="preserve">  A profile for every little one — age, personality, comforts &amp; what they love.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Theo Bennett</t>
        </is>
      </c>
    </row>
    <row r="6" ht="22" customHeight="1">
      <c r="B6" s="24" t="inlineStr">
        <is>
          <t>Stage</t>
        </is>
      </c>
      <c r="C6" s="25" t="inlineStr">
        <is>
          <t>Toddler (2)</t>
        </is>
      </c>
      <c r="E6" s="24" t="inlineStr">
        <is>
          <t>Age</t>
        </is>
      </c>
      <c r="F6" s="25" t="n">
        <v>2</v>
      </c>
    </row>
    <row r="7" ht="22" customHeight="1">
      <c r="B7" s="24" t="inlineStr">
        <is>
          <t>Personality</t>
        </is>
      </c>
      <c r="C7" s="25" t="inlineStr">
        <is>
          <t>On the move · into everything · big feelings</t>
        </is>
      </c>
      <c r="E7" s="24" t="inlineStr">
        <is>
          <t>Loves</t>
        </is>
      </c>
      <c r="F7" s="25" t="inlineStr">
        <is>
          <t>—</t>
        </is>
      </c>
    </row>
    <row r="8" ht="22" customHeight="1">
      <c r="B8" s="24" t="inlineStr">
        <is>
          <t>Comfort item</t>
        </is>
      </c>
      <c r="C8" s="25" t="inlineStr">
        <is>
          <t>—</t>
        </is>
      </c>
      <c r="E8" s="24" t="inlineStr">
        <is>
          <t>Nap schedule</t>
        </is>
      </c>
      <c r="F8" s="25" t="inlineStr">
        <is>
          <t>—</t>
        </is>
      </c>
    </row>
    <row r="9" ht="22" customHeight="1">
      <c r="B9" s="24" t="inlineStr">
        <is>
          <t>Words so far</t>
        </is>
      </c>
      <c r="C9" s="25" t="inlineStr">
        <is>
          <t>See First Words tab</t>
        </is>
      </c>
      <c r="E9" s="24" t="inlineStr">
        <is>
          <t>Allergies / notes</t>
        </is>
      </c>
      <c r="F9" s="25" t="inlineStr">
        <is>
          <t>—</t>
        </is>
      </c>
    </row>
    <row r="10" ht="22" customHeight="1">
      <c r="B10" s="24" t="inlineStr">
        <is>
          <t>Working on</t>
        </is>
      </c>
      <c r="C10" s="25" t="inlineStr">
        <is>
          <t>See Milestones tab</t>
        </is>
      </c>
      <c r="E10" s="24" t="inlineStr">
        <is>
          <t>Big goal</t>
        </is>
      </c>
      <c r="F10" s="25" t="inlineStr">
        <is>
          <t>See Goals tab</t>
        </is>
      </c>
    </row>
    <row r="12" ht="22" customHeight="1">
      <c r="B12" s="4" t="inlineStr">
        <is>
          <t>Nora Bennett</t>
        </is>
      </c>
    </row>
    <row r="13" ht="22" customHeight="1">
      <c r="B13" s="24" t="inlineStr">
        <is>
          <t>Stage</t>
        </is>
      </c>
      <c r="C13" s="25" t="inlineStr">
        <is>
          <t>Baby (14 mo)</t>
        </is>
      </c>
      <c r="E13" s="24" t="inlineStr">
        <is>
          <t>Age</t>
        </is>
      </c>
      <c r="F13" s="25" t="n">
        <v>1</v>
      </c>
    </row>
    <row r="14" ht="22" customHeight="1">
      <c r="B14" s="24" t="inlineStr">
        <is>
          <t>Personality</t>
        </is>
      </c>
      <c r="C14" s="25" t="inlineStr">
        <is>
          <t>New walker · loves peekaboo &amp; board books</t>
        </is>
      </c>
      <c r="E14" s="24" t="inlineStr">
        <is>
          <t>Loves</t>
        </is>
      </c>
      <c r="F14" s="25" t="inlineStr">
        <is>
          <t>—</t>
        </is>
      </c>
    </row>
    <row r="15" ht="22" customHeight="1">
      <c r="B15" s="24" t="inlineStr">
        <is>
          <t>Comfort item</t>
        </is>
      </c>
      <c r="C15" s="25" t="inlineStr">
        <is>
          <t>—</t>
        </is>
      </c>
      <c r="E15" s="24" t="inlineStr">
        <is>
          <t>Nap schedule</t>
        </is>
      </c>
      <c r="F15" s="25" t="inlineStr">
        <is>
          <t>—</t>
        </is>
      </c>
    </row>
    <row r="16" ht="22" customHeight="1">
      <c r="B16" s="24" t="inlineStr">
        <is>
          <t>Words so far</t>
        </is>
      </c>
      <c r="C16" s="25" t="inlineStr">
        <is>
          <t>See First Words tab</t>
        </is>
      </c>
      <c r="E16" s="24" t="inlineStr">
        <is>
          <t>Allergies / notes</t>
        </is>
      </c>
      <c r="F16" s="25" t="inlineStr">
        <is>
          <t>—</t>
        </is>
      </c>
    </row>
    <row r="17" ht="22" customHeight="1">
      <c r="B17" s="24" t="inlineStr">
        <is>
          <t>Working on</t>
        </is>
      </c>
      <c r="C17" s="25" t="inlineStr">
        <is>
          <t>See Milestones tab</t>
        </is>
      </c>
      <c r="E17" s="24" t="inlineStr">
        <is>
          <t>Big goal</t>
        </is>
      </c>
      <c r="F17" s="25" t="inlineStr">
        <is>
          <t>See Goals tab</t>
        </is>
      </c>
    </row>
  </sheetData>
  <mergeCells count="4">
    <mergeCell ref="A2:G2"/>
    <mergeCell ref="A1:G1"/>
    <mergeCell ref="B12:F12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4" customWidth="1" min="4" max="4"/>
  </cols>
  <sheetData>
    <row r="1" ht="46" customHeight="1">
      <c r="A1" s="1" t="inlineStr">
        <is>
          <t xml:space="preserve">  🌱  TODDLER MILESTONES</t>
        </is>
      </c>
    </row>
    <row r="2" ht="22" customHeight="1">
      <c r="A2" s="2" t="inlineStr">
        <is>
          <t xml:space="preserve">  The whole-child picture — gross &amp; fine motor, language, social-emotional, self-help &amp; cognitive.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Domain</t>
        </is>
      </c>
      <c r="B4" s="9" t="inlineStr">
        <is>
          <t>Milestone</t>
        </is>
      </c>
      <c r="C4" s="9" t="inlineStr">
        <is>
          <t>Tot</t>
        </is>
      </c>
      <c r="D4" s="9" t="inlineStr">
        <is>
          <t>Status</t>
        </is>
      </c>
    </row>
    <row r="5">
      <c r="A5" s="26" t="inlineStr">
        <is>
          <t>Gross Motor</t>
        </is>
      </c>
      <c r="B5" s="27" t="inlineStr">
        <is>
          <t>Walks well on their own</t>
        </is>
      </c>
      <c r="C5" s="26" t="inlineStr">
        <is>
          <t>Theo</t>
        </is>
      </c>
      <c r="D5" s="26" t="inlineStr">
        <is>
          <t>Met</t>
        </is>
      </c>
    </row>
    <row r="6">
      <c r="A6" s="23" t="inlineStr">
        <is>
          <t>Gross Motor</t>
        </is>
      </c>
      <c r="B6" s="21" t="inlineStr">
        <is>
          <t>Runs without falling</t>
        </is>
      </c>
      <c r="C6" s="23" t="inlineStr">
        <is>
          <t>Theo</t>
        </is>
      </c>
      <c r="D6" s="23" t="inlineStr">
        <is>
          <t>Met</t>
        </is>
      </c>
    </row>
    <row r="7">
      <c r="A7" s="26" t="inlineStr">
        <is>
          <t>Gross Motor</t>
        </is>
      </c>
      <c r="B7" s="27" t="inlineStr">
        <is>
          <t>Kicks a ball</t>
        </is>
      </c>
      <c r="C7" s="26" t="inlineStr">
        <is>
          <t>Theo</t>
        </is>
      </c>
      <c r="D7" s="26" t="inlineStr">
        <is>
          <t>Met</t>
        </is>
      </c>
    </row>
    <row r="8">
      <c r="A8" s="23" t="inlineStr">
        <is>
          <t>Gross Motor</t>
        </is>
      </c>
      <c r="B8" s="21" t="inlineStr">
        <is>
          <t>Climbs stairs holding the rail</t>
        </is>
      </c>
      <c r="C8" s="23" t="inlineStr">
        <is>
          <t>Theo</t>
        </is>
      </c>
      <c r="D8" s="23" t="inlineStr">
        <is>
          <t>Emerging</t>
        </is>
      </c>
    </row>
    <row r="9">
      <c r="A9" s="26" t="inlineStr">
        <is>
          <t>Gross Motor</t>
        </is>
      </c>
      <c r="B9" s="27" t="inlineStr">
        <is>
          <t>Jumps with both feet</t>
        </is>
      </c>
      <c r="C9" s="26" t="inlineStr">
        <is>
          <t>Theo</t>
        </is>
      </c>
      <c r="D9" s="26" t="inlineStr">
        <is>
          <t>Emerging</t>
        </is>
      </c>
    </row>
    <row r="10">
      <c r="A10" s="23" t="inlineStr">
        <is>
          <t>Gross Motor</t>
        </is>
      </c>
      <c r="B10" s="21" t="inlineStr">
        <is>
          <t>Stands &amp; cruises furniture</t>
        </is>
      </c>
      <c r="C10" s="23" t="inlineStr">
        <is>
          <t>Nora</t>
        </is>
      </c>
      <c r="D10" s="23" t="inlineStr">
        <is>
          <t>Met</t>
        </is>
      </c>
    </row>
    <row r="11">
      <c r="A11" s="26" t="inlineStr">
        <is>
          <t>Gross Motor</t>
        </is>
      </c>
      <c r="B11" s="27" t="inlineStr">
        <is>
          <t>Takes a few steps alone</t>
        </is>
      </c>
      <c r="C11" s="26" t="inlineStr">
        <is>
          <t>Nora</t>
        </is>
      </c>
      <c r="D11" s="26" t="inlineStr">
        <is>
          <t>Met</t>
        </is>
      </c>
    </row>
    <row r="12">
      <c r="A12" s="23" t="inlineStr">
        <is>
          <t>Fine Motor</t>
        </is>
      </c>
      <c r="B12" s="21" t="inlineStr">
        <is>
          <t>Stacks 4+ blocks</t>
        </is>
      </c>
      <c r="C12" s="23" t="inlineStr">
        <is>
          <t>Theo</t>
        </is>
      </c>
      <c r="D12" s="23" t="inlineStr">
        <is>
          <t>Met</t>
        </is>
      </c>
    </row>
    <row r="13">
      <c r="A13" s="26" t="inlineStr">
        <is>
          <t>Fine Motor</t>
        </is>
      </c>
      <c r="B13" s="27" t="inlineStr">
        <is>
          <t>Scribbles with a crayon</t>
        </is>
      </c>
      <c r="C13" s="26" t="inlineStr">
        <is>
          <t>Theo</t>
        </is>
      </c>
      <c r="D13" s="26" t="inlineStr">
        <is>
          <t>Met</t>
        </is>
      </c>
    </row>
    <row r="14">
      <c r="A14" s="23" t="inlineStr">
        <is>
          <t>Fine Motor</t>
        </is>
      </c>
      <c r="B14" s="21" t="inlineStr">
        <is>
          <t>Turns board-book pages</t>
        </is>
      </c>
      <c r="C14" s="23" t="inlineStr">
        <is>
          <t>Theo</t>
        </is>
      </c>
      <c r="D14" s="23" t="inlineStr">
        <is>
          <t>Met</t>
        </is>
      </c>
    </row>
    <row r="15">
      <c r="A15" s="26" t="inlineStr">
        <is>
          <t>Fine Motor</t>
        </is>
      </c>
      <c r="B15" s="27" t="inlineStr">
        <is>
          <t>Uses a spoon</t>
        </is>
      </c>
      <c r="C15" s="26" t="inlineStr">
        <is>
          <t>Theo</t>
        </is>
      </c>
      <c r="D15" s="26" t="inlineStr">
        <is>
          <t>Met</t>
        </is>
      </c>
    </row>
    <row r="16">
      <c r="A16" s="23" t="inlineStr">
        <is>
          <t>Fine Motor</t>
        </is>
      </c>
      <c r="B16" s="21" t="inlineStr">
        <is>
          <t>Neat pincer grasp</t>
        </is>
      </c>
      <c r="C16" s="23" t="inlineStr">
        <is>
          <t>Nora</t>
        </is>
      </c>
      <c r="D16" s="23" t="inlineStr">
        <is>
          <t>Met</t>
        </is>
      </c>
    </row>
    <row r="17">
      <c r="A17" s="26" t="inlineStr">
        <is>
          <t>Fine Motor</t>
        </is>
      </c>
      <c r="B17" s="27" t="inlineStr">
        <is>
          <t>Puts objects in a container</t>
        </is>
      </c>
      <c r="C17" s="26" t="inlineStr">
        <is>
          <t>Nora</t>
        </is>
      </c>
      <c r="D17" s="26" t="inlineStr">
        <is>
          <t>Met</t>
        </is>
      </c>
    </row>
    <row r="18">
      <c r="A18" s="23" t="inlineStr">
        <is>
          <t>Fine Motor</t>
        </is>
      </c>
      <c r="B18" s="21" t="inlineStr">
        <is>
          <t>Stacks 2 blocks</t>
        </is>
      </c>
      <c r="C18" s="23" t="inlineStr">
        <is>
          <t>Nora</t>
        </is>
      </c>
      <c r="D18" s="23" t="inlineStr">
        <is>
          <t>Emerging</t>
        </is>
      </c>
    </row>
    <row r="19">
      <c r="A19" s="26" t="inlineStr">
        <is>
          <t>Language</t>
        </is>
      </c>
      <c r="B19" s="27" t="inlineStr">
        <is>
          <t>Says 20+ words</t>
        </is>
      </c>
      <c r="C19" s="26" t="inlineStr">
        <is>
          <t>Theo</t>
        </is>
      </c>
      <c r="D19" s="26" t="inlineStr">
        <is>
          <t>Met</t>
        </is>
      </c>
    </row>
    <row r="20">
      <c r="A20" s="23" t="inlineStr">
        <is>
          <t>Language</t>
        </is>
      </c>
      <c r="B20" s="21" t="inlineStr">
        <is>
          <t>Two-word phrases</t>
        </is>
      </c>
      <c r="C20" s="23" t="inlineStr">
        <is>
          <t>Theo</t>
        </is>
      </c>
      <c r="D20" s="23" t="inlineStr">
        <is>
          <t>Emerging</t>
        </is>
      </c>
    </row>
    <row r="21">
      <c r="A21" s="26" t="inlineStr">
        <is>
          <t>Language</t>
        </is>
      </c>
      <c r="B21" s="27" t="inlineStr">
        <is>
          <t>Points to name body parts</t>
        </is>
      </c>
      <c r="C21" s="26" t="inlineStr">
        <is>
          <t>Theo</t>
        </is>
      </c>
      <c r="D21" s="26" t="inlineStr">
        <is>
          <t>Met</t>
        </is>
      </c>
    </row>
    <row r="22">
      <c r="A22" s="23" t="inlineStr">
        <is>
          <t>Language</t>
        </is>
      </c>
      <c r="B22" s="21" t="inlineStr">
        <is>
          <t>Follows a simple direction</t>
        </is>
      </c>
      <c r="C22" s="23" t="inlineStr">
        <is>
          <t>Theo</t>
        </is>
      </c>
      <c r="D22" s="23" t="inlineStr">
        <is>
          <t>Met</t>
        </is>
      </c>
    </row>
    <row r="23">
      <c r="A23" s="26" t="inlineStr">
        <is>
          <t>Language</t>
        </is>
      </c>
      <c r="B23" s="27" t="inlineStr">
        <is>
          <t>Waves bye-bye</t>
        </is>
      </c>
      <c r="C23" s="26" t="inlineStr">
        <is>
          <t>Nora</t>
        </is>
      </c>
      <c r="D23" s="26" t="inlineStr">
        <is>
          <t>Met</t>
        </is>
      </c>
    </row>
    <row r="24">
      <c r="A24" s="23" t="inlineStr">
        <is>
          <t>Language</t>
        </is>
      </c>
      <c r="B24" s="21" t="inlineStr">
        <is>
          <t>Says mama / dada with meaning</t>
        </is>
      </c>
      <c r="C24" s="23" t="inlineStr">
        <is>
          <t>Nora</t>
        </is>
      </c>
      <c r="D24" s="23" t="inlineStr">
        <is>
          <t>Met</t>
        </is>
      </c>
    </row>
    <row r="25">
      <c r="A25" s="26" t="inlineStr">
        <is>
          <t>Language</t>
        </is>
      </c>
      <c r="B25" s="27" t="inlineStr">
        <is>
          <t>Points to ask for things</t>
        </is>
      </c>
      <c r="C25" s="26" t="inlineStr">
        <is>
          <t>Nora</t>
        </is>
      </c>
      <c r="D25" s="26" t="inlineStr">
        <is>
          <t>Emerging</t>
        </is>
      </c>
    </row>
    <row r="26">
      <c r="A26" s="23" t="inlineStr">
        <is>
          <t>Social-Emotional</t>
        </is>
      </c>
      <c r="B26" s="21" t="inlineStr">
        <is>
          <t>Plays alongside other children</t>
        </is>
      </c>
      <c r="C26" s="23" t="inlineStr">
        <is>
          <t>Theo</t>
        </is>
      </c>
      <c r="D26" s="23" t="inlineStr">
        <is>
          <t>Met</t>
        </is>
      </c>
    </row>
    <row r="27">
      <c r="A27" s="26" t="inlineStr">
        <is>
          <t>Social-Emotional</t>
        </is>
      </c>
      <c r="B27" s="27" t="inlineStr">
        <is>
          <t>Shows affection</t>
        </is>
      </c>
      <c r="C27" s="26" t="inlineStr">
        <is>
          <t>Theo</t>
        </is>
      </c>
      <c r="D27" s="26" t="inlineStr">
        <is>
          <t>Met</t>
        </is>
      </c>
    </row>
    <row r="28">
      <c r="A28" s="23" t="inlineStr">
        <is>
          <t>Social-Emotional</t>
        </is>
      </c>
      <c r="B28" s="21" t="inlineStr">
        <is>
          <t>Imitates grown-ups</t>
        </is>
      </c>
      <c r="C28" s="23" t="inlineStr">
        <is>
          <t>Theo</t>
        </is>
      </c>
      <c r="D28" s="23" t="inlineStr">
        <is>
          <t>Met</t>
        </is>
      </c>
    </row>
    <row r="29">
      <c r="A29" s="26" t="inlineStr">
        <is>
          <t>Social-Emotional</t>
        </is>
      </c>
      <c r="B29" s="27" t="inlineStr">
        <is>
          <t>Beginning pretend play</t>
        </is>
      </c>
      <c r="C29" s="26" t="inlineStr">
        <is>
          <t>Theo</t>
        </is>
      </c>
      <c r="D29" s="26" t="inlineStr">
        <is>
          <t>Emerging</t>
        </is>
      </c>
    </row>
    <row r="30">
      <c r="A30" s="23" t="inlineStr">
        <is>
          <t>Social-Emotional</t>
        </is>
      </c>
      <c r="B30" s="21" t="inlineStr">
        <is>
          <t>Enjoys peekaboo &amp; games</t>
        </is>
      </c>
      <c r="C30" s="23" t="inlineStr">
        <is>
          <t>Nora</t>
        </is>
      </c>
      <c r="D30" s="23" t="inlineStr">
        <is>
          <t>Met</t>
        </is>
      </c>
    </row>
    <row r="31">
      <c r="A31" s="26" t="inlineStr">
        <is>
          <t>Self-Help</t>
        </is>
      </c>
      <c r="B31" s="27" t="inlineStr">
        <is>
          <t>Drinks from an open cup</t>
        </is>
      </c>
      <c r="C31" s="26" t="inlineStr">
        <is>
          <t>Theo</t>
        </is>
      </c>
      <c r="D31" s="26" t="inlineStr">
        <is>
          <t>Met</t>
        </is>
      </c>
    </row>
    <row r="32">
      <c r="A32" s="23" t="inlineStr">
        <is>
          <t>Self-Help</t>
        </is>
      </c>
      <c r="B32" s="21" t="inlineStr">
        <is>
          <t>Helps with dressing</t>
        </is>
      </c>
      <c r="C32" s="23" t="inlineStr">
        <is>
          <t>Theo</t>
        </is>
      </c>
      <c r="D32" s="23" t="inlineStr">
        <is>
          <t>Emerging</t>
        </is>
      </c>
    </row>
    <row r="33">
      <c r="A33" s="26" t="inlineStr">
        <is>
          <t>Self-Help</t>
        </is>
      </c>
      <c r="B33" s="27" t="inlineStr">
        <is>
          <t>Feeds self finger foods</t>
        </is>
      </c>
      <c r="C33" s="26" t="inlineStr">
        <is>
          <t>Theo</t>
        </is>
      </c>
      <c r="D33" s="26" t="inlineStr">
        <is>
          <t>Met</t>
        </is>
      </c>
    </row>
    <row r="34">
      <c r="A34" s="23" t="inlineStr">
        <is>
          <t>Self-Help</t>
        </is>
      </c>
      <c r="B34" s="21" t="inlineStr">
        <is>
          <t>Shows interest in the potty</t>
        </is>
      </c>
      <c r="C34" s="23" t="inlineStr">
        <is>
          <t>Theo</t>
        </is>
      </c>
      <c r="D34" s="23" t="inlineStr">
        <is>
          <t>Emerging</t>
        </is>
      </c>
    </row>
    <row r="35">
      <c r="A35" s="26" t="inlineStr">
        <is>
          <t>Self-Help</t>
        </is>
      </c>
      <c r="B35" s="27" t="inlineStr">
        <is>
          <t>Finger-feeds independently</t>
        </is>
      </c>
      <c r="C35" s="26" t="inlineStr">
        <is>
          <t>Nora</t>
        </is>
      </c>
      <c r="D35" s="26" t="inlineStr">
        <is>
          <t>Met</t>
        </is>
      </c>
    </row>
    <row r="36">
      <c r="A36" s="23" t="inlineStr">
        <is>
          <t>Cognitive</t>
        </is>
      </c>
      <c r="B36" s="21" t="inlineStr">
        <is>
          <t>Sorts a few shapes</t>
        </is>
      </c>
      <c r="C36" s="23" t="inlineStr">
        <is>
          <t>Theo</t>
        </is>
      </c>
      <c r="D36" s="23" t="inlineStr">
        <is>
          <t>Emerging</t>
        </is>
      </c>
    </row>
    <row r="37">
      <c r="A37" s="26" t="inlineStr">
        <is>
          <t>Cognitive</t>
        </is>
      </c>
      <c r="B37" s="27" t="inlineStr">
        <is>
          <t>Explores cause &amp; effect</t>
        </is>
      </c>
      <c r="C37" s="26" t="inlineStr">
        <is>
          <t>Theo</t>
        </is>
      </c>
      <c r="D37" s="26" t="inlineStr">
        <is>
          <t>Met</t>
        </is>
      </c>
    </row>
    <row r="38">
      <c r="A38" s="23" t="inlineStr">
        <is>
          <t>Cognitive</t>
        </is>
      </c>
      <c r="B38" s="21" t="inlineStr">
        <is>
          <t>Points to pictures in books</t>
        </is>
      </c>
      <c r="C38" s="23" t="inlineStr">
        <is>
          <t>Theo</t>
        </is>
      </c>
      <c r="D38" s="23" t="inlineStr">
        <is>
          <t>Met</t>
        </is>
      </c>
    </row>
    <row r="39">
      <c r="A39" s="26" t="inlineStr">
        <is>
          <t>Cognitive</t>
        </is>
      </c>
      <c r="B39" s="27" t="inlineStr">
        <is>
          <t>Finds a hidden object</t>
        </is>
      </c>
      <c r="C39" s="26" t="inlineStr">
        <is>
          <t>Nora</t>
        </is>
      </c>
      <c r="D39" s="26" t="inlineStr">
        <is>
          <t>Met</t>
        </is>
      </c>
    </row>
    <row r="40">
      <c r="A40" s="23" t="n"/>
      <c r="B40" s="21" t="n"/>
      <c r="C40" s="23" t="n"/>
      <c r="D40" s="23" t="n"/>
    </row>
    <row r="41">
      <c r="A41" s="26" t="n"/>
      <c r="B41" s="27" t="n"/>
      <c r="C41" s="26" t="n"/>
      <c r="D41" s="26" t="n"/>
    </row>
    <row r="42">
      <c r="A42" s="23" t="n"/>
      <c r="B42" s="21" t="n"/>
      <c r="C42" s="23" t="n"/>
      <c r="D42" s="23" t="n"/>
    </row>
    <row r="43">
      <c r="A43" s="26" t="n"/>
      <c r="B43" s="27" t="n"/>
      <c r="C43" s="26" t="n"/>
      <c r="D43" s="26" t="n"/>
    </row>
    <row r="44">
      <c r="A44" s="23" t="n"/>
      <c r="B44" s="21" t="n"/>
      <c r="C44" s="23" t="n"/>
      <c r="D44" s="23" t="n"/>
    </row>
    <row r="45">
      <c r="A45" s="26" t="n"/>
      <c r="B45" s="27" t="n"/>
      <c r="C45" s="26" t="n"/>
      <c r="D45" s="26" t="n"/>
    </row>
    <row r="46">
      <c r="A46" s="23" t="n"/>
      <c r="B46" s="21" t="n"/>
      <c r="C46" s="23" t="n"/>
      <c r="D46" s="23" t="n"/>
    </row>
    <row r="47">
      <c r="A47" s="26" t="n"/>
      <c r="B47" s="27" t="n"/>
      <c r="C47" s="26" t="n"/>
      <c r="D47" s="26" t="n"/>
    </row>
    <row r="48">
      <c r="A48" s="23" t="n"/>
      <c r="B48" s="21" t="n"/>
      <c r="C48" s="23" t="n"/>
      <c r="D48" s="23" t="n"/>
    </row>
    <row r="49">
      <c r="A49" s="26" t="n"/>
      <c r="B49" s="27" t="n"/>
      <c r="C49" s="26" t="n"/>
      <c r="D49" s="26" t="n"/>
    </row>
    <row r="51">
      <c r="B51" s="4" t="inlineStr">
        <is>
          <t>MET BY DOMAIN</t>
        </is>
      </c>
    </row>
    <row r="52">
      <c r="B52" s="18" t="inlineStr">
        <is>
          <t>Gross Motor</t>
        </is>
      </c>
      <c r="C52" s="28">
        <f>COUNTIFS(MileDomain,B52,MileStatus,"Met")</f>
        <v/>
      </c>
    </row>
    <row r="53">
      <c r="B53" s="18" t="inlineStr">
        <is>
          <t>Fine Motor</t>
        </is>
      </c>
      <c r="C53" s="28">
        <f>COUNTIFS(MileDomain,B53,MileStatus,"Met")</f>
        <v/>
      </c>
    </row>
    <row r="54">
      <c r="B54" s="18" t="inlineStr">
        <is>
          <t>Language</t>
        </is>
      </c>
      <c r="C54" s="28">
        <f>COUNTIFS(MileDomain,B54,MileStatus,"Met")</f>
        <v/>
      </c>
    </row>
    <row r="55">
      <c r="B55" s="18" t="inlineStr">
        <is>
          <t>Social-Emotional</t>
        </is>
      </c>
      <c r="C55" s="28">
        <f>COUNTIFS(MileDomain,B55,MileStatus,"Met")</f>
        <v/>
      </c>
    </row>
    <row r="56">
      <c r="B56" s="18" t="inlineStr">
        <is>
          <t>Self-Help</t>
        </is>
      </c>
      <c r="C56" s="28">
        <f>COUNTIFS(MileDomain,B56,MileStatus,"Met")</f>
        <v/>
      </c>
    </row>
    <row r="57">
      <c r="B57" s="18" t="inlineStr">
        <is>
          <t>Cognitive</t>
        </is>
      </c>
      <c r="C57" s="28">
        <f>COUNTIFS(MileDomain,B57,MileStatus,"Met")</f>
        <v/>
      </c>
    </row>
  </sheetData>
  <mergeCells count="2">
    <mergeCell ref="A1:D1"/>
    <mergeCell ref="A2:D2"/>
  </mergeCells>
  <conditionalFormatting sqref="D5:D49">
    <cfRule type="cellIs" priority="1" operator="equal" dxfId="0">
      <formula>"Met"</formula>
    </cfRule>
    <cfRule type="cellIs" priority="2" operator="equal" dxfId="1">
      <formula>"Emerging"</formula>
    </cfRule>
    <cfRule type="cellIs" priority="3" operator="equal" dxfId="2">
      <formula>"Not Yet"</formula>
    </cfRule>
  </conditionalFormatting>
  <dataValidations count="2">
    <dataValidation sqref="A5:A49" showDropDown="0" showInputMessage="0" showErrorMessage="0" allowBlank="1" type="list">
      <formula1>=DomainList</formula1>
    </dataValidation>
    <dataValidation sqref="D5:D49" showDropDown="0" showInputMessage="0" showErrorMessage="0" allowBlank="1" type="list">
      <formula1>=MileStatusList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24" customWidth="1" min="5" max="5"/>
    <col width="12" customWidth="1" min="6" max="6"/>
  </cols>
  <sheetData>
    <row r="1" ht="46" customHeight="1">
      <c r="A1" s="1" t="inlineStr">
        <is>
          <t xml:space="preserve">  💬  FIRST WORDS &amp; CONCEPTS</t>
        </is>
      </c>
    </row>
    <row r="2" ht="22" customHeight="1">
      <c r="A2" s="2" t="inlineStr">
        <is>
          <t xml:space="preserve">  The early basics — colors, shapes, body parts, animal sounds &amp; first counting. Set the word count in Settings.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Concept</t>
        </is>
      </c>
      <c r="B4" s="9" t="inlineStr">
        <is>
          <t>Category</t>
        </is>
      </c>
      <c r="C4" s="9" t="inlineStr">
        <is>
          <t>Got It?</t>
        </is>
      </c>
      <c r="E4" s="9" t="inlineStr">
        <is>
          <t>WORD COUNT</t>
        </is>
      </c>
    </row>
    <row r="5">
      <c r="A5" s="27" t="inlineStr">
        <is>
          <t>Red</t>
        </is>
      </c>
      <c r="B5" s="26" t="inlineStr">
        <is>
          <t>Colors</t>
        </is>
      </c>
      <c r="C5" s="26" t="inlineStr">
        <is>
          <t>Yes</t>
        </is>
      </c>
      <c r="E5" s="24" t="inlineStr">
        <is>
          <t>Words spoken so far</t>
        </is>
      </c>
      <c r="F5" s="29">
        <f>Words</f>
        <v/>
      </c>
    </row>
    <row r="6">
      <c r="A6" s="21" t="inlineStr">
        <is>
          <t>Blue</t>
        </is>
      </c>
      <c r="B6" s="23" t="inlineStr">
        <is>
          <t>Colors</t>
        </is>
      </c>
      <c r="C6" s="23" t="inlineStr">
        <is>
          <t>Yes</t>
        </is>
      </c>
      <c r="E6" s="24" t="inlineStr">
        <is>
          <t>Concepts got (of 24)</t>
        </is>
      </c>
      <c r="F6" s="29">
        <f>COUNTIF(ConceptDone,"Yes")</f>
        <v/>
      </c>
    </row>
    <row r="7">
      <c r="A7" s="27" t="inlineStr">
        <is>
          <t>Yellow</t>
        </is>
      </c>
      <c r="B7" s="26" t="inlineStr">
        <is>
          <t>Colors</t>
        </is>
      </c>
      <c r="C7" s="26" t="inlineStr">
        <is>
          <t>Yes</t>
        </is>
      </c>
      <c r="E7" s="24" t="inlineStr">
        <is>
          <t>New words this month</t>
        </is>
      </c>
      <c r="F7" s="30" t="n">
        <v>8</v>
      </c>
    </row>
    <row r="8">
      <c r="A8" s="21" t="inlineStr">
        <is>
          <t>Green</t>
        </is>
      </c>
      <c r="B8" s="23" t="inlineStr">
        <is>
          <t>Colors</t>
        </is>
      </c>
      <c r="C8" s="23" t="inlineStr">
        <is>
          <t>No</t>
        </is>
      </c>
      <c r="E8" s="24" t="inlineStr">
        <is>
          <t>Points to name</t>
        </is>
      </c>
      <c r="F8" s="30" t="n">
        <v>6</v>
      </c>
    </row>
    <row r="9">
      <c r="A9" s="27" t="inlineStr">
        <is>
          <t>Circle</t>
        </is>
      </c>
      <c r="B9" s="26" t="inlineStr">
        <is>
          <t>Shapes</t>
        </is>
      </c>
      <c r="C9" s="26" t="inlineStr">
        <is>
          <t>Yes</t>
        </is>
      </c>
    </row>
    <row r="10">
      <c r="A10" s="21" t="inlineStr">
        <is>
          <t>Square</t>
        </is>
      </c>
      <c r="B10" s="23" t="inlineStr">
        <is>
          <t>Shapes</t>
        </is>
      </c>
      <c r="C10" s="23" t="inlineStr">
        <is>
          <t>No</t>
        </is>
      </c>
    </row>
    <row r="11">
      <c r="A11" s="27" t="inlineStr">
        <is>
          <t>Nose</t>
        </is>
      </c>
      <c r="B11" s="26" t="inlineStr">
        <is>
          <t>Body Parts</t>
        </is>
      </c>
      <c r="C11" s="26" t="inlineStr">
        <is>
          <t>Yes</t>
        </is>
      </c>
    </row>
    <row r="12">
      <c r="A12" s="21" t="inlineStr">
        <is>
          <t>Eyes</t>
        </is>
      </c>
      <c r="B12" s="23" t="inlineStr">
        <is>
          <t>Body Parts</t>
        </is>
      </c>
      <c r="C12" s="23" t="inlineStr">
        <is>
          <t>Yes</t>
        </is>
      </c>
    </row>
    <row r="13">
      <c r="A13" s="27" t="inlineStr">
        <is>
          <t>Mouth</t>
        </is>
      </c>
      <c r="B13" s="26" t="inlineStr">
        <is>
          <t>Body Parts</t>
        </is>
      </c>
      <c r="C13" s="26" t="inlineStr">
        <is>
          <t>Yes</t>
        </is>
      </c>
    </row>
    <row r="14">
      <c r="A14" s="21" t="inlineStr">
        <is>
          <t>Ears</t>
        </is>
      </c>
      <c r="B14" s="23" t="inlineStr">
        <is>
          <t>Body Parts</t>
        </is>
      </c>
      <c r="C14" s="23" t="inlineStr">
        <is>
          <t>Yes</t>
        </is>
      </c>
    </row>
    <row r="15">
      <c r="A15" s="27" t="inlineStr">
        <is>
          <t>Hands</t>
        </is>
      </c>
      <c r="B15" s="26" t="inlineStr">
        <is>
          <t>Body Parts</t>
        </is>
      </c>
      <c r="C15" s="26" t="inlineStr">
        <is>
          <t>Yes</t>
        </is>
      </c>
    </row>
    <row r="16">
      <c r="A16" s="21" t="inlineStr">
        <is>
          <t>Feet</t>
        </is>
      </c>
      <c r="B16" s="23" t="inlineStr">
        <is>
          <t>Body Parts</t>
        </is>
      </c>
      <c r="C16" s="23" t="inlineStr">
        <is>
          <t>Yes</t>
        </is>
      </c>
    </row>
    <row r="17">
      <c r="A17" s="27" t="inlineStr">
        <is>
          <t>Tummy</t>
        </is>
      </c>
      <c r="B17" s="26" t="inlineStr">
        <is>
          <t>Body Parts</t>
        </is>
      </c>
      <c r="C17" s="26" t="inlineStr">
        <is>
          <t>No</t>
        </is>
      </c>
    </row>
    <row r="18">
      <c r="A18" s="21" t="inlineStr">
        <is>
          <t>Hair</t>
        </is>
      </c>
      <c r="B18" s="23" t="inlineStr">
        <is>
          <t>Body Parts</t>
        </is>
      </c>
      <c r="C18" s="23" t="inlineStr">
        <is>
          <t>Yes</t>
        </is>
      </c>
    </row>
    <row r="19">
      <c r="A19" s="27" t="inlineStr">
        <is>
          <t>Dog — woof</t>
        </is>
      </c>
      <c r="B19" s="26" t="inlineStr">
        <is>
          <t>Animal Sounds</t>
        </is>
      </c>
      <c r="C19" s="26" t="inlineStr">
        <is>
          <t>Yes</t>
        </is>
      </c>
    </row>
    <row r="20">
      <c r="A20" s="21" t="inlineStr">
        <is>
          <t>Cat — meow</t>
        </is>
      </c>
      <c r="B20" s="23" t="inlineStr">
        <is>
          <t>Animal Sounds</t>
        </is>
      </c>
      <c r="C20" s="23" t="inlineStr">
        <is>
          <t>Yes</t>
        </is>
      </c>
    </row>
    <row r="21">
      <c r="A21" s="27" t="inlineStr">
        <is>
          <t>Cow — moo</t>
        </is>
      </c>
      <c r="B21" s="26" t="inlineStr">
        <is>
          <t>Animal Sounds</t>
        </is>
      </c>
      <c r="C21" s="26" t="inlineStr">
        <is>
          <t>Yes</t>
        </is>
      </c>
    </row>
    <row r="22">
      <c r="A22" s="21" t="inlineStr">
        <is>
          <t>Duck — quack</t>
        </is>
      </c>
      <c r="B22" s="23" t="inlineStr">
        <is>
          <t>Animal Sounds</t>
        </is>
      </c>
      <c r="C22" s="23" t="inlineStr">
        <is>
          <t>Yes</t>
        </is>
      </c>
    </row>
    <row r="23">
      <c r="A23" s="27" t="inlineStr">
        <is>
          <t>Sheep — baa</t>
        </is>
      </c>
      <c r="B23" s="26" t="inlineStr">
        <is>
          <t>Animal Sounds</t>
        </is>
      </c>
      <c r="C23" s="26" t="inlineStr">
        <is>
          <t>No</t>
        </is>
      </c>
    </row>
    <row r="24">
      <c r="A24" s="21" t="inlineStr">
        <is>
          <t>Pig — oink</t>
        </is>
      </c>
      <c r="B24" s="23" t="inlineStr">
        <is>
          <t>Animal Sounds</t>
        </is>
      </c>
      <c r="C24" s="23" t="inlineStr">
        <is>
          <t>No</t>
        </is>
      </c>
    </row>
    <row r="25">
      <c r="A25" s="27" t="inlineStr">
        <is>
          <t>Counts to 3</t>
        </is>
      </c>
      <c r="B25" s="26" t="inlineStr">
        <is>
          <t>Counting</t>
        </is>
      </c>
      <c r="C25" s="26" t="inlineStr">
        <is>
          <t>Yes</t>
        </is>
      </c>
    </row>
    <row r="26">
      <c r="A26" s="21" t="inlineStr">
        <is>
          <t>Counts to 5</t>
        </is>
      </c>
      <c r="B26" s="23" t="inlineStr">
        <is>
          <t>Counting</t>
        </is>
      </c>
      <c r="C26" s="23" t="inlineStr">
        <is>
          <t>No</t>
        </is>
      </c>
    </row>
    <row r="27">
      <c r="A27" s="27" t="inlineStr">
        <is>
          <t>Waves hi &amp; bye</t>
        </is>
      </c>
      <c r="B27" s="26" t="inlineStr">
        <is>
          <t>Social Words</t>
        </is>
      </c>
      <c r="C27" s="26" t="inlineStr">
        <is>
          <t>Yes</t>
        </is>
      </c>
    </row>
    <row r="28">
      <c r="A28" s="21" t="inlineStr">
        <is>
          <t>Signs / says 'more'</t>
        </is>
      </c>
      <c r="B28" s="23" t="inlineStr">
        <is>
          <t>Social Words</t>
        </is>
      </c>
      <c r="C28" s="23" t="inlineStr">
        <is>
          <t>Yes</t>
        </is>
      </c>
    </row>
    <row r="29">
      <c r="A29" s="27" t="n"/>
      <c r="B29" s="26" t="n"/>
      <c r="C29" s="26" t="n"/>
    </row>
    <row r="30">
      <c r="A30" s="21" t="n"/>
      <c r="B30" s="23" t="n"/>
      <c r="C30" s="23" t="n"/>
    </row>
    <row r="31">
      <c r="A31" s="27" t="n"/>
      <c r="B31" s="26" t="n"/>
      <c r="C31" s="26" t="n"/>
    </row>
    <row r="32">
      <c r="A32" s="21" t="n"/>
      <c r="B32" s="23" t="n"/>
      <c r="C32" s="23" t="n"/>
    </row>
    <row r="33">
      <c r="A33" s="27" t="n"/>
      <c r="B33" s="26" t="n"/>
      <c r="C33" s="26" t="n"/>
    </row>
    <row r="34">
      <c r="A34" s="21" t="n"/>
      <c r="B34" s="23" t="n"/>
      <c r="C34" s="23" t="n"/>
    </row>
  </sheetData>
  <mergeCells count="2">
    <mergeCell ref="A1:C1"/>
    <mergeCell ref="A2:C2"/>
  </mergeCells>
  <conditionalFormatting sqref="C5:C34">
    <cfRule type="cellIs" priority="1" operator="equal" dxfId="0">
      <formula>"Yes"</formula>
    </cfRule>
    <cfRule type="cellIs" priority="2" operator="equal" dxfId="1">
      <formula>"No"</formula>
    </cfRule>
  </conditionalFormatting>
  <dataValidations count="2">
    <dataValidation sqref="B5:B34" showDropDown="0" showInputMessage="0" showErrorMessage="0" allowBlank="1" type="list">
      <formula1>=CategoryList</formula1>
    </dataValidation>
    <dataValidation sqref="C5:C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</cols>
  <sheetData>
    <row r="1" ht="46" customHeight="1">
      <c r="A1" s="1" t="inlineStr">
        <is>
          <t xml:space="preserve">  🗓  GENTLE WEEKLY THEMES</t>
        </is>
      </c>
    </row>
    <row r="2" ht="22" customHeight="1">
      <c r="A2" s="2" t="inlineStr">
        <is>
          <t xml:space="preserve">  A soft theme a week — a few books, songs and trays. No worksheets, just playful exposure.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Theme</t>
        </is>
      </c>
      <c r="B4" s="9" t="inlineStr">
        <is>
          <t>Focus</t>
        </is>
      </c>
      <c r="C4" s="9" t="inlineStr">
        <is>
          <t>Status</t>
        </is>
      </c>
    </row>
    <row r="5">
      <c r="A5" s="27" t="inlineStr">
        <is>
          <t>All About Me</t>
        </is>
      </c>
      <c r="B5" s="27" t="inlineStr">
        <is>
          <t>Faces, names &amp; family</t>
        </is>
      </c>
      <c r="C5" s="26" t="inlineStr">
        <is>
          <t>Done</t>
        </is>
      </c>
    </row>
    <row r="6">
      <c r="A6" s="21" t="inlineStr">
        <is>
          <t>Animals &amp; Sounds</t>
        </is>
      </c>
      <c r="B6" s="21" t="inlineStr">
        <is>
          <t>Farm &amp; pet sounds</t>
        </is>
      </c>
      <c r="C6" s="23" t="inlineStr">
        <is>
          <t>Done</t>
        </is>
      </c>
    </row>
    <row r="7">
      <c r="A7" s="27" t="inlineStr">
        <is>
          <t>Colors</t>
        </is>
      </c>
      <c r="B7" s="27" t="inlineStr">
        <is>
          <t>Red, blue, yellow play</t>
        </is>
      </c>
      <c r="C7" s="26" t="inlineStr">
        <is>
          <t>Done</t>
        </is>
      </c>
    </row>
    <row r="8">
      <c r="A8" s="21" t="inlineStr">
        <is>
          <t>Big &amp; Little</t>
        </is>
      </c>
      <c r="B8" s="21" t="inlineStr">
        <is>
          <t>Sorting &amp; size words</t>
        </is>
      </c>
      <c r="C8" s="23" t="inlineStr">
        <is>
          <t>Done</t>
        </is>
      </c>
    </row>
    <row r="9">
      <c r="A9" s="27" t="inlineStr">
        <is>
          <t>Water Play</t>
        </is>
      </c>
      <c r="B9" s="27" t="inlineStr">
        <is>
          <t>Pouring &amp; splashing</t>
        </is>
      </c>
      <c r="C9" s="26" t="inlineStr">
        <is>
          <t>Done</t>
        </is>
      </c>
    </row>
    <row r="10">
      <c r="A10" s="21" t="inlineStr">
        <is>
          <t>Things That Go</t>
        </is>
      </c>
      <c r="B10" s="21" t="inlineStr">
        <is>
          <t>Cars, trucks &amp; ramps</t>
        </is>
      </c>
      <c r="C10" s="23" t="inlineStr">
        <is>
          <t>In Progress</t>
        </is>
      </c>
    </row>
    <row r="11">
      <c r="A11" s="27" t="inlineStr">
        <is>
          <t>On the Farm</t>
        </is>
      </c>
      <c r="B11" s="27" t="inlineStr">
        <is>
          <t>Animals &amp; textures</t>
        </is>
      </c>
      <c r="C11" s="26" t="inlineStr">
        <is>
          <t>Upcoming</t>
        </is>
      </c>
    </row>
    <row r="12">
      <c r="A12" s="21" t="inlineStr">
        <is>
          <t>Weather &amp; Sky</t>
        </is>
      </c>
      <c r="B12" s="21" t="inlineStr">
        <is>
          <t>Sun, rain &amp; clouds</t>
        </is>
      </c>
      <c r="C12" s="23" t="inlineStr">
        <is>
          <t>Upcoming</t>
        </is>
      </c>
    </row>
    <row r="13">
      <c r="A13" s="27" t="inlineStr">
        <is>
          <t>Bugs &amp; Crawlies</t>
        </is>
      </c>
      <c r="B13" s="27" t="inlineStr">
        <is>
          <t>Little creatures</t>
        </is>
      </c>
      <c r="C13" s="26" t="inlineStr">
        <is>
          <t>Upcoming</t>
        </is>
      </c>
    </row>
    <row r="14">
      <c r="A14" s="21" t="inlineStr">
        <is>
          <t>Food &amp; Cooking</t>
        </is>
      </c>
      <c r="B14" s="21" t="inlineStr">
        <is>
          <t>Play kitchen fun</t>
        </is>
      </c>
      <c r="C14" s="23" t="inlineStr">
        <is>
          <t>Upcoming</t>
        </is>
      </c>
    </row>
    <row r="15">
      <c r="A15" s="27" t="inlineStr">
        <is>
          <t>Music &amp; Sounds</t>
        </is>
      </c>
      <c r="B15" s="27" t="inlineStr">
        <is>
          <t>Shakers &amp; drums</t>
        </is>
      </c>
      <c r="C15" s="26" t="inlineStr">
        <is>
          <t>Upcoming</t>
        </is>
      </c>
    </row>
    <row r="16">
      <c r="A16" s="21" t="inlineStr">
        <is>
          <t>Nature Walk</t>
        </is>
      </c>
      <c r="B16" s="21" t="inlineStr">
        <is>
          <t>Leaves, rocks &amp; sticks</t>
        </is>
      </c>
      <c r="C16" s="23" t="inlineStr">
        <is>
          <t>Upcoming</t>
        </is>
      </c>
    </row>
    <row r="17">
      <c r="A17" s="27" t="n"/>
      <c r="B17" s="27" t="n"/>
      <c r="C17" s="26" t="n"/>
    </row>
    <row r="18">
      <c r="A18" s="21" t="n"/>
      <c r="B18" s="21" t="n"/>
      <c r="C18" s="23" t="n"/>
    </row>
    <row r="19">
      <c r="A19" s="27" t="n"/>
      <c r="B19" s="27" t="n"/>
      <c r="C19" s="26" t="n"/>
    </row>
    <row r="20">
      <c r="A20" s="21" t="n"/>
      <c r="B20" s="21" t="n"/>
      <c r="C20" s="23" t="n"/>
    </row>
    <row r="21">
      <c r="A21" s="27" t="n"/>
      <c r="B21" s="27" t="n"/>
      <c r="C21" s="26" t="n"/>
    </row>
    <row r="22">
      <c r="A22" s="21" t="n"/>
      <c r="B22" s="21" t="n"/>
      <c r="C22" s="23" t="n"/>
    </row>
    <row r="23">
      <c r="A23" s="27" t="n"/>
      <c r="B23" s="27" t="n"/>
      <c r="C23" s="26" t="n"/>
    </row>
    <row r="24">
      <c r="A24" s="21" t="n"/>
      <c r="B24" s="21" t="n"/>
      <c r="C24" s="23" t="n"/>
    </row>
    <row r="25">
      <c r="A25" s="27" t="n"/>
      <c r="B25" s="27" t="n"/>
      <c r="C25" s="26" t="n"/>
    </row>
    <row r="26">
      <c r="A26" s="21" t="n"/>
      <c r="B26" s="21" t="n"/>
      <c r="C26" s="23" t="n"/>
    </row>
    <row r="27">
      <c r="A27" s="27" t="n"/>
      <c r="B27" s="27" t="n"/>
      <c r="C27" s="26" t="n"/>
    </row>
    <row r="28">
      <c r="A28" s="21" t="n"/>
      <c r="B28" s="21" t="n"/>
      <c r="C28" s="23" t="n"/>
    </row>
    <row r="29">
      <c r="A29" s="27" t="n"/>
      <c r="B29" s="27" t="n"/>
      <c r="C29" s="26" t="n"/>
    </row>
    <row r="30">
      <c r="A30" s="21" t="n"/>
      <c r="B30" s="21" t="n"/>
      <c r="C30" s="23" t="n"/>
    </row>
    <row r="31">
      <c r="A31" s="27" t="n"/>
      <c r="B31" s="27" t="n"/>
      <c r="C31" s="26" t="n"/>
    </row>
    <row r="32">
      <c r="A32" s="21" t="n"/>
      <c r="B32" s="21" t="n"/>
      <c r="C32" s="23" t="n"/>
    </row>
    <row r="33">
      <c r="A33" s="27" t="n"/>
      <c r="B33" s="27" t="n"/>
      <c r="C33" s="26" t="n"/>
    </row>
    <row r="34">
      <c r="A34" s="21" t="n"/>
      <c r="B34" s="21" t="n"/>
      <c r="C34" s="23" t="n"/>
    </row>
  </sheetData>
  <mergeCells count="2">
    <mergeCell ref="A1:C1"/>
    <mergeCell ref="A2:C2"/>
  </mergeCells>
  <conditionalFormatting sqref="C5:C34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"Upcoming"</formula>
    </cfRule>
  </conditionalFormatting>
  <dataValidations count="1">
    <dataValidation sqref="C5:C34" showDropDown="0" showInputMessage="0" showErrorMessage="0" allowBlank="1" type="list">
      <formula1>=ThemeStatusList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26" customWidth="1" min="3" max="3"/>
    <col width="30" customWidth="1" min="4" max="4"/>
    <col width="2" customWidth="1" min="5" max="5"/>
  </cols>
  <sheetData>
    <row r="1" ht="46" customHeight="1">
      <c r="A1" s="1" t="inlineStr">
        <is>
          <t xml:space="preserve">  🌤  DAILY RHYTHM</t>
        </is>
      </c>
    </row>
    <row r="2" ht="22" customHeight="1">
      <c r="A2" s="2" t="inlineStr">
        <is>
          <t xml:space="preserve">  A loose, repeatable flow around meals &amp; naps — toddlers thrive on rhythm, not a clock.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When</t>
        </is>
      </c>
      <c r="C4" s="9" t="inlineStr">
        <is>
          <t>Block</t>
        </is>
      </c>
      <c r="D4" s="9" t="inlineStr">
        <is>
          <t>What we do</t>
        </is>
      </c>
    </row>
    <row r="5">
      <c r="B5" s="20" t="inlineStr">
        <is>
          <t>Morning</t>
        </is>
      </c>
      <c r="C5" s="18" t="inlineStr">
        <is>
          <t>Wake &amp; breakfast</t>
        </is>
      </c>
      <c r="D5" s="18" t="inlineStr">
        <is>
          <t>Cuddles, milk, free play as the day starts</t>
        </is>
      </c>
    </row>
    <row r="6">
      <c r="B6" s="23" t="inlineStr">
        <is>
          <t>~9:00</t>
        </is>
      </c>
      <c r="C6" s="21" t="inlineStr">
        <is>
          <t>Tot time</t>
        </is>
      </c>
      <c r="D6" s="21" t="inlineStr">
        <is>
          <t>A short theme song, a book &amp; one tot tray</t>
        </is>
      </c>
    </row>
    <row r="7">
      <c r="B7" s="20" t="inlineStr">
        <is>
          <t>~9:45</t>
        </is>
      </c>
      <c r="C7" s="18" t="inlineStr">
        <is>
          <t>Snack</t>
        </is>
      </c>
      <c r="D7" s="18" t="inlineStr">
        <is>
          <t>Snack + a board-book read-aloud</t>
        </is>
      </c>
    </row>
    <row r="8">
      <c r="B8" s="23" t="inlineStr">
        <is>
          <t>~10:15</t>
        </is>
      </c>
      <c r="C8" s="21" t="inlineStr">
        <is>
          <t>Outside / movement</t>
        </is>
      </c>
      <c r="D8" s="21" t="inlineStr">
        <is>
          <t>Backyard, stroller walk or the park</t>
        </is>
      </c>
    </row>
    <row r="9">
      <c r="B9" s="20" t="inlineStr">
        <is>
          <t>~11:00</t>
        </is>
      </c>
      <c r="C9" s="18" t="inlineStr">
        <is>
          <t>Sensory or messy play</t>
        </is>
      </c>
      <c r="D9" s="18" t="inlineStr">
        <is>
          <t>The day's sensory bin or messy activity</t>
        </is>
      </c>
    </row>
    <row r="10">
      <c r="B10" s="23" t="inlineStr">
        <is>
          <t>Noon</t>
        </is>
      </c>
      <c r="C10" s="21" t="inlineStr">
        <is>
          <t>Lunch</t>
        </is>
      </c>
      <c r="D10" s="21" t="inlineStr">
        <is>
          <t>Self-feeding practice &amp; lots of mess</t>
        </is>
      </c>
    </row>
    <row r="11">
      <c r="B11" s="20" t="inlineStr">
        <is>
          <t>~1:00</t>
        </is>
      </c>
      <c r="C11" s="18" t="inlineStr">
        <is>
          <t>Nap</t>
        </is>
      </c>
      <c r="D11" s="18" t="inlineStr">
        <is>
          <t>Quiet room, comfort item, rest</t>
        </is>
      </c>
    </row>
    <row r="12">
      <c r="B12" s="23" t="inlineStr">
        <is>
          <t>Afternoon</t>
        </is>
      </c>
      <c r="C12" s="21" t="inlineStr">
        <is>
          <t>Open play</t>
        </is>
      </c>
      <c r="D12" s="21" t="inlineStr">
        <is>
          <t>Blocks, stacking, pretend, board books</t>
        </is>
      </c>
    </row>
    <row r="13">
      <c r="B13" s="20" t="inlineStr">
        <is>
          <t>Late day</t>
        </is>
      </c>
      <c r="C13" s="18" t="inlineStr">
        <is>
          <t>Tidy &amp; wind-down</t>
        </is>
      </c>
      <c r="D13" s="18" t="inlineStr">
        <is>
          <t>Clean-up song, bath, one more story</t>
        </is>
      </c>
    </row>
    <row r="15">
      <c r="B15" s="4" t="inlineStr">
        <is>
          <t>Follow your tot: skip, swap or shorten any block. On hard days, connection beats the plan every time.</t>
        </is>
      </c>
    </row>
  </sheetData>
  <mergeCells count="3">
    <mergeCell ref="B15:D15"/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</cols>
  <sheetData>
    <row r="1" ht="46" customHeight="1">
      <c r="A1" s="1" t="inlineStr">
        <is>
          <t xml:space="preserve">  🧩  TOT TRAYS &amp; ACTIVITIES</t>
        </is>
      </c>
    </row>
    <row r="2" ht="22" customHeight="1">
      <c r="A2" s="2" t="inlineStr">
        <is>
          <t xml:space="preserve">  Simple invitations to play — one tray at a time, tagged to a skill. Set it out, watch, check it off.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Tray / Activity</t>
        </is>
      </c>
      <c r="B4" s="9" t="inlineStr">
        <is>
          <t>Skill Area</t>
        </is>
      </c>
      <c r="C4" s="9" t="inlineStr">
        <is>
          <t>Status</t>
        </is>
      </c>
    </row>
    <row r="5">
      <c r="A5" s="27" t="inlineStr">
        <is>
          <t>Pom-pom drop into a bottle</t>
        </is>
      </c>
      <c r="B5" s="26" t="inlineStr">
        <is>
          <t>Fine Motor</t>
        </is>
      </c>
      <c r="C5" s="26" t="inlineStr">
        <is>
          <t>Done</t>
        </is>
      </c>
    </row>
    <row r="6">
      <c r="A6" s="21" t="inlineStr">
        <is>
          <t>Water pouring station</t>
        </is>
      </c>
      <c r="B6" s="23" t="inlineStr">
        <is>
          <t>Practical Life</t>
        </is>
      </c>
      <c r="C6" s="23" t="inlineStr">
        <is>
          <t>Done</t>
        </is>
      </c>
    </row>
    <row r="7">
      <c r="A7" s="27" t="inlineStr">
        <is>
          <t>Animal-sound matching</t>
        </is>
      </c>
      <c r="B7" s="26" t="inlineStr">
        <is>
          <t>Language</t>
        </is>
      </c>
      <c r="C7" s="26" t="inlineStr">
        <is>
          <t>Done</t>
        </is>
      </c>
    </row>
    <row r="8">
      <c r="A8" s="21" t="inlineStr">
        <is>
          <t>Color-sorting cups</t>
        </is>
      </c>
      <c r="B8" s="23" t="inlineStr">
        <is>
          <t>Cognitive</t>
        </is>
      </c>
      <c r="C8" s="23" t="inlineStr">
        <is>
          <t>Done</t>
        </is>
      </c>
    </row>
    <row r="9">
      <c r="A9" s="27" t="inlineStr">
        <is>
          <t>Rainbow rice sensory bin</t>
        </is>
      </c>
      <c r="B9" s="26" t="inlineStr">
        <is>
          <t>Sensory</t>
        </is>
      </c>
      <c r="C9" s="26" t="inlineStr">
        <is>
          <t>Done</t>
        </is>
      </c>
    </row>
    <row r="10">
      <c r="A10" s="21" t="inlineStr">
        <is>
          <t>Sticker peel &amp; place</t>
        </is>
      </c>
      <c r="B10" s="23" t="inlineStr">
        <is>
          <t>Fine Motor</t>
        </is>
      </c>
      <c r="C10" s="23" t="inlineStr">
        <is>
          <t>Done</t>
        </is>
      </c>
    </row>
    <row r="11">
      <c r="A11" s="27" t="inlineStr">
        <is>
          <t>Play-dough squish &amp; poke</t>
        </is>
      </c>
      <c r="B11" s="26" t="inlineStr">
        <is>
          <t>Fine Motor</t>
        </is>
      </c>
      <c r="C11" s="26" t="inlineStr">
        <is>
          <t>Done</t>
        </is>
      </c>
    </row>
    <row r="12">
      <c r="A12" s="21" t="inlineStr">
        <is>
          <t>Ball ramp &amp; roll</t>
        </is>
      </c>
      <c r="B12" s="23" t="inlineStr">
        <is>
          <t>Gross Motor</t>
        </is>
      </c>
      <c r="C12" s="23" t="inlineStr">
        <is>
          <t>Done</t>
        </is>
      </c>
    </row>
    <row r="13">
      <c r="A13" s="27" t="inlineStr">
        <is>
          <t>Peekaboo scarves</t>
        </is>
      </c>
      <c r="B13" s="26" t="inlineStr">
        <is>
          <t>Social-Emotional</t>
        </is>
      </c>
      <c r="C13" s="26" t="inlineStr">
        <is>
          <t>Done</t>
        </is>
      </c>
    </row>
    <row r="14">
      <c r="A14" s="21" t="inlineStr">
        <is>
          <t>Stacking rings</t>
        </is>
      </c>
      <c r="B14" s="23" t="inlineStr">
        <is>
          <t>Fine Motor</t>
        </is>
      </c>
      <c r="C14" s="23" t="inlineStr">
        <is>
          <t>Done</t>
        </is>
      </c>
    </row>
    <row r="15">
      <c r="A15" s="27" t="inlineStr">
        <is>
          <t>Shape sorter</t>
        </is>
      </c>
      <c r="B15" s="26" t="inlineStr">
        <is>
          <t>Cognitive</t>
        </is>
      </c>
      <c r="C15" s="26" t="inlineStr">
        <is>
          <t>Planned</t>
        </is>
      </c>
    </row>
    <row r="16">
      <c r="A16" s="21" t="inlineStr">
        <is>
          <t>Posting coins in a slot</t>
        </is>
      </c>
      <c r="B16" s="23" t="inlineStr">
        <is>
          <t>Fine Motor</t>
        </is>
      </c>
      <c r="C16" s="23" t="inlineStr">
        <is>
          <t>Planned</t>
        </is>
      </c>
    </row>
    <row r="17">
      <c r="A17" s="27" t="inlineStr">
        <is>
          <t>Bubble-wrap stomp</t>
        </is>
      </c>
      <c r="B17" s="26" t="inlineStr">
        <is>
          <t>Gross Motor</t>
        </is>
      </c>
      <c r="C17" s="26" t="inlineStr">
        <is>
          <t>Planned</t>
        </is>
      </c>
    </row>
    <row r="18">
      <c r="A18" s="21" t="inlineStr">
        <is>
          <t>Nature basket explore</t>
        </is>
      </c>
      <c r="B18" s="23" t="inlineStr">
        <is>
          <t>Sensory</t>
        </is>
      </c>
      <c r="C18" s="23" t="inlineStr">
        <is>
          <t>Planned</t>
        </is>
      </c>
    </row>
    <row r="19">
      <c r="A19" s="27" t="inlineStr">
        <is>
          <t>Finger painting</t>
        </is>
      </c>
      <c r="B19" s="26" t="inlineStr">
        <is>
          <t>Sensory</t>
        </is>
      </c>
      <c r="C19" s="26" t="inlineStr">
        <is>
          <t>Planned</t>
        </is>
      </c>
    </row>
    <row r="20">
      <c r="A20" s="21" t="inlineStr">
        <is>
          <t>Kinetic-sand tray</t>
        </is>
      </c>
      <c r="B20" s="23" t="inlineStr">
        <is>
          <t>Sensory</t>
        </is>
      </c>
      <c r="C20" s="23" t="inlineStr">
        <is>
          <t>Planned</t>
        </is>
      </c>
    </row>
    <row r="21">
      <c r="A21" s="27" t="n"/>
      <c r="B21" s="26" t="n"/>
      <c r="C21" s="26" t="n"/>
    </row>
    <row r="22">
      <c r="A22" s="21" t="n"/>
      <c r="B22" s="23" t="n"/>
      <c r="C22" s="23" t="n"/>
    </row>
    <row r="23">
      <c r="A23" s="27" t="n"/>
      <c r="B23" s="26" t="n"/>
      <c r="C23" s="26" t="n"/>
    </row>
    <row r="24">
      <c r="A24" s="21" t="n"/>
      <c r="B24" s="23" t="n"/>
      <c r="C24" s="23" t="n"/>
    </row>
    <row r="25">
      <c r="A25" s="27" t="n"/>
      <c r="B25" s="26" t="n"/>
      <c r="C25" s="26" t="n"/>
    </row>
    <row r="26">
      <c r="A26" s="21" t="n"/>
      <c r="B26" s="23" t="n"/>
      <c r="C26" s="23" t="n"/>
    </row>
    <row r="27">
      <c r="A27" s="27" t="n"/>
      <c r="B27" s="26" t="n"/>
      <c r="C27" s="26" t="n"/>
    </row>
    <row r="28">
      <c r="A28" s="21" t="n"/>
      <c r="B28" s="23" t="n"/>
      <c r="C28" s="23" t="n"/>
    </row>
    <row r="29">
      <c r="A29" s="27" t="n"/>
      <c r="B29" s="26" t="n"/>
      <c r="C29" s="26" t="n"/>
    </row>
    <row r="30">
      <c r="A30" s="21" t="n"/>
      <c r="B30" s="23" t="n"/>
      <c r="C30" s="23" t="n"/>
    </row>
    <row r="31">
      <c r="A31" s="27" t="n"/>
      <c r="B31" s="26" t="n"/>
      <c r="C31" s="26" t="n"/>
    </row>
    <row r="32">
      <c r="A32" s="21" t="n"/>
      <c r="B32" s="23" t="n"/>
      <c r="C32" s="23" t="n"/>
    </row>
    <row r="33">
      <c r="A33" s="27" t="n"/>
      <c r="B33" s="26" t="n"/>
      <c r="C33" s="26" t="n"/>
    </row>
    <row r="34">
      <c r="A34" s="21" t="n"/>
      <c r="B34" s="23" t="n"/>
      <c r="C34" s="23" t="n"/>
    </row>
    <row r="35">
      <c r="A35" s="27" t="n"/>
      <c r="B35" s="26" t="n"/>
      <c r="C35" s="26" t="n"/>
    </row>
    <row r="36">
      <c r="A36" s="21" t="n"/>
      <c r="B36" s="23" t="n"/>
      <c r="C36" s="23" t="n"/>
    </row>
    <row r="37">
      <c r="A37" s="27" t="n"/>
      <c r="B37" s="26" t="n"/>
      <c r="C37" s="26" t="n"/>
    </row>
    <row r="38">
      <c r="A38" s="21" t="n"/>
      <c r="B38" s="23" t="n"/>
      <c r="C38" s="23" t="n"/>
    </row>
    <row r="39">
      <c r="A39" s="27" t="n"/>
      <c r="B39" s="26" t="n"/>
      <c r="C39" s="26" t="n"/>
    </row>
    <row r="40">
      <c r="A40" s="21" t="n"/>
      <c r="B40" s="23" t="n"/>
      <c r="C40" s="23" t="n"/>
    </row>
    <row r="41">
      <c r="A41" s="27" t="n"/>
      <c r="B41" s="26" t="n"/>
      <c r="C41" s="26" t="n"/>
    </row>
    <row r="42">
      <c r="A42" s="21" t="n"/>
      <c r="B42" s="23" t="n"/>
      <c r="C42" s="23" t="n"/>
    </row>
    <row r="43">
      <c r="A43" s="27" t="n"/>
      <c r="B43" s="26" t="n"/>
      <c r="C43" s="26" t="n"/>
    </row>
    <row r="44">
      <c r="A44" s="21" t="n"/>
      <c r="B44" s="23" t="n"/>
      <c r="C44" s="23" t="n"/>
    </row>
  </sheetData>
  <mergeCells count="2">
    <mergeCell ref="A1:C1"/>
    <mergeCell ref="A2:C2"/>
  </mergeCells>
  <conditionalFormatting sqref="C5:C44">
    <cfRule type="cellIs" priority="1" operator="equal" dxfId="0">
      <formula>"Done"</formula>
    </cfRule>
    <cfRule type="cellIs" priority="2" operator="equal" dxfId="1">
      <formula>"Planned"</formula>
    </cfRule>
    <cfRule type="cellIs" priority="3" operator="equal" dxfId="3">
      <formula>"Skipped"</formula>
    </cfRule>
  </conditionalFormatting>
  <dataValidations count="2">
    <dataValidation sqref="B5:B44" showDropDown="0" showInputMessage="0" showErrorMessage="0" allowBlank="1" type="list">
      <formula1>=DomainList</formula1>
    </dataValidation>
    <dataValidation sqref="C5:C44" showDropDown="0" showInputMessage="0" showErrorMessage="0" allowBlank="1" type="list">
      <formula1>=TrayStatusList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</cols>
  <sheetData>
    <row r="1" ht="46" customHeight="1">
      <c r="A1" s="1" t="inlineStr">
        <is>
          <t xml:space="preserve">  📖  BOARD-BOOK LOG</t>
        </is>
      </c>
    </row>
    <row r="2" ht="22" customHeight="1">
      <c r="A2" s="2" t="inlineStr">
        <is>
          <t xml:space="preserve">  The heart of tot-school — every well-loved board book &amp; how many times. Set the rotation size in Settings.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Title</t>
        </is>
      </c>
      <c r="B4" s="9" t="inlineStr">
        <is>
          <t>Author</t>
        </is>
      </c>
      <c r="C4" s="9" t="inlineStr">
        <is>
          <t>Times Read</t>
        </is>
      </c>
      <c r="D4" s="9" t="inlineStr">
        <is>
          <t>Loved?</t>
        </is>
      </c>
    </row>
    <row r="5">
      <c r="A5" s="27" t="inlineStr">
        <is>
          <t>Goodnight Moon</t>
        </is>
      </c>
      <c r="B5" s="27" t="inlineStr">
        <is>
          <t>Margaret Wise Brown</t>
        </is>
      </c>
      <c r="C5" s="31" t="n">
        <v>22</v>
      </c>
      <c r="D5" s="26" t="inlineStr">
        <is>
          <t>Loved it</t>
        </is>
      </c>
    </row>
    <row r="6">
      <c r="A6" s="21" t="inlineStr">
        <is>
          <t>Brown Bear, Brown Bear</t>
        </is>
      </c>
      <c r="B6" s="21" t="inlineStr">
        <is>
          <t>Bill Martin Jr.</t>
        </is>
      </c>
      <c r="C6" s="32" t="n">
        <v>18</v>
      </c>
      <c r="D6" s="23" t="inlineStr">
        <is>
          <t>Loved it</t>
        </is>
      </c>
    </row>
    <row r="7">
      <c r="A7" s="27" t="inlineStr">
        <is>
          <t>Dear Zoo</t>
        </is>
      </c>
      <c r="B7" s="27" t="inlineStr">
        <is>
          <t>Rod Campbell</t>
        </is>
      </c>
      <c r="C7" s="31" t="n">
        <v>15</v>
      </c>
      <c r="D7" s="26" t="inlineStr">
        <is>
          <t>Loved it</t>
        </is>
      </c>
    </row>
    <row r="8">
      <c r="A8" s="21" t="inlineStr">
        <is>
          <t>The Very Hungry Caterpillar</t>
        </is>
      </c>
      <c r="B8" s="21" t="inlineStr">
        <is>
          <t>Eric Carle</t>
        </is>
      </c>
      <c r="C8" s="32" t="n">
        <v>12</v>
      </c>
      <c r="D8" s="23" t="inlineStr">
        <is>
          <t>Loved it</t>
        </is>
      </c>
    </row>
    <row r="9">
      <c r="A9" s="27" t="inlineStr">
        <is>
          <t>Peek-a Who?</t>
        </is>
      </c>
      <c r="B9" s="27" t="inlineStr">
        <is>
          <t>Nina Laden</t>
        </is>
      </c>
      <c r="C9" s="31" t="n">
        <v>20</v>
      </c>
      <c r="D9" s="26" t="inlineStr">
        <is>
          <t>Loved it</t>
        </is>
      </c>
    </row>
    <row r="10">
      <c r="A10" s="21" t="inlineStr">
        <is>
          <t>Moo, Baa, La La La!</t>
        </is>
      </c>
      <c r="B10" s="21" t="inlineStr">
        <is>
          <t>Sandra Boynton</t>
        </is>
      </c>
      <c r="C10" s="32" t="n">
        <v>16</v>
      </c>
      <c r="D10" s="23" t="inlineStr">
        <is>
          <t>Loved it</t>
        </is>
      </c>
    </row>
    <row r="11">
      <c r="A11" s="27" t="inlineStr">
        <is>
          <t>Pat the Bunny</t>
        </is>
      </c>
      <c r="B11" s="27" t="inlineStr">
        <is>
          <t>Dorothy Kunhardt</t>
        </is>
      </c>
      <c r="C11" s="31" t="n">
        <v>9</v>
      </c>
      <c r="D11" s="26" t="inlineStr">
        <is>
          <t>Liked it</t>
        </is>
      </c>
    </row>
    <row r="12">
      <c r="A12" s="21" t="inlineStr">
        <is>
          <t>Where's Spot?</t>
        </is>
      </c>
      <c r="B12" s="21" t="inlineStr">
        <is>
          <t>Eric Hill</t>
        </is>
      </c>
      <c r="C12" s="32" t="n">
        <v>11</v>
      </c>
      <c r="D12" s="23" t="inlineStr">
        <is>
          <t>Loved it</t>
        </is>
      </c>
    </row>
    <row r="13">
      <c r="A13" s="27" t="inlineStr">
        <is>
          <t>Global Babies</t>
        </is>
      </c>
      <c r="B13" s="27" t="inlineStr">
        <is>
          <t>The Global Fund</t>
        </is>
      </c>
      <c r="C13" s="31" t="n">
        <v>7</v>
      </c>
      <c r="D13" s="26" t="inlineStr">
        <is>
          <t>Liked it</t>
        </is>
      </c>
    </row>
    <row r="14">
      <c r="A14" s="21" t="inlineStr">
        <is>
          <t>Little Blue Truck</t>
        </is>
      </c>
      <c r="B14" s="21" t="inlineStr">
        <is>
          <t>Alice Schertle</t>
        </is>
      </c>
      <c r="C14" s="32" t="n">
        <v>13</v>
      </c>
      <c r="D14" s="23" t="inlineStr">
        <is>
          <t>Loved it</t>
        </is>
      </c>
    </row>
    <row r="15">
      <c r="A15" s="27" t="n"/>
      <c r="B15" s="27" t="n"/>
      <c r="C15" s="31" t="n"/>
      <c r="D15" s="26" t="n"/>
    </row>
    <row r="16">
      <c r="A16" s="21" t="n"/>
      <c r="B16" s="21" t="n"/>
      <c r="C16" s="32" t="n"/>
      <c r="D16" s="23" t="n"/>
    </row>
    <row r="17">
      <c r="A17" s="27" t="n"/>
      <c r="B17" s="27" t="n"/>
      <c r="C17" s="31" t="n"/>
      <c r="D17" s="26" t="n"/>
    </row>
    <row r="18">
      <c r="A18" s="21" t="n"/>
      <c r="B18" s="21" t="n"/>
      <c r="C18" s="32" t="n"/>
      <c r="D18" s="23" t="n"/>
    </row>
    <row r="19">
      <c r="A19" s="27" t="n"/>
      <c r="B19" s="27" t="n"/>
      <c r="C19" s="31" t="n"/>
      <c r="D19" s="26" t="n"/>
    </row>
    <row r="20">
      <c r="A20" s="21" t="n"/>
      <c r="B20" s="21" t="n"/>
      <c r="C20" s="32" t="n"/>
      <c r="D20" s="23" t="n"/>
    </row>
    <row r="21">
      <c r="A21" s="27" t="n"/>
      <c r="B21" s="27" t="n"/>
      <c r="C21" s="31" t="n"/>
      <c r="D21" s="26" t="n"/>
    </row>
    <row r="22">
      <c r="A22" s="21" t="n"/>
      <c r="B22" s="21" t="n"/>
      <c r="C22" s="32" t="n"/>
      <c r="D22" s="23" t="n"/>
    </row>
    <row r="23">
      <c r="A23" s="27" t="n"/>
      <c r="B23" s="27" t="n"/>
      <c r="C23" s="31" t="n"/>
      <c r="D23" s="26" t="n"/>
    </row>
    <row r="24">
      <c r="A24" s="21" t="n"/>
      <c r="B24" s="21" t="n"/>
      <c r="C24" s="32" t="n"/>
      <c r="D24" s="23" t="n"/>
    </row>
    <row r="25">
      <c r="A25" s="27" t="n"/>
      <c r="B25" s="27" t="n"/>
      <c r="C25" s="31" t="n"/>
      <c r="D25" s="26" t="n"/>
    </row>
    <row r="26">
      <c r="A26" s="21" t="n"/>
      <c r="B26" s="21" t="n"/>
      <c r="C26" s="32" t="n"/>
      <c r="D26" s="23" t="n"/>
    </row>
    <row r="27">
      <c r="A27" s="27" t="n"/>
      <c r="B27" s="27" t="n"/>
      <c r="C27" s="31" t="n"/>
      <c r="D27" s="26" t="n"/>
    </row>
    <row r="28">
      <c r="A28" s="21" t="n"/>
      <c r="B28" s="21" t="n"/>
      <c r="C28" s="32" t="n"/>
      <c r="D28" s="23" t="n"/>
    </row>
    <row r="29">
      <c r="A29" s="27" t="n"/>
      <c r="B29" s="27" t="n"/>
      <c r="C29" s="31" t="n"/>
      <c r="D29" s="26" t="n"/>
    </row>
    <row r="30">
      <c r="A30" s="21" t="n"/>
      <c r="B30" s="21" t="n"/>
      <c r="C30" s="32" t="n"/>
      <c r="D30" s="23" t="n"/>
    </row>
    <row r="31">
      <c r="A31" s="27" t="n"/>
      <c r="B31" s="27" t="n"/>
      <c r="C31" s="31" t="n"/>
      <c r="D31" s="26" t="n"/>
    </row>
    <row r="32">
      <c r="A32" s="21" t="n"/>
      <c r="B32" s="21" t="n"/>
      <c r="C32" s="32" t="n"/>
      <c r="D32" s="23" t="n"/>
    </row>
    <row r="33">
      <c r="A33" s="27" t="n"/>
      <c r="B33" s="27" t="n"/>
      <c r="C33" s="31" t="n"/>
      <c r="D33" s="26" t="n"/>
    </row>
    <row r="34">
      <c r="A34" s="21" t="n"/>
      <c r="B34" s="21" t="n"/>
      <c r="C34" s="32" t="n"/>
      <c r="D34" s="23" t="n"/>
    </row>
    <row r="35">
      <c r="A35" s="27" t="n"/>
      <c r="B35" s="27" t="n"/>
      <c r="C35" s="31" t="n"/>
      <c r="D35" s="26" t="n"/>
    </row>
    <row r="36">
      <c r="A36" s="21" t="n"/>
      <c r="B36" s="21" t="n"/>
      <c r="C36" s="32" t="n"/>
      <c r="D36" s="23" t="n"/>
    </row>
    <row r="37">
      <c r="A37" s="27" t="n"/>
      <c r="B37" s="27" t="n"/>
      <c r="C37" s="31" t="n"/>
      <c r="D37" s="26" t="n"/>
    </row>
    <row r="38">
      <c r="A38" s="21" t="n"/>
      <c r="B38" s="21" t="n"/>
      <c r="C38" s="32" t="n"/>
      <c r="D38" s="23" t="n"/>
    </row>
    <row r="39">
      <c r="A39" s="27" t="n"/>
      <c r="B39" s="27" t="n"/>
      <c r="C39" s="31" t="n"/>
      <c r="D39" s="26" t="n"/>
    </row>
    <row r="40">
      <c r="A40" s="21" t="n"/>
      <c r="B40" s="21" t="n"/>
      <c r="C40" s="32" t="n"/>
      <c r="D40" s="23" t="n"/>
    </row>
    <row r="41">
      <c r="A41" s="27" t="n"/>
      <c r="B41" s="27" t="n"/>
      <c r="C41" s="31" t="n"/>
      <c r="D41" s="26" t="n"/>
    </row>
    <row r="42">
      <c r="A42" s="21" t="n"/>
      <c r="B42" s="21" t="n"/>
      <c r="C42" s="32" t="n"/>
      <c r="D42" s="23" t="n"/>
    </row>
    <row r="43">
      <c r="A43" s="27" t="n"/>
      <c r="B43" s="27" t="n"/>
      <c r="C43" s="31" t="n"/>
      <c r="D43" s="26" t="n"/>
    </row>
    <row r="44">
      <c r="A44" s="21" t="n"/>
      <c r="B44" s="21" t="n"/>
      <c r="C44" s="32" t="n"/>
      <c r="D44" s="23" t="n"/>
    </row>
  </sheetData>
  <mergeCells count="2">
    <mergeCell ref="A1:D1"/>
    <mergeCell ref="A2:D2"/>
  </mergeCells>
  <conditionalFormatting sqref="D5:D44">
    <cfRule type="cellIs" priority="1" operator="equal" dxfId="0">
      <formula>"Loved it"</formula>
    </cfRule>
  </conditionalFormatting>
  <conditionalFormatting sqref="C5:C44">
    <cfRule type="dataBar" priority="2">
      <dataBar showValue="1">
        <cfvo type="num" val="0"/>
        <cfvo type="num" val="22"/>
        <color rgb="001B4F48"/>
      </dataBar>
    </cfRule>
  </conditionalFormatting>
  <dataValidations count="1">
    <dataValidation sqref="D5:D44" showDropDown="0" showInputMessage="0" showErrorMessage="0" allowBlank="1" type="list">
      <formula1>=LovedList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20" customWidth="1" min="4" max="4"/>
  </cols>
  <sheetData>
    <row r="1" ht="46" customHeight="1">
      <c r="A1" s="1" t="inlineStr">
        <is>
          <t xml:space="preserve">  🖐  MESSY &amp; SENSORY PLAY BANK</t>
        </is>
      </c>
    </row>
    <row r="2" ht="22" customHeight="1">
      <c r="A2" s="2" t="inlineStr">
        <is>
          <t xml:space="preserve">  A grab-and-go idea bank for busy little hands — most from what you already have. Taste-safe noted.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Activity</t>
        </is>
      </c>
      <c r="B4" s="9" t="inlineStr">
        <is>
          <t>Area</t>
        </is>
      </c>
      <c r="C4" s="9" t="inlineStr">
        <is>
          <t>Materials</t>
        </is>
      </c>
      <c r="D4" s="9" t="inlineStr">
        <is>
          <t>Builds</t>
        </is>
      </c>
    </row>
    <row r="5">
      <c r="A5" s="27" t="inlineStr">
        <is>
          <t>Cloud-dough dig</t>
        </is>
      </c>
      <c r="B5" s="26" t="inlineStr">
        <is>
          <t>Sensory</t>
        </is>
      </c>
      <c r="C5" s="27" t="inlineStr">
        <is>
          <t>Flour, oil, scoops, cups</t>
        </is>
      </c>
      <c r="D5" s="27" t="inlineStr">
        <is>
          <t>Scooping · texture</t>
        </is>
      </c>
    </row>
    <row r="6">
      <c r="A6" s="21" t="inlineStr">
        <is>
          <t>Frozen-fruit teether tray</t>
        </is>
      </c>
      <c r="B6" s="23" t="inlineStr">
        <is>
          <t>Taste-safe</t>
        </is>
      </c>
      <c r="C6" s="21" t="inlineStr">
        <is>
          <t>Frozen fruit, mesh feeder</t>
        </is>
      </c>
      <c r="D6" s="21" t="inlineStr">
        <is>
          <t>Soothing · self-feed</t>
        </is>
      </c>
    </row>
    <row r="7">
      <c r="A7" s="27" t="inlineStr">
        <is>
          <t>Taped-road cars</t>
        </is>
      </c>
      <c r="B7" s="26" t="inlineStr">
        <is>
          <t>Fine Motor</t>
        </is>
      </c>
      <c r="C7" s="27" t="inlineStr">
        <is>
          <t>Painter's tape, toy cars</t>
        </is>
      </c>
      <c r="D7" s="27" t="inlineStr">
        <is>
          <t>Tracking · play</t>
        </is>
      </c>
    </row>
    <row r="8">
      <c r="A8" s="21" t="inlineStr">
        <is>
          <t>Water &amp; sponge transfer</t>
        </is>
      </c>
      <c r="B8" s="23" t="inlineStr">
        <is>
          <t>Practical Life</t>
        </is>
      </c>
      <c r="C8" s="21" t="inlineStr">
        <is>
          <t>Two tubs, sponges</t>
        </is>
      </c>
      <c r="D8" s="21" t="inlineStr">
        <is>
          <t>Squeeze · pour</t>
        </is>
      </c>
    </row>
    <row r="9">
      <c r="A9" s="27" t="inlineStr">
        <is>
          <t>Edible finger paint</t>
        </is>
      </c>
      <c r="B9" s="26" t="inlineStr">
        <is>
          <t>Taste-safe Art</t>
        </is>
      </c>
      <c r="C9" s="27" t="inlineStr">
        <is>
          <t>Yogurt + food color</t>
        </is>
      </c>
      <c r="D9" s="27" t="inlineStr">
        <is>
          <t>Color · mark-making</t>
        </is>
      </c>
    </row>
    <row r="10">
      <c r="A10" s="21" t="inlineStr">
        <is>
          <t>Muffin-tin sort</t>
        </is>
      </c>
      <c r="B10" s="23" t="inlineStr">
        <is>
          <t>Cognitive</t>
        </is>
      </c>
      <c r="C10" s="21" t="inlineStr">
        <is>
          <t>Muffin tin, pom-poms</t>
        </is>
      </c>
      <c r="D10" s="21" t="inlineStr">
        <is>
          <t>Sorting · counting</t>
        </is>
      </c>
    </row>
    <row r="11">
      <c r="A11" s="27" t="inlineStr">
        <is>
          <t>Contact-paper collage</t>
        </is>
      </c>
      <c r="B11" s="26" t="inlineStr">
        <is>
          <t>Art</t>
        </is>
      </c>
      <c r="C11" s="27" t="inlineStr">
        <is>
          <t>Contact paper, tissue</t>
        </is>
      </c>
      <c r="D11" s="27" t="inlineStr">
        <is>
          <t>Sticky exploration</t>
        </is>
      </c>
    </row>
    <row r="12">
      <c r="A12" s="21" t="inlineStr">
        <is>
          <t>Sensory bag squish</t>
        </is>
      </c>
      <c r="B12" s="23" t="inlineStr">
        <is>
          <t>Sensory</t>
        </is>
      </c>
      <c r="C12" s="21" t="inlineStr">
        <is>
          <t>Zip bag, hair gel, beads</t>
        </is>
      </c>
      <c r="D12" s="21" t="inlineStr">
        <is>
          <t>Mess-free play</t>
        </is>
      </c>
    </row>
    <row r="13">
      <c r="A13" s="27" t="inlineStr">
        <is>
          <t>Basket of textures</t>
        </is>
      </c>
      <c r="B13" s="26" t="inlineStr">
        <is>
          <t>Sensory</t>
        </is>
      </c>
      <c r="C13" s="27" t="inlineStr">
        <is>
          <t>Fabric scraps, brushes</t>
        </is>
      </c>
      <c r="D13" s="27" t="inlineStr">
        <is>
          <t>Touch words</t>
        </is>
      </c>
    </row>
    <row r="14">
      <c r="A14" s="21" t="inlineStr">
        <is>
          <t>Pom-pom &amp; tongs</t>
        </is>
      </c>
      <c r="B14" s="23" t="inlineStr">
        <is>
          <t>Fine Motor</t>
        </is>
      </c>
      <c r="C14" s="21" t="inlineStr">
        <is>
          <t>Pom-poms, kitchen tongs</t>
        </is>
      </c>
      <c r="D14" s="21" t="inlineStr">
        <is>
          <t>Grip · release</t>
        </is>
      </c>
    </row>
    <row r="15">
      <c r="A15" s="27" t="inlineStr">
        <is>
          <t>Bubbles outside</t>
        </is>
      </c>
      <c r="B15" s="26" t="inlineStr">
        <is>
          <t>Gross Motor</t>
        </is>
      </c>
      <c r="C15" s="27" t="inlineStr">
        <is>
          <t>Bubble wand</t>
        </is>
      </c>
      <c r="D15" s="27" t="inlineStr">
        <is>
          <t>Chase · reach</t>
        </is>
      </c>
    </row>
    <row r="16">
      <c r="A16" s="21" t="inlineStr">
        <is>
          <t>Ice &amp; warm water</t>
        </is>
      </c>
      <c r="B16" s="23" t="inlineStr">
        <is>
          <t>Science</t>
        </is>
      </c>
      <c r="C16" s="21" t="inlineStr">
        <is>
          <t>Ice cubes, warm water</t>
        </is>
      </c>
      <c r="D16" s="21" t="inlineStr">
        <is>
          <t>Melt · cause-effect</t>
        </is>
      </c>
    </row>
    <row r="17">
      <c r="A17" s="27" t="n"/>
      <c r="B17" s="26" t="n"/>
      <c r="C17" s="27" t="n"/>
      <c r="D17" s="27" t="n"/>
    </row>
    <row r="18">
      <c r="A18" s="21" t="n"/>
      <c r="B18" s="23" t="n"/>
      <c r="C18" s="21" t="n"/>
      <c r="D18" s="21" t="n"/>
    </row>
    <row r="19">
      <c r="A19" s="27" t="n"/>
      <c r="B19" s="26" t="n"/>
      <c r="C19" s="27" t="n"/>
      <c r="D19" s="27" t="n"/>
    </row>
    <row r="20">
      <c r="A20" s="21" t="n"/>
      <c r="B20" s="23" t="n"/>
      <c r="C20" s="21" t="n"/>
      <c r="D20" s="21" t="n"/>
    </row>
    <row r="21">
      <c r="A21" s="27" t="n"/>
      <c r="B21" s="26" t="n"/>
      <c r="C21" s="27" t="n"/>
      <c r="D21" s="27" t="n"/>
    </row>
    <row r="22">
      <c r="A22" s="21" t="n"/>
      <c r="B22" s="23" t="n"/>
      <c r="C22" s="21" t="n"/>
      <c r="D22" s="21" t="n"/>
    </row>
    <row r="23">
      <c r="A23" s="27" t="n"/>
      <c r="B23" s="26" t="n"/>
      <c r="C23" s="27" t="n"/>
      <c r="D23" s="27" t="n"/>
    </row>
    <row r="24">
      <c r="A24" s="21" t="n"/>
      <c r="B24" s="23" t="n"/>
      <c r="C24" s="21" t="n"/>
      <c r="D24" s="21" t="n"/>
    </row>
    <row r="25">
      <c r="A25" s="27" t="n"/>
      <c r="B25" s="26" t="n"/>
      <c r="C25" s="27" t="n"/>
      <c r="D25" s="27" t="n"/>
    </row>
    <row r="26">
      <c r="A26" s="21" t="n"/>
      <c r="B26" s="23" t="n"/>
      <c r="C26" s="21" t="n"/>
      <c r="D26" s="21" t="n"/>
    </row>
    <row r="27">
      <c r="A27" s="27" t="n"/>
      <c r="B27" s="26" t="n"/>
      <c r="C27" s="27" t="n"/>
      <c r="D27" s="27" t="n"/>
    </row>
    <row r="28">
      <c r="A28" s="21" t="n"/>
      <c r="B28" s="23" t="n"/>
      <c r="C28" s="21" t="n"/>
      <c r="D28" s="21" t="n"/>
    </row>
    <row r="29">
      <c r="A29" s="27" t="n"/>
      <c r="B29" s="26" t="n"/>
      <c r="C29" s="27" t="n"/>
      <c r="D29" s="27" t="n"/>
    </row>
    <row r="30">
      <c r="A30" s="21" t="n"/>
      <c r="B30" s="23" t="n"/>
      <c r="C30" s="21" t="n"/>
      <c r="D30" s="21" t="n"/>
    </row>
    <row r="31">
      <c r="A31" s="27" t="n"/>
      <c r="B31" s="26" t="n"/>
      <c r="C31" s="27" t="n"/>
      <c r="D31" s="27" t="n"/>
    </row>
    <row r="32">
      <c r="A32" s="21" t="n"/>
      <c r="B32" s="23" t="n"/>
      <c r="C32" s="21" t="n"/>
      <c r="D32" s="21" t="n"/>
    </row>
    <row r="33">
      <c r="A33" s="27" t="n"/>
      <c r="B33" s="26" t="n"/>
      <c r="C33" s="27" t="n"/>
      <c r="D33" s="27" t="n"/>
    </row>
    <row r="34">
      <c r="A34" s="21" t="n"/>
      <c r="B34" s="23" t="n"/>
      <c r="C34" s="21" t="n"/>
      <c r="D34" s="21" t="n"/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8" customWidth="1" min="4" max="4"/>
  </cols>
  <sheetData>
    <row r="1" ht="46" customHeight="1">
      <c r="A1" s="1" t="inlineStr">
        <is>
          <t xml:space="preserve">  🌳  OUTINGS &amp; NATURE</t>
        </is>
      </c>
    </row>
    <row r="2" ht="22" customHeight="1">
      <c r="A2" s="2" t="inlineStr">
        <is>
          <t xml:space="preserve">  Little adventures — every outing, what it tied to &amp; a memory to keep.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Date</t>
        </is>
      </c>
      <c r="B4" s="9" t="inlineStr">
        <is>
          <t>Place</t>
        </is>
      </c>
      <c r="C4" s="9" t="inlineStr">
        <is>
          <t>Theme Tie-in</t>
        </is>
      </c>
      <c r="D4" s="9" t="inlineStr">
        <is>
          <t>Memory</t>
        </is>
      </c>
    </row>
    <row r="5">
      <c r="A5" s="33" t="n">
        <v>46185</v>
      </c>
      <c r="B5" s="27" t="inlineStr">
        <is>
          <t>Petting zoo</t>
        </is>
      </c>
      <c r="C5" s="26" t="inlineStr">
        <is>
          <t>Animals</t>
        </is>
      </c>
      <c r="D5" s="27" t="inlineStr">
        <is>
          <t>Fed the goats · so excited</t>
        </is>
      </c>
    </row>
    <row r="6">
      <c r="A6" s="34" t="n">
        <v>46195</v>
      </c>
      <c r="B6" s="21" t="inlineStr">
        <is>
          <t>Library baby time</t>
        </is>
      </c>
      <c r="C6" s="23" t="inlineStr">
        <is>
          <t>Books &amp; songs</t>
        </is>
      </c>
      <c r="D6" s="21" t="inlineStr">
        <is>
          <t>Weekly · loves the bubbles</t>
        </is>
      </c>
    </row>
    <row r="7">
      <c r="A7" s="33" t="n">
        <v>46203</v>
      </c>
      <c r="B7" s="27" t="inlineStr">
        <is>
          <t>Duck pond walk</t>
        </is>
      </c>
      <c r="C7" s="26" t="inlineStr">
        <is>
          <t>Water play</t>
        </is>
      </c>
      <c r="D7" s="27" t="inlineStr">
        <is>
          <t>Watched &amp; quacked back</t>
        </is>
      </c>
    </row>
    <row r="8">
      <c r="A8" s="34" t="n">
        <v>46211</v>
      </c>
      <c r="B8" s="21" t="inlineStr">
        <is>
          <t>Playground</t>
        </is>
      </c>
      <c r="C8" s="23" t="inlineStr">
        <is>
          <t>Gross motor</t>
        </is>
      </c>
      <c r="D8" s="21" t="inlineStr">
        <is>
          <t>First time down the slide</t>
        </is>
      </c>
    </row>
    <row r="9">
      <c r="A9" s="33" t="n">
        <v>46225</v>
      </c>
      <c r="B9" s="27" t="inlineStr">
        <is>
          <t>Farm visit</t>
        </is>
      </c>
      <c r="C9" s="26" t="inlineStr">
        <is>
          <t>On the farm</t>
        </is>
      </c>
      <c r="D9" s="27" t="inlineStr">
        <is>
          <t>Booked for theme week</t>
        </is>
      </c>
    </row>
    <row r="10">
      <c r="A10" s="34" t="n">
        <v>46233</v>
      </c>
      <c r="B10" s="21" t="inlineStr">
        <is>
          <t>Nature trail stroll</t>
        </is>
      </c>
      <c r="C10" s="23" t="inlineStr">
        <is>
          <t>Nature walk</t>
        </is>
      </c>
      <c r="D10" s="21" t="inlineStr">
        <is>
          <t>Collected leaves &amp; rocks</t>
        </is>
      </c>
    </row>
    <row r="11">
      <c r="A11" s="33" t="n"/>
      <c r="B11" s="27" t="n"/>
      <c r="C11" s="26" t="n"/>
      <c r="D11" s="27" t="n"/>
    </row>
    <row r="12">
      <c r="A12" s="34" t="n"/>
      <c r="B12" s="21" t="n"/>
      <c r="C12" s="23" t="n"/>
      <c r="D12" s="21" t="n"/>
    </row>
    <row r="13">
      <c r="A13" s="33" t="n"/>
      <c r="B13" s="27" t="n"/>
      <c r="C13" s="26" t="n"/>
      <c r="D13" s="27" t="n"/>
    </row>
    <row r="14">
      <c r="A14" s="34" t="n"/>
      <c r="B14" s="21" t="n"/>
      <c r="C14" s="23" t="n"/>
      <c r="D14" s="21" t="n"/>
    </row>
    <row r="15">
      <c r="A15" s="33" t="n"/>
      <c r="B15" s="27" t="n"/>
      <c r="C15" s="26" t="n"/>
      <c r="D15" s="27" t="n"/>
    </row>
    <row r="16">
      <c r="A16" s="34" t="n"/>
      <c r="B16" s="21" t="n"/>
      <c r="C16" s="23" t="n"/>
      <c r="D16" s="21" t="n"/>
    </row>
    <row r="17">
      <c r="A17" s="33" t="n"/>
      <c r="B17" s="27" t="n"/>
      <c r="C17" s="26" t="n"/>
      <c r="D17" s="27" t="n"/>
    </row>
    <row r="18">
      <c r="A18" s="34" t="n"/>
      <c r="B18" s="21" t="n"/>
      <c r="C18" s="23" t="n"/>
      <c r="D18" s="21" t="n"/>
    </row>
    <row r="19">
      <c r="A19" s="33" t="n"/>
      <c r="B19" s="27" t="n"/>
      <c r="C19" s="26" t="n"/>
      <c r="D19" s="27" t="n"/>
    </row>
    <row r="20">
      <c r="A20" s="34" t="n"/>
      <c r="B20" s="21" t="n"/>
      <c r="C20" s="23" t="n"/>
      <c r="D20" s="21" t="n"/>
    </row>
    <row r="21">
      <c r="A21" s="33" t="n"/>
      <c r="B21" s="27" t="n"/>
      <c r="C21" s="26" t="n"/>
      <c r="D21" s="27" t="n"/>
    </row>
    <row r="22">
      <c r="A22" s="34" t="n"/>
      <c r="B22" s="21" t="n"/>
      <c r="C22" s="23" t="n"/>
      <c r="D22" s="21" t="n"/>
    </row>
    <row r="23">
      <c r="A23" s="33" t="n"/>
      <c r="B23" s="27" t="n"/>
      <c r="C23" s="26" t="n"/>
      <c r="D23" s="27" t="n"/>
    </row>
    <row r="24">
      <c r="A24" s="34" t="n"/>
      <c r="B24" s="21" t="n"/>
      <c r="C24" s="23" t="n"/>
      <c r="D24" s="21" t="n"/>
    </row>
    <row r="25">
      <c r="A25" s="33" t="n"/>
      <c r="B25" s="27" t="n"/>
      <c r="C25" s="26" t="n"/>
      <c r="D25" s="27" t="n"/>
    </row>
    <row r="26">
      <c r="A26" s="34" t="n"/>
      <c r="B26" s="21" t="n"/>
      <c r="C26" s="23" t="n"/>
      <c r="D26" s="21" t="n"/>
    </row>
    <row r="27">
      <c r="A27" s="33" t="n"/>
      <c r="B27" s="27" t="n"/>
      <c r="C27" s="26" t="n"/>
      <c r="D27" s="27" t="n"/>
    </row>
    <row r="28">
      <c r="A28" s="34" t="n"/>
      <c r="B28" s="21" t="n"/>
      <c r="C28" s="23" t="n"/>
      <c r="D28" s="21" t="n"/>
    </row>
    <row r="29">
      <c r="A29" s="33" t="n"/>
      <c r="B29" s="27" t="n"/>
      <c r="C29" s="26" t="n"/>
      <c r="D29" s="27" t="n"/>
    </row>
    <row r="30">
      <c r="A30" s="34" t="n"/>
      <c r="B30" s="21" t="n"/>
      <c r="C30" s="23" t="n"/>
      <c r="D30" s="21" t="n"/>
    </row>
    <row r="31">
      <c r="A31" s="33" t="n"/>
      <c r="B31" s="27" t="n"/>
      <c r="C31" s="26" t="n"/>
      <c r="D31" s="27" t="n"/>
    </row>
    <row r="32">
      <c r="A32" s="34" t="n"/>
      <c r="B32" s="21" t="n"/>
      <c r="C32" s="23" t="n"/>
      <c r="D32" s="21" t="n"/>
    </row>
    <row r="33">
      <c r="A33" s="33" t="n"/>
      <c r="B33" s="27" t="n"/>
      <c r="C33" s="26" t="n"/>
      <c r="D33" s="27" t="n"/>
    </row>
    <row r="34">
      <c r="A34" s="34" t="n"/>
      <c r="B34" s="21" t="n"/>
      <c r="C34" s="23" t="n"/>
      <c r="D34" s="21" t="n"/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 ht="46" customHeight="1">
      <c r="A1" s="1" t="inlineStr">
        <is>
          <t xml:space="preserve">  📅  TOT-SCHOOL DAYS</t>
        </is>
      </c>
    </row>
    <row r="2" ht="22" customHeight="1">
      <c r="A2" s="2" t="inlineStr">
        <is>
          <t xml:space="preserve">  Tot-school days by week — a light record of your gentle rhythm. Set your days goal in Settings.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Week</t>
        </is>
      </c>
      <c r="B4" s="9" t="inlineStr">
        <is>
          <t>Days</t>
        </is>
      </c>
      <c r="C4" s="9" t="inlineStr">
        <is>
          <t>Notes</t>
        </is>
      </c>
    </row>
    <row r="5">
      <c r="A5" s="26" t="inlineStr">
        <is>
          <t>Week 1</t>
        </is>
      </c>
      <c r="B5" s="31" t="n">
        <v>3</v>
      </c>
      <c r="C5" s="27" t="inlineStr"/>
    </row>
    <row r="6">
      <c r="A6" s="23" t="inlineStr">
        <is>
          <t>Week 2</t>
        </is>
      </c>
      <c r="B6" s="32" t="n">
        <v>3</v>
      </c>
      <c r="C6" s="21" t="inlineStr"/>
    </row>
    <row r="7">
      <c r="A7" s="26" t="inlineStr">
        <is>
          <t>Week 3</t>
        </is>
      </c>
      <c r="B7" s="31" t="n">
        <v>3</v>
      </c>
      <c r="C7" s="27" t="inlineStr"/>
    </row>
    <row r="8">
      <c r="A8" s="23" t="inlineStr">
        <is>
          <t>Week 4</t>
        </is>
      </c>
      <c r="B8" s="32" t="n">
        <v>3</v>
      </c>
      <c r="C8" s="21" t="inlineStr"/>
    </row>
    <row r="9">
      <c r="A9" s="26" t="inlineStr">
        <is>
          <t>Week 5</t>
        </is>
      </c>
      <c r="B9" s="31" t="n">
        <v>3</v>
      </c>
      <c r="C9" s="27" t="inlineStr"/>
    </row>
    <row r="10">
      <c r="A10" s="23" t="inlineStr">
        <is>
          <t>Week 6</t>
        </is>
      </c>
      <c r="B10" s="32" t="n">
        <v>3</v>
      </c>
      <c r="C10" s="21" t="inlineStr"/>
    </row>
    <row r="11">
      <c r="A11" s="26" t="inlineStr">
        <is>
          <t>Week 7</t>
        </is>
      </c>
      <c r="B11" s="31" t="n">
        <v>3</v>
      </c>
      <c r="C11" s="27" t="inlineStr"/>
    </row>
    <row r="12">
      <c r="A12" s="23" t="inlineStr">
        <is>
          <t>Week 8</t>
        </is>
      </c>
      <c r="B12" s="32" t="n">
        <v>3</v>
      </c>
      <c r="C12" s="21" t="inlineStr"/>
    </row>
    <row r="13">
      <c r="A13" s="26" t="inlineStr">
        <is>
          <t>Week 9</t>
        </is>
      </c>
      <c r="B13" s="31" t="n">
        <v>3</v>
      </c>
      <c r="C13" s="27" t="inlineStr"/>
    </row>
    <row r="14">
      <c r="A14" s="23" t="inlineStr">
        <is>
          <t>Week 10</t>
        </is>
      </c>
      <c r="B14" s="32" t="n">
        <v>3</v>
      </c>
      <c r="C14" s="21" t="inlineStr"/>
    </row>
    <row r="15">
      <c r="A15" s="26" t="inlineStr">
        <is>
          <t>Week 11</t>
        </is>
      </c>
      <c r="B15" s="31" t="n">
        <v>3</v>
      </c>
      <c r="C15" s="27" t="inlineStr"/>
    </row>
    <row r="16">
      <c r="A16" s="23" t="inlineStr">
        <is>
          <t>Week 12</t>
        </is>
      </c>
      <c r="B16" s="32" t="n">
        <v>3</v>
      </c>
      <c r="C16" s="21" t="inlineStr"/>
    </row>
    <row r="17">
      <c r="A17" s="26" t="inlineStr">
        <is>
          <t>Week 13</t>
        </is>
      </c>
      <c r="B17" s="31" t="n">
        <v>3</v>
      </c>
      <c r="C17" s="27" t="inlineStr"/>
    </row>
    <row r="18">
      <c r="A18" s="23" t="inlineStr">
        <is>
          <t>Week 14</t>
        </is>
      </c>
      <c r="B18" s="32" t="n">
        <v>3</v>
      </c>
      <c r="C18" s="21" t="inlineStr"/>
    </row>
    <row r="19">
      <c r="A19" s="26" t="inlineStr">
        <is>
          <t>Week 15</t>
        </is>
      </c>
      <c r="B19" s="31" t="n">
        <v>3</v>
      </c>
      <c r="C19" s="27" t="inlineStr"/>
    </row>
    <row r="20">
      <c r="A20" s="23" t="inlineStr">
        <is>
          <t>Week 16</t>
        </is>
      </c>
      <c r="B20" s="32" t="n">
        <v>3</v>
      </c>
      <c r="C20" s="21" t="inlineStr"/>
    </row>
    <row r="21">
      <c r="A21" s="26" t="inlineStr">
        <is>
          <t>Week 17</t>
        </is>
      </c>
      <c r="B21" s="31" t="n">
        <v>3</v>
      </c>
      <c r="C21" s="27" t="inlineStr"/>
    </row>
    <row r="22">
      <c r="A22" s="23" t="inlineStr">
        <is>
          <t>Week 18</t>
        </is>
      </c>
      <c r="B22" s="32" t="n">
        <v>3</v>
      </c>
      <c r="C22" s="21" t="inlineStr"/>
    </row>
    <row r="23">
      <c r="A23" s="26" t="inlineStr">
        <is>
          <t>Week 19</t>
        </is>
      </c>
      <c r="B23" s="31" t="n">
        <v>3</v>
      </c>
      <c r="C23" s="27" t="inlineStr"/>
    </row>
    <row r="24">
      <c r="A24" s="23" t="inlineStr">
        <is>
          <t>Week 20</t>
        </is>
      </c>
      <c r="B24" s="32" t="n">
        <v>3</v>
      </c>
      <c r="C24" s="21" t="inlineStr"/>
    </row>
    <row r="25">
      <c r="A25" s="26" t="inlineStr">
        <is>
          <t>Week 21</t>
        </is>
      </c>
      <c r="B25" s="31" t="n">
        <v>3</v>
      </c>
      <c r="C25" s="27" t="inlineStr"/>
    </row>
    <row r="26">
      <c r="A26" s="23" t="inlineStr">
        <is>
          <t>Week 22</t>
        </is>
      </c>
      <c r="B26" s="32" t="n">
        <v>3</v>
      </c>
      <c r="C26" s="21" t="inlineStr"/>
    </row>
    <row r="27">
      <c r="A27" s="26" t="inlineStr">
        <is>
          <t>Week 23</t>
        </is>
      </c>
      <c r="B27" s="31" t="n">
        <v>3</v>
      </c>
      <c r="C27" s="27" t="inlineStr"/>
    </row>
    <row r="28">
      <c r="A28" s="23" t="inlineStr">
        <is>
          <t>Week 24</t>
        </is>
      </c>
      <c r="B28" s="32" t="n">
        <v>3</v>
      </c>
      <c r="C28" s="21" t="inlineStr"/>
    </row>
    <row r="29">
      <c r="A29" s="26" t="n"/>
      <c r="B29" s="31" t="n"/>
      <c r="C29" s="27" t="n"/>
    </row>
    <row r="30">
      <c r="A30" s="23" t="n"/>
      <c r="B30" s="32" t="n"/>
      <c r="C30" s="21" t="n"/>
    </row>
    <row r="31">
      <c r="A31" s="26" t="n"/>
      <c r="B31" s="31" t="n"/>
      <c r="C31" s="27" t="n"/>
    </row>
    <row r="32">
      <c r="A32" s="23" t="n"/>
      <c r="B32" s="32" t="n"/>
      <c r="C32" s="21" t="n"/>
    </row>
    <row r="33">
      <c r="A33" s="26" t="n"/>
      <c r="B33" s="31" t="n"/>
      <c r="C33" s="27" t="n"/>
    </row>
    <row r="34">
      <c r="A34" s="23" t="n"/>
      <c r="B34" s="32" t="n"/>
      <c r="C34" s="21" t="n"/>
    </row>
    <row r="35">
      <c r="A35" s="26" t="n"/>
      <c r="B35" s="31" t="n"/>
      <c r="C35" s="27" t="n"/>
    </row>
    <row r="36">
      <c r="A36" s="23" t="n"/>
      <c r="B36" s="32" t="n"/>
      <c r="C36" s="21" t="n"/>
    </row>
    <row r="37">
      <c r="A37" s="26" t="n"/>
      <c r="B37" s="31" t="n"/>
      <c r="C37" s="27" t="n"/>
    </row>
    <row r="38">
      <c r="A38" s="23" t="n"/>
      <c r="B38" s="32" t="n"/>
      <c r="C38" s="21" t="n"/>
    </row>
    <row r="39">
      <c r="A39" s="26" t="n"/>
      <c r="B39" s="31" t="n"/>
      <c r="C39" s="27" t="n"/>
    </row>
    <row r="40">
      <c r="A40" s="23" t="n"/>
      <c r="B40" s="32" t="n"/>
      <c r="C40" s="21" t="n"/>
    </row>
    <row r="41">
      <c r="A41" s="26" t="n"/>
      <c r="B41" s="31" t="n"/>
      <c r="C41" s="27" t="n"/>
    </row>
    <row r="42">
      <c r="A42" s="23" t="n"/>
      <c r="B42" s="32" t="n"/>
      <c r="C42" s="21" t="n"/>
    </row>
    <row r="43">
      <c r="A43" s="26" t="n"/>
      <c r="B43" s="31" t="n"/>
      <c r="C43" s="27" t="n"/>
    </row>
    <row r="44">
      <c r="A44" s="23" t="n"/>
      <c r="B44" s="32" t="n"/>
      <c r="C44" s="21" t="n"/>
    </row>
    <row r="45">
      <c r="A45" s="9" t="inlineStr">
        <is>
          <t>TOTAL</t>
        </is>
      </c>
      <c r="B45" s="35">
        <f>SUM(AttDays)</f>
        <v/>
      </c>
      <c r="C45" s="36" t="n"/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🖼  PORTFOLIO OF FIRSTS</t>
        </is>
      </c>
    </row>
    <row r="2" ht="22" customHeight="1">
      <c r="A2" s="2" t="inlineStr">
        <is>
          <t xml:space="preserve">  Snap the firsts &amp; the sweet ordinary days — these tiny years go by so fast.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PHOTOS</t>
        </is>
      </c>
    </row>
    <row r="6" ht="26" customHeight="1">
      <c r="B6" s="37" t="inlineStr">
        <is>
          <t>Google Sheets: click a box, Insert ▸ Image ▸ Image in cell, or paste =IMAGE("link"). Excel: Insert ▸ Pictures ▸ Place in Cell. Photograph a first step, first scribble, a messy-play grin or a proud stack of blocks and caption it — tot, what it is &amp; the date. A few a month is plenty.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38" t="inlineStr">
        <is>
          <t>🖼
First Steps
(add photo)</t>
        </is>
      </c>
      <c r="C9" s="38" t="inlineStr">
        <is>
          <t>🖼
First Scribble
(add photo)</t>
        </is>
      </c>
      <c r="D9" s="38" t="inlineStr">
        <is>
          <t>🖼
Messy-Play Grin
(add photo)</t>
        </is>
      </c>
    </row>
    <row r="10"/>
    <row r="11"/>
    <row r="12"/>
    <row r="13" ht="30" customHeight="1">
      <c r="B13" s="39" t="inlineStr">
        <is>
          <t>Tot · what it is · date…</t>
        </is>
      </c>
      <c r="C13" s="39" t="inlineStr">
        <is>
          <t>Tot · what it is · date…</t>
        </is>
      </c>
      <c r="D13" s="39" t="inlineStr">
        <is>
          <t>Tot · what it is · date…</t>
        </is>
      </c>
    </row>
    <row r="15" ht="120" customHeight="1">
      <c r="B15" s="38" t="inlineStr">
        <is>
          <t>🖼
Block Tower
(add photo)</t>
        </is>
      </c>
      <c r="C15" s="38" t="inlineStr">
        <is>
          <t>🖼
Favorite Book
(add photo)</t>
        </is>
      </c>
      <c r="D15" s="38" t="inlineStr">
        <is>
          <t>🖼
A Milestone Moment
(add photo)</t>
        </is>
      </c>
    </row>
    <row r="16"/>
    <row r="17"/>
    <row r="18"/>
    <row r="19" ht="30" customHeight="1">
      <c r="B19" s="39" t="inlineStr">
        <is>
          <t>Tot · what it is · date…</t>
        </is>
      </c>
      <c r="C19" s="39" t="inlineStr">
        <is>
          <t>Tot · what it is · date…</t>
        </is>
      </c>
      <c r="D19" s="39" t="inlineStr">
        <is>
          <t>Tot · what it is · date…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3" customWidth="1" min="6" max="6"/>
    <col width="2" customWidth="1" min="7" max="7"/>
  </cols>
  <sheetData>
    <row r="1" ht="46" customHeight="1">
      <c r="A1" s="1" t="inlineStr">
        <is>
          <t xml:space="preserve">  🧺  SUPPLIES &amp; BUDGET</t>
        </is>
      </c>
    </row>
    <row r="2" ht="22" customHeight="1">
      <c r="A2" s="2" t="inlineStr">
        <is>
          <t xml:space="preserve">  Sensory fillers, board books &amp; a few good toys — planned vs actual, so tot-school stays low-cost.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Category</t>
        </is>
      </c>
      <c r="C4" s="9" t="inlineStr">
        <is>
          <t>Planned</t>
        </is>
      </c>
      <c r="D4" s="9" t="inlineStr">
        <is>
          <t>Actual</t>
        </is>
      </c>
      <c r="E4" s="9" t="inlineStr">
        <is>
          <t>Remaining</t>
        </is>
      </c>
    </row>
    <row r="5">
      <c r="B5" s="18" t="inlineStr">
        <is>
          <t>Sensory bin fillers</t>
        </is>
      </c>
      <c r="C5" s="40" t="n">
        <v>60</v>
      </c>
      <c r="D5" s="40" t="n">
        <v>48</v>
      </c>
      <c r="E5" s="41">
        <f>C5-D5</f>
        <v/>
      </c>
    </row>
    <row r="6">
      <c r="B6" s="21" t="inlineStr">
        <is>
          <t>Board books</t>
        </is>
      </c>
      <c r="C6" s="42" t="n">
        <v>60</v>
      </c>
      <c r="D6" s="42" t="n">
        <v>44</v>
      </c>
      <c r="E6" s="43">
        <f>C6-D6</f>
        <v/>
      </c>
    </row>
    <row r="7">
      <c r="B7" s="18" t="inlineStr">
        <is>
          <t>Art &amp; craft basics</t>
        </is>
      </c>
      <c r="C7" s="40" t="n">
        <v>50</v>
      </c>
      <c r="D7" s="40" t="n">
        <v>39</v>
      </c>
      <c r="E7" s="41">
        <f>C7-D7</f>
        <v/>
      </c>
    </row>
    <row r="8">
      <c r="B8" s="21" t="inlineStr">
        <is>
          <t>Open-ended toys</t>
        </is>
      </c>
      <c r="C8" s="42" t="n">
        <v>70</v>
      </c>
      <c r="D8" s="42" t="n">
        <v>58</v>
      </c>
      <c r="E8" s="43">
        <f>C8-D8</f>
        <v/>
      </c>
    </row>
    <row r="9">
      <c r="B9" s="18" t="inlineStr">
        <is>
          <t>Printables &amp; laminating</t>
        </is>
      </c>
      <c r="C9" s="40" t="n">
        <v>30</v>
      </c>
      <c r="D9" s="40" t="n">
        <v>22</v>
      </c>
      <c r="E9" s="41">
        <f>C9-D9</f>
        <v/>
      </c>
    </row>
    <row r="10">
      <c r="B10" s="21" t="inlineStr">
        <is>
          <t>Snacks for play (taste-safe)</t>
        </is>
      </c>
      <c r="C10" s="42" t="n">
        <v>20</v>
      </c>
      <c r="D10" s="42" t="n">
        <v>14</v>
      </c>
      <c r="E10" s="43">
        <f>C10-D10</f>
        <v/>
      </c>
    </row>
    <row r="11">
      <c r="B11" s="18" t="inlineStr">
        <is>
          <t>Outings</t>
        </is>
      </c>
      <c r="C11" s="40" t="n">
        <v>40</v>
      </c>
      <c r="D11" s="40" t="n">
        <v>26</v>
      </c>
      <c r="E11" s="41">
        <f>C11-D11</f>
        <v/>
      </c>
    </row>
    <row r="12">
      <c r="B12" s="21" t="inlineStr">
        <is>
          <t>Misc</t>
        </is>
      </c>
      <c r="C12" s="42" t="n">
        <v>20</v>
      </c>
      <c r="D12" s="42" t="n">
        <v>8</v>
      </c>
      <c r="E12" s="43">
        <f>C12-D12</f>
        <v/>
      </c>
    </row>
    <row r="13">
      <c r="B13" s="9" t="inlineStr">
        <is>
          <t>TOTAL</t>
        </is>
      </c>
      <c r="C13" s="44">
        <f>SUM(C5:C12)</f>
        <v/>
      </c>
      <c r="D13" s="44">
        <f>SUM(D5:D12)</f>
        <v/>
      </c>
      <c r="E13" s="44">
        <f>SUM(E5:E12)</f>
        <v/>
      </c>
    </row>
    <row r="15">
      <c r="B15" s="4" t="inlineStr">
        <is>
          <t>THE BOTTOM LINE</t>
        </is>
      </c>
    </row>
    <row r="16">
      <c r="B16" s="24" t="inlineStr">
        <is>
          <t>Total budget</t>
        </is>
      </c>
      <c r="C16" s="45">
        <f>SuppliesPlanTotal</f>
        <v/>
      </c>
    </row>
    <row r="17">
      <c r="B17" s="24" t="inlineStr">
        <is>
          <t>Spent so far</t>
        </is>
      </c>
      <c r="C17" s="45">
        <f>SuppliesSpent</f>
        <v/>
      </c>
    </row>
    <row r="18">
      <c r="B18" s="24" t="inlineStr">
        <is>
          <t>Remaining</t>
        </is>
      </c>
      <c r="C18" s="46">
        <f>SuppliesPlanTotal-SuppliesSpent</f>
        <v/>
      </c>
    </row>
    <row r="19">
      <c r="B19" s="24" t="inlineStr">
        <is>
          <t>Per tot (avg)</t>
        </is>
      </c>
      <c r="C19" s="46">
        <f>IFERROR(SuppliesSpent/Tots,0)</f>
        <v/>
      </c>
    </row>
  </sheetData>
  <mergeCells count="3">
    <mergeCell ref="A2:E2"/>
    <mergeCell ref="B15:E15"/>
    <mergeCell ref="A1:E1"/>
  </mergeCells>
  <conditionalFormatting sqref="D5:D12">
    <cfRule type="dataBar" priority="1">
      <dataBar showValue="1">
        <cfvo type="num" val="0"/>
        <cfvo type="num" val="70"/>
        <color rgb="001B4F48"/>
      </dataBar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</cols>
  <sheetData>
    <row r="1" ht="46" customHeight="1">
      <c r="A1" s="1" t="inlineStr">
        <is>
          <t xml:space="preserve">  🎒  READY FOR PRESCHOOL</t>
        </is>
      </c>
    </row>
    <row r="2" ht="22" customHeight="1">
      <c r="A2" s="2" t="inlineStr">
        <is>
          <t xml:space="preserve">  The gentle 'getting there' list — the little independences preschools love. A guide, never a test.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Readiness Skill</t>
        </is>
      </c>
      <c r="B4" s="9" t="inlineStr">
        <is>
          <t>Ready?</t>
        </is>
      </c>
      <c r="C4" s="9" t="inlineStr">
        <is>
          <t>Notes</t>
        </is>
      </c>
    </row>
    <row r="5">
      <c r="A5" s="27" t="inlineStr">
        <is>
          <t>Separates from caregiver briefly</t>
        </is>
      </c>
      <c r="B5" s="26" t="inlineStr">
        <is>
          <t>Yes</t>
        </is>
      </c>
      <c r="C5" s="27" t="inlineStr">
        <is>
          <t>—</t>
        </is>
      </c>
    </row>
    <row r="6">
      <c r="A6" s="21" t="inlineStr">
        <is>
          <t>Follows a simple daily routine</t>
        </is>
      </c>
      <c r="B6" s="23" t="inlineStr">
        <is>
          <t>Yes</t>
        </is>
      </c>
      <c r="C6" s="21" t="inlineStr">
        <is>
          <t>—</t>
        </is>
      </c>
    </row>
    <row r="7">
      <c r="A7" s="27" t="inlineStr">
        <is>
          <t>Uses some words to ask for things</t>
        </is>
      </c>
      <c r="B7" s="26" t="inlineStr">
        <is>
          <t>Yes</t>
        </is>
      </c>
      <c r="C7" s="27" t="inlineStr">
        <is>
          <t>—</t>
        </is>
      </c>
    </row>
    <row r="8">
      <c r="A8" s="21" t="inlineStr">
        <is>
          <t>Points to communicate</t>
        </is>
      </c>
      <c r="B8" s="23" t="inlineStr">
        <is>
          <t>Yes</t>
        </is>
      </c>
      <c r="C8" s="21" t="inlineStr">
        <is>
          <t>—</t>
        </is>
      </c>
    </row>
    <row r="9">
      <c r="A9" s="27" t="inlineStr">
        <is>
          <t>Feeds self finger foods</t>
        </is>
      </c>
      <c r="B9" s="26" t="inlineStr">
        <is>
          <t>Yes</t>
        </is>
      </c>
      <c r="C9" s="27" t="inlineStr">
        <is>
          <t>—</t>
        </is>
      </c>
    </row>
    <row r="10">
      <c r="A10" s="21" t="inlineStr">
        <is>
          <t>Drinks from an open cup</t>
        </is>
      </c>
      <c r="B10" s="23" t="inlineStr">
        <is>
          <t>Yes</t>
        </is>
      </c>
      <c r="C10" s="21" t="inlineStr">
        <is>
          <t>—</t>
        </is>
      </c>
    </row>
    <row r="11">
      <c r="A11" s="27" t="inlineStr">
        <is>
          <t>Shows interest in the potty</t>
        </is>
      </c>
      <c r="B11" s="26" t="inlineStr">
        <is>
          <t>No</t>
        </is>
      </c>
      <c r="C11" s="27" t="inlineStr">
        <is>
          <t>—</t>
        </is>
      </c>
    </row>
    <row r="12">
      <c r="A12" s="21" t="inlineStr">
        <is>
          <t>Plays near other children</t>
        </is>
      </c>
      <c r="B12" s="23" t="inlineStr">
        <is>
          <t>Yes</t>
        </is>
      </c>
      <c r="C12" s="21" t="inlineStr">
        <is>
          <t>—</t>
        </is>
      </c>
    </row>
    <row r="13">
      <c r="A13" s="27" t="inlineStr">
        <is>
          <t>Sits for a short story</t>
        </is>
      </c>
      <c r="B13" s="26" t="inlineStr">
        <is>
          <t>Yes</t>
        </is>
      </c>
      <c r="C13" s="27" t="inlineStr">
        <is>
          <t>—</t>
        </is>
      </c>
    </row>
    <row r="14">
      <c r="A14" s="21" t="inlineStr">
        <is>
          <t>Stacks a few blocks</t>
        </is>
      </c>
      <c r="B14" s="23" t="inlineStr">
        <is>
          <t>Yes</t>
        </is>
      </c>
      <c r="C14" s="21" t="inlineStr">
        <is>
          <t>—</t>
        </is>
      </c>
    </row>
    <row r="15">
      <c r="A15" s="27" t="inlineStr">
        <is>
          <t>Scribbles with a crayon</t>
        </is>
      </c>
      <c r="B15" s="26" t="inlineStr">
        <is>
          <t>Yes</t>
        </is>
      </c>
      <c r="C15" s="27" t="inlineStr">
        <is>
          <t>—</t>
        </is>
      </c>
    </row>
    <row r="16">
      <c r="A16" s="21" t="inlineStr">
        <is>
          <t>Waves &amp; greets people</t>
        </is>
      </c>
      <c r="B16" s="23" t="inlineStr">
        <is>
          <t>Yes</t>
        </is>
      </c>
      <c r="C16" s="21" t="inlineStr">
        <is>
          <t>—</t>
        </is>
      </c>
    </row>
    <row r="17">
      <c r="A17" s="27" t="inlineStr">
        <is>
          <t>Names a few body parts</t>
        </is>
      </c>
      <c r="B17" s="26" t="inlineStr">
        <is>
          <t>Yes</t>
        </is>
      </c>
      <c r="C17" s="27" t="inlineStr">
        <is>
          <t>—</t>
        </is>
      </c>
    </row>
    <row r="18">
      <c r="A18" s="21" t="inlineStr">
        <is>
          <t>Follows a one-step direction</t>
        </is>
      </c>
      <c r="B18" s="23" t="inlineStr">
        <is>
          <t>Yes</t>
        </is>
      </c>
      <c r="C18" s="21" t="inlineStr">
        <is>
          <t>—</t>
        </is>
      </c>
    </row>
    <row r="19">
      <c r="A19" s="27" t="inlineStr">
        <is>
          <t>Sleeps on a toddler nap schedule</t>
        </is>
      </c>
      <c r="B19" s="26" t="inlineStr">
        <is>
          <t>Yes</t>
        </is>
      </c>
      <c r="C19" s="27" t="inlineStr">
        <is>
          <t>—</t>
        </is>
      </c>
    </row>
    <row r="20">
      <c r="A20" s="21" t="inlineStr">
        <is>
          <t>Beginning to say 'no' &amp; choose</t>
        </is>
      </c>
      <c r="B20" s="23" t="inlineStr">
        <is>
          <t>No</t>
        </is>
      </c>
      <c r="C20" s="21" t="inlineStr">
        <is>
          <t>—</t>
        </is>
      </c>
    </row>
    <row r="21">
      <c r="A21" s="27" t="n"/>
      <c r="B21" s="26" t="n"/>
      <c r="C21" s="27" t="n"/>
    </row>
    <row r="22">
      <c r="A22" s="21" t="n"/>
      <c r="B22" s="23" t="n"/>
      <c r="C22" s="21" t="n"/>
    </row>
    <row r="23">
      <c r="A23" s="27" t="n"/>
      <c r="B23" s="26" t="n"/>
      <c r="C23" s="27" t="n"/>
    </row>
    <row r="24">
      <c r="A24" s="21" t="n"/>
      <c r="B24" s="23" t="n"/>
      <c r="C24" s="21" t="n"/>
    </row>
  </sheetData>
  <mergeCells count="2">
    <mergeCell ref="A1:C1"/>
    <mergeCell ref="A2:C2"/>
  </mergeCells>
  <conditionalFormatting sqref="B5:B24">
    <cfRule type="cellIs" priority="1" operator="equal" dxfId="0">
      <formula>"Yes"</formula>
    </cfRule>
    <cfRule type="cellIs" priority="2" operator="equal" dxfId="1">
      <formula>"No"</formula>
    </cfRule>
  </conditionalFormatting>
  <dataValidations count="1">
    <dataValidation sqref="B5:B2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🎯  GOALS &amp; LITTLE WINS</t>
        </is>
      </c>
    </row>
    <row r="2" ht="22" customHeight="1">
      <c r="A2" s="2" t="inlineStr">
        <is>
          <t xml:space="preserve">  The wins that matter at this age — one gentle goal per tot, plus family goals.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Goal</t>
        </is>
      </c>
      <c r="C4" s="9" t="inlineStr">
        <is>
          <t>Tot</t>
        </is>
      </c>
      <c r="D4" s="9" t="inlineStr">
        <is>
          <t>Progress</t>
        </is>
      </c>
    </row>
    <row r="5">
      <c r="B5" s="18" t="inlineStr">
        <is>
          <t>Say 50 words</t>
        </is>
      </c>
      <c r="C5" s="20" t="inlineStr">
        <is>
          <t>Theo</t>
        </is>
      </c>
      <c r="D5" s="47" t="n">
        <v>0.8</v>
      </c>
    </row>
    <row r="6">
      <c r="B6" s="21" t="inlineStr">
        <is>
          <t>Start two-word phrases</t>
        </is>
      </c>
      <c r="C6" s="23" t="inlineStr">
        <is>
          <t>Theo</t>
        </is>
      </c>
      <c r="D6" s="48" t="n">
        <v>0.55</v>
      </c>
    </row>
    <row r="7">
      <c r="B7" s="18" t="inlineStr">
        <is>
          <t>Show potty interest</t>
        </is>
      </c>
      <c r="C7" s="20" t="inlineStr">
        <is>
          <t>Theo</t>
        </is>
      </c>
      <c r="D7" s="47" t="n">
        <v>0.6</v>
      </c>
    </row>
    <row r="8">
      <c r="B8" s="21" t="inlineStr">
        <is>
          <t>Fall asleep in own bed</t>
        </is>
      </c>
      <c r="C8" s="23" t="inlineStr">
        <is>
          <t>Theo</t>
        </is>
      </c>
      <c r="D8" s="48" t="n">
        <v>0.7</v>
      </c>
    </row>
    <row r="9">
      <c r="B9" s="18" t="inlineStr">
        <is>
          <t>Walk confidently</t>
        </is>
      </c>
      <c r="C9" s="20" t="inlineStr">
        <is>
          <t>Nora</t>
        </is>
      </c>
      <c r="D9" s="47" t="n">
        <v>0.85</v>
      </c>
    </row>
    <row r="10">
      <c r="B10" s="21" t="inlineStr">
        <is>
          <t>Wave &amp; clap on cue</t>
        </is>
      </c>
      <c r="C10" s="23" t="inlineStr">
        <is>
          <t>Nora</t>
        </is>
      </c>
      <c r="D10" s="48" t="n">
        <v>0.75</v>
      </c>
    </row>
  </sheetData>
  <mergeCells count="2">
    <mergeCell ref="A1:D1"/>
    <mergeCell ref="A2:D2"/>
  </mergeCells>
  <conditionalFormatting sqref="D5:D10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family details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TOT-SCHOOL INPUTS</t>
        </is>
      </c>
      <c r="E5" s="4" t="inlineStr">
        <is>
          <t>DROPDOWN LISTS</t>
        </is>
      </c>
    </row>
    <row r="6">
      <c r="B6" s="24" t="inlineStr">
        <is>
          <t>Family Name</t>
        </is>
      </c>
      <c r="C6" s="49" t="inlineStr">
        <is>
          <t>The Bennett Family</t>
        </is>
      </c>
      <c r="E6" s="9" t="inlineStr">
        <is>
          <t>Domain</t>
        </is>
      </c>
      <c r="F6" s="9" t="inlineStr">
        <is>
          <t>Milestone</t>
        </is>
      </c>
      <c r="G6" s="9" t="inlineStr">
        <is>
          <t>Tray</t>
        </is>
      </c>
      <c r="H6" s="9" t="inlineStr">
        <is>
          <t>Theme</t>
        </is>
      </c>
      <c r="I6" s="9" t="inlineStr">
        <is>
          <t>Category</t>
        </is>
      </c>
      <c r="J6" s="9" t="inlineStr">
        <is>
          <t>Loved?</t>
        </is>
      </c>
      <c r="K6" s="9" t="inlineStr">
        <is>
          <t>Yes / No</t>
        </is>
      </c>
    </row>
    <row r="7">
      <c r="B7" s="24" t="inlineStr">
        <is>
          <t>School Year</t>
        </is>
      </c>
      <c r="C7" s="49" t="inlineStr">
        <is>
          <t>2026–2027</t>
        </is>
      </c>
      <c r="E7" s="18" t="inlineStr">
        <is>
          <t>Gross Motor</t>
        </is>
      </c>
      <c r="F7" s="18" t="inlineStr">
        <is>
          <t>Met</t>
        </is>
      </c>
      <c r="G7" s="18" t="inlineStr">
        <is>
          <t>Done</t>
        </is>
      </c>
      <c r="H7" s="18" t="inlineStr">
        <is>
          <t>Done</t>
        </is>
      </c>
      <c r="I7" s="18" t="inlineStr">
        <is>
          <t>Colors</t>
        </is>
      </c>
      <c r="J7" s="18" t="inlineStr">
        <is>
          <t>Loved it</t>
        </is>
      </c>
      <c r="K7" s="18" t="inlineStr">
        <is>
          <t>Yes</t>
        </is>
      </c>
    </row>
    <row r="8">
      <c r="B8" s="24" t="inlineStr">
        <is>
          <t>Tots</t>
        </is>
      </c>
      <c r="C8" s="50" t="n">
        <v>2</v>
      </c>
      <c r="E8" s="18" t="inlineStr">
        <is>
          <t>Fine Motor</t>
        </is>
      </c>
      <c r="F8" s="18" t="inlineStr">
        <is>
          <t>Emerging</t>
        </is>
      </c>
      <c r="G8" s="18" t="inlineStr">
        <is>
          <t>Planned</t>
        </is>
      </c>
      <c r="H8" s="18" t="inlineStr">
        <is>
          <t>In Progress</t>
        </is>
      </c>
      <c r="I8" s="18" t="inlineStr">
        <is>
          <t>Shapes</t>
        </is>
      </c>
      <c r="J8" s="18" t="inlineStr">
        <is>
          <t>Liked it</t>
        </is>
      </c>
      <c r="K8" s="18" t="inlineStr">
        <is>
          <t>No</t>
        </is>
      </c>
    </row>
    <row r="9">
      <c r="B9" s="24" t="inlineStr">
        <is>
          <t>Days Goal (year)</t>
        </is>
      </c>
      <c r="C9" s="50" t="n">
        <v>120</v>
      </c>
      <c r="E9" s="18" t="inlineStr">
        <is>
          <t>Language</t>
        </is>
      </c>
      <c r="F9" s="18" t="inlineStr">
        <is>
          <t>Not Yet</t>
        </is>
      </c>
      <c r="G9" s="18" t="inlineStr">
        <is>
          <t>Skipped</t>
        </is>
      </c>
      <c r="H9" s="18" t="inlineStr">
        <is>
          <t>Upcoming</t>
        </is>
      </c>
      <c r="I9" s="18" t="inlineStr">
        <is>
          <t>Body Parts</t>
        </is>
      </c>
      <c r="J9" s="18" t="inlineStr">
        <is>
          <t>Meh</t>
        </is>
      </c>
    </row>
    <row r="10">
      <c r="B10" s="24" t="inlineStr">
        <is>
          <t>Words Spoken</t>
        </is>
      </c>
      <c r="C10" s="50" t="n">
        <v>45</v>
      </c>
      <c r="E10" s="18" t="inlineStr">
        <is>
          <t>Social-Emotional</t>
        </is>
      </c>
      <c r="I10" s="18" t="inlineStr">
        <is>
          <t>Animal Sounds</t>
        </is>
      </c>
    </row>
    <row r="11">
      <c r="B11" s="24" t="inlineStr">
        <is>
          <t>Board Books (rotation)</t>
        </is>
      </c>
      <c r="C11" s="30" t="n">
        <v>24</v>
      </c>
      <c r="E11" s="18" t="inlineStr">
        <is>
          <t>Self-Help</t>
        </is>
      </c>
      <c r="I11" s="18" t="inlineStr">
        <is>
          <t>Counting</t>
        </is>
      </c>
    </row>
    <row r="12">
      <c r="B12" s="24" t="inlineStr">
        <is>
          <t>Supplies Budget</t>
        </is>
      </c>
      <c r="C12" s="40" t="n">
        <v>300</v>
      </c>
      <c r="E12" s="18" t="inlineStr">
        <is>
          <t>Cognitive</t>
        </is>
      </c>
      <c r="I12" s="18" t="inlineStr">
        <is>
          <t>Social Words</t>
        </is>
      </c>
    </row>
    <row r="13">
      <c r="B13" s="24" t="inlineStr">
        <is>
          <t>Preschool Start</t>
        </is>
      </c>
      <c r="C13" s="49" t="inlineStr">
        <is>
          <t>Fall 2028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2026-07-16T04:14:51Z</dcterms:created>
  <dcterms:modified xsi:type="dcterms:W3CDTF">2026-07-16T04:14:51Z</dcterms:modified>
</cp:coreProperties>
</file>