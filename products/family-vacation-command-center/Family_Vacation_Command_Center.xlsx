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Family Profile" sheetId="3" state="visible" r:id="rId3"/>
    <sheet name="Master Trip" sheetId="4" state="visible" r:id="rId4"/>
    <sheet name="Budget" sheetId="5" state="visible" r:id="rId5"/>
    <sheet name="Savings" sheetId="6" state="visible" r:id="rId6"/>
    <sheet name="Itinerary" sheetId="7" state="visible" r:id="rId7"/>
    <sheet name="Transport" sheetId="8" state="visible" r:id="rId8"/>
    <sheet name="Hotels" sheetId="9" state="visible" r:id="rId9"/>
    <sheet name="Packing" sheetId="10" state="visible" r:id="rId10"/>
    <sheet name="Kids" sheetId="11" state="visible" r:id="rId11"/>
    <sheet name="Meals" sheetId="12" state="visible" r:id="rId12"/>
    <sheet name="Activities" sheetId="13" state="visible" r:id="rId13"/>
    <sheet name="Reservations" sheetId="14" state="visible" r:id="rId14"/>
    <sheet name="Documents" sheetId="15" state="visible" r:id="rId15"/>
    <sheet name="Emergency" sheetId="16" state="visible" r:id="rId16"/>
    <sheet name="Road Trip" sheetId="17" state="visible" r:id="rId17"/>
    <sheet name="Responsibilities" sheetId="18" state="visible" r:id="rId18"/>
    <sheet name="Points" sheetId="19" state="visible" r:id="rId19"/>
    <sheet name="Photo Vault" sheetId="20" state="visible" r:id="rId20"/>
    <sheet name="Journal" sheetId="21" state="visible" r:id="rId21"/>
    <sheet name="Post-Trip" sheetId="22" state="visible" r:id="rId22"/>
    <sheet name="Wishlist" sheetId="23" state="visible" r:id="rId23"/>
    <sheet name="Analytics" sheetId="24" state="visible" r:id="rId24"/>
    <sheet name="Settings" sheetId="25" state="visible" r:id="rId25"/>
  </sheets>
  <definedNames>
    <definedName name="FamilyName">Settings!$C$6</definedName>
    <definedName name="TripName">Settings!$C$7</definedName>
    <definedName name="Destination">Settings!$C$8</definedName>
    <definedName name="TripType">Settings!$C$9</definedName>
    <definedName name="TripStart">Settings!$C$10</definedName>
    <definedName name="TripEnd">Settings!$C$11</definedName>
    <definedName name="TravelerCount">Settings!$C$12</definedName>
    <definedName name="SavingsGoal">Settings!$C$13</definedName>
    <definedName name="TripTypeList">Settings!$E$7:$E$16</definedName>
    <definedName name="ExpCatList">Settings!$F$7:$F$16</definedName>
    <definedName name="MemberList">Settings!$G$7:$G$11</definedName>
    <definedName name="ActTypeList">Settings!$H$7:$H$15</definedName>
    <definedName name="PackCatList">Settings!$I$7:$I$17</definedName>
    <definedName name="TransTypeList">Settings!$J$7:$J$13</definedName>
    <definedName name="DocTypeList">Settings!$K$7:$K$13</definedName>
    <definedName name="PriorityList">Settings!$E$19:$E$21</definedName>
    <definedName name="YesNoList">Settings!$F$19:$F$20</definedName>
    <definedName name="PayStatusList">Settings!$G$19:$G$22</definedName>
    <definedName name="DocStatusList">Settings!$H$19:$H$22</definedName>
    <definedName name="ResTypeList">Settings!$I$19:$I$26</definedName>
    <definedName name="RoleList">Settings!$J$19:$J$25</definedName>
    <definedName name="MemberName">'Family Profile'!$A$5:$A$18</definedName>
    <definedName name="MemberCount">'Family Profile'!$A$5:$A$18</definedName>
    <definedName name="ExpCat">'Budget'!$A$5:$A$14</definedName>
    <definedName name="ExpPlanned">'Budget'!$B$5:$B$14</definedName>
    <definedName name="ExpActual">'Budget'!$C$5:$C$14</definedName>
    <definedName name="TripBudget">'Budget'!$B$15</definedName>
    <definedName name="SpentTotal">'Budget'!$C$15</definedName>
    <definedName name="SavedTotal">'Budget'!$H$10</definedName>
    <definedName name="ItinDate">'Itinerary'!$A$5:$A$25</definedName>
    <definedName name="PackStatus">'Packing'!$E$5:$E$64</definedName>
    <definedName name="ActName">'Activities'!$A$5:$A$44</definedName>
    <definedName name="ActCost">'Activities'!$E$5:$E$44</definedName>
    <definedName name="ResConfirm">'Reservations'!$F$5:$F$34</definedName>
    <definedName name="DocStatus">'Documents'!$F$5:$F$20</definedName>
    <definedName name="ReadinessRange">'Analytics'!$C$7:$C$10</definedName>
    <definedName name="SaveMonth">'Analytics'!$B$16:$B$21</definedName>
    <definedName name="SaveVal">'Analytics'!$C$16:$C$21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&quot;$&quot;#,##0"/>
    <numFmt numFmtId="167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5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4" fillId="8" borderId="2" applyAlignment="1" pivotButton="0" quotePrefix="0" xfId="0">
      <alignment horizontal="center" vertical="center"/>
    </xf>
    <xf numFmtId="0" fontId="0" fillId="8" borderId="2" pivotButton="0" quotePrefix="0" xfId="0"/>
    <xf numFmtId="166" fontId="14" fillId="8" borderId="2" applyAlignment="1" pivotButton="0" quotePrefix="0" xfId="0">
      <alignment horizontal="center" vertical="center"/>
    </xf>
    <xf numFmtId="9" fontId="14" fillId="8" borderId="2" applyAlignment="1" pivotButton="0" quotePrefix="0" xfId="0">
      <alignment horizontal="center" vertical="center"/>
    </xf>
    <xf numFmtId="0" fontId="6" fillId="8" borderId="2" applyAlignment="1" pivotButton="0" quotePrefix="0" xfId="7">
      <alignment horizontal="left" vertical="center" wrapText="1" indent="1"/>
    </xf>
    <xf numFmtId="3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3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166" fontId="7" fillId="3" borderId="2" applyAlignment="1" pivotButton="0" quotePrefix="0" xfId="8">
      <alignment horizontal="center" vertical="center"/>
    </xf>
    <xf numFmtId="166" fontId="6" fillId="0" borderId="2" applyAlignment="1" pivotButton="0" quotePrefix="0" xfId="6">
      <alignment horizontal="center" vertical="center" wrapText="1"/>
    </xf>
    <xf numFmtId="166" fontId="7" fillId="9" borderId="2" applyAlignment="1" pivotButton="0" quotePrefix="0" xfId="8">
      <alignment horizontal="center" vertical="center"/>
    </xf>
    <xf numFmtId="166" fontId="6" fillId="9" borderId="2" applyAlignment="1" pivotButton="0" quotePrefix="0" xfId="6">
      <alignment horizontal="center" vertical="center" wrapText="1"/>
    </xf>
    <xf numFmtId="166" fontId="12" fillId="3" borderId="2" applyAlignment="1" pivotButton="0" quotePrefix="0" xfId="6">
      <alignment horizontal="center" vertical="center" wrapText="1"/>
    </xf>
    <xf numFmtId="166" fontId="7" fillId="0" borderId="2" applyAlignment="1" pivotButton="0" quotePrefix="0" xfId="10">
      <alignment horizontal="left" vertical="center" indent="1"/>
    </xf>
    <xf numFmtId="166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5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3" fontId="7" fillId="0" borderId="2" applyAlignment="1" pivotButton="0" quotePrefix="0" xfId="10">
      <alignment horizontal="left" vertical="center" indent="1"/>
    </xf>
    <xf numFmtId="0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4">
    <dxf>
      <font>
        <b val="1"/>
        <color rgb="00C94C4C"/>
      </font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'Budget'!$A$5:$A$14</f>
            </numRef>
          </cat>
          <val>
            <numRef>
              <f>'Budget'!$B$5:$B$14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Vacation Fund Growth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'Analytics'!$B$16:$B$21</f>
            </numRef>
          </cat>
          <val>
            <numRef>
              <f>'Analytics'!$C$16:$C$21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Trip Readiness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'Analytics'!$B$7:$B$10</f>
            </numRef>
          </cat>
          <val>
            <numRef>
              <f>'Analytics'!$C$7:$C$10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'Budget'!$A$5:$A$14</f>
            </numRef>
          </cat>
          <val>
            <numRef>
              <f>'Budget'!$B$5:$B$14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'Budget'!$A$5:$A$14</f>
            </numRef>
          </cat>
          <val>
            <numRef>
              <f>'Budget'!$C$5:$C$14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🌎  FAMILY VACATION COMMAND CENTER™</t>
        </is>
      </c>
    </row>
    <row r="2" ht="24" customHeight="1">
      <c r="A2" s="2" t="inlineStr">
        <is>
          <t xml:space="preserve">  The ultimate family travel planning &amp; memory management system.</t>
        </is>
      </c>
    </row>
    <row r="3" ht="6" customHeight="1">
      <c r="A3" s="3" t="n"/>
      <c r="B3" s="3" t="n"/>
      <c r="C3" s="3" t="n"/>
    </row>
    <row r="5">
      <c r="B5" s="4" t="inlineStr">
        <is>
          <t>PLAN EVERY TRIP FROM ONE BEAUTIFUL COMMAND CENTER</t>
        </is>
      </c>
    </row>
    <row r="6" ht="22" customHeight="1">
      <c r="B6" s="5" t="inlineStr">
        <is>
          <t>From the first idea to the final photo — Family Vacation Command Center™ manages budgeting, scheduling, packing, transportation, accommodation, meals, kids' activities, documents, emergencies and memories in ONE premium Excel &amp; Google Sheets system. Remove the travel stress, keep the whole family organized, and create unforgettable trips — all with app-level automation. This isn't a vacation checklist — it's your complete Family Travel Operating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family name, trip, dates, travelers &amp; savings goal.</t>
        </is>
      </c>
    </row>
    <row r="13" ht="22" customHeight="1">
      <c r="B13" s="8" t="inlineStr">
        <is>
          <t>2.  Fill the Family Profile — sizes, allergies &amp; emergency contacts.</t>
        </is>
      </c>
    </row>
    <row r="14" ht="22" customHeight="1">
      <c r="B14" s="8" t="inlineStr">
        <is>
          <t>3.  Build your Budget &amp; Savings — plan every category and track your fund.</t>
        </is>
      </c>
    </row>
    <row r="15" ht="22" customHeight="1">
      <c r="B15" s="8" t="inlineStr">
        <is>
          <t>4.  Plan the Itinerary, Hotels, Flights, Activities &amp; Meals.</t>
        </is>
      </c>
    </row>
    <row r="16" ht="22" customHeight="1">
      <c r="B16" s="8" t="inlineStr">
        <is>
          <t>5.  Work the Packing, Documents &amp; Reservations checklists — watch % climb.</t>
        </is>
      </c>
    </row>
    <row r="17" ht="22" customHeight="1">
      <c r="B17" s="8" t="inlineStr">
        <is>
          <t>6.  Travel, then capture it all in the Photo Vault, Journal &amp; Post-Trip Review.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A realistic sample trip (the Rivera family's 7-day, 5-person Walt Disney World vacation on an $8,500 budget) is included so you can see how everything connects — just type over it with your own. The countdown, budget, savings progress, packing %, booking %, documents % and the Family Trip Readiness Score all update automatically. Every sheet is print-friendly and works in Excel and Google Sheets, on desktop and mobile.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more time to make memories — let's plan your best trip yet.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🌎  FAMILY VACATION COMMAND CENTER™</t>
        </is>
      </c>
    </row>
    <row r="2" ht="24" customHeight="1">
      <c r="A2" s="2" t="inlineStr">
        <is>
          <t xml:space="preserve">  Budget, packing, bookings &amp; memories — your whole family trip,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TRIP COUNTDOWN</t>
        </is>
      </c>
      <c r="C5" s="13" t="n"/>
      <c r="D5" s="12" t="inlineStr">
        <is>
          <t>TOTAL BUDGET</t>
        </is>
      </c>
      <c r="E5" s="13" t="n"/>
      <c r="F5" s="12" t="inlineStr">
        <is>
          <t>MONEY SAVED</t>
        </is>
      </c>
      <c r="G5" s="13" t="n"/>
      <c r="H5" s="12" t="inlineStr">
        <is>
          <t>BUDGET REMAINING</t>
        </is>
      </c>
      <c r="I5" s="13" t="n"/>
      <c r="J5" s="12" t="inlineStr">
        <is>
          <t>TRAVELERS</t>
        </is>
      </c>
      <c r="K5" s="13" t="n"/>
      <c r="L5" s="12" t="inlineStr">
        <is>
          <t>DAYS TRAVELING</t>
        </is>
      </c>
      <c r="M5" s="13" t="n"/>
    </row>
    <row r="6" ht="40" customHeight="1">
      <c r="B6" s="14">
        <f>MAX(TripStart-TODAY(),0)</f>
        <v/>
      </c>
      <c r="C6" s="15" t="n"/>
      <c r="D6" s="16">
        <f>TripBudget</f>
        <v/>
      </c>
      <c r="E6" s="15" t="n"/>
      <c r="F6" s="16">
        <f>SavedTotal</f>
        <v/>
      </c>
      <c r="G6" s="15" t="n"/>
      <c r="H6" s="16">
        <f>TripBudget-SpentTotal</f>
        <v/>
      </c>
      <c r="I6" s="15" t="n"/>
      <c r="J6" s="14">
        <f>TravelerCount</f>
        <v/>
      </c>
      <c r="K6" s="15" t="n"/>
      <c r="L6" s="14">
        <f>TripEnd-TripStart+1</f>
        <v/>
      </c>
      <c r="M6" s="15" t="n"/>
    </row>
    <row r="8" ht="18" customHeight="1">
      <c r="B8" s="12" t="inlineStr">
        <is>
          <t>PACKING COMPLETE</t>
        </is>
      </c>
      <c r="C8" s="13" t="n"/>
      <c r="D8" s="12" t="inlineStr">
        <is>
          <t>BOOKINGS DONE</t>
        </is>
      </c>
      <c r="E8" s="13" t="n"/>
      <c r="F8" s="12" t="inlineStr">
        <is>
          <t>DOCUMENTS READY</t>
        </is>
      </c>
      <c r="G8" s="13" t="n"/>
      <c r="H8" s="12" t="inlineStr">
        <is>
          <t>ACTIVITIES PLANNED</t>
        </is>
      </c>
      <c r="I8" s="13" t="n"/>
      <c r="J8" s="12" t="inlineStr">
        <is>
          <t>COST / PERSON</t>
        </is>
      </c>
      <c r="K8" s="13" t="n"/>
      <c r="L8" s="12" t="inlineStr">
        <is>
          <t>READINESS SCORE</t>
        </is>
      </c>
      <c r="M8" s="13" t="n"/>
    </row>
    <row r="9" ht="40" customHeight="1">
      <c r="B9" s="17">
        <f>IFERROR(COUNTIF(PackStatus,"Yes")/COUNTA(PackStatus),0)</f>
        <v/>
      </c>
      <c r="C9" s="15" t="n"/>
      <c r="D9" s="17">
        <f>IFERROR(COUNTIF(ResConfirm,"Yes")/COUNTA(ResConfirm),0)</f>
        <v/>
      </c>
      <c r="E9" s="15" t="n"/>
      <c r="F9" s="17">
        <f>IFERROR(COUNTIF(DocStatus,"Ready")/COUNTA(DocStatus),0)</f>
        <v/>
      </c>
      <c r="G9" s="15" t="n"/>
      <c r="H9" s="14">
        <f>COUNTA(ActName)</f>
        <v/>
      </c>
      <c r="I9" s="15" t="n"/>
      <c r="J9" s="16">
        <f>IFERROR(TripBudget/TravelerCount,0)</f>
        <v/>
      </c>
      <c r="K9" s="15" t="n"/>
      <c r="L9" s="17">
        <f>IFERROR(AVERAGE(ReadinessRange),0)</f>
        <v/>
      </c>
      <c r="M9" s="15" t="n"/>
    </row>
    <row r="11" ht="26" customHeight="1">
      <c r="B11" s="4" t="inlineStr">
        <is>
          <t>BUDGET &amp; SAVINGS</t>
        </is>
      </c>
    </row>
    <row r="29" ht="26" customHeight="1">
      <c r="B29" s="4" t="inlineStr">
        <is>
          <t>READINESS &amp; SPENDING</t>
        </is>
      </c>
    </row>
    <row r="47" ht="26" customHeight="1">
      <c r="B47" s="2" t="inlineStr">
        <is>
          <t>Family Vacation Command Center™ — from first idea to final photo,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15" customWidth="1" min="4" max="4"/>
    <col width="10" customWidth="1" min="5" max="5"/>
    <col width="14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1" t="inlineStr">
        <is>
          <t xml:space="preserve">  👨‍👩‍👧‍👦  FAMILY PROFILE</t>
        </is>
      </c>
    </row>
    <row r="2" ht="22" customHeight="1">
      <c r="A2" s="2" t="inlineStr">
        <is>
          <t xml:space="preserve">  Everyone in one place — sizes, allergies, preferences &amp; emergency contacts.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9" t="inlineStr">
        <is>
          <t>Family Member</t>
        </is>
      </c>
      <c r="B4" s="9" t="inlineStr">
        <is>
          <t>Age</t>
        </is>
      </c>
      <c r="C4" s="9" t="inlineStr">
        <is>
          <t>Birthday</t>
        </is>
      </c>
      <c r="D4" s="9" t="inlineStr">
        <is>
          <t>Clothing Size</t>
        </is>
      </c>
      <c r="E4" s="9" t="inlineStr">
        <is>
          <t>Shoe</t>
        </is>
      </c>
      <c r="F4" s="9" t="inlineStr">
        <is>
          <t>Allergies</t>
        </is>
      </c>
      <c r="G4" s="9" t="inlineStr">
        <is>
          <t>Food Prefs</t>
        </is>
      </c>
      <c r="H4" s="9" t="inlineStr">
        <is>
          <t>Emergency Contact</t>
        </is>
      </c>
      <c r="I4" s="9" t="inlineStr">
        <is>
          <t>Special Notes</t>
        </is>
      </c>
    </row>
    <row r="5">
      <c r="A5" s="18" t="inlineStr">
        <is>
          <t>Marcus (Dad)</t>
        </is>
      </c>
      <c r="B5" s="19" t="n">
        <v>41</v>
      </c>
      <c r="C5" s="20" t="inlineStr">
        <is>
          <t>Mar 12</t>
        </is>
      </c>
      <c r="D5" s="20" t="inlineStr">
        <is>
          <t>L / 34x32</t>
        </is>
      </c>
      <c r="E5" s="20" t="inlineStr">
        <is>
          <t>10.5</t>
        </is>
      </c>
      <c r="F5" s="18" t="inlineStr">
        <is>
          <t>None</t>
        </is>
      </c>
      <c r="G5" s="18" t="inlineStr">
        <is>
          <t>Coffee, spicy</t>
        </is>
      </c>
      <c r="H5" s="18" t="inlineStr">
        <is>
          <t>Elena — 555-0142</t>
        </is>
      </c>
      <c r="I5" s="18" t="inlineStr">
        <is>
          <t>—</t>
        </is>
      </c>
    </row>
    <row r="6">
      <c r="A6" s="21" t="inlineStr">
        <is>
          <t>Elena (Mom)</t>
        </is>
      </c>
      <c r="B6" s="22" t="n">
        <v>39</v>
      </c>
      <c r="C6" s="23" t="inlineStr">
        <is>
          <t>Aug 03</t>
        </is>
      </c>
      <c r="D6" s="23" t="inlineStr">
        <is>
          <t>M / 8</t>
        </is>
      </c>
      <c r="E6" s="23" t="inlineStr">
        <is>
          <t>8</t>
        </is>
      </c>
      <c r="F6" s="21" t="inlineStr">
        <is>
          <t>Shellfish</t>
        </is>
      </c>
      <c r="G6" s="21" t="inlineStr">
        <is>
          <t>Vegetarian</t>
        </is>
      </c>
      <c r="H6" s="21" t="inlineStr">
        <is>
          <t>Marcus — 555-0143</t>
        </is>
      </c>
      <c r="I6" s="21" t="inlineStr">
        <is>
          <t>EpiPen in bag</t>
        </is>
      </c>
    </row>
    <row r="7">
      <c r="A7" s="18" t="inlineStr">
        <is>
          <t>Sofia</t>
        </is>
      </c>
      <c r="B7" s="19" t="n">
        <v>12</v>
      </c>
      <c r="C7" s="20" t="inlineStr">
        <is>
          <t>Jan 22</t>
        </is>
      </c>
      <c r="D7" s="20" t="inlineStr">
        <is>
          <t>Youth L</t>
        </is>
      </c>
      <c r="E7" s="20" t="inlineStr">
        <is>
          <t>6</t>
        </is>
      </c>
      <c r="F7" s="18" t="inlineStr">
        <is>
          <t>Peanuts</t>
        </is>
      </c>
      <c r="G7" s="18" t="inlineStr">
        <is>
          <t>No nuts</t>
        </is>
      </c>
      <c r="H7" s="18" t="inlineStr">
        <is>
          <t>Parents</t>
        </is>
      </c>
      <c r="I7" s="18" t="inlineStr">
        <is>
          <t>Carries inhaler</t>
        </is>
      </c>
    </row>
    <row r="8">
      <c r="A8" s="21" t="inlineStr">
        <is>
          <t>Diego</t>
        </is>
      </c>
      <c r="B8" s="22" t="n">
        <v>9</v>
      </c>
      <c r="C8" s="23" t="inlineStr">
        <is>
          <t>Jun 15</t>
        </is>
      </c>
      <c r="D8" s="23" t="inlineStr">
        <is>
          <t>Youth M</t>
        </is>
      </c>
      <c r="E8" s="23" t="inlineStr">
        <is>
          <t>3</t>
        </is>
      </c>
      <c r="F8" s="21" t="inlineStr">
        <is>
          <t>None</t>
        </is>
      </c>
      <c r="G8" s="21" t="inlineStr">
        <is>
          <t>Picky — plain</t>
        </is>
      </c>
      <c r="H8" s="21" t="inlineStr">
        <is>
          <t>Parents</t>
        </is>
      </c>
      <c r="I8" s="21" t="inlineStr">
        <is>
          <t>Motion sickness</t>
        </is>
      </c>
    </row>
    <row r="9">
      <c r="A9" s="18" t="inlineStr">
        <is>
          <t>Mateo</t>
        </is>
      </c>
      <c r="B9" s="19" t="n">
        <v>4</v>
      </c>
      <c r="C9" s="20" t="inlineStr">
        <is>
          <t>Nov 30</t>
        </is>
      </c>
      <c r="D9" s="20" t="inlineStr">
        <is>
          <t>5T</t>
        </is>
      </c>
      <c r="E9" s="20" t="inlineStr">
        <is>
          <t>11 (toddler)</t>
        </is>
      </c>
      <c r="F9" s="18" t="inlineStr">
        <is>
          <t>Dairy</t>
        </is>
      </c>
      <c r="G9" s="18" t="inlineStr">
        <is>
          <t>Lactose-free</t>
        </is>
      </c>
      <c r="H9" s="18" t="inlineStr">
        <is>
          <t>Parents</t>
        </is>
      </c>
      <c r="I9" s="18" t="inlineStr">
        <is>
          <t>Naps 1–3pm</t>
        </is>
      </c>
    </row>
    <row r="10">
      <c r="A10" s="21" t="n"/>
      <c r="B10" s="22" t="n"/>
      <c r="C10" s="23" t="n"/>
      <c r="D10" s="23" t="n"/>
      <c r="E10" s="23" t="n"/>
      <c r="F10" s="21" t="n"/>
      <c r="G10" s="21" t="n"/>
      <c r="H10" s="21" t="n"/>
      <c r="I10" s="21" t="n"/>
    </row>
    <row r="11">
      <c r="A11" s="18" t="n"/>
      <c r="B11" s="19" t="n"/>
      <c r="C11" s="20" t="n"/>
      <c r="D11" s="20" t="n"/>
      <c r="E11" s="20" t="n"/>
      <c r="F11" s="18" t="n"/>
      <c r="G11" s="18" t="n"/>
      <c r="H11" s="18" t="n"/>
      <c r="I11" s="18" t="n"/>
    </row>
    <row r="12">
      <c r="A12" s="21" t="n"/>
      <c r="B12" s="22" t="n"/>
      <c r="C12" s="23" t="n"/>
      <c r="D12" s="23" t="n"/>
      <c r="E12" s="23" t="n"/>
      <c r="F12" s="21" t="n"/>
      <c r="G12" s="21" t="n"/>
      <c r="H12" s="21" t="n"/>
      <c r="I12" s="21" t="n"/>
    </row>
    <row r="13">
      <c r="A13" s="18" t="n"/>
      <c r="B13" s="19" t="n"/>
      <c r="C13" s="20" t="n"/>
      <c r="D13" s="20" t="n"/>
      <c r="E13" s="20" t="n"/>
      <c r="F13" s="18" t="n"/>
      <c r="G13" s="18" t="n"/>
      <c r="H13" s="18" t="n"/>
      <c r="I13" s="18" t="n"/>
    </row>
    <row r="14">
      <c r="A14" s="21" t="n"/>
      <c r="B14" s="22" t="n"/>
      <c r="C14" s="23" t="n"/>
      <c r="D14" s="23" t="n"/>
      <c r="E14" s="23" t="n"/>
      <c r="F14" s="21" t="n"/>
      <c r="G14" s="21" t="n"/>
      <c r="H14" s="21" t="n"/>
      <c r="I14" s="21" t="n"/>
    </row>
    <row r="15">
      <c r="A15" s="18" t="n"/>
      <c r="B15" s="19" t="n"/>
      <c r="C15" s="20" t="n"/>
      <c r="D15" s="20" t="n"/>
      <c r="E15" s="20" t="n"/>
      <c r="F15" s="18" t="n"/>
      <c r="G15" s="18" t="n"/>
      <c r="H15" s="18" t="n"/>
      <c r="I15" s="18" t="n"/>
    </row>
    <row r="16">
      <c r="A16" s="21" t="n"/>
      <c r="B16" s="22" t="n"/>
      <c r="C16" s="23" t="n"/>
      <c r="D16" s="23" t="n"/>
      <c r="E16" s="23" t="n"/>
      <c r="F16" s="21" t="n"/>
      <c r="G16" s="21" t="n"/>
      <c r="H16" s="21" t="n"/>
      <c r="I16" s="21" t="n"/>
    </row>
    <row r="17">
      <c r="A17" s="18" t="n"/>
      <c r="B17" s="19" t="n"/>
      <c r="C17" s="20" t="n"/>
      <c r="D17" s="20" t="n"/>
      <c r="E17" s="20" t="n"/>
      <c r="F17" s="18" t="n"/>
      <c r="G17" s="18" t="n"/>
      <c r="H17" s="18" t="n"/>
      <c r="I17" s="18" t="n"/>
    </row>
    <row r="18">
      <c r="A18" s="21" t="n"/>
      <c r="B18" s="22" t="n"/>
      <c r="C18" s="23" t="n"/>
      <c r="D18" s="23" t="n"/>
      <c r="E18" s="23" t="n"/>
      <c r="F18" s="21" t="n"/>
      <c r="G18" s="21" t="n"/>
      <c r="H18" s="21" t="n"/>
      <c r="I18" s="21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4" customWidth="1" min="4" max="4"/>
    <col width="2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🧭  MASTER TRIP PLANNER</t>
        </is>
      </c>
    </row>
    <row r="2" ht="22" customHeight="1">
      <c r="A2" s="2" t="inlineStr">
        <is>
          <t xml:space="preserve">  The big picture — one trip, one plan, from before to after.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TRIP</t>
        </is>
      </c>
    </row>
    <row r="6" ht="24" customHeight="1">
      <c r="B6" s="24" t="inlineStr">
        <is>
          <t>Trip Name</t>
        </is>
      </c>
      <c r="C6" s="25">
        <f>TripName</f>
        <v/>
      </c>
      <c r="E6" s="24" t="inlineStr">
        <is>
          <t>Destination</t>
        </is>
      </c>
      <c r="F6" s="25">
        <f>Destination</f>
        <v/>
      </c>
    </row>
    <row r="7" ht="24" customHeight="1">
      <c r="B7" s="24" t="inlineStr">
        <is>
          <t>Trip Type</t>
        </is>
      </c>
      <c r="C7" s="25">
        <f>TripType</f>
        <v/>
      </c>
      <c r="E7" s="24" t="inlineStr">
        <is>
          <t>Travelers</t>
        </is>
      </c>
      <c r="F7" s="25">
        <f>TravelerCount</f>
        <v/>
      </c>
    </row>
    <row r="8" ht="24" customHeight="1">
      <c r="B8" s="24" t="inlineStr">
        <is>
          <t>Trip Start</t>
        </is>
      </c>
      <c r="C8" s="25">
        <f>TEXT(TripStart,"ddd, mmm d")</f>
        <v/>
      </c>
      <c r="E8" s="24" t="inlineStr">
        <is>
          <t>Trip End</t>
        </is>
      </c>
      <c r="F8" s="25">
        <f>TEXT(TripEnd,"ddd, mmm d")</f>
        <v/>
      </c>
    </row>
    <row r="10" ht="22" customHeight="1">
      <c r="B10" s="4" t="inlineStr">
        <is>
          <t>OVERVIEW</t>
        </is>
      </c>
    </row>
    <row r="11" ht="24" customHeight="1">
      <c r="B11" s="24" t="inlineStr">
        <is>
          <t>Days Traveling</t>
        </is>
      </c>
      <c r="C11" s="25">
        <f>TripEnd-TripStart+1</f>
        <v/>
      </c>
      <c r="E11" s="24" t="inlineStr">
        <is>
          <t>Countdown (days)</t>
        </is>
      </c>
      <c r="F11" s="25">
        <f>TripStart-TODAY()</f>
        <v/>
      </c>
    </row>
    <row r="12" ht="24" customHeight="1">
      <c r="B12" s="24" t="inlineStr">
        <is>
          <t>Theme</t>
        </is>
      </c>
      <c r="C12" s="25" t="inlineStr">
        <is>
          <t>Disney magic + rest days</t>
        </is>
      </c>
      <c r="E12" s="24" t="inlineStr">
        <is>
          <t>Weather (est.)</t>
        </is>
      </c>
      <c r="F12" s="25" t="inlineStr">
        <is>
          <t>Warm · 88°F · afternoon rain</t>
        </is>
      </c>
    </row>
    <row r="13" ht="24" customHeight="1">
      <c r="B13" s="24" t="inlineStr">
        <is>
          <t>Home Base</t>
        </is>
      </c>
      <c r="C13" s="25" t="inlineStr">
        <is>
          <t>On-site resort</t>
        </is>
      </c>
      <c r="E13" s="24" t="inlineStr">
        <is>
          <t>Trip Motto</t>
        </is>
      </c>
      <c r="F13" s="25" t="inlineStr">
        <is>
          <t>Slow mornings, big memories</t>
        </is>
      </c>
    </row>
    <row r="15" ht="22" customHeight="1">
      <c r="B15" s="4" t="inlineStr">
        <is>
          <t>TRIP TIMELINE</t>
        </is>
      </c>
    </row>
    <row r="16" ht="30" customHeight="1">
      <c r="B16" s="9" t="inlineStr">
        <is>
          <t>Phase</t>
        </is>
      </c>
      <c r="C16" s="9" t="inlineStr">
        <is>
          <t>Key Tasks</t>
        </is>
      </c>
      <c r="D16" s="9" t="inlineStr">
        <is>
          <t>Owner</t>
        </is>
      </c>
      <c r="E16" s="9" t="inlineStr">
        <is>
          <t>Done?</t>
        </is>
      </c>
    </row>
    <row r="17" ht="26" customHeight="1">
      <c r="B17" s="24" t="inlineStr">
        <is>
          <t>Before Trip</t>
        </is>
      </c>
      <c r="C17" s="26" t="inlineStr">
        <is>
          <t>Book flights &amp; hotel · save fund · documents · packing</t>
        </is>
      </c>
      <c r="E17" s="27" t="inlineStr">
        <is>
          <t>Elena</t>
        </is>
      </c>
      <c r="F17" s="27" t="inlineStr">
        <is>
          <t>In progress</t>
        </is>
      </c>
    </row>
    <row r="18" ht="26" customHeight="1">
      <c r="B18" s="24" t="inlineStr">
        <is>
          <t>Getting There</t>
        </is>
      </c>
      <c r="C18" s="26" t="inlineStr">
        <is>
          <t>Airport 3h early · car seats · snacks · entertainment</t>
        </is>
      </c>
      <c r="E18" s="27" t="inlineStr">
        <is>
          <t>Marcus</t>
        </is>
      </c>
      <c r="F18" s="27" t="inlineStr">
        <is>
          <t>Planned</t>
        </is>
      </c>
    </row>
    <row r="19" ht="26" customHeight="1">
      <c r="B19" s="24" t="inlineStr">
        <is>
          <t>During Trip</t>
        </is>
      </c>
      <c r="C19" s="26" t="inlineStr">
        <is>
          <t>Follow itinerary · track budget · capture photos daily</t>
        </is>
      </c>
      <c r="E19" s="27" t="inlineStr">
        <is>
          <t>Family</t>
        </is>
      </c>
      <c r="F19" s="27" t="inlineStr">
        <is>
          <t>Planned</t>
        </is>
      </c>
    </row>
    <row r="20" ht="26" customHeight="1">
      <c r="B20" s="24" t="inlineStr">
        <is>
          <t>After Trip</t>
        </is>
      </c>
      <c r="C20" s="26" t="inlineStr">
        <is>
          <t>Journal · review · sort photos · plan next adventure</t>
        </is>
      </c>
      <c r="E20" s="27" t="inlineStr">
        <is>
          <t>Sofia</t>
        </is>
      </c>
      <c r="F20" s="27" t="inlineStr">
        <is>
          <t>Planned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3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💰  FAMILY VACATION BUDGET COMMAND CENTER</t>
        </is>
      </c>
    </row>
    <row r="2" ht="22" customHeight="1">
      <c r="A2" s="2" t="inlineStr">
        <is>
          <t xml:space="preserve">  Every dollar planned — budget vs actual, cost per person &amp; per day,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Category</t>
        </is>
      </c>
      <c r="B4" s="9" t="inlineStr">
        <is>
          <t>Planned</t>
        </is>
      </c>
      <c r="C4" s="9" t="inlineStr">
        <is>
          <t>Actual</t>
        </is>
      </c>
      <c r="D4" s="9" t="inlineStr">
        <is>
          <t>Remaining</t>
        </is>
      </c>
      <c r="G4" s="4" t="inlineStr">
        <is>
          <t>VACATION FUND</t>
        </is>
      </c>
    </row>
    <row r="5">
      <c r="A5" s="26" t="inlineStr">
        <is>
          <t>Flights</t>
        </is>
      </c>
      <c r="B5" s="28" t="n">
        <v>2200</v>
      </c>
      <c r="C5" s="28" t="n">
        <v>2200</v>
      </c>
      <c r="D5" s="29">
        <f>B5-C5</f>
        <v/>
      </c>
      <c r="G5" s="26" t="inlineStr">
        <is>
          <t>Vacation Fund</t>
        </is>
      </c>
      <c r="H5" s="28" t="n">
        <v>4200</v>
      </c>
    </row>
    <row r="6">
      <c r="A6" s="21" t="inlineStr">
        <is>
          <t>Hotels</t>
        </is>
      </c>
      <c r="B6" s="30" t="n">
        <v>2400</v>
      </c>
      <c r="C6" s="30" t="n">
        <v>2400</v>
      </c>
      <c r="D6" s="31">
        <f>B6-C6</f>
        <v/>
      </c>
      <c r="G6" s="21" t="inlineStr">
        <is>
          <t>Monthly Savings</t>
        </is>
      </c>
      <c r="H6" s="30" t="n">
        <v>1800</v>
      </c>
    </row>
    <row r="7">
      <c r="A7" s="26" t="inlineStr">
        <is>
          <t>Rental Car</t>
        </is>
      </c>
      <c r="B7" s="28" t="n">
        <v>450</v>
      </c>
      <c r="C7" s="28" t="n">
        <v>0</v>
      </c>
      <c r="D7" s="29">
        <f>B7-C7</f>
        <v/>
      </c>
      <c r="G7" s="26" t="inlineStr">
        <is>
          <t>Gift Contributions</t>
        </is>
      </c>
      <c r="H7" s="28" t="n">
        <v>500</v>
      </c>
    </row>
    <row r="8">
      <c r="A8" s="21" t="inlineStr">
        <is>
          <t>Transportation</t>
        </is>
      </c>
      <c r="B8" s="30" t="n">
        <v>200</v>
      </c>
      <c r="C8" s="30" t="n">
        <v>0</v>
      </c>
      <c r="D8" s="31">
        <f>B8-C8</f>
        <v/>
      </c>
      <c r="G8" s="21" t="inlineStr">
        <is>
          <t>Points / Miles (value)</t>
        </is>
      </c>
      <c r="H8" s="30" t="n">
        <v>200</v>
      </c>
    </row>
    <row r="9">
      <c r="A9" s="26" t="inlineStr">
        <is>
          <t>Food &amp; Dining</t>
        </is>
      </c>
      <c r="B9" s="28" t="n">
        <v>1300</v>
      </c>
      <c r="C9" s="28" t="n">
        <v>0</v>
      </c>
      <c r="D9" s="29">
        <f>B9-C9</f>
        <v/>
      </c>
      <c r="G9" s="26" t="inlineStr">
        <is>
          <t>Cash-Back Rewards</t>
        </is>
      </c>
      <c r="H9" s="28" t="n">
        <v>100</v>
      </c>
    </row>
    <row r="10">
      <c r="A10" s="21" t="inlineStr">
        <is>
          <t>Activities</t>
        </is>
      </c>
      <c r="B10" s="30" t="n">
        <v>1200</v>
      </c>
      <c r="C10" s="30" t="n">
        <v>600</v>
      </c>
      <c r="D10" s="31">
        <f>B10-C10</f>
        <v/>
      </c>
      <c r="G10" s="9" t="inlineStr">
        <is>
          <t>MONEY SAVED</t>
        </is>
      </c>
      <c r="H10" s="32">
        <f>SUM(H5:H9)</f>
        <v/>
      </c>
    </row>
    <row r="11">
      <c r="A11" s="26" t="inlineStr">
        <is>
          <t>Shopping</t>
        </is>
      </c>
      <c r="B11" s="28" t="n">
        <v>300</v>
      </c>
      <c r="C11" s="28" t="n">
        <v>0</v>
      </c>
      <c r="D11" s="29">
        <f>B11-C11</f>
        <v/>
      </c>
    </row>
    <row r="12">
      <c r="A12" s="21" t="inlineStr">
        <is>
          <t>Insurance</t>
        </is>
      </c>
      <c r="B12" s="30" t="n">
        <v>250</v>
      </c>
      <c r="C12" s="30" t="n">
        <v>0</v>
      </c>
      <c r="D12" s="31">
        <f>B12-C12</f>
        <v/>
      </c>
    </row>
    <row r="13">
      <c r="A13" s="26" t="inlineStr">
        <is>
          <t>Emergency Fund</t>
        </is>
      </c>
      <c r="B13" s="28" t="n">
        <v>200</v>
      </c>
      <c r="C13" s="28" t="n">
        <v>0</v>
      </c>
      <c r="D13" s="29">
        <f>B13-C13</f>
        <v/>
      </c>
    </row>
    <row r="14">
      <c r="A14" s="21" t="inlineStr">
        <is>
          <t>Miscellaneous</t>
        </is>
      </c>
      <c r="B14" s="30" t="n">
        <v>0</v>
      </c>
      <c r="C14" s="30" t="n">
        <v>0</v>
      </c>
      <c r="D14" s="31">
        <f>B14-C14</f>
        <v/>
      </c>
    </row>
    <row r="15">
      <c r="A15" s="9" t="inlineStr">
        <is>
          <t>TOTAL BUDGET</t>
        </is>
      </c>
      <c r="B15" s="32">
        <f>SUM(B5:B14)</f>
        <v/>
      </c>
      <c r="C15" s="32">
        <f>SUM(C5:C14)</f>
        <v/>
      </c>
      <c r="D15" s="32">
        <f>SUM(D5:D14)</f>
        <v/>
      </c>
    </row>
    <row r="17">
      <c r="A17" s="4" t="inlineStr">
        <is>
          <t>THE BOTTOM LINE</t>
        </is>
      </c>
    </row>
    <row r="18">
      <c r="A18" s="24" t="inlineStr">
        <is>
          <t>Total budget</t>
        </is>
      </c>
      <c r="B18" s="33">
        <f>TripBudget</f>
        <v/>
      </c>
    </row>
    <row r="19">
      <c r="A19" s="24" t="inlineStr">
        <is>
          <t>Money saved</t>
        </is>
      </c>
      <c r="B19" s="34">
        <f>SavedTotal</f>
        <v/>
      </c>
    </row>
    <row r="20">
      <c r="A20" s="24" t="inlineStr">
        <is>
          <t>Still to save</t>
        </is>
      </c>
      <c r="B20" s="33">
        <f>MAX(TripBudget-SavedTotal,0)</f>
        <v/>
      </c>
    </row>
    <row r="21">
      <c r="A21" s="24" t="inlineStr">
        <is>
          <t>Spent so far</t>
        </is>
      </c>
      <c r="B21" s="33">
        <f>SpentTotal</f>
        <v/>
      </c>
    </row>
    <row r="22">
      <c r="A22" s="24" t="inlineStr">
        <is>
          <t>Budget remaining</t>
        </is>
      </c>
      <c r="B22" s="34">
        <f>TripBudget-SpentTotal</f>
        <v/>
      </c>
    </row>
    <row r="23">
      <c r="A23" s="24" t="inlineStr">
        <is>
          <t>Cost / person</t>
        </is>
      </c>
      <c r="B23" s="33">
        <f>IFERROR(TripBudget/TravelerCount,0)</f>
        <v/>
      </c>
    </row>
    <row r="24">
      <c r="A24" s="24" t="inlineStr">
        <is>
          <t>Cost / day</t>
        </is>
      </c>
      <c r="B24" s="33">
        <f>IFERROR(TripBudget/(TripEnd-TripStart+1),0)</f>
        <v/>
      </c>
    </row>
  </sheetData>
  <mergeCells count="4">
    <mergeCell ref="G4:H4"/>
    <mergeCell ref="A17:D17"/>
    <mergeCell ref="A2:H2"/>
    <mergeCell ref="A1:H1"/>
  </mergeCells>
  <conditionalFormatting sqref="D5:D1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4" customWidth="1" min="4" max="4"/>
    <col width="16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🏦  SAVINGS PLANNER</t>
        </is>
      </c>
    </row>
    <row r="2" ht="22" customHeight="1">
      <c r="A2" s="2" t="inlineStr">
        <is>
          <t xml:space="preserve">  Fund the fun — set a goal and watch the vacation fund grow.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 ht="22" customHeight="1">
      <c r="B5" s="7" t="inlineStr">
        <is>
          <t>SAVINGS GOAL</t>
        </is>
      </c>
      <c r="E5" s="4" t="inlineStr">
        <is>
          <t>SAVINGS LEDGER</t>
        </is>
      </c>
    </row>
    <row r="6" ht="30" customHeight="1">
      <c r="B6" s="24" t="inlineStr">
        <is>
          <t>Vacation Goal</t>
        </is>
      </c>
      <c r="C6" s="25">
        <f>TripName</f>
        <v/>
      </c>
      <c r="E6" s="9" t="inlineStr">
        <is>
          <t>Month</t>
        </is>
      </c>
      <c r="F6" s="9" t="inlineStr">
        <is>
          <t>Planned</t>
        </is>
      </c>
      <c r="G6" s="9" t="inlineStr">
        <is>
          <t>Actual</t>
        </is>
      </c>
      <c r="H6" s="9" t="inlineStr">
        <is>
          <t>Running Total</t>
        </is>
      </c>
    </row>
    <row r="7">
      <c r="B7" s="24" t="inlineStr">
        <is>
          <t>Target Amount</t>
        </is>
      </c>
      <c r="C7" s="33">
        <f>SavingsGoal</f>
        <v/>
      </c>
      <c r="E7" s="26" t="inlineStr">
        <is>
          <t>Feb</t>
        </is>
      </c>
      <c r="F7" s="29" t="n">
        <v>800</v>
      </c>
      <c r="G7" s="28" t="n">
        <v>1000</v>
      </c>
      <c r="H7" s="29">
        <f>SUM($G$7:G7)</f>
        <v/>
      </c>
    </row>
    <row r="8">
      <c r="B8" s="24" t="inlineStr">
        <is>
          <t>Current Savings</t>
        </is>
      </c>
      <c r="C8" s="33">
        <f>SavedTotal</f>
        <v/>
      </c>
      <c r="E8" s="21" t="inlineStr">
        <is>
          <t>Mar</t>
        </is>
      </c>
      <c r="F8" s="31" t="n">
        <v>800</v>
      </c>
      <c r="G8" s="30" t="n">
        <v>1200</v>
      </c>
      <c r="H8" s="31">
        <f>SUM($G$7:G8)</f>
        <v/>
      </c>
    </row>
    <row r="9">
      <c r="B9" s="24" t="inlineStr">
        <is>
          <t>Still to Save</t>
        </is>
      </c>
      <c r="C9" s="33">
        <f>MAX(SavingsGoal-SavedTotal,0)</f>
        <v/>
      </c>
      <c r="E9" s="26" t="inlineStr">
        <is>
          <t>Apr</t>
        </is>
      </c>
      <c r="F9" s="29" t="n">
        <v>800</v>
      </c>
      <c r="G9" s="28" t="n">
        <v>1100</v>
      </c>
      <c r="H9" s="29">
        <f>SUM($G$7:G9)</f>
        <v/>
      </c>
    </row>
    <row r="10">
      <c r="B10" s="24" t="inlineStr">
        <is>
          <t>Monthly Contribution</t>
        </is>
      </c>
      <c r="C10" s="28" t="n">
        <v>800</v>
      </c>
      <c r="E10" s="21" t="inlineStr">
        <is>
          <t>May</t>
        </is>
      </c>
      <c r="F10" s="31" t="n">
        <v>800</v>
      </c>
      <c r="G10" s="30" t="n">
        <v>1200</v>
      </c>
      <c r="H10" s="31">
        <f>SUM($G$7:G10)</f>
        <v/>
      </c>
    </row>
    <row r="11">
      <c r="B11" s="24" t="inlineStr">
        <is>
          <t>Months to Goal</t>
        </is>
      </c>
      <c r="C11" s="25">
        <f>IFERROR(ROUNDUP(MAX(SavingsGoal-SavedTotal,0)/C10,0),0)</f>
        <v/>
      </c>
      <c r="E11" s="26" t="inlineStr">
        <is>
          <t>Jun</t>
        </is>
      </c>
      <c r="F11" s="29" t="n">
        <v>800</v>
      </c>
      <c r="G11" s="28" t="n">
        <v>1300</v>
      </c>
      <c r="H11" s="29">
        <f>SUM($G$7:G11)</f>
        <v/>
      </c>
    </row>
    <row r="12">
      <c r="B12" s="24" t="inlineStr">
        <is>
          <t>Progress</t>
        </is>
      </c>
      <c r="C12" s="35">
        <f>IFERROR(MIN(SavedTotal/SavingsGoal,1),0)</f>
        <v/>
      </c>
      <c r="E12" s="21" t="inlineStr">
        <is>
          <t>Jul</t>
        </is>
      </c>
      <c r="F12" s="31" t="n">
        <v>800</v>
      </c>
      <c r="G12" s="30" t="n">
        <v>1000</v>
      </c>
      <c r="H12" s="31">
        <f>SUM($G$7:G12)</f>
        <v/>
      </c>
    </row>
  </sheetData>
  <mergeCells count="4">
    <mergeCell ref="E5:H5"/>
    <mergeCell ref="B5:C5"/>
    <mergeCell ref="A2:H2"/>
    <mergeCell ref="A1:H1"/>
  </mergeCells>
  <conditionalFormatting sqref="C12">
    <cfRule type="dataBar" priority="1">
      <dataBar>
        <cfvo type="num" val="0"/>
        <cfvo type="num" val="1"/>
        <color rgb="0075E6C1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8" customWidth="1" min="4" max="4"/>
    <col width="20" customWidth="1" min="5" max="5"/>
    <col width="18" customWidth="1" min="6" max="6"/>
    <col width="20" customWidth="1" min="7" max="7"/>
    <col width="24" customWidth="1" min="8" max="8"/>
  </cols>
  <sheetData>
    <row r="1" ht="46" customHeight="1">
      <c r="A1" s="1" t="inlineStr">
        <is>
          <t xml:space="preserve">  🗓  ITINERARY COMMAND CENTER</t>
        </is>
      </c>
    </row>
    <row r="2" ht="22" customHeight="1">
      <c r="A2" s="2" t="inlineStr">
        <is>
          <t xml:space="preserve">  Day by day — every morning, afternoon and evening planned, with reservations &amp; notes.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Date</t>
        </is>
      </c>
      <c r="B4" s="9" t="inlineStr">
        <is>
          <t>Day / Theme</t>
        </is>
      </c>
      <c r="C4" s="9" t="inlineStr">
        <is>
          <t>Morning</t>
        </is>
      </c>
      <c r="D4" s="9" t="inlineStr">
        <is>
          <t>Location</t>
        </is>
      </c>
      <c r="E4" s="9" t="inlineStr">
        <is>
          <t>Afternoon</t>
        </is>
      </c>
      <c r="F4" s="9" t="inlineStr">
        <is>
          <t>Evening</t>
        </is>
      </c>
      <c r="G4" s="9" t="inlineStr">
        <is>
          <t>Meals / Res.</t>
        </is>
      </c>
      <c r="H4" s="9" t="inlineStr">
        <is>
          <t>Notes</t>
        </is>
      </c>
    </row>
    <row r="5">
      <c r="A5" s="36" t="n">
        <v>46258</v>
      </c>
      <c r="B5" s="18" t="inlineStr">
        <is>
          <t>Travel &amp; Check-In</t>
        </is>
      </c>
      <c r="C5" s="18" t="inlineStr">
        <is>
          <t>Fly MCO · resort check-in</t>
        </is>
      </c>
      <c r="D5" s="18" t="inlineStr">
        <is>
          <t>Airport / resort</t>
        </is>
      </c>
      <c r="E5" s="18" t="inlineStr">
        <is>
          <t>Disney Springs stroll</t>
        </is>
      </c>
      <c r="F5" s="18" t="inlineStr">
        <is>
          <t>Quick-service dinner</t>
        </is>
      </c>
      <c r="G5" s="18" t="inlineStr">
        <is>
          <t>Rest &amp; pool</t>
        </is>
      </c>
      <c r="H5" s="18" t="inlineStr">
        <is>
          <t>Arrival day — keep it easy</t>
        </is>
      </c>
    </row>
    <row r="6">
      <c r="A6" s="37" t="n">
        <v>46259</v>
      </c>
      <c r="B6" s="21" t="inlineStr">
        <is>
          <t>Magic Kingdom</t>
        </is>
      </c>
      <c r="C6" s="21" t="inlineStr">
        <is>
          <t>Rope drop · headliners</t>
        </is>
      </c>
      <c r="D6" s="21" t="inlineStr">
        <is>
          <t>Magic Kingdom</t>
        </is>
      </c>
      <c r="E6" s="21" t="inlineStr">
        <is>
          <t>Parade &amp; lunch</t>
        </is>
      </c>
      <c r="F6" s="21" t="inlineStr">
        <is>
          <t>Fireworks</t>
        </is>
      </c>
      <c r="G6" s="21" t="inlineStr">
        <is>
          <t>Character dining 6pm</t>
        </is>
      </c>
      <c r="H6" s="21" t="inlineStr">
        <is>
          <t>FastPass the mountains</t>
        </is>
      </c>
    </row>
    <row r="7">
      <c r="A7" s="36" t="n">
        <v>46260</v>
      </c>
      <c r="B7" s="18" t="inlineStr">
        <is>
          <t>EPCOT</t>
        </is>
      </c>
      <c r="C7" s="18" t="inlineStr">
        <is>
          <t>Test Track · Frozen</t>
        </is>
      </c>
      <c r="D7" s="18" t="inlineStr">
        <is>
          <t>EPCOT</t>
        </is>
      </c>
      <c r="E7" s="18" t="inlineStr">
        <is>
          <t>World Showcase snacks</t>
        </is>
      </c>
      <c r="F7" s="18" t="inlineStr">
        <is>
          <t>Ride Guardians</t>
        </is>
      </c>
      <c r="G7" s="18" t="inlineStr">
        <is>
          <t>Space 220 lunch</t>
        </is>
      </c>
      <c r="H7" s="18" t="inlineStr">
        <is>
          <t>Nap for Mateo 1–3pm</t>
        </is>
      </c>
    </row>
    <row r="8">
      <c r="A8" s="37" t="n">
        <v>46261</v>
      </c>
      <c r="B8" s="21" t="inlineStr">
        <is>
          <t>Rest &amp; Pool Day</t>
        </is>
      </c>
      <c r="C8" s="21" t="inlineStr">
        <is>
          <t>Sleep in · resort pool</t>
        </is>
      </c>
      <c r="D8" s="21" t="inlineStr">
        <is>
          <t>Resort</t>
        </is>
      </c>
      <c r="E8" s="21" t="inlineStr">
        <is>
          <t>Mini-golf</t>
        </is>
      </c>
      <c r="F8" s="21" t="inlineStr">
        <is>
          <t>Movie night in</t>
        </is>
      </c>
      <c r="G8" s="21" t="inlineStr">
        <is>
          <t>Grocery pickup</t>
        </is>
      </c>
      <c r="H8" s="21" t="inlineStr">
        <is>
          <t>Recharge — no park</t>
        </is>
      </c>
    </row>
    <row r="9">
      <c r="A9" s="36" t="n">
        <v>46262</v>
      </c>
      <c r="B9" s="18" t="inlineStr">
        <is>
          <t>Hollywood Studios</t>
        </is>
      </c>
      <c r="C9" s="18" t="inlineStr">
        <is>
          <t>Rise of Resistance</t>
        </is>
      </c>
      <c r="D9" s="18" t="inlineStr">
        <is>
          <t>Hollywood Studios</t>
        </is>
      </c>
      <c r="E9" s="18" t="inlineStr">
        <is>
          <t>Toy Story Land</t>
        </is>
      </c>
      <c r="F9" s="18" t="inlineStr">
        <is>
          <t>Fantasmic!</t>
        </is>
      </c>
      <c r="G9" s="18" t="inlineStr">
        <is>
          <t>Sci-Fi Diner 12:30</t>
        </is>
      </c>
      <c r="H9" s="18" t="inlineStr">
        <is>
          <t>Single-rider for adults</t>
        </is>
      </c>
    </row>
    <row r="10">
      <c r="A10" s="37" t="n">
        <v>46263</v>
      </c>
      <c r="B10" s="21" t="inlineStr">
        <is>
          <t>Animal Kingdom</t>
        </is>
      </c>
      <c r="C10" s="21" t="inlineStr">
        <is>
          <t>Flight of Passage</t>
        </is>
      </c>
      <c r="D10" s="21" t="inlineStr">
        <is>
          <t>Animal Kingdom</t>
        </is>
      </c>
      <c r="E10" s="21" t="inlineStr">
        <is>
          <t>Safari midday</t>
        </is>
      </c>
      <c r="F10" s="21" t="inlineStr">
        <is>
          <t>Kilimanjaro</t>
        </is>
      </c>
      <c r="G10" s="21" t="inlineStr">
        <is>
          <t>Tusker House 8am</t>
        </is>
      </c>
      <c r="H10" s="21" t="inlineStr">
        <is>
          <t>Water bottles a must</t>
        </is>
      </c>
    </row>
    <row r="11">
      <c r="A11" s="36" t="n">
        <v>46264</v>
      </c>
      <c r="B11" s="18" t="inlineStr">
        <is>
          <t>Departure</t>
        </is>
      </c>
      <c r="C11" s="18" t="inlineStr">
        <is>
          <t>Souvenirs · pack</t>
        </is>
      </c>
      <c r="D11" s="18" t="inlineStr">
        <is>
          <t>Resort → MCO</t>
        </is>
      </c>
      <c r="E11" s="18" t="inlineStr">
        <is>
          <t>Last breakfast</t>
        </is>
      </c>
      <c r="F11" s="18" t="inlineStr">
        <is>
          <t>Fly home</t>
        </is>
      </c>
      <c r="G11" s="18" t="inlineStr">
        <is>
          <t>—</t>
        </is>
      </c>
      <c r="H11" s="18" t="inlineStr">
        <is>
          <t>Bags down by 9am</t>
        </is>
      </c>
    </row>
    <row r="12">
      <c r="A12" s="37" t="n"/>
      <c r="B12" s="21" t="n"/>
      <c r="C12" s="21" t="n"/>
      <c r="D12" s="21" t="n"/>
      <c r="E12" s="21" t="n"/>
      <c r="F12" s="21" t="n"/>
      <c r="G12" s="21" t="n"/>
      <c r="H12" s="21" t="n"/>
    </row>
    <row r="13">
      <c r="A13" s="36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37" t="n"/>
      <c r="B14" s="21" t="n"/>
      <c r="C14" s="21" t="n"/>
      <c r="D14" s="21" t="n"/>
      <c r="E14" s="21" t="n"/>
      <c r="F14" s="21" t="n"/>
      <c r="G14" s="21" t="n"/>
      <c r="H14" s="21" t="n"/>
    </row>
    <row r="15">
      <c r="A15" s="36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37" t="n"/>
      <c r="B16" s="21" t="n"/>
      <c r="C16" s="21" t="n"/>
      <c r="D16" s="21" t="n"/>
      <c r="E16" s="21" t="n"/>
      <c r="F16" s="21" t="n"/>
      <c r="G16" s="21" t="n"/>
      <c r="H16" s="21" t="n"/>
    </row>
    <row r="17">
      <c r="A17" s="36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37" t="n"/>
      <c r="B18" s="21" t="n"/>
      <c r="C18" s="21" t="n"/>
      <c r="D18" s="21" t="n"/>
      <c r="E18" s="21" t="n"/>
      <c r="F18" s="21" t="n"/>
      <c r="G18" s="21" t="n"/>
      <c r="H18" s="21" t="n"/>
    </row>
    <row r="19">
      <c r="A19" s="36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37" t="n"/>
      <c r="B20" s="21" t="n"/>
      <c r="C20" s="21" t="n"/>
      <c r="D20" s="21" t="n"/>
      <c r="E20" s="21" t="n"/>
      <c r="F20" s="21" t="n"/>
      <c r="G20" s="21" t="n"/>
      <c r="H20" s="21" t="n"/>
    </row>
    <row r="21">
      <c r="A21" s="36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37" t="n"/>
      <c r="B22" s="21" t="n"/>
      <c r="C22" s="21" t="n"/>
      <c r="D22" s="21" t="n"/>
      <c r="E22" s="21" t="n"/>
      <c r="F22" s="21" t="n"/>
      <c r="G22" s="21" t="n"/>
      <c r="H22" s="21" t="n"/>
    </row>
    <row r="23">
      <c r="A23" s="36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37" t="n"/>
      <c r="B24" s="21" t="n"/>
      <c r="C24" s="21" t="n"/>
      <c r="D24" s="21" t="n"/>
      <c r="E24" s="21" t="n"/>
      <c r="F24" s="21" t="n"/>
      <c r="G24" s="21" t="n"/>
      <c r="H24" s="21" t="n"/>
    </row>
    <row r="25">
      <c r="A25" s="36" t="n"/>
      <c r="B25" s="18" t="n"/>
      <c r="C25" s="18" t="n"/>
      <c r="D25" s="18" t="n"/>
      <c r="E25" s="18" t="n"/>
      <c r="F25" s="18" t="n"/>
      <c r="G25" s="18" t="n"/>
      <c r="H25" s="18" t="n"/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3" customWidth="1" min="4" max="4"/>
    <col width="8" customWidth="1" min="5" max="5"/>
    <col width="12" customWidth="1" min="6" max="6"/>
    <col width="16" customWidth="1" min="7" max="7"/>
    <col width="24" customWidth="1" min="8" max="8"/>
  </cols>
  <sheetData>
    <row r="1" ht="46" customHeight="1">
      <c r="A1" s="1" t="inlineStr">
        <is>
          <t xml:space="preserve">  ✈  FLIGHT &amp; TRANSPORTATION MANAGER</t>
        </is>
      </c>
    </row>
    <row r="2" ht="22" customHeight="1">
      <c r="A2" s="2" t="inlineStr">
        <is>
          <t xml:space="preserve">  Every leg covered — flights, car, transfers &amp; parking with confirmations.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Type</t>
        </is>
      </c>
      <c r="B4" s="9" t="inlineStr">
        <is>
          <t>Carrier / Vehicle</t>
        </is>
      </c>
      <c r="C4" s="9" t="inlineStr">
        <is>
          <t>Route</t>
        </is>
      </c>
      <c r="D4" s="9" t="inlineStr">
        <is>
          <t>Status</t>
        </is>
      </c>
      <c r="E4" s="9" t="inlineStr">
        <is>
          <t>Seats</t>
        </is>
      </c>
      <c r="F4" s="9" t="inlineStr">
        <is>
          <t>Cost</t>
        </is>
      </c>
      <c r="G4" s="9" t="inlineStr">
        <is>
          <t>Confirmation</t>
        </is>
      </c>
      <c r="H4" s="9" t="inlineStr">
        <is>
          <t>Notes</t>
        </is>
      </c>
    </row>
    <row r="5">
      <c r="A5" s="20" t="inlineStr">
        <is>
          <t>Flight</t>
        </is>
      </c>
      <c r="B5" s="18" t="inlineStr">
        <is>
          <t>Delta 1422</t>
        </is>
      </c>
      <c r="C5" s="18" t="inlineStr">
        <is>
          <t>MCO Orlando</t>
        </is>
      </c>
      <c r="D5" s="20" t="inlineStr">
        <is>
          <t>Confirmed</t>
        </is>
      </c>
      <c r="E5" s="19" t="n">
        <v>5</v>
      </c>
      <c r="F5" s="38" t="inlineStr">
        <is>
          <t>$2,200</t>
        </is>
      </c>
      <c r="G5" s="18" t="inlineStr">
        <is>
          <t>DL-8KX2P9</t>
        </is>
      </c>
      <c r="H5" s="18" t="inlineStr">
        <is>
          <t>Seats 22A–E · 8:05am</t>
        </is>
      </c>
    </row>
    <row r="6">
      <c r="A6" s="23" t="inlineStr">
        <is>
          <t>Rental Car</t>
        </is>
      </c>
      <c r="B6" s="21" t="inlineStr">
        <is>
          <t>Enterprise SUV</t>
        </is>
      </c>
      <c r="C6" s="21" t="inlineStr">
        <is>
          <t>MCO pickup</t>
        </is>
      </c>
      <c r="D6" s="23" t="inlineStr">
        <is>
          <t>Confirmed</t>
        </is>
      </c>
      <c r="E6" s="22" t="n">
        <v>5</v>
      </c>
      <c r="F6" s="31" t="inlineStr">
        <is>
          <t>$450</t>
        </is>
      </c>
      <c r="G6" s="21" t="inlineStr">
        <is>
          <t>ENT-77341</t>
        </is>
      </c>
      <c r="H6" s="21" t="inlineStr">
        <is>
          <t>Full-size · car seat added</t>
        </is>
      </c>
    </row>
    <row r="7">
      <c r="A7" s="20" t="inlineStr">
        <is>
          <t>Transfer</t>
        </is>
      </c>
      <c r="B7" s="18" t="inlineStr">
        <is>
          <t>Resort shuttle</t>
        </is>
      </c>
      <c r="C7" s="18" t="inlineStr">
        <is>
          <t>Airport → resort</t>
        </is>
      </c>
      <c r="D7" s="20" t="inlineStr">
        <is>
          <t>Included</t>
        </is>
      </c>
      <c r="E7" s="19" t="n">
        <v>5</v>
      </c>
      <c r="F7" s="38" t="inlineStr">
        <is>
          <t>$0</t>
        </is>
      </c>
      <c r="G7" s="18" t="inlineStr">
        <is>
          <t>RES-INCL</t>
        </is>
      </c>
      <c r="H7" s="18" t="inlineStr">
        <is>
          <t>Free with stay</t>
        </is>
      </c>
    </row>
    <row r="8">
      <c r="A8" s="23" t="inlineStr">
        <is>
          <t>Parking</t>
        </is>
      </c>
      <c r="B8" s="21" t="inlineStr">
        <is>
          <t>Resort self-park</t>
        </is>
      </c>
      <c r="C8" s="21" t="inlineStr">
        <is>
          <t>Resort</t>
        </is>
      </c>
      <c r="D8" s="23" t="inlineStr">
        <is>
          <t>Pending</t>
        </is>
      </c>
      <c r="E8" s="22" t="n">
        <v>1</v>
      </c>
      <c r="F8" s="31" t="inlineStr">
        <is>
          <t>$120</t>
        </is>
      </c>
      <c r="G8" s="21" t="inlineStr">
        <is>
          <t>—</t>
        </is>
      </c>
      <c r="H8" s="21" t="inlineStr">
        <is>
          <t>$20/night x 6</t>
        </is>
      </c>
    </row>
    <row r="9">
      <c r="A9" s="20" t="inlineStr">
        <is>
          <t>Rideshare</t>
        </is>
      </c>
      <c r="B9" s="18" t="inlineStr">
        <is>
          <t>Uber XL (budget)</t>
        </is>
      </c>
      <c r="C9" s="18" t="inlineStr">
        <is>
          <t>Disney Springs</t>
        </is>
      </c>
      <c r="D9" s="20" t="inlineStr">
        <is>
          <t>Planned</t>
        </is>
      </c>
      <c r="E9" s="19" t="n">
        <v>5</v>
      </c>
      <c r="F9" s="38" t="inlineStr">
        <is>
          <t>$80</t>
        </is>
      </c>
      <c r="G9" s="18" t="inlineStr">
        <is>
          <t>—</t>
        </is>
      </c>
      <c r="H9" s="18" t="inlineStr">
        <is>
          <t>Est. 2 trips</t>
        </is>
      </c>
    </row>
    <row r="10">
      <c r="A10" s="23" t="inlineStr">
        <is>
          <t>Flight</t>
        </is>
      </c>
      <c r="B10" s="21" t="inlineStr">
        <is>
          <t>Delta 1889</t>
        </is>
      </c>
      <c r="C10" s="21" t="inlineStr">
        <is>
          <t>MCO → home</t>
        </is>
      </c>
      <c r="D10" s="23" t="inlineStr">
        <is>
          <t>Confirmed</t>
        </is>
      </c>
      <c r="E10" s="22" t="n">
        <v>5</v>
      </c>
      <c r="F10" s="31" t="inlineStr">
        <is>
          <t>$0</t>
        </is>
      </c>
      <c r="G10" s="21" t="inlineStr">
        <is>
          <t>DL-8KX2P9</t>
        </is>
      </c>
      <c r="H10" s="21" t="inlineStr">
        <is>
          <t>Return 5:40pm · same PNR</t>
        </is>
      </c>
    </row>
    <row r="11">
      <c r="A11" s="20" t="n"/>
      <c r="B11" s="18" t="n"/>
      <c r="C11" s="18" t="n"/>
      <c r="D11" s="20" t="n"/>
      <c r="E11" s="19" t="n"/>
      <c r="F11" s="38" t="n"/>
      <c r="G11" s="18" t="n"/>
      <c r="H11" s="18" t="n"/>
    </row>
    <row r="12">
      <c r="A12" s="23" t="n"/>
      <c r="B12" s="21" t="n"/>
      <c r="C12" s="21" t="n"/>
      <c r="D12" s="23" t="n"/>
      <c r="E12" s="22" t="n"/>
      <c r="F12" s="31" t="n"/>
      <c r="G12" s="21" t="n"/>
      <c r="H12" s="21" t="n"/>
    </row>
    <row r="13">
      <c r="A13" s="20" t="n"/>
      <c r="B13" s="18" t="n"/>
      <c r="C13" s="18" t="n"/>
      <c r="D13" s="20" t="n"/>
      <c r="E13" s="19" t="n"/>
      <c r="F13" s="38" t="n"/>
      <c r="G13" s="18" t="n"/>
      <c r="H13" s="18" t="n"/>
    </row>
    <row r="14">
      <c r="A14" s="23" t="n"/>
      <c r="B14" s="21" t="n"/>
      <c r="C14" s="21" t="n"/>
      <c r="D14" s="23" t="n"/>
      <c r="E14" s="22" t="n"/>
      <c r="F14" s="31" t="n"/>
      <c r="G14" s="21" t="n"/>
      <c r="H14" s="21" t="n"/>
    </row>
    <row r="15">
      <c r="A15" s="20" t="n"/>
      <c r="B15" s="18" t="n"/>
      <c r="C15" s="18" t="n"/>
      <c r="D15" s="20" t="n"/>
      <c r="E15" s="19" t="n"/>
      <c r="F15" s="38" t="n"/>
      <c r="G15" s="18" t="n"/>
      <c r="H15" s="18" t="n"/>
    </row>
    <row r="16">
      <c r="A16" s="23" t="n"/>
      <c r="B16" s="21" t="n"/>
      <c r="C16" s="21" t="n"/>
      <c r="D16" s="23" t="n"/>
      <c r="E16" s="22" t="n"/>
      <c r="F16" s="31" t="n"/>
      <c r="G16" s="21" t="n"/>
      <c r="H16" s="21" t="n"/>
    </row>
    <row r="17">
      <c r="A17" s="20" t="n"/>
      <c r="B17" s="18" t="n"/>
      <c r="C17" s="18" t="n"/>
      <c r="D17" s="20" t="n"/>
      <c r="E17" s="19" t="n"/>
      <c r="F17" s="38" t="n"/>
      <c r="G17" s="18" t="n"/>
      <c r="H17" s="18" t="n"/>
    </row>
    <row r="18">
      <c r="A18" s="23" t="n"/>
      <c r="B18" s="21" t="n"/>
      <c r="C18" s="21" t="n"/>
      <c r="D18" s="23" t="n"/>
      <c r="E18" s="22" t="n"/>
      <c r="F18" s="31" t="n"/>
      <c r="G18" s="21" t="n"/>
      <c r="H18" s="21" t="n"/>
    </row>
    <row r="19">
      <c r="A19" s="20" t="n"/>
      <c r="B19" s="18" t="n"/>
      <c r="C19" s="18" t="n"/>
      <c r="D19" s="20" t="n"/>
      <c r="E19" s="19" t="n"/>
      <c r="F19" s="38" t="n"/>
      <c r="G19" s="18" t="n"/>
      <c r="H19" s="18" t="n"/>
    </row>
    <row r="20">
      <c r="A20" s="23" t="n"/>
      <c r="B20" s="21" t="n"/>
      <c r="C20" s="21" t="n"/>
      <c r="D20" s="23" t="n"/>
      <c r="E20" s="22" t="n"/>
      <c r="F20" s="31" t="n"/>
      <c r="G20" s="21" t="n"/>
      <c r="H20" s="21" t="n"/>
    </row>
    <row r="21">
      <c r="A21" s="20" t="n"/>
      <c r="B21" s="18" t="n"/>
      <c r="C21" s="18" t="n"/>
      <c r="D21" s="20" t="n"/>
      <c r="E21" s="19" t="n"/>
      <c r="F21" s="38" t="n"/>
      <c r="G21" s="18" t="n"/>
      <c r="H21" s="18" t="n"/>
    </row>
    <row r="22">
      <c r="A22" s="23" t="n"/>
      <c r="B22" s="21" t="n"/>
      <c r="C22" s="21" t="n"/>
      <c r="D22" s="23" t="n"/>
      <c r="E22" s="22" t="n"/>
      <c r="F22" s="31" t="n"/>
      <c r="G22" s="21" t="n"/>
      <c r="H22" s="21" t="n"/>
    </row>
    <row r="23">
      <c r="A23" s="20" t="n"/>
      <c r="B23" s="18" t="n"/>
      <c r="C23" s="18" t="n"/>
      <c r="D23" s="20" t="n"/>
      <c r="E23" s="19" t="n"/>
      <c r="F23" s="38" t="n"/>
      <c r="G23" s="18" t="n"/>
      <c r="H23" s="18" t="n"/>
    </row>
    <row r="24">
      <c r="A24" s="23" t="n"/>
      <c r="B24" s="21" t="n"/>
      <c r="C24" s="21" t="n"/>
      <c r="D24" s="23" t="n"/>
      <c r="E24" s="22" t="n"/>
      <c r="F24" s="31" t="n"/>
      <c r="G24" s="21" t="n"/>
      <c r="H24" s="21" t="n"/>
    </row>
  </sheetData>
  <mergeCells count="2">
    <mergeCell ref="A2:H2"/>
    <mergeCell ref="A1:H1"/>
  </mergeCells>
  <conditionalFormatting sqref="D5:D24">
    <cfRule type="cellIs" priority="1" operator="equal" dxfId="1">
      <formula>"Confirmed"</formula>
    </cfRule>
    <cfRule type="cellIs" priority="2" operator="equal" dxfId="2">
      <formula>"Pending"</formula>
    </cfRule>
  </conditionalFormatting>
  <dataValidations count="1">
    <dataValidation sqref="A5:A24" showDropDown="0" showInputMessage="0" showErrorMessage="0" allowBlank="1" type="list">
      <formula1>=TransTypeList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3" customWidth="1" min="4" max="4"/>
    <col width="13" customWidth="1" min="5" max="5"/>
    <col width="18" customWidth="1" min="6" max="6"/>
    <col width="12" customWidth="1" min="7" max="7"/>
    <col width="26" customWidth="1" min="8" max="8"/>
    <col width="15" customWidth="1" min="9" max="9"/>
  </cols>
  <sheetData>
    <row r="1" ht="46" customHeight="1">
      <c r="A1" s="1" t="inlineStr">
        <is>
          <t xml:space="preserve">  🏨  HOTEL &amp; ACCOMMODATION MANAGER</t>
        </is>
      </c>
    </row>
    <row r="2" ht="22" customHeight="1">
      <c r="A2" s="2" t="inlineStr">
        <is>
          <t xml:space="preserve">  Where you'll rest — confirmations, dates, room details &amp; amenities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9" t="inlineStr">
        <is>
          <t>Hotel / Rental</t>
        </is>
      </c>
      <c r="B4" s="9" t="inlineStr">
        <is>
          <t>Address</t>
        </is>
      </c>
      <c r="C4" s="9" t="inlineStr">
        <is>
          <t>Confirmation</t>
        </is>
      </c>
      <c r="D4" s="9" t="inlineStr">
        <is>
          <t>Check-In</t>
        </is>
      </c>
      <c r="E4" s="9" t="inlineStr">
        <is>
          <t>Check-Out</t>
        </is>
      </c>
      <c r="F4" s="9" t="inlineStr">
        <is>
          <t>Room</t>
        </is>
      </c>
      <c r="G4" s="9" t="inlineStr">
        <is>
          <t>Cost</t>
        </is>
      </c>
      <c r="H4" s="9" t="inlineStr">
        <is>
          <t>Amenities</t>
        </is>
      </c>
      <c r="I4" s="9" t="inlineStr">
        <is>
          <t>Phone</t>
        </is>
      </c>
    </row>
    <row r="5">
      <c r="A5" s="18" t="inlineStr">
        <is>
          <t>Disney Caribbean Beach</t>
        </is>
      </c>
      <c r="B5" s="18" t="inlineStr">
        <is>
          <t>900 Cayman Way, Orlando</t>
        </is>
      </c>
      <c r="C5" s="18" t="inlineStr">
        <is>
          <t>WDW-CB-55219</t>
        </is>
      </c>
      <c r="D5" s="36" t="n">
        <v>46258</v>
      </c>
      <c r="E5" s="36" t="n">
        <v>46264</v>
      </c>
      <c r="F5" s="18" t="inlineStr">
        <is>
          <t>Preferred · 2 queens</t>
        </is>
      </c>
      <c r="G5" s="38" t="inlineStr">
        <is>
          <t>$2,400</t>
        </is>
      </c>
      <c r="H5" s="18" t="inlineStr">
        <is>
          <t>Pool, transport, dining plan</t>
        </is>
      </c>
      <c r="I5" s="18" t="inlineStr">
        <is>
          <t>407-934-3400</t>
        </is>
      </c>
    </row>
    <row r="6">
      <c r="A6" s="21" t="inlineStr">
        <is>
          <t>Airport Hyatt (1 night)</t>
        </is>
      </c>
      <c r="B6" s="21" t="inlineStr">
        <is>
          <t>MCO Terminal, Orlando</t>
        </is>
      </c>
      <c r="C6" s="21" t="inlineStr">
        <is>
          <t>HY-99120</t>
        </is>
      </c>
      <c r="D6" s="37" t="n">
        <v>46264</v>
      </c>
      <c r="E6" s="37" t="n">
        <v>46265</v>
      </c>
      <c r="F6" s="21" t="inlineStr">
        <is>
          <t>2 doubles</t>
        </is>
      </c>
      <c r="G6" s="31" t="inlineStr">
        <is>
          <t>$0</t>
        </is>
      </c>
      <c r="H6" s="21" t="inlineStr">
        <is>
          <t>Late flight backup — hold only</t>
        </is>
      </c>
      <c r="I6" s="21" t="inlineStr">
        <is>
          <t>407-825-1234</t>
        </is>
      </c>
    </row>
    <row r="7">
      <c r="A7" s="18" t="n"/>
      <c r="B7" s="18" t="n"/>
      <c r="C7" s="18" t="n"/>
      <c r="D7" s="36" t="n"/>
      <c r="E7" s="36" t="n"/>
      <c r="F7" s="18" t="n"/>
      <c r="G7" s="38" t="n"/>
      <c r="H7" s="18" t="n"/>
      <c r="I7" s="18" t="n"/>
    </row>
    <row r="8">
      <c r="A8" s="21" t="n"/>
      <c r="B8" s="21" t="n"/>
      <c r="C8" s="21" t="n"/>
      <c r="D8" s="37" t="n"/>
      <c r="E8" s="37" t="n"/>
      <c r="F8" s="21" t="n"/>
      <c r="G8" s="31" t="n"/>
      <c r="H8" s="21" t="n"/>
      <c r="I8" s="21" t="n"/>
    </row>
    <row r="9">
      <c r="A9" s="18" t="n"/>
      <c r="B9" s="18" t="n"/>
      <c r="C9" s="18" t="n"/>
      <c r="D9" s="36" t="n"/>
      <c r="E9" s="36" t="n"/>
      <c r="F9" s="18" t="n"/>
      <c r="G9" s="38" t="n"/>
      <c r="H9" s="18" t="n"/>
      <c r="I9" s="18" t="n"/>
    </row>
    <row r="10">
      <c r="A10" s="21" t="n"/>
      <c r="B10" s="21" t="n"/>
      <c r="C10" s="21" t="n"/>
      <c r="D10" s="37" t="n"/>
      <c r="E10" s="37" t="n"/>
      <c r="F10" s="21" t="n"/>
      <c r="G10" s="31" t="n"/>
      <c r="H10" s="21" t="n"/>
      <c r="I10" s="21" t="n"/>
    </row>
    <row r="11">
      <c r="A11" s="18" t="n"/>
      <c r="B11" s="18" t="n"/>
      <c r="C11" s="18" t="n"/>
      <c r="D11" s="36" t="n"/>
      <c r="E11" s="36" t="n"/>
      <c r="F11" s="18" t="n"/>
      <c r="G11" s="38" t="n"/>
      <c r="H11" s="18" t="n"/>
      <c r="I11" s="18" t="n"/>
    </row>
    <row r="12">
      <c r="A12" s="21" t="n"/>
      <c r="B12" s="21" t="n"/>
      <c r="C12" s="21" t="n"/>
      <c r="D12" s="37" t="n"/>
      <c r="E12" s="37" t="n"/>
      <c r="F12" s="21" t="n"/>
      <c r="G12" s="31" t="n"/>
      <c r="H12" s="21" t="n"/>
      <c r="I12" s="21" t="n"/>
    </row>
    <row r="13">
      <c r="A13" s="18" t="n"/>
      <c r="B13" s="18" t="n"/>
      <c r="C13" s="18" t="n"/>
      <c r="D13" s="36" t="n"/>
      <c r="E13" s="36" t="n"/>
      <c r="F13" s="18" t="n"/>
      <c r="G13" s="38" t="n"/>
      <c r="H13" s="18" t="n"/>
      <c r="I13" s="18" t="n"/>
    </row>
    <row r="14">
      <c r="A14" s="21" t="n"/>
      <c r="B14" s="21" t="n"/>
      <c r="C14" s="21" t="n"/>
      <c r="D14" s="37" t="n"/>
      <c r="E14" s="37" t="n"/>
      <c r="F14" s="21" t="n"/>
      <c r="G14" s="31" t="n"/>
      <c r="H14" s="21" t="n"/>
      <c r="I14" s="21" t="n"/>
    </row>
    <row r="15">
      <c r="A15" s="18" t="n"/>
      <c r="B15" s="18" t="n"/>
      <c r="C15" s="18" t="n"/>
      <c r="D15" s="36" t="n"/>
      <c r="E15" s="36" t="n"/>
      <c r="F15" s="18" t="n"/>
      <c r="G15" s="38" t="n"/>
      <c r="H15" s="18" t="n"/>
      <c r="I15" s="18" t="n"/>
    </row>
    <row r="16">
      <c r="A16" s="21" t="n"/>
      <c r="B16" s="21" t="n"/>
      <c r="C16" s="21" t="n"/>
      <c r="D16" s="37" t="n"/>
      <c r="E16" s="37" t="n"/>
      <c r="F16" s="21" t="n"/>
      <c r="G16" s="31" t="n"/>
      <c r="H16" s="21" t="n"/>
      <c r="I16" s="21" t="n"/>
    </row>
  </sheetData>
  <mergeCells count="2">
    <mergeCell ref="A1:I1"/>
    <mergeCell ref="A2:I2"/>
  </mergeCells>
  <conditionalFormatting sqref="C5:C16">
    <cfRule type="cellIs" priority="1" operator="notEqual" dxfId="1">
      <formula>""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8" customWidth="1" min="4" max="4"/>
    <col width="12" customWidth="1" min="5" max="5"/>
  </cols>
  <sheetData>
    <row r="1" ht="46" customHeight="1">
      <c r="A1" s="1" t="inlineStr">
        <is>
          <t xml:space="preserve">  🧳  FAMILY PACKING COMMAND CENTER</t>
        </is>
      </c>
    </row>
    <row r="2" ht="22" customHeight="1">
      <c r="A2" s="2" t="inlineStr">
        <is>
          <t xml:space="preserve">  Nothing forgotten — assign items, track quantity and check them off as you pack.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Item</t>
        </is>
      </c>
      <c r="B4" s="9" t="inlineStr">
        <is>
          <t>Category</t>
        </is>
      </c>
      <c r="C4" s="9" t="inlineStr">
        <is>
          <t>Assigned To</t>
        </is>
      </c>
      <c r="D4" s="9" t="inlineStr">
        <is>
          <t>Qty</t>
        </is>
      </c>
      <c r="E4" s="9" t="inlineStr">
        <is>
          <t>Packed?</t>
        </is>
      </c>
    </row>
    <row r="5">
      <c r="A5" s="18" t="inlineStr">
        <is>
          <t>Passports &amp; IDs</t>
        </is>
      </c>
      <c r="B5" s="20" t="inlineStr">
        <is>
          <t>Documents</t>
        </is>
      </c>
      <c r="C5" s="20" t="inlineStr">
        <is>
          <t>Marcus</t>
        </is>
      </c>
      <c r="D5" s="19" t="n">
        <v>5</v>
      </c>
      <c r="E5" s="20" t="inlineStr">
        <is>
          <t>Yes</t>
        </is>
      </c>
    </row>
    <row r="6">
      <c r="A6" s="21" t="inlineStr">
        <is>
          <t>Park tickets (mobile)</t>
        </is>
      </c>
      <c r="B6" s="23" t="inlineStr">
        <is>
          <t>Documents</t>
        </is>
      </c>
      <c r="C6" s="23" t="inlineStr">
        <is>
          <t>Elena</t>
        </is>
      </c>
      <c r="D6" s="22" t="n">
        <v>5</v>
      </c>
      <c r="E6" s="23" t="inlineStr">
        <is>
          <t>Yes</t>
        </is>
      </c>
    </row>
    <row r="7">
      <c r="A7" s="18" t="inlineStr">
        <is>
          <t>Phone chargers</t>
        </is>
      </c>
      <c r="B7" s="20" t="inlineStr">
        <is>
          <t>Electronics</t>
        </is>
      </c>
      <c r="C7" s="20" t="inlineStr">
        <is>
          <t>Marcus</t>
        </is>
      </c>
      <c r="D7" s="19" t="n">
        <v>3</v>
      </c>
      <c r="E7" s="20" t="inlineStr">
        <is>
          <t>Yes</t>
        </is>
      </c>
    </row>
    <row r="8">
      <c r="A8" s="21" t="inlineStr">
        <is>
          <t>Portable battery</t>
        </is>
      </c>
      <c r="B8" s="23" t="inlineStr">
        <is>
          <t>Electronics</t>
        </is>
      </c>
      <c r="C8" s="23" t="inlineStr">
        <is>
          <t>Marcus</t>
        </is>
      </c>
      <c r="D8" s="22" t="n">
        <v>2</v>
      </c>
      <c r="E8" s="23" t="inlineStr">
        <is>
          <t>Yes</t>
        </is>
      </c>
    </row>
    <row r="9">
      <c r="A9" s="18" t="inlineStr">
        <is>
          <t>Camera + SD cards</t>
        </is>
      </c>
      <c r="B9" s="20" t="inlineStr">
        <is>
          <t>Electronics</t>
        </is>
      </c>
      <c r="C9" s="20" t="inlineStr">
        <is>
          <t>Sofia</t>
        </is>
      </c>
      <c r="D9" s="19" t="n">
        <v>1</v>
      </c>
      <c r="E9" s="20" t="inlineStr">
        <is>
          <t>No</t>
        </is>
      </c>
    </row>
    <row r="10">
      <c r="A10" s="21" t="inlineStr">
        <is>
          <t>Sunscreen SPF 50</t>
        </is>
      </c>
      <c r="B10" s="23" t="inlineStr">
        <is>
          <t>Toiletries</t>
        </is>
      </c>
      <c r="C10" s="23" t="inlineStr">
        <is>
          <t>Elena</t>
        </is>
      </c>
      <c r="D10" s="22" t="n">
        <v>3</v>
      </c>
      <c r="E10" s="23" t="inlineStr">
        <is>
          <t>Yes</t>
        </is>
      </c>
    </row>
    <row r="11">
      <c r="A11" s="18" t="inlineStr">
        <is>
          <t>Toiletry bags</t>
        </is>
      </c>
      <c r="B11" s="20" t="inlineStr">
        <is>
          <t>Toiletries</t>
        </is>
      </c>
      <c r="C11" s="20" t="inlineStr">
        <is>
          <t>Elena</t>
        </is>
      </c>
      <c r="D11" s="19" t="n">
        <v>5</v>
      </c>
      <c r="E11" s="20" t="inlineStr">
        <is>
          <t>Yes</t>
        </is>
      </c>
    </row>
    <row r="12">
      <c r="A12" s="21" t="inlineStr">
        <is>
          <t>Family medicine kit</t>
        </is>
      </c>
      <c r="B12" s="23" t="inlineStr">
        <is>
          <t>Medicine</t>
        </is>
      </c>
      <c r="C12" s="23" t="inlineStr">
        <is>
          <t>Elena</t>
        </is>
      </c>
      <c r="D12" s="22" t="n">
        <v>1</v>
      </c>
      <c r="E12" s="23" t="inlineStr">
        <is>
          <t>Yes</t>
        </is>
      </c>
    </row>
    <row r="13">
      <c r="A13" s="18" t="inlineStr">
        <is>
          <t>Mateo's allergy meds</t>
        </is>
      </c>
      <c r="B13" s="20" t="inlineStr">
        <is>
          <t>Medicine</t>
        </is>
      </c>
      <c r="C13" s="20" t="inlineStr">
        <is>
          <t>Elena</t>
        </is>
      </c>
      <c r="D13" s="19" t="n">
        <v>1</v>
      </c>
      <c r="E13" s="20" t="inlineStr">
        <is>
          <t>Yes</t>
        </is>
      </c>
    </row>
    <row r="14">
      <c r="A14" s="21" t="inlineStr">
        <is>
          <t>Motion-sickness bands</t>
        </is>
      </c>
      <c r="B14" s="23" t="inlineStr">
        <is>
          <t>Medicine</t>
        </is>
      </c>
      <c r="C14" s="23" t="inlineStr">
        <is>
          <t>Elena</t>
        </is>
      </c>
      <c r="D14" s="22" t="n">
        <v>2</v>
      </c>
      <c r="E14" s="23" t="inlineStr">
        <is>
          <t>No</t>
        </is>
      </c>
    </row>
    <row r="15">
      <c r="A15" s="18" t="inlineStr">
        <is>
          <t>T-shirts</t>
        </is>
      </c>
      <c r="B15" s="20" t="inlineStr">
        <is>
          <t>Clothing</t>
        </is>
      </c>
      <c r="C15" s="20" t="inlineStr">
        <is>
          <t>Each</t>
        </is>
      </c>
      <c r="D15" s="19" t="n">
        <v>21</v>
      </c>
      <c r="E15" s="20" t="inlineStr">
        <is>
          <t>Yes</t>
        </is>
      </c>
    </row>
    <row r="16">
      <c r="A16" s="21" t="inlineStr">
        <is>
          <t>Shorts</t>
        </is>
      </c>
      <c r="B16" s="23" t="inlineStr">
        <is>
          <t>Clothing</t>
        </is>
      </c>
      <c r="C16" s="23" t="inlineStr">
        <is>
          <t>Each</t>
        </is>
      </c>
      <c r="D16" s="22" t="n">
        <v>14</v>
      </c>
      <c r="E16" s="23" t="inlineStr">
        <is>
          <t>Yes</t>
        </is>
      </c>
    </row>
    <row r="17">
      <c r="A17" s="18" t="inlineStr">
        <is>
          <t>Swimsuits</t>
        </is>
      </c>
      <c r="B17" s="20" t="inlineStr">
        <is>
          <t>Clothing</t>
        </is>
      </c>
      <c r="C17" s="20" t="inlineStr">
        <is>
          <t>Each</t>
        </is>
      </c>
      <c r="D17" s="19" t="n">
        <v>10</v>
      </c>
      <c r="E17" s="20" t="inlineStr">
        <is>
          <t>Yes</t>
        </is>
      </c>
    </row>
    <row r="18">
      <c r="A18" s="21" t="inlineStr">
        <is>
          <t>Rain ponchos</t>
        </is>
      </c>
      <c r="B18" s="23" t="inlineStr">
        <is>
          <t>Clothing</t>
        </is>
      </c>
      <c r="C18" s="23" t="inlineStr">
        <is>
          <t>Marcus</t>
        </is>
      </c>
      <c r="D18" s="22" t="n">
        <v>5</v>
      </c>
      <c r="E18" s="23" t="inlineStr">
        <is>
          <t>No</t>
        </is>
      </c>
    </row>
    <row r="19">
      <c r="A19" s="18" t="inlineStr">
        <is>
          <t>Comfortable shoes</t>
        </is>
      </c>
      <c r="B19" s="20" t="inlineStr">
        <is>
          <t>Clothing</t>
        </is>
      </c>
      <c r="C19" s="20" t="inlineStr">
        <is>
          <t>Each</t>
        </is>
      </c>
      <c r="D19" s="19" t="n">
        <v>10</v>
      </c>
      <c r="E19" s="20" t="inlineStr">
        <is>
          <t>Yes</t>
        </is>
      </c>
    </row>
    <row r="20">
      <c r="A20" s="21" t="inlineStr">
        <is>
          <t>Light jackets</t>
        </is>
      </c>
      <c r="B20" s="23" t="inlineStr">
        <is>
          <t>Clothing</t>
        </is>
      </c>
      <c r="C20" s="23" t="inlineStr">
        <is>
          <t>Each</t>
        </is>
      </c>
      <c r="D20" s="22" t="n">
        <v>5</v>
      </c>
      <c r="E20" s="23" t="inlineStr">
        <is>
          <t>No</t>
        </is>
      </c>
    </row>
    <row r="21">
      <c r="A21" s="18" t="inlineStr">
        <is>
          <t>Sun hats</t>
        </is>
      </c>
      <c r="B21" s="20" t="inlineStr">
        <is>
          <t>Beach Gear</t>
        </is>
      </c>
      <c r="C21" s="20" t="inlineStr">
        <is>
          <t>Each</t>
        </is>
      </c>
      <c r="D21" s="19" t="n">
        <v>5</v>
      </c>
      <c r="E21" s="20" t="inlineStr">
        <is>
          <t>Yes</t>
        </is>
      </c>
    </row>
    <row r="22">
      <c r="A22" s="21" t="inlineStr">
        <is>
          <t>Refillable water bottles</t>
        </is>
      </c>
      <c r="B22" s="23" t="inlineStr">
        <is>
          <t>Beach Gear</t>
        </is>
      </c>
      <c r="C22" s="23" t="inlineStr">
        <is>
          <t>Diego</t>
        </is>
      </c>
      <c r="D22" s="22" t="n">
        <v>5</v>
      </c>
      <c r="E22" s="23" t="inlineStr">
        <is>
          <t>Yes</t>
        </is>
      </c>
    </row>
    <row r="23">
      <c r="A23" s="18" t="inlineStr">
        <is>
          <t>Cooling towels</t>
        </is>
      </c>
      <c r="B23" s="20" t="inlineStr">
        <is>
          <t>Beach Gear</t>
        </is>
      </c>
      <c r="C23" s="20" t="inlineStr">
        <is>
          <t>Elena</t>
        </is>
      </c>
      <c r="D23" s="19" t="n">
        <v>5</v>
      </c>
      <c r="E23" s="20" t="inlineStr">
        <is>
          <t>No</t>
        </is>
      </c>
    </row>
    <row r="24">
      <c r="A24" s="21" t="inlineStr">
        <is>
          <t>Stroller (Mateo)</t>
        </is>
      </c>
      <c r="B24" s="23" t="inlineStr">
        <is>
          <t>Kids</t>
        </is>
      </c>
      <c r="C24" s="23" t="inlineStr">
        <is>
          <t>Marcus</t>
        </is>
      </c>
      <c r="D24" s="22" t="n">
        <v>1</v>
      </c>
      <c r="E24" s="23" t="inlineStr">
        <is>
          <t>Yes</t>
        </is>
      </c>
    </row>
    <row r="25">
      <c r="A25" s="18" t="inlineStr">
        <is>
          <t>Kids tablets + cases</t>
        </is>
      </c>
      <c r="B25" s="20" t="inlineStr">
        <is>
          <t>Kids</t>
        </is>
      </c>
      <c r="C25" s="20" t="inlineStr">
        <is>
          <t>Sofia</t>
        </is>
      </c>
      <c r="D25" s="19" t="n">
        <v>2</v>
      </c>
      <c r="E25" s="20" t="inlineStr">
        <is>
          <t>Yes</t>
        </is>
      </c>
    </row>
    <row r="26">
      <c r="A26" s="21" t="inlineStr">
        <is>
          <t>Coloring books</t>
        </is>
      </c>
      <c r="B26" s="23" t="inlineStr">
        <is>
          <t>Kids</t>
        </is>
      </c>
      <c r="C26" s="23" t="inlineStr">
        <is>
          <t>Diego</t>
        </is>
      </c>
      <c r="D26" s="22" t="n">
        <v>3</v>
      </c>
      <c r="E26" s="23" t="inlineStr">
        <is>
          <t>Yes</t>
        </is>
      </c>
    </row>
    <row r="27">
      <c r="A27" s="18" t="inlineStr">
        <is>
          <t>Snacks for travel</t>
        </is>
      </c>
      <c r="B27" s="20" t="inlineStr">
        <is>
          <t>Kids</t>
        </is>
      </c>
      <c r="C27" s="20" t="inlineStr">
        <is>
          <t>Elena</t>
        </is>
      </c>
      <c r="D27" s="19" t="n">
        <v>1</v>
      </c>
      <c r="E27" s="20" t="inlineStr">
        <is>
          <t>No</t>
        </is>
      </c>
    </row>
    <row r="28">
      <c r="A28" s="21" t="inlineStr">
        <is>
          <t>Mateo comfort blanket</t>
        </is>
      </c>
      <c r="B28" s="23" t="inlineStr">
        <is>
          <t>Comfort</t>
        </is>
      </c>
      <c r="C28" s="23" t="inlineStr">
        <is>
          <t>Mateo</t>
        </is>
      </c>
      <c r="D28" s="22" t="n">
        <v>1</v>
      </c>
      <c r="E28" s="23" t="inlineStr">
        <is>
          <t>Yes</t>
        </is>
      </c>
    </row>
    <row r="29">
      <c r="A29" s="18" t="inlineStr">
        <is>
          <t>Neck pillows</t>
        </is>
      </c>
      <c r="B29" s="20" t="inlineStr">
        <is>
          <t>Comfort</t>
        </is>
      </c>
      <c r="C29" s="20" t="inlineStr">
        <is>
          <t>Each</t>
        </is>
      </c>
      <c r="D29" s="19" t="n">
        <v>5</v>
      </c>
      <c r="E29" s="20" t="inlineStr">
        <is>
          <t>No</t>
        </is>
      </c>
    </row>
    <row r="30">
      <c r="A30" s="21" t="inlineStr">
        <is>
          <t>Autograph books &amp; pens</t>
        </is>
      </c>
      <c r="B30" s="23" t="inlineStr">
        <is>
          <t>Entertainment</t>
        </is>
      </c>
      <c r="C30" s="23" t="inlineStr">
        <is>
          <t>Sofia</t>
        </is>
      </c>
      <c r="D30" s="22" t="n">
        <v>3</v>
      </c>
      <c r="E30" s="23" t="inlineStr">
        <is>
          <t>Yes</t>
        </is>
      </c>
    </row>
    <row r="31">
      <c r="A31" s="18" t="inlineStr">
        <is>
          <t>Glow sticks (fireworks)</t>
        </is>
      </c>
      <c r="B31" s="20" t="inlineStr">
        <is>
          <t>Entertainment</t>
        </is>
      </c>
      <c r="C31" s="20" t="inlineStr">
        <is>
          <t>Diego</t>
        </is>
      </c>
      <c r="D31" s="19" t="n">
        <v>6</v>
      </c>
      <c r="E31" s="20" t="inlineStr">
        <is>
          <t>No</t>
        </is>
      </c>
    </row>
    <row r="32">
      <c r="A32" s="21" t="inlineStr">
        <is>
          <t>Laundry bag</t>
        </is>
      </c>
      <c r="B32" s="23" t="inlineStr">
        <is>
          <t>Adults</t>
        </is>
      </c>
      <c r="C32" s="23" t="inlineStr">
        <is>
          <t>Elena</t>
        </is>
      </c>
      <c r="D32" s="22" t="n">
        <v>1</v>
      </c>
      <c r="E32" s="23" t="inlineStr">
        <is>
          <t>Yes</t>
        </is>
      </c>
    </row>
    <row r="33">
      <c r="A33" s="18" t="inlineStr">
        <is>
          <t>First-day outfit</t>
        </is>
      </c>
      <c r="B33" s="20" t="inlineStr">
        <is>
          <t>Baby</t>
        </is>
      </c>
      <c r="C33" s="20" t="inlineStr">
        <is>
          <t>Mateo</t>
        </is>
      </c>
      <c r="D33" s="19" t="n">
        <v>1</v>
      </c>
      <c r="E33" s="20" t="inlineStr">
        <is>
          <t>Yes</t>
        </is>
      </c>
    </row>
    <row r="34">
      <c r="A34" s="21" t="inlineStr">
        <is>
          <t>Wet wipes</t>
        </is>
      </c>
      <c r="B34" s="23" t="inlineStr">
        <is>
          <t>Baby</t>
        </is>
      </c>
      <c r="C34" s="23" t="inlineStr">
        <is>
          <t>Elena</t>
        </is>
      </c>
      <c r="D34" s="22" t="n">
        <v>3</v>
      </c>
      <c r="E34" s="23" t="inlineStr">
        <is>
          <t>Yes</t>
        </is>
      </c>
    </row>
    <row r="35">
      <c r="A35" s="18" t="inlineStr">
        <is>
          <t>Ziploc bags</t>
        </is>
      </c>
      <c r="B35" s="20" t="inlineStr">
        <is>
          <t>Adults</t>
        </is>
      </c>
      <c r="C35" s="20" t="inlineStr">
        <is>
          <t>Marcus</t>
        </is>
      </c>
      <c r="D35" s="19" t="n">
        <v>10</v>
      </c>
      <c r="E35" s="20" t="inlineStr">
        <is>
          <t>Yes</t>
        </is>
      </c>
    </row>
    <row r="36">
      <c r="A36" s="21" t="inlineStr">
        <is>
          <t>Umbrella</t>
        </is>
      </c>
      <c r="B36" s="23" t="inlineStr">
        <is>
          <t>Adults</t>
        </is>
      </c>
      <c r="C36" s="23" t="inlineStr">
        <is>
          <t>Marcus</t>
        </is>
      </c>
      <c r="D36" s="22" t="n">
        <v>2</v>
      </c>
      <c r="E36" s="23" t="inlineStr">
        <is>
          <t>No</t>
        </is>
      </c>
    </row>
    <row r="37">
      <c r="A37" s="18" t="n"/>
      <c r="B37" s="20" t="n"/>
      <c r="C37" s="20" t="n"/>
      <c r="D37" s="19" t="n"/>
      <c r="E37" s="20" t="n"/>
    </row>
    <row r="38">
      <c r="A38" s="21" t="n"/>
      <c r="B38" s="23" t="n"/>
      <c r="C38" s="23" t="n"/>
      <c r="D38" s="22" t="n"/>
      <c r="E38" s="23" t="n"/>
    </row>
    <row r="39">
      <c r="A39" s="18" t="n"/>
      <c r="B39" s="20" t="n"/>
      <c r="C39" s="20" t="n"/>
      <c r="D39" s="19" t="n"/>
      <c r="E39" s="20" t="n"/>
    </row>
    <row r="40">
      <c r="A40" s="21" t="n"/>
      <c r="B40" s="23" t="n"/>
      <c r="C40" s="23" t="n"/>
      <c r="D40" s="22" t="n"/>
      <c r="E40" s="23" t="n"/>
    </row>
    <row r="41">
      <c r="A41" s="18" t="n"/>
      <c r="B41" s="20" t="n"/>
      <c r="C41" s="20" t="n"/>
      <c r="D41" s="19" t="n"/>
      <c r="E41" s="20" t="n"/>
    </row>
    <row r="42">
      <c r="A42" s="21" t="n"/>
      <c r="B42" s="23" t="n"/>
      <c r="C42" s="23" t="n"/>
      <c r="D42" s="22" t="n"/>
      <c r="E42" s="23" t="n"/>
    </row>
    <row r="43">
      <c r="A43" s="18" t="n"/>
      <c r="B43" s="20" t="n"/>
      <c r="C43" s="20" t="n"/>
      <c r="D43" s="19" t="n"/>
      <c r="E43" s="20" t="n"/>
    </row>
    <row r="44">
      <c r="A44" s="21" t="n"/>
      <c r="B44" s="23" t="n"/>
      <c r="C44" s="23" t="n"/>
      <c r="D44" s="22" t="n"/>
      <c r="E44" s="23" t="n"/>
    </row>
    <row r="45">
      <c r="A45" s="18" t="n"/>
      <c r="B45" s="20" t="n"/>
      <c r="C45" s="20" t="n"/>
      <c r="D45" s="19" t="n"/>
      <c r="E45" s="20" t="n"/>
    </row>
    <row r="46">
      <c r="A46" s="21" t="n"/>
      <c r="B46" s="23" t="n"/>
      <c r="C46" s="23" t="n"/>
      <c r="D46" s="22" t="n"/>
      <c r="E46" s="23" t="n"/>
    </row>
    <row r="47">
      <c r="A47" s="18" t="n"/>
      <c r="B47" s="20" t="n"/>
      <c r="C47" s="20" t="n"/>
      <c r="D47" s="19" t="n"/>
      <c r="E47" s="20" t="n"/>
    </row>
    <row r="48">
      <c r="A48" s="21" t="n"/>
      <c r="B48" s="23" t="n"/>
      <c r="C48" s="23" t="n"/>
      <c r="D48" s="22" t="n"/>
      <c r="E48" s="23" t="n"/>
    </row>
    <row r="49">
      <c r="A49" s="18" t="n"/>
      <c r="B49" s="20" t="n"/>
      <c r="C49" s="20" t="n"/>
      <c r="D49" s="19" t="n"/>
      <c r="E49" s="20" t="n"/>
    </row>
    <row r="50">
      <c r="A50" s="21" t="n"/>
      <c r="B50" s="23" t="n"/>
      <c r="C50" s="23" t="n"/>
      <c r="D50" s="22" t="n"/>
      <c r="E50" s="23" t="n"/>
    </row>
    <row r="51">
      <c r="A51" s="18" t="n"/>
      <c r="B51" s="20" t="n"/>
      <c r="C51" s="20" t="n"/>
      <c r="D51" s="19" t="n"/>
      <c r="E51" s="20" t="n"/>
    </row>
    <row r="52">
      <c r="A52" s="21" t="n"/>
      <c r="B52" s="23" t="n"/>
      <c r="C52" s="23" t="n"/>
      <c r="D52" s="22" t="n"/>
      <c r="E52" s="23" t="n"/>
    </row>
    <row r="53">
      <c r="A53" s="18" t="n"/>
      <c r="B53" s="20" t="n"/>
      <c r="C53" s="20" t="n"/>
      <c r="D53" s="19" t="n"/>
      <c r="E53" s="20" t="n"/>
    </row>
    <row r="54">
      <c r="A54" s="21" t="n"/>
      <c r="B54" s="23" t="n"/>
      <c r="C54" s="23" t="n"/>
      <c r="D54" s="22" t="n"/>
      <c r="E54" s="23" t="n"/>
    </row>
    <row r="55">
      <c r="A55" s="18" t="n"/>
      <c r="B55" s="20" t="n"/>
      <c r="C55" s="20" t="n"/>
      <c r="D55" s="19" t="n"/>
      <c r="E55" s="20" t="n"/>
    </row>
    <row r="56">
      <c r="A56" s="21" t="n"/>
      <c r="B56" s="23" t="n"/>
      <c r="C56" s="23" t="n"/>
      <c r="D56" s="22" t="n"/>
      <c r="E56" s="23" t="n"/>
    </row>
    <row r="57">
      <c r="A57" s="18" t="n"/>
      <c r="B57" s="20" t="n"/>
      <c r="C57" s="20" t="n"/>
      <c r="D57" s="19" t="n"/>
      <c r="E57" s="20" t="n"/>
    </row>
    <row r="58">
      <c r="A58" s="21" t="n"/>
      <c r="B58" s="23" t="n"/>
      <c r="C58" s="23" t="n"/>
      <c r="D58" s="22" t="n"/>
      <c r="E58" s="23" t="n"/>
    </row>
    <row r="59">
      <c r="A59" s="18" t="n"/>
      <c r="B59" s="20" t="n"/>
      <c r="C59" s="20" t="n"/>
      <c r="D59" s="19" t="n"/>
      <c r="E59" s="20" t="n"/>
    </row>
    <row r="60">
      <c r="A60" s="21" t="n"/>
      <c r="B60" s="23" t="n"/>
      <c r="C60" s="23" t="n"/>
      <c r="D60" s="22" t="n"/>
      <c r="E60" s="23" t="n"/>
    </row>
    <row r="61">
      <c r="A61" s="18" t="n"/>
      <c r="B61" s="20" t="n"/>
      <c r="C61" s="20" t="n"/>
      <c r="D61" s="19" t="n"/>
      <c r="E61" s="20" t="n"/>
    </row>
    <row r="62">
      <c r="A62" s="21" t="n"/>
      <c r="B62" s="23" t="n"/>
      <c r="C62" s="23" t="n"/>
      <c r="D62" s="22" t="n"/>
      <c r="E62" s="23" t="n"/>
    </row>
    <row r="63">
      <c r="A63" s="18" t="n"/>
      <c r="B63" s="20" t="n"/>
      <c r="C63" s="20" t="n"/>
      <c r="D63" s="19" t="n"/>
      <c r="E63" s="20" t="n"/>
    </row>
    <row r="64">
      <c r="A64" s="21" t="n"/>
      <c r="B64" s="23" t="n"/>
      <c r="C64" s="23" t="n"/>
      <c r="D64" s="22" t="n"/>
      <c r="E64" s="23" t="n"/>
    </row>
  </sheetData>
  <mergeCells count="2">
    <mergeCell ref="A2:E2"/>
    <mergeCell ref="A1:E1"/>
  </mergeCells>
  <conditionalFormatting sqref="E5:E64">
    <cfRule type="cellIs" priority="1" operator="equal" dxfId="1">
      <formula>"Yes"</formula>
    </cfRule>
    <cfRule type="cellIs" priority="2" operator="equal" dxfId="2">
      <formula>"No"</formula>
    </cfRule>
  </conditionalFormatting>
  <dataValidations count="3">
    <dataValidation sqref="B5:B64" showDropDown="0" showInputMessage="0" showErrorMessage="0" allowBlank="1" type="list">
      <formula1>=PackCatList</formula1>
    </dataValidation>
    <dataValidation sqref="C5:C64" showDropDown="0" showInputMessage="0" showErrorMessage="0" allowBlank="1" type="list">
      <formula1>=MemberList</formula1>
    </dataValidation>
    <dataValidation sqref="E5:E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46" customHeight="1">
      <c r="A1" s="1" t="inlineStr">
        <is>
          <t xml:space="preserve">  🧒  KIDS TRAVEL ORGANIZER</t>
        </is>
      </c>
    </row>
    <row r="2" ht="22" customHeight="1">
      <c r="A2" s="2" t="inlineStr">
        <is>
          <t xml:space="preserve">  Happy kids, happy trip — favorites, entertainment, snacks &amp; little jobs.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Child</t>
        </is>
      </c>
      <c r="B4" s="9" t="inlineStr">
        <is>
          <t>Favorite Activities</t>
        </is>
      </c>
      <c r="C4" s="9" t="inlineStr">
        <is>
          <t>Toys</t>
        </is>
      </c>
      <c r="D4" s="9" t="inlineStr">
        <is>
          <t>Books</t>
        </is>
      </c>
      <c r="E4" s="9" t="inlineStr">
        <is>
          <t>Electronics</t>
        </is>
      </c>
      <c r="F4" s="9" t="inlineStr">
        <is>
          <t>Snacks</t>
        </is>
      </c>
      <c r="G4" s="9" t="inlineStr">
        <is>
          <t>Comfort Items</t>
        </is>
      </c>
      <c r="H4" s="9" t="inlineStr">
        <is>
          <t>Responsibility</t>
        </is>
      </c>
    </row>
    <row r="5">
      <c r="A5" s="20" t="inlineStr">
        <is>
          <t>Sofia</t>
        </is>
      </c>
      <c r="B5" s="18" t="inlineStr">
        <is>
          <t>Autograph hunting, coasters</t>
        </is>
      </c>
      <c r="C5" s="18" t="inlineStr">
        <is>
          <t>Camera, journal</t>
        </is>
      </c>
      <c r="D5" s="18" t="inlineStr">
        <is>
          <t>Percy Jackson series</t>
        </is>
      </c>
      <c r="E5" s="18" t="inlineStr">
        <is>
          <t>Tablet + headphones</t>
        </is>
      </c>
      <c r="F5" s="18" t="inlineStr">
        <is>
          <t>Trail mix</t>
        </is>
      </c>
      <c r="G5" s="18" t="inlineStr">
        <is>
          <t>Star pillow</t>
        </is>
      </c>
      <c r="H5" s="18" t="inlineStr">
        <is>
          <t>Photographer of the day</t>
        </is>
      </c>
    </row>
    <row r="6">
      <c r="A6" s="23" t="inlineStr">
        <is>
          <t>Diego</t>
        </is>
      </c>
      <c r="B6" s="21" t="inlineStr">
        <is>
          <t>Character meet &amp; greets</t>
        </is>
      </c>
      <c r="C6" s="21" t="inlineStr">
        <is>
          <t>Star Wars figures</t>
        </is>
      </c>
      <c r="D6" s="21" t="inlineStr">
        <is>
          <t>Dog Man comics</t>
        </is>
      </c>
      <c r="E6" s="21" t="inlineStr">
        <is>
          <t>Nintendo Switch</t>
        </is>
      </c>
      <c r="F6" s="21" t="inlineStr">
        <is>
          <t>Fruit snacks, pretzels</t>
        </is>
      </c>
      <c r="G6" s="21" t="inlineStr">
        <is>
          <t>Dinosaur plush</t>
        </is>
      </c>
      <c r="H6" s="21" t="inlineStr">
        <is>
          <t>Snack manager</t>
        </is>
      </c>
    </row>
    <row r="7">
      <c r="A7" s="20" t="inlineStr">
        <is>
          <t>Mateo</t>
        </is>
      </c>
      <c r="B7" s="18" t="inlineStr">
        <is>
          <t>Dumbo, splash pad</t>
        </is>
      </c>
      <c r="C7" s="18" t="inlineStr">
        <is>
          <t>Blocks, toy cars</t>
        </is>
      </c>
      <c r="D7" s="18" t="inlineStr">
        <is>
          <t>Board books</t>
        </is>
      </c>
      <c r="E7" s="18" t="inlineStr">
        <is>
          <t>Kids tablet</t>
        </is>
      </c>
      <c r="F7" s="18" t="inlineStr">
        <is>
          <t>Goldfish, cheese</t>
        </is>
      </c>
      <c r="G7" s="18" t="inlineStr">
        <is>
          <t>Blue blanket + bear</t>
        </is>
      </c>
      <c r="H7" s="18" t="inlineStr">
        <is>
          <t>Nap keeper</t>
        </is>
      </c>
    </row>
    <row r="8">
      <c r="A8" s="23" t="n"/>
      <c r="B8" s="21" t="n"/>
      <c r="C8" s="21" t="n"/>
      <c r="D8" s="21" t="n"/>
      <c r="E8" s="21" t="n"/>
      <c r="F8" s="21" t="n"/>
      <c r="G8" s="21" t="n"/>
      <c r="H8" s="21" t="n"/>
    </row>
    <row r="9">
      <c r="A9" s="20" t="n"/>
      <c r="B9" s="18" t="n"/>
      <c r="C9" s="18" t="n"/>
      <c r="D9" s="18" t="n"/>
      <c r="E9" s="18" t="n"/>
      <c r="F9" s="18" t="n"/>
      <c r="G9" s="18" t="n"/>
      <c r="H9" s="18" t="n"/>
    </row>
    <row r="10">
      <c r="A10" s="23" t="n"/>
      <c r="B10" s="21" t="n"/>
      <c r="C10" s="21" t="n"/>
      <c r="D10" s="21" t="n"/>
      <c r="E10" s="21" t="n"/>
      <c r="F10" s="21" t="n"/>
      <c r="G10" s="21" t="n"/>
      <c r="H10" s="21" t="n"/>
    </row>
    <row r="11">
      <c r="A11" s="20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23" t="n"/>
      <c r="B12" s="21" t="n"/>
      <c r="C12" s="21" t="n"/>
      <c r="D12" s="21" t="n"/>
      <c r="E12" s="21" t="n"/>
      <c r="F12" s="21" t="n"/>
      <c r="G12" s="21" t="n"/>
      <c r="H12" s="21" t="n"/>
    </row>
    <row r="13">
      <c r="A13" s="20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23" t="n"/>
      <c r="B14" s="21" t="n"/>
      <c r="C14" s="21" t="n"/>
      <c r="D14" s="21" t="n"/>
      <c r="E14" s="21" t="n"/>
      <c r="F14" s="21" t="n"/>
      <c r="G14" s="21" t="n"/>
      <c r="H14" s="21" t="n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5" customWidth="1" min="4" max="4"/>
    <col width="12" customWidth="1" min="5" max="5"/>
    <col width="20" customWidth="1" min="6" max="6"/>
    <col width="22" customWidth="1" min="7" max="7"/>
  </cols>
  <sheetData>
    <row r="1" ht="46" customHeight="1">
      <c r="A1" s="1" t="inlineStr">
        <is>
          <t xml:space="preserve">  🍽  MEAL PLANNER</t>
        </is>
      </c>
    </row>
    <row r="2" ht="22" customHeight="1">
      <c r="A2" s="2" t="inlineStr">
        <is>
          <t xml:space="preserve">  Fed &amp; happy — reservations, budget and every diet requirement covered.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Date</t>
        </is>
      </c>
      <c r="B4" s="9" t="inlineStr">
        <is>
          <t>Meal</t>
        </is>
      </c>
      <c r="C4" s="9" t="inlineStr">
        <is>
          <t>Where</t>
        </is>
      </c>
      <c r="D4" s="9" t="inlineStr">
        <is>
          <t>Reservation</t>
        </is>
      </c>
      <c r="E4" s="9" t="inlineStr">
        <is>
          <t>Est. Cost</t>
        </is>
      </c>
      <c r="F4" s="9" t="inlineStr">
        <is>
          <t>Notes</t>
        </is>
      </c>
      <c r="G4" s="9" t="inlineStr">
        <is>
          <t>Diet Needs</t>
        </is>
      </c>
    </row>
    <row r="5">
      <c r="A5" s="36" t="n">
        <v>46258</v>
      </c>
      <c r="B5" s="20" t="inlineStr">
        <is>
          <t>Dinner</t>
        </is>
      </c>
      <c r="C5" s="18" t="inlineStr">
        <is>
          <t>Disney Springs — quick service</t>
        </is>
      </c>
      <c r="D5" s="20" t="inlineStr">
        <is>
          <t>No</t>
        </is>
      </c>
      <c r="E5" s="38" t="inlineStr">
        <is>
          <t>$60</t>
        </is>
      </c>
      <c r="F5" s="18" t="inlineStr">
        <is>
          <t>Casual arrival meal</t>
        </is>
      </c>
      <c r="G5" s="18" t="inlineStr">
        <is>
          <t>Nut-free options</t>
        </is>
      </c>
    </row>
    <row r="6">
      <c r="A6" s="37" t="n">
        <v>46259</v>
      </c>
      <c r="B6" s="23" t="inlineStr">
        <is>
          <t>Dinner</t>
        </is>
      </c>
      <c r="C6" s="21" t="inlineStr">
        <is>
          <t>Cinderella's Royal Table</t>
        </is>
      </c>
      <c r="D6" s="23" t="inlineStr">
        <is>
          <t>Yes 6:00pm</t>
        </is>
      </c>
      <c r="E6" s="31" t="inlineStr">
        <is>
          <t>$250</t>
        </is>
      </c>
      <c r="F6" s="21" t="inlineStr">
        <is>
          <t>Character dining</t>
        </is>
      </c>
      <c r="G6" s="21" t="inlineStr">
        <is>
          <t>Kids menu · dairy-free for Mateo</t>
        </is>
      </c>
    </row>
    <row r="7">
      <c r="A7" s="36" t="n">
        <v>46260</v>
      </c>
      <c r="B7" s="20" t="inlineStr">
        <is>
          <t>Lunch</t>
        </is>
      </c>
      <c r="C7" s="18" t="inlineStr">
        <is>
          <t>Space 220</t>
        </is>
      </c>
      <c r="D7" s="20" t="inlineStr">
        <is>
          <t>Yes 12:30pm</t>
        </is>
      </c>
      <c r="E7" s="38" t="inlineStr">
        <is>
          <t>$180</t>
        </is>
      </c>
      <c r="F7" s="18" t="inlineStr">
        <is>
          <t>Bucket-list lunch</t>
        </is>
      </c>
      <c r="G7" s="18" t="inlineStr">
        <is>
          <t>Vegetarian for Elena</t>
        </is>
      </c>
    </row>
    <row r="8">
      <c r="A8" s="37" t="n">
        <v>46261</v>
      </c>
      <c r="B8" s="23" t="inlineStr">
        <is>
          <t>Dinner</t>
        </is>
      </c>
      <c r="C8" s="21" t="inlineStr">
        <is>
          <t>Resort — grocery cook</t>
        </is>
      </c>
      <c r="D8" s="23" t="inlineStr">
        <is>
          <t>No</t>
        </is>
      </c>
      <c r="E8" s="31" t="inlineStr">
        <is>
          <t>$40</t>
        </is>
      </c>
      <c r="F8" s="21" t="inlineStr">
        <is>
          <t>Rest-day home meal</t>
        </is>
      </c>
      <c r="G8" s="21" t="inlineStr">
        <is>
          <t>Simple &amp; cheap</t>
        </is>
      </c>
    </row>
    <row r="9">
      <c r="A9" s="36" t="n">
        <v>46262</v>
      </c>
      <c r="B9" s="20" t="inlineStr">
        <is>
          <t>Lunch</t>
        </is>
      </c>
      <c r="C9" s="18" t="inlineStr">
        <is>
          <t>Sci-Fi Dine-In</t>
        </is>
      </c>
      <c r="D9" s="20" t="inlineStr">
        <is>
          <t>Yes 12:30pm</t>
        </is>
      </c>
      <c r="E9" s="38" t="inlineStr">
        <is>
          <t>$120</t>
        </is>
      </c>
      <c r="F9" s="18" t="inlineStr">
        <is>
          <t>Fun theming</t>
        </is>
      </c>
      <c r="G9" s="18" t="inlineStr">
        <is>
          <t>Diego = plain burger</t>
        </is>
      </c>
    </row>
    <row r="10">
      <c r="A10" s="37" t="n">
        <v>46263</v>
      </c>
      <c r="B10" s="23" t="inlineStr">
        <is>
          <t>Breakfast</t>
        </is>
      </c>
      <c r="C10" s="21" t="inlineStr">
        <is>
          <t>Tusker House</t>
        </is>
      </c>
      <c r="D10" s="23" t="inlineStr">
        <is>
          <t>Yes 8:00am</t>
        </is>
      </c>
      <c r="E10" s="31" t="inlineStr">
        <is>
          <t>$140</t>
        </is>
      </c>
      <c r="F10" s="21" t="inlineStr">
        <is>
          <t>Pre-safari fuel</t>
        </is>
      </c>
      <c r="G10" s="21" t="inlineStr">
        <is>
          <t>Shellfish-free</t>
        </is>
      </c>
    </row>
    <row r="11">
      <c r="A11" s="36" t="n">
        <v>46264</v>
      </c>
      <c r="B11" s="20" t="inlineStr">
        <is>
          <t>Breakfast</t>
        </is>
      </c>
      <c r="C11" s="18" t="inlineStr">
        <is>
          <t>Resort grab-and-go</t>
        </is>
      </c>
      <c r="D11" s="20" t="inlineStr">
        <is>
          <t>No</t>
        </is>
      </c>
      <c r="E11" s="38" t="inlineStr">
        <is>
          <t>$35</t>
        </is>
      </c>
      <c r="F11" s="18" t="inlineStr">
        <is>
          <t>Travel-day breakfast</t>
        </is>
      </c>
      <c r="G11" s="18" t="inlineStr">
        <is>
          <t>Fast checkout</t>
        </is>
      </c>
    </row>
    <row r="12">
      <c r="A12" s="37" t="n"/>
      <c r="B12" s="23" t="n"/>
      <c r="C12" s="21" t="n"/>
      <c r="D12" s="23" t="n"/>
      <c r="E12" s="31" t="n"/>
      <c r="F12" s="21" t="n"/>
      <c r="G12" s="21" t="n"/>
    </row>
    <row r="13">
      <c r="A13" s="36" t="n"/>
      <c r="B13" s="20" t="n"/>
      <c r="C13" s="18" t="n"/>
      <c r="D13" s="20" t="n"/>
      <c r="E13" s="38" t="n"/>
      <c r="F13" s="18" t="n"/>
      <c r="G13" s="18" t="n"/>
    </row>
    <row r="14">
      <c r="A14" s="37" t="n"/>
      <c r="B14" s="23" t="n"/>
      <c r="C14" s="21" t="n"/>
      <c r="D14" s="23" t="n"/>
      <c r="E14" s="31" t="n"/>
      <c r="F14" s="21" t="n"/>
      <c r="G14" s="21" t="n"/>
    </row>
    <row r="15">
      <c r="A15" s="36" t="n"/>
      <c r="B15" s="20" t="n"/>
      <c r="C15" s="18" t="n"/>
      <c r="D15" s="20" t="n"/>
      <c r="E15" s="38" t="n"/>
      <c r="F15" s="18" t="n"/>
      <c r="G15" s="18" t="n"/>
    </row>
    <row r="16">
      <c r="A16" s="37" t="n"/>
      <c r="B16" s="23" t="n"/>
      <c r="C16" s="21" t="n"/>
      <c r="D16" s="23" t="n"/>
      <c r="E16" s="31" t="n"/>
      <c r="F16" s="21" t="n"/>
      <c r="G16" s="21" t="n"/>
    </row>
    <row r="17">
      <c r="A17" s="36" t="n"/>
      <c r="B17" s="20" t="n"/>
      <c r="C17" s="18" t="n"/>
      <c r="D17" s="20" t="n"/>
      <c r="E17" s="38" t="n"/>
      <c r="F17" s="18" t="n"/>
      <c r="G17" s="18" t="n"/>
    </row>
    <row r="18">
      <c r="A18" s="37" t="n"/>
      <c r="B18" s="23" t="n"/>
      <c r="C18" s="21" t="n"/>
      <c r="D18" s="23" t="n"/>
      <c r="E18" s="31" t="n"/>
      <c r="F18" s="21" t="n"/>
      <c r="G18" s="21" t="n"/>
    </row>
    <row r="19">
      <c r="A19" s="36" t="n"/>
      <c r="B19" s="20" t="n"/>
      <c r="C19" s="18" t="n"/>
      <c r="D19" s="20" t="n"/>
      <c r="E19" s="38" t="n"/>
      <c r="F19" s="18" t="n"/>
      <c r="G19" s="18" t="n"/>
    </row>
    <row r="20">
      <c r="A20" s="37" t="n"/>
      <c r="B20" s="23" t="n"/>
      <c r="C20" s="21" t="n"/>
      <c r="D20" s="23" t="n"/>
      <c r="E20" s="31" t="n"/>
      <c r="F20" s="21" t="n"/>
      <c r="G20" s="21" t="n"/>
    </row>
    <row r="21">
      <c r="A21" s="36" t="n"/>
      <c r="B21" s="20" t="n"/>
      <c r="C21" s="18" t="n"/>
      <c r="D21" s="20" t="n"/>
      <c r="E21" s="38" t="n"/>
      <c r="F21" s="18" t="n"/>
      <c r="G21" s="18" t="n"/>
    </row>
    <row r="22">
      <c r="A22" s="37" t="n"/>
      <c r="B22" s="23" t="n"/>
      <c r="C22" s="21" t="n"/>
      <c r="D22" s="23" t="n"/>
      <c r="E22" s="31" t="n"/>
      <c r="F22" s="21" t="n"/>
      <c r="G22" s="21" t="n"/>
    </row>
    <row r="23">
      <c r="A23" s="36" t="n"/>
      <c r="B23" s="20" t="n"/>
      <c r="C23" s="18" t="n"/>
      <c r="D23" s="20" t="n"/>
      <c r="E23" s="38" t="n"/>
      <c r="F23" s="18" t="n"/>
      <c r="G23" s="18" t="n"/>
    </row>
    <row r="24">
      <c r="A24" s="37" t="n"/>
      <c r="B24" s="23" t="n"/>
      <c r="C24" s="21" t="n"/>
      <c r="D24" s="23" t="n"/>
      <c r="E24" s="31" t="n"/>
      <c r="F24" s="21" t="n"/>
      <c r="G24" s="21" t="n"/>
    </row>
    <row r="25">
      <c r="A25" s="36" t="n"/>
      <c r="B25" s="20" t="n"/>
      <c r="C25" s="18" t="n"/>
      <c r="D25" s="20" t="n"/>
      <c r="E25" s="38" t="n"/>
      <c r="F25" s="18" t="n"/>
      <c r="G25" s="18" t="n"/>
    </row>
    <row r="26">
      <c r="A26" s="37" t="n"/>
      <c r="B26" s="23" t="n"/>
      <c r="C26" s="21" t="n"/>
      <c r="D26" s="23" t="n"/>
      <c r="E26" s="31" t="n"/>
      <c r="F26" s="21" t="n"/>
      <c r="G26" s="21" t="n"/>
    </row>
    <row r="27">
      <c r="A27" s="36" t="n"/>
      <c r="B27" s="20" t="n"/>
      <c r="C27" s="18" t="n"/>
      <c r="D27" s="20" t="n"/>
      <c r="E27" s="38" t="n"/>
      <c r="F27" s="18" t="n"/>
      <c r="G27" s="18" t="n"/>
    </row>
    <row r="28">
      <c r="A28" s="37" t="n"/>
      <c r="B28" s="23" t="n"/>
      <c r="C28" s="21" t="n"/>
      <c r="D28" s="23" t="n"/>
      <c r="E28" s="31" t="n"/>
      <c r="F28" s="21" t="n"/>
      <c r="G28" s="21" t="n"/>
    </row>
    <row r="29">
      <c r="A29" s="36" t="n"/>
      <c r="B29" s="20" t="n"/>
      <c r="C29" s="18" t="n"/>
      <c r="D29" s="20" t="n"/>
      <c r="E29" s="38" t="n"/>
      <c r="F29" s="18" t="n"/>
      <c r="G29" s="18" t="n"/>
    </row>
    <row r="30">
      <c r="A30" s="37" t="n"/>
      <c r="B30" s="23" t="n"/>
      <c r="C30" s="21" t="n"/>
      <c r="D30" s="23" t="n"/>
      <c r="E30" s="31" t="n"/>
      <c r="F30" s="21" t="n"/>
      <c r="G30" s="21" t="n"/>
    </row>
    <row r="31">
      <c r="A31" s="36" t="n"/>
      <c r="B31" s="20" t="n"/>
      <c r="C31" s="18" t="n"/>
      <c r="D31" s="20" t="n"/>
      <c r="E31" s="38" t="n"/>
      <c r="F31" s="18" t="n"/>
      <c r="G31" s="18" t="n"/>
    </row>
    <row r="32">
      <c r="A32" s="37" t="n"/>
      <c r="B32" s="23" t="n"/>
      <c r="C32" s="21" t="n"/>
      <c r="D32" s="23" t="n"/>
      <c r="E32" s="31" t="n"/>
      <c r="F32" s="21" t="n"/>
      <c r="G32" s="21" t="n"/>
    </row>
    <row r="33">
      <c r="A33" s="36" t="n"/>
      <c r="B33" s="20" t="n"/>
      <c r="C33" s="18" t="n"/>
      <c r="D33" s="20" t="n"/>
      <c r="E33" s="38" t="n"/>
      <c r="F33" s="18" t="n"/>
      <c r="G33" s="18" t="n"/>
    </row>
    <row r="34">
      <c r="A34" s="37" t="n"/>
      <c r="B34" s="23" t="n"/>
      <c r="C34" s="21" t="n"/>
      <c r="D34" s="23" t="n"/>
      <c r="E34" s="31" t="n"/>
      <c r="F34" s="21" t="n"/>
      <c r="G34" s="21" t="n"/>
    </row>
  </sheetData>
  <mergeCells count="2">
    <mergeCell ref="A2:G2"/>
    <mergeCell ref="A1:G1"/>
  </mergeCells>
  <conditionalFormatting sqref="D5:D34">
    <cfRule type="cellIs" priority="1" operator="beginsWith" dxfId="1">
      <formula>"Yes"</formula>
    </cfRule>
  </conditionalFormatting>
  <dataValidations count="1">
    <dataValidation sqref="B5:B34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8" customWidth="1" min="4" max="4"/>
    <col width="11" customWidth="1" min="5" max="5"/>
    <col width="12" customWidth="1" min="6" max="6"/>
    <col width="12" customWidth="1" min="7" max="7"/>
    <col width="16" customWidth="1" min="8" max="8"/>
    <col width="22" customWidth="1" min="9" max="9"/>
  </cols>
  <sheetData>
    <row r="1" ht="46" customHeight="1">
      <c r="A1" s="1" t="inlineStr">
        <is>
          <t xml:space="preserve">  🎡  ACTIVITY PLANNER</t>
        </is>
      </c>
    </row>
    <row r="2" ht="22" customHeight="1">
      <c r="A2" s="2" t="inlineStr">
        <is>
          <t xml:space="preserve">  The fun list — dates, cost, reservations, age ranges &amp; who's joining.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9" t="inlineStr">
        <is>
          <t>Activity</t>
        </is>
      </c>
      <c r="B4" s="9" t="inlineStr">
        <is>
          <t>Type</t>
        </is>
      </c>
      <c r="C4" s="9" t="inlineStr">
        <is>
          <t>Date</t>
        </is>
      </c>
      <c r="D4" s="9" t="inlineStr">
        <is>
          <t>Location</t>
        </is>
      </c>
      <c r="E4" s="9" t="inlineStr">
        <is>
          <t>Cost</t>
        </is>
      </c>
      <c r="F4" s="9" t="inlineStr">
        <is>
          <t>Reserved?</t>
        </is>
      </c>
      <c r="G4" s="9" t="inlineStr">
        <is>
          <t>Age Range</t>
        </is>
      </c>
      <c r="H4" s="9" t="inlineStr">
        <is>
          <t>Who's Joining</t>
        </is>
      </c>
      <c r="I4" s="9" t="inlineStr">
        <is>
          <t>Notes</t>
        </is>
      </c>
    </row>
    <row r="5">
      <c r="A5" s="18" t="inlineStr">
        <is>
          <t>Magic Kingdom day</t>
        </is>
      </c>
      <c r="B5" s="20" t="inlineStr">
        <is>
          <t>Theme Park</t>
        </is>
      </c>
      <c r="C5" s="36" t="n">
        <v>46259</v>
      </c>
      <c r="D5" s="18" t="inlineStr">
        <is>
          <t>Magic Kingdom</t>
        </is>
      </c>
      <c r="E5" s="38" t="inlineStr">
        <is>
          <t>$0</t>
        </is>
      </c>
      <c r="F5" s="20" t="inlineStr">
        <is>
          <t>Included</t>
        </is>
      </c>
      <c r="G5" s="20" t="inlineStr">
        <is>
          <t>All ages</t>
        </is>
      </c>
      <c r="H5" s="18" t="inlineStr">
        <is>
          <t>Everyone</t>
        </is>
      </c>
      <c r="I5" s="18" t="inlineStr">
        <is>
          <t>Rope drop 8am</t>
        </is>
      </c>
    </row>
    <row r="6">
      <c r="A6" s="21" t="inlineStr">
        <is>
          <t>EPCOT day</t>
        </is>
      </c>
      <c r="B6" s="23" t="inlineStr">
        <is>
          <t>Theme Park</t>
        </is>
      </c>
      <c r="C6" s="37" t="n">
        <v>46260</v>
      </c>
      <c r="D6" s="21" t="inlineStr">
        <is>
          <t>EPCOT</t>
        </is>
      </c>
      <c r="E6" s="31" t="inlineStr">
        <is>
          <t>$0</t>
        </is>
      </c>
      <c r="F6" s="23" t="inlineStr">
        <is>
          <t>Included</t>
        </is>
      </c>
      <c r="G6" s="23" t="inlineStr">
        <is>
          <t>All ages</t>
        </is>
      </c>
      <c r="H6" s="21" t="inlineStr">
        <is>
          <t>Everyone</t>
        </is>
      </c>
      <c r="I6" s="21" t="inlineStr">
        <is>
          <t>Nap break midday</t>
        </is>
      </c>
    </row>
    <row r="7">
      <c r="A7" s="18" t="inlineStr">
        <is>
          <t>Bibbidi Bobbidi Boutique</t>
        </is>
      </c>
      <c r="B7" s="20" t="inlineStr">
        <is>
          <t>Show</t>
        </is>
      </c>
      <c r="C7" s="36" t="n">
        <v>46259</v>
      </c>
      <c r="D7" s="18" t="inlineStr">
        <is>
          <t>Magic Kingdom</t>
        </is>
      </c>
      <c r="E7" s="38" t="inlineStr">
        <is>
          <t>$200</t>
        </is>
      </c>
      <c r="F7" s="20" t="inlineStr">
        <is>
          <t>Yes</t>
        </is>
      </c>
      <c r="G7" s="20" t="inlineStr">
        <is>
          <t>3–12</t>
        </is>
      </c>
      <c r="H7" s="18" t="inlineStr">
        <is>
          <t>Sofia, Mateo</t>
        </is>
      </c>
      <c r="I7" s="18" t="inlineStr">
        <is>
          <t>Princess makeover</t>
        </is>
      </c>
    </row>
    <row r="8">
      <c r="A8" s="21" t="inlineStr">
        <is>
          <t>Pirates League</t>
        </is>
      </c>
      <c r="B8" s="23" t="inlineStr">
        <is>
          <t>Show</t>
        </is>
      </c>
      <c r="C8" s="37" t="n">
        <v>46259</v>
      </c>
      <c r="D8" s="21" t="inlineStr">
        <is>
          <t>Magic Kingdom</t>
        </is>
      </c>
      <c r="E8" s="31" t="inlineStr">
        <is>
          <t>$100</t>
        </is>
      </c>
      <c r="F8" s="23" t="inlineStr">
        <is>
          <t>Yes</t>
        </is>
      </c>
      <c r="G8" s="23" t="inlineStr">
        <is>
          <t>3+</t>
        </is>
      </c>
      <c r="H8" s="21" t="inlineStr">
        <is>
          <t>Diego</t>
        </is>
      </c>
      <c r="I8" s="21" t="inlineStr">
        <is>
          <t>Pirate transformation</t>
        </is>
      </c>
    </row>
    <row r="9">
      <c r="A9" s="18" t="inlineStr">
        <is>
          <t>Hollywood Studios day</t>
        </is>
      </c>
      <c r="B9" s="20" t="inlineStr">
        <is>
          <t>Theme Park</t>
        </is>
      </c>
      <c r="C9" s="36" t="n">
        <v>46262</v>
      </c>
      <c r="D9" s="18" t="inlineStr">
        <is>
          <t>Hollywood Studios</t>
        </is>
      </c>
      <c r="E9" s="38" t="inlineStr">
        <is>
          <t>$0</t>
        </is>
      </c>
      <c r="F9" s="20" t="inlineStr">
        <is>
          <t>Included</t>
        </is>
      </c>
      <c r="G9" s="20" t="inlineStr">
        <is>
          <t>All ages</t>
        </is>
      </c>
      <c r="H9" s="18" t="inlineStr">
        <is>
          <t>Everyone</t>
        </is>
      </c>
      <c r="I9" s="18" t="inlineStr">
        <is>
          <t>Rise virtual queue</t>
        </is>
      </c>
    </row>
    <row r="10">
      <c r="A10" s="21" t="inlineStr">
        <is>
          <t>Animal Kingdom day</t>
        </is>
      </c>
      <c r="B10" s="23" t="inlineStr">
        <is>
          <t>Theme Park</t>
        </is>
      </c>
      <c r="C10" s="37" t="n">
        <v>46263</v>
      </c>
      <c r="D10" s="21" t="inlineStr">
        <is>
          <t>Animal Kingdom</t>
        </is>
      </c>
      <c r="E10" s="31" t="inlineStr">
        <is>
          <t>$0</t>
        </is>
      </c>
      <c r="F10" s="23" t="inlineStr">
        <is>
          <t>Included</t>
        </is>
      </c>
      <c r="G10" s="23" t="inlineStr">
        <is>
          <t>All ages</t>
        </is>
      </c>
      <c r="H10" s="21" t="inlineStr">
        <is>
          <t>Everyone</t>
        </is>
      </c>
      <c r="I10" s="21" t="inlineStr">
        <is>
          <t>Safari before noon</t>
        </is>
      </c>
    </row>
    <row r="11">
      <c r="A11" s="18" t="inlineStr">
        <is>
          <t>Mini-golf</t>
        </is>
      </c>
      <c r="B11" s="20" t="inlineStr">
        <is>
          <t>Outdoor</t>
        </is>
      </c>
      <c r="C11" s="36" t="n">
        <v>46261</v>
      </c>
      <c r="D11" s="18" t="inlineStr">
        <is>
          <t>Fantasia Gardens</t>
        </is>
      </c>
      <c r="E11" s="38" t="inlineStr">
        <is>
          <t>$70</t>
        </is>
      </c>
      <c r="F11" s="20" t="inlineStr">
        <is>
          <t>No</t>
        </is>
      </c>
      <c r="G11" s="20" t="inlineStr">
        <is>
          <t>All ages</t>
        </is>
      </c>
      <c r="H11" s="18" t="inlineStr">
        <is>
          <t>Everyone</t>
        </is>
      </c>
      <c r="I11" s="18" t="inlineStr">
        <is>
          <t>Rest-day fun</t>
        </is>
      </c>
    </row>
    <row r="12">
      <c r="A12" s="21" t="inlineStr">
        <is>
          <t>Resort pool + slide</t>
        </is>
      </c>
      <c r="B12" s="23" t="inlineStr">
        <is>
          <t>Relax</t>
        </is>
      </c>
      <c r="C12" s="37" t="n">
        <v>46261</v>
      </c>
      <c r="D12" s="21" t="inlineStr">
        <is>
          <t>Resort</t>
        </is>
      </c>
      <c r="E12" s="31" t="inlineStr">
        <is>
          <t>$0</t>
        </is>
      </c>
      <c r="F12" s="23" t="inlineStr">
        <is>
          <t>No</t>
        </is>
      </c>
      <c r="G12" s="23" t="inlineStr">
        <is>
          <t>All ages</t>
        </is>
      </c>
      <c r="H12" s="21" t="inlineStr">
        <is>
          <t>Everyone</t>
        </is>
      </c>
      <c r="I12" s="21" t="inlineStr">
        <is>
          <t>Afternoon cooldown</t>
        </is>
      </c>
    </row>
    <row r="13">
      <c r="A13" s="18" t="inlineStr">
        <is>
          <t>Disney Springs shopping</t>
        </is>
      </c>
      <c r="B13" s="20" t="inlineStr">
        <is>
          <t>Shopping</t>
        </is>
      </c>
      <c r="C13" s="36" t="n">
        <v>46258</v>
      </c>
      <c r="D13" s="18" t="inlineStr">
        <is>
          <t>Disney Springs</t>
        </is>
      </c>
      <c r="E13" s="38" t="inlineStr">
        <is>
          <t>$150</t>
        </is>
      </c>
      <c r="F13" s="20" t="inlineStr">
        <is>
          <t>No</t>
        </is>
      </c>
      <c r="G13" s="20" t="inlineStr">
        <is>
          <t>All ages</t>
        </is>
      </c>
      <c r="H13" s="18" t="inlineStr">
        <is>
          <t>Everyone</t>
        </is>
      </c>
      <c r="I13" s="18" t="inlineStr">
        <is>
          <t>Souvenir budget cap</t>
        </is>
      </c>
    </row>
    <row r="14">
      <c r="A14" s="21" t="inlineStr">
        <is>
          <t>Fireworks dessert party</t>
        </is>
      </c>
      <c r="B14" s="23" t="inlineStr">
        <is>
          <t>Show</t>
        </is>
      </c>
      <c r="C14" s="37" t="n">
        <v>46259</v>
      </c>
      <c r="D14" s="21" t="inlineStr">
        <is>
          <t>Magic Kingdom</t>
        </is>
      </c>
      <c r="E14" s="31" t="inlineStr">
        <is>
          <t>$260</t>
        </is>
      </c>
      <c r="F14" s="23" t="inlineStr">
        <is>
          <t>Yes</t>
        </is>
      </c>
      <c r="G14" s="23" t="inlineStr">
        <is>
          <t>All ages</t>
        </is>
      </c>
      <c r="H14" s="21" t="inlineStr">
        <is>
          <t>Everyone</t>
        </is>
      </c>
      <c r="I14" s="21" t="inlineStr">
        <is>
          <t>Reserved viewing</t>
        </is>
      </c>
    </row>
    <row r="15">
      <c r="A15" s="18" t="inlineStr">
        <is>
          <t>Safari (Kilimanjaro)</t>
        </is>
      </c>
      <c r="B15" s="20" t="inlineStr">
        <is>
          <t>Tour</t>
        </is>
      </c>
      <c r="C15" s="36" t="n">
        <v>46263</v>
      </c>
      <c r="D15" s="18" t="inlineStr">
        <is>
          <t>Animal Kingdom</t>
        </is>
      </c>
      <c r="E15" s="38" t="inlineStr">
        <is>
          <t>$0</t>
        </is>
      </c>
      <c r="F15" s="20" t="inlineStr">
        <is>
          <t>Included</t>
        </is>
      </c>
      <c r="G15" s="20" t="inlineStr">
        <is>
          <t>All ages</t>
        </is>
      </c>
      <c r="H15" s="18" t="inlineStr">
        <is>
          <t>Everyone</t>
        </is>
      </c>
      <c r="I15" s="18" t="inlineStr">
        <is>
          <t>Best light early</t>
        </is>
      </c>
    </row>
    <row r="16">
      <c r="A16" s="21" t="inlineStr">
        <is>
          <t>Character breakfast</t>
        </is>
      </c>
      <c r="B16" s="23" t="inlineStr">
        <is>
          <t>Dining</t>
        </is>
      </c>
      <c r="C16" s="37" t="n">
        <v>46263</v>
      </c>
      <c r="D16" s="21" t="inlineStr">
        <is>
          <t>Tusker House</t>
        </is>
      </c>
      <c r="E16" s="31" t="inlineStr">
        <is>
          <t>$0</t>
        </is>
      </c>
      <c r="F16" s="23" t="inlineStr">
        <is>
          <t>Yes</t>
        </is>
      </c>
      <c r="G16" s="23" t="inlineStr">
        <is>
          <t>All ages</t>
        </is>
      </c>
      <c r="H16" s="21" t="inlineStr">
        <is>
          <t>Everyone</t>
        </is>
      </c>
      <c r="I16" s="21" t="inlineStr">
        <is>
          <t>Counts to food budget</t>
        </is>
      </c>
    </row>
    <row r="17">
      <c r="A17" s="18" t="inlineStr">
        <is>
          <t>Movie night in</t>
        </is>
      </c>
      <c r="B17" s="20" t="inlineStr">
        <is>
          <t>Relax</t>
        </is>
      </c>
      <c r="C17" s="36" t="n">
        <v>46261</v>
      </c>
      <c r="D17" s="18" t="inlineStr">
        <is>
          <t>Resort room</t>
        </is>
      </c>
      <c r="E17" s="38" t="inlineStr">
        <is>
          <t>$0</t>
        </is>
      </c>
      <c r="F17" s="20" t="inlineStr">
        <is>
          <t>No</t>
        </is>
      </c>
      <c r="G17" s="20" t="inlineStr">
        <is>
          <t>All ages</t>
        </is>
      </c>
      <c r="H17" s="18" t="inlineStr">
        <is>
          <t>Everyone</t>
        </is>
      </c>
      <c r="I17" s="18" t="inlineStr">
        <is>
          <t>Pajamas + popcorn</t>
        </is>
      </c>
    </row>
    <row r="18">
      <c r="A18" s="21" t="inlineStr">
        <is>
          <t>Splash pad</t>
        </is>
      </c>
      <c r="B18" s="23" t="inlineStr">
        <is>
          <t>Outdoor</t>
        </is>
      </c>
      <c r="C18" s="37" t="n">
        <v>46260</v>
      </c>
      <c r="D18" s="21" t="inlineStr">
        <is>
          <t>Resort</t>
        </is>
      </c>
      <c r="E18" s="31" t="inlineStr">
        <is>
          <t>$0</t>
        </is>
      </c>
      <c r="F18" s="23" t="inlineStr">
        <is>
          <t>No</t>
        </is>
      </c>
      <c r="G18" s="23" t="inlineStr">
        <is>
          <t>0–6</t>
        </is>
      </c>
      <c r="H18" s="21" t="inlineStr">
        <is>
          <t>Mateo</t>
        </is>
      </c>
      <c r="I18" s="21" t="inlineStr">
        <is>
          <t>Morning before EPCOT</t>
        </is>
      </c>
    </row>
    <row r="19">
      <c r="A19" s="18" t="n"/>
      <c r="B19" s="20" t="n"/>
      <c r="C19" s="36" t="n"/>
      <c r="D19" s="18" t="n"/>
      <c r="E19" s="38" t="n"/>
      <c r="F19" s="20" t="n"/>
      <c r="G19" s="20" t="n"/>
      <c r="H19" s="18" t="n"/>
      <c r="I19" s="18" t="n"/>
    </row>
    <row r="20">
      <c r="A20" s="21" t="n"/>
      <c r="B20" s="23" t="n"/>
      <c r="C20" s="37" t="n"/>
      <c r="D20" s="21" t="n"/>
      <c r="E20" s="31" t="n"/>
      <c r="F20" s="23" t="n"/>
      <c r="G20" s="23" t="n"/>
      <c r="H20" s="21" t="n"/>
      <c r="I20" s="21" t="n"/>
    </row>
    <row r="21">
      <c r="A21" s="18" t="n"/>
      <c r="B21" s="20" t="n"/>
      <c r="C21" s="36" t="n"/>
      <c r="D21" s="18" t="n"/>
      <c r="E21" s="38" t="n"/>
      <c r="F21" s="20" t="n"/>
      <c r="G21" s="20" t="n"/>
      <c r="H21" s="18" t="n"/>
      <c r="I21" s="18" t="n"/>
    </row>
    <row r="22">
      <c r="A22" s="21" t="n"/>
      <c r="B22" s="23" t="n"/>
      <c r="C22" s="37" t="n"/>
      <c r="D22" s="21" t="n"/>
      <c r="E22" s="31" t="n"/>
      <c r="F22" s="23" t="n"/>
      <c r="G22" s="23" t="n"/>
      <c r="H22" s="21" t="n"/>
      <c r="I22" s="21" t="n"/>
    </row>
    <row r="23">
      <c r="A23" s="18" t="n"/>
      <c r="B23" s="20" t="n"/>
      <c r="C23" s="36" t="n"/>
      <c r="D23" s="18" t="n"/>
      <c r="E23" s="38" t="n"/>
      <c r="F23" s="20" t="n"/>
      <c r="G23" s="20" t="n"/>
      <c r="H23" s="18" t="n"/>
      <c r="I23" s="18" t="n"/>
    </row>
    <row r="24">
      <c r="A24" s="21" t="n"/>
      <c r="B24" s="23" t="n"/>
      <c r="C24" s="37" t="n"/>
      <c r="D24" s="21" t="n"/>
      <c r="E24" s="31" t="n"/>
      <c r="F24" s="23" t="n"/>
      <c r="G24" s="23" t="n"/>
      <c r="H24" s="21" t="n"/>
      <c r="I24" s="21" t="n"/>
    </row>
    <row r="25">
      <c r="A25" s="18" t="n"/>
      <c r="B25" s="20" t="n"/>
      <c r="C25" s="36" t="n"/>
      <c r="D25" s="18" t="n"/>
      <c r="E25" s="38" t="n"/>
      <c r="F25" s="20" t="n"/>
      <c r="G25" s="20" t="n"/>
      <c r="H25" s="18" t="n"/>
      <c r="I25" s="18" t="n"/>
    </row>
    <row r="26">
      <c r="A26" s="21" t="n"/>
      <c r="B26" s="23" t="n"/>
      <c r="C26" s="37" t="n"/>
      <c r="D26" s="21" t="n"/>
      <c r="E26" s="31" t="n"/>
      <c r="F26" s="23" t="n"/>
      <c r="G26" s="23" t="n"/>
      <c r="H26" s="21" t="n"/>
      <c r="I26" s="21" t="n"/>
    </row>
    <row r="27">
      <c r="A27" s="18" t="n"/>
      <c r="B27" s="20" t="n"/>
      <c r="C27" s="36" t="n"/>
      <c r="D27" s="18" t="n"/>
      <c r="E27" s="38" t="n"/>
      <c r="F27" s="20" t="n"/>
      <c r="G27" s="20" t="n"/>
      <c r="H27" s="18" t="n"/>
      <c r="I27" s="18" t="n"/>
    </row>
    <row r="28">
      <c r="A28" s="21" t="n"/>
      <c r="B28" s="23" t="n"/>
      <c r="C28" s="37" t="n"/>
      <c r="D28" s="21" t="n"/>
      <c r="E28" s="31" t="n"/>
      <c r="F28" s="23" t="n"/>
      <c r="G28" s="23" t="n"/>
      <c r="H28" s="21" t="n"/>
      <c r="I28" s="21" t="n"/>
    </row>
    <row r="29">
      <c r="A29" s="18" t="n"/>
      <c r="B29" s="20" t="n"/>
      <c r="C29" s="36" t="n"/>
      <c r="D29" s="18" t="n"/>
      <c r="E29" s="38" t="n"/>
      <c r="F29" s="20" t="n"/>
      <c r="G29" s="20" t="n"/>
      <c r="H29" s="18" t="n"/>
      <c r="I29" s="18" t="n"/>
    </row>
    <row r="30">
      <c r="A30" s="21" t="n"/>
      <c r="B30" s="23" t="n"/>
      <c r="C30" s="37" t="n"/>
      <c r="D30" s="21" t="n"/>
      <c r="E30" s="31" t="n"/>
      <c r="F30" s="23" t="n"/>
      <c r="G30" s="23" t="n"/>
      <c r="H30" s="21" t="n"/>
      <c r="I30" s="21" t="n"/>
    </row>
    <row r="31">
      <c r="A31" s="18" t="n"/>
      <c r="B31" s="20" t="n"/>
      <c r="C31" s="36" t="n"/>
      <c r="D31" s="18" t="n"/>
      <c r="E31" s="38" t="n"/>
      <c r="F31" s="20" t="n"/>
      <c r="G31" s="20" t="n"/>
      <c r="H31" s="18" t="n"/>
      <c r="I31" s="18" t="n"/>
    </row>
    <row r="32">
      <c r="A32" s="21" t="n"/>
      <c r="B32" s="23" t="n"/>
      <c r="C32" s="37" t="n"/>
      <c r="D32" s="21" t="n"/>
      <c r="E32" s="31" t="n"/>
      <c r="F32" s="23" t="n"/>
      <c r="G32" s="23" t="n"/>
      <c r="H32" s="21" t="n"/>
      <c r="I32" s="21" t="n"/>
    </row>
    <row r="33">
      <c r="A33" s="18" t="n"/>
      <c r="B33" s="20" t="n"/>
      <c r="C33" s="36" t="n"/>
      <c r="D33" s="18" t="n"/>
      <c r="E33" s="38" t="n"/>
      <c r="F33" s="20" t="n"/>
      <c r="G33" s="20" t="n"/>
      <c r="H33" s="18" t="n"/>
      <c r="I33" s="18" t="n"/>
    </row>
    <row r="34">
      <c r="A34" s="21" t="n"/>
      <c r="B34" s="23" t="n"/>
      <c r="C34" s="37" t="n"/>
      <c r="D34" s="21" t="n"/>
      <c r="E34" s="31" t="n"/>
      <c r="F34" s="23" t="n"/>
      <c r="G34" s="23" t="n"/>
      <c r="H34" s="21" t="n"/>
      <c r="I34" s="21" t="n"/>
    </row>
    <row r="35">
      <c r="A35" s="18" t="n"/>
      <c r="B35" s="20" t="n"/>
      <c r="C35" s="36" t="n"/>
      <c r="D35" s="18" t="n"/>
      <c r="E35" s="38" t="n"/>
      <c r="F35" s="20" t="n"/>
      <c r="G35" s="20" t="n"/>
      <c r="H35" s="18" t="n"/>
      <c r="I35" s="18" t="n"/>
    </row>
    <row r="36">
      <c r="A36" s="21" t="n"/>
      <c r="B36" s="23" t="n"/>
      <c r="C36" s="37" t="n"/>
      <c r="D36" s="21" t="n"/>
      <c r="E36" s="31" t="n"/>
      <c r="F36" s="23" t="n"/>
      <c r="G36" s="23" t="n"/>
      <c r="H36" s="21" t="n"/>
      <c r="I36" s="21" t="n"/>
    </row>
    <row r="37">
      <c r="A37" s="18" t="n"/>
      <c r="B37" s="20" t="n"/>
      <c r="C37" s="36" t="n"/>
      <c r="D37" s="18" t="n"/>
      <c r="E37" s="38" t="n"/>
      <c r="F37" s="20" t="n"/>
      <c r="G37" s="20" t="n"/>
      <c r="H37" s="18" t="n"/>
      <c r="I37" s="18" t="n"/>
    </row>
    <row r="38">
      <c r="A38" s="21" t="n"/>
      <c r="B38" s="23" t="n"/>
      <c r="C38" s="37" t="n"/>
      <c r="D38" s="21" t="n"/>
      <c r="E38" s="31" t="n"/>
      <c r="F38" s="23" t="n"/>
      <c r="G38" s="23" t="n"/>
      <c r="H38" s="21" t="n"/>
      <c r="I38" s="21" t="n"/>
    </row>
    <row r="39">
      <c r="A39" s="18" t="n"/>
      <c r="B39" s="20" t="n"/>
      <c r="C39" s="36" t="n"/>
      <c r="D39" s="18" t="n"/>
      <c r="E39" s="38" t="n"/>
      <c r="F39" s="20" t="n"/>
      <c r="G39" s="20" t="n"/>
      <c r="H39" s="18" t="n"/>
      <c r="I39" s="18" t="n"/>
    </row>
    <row r="40">
      <c r="A40" s="21" t="n"/>
      <c r="B40" s="23" t="n"/>
      <c r="C40" s="37" t="n"/>
      <c r="D40" s="21" t="n"/>
      <c r="E40" s="31" t="n"/>
      <c r="F40" s="23" t="n"/>
      <c r="G40" s="23" t="n"/>
      <c r="H40" s="21" t="n"/>
      <c r="I40" s="21" t="n"/>
    </row>
    <row r="41">
      <c r="A41" s="18" t="n"/>
      <c r="B41" s="20" t="n"/>
      <c r="C41" s="36" t="n"/>
      <c r="D41" s="18" t="n"/>
      <c r="E41" s="38" t="n"/>
      <c r="F41" s="20" t="n"/>
      <c r="G41" s="20" t="n"/>
      <c r="H41" s="18" t="n"/>
      <c r="I41" s="18" t="n"/>
    </row>
    <row r="42">
      <c r="A42" s="21" t="n"/>
      <c r="B42" s="23" t="n"/>
      <c r="C42" s="37" t="n"/>
      <c r="D42" s="21" t="n"/>
      <c r="E42" s="31" t="n"/>
      <c r="F42" s="23" t="n"/>
      <c r="G42" s="23" t="n"/>
      <c r="H42" s="21" t="n"/>
      <c r="I42" s="21" t="n"/>
    </row>
    <row r="43">
      <c r="A43" s="18" t="n"/>
      <c r="B43" s="20" t="n"/>
      <c r="C43" s="36" t="n"/>
      <c r="D43" s="18" t="n"/>
      <c r="E43" s="38" t="n"/>
      <c r="F43" s="20" t="n"/>
      <c r="G43" s="20" t="n"/>
      <c r="H43" s="18" t="n"/>
      <c r="I43" s="18" t="n"/>
    </row>
    <row r="44">
      <c r="A44" s="21" t="n"/>
      <c r="B44" s="23" t="n"/>
      <c r="C44" s="37" t="n"/>
      <c r="D44" s="21" t="n"/>
      <c r="E44" s="31" t="n"/>
      <c r="F44" s="23" t="n"/>
      <c r="G44" s="23" t="n"/>
      <c r="H44" s="21" t="n"/>
      <c r="I44" s="21" t="n"/>
    </row>
  </sheetData>
  <mergeCells count="2">
    <mergeCell ref="A1:I1"/>
    <mergeCell ref="A2:I2"/>
  </mergeCells>
  <dataValidations count="2">
    <dataValidation sqref="B5:B44" showDropDown="0" showInputMessage="0" showErrorMessage="0" allowBlank="1" type="list">
      <formula1>=ActTypeList</formula1>
    </dataValidation>
    <dataValidation sqref="F5:F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3" customWidth="1" min="4" max="4"/>
    <col width="12" customWidth="1" min="5" max="5"/>
    <col width="12" customWidth="1" min="6" max="6"/>
    <col width="13" customWidth="1" min="7" max="7"/>
    <col width="24" customWidth="1" min="8" max="8"/>
  </cols>
  <sheetData>
    <row r="1" ht="46" customHeight="1">
      <c r="A1" s="1" t="inlineStr">
        <is>
          <t xml:space="preserve">  📑  RESERVATION ORGANIZER</t>
        </is>
      </c>
    </row>
    <row r="2" ht="22" customHeight="1">
      <c r="A2" s="2" t="inlineStr">
        <is>
          <t xml:space="preserve">  Nothing double-booked — confirmations, payment status &amp; cancellation deadlines.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Type</t>
        </is>
      </c>
      <c r="B4" s="9" t="inlineStr">
        <is>
          <t>Confirmation</t>
        </is>
      </c>
      <c r="C4" s="9" t="inlineStr">
        <is>
          <t>Website</t>
        </is>
      </c>
      <c r="D4" s="9" t="inlineStr">
        <is>
          <t>Date</t>
        </is>
      </c>
      <c r="E4" s="9" t="inlineStr">
        <is>
          <t>Payment</t>
        </is>
      </c>
      <c r="F4" s="9" t="inlineStr">
        <is>
          <t>Confirmed?</t>
        </is>
      </c>
      <c r="G4" s="9" t="inlineStr">
        <is>
          <t>Cancel By</t>
        </is>
      </c>
      <c r="H4" s="9" t="inlineStr">
        <is>
          <t>Notes</t>
        </is>
      </c>
    </row>
    <row r="5">
      <c r="A5" s="20" t="inlineStr">
        <is>
          <t>Flight</t>
        </is>
      </c>
      <c r="B5" s="18" t="inlineStr">
        <is>
          <t>DL-8KX2P9</t>
        </is>
      </c>
      <c r="C5" s="18" t="inlineStr">
        <is>
          <t>delta.com</t>
        </is>
      </c>
      <c r="D5" s="36" t="n">
        <v>46258</v>
      </c>
      <c r="E5" s="20" t="inlineStr">
        <is>
          <t>Paid</t>
        </is>
      </c>
      <c r="F5" s="20" t="inlineStr">
        <is>
          <t>Yes</t>
        </is>
      </c>
      <c r="G5" s="20" t="n">
        <v>46233</v>
      </c>
      <c r="H5" s="18" t="inlineStr">
        <is>
          <t>Round trip · 5 seats</t>
        </is>
      </c>
    </row>
    <row r="6">
      <c r="A6" s="23" t="inlineStr">
        <is>
          <t>Hotel</t>
        </is>
      </c>
      <c r="B6" s="21" t="inlineStr">
        <is>
          <t>WDW-CB-55219</t>
        </is>
      </c>
      <c r="C6" s="21" t="inlineStr">
        <is>
          <t>disneyworld.com</t>
        </is>
      </c>
      <c r="D6" s="37" t="n">
        <v>46258</v>
      </c>
      <c r="E6" s="23" t="inlineStr">
        <is>
          <t>Deposit</t>
        </is>
      </c>
      <c r="F6" s="23" t="inlineStr">
        <is>
          <t>Yes</t>
        </is>
      </c>
      <c r="G6" s="23" t="n">
        <v>46253</v>
      </c>
      <c r="H6" s="21" t="inlineStr">
        <is>
          <t>Balance due at check-in</t>
        </is>
      </c>
    </row>
    <row r="7">
      <c r="A7" s="20" t="inlineStr">
        <is>
          <t>Rental Car</t>
        </is>
      </c>
      <c r="B7" s="18" t="inlineStr">
        <is>
          <t>ENT-77341</t>
        </is>
      </c>
      <c r="C7" s="18" t="inlineStr">
        <is>
          <t>enterprise.com</t>
        </is>
      </c>
      <c r="D7" s="36" t="n">
        <v>46258</v>
      </c>
      <c r="E7" s="20" t="inlineStr">
        <is>
          <t>Pending</t>
        </is>
      </c>
      <c r="F7" s="20" t="inlineStr">
        <is>
          <t>Yes</t>
        </is>
      </c>
      <c r="G7" s="20" t="n">
        <v>46256</v>
      </c>
      <c r="H7" s="18" t="inlineStr">
        <is>
          <t>Pay at pickup</t>
        </is>
      </c>
    </row>
    <row r="8">
      <c r="A8" s="23" t="inlineStr">
        <is>
          <t>Park Ticket</t>
        </is>
      </c>
      <c r="B8" s="21" t="inlineStr">
        <is>
          <t>WDW-TIX-7742</t>
        </is>
      </c>
      <c r="C8" s="21" t="inlineStr">
        <is>
          <t>disneyworld.com</t>
        </is>
      </c>
      <c r="D8" s="37" t="n">
        <v>46259</v>
      </c>
      <c r="E8" s="23" t="inlineStr">
        <is>
          <t>Paid</t>
        </is>
      </c>
      <c r="F8" s="23" t="inlineStr">
        <is>
          <t>Yes</t>
        </is>
      </c>
      <c r="G8" s="23" t="inlineStr">
        <is>
          <t>—</t>
        </is>
      </c>
      <c r="H8" s="21" t="inlineStr">
        <is>
          <t>5-day park hopper</t>
        </is>
      </c>
    </row>
    <row r="9">
      <c r="A9" s="20" t="inlineStr">
        <is>
          <t>Restaurant</t>
        </is>
      </c>
      <c r="B9" s="18" t="inlineStr">
        <is>
          <t>CRT-6PM</t>
        </is>
      </c>
      <c r="C9" s="18" t="inlineStr">
        <is>
          <t>disneyworld.com</t>
        </is>
      </c>
      <c r="D9" s="36" t="n">
        <v>46259</v>
      </c>
      <c r="E9" s="20" t="inlineStr">
        <is>
          <t>Paid</t>
        </is>
      </c>
      <c r="F9" s="20" t="inlineStr">
        <is>
          <t>Yes</t>
        </is>
      </c>
      <c r="G9" s="20" t="n">
        <v>46257</v>
      </c>
      <c r="H9" s="18" t="inlineStr">
        <is>
          <t>Cinderella's Royal Table</t>
        </is>
      </c>
    </row>
    <row r="10">
      <c r="A10" s="23" t="inlineStr">
        <is>
          <t>Restaurant</t>
        </is>
      </c>
      <c r="B10" s="21" t="inlineStr">
        <is>
          <t>S220-1230</t>
        </is>
      </c>
      <c r="C10" s="21" t="inlineStr">
        <is>
          <t>disneyworld.com</t>
        </is>
      </c>
      <c r="D10" s="37" t="n">
        <v>46260</v>
      </c>
      <c r="E10" s="23" t="inlineStr">
        <is>
          <t>Paid</t>
        </is>
      </c>
      <c r="F10" s="23" t="inlineStr">
        <is>
          <t>Yes</t>
        </is>
      </c>
      <c r="G10" s="23" t="n">
        <v>46258</v>
      </c>
      <c r="H10" s="21" t="inlineStr">
        <is>
          <t>Space 220</t>
        </is>
      </c>
    </row>
    <row r="11">
      <c r="A11" s="20" t="inlineStr">
        <is>
          <t>Activity</t>
        </is>
      </c>
      <c r="B11" s="18" t="inlineStr">
        <is>
          <t>BBB-0946</t>
        </is>
      </c>
      <c r="C11" s="18" t="inlineStr">
        <is>
          <t>disneyworld.com</t>
        </is>
      </c>
      <c r="D11" s="36" t="n">
        <v>46259</v>
      </c>
      <c r="E11" s="20" t="inlineStr">
        <is>
          <t>Paid</t>
        </is>
      </c>
      <c r="F11" s="20" t="inlineStr">
        <is>
          <t>Yes</t>
        </is>
      </c>
      <c r="G11" s="20" t="n">
        <v>46257</v>
      </c>
      <c r="H11" s="18" t="inlineStr">
        <is>
          <t>Bibbidi Bobbidi</t>
        </is>
      </c>
    </row>
    <row r="12">
      <c r="A12" s="23" t="inlineStr">
        <is>
          <t>Show</t>
        </is>
      </c>
      <c r="B12" s="21" t="inlineStr">
        <is>
          <t>FDP-9PM</t>
        </is>
      </c>
      <c r="C12" s="21" t="inlineStr">
        <is>
          <t>disneyworld.com</t>
        </is>
      </c>
      <c r="D12" s="37" t="n">
        <v>46259</v>
      </c>
      <c r="E12" s="23" t="inlineStr">
        <is>
          <t>Paid</t>
        </is>
      </c>
      <c r="F12" s="23" t="inlineStr">
        <is>
          <t>Yes</t>
        </is>
      </c>
      <c r="G12" s="23" t="n">
        <v>46257</v>
      </c>
      <c r="H12" s="21" t="inlineStr">
        <is>
          <t>Fireworks dessert party</t>
        </is>
      </c>
    </row>
    <row r="13">
      <c r="A13" s="20" t="inlineStr">
        <is>
          <t>Restaurant</t>
        </is>
      </c>
      <c r="B13" s="18" t="inlineStr">
        <is>
          <t>SCI-1230</t>
        </is>
      </c>
      <c r="C13" s="18" t="inlineStr">
        <is>
          <t>disneyworld.com</t>
        </is>
      </c>
      <c r="D13" s="36" t="n">
        <v>46262</v>
      </c>
      <c r="E13" s="20" t="inlineStr">
        <is>
          <t>Deposit</t>
        </is>
      </c>
      <c r="F13" s="20" t="inlineStr">
        <is>
          <t>Yes</t>
        </is>
      </c>
      <c r="G13" s="20" t="n">
        <v>46259</v>
      </c>
      <c r="H13" s="18" t="inlineStr">
        <is>
          <t>Sci-Fi Dine-In</t>
        </is>
      </c>
    </row>
    <row r="14">
      <c r="A14" s="23" t="inlineStr">
        <is>
          <t>Restaurant</t>
        </is>
      </c>
      <c r="B14" s="21" t="inlineStr">
        <is>
          <t>TUS-8AM</t>
        </is>
      </c>
      <c r="C14" s="21" t="inlineStr">
        <is>
          <t>disneyworld.com</t>
        </is>
      </c>
      <c r="D14" s="37" t="n">
        <v>46263</v>
      </c>
      <c r="E14" s="23" t="inlineStr">
        <is>
          <t>Paid</t>
        </is>
      </c>
      <c r="F14" s="23" t="inlineStr">
        <is>
          <t>Yes</t>
        </is>
      </c>
      <c r="G14" s="23" t="n">
        <v>46260</v>
      </c>
      <c r="H14" s="21" t="inlineStr">
        <is>
          <t>Tusker House</t>
        </is>
      </c>
    </row>
    <row r="15">
      <c r="A15" s="20" t="inlineStr">
        <is>
          <t>Transfer</t>
        </is>
      </c>
      <c r="B15" s="18" t="inlineStr">
        <is>
          <t>RES-INCL</t>
        </is>
      </c>
      <c r="C15" s="18" t="inlineStr">
        <is>
          <t>disneyworld.com</t>
        </is>
      </c>
      <c r="D15" s="36" t="n">
        <v>46258</v>
      </c>
      <c r="E15" s="20" t="inlineStr">
        <is>
          <t>Paid</t>
        </is>
      </c>
      <c r="F15" s="20" t="inlineStr">
        <is>
          <t>Yes</t>
        </is>
      </c>
      <c r="G15" s="20" t="inlineStr">
        <is>
          <t>—</t>
        </is>
      </c>
      <c r="H15" s="18" t="inlineStr">
        <is>
          <t>Resort shuttle</t>
        </is>
      </c>
    </row>
    <row r="16">
      <c r="A16" s="23" t="inlineStr">
        <is>
          <t>Parking</t>
        </is>
      </c>
      <c r="B16" s="21" t="inlineStr">
        <is>
          <t>—</t>
        </is>
      </c>
      <c r="C16" s="21" t="inlineStr">
        <is>
          <t>resort</t>
        </is>
      </c>
      <c r="D16" s="37" t="n">
        <v>46258</v>
      </c>
      <c r="E16" s="23" t="inlineStr">
        <is>
          <t>Pending</t>
        </is>
      </c>
      <c r="F16" s="23" t="inlineStr">
        <is>
          <t>No</t>
        </is>
      </c>
      <c r="G16" s="23" t="inlineStr">
        <is>
          <t>—</t>
        </is>
      </c>
      <c r="H16" s="21" t="inlineStr">
        <is>
          <t>Confirm self-park rate</t>
        </is>
      </c>
    </row>
    <row r="17">
      <c r="A17" s="20" t="n"/>
      <c r="B17" s="18" t="n"/>
      <c r="C17" s="18" t="n"/>
      <c r="D17" s="36" t="n"/>
      <c r="E17" s="20" t="n"/>
      <c r="F17" s="20" t="n"/>
      <c r="G17" s="20" t="n"/>
      <c r="H17" s="18" t="n"/>
    </row>
    <row r="18">
      <c r="A18" s="23" t="n"/>
      <c r="B18" s="21" t="n"/>
      <c r="C18" s="21" t="n"/>
      <c r="D18" s="37" t="n"/>
      <c r="E18" s="23" t="n"/>
      <c r="F18" s="23" t="n"/>
      <c r="G18" s="23" t="n"/>
      <c r="H18" s="21" t="n"/>
    </row>
    <row r="19">
      <c r="A19" s="20" t="n"/>
      <c r="B19" s="18" t="n"/>
      <c r="C19" s="18" t="n"/>
      <c r="D19" s="36" t="n"/>
      <c r="E19" s="20" t="n"/>
      <c r="F19" s="20" t="n"/>
      <c r="G19" s="20" t="n"/>
      <c r="H19" s="18" t="n"/>
    </row>
    <row r="20">
      <c r="A20" s="23" t="n"/>
      <c r="B20" s="21" t="n"/>
      <c r="C20" s="21" t="n"/>
      <c r="D20" s="37" t="n"/>
      <c r="E20" s="23" t="n"/>
      <c r="F20" s="23" t="n"/>
      <c r="G20" s="23" t="n"/>
      <c r="H20" s="21" t="n"/>
    </row>
    <row r="21">
      <c r="A21" s="20" t="n"/>
      <c r="B21" s="18" t="n"/>
      <c r="C21" s="18" t="n"/>
      <c r="D21" s="36" t="n"/>
      <c r="E21" s="20" t="n"/>
      <c r="F21" s="20" t="n"/>
      <c r="G21" s="20" t="n"/>
      <c r="H21" s="18" t="n"/>
    </row>
    <row r="22">
      <c r="A22" s="23" t="n"/>
      <c r="B22" s="21" t="n"/>
      <c r="C22" s="21" t="n"/>
      <c r="D22" s="37" t="n"/>
      <c r="E22" s="23" t="n"/>
      <c r="F22" s="23" t="n"/>
      <c r="G22" s="23" t="n"/>
      <c r="H22" s="21" t="n"/>
    </row>
    <row r="23">
      <c r="A23" s="20" t="n"/>
      <c r="B23" s="18" t="n"/>
      <c r="C23" s="18" t="n"/>
      <c r="D23" s="36" t="n"/>
      <c r="E23" s="20" t="n"/>
      <c r="F23" s="20" t="n"/>
      <c r="G23" s="20" t="n"/>
      <c r="H23" s="18" t="n"/>
    </row>
    <row r="24">
      <c r="A24" s="23" t="n"/>
      <c r="B24" s="21" t="n"/>
      <c r="C24" s="21" t="n"/>
      <c r="D24" s="37" t="n"/>
      <c r="E24" s="23" t="n"/>
      <c r="F24" s="23" t="n"/>
      <c r="G24" s="23" t="n"/>
      <c r="H24" s="21" t="n"/>
    </row>
    <row r="25">
      <c r="A25" s="20" t="n"/>
      <c r="B25" s="18" t="n"/>
      <c r="C25" s="18" t="n"/>
      <c r="D25" s="36" t="n"/>
      <c r="E25" s="20" t="n"/>
      <c r="F25" s="20" t="n"/>
      <c r="G25" s="20" t="n"/>
      <c r="H25" s="18" t="n"/>
    </row>
    <row r="26">
      <c r="A26" s="23" t="n"/>
      <c r="B26" s="21" t="n"/>
      <c r="C26" s="21" t="n"/>
      <c r="D26" s="37" t="n"/>
      <c r="E26" s="23" t="n"/>
      <c r="F26" s="23" t="n"/>
      <c r="G26" s="23" t="n"/>
      <c r="H26" s="21" t="n"/>
    </row>
    <row r="27">
      <c r="A27" s="20" t="n"/>
      <c r="B27" s="18" t="n"/>
      <c r="C27" s="18" t="n"/>
      <c r="D27" s="36" t="n"/>
      <c r="E27" s="20" t="n"/>
      <c r="F27" s="20" t="n"/>
      <c r="G27" s="20" t="n"/>
      <c r="H27" s="18" t="n"/>
    </row>
    <row r="28">
      <c r="A28" s="23" t="n"/>
      <c r="B28" s="21" t="n"/>
      <c r="C28" s="21" t="n"/>
      <c r="D28" s="37" t="n"/>
      <c r="E28" s="23" t="n"/>
      <c r="F28" s="23" t="n"/>
      <c r="G28" s="23" t="n"/>
      <c r="H28" s="21" t="n"/>
    </row>
    <row r="29">
      <c r="A29" s="20" t="n"/>
      <c r="B29" s="18" t="n"/>
      <c r="C29" s="18" t="n"/>
      <c r="D29" s="36" t="n"/>
      <c r="E29" s="20" t="n"/>
      <c r="F29" s="20" t="n"/>
      <c r="G29" s="20" t="n"/>
      <c r="H29" s="18" t="n"/>
    </row>
    <row r="30">
      <c r="A30" s="23" t="n"/>
      <c r="B30" s="21" t="n"/>
      <c r="C30" s="21" t="n"/>
      <c r="D30" s="37" t="n"/>
      <c r="E30" s="23" t="n"/>
      <c r="F30" s="23" t="n"/>
      <c r="G30" s="23" t="n"/>
      <c r="H30" s="21" t="n"/>
    </row>
    <row r="31">
      <c r="A31" s="20" t="n"/>
      <c r="B31" s="18" t="n"/>
      <c r="C31" s="18" t="n"/>
      <c r="D31" s="36" t="n"/>
      <c r="E31" s="20" t="n"/>
      <c r="F31" s="20" t="n"/>
      <c r="G31" s="20" t="n"/>
      <c r="H31" s="18" t="n"/>
    </row>
    <row r="32">
      <c r="A32" s="23" t="n"/>
      <c r="B32" s="21" t="n"/>
      <c r="C32" s="21" t="n"/>
      <c r="D32" s="37" t="n"/>
      <c r="E32" s="23" t="n"/>
      <c r="F32" s="23" t="n"/>
      <c r="G32" s="23" t="n"/>
      <c r="H32" s="21" t="n"/>
    </row>
    <row r="33">
      <c r="A33" s="20" t="n"/>
      <c r="B33" s="18" t="n"/>
      <c r="C33" s="18" t="n"/>
      <c r="D33" s="36" t="n"/>
      <c r="E33" s="20" t="n"/>
      <c r="F33" s="20" t="n"/>
      <c r="G33" s="20" t="n"/>
      <c r="H33" s="18" t="n"/>
    </row>
    <row r="34">
      <c r="A34" s="23" t="n"/>
      <c r="B34" s="21" t="n"/>
      <c r="C34" s="21" t="n"/>
      <c r="D34" s="37" t="n"/>
      <c r="E34" s="23" t="n"/>
      <c r="F34" s="23" t="n"/>
      <c r="G34" s="23" t="n"/>
      <c r="H34" s="21" t="n"/>
    </row>
  </sheetData>
  <mergeCells count="2">
    <mergeCell ref="A2:H2"/>
    <mergeCell ref="A1:H1"/>
  </mergeCells>
  <conditionalFormatting sqref="E5:E34">
    <cfRule type="cellIs" priority="1" operator="equal" dxfId="1">
      <formula>"Paid"</formula>
    </cfRule>
    <cfRule type="cellIs" priority="2" operator="equal" dxfId="2">
      <formula>"Deposit"</formula>
    </cfRule>
    <cfRule type="cellIs" priority="3" operator="equal" dxfId="3">
      <formula>"Pending"</formula>
    </cfRule>
  </conditionalFormatting>
  <dataValidations count="3">
    <dataValidation sqref="A5:A34" showDropDown="0" showInputMessage="0" showErrorMessage="0" allowBlank="1" type="list">
      <formula1>=ResTypeList</formula1>
    </dataValidation>
    <dataValidation sqref="E5:E34" showDropDown="0" showInputMessage="0" showErrorMessage="0" allowBlank="1" type="list">
      <formula1>=PayStatusList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26" customWidth="1" min="5" max="5"/>
    <col width="14" customWidth="1" min="6" max="6"/>
    <col width="24" customWidth="1" min="7" max="7"/>
  </cols>
  <sheetData>
    <row r="1" ht="46" customHeight="1">
      <c r="A1" s="1" t="inlineStr">
        <is>
          <t xml:space="preserve">  🛂  TRAVEL DOCUMENT CENTER</t>
        </is>
      </c>
    </row>
    <row r="2" ht="22" customHeight="1">
      <c r="A2" s="2" t="inlineStr">
        <is>
          <t xml:space="preserve">  Papers in order — every document, expiry, where it's stored &amp; whether it's ready.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Document</t>
        </is>
      </c>
      <c r="B4" s="9" t="inlineStr">
        <is>
          <t>Type</t>
        </is>
      </c>
      <c r="C4" s="9" t="inlineStr">
        <is>
          <t>Owner</t>
        </is>
      </c>
      <c r="D4" s="9" t="inlineStr">
        <is>
          <t>Expiry / Date</t>
        </is>
      </c>
      <c r="E4" s="9" t="inlineStr">
        <is>
          <t>Stored Location</t>
        </is>
      </c>
      <c r="F4" s="9" t="inlineStr">
        <is>
          <t>Status</t>
        </is>
      </c>
      <c r="G4" s="9" t="inlineStr">
        <is>
          <t>Notes</t>
        </is>
      </c>
    </row>
    <row r="5">
      <c r="A5" s="18" t="inlineStr">
        <is>
          <t>Passports (x5)</t>
        </is>
      </c>
      <c r="B5" s="20" t="inlineStr">
        <is>
          <t>Passport</t>
        </is>
      </c>
      <c r="C5" s="20" t="inlineStr">
        <is>
          <t>Marcus</t>
        </is>
      </c>
      <c r="D5" s="20" t="inlineStr">
        <is>
          <t>2029–2031</t>
        </is>
      </c>
      <c r="E5" s="18" t="inlineStr">
        <is>
          <t>Home safe → travel wallet</t>
        </is>
      </c>
      <c r="F5" s="20" t="inlineStr">
        <is>
          <t>Ready</t>
        </is>
      </c>
      <c r="G5" s="18" t="inlineStr">
        <is>
          <t>All valid 6+ months</t>
        </is>
      </c>
    </row>
    <row r="6">
      <c r="A6" s="21" t="inlineStr">
        <is>
          <t>Photo IDs</t>
        </is>
      </c>
      <c r="B6" s="23" t="inlineStr">
        <is>
          <t>ID</t>
        </is>
      </c>
      <c r="C6" s="23" t="inlineStr">
        <is>
          <t>Adults</t>
        </is>
      </c>
      <c r="D6" s="23" t="inlineStr">
        <is>
          <t>—</t>
        </is>
      </c>
      <c r="E6" s="21" t="inlineStr">
        <is>
          <t>Wallets</t>
        </is>
      </c>
      <c r="F6" s="23" t="inlineStr">
        <is>
          <t>Ready</t>
        </is>
      </c>
      <c r="G6" s="21" t="inlineStr">
        <is>
          <t>Driver's licenses</t>
        </is>
      </c>
    </row>
    <row r="7">
      <c r="A7" s="18" t="inlineStr">
        <is>
          <t>Park tickets</t>
        </is>
      </c>
      <c r="B7" s="20" t="inlineStr">
        <is>
          <t>Tickets</t>
        </is>
      </c>
      <c r="C7" s="20" t="inlineStr">
        <is>
          <t>Elena</t>
        </is>
      </c>
      <c r="D7" s="20" t="n">
        <v>46259</v>
      </c>
      <c r="E7" s="18" t="inlineStr">
        <is>
          <t>Disney app (mobile)</t>
        </is>
      </c>
      <c r="F7" s="20" t="inlineStr">
        <is>
          <t>Ready</t>
        </is>
      </c>
      <c r="G7" s="18" t="inlineStr">
        <is>
          <t>Linked to MagicBands</t>
        </is>
      </c>
    </row>
    <row r="8">
      <c r="A8" s="21" t="inlineStr">
        <is>
          <t>Hotel confirmation</t>
        </is>
      </c>
      <c r="B8" s="23" t="inlineStr">
        <is>
          <t>Hotel Confirmation</t>
        </is>
      </c>
      <c r="C8" s="23" t="inlineStr">
        <is>
          <t>Elena</t>
        </is>
      </c>
      <c r="D8" s="23" t="inlineStr">
        <is>
          <t>—</t>
        </is>
      </c>
      <c r="E8" s="21" t="inlineStr">
        <is>
          <t>Email + printout</t>
        </is>
      </c>
      <c r="F8" s="23" t="inlineStr">
        <is>
          <t>Ready</t>
        </is>
      </c>
      <c r="G8" s="21" t="inlineStr">
        <is>
          <t>Caribbean Beach</t>
        </is>
      </c>
    </row>
    <row r="9">
      <c r="A9" s="18" t="inlineStr">
        <is>
          <t>Travel insurance</t>
        </is>
      </c>
      <c r="B9" s="20" t="inlineStr">
        <is>
          <t>Insurance</t>
        </is>
      </c>
      <c r="C9" s="20" t="inlineStr">
        <is>
          <t>Marcus</t>
        </is>
      </c>
      <c r="D9" s="20" t="n">
        <v>46273</v>
      </c>
      <c r="E9" s="18" t="inlineStr">
        <is>
          <t>Email + wallet card</t>
        </is>
      </c>
      <c r="F9" s="20" t="inlineStr">
        <is>
          <t>In Progress</t>
        </is>
      </c>
      <c r="G9" s="18" t="inlineStr">
        <is>
          <t>Family plan — finalizing</t>
        </is>
      </c>
    </row>
    <row r="10">
      <c r="A10" s="21" t="inlineStr">
        <is>
          <t>Medical info sheet</t>
        </is>
      </c>
      <c r="B10" s="23" t="inlineStr">
        <is>
          <t>Medical</t>
        </is>
      </c>
      <c r="C10" s="23" t="inlineStr">
        <is>
          <t>Elena</t>
        </is>
      </c>
      <c r="D10" s="23" t="inlineStr">
        <is>
          <t>—</t>
        </is>
      </c>
      <c r="E10" s="21" t="inlineStr">
        <is>
          <t>Printed + phone photo</t>
        </is>
      </c>
      <c r="F10" s="23" t="inlineStr">
        <is>
          <t>Ready</t>
        </is>
      </c>
      <c r="G10" s="21" t="inlineStr">
        <is>
          <t>Allergies &amp; meds listed</t>
        </is>
      </c>
    </row>
    <row r="11">
      <c r="A11" s="18" t="n"/>
      <c r="B11" s="20" t="n"/>
      <c r="C11" s="20" t="n"/>
      <c r="D11" s="20" t="n"/>
      <c r="E11" s="18" t="n"/>
      <c r="F11" s="20" t="n"/>
      <c r="G11" s="18" t="n"/>
    </row>
    <row r="12">
      <c r="A12" s="21" t="n"/>
      <c r="B12" s="23" t="n"/>
      <c r="C12" s="23" t="n"/>
      <c r="D12" s="23" t="n"/>
      <c r="E12" s="21" t="n"/>
      <c r="F12" s="23" t="n"/>
      <c r="G12" s="21" t="n"/>
    </row>
    <row r="13">
      <c r="A13" s="18" t="n"/>
      <c r="B13" s="20" t="n"/>
      <c r="C13" s="20" t="n"/>
      <c r="D13" s="20" t="n"/>
      <c r="E13" s="18" t="n"/>
      <c r="F13" s="20" t="n"/>
      <c r="G13" s="18" t="n"/>
    </row>
    <row r="14">
      <c r="A14" s="21" t="n"/>
      <c r="B14" s="23" t="n"/>
      <c r="C14" s="23" t="n"/>
      <c r="D14" s="23" t="n"/>
      <c r="E14" s="21" t="n"/>
      <c r="F14" s="23" t="n"/>
      <c r="G14" s="21" t="n"/>
    </row>
    <row r="15">
      <c r="A15" s="18" t="n"/>
      <c r="B15" s="20" t="n"/>
      <c r="C15" s="20" t="n"/>
      <c r="D15" s="20" t="n"/>
      <c r="E15" s="18" t="n"/>
      <c r="F15" s="20" t="n"/>
      <c r="G15" s="18" t="n"/>
    </row>
    <row r="16">
      <c r="A16" s="21" t="n"/>
      <c r="B16" s="23" t="n"/>
      <c r="C16" s="23" t="n"/>
      <c r="D16" s="23" t="n"/>
      <c r="E16" s="21" t="n"/>
      <c r="F16" s="23" t="n"/>
      <c r="G16" s="21" t="n"/>
    </row>
    <row r="17">
      <c r="A17" s="18" t="n"/>
      <c r="B17" s="20" t="n"/>
      <c r="C17" s="20" t="n"/>
      <c r="D17" s="20" t="n"/>
      <c r="E17" s="18" t="n"/>
      <c r="F17" s="20" t="n"/>
      <c r="G17" s="18" t="n"/>
    </row>
    <row r="18">
      <c r="A18" s="21" t="n"/>
      <c r="B18" s="23" t="n"/>
      <c r="C18" s="23" t="n"/>
      <c r="D18" s="23" t="n"/>
      <c r="E18" s="21" t="n"/>
      <c r="F18" s="23" t="n"/>
      <c r="G18" s="21" t="n"/>
    </row>
    <row r="19">
      <c r="A19" s="18" t="n"/>
      <c r="B19" s="20" t="n"/>
      <c r="C19" s="20" t="n"/>
      <c r="D19" s="20" t="n"/>
      <c r="E19" s="18" t="n"/>
      <c r="F19" s="20" t="n"/>
      <c r="G19" s="18" t="n"/>
    </row>
    <row r="20">
      <c r="A20" s="21" t="n"/>
      <c r="B20" s="23" t="n"/>
      <c r="C20" s="23" t="n"/>
      <c r="D20" s="23" t="n"/>
      <c r="E20" s="21" t="n"/>
      <c r="F20" s="23" t="n"/>
      <c r="G20" s="21" t="n"/>
    </row>
  </sheetData>
  <mergeCells count="2">
    <mergeCell ref="A2:G2"/>
    <mergeCell ref="A1:G1"/>
  </mergeCells>
  <conditionalFormatting sqref="F5:F20">
    <cfRule type="cellIs" priority="1" operator="equal" dxfId="1">
      <formula>"Ready"</formula>
    </cfRule>
    <cfRule type="cellIs" priority="2" operator="equal" dxfId="2">
      <formula>"In Progress"</formula>
    </cfRule>
    <cfRule type="cellIs" priority="3" operator="equal" dxfId="3">
      <formula>"Missing"</formula>
    </cfRule>
  </conditionalFormatting>
  <dataValidations count="2">
    <dataValidation sqref="B5:B20" showDropDown="0" showInputMessage="0" showErrorMessage="0" allowBlank="1" type="list">
      <formula1>=DocTypeList</formula1>
    </dataValidation>
    <dataValidation sqref="F5:F20" showDropDown="0" showInputMessage="0" showErrorMessage="0" allowBlank="1" type="list">
      <formula1>=DocStatusList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4" customWidth="1" min="4" max="4"/>
    <col width="24" customWidth="1" min="5" max="5"/>
    <col width="28" customWidth="1" min="6" max="6"/>
    <col width="2" customWidth="1" min="7" max="7"/>
  </cols>
  <sheetData>
    <row r="1" ht="46" customHeight="1">
      <c r="A1" s="1" t="inlineStr">
        <is>
          <t xml:space="preserve">  🚨  EMERGENCY COMMAND CENTER</t>
        </is>
      </c>
    </row>
    <row r="2" ht="22" customHeight="1">
      <c r="A2" s="2" t="inlineStr">
        <is>
          <t xml:space="preserve">  Peace of mind — every contact and health note in one fast-access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EMERGENCY CONTACTS</t>
        </is>
      </c>
      <c r="E5" s="4" t="inlineStr">
        <is>
          <t>HEALTH INFORMATION</t>
        </is>
      </c>
    </row>
    <row r="6" ht="24" customHeight="1">
      <c r="B6" s="24" t="inlineStr">
        <is>
          <t>Local Emergency</t>
        </is>
      </c>
      <c r="C6" s="25" t="inlineStr">
        <is>
          <t>911</t>
        </is>
      </c>
      <c r="E6" s="24" t="inlineStr">
        <is>
          <t>Sofia</t>
        </is>
      </c>
      <c r="F6" s="26" t="inlineStr">
        <is>
          <t>Peanut allergy · carries inhaler</t>
        </is>
      </c>
    </row>
    <row r="7" ht="24" customHeight="1">
      <c r="B7" s="24" t="inlineStr">
        <is>
          <t>Grandma (Rosa)</t>
        </is>
      </c>
      <c r="C7" s="25" t="inlineStr">
        <is>
          <t>555-0110</t>
        </is>
      </c>
      <c r="E7" s="24" t="inlineStr">
        <is>
          <t>Mateo</t>
        </is>
      </c>
      <c r="F7" s="26" t="inlineStr">
        <is>
          <t>Dairy allergy · EpiPen in mom's bag</t>
        </is>
      </c>
    </row>
    <row r="8" ht="24" customHeight="1">
      <c r="B8" s="24" t="inlineStr">
        <is>
          <t>Family Doctor</t>
        </is>
      </c>
      <c r="C8" s="25" t="inlineStr">
        <is>
          <t>555-0188</t>
        </is>
      </c>
      <c r="E8" s="24" t="inlineStr">
        <is>
          <t>Elena</t>
        </is>
      </c>
      <c r="F8" s="26" t="inlineStr">
        <is>
          <t>Shellfish allergy</t>
        </is>
      </c>
    </row>
    <row r="9" ht="24" customHeight="1">
      <c r="B9" s="24" t="inlineStr">
        <is>
          <t>Pediatrician</t>
        </is>
      </c>
      <c r="C9" s="25" t="inlineStr">
        <is>
          <t>555-0177</t>
        </is>
      </c>
      <c r="E9" s="24" t="inlineStr">
        <is>
          <t>Blood types</t>
        </is>
      </c>
      <c r="F9" s="26" t="inlineStr">
        <is>
          <t>On medical info sheet</t>
        </is>
      </c>
    </row>
    <row r="10" ht="24" customHeight="1">
      <c r="B10" s="24" t="inlineStr">
        <is>
          <t>Insurance 24/7 line</t>
        </is>
      </c>
      <c r="C10" s="25" t="inlineStr">
        <is>
          <t>800-555-0100</t>
        </is>
      </c>
      <c r="E10" s="24" t="inlineStr">
        <is>
          <t>Medications</t>
        </is>
      </c>
      <c r="F10" s="26" t="inlineStr">
        <is>
          <t>Allergy meds, children's Tylenol</t>
        </is>
      </c>
    </row>
    <row r="11" ht="24" customHeight="1">
      <c r="B11" s="24" t="inlineStr">
        <is>
          <t>Resort front desk</t>
        </is>
      </c>
      <c r="C11" s="25" t="inlineStr">
        <is>
          <t>407-934-3400</t>
        </is>
      </c>
      <c r="E11" s="24" t="inlineStr">
        <is>
          <t>Pharmacy</t>
        </is>
      </c>
      <c r="F11" s="26" t="inlineStr">
        <is>
          <t>Any CVS — insurance on file</t>
        </is>
      </c>
    </row>
    <row r="12" ht="24" customHeight="1">
      <c r="B12" s="24" t="inlineStr">
        <is>
          <t>Airline (Delta)</t>
        </is>
      </c>
      <c r="C12" s="25" t="inlineStr">
        <is>
          <t>800-221-1212</t>
        </is>
      </c>
      <c r="E12" s="24" t="inlineStr">
        <is>
          <t>Nearest ER</t>
        </is>
      </c>
      <c r="F12" s="26" t="inlineStr">
        <is>
          <t>AdventHealth Orlando</t>
        </is>
      </c>
    </row>
    <row r="13" ht="24" customHeight="1">
      <c r="B13" s="24" t="inlineStr">
        <is>
          <t>Roadside assist</t>
        </is>
      </c>
      <c r="C13" s="25" t="inlineStr">
        <is>
          <t>800-555-0199</t>
        </is>
      </c>
      <c r="E13" s="24" t="inlineStr">
        <is>
          <t>Notes</t>
        </is>
      </c>
      <c r="F13" s="26" t="inlineStr">
        <is>
          <t>Photo of insurance cards on all phones</t>
        </is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0" customWidth="1" min="4" max="4"/>
    <col width="11" customWidth="1" min="5" max="5"/>
    <col width="12" customWidth="1" min="6" max="6"/>
    <col width="26" customWidth="1" min="7" max="7"/>
    <col width="12" customWidth="1" min="8" max="8"/>
  </cols>
  <sheetData>
    <row r="1" ht="46" customHeight="1">
      <c r="A1" s="1" t="inlineStr">
        <is>
          <t xml:space="preserve">  🚗  ROAD TRIP COMMAND CENTER</t>
        </is>
      </c>
    </row>
    <row r="2" ht="22" customHeight="1">
      <c r="A2" s="2" t="inlineStr">
        <is>
          <t xml:space="preserve">  For the drive option — route, stops, fuel, hours &amp; mileage (ignore if flying).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Leg</t>
        </is>
      </c>
      <c r="B4" s="9" t="inlineStr">
        <is>
          <t>Route</t>
        </is>
      </c>
      <c r="C4" s="9" t="inlineStr">
        <is>
          <t>Overnight / Stop</t>
        </is>
      </c>
      <c r="D4" s="9" t="inlineStr">
        <is>
          <t>Miles</t>
        </is>
      </c>
      <c r="E4" s="9" t="inlineStr">
        <is>
          <t>Drive Hrs</t>
        </is>
      </c>
      <c r="F4" s="9" t="inlineStr">
        <is>
          <t>Fuel</t>
        </is>
      </c>
      <c r="G4" s="9" t="inlineStr">
        <is>
          <t>Attractions / Notes</t>
        </is>
      </c>
      <c r="H4" s="9" t="inlineStr">
        <is>
          <t>Lodging</t>
        </is>
      </c>
    </row>
    <row r="5">
      <c r="A5" s="20" t="n">
        <v>1</v>
      </c>
      <c r="B5" s="18" t="inlineStr">
        <is>
          <t>Home → Savannah</t>
        </is>
      </c>
      <c r="C5" s="18" t="inlineStr">
        <is>
          <t>Savannah, GA</t>
        </is>
      </c>
      <c r="D5" s="19" t="n">
        <v>250</v>
      </c>
      <c r="E5" s="39" t="n">
        <v>4</v>
      </c>
      <c r="F5" s="38" t="inlineStr">
        <is>
          <t>$45</t>
        </is>
      </c>
      <c r="G5" s="18" t="inlineStr">
        <is>
          <t>Lunch stop · historic district</t>
        </is>
      </c>
      <c r="H5" s="38" t="inlineStr">
        <is>
          <t>$0</t>
        </is>
      </c>
    </row>
    <row r="6">
      <c r="A6" s="23" t="n">
        <v>2</v>
      </c>
      <c r="B6" s="21" t="inlineStr">
        <is>
          <t>Savannah → Jacksonville</t>
        </is>
      </c>
      <c r="C6" s="21" t="inlineStr">
        <is>
          <t>Jacksonville, FL</t>
        </is>
      </c>
      <c r="D6" s="22" t="n">
        <v>140</v>
      </c>
      <c r="E6" s="40" t="n">
        <v>2.5</v>
      </c>
      <c r="F6" s="31" t="inlineStr">
        <is>
          <t>$25</t>
        </is>
      </c>
      <c r="G6" s="21" t="inlineStr">
        <is>
          <t>Beach walk &amp; stretch</t>
        </is>
      </c>
      <c r="H6" s="31" t="inlineStr">
        <is>
          <t>$0</t>
        </is>
      </c>
    </row>
    <row r="7">
      <c r="A7" s="20" t="n">
        <v>3</v>
      </c>
      <c r="B7" s="18" t="inlineStr">
        <is>
          <t>Jacksonville → Orlando</t>
        </is>
      </c>
      <c r="C7" s="18" t="inlineStr">
        <is>
          <t>Orlando, FL</t>
        </is>
      </c>
      <c r="D7" s="19" t="n">
        <v>140</v>
      </c>
      <c r="E7" s="39" t="n">
        <v>2.5</v>
      </c>
      <c r="F7" s="38" t="inlineStr">
        <is>
          <t>$25</t>
        </is>
      </c>
      <c r="G7" s="18" t="inlineStr">
        <is>
          <t>Arrive resort by 3pm</t>
        </is>
      </c>
      <c r="H7" s="38" t="inlineStr">
        <is>
          <t>$0</t>
        </is>
      </c>
    </row>
    <row r="8">
      <c r="A8" s="23" t="n">
        <v>4</v>
      </c>
      <c r="B8" s="21" t="inlineStr">
        <is>
          <t>Return leg 1</t>
        </is>
      </c>
      <c r="C8" s="21" t="inlineStr">
        <is>
          <t>Savannah, GA</t>
        </is>
      </c>
      <c r="D8" s="22" t="n">
        <v>280</v>
      </c>
      <c r="E8" s="40" t="n">
        <v>4.5</v>
      </c>
      <c r="F8" s="31" t="inlineStr">
        <is>
          <t>$50</t>
        </is>
      </c>
      <c r="G8" s="21" t="inlineStr">
        <is>
          <t>Overnight — same hotel</t>
        </is>
      </c>
      <c r="H8" s="31" t="inlineStr">
        <is>
          <t>$120</t>
        </is>
      </c>
    </row>
    <row r="9">
      <c r="A9" s="20" t="n">
        <v>5</v>
      </c>
      <c r="B9" s="18" t="inlineStr">
        <is>
          <t>Return leg 2 → Home</t>
        </is>
      </c>
      <c r="C9" s="18" t="inlineStr">
        <is>
          <t>Home</t>
        </is>
      </c>
      <c r="D9" s="19" t="n">
        <v>250</v>
      </c>
      <c r="E9" s="39" t="n">
        <v>4</v>
      </c>
      <c r="F9" s="38" t="inlineStr">
        <is>
          <t>$45</t>
        </is>
      </c>
      <c r="G9" s="18" t="inlineStr">
        <is>
          <t>Home by dinner</t>
        </is>
      </c>
      <c r="H9" s="38" t="inlineStr">
        <is>
          <t>$0</t>
        </is>
      </c>
    </row>
    <row r="10">
      <c r="A10" s="23" t="n"/>
      <c r="B10" s="21" t="n"/>
      <c r="C10" s="21" t="n"/>
      <c r="D10" s="22" t="n"/>
      <c r="E10" s="40" t="n"/>
      <c r="F10" s="31" t="n"/>
      <c r="G10" s="21" t="n"/>
      <c r="H10" s="31" t="n"/>
    </row>
    <row r="11">
      <c r="A11" s="20" t="n"/>
      <c r="B11" s="18" t="n"/>
      <c r="C11" s="18" t="n"/>
      <c r="D11" s="19" t="n"/>
      <c r="E11" s="39" t="n"/>
      <c r="F11" s="38" t="n"/>
      <c r="G11" s="18" t="n"/>
      <c r="H11" s="38" t="n"/>
    </row>
    <row r="12">
      <c r="A12" s="23" t="n"/>
      <c r="B12" s="21" t="n"/>
      <c r="C12" s="21" t="n"/>
      <c r="D12" s="22" t="n"/>
      <c r="E12" s="40" t="n"/>
      <c r="F12" s="31" t="n"/>
      <c r="G12" s="21" t="n"/>
      <c r="H12" s="31" t="n"/>
    </row>
    <row r="13">
      <c r="A13" s="20" t="n"/>
      <c r="B13" s="18" t="n"/>
      <c r="C13" s="18" t="n"/>
      <c r="D13" s="19" t="n"/>
      <c r="E13" s="39" t="n"/>
      <c r="F13" s="38" t="n"/>
      <c r="G13" s="18" t="n"/>
      <c r="H13" s="38" t="n"/>
    </row>
    <row r="14">
      <c r="A14" s="23" t="n"/>
      <c r="B14" s="21" t="n"/>
      <c r="C14" s="21" t="n"/>
      <c r="D14" s="22" t="n"/>
      <c r="E14" s="40" t="n"/>
      <c r="F14" s="31" t="n"/>
      <c r="G14" s="21" t="n"/>
      <c r="H14" s="31" t="n"/>
    </row>
    <row r="15">
      <c r="A15" s="20" t="n"/>
      <c r="B15" s="18" t="n"/>
      <c r="C15" s="18" t="n"/>
      <c r="D15" s="19" t="n"/>
      <c r="E15" s="39" t="n"/>
      <c r="F15" s="38" t="n"/>
      <c r="G15" s="18" t="n"/>
      <c r="H15" s="38" t="n"/>
    </row>
    <row r="16">
      <c r="A16" s="23" t="n"/>
      <c r="B16" s="21" t="n"/>
      <c r="C16" s="21" t="n"/>
      <c r="D16" s="22" t="n"/>
      <c r="E16" s="40" t="n"/>
      <c r="F16" s="31" t="n"/>
      <c r="G16" s="21" t="n"/>
      <c r="H16" s="31" t="n"/>
    </row>
    <row r="17">
      <c r="A17" s="20" t="n"/>
      <c r="B17" s="18" t="n"/>
      <c r="C17" s="18" t="n"/>
      <c r="D17" s="19" t="n"/>
      <c r="E17" s="39" t="n"/>
      <c r="F17" s="38" t="n"/>
      <c r="G17" s="18" t="n"/>
      <c r="H17" s="38" t="n"/>
    </row>
    <row r="18">
      <c r="A18" s="23" t="n"/>
      <c r="B18" s="21" t="n"/>
      <c r="C18" s="21" t="n"/>
      <c r="D18" s="22" t="n"/>
      <c r="E18" s="40" t="n"/>
      <c r="F18" s="31" t="n"/>
      <c r="G18" s="21" t="n"/>
      <c r="H18" s="31" t="n"/>
    </row>
    <row r="19">
      <c r="A19" s="20" t="n"/>
      <c r="B19" s="18" t="n"/>
      <c r="C19" s="18" t="n"/>
      <c r="D19" s="19" t="n"/>
      <c r="E19" s="39" t="n"/>
      <c r="F19" s="38" t="n"/>
      <c r="G19" s="18" t="n"/>
      <c r="H19" s="38" t="n"/>
    </row>
    <row r="20">
      <c r="A20" s="23" t="n"/>
      <c r="B20" s="21" t="n"/>
      <c r="C20" s="21" t="n"/>
      <c r="D20" s="22" t="n"/>
      <c r="E20" s="40" t="n"/>
      <c r="F20" s="31" t="n"/>
      <c r="G20" s="21" t="n"/>
      <c r="H20" s="31" t="n"/>
    </row>
    <row r="21">
      <c r="A21" s="9" t="inlineStr">
        <is>
          <t>TOTAL MILES</t>
        </is>
      </c>
      <c r="D21" s="41">
        <f>SUM(D5:D20)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12" customWidth="1" min="4" max="4"/>
  </cols>
  <sheetData>
    <row r="1" ht="46" customHeight="1">
      <c r="A1" s="1" t="inlineStr">
        <is>
          <t xml:space="preserve">  📋  FAMILY TRAVEL RESPONSIBILITY BOARD</t>
        </is>
      </c>
    </row>
    <row r="2" ht="22" customHeight="1">
      <c r="A2" s="2" t="inlineStr">
        <is>
          <t xml:space="preserve">  Everyone has a job — share the load so no one carries the whole trip.</t>
        </is>
      </c>
    </row>
    <row r="3" ht="6" customHeight="1">
      <c r="A3" s="3" t="n"/>
      <c r="B3" s="3" t="n"/>
      <c r="C3" s="3" t="n"/>
      <c r="D3" s="3" t="n"/>
    </row>
    <row r="4" ht="30" customHeight="1">
      <c r="A4" s="9" t="inlineStr">
        <is>
          <t>Role</t>
        </is>
      </c>
      <c r="B4" s="9" t="inlineStr">
        <is>
          <t>Assigned To</t>
        </is>
      </c>
      <c r="C4" s="9" t="inlineStr">
        <is>
          <t>What It Covers</t>
        </is>
      </c>
      <c r="D4" s="9" t="inlineStr">
        <is>
          <t>On Track?</t>
        </is>
      </c>
    </row>
    <row r="5">
      <c r="A5" s="20" t="inlineStr">
        <is>
          <t>Packing Leader</t>
        </is>
      </c>
      <c r="B5" s="20" t="inlineStr">
        <is>
          <t>Elena</t>
        </is>
      </c>
      <c r="C5" s="18" t="inlineStr">
        <is>
          <t>Final bag check the night before</t>
        </is>
      </c>
      <c r="D5" s="20" t="inlineStr">
        <is>
          <t>Yes</t>
        </is>
      </c>
    </row>
    <row r="6">
      <c r="A6" s="23" t="inlineStr">
        <is>
          <t>Navigator</t>
        </is>
      </c>
      <c r="B6" s="23" t="inlineStr">
        <is>
          <t>Marcus</t>
        </is>
      </c>
      <c r="C6" s="21" t="inlineStr">
        <is>
          <t>Directions, park maps &amp; ride order</t>
        </is>
      </c>
      <c r="D6" s="23" t="inlineStr">
        <is>
          <t>Yes</t>
        </is>
      </c>
    </row>
    <row r="7">
      <c r="A7" s="20" t="inlineStr">
        <is>
          <t>Snack Manager</t>
        </is>
      </c>
      <c r="B7" s="20" t="inlineStr">
        <is>
          <t>Diego</t>
        </is>
      </c>
      <c r="C7" s="18" t="inlineStr">
        <is>
          <t>Keep the day-bag stocked</t>
        </is>
      </c>
      <c r="D7" s="20" t="inlineStr">
        <is>
          <t>Yes</t>
        </is>
      </c>
    </row>
    <row r="8">
      <c r="A8" s="23" t="inlineStr">
        <is>
          <t>Entertainment Manager</t>
        </is>
      </c>
      <c r="B8" s="23" t="inlineStr">
        <is>
          <t>Sofia</t>
        </is>
      </c>
      <c r="C8" s="21" t="inlineStr">
        <is>
          <t>Games &amp; tablets for travel days</t>
        </is>
      </c>
      <c r="D8" s="23" t="inlineStr">
        <is>
          <t>Yes</t>
        </is>
      </c>
    </row>
    <row r="9">
      <c r="A9" s="20" t="inlineStr">
        <is>
          <t>Document Manager</t>
        </is>
      </c>
      <c r="B9" s="20" t="inlineStr">
        <is>
          <t>Marcus</t>
        </is>
      </c>
      <c r="C9" s="18" t="inlineStr">
        <is>
          <t>Passports, tickets &amp; confirmations</t>
        </is>
      </c>
      <c r="D9" s="20" t="inlineStr">
        <is>
          <t>Yes</t>
        </is>
      </c>
    </row>
    <row r="10">
      <c r="A10" s="23" t="inlineStr">
        <is>
          <t>Photographer</t>
        </is>
      </c>
      <c r="B10" s="23" t="inlineStr">
        <is>
          <t>Sofia</t>
        </is>
      </c>
      <c r="C10" s="21" t="inlineStr">
        <is>
          <t>One family photo every day</t>
        </is>
      </c>
      <c r="D10" s="23" t="inlineStr">
        <is>
          <t>No</t>
        </is>
      </c>
    </row>
    <row r="11">
      <c r="A11" s="20" t="inlineStr">
        <is>
          <t>Budget Keeper</t>
        </is>
      </c>
      <c r="B11" s="20" t="inlineStr">
        <is>
          <t>Elena</t>
        </is>
      </c>
      <c r="C11" s="18" t="inlineStr">
        <is>
          <t>Log spending each night</t>
        </is>
      </c>
      <c r="D11" s="20" t="inlineStr">
        <is>
          <t>No</t>
        </is>
      </c>
    </row>
    <row r="12">
      <c r="A12" s="23" t="n"/>
      <c r="B12" s="23" t="n"/>
      <c r="C12" s="21" t="n"/>
      <c r="D12" s="23" t="n"/>
    </row>
    <row r="13">
      <c r="A13" s="20" t="n"/>
      <c r="B13" s="20" t="n"/>
      <c r="C13" s="18" t="n"/>
      <c r="D13" s="20" t="n"/>
    </row>
    <row r="14">
      <c r="A14" s="23" t="n"/>
      <c r="B14" s="23" t="n"/>
      <c r="C14" s="21" t="n"/>
      <c r="D14" s="23" t="n"/>
    </row>
    <row r="15">
      <c r="A15" s="20" t="n"/>
      <c r="B15" s="20" t="n"/>
      <c r="C15" s="18" t="n"/>
      <c r="D15" s="20" t="n"/>
    </row>
    <row r="16">
      <c r="A16" s="23" t="n"/>
      <c r="B16" s="23" t="n"/>
      <c r="C16" s="21" t="n"/>
      <c r="D16" s="23" t="n"/>
    </row>
  </sheetData>
  <mergeCells count="2">
    <mergeCell ref="A1:D1"/>
    <mergeCell ref="A2:D2"/>
  </mergeCells>
  <conditionalFormatting sqref="D5:D16">
    <cfRule type="cellIs" priority="1" operator="equal" dxfId="1">
      <formula>"Yes"</formula>
    </cfRule>
  </conditionalFormatting>
  <dataValidations count="2">
    <dataValidation sqref="B5:B16" showDropDown="0" showInputMessage="0" showErrorMessage="0" allowBlank="1" type="list">
      <formula1>=MemberList</formula1>
    </dataValidation>
    <dataValidation sqref="D5:D16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</cols>
  <sheetData>
    <row r="1" ht="46" customHeight="1">
      <c r="A1" s="1" t="inlineStr">
        <is>
          <t xml:space="preserve">  🎁  TRAVEL POINTS &amp; REWARDS TRACKER</t>
        </is>
      </c>
    </row>
    <row r="2" ht="22" customHeight="1">
      <c r="A2" s="2" t="inlineStr">
        <is>
          <t xml:space="preserve">  Travel for less — every point, expiration &amp; redemption goal in one ledger.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Program</t>
        </is>
      </c>
      <c r="B4" s="9" t="inlineStr">
        <is>
          <t>Type</t>
        </is>
      </c>
      <c r="C4" s="9" t="inlineStr">
        <is>
          <t>Balance</t>
        </is>
      </c>
      <c r="D4" s="9" t="inlineStr">
        <is>
          <t>Expires</t>
        </is>
      </c>
      <c r="E4" s="9" t="inlineStr">
        <is>
          <t>Redemption Goal</t>
        </is>
      </c>
      <c r="F4" s="9" t="inlineStr">
        <is>
          <t>Notes</t>
        </is>
      </c>
    </row>
    <row r="5">
      <c r="A5" s="20" t="inlineStr">
        <is>
          <t>Delta SkyMiles</t>
        </is>
      </c>
      <c r="B5" s="20" t="inlineStr">
        <is>
          <t>Airline</t>
        </is>
      </c>
      <c r="C5" s="19" t="n">
        <v>62000</v>
      </c>
      <c r="D5" s="20" t="n">
        <v>46613</v>
      </c>
      <c r="E5" s="18" t="inlineStr">
        <is>
          <t>Free flight next trip</t>
        </is>
      </c>
      <c r="F5" s="18" t="inlineStr">
        <is>
          <t>Pooled family account</t>
        </is>
      </c>
    </row>
    <row r="6">
      <c r="A6" s="23" t="inlineStr">
        <is>
          <t>Marriott Bonvoy</t>
        </is>
      </c>
      <c r="B6" s="23" t="inlineStr">
        <is>
          <t>Hotel</t>
        </is>
      </c>
      <c r="C6" s="22" t="n">
        <v>48000</v>
      </c>
      <c r="D6" s="23" t="n">
        <v>46813</v>
      </c>
      <c r="E6" s="21" t="inlineStr">
        <is>
          <t>2 free nights</t>
        </is>
      </c>
      <c r="F6" s="21" t="inlineStr">
        <is>
          <t>From work travel</t>
        </is>
      </c>
    </row>
    <row r="7">
      <c r="A7" s="20" t="inlineStr">
        <is>
          <t>Chase Sapphire</t>
        </is>
      </c>
      <c r="B7" s="20" t="inlineStr">
        <is>
          <t>Credit Card</t>
        </is>
      </c>
      <c r="C7" s="19" t="n">
        <v>85000</v>
      </c>
      <c r="D7" s="20" t="inlineStr">
        <is>
          <t>None</t>
        </is>
      </c>
      <c r="E7" s="18" t="inlineStr">
        <is>
          <t>Transfer to Delta</t>
        </is>
      </c>
      <c r="F7" s="18" t="inlineStr">
        <is>
          <t>1.25x on travel portal</t>
        </is>
      </c>
    </row>
    <row r="8">
      <c r="A8" s="23" t="inlineStr">
        <is>
          <t>Disney Rewards</t>
        </is>
      </c>
      <c r="B8" s="23" t="inlineStr">
        <is>
          <t>Credit Card</t>
        </is>
      </c>
      <c r="C8" s="22" t="n">
        <v>320</v>
      </c>
      <c r="D8" s="23" t="inlineStr">
        <is>
          <t>None</t>
        </is>
      </c>
      <c r="E8" s="21" t="inlineStr">
        <is>
          <t>Gift cards for souvenirs</t>
        </is>
      </c>
      <c r="F8" s="21" t="inlineStr">
        <is>
          <t>Redeemed in-app</t>
        </is>
      </c>
    </row>
    <row r="9">
      <c r="A9" s="20" t="inlineStr">
        <is>
          <t>Hertz Gold</t>
        </is>
      </c>
      <c r="B9" s="20" t="inlineStr">
        <is>
          <t>Rental</t>
        </is>
      </c>
      <c r="C9" s="19" t="n">
        <v>4</v>
      </c>
      <c r="D9" s="20" t="n">
        <v>46578</v>
      </c>
      <c r="E9" s="18" t="inlineStr">
        <is>
          <t>1 free rental day</t>
        </is>
      </c>
      <c r="F9" s="18" t="inlineStr">
        <is>
          <t>Almost at reward</t>
        </is>
      </c>
    </row>
    <row r="10">
      <c r="A10" s="23" t="inlineStr">
        <is>
          <t>Amex Membership</t>
        </is>
      </c>
      <c r="B10" s="23" t="inlineStr">
        <is>
          <t>Credit Card</t>
        </is>
      </c>
      <c r="C10" s="22" t="n">
        <v>54000</v>
      </c>
      <c r="D10" s="23" t="inlineStr">
        <is>
          <t>None</t>
        </is>
      </c>
      <c r="E10" s="21" t="inlineStr">
        <is>
          <t>Statement credit</t>
        </is>
      </c>
      <c r="F10" s="21" t="inlineStr">
        <is>
          <t>Hold for emergencies</t>
        </is>
      </c>
    </row>
    <row r="11">
      <c r="A11" s="20" t="n"/>
      <c r="B11" s="20" t="n"/>
      <c r="C11" s="19" t="n"/>
      <c r="D11" s="20" t="n"/>
      <c r="E11" s="18" t="n"/>
      <c r="F11" s="18" t="n"/>
    </row>
    <row r="12">
      <c r="A12" s="23" t="n"/>
      <c r="B12" s="23" t="n"/>
      <c r="C12" s="22" t="n"/>
      <c r="D12" s="23" t="n"/>
      <c r="E12" s="21" t="n"/>
      <c r="F12" s="21" t="n"/>
    </row>
    <row r="13">
      <c r="A13" s="20" t="n"/>
      <c r="B13" s="20" t="n"/>
      <c r="C13" s="19" t="n"/>
      <c r="D13" s="20" t="n"/>
      <c r="E13" s="18" t="n"/>
      <c r="F13" s="18" t="n"/>
    </row>
    <row r="14">
      <c r="A14" s="23" t="n"/>
      <c r="B14" s="23" t="n"/>
      <c r="C14" s="22" t="n"/>
      <c r="D14" s="23" t="n"/>
      <c r="E14" s="21" t="n"/>
      <c r="F14" s="21" t="n"/>
    </row>
    <row r="15">
      <c r="A15" s="20" t="n"/>
      <c r="B15" s="20" t="n"/>
      <c r="C15" s="19" t="n"/>
      <c r="D15" s="20" t="n"/>
      <c r="E15" s="18" t="n"/>
      <c r="F15" s="18" t="n"/>
    </row>
    <row r="16">
      <c r="A16" s="23" t="n"/>
      <c r="B16" s="23" t="n"/>
      <c r="C16" s="22" t="n"/>
      <c r="D16" s="23" t="n"/>
      <c r="E16" s="21" t="n"/>
      <c r="F16" s="21" t="n"/>
    </row>
    <row r="17">
      <c r="A17" s="20" t="n"/>
      <c r="B17" s="20" t="n"/>
      <c r="C17" s="19" t="n"/>
      <c r="D17" s="20" t="n"/>
      <c r="E17" s="18" t="n"/>
      <c r="F17" s="18" t="n"/>
    </row>
    <row r="18">
      <c r="A18" s="23" t="n"/>
      <c r="B18" s="23" t="n"/>
      <c r="C18" s="22" t="n"/>
      <c r="D18" s="23" t="n"/>
      <c r="E18" s="21" t="n"/>
      <c r="F18" s="21" t="n"/>
    </row>
    <row r="19">
      <c r="A19" s="20" t="n"/>
      <c r="B19" s="20" t="n"/>
      <c r="C19" s="19" t="n"/>
      <c r="D19" s="20" t="n"/>
      <c r="E19" s="18" t="n"/>
      <c r="F19" s="18" t="n"/>
    </row>
    <row r="20">
      <c r="A20" s="23" t="n"/>
      <c r="B20" s="23" t="n"/>
      <c r="C20" s="22" t="n"/>
      <c r="D20" s="23" t="n"/>
      <c r="E20" s="21" t="n"/>
      <c r="F20" s="21" t="n"/>
    </row>
    <row r="21">
      <c r="A21" s="20" t="n"/>
      <c r="B21" s="20" t="n"/>
      <c r="C21" s="19" t="n"/>
      <c r="D21" s="20" t="n"/>
      <c r="E21" s="18" t="n"/>
      <c r="F21" s="18" t="n"/>
    </row>
    <row r="22">
      <c r="A22" s="23" t="n"/>
      <c r="B22" s="23" t="n"/>
      <c r="C22" s="22" t="n"/>
      <c r="D22" s="23" t="n"/>
      <c r="E22" s="21" t="n"/>
      <c r="F22" s="21" t="n"/>
    </row>
    <row r="23">
      <c r="A23" s="20" t="n"/>
      <c r="B23" s="20" t="n"/>
      <c r="C23" s="19" t="n"/>
      <c r="D23" s="20" t="n"/>
      <c r="E23" s="18" t="n"/>
      <c r="F23" s="18" t="n"/>
    </row>
    <row r="24">
      <c r="A24" s="23" t="n"/>
      <c r="B24" s="23" t="n"/>
      <c r="C24" s="22" t="n"/>
      <c r="D24" s="23" t="n"/>
      <c r="E24" s="21" t="n"/>
      <c r="F24" s="21" t="n"/>
    </row>
  </sheetData>
  <mergeCells count="2">
    <mergeCell ref="A2:F2"/>
    <mergeCell ref="A1:F1"/>
  </mergeCells>
  <conditionalFormatting sqref="C5:C24">
    <cfRule type="dataBar" priority="1">
      <dataBar showValue="1">
        <cfvo type="num" val="0"/>
        <cfvo type="num" val="90000"/>
        <color rgb="00C9A86A"/>
      </dataBar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PHOTO &amp; MEMORY VAULT</t>
        </is>
      </c>
    </row>
    <row r="2" ht="22" customHeight="1">
      <c r="A2" s="2" t="inlineStr">
        <is>
          <t xml:space="preserve">  Keep the magic — drop in photos and caption the moments you never want to forget.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YOUR PHOTOS</t>
        </is>
      </c>
    </row>
    <row r="6" ht="26" customHeight="1">
      <c r="B6" s="42" t="inlineStr">
        <is>
          <t>Excel: Insert ▸ Pictures ▸ Place in Cell (or drag a photo) into any framed box below. Google Sheets: click a box, Insert ▸ Image ▸ Image in cell, or paste =IMAGE("paste-link-here"). Caption each memory underneath — best moments, food, adventures, funny moments &amp; kids' highlights.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43" t="inlineStr">
        <is>
          <t>🖼
Best Moment
(add photo)</t>
        </is>
      </c>
      <c r="C9" s="43" t="inlineStr">
        <is>
          <t>🖼
Family Photo
(add photo)</t>
        </is>
      </c>
      <c r="D9" s="43" t="inlineStr">
        <is>
          <t>🖼
Food Memory
(add photo)</t>
        </is>
      </c>
    </row>
    <row r="10"/>
    <row r="11"/>
    <row r="12"/>
    <row r="13" ht="30" customHeight="1">
      <c r="B13" s="44" t="inlineStr">
        <is>
          <t>Date · Location · caption…</t>
        </is>
      </c>
      <c r="C13" s="44" t="inlineStr">
        <is>
          <t>Date · Location · caption…</t>
        </is>
      </c>
      <c r="D13" s="44" t="inlineStr">
        <is>
          <t>Date · Location · caption…</t>
        </is>
      </c>
    </row>
    <row r="15" ht="120" customHeight="1">
      <c r="B15" s="43" t="inlineStr">
        <is>
          <t>🖼
Adventure
(add photo)</t>
        </is>
      </c>
      <c r="C15" s="43" t="inlineStr">
        <is>
          <t>🖼
Funny Moment
(add photo)</t>
        </is>
      </c>
      <c r="D15" s="43" t="inlineStr">
        <is>
          <t>🖼
Kids' Highlight
(add photo)</t>
        </is>
      </c>
    </row>
    <row r="16"/>
    <row r="17"/>
    <row r="18"/>
    <row r="19" ht="30" customHeight="1">
      <c r="B19" s="44" t="inlineStr">
        <is>
          <t>Date · Location · caption…</t>
        </is>
      </c>
      <c r="C19" s="44" t="inlineStr">
        <is>
          <t>Date · Location · caption…</t>
        </is>
      </c>
      <c r="D19" s="44" t="inlineStr">
        <is>
          <t>Date · Location · caption…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6" customWidth="1" min="4" max="4"/>
    <col width="22" customWidth="1" min="5" max="5"/>
    <col width="26" customWidth="1" min="6" max="6"/>
  </cols>
  <sheetData>
    <row r="1" ht="46" customHeight="1">
      <c r="A1" s="1" t="inlineStr">
        <is>
          <t xml:space="preserve">  📔  TRAVEL JOURNAL</t>
        </is>
      </c>
    </row>
    <row r="2" ht="22" customHeight="1">
      <c r="A2" s="2" t="inlineStr">
        <is>
          <t xml:space="preserve">  One line a day keeps the memories forever — capture it before you sleep.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Best Moment</t>
        </is>
      </c>
      <c r="C4" s="9" t="inlineStr">
        <is>
          <t>Favorite Meal</t>
        </is>
      </c>
      <c r="D4" s="9" t="inlineStr">
        <is>
          <t>Funniest Memory</t>
        </is>
      </c>
      <c r="E4" s="9" t="inlineStr">
        <is>
          <t>New Experience</t>
        </is>
      </c>
      <c r="F4" s="9" t="inlineStr">
        <is>
          <t>Family Highlight</t>
        </is>
      </c>
    </row>
    <row r="5">
      <c r="A5" s="36" t="n">
        <v>46258</v>
      </c>
      <c r="B5" s="18" t="inlineStr">
        <is>
          <t>Made it! Kids gasped at the castle</t>
        </is>
      </c>
      <c r="C5" s="18" t="inlineStr">
        <is>
          <t>Airport pretzels</t>
        </is>
      </c>
      <c r="D5" s="18" t="inlineStr">
        <is>
          <t>Mateo fell asleep in stroller mid-parade</t>
        </is>
      </c>
      <c r="E5" s="18" t="inlineStr">
        <is>
          <t>First monorail ride</t>
        </is>
      </c>
      <c r="F5" s="18" t="inlineStr">
        <is>
          <t>Everyone together, finally on vacation</t>
        </is>
      </c>
    </row>
    <row r="6">
      <c r="A6" s="37" t="n">
        <v>46259</v>
      </c>
      <c r="B6" s="21" t="inlineStr">
        <is>
          <t>Sofia met Cinderella</t>
        </is>
      </c>
      <c r="C6" s="21" t="inlineStr">
        <is>
          <t>Character dinner mac &amp; cheese</t>
        </is>
      </c>
      <c r="D6" s="21" t="inlineStr">
        <is>
          <t>Diego's pirate voice all day</t>
        </is>
      </c>
      <c r="E6" s="21" t="inlineStr">
        <is>
          <t>Fireworks up close</t>
        </is>
      </c>
      <c r="F6" s="21" t="inlineStr">
        <is>
          <t>Mateo's face at the castle lighting</t>
        </is>
      </c>
    </row>
    <row r="7">
      <c r="A7" s="36" t="n">
        <v>46260</v>
      </c>
      <c r="B7" s="18" t="inlineStr">
        <is>
          <t>Rode Guardians 3x</t>
        </is>
      </c>
      <c r="C7" s="18" t="inlineStr">
        <is>
          <t>Space 220 'floating' lunch</t>
        </is>
      </c>
      <c r="D7" s="18" t="inlineStr">
        <is>
          <t>Dad stuck on 'it's a small world'</t>
        </is>
      </c>
      <c r="E7" s="18" t="inlineStr">
        <is>
          <t>Tried sushi in Japan pavilion</t>
        </is>
      </c>
      <c r="F7" s="18" t="inlineStr">
        <is>
          <t>World Showcase snacking tour</t>
        </is>
      </c>
    </row>
    <row r="8">
      <c r="A8" s="37" t="n">
        <v>46261</v>
      </c>
      <c r="B8" s="21" t="inlineStr">
        <is>
          <t>Slept till 9 — glorious</t>
        </is>
      </c>
      <c r="C8" s="21" t="inlineStr">
        <is>
          <t>Homemade tacos in room</t>
        </is>
      </c>
      <c r="D8" s="21" t="inlineStr">
        <is>
          <t>Pool cannonball contest</t>
        </is>
      </c>
      <c r="E8" s="21" t="inlineStr">
        <is>
          <t>Won mini-golf as a team</t>
        </is>
      </c>
      <c r="F8" s="21" t="inlineStr">
        <is>
          <t>A calm day to just be together</t>
        </is>
      </c>
    </row>
    <row r="9">
      <c r="A9" s="36" t="n">
        <v>46262</v>
      </c>
      <c r="B9" s="18" t="inlineStr">
        <is>
          <t>Rise of the Resistance!</t>
        </is>
      </c>
      <c r="C9" s="18" t="inlineStr">
        <is>
          <t>Sci-Fi Dine-In burgers</t>
        </is>
      </c>
      <c r="D9" s="18" t="inlineStr">
        <is>
          <t>Diego 'directed' the whole day</t>
        </is>
      </c>
      <c r="E9" s="18" t="inlineStr">
        <is>
          <t>Single-rider strategy worked</t>
        </is>
      </c>
      <c r="F9" s="18" t="inlineStr">
        <is>
          <t>Kids brave on the big rides</t>
        </is>
      </c>
    </row>
    <row r="10">
      <c r="A10" s="37" t="n"/>
      <c r="B10" s="21" t="n"/>
      <c r="C10" s="21" t="n"/>
      <c r="D10" s="21" t="n"/>
      <c r="E10" s="21" t="n"/>
      <c r="F10" s="21" t="n"/>
    </row>
    <row r="11">
      <c r="A11" s="36" t="n"/>
      <c r="B11" s="18" t="n"/>
      <c r="C11" s="18" t="n"/>
      <c r="D11" s="18" t="n"/>
      <c r="E11" s="18" t="n"/>
      <c r="F11" s="18" t="n"/>
    </row>
    <row r="12">
      <c r="A12" s="37" t="n"/>
      <c r="B12" s="21" t="n"/>
      <c r="C12" s="21" t="n"/>
      <c r="D12" s="21" t="n"/>
      <c r="E12" s="21" t="n"/>
      <c r="F12" s="21" t="n"/>
    </row>
    <row r="13">
      <c r="A13" s="36" t="n"/>
      <c r="B13" s="18" t="n"/>
      <c r="C13" s="18" t="n"/>
      <c r="D13" s="18" t="n"/>
      <c r="E13" s="18" t="n"/>
      <c r="F13" s="18" t="n"/>
    </row>
    <row r="14">
      <c r="A14" s="37" t="n"/>
      <c r="B14" s="21" t="n"/>
      <c r="C14" s="21" t="n"/>
      <c r="D14" s="21" t="n"/>
      <c r="E14" s="21" t="n"/>
      <c r="F14" s="21" t="n"/>
    </row>
    <row r="15">
      <c r="A15" s="36" t="n"/>
      <c r="B15" s="18" t="n"/>
      <c r="C15" s="18" t="n"/>
      <c r="D15" s="18" t="n"/>
      <c r="E15" s="18" t="n"/>
      <c r="F15" s="18" t="n"/>
    </row>
    <row r="16">
      <c r="A16" s="37" t="n"/>
      <c r="B16" s="21" t="n"/>
      <c r="C16" s="21" t="n"/>
      <c r="D16" s="21" t="n"/>
      <c r="E16" s="21" t="n"/>
      <c r="F16" s="21" t="n"/>
    </row>
    <row r="17">
      <c r="A17" s="36" t="n"/>
      <c r="B17" s="18" t="n"/>
      <c r="C17" s="18" t="n"/>
      <c r="D17" s="18" t="n"/>
      <c r="E17" s="18" t="n"/>
      <c r="F17" s="18" t="n"/>
    </row>
    <row r="18">
      <c r="A18" s="37" t="n"/>
      <c r="B18" s="21" t="n"/>
      <c r="C18" s="21" t="n"/>
      <c r="D18" s="21" t="n"/>
      <c r="E18" s="21" t="n"/>
      <c r="F18" s="21" t="n"/>
    </row>
    <row r="19">
      <c r="A19" s="36" t="n"/>
      <c r="B19" s="18" t="n"/>
      <c r="C19" s="18" t="n"/>
      <c r="D19" s="18" t="n"/>
      <c r="E19" s="18" t="n"/>
      <c r="F19" s="18" t="n"/>
    </row>
    <row r="20">
      <c r="A20" s="37" t="n"/>
      <c r="B20" s="21" t="n"/>
      <c r="C20" s="21" t="n"/>
      <c r="D20" s="21" t="n"/>
      <c r="E20" s="21" t="n"/>
      <c r="F20" s="21" t="n"/>
    </row>
    <row r="21">
      <c r="A21" s="36" t="n"/>
      <c r="B21" s="18" t="n"/>
      <c r="C21" s="18" t="n"/>
      <c r="D21" s="18" t="n"/>
      <c r="E21" s="18" t="n"/>
      <c r="F21" s="18" t="n"/>
    </row>
    <row r="22">
      <c r="A22" s="37" t="n"/>
      <c r="B22" s="21" t="n"/>
      <c r="C22" s="21" t="n"/>
      <c r="D22" s="21" t="n"/>
      <c r="E22" s="21" t="n"/>
      <c r="F22" s="21" t="n"/>
    </row>
    <row r="23">
      <c r="A23" s="36" t="n"/>
      <c r="B23" s="18" t="n"/>
      <c r="C23" s="18" t="n"/>
      <c r="D23" s="18" t="n"/>
      <c r="E23" s="18" t="n"/>
      <c r="F23" s="18" t="n"/>
    </row>
    <row r="24">
      <c r="A24" s="37" t="n"/>
      <c r="B24" s="21" t="n"/>
      <c r="C24" s="21" t="n"/>
      <c r="D24" s="21" t="n"/>
      <c r="E24" s="21" t="n"/>
      <c r="F24" s="21" t="n"/>
    </row>
    <row r="25">
      <c r="A25" s="36" t="n"/>
      <c r="B25" s="18" t="n"/>
      <c r="C25" s="18" t="n"/>
      <c r="D25" s="18" t="n"/>
      <c r="E25" s="18" t="n"/>
      <c r="F25" s="18" t="n"/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4" customWidth="1" min="4" max="4"/>
    <col width="2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⭐  POST-TRIP REVIEW</t>
        </is>
      </c>
    </row>
    <row r="2" ht="22" customHeight="1">
      <c r="A2" s="2" t="inlineStr">
        <is>
          <t xml:space="preserve">  Learn &amp; improve — rate the trip, keep what worked and plan next time better.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VERDICT</t>
        </is>
      </c>
      <c r="E5" s="4" t="inlineStr">
        <is>
          <t>LESSONS FOR NEXT TIME</t>
        </is>
      </c>
    </row>
    <row r="6" ht="24" customHeight="1">
      <c r="B6" s="24" t="inlineStr">
        <is>
          <t>Overall Rating</t>
        </is>
      </c>
      <c r="C6" s="25" t="inlineStr">
        <is>
          <t>9 / 10</t>
        </is>
      </c>
      <c r="E6" s="24" t="inlineStr">
        <is>
          <t>What worked</t>
        </is>
      </c>
      <c r="F6" s="26" t="inlineStr">
        <is>
          <t>Rope drop</t>
        </is>
      </c>
    </row>
    <row r="7" ht="24" customHeight="1">
      <c r="B7" s="24" t="inlineStr">
        <is>
          <t>Best Experience</t>
        </is>
      </c>
      <c r="C7" s="25" t="inlineStr">
        <is>
          <t>Fireworks dessert party</t>
        </is>
      </c>
      <c r="E7" s="24" t="inlineStr">
        <is>
          <t>What worked</t>
        </is>
      </c>
      <c r="F7" s="26" t="inlineStr">
        <is>
          <t>Mid-trip rest day</t>
        </is>
      </c>
    </row>
    <row r="8" ht="24" customHeight="1">
      <c r="B8" s="24" t="inlineStr">
        <is>
          <t>Best Value</t>
        </is>
      </c>
      <c r="C8" s="25" t="inlineStr">
        <is>
          <t>Rest-day pool + grocery meals</t>
        </is>
      </c>
      <c r="E8" s="24" t="inlineStr">
        <is>
          <t>What worked</t>
        </is>
      </c>
      <c r="F8" s="26" t="inlineStr">
        <is>
          <t>Mobile order meals</t>
        </is>
      </c>
    </row>
    <row r="9" ht="24" customHeight="1">
      <c r="B9" s="24" t="inlineStr">
        <is>
          <t>Biggest Splurge</t>
        </is>
      </c>
      <c r="C9" s="25" t="inlineStr">
        <is>
          <t>Character dining</t>
        </is>
      </c>
      <c r="E9" s="24" t="inlineStr">
        <is>
          <t>To improve</t>
        </is>
      </c>
      <c r="F9" s="26" t="inlineStr">
        <is>
          <t>Pack more ponchos</t>
        </is>
      </c>
    </row>
    <row r="10" ht="24" customHeight="1">
      <c r="B10" s="24" t="inlineStr">
        <is>
          <t>Would Return?</t>
        </is>
      </c>
      <c r="C10" s="25" t="inlineStr">
        <is>
          <t>Yes — in 2 years</t>
        </is>
      </c>
      <c r="E10" s="24" t="inlineStr">
        <is>
          <t>To improve</t>
        </is>
      </c>
      <c r="F10" s="26" t="inlineStr">
        <is>
          <t>Book Space 220 earlier</t>
        </is>
      </c>
    </row>
    <row r="11" ht="24" customHeight="1">
      <c r="B11" s="24" t="inlineStr">
        <is>
          <t>Kids' Favorite</t>
        </is>
      </c>
      <c r="C11" s="25" t="inlineStr">
        <is>
          <t>Bibbidi Bobbidi + safari</t>
        </is>
      </c>
      <c r="E11" s="24" t="inlineStr">
        <is>
          <t>To improve</t>
        </is>
      </c>
      <c r="F11" s="26" t="inlineStr">
        <is>
          <t>Budget more for snacks</t>
        </is>
      </c>
    </row>
    <row r="12" ht="24" customHeight="1">
      <c r="B12" s="24" t="inlineStr">
        <is>
          <t>Trip Pace</t>
        </is>
      </c>
      <c r="C12" s="25" t="inlineStr">
        <is>
          <t>Just right — rest day saved us</t>
        </is>
      </c>
      <c r="E12" s="24" t="inlineStr">
        <is>
          <t>Try next</t>
        </is>
      </c>
      <c r="F12" s="26" t="inlineStr">
        <is>
          <t>Add a beach day</t>
        </is>
      </c>
    </row>
    <row r="13" ht="24" customHeight="1">
      <c r="B13" s="24" t="inlineStr">
        <is>
          <t>Under / Over Budget</t>
        </is>
      </c>
      <c r="C13" s="25" t="inlineStr">
        <is>
          <t>$180 under</t>
        </is>
      </c>
      <c r="E13" s="24" t="inlineStr">
        <is>
          <t>Try next</t>
        </is>
      </c>
      <c r="F13" s="26" t="inlineStr">
        <is>
          <t>Skip 5th park</t>
        </is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1" customWidth="1" min="5" max="5"/>
    <col width="13" customWidth="1" min="6" max="6"/>
    <col width="28" customWidth="1" min="7" max="7"/>
  </cols>
  <sheetData>
    <row r="1" ht="46" customHeight="1">
      <c r="A1" s="1" t="inlineStr">
        <is>
          <t xml:space="preserve">  🌟  FUTURE TRAVEL WISHLIST</t>
        </is>
      </c>
    </row>
    <row r="2" ht="22" customHeight="1">
      <c r="A2" s="2" t="inlineStr">
        <is>
          <t xml:space="preserve">  Dream a little — rank the next adventures and start a fund for the front-runners.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Destination</t>
        </is>
      </c>
      <c r="B4" s="9" t="inlineStr">
        <is>
          <t>Type</t>
        </is>
      </c>
      <c r="C4" s="9" t="inlineStr">
        <is>
          <t>Est. Cost</t>
        </is>
      </c>
      <c r="D4" s="9" t="inlineStr">
        <is>
          <t>Best Season</t>
        </is>
      </c>
      <c r="E4" s="9" t="inlineStr">
        <is>
          <t>Priority</t>
        </is>
      </c>
      <c r="F4" s="9" t="inlineStr">
        <is>
          <t>Saved So Far</t>
        </is>
      </c>
      <c r="G4" s="9" t="inlineStr">
        <is>
          <t>Why We Want It</t>
        </is>
      </c>
    </row>
    <row r="5">
      <c r="A5" s="18" t="inlineStr">
        <is>
          <t>Hawaii (Maui)</t>
        </is>
      </c>
      <c r="B5" s="20" t="inlineStr">
        <is>
          <t>Beach</t>
        </is>
      </c>
      <c r="C5" s="20" t="inlineStr">
        <is>
          <t>$11,000</t>
        </is>
      </c>
      <c r="D5" s="20" t="inlineStr">
        <is>
          <t>Spring</t>
        </is>
      </c>
      <c r="E5" s="20" t="inlineStr">
        <is>
          <t>High</t>
        </is>
      </c>
      <c r="F5" s="38" t="inlineStr">
        <is>
          <t>$3,200</t>
        </is>
      </c>
      <c r="G5" s="18" t="inlineStr">
        <is>
          <t>Multi-gen with grandparents</t>
        </is>
      </c>
    </row>
    <row r="6">
      <c r="A6" s="21" t="inlineStr">
        <is>
          <t>Yellowstone road trip</t>
        </is>
      </c>
      <c r="B6" s="23" t="inlineStr">
        <is>
          <t>Road Trip</t>
        </is>
      </c>
      <c r="C6" s="23" t="inlineStr">
        <is>
          <t>$5,500</t>
        </is>
      </c>
      <c r="D6" s="23" t="inlineStr">
        <is>
          <t>Summer</t>
        </is>
      </c>
      <c r="E6" s="23" t="inlineStr">
        <is>
          <t>High</t>
        </is>
      </c>
      <c r="F6" s="31" t="inlineStr">
        <is>
          <t>$1,000</t>
        </is>
      </c>
      <c r="G6" s="21" t="inlineStr">
        <is>
          <t>Wildlife + camping mix</t>
        </is>
      </c>
    </row>
    <row r="7">
      <c r="A7" s="18" t="inlineStr">
        <is>
          <t>Disney Cruise (Bahamas)</t>
        </is>
      </c>
      <c r="B7" s="20" t="inlineStr">
        <is>
          <t>Cruise</t>
        </is>
      </c>
      <c r="C7" s="20" t="inlineStr">
        <is>
          <t>$7,800</t>
        </is>
      </c>
      <c r="D7" s="20" t="inlineStr">
        <is>
          <t>Winter</t>
        </is>
      </c>
      <c r="E7" s="20" t="inlineStr">
        <is>
          <t>Medium</t>
        </is>
      </c>
      <c r="F7" s="38" t="inlineStr">
        <is>
          <t>$500</t>
        </is>
      </c>
      <c r="G7" s="18" t="inlineStr">
        <is>
          <t>Kids' clubs sell it</t>
        </is>
      </c>
    </row>
    <row r="8">
      <c r="A8" s="21" t="inlineStr">
        <is>
          <t>London &amp; Paris</t>
        </is>
      </c>
      <c r="B8" s="23" t="inlineStr">
        <is>
          <t>International</t>
        </is>
      </c>
      <c r="C8" s="23" t="inlineStr">
        <is>
          <t>$14,000</t>
        </is>
      </c>
      <c r="D8" s="23" t="inlineStr">
        <is>
          <t>Summer</t>
        </is>
      </c>
      <c r="E8" s="23" t="inlineStr">
        <is>
          <t>Medium</t>
        </is>
      </c>
      <c r="F8" s="31" t="inlineStr">
        <is>
          <t>$0</t>
        </is>
      </c>
      <c r="G8" s="21" t="inlineStr">
        <is>
          <t>When Mateo is older</t>
        </is>
      </c>
    </row>
    <row r="9">
      <c r="A9" s="18" t="inlineStr">
        <is>
          <t>San Diego (zoo + beach)</t>
        </is>
      </c>
      <c r="B9" s="20" t="inlineStr">
        <is>
          <t>City Break</t>
        </is>
      </c>
      <c r="C9" s="20" t="inlineStr">
        <is>
          <t>$6,200</t>
        </is>
      </c>
      <c r="D9" s="20" t="inlineStr">
        <is>
          <t>Fall</t>
        </is>
      </c>
      <c r="E9" s="20" t="inlineStr">
        <is>
          <t>High</t>
        </is>
      </c>
      <c r="F9" s="38" t="inlineStr">
        <is>
          <t>$800</t>
        </is>
      </c>
      <c r="G9" s="18" t="inlineStr">
        <is>
          <t>Easy flights, great weather</t>
        </is>
      </c>
    </row>
    <row r="10">
      <c r="A10" s="21" t="inlineStr">
        <is>
          <t>Grand Canyon + Sedona</t>
        </is>
      </c>
      <c r="B10" s="23" t="inlineStr">
        <is>
          <t>Road Trip</t>
        </is>
      </c>
      <c r="C10" s="23" t="inlineStr">
        <is>
          <t>$4,800</t>
        </is>
      </c>
      <c r="D10" s="23" t="inlineStr">
        <is>
          <t>Spring</t>
        </is>
      </c>
      <c r="E10" s="23" t="inlineStr">
        <is>
          <t>Low</t>
        </is>
      </c>
      <c r="F10" s="31" t="inlineStr">
        <is>
          <t>$0</t>
        </is>
      </c>
      <c r="G10" s="21" t="inlineStr">
        <is>
          <t>Bucket-list views</t>
        </is>
      </c>
    </row>
    <row r="11">
      <c r="A11" s="18" t="inlineStr">
        <is>
          <t>Costa Rica</t>
        </is>
      </c>
      <c r="B11" s="20" t="inlineStr">
        <is>
          <t>International</t>
        </is>
      </c>
      <c r="C11" s="20" t="inlineStr">
        <is>
          <t>$9,500</t>
        </is>
      </c>
      <c r="D11" s="20" t="inlineStr">
        <is>
          <t>Winter</t>
        </is>
      </c>
      <c r="E11" s="20" t="inlineStr">
        <is>
          <t>Low</t>
        </is>
      </c>
      <c r="F11" s="38" t="inlineStr">
        <is>
          <t>$0</t>
        </is>
      </c>
      <c r="G11" s="18" t="inlineStr">
        <is>
          <t>Adventure + wildlife</t>
        </is>
      </c>
    </row>
    <row r="12">
      <c r="A12" s="21" t="n"/>
      <c r="B12" s="23" t="n"/>
      <c r="C12" s="23" t="n"/>
      <c r="D12" s="23" t="n"/>
      <c r="E12" s="23" t="n"/>
      <c r="F12" s="31" t="n"/>
      <c r="G12" s="21" t="n"/>
    </row>
    <row r="13">
      <c r="A13" s="18" t="n"/>
      <c r="B13" s="20" t="n"/>
      <c r="C13" s="20" t="n"/>
      <c r="D13" s="20" t="n"/>
      <c r="E13" s="20" t="n"/>
      <c r="F13" s="38" t="n"/>
      <c r="G13" s="18" t="n"/>
    </row>
    <row r="14">
      <c r="A14" s="21" t="n"/>
      <c r="B14" s="23" t="n"/>
      <c r="C14" s="23" t="n"/>
      <c r="D14" s="23" t="n"/>
      <c r="E14" s="23" t="n"/>
      <c r="F14" s="31" t="n"/>
      <c r="G14" s="21" t="n"/>
    </row>
    <row r="15">
      <c r="A15" s="18" t="n"/>
      <c r="B15" s="20" t="n"/>
      <c r="C15" s="20" t="n"/>
      <c r="D15" s="20" t="n"/>
      <c r="E15" s="20" t="n"/>
      <c r="F15" s="38" t="n"/>
      <c r="G15" s="18" t="n"/>
    </row>
    <row r="16">
      <c r="A16" s="21" t="n"/>
      <c r="B16" s="23" t="n"/>
      <c r="C16" s="23" t="n"/>
      <c r="D16" s="23" t="n"/>
      <c r="E16" s="23" t="n"/>
      <c r="F16" s="31" t="n"/>
      <c r="G16" s="21" t="n"/>
    </row>
    <row r="17">
      <c r="A17" s="18" t="n"/>
      <c r="B17" s="20" t="n"/>
      <c r="C17" s="20" t="n"/>
      <c r="D17" s="20" t="n"/>
      <c r="E17" s="20" t="n"/>
      <c r="F17" s="38" t="n"/>
      <c r="G17" s="18" t="n"/>
    </row>
    <row r="18">
      <c r="A18" s="21" t="n"/>
      <c r="B18" s="23" t="n"/>
      <c r="C18" s="23" t="n"/>
      <c r="D18" s="23" t="n"/>
      <c r="E18" s="23" t="n"/>
      <c r="F18" s="31" t="n"/>
      <c r="G18" s="21" t="n"/>
    </row>
    <row r="19">
      <c r="A19" s="18" t="n"/>
      <c r="B19" s="20" t="n"/>
      <c r="C19" s="20" t="n"/>
      <c r="D19" s="20" t="n"/>
      <c r="E19" s="20" t="n"/>
      <c r="F19" s="38" t="n"/>
      <c r="G19" s="18" t="n"/>
    </row>
    <row r="20">
      <c r="A20" s="21" t="n"/>
      <c r="B20" s="23" t="n"/>
      <c r="C20" s="23" t="n"/>
      <c r="D20" s="23" t="n"/>
      <c r="E20" s="23" t="n"/>
      <c r="F20" s="31" t="n"/>
      <c r="G20" s="21" t="n"/>
    </row>
    <row r="21">
      <c r="A21" s="18" t="n"/>
      <c r="B21" s="20" t="n"/>
      <c r="C21" s="20" t="n"/>
      <c r="D21" s="20" t="n"/>
      <c r="E21" s="20" t="n"/>
      <c r="F21" s="38" t="n"/>
      <c r="G21" s="18" t="n"/>
    </row>
    <row r="22">
      <c r="A22" s="21" t="n"/>
      <c r="B22" s="23" t="n"/>
      <c r="C22" s="23" t="n"/>
      <c r="D22" s="23" t="n"/>
      <c r="E22" s="23" t="n"/>
      <c r="F22" s="31" t="n"/>
      <c r="G22" s="21" t="n"/>
    </row>
    <row r="23">
      <c r="A23" s="18" t="n"/>
      <c r="B23" s="20" t="n"/>
      <c r="C23" s="20" t="n"/>
      <c r="D23" s="20" t="n"/>
      <c r="E23" s="20" t="n"/>
      <c r="F23" s="38" t="n"/>
      <c r="G23" s="18" t="n"/>
    </row>
    <row r="24">
      <c r="A24" s="21" t="n"/>
      <c r="B24" s="23" t="n"/>
      <c r="C24" s="23" t="n"/>
      <c r="D24" s="23" t="n"/>
      <c r="E24" s="23" t="n"/>
      <c r="F24" s="31" t="n"/>
      <c r="G24" s="21" t="n"/>
    </row>
  </sheetData>
  <mergeCells count="2">
    <mergeCell ref="A2:G2"/>
    <mergeCell ref="A1:G1"/>
  </mergeCells>
  <conditionalFormatting sqref="E5:E24">
    <cfRule type="cellIs" priority="1" operator="equal" dxfId="1">
      <formula>"High"</formula>
    </cfRule>
  </conditionalFormatting>
  <dataValidations count="2">
    <dataValidation sqref="B5:B24" showDropDown="0" showInputMessage="0" showErrorMessage="0" allowBlank="1" type="list">
      <formula1>=TripTypeList</formula1>
    </dataValidation>
    <dataValidation sqref="E5:E24" showDropDown="0" showInputMessage="0" showErrorMessage="0" allowBlank="1" type="list">
      <formula1>=PriorityList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3" customWidth="1" min="4" max="4"/>
    <col width="22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📊  TRAVEL ANALYTICS DASHBOARD</t>
        </is>
      </c>
    </row>
    <row r="2" ht="22" customHeight="1">
      <c r="A2" s="2" t="inlineStr">
        <is>
          <t xml:space="preserve">  The bigger picture — this trip by the numbers, plus a Family Trip Readiness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TRIP READINESS</t>
        </is>
      </c>
      <c r="E5" s="7" t="inlineStr">
        <is>
          <t>TRIP SNAPSHOT</t>
        </is>
      </c>
    </row>
    <row r="6" ht="30" customHeight="1">
      <c r="B6" s="9" t="inlineStr">
        <is>
          <t>Dimension</t>
        </is>
      </c>
      <c r="C6" s="9" t="inlineStr">
        <is>
          <t>Score</t>
        </is>
      </c>
      <c r="E6" s="24" t="inlineStr">
        <is>
          <t>Total budget</t>
        </is>
      </c>
      <c r="F6" s="33">
        <f>TripBudget</f>
        <v/>
      </c>
    </row>
    <row r="7">
      <c r="B7" s="26" t="inlineStr">
        <is>
          <t>Savings progress</t>
        </is>
      </c>
      <c r="C7" s="45">
        <f>IFERROR(MIN(SavedTotal/SavingsGoal,1),0)</f>
        <v/>
      </c>
      <c r="E7" s="24" t="inlineStr">
        <is>
          <t>Money saved</t>
        </is>
      </c>
      <c r="F7" s="33">
        <f>SavedTotal</f>
        <v/>
      </c>
    </row>
    <row r="8">
      <c r="B8" s="21" t="inlineStr">
        <is>
          <t>Bookings confirmed</t>
        </is>
      </c>
      <c r="C8" s="46">
        <f>IFERROR(COUNTIF(ResConfirm,"Yes")/COUNTA(ResConfirm),0)</f>
        <v/>
      </c>
      <c r="E8" s="24" t="inlineStr">
        <is>
          <t>Spent so far</t>
        </is>
      </c>
      <c r="F8" s="33">
        <f>SpentTotal</f>
        <v/>
      </c>
    </row>
    <row r="9">
      <c r="B9" s="26" t="inlineStr">
        <is>
          <t>Packing complete</t>
        </is>
      </c>
      <c r="C9" s="45">
        <f>IFERROR(COUNTIF(PackStatus,"Yes")/COUNTA(PackStatus),0)</f>
        <v/>
      </c>
      <c r="E9" s="24" t="inlineStr">
        <is>
          <t>Cost / person</t>
        </is>
      </c>
      <c r="F9" s="33">
        <f>IFERROR(TripBudget/TravelerCount,0)</f>
        <v/>
      </c>
    </row>
    <row r="10">
      <c r="B10" s="21" t="inlineStr">
        <is>
          <t>Documents ready</t>
        </is>
      </c>
      <c r="C10" s="46">
        <f>IFERROR(COUNTIF(DocStatus,"Ready")/COUNTA(DocStatus),0)</f>
        <v/>
      </c>
      <c r="E10" s="24" t="inlineStr">
        <is>
          <t>Cost / day</t>
        </is>
      </c>
      <c r="F10" s="33">
        <f>IFERROR(TripBudget/(TripEnd-TripStart+1),0)</f>
        <v/>
      </c>
    </row>
    <row r="11">
      <c r="E11" s="24" t="inlineStr">
        <is>
          <t>Activities planned</t>
        </is>
      </c>
      <c r="F11" s="47">
        <f>COUNTA(ActName)</f>
        <v/>
      </c>
    </row>
    <row r="12">
      <c r="E12" s="24" t="inlineStr">
        <is>
          <t>Readiness score</t>
        </is>
      </c>
      <c r="F12" s="35">
        <f>IFERROR(AVERAGE(ReadinessRange),0)</f>
        <v/>
      </c>
    </row>
    <row r="14" ht="20" customHeight="1">
      <c r="B14" s="7" t="inlineStr">
        <is>
          <t>SAVINGS BY MONTH</t>
        </is>
      </c>
    </row>
    <row r="15">
      <c r="B15" s="9" t="inlineStr">
        <is>
          <t>Month</t>
        </is>
      </c>
      <c r="C15" s="9" t="inlineStr">
        <is>
          <t>Saved</t>
        </is>
      </c>
    </row>
    <row r="16">
      <c r="B16" s="26" t="inlineStr">
        <is>
          <t>Feb</t>
        </is>
      </c>
      <c r="C16" s="29" t="n">
        <v>1000</v>
      </c>
    </row>
    <row r="17">
      <c r="B17" s="21" t="inlineStr">
        <is>
          <t>Mar</t>
        </is>
      </c>
      <c r="C17" s="31" t="n">
        <v>2200</v>
      </c>
    </row>
    <row r="18">
      <c r="B18" s="26" t="inlineStr">
        <is>
          <t>Apr</t>
        </is>
      </c>
      <c r="C18" s="29" t="n">
        <v>3300</v>
      </c>
    </row>
    <row r="19">
      <c r="B19" s="21" t="inlineStr">
        <is>
          <t>May</t>
        </is>
      </c>
      <c r="C19" s="31" t="n">
        <v>4500</v>
      </c>
    </row>
    <row r="20">
      <c r="B20" s="26" t="inlineStr">
        <is>
          <t>Jun</t>
        </is>
      </c>
      <c r="C20" s="29" t="n">
        <v>5800</v>
      </c>
    </row>
    <row r="21">
      <c r="B21" s="21" t="inlineStr">
        <is>
          <t>Jul</t>
        </is>
      </c>
      <c r="C21" s="31" t="n">
        <v>6800</v>
      </c>
    </row>
  </sheetData>
  <mergeCells count="5">
    <mergeCell ref="A1:G1"/>
    <mergeCell ref="B5:C5"/>
    <mergeCell ref="E5:F5"/>
    <mergeCell ref="B14:C14"/>
    <mergeCell ref="A2:G2"/>
  </mergeCells>
  <conditionalFormatting sqref="C7:C10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trip details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B5" s="7" t="inlineStr">
        <is>
          <t>TRIP INPUTS</t>
        </is>
      </c>
      <c r="E5" s="4" t="inlineStr">
        <is>
          <t>DROPDOWN LISTS</t>
        </is>
      </c>
    </row>
    <row r="6">
      <c r="B6" s="24" t="inlineStr">
        <is>
          <t>Family Name</t>
        </is>
      </c>
      <c r="C6" s="48" t="inlineStr">
        <is>
          <t>The Rivera Family</t>
        </is>
      </c>
      <c r="E6" s="9" t="inlineStr">
        <is>
          <t>Trip Type</t>
        </is>
      </c>
      <c r="F6" s="9" t="inlineStr">
        <is>
          <t>Expense Category</t>
        </is>
      </c>
      <c r="G6" s="9" t="inlineStr">
        <is>
          <t>Family Member</t>
        </is>
      </c>
      <c r="H6" s="9" t="inlineStr">
        <is>
          <t>Activity Type</t>
        </is>
      </c>
      <c r="I6" s="9" t="inlineStr">
        <is>
          <t>Packing Category</t>
        </is>
      </c>
      <c r="J6" s="9" t="inlineStr">
        <is>
          <t>Transport Type</t>
        </is>
      </c>
      <c r="K6" s="9" t="inlineStr">
        <is>
          <t>Document Type</t>
        </is>
      </c>
    </row>
    <row r="7">
      <c r="B7" s="24" t="inlineStr">
        <is>
          <t>Trip Name</t>
        </is>
      </c>
      <c r="C7" s="48" t="inlineStr">
        <is>
          <t>Walt Disney World 2026</t>
        </is>
      </c>
      <c r="E7" s="26" t="inlineStr">
        <is>
          <t>Disney / Theme Park</t>
        </is>
      </c>
      <c r="F7" s="26" t="inlineStr">
        <is>
          <t>Flights</t>
        </is>
      </c>
      <c r="G7" s="26" t="inlineStr">
        <is>
          <t>Marcus (Dad)</t>
        </is>
      </c>
      <c r="H7" s="26" t="inlineStr">
        <is>
          <t>Theme Park</t>
        </is>
      </c>
      <c r="I7" s="26" t="inlineStr">
        <is>
          <t>Adults</t>
        </is>
      </c>
      <c r="J7" s="26" t="inlineStr">
        <is>
          <t>Flight</t>
        </is>
      </c>
      <c r="K7" s="26" t="inlineStr">
        <is>
          <t>Passport</t>
        </is>
      </c>
    </row>
    <row r="8">
      <c r="B8" s="24" t="inlineStr">
        <is>
          <t>Destination</t>
        </is>
      </c>
      <c r="C8" s="48" t="inlineStr">
        <is>
          <t>Orlando, Florida</t>
        </is>
      </c>
      <c r="E8" s="26" t="inlineStr">
        <is>
          <t>Beach</t>
        </is>
      </c>
      <c r="F8" s="26" t="inlineStr">
        <is>
          <t>Hotels</t>
        </is>
      </c>
      <c r="G8" s="26" t="inlineStr">
        <is>
          <t>Elena (Mom)</t>
        </is>
      </c>
      <c r="H8" s="26" t="inlineStr">
        <is>
          <t>Beach</t>
        </is>
      </c>
      <c r="I8" s="26" t="inlineStr">
        <is>
          <t>Kids</t>
        </is>
      </c>
      <c r="J8" s="26" t="inlineStr">
        <is>
          <t>Rental Car</t>
        </is>
      </c>
      <c r="K8" s="26" t="inlineStr">
        <is>
          <t>Visa</t>
        </is>
      </c>
    </row>
    <row r="9">
      <c r="B9" s="24" t="inlineStr">
        <is>
          <t>Trip Type</t>
        </is>
      </c>
      <c r="C9" s="48" t="inlineStr">
        <is>
          <t>Disney / Theme Park</t>
        </is>
      </c>
      <c r="E9" s="26" t="inlineStr">
        <is>
          <t>Road Trip</t>
        </is>
      </c>
      <c r="F9" s="26" t="inlineStr">
        <is>
          <t>Rental Car</t>
        </is>
      </c>
      <c r="G9" s="26" t="inlineStr">
        <is>
          <t>Sofia</t>
        </is>
      </c>
      <c r="H9" s="26" t="inlineStr">
        <is>
          <t>Tour</t>
        </is>
      </c>
      <c r="I9" s="26" t="inlineStr">
        <is>
          <t>Baby</t>
        </is>
      </c>
      <c r="J9" s="26" t="inlineStr">
        <is>
          <t>Train</t>
        </is>
      </c>
      <c r="K9" s="26" t="inlineStr">
        <is>
          <t>Insurance</t>
        </is>
      </c>
    </row>
    <row r="10">
      <c r="B10" s="24" t="inlineStr">
        <is>
          <t>Trip Start</t>
        </is>
      </c>
      <c r="C10" s="49" t="n">
        <v>46258</v>
      </c>
      <c r="E10" s="26" t="inlineStr">
        <is>
          <t>Cruise</t>
        </is>
      </c>
      <c r="F10" s="26" t="inlineStr">
        <is>
          <t>Transportation</t>
        </is>
      </c>
      <c r="G10" s="26" t="inlineStr">
        <is>
          <t>Diego</t>
        </is>
      </c>
      <c r="H10" s="26" t="inlineStr">
        <is>
          <t>Dining</t>
        </is>
      </c>
      <c r="I10" s="26" t="inlineStr">
        <is>
          <t>Toiletries</t>
        </is>
      </c>
      <c r="J10" s="26" t="inlineStr">
        <is>
          <t>Bus</t>
        </is>
      </c>
      <c r="K10" s="26" t="inlineStr">
        <is>
          <t>Tickets</t>
        </is>
      </c>
    </row>
    <row r="11">
      <c r="B11" s="24" t="inlineStr">
        <is>
          <t>Trip End</t>
        </is>
      </c>
      <c r="C11" s="49" t="n">
        <v>46264</v>
      </c>
      <c r="E11" s="26" t="inlineStr">
        <is>
          <t>International</t>
        </is>
      </c>
      <c r="F11" s="26" t="inlineStr">
        <is>
          <t>Food &amp; Dining</t>
        </is>
      </c>
      <c r="G11" s="26" t="inlineStr">
        <is>
          <t>Mateo</t>
        </is>
      </c>
      <c r="H11" s="26" t="inlineStr">
        <is>
          <t>Show</t>
        </is>
      </c>
      <c r="I11" s="26" t="inlineStr">
        <is>
          <t>Clothing</t>
        </is>
      </c>
      <c r="J11" s="26" t="inlineStr">
        <is>
          <t>Transfer</t>
        </is>
      </c>
      <c r="K11" s="26" t="inlineStr">
        <is>
          <t>Hotel Confirmation</t>
        </is>
      </c>
    </row>
    <row r="12">
      <c r="B12" s="24" t="inlineStr">
        <is>
          <t>Travelers</t>
        </is>
      </c>
      <c r="C12" s="50" t="n">
        <v>5</v>
      </c>
      <c r="E12" s="26" t="inlineStr">
        <is>
          <t>City Break</t>
        </is>
      </c>
      <c r="F12" s="26" t="inlineStr">
        <is>
          <t>Activities</t>
        </is>
      </c>
      <c r="H12" s="26" t="inlineStr">
        <is>
          <t>Museum</t>
        </is>
      </c>
      <c r="I12" s="26" t="inlineStr">
        <is>
          <t>Electronics</t>
        </is>
      </c>
      <c r="J12" s="26" t="inlineStr">
        <is>
          <t>Parking</t>
        </is>
      </c>
      <c r="K12" s="26" t="inlineStr">
        <is>
          <t>Medical</t>
        </is>
      </c>
    </row>
    <row r="13">
      <c r="B13" s="24" t="inlineStr">
        <is>
          <t>Savings Goal</t>
        </is>
      </c>
      <c r="C13" s="28" t="n">
        <v>8500</v>
      </c>
      <c r="E13" s="26" t="inlineStr">
        <is>
          <t>Camping</t>
        </is>
      </c>
      <c r="F13" s="26" t="inlineStr">
        <is>
          <t>Shopping</t>
        </is>
      </c>
      <c r="H13" s="26" t="inlineStr">
        <is>
          <t>Outdoor</t>
        </is>
      </c>
      <c r="I13" s="26" t="inlineStr">
        <is>
          <t>Beach Gear</t>
        </is>
      </c>
      <c r="J13" s="26" t="inlineStr">
        <is>
          <t>Rideshare</t>
        </is>
      </c>
      <c r="K13" s="26" t="inlineStr">
        <is>
          <t>ID</t>
        </is>
      </c>
    </row>
    <row r="14">
      <c r="E14" s="26" t="inlineStr">
        <is>
          <t>Ski</t>
        </is>
      </c>
      <c r="F14" s="26" t="inlineStr">
        <is>
          <t>Insurance</t>
        </is>
      </c>
      <c r="H14" s="26" t="inlineStr">
        <is>
          <t>Shopping</t>
        </is>
      </c>
      <c r="I14" s="26" t="inlineStr">
        <is>
          <t>Documents</t>
        </is>
      </c>
    </row>
    <row r="15">
      <c r="E15" s="26" t="inlineStr">
        <is>
          <t>All-Inclusive</t>
        </is>
      </c>
      <c r="F15" s="26" t="inlineStr">
        <is>
          <t>Emergency Fund</t>
        </is>
      </c>
      <c r="H15" s="26" t="inlineStr">
        <is>
          <t>Relax</t>
        </is>
      </c>
      <c r="I15" s="26" t="inlineStr">
        <is>
          <t>Medicine</t>
        </is>
      </c>
    </row>
    <row r="16">
      <c r="E16" s="26" t="inlineStr">
        <is>
          <t>Multi-Gen</t>
        </is>
      </c>
      <c r="F16" s="26" t="inlineStr">
        <is>
          <t>Miscellaneous</t>
        </is>
      </c>
      <c r="I16" s="26" t="inlineStr">
        <is>
          <t>Entertainment</t>
        </is>
      </c>
    </row>
    <row r="17">
      <c r="I17" s="26" t="inlineStr">
        <is>
          <t>Comfort</t>
        </is>
      </c>
    </row>
    <row r="18">
      <c r="E18" s="9" t="inlineStr">
        <is>
          <t>Priority</t>
        </is>
      </c>
      <c r="F18" s="9" t="inlineStr">
        <is>
          <t>Yes / No</t>
        </is>
      </c>
      <c r="G18" s="9" t="inlineStr">
        <is>
          <t>Payment</t>
        </is>
      </c>
      <c r="H18" s="9" t="inlineStr">
        <is>
          <t>Doc Status</t>
        </is>
      </c>
      <c r="I18" s="9" t="inlineStr">
        <is>
          <t>Reservation</t>
        </is>
      </c>
      <c r="J18" s="9" t="inlineStr">
        <is>
          <t>Role</t>
        </is>
      </c>
    </row>
    <row r="19">
      <c r="E19" s="26" t="inlineStr">
        <is>
          <t>High</t>
        </is>
      </c>
      <c r="F19" s="26" t="inlineStr">
        <is>
          <t>Yes</t>
        </is>
      </c>
      <c r="G19" s="26" t="inlineStr">
        <is>
          <t>Paid</t>
        </is>
      </c>
      <c r="H19" s="26" t="inlineStr">
        <is>
          <t>Ready</t>
        </is>
      </c>
      <c r="I19" s="26" t="inlineStr">
        <is>
          <t>Flight</t>
        </is>
      </c>
      <c r="J19" s="26" t="inlineStr">
        <is>
          <t>Packing Leader</t>
        </is>
      </c>
    </row>
    <row r="20">
      <c r="E20" s="26" t="inlineStr">
        <is>
          <t>Medium</t>
        </is>
      </c>
      <c r="F20" s="26" t="inlineStr">
        <is>
          <t>No</t>
        </is>
      </c>
      <c r="G20" s="26" t="inlineStr">
        <is>
          <t>Deposit</t>
        </is>
      </c>
      <c r="H20" s="26" t="inlineStr">
        <is>
          <t>In Progress</t>
        </is>
      </c>
      <c r="I20" s="26" t="inlineStr">
        <is>
          <t>Hotel</t>
        </is>
      </c>
      <c r="J20" s="26" t="inlineStr">
        <is>
          <t>Navigator</t>
        </is>
      </c>
    </row>
    <row r="21">
      <c r="E21" s="26" t="inlineStr">
        <is>
          <t>Low</t>
        </is>
      </c>
      <c r="G21" s="26" t="inlineStr">
        <is>
          <t>Pending</t>
        </is>
      </c>
      <c r="H21" s="26" t="inlineStr">
        <is>
          <t>Missing</t>
        </is>
      </c>
      <c r="I21" s="26" t="inlineStr">
        <is>
          <t>Rental Car</t>
        </is>
      </c>
      <c r="J21" s="26" t="inlineStr">
        <is>
          <t>Snack Manager</t>
        </is>
      </c>
    </row>
    <row r="22">
      <c r="G22" s="26" t="inlineStr">
        <is>
          <t>Refunded</t>
        </is>
      </c>
      <c r="H22" s="26" t="inlineStr">
        <is>
          <t>N/A</t>
        </is>
      </c>
      <c r="I22" s="26" t="inlineStr">
        <is>
          <t>Activity</t>
        </is>
      </c>
      <c r="J22" s="26" t="inlineStr">
        <is>
          <t>Entertainment Manager</t>
        </is>
      </c>
    </row>
    <row r="23">
      <c r="I23" s="26" t="inlineStr">
        <is>
          <t>Restaurant</t>
        </is>
      </c>
      <c r="J23" s="26" t="inlineStr">
        <is>
          <t>Document Manager</t>
        </is>
      </c>
    </row>
    <row r="24">
      <c r="I24" s="26" t="inlineStr">
        <is>
          <t>Show</t>
        </is>
      </c>
      <c r="J24" s="26" t="inlineStr">
        <is>
          <t>Photographer</t>
        </is>
      </c>
    </row>
    <row r="25">
      <c r="I25" s="26" t="inlineStr">
        <is>
          <t>Transfer</t>
        </is>
      </c>
      <c r="J25" s="26" t="inlineStr">
        <is>
          <t>Budget Keeper</t>
        </is>
      </c>
    </row>
    <row r="26">
      <c r="I26" s="26" t="inlineStr">
        <is>
          <t>Park Ticket</t>
        </is>
      </c>
    </row>
  </sheetData>
  <mergeCells count="4">
    <mergeCell ref="A2:K2"/>
    <mergeCell ref="B5:C5"/>
    <mergeCell ref="A1:K1"/>
    <mergeCell ref="E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2026-07-10T17:59:59Z</dcterms:created>
  <dcterms:modified xsi:type="dcterms:W3CDTF">2026-07-10T17:59:59Z</dcterms:modified>
</cp:coreProperties>
</file>