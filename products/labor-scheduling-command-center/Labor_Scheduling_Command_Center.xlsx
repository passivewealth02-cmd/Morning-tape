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3.xml" ContentType="application/vnd.openxmlformats-officedocument.drawing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Labor Cost Calc" sheetId="3" state="visible" r:id="rId3"/>
    <sheet name="Weekly Schedule" sheetId="4" state="visible" r:id="rId4"/>
    <sheet name="Employees" sheetId="5" state="visible" r:id="rId5"/>
    <sheet name="Sales Forecast" sheetId="6" state="visible" r:id="rId6"/>
    <sheet name="Sales per Labor Hr" sheetId="7" state="visible" r:id="rId7"/>
    <sheet name="Overtime" sheetId="8" state="visible" r:id="rId8"/>
    <sheet name="Roles &amp; Rates" sheetId="9" state="visible" r:id="rId9"/>
    <sheet name="Availability" sheetId="10" state="visible" r:id="rId10"/>
    <sheet name="Prime Cost" sheetId="11" state="visible" r:id="rId11"/>
    <sheet name="Tips" sheetId="12" state="visible" r:id="rId12"/>
    <sheet name="Labor by Day" sheetId="13" state="visible" r:id="rId13"/>
    <sheet name="Settings" sheetId="14" state="visible" r:id="rId14"/>
  </sheets>
  <definedNames>
    <definedName name="Restaurant">Settings!$C$6</definedName>
    <definedName name="Manager">Settings!$C$7</definedName>
    <definedName name="TargetLaborPct">Settings!$C$8</definedName>
    <definedName name="SPLHGoal">Settings!$C$9</definedName>
    <definedName name="OTLimit">Settings!$C$10</definedName>
    <definedName name="PrimeGoal">Settings!$C$11</definedName>
    <definedName name="WageGoal">Settings!$C$12</definedName>
    <definedName name="Currency">Settings!$C$13</definedName>
    <definedName name="RoleList">Settings!$E$7:$E$13</definedName>
    <definedName name="StatusList">Settings!$F$7:$F$10</definedName>
    <definedName name="YesNoList">Settings!$G$7:$G$8</definedName>
    <definedName name="LaborPct">'Labor Cost Calc'!$C$8</definedName>
    <definedName name="SPLH">'Labor Cost Calc'!$C$10</definedName>
    <definedName name="AvgWage">'Labor Cost Calc'!$C$11</definedName>
    <definedName name="SchedName">'Weekly Schedule'!$B$5:$B$12</definedName>
    <definedName name="SchedWage">'Weekly Schedule'!$D$5:$D$12</definedName>
    <definedName name="SchedHours">'Weekly Schedule'!$L$5:$L$12</definedName>
    <definedName name="SchedCost">'Weekly Schedule'!$M$5:$M$12</definedName>
    <definedName name="TotalHours">'Weekly Schedule'!$L$13</definedName>
    <definedName name="LaborCost">'Weekly Schedule'!$M$13</definedName>
    <definedName name="EmpName">'Employees'!$B$5:$B$28</definedName>
    <definedName name="ForecastDay">'Sales Forecast'!$B$5:$B$11</definedName>
    <definedName name="ForecastAmt">'Sales Forecast'!$C$5:$C$11</definedName>
    <definedName name="ForecastSales">'Sales Forecast'!$C$12</definedName>
    <definedName name="LaborTarget">'Sales Forecast'!$D$12</definedName>
    <definedName name="OTHrs">'Overtime'!$C$5:$C$7</definedName>
    <definedName name="OTHours">'Overtime'!$C$8</definedName>
    <definedName name="FoodPct">'Prime Cost'!$C$6</definedName>
    <definedName name="PrimeCost">'Prime Cost'!$C$8</definedName>
    <definedName name="LaborDayAmt">'Labor by Day'!$C$5:$C$11</definedName>
    <definedName name="HealthRange">'Dashboard'!$C$13:$C$18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%"/>
    <numFmt numFmtId="166" formatCode="&quot;$&quot;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color rgb="00333333"/>
      <sz val="11"/>
    </font>
    <font>
      <b val="1"/>
      <color rgb="001B4F48"/>
      <sz val="13"/>
    </font>
    <font>
      <b val="1"/>
      <color rgb="001B4F48"/>
    </font>
    <font>
      <b val="1"/>
      <color rgb="00C94C4C"/>
    </font>
    <font>
      <b val="1"/>
      <color rgb="00937356"/>
      <sz val="9"/>
    </font>
    <font>
      <b val="1"/>
      <color rgb="001B4F48"/>
      <sz val="18"/>
    </font>
  </fonts>
  <fills count="10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C9A86A"/>
      </patternFill>
    </fill>
    <fill>
      <patternFill patternType="solid">
        <fgColor rgb="00E3F8EF"/>
      </patternFill>
    </fill>
    <fill>
      <patternFill patternType="solid">
        <fgColor rgb="00FBF0E2"/>
      </patternFill>
    </fill>
    <fill>
      <patternFill patternType="solid">
        <fgColor rgb="00F4ECDE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</borders>
  <cellStyleXfs count="12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6" fillId="0" borderId="1" applyAlignment="1">
      <alignment horizontal="left" vertical="top" wrapText="1" indent="1"/>
    </xf>
  </cellStyleXfs>
  <cellXfs count="61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5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6" borderId="2" applyAlignment="1" pivotButton="0" quotePrefix="0" xfId="11">
      <alignment horizontal="left" vertical="top" wrapText="1" indent="1"/>
    </xf>
    <xf numFmtId="0" fontId="0" fillId="6" borderId="0" pivotButton="0" quotePrefix="0" xfId="0"/>
    <xf numFmtId="0" fontId="3" fillId="0" borderId="1" applyAlignment="1" pivotButton="0" quotePrefix="0" xfId="3">
      <alignment horizontal="left" vertical="center"/>
    </xf>
    <xf numFmtId="0" fontId="6" fillId="0" borderId="1" applyAlignment="1" pivotButton="0" quotePrefix="0" xfId="11">
      <alignment horizontal="left" vertical="top" wrapText="1" indent="1"/>
    </xf>
    <xf numFmtId="0" fontId="5" fillId="2" borderId="2" applyAlignment="1" pivotButton="0" quotePrefix="0" xfId="5">
      <alignment horizontal="center" vertical="center" wrapText="1"/>
    </xf>
    <xf numFmtId="0" fontId="9" fillId="7" borderId="2" applyAlignment="1" pivotButton="0" quotePrefix="0" xfId="0">
      <alignment horizontal="left" vertical="top" wrapText="1" indent="1"/>
    </xf>
    <xf numFmtId="0" fontId="0" fillId="7" borderId="0" pivotButton="0" quotePrefix="0" xfId="0"/>
    <xf numFmtId="0" fontId="13" fillId="9" borderId="3" applyAlignment="1" pivotButton="0" quotePrefix="0" xfId="0">
      <alignment horizontal="center" vertical="center"/>
    </xf>
    <xf numFmtId="0" fontId="0" fillId="9" borderId="3" pivotButton="0" quotePrefix="0" xfId="0"/>
    <xf numFmtId="164" fontId="14" fillId="9" borderId="2" applyAlignment="1" pivotButton="0" quotePrefix="0" xfId="0">
      <alignment horizontal="center" vertical="center"/>
    </xf>
    <xf numFmtId="0" fontId="0" fillId="9" borderId="2" pivotButton="0" quotePrefix="0" xfId="0"/>
    <xf numFmtId="9" fontId="14" fillId="9" borderId="2" applyAlignment="1" pivotButton="0" quotePrefix="0" xfId="0">
      <alignment horizontal="center" vertical="center"/>
    </xf>
    <xf numFmtId="3" fontId="14" fillId="9" borderId="2" applyAlignment="1" pivotButton="0" quotePrefix="0" xfId="0">
      <alignment horizontal="center" vertical="center"/>
    </xf>
    <xf numFmtId="166" fontId="14" fillId="9" borderId="2" applyAlignment="1" pivotButton="0" quotePrefix="0" xfId="0">
      <alignment horizontal="center" vertical="center"/>
    </xf>
    <xf numFmtId="0" fontId="6" fillId="0" borderId="2" applyAlignment="1" pivotButton="0" quotePrefix="0" xfId="7">
      <alignment horizontal="left" vertical="center" wrapText="1" indent="1"/>
    </xf>
    <xf numFmtId="9" fontId="6" fillId="0" borderId="2" applyAlignment="1" pivotButton="0" quotePrefix="0" xfId="6">
      <alignment horizontal="center" vertical="center" wrapText="1"/>
    </xf>
    <xf numFmtId="0" fontId="6" fillId="0" borderId="2" applyAlignment="1" pivotButton="0" quotePrefix="0" xfId="6">
      <alignment horizontal="center" vertical="center" wrapText="1"/>
    </xf>
    <xf numFmtId="0" fontId="6" fillId="8" borderId="2" applyAlignment="1" pivotButton="0" quotePrefix="0" xfId="7">
      <alignment horizontal="left" vertical="center" wrapText="1" indent="1"/>
    </xf>
    <xf numFmtId="9" fontId="6" fillId="8" borderId="2" applyAlignment="1" pivotButton="0" quotePrefix="0" xfId="6">
      <alignment horizontal="center" vertical="center" wrapText="1"/>
    </xf>
    <xf numFmtId="0" fontId="6" fillId="8" borderId="2" applyAlignment="1" pivotButton="0" quotePrefix="0" xfId="6">
      <alignment horizontal="center" vertical="center" wrapText="1"/>
    </xf>
    <xf numFmtId="164" fontId="6" fillId="0" borderId="2" applyAlignment="1" pivotButton="0" quotePrefix="0" xfId="6">
      <alignment horizontal="center" vertical="center" wrapText="1"/>
    </xf>
    <xf numFmtId="164" fontId="6" fillId="8" borderId="2" applyAlignment="1" pivotButton="0" quotePrefix="0" xfId="6">
      <alignment horizontal="center" vertical="center" wrapText="1"/>
    </xf>
    <xf numFmtId="165" fontId="10" fillId="6" borderId="2" applyAlignment="1" pivotButton="0" quotePrefix="0" xfId="6">
      <alignment horizontal="center" vertical="center" wrapText="1"/>
    </xf>
    <xf numFmtId="3" fontId="6" fillId="8" borderId="2" applyAlignment="1" pivotButton="0" quotePrefix="0" xfId="6">
      <alignment horizontal="center" vertical="center" wrapText="1"/>
    </xf>
    <xf numFmtId="166" fontId="11" fillId="6" borderId="2" applyAlignment="1" pivotButton="0" quotePrefix="0" xfId="6">
      <alignment horizontal="center" vertical="center" wrapText="1"/>
    </xf>
    <xf numFmtId="166" fontId="11" fillId="8" borderId="2" applyAlignment="1" pivotButton="0" quotePrefix="0" xfId="6">
      <alignment horizontal="center" vertical="center" wrapText="1"/>
    </xf>
    <xf numFmtId="164" fontId="7" fillId="3" borderId="2" applyAlignment="1" pivotButton="0" quotePrefix="0" xfId="8">
      <alignment horizontal="center" vertical="center"/>
    </xf>
    <xf numFmtId="1" fontId="7" fillId="3" borderId="2" applyAlignment="1" pivotButton="0" quotePrefix="0" xfId="8">
      <alignment horizontal="center" vertical="center"/>
    </xf>
    <xf numFmtId="3" fontId="11" fillId="0" borderId="2" applyAlignment="1" pivotButton="0" quotePrefix="0" xfId="6">
      <alignment horizontal="center" vertical="center" wrapText="1"/>
    </xf>
    <xf numFmtId="164" fontId="11" fillId="0" borderId="2" applyAlignment="1" pivotButton="0" quotePrefix="0" xfId="6">
      <alignment horizontal="center" vertical="center" wrapText="1"/>
    </xf>
    <xf numFmtId="164" fontId="7" fillId="8" borderId="2" applyAlignment="1" pivotButton="0" quotePrefix="0" xfId="8">
      <alignment horizontal="center" vertical="center"/>
    </xf>
    <xf numFmtId="1" fontId="7" fillId="8" borderId="2" applyAlignment="1" pivotButton="0" quotePrefix="0" xfId="8">
      <alignment horizontal="center" vertical="center"/>
    </xf>
    <xf numFmtId="3" fontId="11" fillId="8" borderId="2" applyAlignment="1" pivotButton="0" quotePrefix="0" xfId="6">
      <alignment horizontal="center" vertical="center" wrapText="1"/>
    </xf>
    <xf numFmtId="164" fontId="11" fillId="8" borderId="2" applyAlignment="1" pivotButton="0" quotePrefix="0" xfId="6">
      <alignment horizontal="center" vertical="center" wrapText="1"/>
    </xf>
    <xf numFmtId="0" fontId="6" fillId="3" borderId="2" applyAlignment="1" pivotButton="0" quotePrefix="0" xfId="6">
      <alignment horizontal="center" vertical="center" wrapText="1"/>
    </xf>
    <xf numFmtId="3" fontId="11" fillId="3" borderId="2" applyAlignment="1" pivotButton="0" quotePrefix="0" xfId="6">
      <alignment horizontal="center" vertical="center" wrapText="1"/>
    </xf>
    <xf numFmtId="164" fontId="11" fillId="6" borderId="2" applyAlignment="1" pivotButton="0" quotePrefix="0" xfId="6">
      <alignment horizontal="center" vertical="center" wrapText="1"/>
    </xf>
    <xf numFmtId="0" fontId="6" fillId="9" borderId="2" applyAlignment="1" pivotButton="0" quotePrefix="0" xfId="7">
      <alignment horizontal="left" vertical="center" wrapText="1" indent="1"/>
    </xf>
    <xf numFmtId="164" fontId="6" fillId="9" borderId="2" applyAlignment="1" pivotButton="0" quotePrefix="0" xfId="6">
      <alignment horizontal="center" vertical="center" wrapText="1"/>
    </xf>
    <xf numFmtId="0" fontId="6" fillId="9" borderId="2" applyAlignment="1" pivotButton="0" quotePrefix="0" xfId="6">
      <alignment horizontal="center" vertical="center" wrapText="1"/>
    </xf>
    <xf numFmtId="3" fontId="6" fillId="0" borderId="2" applyAlignment="1" pivotButton="0" quotePrefix="0" xfId="6">
      <alignment horizontal="center" vertical="center" wrapText="1"/>
    </xf>
    <xf numFmtId="164" fontId="11" fillId="3" borderId="2" applyAlignment="1" pivotButton="0" quotePrefix="0" xfId="6">
      <alignment horizontal="center" vertical="center" wrapText="1"/>
    </xf>
    <xf numFmtId="166" fontId="11" fillId="0" borderId="2" applyAlignment="1" pivotButton="0" quotePrefix="0" xfId="6">
      <alignment horizontal="center" vertical="center" wrapText="1"/>
    </xf>
    <xf numFmtId="3" fontId="7" fillId="3" borderId="2" applyAlignment="1" pivotButton="0" quotePrefix="0" xfId="8">
      <alignment horizontal="center" vertical="center"/>
    </xf>
    <xf numFmtId="166" fontId="12" fillId="0" borderId="2" applyAlignment="1" pivotButton="0" quotePrefix="0" xfId="6">
      <alignment horizontal="center" vertical="center" wrapText="1"/>
    </xf>
    <xf numFmtId="3" fontId="7" fillId="8" borderId="2" applyAlignment="1" pivotButton="0" quotePrefix="0" xfId="8">
      <alignment horizontal="center" vertical="center"/>
    </xf>
    <xf numFmtId="166" fontId="12" fillId="8" borderId="2" applyAlignment="1" pivotButton="0" quotePrefix="0" xfId="6">
      <alignment horizontal="center" vertical="center" wrapText="1"/>
    </xf>
    <xf numFmtId="166" fontId="12" fillId="3" borderId="2" applyAlignment="1" pivotButton="0" quotePrefix="0" xfId="6">
      <alignment horizontal="center" vertical="center" wrapText="1"/>
    </xf>
    <xf numFmtId="165" fontId="7" fillId="3" borderId="2" applyAlignment="1" pivotButton="0" quotePrefix="0" xfId="8">
      <alignment horizontal="center" vertical="center"/>
    </xf>
    <xf numFmtId="165" fontId="6" fillId="8" borderId="2" applyAlignment="1" pivotButton="0" quotePrefix="0" xfId="6">
      <alignment horizontal="center" vertical="center" wrapText="1"/>
    </xf>
    <xf numFmtId="0" fontId="8" fillId="4" borderId="2" applyAlignment="1" pivotButton="0" quotePrefix="0" xfId="9">
      <alignment horizontal="left" vertical="center" indent="1"/>
    </xf>
    <xf numFmtId="9" fontId="7" fillId="0" borderId="2" applyAlignment="1" pivotButton="0" quotePrefix="0" xfId="10">
      <alignment horizontal="left" vertical="center" indent="1"/>
    </xf>
    <xf numFmtId="9" fontId="7" fillId="3" borderId="2" applyAlignment="1" pivotButton="0" quotePrefix="0" xfId="8">
      <alignment horizontal="center" vertical="center"/>
    </xf>
    <xf numFmtId="9" fontId="7" fillId="8" borderId="2" applyAlignment="1" pivotButton="0" quotePrefix="0" xfId="8">
      <alignment horizontal="center" vertical="center"/>
    </xf>
    <xf numFmtId="165" fontId="6" fillId="0" borderId="2" applyAlignment="1" pivotButton="0" quotePrefix="0" xfId="6">
      <alignment horizontal="center" vertical="center" wrapText="1"/>
    </xf>
    <xf numFmtId="0" fontId="7" fillId="3" borderId="2" applyAlignment="1" pivotButton="0" quotePrefix="0" xfId="8">
      <alignment horizontal="center" vertical="center"/>
    </xf>
  </cellXfs>
  <cellStyles count="12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body" xfId="1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Labor by Day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'Labor by Day'!$B$5:$B$11</f>
            </numRef>
          </cat>
          <val>
            <numRef>
              <f>'Labor by Day'!$C$5:$C$11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Forecast by Day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'Sales Forecast'!$B$5:$B$11</f>
            </numRef>
          </cat>
          <val>
            <numRef>
              <f>'Sales Forecast'!$C$5:$C$11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Labor by Day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'Labor by Day'!$B$5:$B$11</f>
            </numRef>
          </cat>
          <val>
            <numRef>
              <f>'Labor by Day'!$C$5:$C$11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12</row>
      <rowOff>0</rowOff>
    </from>
    <ext cx="3096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4320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4320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4" customWidth="1" min="2" max="2"/>
    <col width="3" customWidth="1" min="3" max="3"/>
  </cols>
  <sheetData>
    <row r="1" ht="58" customHeight="1">
      <c r="A1" s="1" t="inlineStr">
        <is>
          <t xml:space="preserve">  🕐  RESTAURANT LABOR &amp; SCHEDULING COMMAND CENTER™</t>
        </is>
      </c>
    </row>
    <row r="2" ht="24" customHeight="1">
      <c r="A2" s="2" t="inlineStr">
        <is>
          <t xml:space="preserve">  Schedule to your sales — and never over-spend on labor again.</t>
        </is>
      </c>
    </row>
    <row r="3" ht="6" customHeight="1">
      <c r="A3" s="3" t="n"/>
      <c r="B3" s="3" t="n"/>
      <c r="C3" s="3" t="n"/>
    </row>
    <row r="5">
      <c r="B5" s="4" t="inlineStr">
        <is>
          <t>YOUR WHOLE LABOR PICTURE, IN ONE PLACE</t>
        </is>
      </c>
    </row>
    <row r="6" ht="22" customHeight="1">
      <c r="B6" s="5" t="inlineStr">
        <is>
          <t>Labor is the cost you control every single week — and it's the second half of prime cost. This system makes it visible: build a weekly schedule and every employee's hours and cost calculate live, then the labor-cost engine divides labor by sales for a true labor %. Forecast sales to set a labor target, track sales per labor hour, watch overtime, and roll food cost + labor into a prime-cost number — all in ONE premium Google Sheets &amp; Excel system built for restaurants.</t>
        </is>
      </c>
    </row>
    <row r="7" ht="22" customHeight="1">
      <c r="B7" s="6" t="n"/>
    </row>
    <row r="8" ht="22" customHeight="1">
      <c r="B8" s="6" t="n"/>
    </row>
    <row r="9" ht="22" customHeight="1">
      <c r="B9" s="6" t="n"/>
    </row>
    <row r="11">
      <c r="B11" s="7" t="inlineStr">
        <is>
          <t>START HERE — 6 QUICK STEPS</t>
        </is>
      </c>
    </row>
    <row r="12" ht="22" customHeight="1">
      <c r="B12" s="8" t="inlineStr">
        <is>
          <t>1.  Open Settings — set your target labor % &amp; sales-per-hour goal.</t>
        </is>
      </c>
    </row>
    <row r="13" ht="22" customHeight="1">
      <c r="B13" s="8" t="inlineStr">
        <is>
          <t>2.  Add your team in Employees; set roles &amp; wages.</t>
        </is>
      </c>
    </row>
    <row r="14" ht="22" customHeight="1">
      <c r="B14" s="8" t="inlineStr">
        <is>
          <t>3.  Build the Weekly Schedule — hours &amp; cost calculate as you type.</t>
        </is>
      </c>
    </row>
    <row r="15" ht="22" customHeight="1">
      <c r="B15" s="8" t="inlineStr">
        <is>
          <t>4.  Forecast sales; the labor target shows what you can spend.</t>
        </is>
      </c>
    </row>
    <row r="16" ht="22" customHeight="1">
      <c r="B16" s="8" t="inlineStr">
        <is>
          <t>5.  Watch Sales-per-Labor-Hour, Overtime &amp; Prime Cost.</t>
        </is>
      </c>
    </row>
    <row r="17" ht="22" customHeight="1">
      <c r="B17" s="8" t="inlineStr">
        <is>
          <t>6.  Check the Dashboard: labor %, SPLH &amp; a Labor Score.</t>
        </is>
      </c>
    </row>
    <row r="20" ht="26" customHeight="1">
      <c r="B20" s="9" t="inlineStr">
        <is>
          <t xml:space="preserve">  GOOD TO KNOW</t>
        </is>
      </c>
    </row>
    <row r="21" ht="22" customHeight="1">
      <c r="B21" s="10" t="inlineStr">
        <is>
          <t>Sample data for a fictional restaurant (Maple &amp; Ash) is included so you can see how it all connects — just type over it with your own team and hours. Labor % and prime cost are the two numbers that decide whether a shift makes money, and they roll into a live Labor Score. Twelve matching printable pages (blank weekly schedule, roster, time-off request, tip sheet &amp; more) are included. This is a business tool, not financial, legal or HR advice — confirm wages, overtime rules and labor law with your own advisors.</t>
        </is>
      </c>
    </row>
    <row r="22" ht="22" customHeight="1">
      <c r="B22" s="11" t="n"/>
    </row>
    <row r="23" ht="22" customHeight="1">
      <c r="B23" s="11" t="n"/>
    </row>
    <row r="25">
      <c r="B25" s="4" t="inlineStr">
        <is>
          <t>Every hour you schedule is a dollar you spend — schedule to the forecast.</t>
        </is>
      </c>
    </row>
  </sheetData>
  <mergeCells count="14">
    <mergeCell ref="B17"/>
    <mergeCell ref="B12"/>
    <mergeCell ref="B13"/>
    <mergeCell ref="A1:C1"/>
    <mergeCell ref="B15"/>
    <mergeCell ref="B11"/>
    <mergeCell ref="B21:B23"/>
    <mergeCell ref="B6:B9"/>
    <mergeCell ref="B16"/>
    <mergeCell ref="B20"/>
    <mergeCell ref="B25"/>
    <mergeCell ref="B5"/>
    <mergeCell ref="B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56" customHeight="1">
      <c r="A1" s="1" t="inlineStr">
        <is>
          <t xml:space="preserve">  🕐  LABOR &amp; SCHEDULING COMMAND CENTER™</t>
        </is>
      </c>
    </row>
    <row r="2" ht="24" customHeight="1">
      <c r="A2" s="2" t="inlineStr">
        <is>
          <t xml:space="preserve">  Labor %, sales per labor hour, prime cost &amp; a Score — your whole labor picture, at a glance.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18" customHeight="1">
      <c r="B5" s="12" t="inlineStr">
        <is>
          <t>LABOR COST</t>
        </is>
      </c>
      <c r="C5" s="13" t="n"/>
      <c r="D5" s="12" t="inlineStr">
        <is>
          <t>LABOR %</t>
        </is>
      </c>
      <c r="E5" s="13" t="n"/>
      <c r="F5" s="12" t="inlineStr">
        <is>
          <t>WEEKLY SALES</t>
        </is>
      </c>
      <c r="G5" s="13" t="n"/>
      <c r="H5" s="12" t="inlineStr">
        <is>
          <t>TOTAL HOURS</t>
        </is>
      </c>
      <c r="I5" s="13" t="n"/>
      <c r="J5" s="12" t="inlineStr">
        <is>
          <t>SALES / LABOR HR</t>
        </is>
      </c>
      <c r="K5" s="13" t="n"/>
      <c r="L5" s="12" t="inlineStr">
        <is>
          <t>EMPLOYEES</t>
        </is>
      </c>
      <c r="M5" s="13" t="n"/>
    </row>
    <row r="6" ht="40" customHeight="1">
      <c r="B6" s="14">
        <f>LaborCost</f>
        <v/>
      </c>
      <c r="C6" s="15" t="n"/>
      <c r="D6" s="16">
        <f>LaborPct</f>
        <v/>
      </c>
      <c r="E6" s="15" t="n"/>
      <c r="F6" s="14">
        <f>ForecastSales</f>
        <v/>
      </c>
      <c r="G6" s="15" t="n"/>
      <c r="H6" s="17">
        <f>TotalHours</f>
        <v/>
      </c>
      <c r="I6" s="15" t="n"/>
      <c r="J6" s="18">
        <f>SPLH</f>
        <v/>
      </c>
      <c r="K6" s="15" t="n"/>
      <c r="L6" s="17">
        <f>COUNTA(SchedName)</f>
        <v/>
      </c>
      <c r="M6" s="15" t="n"/>
    </row>
    <row r="8" ht="18" customHeight="1">
      <c r="B8" s="12" t="inlineStr">
        <is>
          <t>LABOR TARGET</t>
        </is>
      </c>
      <c r="C8" s="13" t="n"/>
      <c r="D8" s="12" t="inlineStr">
        <is>
          <t>VS TARGET</t>
        </is>
      </c>
      <c r="E8" s="13" t="n"/>
      <c r="F8" s="12" t="inlineStr">
        <is>
          <t>AVG WAGE</t>
        </is>
      </c>
      <c r="G8" s="13" t="n"/>
      <c r="H8" s="12" t="inlineStr">
        <is>
          <t>PRIME COST</t>
        </is>
      </c>
      <c r="I8" s="13" t="n"/>
      <c r="J8" s="12" t="inlineStr">
        <is>
          <t>OT HOURS</t>
        </is>
      </c>
      <c r="K8" s="13" t="n"/>
      <c r="L8" s="12" t="inlineStr">
        <is>
          <t>LABOR SCORE</t>
        </is>
      </c>
      <c r="M8" s="13" t="n"/>
    </row>
    <row r="9" ht="40" customHeight="1">
      <c r="B9" s="14">
        <f>LaborTarget</f>
        <v/>
      </c>
      <c r="C9" s="15" t="n"/>
      <c r="D9" s="14">
        <f>LaborTarget-LaborCost</f>
        <v/>
      </c>
      <c r="E9" s="15" t="n"/>
      <c r="F9" s="18">
        <f>AvgWage</f>
        <v/>
      </c>
      <c r="G9" s="15" t="n"/>
      <c r="H9" s="16">
        <f>PrimeCost</f>
        <v/>
      </c>
      <c r="I9" s="15" t="n"/>
      <c r="J9" s="17">
        <f>OTHours</f>
        <v/>
      </c>
      <c r="K9" s="15" t="n"/>
      <c r="L9" s="16">
        <f>IFERROR(AVERAGE(HealthRange),0)</f>
        <v/>
      </c>
      <c r="M9" s="15" t="n"/>
    </row>
    <row r="11" ht="26" customHeight="1">
      <c r="B11" s="4" t="inlineStr">
        <is>
          <t>LABOR HEALTH</t>
        </is>
      </c>
      <c r="H11" s="4" t="inlineStr">
        <is>
          <t>LABOR BY DAY</t>
        </is>
      </c>
    </row>
    <row r="12" ht="30" customHeight="1">
      <c r="B12" s="9" t="inlineStr">
        <is>
          <t>Check</t>
        </is>
      </c>
      <c r="C12" s="9" t="inlineStr">
        <is>
          <t>Score</t>
        </is>
      </c>
      <c r="D12" s="9" t="inlineStr">
        <is>
          <t>Status</t>
        </is>
      </c>
    </row>
    <row r="13">
      <c r="B13" s="19" t="inlineStr">
        <is>
          <t>Labor on target</t>
        </is>
      </c>
      <c r="C13" s="20">
        <f>IFERROR(MIN(TargetLaborPct/LaborPct,1),0)</f>
        <v/>
      </c>
      <c r="D13" s="21">
        <f>IF(C13&gt;=0.85,"Strong",IF(C13&gt;=0.6,"OK","Watch"))</f>
        <v/>
      </c>
    </row>
    <row r="14">
      <c r="B14" s="22" t="inlineStr">
        <is>
          <t>Sales per labor hr healthy</t>
        </is>
      </c>
      <c r="C14" s="23">
        <f>IFERROR(MIN(SPLH/SPLHGoal,1),0)</f>
        <v/>
      </c>
      <c r="D14" s="24">
        <f>IF(C14&gt;=0.85,"Strong",IF(C14&gt;=0.6,"OK","Watch"))</f>
        <v/>
      </c>
    </row>
    <row r="15">
      <c r="B15" s="19" t="inlineStr">
        <is>
          <t>Overtime low</t>
        </is>
      </c>
      <c r="C15" s="20">
        <f>IFERROR(1-MIN(OTHours/OTLimit,1),0)</f>
        <v/>
      </c>
      <c r="D15" s="21">
        <f>IF(C15&gt;=0.85,"Strong",IF(C15&gt;=0.6,"OK","Watch"))</f>
        <v/>
      </c>
    </row>
    <row r="16">
      <c r="B16" s="22" t="inlineStr">
        <is>
          <t>Prime cost in check</t>
        </is>
      </c>
      <c r="C16" s="23">
        <f>IFERROR(MIN(PrimeGoal/PrimeCost,1),0)</f>
        <v/>
      </c>
      <c r="D16" s="24">
        <f>IF(C16&gt;=0.85,"Strong",IF(C16&gt;=0.6,"OK","Watch"))</f>
        <v/>
      </c>
    </row>
    <row r="17">
      <c r="B17" s="19" t="inlineStr">
        <is>
          <t>Schedule covered</t>
        </is>
      </c>
      <c r="C17" s="20">
        <f>IFERROR(COUNTIF(SchedHours,"&gt;0")/COUNTA(SchedName),0)</f>
        <v/>
      </c>
      <c r="D17" s="21">
        <f>IF(C17&gt;=0.85,"Strong",IF(C17&gt;=0.6,"OK","Watch"))</f>
        <v/>
      </c>
    </row>
    <row r="18">
      <c r="B18" s="22" t="inlineStr">
        <is>
          <t>Wage in budget</t>
        </is>
      </c>
      <c r="C18" s="23">
        <f>IFERROR(MIN(WageGoal/AvgWage,1),0)</f>
        <v/>
      </c>
      <c r="D18" s="24">
        <f>IF(C18&gt;=0.85,"Strong",IF(C18&gt;=0.6,"OK","Watch"))</f>
        <v/>
      </c>
    </row>
    <row r="21" ht="26" customHeight="1">
      <c r="B21" s="2" t="inlineStr">
        <is>
          <t>Labor &amp; Scheduling Command Center™ — schedule to your sales, protect your prime cost.</t>
        </is>
      </c>
    </row>
  </sheetData>
  <mergeCells count="29">
    <mergeCell ref="J5:K5"/>
    <mergeCell ref="F6:G6"/>
    <mergeCell ref="H11:M11"/>
    <mergeCell ref="H9:I9"/>
    <mergeCell ref="A1:N1"/>
    <mergeCell ref="J9:K9"/>
    <mergeCell ref="D6:E6"/>
    <mergeCell ref="H6:I6"/>
    <mergeCell ref="J6:K6"/>
    <mergeCell ref="B21:M21"/>
    <mergeCell ref="F5:G5"/>
    <mergeCell ref="L5:M5"/>
    <mergeCell ref="L8:M8"/>
    <mergeCell ref="B8:C8"/>
    <mergeCell ref="F8:G8"/>
    <mergeCell ref="A2:N2"/>
    <mergeCell ref="B9:C9"/>
    <mergeCell ref="D9:E9"/>
    <mergeCell ref="F9:G9"/>
    <mergeCell ref="L9:M9"/>
    <mergeCell ref="D8:E8"/>
    <mergeCell ref="B6:C6"/>
    <mergeCell ref="L6:M6"/>
    <mergeCell ref="B5:C5"/>
    <mergeCell ref="D5:E5"/>
    <mergeCell ref="H5:I5"/>
    <mergeCell ref="H8:I8"/>
    <mergeCell ref="J8:K8"/>
    <mergeCell ref="B11:G11"/>
  </mergeCells>
  <conditionalFormatting sqref="C13:C18">
    <cfRule type="colorScale" priority="1">
      <colorScale>
        <cfvo type="num" val="0"/>
        <cfvo type="num" val="0.5"/>
        <cfvo type="num" val="1"/>
        <color rgb="FFFBF0E2"/>
        <color rgb="FFFFF3CD"/>
        <color rgb="FF75E6C1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6" customWidth="1" min="3" max="3"/>
    <col width="2" customWidth="1" min="4" max="4"/>
  </cols>
  <sheetData>
    <row r="1" ht="46" customHeight="1">
      <c r="A1" s="1" t="inlineStr">
        <is>
          <t xml:space="preserve">  🧮  LABOR COST CALC</t>
        </is>
      </c>
    </row>
    <row r="2" ht="22" customHeight="1">
      <c r="A2" s="2" t="inlineStr">
        <is>
          <t xml:space="preserve">  Scheduled labor ÷ sales = your true labor %. Sales ÷ hours = sales per labor hour.</t>
        </is>
      </c>
    </row>
    <row r="3" ht="6" customHeight="1">
      <c r="A3" s="3" t="n"/>
      <c r="B3" s="3" t="n"/>
      <c r="C3" s="3" t="n"/>
    </row>
    <row r="5" ht="30" customHeight="1">
      <c r="B5" s="9" t="inlineStr">
        <is>
          <t>Line</t>
        </is>
      </c>
      <c r="C5" s="9" t="inlineStr">
        <is>
          <t>Amount</t>
        </is>
      </c>
    </row>
    <row r="6">
      <c r="B6" s="19" t="inlineStr">
        <is>
          <t>Scheduled labor cost (from schedule)</t>
        </is>
      </c>
      <c r="C6" s="25">
        <f>LaborCost</f>
        <v/>
      </c>
    </row>
    <row r="7">
      <c r="B7" s="22" t="inlineStr">
        <is>
          <t>÷ Weekly sales (from forecast)</t>
        </is>
      </c>
      <c r="C7" s="26">
        <f>ForecastSales</f>
        <v/>
      </c>
    </row>
    <row r="8">
      <c r="B8" s="19">
        <f> LABOR %</f>
        <v/>
      </c>
      <c r="C8" s="27">
        <f>IFERROR(LaborCost/ForecastSales,0)</f>
        <v/>
      </c>
    </row>
    <row r="9">
      <c r="B9" s="22" t="inlineStr">
        <is>
          <t>Total scheduled hours</t>
        </is>
      </c>
      <c r="C9" s="28">
        <f>TotalHours</f>
        <v/>
      </c>
    </row>
    <row r="10">
      <c r="B10" s="19" t="inlineStr">
        <is>
          <t>Sales per labor hour</t>
        </is>
      </c>
      <c r="C10" s="29">
        <f>IFERROR(ForecastSales/TotalHours,0)</f>
        <v/>
      </c>
    </row>
    <row r="11">
      <c r="B11" s="22" t="inlineStr">
        <is>
          <t>Average wage</t>
        </is>
      </c>
      <c r="C11" s="30">
        <f>IFERROR(LaborCost/TotalHours,0)</f>
        <v/>
      </c>
    </row>
    <row r="13">
      <c r="B13" s="7" t="inlineStr">
        <is>
          <t>Change a single shift and your labor % updates instantly.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16" customWidth="1" min="3" max="3"/>
    <col width="8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10" customWidth="1" min="12" max="12"/>
    <col width="12" customWidth="1" min="13" max="13"/>
    <col width="2" customWidth="1" min="14" max="14"/>
  </cols>
  <sheetData>
    <row r="1" ht="46" customHeight="1">
      <c r="A1" s="1" t="inlineStr">
        <is>
          <t xml:space="preserve">  🗓  WEEKLY SCHEDULE</t>
        </is>
      </c>
    </row>
    <row r="2" ht="22" customHeight="1">
      <c r="A2" s="2" t="inlineStr">
        <is>
          <t xml:space="preserve">  Type each shift's hours — weekly hours &amp; labor cost calculate live for every employee.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 ht="30" customHeight="1">
      <c r="B4" s="9" t="inlineStr">
        <is>
          <t>Employee</t>
        </is>
      </c>
      <c r="C4" s="9" t="inlineStr">
        <is>
          <t>Role</t>
        </is>
      </c>
      <c r="D4" s="9" t="inlineStr">
        <is>
          <t>Wage</t>
        </is>
      </c>
      <c r="E4" s="9" t="inlineStr">
        <is>
          <t>Mon</t>
        </is>
      </c>
      <c r="F4" s="9" t="inlineStr">
        <is>
          <t>Tue</t>
        </is>
      </c>
      <c r="G4" s="9" t="inlineStr">
        <is>
          <t>Wed</t>
        </is>
      </c>
      <c r="H4" s="9" t="inlineStr">
        <is>
          <t>Thu</t>
        </is>
      </c>
      <c r="I4" s="9" t="inlineStr">
        <is>
          <t>Fri</t>
        </is>
      </c>
      <c r="J4" s="9" t="inlineStr">
        <is>
          <t>Sat</t>
        </is>
      </c>
      <c r="K4" s="9" t="inlineStr">
        <is>
          <t>Sun</t>
        </is>
      </c>
      <c r="L4" s="9" t="inlineStr">
        <is>
          <t>Hours</t>
        </is>
      </c>
      <c r="M4" s="9" t="inlineStr">
        <is>
          <t>Cost</t>
        </is>
      </c>
    </row>
    <row r="5">
      <c r="B5" s="19" t="inlineStr">
        <is>
          <t>Alex</t>
        </is>
      </c>
      <c r="C5" s="19" t="inlineStr">
        <is>
          <t>Line Cook</t>
        </is>
      </c>
      <c r="D5" s="31" t="n">
        <v>19</v>
      </c>
      <c r="E5" s="32" t="n">
        <v>8</v>
      </c>
      <c r="F5" s="32" t="n">
        <v>8</v>
      </c>
      <c r="G5" s="32" t="n">
        <v>8</v>
      </c>
      <c r="H5" s="32" t="n">
        <v>8</v>
      </c>
      <c r="I5" s="32" t="n">
        <v>8</v>
      </c>
      <c r="J5" s="32" t="n"/>
      <c r="K5" s="32" t="n"/>
      <c r="L5" s="33">
        <f>SUM(E5:K5)</f>
        <v/>
      </c>
      <c r="M5" s="34">
        <f>D5*L5</f>
        <v/>
      </c>
    </row>
    <row r="6">
      <c r="B6" s="22" t="inlineStr">
        <is>
          <t>Bailey</t>
        </is>
      </c>
      <c r="C6" s="22" t="inlineStr">
        <is>
          <t>Line Cook</t>
        </is>
      </c>
      <c r="D6" s="35" t="n">
        <v>18</v>
      </c>
      <c r="E6" s="36" t="n"/>
      <c r="F6" s="36" t="n">
        <v>8</v>
      </c>
      <c r="G6" s="36" t="n">
        <v>8</v>
      </c>
      <c r="H6" s="36" t="n">
        <v>8</v>
      </c>
      <c r="I6" s="36" t="n">
        <v>8</v>
      </c>
      <c r="J6" s="36" t="n">
        <v>8</v>
      </c>
      <c r="K6" s="36" t="n"/>
      <c r="L6" s="37">
        <f>SUM(E6:K6)</f>
        <v/>
      </c>
      <c r="M6" s="38">
        <f>D6*L6</f>
        <v/>
      </c>
    </row>
    <row r="7">
      <c r="B7" s="19" t="inlineStr">
        <is>
          <t>Casey</t>
        </is>
      </c>
      <c r="C7" s="19" t="inlineStr">
        <is>
          <t>Server</t>
        </is>
      </c>
      <c r="D7" s="31" t="n">
        <v>12</v>
      </c>
      <c r="E7" s="32" t="n">
        <v>6</v>
      </c>
      <c r="F7" s="32" t="n">
        <v>6</v>
      </c>
      <c r="G7" s="32" t="n"/>
      <c r="H7" s="32" t="n">
        <v>6</v>
      </c>
      <c r="I7" s="32" t="n">
        <v>8</v>
      </c>
      <c r="J7" s="32" t="n">
        <v>8</v>
      </c>
      <c r="K7" s="32" t="n">
        <v>6</v>
      </c>
      <c r="L7" s="33">
        <f>SUM(E7:K7)</f>
        <v/>
      </c>
      <c r="M7" s="34">
        <f>D7*L7</f>
        <v/>
      </c>
    </row>
    <row r="8">
      <c r="B8" s="22" t="inlineStr">
        <is>
          <t>Drew</t>
        </is>
      </c>
      <c r="C8" s="22" t="inlineStr">
        <is>
          <t>Server</t>
        </is>
      </c>
      <c r="D8" s="35" t="n">
        <v>12</v>
      </c>
      <c r="E8" s="36" t="n"/>
      <c r="F8" s="36" t="n"/>
      <c r="G8" s="36" t="n">
        <v>6</v>
      </c>
      <c r="H8" s="36" t="n">
        <v>6</v>
      </c>
      <c r="I8" s="36" t="n">
        <v>8</v>
      </c>
      <c r="J8" s="36" t="n">
        <v>8</v>
      </c>
      <c r="K8" s="36" t="n">
        <v>6</v>
      </c>
      <c r="L8" s="37">
        <f>SUM(E8:K8)</f>
        <v/>
      </c>
      <c r="M8" s="38">
        <f>D8*L8</f>
        <v/>
      </c>
    </row>
    <row r="9">
      <c r="B9" s="19" t="inlineStr">
        <is>
          <t>Emerson</t>
        </is>
      </c>
      <c r="C9" s="19" t="inlineStr">
        <is>
          <t>Dishwasher</t>
        </is>
      </c>
      <c r="D9" s="31" t="n">
        <v>15</v>
      </c>
      <c r="E9" s="32" t="n">
        <v>6</v>
      </c>
      <c r="F9" s="32" t="n">
        <v>6</v>
      </c>
      <c r="G9" s="32" t="n">
        <v>6</v>
      </c>
      <c r="H9" s="32" t="n"/>
      <c r="I9" s="32" t="n">
        <v>8</v>
      </c>
      <c r="J9" s="32" t="n">
        <v>8</v>
      </c>
      <c r="K9" s="32" t="n"/>
      <c r="L9" s="33">
        <f>SUM(E9:K9)</f>
        <v/>
      </c>
      <c r="M9" s="34">
        <f>D9*L9</f>
        <v/>
      </c>
    </row>
    <row r="10">
      <c r="B10" s="22" t="inlineStr">
        <is>
          <t>Finley</t>
        </is>
      </c>
      <c r="C10" s="22" t="inlineStr">
        <is>
          <t>Host</t>
        </is>
      </c>
      <c r="D10" s="35" t="n">
        <v>14</v>
      </c>
      <c r="E10" s="36" t="n">
        <v>5</v>
      </c>
      <c r="F10" s="36" t="n">
        <v>5</v>
      </c>
      <c r="G10" s="36" t="n">
        <v>5</v>
      </c>
      <c r="H10" s="36" t="n">
        <v>5</v>
      </c>
      <c r="I10" s="36" t="n">
        <v>6</v>
      </c>
      <c r="J10" s="36" t="n">
        <v>6</v>
      </c>
      <c r="K10" s="36" t="n"/>
      <c r="L10" s="37">
        <f>SUM(E10:K10)</f>
        <v/>
      </c>
      <c r="M10" s="38">
        <f>D10*L10</f>
        <v/>
      </c>
    </row>
    <row r="11">
      <c r="B11" s="19" t="inlineStr">
        <is>
          <t>Gray</t>
        </is>
      </c>
      <c r="C11" s="19" t="inlineStr">
        <is>
          <t>Bartender</t>
        </is>
      </c>
      <c r="D11" s="31" t="n">
        <v>13</v>
      </c>
      <c r="E11" s="32" t="n"/>
      <c r="F11" s="32" t="n"/>
      <c r="G11" s="32" t="n"/>
      <c r="H11" s="32" t="n">
        <v>6</v>
      </c>
      <c r="I11" s="32" t="n">
        <v>8</v>
      </c>
      <c r="J11" s="32" t="n">
        <v>8</v>
      </c>
      <c r="K11" s="32" t="n">
        <v>6</v>
      </c>
      <c r="L11" s="33">
        <f>SUM(E11:K11)</f>
        <v/>
      </c>
      <c r="M11" s="34">
        <f>D11*L11</f>
        <v/>
      </c>
    </row>
    <row r="12">
      <c r="B12" s="22" t="inlineStr">
        <is>
          <t>Harper</t>
        </is>
      </c>
      <c r="C12" s="22" t="inlineStr">
        <is>
          <t>Prep Cook</t>
        </is>
      </c>
      <c r="D12" s="35" t="n">
        <v>17</v>
      </c>
      <c r="E12" s="36" t="n">
        <v>8</v>
      </c>
      <c r="F12" s="36" t="n">
        <v>8</v>
      </c>
      <c r="G12" s="36" t="n">
        <v>8</v>
      </c>
      <c r="H12" s="36" t="n">
        <v>8</v>
      </c>
      <c r="I12" s="36" t="n"/>
      <c r="J12" s="36" t="n"/>
      <c r="K12" s="36" t="n"/>
      <c r="L12" s="37">
        <f>SUM(E12:K12)</f>
        <v/>
      </c>
      <c r="M12" s="38">
        <f>D12*L12</f>
        <v/>
      </c>
    </row>
    <row r="13">
      <c r="B13" s="9" t="inlineStr">
        <is>
          <t>WEEK TOTAL</t>
        </is>
      </c>
      <c r="C13" s="39" t="n"/>
      <c r="D13" s="39" t="n"/>
      <c r="E13" s="39" t="n"/>
      <c r="F13" s="39" t="n"/>
      <c r="G13" s="39" t="n"/>
      <c r="H13" s="39" t="n"/>
      <c r="I13" s="39" t="n"/>
      <c r="J13" s="39" t="n"/>
      <c r="K13" s="39" t="n"/>
      <c r="L13" s="40">
        <f>SUM(SchedHours)</f>
        <v/>
      </c>
      <c r="M13" s="41">
        <f>SUM(SchedCost)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8" customWidth="1" min="2" max="2"/>
    <col width="16" customWidth="1" min="3" max="3"/>
    <col width="12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👥  EMPLOYEES</t>
        </is>
      </c>
    </row>
    <row r="2" ht="22" customHeight="1">
      <c r="A2" s="2" t="inlineStr">
        <is>
          <t xml:space="preserve">  Your team — role, wage &amp; status. Hours come from the Weekly Schedule.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Name</t>
        </is>
      </c>
      <c r="C4" s="9" t="inlineStr">
        <is>
          <t>Role</t>
        </is>
      </c>
      <c r="D4" s="9" t="inlineStr">
        <is>
          <t>Wage</t>
        </is>
      </c>
      <c r="E4" s="9" t="inlineStr">
        <is>
          <t>Status</t>
        </is>
      </c>
    </row>
    <row r="5">
      <c r="B5" s="42" t="inlineStr">
        <is>
          <t>Alex</t>
        </is>
      </c>
      <c r="C5" s="42" t="inlineStr">
        <is>
          <t>Line Cook</t>
        </is>
      </c>
      <c r="D5" s="43" t="n">
        <v>19</v>
      </c>
      <c r="E5" s="44" t="inlineStr">
        <is>
          <t>Full-time</t>
        </is>
      </c>
    </row>
    <row r="6">
      <c r="B6" s="22" t="inlineStr">
        <is>
          <t>Bailey</t>
        </is>
      </c>
      <c r="C6" s="22" t="inlineStr">
        <is>
          <t>Line Cook</t>
        </is>
      </c>
      <c r="D6" s="26" t="n">
        <v>18</v>
      </c>
      <c r="E6" s="24" t="inlineStr">
        <is>
          <t>Full-time</t>
        </is>
      </c>
    </row>
    <row r="7">
      <c r="B7" s="42" t="inlineStr">
        <is>
          <t>Casey</t>
        </is>
      </c>
      <c r="C7" s="42" t="inlineStr">
        <is>
          <t>Server</t>
        </is>
      </c>
      <c r="D7" s="43" t="n">
        <v>12</v>
      </c>
      <c r="E7" s="44" t="inlineStr">
        <is>
          <t>Full-time</t>
        </is>
      </c>
    </row>
    <row r="8">
      <c r="B8" s="22" t="inlineStr">
        <is>
          <t>Drew</t>
        </is>
      </c>
      <c r="C8" s="22" t="inlineStr">
        <is>
          <t>Server</t>
        </is>
      </c>
      <c r="D8" s="26" t="n">
        <v>12</v>
      </c>
      <c r="E8" s="24" t="inlineStr">
        <is>
          <t>Part-time</t>
        </is>
      </c>
    </row>
    <row r="9">
      <c r="B9" s="42" t="inlineStr">
        <is>
          <t>Emerson</t>
        </is>
      </c>
      <c r="C9" s="42" t="inlineStr">
        <is>
          <t>Dishwasher</t>
        </is>
      </c>
      <c r="D9" s="43" t="n">
        <v>15</v>
      </c>
      <c r="E9" s="44" t="inlineStr">
        <is>
          <t>Part-time</t>
        </is>
      </c>
    </row>
    <row r="10">
      <c r="B10" s="22" t="inlineStr">
        <is>
          <t>Finley</t>
        </is>
      </c>
      <c r="C10" s="22" t="inlineStr">
        <is>
          <t>Host</t>
        </is>
      </c>
      <c r="D10" s="26" t="n">
        <v>14</v>
      </c>
      <c r="E10" s="24" t="inlineStr">
        <is>
          <t>Part-time</t>
        </is>
      </c>
    </row>
    <row r="11">
      <c r="B11" s="42" t="inlineStr">
        <is>
          <t>Gray</t>
        </is>
      </c>
      <c r="C11" s="42" t="inlineStr">
        <is>
          <t>Bartender</t>
        </is>
      </c>
      <c r="D11" s="43" t="n">
        <v>13</v>
      </c>
      <c r="E11" s="44" t="inlineStr">
        <is>
          <t>Part-time</t>
        </is>
      </c>
    </row>
    <row r="12">
      <c r="B12" s="22" t="inlineStr">
        <is>
          <t>Harper</t>
        </is>
      </c>
      <c r="C12" s="22" t="inlineStr">
        <is>
          <t>Prep Cook</t>
        </is>
      </c>
      <c r="D12" s="26" t="n">
        <v>17</v>
      </c>
      <c r="E12" s="24" t="inlineStr">
        <is>
          <t>Part-time</t>
        </is>
      </c>
    </row>
    <row r="13">
      <c r="B13" s="42" t="n"/>
      <c r="C13" s="42" t="n"/>
      <c r="D13" s="43" t="n"/>
      <c r="E13" s="44" t="n"/>
    </row>
    <row r="14">
      <c r="B14" s="22" t="n"/>
      <c r="C14" s="22" t="n"/>
      <c r="D14" s="26" t="n"/>
      <c r="E14" s="24" t="n"/>
    </row>
    <row r="15">
      <c r="B15" s="42" t="n"/>
      <c r="C15" s="42" t="n"/>
      <c r="D15" s="43" t="n"/>
      <c r="E15" s="44" t="n"/>
    </row>
    <row r="16">
      <c r="B16" s="22" t="n"/>
      <c r="C16" s="22" t="n"/>
      <c r="D16" s="26" t="n"/>
      <c r="E16" s="24" t="n"/>
    </row>
    <row r="17">
      <c r="B17" s="42" t="n"/>
      <c r="C17" s="42" t="n"/>
      <c r="D17" s="43" t="n"/>
      <c r="E17" s="44" t="n"/>
    </row>
    <row r="18">
      <c r="B18" s="22" t="n"/>
      <c r="C18" s="22" t="n"/>
      <c r="D18" s="26" t="n"/>
      <c r="E18" s="24" t="n"/>
    </row>
    <row r="19">
      <c r="B19" s="42" t="n"/>
      <c r="C19" s="42" t="n"/>
      <c r="D19" s="43" t="n"/>
      <c r="E19" s="44" t="n"/>
    </row>
    <row r="20">
      <c r="B20" s="22" t="n"/>
      <c r="C20" s="22" t="n"/>
      <c r="D20" s="26" t="n"/>
      <c r="E20" s="24" t="n"/>
    </row>
    <row r="21">
      <c r="B21" s="42" t="n"/>
      <c r="C21" s="42" t="n"/>
      <c r="D21" s="43" t="n"/>
      <c r="E21" s="44" t="n"/>
    </row>
    <row r="22">
      <c r="B22" s="22" t="n"/>
      <c r="C22" s="22" t="n"/>
      <c r="D22" s="26" t="n"/>
      <c r="E22" s="24" t="n"/>
    </row>
    <row r="23">
      <c r="B23" s="42" t="n"/>
      <c r="C23" s="42" t="n"/>
      <c r="D23" s="43" t="n"/>
      <c r="E23" s="44" t="n"/>
    </row>
    <row r="24">
      <c r="B24" s="22" t="n"/>
      <c r="C24" s="22" t="n"/>
      <c r="D24" s="26" t="n"/>
      <c r="E24" s="24" t="n"/>
    </row>
    <row r="25">
      <c r="B25" s="42" t="n"/>
      <c r="C25" s="42" t="n"/>
      <c r="D25" s="43" t="n"/>
      <c r="E25" s="44" t="n"/>
    </row>
    <row r="26">
      <c r="B26" s="22" t="n"/>
      <c r="C26" s="22" t="n"/>
      <c r="D26" s="26" t="n"/>
      <c r="E26" s="24" t="n"/>
    </row>
    <row r="27">
      <c r="B27" s="42" t="n"/>
      <c r="C27" s="42" t="n"/>
      <c r="D27" s="43" t="n"/>
      <c r="E27" s="44" t="n"/>
    </row>
    <row r="28">
      <c r="B28" s="22" t="n"/>
      <c r="C28" s="22" t="n"/>
      <c r="D28" s="26" t="n"/>
      <c r="E28" s="24" t="n"/>
    </row>
  </sheetData>
  <mergeCells count="2">
    <mergeCell ref="A2:E2"/>
    <mergeCell ref="A1:E1"/>
  </mergeCells>
  <dataValidations count="2">
    <dataValidation sqref="C5:C28" showDropDown="0" showInputMessage="0" showErrorMessage="0" allowBlank="1" type="list">
      <formula1>=RoleList</formula1>
    </dataValidation>
    <dataValidation sqref="E5:E28" showDropDown="0" showInputMessage="0" showErrorMessage="0" allowBlank="1" type="list">
      <formula1>=StatusList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📈  SALES FORECAST</t>
        </is>
      </c>
    </row>
    <row r="2" ht="22" customHeight="1">
      <c r="A2" s="2" t="inlineStr">
        <is>
          <t xml:space="preserve">  Forecast sales by day → a labor target (at your target %) and the hours it buys.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Day</t>
        </is>
      </c>
      <c r="C4" s="9" t="inlineStr">
        <is>
          <t>Forecast Sales</t>
        </is>
      </c>
      <c r="D4" s="9" t="inlineStr">
        <is>
          <t>Labor Target</t>
        </is>
      </c>
      <c r="E4" s="9" t="inlineStr">
        <is>
          <t>Target Hrs</t>
        </is>
      </c>
    </row>
    <row r="5">
      <c r="B5" s="19" t="inlineStr">
        <is>
          <t>Mon</t>
        </is>
      </c>
      <c r="C5" s="31" t="n">
        <v>1500</v>
      </c>
      <c r="D5" s="25">
        <f>C5*TargetLaborPct</f>
        <v/>
      </c>
      <c r="E5" s="45">
        <f>IFERROR(D5/WageGoal,0)</f>
        <v/>
      </c>
    </row>
    <row r="6">
      <c r="B6" s="22" t="inlineStr">
        <is>
          <t>Tue</t>
        </is>
      </c>
      <c r="C6" s="35" t="n">
        <v>1700</v>
      </c>
      <c r="D6" s="26">
        <f>C6*TargetLaborPct</f>
        <v/>
      </c>
      <c r="E6" s="28">
        <f>IFERROR(D6/WageGoal,0)</f>
        <v/>
      </c>
    </row>
    <row r="7">
      <c r="B7" s="19" t="inlineStr">
        <is>
          <t>Wed</t>
        </is>
      </c>
      <c r="C7" s="31" t="n">
        <v>1800</v>
      </c>
      <c r="D7" s="25">
        <f>C7*TargetLaborPct</f>
        <v/>
      </c>
      <c r="E7" s="45">
        <f>IFERROR(D7/WageGoal,0)</f>
        <v/>
      </c>
    </row>
    <row r="8">
      <c r="B8" s="22" t="inlineStr">
        <is>
          <t>Thu</t>
        </is>
      </c>
      <c r="C8" s="35" t="n">
        <v>2100</v>
      </c>
      <c r="D8" s="26">
        <f>C8*TargetLaborPct</f>
        <v/>
      </c>
      <c r="E8" s="28">
        <f>IFERROR(D8/WageGoal,0)</f>
        <v/>
      </c>
    </row>
    <row r="9">
      <c r="B9" s="19" t="inlineStr">
        <is>
          <t>Fri</t>
        </is>
      </c>
      <c r="C9" s="31" t="n">
        <v>2900</v>
      </c>
      <c r="D9" s="25">
        <f>C9*TargetLaborPct</f>
        <v/>
      </c>
      <c r="E9" s="45">
        <f>IFERROR(D9/WageGoal,0)</f>
        <v/>
      </c>
    </row>
    <row r="10">
      <c r="B10" s="22" t="inlineStr">
        <is>
          <t>Sat</t>
        </is>
      </c>
      <c r="C10" s="35" t="n">
        <v>3200</v>
      </c>
      <c r="D10" s="26">
        <f>C10*TargetLaborPct</f>
        <v/>
      </c>
      <c r="E10" s="28">
        <f>IFERROR(D10/WageGoal,0)</f>
        <v/>
      </c>
    </row>
    <row r="11">
      <c r="B11" s="19" t="inlineStr">
        <is>
          <t>Sun</t>
        </is>
      </c>
      <c r="C11" s="31" t="n">
        <v>1800</v>
      </c>
      <c r="D11" s="25">
        <f>C11*TargetLaborPct</f>
        <v/>
      </c>
      <c r="E11" s="45">
        <f>IFERROR(D11/WageGoal,0)</f>
        <v/>
      </c>
    </row>
    <row r="12">
      <c r="B12" s="9" t="inlineStr">
        <is>
          <t>WEEK TOTAL</t>
        </is>
      </c>
      <c r="C12" s="41">
        <f>SUM(C5:C11)</f>
        <v/>
      </c>
      <c r="D12" s="46">
        <f>SUM(D5:D11)</f>
        <v/>
      </c>
      <c r="E12" s="39" t="n"/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2" customWidth="1" min="4" max="4"/>
    <col width="16" customWidth="1" min="5" max="5"/>
    <col width="2" customWidth="1" min="6" max="6"/>
  </cols>
  <sheetData>
    <row r="1" ht="46" customHeight="1">
      <c r="A1" s="1" t="inlineStr">
        <is>
          <t xml:space="preserve">  ⚡  SALES PER LABOR HOUR</t>
        </is>
      </c>
    </row>
    <row r="2" ht="22" customHeight="1">
      <c r="A2" s="2" t="inlineStr">
        <is>
          <t xml:space="preserve">  The productivity number — each day's sales ÷ labor hours. Higher is a leaner shift.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Day</t>
        </is>
      </c>
      <c r="C4" s="9" t="inlineStr">
        <is>
          <t>Sales</t>
        </is>
      </c>
      <c r="D4" s="9" t="inlineStr">
        <is>
          <t>Labor Hrs</t>
        </is>
      </c>
      <c r="E4" s="9" t="inlineStr">
        <is>
          <t>SPLH</t>
        </is>
      </c>
    </row>
    <row r="5">
      <c r="B5" s="19" t="inlineStr">
        <is>
          <t>Mon</t>
        </is>
      </c>
      <c r="C5" s="31" t="n">
        <v>1500</v>
      </c>
      <c r="D5" s="45">
        <f>SUM('Weekly Schedule'!E5:E12)</f>
        <v/>
      </c>
      <c r="E5" s="47">
        <f>IFERROR(C5/D5,0)</f>
        <v/>
      </c>
    </row>
    <row r="6">
      <c r="B6" s="22" t="inlineStr">
        <is>
          <t>Tue</t>
        </is>
      </c>
      <c r="C6" s="35" t="n">
        <v>1700</v>
      </c>
      <c r="D6" s="28">
        <f>SUM('Weekly Schedule'!F5:F12)</f>
        <v/>
      </c>
      <c r="E6" s="30">
        <f>IFERROR(C6/D6,0)</f>
        <v/>
      </c>
    </row>
    <row r="7">
      <c r="B7" s="19" t="inlineStr">
        <is>
          <t>Wed</t>
        </is>
      </c>
      <c r="C7" s="31" t="n">
        <v>1800</v>
      </c>
      <c r="D7" s="45">
        <f>SUM('Weekly Schedule'!G5:G12)</f>
        <v/>
      </c>
      <c r="E7" s="47">
        <f>IFERROR(C7/D7,0)</f>
        <v/>
      </c>
    </row>
    <row r="8">
      <c r="B8" s="22" t="inlineStr">
        <is>
          <t>Thu</t>
        </is>
      </c>
      <c r="C8" s="35" t="n">
        <v>2100</v>
      </c>
      <c r="D8" s="28">
        <f>SUM('Weekly Schedule'!H5:H12)</f>
        <v/>
      </c>
      <c r="E8" s="30">
        <f>IFERROR(C8/D8,0)</f>
        <v/>
      </c>
    </row>
    <row r="9">
      <c r="B9" s="19" t="inlineStr">
        <is>
          <t>Fri</t>
        </is>
      </c>
      <c r="C9" s="31" t="n">
        <v>2900</v>
      </c>
      <c r="D9" s="45">
        <f>SUM('Weekly Schedule'!I5:I12)</f>
        <v/>
      </c>
      <c r="E9" s="47">
        <f>IFERROR(C9/D9,0)</f>
        <v/>
      </c>
    </row>
    <row r="10">
      <c r="B10" s="22" t="inlineStr">
        <is>
          <t>Sat</t>
        </is>
      </c>
      <c r="C10" s="35" t="n">
        <v>3200</v>
      </c>
      <c r="D10" s="28">
        <f>SUM('Weekly Schedule'!J5:J12)</f>
        <v/>
      </c>
      <c r="E10" s="30">
        <f>IFERROR(C10/D10,0)</f>
        <v/>
      </c>
    </row>
    <row r="11">
      <c r="B11" s="19" t="inlineStr">
        <is>
          <t>Sun</t>
        </is>
      </c>
      <c r="C11" s="31" t="n">
        <v>1800</v>
      </c>
      <c r="D11" s="45">
        <f>SUM('Weekly Schedule'!K5:K12)</f>
        <v/>
      </c>
      <c r="E11" s="47">
        <f>IFERROR(C11/D11,0)</f>
        <v/>
      </c>
    </row>
  </sheetData>
  <mergeCells count="2">
    <mergeCell ref="A2:E2"/>
    <mergeCell ref="A1:E1"/>
  </mergeCells>
  <conditionalFormatting sqref="E5:E11">
    <cfRule type="colorScale" priority="1">
      <colorScale>
        <cfvo type="num" val="30"/>
        <cfvo type="num" val="50"/>
        <cfvo type="num" val="70"/>
        <color rgb="FFFBE6E6"/>
        <color rgb="FFFFF3CD"/>
        <color rgb="FF75E6C1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0" customWidth="1" min="2" max="2"/>
    <col width="14" customWidth="1" min="3" max="3"/>
    <col width="12" customWidth="1" min="4" max="4"/>
    <col width="16" customWidth="1" min="5" max="5"/>
    <col width="2" customWidth="1" min="6" max="6"/>
  </cols>
  <sheetData>
    <row r="1" ht="46" customHeight="1">
      <c r="A1" s="1" t="inlineStr">
        <is>
          <t xml:space="preserve">  ⏰  OVERTIME</t>
        </is>
      </c>
    </row>
    <row r="2" ht="22" customHeight="1">
      <c r="A2" s="2" t="inlineStr">
        <is>
          <t xml:space="preserve">  Hours over 40 cost time-and-a-half — watch this before it eats your labor budget.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Employee</t>
        </is>
      </c>
      <c r="C4" s="9" t="inlineStr">
        <is>
          <t>OT Hours</t>
        </is>
      </c>
      <c r="D4" s="9" t="inlineStr">
        <is>
          <t>Wage</t>
        </is>
      </c>
      <c r="E4" s="9" t="inlineStr">
        <is>
          <t>OT Cost (1.5×)</t>
        </is>
      </c>
    </row>
    <row r="5">
      <c r="B5" s="19" t="inlineStr">
        <is>
          <t>Alex</t>
        </is>
      </c>
      <c r="C5" s="48" t="n">
        <v>3</v>
      </c>
      <c r="D5" s="31" t="n">
        <v>19</v>
      </c>
      <c r="E5" s="49">
        <f>C5*D5*1.5</f>
        <v/>
      </c>
    </row>
    <row r="6">
      <c r="B6" s="22" t="inlineStr">
        <is>
          <t>Casey</t>
        </is>
      </c>
      <c r="C6" s="50" t="n">
        <v>2</v>
      </c>
      <c r="D6" s="35" t="n">
        <v>12</v>
      </c>
      <c r="E6" s="51">
        <f>C6*D6*1.5</f>
        <v/>
      </c>
    </row>
    <row r="7">
      <c r="B7" s="19" t="inlineStr">
        <is>
          <t>Emerson</t>
        </is>
      </c>
      <c r="C7" s="48" t="n">
        <v>1</v>
      </c>
      <c r="D7" s="31" t="n">
        <v>15</v>
      </c>
      <c r="E7" s="49">
        <f>C7*D7*1.5</f>
        <v/>
      </c>
    </row>
    <row r="8">
      <c r="B8" s="9" t="inlineStr">
        <is>
          <t>OT TOTALS</t>
        </is>
      </c>
      <c r="C8" s="40">
        <f>SUM(OTHrs)</f>
        <v/>
      </c>
      <c r="D8" s="39" t="n"/>
      <c r="E8" s="52">
        <f>SUM(E5:E7)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0" customWidth="1" min="2" max="2"/>
    <col width="14" customWidth="1" min="3" max="3"/>
    <col width="24" customWidth="1" min="4" max="4"/>
    <col width="2" customWidth="1" min="5" max="5"/>
  </cols>
  <sheetData>
    <row r="1" ht="46" customHeight="1">
      <c r="A1" s="1" t="inlineStr">
        <is>
          <t xml:space="preserve">  💲  ROLES &amp; RATES</t>
        </is>
      </c>
    </row>
    <row r="2" ht="22" customHeight="1">
      <c r="A2" s="2" t="inlineStr">
        <is>
          <t xml:space="preserve">  Your pay scale — one wage per role, so every new hire starts on the right number.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Role</t>
        </is>
      </c>
      <c r="C4" s="9" t="inlineStr">
        <is>
          <t>Wage / hr</t>
        </is>
      </c>
      <c r="D4" s="9" t="inlineStr">
        <is>
          <t>Notes</t>
        </is>
      </c>
    </row>
    <row r="5">
      <c r="B5" s="19" t="inlineStr">
        <is>
          <t>Manager</t>
        </is>
      </c>
      <c r="C5" s="31" t="n">
        <v>28</v>
      </c>
      <c r="D5" s="19" t="inlineStr">
        <is>
          <t>Salary equivalent</t>
        </is>
      </c>
    </row>
    <row r="6">
      <c r="B6" s="22" t="inlineStr">
        <is>
          <t>Line Cook</t>
        </is>
      </c>
      <c r="C6" s="35" t="n">
        <v>19</v>
      </c>
      <c r="D6" s="22" t="inlineStr">
        <is>
          <t>Station lead</t>
        </is>
      </c>
    </row>
    <row r="7">
      <c r="B7" s="19" t="inlineStr">
        <is>
          <t>Prep Cook</t>
        </is>
      </c>
      <c r="C7" s="31" t="n">
        <v>17</v>
      </c>
      <c r="D7" s="19" t="inlineStr">
        <is>
          <t>AM prep</t>
        </is>
      </c>
    </row>
    <row r="8">
      <c r="B8" s="22" t="inlineStr">
        <is>
          <t>Server</t>
        </is>
      </c>
      <c r="C8" s="35" t="n">
        <v>12</v>
      </c>
      <c r="D8" s="22" t="inlineStr">
        <is>
          <t>+ tips</t>
        </is>
      </c>
    </row>
    <row r="9">
      <c r="B9" s="19" t="inlineStr">
        <is>
          <t>Bartender</t>
        </is>
      </c>
      <c r="C9" s="31" t="n">
        <v>13</v>
      </c>
      <c r="D9" s="19" t="inlineStr">
        <is>
          <t>+ tips</t>
        </is>
      </c>
    </row>
    <row r="10">
      <c r="B10" s="22" t="inlineStr">
        <is>
          <t>Host</t>
        </is>
      </c>
      <c r="C10" s="35" t="n">
        <v>14</v>
      </c>
      <c r="D10" s="22" t="inlineStr">
        <is>
          <t>Front door</t>
        </is>
      </c>
    </row>
    <row r="11">
      <c r="B11" s="19" t="inlineStr">
        <is>
          <t>Dishwasher</t>
        </is>
      </c>
      <c r="C11" s="31" t="n">
        <v>15</v>
      </c>
      <c r="D11" s="19" t="inlineStr">
        <is>
          <t>Back of house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6" customWidth="1" min="4" max="4"/>
    <col width="2" customWidth="1" min="5" max="5"/>
  </cols>
  <sheetData>
    <row r="1" ht="46" customHeight="1">
      <c r="A1" s="1" t="inlineStr">
        <is>
          <t xml:space="preserve">  📅  AVAILABILITY &amp; TIME-OFF</t>
        </is>
      </c>
    </row>
    <row r="2" ht="22" customHeight="1">
      <c r="A2" s="2" t="inlineStr">
        <is>
          <t xml:space="preserve">  Who can't work when — check it before you publish the schedule.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Employee</t>
        </is>
      </c>
      <c r="C4" s="9" t="inlineStr">
        <is>
          <t>Days Off</t>
        </is>
      </c>
      <c r="D4" s="9" t="inlineStr">
        <is>
          <t>Notes</t>
        </is>
      </c>
    </row>
    <row r="5">
      <c r="B5" s="42" t="inlineStr">
        <is>
          <t>Alex</t>
        </is>
      </c>
      <c r="C5" s="42" t="inlineStr">
        <is>
          <t>Sat, Sun</t>
        </is>
      </c>
      <c r="D5" s="42" t="inlineStr">
        <is>
          <t>Weekends off</t>
        </is>
      </c>
    </row>
    <row r="6">
      <c r="B6" s="22" t="inlineStr">
        <is>
          <t>Bailey</t>
        </is>
      </c>
      <c r="C6" s="22" t="inlineStr">
        <is>
          <t>Mon, Sun</t>
        </is>
      </c>
      <c r="D6" s="22" t="inlineStr">
        <is>
          <t>School Mon AM</t>
        </is>
      </c>
    </row>
    <row r="7">
      <c r="B7" s="42" t="inlineStr">
        <is>
          <t>Casey</t>
        </is>
      </c>
      <c r="C7" s="42" t="inlineStr">
        <is>
          <t>Wed</t>
        </is>
      </c>
      <c r="D7" s="42" t="inlineStr">
        <is>
          <t>Class</t>
        </is>
      </c>
    </row>
    <row r="8">
      <c r="B8" s="22" t="inlineStr">
        <is>
          <t>Drew</t>
        </is>
      </c>
      <c r="C8" s="22" t="inlineStr">
        <is>
          <t>Mon, Tue</t>
        </is>
      </c>
      <c r="D8" s="22" t="inlineStr">
        <is>
          <t>Second job</t>
        </is>
      </c>
    </row>
    <row r="9">
      <c r="B9" s="42" t="inlineStr">
        <is>
          <t>Emerson</t>
        </is>
      </c>
      <c r="C9" s="42" t="inlineStr">
        <is>
          <t>Thu, Sun</t>
        </is>
      </c>
      <c r="D9" s="42" t="inlineStr">
        <is>
          <t>—</t>
        </is>
      </c>
    </row>
    <row r="10">
      <c r="B10" s="22" t="inlineStr">
        <is>
          <t>Finley</t>
        </is>
      </c>
      <c r="C10" s="22" t="inlineStr">
        <is>
          <t>Sun</t>
        </is>
      </c>
      <c r="D10" s="22" t="inlineStr">
        <is>
          <t>—</t>
        </is>
      </c>
    </row>
    <row r="11">
      <c r="B11" s="42" t="inlineStr">
        <is>
          <t>Gray</t>
        </is>
      </c>
      <c r="C11" s="42" t="inlineStr">
        <is>
          <t>Mon, Tue, Wed</t>
        </is>
      </c>
      <c r="D11" s="42" t="inlineStr">
        <is>
          <t>Part-time</t>
        </is>
      </c>
    </row>
    <row r="12">
      <c r="B12" s="22" t="inlineStr">
        <is>
          <t>Harper</t>
        </is>
      </c>
      <c r="C12" s="22" t="inlineStr">
        <is>
          <t>Fri, Sat, Sun</t>
        </is>
      </c>
      <c r="D12" s="22" t="inlineStr">
        <is>
          <t>AM only</t>
        </is>
      </c>
    </row>
    <row r="13">
      <c r="B13" s="42" t="n"/>
      <c r="C13" s="42" t="n"/>
      <c r="D13" s="42" t="n"/>
    </row>
    <row r="14">
      <c r="B14" s="22" t="n"/>
      <c r="C14" s="22" t="n"/>
      <c r="D14" s="22" t="n"/>
    </row>
    <row r="15">
      <c r="B15" s="42" t="n"/>
      <c r="C15" s="42" t="n"/>
      <c r="D15" s="42" t="n"/>
    </row>
    <row r="16">
      <c r="B16" s="22" t="n"/>
      <c r="C16" s="22" t="n"/>
      <c r="D16" s="22" t="n"/>
    </row>
    <row r="17">
      <c r="B17" s="42" t="n"/>
      <c r="C17" s="42" t="n"/>
      <c r="D17" s="42" t="n"/>
    </row>
    <row r="18">
      <c r="B18" s="22" t="n"/>
      <c r="C18" s="22" t="n"/>
      <c r="D18" s="22" t="n"/>
    </row>
    <row r="19">
      <c r="B19" s="42" t="n"/>
      <c r="C19" s="42" t="n"/>
      <c r="D19" s="42" t="n"/>
    </row>
    <row r="20">
      <c r="B20" s="22" t="n"/>
      <c r="C20" s="22" t="n"/>
      <c r="D20" s="22" t="n"/>
    </row>
    <row r="21">
      <c r="B21" s="42" t="n"/>
      <c r="C21" s="42" t="n"/>
      <c r="D21" s="42" t="n"/>
    </row>
    <row r="22">
      <c r="B22" s="22" t="n"/>
      <c r="C22" s="22" t="n"/>
      <c r="D22" s="22" t="n"/>
    </row>
    <row r="23">
      <c r="B23" s="42" t="n"/>
      <c r="C23" s="42" t="n"/>
      <c r="D23" s="42" t="n"/>
    </row>
    <row r="24">
      <c r="B24" s="22" t="n"/>
      <c r="C24" s="22" t="n"/>
      <c r="D24" s="22" t="n"/>
    </row>
    <row r="25">
      <c r="B25" s="42" t="n"/>
      <c r="C25" s="42" t="n"/>
      <c r="D25" s="42" t="n"/>
    </row>
    <row r="26">
      <c r="B26" s="22" t="n"/>
      <c r="C26" s="22" t="n"/>
      <c r="D26" s="22" t="n"/>
    </row>
    <row r="27">
      <c r="B27" s="42" t="n"/>
      <c r="C27" s="42" t="n"/>
      <c r="D27" s="42" t="n"/>
    </row>
    <row r="28">
      <c r="B28" s="22" t="n"/>
      <c r="C28" s="22" t="n"/>
      <c r="D28" s="22" t="n"/>
    </row>
  </sheetData>
  <mergeCells count="2">
    <mergeCell ref="A1:D1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6" customWidth="1" min="3" max="3"/>
    <col width="2" customWidth="1" min="4" max="4"/>
  </cols>
  <sheetData>
    <row r="1" ht="46" customHeight="1">
      <c r="A1" s="1" t="inlineStr">
        <is>
          <t xml:space="preserve">  🎯  PRIME COST</t>
        </is>
      </c>
    </row>
    <row r="2" ht="22" customHeight="1">
      <c r="A2" s="2" t="inlineStr">
        <is>
          <t xml:space="preserve">  Food cost % + labor % = prime cost — the single number that decides if a restaurant profits.</t>
        </is>
      </c>
    </row>
    <row r="3" ht="6" customHeight="1">
      <c r="A3" s="3" t="n"/>
      <c r="B3" s="3" t="n"/>
      <c r="C3" s="3" t="n"/>
    </row>
    <row r="5" ht="30" customHeight="1">
      <c r="B5" s="9" t="inlineStr">
        <is>
          <t>Line</t>
        </is>
      </c>
      <c r="C5" s="9" t="inlineStr">
        <is>
          <t>Amount</t>
        </is>
      </c>
    </row>
    <row r="6">
      <c r="B6" s="19" t="inlineStr">
        <is>
          <t>Food cost % (enter yours)</t>
        </is>
      </c>
      <c r="C6" s="53" t="n">
        <v>0.3</v>
      </c>
    </row>
    <row r="7">
      <c r="B7" s="22" t="inlineStr">
        <is>
          <t>+ Labor % (from Labor Cost Calc)</t>
        </is>
      </c>
      <c r="C7" s="54">
        <f>LaborPct</f>
        <v/>
      </c>
    </row>
    <row r="8">
      <c r="B8" s="9">
        <f> PRIME COST</f>
        <v/>
      </c>
      <c r="C8" s="27">
        <f>FoodPct+LaborPct</f>
        <v/>
      </c>
    </row>
    <row r="10">
      <c r="B10" s="55" t="inlineStr">
        <is>
          <t>Target prime cost</t>
        </is>
      </c>
      <c r="C10" s="56">
        <f>PrimeGoal</f>
        <v/>
      </c>
    </row>
    <row r="12">
      <c r="B12" s="7" t="inlineStr">
        <is>
          <t>Keep prime cost under 60-65% and there's room for rent, utilities &amp; profit.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6" customWidth="1" min="2" max="2"/>
    <col width="14" customWidth="1" min="3" max="3"/>
    <col width="14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💵  TIPS &amp; TIP-OUT</t>
        </is>
      </c>
    </row>
    <row r="2" ht="22" customHeight="1">
      <c r="A2" s="2" t="inlineStr">
        <is>
          <t xml:space="preserve">  Daily tips and the back-of-house tip-out — so the pool splits fair, every night.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Day</t>
        </is>
      </c>
      <c r="C4" s="9" t="inlineStr">
        <is>
          <t>Tips</t>
        </is>
      </c>
      <c r="D4" s="9" t="inlineStr">
        <is>
          <t>Tip-out %</t>
        </is>
      </c>
      <c r="E4" s="9" t="inlineStr">
        <is>
          <t>Net Tips</t>
        </is>
      </c>
    </row>
    <row r="5">
      <c r="B5" s="19" t="inlineStr">
        <is>
          <t>Mon</t>
        </is>
      </c>
      <c r="C5" s="31" t="n">
        <v>320</v>
      </c>
      <c r="D5" s="57" t="n">
        <v>0.15</v>
      </c>
      <c r="E5" s="34">
        <f>C5*(1-D5)</f>
        <v/>
      </c>
    </row>
    <row r="6">
      <c r="B6" s="22" t="inlineStr">
        <is>
          <t>Tue</t>
        </is>
      </c>
      <c r="C6" s="35" t="n">
        <v>360</v>
      </c>
      <c r="D6" s="58" t="n">
        <v>0.15</v>
      </c>
      <c r="E6" s="38">
        <f>C6*(1-D6)</f>
        <v/>
      </c>
    </row>
    <row r="7">
      <c r="B7" s="19" t="inlineStr">
        <is>
          <t>Wed</t>
        </is>
      </c>
      <c r="C7" s="31" t="n">
        <v>380</v>
      </c>
      <c r="D7" s="57" t="n">
        <v>0.15</v>
      </c>
      <c r="E7" s="34">
        <f>C7*(1-D7)</f>
        <v/>
      </c>
    </row>
    <row r="8">
      <c r="B8" s="22" t="inlineStr">
        <is>
          <t>Thu</t>
        </is>
      </c>
      <c r="C8" s="35" t="n">
        <v>520</v>
      </c>
      <c r="D8" s="58" t="n">
        <v>0.15</v>
      </c>
      <c r="E8" s="38">
        <f>C8*(1-D8)</f>
        <v/>
      </c>
    </row>
    <row r="9">
      <c r="B9" s="19" t="inlineStr">
        <is>
          <t>Fri</t>
        </is>
      </c>
      <c r="C9" s="31" t="n">
        <v>780</v>
      </c>
      <c r="D9" s="57" t="n">
        <v>0.15</v>
      </c>
      <c r="E9" s="34">
        <f>C9*(1-D9)</f>
        <v/>
      </c>
    </row>
    <row r="10">
      <c r="B10" s="22" t="inlineStr">
        <is>
          <t>Sat</t>
        </is>
      </c>
      <c r="C10" s="35" t="n">
        <v>860</v>
      </c>
      <c r="D10" s="58" t="n">
        <v>0.15</v>
      </c>
      <c r="E10" s="38">
        <f>C10*(1-D10)</f>
        <v/>
      </c>
    </row>
    <row r="11">
      <c r="B11" s="19" t="inlineStr">
        <is>
          <t>Sun</t>
        </is>
      </c>
      <c r="C11" s="31" t="n">
        <v>440</v>
      </c>
      <c r="D11" s="57" t="n">
        <v>0.15</v>
      </c>
      <c r="E11" s="34">
        <f>C11*(1-D11)</f>
        <v/>
      </c>
    </row>
    <row r="12">
      <c r="B12" s="9" t="inlineStr">
        <is>
          <t>WEEK TOTAL</t>
        </is>
      </c>
      <c r="C12" s="46">
        <f>SUM(C5:C11)</f>
        <v/>
      </c>
      <c r="D12" s="39" t="n"/>
      <c r="E12" s="46">
        <f>SUM(E5:E11)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4" customWidth="1" min="4" max="4"/>
    <col width="2" customWidth="1" min="5" max="5"/>
  </cols>
  <sheetData>
    <row r="1" ht="46" customHeight="1">
      <c r="A1" s="1" t="inlineStr">
        <is>
          <t xml:space="preserve">  📊  LABOR BY DAY</t>
        </is>
      </c>
    </row>
    <row r="2" ht="22" customHeight="1">
      <c r="A2" s="2" t="inlineStr">
        <is>
          <t xml:space="preserve">  Each day's labor dollars &amp; labor % against the forecast — spot the heavy days.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Day</t>
        </is>
      </c>
      <c r="C4" s="9" t="inlineStr">
        <is>
          <t>Labor $</t>
        </is>
      </c>
      <c r="D4" s="9" t="inlineStr">
        <is>
          <t>Labor %</t>
        </is>
      </c>
    </row>
    <row r="5">
      <c r="B5" s="19" t="inlineStr">
        <is>
          <t>Mon</t>
        </is>
      </c>
      <c r="C5" s="34">
        <f>SUMPRODUCT('Weekly Schedule'!$D$5:$D$12,'Weekly Schedule'!E5:E12)</f>
        <v/>
      </c>
      <c r="D5" s="59">
        <f>IFERROR(C5/INDEX(ForecastAmt,1),0)</f>
        <v/>
      </c>
    </row>
    <row r="6">
      <c r="B6" s="22" t="inlineStr">
        <is>
          <t>Tue</t>
        </is>
      </c>
      <c r="C6" s="38">
        <f>SUMPRODUCT('Weekly Schedule'!$D$5:$D$12,'Weekly Schedule'!F5:F12)</f>
        <v/>
      </c>
      <c r="D6" s="54">
        <f>IFERROR(C6/INDEX(ForecastAmt,2),0)</f>
        <v/>
      </c>
    </row>
    <row r="7">
      <c r="B7" s="19" t="inlineStr">
        <is>
          <t>Wed</t>
        </is>
      </c>
      <c r="C7" s="34">
        <f>SUMPRODUCT('Weekly Schedule'!$D$5:$D$12,'Weekly Schedule'!G5:G12)</f>
        <v/>
      </c>
      <c r="D7" s="59">
        <f>IFERROR(C7/INDEX(ForecastAmt,3),0)</f>
        <v/>
      </c>
    </row>
    <row r="8">
      <c r="B8" s="22" t="inlineStr">
        <is>
          <t>Thu</t>
        </is>
      </c>
      <c r="C8" s="38">
        <f>SUMPRODUCT('Weekly Schedule'!$D$5:$D$12,'Weekly Schedule'!H5:H12)</f>
        <v/>
      </c>
      <c r="D8" s="54">
        <f>IFERROR(C8/INDEX(ForecastAmt,4),0)</f>
        <v/>
      </c>
    </row>
    <row r="9">
      <c r="B9" s="19" t="inlineStr">
        <is>
          <t>Fri</t>
        </is>
      </c>
      <c r="C9" s="34">
        <f>SUMPRODUCT('Weekly Schedule'!$D$5:$D$12,'Weekly Schedule'!I5:I12)</f>
        <v/>
      </c>
      <c r="D9" s="59">
        <f>IFERROR(C9/INDEX(ForecastAmt,5),0)</f>
        <v/>
      </c>
    </row>
    <row r="10">
      <c r="B10" s="22" t="inlineStr">
        <is>
          <t>Sat</t>
        </is>
      </c>
      <c r="C10" s="38">
        <f>SUMPRODUCT('Weekly Schedule'!$D$5:$D$12,'Weekly Schedule'!J5:J12)</f>
        <v/>
      </c>
      <c r="D10" s="54">
        <f>IFERROR(C10/INDEX(ForecastAmt,6),0)</f>
        <v/>
      </c>
    </row>
    <row r="11">
      <c r="B11" s="19" t="inlineStr">
        <is>
          <t>Sun</t>
        </is>
      </c>
      <c r="C11" s="34">
        <f>SUMPRODUCT('Weekly Schedule'!$D$5:$D$12,'Weekly Schedule'!K5:K12)</f>
        <v/>
      </c>
      <c r="D11" s="59">
        <f>IFERROR(C11/INDEX(ForecastAmt,7),0)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20" customWidth="1" min="3" max="3"/>
    <col width="3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Set your targets &amp; lists once — every tab follows.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5">
      <c r="B5" s="7" t="inlineStr">
        <is>
          <t>YOUR TARGETS</t>
        </is>
      </c>
      <c r="E5" s="4" t="inlineStr">
        <is>
          <t>DROPDOWN LISTS</t>
        </is>
      </c>
    </row>
    <row r="6">
      <c r="B6" s="55" t="inlineStr">
        <is>
          <t>Restaurant name</t>
        </is>
      </c>
      <c r="C6" s="60" t="inlineStr">
        <is>
          <t>Maple &amp; Ash</t>
        </is>
      </c>
      <c r="E6" s="9" t="inlineStr">
        <is>
          <t>Role</t>
        </is>
      </c>
      <c r="F6" s="9" t="inlineStr">
        <is>
          <t>Status</t>
        </is>
      </c>
      <c r="G6" s="9" t="inlineStr">
        <is>
          <t>Yes / No</t>
        </is>
      </c>
    </row>
    <row r="7">
      <c r="B7" s="55" t="inlineStr">
        <is>
          <t>Manager</t>
        </is>
      </c>
      <c r="C7" s="60" t="inlineStr">
        <is>
          <t>Jordan</t>
        </is>
      </c>
      <c r="E7" s="19" t="inlineStr">
        <is>
          <t>Manager</t>
        </is>
      </c>
      <c r="F7" s="19" t="inlineStr">
        <is>
          <t>Full-time</t>
        </is>
      </c>
      <c r="G7" s="19" t="inlineStr">
        <is>
          <t>Yes</t>
        </is>
      </c>
    </row>
    <row r="8">
      <c r="B8" s="55" t="inlineStr">
        <is>
          <t>Target labor %</t>
        </is>
      </c>
      <c r="C8" s="57" t="n">
        <v>0.3</v>
      </c>
      <c r="E8" s="19" t="inlineStr">
        <is>
          <t>Line Cook</t>
        </is>
      </c>
      <c r="F8" s="19" t="inlineStr">
        <is>
          <t>Part-time</t>
        </is>
      </c>
      <c r="G8" s="19" t="inlineStr">
        <is>
          <t>No</t>
        </is>
      </c>
    </row>
    <row r="9">
      <c r="B9" s="55" t="inlineStr">
        <is>
          <t>Sales-per-labor-hr goal</t>
        </is>
      </c>
      <c r="C9" s="31" t="n">
        <v>50</v>
      </c>
      <c r="E9" s="19" t="inlineStr">
        <is>
          <t>Prep Cook</t>
        </is>
      </c>
      <c r="F9" s="19" t="inlineStr">
        <is>
          <t>On-call</t>
        </is>
      </c>
    </row>
    <row r="10">
      <c r="B10" s="55" t="inlineStr">
        <is>
          <t>Overtime limit (hrs)</t>
        </is>
      </c>
      <c r="C10" s="48" t="n">
        <v>10</v>
      </c>
      <c r="E10" s="19" t="inlineStr">
        <is>
          <t>Server</t>
        </is>
      </c>
      <c r="F10" s="19" t="inlineStr">
        <is>
          <t>New</t>
        </is>
      </c>
    </row>
    <row r="11">
      <c r="B11" s="55" t="inlineStr">
        <is>
          <t>Prime-cost goal %</t>
        </is>
      </c>
      <c r="C11" s="57" t="n">
        <v>0.6</v>
      </c>
      <c r="E11" s="19" t="inlineStr">
        <is>
          <t>Bartender</t>
        </is>
      </c>
    </row>
    <row r="12">
      <c r="B12" s="55" t="inlineStr">
        <is>
          <t>Avg-wage budget</t>
        </is>
      </c>
      <c r="C12" s="31" t="n">
        <v>16</v>
      </c>
      <c r="E12" s="19" t="inlineStr">
        <is>
          <t>Host</t>
        </is>
      </c>
    </row>
    <row r="13">
      <c r="B13" s="55" t="inlineStr">
        <is>
          <t>Currency</t>
        </is>
      </c>
      <c r="C13" s="60" t="inlineStr">
        <is>
          <t>USD ($)</t>
        </is>
      </c>
      <c r="E13" s="19" t="inlineStr">
        <is>
          <t>Dishwasher</t>
        </is>
      </c>
    </row>
  </sheetData>
  <mergeCells count="4">
    <mergeCell ref="A1:J1"/>
    <mergeCell ref="B5:C5"/>
    <mergeCell ref="E5:J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2026-07-22T14:25:45Z</dcterms:created>
  <dcterms:modified xsi:type="dcterms:W3CDTF">2026-07-22T14:25:45Z</dcterms:modified>
</cp:coreProperties>
</file>