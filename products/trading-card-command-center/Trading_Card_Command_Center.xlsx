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Collection" sheetId="3" state="visible" r:id="rId3"/>
    <sheet name="Purchases" sheetId="4" state="visible" r:id="rId4"/>
    <sheet name="Sales" sheetId="5" state="visible" r:id="rId5"/>
    <sheet name="Trades" sheetId="6" state="visible" r:id="rId6"/>
    <sheet name="Grading" sheetId="7" state="visible" r:id="rId7"/>
    <sheet name="Value Analytics" sheetId="8" state="visible" r:id="rId8"/>
    <sheet name="Wishlist" sheetId="9" state="visible" r:id="rId9"/>
    <sheet name="Duplicates" sheetId="10" state="visible" r:id="rId10"/>
    <sheet name="Deck Builder" sheetId="11" state="visible" r:id="rId11"/>
    <sheet name="Card Vault" sheetId="12" state="visible" r:id="rId12"/>
    <sheet name="Analytics" sheetId="13" state="visible" r:id="rId13"/>
    <sheet name="Settings" sheetId="14" state="visible" r:id="rId14"/>
  </sheets>
  <definedNames>
    <definedName name="CollName">Settings!$C$6</definedName>
    <definedName name="Collector">Settings!$C$7</definedName>
    <definedName name="PrimaryGame">Settings!$C$8</definedName>
    <definedName name="HomeCurr">Settings!$C$9</definedName>
    <definedName name="ValueGoal">Settings!$C$10</definedName>
    <definedName name="GrowthTarget">Settings!$C$11</definedName>
    <definedName name="CardBudget">Settings!$C$12</definedName>
    <definedName name="GameList">Settings!$E$7:$E$14</definedName>
    <definedName name="RarityList">Settings!$F$7:$F$13</definedName>
    <definedName name="LangList">Settings!$G$7:$G$14</definedName>
    <definedName name="CondList">Settings!$H$7:$H$13</definedName>
    <definedName name="LocList">Settings!$I$7:$I$14</definedName>
    <definedName name="GraderList">Settings!$J$7:$J$11</definedName>
    <definedName name="MarketList">Settings!$K$7:$K$13</definedName>
    <definedName name="CurrencyList">Settings!$L$7:$L$12</definedName>
    <definedName name="PriorityList">Settings!$E$18:$E$21</definedName>
    <definedName name="PlanList">Settings!$F$18:$F$21</definedName>
    <definedName name="GradeStatusList">Settings!$G$18:$G$19</definedName>
    <definedName name="YesNoList">Settings!$H$18:$H$19</definedName>
    <definedName name="ColName">'Collection'!$A$5:$A$44</definedName>
    <definedName name="ColSet">'Collection'!$B$5:$B$44</definedName>
    <definedName name="ColRarity">'Collection'!$E$5:$E$44</definedName>
    <definedName name="ColQty">'Collection'!$G$5:$G$44</definedName>
    <definedName name="ColLocation">'Collection'!$H$5:$H$44</definedName>
    <definedName name="ColPaid">'Collection'!$J$5:$J$44</definedName>
    <definedName name="ColEach">'Collection'!$K$5:$K$44</definedName>
    <definedName name="ColTotal">'Collection'!$L$5:$L$44</definedName>
    <definedName name="ColPhoto">'Collection'!$M$5:$M$44</definedName>
    <definedName name="PurchTotal">'Purchases'!$H$5:$H$44</definedName>
    <definedName name="PurchDate">'Purchases'!$B$5:$B$44</definedName>
    <definedName name="SaleNet">'Sales'!$H$5:$H$34</definedName>
    <definedName name="TradePartner">'Trades'!$A$5:$A$34</definedName>
    <definedName name="TradeNet">'Trades'!$G$5:$G$34</definedName>
    <definedName name="GradeStatus">'Grading'!$E$5:$E$34</definedName>
    <definedName name="GradeCard">'Grading'!$B$5:$B$34</definedName>
    <definedName name="GradeAdded">'Grading'!$J$5:$J$34</definedName>
    <definedName name="TrendMonth">'Value Analytics'!$B$7:$B$12</definedName>
    <definedName name="TrendVal">'Value Analytics'!$C$7:$C$12</definedName>
    <definedName name="WishCard">'Wishlist'!$A$5:$A$34</definedName>
    <definedName name="WishBought">'Wishlist'!$F$5:$F$34</definedName>
    <definedName name="DupCard">'Duplicates'!$A$5:$A$34</definedName>
    <definedName name="DupPlan">'Duplicates'!$E$5:$E$34</definedName>
    <definedName name="DeckWins">'Deck Builder'!$H$6</definedName>
    <definedName name="DeckLosses">'Deck Builder'!$H$7</definedName>
    <definedName name="HealthRange">'Analytics'!$C$7:$C$12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"/>
    <numFmt numFmtId="166" formatCode="yyyy-mm-dd"/>
    <numFmt numFmtId="167" formatCode="mm/dd/yyyy"/>
    <numFmt numFmtId="168" formatCode="+&quot;$&quot;#,##0;[Red]-&quot;$&quot;#,##0"/>
    <numFmt numFmtId="169" formatCode="+&quot;$&quot;#,##0;-&quot;$&quot;#,##0"/>
    <numFmt numFmtId="170" formatCode="+0%;-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5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3" fillId="7" borderId="4" applyAlignment="1" pivotButton="0" quotePrefix="0" xfId="0">
      <alignment horizontal="center" vertical="center"/>
    </xf>
    <xf numFmtId="0" fontId="0" fillId="7" borderId="4" pivotButton="0" quotePrefix="0" xfId="0"/>
    <xf numFmtId="0" fontId="14" fillId="7" borderId="2" applyAlignment="1" pivotButton="0" quotePrefix="0" xfId="0">
      <alignment horizontal="center" vertical="center"/>
    </xf>
    <xf numFmtId="0" fontId="0" fillId="7" borderId="2" pivotButton="0" quotePrefix="0" xfId="0"/>
    <xf numFmtId="164" fontId="14" fillId="7" borderId="2" applyAlignment="1" pivotButton="0" quotePrefix="0" xfId="0">
      <alignment horizontal="center" vertical="center"/>
    </xf>
    <xf numFmtId="169" fontId="14" fillId="7" borderId="2" applyAlignment="1" pivotButton="0" quotePrefix="0" xfId="0">
      <alignment horizontal="center" vertical="center"/>
    </xf>
    <xf numFmtId="170" fontId="14" fillId="7" borderId="2" applyAlignment="1" pivotButton="0" quotePrefix="0" xfId="0">
      <alignment horizontal="center" vertical="center"/>
    </xf>
    <xf numFmtId="9" fontId="14" fillId="7" borderId="2" applyAlignment="1" pivotButton="0" quotePrefix="0" xfId="0">
      <alignment horizontal="center" vertical="center"/>
    </xf>
    <xf numFmtId="0" fontId="6" fillId="7" borderId="2" applyAlignment="1" pivotButton="0" quotePrefix="0" xfId="7">
      <alignment horizontal="left" vertical="center" wrapText="1" indent="1"/>
    </xf>
    <xf numFmtId="0" fontId="6" fillId="7" borderId="2" applyAlignment="1" pivotButton="0" quotePrefix="0" xfId="6">
      <alignment horizontal="center" vertical="center" wrapText="1"/>
    </xf>
    <xf numFmtId="1" fontId="6" fillId="7" borderId="2" applyAlignment="1" pivotButton="0" quotePrefix="0" xfId="6">
      <alignment horizontal="center" vertical="center" wrapText="1"/>
    </xf>
    <xf numFmtId="167" fontId="6" fillId="7" borderId="2" applyAlignment="1" pivotButton="0" quotePrefix="0" xfId="6">
      <alignment horizontal="center" vertical="center" wrapText="1"/>
    </xf>
    <xf numFmtId="164" fontId="6" fillId="7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4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" fontId="11" fillId="3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8" fontId="6" fillId="7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8" fontId="11" fillId="3" borderId="2" applyAlignment="1" pivotButton="0" quotePrefix="0" xfId="6">
      <alignment horizontal="center" vertical="center" wrapText="1"/>
    </xf>
    <xf numFmtId="165" fontId="6" fillId="7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" fontId="7" fillId="3" borderId="2" applyAlignment="1" pivotButton="0" quotePrefix="0" xfId="8">
      <alignment horizontal="center" vertical="center"/>
    </xf>
    <xf numFmtId="1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9" fontId="7" fillId="9" borderId="2" applyAlignment="1" pivotButton="0" quotePrefix="0" xfId="10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7" fillId="9" borderId="2" applyAlignment="1" pivotButton="0" quotePrefix="0" xfId="10">
      <alignment horizontal="left" vertical="center" indent="1"/>
    </xf>
    <xf numFmtId="0" fontId="9" fillId="4" borderId="3" applyAlignment="1" pivotButton="0" quotePrefix="0" xfId="11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9" fontId="12" fillId="10" borderId="4" applyAlignment="1" pivotButton="0" quotePrefix="0" xfId="0">
      <alignment horizontal="center" vertical="center"/>
    </xf>
    <xf numFmtId="0" fontId="0" fillId="10" borderId="4" pivotButton="0" quotePrefix="0" xfId="0"/>
    <xf numFmtId="9" fontId="6" fillId="0" borderId="2" applyAlignment="1" pivotButton="0" quotePrefix="0" xfId="6">
      <alignment horizontal="center" vertical="center" wrapText="1"/>
    </xf>
    <xf numFmtId="0" fontId="0" fillId="10" borderId="2" pivotButton="0" quotePrefix="0" xfId="0"/>
    <xf numFmtId="9" fontId="6" fillId="8" borderId="2" applyAlignment="1" pivotButton="0" quotePrefix="0" xfId="6">
      <alignment horizontal="center" vertical="center" wrapText="1"/>
    </xf>
    <xf numFmtId="0" fontId="2" fillId="10" borderId="1" applyAlignment="1" pivotButton="0" quotePrefix="0" xfId="2">
      <alignment horizontal="left" vertical="center" indent="2"/>
    </xf>
    <xf numFmtId="0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  <dxf>
      <font>
        <b val="1"/>
        <color rgb="00937356"/>
      </font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by Rarity</a:t>
            </a:r>
          </a:p>
        </rich>
      </tx>
    </title>
    <plotArea>
      <doughnutChart>
        <varyColors val="1"/>
        <ser>
          <idx val="0"/>
          <order val="0"/>
          <tx>
            <strRef>
              <f>'Collection'!Q4</f>
            </strRef>
          </tx>
          <spPr>
            <a:ln>
              <a:prstDash val="solid"/>
            </a:ln>
          </spPr>
          <cat>
            <numRef>
              <f>'Collection'!$P$5:$P$10</f>
            </numRef>
          </cat>
          <val>
            <numRef>
              <f>'Collection'!$Q$5:$Q$10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Collection Value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'Value Analytics'!C6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'Value Analytics'!$B$7:$B$12</f>
            </numRef>
          </cat>
          <val>
            <numRef>
              <f>'Value Analytics'!$C$7:$C$12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by 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'Collection'!T4</f>
            </strRef>
          </tx>
          <spPr>
            <a:ln>
              <a:prstDash val="solid"/>
            </a:ln>
          </spPr>
          <cat>
            <numRef>
              <f>'Collection'!$S$5:$S$11</f>
            </numRef>
          </cat>
          <val>
            <numRef>
              <f>'Collection'!$T$5:$T$11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Grading: Value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'Grading'!H4</f>
            </strRef>
          </tx>
          <spPr>
            <a:ln>
              <a:prstDash val="solid"/>
            </a:ln>
          </spPr>
          <cat>
            <numRef>
              <f>'Grading'!$B$5:$B$8</f>
            </numRef>
          </cat>
          <val>
            <numRef>
              <f>'Grading'!$H$5:$H$8</f>
            </numRef>
          </val>
        </ser>
        <ser>
          <idx val="1"/>
          <order val="1"/>
          <tx>
            <strRef>
              <f>'Grading'!I4</f>
            </strRef>
          </tx>
          <spPr>
            <a:ln>
              <a:prstDash val="solid"/>
            </a:ln>
          </spPr>
          <cat>
            <numRef>
              <f>'Grading'!$B$5:$B$8</f>
            </numRef>
          </cat>
          <val>
            <numRef>
              <f>'Grading'!$I$5:$I$8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Collection Value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'Value Analytics'!C6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'Value Analytics'!$B$7:$B$12</f>
            </numRef>
          </cat>
          <val>
            <numRef>
              <f>'Value Analytics'!$C$7:$C$12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Purchase Cost vs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'Value Analytics'!C6</f>
            </strRef>
          </tx>
          <spPr>
            <a:ln>
              <a:prstDash val="solid"/>
            </a:ln>
          </spPr>
          <cat>
            <numRef>
              <f>'Value Analytics'!$B$7:$B$12</f>
            </numRef>
          </cat>
          <val>
            <numRef>
              <f>'Value Analytics'!$C$7:$C$12</f>
            </numRef>
          </val>
        </ser>
        <ser>
          <idx val="1"/>
          <order val="1"/>
          <tx>
            <strRef>
              <f>'Value Analytics'!D6</f>
            </strRef>
          </tx>
          <spPr>
            <a:ln>
              <a:prstDash val="solid"/>
            </a:ln>
          </spPr>
          <cat>
            <numRef>
              <f>'Value Analytics'!$B$7:$B$12</f>
            </numRef>
          </cat>
          <val>
            <numRef>
              <f>'Value Analytics'!$D$7:$D$12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Valuable Cards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'Value Analytics'!G6</f>
            </strRef>
          </tx>
          <spPr>
            <a:ln>
              <a:prstDash val="solid"/>
            </a:ln>
          </spPr>
          <cat>
            <numRef>
              <f>'Value Analytics'!$F$7:$F$11</f>
            </numRef>
          </cat>
          <val>
            <numRef>
              <f>'Value Analytics'!$G$7:$G$11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Health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32</row>
      <rowOff>0</rowOff>
    </from>
    <ext cx="46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2" customWidth="1" min="2" max="2"/>
    <col width="3" customWidth="1" min="3" max="3"/>
  </cols>
  <sheetData>
    <row r="1" ht="58" customHeight="1">
      <c r="A1" s="1" t="inlineStr">
        <is>
          <t xml:space="preserve">  🎴  TRADING CARD COMMAND CENTER™</t>
        </is>
      </c>
    </row>
    <row r="2" ht="24" customHeight="1">
      <c r="A2" s="2" t="inlineStr">
        <is>
          <t xml:space="preserve">  The ultimate trading card collection, value &amp; inventory system — for every card game.</t>
        </is>
      </c>
    </row>
    <row r="3" ht="6" customHeight="1">
      <c r="A3" s="3" t="n"/>
      <c r="B3" s="3" t="n"/>
      <c r="C3" s="3" t="n"/>
    </row>
    <row r="5">
      <c r="B5" s="4" t="inlineStr">
        <is>
          <t>YOUR COLLECTION IS AN ASSET — TREAT IT LIKE ONE</t>
        </is>
      </c>
    </row>
    <row r="6" ht="22" customHeight="1">
      <c r="B6" s="5" t="inlineStr">
        <is>
          <t>Serious collections deserve more than a shoebox and a guess. Trading Card Command Center™ organizes every card, tracks what you paid and what it's worth, logs purchases, sales and trades, manages grading submissions and your wishlist, and rolls everything into one elegant dashboard — so you always know your collection's value, growth and health. Works for Pokémon, Magic, Yu-Gi-Oh!, sports cards and any other game.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set your collection name, game, currency &amp; goals.</t>
        </is>
      </c>
    </row>
    <row r="13" ht="22" customHeight="1">
      <c r="B13" s="5" t="inlineStr">
        <is>
          <t>2.  Add your cards to the Master Collection — value totals compute instantly.</t>
        </is>
      </c>
    </row>
    <row r="14" ht="22" customHeight="1">
      <c r="B14" s="5" t="inlineStr">
        <is>
          <t>3.  Log purchases, sales &amp; trades as they happen — profit/loss updates live.</t>
        </is>
      </c>
    </row>
    <row r="15" ht="22" customHeight="1">
      <c r="B15" s="5" t="inlineStr">
        <is>
          <t>4.  Track grading submissions in the Grading Center (before vs after value).</t>
        </is>
      </c>
    </row>
    <row r="16" ht="22" customHeight="1">
      <c r="B16" s="5" t="inlineStr">
        <is>
          <t>5.  Keep your Wishlist &amp; Duplicates current — the dashboard scores your progress.</t>
        </is>
      </c>
    </row>
    <row r="17" ht="22" customHeight="1">
      <c r="B17" s="5" t="inlineStr">
        <is>
          <t>6.  Watch the Collection Dashboard track value, growth &amp; health automatically.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 146-card collection worth $2,840) is included so you can see how everything connects — just type over it with your own cards. Values, profit/loss, grading gains, wishlist progress and the Collection Health Score all update automatically. Estimated values are your own entries — update them from your favorite price source.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vault, zero mystery — happy collecting!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🎴  TRADING CARD COMMAND CENTER™</t>
        </is>
      </c>
    </row>
    <row r="2" ht="24" customHeight="1">
      <c r="A2" s="2" t="inlineStr">
        <is>
          <t xml:space="preserve">  Collection, value, grading, trades &amp; wishlist — your whole vault,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TOTAL CARDS</t>
        </is>
      </c>
      <c r="C5" s="11" t="n"/>
      <c r="D5" s="10" t="inlineStr">
        <is>
          <t>COLLECTION VALUE</t>
        </is>
      </c>
      <c r="E5" s="11" t="n"/>
      <c r="F5" s="10" t="inlineStr">
        <is>
          <t>PURCHASE COST</t>
        </is>
      </c>
      <c r="G5" s="11" t="n"/>
      <c r="H5" s="10" t="inlineStr">
        <is>
          <t>PROFIT / LOSS</t>
        </is>
      </c>
      <c r="I5" s="11" t="n"/>
      <c r="J5" s="10" t="inlineStr">
        <is>
          <t>GROWTH</t>
        </is>
      </c>
      <c r="K5" s="11" t="n"/>
      <c r="L5" s="10" t="inlineStr">
        <is>
          <t>TOP CARD VALUE</t>
        </is>
      </c>
      <c r="M5" s="11" t="n"/>
    </row>
    <row r="6" ht="40" customHeight="1">
      <c r="B6" s="12">
        <f>SUM(ColQty)</f>
        <v/>
      </c>
      <c r="C6" s="13" t="n"/>
      <c r="D6" s="14">
        <f>SUM(ColTotal)</f>
        <v/>
      </c>
      <c r="E6" s="13" t="n"/>
      <c r="F6" s="14">
        <f>SUM(ColPaid)</f>
        <v/>
      </c>
      <c r="G6" s="13" t="n"/>
      <c r="H6" s="15">
        <f>SUM(ColTotal)-SUM(ColPaid)</f>
        <v/>
      </c>
      <c r="I6" s="13" t="n"/>
      <c r="J6" s="16">
        <f>IFERROR(SUM(ColTotal)/SUM(ColPaid)-1,0)</f>
        <v/>
      </c>
      <c r="K6" s="13" t="n"/>
      <c r="L6" s="14">
        <f>MAX(ColEach)</f>
        <v/>
      </c>
      <c r="M6" s="13" t="n"/>
    </row>
    <row r="8" ht="18" customHeight="1">
      <c r="B8" s="10" t="inlineStr">
        <is>
          <t>PHOTOS ON FILE</t>
        </is>
      </c>
      <c r="C8" s="11" t="n"/>
      <c r="D8" s="10" t="inlineStr">
        <is>
          <t>CARDS GRADED</t>
        </is>
      </c>
      <c r="E8" s="11" t="n"/>
      <c r="F8" s="10" t="inlineStr">
        <is>
          <t>AWAITING GRADING</t>
        </is>
      </c>
      <c r="G8" s="11" t="n"/>
      <c r="H8" s="10" t="inlineStr">
        <is>
          <t>TRADES COMPLETED</t>
        </is>
      </c>
      <c r="I8" s="11" t="n"/>
      <c r="J8" s="10" t="inlineStr">
        <is>
          <t>WISHLIST PROGRESS</t>
        </is>
      </c>
      <c r="K8" s="11" t="n"/>
      <c r="L8" s="10" t="inlineStr">
        <is>
          <t>COLLECTION HEALTH</t>
        </is>
      </c>
      <c r="M8" s="11" t="n"/>
    </row>
    <row r="9" ht="40" customHeight="1">
      <c r="B9" s="17">
        <f>IFERROR(COUNTIF(ColPhoto,"Yes")/MAX(COUNTA(ColName),1),0)</f>
        <v/>
      </c>
      <c r="C9" s="13" t="n"/>
      <c r="D9" s="12">
        <f>COUNTIF(GradeStatus,"Returned")</f>
        <v/>
      </c>
      <c r="E9" s="13" t="n"/>
      <c r="F9" s="12">
        <f>COUNTIF(GradeStatus,"Pending")</f>
        <v/>
      </c>
      <c r="G9" s="13" t="n"/>
      <c r="H9" s="12">
        <f>COUNTA(TradePartner)</f>
        <v/>
      </c>
      <c r="I9" s="13" t="n"/>
      <c r="J9" s="17">
        <f>IFERROR(COUNTIF(WishBought,"Yes")/MAX(COUNTA(WishCard),1),0)</f>
        <v/>
      </c>
      <c r="K9" s="13" t="n"/>
      <c r="L9" s="17">
        <f>IFERROR(AVERAGE(HealthRange),0)</f>
        <v/>
      </c>
      <c r="M9" s="13" t="n"/>
    </row>
    <row r="11" ht="26" customHeight="1">
      <c r="B11" s="4" t="inlineStr">
        <is>
          <t>VALUE &amp; GROWTH</t>
        </is>
      </c>
    </row>
    <row r="29" ht="26" customHeight="1">
      <c r="B29" s="4" t="inlineStr">
        <is>
          <t>SETS &amp; GRADING</t>
        </is>
      </c>
    </row>
    <row r="47" ht="26" customHeight="1">
      <c r="B47" s="2" t="inlineStr">
        <is>
          <t>Trading Card Command Center™ — know your collection's value, always.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T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0" customWidth="1" min="3" max="3"/>
    <col width="8" customWidth="1" min="4" max="4"/>
    <col width="13" customWidth="1" min="5" max="5"/>
    <col width="15" customWidth="1" min="6" max="6"/>
    <col width="7" customWidth="1" min="7" max="7"/>
    <col width="13" customWidth="1" min="8" max="8"/>
    <col width="12" customWidth="1" min="9" max="9"/>
    <col width="10" customWidth="1" min="10" max="10"/>
    <col width="11" customWidth="1" min="11" max="11"/>
    <col width="12" customWidth="1" min="12" max="12"/>
    <col width="9" customWidth="1" min="13" max="13"/>
    <col width="20" customWidth="1" min="14" max="14"/>
    <col width="3" customWidth="1" min="15" max="15"/>
    <col width="13" customWidth="1" min="16" max="16"/>
    <col width="11" customWidth="1" min="17" max="17"/>
    <col width="3" customWidth="1" min="18" max="18"/>
    <col width="16" customWidth="1" min="19" max="19"/>
    <col width="11" customWidth="1" min="20" max="20"/>
  </cols>
  <sheetData>
    <row r="1" ht="46" customHeight="1">
      <c r="A1" s="1" t="inlineStr">
        <is>
          <t xml:space="preserve">  🎴  MASTER COLLECTION</t>
        </is>
      </c>
    </row>
    <row r="2" ht="22" customHeight="1">
      <c r="A2" s="2" t="inlineStr">
        <is>
          <t xml:space="preserve">  Every card, valued — quantity, condition, location, photo status &amp; live profit/loss per card.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0" customHeight="1">
      <c r="A4" s="7" t="inlineStr">
        <is>
          <t>Card Name</t>
        </is>
      </c>
      <c r="B4" s="7" t="inlineStr">
        <is>
          <t>Set</t>
        </is>
      </c>
      <c r="C4" s="7" t="inlineStr">
        <is>
          <t>No.</t>
        </is>
      </c>
      <c r="D4" s="7" t="inlineStr">
        <is>
          <t>Lang</t>
        </is>
      </c>
      <c r="E4" s="7" t="inlineStr">
        <is>
          <t>Rarity</t>
        </is>
      </c>
      <c r="F4" s="7" t="inlineStr">
        <is>
          <t>Condition</t>
        </is>
      </c>
      <c r="G4" s="7" t="inlineStr">
        <is>
          <t>Qty</t>
        </is>
      </c>
      <c r="H4" s="7" t="inlineStr">
        <is>
          <t>Location</t>
        </is>
      </c>
      <c r="I4" s="7" t="inlineStr">
        <is>
          <t>Purchased</t>
        </is>
      </c>
      <c r="J4" s="7" t="inlineStr">
        <is>
          <t>Paid</t>
        </is>
      </c>
      <c r="K4" s="7" t="inlineStr">
        <is>
          <t>Value (ea)</t>
        </is>
      </c>
      <c r="L4" s="7" t="inlineStr">
        <is>
          <t>Total Value</t>
        </is>
      </c>
      <c r="M4" s="7" t="inlineStr">
        <is>
          <t>Photo?</t>
        </is>
      </c>
      <c r="N4" s="7" t="inlineStr">
        <is>
          <t>Notes</t>
        </is>
      </c>
      <c r="P4" s="7" t="inlineStr">
        <is>
          <t>Rarity</t>
        </is>
      </c>
      <c r="Q4" s="7" t="inlineStr">
        <is>
          <t>Value</t>
        </is>
      </c>
      <c r="S4" s="7" t="inlineStr">
        <is>
          <t>Set</t>
        </is>
      </c>
      <c r="T4" s="7" t="inlineStr">
        <is>
          <t>Value</t>
        </is>
      </c>
    </row>
    <row r="5">
      <c r="A5" s="18" t="inlineStr">
        <is>
          <t>Ancient Colossus</t>
        </is>
      </c>
      <c r="B5" s="18" t="inlineStr">
        <is>
          <t>Genesis</t>
        </is>
      </c>
      <c r="C5" s="19" t="inlineStr">
        <is>
          <t>004/120</t>
        </is>
      </c>
      <c r="D5" s="19" t="inlineStr">
        <is>
          <t>EN</t>
        </is>
      </c>
      <c r="E5" s="19" t="inlineStr">
        <is>
          <t>Secret Rare</t>
        </is>
      </c>
      <c r="F5" s="19" t="inlineStr">
        <is>
          <t>Gem Mint</t>
        </is>
      </c>
      <c r="G5" s="20" t="n">
        <v>1</v>
      </c>
      <c r="H5" s="18" t="inlineStr">
        <is>
          <t>Vault Case</t>
        </is>
      </c>
      <c r="I5" s="21" t="n">
        <v>46151</v>
      </c>
      <c r="J5" s="22" t="n">
        <v>210</v>
      </c>
      <c r="K5" s="22" t="n">
        <v>620</v>
      </c>
      <c r="L5" s="22">
        <f>IF(A5="","",G5*K5)</f>
        <v/>
      </c>
      <c r="M5" s="19" t="inlineStr">
        <is>
          <t>Yes</t>
        </is>
      </c>
      <c r="N5" s="18" t="inlineStr">
        <is>
          <t>BGS 9.5 slab</t>
        </is>
      </c>
      <c r="P5" s="23" t="inlineStr">
        <is>
          <t>Secret Rare</t>
        </is>
      </c>
      <c r="Q5" s="24">
        <f>SUMIF(ColRarity,P5,ColTotal)</f>
        <v/>
      </c>
      <c r="S5" s="23" t="inlineStr">
        <is>
          <t>Obsidian Flames</t>
        </is>
      </c>
      <c r="T5" s="24">
        <f>SUMIF(ColSet,S5,ColTotal)</f>
        <v/>
      </c>
    </row>
    <row r="6">
      <c r="A6" s="25" t="inlineStr">
        <is>
          <t>Golden Phoenix (Alt Art)</t>
        </is>
      </c>
      <c r="B6" s="25" t="inlineStr">
        <is>
          <t>Obsidian Flames</t>
        </is>
      </c>
      <c r="C6" s="26" t="inlineStr">
        <is>
          <t>231/210</t>
        </is>
      </c>
      <c r="D6" s="26" t="inlineStr">
        <is>
          <t>EN</t>
        </is>
      </c>
      <c r="E6" s="26" t="inlineStr">
        <is>
          <t>Secret Rare</t>
        </is>
      </c>
      <c r="F6" s="26" t="inlineStr">
        <is>
          <t>Gem Mint</t>
        </is>
      </c>
      <c r="G6" s="27" t="n">
        <v>1</v>
      </c>
      <c r="H6" s="25" t="inlineStr">
        <is>
          <t>Vault Case</t>
        </is>
      </c>
      <c r="I6" s="28" t="n">
        <v>46126</v>
      </c>
      <c r="J6" s="29" t="n">
        <v>150</v>
      </c>
      <c r="K6" s="29" t="n">
        <v>480</v>
      </c>
      <c r="L6" s="29">
        <f>IF(A6="","",G6*K6)</f>
        <v/>
      </c>
      <c r="M6" s="26" t="inlineStr">
        <is>
          <t>Yes</t>
        </is>
      </c>
      <c r="N6" s="25" t="inlineStr">
        <is>
          <t>PSA 10 slab</t>
        </is>
      </c>
      <c r="P6" s="23" t="inlineStr">
        <is>
          <t>Ultra Rare</t>
        </is>
      </c>
      <c r="Q6" s="24">
        <f>SUMIF(ColRarity,P6,ColTotal)</f>
        <v/>
      </c>
      <c r="S6" s="23" t="inlineStr">
        <is>
          <t>Genesis</t>
        </is>
      </c>
      <c r="T6" s="24">
        <f>SUMIF(ColSet,S6,ColTotal)</f>
        <v/>
      </c>
    </row>
    <row r="7">
      <c r="A7" s="18" t="inlineStr">
        <is>
          <t>Emberfang Dragon (Holo)</t>
        </is>
      </c>
      <c r="B7" s="18" t="inlineStr">
        <is>
          <t>Obsidian Flames</t>
        </is>
      </c>
      <c r="C7" s="19" t="inlineStr">
        <is>
          <t>044/210</t>
        </is>
      </c>
      <c r="D7" s="19" t="inlineStr">
        <is>
          <t>EN</t>
        </is>
      </c>
      <c r="E7" s="19" t="inlineStr">
        <is>
          <t>Ultra Rare</t>
        </is>
      </c>
      <c r="F7" s="19" t="inlineStr">
        <is>
          <t>Near Mint</t>
        </is>
      </c>
      <c r="G7" s="20" t="n">
        <v>1</v>
      </c>
      <c r="H7" s="18" t="inlineStr">
        <is>
          <t>Binder A</t>
        </is>
      </c>
      <c r="I7" s="21" t="n">
        <v>46086</v>
      </c>
      <c r="J7" s="22" t="n">
        <v>120</v>
      </c>
      <c r="K7" s="22" t="n">
        <v>340</v>
      </c>
      <c r="L7" s="22">
        <f>IF(A7="","",G7*K7)</f>
        <v/>
      </c>
      <c r="M7" s="19" t="inlineStr">
        <is>
          <t>Yes</t>
        </is>
      </c>
      <c r="N7" s="18" t="inlineStr">
        <is>
          <t>At PSA now</t>
        </is>
      </c>
      <c r="P7" s="23" t="inlineStr">
        <is>
          <t>Rare Holo</t>
        </is>
      </c>
      <c r="Q7" s="24">
        <f>SUMIF(ColRarity,P7,ColTotal)</f>
        <v/>
      </c>
      <c r="S7" s="23" t="inlineStr">
        <is>
          <t>Astral Dawn</t>
        </is>
      </c>
      <c r="T7" s="24">
        <f>SUMIF(ColSet,S7,ColTotal)</f>
        <v/>
      </c>
    </row>
    <row r="8">
      <c r="A8" s="25" t="inlineStr">
        <is>
          <t>Twin Flames Duo</t>
        </is>
      </c>
      <c r="B8" s="25" t="inlineStr">
        <is>
          <t>Obsidian Flames</t>
        </is>
      </c>
      <c r="C8" s="26" t="inlineStr">
        <is>
          <t>199/210</t>
        </is>
      </c>
      <c r="D8" s="26" t="inlineStr">
        <is>
          <t>EN</t>
        </is>
      </c>
      <c r="E8" s="26" t="inlineStr">
        <is>
          <t>Ultra Rare</t>
        </is>
      </c>
      <c r="F8" s="26" t="inlineStr">
        <is>
          <t>Mint</t>
        </is>
      </c>
      <c r="G8" s="27" t="n">
        <v>1</v>
      </c>
      <c r="H8" s="25" t="inlineStr">
        <is>
          <t>Vault Case</t>
        </is>
      </c>
      <c r="I8" s="28" t="n">
        <v>46131</v>
      </c>
      <c r="J8" s="29" t="n">
        <v>88</v>
      </c>
      <c r="K8" s="29" t="n">
        <v>265</v>
      </c>
      <c r="L8" s="29">
        <f>IF(A8="","",G8*K8)</f>
        <v/>
      </c>
      <c r="M8" s="26" t="inlineStr">
        <is>
          <t>Yes</t>
        </is>
      </c>
      <c r="N8" s="25" t="inlineStr">
        <is>
          <t>PSA 9 slab</t>
        </is>
      </c>
      <c r="P8" s="23" t="inlineStr">
        <is>
          <t>Rare</t>
        </is>
      </c>
      <c r="Q8" s="24">
        <f>SUMIF(ColRarity,P8,ColTotal)</f>
        <v/>
      </c>
      <c r="S8" s="23" t="inlineStr">
        <is>
          <t>Deep Currents</t>
        </is>
      </c>
      <c r="T8" s="24">
        <f>SUMIF(ColSet,S8,ColTotal)</f>
        <v/>
      </c>
    </row>
    <row r="9">
      <c r="A9" s="18" t="inlineStr">
        <is>
          <t>Celestial Guardian</t>
        </is>
      </c>
      <c r="B9" s="18" t="inlineStr">
        <is>
          <t>Astral Dawn</t>
        </is>
      </c>
      <c r="C9" s="19" t="inlineStr">
        <is>
          <t>102/180</t>
        </is>
      </c>
      <c r="D9" s="19" t="inlineStr">
        <is>
          <t>JP</t>
        </is>
      </c>
      <c r="E9" s="19" t="inlineStr">
        <is>
          <t>Secret Rare</t>
        </is>
      </c>
      <c r="F9" s="19" t="inlineStr">
        <is>
          <t>Near Mint</t>
        </is>
      </c>
      <c r="G9" s="20" t="n">
        <v>1</v>
      </c>
      <c r="H9" s="18" t="inlineStr">
        <is>
          <t>Binder A</t>
        </is>
      </c>
      <c r="I9" s="21" t="n">
        <v>46116</v>
      </c>
      <c r="J9" s="22" t="n">
        <v>95</v>
      </c>
      <c r="K9" s="22" t="n">
        <v>210</v>
      </c>
      <c r="L9" s="22">
        <f>IF(A9="","",G9*K9)</f>
        <v/>
      </c>
      <c r="M9" s="19" t="inlineStr">
        <is>
          <t>Yes</t>
        </is>
      </c>
      <c r="N9" s="18" t="inlineStr">
        <is>
          <t>JP exclusive</t>
        </is>
      </c>
      <c r="P9" s="23" t="inlineStr">
        <is>
          <t>Uncommon</t>
        </is>
      </c>
      <c r="Q9" s="24">
        <f>SUMIF(ColRarity,P9,ColTotal)</f>
        <v/>
      </c>
      <c r="S9" s="23" t="inlineStr">
        <is>
          <t>Midnight Veil</t>
        </is>
      </c>
      <c r="T9" s="24">
        <f>SUMIF(ColSet,S9,ColTotal)</f>
        <v/>
      </c>
    </row>
    <row r="10">
      <c r="A10" s="25" t="inlineStr">
        <is>
          <t>Royal Kraken</t>
        </is>
      </c>
      <c r="B10" s="25" t="inlineStr">
        <is>
          <t>Deep Currents</t>
        </is>
      </c>
      <c r="C10" s="26" t="inlineStr">
        <is>
          <t>145/140</t>
        </is>
      </c>
      <c r="D10" s="26" t="inlineStr">
        <is>
          <t>EN</t>
        </is>
      </c>
      <c r="E10" s="26" t="inlineStr">
        <is>
          <t>Secret Rare</t>
        </is>
      </c>
      <c r="F10" s="26" t="inlineStr">
        <is>
          <t>Mint</t>
        </is>
      </c>
      <c r="G10" s="27" t="n">
        <v>1</v>
      </c>
      <c r="H10" s="25" t="inlineStr">
        <is>
          <t>Vault Case</t>
        </is>
      </c>
      <c r="I10" s="28" t="n">
        <v>46106</v>
      </c>
      <c r="J10" s="29" t="n">
        <v>70</v>
      </c>
      <c r="K10" s="29" t="n">
        <v>150</v>
      </c>
      <c r="L10" s="29">
        <f>IF(A10="","",G10*K10)</f>
        <v/>
      </c>
      <c r="M10" s="26" t="inlineStr">
        <is>
          <t>Yes</t>
        </is>
      </c>
      <c r="N10" s="25" t="inlineStr">
        <is>
          <t>PSA 8 slab</t>
        </is>
      </c>
      <c r="P10" s="23" t="inlineStr">
        <is>
          <t>Common</t>
        </is>
      </c>
      <c r="Q10" s="24">
        <f>SUMIF(ColRarity,P10,ColTotal)</f>
        <v/>
      </c>
      <c r="S10" s="23" t="inlineStr">
        <is>
          <t>Tempest Rising</t>
        </is>
      </c>
      <c r="T10" s="24">
        <f>SUMIF(ColSet,S10,ColTotal)</f>
        <v/>
      </c>
    </row>
    <row r="11">
      <c r="A11" s="18" t="inlineStr">
        <is>
          <t>Shadow Assassin</t>
        </is>
      </c>
      <c r="B11" s="18" t="inlineStr">
        <is>
          <t>Midnight Veil</t>
        </is>
      </c>
      <c r="C11" s="19" t="inlineStr">
        <is>
          <t>077/160</t>
        </is>
      </c>
      <c r="D11" s="19" t="inlineStr">
        <is>
          <t>EN</t>
        </is>
      </c>
      <c r="E11" s="19" t="inlineStr">
        <is>
          <t>Ultra Rare</t>
        </is>
      </c>
      <c r="F11" s="19" t="inlineStr">
        <is>
          <t>Near Mint</t>
        </is>
      </c>
      <c r="G11" s="20" t="n">
        <v>1</v>
      </c>
      <c r="H11" s="18" t="inlineStr">
        <is>
          <t>Binder A</t>
        </is>
      </c>
      <c r="I11" s="21" t="n">
        <v>46136</v>
      </c>
      <c r="J11" s="22" t="n">
        <v>75</v>
      </c>
      <c r="K11" s="22" t="n">
        <v>145</v>
      </c>
      <c r="L11" s="22">
        <f>IF(A11="","",G11*K11)</f>
        <v/>
      </c>
      <c r="M11" s="19" t="inlineStr">
        <is>
          <t>Yes</t>
        </is>
      </c>
      <c r="N11" s="18" t="inlineStr"/>
      <c r="S11" s="23" t="inlineStr">
        <is>
          <t>Glacial Peak</t>
        </is>
      </c>
      <c r="T11" s="24">
        <f>SUMIF(ColSet,S11,ColTotal)</f>
        <v/>
      </c>
    </row>
    <row r="12">
      <c r="A12" s="25" t="inlineStr">
        <is>
          <t>Thunderclap Roc</t>
        </is>
      </c>
      <c r="B12" s="25" t="inlineStr">
        <is>
          <t>Tempest Rising</t>
        </is>
      </c>
      <c r="C12" s="26" t="inlineStr">
        <is>
          <t>088/150</t>
        </is>
      </c>
      <c r="D12" s="26" t="inlineStr">
        <is>
          <t>EN</t>
        </is>
      </c>
      <c r="E12" s="26" t="inlineStr">
        <is>
          <t>Ultra Rare</t>
        </is>
      </c>
      <c r="F12" s="26" t="inlineStr">
        <is>
          <t>Near Mint</t>
        </is>
      </c>
      <c r="G12" s="27" t="n">
        <v>1</v>
      </c>
      <c r="H12" s="25" t="inlineStr">
        <is>
          <t>Binder A</t>
        </is>
      </c>
      <c r="I12" s="28" t="n">
        <v>46166</v>
      </c>
      <c r="J12" s="29" t="n">
        <v>55</v>
      </c>
      <c r="K12" s="29" t="n">
        <v>96</v>
      </c>
      <c r="L12" s="29">
        <f>IF(A12="","",G12*K12)</f>
        <v/>
      </c>
      <c r="M12" s="26" t="inlineStr">
        <is>
          <t>Yes</t>
        </is>
      </c>
      <c r="N12" s="25" t="inlineStr">
        <is>
          <t>From trade</t>
        </is>
      </c>
    </row>
    <row r="13">
      <c r="A13" s="18" t="inlineStr">
        <is>
          <t>Tidecaller Leviathan</t>
        </is>
      </c>
      <c r="B13" s="18" t="inlineStr">
        <is>
          <t>Deep Currents</t>
        </is>
      </c>
      <c r="C13" s="19" t="inlineStr">
        <is>
          <t>031/140</t>
        </is>
      </c>
      <c r="D13" s="19" t="inlineStr">
        <is>
          <t>EN</t>
        </is>
      </c>
      <c r="E13" s="19" t="inlineStr">
        <is>
          <t>Ultra Rare</t>
        </is>
      </c>
      <c r="F13" s="19" t="inlineStr">
        <is>
          <t>Lightly Played</t>
        </is>
      </c>
      <c r="G13" s="20" t="n">
        <v>1</v>
      </c>
      <c r="H13" s="18" t="inlineStr">
        <is>
          <t>Binder A</t>
        </is>
      </c>
      <c r="I13" s="21" t="n">
        <v>46096</v>
      </c>
      <c r="J13" s="22" t="n">
        <v>60</v>
      </c>
      <c r="K13" s="22" t="n">
        <v>88</v>
      </c>
      <c r="L13" s="22">
        <f>IF(A13="","",G13*K13)</f>
        <v/>
      </c>
      <c r="M13" s="19" t="inlineStr">
        <is>
          <t>Yes</t>
        </is>
      </c>
      <c r="N13" s="18" t="inlineStr"/>
    </row>
    <row r="14">
      <c r="A14" s="25" t="inlineStr">
        <is>
          <t>Lunar Priestess</t>
        </is>
      </c>
      <c r="B14" s="25" t="inlineStr">
        <is>
          <t>Midnight Veil</t>
        </is>
      </c>
      <c r="C14" s="26" t="inlineStr">
        <is>
          <t>059/160</t>
        </is>
      </c>
      <c r="D14" s="26" t="inlineStr">
        <is>
          <t>EN</t>
        </is>
      </c>
      <c r="E14" s="26" t="inlineStr">
        <is>
          <t>Rare Holo</t>
        </is>
      </c>
      <c r="F14" s="26" t="inlineStr">
        <is>
          <t>Near Mint</t>
        </is>
      </c>
      <c r="G14" s="27" t="n">
        <v>1</v>
      </c>
      <c r="H14" s="25" t="inlineStr">
        <is>
          <t>Binder B</t>
        </is>
      </c>
      <c r="I14" s="28" t="n">
        <v>46171</v>
      </c>
      <c r="J14" s="29" t="n">
        <v>28</v>
      </c>
      <c r="K14" s="29" t="n">
        <v>42</v>
      </c>
      <c r="L14" s="29">
        <f>IF(A14="","",G14*K14)</f>
        <v/>
      </c>
      <c r="M14" s="26" t="inlineStr">
        <is>
          <t>Yes</t>
        </is>
      </c>
      <c r="N14" s="25" t="inlineStr"/>
    </row>
    <row r="15">
      <c r="A15" s="18" t="inlineStr">
        <is>
          <t>Storm Herald</t>
        </is>
      </c>
      <c r="B15" s="18" t="inlineStr">
        <is>
          <t>Tempest Rising</t>
        </is>
      </c>
      <c r="C15" s="19" t="inlineStr">
        <is>
          <t>041/150</t>
        </is>
      </c>
      <c r="D15" s="19" t="inlineStr">
        <is>
          <t>EN</t>
        </is>
      </c>
      <c r="E15" s="19" t="inlineStr">
        <is>
          <t>Rare Holo</t>
        </is>
      </c>
      <c r="F15" s="19" t="inlineStr">
        <is>
          <t>Near Mint</t>
        </is>
      </c>
      <c r="G15" s="20" t="n">
        <v>2</v>
      </c>
      <c r="H15" s="18" t="inlineStr">
        <is>
          <t>Binder B</t>
        </is>
      </c>
      <c r="I15" s="21" t="n">
        <v>46146</v>
      </c>
      <c r="J15" s="22" t="n">
        <v>30</v>
      </c>
      <c r="K15" s="22" t="n">
        <v>26</v>
      </c>
      <c r="L15" s="22">
        <f>IF(A15="","",G15*K15)</f>
        <v/>
      </c>
      <c r="M15" s="19" t="inlineStr">
        <is>
          <t>Yes</t>
        </is>
      </c>
      <c r="N15" s="18" t="inlineStr"/>
    </row>
    <row r="16">
      <c r="A16" s="25" t="inlineStr">
        <is>
          <t>Inferno Titan</t>
        </is>
      </c>
      <c r="B16" s="25" t="inlineStr">
        <is>
          <t>Obsidian Flames</t>
        </is>
      </c>
      <c r="C16" s="26" t="inlineStr">
        <is>
          <t>027/210</t>
        </is>
      </c>
      <c r="D16" s="26" t="inlineStr">
        <is>
          <t>EN</t>
        </is>
      </c>
      <c r="E16" s="26" t="inlineStr">
        <is>
          <t>Rare Holo</t>
        </is>
      </c>
      <c r="F16" s="26" t="inlineStr">
        <is>
          <t>Moderately Played</t>
        </is>
      </c>
      <c r="G16" s="27" t="n">
        <v>2</v>
      </c>
      <c r="H16" s="25" t="inlineStr">
        <is>
          <t>Binder B</t>
        </is>
      </c>
      <c r="I16" s="28" t="n">
        <v>46121</v>
      </c>
      <c r="J16" s="29" t="n">
        <v>22</v>
      </c>
      <c r="K16" s="29" t="n">
        <v>15</v>
      </c>
      <c r="L16" s="29">
        <f>IF(A16="","",G16*K16)</f>
        <v/>
      </c>
      <c r="M16" s="26" t="inlineStr">
        <is>
          <t>No</t>
        </is>
      </c>
      <c r="N16" s="25" t="inlineStr">
        <is>
          <t>Deck copies</t>
        </is>
      </c>
    </row>
    <row r="17">
      <c r="A17" s="18" t="inlineStr">
        <is>
          <t>Dragon's Hoard</t>
        </is>
      </c>
      <c r="B17" s="18" t="inlineStr">
        <is>
          <t>Tempest Rising</t>
        </is>
      </c>
      <c r="C17" s="19" t="inlineStr">
        <is>
          <t>112/150</t>
        </is>
      </c>
      <c r="D17" s="19" t="inlineStr">
        <is>
          <t>EN</t>
        </is>
      </c>
      <c r="E17" s="19" t="inlineStr">
        <is>
          <t>Rare</t>
        </is>
      </c>
      <c r="F17" s="19" t="inlineStr">
        <is>
          <t>Near Mint</t>
        </is>
      </c>
      <c r="G17" s="20" t="n">
        <v>2</v>
      </c>
      <c r="H17" s="18" t="inlineStr">
        <is>
          <t>Binder B</t>
        </is>
      </c>
      <c r="I17" s="21" t="n">
        <v>46156</v>
      </c>
      <c r="J17" s="22" t="n">
        <v>14</v>
      </c>
      <c r="K17" s="22" t="n">
        <v>11</v>
      </c>
      <c r="L17" s="22">
        <f>IF(A17="","",G17*K17)</f>
        <v/>
      </c>
      <c r="M17" s="19" t="inlineStr">
        <is>
          <t>No</t>
        </is>
      </c>
      <c r="N17" s="18" t="inlineStr"/>
    </row>
    <row r="18">
      <c r="A18" s="25" t="inlineStr">
        <is>
          <t>Verdant Sprite</t>
        </is>
      </c>
      <c r="B18" s="25" t="inlineStr">
        <is>
          <t>Astral Dawn</t>
        </is>
      </c>
      <c r="C18" s="26" t="inlineStr">
        <is>
          <t>015/180</t>
        </is>
      </c>
      <c r="D18" s="26" t="inlineStr">
        <is>
          <t>EN</t>
        </is>
      </c>
      <c r="E18" s="26" t="inlineStr">
        <is>
          <t>Rare</t>
        </is>
      </c>
      <c r="F18" s="26" t="inlineStr">
        <is>
          <t>Near Mint</t>
        </is>
      </c>
      <c r="G18" s="27" t="n">
        <v>4</v>
      </c>
      <c r="H18" s="25" t="inlineStr">
        <is>
          <t>Binder B</t>
        </is>
      </c>
      <c r="I18" s="28" t="n">
        <v>46141</v>
      </c>
      <c r="J18" s="29" t="n">
        <v>24</v>
      </c>
      <c r="K18" s="29" t="n">
        <v>12</v>
      </c>
      <c r="L18" s="29">
        <f>IF(A18="","",G18*K18)</f>
        <v/>
      </c>
      <c r="M18" s="26" t="inlineStr">
        <is>
          <t>Yes</t>
        </is>
      </c>
      <c r="N18" s="25" t="inlineStr">
        <is>
          <t>3 for trade</t>
        </is>
      </c>
    </row>
    <row r="19">
      <c r="A19" s="18" t="inlineStr">
        <is>
          <t>Frostbite Wolf</t>
        </is>
      </c>
      <c r="B19" s="18" t="inlineStr">
        <is>
          <t>Glacial Peak</t>
        </is>
      </c>
      <c r="C19" s="19" t="inlineStr">
        <is>
          <t>022/130</t>
        </is>
      </c>
      <c r="D19" s="19" t="inlineStr">
        <is>
          <t>EN</t>
        </is>
      </c>
      <c r="E19" s="19" t="inlineStr">
        <is>
          <t>Rare</t>
        </is>
      </c>
      <c r="F19" s="19" t="inlineStr">
        <is>
          <t>Near Mint</t>
        </is>
      </c>
      <c r="G19" s="20" t="n">
        <v>6</v>
      </c>
      <c r="H19" s="18" t="inlineStr">
        <is>
          <t>Binder B</t>
        </is>
      </c>
      <c r="I19" s="21" t="n">
        <v>46161</v>
      </c>
      <c r="J19" s="22" t="n">
        <v>20</v>
      </c>
      <c r="K19" s="22" t="n">
        <v>9</v>
      </c>
      <c r="L19" s="22">
        <f>IF(A19="","",G19*K19)</f>
        <v/>
      </c>
      <c r="M19" s="19" t="inlineStr">
        <is>
          <t>No</t>
        </is>
      </c>
      <c r="N19" s="18" t="inlineStr">
        <is>
          <t>4 to sell</t>
        </is>
      </c>
    </row>
    <row r="20">
      <c r="A20" s="25" t="inlineStr">
        <is>
          <t>Arcane Scholar</t>
        </is>
      </c>
      <c r="B20" s="25" t="inlineStr">
        <is>
          <t>Astral Dawn</t>
        </is>
      </c>
      <c r="C20" s="26" t="inlineStr">
        <is>
          <t>066/180</t>
        </is>
      </c>
      <c r="D20" s="26" t="inlineStr">
        <is>
          <t>EN</t>
        </is>
      </c>
      <c r="E20" s="26" t="inlineStr">
        <is>
          <t>Uncommon</t>
        </is>
      </c>
      <c r="F20" s="26" t="inlineStr">
        <is>
          <t>Near Mint</t>
        </is>
      </c>
      <c r="G20" s="27" t="n">
        <v>24</v>
      </c>
      <c r="H20" s="25" t="inlineStr">
        <is>
          <t>Bulk Box 1</t>
        </is>
      </c>
      <c r="I20" s="28" t="n">
        <v>46176</v>
      </c>
      <c r="J20" s="29" t="n">
        <v>20</v>
      </c>
      <c r="K20" s="29" t="n">
        <v>3</v>
      </c>
      <c r="L20" s="29">
        <f>IF(A20="","",G20*K20)</f>
        <v/>
      </c>
      <c r="M20" s="26" t="inlineStr">
        <is>
          <t>No</t>
        </is>
      </c>
      <c r="N20" s="25" t="inlineStr"/>
    </row>
    <row r="21">
      <c r="A21" s="18" t="inlineStr">
        <is>
          <t>Mystic Fountain</t>
        </is>
      </c>
      <c r="B21" s="18" t="inlineStr">
        <is>
          <t>Deep Currents</t>
        </is>
      </c>
      <c r="C21" s="19" t="inlineStr">
        <is>
          <t>090/140</t>
        </is>
      </c>
      <c r="D21" s="19" t="inlineStr">
        <is>
          <t>EN</t>
        </is>
      </c>
      <c r="E21" s="19" t="inlineStr">
        <is>
          <t>Uncommon</t>
        </is>
      </c>
      <c r="F21" s="19" t="inlineStr">
        <is>
          <t>Near Mint</t>
        </is>
      </c>
      <c r="G21" s="20" t="n">
        <v>30</v>
      </c>
      <c r="H21" s="18" t="inlineStr">
        <is>
          <t>Bulk Box 1</t>
        </is>
      </c>
      <c r="I21" s="21" t="n">
        <v>46176</v>
      </c>
      <c r="J21" s="22" t="n">
        <v>18</v>
      </c>
      <c r="K21" s="22" t="n">
        <v>2</v>
      </c>
      <c r="L21" s="22">
        <f>IF(A21="","",G21*K21)</f>
        <v/>
      </c>
      <c r="M21" s="19" t="inlineStr">
        <is>
          <t>No</t>
        </is>
      </c>
      <c r="N21" s="18" t="inlineStr"/>
    </row>
    <row r="22">
      <c r="A22" s="25" t="inlineStr">
        <is>
          <t>Starlight Fairy</t>
        </is>
      </c>
      <c r="B22" s="25" t="inlineStr">
        <is>
          <t>Astral Dawn</t>
        </is>
      </c>
      <c r="C22" s="26" t="inlineStr">
        <is>
          <t>008/180</t>
        </is>
      </c>
      <c r="D22" s="26" t="inlineStr">
        <is>
          <t>EN</t>
        </is>
      </c>
      <c r="E22" s="26" t="inlineStr">
        <is>
          <t>Common</t>
        </is>
      </c>
      <c r="F22" s="26" t="inlineStr">
        <is>
          <t>Near Mint</t>
        </is>
      </c>
      <c r="G22" s="27" t="n">
        <v>66</v>
      </c>
      <c r="H22" s="25" t="inlineStr">
        <is>
          <t>Bulk Box 1</t>
        </is>
      </c>
      <c r="I22" s="28" t="n">
        <v>46176</v>
      </c>
      <c r="J22" s="29" t="n">
        <v>25</v>
      </c>
      <c r="K22" s="29" t="n">
        <v>1</v>
      </c>
      <c r="L22" s="29">
        <f>IF(A22="","",G22*K22)</f>
        <v/>
      </c>
      <c r="M22" s="26" t="inlineStr">
        <is>
          <t>No</t>
        </is>
      </c>
      <c r="N22" s="25" t="inlineStr">
        <is>
          <t>Bulk</t>
        </is>
      </c>
    </row>
    <row r="23">
      <c r="A23" s="18" t="n"/>
      <c r="B23" s="18" t="n"/>
      <c r="C23" s="19" t="n"/>
      <c r="D23" s="19" t="n"/>
      <c r="E23" s="19" t="n"/>
      <c r="F23" s="19" t="n"/>
      <c r="G23" s="20" t="n"/>
      <c r="H23" s="18" t="n"/>
      <c r="I23" s="21" t="n"/>
      <c r="J23" s="22" t="n"/>
      <c r="K23" s="22" t="n"/>
      <c r="L23" s="22" t="n"/>
      <c r="M23" s="19" t="n"/>
      <c r="N23" s="18" t="n"/>
    </row>
    <row r="24">
      <c r="A24" s="25" t="n"/>
      <c r="B24" s="25" t="n"/>
      <c r="C24" s="26" t="n"/>
      <c r="D24" s="26" t="n"/>
      <c r="E24" s="26" t="n"/>
      <c r="F24" s="26" t="n"/>
      <c r="G24" s="27" t="n"/>
      <c r="H24" s="25" t="n"/>
      <c r="I24" s="28" t="n"/>
      <c r="J24" s="29" t="n"/>
      <c r="K24" s="29" t="n"/>
      <c r="L24" s="29" t="n"/>
      <c r="M24" s="26" t="n"/>
      <c r="N24" s="25" t="n"/>
    </row>
    <row r="25">
      <c r="A25" s="18" t="n"/>
      <c r="B25" s="18" t="n"/>
      <c r="C25" s="19" t="n"/>
      <c r="D25" s="19" t="n"/>
      <c r="E25" s="19" t="n"/>
      <c r="F25" s="19" t="n"/>
      <c r="G25" s="20" t="n"/>
      <c r="H25" s="18" t="n"/>
      <c r="I25" s="21" t="n"/>
      <c r="J25" s="22" t="n"/>
      <c r="K25" s="22" t="n"/>
      <c r="L25" s="22" t="n"/>
      <c r="M25" s="19" t="n"/>
      <c r="N25" s="18" t="n"/>
    </row>
    <row r="26">
      <c r="A26" s="25" t="n"/>
      <c r="B26" s="25" t="n"/>
      <c r="C26" s="26" t="n"/>
      <c r="D26" s="26" t="n"/>
      <c r="E26" s="26" t="n"/>
      <c r="F26" s="26" t="n"/>
      <c r="G26" s="27" t="n"/>
      <c r="H26" s="25" t="n"/>
      <c r="I26" s="28" t="n"/>
      <c r="J26" s="29" t="n"/>
      <c r="K26" s="29" t="n"/>
      <c r="L26" s="29" t="n"/>
      <c r="M26" s="26" t="n"/>
      <c r="N26" s="25" t="n"/>
    </row>
    <row r="27">
      <c r="A27" s="18" t="n"/>
      <c r="B27" s="18" t="n"/>
      <c r="C27" s="19" t="n"/>
      <c r="D27" s="19" t="n"/>
      <c r="E27" s="19" t="n"/>
      <c r="F27" s="19" t="n"/>
      <c r="G27" s="20" t="n"/>
      <c r="H27" s="18" t="n"/>
      <c r="I27" s="21" t="n"/>
      <c r="J27" s="22" t="n"/>
      <c r="K27" s="22" t="n"/>
      <c r="L27" s="22" t="n"/>
      <c r="M27" s="19" t="n"/>
      <c r="N27" s="18" t="n"/>
    </row>
    <row r="28">
      <c r="A28" s="25" t="n"/>
      <c r="B28" s="25" t="n"/>
      <c r="C28" s="26" t="n"/>
      <c r="D28" s="26" t="n"/>
      <c r="E28" s="26" t="n"/>
      <c r="F28" s="26" t="n"/>
      <c r="G28" s="27" t="n"/>
      <c r="H28" s="25" t="n"/>
      <c r="I28" s="28" t="n"/>
      <c r="J28" s="29" t="n"/>
      <c r="K28" s="29" t="n"/>
      <c r="L28" s="29" t="n"/>
      <c r="M28" s="26" t="n"/>
      <c r="N28" s="25" t="n"/>
    </row>
    <row r="29">
      <c r="A29" s="18" t="n"/>
      <c r="B29" s="18" t="n"/>
      <c r="C29" s="19" t="n"/>
      <c r="D29" s="19" t="n"/>
      <c r="E29" s="19" t="n"/>
      <c r="F29" s="19" t="n"/>
      <c r="G29" s="20" t="n"/>
      <c r="H29" s="18" t="n"/>
      <c r="I29" s="21" t="n"/>
      <c r="J29" s="22" t="n"/>
      <c r="K29" s="22" t="n"/>
      <c r="L29" s="22" t="n"/>
      <c r="M29" s="19" t="n"/>
      <c r="N29" s="18" t="n"/>
    </row>
    <row r="30">
      <c r="A30" s="25" t="n"/>
      <c r="B30" s="25" t="n"/>
      <c r="C30" s="26" t="n"/>
      <c r="D30" s="26" t="n"/>
      <c r="E30" s="26" t="n"/>
      <c r="F30" s="26" t="n"/>
      <c r="G30" s="27" t="n"/>
      <c r="H30" s="25" t="n"/>
      <c r="I30" s="28" t="n"/>
      <c r="J30" s="29" t="n"/>
      <c r="K30" s="29" t="n"/>
      <c r="L30" s="29" t="n"/>
      <c r="M30" s="26" t="n"/>
      <c r="N30" s="25" t="n"/>
    </row>
    <row r="31">
      <c r="A31" s="18" t="n"/>
      <c r="B31" s="18" t="n"/>
      <c r="C31" s="19" t="n"/>
      <c r="D31" s="19" t="n"/>
      <c r="E31" s="19" t="n"/>
      <c r="F31" s="19" t="n"/>
      <c r="G31" s="20" t="n"/>
      <c r="H31" s="18" t="n"/>
      <c r="I31" s="21" t="n"/>
      <c r="J31" s="22" t="n"/>
      <c r="K31" s="22" t="n"/>
      <c r="L31" s="22" t="n"/>
      <c r="M31" s="19" t="n"/>
      <c r="N31" s="18" t="n"/>
    </row>
    <row r="32">
      <c r="A32" s="25" t="n"/>
      <c r="B32" s="25" t="n"/>
      <c r="C32" s="26" t="n"/>
      <c r="D32" s="26" t="n"/>
      <c r="E32" s="26" t="n"/>
      <c r="F32" s="26" t="n"/>
      <c r="G32" s="27" t="n"/>
      <c r="H32" s="25" t="n"/>
      <c r="I32" s="28" t="n"/>
      <c r="J32" s="29" t="n"/>
      <c r="K32" s="29" t="n"/>
      <c r="L32" s="29" t="n"/>
      <c r="M32" s="26" t="n"/>
      <c r="N32" s="25" t="n"/>
    </row>
    <row r="33">
      <c r="A33" s="18" t="n"/>
      <c r="B33" s="18" t="n"/>
      <c r="C33" s="19" t="n"/>
      <c r="D33" s="19" t="n"/>
      <c r="E33" s="19" t="n"/>
      <c r="F33" s="19" t="n"/>
      <c r="G33" s="20" t="n"/>
      <c r="H33" s="18" t="n"/>
      <c r="I33" s="21" t="n"/>
      <c r="J33" s="22" t="n"/>
      <c r="K33" s="22" t="n"/>
      <c r="L33" s="22" t="n"/>
      <c r="M33" s="19" t="n"/>
      <c r="N33" s="18" t="n"/>
    </row>
    <row r="34">
      <c r="A34" s="25" t="n"/>
      <c r="B34" s="25" t="n"/>
      <c r="C34" s="26" t="n"/>
      <c r="D34" s="26" t="n"/>
      <c r="E34" s="26" t="n"/>
      <c r="F34" s="26" t="n"/>
      <c r="G34" s="27" t="n"/>
      <c r="H34" s="25" t="n"/>
      <c r="I34" s="28" t="n"/>
      <c r="J34" s="29" t="n"/>
      <c r="K34" s="29" t="n"/>
      <c r="L34" s="29" t="n"/>
      <c r="M34" s="26" t="n"/>
      <c r="N34" s="25" t="n"/>
    </row>
    <row r="35">
      <c r="A35" s="18" t="n"/>
      <c r="B35" s="18" t="n"/>
      <c r="C35" s="19" t="n"/>
      <c r="D35" s="19" t="n"/>
      <c r="E35" s="19" t="n"/>
      <c r="F35" s="19" t="n"/>
      <c r="G35" s="20" t="n"/>
      <c r="H35" s="18" t="n"/>
      <c r="I35" s="21" t="n"/>
      <c r="J35" s="22" t="n"/>
      <c r="K35" s="22" t="n"/>
      <c r="L35" s="22" t="n"/>
      <c r="M35" s="19" t="n"/>
      <c r="N35" s="18" t="n"/>
    </row>
    <row r="36">
      <c r="A36" s="25" t="n"/>
      <c r="B36" s="25" t="n"/>
      <c r="C36" s="26" t="n"/>
      <c r="D36" s="26" t="n"/>
      <c r="E36" s="26" t="n"/>
      <c r="F36" s="26" t="n"/>
      <c r="G36" s="27" t="n"/>
      <c r="H36" s="25" t="n"/>
      <c r="I36" s="28" t="n"/>
      <c r="J36" s="29" t="n"/>
      <c r="K36" s="29" t="n"/>
      <c r="L36" s="29" t="n"/>
      <c r="M36" s="26" t="n"/>
      <c r="N36" s="25" t="n"/>
    </row>
    <row r="37">
      <c r="A37" s="18" t="n"/>
      <c r="B37" s="18" t="n"/>
      <c r="C37" s="19" t="n"/>
      <c r="D37" s="19" t="n"/>
      <c r="E37" s="19" t="n"/>
      <c r="F37" s="19" t="n"/>
      <c r="G37" s="20" t="n"/>
      <c r="H37" s="18" t="n"/>
      <c r="I37" s="21" t="n"/>
      <c r="J37" s="22" t="n"/>
      <c r="K37" s="22" t="n"/>
      <c r="L37" s="22" t="n"/>
      <c r="M37" s="19" t="n"/>
      <c r="N37" s="18" t="n"/>
    </row>
    <row r="38">
      <c r="A38" s="25" t="n"/>
      <c r="B38" s="25" t="n"/>
      <c r="C38" s="26" t="n"/>
      <c r="D38" s="26" t="n"/>
      <c r="E38" s="26" t="n"/>
      <c r="F38" s="26" t="n"/>
      <c r="G38" s="27" t="n"/>
      <c r="H38" s="25" t="n"/>
      <c r="I38" s="28" t="n"/>
      <c r="J38" s="29" t="n"/>
      <c r="K38" s="29" t="n"/>
      <c r="L38" s="29" t="n"/>
      <c r="M38" s="26" t="n"/>
      <c r="N38" s="25" t="n"/>
    </row>
    <row r="39">
      <c r="A39" s="18" t="n"/>
      <c r="B39" s="18" t="n"/>
      <c r="C39" s="19" t="n"/>
      <c r="D39" s="19" t="n"/>
      <c r="E39" s="19" t="n"/>
      <c r="F39" s="19" t="n"/>
      <c r="G39" s="20" t="n"/>
      <c r="H39" s="18" t="n"/>
      <c r="I39" s="21" t="n"/>
      <c r="J39" s="22" t="n"/>
      <c r="K39" s="22" t="n"/>
      <c r="L39" s="22" t="n"/>
      <c r="M39" s="19" t="n"/>
      <c r="N39" s="18" t="n"/>
    </row>
    <row r="40">
      <c r="A40" s="25" t="n"/>
      <c r="B40" s="25" t="n"/>
      <c r="C40" s="26" t="n"/>
      <c r="D40" s="26" t="n"/>
      <c r="E40" s="26" t="n"/>
      <c r="F40" s="26" t="n"/>
      <c r="G40" s="27" t="n"/>
      <c r="H40" s="25" t="n"/>
      <c r="I40" s="28" t="n"/>
      <c r="J40" s="29" t="n"/>
      <c r="K40" s="29" t="n"/>
      <c r="L40" s="29" t="n"/>
      <c r="M40" s="26" t="n"/>
      <c r="N40" s="25" t="n"/>
    </row>
    <row r="41">
      <c r="A41" s="18" t="n"/>
      <c r="B41" s="18" t="n"/>
      <c r="C41" s="19" t="n"/>
      <c r="D41" s="19" t="n"/>
      <c r="E41" s="19" t="n"/>
      <c r="F41" s="19" t="n"/>
      <c r="G41" s="20" t="n"/>
      <c r="H41" s="18" t="n"/>
      <c r="I41" s="21" t="n"/>
      <c r="J41" s="22" t="n"/>
      <c r="K41" s="22" t="n"/>
      <c r="L41" s="22" t="n"/>
      <c r="M41" s="19" t="n"/>
      <c r="N41" s="18" t="n"/>
    </row>
    <row r="42">
      <c r="A42" s="25" t="n"/>
      <c r="B42" s="25" t="n"/>
      <c r="C42" s="26" t="n"/>
      <c r="D42" s="26" t="n"/>
      <c r="E42" s="26" t="n"/>
      <c r="F42" s="26" t="n"/>
      <c r="G42" s="27" t="n"/>
      <c r="H42" s="25" t="n"/>
      <c r="I42" s="28" t="n"/>
      <c r="J42" s="29" t="n"/>
      <c r="K42" s="29" t="n"/>
      <c r="L42" s="29" t="n"/>
      <c r="M42" s="26" t="n"/>
      <c r="N42" s="25" t="n"/>
    </row>
    <row r="43">
      <c r="A43" s="18" t="n"/>
      <c r="B43" s="18" t="n"/>
      <c r="C43" s="19" t="n"/>
      <c r="D43" s="19" t="n"/>
      <c r="E43" s="19" t="n"/>
      <c r="F43" s="19" t="n"/>
      <c r="G43" s="20" t="n"/>
      <c r="H43" s="18" t="n"/>
      <c r="I43" s="21" t="n"/>
      <c r="J43" s="22" t="n"/>
      <c r="K43" s="22" t="n"/>
      <c r="L43" s="22" t="n"/>
      <c r="M43" s="19" t="n"/>
      <c r="N43" s="18" t="n"/>
    </row>
    <row r="44">
      <c r="A44" s="25" t="n"/>
      <c r="B44" s="25" t="n"/>
      <c r="C44" s="26" t="n"/>
      <c r="D44" s="26" t="n"/>
      <c r="E44" s="26" t="n"/>
      <c r="F44" s="26" t="n"/>
      <c r="G44" s="27" t="n"/>
      <c r="H44" s="25" t="n"/>
      <c r="I44" s="28" t="n"/>
      <c r="J44" s="29" t="n"/>
      <c r="K44" s="29" t="n"/>
      <c r="L44" s="29" t="n"/>
      <c r="M44" s="26" t="n"/>
      <c r="N44" s="25" t="n"/>
    </row>
    <row r="45">
      <c r="A45" s="7" t="inlineStr">
        <is>
          <t>TOTAL</t>
        </is>
      </c>
      <c r="G45" s="30">
        <f>SUM(G5:G44)</f>
        <v/>
      </c>
      <c r="J45" s="31">
        <f>SUM(J5:J44)</f>
        <v/>
      </c>
      <c r="L45" s="31">
        <f>SUM(L5:L44)</f>
        <v/>
      </c>
    </row>
  </sheetData>
  <mergeCells count="2">
    <mergeCell ref="A1:T1"/>
    <mergeCell ref="A2:T2"/>
  </mergeCells>
  <conditionalFormatting sqref="L5:L44">
    <cfRule type="dataBar" priority="1">
      <dataBar showValue="1">
        <cfvo type="num" val="0"/>
        <cfvo type="num" val="650"/>
        <color rgb="001B4F48"/>
      </dataBar>
    </cfRule>
  </conditionalFormatting>
  <conditionalFormatting sqref="K5:K44">
    <cfRule type="colorScale" priority="2">
      <colorScale>
        <cfvo type="num" val="0"/>
        <cfvo type="num" val="600"/>
        <color rgb="FFFFFFFF"/>
        <color rgb="FF75E6C1"/>
      </colorScale>
    </cfRule>
  </conditionalFormatting>
  <conditionalFormatting sqref="M5:M44">
    <cfRule type="cellIs" priority="3" operator="equal" dxfId="0">
      <formula>"Yes"</formula>
    </cfRule>
  </conditionalFormatting>
  <dataValidations count="5">
    <dataValidation sqref="D5:D44" showDropDown="0" showInputMessage="0" showErrorMessage="0" allowBlank="1" type="list">
      <formula1>=LangList</formula1>
    </dataValidation>
    <dataValidation sqref="E5:E44" showDropDown="0" showInputMessage="0" showErrorMessage="0" allowBlank="1" type="list">
      <formula1>=RarityList</formula1>
    </dataValidation>
    <dataValidation sqref="F5:F44" showDropDown="0" showInputMessage="0" showErrorMessage="0" allowBlank="1" type="list">
      <formula1>=CondList</formula1>
    </dataValidation>
    <dataValidation sqref="H5:H44" showDropDown="0" showInputMessage="0" showErrorMessage="0" allowBlank="1" type="list">
      <formula1>=LocList</formula1>
    </dataValidation>
    <dataValidation sqref="M5:M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4" customWidth="1" min="3" max="3"/>
    <col width="8" customWidth="1" min="4" max="4"/>
    <col width="11" customWidth="1" min="5" max="5"/>
    <col width="11" customWidth="1" min="6" max="6"/>
    <col width="9" customWidth="1" min="7" max="7"/>
    <col width="12" customWidth="1" min="8" max="8"/>
  </cols>
  <sheetData>
    <row r="1" ht="46" customHeight="1">
      <c r="A1" s="1" t="inlineStr">
        <is>
          <t xml:space="preserve">  🛒  PURCHASE TRACKER</t>
        </is>
      </c>
    </row>
    <row r="2" ht="22" customHeight="1">
      <c r="A2" s="2" t="inlineStr">
        <is>
          <t xml:space="preserve">  Every pickup logged — price, shipping &amp; taxes roll into your true all-in cost.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Seller</t>
        </is>
      </c>
      <c r="B4" s="7" t="inlineStr">
        <is>
          <t>Date</t>
        </is>
      </c>
      <c r="C4" s="7" t="inlineStr">
        <is>
          <t>Item</t>
        </is>
      </c>
      <c r="D4" s="7" t="inlineStr">
        <is>
          <t>Qty</t>
        </is>
      </c>
      <c r="E4" s="7" t="inlineStr">
        <is>
          <t>Price</t>
        </is>
      </c>
      <c r="F4" s="7" t="inlineStr">
        <is>
          <t>Shipping</t>
        </is>
      </c>
      <c r="G4" s="7" t="inlineStr">
        <is>
          <t>Taxes</t>
        </is>
      </c>
      <c r="H4" s="7" t="inlineStr">
        <is>
          <t>Total</t>
        </is>
      </c>
    </row>
    <row r="5">
      <c r="A5" s="18" t="inlineStr">
        <is>
          <t>CardVault Shop</t>
        </is>
      </c>
      <c r="B5" s="21" t="n">
        <v>46086</v>
      </c>
      <c r="C5" s="18" t="inlineStr">
        <is>
          <t>Emberfang Dragon (Holo)</t>
        </is>
      </c>
      <c r="D5" s="20" t="n">
        <v>1</v>
      </c>
      <c r="E5" s="22" t="n">
        <v>112</v>
      </c>
      <c r="F5" s="22" t="n">
        <v>8</v>
      </c>
      <c r="G5" s="22" t="n">
        <v>0</v>
      </c>
      <c r="H5" s="22">
        <f>IF(A5="","",E5+F5+G5)</f>
        <v/>
      </c>
    </row>
    <row r="6">
      <c r="A6" s="25" t="inlineStr">
        <is>
          <t>mint_pulls (eBay)</t>
        </is>
      </c>
      <c r="B6" s="28" t="n">
        <v>46126</v>
      </c>
      <c r="C6" s="25" t="inlineStr">
        <is>
          <t>Golden Phoenix Alt Art — PSA 10</t>
        </is>
      </c>
      <c r="D6" s="27" t="n">
        <v>1</v>
      </c>
      <c r="E6" s="29" t="n">
        <v>138</v>
      </c>
      <c r="F6" s="29" t="n">
        <v>12</v>
      </c>
      <c r="G6" s="29" t="n">
        <v>0</v>
      </c>
      <c r="H6" s="29">
        <f>IF(A6="","",E6+F6+G6)</f>
        <v/>
      </c>
    </row>
    <row r="7">
      <c r="A7" s="18" t="inlineStr">
        <is>
          <t>Dragon's Den LGS</t>
        </is>
      </c>
      <c r="B7" s="21" t="n">
        <v>46116</v>
      </c>
      <c r="C7" s="18" t="inlineStr">
        <is>
          <t>Celestial Guardian (JP)</t>
        </is>
      </c>
      <c r="D7" s="20" t="n">
        <v>1</v>
      </c>
      <c r="E7" s="22" t="n">
        <v>95</v>
      </c>
      <c r="F7" s="22" t="n">
        <v>0</v>
      </c>
      <c r="G7" s="22" t="n">
        <v>0</v>
      </c>
      <c r="H7" s="22">
        <f>IF(A7="","",E7+F7+G7)</f>
        <v/>
      </c>
    </row>
    <row r="8">
      <c r="A8" s="25" t="inlineStr">
        <is>
          <t>TCG Marketplace</t>
        </is>
      </c>
      <c r="B8" s="28" t="n">
        <v>46151</v>
      </c>
      <c r="C8" s="25" t="inlineStr">
        <is>
          <t>Ancient Colossus — BGS 9.5</t>
        </is>
      </c>
      <c r="D8" s="27" t="n">
        <v>1</v>
      </c>
      <c r="E8" s="29" t="n">
        <v>198</v>
      </c>
      <c r="F8" s="29" t="n">
        <v>12</v>
      </c>
      <c r="G8" s="29" t="n">
        <v>0</v>
      </c>
      <c r="H8" s="29">
        <f>IF(A8="","",E8+F8+G8)</f>
        <v/>
      </c>
    </row>
    <row r="9">
      <c r="A9" s="18" t="inlineStr">
        <is>
          <t>mint_pulls (eBay)</t>
        </is>
      </c>
      <c r="B9" s="21" t="n">
        <v>46131</v>
      </c>
      <c r="C9" s="18" t="inlineStr">
        <is>
          <t>Twin Flames Duo — PSA 9</t>
        </is>
      </c>
      <c r="D9" s="20" t="n">
        <v>1</v>
      </c>
      <c r="E9" s="22" t="n">
        <v>80</v>
      </c>
      <c r="F9" s="22" t="n">
        <v>8</v>
      </c>
      <c r="G9" s="22" t="n">
        <v>0</v>
      </c>
      <c r="H9" s="22">
        <f>IF(A9="","",E9+F9+G9)</f>
        <v/>
      </c>
    </row>
    <row r="10">
      <c r="A10" s="25" t="inlineStr">
        <is>
          <t>TCG Marketplace</t>
        </is>
      </c>
      <c r="B10" s="28" t="n">
        <v>46136</v>
      </c>
      <c r="C10" s="25" t="inlineStr">
        <is>
          <t>Shadow Assassin</t>
        </is>
      </c>
      <c r="D10" s="27" t="n">
        <v>1</v>
      </c>
      <c r="E10" s="29" t="n">
        <v>70</v>
      </c>
      <c r="F10" s="29" t="n">
        <v>5</v>
      </c>
      <c r="G10" s="29" t="n">
        <v>0</v>
      </c>
      <c r="H10" s="29">
        <f>IF(A10="","",E10+F10+G10)</f>
        <v/>
      </c>
    </row>
    <row r="11">
      <c r="A11" s="18" t="inlineStr">
        <is>
          <t>Card Show</t>
        </is>
      </c>
      <c r="B11" s="21" t="n">
        <v>46106</v>
      </c>
      <c r="C11" s="18" t="inlineStr">
        <is>
          <t>Royal Kraken — PSA 8</t>
        </is>
      </c>
      <c r="D11" s="20" t="n">
        <v>1</v>
      </c>
      <c r="E11" s="22" t="n">
        <v>70</v>
      </c>
      <c r="F11" s="22" t="n">
        <v>0</v>
      </c>
      <c r="G11" s="22" t="n">
        <v>0</v>
      </c>
      <c r="H11" s="22">
        <f>IF(A11="","",E11+F11+G11)</f>
        <v/>
      </c>
    </row>
    <row r="12">
      <c r="A12" s="25" t="inlineStr">
        <is>
          <t>Dragon's Den LGS</t>
        </is>
      </c>
      <c r="B12" s="28" t="n">
        <v>46161</v>
      </c>
      <c r="C12" s="25" t="inlineStr">
        <is>
          <t>UR / Holo lot (Roc, Leviathan, Priestess)</t>
        </is>
      </c>
      <c r="D12" s="27" t="n">
        <v>3</v>
      </c>
      <c r="E12" s="29" t="n">
        <v>143</v>
      </c>
      <c r="F12" s="29" t="n">
        <v>0</v>
      </c>
      <c r="G12" s="29" t="n">
        <v>0</v>
      </c>
      <c r="H12" s="29">
        <f>IF(A12="","",E12+F12+G12)</f>
        <v/>
      </c>
    </row>
    <row r="13">
      <c r="A13" s="18" t="inlineStr">
        <is>
          <t>Card Show</t>
        </is>
      </c>
      <c r="B13" s="21" t="n">
        <v>46146</v>
      </c>
      <c r="C13" s="18" t="inlineStr">
        <is>
          <t>Rares lot (Herald, Titan, Hoard, Sprite, Wolf)</t>
        </is>
      </c>
      <c r="D13" s="20" t="n">
        <v>16</v>
      </c>
      <c r="E13" s="22" t="n">
        <v>110</v>
      </c>
      <c r="F13" s="22" t="n">
        <v>0</v>
      </c>
      <c r="G13" s="22" t="n">
        <v>0</v>
      </c>
      <c r="H13" s="22">
        <f>IF(A13="","",E13+F13+G13)</f>
        <v/>
      </c>
    </row>
    <row r="14">
      <c r="A14" s="25" t="inlineStr">
        <is>
          <t>Dragon's Den LGS</t>
        </is>
      </c>
      <c r="B14" s="28" t="n">
        <v>46176</v>
      </c>
      <c r="C14" s="25" t="inlineStr">
        <is>
          <t>Bulk commons &amp; uncommons</t>
        </is>
      </c>
      <c r="D14" s="27" t="n">
        <v>120</v>
      </c>
      <c r="E14" s="29" t="n">
        <v>63</v>
      </c>
      <c r="F14" s="29" t="n">
        <v>0</v>
      </c>
      <c r="G14" s="29" t="n">
        <v>0</v>
      </c>
      <c r="H14" s="29">
        <f>IF(A14="","",E14+F14+G14)</f>
        <v/>
      </c>
    </row>
    <row r="15">
      <c r="A15" s="18" t="n"/>
      <c r="B15" s="21" t="n"/>
      <c r="C15" s="18" t="n"/>
      <c r="D15" s="20" t="n"/>
      <c r="E15" s="22" t="n"/>
      <c r="F15" s="22" t="n"/>
      <c r="G15" s="22" t="n"/>
      <c r="H15" s="22" t="n"/>
    </row>
    <row r="16">
      <c r="A16" s="25" t="n"/>
      <c r="B16" s="28" t="n"/>
      <c r="C16" s="25" t="n"/>
      <c r="D16" s="27" t="n"/>
      <c r="E16" s="29" t="n"/>
      <c r="F16" s="29" t="n"/>
      <c r="G16" s="29" t="n"/>
      <c r="H16" s="29" t="n"/>
    </row>
    <row r="17">
      <c r="A17" s="18" t="n"/>
      <c r="B17" s="21" t="n"/>
      <c r="C17" s="18" t="n"/>
      <c r="D17" s="20" t="n"/>
      <c r="E17" s="22" t="n"/>
      <c r="F17" s="22" t="n"/>
      <c r="G17" s="22" t="n"/>
      <c r="H17" s="22" t="n"/>
    </row>
    <row r="18">
      <c r="A18" s="25" t="n"/>
      <c r="B18" s="28" t="n"/>
      <c r="C18" s="25" t="n"/>
      <c r="D18" s="27" t="n"/>
      <c r="E18" s="29" t="n"/>
      <c r="F18" s="29" t="n"/>
      <c r="G18" s="29" t="n"/>
      <c r="H18" s="29" t="n"/>
    </row>
    <row r="19">
      <c r="A19" s="18" t="n"/>
      <c r="B19" s="21" t="n"/>
      <c r="C19" s="18" t="n"/>
      <c r="D19" s="20" t="n"/>
      <c r="E19" s="22" t="n"/>
      <c r="F19" s="22" t="n"/>
      <c r="G19" s="22" t="n"/>
      <c r="H19" s="22" t="n"/>
    </row>
    <row r="20">
      <c r="A20" s="25" t="n"/>
      <c r="B20" s="28" t="n"/>
      <c r="C20" s="25" t="n"/>
      <c r="D20" s="27" t="n"/>
      <c r="E20" s="29" t="n"/>
      <c r="F20" s="29" t="n"/>
      <c r="G20" s="29" t="n"/>
      <c r="H20" s="29" t="n"/>
    </row>
    <row r="21">
      <c r="A21" s="18" t="n"/>
      <c r="B21" s="21" t="n"/>
      <c r="C21" s="18" t="n"/>
      <c r="D21" s="20" t="n"/>
      <c r="E21" s="22" t="n"/>
      <c r="F21" s="22" t="n"/>
      <c r="G21" s="22" t="n"/>
      <c r="H21" s="22" t="n"/>
    </row>
    <row r="22">
      <c r="A22" s="25" t="n"/>
      <c r="B22" s="28" t="n"/>
      <c r="C22" s="25" t="n"/>
      <c r="D22" s="27" t="n"/>
      <c r="E22" s="29" t="n"/>
      <c r="F22" s="29" t="n"/>
      <c r="G22" s="29" t="n"/>
      <c r="H22" s="29" t="n"/>
    </row>
    <row r="23">
      <c r="A23" s="18" t="n"/>
      <c r="B23" s="21" t="n"/>
      <c r="C23" s="18" t="n"/>
      <c r="D23" s="20" t="n"/>
      <c r="E23" s="22" t="n"/>
      <c r="F23" s="22" t="n"/>
      <c r="G23" s="22" t="n"/>
      <c r="H23" s="22" t="n"/>
    </row>
    <row r="24">
      <c r="A24" s="25" t="n"/>
      <c r="B24" s="28" t="n"/>
      <c r="C24" s="25" t="n"/>
      <c r="D24" s="27" t="n"/>
      <c r="E24" s="29" t="n"/>
      <c r="F24" s="29" t="n"/>
      <c r="G24" s="29" t="n"/>
      <c r="H24" s="29" t="n"/>
    </row>
    <row r="25">
      <c r="A25" s="18" t="n"/>
      <c r="B25" s="21" t="n"/>
      <c r="C25" s="18" t="n"/>
      <c r="D25" s="20" t="n"/>
      <c r="E25" s="22" t="n"/>
      <c r="F25" s="22" t="n"/>
      <c r="G25" s="22" t="n"/>
      <c r="H25" s="22" t="n"/>
    </row>
    <row r="26">
      <c r="A26" s="25" t="n"/>
      <c r="B26" s="28" t="n"/>
      <c r="C26" s="25" t="n"/>
      <c r="D26" s="27" t="n"/>
      <c r="E26" s="29" t="n"/>
      <c r="F26" s="29" t="n"/>
      <c r="G26" s="29" t="n"/>
      <c r="H26" s="29" t="n"/>
    </row>
    <row r="27">
      <c r="A27" s="18" t="n"/>
      <c r="B27" s="21" t="n"/>
      <c r="C27" s="18" t="n"/>
      <c r="D27" s="20" t="n"/>
      <c r="E27" s="22" t="n"/>
      <c r="F27" s="22" t="n"/>
      <c r="G27" s="22" t="n"/>
      <c r="H27" s="22" t="n"/>
    </row>
    <row r="28">
      <c r="A28" s="25" t="n"/>
      <c r="B28" s="28" t="n"/>
      <c r="C28" s="25" t="n"/>
      <c r="D28" s="27" t="n"/>
      <c r="E28" s="29" t="n"/>
      <c r="F28" s="29" t="n"/>
      <c r="G28" s="29" t="n"/>
      <c r="H28" s="29" t="n"/>
    </row>
    <row r="29">
      <c r="A29" s="18" t="n"/>
      <c r="B29" s="21" t="n"/>
      <c r="C29" s="18" t="n"/>
      <c r="D29" s="20" t="n"/>
      <c r="E29" s="22" t="n"/>
      <c r="F29" s="22" t="n"/>
      <c r="G29" s="22" t="n"/>
      <c r="H29" s="22" t="n"/>
    </row>
    <row r="30">
      <c r="A30" s="25" t="n"/>
      <c r="B30" s="28" t="n"/>
      <c r="C30" s="25" t="n"/>
      <c r="D30" s="27" t="n"/>
      <c r="E30" s="29" t="n"/>
      <c r="F30" s="29" t="n"/>
      <c r="G30" s="29" t="n"/>
      <c r="H30" s="29" t="n"/>
    </row>
    <row r="31">
      <c r="A31" s="18" t="n"/>
      <c r="B31" s="21" t="n"/>
      <c r="C31" s="18" t="n"/>
      <c r="D31" s="20" t="n"/>
      <c r="E31" s="22" t="n"/>
      <c r="F31" s="22" t="n"/>
      <c r="G31" s="22" t="n"/>
      <c r="H31" s="22" t="n"/>
    </row>
    <row r="32">
      <c r="A32" s="25" t="n"/>
      <c r="B32" s="28" t="n"/>
      <c r="C32" s="25" t="n"/>
      <c r="D32" s="27" t="n"/>
      <c r="E32" s="29" t="n"/>
      <c r="F32" s="29" t="n"/>
      <c r="G32" s="29" t="n"/>
      <c r="H32" s="29" t="n"/>
    </row>
    <row r="33">
      <c r="A33" s="18" t="n"/>
      <c r="B33" s="21" t="n"/>
      <c r="C33" s="18" t="n"/>
      <c r="D33" s="20" t="n"/>
      <c r="E33" s="22" t="n"/>
      <c r="F33" s="22" t="n"/>
      <c r="G33" s="22" t="n"/>
      <c r="H33" s="22" t="n"/>
    </row>
    <row r="34">
      <c r="A34" s="25" t="n"/>
      <c r="B34" s="28" t="n"/>
      <c r="C34" s="25" t="n"/>
      <c r="D34" s="27" t="n"/>
      <c r="E34" s="29" t="n"/>
      <c r="F34" s="29" t="n"/>
      <c r="G34" s="29" t="n"/>
      <c r="H34" s="29" t="n"/>
    </row>
    <row r="35">
      <c r="A35" s="18" t="n"/>
      <c r="B35" s="21" t="n"/>
      <c r="C35" s="18" t="n"/>
      <c r="D35" s="20" t="n"/>
      <c r="E35" s="22" t="n"/>
      <c r="F35" s="22" t="n"/>
      <c r="G35" s="22" t="n"/>
      <c r="H35" s="22" t="n"/>
    </row>
    <row r="36">
      <c r="A36" s="25" t="n"/>
      <c r="B36" s="28" t="n"/>
      <c r="C36" s="25" t="n"/>
      <c r="D36" s="27" t="n"/>
      <c r="E36" s="29" t="n"/>
      <c r="F36" s="29" t="n"/>
      <c r="G36" s="29" t="n"/>
      <c r="H36" s="29" t="n"/>
    </row>
    <row r="37">
      <c r="A37" s="18" t="n"/>
      <c r="B37" s="21" t="n"/>
      <c r="C37" s="18" t="n"/>
      <c r="D37" s="20" t="n"/>
      <c r="E37" s="22" t="n"/>
      <c r="F37" s="22" t="n"/>
      <c r="G37" s="22" t="n"/>
      <c r="H37" s="22" t="n"/>
    </row>
    <row r="38">
      <c r="A38" s="25" t="n"/>
      <c r="B38" s="28" t="n"/>
      <c r="C38" s="25" t="n"/>
      <c r="D38" s="27" t="n"/>
      <c r="E38" s="29" t="n"/>
      <c r="F38" s="29" t="n"/>
      <c r="G38" s="29" t="n"/>
      <c r="H38" s="29" t="n"/>
    </row>
    <row r="39">
      <c r="A39" s="18" t="n"/>
      <c r="B39" s="21" t="n"/>
      <c r="C39" s="18" t="n"/>
      <c r="D39" s="20" t="n"/>
      <c r="E39" s="22" t="n"/>
      <c r="F39" s="22" t="n"/>
      <c r="G39" s="22" t="n"/>
      <c r="H39" s="22" t="n"/>
    </row>
    <row r="40">
      <c r="A40" s="25" t="n"/>
      <c r="B40" s="28" t="n"/>
      <c r="C40" s="25" t="n"/>
      <c r="D40" s="27" t="n"/>
      <c r="E40" s="29" t="n"/>
      <c r="F40" s="29" t="n"/>
      <c r="G40" s="29" t="n"/>
      <c r="H40" s="29" t="n"/>
    </row>
    <row r="41">
      <c r="A41" s="18" t="n"/>
      <c r="B41" s="21" t="n"/>
      <c r="C41" s="18" t="n"/>
      <c r="D41" s="20" t="n"/>
      <c r="E41" s="22" t="n"/>
      <c r="F41" s="22" t="n"/>
      <c r="G41" s="22" t="n"/>
      <c r="H41" s="22" t="n"/>
    </row>
    <row r="42">
      <c r="A42" s="25" t="n"/>
      <c r="B42" s="28" t="n"/>
      <c r="C42" s="25" t="n"/>
      <c r="D42" s="27" t="n"/>
      <c r="E42" s="29" t="n"/>
      <c r="F42" s="29" t="n"/>
      <c r="G42" s="29" t="n"/>
      <c r="H42" s="29" t="n"/>
    </row>
    <row r="43">
      <c r="A43" s="18" t="n"/>
      <c r="B43" s="21" t="n"/>
      <c r="C43" s="18" t="n"/>
      <c r="D43" s="20" t="n"/>
      <c r="E43" s="22" t="n"/>
      <c r="F43" s="22" t="n"/>
      <c r="G43" s="22" t="n"/>
      <c r="H43" s="22" t="n"/>
    </row>
    <row r="44">
      <c r="A44" s="25" t="n"/>
      <c r="B44" s="28" t="n"/>
      <c r="C44" s="25" t="n"/>
      <c r="D44" s="27" t="n"/>
      <c r="E44" s="29" t="n"/>
      <c r="F44" s="29" t="n"/>
      <c r="G44" s="29" t="n"/>
      <c r="H44" s="29" t="n"/>
    </row>
    <row r="45">
      <c r="A45" s="7" t="inlineStr">
        <is>
          <t>TOTAL</t>
        </is>
      </c>
      <c r="E45" s="31">
        <f>SUM(E5:E44)</f>
        <v/>
      </c>
      <c r="F45" s="31">
        <f>SUM(F5:F44)</f>
        <v/>
      </c>
      <c r="G45" s="31">
        <f>SUM(G5:G44)</f>
        <v/>
      </c>
      <c r="H45" s="31">
        <f>SUM(H5:H44)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17" customWidth="1" min="4" max="4"/>
    <col width="11" customWidth="1" min="5" max="5"/>
    <col width="9" customWidth="1" min="6" max="6"/>
    <col width="11" customWidth="1" min="7" max="7"/>
    <col width="12" customWidth="1" min="8" max="8"/>
  </cols>
  <sheetData>
    <row r="1" ht="46" customHeight="1">
      <c r="A1" s="1" t="inlineStr">
        <is>
          <t xml:space="preserve">  💵  SALES TRACKER</t>
        </is>
      </c>
    </row>
    <row r="2" ht="22" customHeight="1">
      <c r="A2" s="2" t="inlineStr">
        <is>
          <t xml:space="preserve">  Turn extras into cash — sale price, fees &amp; shipping net out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Buyer</t>
        </is>
      </c>
      <c r="B4" s="7" t="inlineStr">
        <is>
          <t>Date</t>
        </is>
      </c>
      <c r="C4" s="7" t="inlineStr">
        <is>
          <t>Item</t>
        </is>
      </c>
      <c r="D4" s="7" t="inlineStr">
        <is>
          <t>Marketplace</t>
        </is>
      </c>
      <c r="E4" s="7" t="inlineStr">
        <is>
          <t>Sale Price</t>
        </is>
      </c>
      <c r="F4" s="7" t="inlineStr">
        <is>
          <t>Fees</t>
        </is>
      </c>
      <c r="G4" s="7" t="inlineStr">
        <is>
          <t>Shipping</t>
        </is>
      </c>
      <c r="H4" s="7" t="inlineStr">
        <is>
          <t>Net Proceeds</t>
        </is>
      </c>
    </row>
    <row r="5">
      <c r="A5" s="18" t="inlineStr">
        <is>
          <t>kai_collects</t>
        </is>
      </c>
      <c r="B5" s="21" t="n">
        <v>46186</v>
      </c>
      <c r="C5" s="18" t="inlineStr">
        <is>
          <t>Storm Herald (extra)</t>
        </is>
      </c>
      <c r="D5" s="19" t="inlineStr">
        <is>
          <t>eBay</t>
        </is>
      </c>
      <c r="E5" s="22" t="n">
        <v>34</v>
      </c>
      <c r="F5" s="22" t="n">
        <v>5</v>
      </c>
      <c r="G5" s="22" t="n">
        <v>4</v>
      </c>
      <c r="H5" s="22">
        <f>IF(A5="","",E5-F5-G5)</f>
        <v/>
      </c>
    </row>
    <row r="6">
      <c r="A6" s="25" t="inlineStr">
        <is>
          <t>deckmaster99</t>
        </is>
      </c>
      <c r="B6" s="28" t="n">
        <v>46192</v>
      </c>
      <c r="C6" s="25" t="inlineStr">
        <is>
          <t>Verdant Sprite playset</t>
        </is>
      </c>
      <c r="D6" s="26" t="inlineStr">
        <is>
          <t>TCG Marketplace</t>
        </is>
      </c>
      <c r="E6" s="29" t="n">
        <v>18</v>
      </c>
      <c r="F6" s="29" t="n">
        <v>2</v>
      </c>
      <c r="G6" s="29" t="n">
        <v>3</v>
      </c>
      <c r="H6" s="29">
        <f>IF(A6="","",E6-F6-G6)</f>
        <v/>
      </c>
    </row>
    <row r="7">
      <c r="A7" s="18" t="inlineStr">
        <is>
          <t>Local pickup — Sam</t>
        </is>
      </c>
      <c r="B7" s="21" t="n">
        <v>46197</v>
      </c>
      <c r="C7" s="18" t="inlineStr">
        <is>
          <t>Frostbite Wolf ×2</t>
        </is>
      </c>
      <c r="D7" s="19" t="inlineStr">
        <is>
          <t>Facebook</t>
        </is>
      </c>
      <c r="E7" s="22" t="n">
        <v>16</v>
      </c>
      <c r="F7" s="22" t="n">
        <v>0</v>
      </c>
      <c r="G7" s="22" t="n">
        <v>0</v>
      </c>
      <c r="H7" s="22">
        <f>IF(A7="","",E7-F7-G7)</f>
        <v/>
      </c>
    </row>
    <row r="8">
      <c r="A8" s="25" t="inlineStr">
        <is>
          <t>bulk_buyer_tcg</t>
        </is>
      </c>
      <c r="B8" s="28" t="n">
        <v>46202</v>
      </c>
      <c r="C8" s="25" t="inlineStr">
        <is>
          <t>Inferno Titan (MP)</t>
        </is>
      </c>
      <c r="D8" s="26" t="inlineStr">
        <is>
          <t>eBay</t>
        </is>
      </c>
      <c r="E8" s="29" t="n">
        <v>12</v>
      </c>
      <c r="F8" s="29" t="n">
        <v>2</v>
      </c>
      <c r="G8" s="29" t="n">
        <v>4</v>
      </c>
      <c r="H8" s="29">
        <f>IF(A8="","",E8-F8-G8)</f>
        <v/>
      </c>
    </row>
    <row r="9">
      <c r="A9" s="18" t="n"/>
      <c r="B9" s="21" t="n"/>
      <c r="C9" s="18" t="n"/>
      <c r="D9" s="19" t="n"/>
      <c r="E9" s="22" t="n"/>
      <c r="F9" s="22" t="n"/>
      <c r="G9" s="22" t="n"/>
      <c r="H9" s="22" t="n"/>
    </row>
    <row r="10">
      <c r="A10" s="25" t="n"/>
      <c r="B10" s="28" t="n"/>
      <c r="C10" s="25" t="n"/>
      <c r="D10" s="26" t="n"/>
      <c r="E10" s="29" t="n"/>
      <c r="F10" s="29" t="n"/>
      <c r="G10" s="29" t="n"/>
      <c r="H10" s="29" t="n"/>
    </row>
    <row r="11">
      <c r="A11" s="18" t="n"/>
      <c r="B11" s="21" t="n"/>
      <c r="C11" s="18" t="n"/>
      <c r="D11" s="19" t="n"/>
      <c r="E11" s="22" t="n"/>
      <c r="F11" s="22" t="n"/>
      <c r="G11" s="22" t="n"/>
      <c r="H11" s="22" t="n"/>
    </row>
    <row r="12">
      <c r="A12" s="25" t="n"/>
      <c r="B12" s="28" t="n"/>
      <c r="C12" s="25" t="n"/>
      <c r="D12" s="26" t="n"/>
      <c r="E12" s="29" t="n"/>
      <c r="F12" s="29" t="n"/>
      <c r="G12" s="29" t="n"/>
      <c r="H12" s="29" t="n"/>
    </row>
    <row r="13">
      <c r="A13" s="18" t="n"/>
      <c r="B13" s="21" t="n"/>
      <c r="C13" s="18" t="n"/>
      <c r="D13" s="19" t="n"/>
      <c r="E13" s="22" t="n"/>
      <c r="F13" s="22" t="n"/>
      <c r="G13" s="22" t="n"/>
      <c r="H13" s="22" t="n"/>
    </row>
    <row r="14">
      <c r="A14" s="25" t="n"/>
      <c r="B14" s="28" t="n"/>
      <c r="C14" s="25" t="n"/>
      <c r="D14" s="26" t="n"/>
      <c r="E14" s="29" t="n"/>
      <c r="F14" s="29" t="n"/>
      <c r="G14" s="29" t="n"/>
      <c r="H14" s="29" t="n"/>
    </row>
    <row r="15">
      <c r="A15" s="18" t="n"/>
      <c r="B15" s="21" t="n"/>
      <c r="C15" s="18" t="n"/>
      <c r="D15" s="19" t="n"/>
      <c r="E15" s="22" t="n"/>
      <c r="F15" s="22" t="n"/>
      <c r="G15" s="22" t="n"/>
      <c r="H15" s="22" t="n"/>
    </row>
    <row r="16">
      <c r="A16" s="25" t="n"/>
      <c r="B16" s="28" t="n"/>
      <c r="C16" s="25" t="n"/>
      <c r="D16" s="26" t="n"/>
      <c r="E16" s="29" t="n"/>
      <c r="F16" s="29" t="n"/>
      <c r="G16" s="29" t="n"/>
      <c r="H16" s="29" t="n"/>
    </row>
    <row r="17">
      <c r="A17" s="18" t="n"/>
      <c r="B17" s="21" t="n"/>
      <c r="C17" s="18" t="n"/>
      <c r="D17" s="19" t="n"/>
      <c r="E17" s="22" t="n"/>
      <c r="F17" s="22" t="n"/>
      <c r="G17" s="22" t="n"/>
      <c r="H17" s="22" t="n"/>
    </row>
    <row r="18">
      <c r="A18" s="25" t="n"/>
      <c r="B18" s="28" t="n"/>
      <c r="C18" s="25" t="n"/>
      <c r="D18" s="26" t="n"/>
      <c r="E18" s="29" t="n"/>
      <c r="F18" s="29" t="n"/>
      <c r="G18" s="29" t="n"/>
      <c r="H18" s="29" t="n"/>
    </row>
    <row r="19">
      <c r="A19" s="18" t="n"/>
      <c r="B19" s="21" t="n"/>
      <c r="C19" s="18" t="n"/>
      <c r="D19" s="19" t="n"/>
      <c r="E19" s="22" t="n"/>
      <c r="F19" s="22" t="n"/>
      <c r="G19" s="22" t="n"/>
      <c r="H19" s="22" t="n"/>
    </row>
    <row r="20">
      <c r="A20" s="25" t="n"/>
      <c r="B20" s="28" t="n"/>
      <c r="C20" s="25" t="n"/>
      <c r="D20" s="26" t="n"/>
      <c r="E20" s="29" t="n"/>
      <c r="F20" s="29" t="n"/>
      <c r="G20" s="29" t="n"/>
      <c r="H20" s="29" t="n"/>
    </row>
    <row r="21">
      <c r="A21" s="18" t="n"/>
      <c r="B21" s="21" t="n"/>
      <c r="C21" s="18" t="n"/>
      <c r="D21" s="19" t="n"/>
      <c r="E21" s="22" t="n"/>
      <c r="F21" s="22" t="n"/>
      <c r="G21" s="22" t="n"/>
      <c r="H21" s="22" t="n"/>
    </row>
    <row r="22">
      <c r="A22" s="25" t="n"/>
      <c r="B22" s="28" t="n"/>
      <c r="C22" s="25" t="n"/>
      <c r="D22" s="26" t="n"/>
      <c r="E22" s="29" t="n"/>
      <c r="F22" s="29" t="n"/>
      <c r="G22" s="29" t="n"/>
      <c r="H22" s="29" t="n"/>
    </row>
    <row r="23">
      <c r="A23" s="18" t="n"/>
      <c r="B23" s="21" t="n"/>
      <c r="C23" s="18" t="n"/>
      <c r="D23" s="19" t="n"/>
      <c r="E23" s="22" t="n"/>
      <c r="F23" s="22" t="n"/>
      <c r="G23" s="22" t="n"/>
      <c r="H23" s="22" t="n"/>
    </row>
    <row r="24">
      <c r="A24" s="25" t="n"/>
      <c r="B24" s="28" t="n"/>
      <c r="C24" s="25" t="n"/>
      <c r="D24" s="26" t="n"/>
      <c r="E24" s="29" t="n"/>
      <c r="F24" s="29" t="n"/>
      <c r="G24" s="29" t="n"/>
      <c r="H24" s="29" t="n"/>
    </row>
    <row r="25">
      <c r="A25" s="18" t="n"/>
      <c r="B25" s="21" t="n"/>
      <c r="C25" s="18" t="n"/>
      <c r="D25" s="19" t="n"/>
      <c r="E25" s="22" t="n"/>
      <c r="F25" s="22" t="n"/>
      <c r="G25" s="22" t="n"/>
      <c r="H25" s="22" t="n"/>
    </row>
    <row r="26">
      <c r="A26" s="25" t="n"/>
      <c r="B26" s="28" t="n"/>
      <c r="C26" s="25" t="n"/>
      <c r="D26" s="26" t="n"/>
      <c r="E26" s="29" t="n"/>
      <c r="F26" s="29" t="n"/>
      <c r="G26" s="29" t="n"/>
      <c r="H26" s="29" t="n"/>
    </row>
    <row r="27">
      <c r="A27" s="18" t="n"/>
      <c r="B27" s="21" t="n"/>
      <c r="C27" s="18" t="n"/>
      <c r="D27" s="19" t="n"/>
      <c r="E27" s="22" t="n"/>
      <c r="F27" s="22" t="n"/>
      <c r="G27" s="22" t="n"/>
      <c r="H27" s="22" t="n"/>
    </row>
    <row r="28">
      <c r="A28" s="25" t="n"/>
      <c r="B28" s="28" t="n"/>
      <c r="C28" s="25" t="n"/>
      <c r="D28" s="26" t="n"/>
      <c r="E28" s="29" t="n"/>
      <c r="F28" s="29" t="n"/>
      <c r="G28" s="29" t="n"/>
      <c r="H28" s="29" t="n"/>
    </row>
    <row r="29">
      <c r="A29" s="18" t="n"/>
      <c r="B29" s="21" t="n"/>
      <c r="C29" s="18" t="n"/>
      <c r="D29" s="19" t="n"/>
      <c r="E29" s="22" t="n"/>
      <c r="F29" s="22" t="n"/>
      <c r="G29" s="22" t="n"/>
      <c r="H29" s="22" t="n"/>
    </row>
    <row r="30">
      <c r="A30" s="25" t="n"/>
      <c r="B30" s="28" t="n"/>
      <c r="C30" s="25" t="n"/>
      <c r="D30" s="26" t="n"/>
      <c r="E30" s="29" t="n"/>
      <c r="F30" s="29" t="n"/>
      <c r="G30" s="29" t="n"/>
      <c r="H30" s="29" t="n"/>
    </row>
    <row r="31">
      <c r="A31" s="18" t="n"/>
      <c r="B31" s="21" t="n"/>
      <c r="C31" s="18" t="n"/>
      <c r="D31" s="19" t="n"/>
      <c r="E31" s="22" t="n"/>
      <c r="F31" s="22" t="n"/>
      <c r="G31" s="22" t="n"/>
      <c r="H31" s="22" t="n"/>
    </row>
    <row r="32">
      <c r="A32" s="25" t="n"/>
      <c r="B32" s="28" t="n"/>
      <c r="C32" s="25" t="n"/>
      <c r="D32" s="26" t="n"/>
      <c r="E32" s="29" t="n"/>
      <c r="F32" s="29" t="n"/>
      <c r="G32" s="29" t="n"/>
      <c r="H32" s="29" t="n"/>
    </row>
    <row r="33">
      <c r="A33" s="18" t="n"/>
      <c r="B33" s="21" t="n"/>
      <c r="C33" s="18" t="n"/>
      <c r="D33" s="19" t="n"/>
      <c r="E33" s="22" t="n"/>
      <c r="F33" s="22" t="n"/>
      <c r="G33" s="22" t="n"/>
      <c r="H33" s="22" t="n"/>
    </row>
    <row r="34">
      <c r="A34" s="25" t="n"/>
      <c r="B34" s="28" t="n"/>
      <c r="C34" s="25" t="n"/>
      <c r="D34" s="26" t="n"/>
      <c r="E34" s="29" t="n"/>
      <c r="F34" s="29" t="n"/>
      <c r="G34" s="29" t="n"/>
      <c r="H34" s="29" t="n"/>
    </row>
    <row r="35">
      <c r="A35" s="7" t="inlineStr">
        <is>
          <t>TOTAL</t>
        </is>
      </c>
      <c r="E35" s="31">
        <f>SUM(E5:E34)</f>
        <v/>
      </c>
      <c r="F35" s="31">
        <f>SUM(F5:F34)</f>
        <v/>
      </c>
      <c r="G35" s="31">
        <f>SUM(G5:G34)</f>
        <v/>
      </c>
      <c r="H35" s="31">
        <f>SUM(H5:H34)</f>
        <v/>
      </c>
    </row>
  </sheetData>
  <mergeCells count="2">
    <mergeCell ref="A2:H2"/>
    <mergeCell ref="A1:H1"/>
  </mergeCells>
  <dataValidations count="1">
    <dataValidation sqref="D5:D34" showDropDown="0" showInputMessage="0" showErrorMessage="0" allowBlank="1" type="list">
      <formula1>=MarketList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28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46" customHeight="1">
      <c r="A1" s="1" t="inlineStr">
        <is>
          <t xml:space="preserve">  🔁  TRADE TRACKER</t>
        </is>
      </c>
    </row>
    <row r="2" ht="22" customHeight="1">
      <c r="A2" s="2" t="inlineStr">
        <is>
          <t xml:space="preserve">  Win every swap — value out vs value in, with running profit/loss per trade.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Trade Partner</t>
        </is>
      </c>
      <c r="B4" s="7" t="inlineStr">
        <is>
          <t>Date</t>
        </is>
      </c>
      <c r="C4" s="7" t="inlineStr">
        <is>
          <t>Cards Given</t>
        </is>
      </c>
      <c r="D4" s="7" t="inlineStr">
        <is>
          <t>Cards Received</t>
        </is>
      </c>
      <c r="E4" s="7" t="inlineStr">
        <is>
          <t>Value Out</t>
        </is>
      </c>
      <c r="F4" s="7" t="inlineStr">
        <is>
          <t>Value In</t>
        </is>
      </c>
      <c r="G4" s="7" t="inlineStr">
        <is>
          <t>Trade +/-</t>
        </is>
      </c>
      <c r="H4" s="7" t="inlineStr">
        <is>
          <t>Notes</t>
        </is>
      </c>
    </row>
    <row r="5">
      <c r="A5" s="18" t="inlineStr">
        <is>
          <t>Alex M.</t>
        </is>
      </c>
      <c r="B5" s="21" t="n">
        <v>46176</v>
      </c>
      <c r="C5" s="18" t="inlineStr">
        <is>
          <t>Storm Herald + Dragon's Hoard</t>
        </is>
      </c>
      <c r="D5" s="18" t="inlineStr">
        <is>
          <t>Lunar Priestess + bulk lot</t>
        </is>
      </c>
      <c r="E5" s="22" t="n">
        <v>45</v>
      </c>
      <c r="F5" s="22" t="n">
        <v>52</v>
      </c>
      <c r="G5" s="32">
        <f>IF(A5="","",F5-E5)</f>
        <v/>
      </c>
      <c r="H5" s="18" t="inlineStr">
        <is>
          <t>Fair upgrade</t>
        </is>
      </c>
    </row>
    <row r="6">
      <c r="A6" s="25" t="inlineStr">
        <is>
          <t>Sam K.</t>
        </is>
      </c>
      <c r="B6" s="28" t="n">
        <v>46182</v>
      </c>
      <c r="C6" s="25" t="inlineStr">
        <is>
          <t>Tidecaller Leviathan</t>
        </is>
      </c>
      <c r="D6" s="25" t="inlineStr">
        <is>
          <t>Thunderclap Roc</t>
        </is>
      </c>
      <c r="E6" s="29" t="n">
        <v>88</v>
      </c>
      <c r="F6" s="29" t="n">
        <v>96</v>
      </c>
      <c r="G6" s="33">
        <f>IF(A6="","",F6-E6)</f>
        <v/>
      </c>
      <c r="H6" s="25" t="inlineStr">
        <is>
          <t>Even UR swap</t>
        </is>
      </c>
    </row>
    <row r="7">
      <c r="A7" s="18" t="inlineStr">
        <is>
          <t>League night — Riley</t>
        </is>
      </c>
      <c r="B7" s="21" t="n">
        <v>46189</v>
      </c>
      <c r="C7" s="18" t="inlineStr">
        <is>
          <t>Uncommon lot (×6)</t>
        </is>
      </c>
      <c r="D7" s="18" t="inlineStr">
        <is>
          <t>Rare Holo (Storm Herald)</t>
        </is>
      </c>
      <c r="E7" s="22" t="n">
        <v>12</v>
      </c>
      <c r="F7" s="22" t="n">
        <v>15</v>
      </c>
      <c r="G7" s="32">
        <f>IF(A7="","",F7-E7)</f>
        <v/>
      </c>
      <c r="H7" s="18" t="inlineStr">
        <is>
          <t>League trade</t>
        </is>
      </c>
    </row>
    <row r="8">
      <c r="A8" s="25" t="inlineStr">
        <is>
          <t>Jordan P.</t>
        </is>
      </c>
      <c r="B8" s="28" t="n">
        <v>46195</v>
      </c>
      <c r="C8" s="25" t="inlineStr">
        <is>
          <t>Inferno Titan ×2</t>
        </is>
      </c>
      <c r="D8" s="25" t="inlineStr">
        <is>
          <t>Verdant Sprite ×2</t>
        </is>
      </c>
      <c r="E8" s="29" t="n">
        <v>30</v>
      </c>
      <c r="F8" s="29" t="n">
        <v>26</v>
      </c>
      <c r="G8" s="33">
        <f>IF(A8="","",F8-E8)</f>
        <v/>
      </c>
      <c r="H8" s="25" t="inlineStr">
        <is>
          <t>Deck copies</t>
        </is>
      </c>
    </row>
    <row r="9">
      <c r="A9" s="18" t="inlineStr">
        <is>
          <t>Riley T.</t>
        </is>
      </c>
      <c r="B9" s="21" t="n">
        <v>46201</v>
      </c>
      <c r="C9" s="18" t="inlineStr">
        <is>
          <t>Frostbite Wolf ×2</t>
        </is>
      </c>
      <c r="D9" s="18" t="inlineStr">
        <is>
          <t>Mystic Fountain lot</t>
        </is>
      </c>
      <c r="E9" s="22" t="n">
        <v>20</v>
      </c>
      <c r="F9" s="22" t="n">
        <v>24</v>
      </c>
      <c r="G9" s="32">
        <f>IF(A9="","",F9-E9)</f>
        <v/>
      </c>
      <c r="H9" s="18" t="inlineStr">
        <is>
          <t>Bulk consolidation</t>
        </is>
      </c>
    </row>
    <row r="10">
      <c r="A10" s="25" t="n"/>
      <c r="B10" s="28" t="n"/>
      <c r="C10" s="25" t="n"/>
      <c r="D10" s="25" t="n"/>
      <c r="E10" s="29" t="n"/>
      <c r="F10" s="29" t="n"/>
      <c r="G10" s="33" t="n"/>
      <c r="H10" s="25" t="n"/>
    </row>
    <row r="11">
      <c r="A11" s="18" t="n"/>
      <c r="B11" s="21" t="n"/>
      <c r="C11" s="18" t="n"/>
      <c r="D11" s="18" t="n"/>
      <c r="E11" s="22" t="n"/>
      <c r="F11" s="22" t="n"/>
      <c r="G11" s="32" t="n"/>
      <c r="H11" s="18" t="n"/>
    </row>
    <row r="12">
      <c r="A12" s="25" t="n"/>
      <c r="B12" s="28" t="n"/>
      <c r="C12" s="25" t="n"/>
      <c r="D12" s="25" t="n"/>
      <c r="E12" s="29" t="n"/>
      <c r="F12" s="29" t="n"/>
      <c r="G12" s="33" t="n"/>
      <c r="H12" s="25" t="n"/>
    </row>
    <row r="13">
      <c r="A13" s="18" t="n"/>
      <c r="B13" s="21" t="n"/>
      <c r="C13" s="18" t="n"/>
      <c r="D13" s="18" t="n"/>
      <c r="E13" s="22" t="n"/>
      <c r="F13" s="22" t="n"/>
      <c r="G13" s="32" t="n"/>
      <c r="H13" s="18" t="n"/>
    </row>
    <row r="14">
      <c r="A14" s="25" t="n"/>
      <c r="B14" s="28" t="n"/>
      <c r="C14" s="25" t="n"/>
      <c r="D14" s="25" t="n"/>
      <c r="E14" s="29" t="n"/>
      <c r="F14" s="29" t="n"/>
      <c r="G14" s="33" t="n"/>
      <c r="H14" s="25" t="n"/>
    </row>
    <row r="15">
      <c r="A15" s="18" t="n"/>
      <c r="B15" s="21" t="n"/>
      <c r="C15" s="18" t="n"/>
      <c r="D15" s="18" t="n"/>
      <c r="E15" s="22" t="n"/>
      <c r="F15" s="22" t="n"/>
      <c r="G15" s="32" t="n"/>
      <c r="H15" s="18" t="n"/>
    </row>
    <row r="16">
      <c r="A16" s="25" t="n"/>
      <c r="B16" s="28" t="n"/>
      <c r="C16" s="25" t="n"/>
      <c r="D16" s="25" t="n"/>
      <c r="E16" s="29" t="n"/>
      <c r="F16" s="29" t="n"/>
      <c r="G16" s="33" t="n"/>
      <c r="H16" s="25" t="n"/>
    </row>
    <row r="17">
      <c r="A17" s="18" t="n"/>
      <c r="B17" s="21" t="n"/>
      <c r="C17" s="18" t="n"/>
      <c r="D17" s="18" t="n"/>
      <c r="E17" s="22" t="n"/>
      <c r="F17" s="22" t="n"/>
      <c r="G17" s="32" t="n"/>
      <c r="H17" s="18" t="n"/>
    </row>
    <row r="18">
      <c r="A18" s="25" t="n"/>
      <c r="B18" s="28" t="n"/>
      <c r="C18" s="25" t="n"/>
      <c r="D18" s="25" t="n"/>
      <c r="E18" s="29" t="n"/>
      <c r="F18" s="29" t="n"/>
      <c r="G18" s="33" t="n"/>
      <c r="H18" s="25" t="n"/>
    </row>
    <row r="19">
      <c r="A19" s="18" t="n"/>
      <c r="B19" s="21" t="n"/>
      <c r="C19" s="18" t="n"/>
      <c r="D19" s="18" t="n"/>
      <c r="E19" s="22" t="n"/>
      <c r="F19" s="22" t="n"/>
      <c r="G19" s="32" t="n"/>
      <c r="H19" s="18" t="n"/>
    </row>
    <row r="20">
      <c r="A20" s="25" t="n"/>
      <c r="B20" s="28" t="n"/>
      <c r="C20" s="25" t="n"/>
      <c r="D20" s="25" t="n"/>
      <c r="E20" s="29" t="n"/>
      <c r="F20" s="29" t="n"/>
      <c r="G20" s="33" t="n"/>
      <c r="H20" s="25" t="n"/>
    </row>
    <row r="21">
      <c r="A21" s="18" t="n"/>
      <c r="B21" s="21" t="n"/>
      <c r="C21" s="18" t="n"/>
      <c r="D21" s="18" t="n"/>
      <c r="E21" s="22" t="n"/>
      <c r="F21" s="22" t="n"/>
      <c r="G21" s="32" t="n"/>
      <c r="H21" s="18" t="n"/>
    </row>
    <row r="22">
      <c r="A22" s="25" t="n"/>
      <c r="B22" s="28" t="n"/>
      <c r="C22" s="25" t="n"/>
      <c r="D22" s="25" t="n"/>
      <c r="E22" s="29" t="n"/>
      <c r="F22" s="29" t="n"/>
      <c r="G22" s="33" t="n"/>
      <c r="H22" s="25" t="n"/>
    </row>
    <row r="23">
      <c r="A23" s="18" t="n"/>
      <c r="B23" s="21" t="n"/>
      <c r="C23" s="18" t="n"/>
      <c r="D23" s="18" t="n"/>
      <c r="E23" s="22" t="n"/>
      <c r="F23" s="22" t="n"/>
      <c r="G23" s="32" t="n"/>
      <c r="H23" s="18" t="n"/>
    </row>
    <row r="24">
      <c r="A24" s="25" t="n"/>
      <c r="B24" s="28" t="n"/>
      <c r="C24" s="25" t="n"/>
      <c r="D24" s="25" t="n"/>
      <c r="E24" s="29" t="n"/>
      <c r="F24" s="29" t="n"/>
      <c r="G24" s="33" t="n"/>
      <c r="H24" s="25" t="n"/>
    </row>
    <row r="25">
      <c r="A25" s="18" t="n"/>
      <c r="B25" s="21" t="n"/>
      <c r="C25" s="18" t="n"/>
      <c r="D25" s="18" t="n"/>
      <c r="E25" s="22" t="n"/>
      <c r="F25" s="22" t="n"/>
      <c r="G25" s="32" t="n"/>
      <c r="H25" s="18" t="n"/>
    </row>
    <row r="26">
      <c r="A26" s="25" t="n"/>
      <c r="B26" s="28" t="n"/>
      <c r="C26" s="25" t="n"/>
      <c r="D26" s="25" t="n"/>
      <c r="E26" s="29" t="n"/>
      <c r="F26" s="29" t="n"/>
      <c r="G26" s="33" t="n"/>
      <c r="H26" s="25" t="n"/>
    </row>
    <row r="27">
      <c r="A27" s="18" t="n"/>
      <c r="B27" s="21" t="n"/>
      <c r="C27" s="18" t="n"/>
      <c r="D27" s="18" t="n"/>
      <c r="E27" s="22" t="n"/>
      <c r="F27" s="22" t="n"/>
      <c r="G27" s="32" t="n"/>
      <c r="H27" s="18" t="n"/>
    </row>
    <row r="28">
      <c r="A28" s="25" t="n"/>
      <c r="B28" s="28" t="n"/>
      <c r="C28" s="25" t="n"/>
      <c r="D28" s="25" t="n"/>
      <c r="E28" s="29" t="n"/>
      <c r="F28" s="29" t="n"/>
      <c r="G28" s="33" t="n"/>
      <c r="H28" s="25" t="n"/>
    </row>
    <row r="29">
      <c r="A29" s="18" t="n"/>
      <c r="B29" s="21" t="n"/>
      <c r="C29" s="18" t="n"/>
      <c r="D29" s="18" t="n"/>
      <c r="E29" s="22" t="n"/>
      <c r="F29" s="22" t="n"/>
      <c r="G29" s="32" t="n"/>
      <c r="H29" s="18" t="n"/>
    </row>
    <row r="30">
      <c r="A30" s="25" t="n"/>
      <c r="B30" s="28" t="n"/>
      <c r="C30" s="25" t="n"/>
      <c r="D30" s="25" t="n"/>
      <c r="E30" s="29" t="n"/>
      <c r="F30" s="29" t="n"/>
      <c r="G30" s="33" t="n"/>
      <c r="H30" s="25" t="n"/>
    </row>
    <row r="31">
      <c r="A31" s="18" t="n"/>
      <c r="B31" s="21" t="n"/>
      <c r="C31" s="18" t="n"/>
      <c r="D31" s="18" t="n"/>
      <c r="E31" s="22" t="n"/>
      <c r="F31" s="22" t="n"/>
      <c r="G31" s="32" t="n"/>
      <c r="H31" s="18" t="n"/>
    </row>
    <row r="32">
      <c r="A32" s="25" t="n"/>
      <c r="B32" s="28" t="n"/>
      <c r="C32" s="25" t="n"/>
      <c r="D32" s="25" t="n"/>
      <c r="E32" s="29" t="n"/>
      <c r="F32" s="29" t="n"/>
      <c r="G32" s="33" t="n"/>
      <c r="H32" s="25" t="n"/>
    </row>
    <row r="33">
      <c r="A33" s="18" t="n"/>
      <c r="B33" s="21" t="n"/>
      <c r="C33" s="18" t="n"/>
      <c r="D33" s="18" t="n"/>
      <c r="E33" s="22" t="n"/>
      <c r="F33" s="22" t="n"/>
      <c r="G33" s="32" t="n"/>
      <c r="H33" s="18" t="n"/>
    </row>
    <row r="34">
      <c r="A34" s="25" t="n"/>
      <c r="B34" s="28" t="n"/>
      <c r="C34" s="25" t="n"/>
      <c r="D34" s="25" t="n"/>
      <c r="E34" s="29" t="n"/>
      <c r="F34" s="29" t="n"/>
      <c r="G34" s="33" t="n"/>
      <c r="H34" s="25" t="n"/>
    </row>
    <row r="35">
      <c r="A35" s="7" t="inlineStr">
        <is>
          <t>TOTAL</t>
        </is>
      </c>
      <c r="E35" s="31">
        <f>SUM(E5:E34)</f>
        <v/>
      </c>
      <c r="F35" s="31">
        <f>SUM(F5:F34)</f>
        <v/>
      </c>
      <c r="G35" s="34">
        <f>SUM(G5:G34)</f>
        <v/>
      </c>
    </row>
  </sheetData>
  <mergeCells count="2">
    <mergeCell ref="A2:H2"/>
    <mergeCell ref="A1:H1"/>
  </mergeCells>
  <conditionalFormatting sqref="G5:G34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3" customWidth="1" min="4" max="4"/>
    <col width="12" customWidth="1" min="5" max="5"/>
    <col width="9" customWidth="1" min="6" max="6"/>
    <col width="9" customWidth="1" min="7" max="7"/>
    <col width="13" customWidth="1" min="8" max="8"/>
    <col width="12" customWidth="1" min="9" max="9"/>
    <col width="12" customWidth="1" min="10" max="10"/>
  </cols>
  <sheetData>
    <row r="1" ht="46" customHeight="1">
      <c r="A1" s="1" t="inlineStr">
        <is>
          <t xml:space="preserve">  💎  GRADING CENTER</t>
        </is>
      </c>
    </row>
    <row r="2" ht="22" customHeight="1">
      <c r="A2" s="2" t="inlineStr">
        <is>
          <t xml:space="preserve">  Track every submission — turnaround, grades &amp; the value a slab adds.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Company</t>
        </is>
      </c>
      <c r="B4" s="7" t="inlineStr">
        <is>
          <t>Card</t>
        </is>
      </c>
      <c r="C4" s="7" t="inlineStr">
        <is>
          <t>Submitted</t>
        </is>
      </c>
      <c r="D4" s="7" t="inlineStr">
        <is>
          <t>Returned</t>
        </is>
      </c>
      <c r="E4" s="7" t="inlineStr">
        <is>
          <t>Status</t>
        </is>
      </c>
      <c r="F4" s="7" t="inlineStr">
        <is>
          <t>Grade</t>
        </is>
      </c>
      <c r="G4" s="7" t="inlineStr">
        <is>
          <t>Fee</t>
        </is>
      </c>
      <c r="H4" s="7" t="inlineStr">
        <is>
          <t>Value Before</t>
        </is>
      </c>
      <c r="I4" s="7" t="inlineStr">
        <is>
          <t>Value After</t>
        </is>
      </c>
      <c r="J4" s="7" t="inlineStr">
        <is>
          <t>Value Added</t>
        </is>
      </c>
    </row>
    <row r="5">
      <c r="A5" s="19" t="inlineStr">
        <is>
          <t>PSA</t>
        </is>
      </c>
      <c r="B5" s="18" t="inlineStr">
        <is>
          <t>Golden Phoenix (Alt Art)</t>
        </is>
      </c>
      <c r="C5" s="21" t="n">
        <v>46146</v>
      </c>
      <c r="D5" s="21" t="n">
        <v>46181</v>
      </c>
      <c r="E5" s="19" t="inlineStr">
        <is>
          <t>Returned</t>
        </is>
      </c>
      <c r="F5" s="35" t="n">
        <v>10</v>
      </c>
      <c r="G5" s="22" t="n">
        <v>25</v>
      </c>
      <c r="H5" s="22" t="n">
        <v>150</v>
      </c>
      <c r="I5" s="22" t="n">
        <v>480</v>
      </c>
      <c r="J5" s="22">
        <f>IF(I5="","",I5-H5)</f>
        <v/>
      </c>
    </row>
    <row r="6">
      <c r="A6" s="26" t="inlineStr">
        <is>
          <t>BGS</t>
        </is>
      </c>
      <c r="B6" s="25" t="inlineStr">
        <is>
          <t>Ancient Colossus</t>
        </is>
      </c>
      <c r="C6" s="28" t="n">
        <v>46151</v>
      </c>
      <c r="D6" s="28" t="n">
        <v>46188</v>
      </c>
      <c r="E6" s="26" t="inlineStr">
        <is>
          <t>Returned</t>
        </is>
      </c>
      <c r="F6" s="36" t="n">
        <v>9.5</v>
      </c>
      <c r="G6" s="29" t="n">
        <v>30</v>
      </c>
      <c r="H6" s="29" t="n">
        <v>210</v>
      </c>
      <c r="I6" s="29" t="n">
        <v>620</v>
      </c>
      <c r="J6" s="29">
        <f>IF(I6="","",I6-H6)</f>
        <v/>
      </c>
    </row>
    <row r="7">
      <c r="A7" s="19" t="inlineStr">
        <is>
          <t>PSA</t>
        </is>
      </c>
      <c r="B7" s="18" t="inlineStr">
        <is>
          <t>Twin Flames Duo</t>
        </is>
      </c>
      <c r="C7" s="21" t="n">
        <v>46146</v>
      </c>
      <c r="D7" s="21" t="n">
        <v>46181</v>
      </c>
      <c r="E7" s="19" t="inlineStr">
        <is>
          <t>Returned</t>
        </is>
      </c>
      <c r="F7" s="35" t="n">
        <v>9</v>
      </c>
      <c r="G7" s="22" t="n">
        <v>25</v>
      </c>
      <c r="H7" s="22" t="n">
        <v>88</v>
      </c>
      <c r="I7" s="22" t="n">
        <v>265</v>
      </c>
      <c r="J7" s="22">
        <f>IF(I7="","",I7-H7)</f>
        <v/>
      </c>
    </row>
    <row r="8">
      <c r="A8" s="26" t="inlineStr">
        <is>
          <t>PSA</t>
        </is>
      </c>
      <c r="B8" s="25" t="inlineStr">
        <is>
          <t>Royal Kraken</t>
        </is>
      </c>
      <c r="C8" s="28" t="n">
        <v>46116</v>
      </c>
      <c r="D8" s="28" t="n">
        <v>46151</v>
      </c>
      <c r="E8" s="26" t="inlineStr">
        <is>
          <t>Returned</t>
        </is>
      </c>
      <c r="F8" s="36" t="n">
        <v>8</v>
      </c>
      <c r="G8" s="29" t="n">
        <v>25</v>
      </c>
      <c r="H8" s="29" t="n">
        <v>70</v>
      </c>
      <c r="I8" s="29" t="n">
        <v>150</v>
      </c>
      <c r="J8" s="29">
        <f>IF(I8="","",I8-H8)</f>
        <v/>
      </c>
    </row>
    <row r="9">
      <c r="A9" s="19" t="inlineStr">
        <is>
          <t>PSA</t>
        </is>
      </c>
      <c r="B9" s="18" t="inlineStr">
        <is>
          <t>Emberfang Dragon (Holo)</t>
        </is>
      </c>
      <c r="C9" s="21" t="n">
        <v>46194</v>
      </c>
      <c r="D9" s="21" t="n"/>
      <c r="E9" s="19" t="inlineStr">
        <is>
          <t>Pending</t>
        </is>
      </c>
      <c r="F9" s="35" t="n"/>
      <c r="G9" s="22" t="n">
        <v>25</v>
      </c>
      <c r="H9" s="22" t="n">
        <v>340</v>
      </c>
      <c r="I9" s="22" t="n"/>
      <c r="J9" s="22">
        <f>IF(I9="","",I9-H9)</f>
        <v/>
      </c>
    </row>
    <row r="10">
      <c r="A10" s="26" t="inlineStr">
        <is>
          <t>PSA</t>
        </is>
      </c>
      <c r="B10" s="25" t="inlineStr">
        <is>
          <t>Celestial Guardian</t>
        </is>
      </c>
      <c r="C10" s="28" t="n">
        <v>46194</v>
      </c>
      <c r="D10" s="28" t="n"/>
      <c r="E10" s="26" t="inlineStr">
        <is>
          <t>Pending</t>
        </is>
      </c>
      <c r="F10" s="36" t="n"/>
      <c r="G10" s="29" t="n">
        <v>25</v>
      </c>
      <c r="H10" s="29" t="n">
        <v>210</v>
      </c>
      <c r="I10" s="29" t="n"/>
      <c r="J10" s="29">
        <f>IF(I10="","",I10-H10)</f>
        <v/>
      </c>
    </row>
    <row r="11">
      <c r="A11" s="19" t="n"/>
      <c r="B11" s="18" t="n"/>
      <c r="C11" s="21" t="n"/>
      <c r="D11" s="21" t="n"/>
      <c r="E11" s="19" t="n"/>
      <c r="F11" s="35" t="n"/>
      <c r="G11" s="22" t="n"/>
      <c r="H11" s="22" t="n"/>
      <c r="I11" s="22" t="n"/>
      <c r="J11" s="22" t="n"/>
    </row>
    <row r="12">
      <c r="A12" s="26" t="n"/>
      <c r="B12" s="25" t="n"/>
      <c r="C12" s="28" t="n"/>
      <c r="D12" s="28" t="n"/>
      <c r="E12" s="26" t="n"/>
      <c r="F12" s="36" t="n"/>
      <c r="G12" s="29" t="n"/>
      <c r="H12" s="29" t="n"/>
      <c r="I12" s="29" t="n"/>
      <c r="J12" s="29" t="n"/>
    </row>
    <row r="13">
      <c r="A13" s="19" t="n"/>
      <c r="B13" s="18" t="n"/>
      <c r="C13" s="21" t="n"/>
      <c r="D13" s="21" t="n"/>
      <c r="E13" s="19" t="n"/>
      <c r="F13" s="35" t="n"/>
      <c r="G13" s="22" t="n"/>
      <c r="H13" s="22" t="n"/>
      <c r="I13" s="22" t="n"/>
      <c r="J13" s="22" t="n"/>
    </row>
    <row r="14">
      <c r="A14" s="26" t="n"/>
      <c r="B14" s="25" t="n"/>
      <c r="C14" s="28" t="n"/>
      <c r="D14" s="28" t="n"/>
      <c r="E14" s="26" t="n"/>
      <c r="F14" s="36" t="n"/>
      <c r="G14" s="29" t="n"/>
      <c r="H14" s="29" t="n"/>
      <c r="I14" s="29" t="n"/>
      <c r="J14" s="29" t="n"/>
    </row>
    <row r="15">
      <c r="A15" s="19" t="n"/>
      <c r="B15" s="18" t="n"/>
      <c r="C15" s="21" t="n"/>
      <c r="D15" s="21" t="n"/>
      <c r="E15" s="19" t="n"/>
      <c r="F15" s="35" t="n"/>
      <c r="G15" s="22" t="n"/>
      <c r="H15" s="22" t="n"/>
      <c r="I15" s="22" t="n"/>
      <c r="J15" s="22" t="n"/>
    </row>
    <row r="16">
      <c r="A16" s="26" t="n"/>
      <c r="B16" s="25" t="n"/>
      <c r="C16" s="28" t="n"/>
      <c r="D16" s="28" t="n"/>
      <c r="E16" s="26" t="n"/>
      <c r="F16" s="36" t="n"/>
      <c r="G16" s="29" t="n"/>
      <c r="H16" s="29" t="n"/>
      <c r="I16" s="29" t="n"/>
      <c r="J16" s="29" t="n"/>
    </row>
    <row r="17">
      <c r="A17" s="19" t="n"/>
      <c r="B17" s="18" t="n"/>
      <c r="C17" s="21" t="n"/>
      <c r="D17" s="21" t="n"/>
      <c r="E17" s="19" t="n"/>
      <c r="F17" s="35" t="n"/>
      <c r="G17" s="22" t="n"/>
      <c r="H17" s="22" t="n"/>
      <c r="I17" s="22" t="n"/>
      <c r="J17" s="22" t="n"/>
    </row>
    <row r="18">
      <c r="A18" s="26" t="n"/>
      <c r="B18" s="25" t="n"/>
      <c r="C18" s="28" t="n"/>
      <c r="D18" s="28" t="n"/>
      <c r="E18" s="26" t="n"/>
      <c r="F18" s="36" t="n"/>
      <c r="G18" s="29" t="n"/>
      <c r="H18" s="29" t="n"/>
      <c r="I18" s="29" t="n"/>
      <c r="J18" s="29" t="n"/>
    </row>
    <row r="19">
      <c r="A19" s="19" t="n"/>
      <c r="B19" s="18" t="n"/>
      <c r="C19" s="21" t="n"/>
      <c r="D19" s="21" t="n"/>
      <c r="E19" s="19" t="n"/>
      <c r="F19" s="35" t="n"/>
      <c r="G19" s="22" t="n"/>
      <c r="H19" s="22" t="n"/>
      <c r="I19" s="22" t="n"/>
      <c r="J19" s="22" t="n"/>
    </row>
    <row r="20">
      <c r="A20" s="26" t="n"/>
      <c r="B20" s="25" t="n"/>
      <c r="C20" s="28" t="n"/>
      <c r="D20" s="28" t="n"/>
      <c r="E20" s="26" t="n"/>
      <c r="F20" s="36" t="n"/>
      <c r="G20" s="29" t="n"/>
      <c r="H20" s="29" t="n"/>
      <c r="I20" s="29" t="n"/>
      <c r="J20" s="29" t="n"/>
    </row>
    <row r="21">
      <c r="A21" s="19" t="n"/>
      <c r="B21" s="18" t="n"/>
      <c r="C21" s="21" t="n"/>
      <c r="D21" s="21" t="n"/>
      <c r="E21" s="19" t="n"/>
      <c r="F21" s="35" t="n"/>
      <c r="G21" s="22" t="n"/>
      <c r="H21" s="22" t="n"/>
      <c r="I21" s="22" t="n"/>
      <c r="J21" s="22" t="n"/>
    </row>
    <row r="22">
      <c r="A22" s="26" t="n"/>
      <c r="B22" s="25" t="n"/>
      <c r="C22" s="28" t="n"/>
      <c r="D22" s="28" t="n"/>
      <c r="E22" s="26" t="n"/>
      <c r="F22" s="36" t="n"/>
      <c r="G22" s="29" t="n"/>
      <c r="H22" s="29" t="n"/>
      <c r="I22" s="29" t="n"/>
      <c r="J22" s="29" t="n"/>
    </row>
    <row r="23">
      <c r="A23" s="19" t="n"/>
      <c r="B23" s="18" t="n"/>
      <c r="C23" s="21" t="n"/>
      <c r="D23" s="21" t="n"/>
      <c r="E23" s="19" t="n"/>
      <c r="F23" s="35" t="n"/>
      <c r="G23" s="22" t="n"/>
      <c r="H23" s="22" t="n"/>
      <c r="I23" s="22" t="n"/>
      <c r="J23" s="22" t="n"/>
    </row>
    <row r="24">
      <c r="A24" s="26" t="n"/>
      <c r="B24" s="25" t="n"/>
      <c r="C24" s="28" t="n"/>
      <c r="D24" s="28" t="n"/>
      <c r="E24" s="26" t="n"/>
      <c r="F24" s="36" t="n"/>
      <c r="G24" s="29" t="n"/>
      <c r="H24" s="29" t="n"/>
      <c r="I24" s="29" t="n"/>
      <c r="J24" s="29" t="n"/>
    </row>
    <row r="25">
      <c r="A25" s="19" t="n"/>
      <c r="B25" s="18" t="n"/>
      <c r="C25" s="21" t="n"/>
      <c r="D25" s="21" t="n"/>
      <c r="E25" s="19" t="n"/>
      <c r="F25" s="35" t="n"/>
      <c r="G25" s="22" t="n"/>
      <c r="H25" s="22" t="n"/>
      <c r="I25" s="22" t="n"/>
      <c r="J25" s="22" t="n"/>
    </row>
    <row r="26">
      <c r="A26" s="26" t="n"/>
      <c r="B26" s="25" t="n"/>
      <c r="C26" s="28" t="n"/>
      <c r="D26" s="28" t="n"/>
      <c r="E26" s="26" t="n"/>
      <c r="F26" s="36" t="n"/>
      <c r="G26" s="29" t="n"/>
      <c r="H26" s="29" t="n"/>
      <c r="I26" s="29" t="n"/>
      <c r="J26" s="29" t="n"/>
    </row>
    <row r="27">
      <c r="A27" s="19" t="n"/>
      <c r="B27" s="18" t="n"/>
      <c r="C27" s="21" t="n"/>
      <c r="D27" s="21" t="n"/>
      <c r="E27" s="19" t="n"/>
      <c r="F27" s="35" t="n"/>
      <c r="G27" s="22" t="n"/>
      <c r="H27" s="22" t="n"/>
      <c r="I27" s="22" t="n"/>
      <c r="J27" s="22" t="n"/>
    </row>
    <row r="28">
      <c r="A28" s="26" t="n"/>
      <c r="B28" s="25" t="n"/>
      <c r="C28" s="28" t="n"/>
      <c r="D28" s="28" t="n"/>
      <c r="E28" s="26" t="n"/>
      <c r="F28" s="36" t="n"/>
      <c r="G28" s="29" t="n"/>
      <c r="H28" s="29" t="n"/>
      <c r="I28" s="29" t="n"/>
      <c r="J28" s="29" t="n"/>
    </row>
    <row r="29">
      <c r="A29" s="19" t="n"/>
      <c r="B29" s="18" t="n"/>
      <c r="C29" s="21" t="n"/>
      <c r="D29" s="21" t="n"/>
      <c r="E29" s="19" t="n"/>
      <c r="F29" s="35" t="n"/>
      <c r="G29" s="22" t="n"/>
      <c r="H29" s="22" t="n"/>
      <c r="I29" s="22" t="n"/>
      <c r="J29" s="22" t="n"/>
    </row>
    <row r="30">
      <c r="A30" s="26" t="n"/>
      <c r="B30" s="25" t="n"/>
      <c r="C30" s="28" t="n"/>
      <c r="D30" s="28" t="n"/>
      <c r="E30" s="26" t="n"/>
      <c r="F30" s="36" t="n"/>
      <c r="G30" s="29" t="n"/>
      <c r="H30" s="29" t="n"/>
      <c r="I30" s="29" t="n"/>
      <c r="J30" s="29" t="n"/>
    </row>
    <row r="31">
      <c r="A31" s="19" t="n"/>
      <c r="B31" s="18" t="n"/>
      <c r="C31" s="21" t="n"/>
      <c r="D31" s="21" t="n"/>
      <c r="E31" s="19" t="n"/>
      <c r="F31" s="35" t="n"/>
      <c r="G31" s="22" t="n"/>
      <c r="H31" s="22" t="n"/>
      <c r="I31" s="22" t="n"/>
      <c r="J31" s="22" t="n"/>
    </row>
    <row r="32">
      <c r="A32" s="26" t="n"/>
      <c r="B32" s="25" t="n"/>
      <c r="C32" s="28" t="n"/>
      <c r="D32" s="28" t="n"/>
      <c r="E32" s="26" t="n"/>
      <c r="F32" s="36" t="n"/>
      <c r="G32" s="29" t="n"/>
      <c r="H32" s="29" t="n"/>
      <c r="I32" s="29" t="n"/>
      <c r="J32" s="29" t="n"/>
    </row>
    <row r="33">
      <c r="A33" s="19" t="n"/>
      <c r="B33" s="18" t="n"/>
      <c r="C33" s="21" t="n"/>
      <c r="D33" s="21" t="n"/>
      <c r="E33" s="19" t="n"/>
      <c r="F33" s="35" t="n"/>
      <c r="G33" s="22" t="n"/>
      <c r="H33" s="22" t="n"/>
      <c r="I33" s="22" t="n"/>
      <c r="J33" s="22" t="n"/>
    </row>
    <row r="34">
      <c r="A34" s="26" t="n"/>
      <c r="B34" s="25" t="n"/>
      <c r="C34" s="28" t="n"/>
      <c r="D34" s="28" t="n"/>
      <c r="E34" s="26" t="n"/>
      <c r="F34" s="36" t="n"/>
      <c r="G34" s="29" t="n"/>
      <c r="H34" s="29" t="n"/>
      <c r="I34" s="29" t="n"/>
      <c r="J34" s="29" t="n"/>
    </row>
    <row r="35">
      <c r="A35" s="7" t="inlineStr">
        <is>
          <t>TOTAL</t>
        </is>
      </c>
      <c r="G35" s="31">
        <f>SUM(G5:G34)</f>
        <v/>
      </c>
      <c r="J35" s="31">
        <f>SUM(J5:J34)</f>
        <v/>
      </c>
    </row>
  </sheetData>
  <mergeCells count="2">
    <mergeCell ref="A1:J1"/>
    <mergeCell ref="A2:J2"/>
  </mergeCells>
  <conditionalFormatting sqref="E5:E34">
    <cfRule type="cellIs" priority="1" operator="equal" dxfId="2">
      <formula>"Pending"</formula>
    </cfRule>
    <cfRule type="cellIs" priority="2" operator="equal" dxfId="0">
      <formula>"Returned"</formula>
    </cfRule>
  </conditionalFormatting>
  <dataValidations count="2">
    <dataValidation sqref="A5:A34" showDropDown="0" showInputMessage="0" showErrorMessage="0" allowBlank="1" type="list">
      <formula1>=GraderList</formula1>
    </dataValidation>
    <dataValidation sqref="E5:E34" showDropDown="0" showInputMessage="0" showErrorMessage="0" allowBlank="1" type="list">
      <formula1>=GradeStatusList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3" customWidth="1" min="5" max="5"/>
    <col width="26" customWidth="1" min="6" max="6"/>
    <col width="13" customWidth="1" min="7" max="7"/>
    <col width="2" customWidth="1" min="8" max="8"/>
  </cols>
  <sheetData>
    <row r="1" ht="46" customHeight="1">
      <c r="A1" s="1" t="inlineStr">
        <is>
          <t xml:space="preserve">  📈  COLLECTION VALUE ANALYTICS</t>
        </is>
      </c>
    </row>
    <row r="2" ht="22" customHeight="1">
      <c r="A2" s="2" t="inlineStr">
        <is>
          <t xml:space="preserve">  Growth over time, purchase vs value, and your most valuable cards.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6-MONTH VALUE TREND</t>
        </is>
      </c>
      <c r="F5" s="4" t="inlineStr">
        <is>
          <t>TOP 5 MOST VALUABLE</t>
        </is>
      </c>
    </row>
    <row r="6">
      <c r="B6" s="7" t="inlineStr">
        <is>
          <t>Month</t>
        </is>
      </c>
      <c r="C6" s="7" t="inlineStr">
        <is>
          <t>Est. Value</t>
        </is>
      </c>
      <c r="D6" s="7" t="inlineStr">
        <is>
          <t>Total Cost</t>
        </is>
      </c>
      <c r="F6" s="7" t="inlineStr">
        <is>
          <t>Card</t>
        </is>
      </c>
      <c r="G6" s="7" t="inlineStr">
        <is>
          <t>Value</t>
        </is>
      </c>
    </row>
    <row r="7">
      <c r="B7" s="23" t="inlineStr">
        <is>
          <t>Feb</t>
        </is>
      </c>
      <c r="C7" s="24" t="n">
        <v>1450</v>
      </c>
      <c r="D7" s="24" t="n">
        <v>690</v>
      </c>
      <c r="F7" s="23" t="inlineStr">
        <is>
          <t>Ancient Colossus (BGS 9.5)</t>
        </is>
      </c>
      <c r="G7" s="24" t="n">
        <v>620</v>
      </c>
    </row>
    <row r="8">
      <c r="B8" s="25" t="inlineStr">
        <is>
          <t>Mar</t>
        </is>
      </c>
      <c r="C8" s="29" t="n">
        <v>1720</v>
      </c>
      <c r="D8" s="29" t="n">
        <v>800</v>
      </c>
      <c r="F8" s="25" t="inlineStr">
        <is>
          <t>Golden Phoenix (PSA 10)</t>
        </is>
      </c>
      <c r="G8" s="29" t="n">
        <v>480</v>
      </c>
    </row>
    <row r="9">
      <c r="B9" s="23" t="inlineStr">
        <is>
          <t>Apr</t>
        </is>
      </c>
      <c r="C9" s="24" t="n">
        <v>1980</v>
      </c>
      <c r="D9" s="24" t="n">
        <v>890</v>
      </c>
      <c r="F9" s="23" t="inlineStr">
        <is>
          <t>Emberfang Dragon (Holo)</t>
        </is>
      </c>
      <c r="G9" s="24" t="n">
        <v>340</v>
      </c>
    </row>
    <row r="10">
      <c r="B10" s="25" t="inlineStr">
        <is>
          <t>May</t>
        </is>
      </c>
      <c r="C10" s="29" t="n">
        <v>2260</v>
      </c>
      <c r="D10" s="29" t="n">
        <v>990</v>
      </c>
      <c r="F10" s="25" t="inlineStr">
        <is>
          <t>Twin Flames Duo (PSA 9)</t>
        </is>
      </c>
      <c r="G10" s="29" t="n">
        <v>265</v>
      </c>
    </row>
    <row r="11">
      <c r="B11" s="23" t="inlineStr">
        <is>
          <t>Jun</t>
        </is>
      </c>
      <c r="C11" s="24" t="n">
        <v>2540</v>
      </c>
      <c r="D11" s="24" t="n">
        <v>1060</v>
      </c>
      <c r="F11" s="23" t="inlineStr">
        <is>
          <t>Celestial Guardian (JP)</t>
        </is>
      </c>
      <c r="G11" s="24" t="n">
        <v>210</v>
      </c>
    </row>
    <row r="12">
      <c r="B12" s="25" t="inlineStr">
        <is>
          <t>Jul</t>
        </is>
      </c>
      <c r="C12" s="29" t="n">
        <v>2840</v>
      </c>
      <c r="D12" s="29" t="n">
        <v>1124</v>
      </c>
    </row>
  </sheetData>
  <mergeCells count="4">
    <mergeCell ref="B5:D5"/>
    <mergeCell ref="A2:H2"/>
    <mergeCell ref="F5:G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3" customWidth="1" min="4" max="4"/>
    <col width="13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⭐  WISHLIST</t>
        </is>
      </c>
    </row>
    <row r="2" ht="22" customHeight="1">
      <c r="A2" s="2" t="inlineStr">
        <is>
          <t xml:space="preserve">  Hunt with a plan — targets, priorities &amp; live progress toward every grail.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Card</t>
        </is>
      </c>
      <c r="B4" s="7" t="inlineStr">
        <is>
          <t>Set</t>
        </is>
      </c>
      <c r="C4" s="7" t="inlineStr">
        <is>
          <t>Priority</t>
        </is>
      </c>
      <c r="D4" s="7" t="inlineStr">
        <is>
          <t>Target Price</t>
        </is>
      </c>
      <c r="E4" s="7" t="inlineStr">
        <is>
          <t>Current Price</t>
        </is>
      </c>
      <c r="F4" s="7" t="inlineStr">
        <is>
          <t>Purchased?</t>
        </is>
      </c>
      <c r="G4" s="7" t="inlineStr">
        <is>
          <t>Notes</t>
        </is>
      </c>
    </row>
    <row r="5">
      <c r="A5" s="18" t="inlineStr">
        <is>
          <t>Prism Serpent (Alt Art)</t>
        </is>
      </c>
      <c r="B5" s="18" t="inlineStr">
        <is>
          <t>Obsidian Flames</t>
        </is>
      </c>
      <c r="C5" s="19" t="inlineStr">
        <is>
          <t>Grail</t>
        </is>
      </c>
      <c r="D5" s="22" t="n">
        <v>350</v>
      </c>
      <c r="E5" s="22" t="n">
        <v>410</v>
      </c>
      <c r="F5" s="19" t="inlineStr">
        <is>
          <t>No</t>
        </is>
      </c>
      <c r="G5" s="18" t="inlineStr">
        <is>
          <t>Waiting for a dip</t>
        </is>
      </c>
    </row>
    <row r="6">
      <c r="A6" s="25" t="inlineStr">
        <is>
          <t>Solar Empress</t>
        </is>
      </c>
      <c r="B6" s="25" t="inlineStr">
        <is>
          <t>Genesis</t>
        </is>
      </c>
      <c r="C6" s="26" t="inlineStr">
        <is>
          <t>Grail</t>
        </is>
      </c>
      <c r="D6" s="29" t="n">
        <v>280</v>
      </c>
      <c r="E6" s="29" t="n">
        <v>295</v>
      </c>
      <c r="F6" s="26" t="inlineStr">
        <is>
          <t>No</t>
        </is>
      </c>
      <c r="G6" s="25" t="inlineStr">
        <is>
          <t>Watch weekly</t>
        </is>
      </c>
    </row>
    <row r="7">
      <c r="A7" s="18" t="inlineStr">
        <is>
          <t>Ancient Colossus</t>
        </is>
      </c>
      <c r="B7" s="18" t="inlineStr">
        <is>
          <t>Genesis</t>
        </is>
      </c>
      <c r="C7" s="19" t="inlineStr">
        <is>
          <t>High</t>
        </is>
      </c>
      <c r="D7" s="22" t="n">
        <v>220</v>
      </c>
      <c r="E7" s="22" t="n">
        <v>210</v>
      </c>
      <c r="F7" s="19" t="inlineStr">
        <is>
          <t>Yes</t>
        </is>
      </c>
      <c r="G7" s="18" t="inlineStr">
        <is>
          <t>Got it graded!</t>
        </is>
      </c>
    </row>
    <row r="8">
      <c r="A8" s="25" t="inlineStr">
        <is>
          <t>Twin Flames Duo</t>
        </is>
      </c>
      <c r="B8" s="25" t="inlineStr">
        <is>
          <t>Obsidian Flames</t>
        </is>
      </c>
      <c r="C8" s="26" t="inlineStr">
        <is>
          <t>High</t>
        </is>
      </c>
      <c r="D8" s="29" t="n">
        <v>90</v>
      </c>
      <c r="E8" s="29" t="n">
        <v>88</v>
      </c>
      <c r="F8" s="26" t="inlineStr">
        <is>
          <t>Yes</t>
        </is>
      </c>
      <c r="G8" s="25" t="inlineStr">
        <is>
          <t>PSA 9 pickup</t>
        </is>
      </c>
    </row>
    <row r="9">
      <c r="A9" s="18" t="inlineStr">
        <is>
          <t>Nebula Djinn</t>
        </is>
      </c>
      <c r="B9" s="18" t="inlineStr">
        <is>
          <t>Astral Dawn</t>
        </is>
      </c>
      <c r="C9" s="19" t="inlineStr">
        <is>
          <t>High</t>
        </is>
      </c>
      <c r="D9" s="22" t="n">
        <v>120</v>
      </c>
      <c r="E9" s="22" t="n">
        <v>135</v>
      </c>
      <c r="F9" s="19" t="inlineStr">
        <is>
          <t>No</t>
        </is>
      </c>
      <c r="G9" s="18" t="inlineStr">
        <is>
          <t>Card show hunt</t>
        </is>
      </c>
    </row>
    <row r="10">
      <c r="A10" s="25" t="inlineStr">
        <is>
          <t>Royal Kraken (graded)</t>
        </is>
      </c>
      <c r="B10" s="25" t="inlineStr">
        <is>
          <t>Deep Currents</t>
        </is>
      </c>
      <c r="C10" s="26" t="inlineStr">
        <is>
          <t>Medium</t>
        </is>
      </c>
      <c r="D10" s="29" t="n">
        <v>75</v>
      </c>
      <c r="E10" s="29" t="n">
        <v>70</v>
      </c>
      <c r="F10" s="26" t="inlineStr">
        <is>
          <t>Yes</t>
        </is>
      </c>
      <c r="G10" s="25" t="inlineStr">
        <is>
          <t>PSA 8 deal</t>
        </is>
      </c>
    </row>
    <row r="11">
      <c r="A11" s="18" t="inlineStr">
        <is>
          <t>Gale Dancer</t>
        </is>
      </c>
      <c r="B11" s="18" t="inlineStr">
        <is>
          <t>Tempest Rising</t>
        </is>
      </c>
      <c r="C11" s="19" t="inlineStr">
        <is>
          <t>Medium</t>
        </is>
      </c>
      <c r="D11" s="22" t="n">
        <v>40</v>
      </c>
      <c r="E11" s="22" t="n">
        <v>44</v>
      </c>
      <c r="F11" s="19" t="inlineStr">
        <is>
          <t>No</t>
        </is>
      </c>
      <c r="G11" s="18" t="inlineStr"/>
    </row>
    <row r="12">
      <c r="A12" s="25" t="inlineStr">
        <is>
          <t>Obsidian Golem</t>
        </is>
      </c>
      <c r="B12" s="25" t="inlineStr">
        <is>
          <t>Obsidian Flames</t>
        </is>
      </c>
      <c r="C12" s="26" t="inlineStr">
        <is>
          <t>Medium</t>
        </is>
      </c>
      <c r="D12" s="29" t="n">
        <v>55</v>
      </c>
      <c r="E12" s="29" t="n">
        <v>60</v>
      </c>
      <c r="F12" s="26" t="inlineStr">
        <is>
          <t>No</t>
        </is>
      </c>
      <c r="G12" s="25" t="inlineStr">
        <is>
          <t>Trade target</t>
        </is>
      </c>
    </row>
    <row r="13">
      <c r="A13" s="18" t="inlineStr">
        <is>
          <t>Lunar Priestess</t>
        </is>
      </c>
      <c r="B13" s="18" t="inlineStr">
        <is>
          <t>Midnight Veil</t>
        </is>
      </c>
      <c r="C13" s="19" t="inlineStr">
        <is>
          <t>Low</t>
        </is>
      </c>
      <c r="D13" s="22" t="n">
        <v>30</v>
      </c>
      <c r="E13" s="22" t="n">
        <v>28</v>
      </c>
      <c r="F13" s="19" t="inlineStr">
        <is>
          <t>Yes</t>
        </is>
      </c>
      <c r="G13" s="18" t="inlineStr">
        <is>
          <t>From Alex trade</t>
        </is>
      </c>
    </row>
    <row r="14">
      <c r="A14" s="25" t="inlineStr">
        <is>
          <t>Coral Sentinel</t>
        </is>
      </c>
      <c r="B14" s="25" t="inlineStr">
        <is>
          <t>Deep Currents</t>
        </is>
      </c>
      <c r="C14" s="26" t="inlineStr">
        <is>
          <t>Low</t>
        </is>
      </c>
      <c r="D14" s="29" t="n">
        <v>25</v>
      </c>
      <c r="E14" s="29" t="n">
        <v>27</v>
      </c>
      <c r="F14" s="26" t="inlineStr">
        <is>
          <t>No</t>
        </is>
      </c>
      <c r="G14" s="25" t="inlineStr"/>
    </row>
    <row r="15">
      <c r="A15" s="18" t="n"/>
      <c r="B15" s="18" t="n"/>
      <c r="C15" s="19" t="n"/>
      <c r="D15" s="22" t="n"/>
      <c r="E15" s="22" t="n"/>
      <c r="F15" s="19" t="n"/>
      <c r="G15" s="18" t="n"/>
    </row>
    <row r="16">
      <c r="A16" s="25" t="n"/>
      <c r="B16" s="25" t="n"/>
      <c r="C16" s="26" t="n"/>
      <c r="D16" s="29" t="n"/>
      <c r="E16" s="29" t="n"/>
      <c r="F16" s="26" t="n"/>
      <c r="G16" s="25" t="n"/>
    </row>
    <row r="17">
      <c r="A17" s="18" t="n"/>
      <c r="B17" s="18" t="n"/>
      <c r="C17" s="19" t="n"/>
      <c r="D17" s="22" t="n"/>
      <c r="E17" s="22" t="n"/>
      <c r="F17" s="19" t="n"/>
      <c r="G17" s="18" t="n"/>
    </row>
    <row r="18">
      <c r="A18" s="25" t="n"/>
      <c r="B18" s="25" t="n"/>
      <c r="C18" s="26" t="n"/>
      <c r="D18" s="29" t="n"/>
      <c r="E18" s="29" t="n"/>
      <c r="F18" s="26" t="n"/>
      <c r="G18" s="25" t="n"/>
    </row>
    <row r="19">
      <c r="A19" s="18" t="n"/>
      <c r="B19" s="18" t="n"/>
      <c r="C19" s="19" t="n"/>
      <c r="D19" s="22" t="n"/>
      <c r="E19" s="22" t="n"/>
      <c r="F19" s="19" t="n"/>
      <c r="G19" s="18" t="n"/>
    </row>
    <row r="20">
      <c r="A20" s="25" t="n"/>
      <c r="B20" s="25" t="n"/>
      <c r="C20" s="26" t="n"/>
      <c r="D20" s="29" t="n"/>
      <c r="E20" s="29" t="n"/>
      <c r="F20" s="26" t="n"/>
      <c r="G20" s="25" t="n"/>
    </row>
    <row r="21">
      <c r="A21" s="18" t="n"/>
      <c r="B21" s="18" t="n"/>
      <c r="C21" s="19" t="n"/>
      <c r="D21" s="22" t="n"/>
      <c r="E21" s="22" t="n"/>
      <c r="F21" s="19" t="n"/>
      <c r="G21" s="18" t="n"/>
    </row>
    <row r="22">
      <c r="A22" s="25" t="n"/>
      <c r="B22" s="25" t="n"/>
      <c r="C22" s="26" t="n"/>
      <c r="D22" s="29" t="n"/>
      <c r="E22" s="29" t="n"/>
      <c r="F22" s="26" t="n"/>
      <c r="G22" s="25" t="n"/>
    </row>
    <row r="23">
      <c r="A23" s="18" t="n"/>
      <c r="B23" s="18" t="n"/>
      <c r="C23" s="19" t="n"/>
      <c r="D23" s="22" t="n"/>
      <c r="E23" s="22" t="n"/>
      <c r="F23" s="19" t="n"/>
      <c r="G23" s="18" t="n"/>
    </row>
    <row r="24">
      <c r="A24" s="25" t="n"/>
      <c r="B24" s="25" t="n"/>
      <c r="C24" s="26" t="n"/>
      <c r="D24" s="29" t="n"/>
      <c r="E24" s="29" t="n"/>
      <c r="F24" s="26" t="n"/>
      <c r="G24" s="25" t="n"/>
    </row>
    <row r="25">
      <c r="A25" s="18" t="n"/>
      <c r="B25" s="18" t="n"/>
      <c r="C25" s="19" t="n"/>
      <c r="D25" s="22" t="n"/>
      <c r="E25" s="22" t="n"/>
      <c r="F25" s="19" t="n"/>
      <c r="G25" s="18" t="n"/>
    </row>
    <row r="26">
      <c r="A26" s="25" t="n"/>
      <c r="B26" s="25" t="n"/>
      <c r="C26" s="26" t="n"/>
      <c r="D26" s="29" t="n"/>
      <c r="E26" s="29" t="n"/>
      <c r="F26" s="26" t="n"/>
      <c r="G26" s="25" t="n"/>
    </row>
    <row r="27">
      <c r="A27" s="18" t="n"/>
      <c r="B27" s="18" t="n"/>
      <c r="C27" s="19" t="n"/>
      <c r="D27" s="22" t="n"/>
      <c r="E27" s="22" t="n"/>
      <c r="F27" s="19" t="n"/>
      <c r="G27" s="18" t="n"/>
    </row>
    <row r="28">
      <c r="A28" s="25" t="n"/>
      <c r="B28" s="25" t="n"/>
      <c r="C28" s="26" t="n"/>
      <c r="D28" s="29" t="n"/>
      <c r="E28" s="29" t="n"/>
      <c r="F28" s="26" t="n"/>
      <c r="G28" s="25" t="n"/>
    </row>
    <row r="29">
      <c r="A29" s="18" t="n"/>
      <c r="B29" s="18" t="n"/>
      <c r="C29" s="19" t="n"/>
      <c r="D29" s="22" t="n"/>
      <c r="E29" s="22" t="n"/>
      <c r="F29" s="19" t="n"/>
      <c r="G29" s="18" t="n"/>
    </row>
    <row r="30">
      <c r="A30" s="25" t="n"/>
      <c r="B30" s="25" t="n"/>
      <c r="C30" s="26" t="n"/>
      <c r="D30" s="29" t="n"/>
      <c r="E30" s="29" t="n"/>
      <c r="F30" s="26" t="n"/>
      <c r="G30" s="25" t="n"/>
    </row>
    <row r="31">
      <c r="A31" s="18" t="n"/>
      <c r="B31" s="18" t="n"/>
      <c r="C31" s="19" t="n"/>
      <c r="D31" s="22" t="n"/>
      <c r="E31" s="22" t="n"/>
      <c r="F31" s="19" t="n"/>
      <c r="G31" s="18" t="n"/>
    </row>
    <row r="32">
      <c r="A32" s="25" t="n"/>
      <c r="B32" s="25" t="n"/>
      <c r="C32" s="26" t="n"/>
      <c r="D32" s="29" t="n"/>
      <c r="E32" s="29" t="n"/>
      <c r="F32" s="26" t="n"/>
      <c r="G32" s="25" t="n"/>
    </row>
    <row r="33">
      <c r="A33" s="18" t="n"/>
      <c r="B33" s="18" t="n"/>
      <c r="C33" s="19" t="n"/>
      <c r="D33" s="22" t="n"/>
      <c r="E33" s="22" t="n"/>
      <c r="F33" s="19" t="n"/>
      <c r="G33" s="18" t="n"/>
    </row>
    <row r="34">
      <c r="A34" s="25" t="n"/>
      <c r="B34" s="25" t="n"/>
      <c r="C34" s="26" t="n"/>
      <c r="D34" s="29" t="n"/>
      <c r="E34" s="29" t="n"/>
      <c r="F34" s="26" t="n"/>
      <c r="G34" s="25" t="n"/>
    </row>
  </sheetData>
  <mergeCells count="2">
    <mergeCell ref="A2:G2"/>
    <mergeCell ref="A1:G1"/>
  </mergeCells>
  <conditionalFormatting sqref="F5:F34">
    <cfRule type="cellIs" priority="1" operator="equal" dxfId="0">
      <formula>"Yes"</formula>
    </cfRule>
  </conditionalFormatting>
  <conditionalFormatting sqref="C5:C34">
    <cfRule type="cellIs" priority="2" operator="equal" dxfId="3">
      <formula>"Grail"</formula>
    </cfRule>
  </conditionalFormatting>
  <dataValidations count="2">
    <dataValidation sqref="C5:C34" showDropDown="0" showInputMessage="0" showErrorMessage="0" allowBlank="1" type="list">
      <formula1>=PriorityList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5" customWidth="1" min="4" max="4"/>
    <col width="12" customWidth="1" min="5" max="5"/>
    <col width="13" customWidth="1" min="6" max="6"/>
    <col width="13" customWidth="1" min="7" max="7"/>
  </cols>
  <sheetData>
    <row r="1" ht="46" customHeight="1">
      <c r="A1" s="1" t="inlineStr">
        <is>
          <t xml:space="preserve">  🃏  DUPLICATES MANAGER</t>
        </is>
      </c>
    </row>
    <row r="2" ht="22" customHeight="1">
      <c r="A2" s="2" t="inlineStr">
        <is>
          <t xml:space="preserve">  Extra copies are opportunities — flag each for trade, sale or gifting.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Card</t>
        </is>
      </c>
      <c r="B4" s="7" t="inlineStr">
        <is>
          <t>Set</t>
        </is>
      </c>
      <c r="C4" s="7" t="inlineStr">
        <is>
          <t>Extra Copies</t>
        </is>
      </c>
      <c r="D4" s="7" t="inlineStr">
        <is>
          <t>Condition</t>
        </is>
      </c>
      <c r="E4" s="7" t="inlineStr">
        <is>
          <t>Plan</t>
        </is>
      </c>
      <c r="F4" s="7" t="inlineStr">
        <is>
          <t>Value (ea)</t>
        </is>
      </c>
      <c r="G4" s="7" t="inlineStr">
        <is>
          <t>Total Value</t>
        </is>
      </c>
    </row>
    <row r="5">
      <c r="A5" s="18" t="inlineStr">
        <is>
          <t>Verdant Sprite</t>
        </is>
      </c>
      <c r="B5" s="18" t="inlineStr">
        <is>
          <t>Astral Dawn</t>
        </is>
      </c>
      <c r="C5" s="20" t="n">
        <v>3</v>
      </c>
      <c r="D5" s="19" t="inlineStr">
        <is>
          <t>Near Mint</t>
        </is>
      </c>
      <c r="E5" s="19" t="inlineStr">
        <is>
          <t>Trade</t>
        </is>
      </c>
      <c r="F5" s="22" t="n">
        <v>12</v>
      </c>
      <c r="G5" s="22">
        <f>IF(A5="","",C5*F5)</f>
        <v/>
      </c>
    </row>
    <row r="6">
      <c r="A6" s="25" t="inlineStr">
        <is>
          <t>Frostbite Wolf</t>
        </is>
      </c>
      <c r="B6" s="25" t="inlineStr">
        <is>
          <t>Glacial Peak</t>
        </is>
      </c>
      <c r="C6" s="27" t="n">
        <v>4</v>
      </c>
      <c r="D6" s="26" t="inlineStr">
        <is>
          <t>Near Mint</t>
        </is>
      </c>
      <c r="E6" s="26" t="inlineStr">
        <is>
          <t>Sell</t>
        </is>
      </c>
      <c r="F6" s="29" t="n">
        <v>9</v>
      </c>
      <c r="G6" s="29">
        <f>IF(A6="","",C6*F6)</f>
        <v/>
      </c>
    </row>
    <row r="7">
      <c r="A7" s="18" t="inlineStr">
        <is>
          <t>Storm Herald</t>
        </is>
      </c>
      <c r="B7" s="18" t="inlineStr">
        <is>
          <t>Tempest Rising</t>
        </is>
      </c>
      <c r="C7" s="20" t="n">
        <v>1</v>
      </c>
      <c r="D7" s="19" t="inlineStr">
        <is>
          <t>Near Mint</t>
        </is>
      </c>
      <c r="E7" s="19" t="inlineStr">
        <is>
          <t>Trade</t>
        </is>
      </c>
      <c r="F7" s="22" t="n">
        <v>26</v>
      </c>
      <c r="G7" s="22">
        <f>IF(A7="","",C7*F7)</f>
        <v/>
      </c>
    </row>
    <row r="8">
      <c r="A8" s="25" t="inlineStr">
        <is>
          <t>Arcane Scholar</t>
        </is>
      </c>
      <c r="B8" s="25" t="inlineStr">
        <is>
          <t>Astral Dawn</t>
        </is>
      </c>
      <c r="C8" s="27" t="n">
        <v>18</v>
      </c>
      <c r="D8" s="26" t="inlineStr">
        <is>
          <t>Near Mint</t>
        </is>
      </c>
      <c r="E8" s="26" t="inlineStr">
        <is>
          <t>Gift</t>
        </is>
      </c>
      <c r="F8" s="29" t="n">
        <v>3</v>
      </c>
      <c r="G8" s="29">
        <f>IF(A8="","",C8*F8)</f>
        <v/>
      </c>
    </row>
    <row r="9">
      <c r="A9" s="18" t="inlineStr">
        <is>
          <t>Mystic Fountain</t>
        </is>
      </c>
      <c r="B9" s="18" t="inlineStr">
        <is>
          <t>Deep Currents</t>
        </is>
      </c>
      <c r="C9" s="20" t="n">
        <v>22</v>
      </c>
      <c r="D9" s="19" t="inlineStr">
        <is>
          <t>Near Mint</t>
        </is>
      </c>
      <c r="E9" s="19" t="inlineStr"/>
      <c r="F9" s="22" t="n">
        <v>2</v>
      </c>
      <c r="G9" s="22">
        <f>IF(A9="","",C9*F9)</f>
        <v/>
      </c>
    </row>
    <row r="10">
      <c r="A10" s="25" t="n"/>
      <c r="B10" s="25" t="n"/>
      <c r="C10" s="27" t="n"/>
      <c r="D10" s="26" t="n"/>
      <c r="E10" s="26" t="n"/>
      <c r="F10" s="29" t="n"/>
      <c r="G10" s="29" t="n"/>
    </row>
    <row r="11">
      <c r="A11" s="18" t="n"/>
      <c r="B11" s="18" t="n"/>
      <c r="C11" s="20" t="n"/>
      <c r="D11" s="19" t="n"/>
      <c r="E11" s="19" t="n"/>
      <c r="F11" s="22" t="n"/>
      <c r="G11" s="22" t="n"/>
    </row>
    <row r="12">
      <c r="A12" s="25" t="n"/>
      <c r="B12" s="25" t="n"/>
      <c r="C12" s="27" t="n"/>
      <c r="D12" s="26" t="n"/>
      <c r="E12" s="26" t="n"/>
      <c r="F12" s="29" t="n"/>
      <c r="G12" s="29" t="n"/>
    </row>
    <row r="13">
      <c r="A13" s="18" t="n"/>
      <c r="B13" s="18" t="n"/>
      <c r="C13" s="20" t="n"/>
      <c r="D13" s="19" t="n"/>
      <c r="E13" s="19" t="n"/>
      <c r="F13" s="22" t="n"/>
      <c r="G13" s="22" t="n"/>
    </row>
    <row r="14">
      <c r="A14" s="25" t="n"/>
      <c r="B14" s="25" t="n"/>
      <c r="C14" s="27" t="n"/>
      <c r="D14" s="26" t="n"/>
      <c r="E14" s="26" t="n"/>
      <c r="F14" s="29" t="n"/>
      <c r="G14" s="29" t="n"/>
    </row>
    <row r="15">
      <c r="A15" s="18" t="n"/>
      <c r="B15" s="18" t="n"/>
      <c r="C15" s="20" t="n"/>
      <c r="D15" s="19" t="n"/>
      <c r="E15" s="19" t="n"/>
      <c r="F15" s="22" t="n"/>
      <c r="G15" s="22" t="n"/>
    </row>
    <row r="16">
      <c r="A16" s="25" t="n"/>
      <c r="B16" s="25" t="n"/>
      <c r="C16" s="27" t="n"/>
      <c r="D16" s="26" t="n"/>
      <c r="E16" s="26" t="n"/>
      <c r="F16" s="29" t="n"/>
      <c r="G16" s="29" t="n"/>
    </row>
    <row r="17">
      <c r="A17" s="18" t="n"/>
      <c r="B17" s="18" t="n"/>
      <c r="C17" s="20" t="n"/>
      <c r="D17" s="19" t="n"/>
      <c r="E17" s="19" t="n"/>
      <c r="F17" s="22" t="n"/>
      <c r="G17" s="22" t="n"/>
    </row>
    <row r="18">
      <c r="A18" s="25" t="n"/>
      <c r="B18" s="25" t="n"/>
      <c r="C18" s="27" t="n"/>
      <c r="D18" s="26" t="n"/>
      <c r="E18" s="26" t="n"/>
      <c r="F18" s="29" t="n"/>
      <c r="G18" s="29" t="n"/>
    </row>
    <row r="19">
      <c r="A19" s="18" t="n"/>
      <c r="B19" s="18" t="n"/>
      <c r="C19" s="20" t="n"/>
      <c r="D19" s="19" t="n"/>
      <c r="E19" s="19" t="n"/>
      <c r="F19" s="22" t="n"/>
      <c r="G19" s="22" t="n"/>
    </row>
    <row r="20">
      <c r="A20" s="25" t="n"/>
      <c r="B20" s="25" t="n"/>
      <c r="C20" s="27" t="n"/>
      <c r="D20" s="26" t="n"/>
      <c r="E20" s="26" t="n"/>
      <c r="F20" s="29" t="n"/>
      <c r="G20" s="29" t="n"/>
    </row>
    <row r="21">
      <c r="A21" s="18" t="n"/>
      <c r="B21" s="18" t="n"/>
      <c r="C21" s="20" t="n"/>
      <c r="D21" s="19" t="n"/>
      <c r="E21" s="19" t="n"/>
      <c r="F21" s="22" t="n"/>
      <c r="G21" s="22" t="n"/>
    </row>
    <row r="22">
      <c r="A22" s="25" t="n"/>
      <c r="B22" s="25" t="n"/>
      <c r="C22" s="27" t="n"/>
      <c r="D22" s="26" t="n"/>
      <c r="E22" s="26" t="n"/>
      <c r="F22" s="29" t="n"/>
      <c r="G22" s="29" t="n"/>
    </row>
    <row r="23">
      <c r="A23" s="18" t="n"/>
      <c r="B23" s="18" t="n"/>
      <c r="C23" s="20" t="n"/>
      <c r="D23" s="19" t="n"/>
      <c r="E23" s="19" t="n"/>
      <c r="F23" s="22" t="n"/>
      <c r="G23" s="22" t="n"/>
    </row>
    <row r="24">
      <c r="A24" s="25" t="n"/>
      <c r="B24" s="25" t="n"/>
      <c r="C24" s="27" t="n"/>
      <c r="D24" s="26" t="n"/>
      <c r="E24" s="26" t="n"/>
      <c r="F24" s="29" t="n"/>
      <c r="G24" s="29" t="n"/>
    </row>
    <row r="25">
      <c r="A25" s="18" t="n"/>
      <c r="B25" s="18" t="n"/>
      <c r="C25" s="20" t="n"/>
      <c r="D25" s="19" t="n"/>
      <c r="E25" s="19" t="n"/>
      <c r="F25" s="22" t="n"/>
      <c r="G25" s="22" t="n"/>
    </row>
    <row r="26">
      <c r="A26" s="25" t="n"/>
      <c r="B26" s="25" t="n"/>
      <c r="C26" s="27" t="n"/>
      <c r="D26" s="26" t="n"/>
      <c r="E26" s="26" t="n"/>
      <c r="F26" s="29" t="n"/>
      <c r="G26" s="29" t="n"/>
    </row>
    <row r="27">
      <c r="A27" s="18" t="n"/>
      <c r="B27" s="18" t="n"/>
      <c r="C27" s="20" t="n"/>
      <c r="D27" s="19" t="n"/>
      <c r="E27" s="19" t="n"/>
      <c r="F27" s="22" t="n"/>
      <c r="G27" s="22" t="n"/>
    </row>
    <row r="28">
      <c r="A28" s="25" t="n"/>
      <c r="B28" s="25" t="n"/>
      <c r="C28" s="27" t="n"/>
      <c r="D28" s="26" t="n"/>
      <c r="E28" s="26" t="n"/>
      <c r="F28" s="29" t="n"/>
      <c r="G28" s="29" t="n"/>
    </row>
    <row r="29">
      <c r="A29" s="18" t="n"/>
      <c r="B29" s="18" t="n"/>
      <c r="C29" s="20" t="n"/>
      <c r="D29" s="19" t="n"/>
      <c r="E29" s="19" t="n"/>
      <c r="F29" s="22" t="n"/>
      <c r="G29" s="22" t="n"/>
    </row>
    <row r="30">
      <c r="A30" s="25" t="n"/>
      <c r="B30" s="25" t="n"/>
      <c r="C30" s="27" t="n"/>
      <c r="D30" s="26" t="n"/>
      <c r="E30" s="26" t="n"/>
      <c r="F30" s="29" t="n"/>
      <c r="G30" s="29" t="n"/>
    </row>
    <row r="31">
      <c r="A31" s="18" t="n"/>
      <c r="B31" s="18" t="n"/>
      <c r="C31" s="20" t="n"/>
      <c r="D31" s="19" t="n"/>
      <c r="E31" s="19" t="n"/>
      <c r="F31" s="22" t="n"/>
      <c r="G31" s="22" t="n"/>
    </row>
    <row r="32">
      <c r="A32" s="25" t="n"/>
      <c r="B32" s="25" t="n"/>
      <c r="C32" s="27" t="n"/>
      <c r="D32" s="26" t="n"/>
      <c r="E32" s="26" t="n"/>
      <c r="F32" s="29" t="n"/>
      <c r="G32" s="29" t="n"/>
    </row>
    <row r="33">
      <c r="A33" s="18" t="n"/>
      <c r="B33" s="18" t="n"/>
      <c r="C33" s="20" t="n"/>
      <c r="D33" s="19" t="n"/>
      <c r="E33" s="19" t="n"/>
      <c r="F33" s="22" t="n"/>
      <c r="G33" s="22" t="n"/>
    </row>
    <row r="34">
      <c r="A34" s="25" t="n"/>
      <c r="B34" s="25" t="n"/>
      <c r="C34" s="27" t="n"/>
      <c r="D34" s="26" t="n"/>
      <c r="E34" s="26" t="n"/>
      <c r="F34" s="29" t="n"/>
      <c r="G34" s="29" t="n"/>
    </row>
    <row r="35">
      <c r="A35" s="7" t="inlineStr">
        <is>
          <t>TOTAL</t>
        </is>
      </c>
      <c r="G35" s="31">
        <f>SUM(G5:G34)</f>
        <v/>
      </c>
    </row>
  </sheetData>
  <mergeCells count="2">
    <mergeCell ref="A2:G2"/>
    <mergeCell ref="A1:G1"/>
  </mergeCells>
  <conditionalFormatting sqref="E5:E34">
    <cfRule type="cellIs" priority="1" operator="equal" dxfId="2">
      <formula>""</formula>
    </cfRule>
  </conditionalFormatting>
  <dataValidations count="2">
    <dataValidation sqref="D5:D34" showDropDown="0" showInputMessage="0" showErrorMessage="0" allowBlank="1" type="list">
      <formula1>=CondList</formula1>
    </dataValidation>
    <dataValidation sqref="E5:E34" showDropDown="0" showInputMessage="0" showErrorMessage="0" allowBlank="1" type="list">
      <formula1>=PlanList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8" customWidth="1" min="3" max="3"/>
    <col width="14" customWidth="1" min="4" max="4"/>
    <col width="26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🏆  TOURNAMENT DECK BUILDER</t>
        </is>
      </c>
    </row>
    <row r="2" ht="22" customHeight="1">
      <c r="A2" s="2" t="inlineStr">
        <is>
          <t xml:space="preserve">  Build, tune &amp; track — deck lists with roles, sideboard and a live win rate.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B5" s="6" t="inlineStr">
        <is>
          <t>DECK — EMBERSTORM AGGRO</t>
        </is>
      </c>
      <c r="G5" s="4" t="inlineStr">
        <is>
          <t>SEASON RECORD</t>
        </is>
      </c>
    </row>
    <row r="6" ht="30" customHeight="1">
      <c r="B6" s="7" t="inlineStr">
        <is>
          <t>Card</t>
        </is>
      </c>
      <c r="C6" s="7" t="inlineStr">
        <is>
          <t>Qty</t>
        </is>
      </c>
      <c r="D6" s="7" t="inlineStr">
        <is>
          <t>Role</t>
        </is>
      </c>
      <c r="E6" s="7" t="inlineStr">
        <is>
          <t>Strategy Notes</t>
        </is>
      </c>
      <c r="G6" s="37" t="inlineStr">
        <is>
          <t>Wins</t>
        </is>
      </c>
      <c r="H6" s="38" t="n">
        <v>12</v>
      </c>
    </row>
    <row r="7">
      <c r="B7" s="23" t="inlineStr">
        <is>
          <t>Emberfang Dragon (Holo)</t>
        </is>
      </c>
      <c r="C7" s="39" t="n">
        <v>3</v>
      </c>
      <c r="D7" s="40" t="inlineStr">
        <is>
          <t>Finisher</t>
        </is>
      </c>
      <c r="E7" s="23" t="inlineStr">
        <is>
          <t>Main win condition</t>
        </is>
      </c>
      <c r="G7" s="37" t="inlineStr">
        <is>
          <t>Losses</t>
        </is>
      </c>
      <c r="H7" s="38" t="n">
        <v>4</v>
      </c>
    </row>
    <row r="8">
      <c r="B8" s="25" t="inlineStr">
        <is>
          <t>Inferno Titan</t>
        </is>
      </c>
      <c r="C8" s="27" t="n">
        <v>4</v>
      </c>
      <c r="D8" s="26" t="inlineStr">
        <is>
          <t>Core</t>
        </is>
      </c>
      <c r="E8" s="25" t="inlineStr">
        <is>
          <t>Early pressure</t>
        </is>
      </c>
      <c r="G8" s="37" t="inlineStr">
        <is>
          <t>Win Rate</t>
        </is>
      </c>
      <c r="H8" s="41">
        <f>IFERROR(DeckWins/MAX(DeckWins+DeckLosses,1),0)</f>
        <v/>
      </c>
    </row>
    <row r="9">
      <c r="B9" s="23" t="inlineStr">
        <is>
          <t>Storm Herald</t>
        </is>
      </c>
      <c r="C9" s="39" t="n">
        <v>4</v>
      </c>
      <c r="D9" s="40" t="inlineStr">
        <is>
          <t>Support</t>
        </is>
      </c>
      <c r="E9" s="23" t="inlineStr">
        <is>
          <t>Energy acceleration</t>
        </is>
      </c>
      <c r="G9" s="37" t="inlineStr">
        <is>
          <t>Format</t>
        </is>
      </c>
      <c r="H9" s="42" t="inlineStr">
        <is>
          <t>Standard</t>
        </is>
      </c>
    </row>
    <row r="10">
      <c r="B10" s="25" t="inlineStr">
        <is>
          <t>Dragon's Hoard</t>
        </is>
      </c>
      <c r="C10" s="27" t="n">
        <v>3</v>
      </c>
      <c r="D10" s="26" t="inlineStr">
        <is>
          <t>Draw</t>
        </is>
      </c>
      <c r="E10" s="25" t="inlineStr">
        <is>
          <t>Card advantage</t>
        </is>
      </c>
    </row>
    <row r="11">
      <c r="B11" s="23" t="inlineStr">
        <is>
          <t>Verdant Sprite</t>
        </is>
      </c>
      <c r="C11" s="39" t="n">
        <v>2</v>
      </c>
      <c r="D11" s="40" t="inlineStr">
        <is>
          <t>Tech</t>
        </is>
      </c>
      <c r="E11" s="23" t="inlineStr">
        <is>
          <t>Anti-control</t>
        </is>
      </c>
      <c r="G11" s="4" t="inlineStr">
        <is>
          <t>SIDEBOARD</t>
        </is>
      </c>
    </row>
    <row r="12">
      <c r="B12" s="25" t="inlineStr">
        <is>
          <t>Frostbite Wolf</t>
        </is>
      </c>
      <c r="C12" s="27" t="n">
        <v>2</v>
      </c>
      <c r="D12" s="26" t="inlineStr">
        <is>
          <t>Tech</t>
        </is>
      </c>
      <c r="E12" s="25" t="inlineStr">
        <is>
          <t>Mirror breaker</t>
        </is>
      </c>
      <c r="G12" s="23" t="inlineStr">
        <is>
          <t>Shadow Assassin ×2</t>
        </is>
      </c>
    </row>
    <row r="13">
      <c r="B13" s="23" t="inlineStr">
        <is>
          <t>Energy / Resources</t>
        </is>
      </c>
      <c r="C13" s="39" t="n">
        <v>20</v>
      </c>
      <c r="D13" s="40" t="inlineStr">
        <is>
          <t>Engine</t>
        </is>
      </c>
      <c r="E13" s="23" t="inlineStr"/>
      <c r="G13" s="25" t="inlineStr">
        <is>
          <t>Mystic Fountain ×2</t>
        </is>
      </c>
    </row>
    <row r="14">
      <c r="B14" s="25" t="inlineStr">
        <is>
          <t>Trainers / Supporters</t>
        </is>
      </c>
      <c r="C14" s="27" t="n">
        <v>22</v>
      </c>
      <c r="D14" s="26" t="inlineStr">
        <is>
          <t>Engine</t>
        </is>
      </c>
      <c r="E14" s="25" t="inlineStr">
        <is>
          <t>Draw + search</t>
        </is>
      </c>
      <c r="G14" s="23" t="inlineStr">
        <is>
          <t>Gale Dancer ×1</t>
        </is>
      </c>
    </row>
    <row r="15">
      <c r="B15" s="7" t="inlineStr">
        <is>
          <t>TOTAL (60)</t>
        </is>
      </c>
      <c r="C15" s="30">
        <f>SUM(C7:C14)</f>
        <v/>
      </c>
    </row>
  </sheetData>
  <mergeCells count="8">
    <mergeCell ref="G12:H12"/>
    <mergeCell ref="A2:I2"/>
    <mergeCell ref="G11:H11"/>
    <mergeCell ref="A1:I1"/>
    <mergeCell ref="G5:H5"/>
    <mergeCell ref="G14:H14"/>
    <mergeCell ref="B5:E5"/>
    <mergeCell ref="G13:H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🖼  CARD IMAGE VAULT</t>
        </is>
      </c>
    </row>
    <row r="2" ht="22" customHeight="1">
      <c r="A2" s="2" t="inlineStr">
        <is>
          <t xml:space="preserve">  Upload a photo of every key card — visual proof of condition, grades &amp; your best pulls.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4" customHeight="1">
      <c r="B5" s="7" t="inlineStr">
        <is>
          <t xml:space="preserve">  HOW TO UPLOAD YOUR CARD PHOTOS</t>
        </is>
      </c>
    </row>
    <row r="6" ht="22" customHeight="1">
      <c r="B6" s="8" t="inlineStr">
        <is>
          <t>EXCEL:  click a photo box, then Insert ▸ Pictures ▸ This Device (Excel 365: right-click the image ▸ Place in Cell to lock it to the slot).   GOOGLE SHEETS:  click the box, then Insert ▸ Image ▸ Insert image in cell — or type  =IMAGE("paste-your-photo-link")  to pull one from the web. Then mark the card's Photo? column "Yes" in the Master Collection — the dashboard tracks your coverage.</t>
        </is>
      </c>
    </row>
    <row r="7" ht="22" customHeight="1">
      <c r="B7" s="9" t="n"/>
    </row>
    <row r="8" ht="22" customHeight="1">
      <c r="B8" s="9" t="n"/>
    </row>
    <row r="9">
      <c r="B9" s="37" t="inlineStr">
        <is>
          <t>Photos on file</t>
        </is>
      </c>
      <c r="C9" s="43">
        <f>COUNTIF(ColPhoto,"Yes")&amp;" of "&amp;COUNTA(ColName)&amp;" cards"</f>
        <v/>
      </c>
      <c r="F9" s="37" t="inlineStr">
        <is>
          <t>Coverage</t>
        </is>
      </c>
      <c r="G9" s="41">
        <f>IFERROR(COUNTIF(ColPhoto,"Yes")/MAX(COUNTA(ColName),1),0)</f>
        <v/>
      </c>
    </row>
    <row r="11" ht="22" customHeight="1">
      <c r="B11" s="7" t="inlineStr">
        <is>
          <t xml:space="preserve">  Crown Jewel</t>
        </is>
      </c>
      <c r="F11" s="7" t="inlineStr">
        <is>
          <t xml:space="preserve">  Grail #2</t>
        </is>
      </c>
    </row>
    <row r="12" ht="24" customHeight="1">
      <c r="B12" s="44" t="inlineStr">
        <is>
          <t>📷
Upload card photo here
(see guide above)</t>
        </is>
      </c>
      <c r="F12" s="44" t="inlineStr">
        <is>
          <t>📷
Upload card photo here
(see guide above)</t>
        </is>
      </c>
    </row>
    <row r="13" ht="24" customHeight="1"/>
    <row r="14" ht="24" customHeight="1"/>
    <row r="15" ht="24" customHeight="1"/>
    <row r="16">
      <c r="B16" s="37" t="inlineStr">
        <is>
          <t>Card</t>
        </is>
      </c>
      <c r="C16" s="42" t="inlineStr">
        <is>
          <t>Ancient Colossus</t>
        </is>
      </c>
      <c r="F16" s="37" t="inlineStr">
        <is>
          <t>Card</t>
        </is>
      </c>
      <c r="G16" s="42" t="inlineStr">
        <is>
          <t>Golden Phoenix (Alt Art)</t>
        </is>
      </c>
    </row>
    <row r="17">
      <c r="B17" s="37" t="inlineStr">
        <is>
          <t>Grade / Cond.</t>
        </is>
      </c>
      <c r="C17" s="42" t="inlineStr">
        <is>
          <t>BGS 9.5</t>
        </is>
      </c>
      <c r="D17" s="45" t="n">
        <v>620</v>
      </c>
      <c r="F17" s="37" t="inlineStr">
        <is>
          <t>Grade / Cond.</t>
        </is>
      </c>
      <c r="G17" s="42" t="inlineStr">
        <is>
          <t>PSA 10</t>
        </is>
      </c>
      <c r="H17" s="45" t="n">
        <v>480</v>
      </c>
    </row>
    <row r="20" ht="22" customHeight="1">
      <c r="B20" s="7" t="inlineStr">
        <is>
          <t xml:space="preserve">  Newest Slab</t>
        </is>
      </c>
      <c r="F20" s="7" t="inlineStr">
        <is>
          <t xml:space="preserve">  At The Graders</t>
        </is>
      </c>
    </row>
    <row r="21" ht="24" customHeight="1">
      <c r="B21" s="44" t="inlineStr">
        <is>
          <t>📷
Upload card photo here
(see guide above)</t>
        </is>
      </c>
      <c r="F21" s="44" t="inlineStr">
        <is>
          <t>📷
Upload card photo here
(see guide above)</t>
        </is>
      </c>
    </row>
    <row r="22" ht="24" customHeight="1"/>
    <row r="23" ht="24" customHeight="1"/>
    <row r="24" ht="24" customHeight="1"/>
    <row r="25">
      <c r="B25" s="37" t="inlineStr">
        <is>
          <t>Card</t>
        </is>
      </c>
      <c r="C25" s="42" t="inlineStr">
        <is>
          <t>Twin Flames Duo</t>
        </is>
      </c>
      <c r="F25" s="37" t="inlineStr">
        <is>
          <t>Card</t>
        </is>
      </c>
      <c r="G25" s="42" t="inlineStr">
        <is>
          <t>Emberfang Dragon (Holo)</t>
        </is>
      </c>
    </row>
    <row r="26">
      <c r="B26" s="37" t="inlineStr">
        <is>
          <t>Grade / Cond.</t>
        </is>
      </c>
      <c r="C26" s="42" t="inlineStr">
        <is>
          <t>PSA 9</t>
        </is>
      </c>
      <c r="D26" s="45" t="n">
        <v>265</v>
      </c>
      <c r="F26" s="37" t="inlineStr">
        <is>
          <t>Grade / Cond.</t>
        </is>
      </c>
      <c r="G26" s="42" t="inlineStr">
        <is>
          <t>Pending @ PSA</t>
        </is>
      </c>
      <c r="H26" s="45" t="n">
        <v>340</v>
      </c>
    </row>
    <row r="29" ht="22" customHeight="1">
      <c r="B29" s="7" t="inlineStr">
        <is>
          <t xml:space="preserve">  Binder Spread</t>
        </is>
      </c>
      <c r="F29" s="7" t="inlineStr">
        <is>
          <t xml:space="preserve">  Display Shelf</t>
        </is>
      </c>
    </row>
    <row r="30" ht="24" customHeight="1">
      <c r="B30" s="44" t="inlineStr">
        <is>
          <t>📷
Upload card photo here
(see guide above)</t>
        </is>
      </c>
      <c r="F30" s="44" t="inlineStr">
        <is>
          <t>📷
Upload card photo here
(see guide above)</t>
        </is>
      </c>
    </row>
    <row r="31" ht="24" customHeight="1"/>
    <row r="32" ht="24" customHeight="1"/>
    <row r="33" ht="24" customHeight="1"/>
    <row r="34">
      <c r="B34" s="37" t="inlineStr">
        <is>
          <t>Card</t>
        </is>
      </c>
      <c r="C34" s="42" t="inlineStr">
        <is>
          <t>Binder A — hits page</t>
        </is>
      </c>
      <c r="F34" s="37" t="inlineStr">
        <is>
          <t>Card</t>
        </is>
      </c>
      <c r="G34" s="42" t="inlineStr">
        <is>
          <t>Vault case lineup</t>
        </is>
      </c>
    </row>
    <row r="35">
      <c r="B35" s="37" t="inlineStr">
        <is>
          <t>Grade / Cond.</t>
        </is>
      </c>
      <c r="C35" s="42" t="inlineStr">
        <is>
          <t>—</t>
        </is>
      </c>
      <c r="D35" s="45" t="inlineStr"/>
      <c r="F35" s="37" t="inlineStr">
        <is>
          <t>Grade / Cond.</t>
        </is>
      </c>
      <c r="G35" s="42" t="inlineStr">
        <is>
          <t>—</t>
        </is>
      </c>
      <c r="H35" s="45" t="inlineStr"/>
    </row>
    <row r="38" ht="22" customHeight="1">
      <c r="B38" s="7" t="inlineStr">
        <is>
          <t xml:space="preserve">  Tournament Win</t>
        </is>
      </c>
      <c r="F38" s="7" t="inlineStr">
        <is>
          <t xml:space="preserve">  Latest Pickup</t>
        </is>
      </c>
    </row>
    <row r="39" ht="24" customHeight="1">
      <c r="B39" s="44" t="inlineStr">
        <is>
          <t>📷
Upload card photo here
(see guide above)</t>
        </is>
      </c>
      <c r="F39" s="44" t="inlineStr">
        <is>
          <t>📷
Upload card photo here
(see guide above)</t>
        </is>
      </c>
    </row>
    <row r="40" ht="24" customHeight="1"/>
    <row r="41" ht="24" customHeight="1"/>
    <row r="42" ht="24" customHeight="1"/>
    <row r="43">
      <c r="B43" s="37" t="inlineStr">
        <is>
          <t>Card</t>
        </is>
      </c>
      <c r="C43" s="42" t="inlineStr">
        <is>
          <t>Emberstorm Aggro — 1st place</t>
        </is>
      </c>
      <c r="F43" s="37" t="inlineStr">
        <is>
          <t>Card</t>
        </is>
      </c>
      <c r="G43" s="42" t="inlineStr">
        <is>
          <t>Celestial Guardian (JP)</t>
        </is>
      </c>
    </row>
    <row r="44">
      <c r="B44" s="37" t="inlineStr">
        <is>
          <t>Grade / Cond.</t>
        </is>
      </c>
      <c r="C44" s="42" t="inlineStr">
        <is>
          <t>—</t>
        </is>
      </c>
      <c r="D44" s="45" t="inlineStr"/>
      <c r="F44" s="37" t="inlineStr">
        <is>
          <t>Grade / Cond.</t>
        </is>
      </c>
      <c r="G44" s="42" t="inlineStr">
        <is>
          <t>Near Mint</t>
        </is>
      </c>
      <c r="H44" s="45" t="n">
        <v>210</v>
      </c>
    </row>
  </sheetData>
  <mergeCells count="28">
    <mergeCell ref="F20:H20"/>
    <mergeCell ref="B11:D11"/>
    <mergeCell ref="C34:D34"/>
    <mergeCell ref="G43:H43"/>
    <mergeCell ref="B6:H8"/>
    <mergeCell ref="F39:H42"/>
    <mergeCell ref="B29:D29"/>
    <mergeCell ref="B5:H5"/>
    <mergeCell ref="B38:D38"/>
    <mergeCell ref="F38:H38"/>
    <mergeCell ref="A2:I2"/>
    <mergeCell ref="C16:D16"/>
    <mergeCell ref="C25:D25"/>
    <mergeCell ref="B12:D15"/>
    <mergeCell ref="B21:D24"/>
    <mergeCell ref="B20:D20"/>
    <mergeCell ref="F30:H33"/>
    <mergeCell ref="C43:D43"/>
    <mergeCell ref="G34:H34"/>
    <mergeCell ref="B39:D42"/>
    <mergeCell ref="F21:H24"/>
    <mergeCell ref="F12:H15"/>
    <mergeCell ref="F29:H29"/>
    <mergeCell ref="F11:H11"/>
    <mergeCell ref="G16:H16"/>
    <mergeCell ref="G25:H25"/>
    <mergeCell ref="A1:I1"/>
    <mergeCell ref="B30:D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📊  ANALYTICS DASHBOARD</t>
        </is>
      </c>
    </row>
    <row r="2" ht="22" customHeight="1">
      <c r="A2" s="2" t="inlineStr">
        <is>
          <t xml:space="preserve">  Your collection by the numbers — health across every area, and one Collection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COLLECTION HEALTH DIMENSIONS</t>
        </is>
      </c>
      <c r="F5" s="4" t="inlineStr">
        <is>
          <t>COLLECTION HEALTH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46">
        <f>IFERROR(AVERAGE(C7:C12),0)</f>
        <v/>
      </c>
      <c r="G6" s="47" t="n"/>
      <c r="H6" s="47" t="n"/>
    </row>
    <row r="7">
      <c r="B7" s="23" t="inlineStr">
        <is>
          <t>Value growth vs target</t>
        </is>
      </c>
      <c r="C7" s="48">
        <f>IFERROR(MIN((SUM(ColTotal)/SUM(ColPaid))/GrowthTarget,1),0)</f>
        <v/>
      </c>
      <c r="D7" s="40">
        <f>IF(C7&gt;=0.75,"Strong",IF(C7&gt;=0.5,"Growing","Focus Here"))</f>
        <v/>
      </c>
      <c r="F7" s="49" t="n"/>
      <c r="G7" s="49" t="n"/>
      <c r="H7" s="49" t="n"/>
    </row>
    <row r="8">
      <c r="B8" s="25" t="inlineStr">
        <is>
          <t>Grading pipeline returned</t>
        </is>
      </c>
      <c r="C8" s="50">
        <f>IFERROR(COUNTIF(GradeStatus,"Returned")/MAX(COUNTA(GradeStatus),1),0)</f>
        <v/>
      </c>
      <c r="D8" s="26">
        <f>IF(C8&gt;=0.75,"Strong",IF(C8&gt;=0.5,"Growing","Focus Here"))</f>
        <v/>
      </c>
      <c r="F8" s="49" t="n"/>
      <c r="G8" s="49" t="n"/>
      <c r="H8" s="49" t="n"/>
    </row>
    <row r="9">
      <c r="B9" s="23" t="inlineStr">
        <is>
          <t>Wishlist progress</t>
        </is>
      </c>
      <c r="C9" s="48">
        <f>IFERROR(COUNTIF(WishBought,"Yes")/MAX(COUNTA(WishCard),1),0)</f>
        <v/>
      </c>
      <c r="D9" s="40">
        <f>IF(C9&gt;=0.75,"Strong",IF(C9&gt;=0.5,"Growing","Focus Here"))</f>
        <v/>
      </c>
      <c r="F9" s="49" t="n"/>
      <c r="G9" s="49" t="n"/>
      <c r="H9" s="49" t="n"/>
    </row>
    <row r="10">
      <c r="B10" s="25" t="inlineStr">
        <is>
          <t>Storage documented</t>
        </is>
      </c>
      <c r="C10" s="50">
        <f>IFERROR(SUMPRODUCT((ColLocation&lt;&gt;"")*(ColName&lt;&gt;""))/MAX(COUNTA(ColName),1),0)</f>
        <v/>
      </c>
      <c r="D10" s="26">
        <f>IF(C10&gt;=0.75,"Strong",IF(C10&gt;=0.5,"Growing","Focus Here"))</f>
        <v/>
      </c>
      <c r="F10" s="51" t="inlineStr">
        <is>
          <t>Growth · grading · wishlist · storage · duplicates · play.</t>
        </is>
      </c>
    </row>
    <row r="11">
      <c r="B11" s="23" t="inlineStr">
        <is>
          <t>Duplicates planned</t>
        </is>
      </c>
      <c r="C11" s="48">
        <f>IFERROR(SUMPRODUCT((DupPlan&lt;&gt;"")*(DupCard&lt;&gt;""))/MAX(COUNTA(DupCard),1),0)</f>
        <v/>
      </c>
      <c r="D11" s="40">
        <f>IF(C11&gt;=0.75,"Strong",IF(C11&gt;=0.5,"Growing","Focus Here"))</f>
        <v/>
      </c>
    </row>
    <row r="12">
      <c r="B12" s="25" t="inlineStr">
        <is>
          <t>Tournament win rate</t>
        </is>
      </c>
      <c r="C12" s="50">
        <f>IFERROR(DeckWins/MAX(DeckWins+DeckLosses,1),0)</f>
        <v/>
      </c>
      <c r="D12" s="26">
        <f>IF(C12&gt;=0.75,"Strong",IF(C12&gt;=0.5,"Growing","Focus Here"))</f>
        <v/>
      </c>
    </row>
  </sheetData>
  <mergeCells count="6">
    <mergeCell ref="F10:H10"/>
    <mergeCell ref="B5:D5"/>
    <mergeCell ref="F5:H5"/>
    <mergeCell ref="A2:H2"/>
    <mergeCell ref="A1:H1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E5D3BA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collection details once — every dashboard follows. Works for any card game.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COLLECTION INPUTS</t>
        </is>
      </c>
      <c r="E5" s="4" t="inlineStr">
        <is>
          <t>DROPDOWN LISTS</t>
        </is>
      </c>
    </row>
    <row r="6">
      <c r="B6" s="37" t="inlineStr">
        <is>
          <t>Collection Name</t>
        </is>
      </c>
      <c r="C6" s="52" t="inlineStr">
        <is>
          <t>The Vaulted Collection</t>
        </is>
      </c>
      <c r="E6" s="7" t="inlineStr">
        <is>
          <t>Card Game</t>
        </is>
      </c>
      <c r="F6" s="7" t="inlineStr">
        <is>
          <t>Rarity</t>
        </is>
      </c>
      <c r="G6" s="7" t="inlineStr">
        <is>
          <t>Language</t>
        </is>
      </c>
      <c r="H6" s="7" t="inlineStr">
        <is>
          <t>Condition</t>
        </is>
      </c>
      <c r="I6" s="7" t="inlineStr">
        <is>
          <t>Storage Location</t>
        </is>
      </c>
      <c r="J6" s="7" t="inlineStr">
        <is>
          <t>Grading Company</t>
        </is>
      </c>
      <c r="K6" s="7" t="inlineStr">
        <is>
          <t>Marketplace</t>
        </is>
      </c>
      <c r="L6" s="7" t="inlineStr">
        <is>
          <t>Currency</t>
        </is>
      </c>
    </row>
    <row r="7">
      <c r="B7" s="37" t="inlineStr">
        <is>
          <t>Collector</t>
        </is>
      </c>
      <c r="C7" s="52" t="inlineStr">
        <is>
          <t>You</t>
        </is>
      </c>
      <c r="E7" s="23" t="inlineStr">
        <is>
          <t>Pokémon</t>
        </is>
      </c>
      <c r="F7" s="23" t="inlineStr">
        <is>
          <t>Common</t>
        </is>
      </c>
      <c r="G7" s="23" t="inlineStr">
        <is>
          <t>EN</t>
        </is>
      </c>
      <c r="H7" s="23" t="inlineStr">
        <is>
          <t>Gem Mint</t>
        </is>
      </c>
      <c r="I7" s="23" t="inlineStr">
        <is>
          <t>Vault Case</t>
        </is>
      </c>
      <c r="J7" s="23" t="inlineStr">
        <is>
          <t>PSA</t>
        </is>
      </c>
      <c r="K7" s="23" t="inlineStr">
        <is>
          <t>eBay</t>
        </is>
      </c>
      <c r="L7" s="23" t="inlineStr">
        <is>
          <t>USD</t>
        </is>
      </c>
    </row>
    <row r="8">
      <c r="B8" s="37" t="inlineStr">
        <is>
          <t>Primary Game</t>
        </is>
      </c>
      <c r="C8" s="52" t="inlineStr">
        <is>
          <t>Pokémon</t>
        </is>
      </c>
      <c r="E8" s="23" t="inlineStr">
        <is>
          <t>Magic: The Gathering</t>
        </is>
      </c>
      <c r="F8" s="23" t="inlineStr">
        <is>
          <t>Uncommon</t>
        </is>
      </c>
      <c r="G8" s="23" t="inlineStr">
        <is>
          <t>JP</t>
        </is>
      </c>
      <c r="H8" s="23" t="inlineStr">
        <is>
          <t>Mint</t>
        </is>
      </c>
      <c r="I8" s="23" t="inlineStr">
        <is>
          <t>Binder A</t>
        </is>
      </c>
      <c r="J8" s="23" t="inlineStr">
        <is>
          <t>BGS</t>
        </is>
      </c>
      <c r="K8" s="23" t="inlineStr">
        <is>
          <t>TCG Marketplace</t>
        </is>
      </c>
      <c r="L8" s="23" t="inlineStr">
        <is>
          <t>EUR</t>
        </is>
      </c>
    </row>
    <row r="9">
      <c r="B9" s="37" t="inlineStr">
        <is>
          <t>Currency</t>
        </is>
      </c>
      <c r="C9" s="52" t="inlineStr">
        <is>
          <t>USD</t>
        </is>
      </c>
      <c r="E9" s="23" t="inlineStr">
        <is>
          <t>Yu-Gi-Oh!</t>
        </is>
      </c>
      <c r="F9" s="23" t="inlineStr">
        <is>
          <t>Rare</t>
        </is>
      </c>
      <c r="G9" s="23" t="inlineStr">
        <is>
          <t>DE</t>
        </is>
      </c>
      <c r="H9" s="23" t="inlineStr">
        <is>
          <t>Near Mint</t>
        </is>
      </c>
      <c r="I9" s="23" t="inlineStr">
        <is>
          <t>Binder B</t>
        </is>
      </c>
      <c r="J9" s="23" t="inlineStr">
        <is>
          <t>CGC</t>
        </is>
      </c>
      <c r="K9" s="23" t="inlineStr">
        <is>
          <t>Card Show</t>
        </is>
      </c>
      <c r="L9" s="23" t="inlineStr">
        <is>
          <t>GBP</t>
        </is>
      </c>
    </row>
    <row r="10">
      <c r="B10" s="37" t="inlineStr">
        <is>
          <t>Collection Value Goal</t>
        </is>
      </c>
      <c r="C10" s="53" t="n">
        <v>5000</v>
      </c>
      <c r="E10" s="23" t="inlineStr">
        <is>
          <t>Lorcana</t>
        </is>
      </c>
      <c r="F10" s="23" t="inlineStr">
        <is>
          <t>Rare Holo</t>
        </is>
      </c>
      <c r="G10" s="23" t="inlineStr">
        <is>
          <t>FR</t>
        </is>
      </c>
      <c r="H10" s="23" t="inlineStr">
        <is>
          <t>Lightly Played</t>
        </is>
      </c>
      <c r="I10" s="23" t="inlineStr">
        <is>
          <t>Display Shelf</t>
        </is>
      </c>
      <c r="J10" s="23" t="inlineStr">
        <is>
          <t>SGC</t>
        </is>
      </c>
      <c r="K10" s="23" t="inlineStr">
        <is>
          <t>Local Game Store</t>
        </is>
      </c>
      <c r="L10" s="23" t="inlineStr">
        <is>
          <t>CAD</t>
        </is>
      </c>
    </row>
    <row r="11">
      <c r="B11" s="37" t="inlineStr">
        <is>
          <t>Growth Target (value ÷ cost)</t>
        </is>
      </c>
      <c r="C11" s="54" t="n">
        <v>2</v>
      </c>
      <c r="E11" s="23" t="inlineStr">
        <is>
          <t>One Piece</t>
        </is>
      </c>
      <c r="F11" s="23" t="inlineStr">
        <is>
          <t>Ultra Rare</t>
        </is>
      </c>
      <c r="G11" s="23" t="inlineStr">
        <is>
          <t>ES</t>
        </is>
      </c>
      <c r="H11" s="23" t="inlineStr">
        <is>
          <t>Moderately Played</t>
        </is>
      </c>
      <c r="I11" s="23" t="inlineStr">
        <is>
          <t>Bulk Box 1</t>
        </is>
      </c>
      <c r="J11" s="23" t="inlineStr">
        <is>
          <t>TAG</t>
        </is>
      </c>
      <c r="K11" s="23" t="inlineStr">
        <is>
          <t>Facebook</t>
        </is>
      </c>
      <c r="L11" s="23" t="inlineStr">
        <is>
          <t>AUD</t>
        </is>
      </c>
    </row>
    <row r="12">
      <c r="B12" s="37" t="inlineStr">
        <is>
          <t>Monthly Card Budget</t>
        </is>
      </c>
      <c r="C12" s="53" t="n">
        <v>150</v>
      </c>
      <c r="E12" s="23" t="inlineStr">
        <is>
          <t>Sports Cards</t>
        </is>
      </c>
      <c r="F12" s="23" t="inlineStr">
        <is>
          <t>Secret Rare</t>
        </is>
      </c>
      <c r="G12" s="23" t="inlineStr">
        <is>
          <t>IT</t>
        </is>
      </c>
      <c r="H12" s="23" t="inlineStr">
        <is>
          <t>Heavily Played</t>
        </is>
      </c>
      <c r="I12" s="23" t="inlineStr">
        <is>
          <t>Bulk Box 2</t>
        </is>
      </c>
      <c r="K12" s="23" t="inlineStr">
        <is>
          <t>Mercari</t>
        </is>
      </c>
      <c r="L12" s="23" t="inlineStr">
        <is>
          <t>JPY</t>
        </is>
      </c>
    </row>
    <row r="13">
      <c r="E13" s="23" t="inlineStr">
        <is>
          <t>Digimon</t>
        </is>
      </c>
      <c r="F13" s="23" t="inlineStr">
        <is>
          <t>Promo</t>
        </is>
      </c>
      <c r="G13" s="23" t="inlineStr">
        <is>
          <t>KR</t>
        </is>
      </c>
      <c r="H13" s="23" t="inlineStr">
        <is>
          <t>Damaged</t>
        </is>
      </c>
      <c r="I13" s="23" t="inlineStr">
        <is>
          <t>Deck Box</t>
        </is>
      </c>
      <c r="K13" s="23" t="inlineStr">
        <is>
          <t>Whatnot</t>
        </is>
      </c>
    </row>
    <row r="14">
      <c r="E14" s="23" t="inlineStr">
        <is>
          <t>Other</t>
        </is>
      </c>
      <c r="G14" s="23" t="inlineStr">
        <is>
          <t>ZH</t>
        </is>
      </c>
      <c r="I14" s="23" t="inlineStr">
        <is>
          <t>Safe</t>
        </is>
      </c>
    </row>
    <row r="17">
      <c r="E17" s="7" t="inlineStr">
        <is>
          <t>Priority</t>
        </is>
      </c>
      <c r="F17" s="7" t="inlineStr">
        <is>
          <t>Duplicate Plan</t>
        </is>
      </c>
      <c r="G17" s="7" t="inlineStr">
        <is>
          <t>Grading Status</t>
        </is>
      </c>
      <c r="H17" s="7" t="inlineStr">
        <is>
          <t>Yes / No</t>
        </is>
      </c>
    </row>
    <row r="18">
      <c r="E18" s="23" t="inlineStr">
        <is>
          <t>Grail</t>
        </is>
      </c>
      <c r="F18" s="23" t="inlineStr">
        <is>
          <t>Trade</t>
        </is>
      </c>
      <c r="G18" s="23" t="inlineStr">
        <is>
          <t>Returned</t>
        </is>
      </c>
      <c r="H18" s="23" t="inlineStr">
        <is>
          <t>Yes</t>
        </is>
      </c>
    </row>
    <row r="19">
      <c r="E19" s="23" t="inlineStr">
        <is>
          <t>High</t>
        </is>
      </c>
      <c r="F19" s="23" t="inlineStr">
        <is>
          <t>Sell</t>
        </is>
      </c>
      <c r="G19" s="23" t="inlineStr">
        <is>
          <t>Pending</t>
        </is>
      </c>
      <c r="H19" s="23" t="inlineStr">
        <is>
          <t>No</t>
        </is>
      </c>
    </row>
    <row r="20">
      <c r="E20" s="23" t="inlineStr">
        <is>
          <t>Medium</t>
        </is>
      </c>
      <c r="F20" s="23" t="inlineStr">
        <is>
          <t>Gift</t>
        </is>
      </c>
    </row>
    <row r="21">
      <c r="E21" s="23" t="inlineStr">
        <is>
          <t>Low</t>
        </is>
      </c>
      <c r="F21" s="23" t="inlineStr">
        <is>
          <t>Keep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2026-07-03T03:02:18Z</dcterms:created>
  <dcterms:modified xsi:type="dcterms:W3CDTF">2026-07-03T03:02:18Z</dcterms:modified>
</cp:coreProperties>
</file>