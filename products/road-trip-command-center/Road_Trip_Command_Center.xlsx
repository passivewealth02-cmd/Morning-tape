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Trip Profile" sheetId="3" state="visible" r:id="rId3"/>
    <sheet name="Route" sheetId="4" state="visible" r:id="rId4"/>
    <sheet name="Itinerary" sheetId="5" state="visible" r:id="rId5"/>
    <sheet name="Budget" sheetId="6" state="visible" r:id="rId6"/>
    <sheet name="Fuel" sheetId="7" state="visible" r:id="rId7"/>
    <sheet name="Vehicle" sheetId="8" state="visible" r:id="rId8"/>
    <sheet name="Stays" sheetId="9" state="visible" r:id="rId9"/>
    <sheet name="Camping" sheetId="10" state="visible" r:id="rId10"/>
    <sheet name="Attractions" sheetId="11" state="visible" r:id="rId11"/>
    <sheet name="Food" sheetId="12" state="visible" r:id="rId12"/>
    <sheet name="Packing" sheetId="13" state="visible" r:id="rId13"/>
    <sheet name="Emergency" sheetId="14" state="visible" r:id="rId14"/>
    <sheet name="Journal" sheetId="15" state="visible" r:id="rId15"/>
    <sheet name="Gallery" sheetId="16" state="visible" r:id="rId16"/>
    <sheet name="Parks" sheetId="17" state="visible" r:id="rId17"/>
    <sheet name="Rewards" sheetId="18" state="visible" r:id="rId18"/>
    <sheet name="Analytics" sheetId="19" state="visible" r:id="rId19"/>
    <sheet name="Settings" sheetId="20" state="visible" r:id="rId20"/>
  </sheets>
  <definedNames>
    <definedName name="TripName">Settings!$C$6</definedName>
    <definedName name="StartLoc">Settings!$C$7</definedName>
    <definedName name="Destination">Settings!$C$8</definedName>
    <definedName name="TripStart">Settings!$C$9</definedName>
    <definedName name="TripEnd">Settings!$C$10</definedName>
    <definedName name="TravelerCount">Settings!$C$11</definedName>
    <definedName name="VehicleName">Settings!$C$12</definedName>
    <definedName name="AvgMPG">Settings!$C$13</definedName>
    <definedName name="FuelPrice">Settings!$C$14</definedName>
    <definedName name="ExpCatList">Settings!$E$7:$E$18</definedName>
    <definedName name="StayTypeList">Settings!$F$7:$F$12</definedName>
    <definedName name="ActTypeList">Settings!$G$7:$G$14</definedName>
    <definedName name="PackCatList">Settings!$H$7:$H$16</definedName>
    <definedName name="FuelTypeList">Settings!$I$7:$I$11</definedName>
    <definedName name="VehTypeList">Settings!$J$7:$J$13</definedName>
    <definedName name="RoadCondList">Settings!$K$7:$K$12</definedName>
    <definedName name="ResStatusList">Settings!$L$7:$L$10</definedName>
    <definedName name="PriorityList">Settings!$E$21:$E$23</definedName>
    <definedName name="YesNoList">Settings!$F$21:$F$22</definedName>
    <definedName name="VehStatusList">Settings!$G$21:$G$23</definedName>
    <definedName name="CurrencyList">Settings!$H$21:$H$25</definedName>
    <definedName name="DailyMiles">'Route'!$D$5:$D$28</definedName>
    <definedName name="DriveTime">'Route'!$E$5:$E$28</definedName>
    <definedName name="ExpCat">'Budget'!$A$5:$A$16</definedName>
    <definedName name="ExpPlanned">'Budget'!$B$5:$B$16</definedName>
    <definedName name="ExpActual">'Budget'!$C$5:$C$16</definedName>
    <definedName name="TripBudget">'Budget'!$B$17</definedName>
    <definedName name="SpentTotal">'Budget'!$C$17</definedName>
    <definedName name="SavedTotal">'Budget'!$H$8</definedName>
    <definedName name="FuelGallons">'Fuel'!$C$5:$C$34</definedName>
    <definedName name="FuelTotal">'Fuel'!$E$5:$E$34</definedName>
    <definedName name="FuelEstimate">'Fuel'!$C$40</definedName>
    <definedName name="VehStatus">'Vehicle'!$E$7:$E$16</definedName>
    <definedName name="StayType">'Stays'!$B$5:$B$24</definedName>
    <definedName name="StayBooked">'Stays'!$H$5:$H$24</definedName>
    <definedName name="CampReserved">'Camping'!$C$5:$C$24</definedName>
    <definedName name="AttractionName">'Attractions'!$A$5:$A$34</definedName>
    <definedName name="AttractionCost">'Attractions'!$C$5:$C$34</definedName>
    <definedName name="PackStatus">'Packing'!$E$5:$E$64</definedName>
    <definedName name="ParkName">'Parks'!$A$5:$A$20</definedName>
    <definedName name="ReadinessRange">'Analytics'!$C$7:$C$10</definedName>
    <definedName name="TotalDistance">'Analytics'!$F$6</definedName>
    <definedName name="DriveHours">'Analytics'!$F$7</definedName>
    <definedName name="DayLabel">'Analytics'!$B$16:$B$21</definedName>
    <definedName name="DayMiles">'Analytics'!$C$16:$C$21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0.0"/>
    <numFmt numFmtId="167" formatCode="&quot;$&quot;#,##0.00"/>
    <numFmt numFmtId="168" formatCode="&quot;$&quot;#,##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i val="1"/>
      <color rgb="00937356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6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5" fillId="8" borderId="2" applyAlignment="1" pivotButton="0" quotePrefix="0" xfId="0">
      <alignment horizontal="center" vertical="center"/>
    </xf>
    <xf numFmtId="0" fontId="0" fillId="8" borderId="2" pivotButton="0" quotePrefix="0" xfId="0"/>
    <xf numFmtId="166" fontId="15" fillId="8" borderId="2" applyAlignment="1" pivotButton="0" quotePrefix="0" xfId="0">
      <alignment horizontal="center" vertical="center"/>
    </xf>
    <xf numFmtId="168" fontId="15" fillId="8" borderId="2" applyAlignment="1" pivotButton="0" quotePrefix="0" xfId="0">
      <alignment horizontal="center" vertical="center"/>
    </xf>
    <xf numFmtId="9" fontId="15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3" fontId="6" fillId="8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3" fontId="6" fillId="9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166" fontId="12" fillId="3" borderId="0" pivotButton="0" quotePrefix="0" xfId="0"/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8" fontId="7" fillId="3" borderId="2" applyAlignment="1" pivotButton="0" quotePrefix="0" xfId="8">
      <alignment horizontal="center" vertical="center"/>
    </xf>
    <xf numFmtId="168" fontId="6" fillId="0" borderId="2" applyAlignment="1" pivotButton="0" quotePrefix="0" xfId="6">
      <alignment horizontal="center" vertical="center" wrapText="1"/>
    </xf>
    <xf numFmtId="168" fontId="7" fillId="9" borderId="2" applyAlignment="1" pivotButton="0" quotePrefix="0" xfId="8">
      <alignment horizontal="center" vertical="center"/>
    </xf>
    <xf numFmtId="168" fontId="6" fillId="9" borderId="2" applyAlignment="1" pivotButton="0" quotePrefix="0" xfId="6">
      <alignment horizontal="center" vertical="center" wrapText="1"/>
    </xf>
    <xf numFmtId="168" fontId="12" fillId="3" borderId="2" applyAlignment="1" pivotButton="0" quotePrefix="0" xfId="6">
      <alignment horizontal="center" vertical="center" wrapText="1"/>
    </xf>
    <xf numFmtId="168" fontId="7" fillId="0" borderId="2" applyAlignment="1" pivotButton="0" quotePrefix="0" xfId="10">
      <alignment horizontal="left" vertical="center" indent="1"/>
    </xf>
    <xf numFmtId="168" fontId="7" fillId="6" borderId="2" applyAlignment="1" pivotButton="0" quotePrefix="0" xfId="10">
      <alignment horizontal="left" vertical="center" indent="1"/>
    </xf>
    <xf numFmtId="167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3" fontId="7" fillId="0" borderId="2" applyAlignment="1" pivotButton="0" quotePrefix="0" xfId="10">
      <alignment horizontal="left" vertical="center" indent="1"/>
    </xf>
    <xf numFmtId="166" fontId="7" fillId="0" borderId="2" applyAlignment="1" pivotButton="0" quotePrefix="0" xfId="10">
      <alignment horizontal="left" vertical="center" indent="1"/>
    </xf>
    <xf numFmtId="167" fontId="7" fillId="0" borderId="2" applyAlignment="1" pivotButton="0" quotePrefix="0" xfId="10">
      <alignment horizontal="left" vertical="center" indent="1"/>
    </xf>
    <xf numFmtId="0" fontId="6" fillId="0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0" fontId="13" fillId="0" borderId="0" pivotButton="0" quotePrefix="0" xfId="0"/>
    <xf numFmtId="9" fontId="6" fillId="0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5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166" fontId="7" fillId="3" borderId="2" applyAlignment="1" pivotButton="0" quotePrefix="0" xfId="8">
      <alignment horizontal="center" vertical="center"/>
    </xf>
    <xf numFmtId="167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4">
    <dxf>
      <font>
        <b val="1"/>
        <color rgb="00C94C4C"/>
      </font>
      <fill>
        <patternFill patternType="solid">
          <fgColor rgb="00FBE6E6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'Budget'!$B$5:$B$16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Mileage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'Analytics'!C15</f>
            </strRef>
          </tx>
          <spPr>
            <a:ln>
              <a:prstDash val="solid"/>
            </a:ln>
          </spPr>
          <cat>
            <numRef>
              <f>'Analytics'!$B$16:$B$21</f>
            </numRef>
          </cat>
          <val>
            <numRef>
              <f>'Analytics'!$C$16:$C$21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Trip Readiness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'Analytics'!$B$7:$B$10</f>
            </numRef>
          </cat>
          <val>
            <numRef>
              <f>'Analytics'!$C$7:$C$10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'Budget'!$B$5:$B$16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'Budget'!$A$5:$A$16</f>
            </numRef>
          </cat>
          <val>
            <numRef>
              <f>'Budget'!$C$5:$C$16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🚗  ROAD TRIP COMMAND CENTER™</t>
        </is>
      </c>
    </row>
    <row r="2" ht="24" customHeight="1">
      <c r="A2" s="2" t="inlineStr">
        <is>
          <t xml:space="preserve">  The ultimate road trip planning, budget &amp; adventure management system.</t>
        </is>
      </c>
    </row>
    <row r="3" ht="6" customHeight="1">
      <c r="A3" s="3" t="n"/>
      <c r="B3" s="3" t="n"/>
      <c r="C3" s="3" t="n"/>
    </row>
    <row r="5">
      <c r="B5" s="4" t="inlineStr">
        <is>
          <t>PLAN EVERY MILE FROM ONE ELEGANT COMMAND CENTER</t>
        </is>
      </c>
    </row>
    <row r="6" ht="22" customHeight="1">
      <c r="B6" s="5" t="inlineStr">
        <is>
          <t>From the first pin on the map to the last sunset photo — Road Trip Command Center™ manages your route, budget, fuel, vehicle, campgrounds, hotels, attractions, packing, safety and memories in ONE premium Excel &amp; Google Sheets system. Drive further, spend smarter, break down less and remember more — all with app-level automation. This isn't a road trip checklist — it's your complete Road Trip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trip, dates, travelers, vehicle &amp; MPG.</t>
        </is>
      </c>
    </row>
    <row r="13" ht="22" customHeight="1">
      <c r="B13" s="8" t="inlineStr">
        <is>
          <t>2.  Map your Route &amp; Daily Itinerary — miles and drive time total themselves.</t>
        </is>
      </c>
    </row>
    <row r="14" ht="22" customHeight="1">
      <c r="B14" s="8" t="inlineStr">
        <is>
          <t>3.  Build your Budget &amp; log Fuel — cost per mile &amp; per day calculate live.</t>
        </is>
      </c>
    </row>
    <row r="15" ht="22" customHeight="1">
      <c r="B15" s="8" t="inlineStr">
        <is>
          <t>4.  Run the Vehicle checklist — readiness score &amp; maintenance reminders.</t>
        </is>
      </c>
    </row>
    <row r="16" ht="22" customHeight="1">
      <c r="B16" s="8" t="inlineStr">
        <is>
          <t>5.  Book Stays, Campgrounds &amp; Attractions; work the Packing list.</t>
        </is>
      </c>
    </row>
    <row r="17" ht="22" customHeight="1">
      <c r="B17" s="8" t="inlineStr">
        <is>
          <t>6.  Hit the road, then capture it all in the Journal, Gallery &amp; Parks checklist.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A realistic sample trip (a 12-day, 2-person, 1,555-mile Southwest national-park loop from Las Vegas on a $4,800 budget) is included so you can see how everything connects — just type over it with your own. The countdown, total distance, fuel economy, budget remaining, packing %, vehicle readiness and the Trip Readiness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miles of memories — let's plan the adventure.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🚗  ROAD TRIP COMMAND CENTER™</t>
        </is>
      </c>
    </row>
    <row r="2" ht="24" customHeight="1">
      <c r="A2" s="2" t="inlineStr">
        <is>
          <t xml:space="preserve">  Route, budget, fuel, vehicle &amp; memories — your whole road trip,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DAYS TO DEPARTURE</t>
        </is>
      </c>
      <c r="C5" s="13" t="n"/>
      <c r="D5" s="12" t="inlineStr">
        <is>
          <t>TOTAL DISTANCE</t>
        </is>
      </c>
      <c r="E5" s="13" t="n"/>
      <c r="F5" s="12" t="inlineStr">
        <is>
          <t>DRIVING HOURS</t>
        </is>
      </c>
      <c r="G5" s="13" t="n"/>
      <c r="H5" s="12" t="inlineStr">
        <is>
          <t>TOTAL BUDGET</t>
        </is>
      </c>
      <c r="I5" s="13" t="n"/>
      <c r="J5" s="12" t="inlineStr">
        <is>
          <t>BUDGET REMAINING</t>
        </is>
      </c>
      <c r="K5" s="13" t="n"/>
      <c r="L5" s="12" t="inlineStr">
        <is>
          <t>FUEL ESTIMATE</t>
        </is>
      </c>
      <c r="M5" s="13" t="n"/>
    </row>
    <row r="6" ht="40" customHeight="1">
      <c r="B6" s="14">
        <f>MAX(TripStart-TODAY(),0)</f>
        <v/>
      </c>
      <c r="C6" s="15" t="n"/>
      <c r="D6" s="14">
        <f>TotalDistance</f>
        <v/>
      </c>
      <c r="E6" s="15" t="n"/>
      <c r="F6" s="16">
        <f>DriveHours</f>
        <v/>
      </c>
      <c r="G6" s="15" t="n"/>
      <c r="H6" s="17">
        <f>TripBudget</f>
        <v/>
      </c>
      <c r="I6" s="15" t="n"/>
      <c r="J6" s="17">
        <f>TripBudget-SpentTotal</f>
        <v/>
      </c>
      <c r="K6" s="15" t="n"/>
      <c r="L6" s="17">
        <f>FuelEstimate</f>
        <v/>
      </c>
      <c r="M6" s="15" t="n"/>
    </row>
    <row r="8" ht="18" customHeight="1">
      <c r="B8" s="12" t="inlineStr">
        <is>
          <t>STOPS PLANNED</t>
        </is>
      </c>
      <c r="C8" s="13" t="n"/>
      <c r="D8" s="12" t="inlineStr">
        <is>
          <t>CAMPGROUNDS BOOKED</t>
        </is>
      </c>
      <c r="E8" s="13" t="n"/>
      <c r="F8" s="12" t="inlineStr">
        <is>
          <t>HOTELS BOOKED</t>
        </is>
      </c>
      <c r="G8" s="13" t="n"/>
      <c r="H8" s="12" t="inlineStr">
        <is>
          <t>PACKING PROGRESS</t>
        </is>
      </c>
      <c r="I8" s="13" t="n"/>
      <c r="J8" s="12" t="inlineStr">
        <is>
          <t>VEHICLE READINESS</t>
        </is>
      </c>
      <c r="K8" s="13" t="n"/>
      <c r="L8" s="12" t="inlineStr">
        <is>
          <t>TRIP READINESS</t>
        </is>
      </c>
      <c r="M8" s="13" t="n"/>
    </row>
    <row r="9" ht="40" customHeight="1">
      <c r="B9" s="14">
        <f>COUNTA(AttractionName)</f>
        <v/>
      </c>
      <c r="C9" s="15" t="n"/>
      <c r="D9" s="14">
        <f>COUNTIF(CampReserved,"Yes")</f>
        <v/>
      </c>
      <c r="E9" s="15" t="n"/>
      <c r="F9" s="14">
        <f>COUNTIFS(StayType,"Hotel",StayBooked,"Yes")</f>
        <v/>
      </c>
      <c r="G9" s="15" t="n"/>
      <c r="H9" s="18">
        <f>IFERROR(COUNTIF(PackStatus,"Yes")/COUNTA(PackStatus),0)</f>
        <v/>
      </c>
      <c r="I9" s="15" t="n"/>
      <c r="J9" s="18">
        <f>IFERROR(COUNTIF(VehStatus,"OK")/COUNTA(VehStatus),0)</f>
        <v/>
      </c>
      <c r="K9" s="15" t="n"/>
      <c r="L9" s="18">
        <f>IFERROR(AVERAGE(ReadinessRange),0)</f>
        <v/>
      </c>
      <c r="M9" s="15" t="n"/>
    </row>
    <row r="11" ht="26" customHeight="1">
      <c r="B11" s="4" t="inlineStr">
        <is>
          <t>BUDGET &amp; MILEAGE</t>
        </is>
      </c>
    </row>
    <row r="29" ht="26" customHeight="1">
      <c r="B29" s="4" t="inlineStr">
        <is>
          <t>READINESS &amp; SPENDING</t>
        </is>
      </c>
    </row>
    <row r="47" ht="26" customHeight="1">
      <c r="B47" s="2" t="inlineStr">
        <is>
          <t>Road Trip Command Center™ — from the first pin to the last sunset,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🧭  TRIP PROFILE</t>
        </is>
      </c>
    </row>
    <row r="2" ht="22" customHeight="1">
      <c r="A2" s="2" t="inlineStr">
        <is>
          <t xml:space="preserve">  Your adventure at a glance — the who, what, where and how.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TRIP</t>
        </is>
      </c>
    </row>
    <row r="6" ht="24" customHeight="1">
      <c r="B6" s="19" t="inlineStr">
        <is>
          <t>Trip Name</t>
        </is>
      </c>
      <c r="C6" s="20">
        <f>TripName</f>
        <v/>
      </c>
      <c r="E6" s="19" t="inlineStr">
        <is>
          <t>Start</t>
        </is>
      </c>
      <c r="F6" s="20">
        <f>StartLoc</f>
        <v/>
      </c>
    </row>
    <row r="7" ht="24" customHeight="1">
      <c r="B7" s="19" t="inlineStr">
        <is>
          <t>Destination</t>
        </is>
      </c>
      <c r="C7" s="20">
        <f>Destination</f>
        <v/>
      </c>
      <c r="E7" s="19" t="inlineStr">
        <is>
          <t>Travelers</t>
        </is>
      </c>
      <c r="F7" s="20">
        <f>TravelerCount</f>
        <v/>
      </c>
    </row>
    <row r="8" ht="24" customHeight="1">
      <c r="B8" s="19" t="inlineStr">
        <is>
          <t>Departure</t>
        </is>
      </c>
      <c r="C8" s="20">
        <f>TEXT(TripStart,"ddd, mmm d")</f>
        <v/>
      </c>
      <c r="E8" s="19" t="inlineStr">
        <is>
          <t>Return</t>
        </is>
      </c>
      <c r="F8" s="20">
        <f>TEXT(TripEnd,"ddd, mmm d")</f>
        <v/>
      </c>
    </row>
    <row r="10" ht="22" customHeight="1">
      <c r="B10" s="4" t="inlineStr">
        <is>
          <t>THE RIG</t>
        </is>
      </c>
    </row>
    <row r="11" ht="24" customHeight="1">
      <c r="B11" s="19" t="inlineStr">
        <is>
          <t>Vehicle</t>
        </is>
      </c>
      <c r="C11" s="20">
        <f>VehicleName</f>
        <v/>
      </c>
      <c r="E11" s="19" t="inlineStr">
        <is>
          <t>Avg MPG</t>
        </is>
      </c>
      <c r="F11" s="20">
        <f>AvgMPG</f>
        <v/>
      </c>
    </row>
    <row r="12" ht="24" customHeight="1">
      <c r="B12" s="19" t="inlineStr">
        <is>
          <t>Days on the Road</t>
        </is>
      </c>
      <c r="C12" s="20">
        <f>TripEnd-TripStart+1</f>
        <v/>
      </c>
      <c r="E12" s="19" t="inlineStr">
        <is>
          <t>Trip Theme</t>
        </is>
      </c>
      <c r="F12" s="20" t="inlineStr">
        <is>
          <t>Parks, scenic drives &amp; camping</t>
        </is>
      </c>
    </row>
    <row r="13" ht="24" customHeight="1">
      <c r="B13" s="19" t="inlineStr">
        <is>
          <t>Sleeping Setup</t>
        </is>
      </c>
      <c r="C13" s="20" t="inlineStr">
        <is>
          <t>Van + campgrounds</t>
        </is>
      </c>
      <c r="E13" s="19" t="inlineStr">
        <is>
          <t>Trip Motto</t>
        </is>
      </c>
      <c r="F13" s="20" t="inlineStr">
        <is>
          <t>The journey is the destination</t>
        </is>
      </c>
    </row>
    <row r="15" ht="22" customHeight="1">
      <c r="B15" s="4" t="inlineStr">
        <is>
          <t>EMERGENCY CONTACTS</t>
        </is>
      </c>
    </row>
    <row r="16">
      <c r="B16" s="19" t="inlineStr">
        <is>
          <t>Emergency</t>
        </is>
      </c>
      <c r="C16" s="20" t="inlineStr">
        <is>
          <t>911</t>
        </is>
      </c>
      <c r="E16" s="19" t="inlineStr">
        <is>
          <t>Roadside Assist</t>
        </is>
      </c>
      <c r="F16" s="20" t="inlineStr">
        <is>
          <t>800-555-0199</t>
        </is>
      </c>
    </row>
    <row r="17">
      <c r="B17" s="19" t="inlineStr">
        <is>
          <t>Home Contact (Mom)</t>
        </is>
      </c>
      <c r="C17" s="20" t="inlineStr">
        <is>
          <t>555-0110</t>
        </is>
      </c>
      <c r="E17" s="19" t="inlineStr">
        <is>
          <t>Insurance 24/7</t>
        </is>
      </c>
      <c r="F17" s="20" t="inlineStr">
        <is>
          <t>800-555-0100</t>
        </is>
      </c>
    </row>
    <row r="18">
      <c r="B18" s="19" t="inlineStr">
        <is>
          <t>Vehicle Roadside</t>
        </is>
      </c>
      <c r="C18" s="20" t="inlineStr">
        <is>
          <t>800-555-0177</t>
        </is>
      </c>
      <c r="E18" s="19" t="inlineStr">
        <is>
          <t>Trip Buddy</t>
        </is>
      </c>
      <c r="F18" s="20" t="inlineStr">
        <is>
          <t>555-0142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10" customWidth="1" min="4" max="4"/>
    <col width="13" customWidth="1" min="5" max="5"/>
    <col width="30" customWidth="1" min="6" max="6"/>
  </cols>
  <sheetData>
    <row r="1" ht="46" customHeight="1">
      <c r="A1" s="1" t="inlineStr">
        <is>
          <t xml:space="preserve">  🗺  ROUTE PLANNER</t>
        </is>
      </c>
    </row>
    <row r="2" ht="22" customHeight="1">
      <c r="A2" s="2" t="inlineStr">
        <is>
          <t xml:space="preserve">  The whole drive, mapped — daily miles &amp; drive time total themselves.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Day</t>
        </is>
      </c>
      <c r="B4" s="9" t="inlineStr">
        <is>
          <t>Route (From → To)</t>
        </is>
      </c>
      <c r="C4" s="9" t="inlineStr">
        <is>
          <t>Scenic Stops / Parks</t>
        </is>
      </c>
      <c r="D4" s="9" t="inlineStr">
        <is>
          <t>Miles</t>
        </is>
      </c>
      <c r="E4" s="9" t="inlineStr">
        <is>
          <t>Drive Time (h)</t>
        </is>
      </c>
      <c r="F4" s="9" t="inlineStr">
        <is>
          <t>Road Notes</t>
        </is>
      </c>
    </row>
    <row r="5">
      <c r="A5" s="21" t="inlineStr">
        <is>
          <t>Day 1</t>
        </is>
      </c>
      <c r="B5" s="22" t="inlineStr">
        <is>
          <t>Las Vegas → Zion NP</t>
        </is>
      </c>
      <c r="C5" s="22" t="inlineStr">
        <is>
          <t>Valley of Fire detour</t>
        </is>
      </c>
      <c r="D5" s="23" t="n">
        <v>165</v>
      </c>
      <c r="E5" s="24" t="n">
        <v>2.8</v>
      </c>
      <c r="F5" s="22" t="inlineStr">
        <is>
          <t>Fill up before the park</t>
        </is>
      </c>
    </row>
    <row r="6">
      <c r="A6" s="25" t="inlineStr">
        <is>
          <t>Day 2</t>
        </is>
      </c>
      <c r="B6" s="26" t="inlineStr">
        <is>
          <t>Zion NP</t>
        </is>
      </c>
      <c r="C6" s="26" t="inlineStr">
        <is>
          <t>Angels Landing / Narrows</t>
        </is>
      </c>
      <c r="D6" s="27" t="n">
        <v>25</v>
      </c>
      <c r="E6" s="28" t="n">
        <v>0.6</v>
      </c>
      <c r="F6" s="26" t="inlineStr">
        <is>
          <t>Shuttle-only in the canyon</t>
        </is>
      </c>
    </row>
    <row r="7">
      <c r="A7" s="21" t="inlineStr">
        <is>
          <t>Day 3</t>
        </is>
      </c>
      <c r="B7" s="22" t="inlineStr">
        <is>
          <t>Zion → Bryce Canyon</t>
        </is>
      </c>
      <c r="C7" s="22" t="inlineStr">
        <is>
          <t>Red Canyon arches</t>
        </is>
      </c>
      <c r="D7" s="23" t="n">
        <v>85</v>
      </c>
      <c r="E7" s="24" t="n">
        <v>1.6</v>
      </c>
      <c r="F7" s="22" t="inlineStr">
        <is>
          <t>Cooler — pack layers</t>
        </is>
      </c>
    </row>
    <row r="8">
      <c r="A8" s="25" t="inlineStr">
        <is>
          <t>Day 4</t>
        </is>
      </c>
      <c r="B8" s="26" t="inlineStr">
        <is>
          <t>Bryce → Capitol Reef</t>
        </is>
      </c>
      <c r="C8" s="26" t="inlineStr">
        <is>
          <t>Scenic Byway 12</t>
        </is>
      </c>
      <c r="D8" s="27" t="n">
        <v>120</v>
      </c>
      <c r="E8" s="28" t="n">
        <v>2.4</v>
      </c>
      <c r="F8" s="26" t="inlineStr">
        <is>
          <t>One of the best drives in the US</t>
        </is>
      </c>
    </row>
    <row r="9">
      <c r="A9" s="21" t="inlineStr">
        <is>
          <t>Day 5</t>
        </is>
      </c>
      <c r="B9" s="22" t="inlineStr">
        <is>
          <t>Capitol Reef → Moab</t>
        </is>
      </c>
      <c r="C9" s="22" t="inlineStr">
        <is>
          <t>Goblin Valley</t>
        </is>
      </c>
      <c r="D9" s="23" t="n">
        <v>150</v>
      </c>
      <c r="E9" s="24" t="n">
        <v>2.6</v>
      </c>
      <c r="F9" s="22" t="inlineStr">
        <is>
          <t>Long open stretch — fuel up</t>
        </is>
      </c>
    </row>
    <row r="10">
      <c r="A10" s="25" t="inlineStr">
        <is>
          <t>Day 6</t>
        </is>
      </c>
      <c r="B10" s="26" t="inlineStr">
        <is>
          <t>Arches + Canyonlands</t>
        </is>
      </c>
      <c r="C10" s="26" t="inlineStr">
        <is>
          <t>Delicate Arch sunset</t>
        </is>
      </c>
      <c r="D10" s="27" t="n">
        <v>70</v>
      </c>
      <c r="E10" s="28" t="n">
        <v>1.8</v>
      </c>
      <c r="F10" s="26" t="inlineStr">
        <is>
          <t>Timed entry for Arches</t>
        </is>
      </c>
    </row>
    <row r="11">
      <c r="A11" s="21" t="inlineStr">
        <is>
          <t>Day 7</t>
        </is>
      </c>
      <c r="B11" s="22" t="inlineStr">
        <is>
          <t>Moab → Mesa Verde</t>
        </is>
      </c>
      <c r="C11" s="22" t="inlineStr">
        <is>
          <t>Colorado border</t>
        </is>
      </c>
      <c r="D11" s="23" t="n">
        <v>150</v>
      </c>
      <c r="E11" s="24" t="n">
        <v>2.7</v>
      </c>
      <c r="F11" s="22" t="inlineStr">
        <is>
          <t>Check tire pressure</t>
        </is>
      </c>
    </row>
    <row r="12">
      <c r="A12" s="25" t="inlineStr">
        <is>
          <t>Day 8</t>
        </is>
      </c>
      <c r="B12" s="26" t="inlineStr">
        <is>
          <t>Mesa Verde → Monument Valley</t>
        </is>
      </c>
      <c r="C12" s="26" t="inlineStr">
        <is>
          <t>Four Corners</t>
        </is>
      </c>
      <c r="D12" s="27" t="n">
        <v>165</v>
      </c>
      <c r="E12" s="28" t="n">
        <v>3</v>
      </c>
      <c r="F12" s="26" t="inlineStr">
        <is>
          <t>Fuel scarce — top off</t>
        </is>
      </c>
    </row>
    <row r="13">
      <c r="A13" s="21" t="inlineStr">
        <is>
          <t>Day 9</t>
        </is>
      </c>
      <c r="B13" s="22" t="inlineStr">
        <is>
          <t>Monument Valley → Grand Canyon</t>
        </is>
      </c>
      <c r="C13" s="22" t="inlineStr">
        <is>
          <t>Cameron Trading Post</t>
        </is>
      </c>
      <c r="D13" s="23" t="n">
        <v>180</v>
      </c>
      <c r="E13" s="24" t="n">
        <v>3.2</v>
      </c>
      <c r="F13" s="22" t="inlineStr">
        <is>
          <t>Long day — early start</t>
        </is>
      </c>
    </row>
    <row r="14">
      <c r="A14" s="25" t="inlineStr">
        <is>
          <t>Day 10</t>
        </is>
      </c>
      <c r="B14" s="26" t="inlineStr">
        <is>
          <t>Grand Canyon South Rim</t>
        </is>
      </c>
      <c r="C14" s="26" t="inlineStr">
        <is>
          <t>Desert View Drive</t>
        </is>
      </c>
      <c r="D14" s="27" t="n">
        <v>50</v>
      </c>
      <c r="E14" s="28" t="n">
        <v>1.2</v>
      </c>
      <c r="F14" s="26" t="inlineStr">
        <is>
          <t>Sunset at Hopi Point</t>
        </is>
      </c>
    </row>
    <row r="15">
      <c r="A15" s="21" t="inlineStr">
        <is>
          <t>Day 11</t>
        </is>
      </c>
      <c r="B15" s="22" t="inlineStr">
        <is>
          <t>Grand Canyon → Sedona</t>
        </is>
      </c>
      <c r="C15" s="22" t="inlineStr">
        <is>
          <t>Oak Creek Canyon</t>
        </is>
      </c>
      <c r="D15" s="23" t="n">
        <v>115</v>
      </c>
      <c r="E15" s="24" t="n">
        <v>2.3</v>
      </c>
      <c r="F15" s="22" t="inlineStr">
        <is>
          <t>Winding — take it slow</t>
        </is>
      </c>
    </row>
    <row r="16">
      <c r="A16" s="25" t="inlineStr">
        <is>
          <t>Day 12</t>
        </is>
      </c>
      <c r="B16" s="26" t="inlineStr">
        <is>
          <t>Sedona → Las Vegas</t>
        </is>
      </c>
      <c r="C16" s="26" t="inlineStr">
        <is>
          <t>Hoover Dam stop</t>
        </is>
      </c>
      <c r="D16" s="27" t="n">
        <v>280</v>
      </c>
      <c r="E16" s="28" t="n">
        <v>4.4</v>
      </c>
      <c r="F16" s="26" t="inlineStr">
        <is>
          <t>Home stretch</t>
        </is>
      </c>
    </row>
    <row r="17">
      <c r="A17" s="21" t="n"/>
      <c r="B17" s="22" t="n"/>
      <c r="C17" s="22" t="n"/>
      <c r="D17" s="23" t="n"/>
      <c r="E17" s="24" t="n"/>
      <c r="F17" s="22" t="n"/>
    </row>
    <row r="18">
      <c r="A18" s="25" t="n"/>
      <c r="B18" s="26" t="n"/>
      <c r="C18" s="26" t="n"/>
      <c r="D18" s="27" t="n"/>
      <c r="E18" s="28" t="n"/>
      <c r="F18" s="26" t="n"/>
    </row>
    <row r="19">
      <c r="A19" s="21" t="n"/>
      <c r="B19" s="22" t="n"/>
      <c r="C19" s="22" t="n"/>
      <c r="D19" s="23" t="n"/>
      <c r="E19" s="24" t="n"/>
      <c r="F19" s="22" t="n"/>
    </row>
    <row r="20">
      <c r="A20" s="25" t="n"/>
      <c r="B20" s="26" t="n"/>
      <c r="C20" s="26" t="n"/>
      <c r="D20" s="27" t="n"/>
      <c r="E20" s="28" t="n"/>
      <c r="F20" s="26" t="n"/>
    </row>
    <row r="21">
      <c r="A21" s="21" t="n"/>
      <c r="B21" s="22" t="n"/>
      <c r="C21" s="22" t="n"/>
      <c r="D21" s="23" t="n"/>
      <c r="E21" s="24" t="n"/>
      <c r="F21" s="22" t="n"/>
    </row>
    <row r="22">
      <c r="A22" s="25" t="n"/>
      <c r="B22" s="26" t="n"/>
      <c r="C22" s="26" t="n"/>
      <c r="D22" s="27" t="n"/>
      <c r="E22" s="28" t="n"/>
      <c r="F22" s="26" t="n"/>
    </row>
    <row r="23">
      <c r="A23" s="21" t="n"/>
      <c r="B23" s="22" t="n"/>
      <c r="C23" s="22" t="n"/>
      <c r="D23" s="23" t="n"/>
      <c r="E23" s="24" t="n"/>
      <c r="F23" s="22" t="n"/>
    </row>
    <row r="24">
      <c r="A24" s="25" t="n"/>
      <c r="B24" s="26" t="n"/>
      <c r="C24" s="26" t="n"/>
      <c r="D24" s="27" t="n"/>
      <c r="E24" s="28" t="n"/>
      <c r="F24" s="26" t="n"/>
    </row>
    <row r="25">
      <c r="A25" s="21" t="n"/>
      <c r="B25" s="22" t="n"/>
      <c r="C25" s="22" t="n"/>
      <c r="D25" s="23" t="n"/>
      <c r="E25" s="24" t="n"/>
      <c r="F25" s="22" t="n"/>
    </row>
    <row r="26">
      <c r="A26" s="25" t="n"/>
      <c r="B26" s="26" t="n"/>
      <c r="C26" s="26" t="n"/>
      <c r="D26" s="27" t="n"/>
      <c r="E26" s="28" t="n"/>
      <c r="F26" s="26" t="n"/>
    </row>
    <row r="27">
      <c r="A27" s="21" t="n"/>
      <c r="B27" s="22" t="n"/>
      <c r="C27" s="22" t="n"/>
      <c r="D27" s="23" t="n"/>
      <c r="E27" s="24" t="n"/>
      <c r="F27" s="22" t="n"/>
    </row>
    <row r="28">
      <c r="A28" s="25" t="n"/>
      <c r="B28" s="26" t="n"/>
      <c r="C28" s="26" t="n"/>
      <c r="D28" s="27" t="n"/>
      <c r="E28" s="28" t="n"/>
      <c r="F28" s="26" t="n"/>
    </row>
    <row r="29">
      <c r="A29" s="9" t="inlineStr">
        <is>
          <t>TOTAL MILES</t>
        </is>
      </c>
      <c r="D29" s="29">
        <f>SUM(D5:D28)</f>
        <v/>
      </c>
      <c r="E29" s="30">
        <f>SUM(E5:E28)</f>
        <v/>
      </c>
    </row>
  </sheetData>
  <mergeCells count="2">
    <mergeCell ref="A2:F2"/>
    <mergeCell ref="A1:F1"/>
  </mergeCells>
  <conditionalFormatting sqref="D5:D28">
    <cfRule type="dataBar" priority="1">
      <dataBar showValue="1">
        <cfvo type="num" val="0"/>
        <cfvo type="num" val="300"/>
        <color rgb="001B4F48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1" customWidth="1" min="4" max="4"/>
    <col width="18" customWidth="1" min="5" max="5"/>
    <col width="16" customWidth="1" min="6" max="6"/>
    <col width="24" customWidth="1" min="7" max="7"/>
    <col width="18" customWidth="1" min="8" max="8"/>
  </cols>
  <sheetData>
    <row r="1" ht="46" customHeight="1">
      <c r="A1" s="1" t="inlineStr">
        <is>
          <t xml:space="preserve">  🗓  DAILY ITINERARY</t>
        </is>
      </c>
    </row>
    <row r="2" ht="22" customHeight="1">
      <c r="A2" s="2" t="inlineStr">
        <is>
          <t xml:space="preserve">  Every day mapped — departure, arrival, drive time, stops, meals &amp; where you sleep.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Date</t>
        </is>
      </c>
      <c r="B4" s="9" t="inlineStr">
        <is>
          <t>Depart</t>
        </is>
      </c>
      <c r="C4" s="9" t="inlineStr">
        <is>
          <t>Arrive</t>
        </is>
      </c>
      <c r="D4" s="9" t="inlineStr">
        <is>
          <t>Drive (h)</t>
        </is>
      </c>
      <c r="E4" s="9" t="inlineStr">
        <is>
          <t>Stops</t>
        </is>
      </c>
      <c r="F4" s="9" t="inlineStr">
        <is>
          <t>Meals</t>
        </is>
      </c>
      <c r="G4" s="9" t="inlineStr">
        <is>
          <t>Activities</t>
        </is>
      </c>
      <c r="H4" s="9" t="inlineStr">
        <is>
          <t>Accommodation</t>
        </is>
      </c>
    </row>
    <row r="5">
      <c r="A5" s="31" t="n">
        <v>46243</v>
      </c>
      <c r="B5" s="21" t="inlineStr">
        <is>
          <t>8:00a</t>
        </is>
      </c>
      <c r="C5" s="21" t="inlineStr">
        <is>
          <t>11:00a</t>
        </is>
      </c>
      <c r="D5" s="24" t="n">
        <v>2.8</v>
      </c>
      <c r="E5" s="22" t="inlineStr">
        <is>
          <t>Valley of Fire</t>
        </is>
      </c>
      <c r="F5" s="22" t="inlineStr">
        <is>
          <t>Picnic lunch</t>
        </is>
      </c>
      <c r="G5" s="22" t="inlineStr">
        <is>
          <t>Zion Canyon scenic drive</t>
        </is>
      </c>
      <c r="H5" s="22" t="inlineStr">
        <is>
          <t>Watchman CG</t>
        </is>
      </c>
    </row>
    <row r="6">
      <c r="A6" s="32" t="n">
        <v>46244</v>
      </c>
      <c r="B6" s="25" t="inlineStr">
        <is>
          <t>7:00a</t>
        </is>
      </c>
      <c r="C6" s="25" t="inlineStr">
        <is>
          <t>3:00p</t>
        </is>
      </c>
      <c r="D6" s="28" t="n">
        <v>0.6</v>
      </c>
      <c r="E6" s="26" t="inlineStr">
        <is>
          <t>In-park shuttle</t>
        </is>
      </c>
      <c r="F6" s="26" t="inlineStr">
        <is>
          <t>Zion Lodge cafe</t>
        </is>
      </c>
      <c r="G6" s="26" t="inlineStr">
        <is>
          <t>Angels Landing hike</t>
        </is>
      </c>
      <c r="H6" s="26" t="inlineStr">
        <is>
          <t>Watchman CG</t>
        </is>
      </c>
    </row>
    <row r="7">
      <c r="A7" s="31" t="n">
        <v>46245</v>
      </c>
      <c r="B7" s="21" t="inlineStr">
        <is>
          <t>8:30a</t>
        </is>
      </c>
      <c r="C7" s="21" t="inlineStr">
        <is>
          <t>10:30a</t>
        </is>
      </c>
      <c r="D7" s="24" t="n">
        <v>1.6</v>
      </c>
      <c r="E7" s="22" t="inlineStr">
        <is>
          <t>Red Canyon</t>
        </is>
      </c>
      <c r="F7" s="22" t="inlineStr">
        <is>
          <t>Bryce general store</t>
        </is>
      </c>
      <c r="G7" s="22" t="inlineStr">
        <is>
          <t>Sunset &amp; Navajo Loop</t>
        </is>
      </c>
      <c r="H7" s="22" t="inlineStr">
        <is>
          <t>North CG (Bryce)</t>
        </is>
      </c>
    </row>
    <row r="8">
      <c r="A8" s="32" t="n">
        <v>46246</v>
      </c>
      <c r="B8" s="25" t="inlineStr">
        <is>
          <t>8:00a</t>
        </is>
      </c>
      <c r="C8" s="25" t="inlineStr">
        <is>
          <t>12:00p</t>
        </is>
      </c>
      <c r="D8" s="28" t="n">
        <v>2.4</v>
      </c>
      <c r="E8" s="26" t="inlineStr">
        <is>
          <t>Byway 12 overlooks</t>
        </is>
      </c>
      <c r="F8" s="26" t="inlineStr">
        <is>
          <t>Boulder farm cafe</t>
        </is>
      </c>
      <c r="G8" s="26" t="inlineStr">
        <is>
          <t>Capitol Reef orchard walk</t>
        </is>
      </c>
      <c r="H8" s="26" t="inlineStr">
        <is>
          <t>Cabin</t>
        </is>
      </c>
    </row>
    <row r="9">
      <c r="A9" s="31" t="n">
        <v>46247</v>
      </c>
      <c r="B9" s="21" t="inlineStr">
        <is>
          <t>8:00a</t>
        </is>
      </c>
      <c r="C9" s="21" t="inlineStr">
        <is>
          <t>1:00p</t>
        </is>
      </c>
      <c r="D9" s="24" t="n">
        <v>2.6</v>
      </c>
      <c r="E9" s="22" t="inlineStr">
        <is>
          <t>Goblin Valley</t>
        </is>
      </c>
      <c r="F9" s="22" t="inlineStr">
        <is>
          <t>Cook in van</t>
        </is>
      </c>
      <c r="G9" s="22" t="inlineStr">
        <is>
          <t>Arrive Moab, resupply</t>
        </is>
      </c>
      <c r="H9" s="22" t="inlineStr">
        <is>
          <t>Moab Inn</t>
        </is>
      </c>
    </row>
    <row r="10">
      <c r="A10" s="32" t="n">
        <v>46248</v>
      </c>
      <c r="B10" s="25" t="inlineStr">
        <is>
          <t>6:00a</t>
        </is>
      </c>
      <c r="C10" s="25" t="inlineStr">
        <is>
          <t>9:00p</t>
        </is>
      </c>
      <c r="D10" s="28" t="n">
        <v>1.8</v>
      </c>
      <c r="E10" s="26" t="inlineStr">
        <is>
          <t>Canyonlands sunrise</t>
        </is>
      </c>
      <c r="F10" s="26" t="inlineStr">
        <is>
          <t>Moab BBQ</t>
        </is>
      </c>
      <c r="G10" s="26" t="inlineStr">
        <is>
          <t>Delicate Arch sunset</t>
        </is>
      </c>
      <c r="H10" s="26" t="inlineStr">
        <is>
          <t>Devils Garden CG</t>
        </is>
      </c>
    </row>
    <row r="11">
      <c r="A11" s="31" t="n">
        <v>46249</v>
      </c>
      <c r="B11" s="21" t="inlineStr">
        <is>
          <t>8:00a</t>
        </is>
      </c>
      <c r="C11" s="21" t="inlineStr">
        <is>
          <t>12:30p</t>
        </is>
      </c>
      <c r="D11" s="24" t="n">
        <v>2.7</v>
      </c>
      <c r="E11" s="22" t="inlineStr">
        <is>
          <t>Wilson Arch</t>
        </is>
      </c>
      <c r="F11" s="22" t="inlineStr">
        <is>
          <t>Roadside diner</t>
        </is>
      </c>
      <c r="G11" s="22" t="inlineStr">
        <is>
          <t>Mesa Verde cliff dwellings</t>
        </is>
      </c>
      <c r="H11" s="22" t="inlineStr">
        <is>
          <t>Mesa Verde</t>
        </is>
      </c>
    </row>
    <row r="12">
      <c r="A12" s="32" t="n">
        <v>46250</v>
      </c>
      <c r="B12" s="25" t="inlineStr">
        <is>
          <t>8:00a</t>
        </is>
      </c>
      <c r="C12" s="25" t="inlineStr">
        <is>
          <t>1:00p</t>
        </is>
      </c>
      <c r="D12" s="28" t="n">
        <v>3</v>
      </c>
      <c r="E12" s="26" t="inlineStr">
        <is>
          <t>Four Corners</t>
        </is>
      </c>
      <c r="F12" s="26" t="inlineStr">
        <is>
          <t>Trading post</t>
        </is>
      </c>
      <c r="G12" s="26" t="inlineStr">
        <is>
          <t>Monument Valley loop drive</t>
        </is>
      </c>
      <c r="H12" s="26" t="inlineStr">
        <is>
          <t>MV Cabin</t>
        </is>
      </c>
    </row>
    <row r="13">
      <c r="A13" s="31" t="n"/>
      <c r="B13" s="21" t="n"/>
      <c r="C13" s="21" t="n"/>
      <c r="D13" s="24" t="n"/>
      <c r="E13" s="22" t="n"/>
      <c r="F13" s="22" t="n"/>
      <c r="G13" s="22" t="n"/>
      <c r="H13" s="22" t="n"/>
    </row>
    <row r="14">
      <c r="A14" s="32" t="n"/>
      <c r="B14" s="25" t="n"/>
      <c r="C14" s="25" t="n"/>
      <c r="D14" s="28" t="n"/>
      <c r="E14" s="26" t="n"/>
      <c r="F14" s="26" t="n"/>
      <c r="G14" s="26" t="n"/>
      <c r="H14" s="26" t="n"/>
    </row>
    <row r="15">
      <c r="A15" s="31" t="n"/>
      <c r="B15" s="21" t="n"/>
      <c r="C15" s="21" t="n"/>
      <c r="D15" s="24" t="n"/>
      <c r="E15" s="22" t="n"/>
      <c r="F15" s="22" t="n"/>
      <c r="G15" s="22" t="n"/>
      <c r="H15" s="22" t="n"/>
    </row>
    <row r="16">
      <c r="A16" s="32" t="n"/>
      <c r="B16" s="25" t="n"/>
      <c r="C16" s="25" t="n"/>
      <c r="D16" s="28" t="n"/>
      <c r="E16" s="26" t="n"/>
      <c r="F16" s="26" t="n"/>
      <c r="G16" s="26" t="n"/>
      <c r="H16" s="26" t="n"/>
    </row>
    <row r="17">
      <c r="A17" s="31" t="n"/>
      <c r="B17" s="21" t="n"/>
      <c r="C17" s="21" t="n"/>
      <c r="D17" s="24" t="n"/>
      <c r="E17" s="22" t="n"/>
      <c r="F17" s="22" t="n"/>
      <c r="G17" s="22" t="n"/>
      <c r="H17" s="22" t="n"/>
    </row>
    <row r="18">
      <c r="A18" s="32" t="n"/>
      <c r="B18" s="25" t="n"/>
      <c r="C18" s="25" t="n"/>
      <c r="D18" s="28" t="n"/>
      <c r="E18" s="26" t="n"/>
      <c r="F18" s="26" t="n"/>
      <c r="G18" s="26" t="n"/>
      <c r="H18" s="26" t="n"/>
    </row>
    <row r="19">
      <c r="A19" s="31" t="n"/>
      <c r="B19" s="21" t="n"/>
      <c r="C19" s="21" t="n"/>
      <c r="D19" s="24" t="n"/>
      <c r="E19" s="22" t="n"/>
      <c r="F19" s="22" t="n"/>
      <c r="G19" s="22" t="n"/>
      <c r="H19" s="22" t="n"/>
    </row>
    <row r="20">
      <c r="A20" s="32" t="n"/>
      <c r="B20" s="25" t="n"/>
      <c r="C20" s="25" t="n"/>
      <c r="D20" s="28" t="n"/>
      <c r="E20" s="26" t="n"/>
      <c r="F20" s="26" t="n"/>
      <c r="G20" s="26" t="n"/>
      <c r="H20" s="26" t="n"/>
    </row>
    <row r="21">
      <c r="A21" s="31" t="n"/>
      <c r="B21" s="21" t="n"/>
      <c r="C21" s="21" t="n"/>
      <c r="D21" s="24" t="n"/>
      <c r="E21" s="22" t="n"/>
      <c r="F21" s="22" t="n"/>
      <c r="G21" s="22" t="n"/>
      <c r="H21" s="22" t="n"/>
    </row>
    <row r="22">
      <c r="A22" s="32" t="n"/>
      <c r="B22" s="25" t="n"/>
      <c r="C22" s="25" t="n"/>
      <c r="D22" s="28" t="n"/>
      <c r="E22" s="26" t="n"/>
      <c r="F22" s="26" t="n"/>
      <c r="G22" s="26" t="n"/>
      <c r="H22" s="26" t="n"/>
    </row>
    <row r="23">
      <c r="A23" s="31" t="n"/>
      <c r="B23" s="21" t="n"/>
      <c r="C23" s="21" t="n"/>
      <c r="D23" s="24" t="n"/>
      <c r="E23" s="22" t="n"/>
      <c r="F23" s="22" t="n"/>
      <c r="G23" s="22" t="n"/>
      <c r="H23" s="22" t="n"/>
    </row>
    <row r="24">
      <c r="A24" s="32" t="n"/>
      <c r="B24" s="25" t="n"/>
      <c r="C24" s="25" t="n"/>
      <c r="D24" s="28" t="n"/>
      <c r="E24" s="26" t="n"/>
      <c r="F24" s="26" t="n"/>
      <c r="G24" s="26" t="n"/>
      <c r="H24" s="26" t="n"/>
    </row>
    <row r="25">
      <c r="A25" s="31" t="n"/>
      <c r="B25" s="21" t="n"/>
      <c r="C25" s="21" t="n"/>
      <c r="D25" s="24" t="n"/>
      <c r="E25" s="22" t="n"/>
      <c r="F25" s="22" t="n"/>
      <c r="G25" s="22" t="n"/>
      <c r="H25" s="22" t="n"/>
    </row>
    <row r="26">
      <c r="A26" s="32" t="n"/>
      <c r="B26" s="25" t="n"/>
      <c r="C26" s="25" t="n"/>
      <c r="D26" s="28" t="n"/>
      <c r="E26" s="26" t="n"/>
      <c r="F26" s="26" t="n"/>
      <c r="G26" s="26" t="n"/>
      <c r="H26" s="26" t="n"/>
    </row>
    <row r="27">
      <c r="A27" s="31" t="n"/>
      <c r="B27" s="21" t="n"/>
      <c r="C27" s="21" t="n"/>
      <c r="D27" s="24" t="n"/>
      <c r="E27" s="22" t="n"/>
      <c r="F27" s="22" t="n"/>
      <c r="G27" s="22" t="n"/>
      <c r="H27" s="22" t="n"/>
    </row>
    <row r="28">
      <c r="A28" s="32" t="n"/>
      <c r="B28" s="25" t="n"/>
      <c r="C28" s="25" t="n"/>
      <c r="D28" s="28" t="n"/>
      <c r="E28" s="26" t="n"/>
      <c r="F28" s="26" t="n"/>
      <c r="G28" s="26" t="n"/>
      <c r="H28" s="26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3" customWidth="1" min="3" max="3"/>
    <col width="13" customWidth="1" min="4" max="4"/>
    <col width="13" customWidth="1" min="5" max="5"/>
    <col width="3" customWidth="1" min="6" max="6"/>
    <col width="22" customWidth="1" min="7" max="7"/>
    <col width="14" customWidth="1" min="8" max="8"/>
    <col width="2" customWidth="1" min="9" max="9"/>
  </cols>
  <sheetData>
    <row r="1" ht="46" customHeight="1">
      <c r="A1" s="1" t="inlineStr">
        <is>
          <t xml:space="preserve">  💰  ROAD TRIP BUDGET COMMAND CENTER</t>
        </is>
      </c>
    </row>
    <row r="2" ht="22" customHeight="1">
      <c r="A2" s="2" t="inlineStr">
        <is>
          <t xml:space="preserve">  Every dollar planned — budget vs actual, cost per traveler &amp; per day,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Category</t>
        </is>
      </c>
      <c r="B4" s="9" t="inlineStr">
        <is>
          <t>Planned</t>
        </is>
      </c>
      <c r="C4" s="9" t="inlineStr">
        <is>
          <t>Actual</t>
        </is>
      </c>
      <c r="D4" s="9" t="inlineStr">
        <is>
          <t>Remaining</t>
        </is>
      </c>
      <c r="G4" s="4" t="inlineStr">
        <is>
          <t>TRAVEL FUND</t>
        </is>
      </c>
    </row>
    <row r="5">
      <c r="A5" s="33" t="inlineStr">
        <is>
          <t>Fuel</t>
        </is>
      </c>
      <c r="B5" s="34" t="n">
        <v>520</v>
      </c>
      <c r="C5" s="34" t="n">
        <v>0</v>
      </c>
      <c r="D5" s="35">
        <f>B5-C5</f>
        <v/>
      </c>
      <c r="G5" s="33" t="inlineStr">
        <is>
          <t>Travel Savings</t>
        </is>
      </c>
      <c r="H5" s="34" t="n">
        <v>4000</v>
      </c>
    </row>
    <row r="6">
      <c r="A6" s="26" t="inlineStr">
        <is>
          <t>Hotels</t>
        </is>
      </c>
      <c r="B6" s="36" t="n">
        <v>1400</v>
      </c>
      <c r="C6" s="36" t="n">
        <v>1050</v>
      </c>
      <c r="D6" s="37">
        <f>B6-C6</f>
        <v/>
      </c>
      <c r="G6" s="26" t="inlineStr">
        <is>
          <t>Reward Points (value)</t>
        </is>
      </c>
      <c r="H6" s="36" t="n">
        <v>300</v>
      </c>
    </row>
    <row r="7">
      <c r="A7" s="33" t="inlineStr">
        <is>
          <t>Campgrounds</t>
        </is>
      </c>
      <c r="B7" s="34" t="n">
        <v>240</v>
      </c>
      <c r="C7" s="34" t="n">
        <v>180</v>
      </c>
      <c r="D7" s="35">
        <f>B7-C7</f>
        <v/>
      </c>
      <c r="G7" s="33" t="inlineStr">
        <is>
          <t>Gift Contributions</t>
        </is>
      </c>
      <c r="H7" s="34" t="n">
        <v>200</v>
      </c>
    </row>
    <row r="8">
      <c r="A8" s="26" t="inlineStr">
        <is>
          <t>Food &amp; Dining</t>
        </is>
      </c>
      <c r="B8" s="36" t="n">
        <v>820</v>
      </c>
      <c r="C8" s="36" t="n">
        <v>0</v>
      </c>
      <c r="D8" s="37">
        <f>B8-C8</f>
        <v/>
      </c>
      <c r="G8" s="9" t="inlineStr">
        <is>
          <t>MONEY SAVED</t>
        </is>
      </c>
      <c r="H8" s="38">
        <f>SUM(H5:H7)</f>
        <v/>
      </c>
    </row>
    <row r="9">
      <c r="A9" s="33" t="inlineStr">
        <is>
          <t>Attractions</t>
        </is>
      </c>
      <c r="B9" s="34" t="n">
        <v>400</v>
      </c>
      <c r="C9" s="34" t="n">
        <v>120</v>
      </c>
      <c r="D9" s="35">
        <f>B9-C9</f>
        <v/>
      </c>
    </row>
    <row r="10">
      <c r="A10" s="26" t="inlineStr">
        <is>
          <t>Vehicle Maintenance</t>
        </is>
      </c>
      <c r="B10" s="36" t="n">
        <v>300</v>
      </c>
      <c r="C10" s="36" t="n">
        <v>300</v>
      </c>
      <c r="D10" s="37">
        <f>B10-C10</f>
        <v/>
      </c>
      <c r="G10" s="4" t="inlineStr">
        <is>
          <t>THE BOTTOM LINE</t>
        </is>
      </c>
    </row>
    <row r="11">
      <c r="A11" s="33" t="inlineStr">
        <is>
          <t>Parking</t>
        </is>
      </c>
      <c r="B11" s="34" t="n">
        <v>60</v>
      </c>
      <c r="C11" s="34" t="n">
        <v>0</v>
      </c>
      <c r="D11" s="35">
        <f>B11-C11</f>
        <v/>
      </c>
      <c r="G11" s="19" t="inlineStr">
        <is>
          <t>Total budget</t>
        </is>
      </c>
      <c r="H11" s="39">
        <f>TripBudget</f>
        <v/>
      </c>
    </row>
    <row r="12">
      <c r="A12" s="26" t="inlineStr">
        <is>
          <t>Tolls</t>
        </is>
      </c>
      <c r="B12" s="36" t="n">
        <v>40</v>
      </c>
      <c r="C12" s="36" t="n">
        <v>0</v>
      </c>
      <c r="D12" s="37">
        <f>B12-C12</f>
        <v/>
      </c>
      <c r="G12" s="19" t="inlineStr">
        <is>
          <t>Money saved</t>
        </is>
      </c>
      <c r="H12" s="40">
        <f>SavedTotal</f>
        <v/>
      </c>
    </row>
    <row r="13">
      <c r="A13" s="33" t="inlineStr">
        <is>
          <t>Insurance</t>
        </is>
      </c>
      <c r="B13" s="34" t="n">
        <v>120</v>
      </c>
      <c r="C13" s="34" t="n">
        <v>0</v>
      </c>
      <c r="D13" s="35">
        <f>B13-C13</f>
        <v/>
      </c>
      <c r="G13" s="19" t="inlineStr">
        <is>
          <t>Spent so far</t>
        </is>
      </c>
      <c r="H13" s="39">
        <f>SpentTotal</f>
        <v/>
      </c>
    </row>
    <row r="14">
      <c r="A14" s="26" t="inlineStr">
        <is>
          <t>Souvenirs</t>
        </is>
      </c>
      <c r="B14" s="36" t="n">
        <v>200</v>
      </c>
      <c r="C14" s="36" t="n">
        <v>0</v>
      </c>
      <c r="D14" s="37">
        <f>B14-C14</f>
        <v/>
      </c>
      <c r="G14" s="19" t="inlineStr">
        <is>
          <t>Budget remaining</t>
        </is>
      </c>
      <c r="H14" s="40">
        <f>TripBudget-SpentTotal</f>
        <v/>
      </c>
    </row>
    <row r="15">
      <c r="A15" s="33" t="inlineStr">
        <is>
          <t>Emergency Fund</t>
        </is>
      </c>
      <c r="B15" s="34" t="n">
        <v>400</v>
      </c>
      <c r="C15" s="34" t="n">
        <v>0</v>
      </c>
      <c r="D15" s="35">
        <f>B15-C15</f>
        <v/>
      </c>
      <c r="G15" s="19" t="inlineStr">
        <is>
          <t>Cost / traveler</t>
        </is>
      </c>
      <c r="H15" s="39">
        <f>IFERROR(TripBudget/TravelerCount,0)</f>
        <v/>
      </c>
    </row>
    <row r="16">
      <c r="A16" s="26" t="inlineStr">
        <is>
          <t>Miscellaneous</t>
        </is>
      </c>
      <c r="B16" s="36" t="n">
        <v>300</v>
      </c>
      <c r="C16" s="36" t="n">
        <v>0</v>
      </c>
      <c r="D16" s="37">
        <f>B16-C16</f>
        <v/>
      </c>
      <c r="G16" s="19" t="inlineStr">
        <is>
          <t>Cost / day</t>
        </is>
      </c>
      <c r="H16" s="39">
        <f>IFERROR(TripBudget/(TripEnd-TripStart+1),0)</f>
        <v/>
      </c>
    </row>
    <row r="17">
      <c r="A17" s="9" t="inlineStr">
        <is>
          <t>TOTAL BUDGET</t>
        </is>
      </c>
      <c r="B17" s="38">
        <f>SUM(B5:B16)</f>
        <v/>
      </c>
      <c r="C17" s="38">
        <f>SUM(C5:C16)</f>
        <v/>
      </c>
      <c r="D17" s="38">
        <f>SUM(D5:D16)</f>
        <v/>
      </c>
    </row>
  </sheetData>
  <mergeCells count="4">
    <mergeCell ref="G4:H4"/>
    <mergeCell ref="G10:H10"/>
    <mergeCell ref="A2:H2"/>
    <mergeCell ref="A1:H1"/>
  </mergeCells>
  <conditionalFormatting sqref="D5:D16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1" customWidth="1" min="4" max="4"/>
    <col width="12" customWidth="1" min="5" max="5"/>
    <col width="13" customWidth="1" min="6" max="6"/>
    <col width="11" customWidth="1" min="7" max="7"/>
    <col width="22" customWidth="1" min="8" max="8"/>
  </cols>
  <sheetData>
    <row r="1" ht="46" customHeight="1">
      <c r="A1" s="1" t="inlineStr">
        <is>
          <t xml:space="preserve">  ⛽  FUEL TRACKER</t>
        </is>
      </c>
    </row>
    <row r="2" ht="22" customHeight="1">
      <c r="A2" s="2" t="inlineStr">
        <is>
          <t xml:space="preserve">  Every fill-up logged — average MPG and fuel cost per mile calculate themselves.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Date</t>
        </is>
      </c>
      <c r="B4" s="9" t="inlineStr">
        <is>
          <t>Station</t>
        </is>
      </c>
      <c r="C4" s="9" t="inlineStr">
        <is>
          <t>Gallons</t>
        </is>
      </c>
      <c r="D4" s="9" t="inlineStr">
        <is>
          <t>$/Gal</t>
        </is>
      </c>
      <c r="E4" s="9" t="inlineStr">
        <is>
          <t>Total</t>
        </is>
      </c>
      <c r="F4" s="9" t="inlineStr">
        <is>
          <t>Odometer</t>
        </is>
      </c>
      <c r="G4" s="9" t="inlineStr">
        <is>
          <t>MPG</t>
        </is>
      </c>
      <c r="H4" s="9" t="inlineStr">
        <is>
          <t>Notes</t>
        </is>
      </c>
    </row>
    <row r="5">
      <c r="A5" s="31" t="n">
        <v>46210</v>
      </c>
      <c r="B5" s="22" t="inlineStr">
        <is>
          <t>Costco — Las Vegas</t>
        </is>
      </c>
      <c r="C5" s="24" t="n">
        <v>14.2</v>
      </c>
      <c r="D5" s="41" t="n">
        <v>3.42</v>
      </c>
      <c r="E5" s="41">
        <f>C5*D5</f>
        <v/>
      </c>
      <c r="F5" s="23" t="n">
        <v>41200</v>
      </c>
      <c r="G5" s="24" t="inlineStr"/>
      <c r="H5" s="22" t="inlineStr">
        <is>
          <t>Pre-trip top-off</t>
        </is>
      </c>
    </row>
    <row r="6">
      <c r="A6" s="32" t="n">
        <v>46212</v>
      </c>
      <c r="B6" s="26" t="inlineStr">
        <is>
          <t>Chevron — Vegas</t>
        </is>
      </c>
      <c r="C6" s="28" t="n">
        <v>6</v>
      </c>
      <c r="D6" s="42" t="n">
        <v>3.58</v>
      </c>
      <c r="E6" s="42">
        <f>C6*D6</f>
        <v/>
      </c>
      <c r="F6" s="27" t="n">
        <v>41360</v>
      </c>
      <c r="G6" s="28">
        <f>IFERROR(ROUND((F6-F5)/C6,1),0)</f>
        <v/>
      </c>
      <c r="H6" s="26" t="inlineStr">
        <is>
          <t>Full before departure</t>
        </is>
      </c>
    </row>
    <row r="7">
      <c r="A7" s="31" t="n"/>
      <c r="B7" s="22" t="n"/>
      <c r="C7" s="24" t="n"/>
      <c r="D7" s="21" t="n"/>
      <c r="E7" s="43" t="n"/>
      <c r="F7" s="23" t="n"/>
      <c r="G7" s="24" t="n"/>
      <c r="H7" s="22" t="n"/>
    </row>
    <row r="8">
      <c r="A8" s="32" t="n"/>
      <c r="B8" s="26" t="n"/>
      <c r="C8" s="28" t="n"/>
      <c r="D8" s="25" t="n"/>
      <c r="E8" s="37" t="n"/>
      <c r="F8" s="27" t="n"/>
      <c r="G8" s="28" t="n"/>
      <c r="H8" s="26" t="n"/>
    </row>
    <row r="9">
      <c r="A9" s="31" t="n"/>
      <c r="B9" s="22" t="n"/>
      <c r="C9" s="24" t="n"/>
      <c r="D9" s="21" t="n"/>
      <c r="E9" s="43" t="n"/>
      <c r="F9" s="23" t="n"/>
      <c r="G9" s="24" t="n"/>
      <c r="H9" s="22" t="n"/>
    </row>
    <row r="10">
      <c r="A10" s="32" t="n"/>
      <c r="B10" s="26" t="n"/>
      <c r="C10" s="28" t="n"/>
      <c r="D10" s="25" t="n"/>
      <c r="E10" s="37" t="n"/>
      <c r="F10" s="27" t="n"/>
      <c r="G10" s="28" t="n"/>
      <c r="H10" s="26" t="n"/>
    </row>
    <row r="11">
      <c r="A11" s="31" t="n"/>
      <c r="B11" s="22" t="n"/>
      <c r="C11" s="24" t="n"/>
      <c r="D11" s="21" t="n"/>
      <c r="E11" s="43" t="n"/>
      <c r="F11" s="23" t="n"/>
      <c r="G11" s="24" t="n"/>
      <c r="H11" s="22" t="n"/>
    </row>
    <row r="12">
      <c r="A12" s="32" t="n"/>
      <c r="B12" s="26" t="n"/>
      <c r="C12" s="28" t="n"/>
      <c r="D12" s="25" t="n"/>
      <c r="E12" s="37" t="n"/>
      <c r="F12" s="27" t="n"/>
      <c r="G12" s="28" t="n"/>
      <c r="H12" s="26" t="n"/>
    </row>
    <row r="13">
      <c r="A13" s="31" t="n"/>
      <c r="B13" s="22" t="n"/>
      <c r="C13" s="24" t="n"/>
      <c r="D13" s="21" t="n"/>
      <c r="E13" s="43" t="n"/>
      <c r="F13" s="23" t="n"/>
      <c r="G13" s="24" t="n"/>
      <c r="H13" s="22" t="n"/>
    </row>
    <row r="14">
      <c r="A14" s="32" t="n"/>
      <c r="B14" s="26" t="n"/>
      <c r="C14" s="28" t="n"/>
      <c r="D14" s="25" t="n"/>
      <c r="E14" s="37" t="n"/>
      <c r="F14" s="27" t="n"/>
      <c r="G14" s="28" t="n"/>
      <c r="H14" s="26" t="n"/>
    </row>
    <row r="15">
      <c r="A15" s="31" t="n"/>
      <c r="B15" s="22" t="n"/>
      <c r="C15" s="24" t="n"/>
      <c r="D15" s="21" t="n"/>
      <c r="E15" s="43" t="n"/>
      <c r="F15" s="23" t="n"/>
      <c r="G15" s="24" t="n"/>
      <c r="H15" s="22" t="n"/>
    </row>
    <row r="16">
      <c r="A16" s="32" t="n"/>
      <c r="B16" s="26" t="n"/>
      <c r="C16" s="28" t="n"/>
      <c r="D16" s="25" t="n"/>
      <c r="E16" s="37" t="n"/>
      <c r="F16" s="27" t="n"/>
      <c r="G16" s="28" t="n"/>
      <c r="H16" s="26" t="n"/>
    </row>
    <row r="17">
      <c r="A17" s="31" t="n"/>
      <c r="B17" s="22" t="n"/>
      <c r="C17" s="24" t="n"/>
      <c r="D17" s="21" t="n"/>
      <c r="E17" s="43" t="n"/>
      <c r="F17" s="23" t="n"/>
      <c r="G17" s="24" t="n"/>
      <c r="H17" s="22" t="n"/>
    </row>
    <row r="18">
      <c r="A18" s="32" t="n"/>
      <c r="B18" s="26" t="n"/>
      <c r="C18" s="28" t="n"/>
      <c r="D18" s="25" t="n"/>
      <c r="E18" s="37" t="n"/>
      <c r="F18" s="27" t="n"/>
      <c r="G18" s="28" t="n"/>
      <c r="H18" s="26" t="n"/>
    </row>
    <row r="19">
      <c r="A19" s="31" t="n"/>
      <c r="B19" s="22" t="n"/>
      <c r="C19" s="24" t="n"/>
      <c r="D19" s="21" t="n"/>
      <c r="E19" s="43" t="n"/>
      <c r="F19" s="23" t="n"/>
      <c r="G19" s="24" t="n"/>
      <c r="H19" s="22" t="n"/>
    </row>
    <row r="20">
      <c r="A20" s="32" t="n"/>
      <c r="B20" s="26" t="n"/>
      <c r="C20" s="28" t="n"/>
      <c r="D20" s="25" t="n"/>
      <c r="E20" s="37" t="n"/>
      <c r="F20" s="27" t="n"/>
      <c r="G20" s="28" t="n"/>
      <c r="H20" s="26" t="n"/>
    </row>
    <row r="21">
      <c r="A21" s="31" t="n"/>
      <c r="B21" s="22" t="n"/>
      <c r="C21" s="24" t="n"/>
      <c r="D21" s="21" t="n"/>
      <c r="E21" s="43" t="n"/>
      <c r="F21" s="23" t="n"/>
      <c r="G21" s="24" t="n"/>
      <c r="H21" s="22" t="n"/>
    </row>
    <row r="22">
      <c r="A22" s="32" t="n"/>
      <c r="B22" s="26" t="n"/>
      <c r="C22" s="28" t="n"/>
      <c r="D22" s="25" t="n"/>
      <c r="E22" s="37" t="n"/>
      <c r="F22" s="27" t="n"/>
      <c r="G22" s="28" t="n"/>
      <c r="H22" s="26" t="n"/>
    </row>
    <row r="23">
      <c r="A23" s="31" t="n"/>
      <c r="B23" s="22" t="n"/>
      <c r="C23" s="24" t="n"/>
      <c r="D23" s="21" t="n"/>
      <c r="E23" s="43" t="n"/>
      <c r="F23" s="23" t="n"/>
      <c r="G23" s="24" t="n"/>
      <c r="H23" s="22" t="n"/>
    </row>
    <row r="24">
      <c r="A24" s="32" t="n"/>
      <c r="B24" s="26" t="n"/>
      <c r="C24" s="28" t="n"/>
      <c r="D24" s="25" t="n"/>
      <c r="E24" s="37" t="n"/>
      <c r="F24" s="27" t="n"/>
      <c r="G24" s="28" t="n"/>
      <c r="H24" s="26" t="n"/>
    </row>
    <row r="25">
      <c r="A25" s="31" t="n"/>
      <c r="B25" s="22" t="n"/>
      <c r="C25" s="24" t="n"/>
      <c r="D25" s="21" t="n"/>
      <c r="E25" s="43" t="n"/>
      <c r="F25" s="23" t="n"/>
      <c r="G25" s="24" t="n"/>
      <c r="H25" s="22" t="n"/>
    </row>
    <row r="26">
      <c r="A26" s="32" t="n"/>
      <c r="B26" s="26" t="n"/>
      <c r="C26" s="28" t="n"/>
      <c r="D26" s="25" t="n"/>
      <c r="E26" s="37" t="n"/>
      <c r="F26" s="27" t="n"/>
      <c r="G26" s="28" t="n"/>
      <c r="H26" s="26" t="n"/>
    </row>
    <row r="27">
      <c r="A27" s="31" t="n"/>
      <c r="B27" s="22" t="n"/>
      <c r="C27" s="24" t="n"/>
      <c r="D27" s="21" t="n"/>
      <c r="E27" s="43" t="n"/>
      <c r="F27" s="23" t="n"/>
      <c r="G27" s="24" t="n"/>
      <c r="H27" s="22" t="n"/>
    </row>
    <row r="28">
      <c r="A28" s="32" t="n"/>
      <c r="B28" s="26" t="n"/>
      <c r="C28" s="28" t="n"/>
      <c r="D28" s="25" t="n"/>
      <c r="E28" s="37" t="n"/>
      <c r="F28" s="27" t="n"/>
      <c r="G28" s="28" t="n"/>
      <c r="H28" s="26" t="n"/>
    </row>
    <row r="29">
      <c r="A29" s="31" t="n"/>
      <c r="B29" s="22" t="n"/>
      <c r="C29" s="24" t="n"/>
      <c r="D29" s="21" t="n"/>
      <c r="E29" s="43" t="n"/>
      <c r="F29" s="23" t="n"/>
      <c r="G29" s="24" t="n"/>
      <c r="H29" s="22" t="n"/>
    </row>
    <row r="30">
      <c r="A30" s="32" t="n"/>
      <c r="B30" s="26" t="n"/>
      <c r="C30" s="28" t="n"/>
      <c r="D30" s="25" t="n"/>
      <c r="E30" s="37" t="n"/>
      <c r="F30" s="27" t="n"/>
      <c r="G30" s="28" t="n"/>
      <c r="H30" s="26" t="n"/>
    </row>
    <row r="31">
      <c r="A31" s="31" t="n"/>
      <c r="B31" s="22" t="n"/>
      <c r="C31" s="24" t="n"/>
      <c r="D31" s="21" t="n"/>
      <c r="E31" s="43" t="n"/>
      <c r="F31" s="23" t="n"/>
      <c r="G31" s="24" t="n"/>
      <c r="H31" s="22" t="n"/>
    </row>
    <row r="32">
      <c r="A32" s="32" t="n"/>
      <c r="B32" s="26" t="n"/>
      <c r="C32" s="28" t="n"/>
      <c r="D32" s="25" t="n"/>
      <c r="E32" s="37" t="n"/>
      <c r="F32" s="27" t="n"/>
      <c r="G32" s="28" t="n"/>
      <c r="H32" s="26" t="n"/>
    </row>
    <row r="33">
      <c r="A33" s="31" t="n"/>
      <c r="B33" s="22" t="n"/>
      <c r="C33" s="24" t="n"/>
      <c r="D33" s="21" t="n"/>
      <c r="E33" s="43" t="n"/>
      <c r="F33" s="23" t="n"/>
      <c r="G33" s="24" t="n"/>
      <c r="H33" s="22" t="n"/>
    </row>
    <row r="34">
      <c r="A34" s="32" t="n"/>
      <c r="B34" s="26" t="n"/>
      <c r="C34" s="28" t="n"/>
      <c r="D34" s="25" t="n"/>
      <c r="E34" s="37" t="n"/>
      <c r="F34" s="27" t="n"/>
      <c r="G34" s="28" t="n"/>
      <c r="H34" s="26" t="n"/>
    </row>
    <row r="36">
      <c r="B36" s="4" t="inlineStr">
        <is>
          <t>FUEL SUMMARY</t>
        </is>
      </c>
    </row>
    <row r="37">
      <c r="B37" s="19" t="inlineStr">
        <is>
          <t>Trip distance (mi)</t>
        </is>
      </c>
      <c r="C37" s="44">
        <f>TotalDistance</f>
        <v/>
      </c>
    </row>
    <row r="38">
      <c r="B38" s="19" t="inlineStr">
        <is>
          <t>Avg MPG (planned)</t>
        </is>
      </c>
      <c r="C38" s="45">
        <f>AvgMPG</f>
        <v/>
      </c>
    </row>
    <row r="39">
      <c r="B39" s="19" t="inlineStr">
        <is>
          <t>Est. fuel needed (gal)</t>
        </is>
      </c>
      <c r="C39" s="45">
        <f>IFERROR(TotalDistance/AvgMPG,0)</f>
        <v/>
      </c>
    </row>
    <row r="40">
      <c r="B40" s="19" t="inlineStr">
        <is>
          <t>Est. fuel cost</t>
        </is>
      </c>
      <c r="C40" s="40">
        <f>IFERROR(TotalDistance/AvgMPG*FuelPrice,0)</f>
        <v/>
      </c>
    </row>
    <row r="41">
      <c r="B41" s="19" t="inlineStr">
        <is>
          <t>Fuel cost / mile</t>
        </is>
      </c>
      <c r="C41" s="46">
        <f>IFERROR(FuelPrice/AvgMPG,0)</f>
        <v/>
      </c>
    </row>
  </sheetData>
  <mergeCells count="3">
    <mergeCell ref="B36:C36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🔧  VEHICLE COMMAND CENTER</t>
        </is>
      </c>
    </row>
    <row r="2" ht="22" customHeight="1">
      <c r="A2" s="2" t="inlineStr">
        <is>
          <t xml:space="preserve">  Trip-ready &amp; road-safe — every check, with automatic maintenance reminders.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7" t="inlineStr">
        <is>
          <t>VEHICLE INFO</t>
        </is>
      </c>
      <c r="D5" s="4" t="inlineStr">
        <is>
          <t>PRE-TRIP CHECKLIST</t>
        </is>
      </c>
    </row>
    <row r="6" ht="30" customHeight="1">
      <c r="B6" s="19" t="inlineStr">
        <is>
          <t>Vehicle</t>
        </is>
      </c>
      <c r="C6" s="20">
        <f>VehicleName</f>
        <v/>
      </c>
      <c r="D6" s="9" t="inlineStr">
        <is>
          <t>Check</t>
        </is>
      </c>
      <c r="E6" s="9" t="inlineStr">
        <is>
          <t>Status</t>
        </is>
      </c>
      <c r="F6" s="9" t="inlineStr">
        <is>
          <t>Notes</t>
        </is>
      </c>
    </row>
    <row r="7">
      <c r="B7" s="19" t="inlineStr">
        <is>
          <t>VIN</t>
        </is>
      </c>
      <c r="C7" s="20" t="inlineStr">
        <is>
          <t>1FT****TRANSIT</t>
        </is>
      </c>
      <c r="D7" s="33" t="inlineStr">
        <is>
          <t>Oil change</t>
        </is>
      </c>
      <c r="E7" s="47" t="inlineStr">
        <is>
          <t>OK</t>
        </is>
      </c>
      <c r="F7" s="33" t="inlineStr">
        <is>
          <t>Done last week</t>
        </is>
      </c>
    </row>
    <row r="8">
      <c r="B8" s="19" t="inlineStr">
        <is>
          <t>Plate</t>
        </is>
      </c>
      <c r="C8" s="20" t="inlineStr">
        <is>
          <t>NV · VAN-LYF</t>
        </is>
      </c>
      <c r="D8" s="26" t="inlineStr">
        <is>
          <t>Tire pressure &amp; tread</t>
        </is>
      </c>
      <c r="E8" s="25" t="inlineStr">
        <is>
          <t>OK</t>
        </is>
      </c>
      <c r="F8" s="26" t="inlineStr">
        <is>
          <t>All 40 psi</t>
        </is>
      </c>
    </row>
    <row r="9">
      <c r="B9" s="19" t="inlineStr">
        <is>
          <t>Insurance</t>
        </is>
      </c>
      <c r="C9" s="20" t="inlineStr">
        <is>
          <t>Progressive — active</t>
        </is>
      </c>
      <c r="D9" s="33" t="inlineStr">
        <is>
          <t>Brake inspection</t>
        </is>
      </c>
      <c r="E9" s="47" t="inlineStr">
        <is>
          <t>OK</t>
        </is>
      </c>
      <c r="F9" s="33" t="inlineStr">
        <is>
          <t>Pads 60%</t>
        </is>
      </c>
    </row>
    <row r="10">
      <c r="B10" s="19" t="inlineStr">
        <is>
          <t>Registration</t>
        </is>
      </c>
      <c r="C10" s="20" t="inlineStr">
        <is>
          <t>Exp. next year</t>
        </is>
      </c>
      <c r="D10" s="26" t="inlineStr">
        <is>
          <t>Battery</t>
        </is>
      </c>
      <c r="E10" s="25" t="inlineStr">
        <is>
          <t>OK</t>
        </is>
      </c>
      <c r="F10" s="26" t="inlineStr">
        <is>
          <t>Tested good</t>
        </is>
      </c>
    </row>
    <row r="11">
      <c r="B11" s="19" t="inlineStr">
        <is>
          <t>Roadside</t>
        </is>
      </c>
      <c r="C11" s="20" t="inlineStr">
        <is>
          <t>AAA Premier</t>
        </is>
      </c>
      <c r="D11" s="33" t="inlineStr">
        <is>
          <t>Wiper blades</t>
        </is>
      </c>
      <c r="E11" s="47" t="inlineStr">
        <is>
          <t>Due Soon</t>
        </is>
      </c>
      <c r="F11" s="33" t="inlineStr">
        <is>
          <t>Replace before trip</t>
        </is>
      </c>
    </row>
    <row r="12">
      <c r="D12" s="26" t="inlineStr">
        <is>
          <t>Coolant / fluids</t>
        </is>
      </c>
      <c r="E12" s="25" t="inlineStr">
        <is>
          <t>OK</t>
        </is>
      </c>
      <c r="F12" s="26" t="inlineStr">
        <is>
          <t>Topped off</t>
        </is>
      </c>
    </row>
    <row r="13">
      <c r="D13" s="33" t="inlineStr">
        <is>
          <t>Spare tire &amp; jack</t>
        </is>
      </c>
      <c r="E13" s="47" t="inlineStr">
        <is>
          <t>OK</t>
        </is>
      </c>
      <c r="F13" s="33" t="inlineStr">
        <is>
          <t>In rear</t>
        </is>
      </c>
    </row>
    <row r="14">
      <c r="B14" s="7" t="inlineStr">
        <is>
          <t>READINESS</t>
        </is>
      </c>
      <c r="D14" s="26" t="inlineStr">
        <is>
          <t>Lights &amp; signals</t>
        </is>
      </c>
      <c r="E14" s="25" t="inlineStr">
        <is>
          <t>OK</t>
        </is>
      </c>
      <c r="F14" s="26" t="inlineStr">
        <is>
          <t>All working</t>
        </is>
      </c>
    </row>
    <row r="15">
      <c r="B15" s="19" t="inlineStr">
        <is>
          <t>Vehicle Readiness</t>
        </is>
      </c>
      <c r="C15" s="48">
        <f>IFERROR(COUNTIF(VehStatus,"OK")/COUNTA(VehStatus),0)</f>
        <v/>
      </c>
      <c r="D15" s="33" t="inlineStr">
        <is>
          <t>Air filter</t>
        </is>
      </c>
      <c r="E15" s="47" t="inlineStr">
        <is>
          <t>Due Soon</t>
        </is>
      </c>
      <c r="F15" s="33" t="inlineStr">
        <is>
          <t>Order online</t>
        </is>
      </c>
    </row>
    <row r="16">
      <c r="B16" s="19" t="inlineStr">
        <is>
          <t>Items to Address</t>
        </is>
      </c>
      <c r="C16" s="20">
        <f>COUNTIF(VehStatus,"Due Soon")+COUNTIF(VehStatus,"Overdue")</f>
        <v/>
      </c>
      <c r="D16" s="26" t="inlineStr">
        <is>
          <t>Emergency kit</t>
        </is>
      </c>
      <c r="E16" s="25" t="inlineStr">
        <is>
          <t>OK</t>
        </is>
      </c>
      <c r="F16" s="26" t="inlineStr">
        <is>
          <t>Restocked</t>
        </is>
      </c>
    </row>
  </sheetData>
  <mergeCells count="5">
    <mergeCell ref="A1:G1"/>
    <mergeCell ref="D5:F5"/>
    <mergeCell ref="B5:C5"/>
    <mergeCell ref="B14:C14"/>
    <mergeCell ref="A2:G2"/>
  </mergeCells>
  <conditionalFormatting sqref="E7:E16">
    <cfRule type="cellIs" priority="1" operator="equal" dxfId="1">
      <formula>"OK"</formula>
    </cfRule>
    <cfRule type="cellIs" priority="2" operator="equal" dxfId="2">
      <formula>"Due Soon"</formula>
    </cfRule>
    <cfRule type="cellIs" priority="3" operator="equal" dxfId="3">
      <formula>"Overdue"</formula>
    </cfRule>
  </conditionalFormatting>
  <dataValidations count="1">
    <dataValidation sqref="E7:E16" showDropDown="0" showInputMessage="0" showErrorMessage="0" allowBlank="1" type="list">
      <formula1>=VehStatusList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1" customWidth="1" min="4" max="4"/>
    <col width="13" customWidth="1" min="5" max="5"/>
    <col width="13" customWidth="1" min="6" max="6"/>
    <col width="22" customWidth="1" min="7" max="7"/>
    <col width="11" customWidth="1" min="8" max="8"/>
  </cols>
  <sheetData>
    <row r="1" ht="46" customHeight="1">
      <c r="A1" s="1" t="inlineStr">
        <is>
          <t xml:space="preserve">  🏨  ACCOMMODATION MANAGER</t>
        </is>
      </c>
    </row>
    <row r="2" ht="22" customHeight="1">
      <c r="A2" s="2" t="inlineStr">
        <is>
          <t xml:space="preserve">  Where you'll sleep — hotels, cabins &amp; rentals with confirmations and dates.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Name</t>
        </is>
      </c>
      <c r="B4" s="9" t="inlineStr">
        <is>
          <t>Type</t>
        </is>
      </c>
      <c r="C4" s="9" t="inlineStr">
        <is>
          <t>Confirmation</t>
        </is>
      </c>
      <c r="D4" s="9" t="inlineStr">
        <is>
          <t>Cost</t>
        </is>
      </c>
      <c r="E4" s="9" t="inlineStr">
        <is>
          <t>Check-In</t>
        </is>
      </c>
      <c r="F4" s="9" t="inlineStr">
        <is>
          <t>Check-Out</t>
        </is>
      </c>
      <c r="G4" s="9" t="inlineStr">
        <is>
          <t>Amenities</t>
        </is>
      </c>
      <c r="H4" s="9" t="inlineStr">
        <is>
          <t>Booked?</t>
        </is>
      </c>
    </row>
    <row r="5">
      <c r="A5" s="22" t="inlineStr">
        <is>
          <t>SpringHill Suites Springdale</t>
        </is>
      </c>
      <c r="B5" s="21" t="inlineStr">
        <is>
          <t>Hotel</t>
        </is>
      </c>
      <c r="C5" s="22" t="inlineStr">
        <is>
          <t>SH-88421</t>
        </is>
      </c>
      <c r="D5" s="43" t="n">
        <v>175</v>
      </c>
      <c r="E5" s="31" t="n">
        <v>46243</v>
      </c>
      <c r="F5" s="31" t="n">
        <v>46245</v>
      </c>
      <c r="G5" s="22" t="inlineStr">
        <is>
          <t>Pool · breakfast</t>
        </is>
      </c>
      <c r="H5" s="21" t="inlineStr">
        <is>
          <t>Yes</t>
        </is>
      </c>
    </row>
    <row r="6">
      <c r="A6" s="26" t="inlineStr">
        <is>
          <t>Bryce Canyon Lodge</t>
        </is>
      </c>
      <c r="B6" s="25" t="inlineStr">
        <is>
          <t>Hotel</t>
        </is>
      </c>
      <c r="C6" s="26" t="inlineStr">
        <is>
          <t>BCL-2207</t>
        </is>
      </c>
      <c r="D6" s="37" t="n">
        <v>210</v>
      </c>
      <c r="E6" s="32" t="n">
        <v>46245</v>
      </c>
      <c r="F6" s="32" t="n">
        <v>46246</v>
      </c>
      <c r="G6" s="26" t="inlineStr">
        <is>
          <t>In-park · dining</t>
        </is>
      </c>
      <c r="H6" s="25" t="inlineStr">
        <is>
          <t>Yes</t>
        </is>
      </c>
    </row>
    <row r="7">
      <c r="A7" s="22" t="inlineStr">
        <is>
          <t>Capitol Reef Cabin</t>
        </is>
      </c>
      <c r="B7" s="21" t="inlineStr">
        <is>
          <t>Cabin</t>
        </is>
      </c>
      <c r="C7" s="22" t="inlineStr">
        <is>
          <t>CRC-114</t>
        </is>
      </c>
      <c r="D7" s="43" t="n">
        <v>160</v>
      </c>
      <c r="E7" s="31" t="n">
        <v>46246</v>
      </c>
      <c r="F7" s="31" t="n">
        <v>46247</v>
      </c>
      <c r="G7" s="22" t="inlineStr">
        <is>
          <t>Kitchenette · quiet</t>
        </is>
      </c>
      <c r="H7" s="21" t="inlineStr">
        <is>
          <t>Yes</t>
        </is>
      </c>
    </row>
    <row r="8">
      <c r="A8" s="26" t="inlineStr">
        <is>
          <t>Moab Downtown Inn</t>
        </is>
      </c>
      <c r="B8" s="25" t="inlineStr">
        <is>
          <t>Hotel</t>
        </is>
      </c>
      <c r="C8" s="26" t="inlineStr">
        <is>
          <t>MDI-5590</t>
        </is>
      </c>
      <c r="D8" s="37" t="n">
        <v>145</v>
      </c>
      <c r="E8" s="32" t="n">
        <v>46247</v>
      </c>
      <c r="F8" s="32" t="n">
        <v>46248</v>
      </c>
      <c r="G8" s="26" t="inlineStr">
        <is>
          <t>Central · parking</t>
        </is>
      </c>
      <c r="H8" s="25" t="inlineStr">
        <is>
          <t>No</t>
        </is>
      </c>
    </row>
    <row r="9">
      <c r="A9" s="22" t="inlineStr">
        <is>
          <t>Grand Canyon Yavapai</t>
        </is>
      </c>
      <c r="B9" s="21" t="inlineStr">
        <is>
          <t>Hotel</t>
        </is>
      </c>
      <c r="C9" s="22" t="inlineStr">
        <is>
          <t>GCY-7781</t>
        </is>
      </c>
      <c r="D9" s="43" t="n">
        <v>235</v>
      </c>
      <c r="E9" s="31" t="n">
        <v>46252</v>
      </c>
      <c r="F9" s="31" t="n">
        <v>46253</v>
      </c>
      <c r="G9" s="22" t="inlineStr">
        <is>
          <t>Rim shuttle</t>
        </is>
      </c>
      <c r="H9" s="21" t="inlineStr">
        <is>
          <t>Yes</t>
        </is>
      </c>
    </row>
    <row r="10">
      <c r="A10" s="26" t="inlineStr">
        <is>
          <t>Monument Valley Cabin</t>
        </is>
      </c>
      <c r="B10" s="25" t="inlineStr">
        <is>
          <t>Vacation Rental</t>
        </is>
      </c>
      <c r="C10" s="26" t="inlineStr">
        <is>
          <t>MVC-330</t>
        </is>
      </c>
      <c r="D10" s="37" t="n">
        <v>190</v>
      </c>
      <c r="E10" s="32" t="n">
        <v>46250</v>
      </c>
      <c r="F10" s="32" t="n">
        <v>46251</v>
      </c>
      <c r="G10" s="26" t="inlineStr">
        <is>
          <t>Sunrise views</t>
        </is>
      </c>
      <c r="H10" s="25" t="inlineStr">
        <is>
          <t>Yes</t>
        </is>
      </c>
    </row>
    <row r="11">
      <c r="A11" s="22" t="n"/>
      <c r="B11" s="21" t="n"/>
      <c r="C11" s="22" t="n"/>
      <c r="D11" s="43" t="n"/>
      <c r="E11" s="31" t="n"/>
      <c r="F11" s="31" t="n"/>
      <c r="G11" s="22" t="n"/>
      <c r="H11" s="21" t="n"/>
    </row>
    <row r="12">
      <c r="A12" s="26" t="n"/>
      <c r="B12" s="25" t="n"/>
      <c r="C12" s="26" t="n"/>
      <c r="D12" s="37" t="n"/>
      <c r="E12" s="32" t="n"/>
      <c r="F12" s="32" t="n"/>
      <c r="G12" s="26" t="n"/>
      <c r="H12" s="25" t="n"/>
    </row>
    <row r="13">
      <c r="A13" s="22" t="n"/>
      <c r="B13" s="21" t="n"/>
      <c r="C13" s="22" t="n"/>
      <c r="D13" s="43" t="n"/>
      <c r="E13" s="31" t="n"/>
      <c r="F13" s="31" t="n"/>
      <c r="G13" s="22" t="n"/>
      <c r="H13" s="21" t="n"/>
    </row>
    <row r="14">
      <c r="A14" s="26" t="n"/>
      <c r="B14" s="25" t="n"/>
      <c r="C14" s="26" t="n"/>
      <c r="D14" s="37" t="n"/>
      <c r="E14" s="32" t="n"/>
      <c r="F14" s="32" t="n"/>
      <c r="G14" s="26" t="n"/>
      <c r="H14" s="25" t="n"/>
    </row>
    <row r="15">
      <c r="A15" s="22" t="n"/>
      <c r="B15" s="21" t="n"/>
      <c r="C15" s="22" t="n"/>
      <c r="D15" s="43" t="n"/>
      <c r="E15" s="31" t="n"/>
      <c r="F15" s="31" t="n"/>
      <c r="G15" s="22" t="n"/>
      <c r="H15" s="21" t="n"/>
    </row>
    <row r="16">
      <c r="A16" s="26" t="n"/>
      <c r="B16" s="25" t="n"/>
      <c r="C16" s="26" t="n"/>
      <c r="D16" s="37" t="n"/>
      <c r="E16" s="32" t="n"/>
      <c r="F16" s="32" t="n"/>
      <c r="G16" s="26" t="n"/>
      <c r="H16" s="25" t="n"/>
    </row>
    <row r="17">
      <c r="A17" s="22" t="n"/>
      <c r="B17" s="21" t="n"/>
      <c r="C17" s="22" t="n"/>
      <c r="D17" s="43" t="n"/>
      <c r="E17" s="31" t="n"/>
      <c r="F17" s="31" t="n"/>
      <c r="G17" s="22" t="n"/>
      <c r="H17" s="21" t="n"/>
    </row>
    <row r="18">
      <c r="A18" s="26" t="n"/>
      <c r="B18" s="25" t="n"/>
      <c r="C18" s="26" t="n"/>
      <c r="D18" s="37" t="n"/>
      <c r="E18" s="32" t="n"/>
      <c r="F18" s="32" t="n"/>
      <c r="G18" s="26" t="n"/>
      <c r="H18" s="25" t="n"/>
    </row>
    <row r="19">
      <c r="A19" s="22" t="n"/>
      <c r="B19" s="21" t="n"/>
      <c r="C19" s="22" t="n"/>
      <c r="D19" s="43" t="n"/>
      <c r="E19" s="31" t="n"/>
      <c r="F19" s="31" t="n"/>
      <c r="G19" s="22" t="n"/>
      <c r="H19" s="21" t="n"/>
    </row>
    <row r="20">
      <c r="A20" s="26" t="n"/>
      <c r="B20" s="25" t="n"/>
      <c r="C20" s="26" t="n"/>
      <c r="D20" s="37" t="n"/>
      <c r="E20" s="32" t="n"/>
      <c r="F20" s="32" t="n"/>
      <c r="G20" s="26" t="n"/>
      <c r="H20" s="25" t="n"/>
    </row>
    <row r="21">
      <c r="A21" s="22" t="n"/>
      <c r="B21" s="21" t="n"/>
      <c r="C21" s="22" t="n"/>
      <c r="D21" s="43" t="n"/>
      <c r="E21" s="31" t="n"/>
      <c r="F21" s="31" t="n"/>
      <c r="G21" s="22" t="n"/>
      <c r="H21" s="21" t="n"/>
    </row>
    <row r="22">
      <c r="A22" s="26" t="n"/>
      <c r="B22" s="25" t="n"/>
      <c r="C22" s="26" t="n"/>
      <c r="D22" s="37" t="n"/>
      <c r="E22" s="32" t="n"/>
      <c r="F22" s="32" t="n"/>
      <c r="G22" s="26" t="n"/>
      <c r="H22" s="25" t="n"/>
    </row>
    <row r="23">
      <c r="A23" s="22" t="n"/>
      <c r="B23" s="21" t="n"/>
      <c r="C23" s="22" t="n"/>
      <c r="D23" s="43" t="n"/>
      <c r="E23" s="31" t="n"/>
      <c r="F23" s="31" t="n"/>
      <c r="G23" s="22" t="n"/>
      <c r="H23" s="21" t="n"/>
    </row>
    <row r="24">
      <c r="A24" s="26" t="n"/>
      <c r="B24" s="25" t="n"/>
      <c r="C24" s="26" t="n"/>
      <c r="D24" s="37" t="n"/>
      <c r="E24" s="32" t="n"/>
      <c r="F24" s="32" t="n"/>
      <c r="G24" s="26" t="n"/>
      <c r="H24" s="25" t="n"/>
    </row>
  </sheetData>
  <mergeCells count="2">
    <mergeCell ref="A2:H2"/>
    <mergeCell ref="A1:H1"/>
  </mergeCells>
  <conditionalFormatting sqref="H5:H24">
    <cfRule type="cellIs" priority="1" operator="equal" dxfId="1">
      <formula>"Yes"</formula>
    </cfRule>
    <cfRule type="cellIs" priority="2" operator="equal" dxfId="2">
      <formula>"No"</formula>
    </cfRule>
  </conditionalFormatting>
  <dataValidations count="2">
    <dataValidation sqref="B5:B24" showDropDown="0" showInputMessage="0" showErrorMessage="0" allowBlank="1" type="list">
      <formula1>=StayTypeList</formula1>
    </dataValidation>
    <dataValidation sqref="H5:H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2" customWidth="1" min="4" max="4"/>
    <col width="15" customWidth="1" min="5" max="5"/>
    <col width="11" customWidth="1" min="6" max="6"/>
    <col width="24" customWidth="1" min="7" max="7"/>
  </cols>
  <sheetData>
    <row r="1" ht="46" customHeight="1">
      <c r="A1" s="1" t="inlineStr">
        <is>
          <t xml:space="preserve">  🏕  CAMPGROUND PLANNER</t>
        </is>
      </c>
    </row>
    <row r="2" ht="22" customHeight="1">
      <c r="A2" s="2" t="inlineStr">
        <is>
          <t xml:space="preserve">  Nights under the stars — sites, hookups, rules &amp; pet-friendly notes.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Campground</t>
        </is>
      </c>
      <c r="B4" s="9" t="inlineStr">
        <is>
          <t>Site #</t>
        </is>
      </c>
      <c r="C4" s="9" t="inlineStr">
        <is>
          <t>Reserved?</t>
        </is>
      </c>
      <c r="D4" s="9" t="inlineStr">
        <is>
          <t>Amenities</t>
        </is>
      </c>
      <c r="E4" s="9" t="inlineStr">
        <is>
          <t>Hookups</t>
        </is>
      </c>
      <c r="F4" s="9" t="inlineStr">
        <is>
          <t>Pet OK?</t>
        </is>
      </c>
      <c r="G4" s="9" t="inlineStr">
        <is>
          <t>Notes</t>
        </is>
      </c>
    </row>
    <row r="5">
      <c r="A5" s="22" t="inlineStr">
        <is>
          <t>Watchman Campground (Zion)</t>
        </is>
      </c>
      <c r="B5" s="21" t="inlineStr">
        <is>
          <t>B-24</t>
        </is>
      </c>
      <c r="C5" s="21" t="inlineStr">
        <is>
          <t>Yes</t>
        </is>
      </c>
      <c r="D5" s="22" t="inlineStr">
        <is>
          <t>Electric · restrooms</t>
        </is>
      </c>
      <c r="E5" s="21" t="inlineStr">
        <is>
          <t>30A hookup</t>
        </is>
      </c>
      <c r="F5" s="21" t="inlineStr">
        <is>
          <t>Yes</t>
        </is>
      </c>
      <c r="G5" s="22" t="inlineStr">
        <is>
          <t>Reserve 6mo out</t>
        </is>
      </c>
    </row>
    <row r="6">
      <c r="A6" s="26" t="inlineStr">
        <is>
          <t>North Campground (Bryce)</t>
        </is>
      </c>
      <c r="B6" s="25" t="inlineStr">
        <is>
          <t>12</t>
        </is>
      </c>
      <c r="C6" s="25" t="inlineStr">
        <is>
          <t>Yes</t>
        </is>
      </c>
      <c r="D6" s="26" t="inlineStr">
        <is>
          <t>Vault toilets · water</t>
        </is>
      </c>
      <c r="E6" s="25" t="inlineStr">
        <is>
          <t>None</t>
        </is>
      </c>
      <c r="F6" s="25" t="inlineStr">
        <is>
          <t>Yes</t>
        </is>
      </c>
      <c r="G6" s="26" t="inlineStr">
        <is>
          <t>First-come backup</t>
        </is>
      </c>
    </row>
    <row r="7">
      <c r="A7" s="22" t="inlineStr">
        <is>
          <t>Devils Garden (Arches)</t>
        </is>
      </c>
      <c r="B7" s="21" t="inlineStr">
        <is>
          <t>45</t>
        </is>
      </c>
      <c r="C7" s="21" t="inlineStr">
        <is>
          <t>Yes</t>
        </is>
      </c>
      <c r="D7" s="22" t="inlineStr">
        <is>
          <t>Grills · water</t>
        </is>
      </c>
      <c r="E7" s="21" t="inlineStr">
        <is>
          <t>None</t>
        </is>
      </c>
      <c r="F7" s="21" t="inlineStr">
        <is>
          <t>Yes</t>
        </is>
      </c>
      <c r="G7" s="22" t="inlineStr">
        <is>
          <t>Book at recreation.gov</t>
        </is>
      </c>
    </row>
    <row r="8">
      <c r="A8" s="26" t="inlineStr">
        <is>
          <t>Mather Campground (GC)</t>
        </is>
      </c>
      <c r="B8" s="25" t="inlineStr">
        <is>
          <t>88</t>
        </is>
      </c>
      <c r="C8" s="25" t="inlineStr">
        <is>
          <t>Yes</t>
        </is>
      </c>
      <c r="D8" s="26" t="inlineStr">
        <is>
          <t>Showers nearby</t>
        </is>
      </c>
      <c r="E8" s="25" t="inlineStr">
        <is>
          <t>None</t>
        </is>
      </c>
      <c r="F8" s="25" t="inlineStr">
        <is>
          <t>Yes</t>
        </is>
      </c>
      <c r="G8" s="26" t="inlineStr">
        <is>
          <t>Shuttle to rim</t>
        </is>
      </c>
    </row>
    <row r="9">
      <c r="A9" s="22" t="inlineStr">
        <is>
          <t>Goblin Valley SP</t>
        </is>
      </c>
      <c r="B9" s="21" t="inlineStr">
        <is>
          <t>9</t>
        </is>
      </c>
      <c r="C9" s="21" t="inlineStr">
        <is>
          <t>No</t>
        </is>
      </c>
      <c r="D9" s="22" t="inlineStr">
        <is>
          <t>Showers · dark sky</t>
        </is>
      </c>
      <c r="E9" s="21" t="inlineStr">
        <is>
          <t>30A hookup</t>
        </is>
      </c>
      <c r="F9" s="21" t="inlineStr">
        <is>
          <t>Yes</t>
        </is>
      </c>
      <c r="G9" s="22" t="inlineStr">
        <is>
          <t>Weeknight has space</t>
        </is>
      </c>
    </row>
    <row r="10">
      <c r="A10" s="26" t="inlineStr">
        <is>
          <t>Kodachrome Basin</t>
        </is>
      </c>
      <c r="B10" s="25" t="inlineStr">
        <is>
          <t>7</t>
        </is>
      </c>
      <c r="C10" s="25" t="inlineStr">
        <is>
          <t>No</t>
        </is>
      </c>
      <c r="D10" s="26" t="inlineStr">
        <is>
          <t>Full hookups</t>
        </is>
      </c>
      <c r="E10" s="25" t="inlineStr">
        <is>
          <t>50A hookup</t>
        </is>
      </c>
      <c r="F10" s="25" t="inlineStr">
        <is>
          <t>Yes</t>
        </is>
      </c>
      <c r="G10" s="26" t="inlineStr">
        <is>
          <t>Rest-day option</t>
        </is>
      </c>
    </row>
    <row r="11">
      <c r="A11" s="22" t="n"/>
      <c r="B11" s="21" t="n"/>
      <c r="C11" s="21" t="n"/>
      <c r="D11" s="22" t="n"/>
      <c r="E11" s="21" t="n"/>
      <c r="F11" s="21" t="n"/>
      <c r="G11" s="22" t="n"/>
    </row>
    <row r="12">
      <c r="A12" s="26" t="n"/>
      <c r="B12" s="25" t="n"/>
      <c r="C12" s="25" t="n"/>
      <c r="D12" s="26" t="n"/>
      <c r="E12" s="25" t="n"/>
      <c r="F12" s="25" t="n"/>
      <c r="G12" s="26" t="n"/>
    </row>
    <row r="13">
      <c r="A13" s="22" t="n"/>
      <c r="B13" s="21" t="n"/>
      <c r="C13" s="21" t="n"/>
      <c r="D13" s="22" t="n"/>
      <c r="E13" s="21" t="n"/>
      <c r="F13" s="21" t="n"/>
      <c r="G13" s="22" t="n"/>
    </row>
    <row r="14">
      <c r="A14" s="26" t="n"/>
      <c r="B14" s="25" t="n"/>
      <c r="C14" s="25" t="n"/>
      <c r="D14" s="26" t="n"/>
      <c r="E14" s="25" t="n"/>
      <c r="F14" s="25" t="n"/>
      <c r="G14" s="26" t="n"/>
    </row>
    <row r="15">
      <c r="A15" s="22" t="n"/>
      <c r="B15" s="21" t="n"/>
      <c r="C15" s="21" t="n"/>
      <c r="D15" s="22" t="n"/>
      <c r="E15" s="21" t="n"/>
      <c r="F15" s="21" t="n"/>
      <c r="G15" s="22" t="n"/>
    </row>
    <row r="16">
      <c r="A16" s="26" t="n"/>
      <c r="B16" s="25" t="n"/>
      <c r="C16" s="25" t="n"/>
      <c r="D16" s="26" t="n"/>
      <c r="E16" s="25" t="n"/>
      <c r="F16" s="25" t="n"/>
      <c r="G16" s="26" t="n"/>
    </row>
    <row r="17">
      <c r="A17" s="22" t="n"/>
      <c r="B17" s="21" t="n"/>
      <c r="C17" s="21" t="n"/>
      <c r="D17" s="22" t="n"/>
      <c r="E17" s="21" t="n"/>
      <c r="F17" s="21" t="n"/>
      <c r="G17" s="22" t="n"/>
    </row>
    <row r="18">
      <c r="A18" s="26" t="n"/>
      <c r="B18" s="25" t="n"/>
      <c r="C18" s="25" t="n"/>
      <c r="D18" s="26" t="n"/>
      <c r="E18" s="25" t="n"/>
      <c r="F18" s="25" t="n"/>
      <c r="G18" s="26" t="n"/>
    </row>
    <row r="19">
      <c r="A19" s="22" t="n"/>
      <c r="B19" s="21" t="n"/>
      <c r="C19" s="21" t="n"/>
      <c r="D19" s="22" t="n"/>
      <c r="E19" s="21" t="n"/>
      <c r="F19" s="21" t="n"/>
      <c r="G19" s="22" t="n"/>
    </row>
    <row r="20">
      <c r="A20" s="26" t="n"/>
      <c r="B20" s="25" t="n"/>
      <c r="C20" s="25" t="n"/>
      <c r="D20" s="26" t="n"/>
      <c r="E20" s="25" t="n"/>
      <c r="F20" s="25" t="n"/>
      <c r="G20" s="26" t="n"/>
    </row>
    <row r="21">
      <c r="A21" s="22" t="n"/>
      <c r="B21" s="21" t="n"/>
      <c r="C21" s="21" t="n"/>
      <c r="D21" s="22" t="n"/>
      <c r="E21" s="21" t="n"/>
      <c r="F21" s="21" t="n"/>
      <c r="G21" s="22" t="n"/>
    </row>
    <row r="22">
      <c r="A22" s="26" t="n"/>
      <c r="B22" s="25" t="n"/>
      <c r="C22" s="25" t="n"/>
      <c r="D22" s="26" t="n"/>
      <c r="E22" s="25" t="n"/>
      <c r="F22" s="25" t="n"/>
      <c r="G22" s="26" t="n"/>
    </row>
    <row r="23">
      <c r="A23" s="22" t="n"/>
      <c r="B23" s="21" t="n"/>
      <c r="C23" s="21" t="n"/>
      <c r="D23" s="22" t="n"/>
      <c r="E23" s="21" t="n"/>
      <c r="F23" s="21" t="n"/>
      <c r="G23" s="22" t="n"/>
    </row>
    <row r="24">
      <c r="A24" s="26" t="n"/>
      <c r="B24" s="25" t="n"/>
      <c r="C24" s="25" t="n"/>
      <c r="D24" s="26" t="n"/>
      <c r="E24" s="25" t="n"/>
      <c r="F24" s="25" t="n"/>
      <c r="G24" s="26" t="n"/>
    </row>
  </sheetData>
  <mergeCells count="2">
    <mergeCell ref="A2:G2"/>
    <mergeCell ref="A1:G1"/>
  </mergeCells>
  <conditionalFormatting sqref="C5:C24">
    <cfRule type="cellIs" priority="1" operator="equal" dxfId="1">
      <formula>"Yes"</formula>
    </cfRule>
    <cfRule type="cellIs" priority="2" operator="equal" dxfId="2">
      <formula>"No"</formula>
    </cfRule>
  </conditionalFormatting>
  <dataValidations count="2">
    <dataValidation sqref="C5:C24" showDropDown="0" showInputMessage="0" showErrorMessage="0" allowBlank="1" type="list">
      <formula1>=YesNoList</formula1>
    </dataValidation>
    <dataValidation sqref="F5:F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3" customWidth="1" min="4" max="4"/>
    <col width="14" customWidth="1" min="5" max="5"/>
    <col width="10" customWidth="1" min="6" max="6"/>
    <col width="11" customWidth="1" min="7" max="7"/>
    <col width="26" customWidth="1" min="8" max="8"/>
  </cols>
  <sheetData>
    <row r="1" ht="46" customHeight="1">
      <c r="A1" s="1" t="inlineStr">
        <is>
          <t xml:space="preserve">  🏞  ATTRACTION PLANNER</t>
        </is>
      </c>
    </row>
    <row r="2" ht="22" customHeight="1">
      <c r="A2" s="2" t="inlineStr">
        <is>
          <t xml:space="preserve">  The bucket list — cost, hours, tickets, priority &amp; who it's for.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Attraction</t>
        </is>
      </c>
      <c r="B4" s="9" t="inlineStr">
        <is>
          <t>City / Park</t>
        </is>
      </c>
      <c r="C4" s="9" t="inlineStr">
        <is>
          <t>Cost</t>
        </is>
      </c>
      <c r="D4" s="9" t="inlineStr">
        <is>
          <t>Best Time</t>
        </is>
      </c>
      <c r="E4" s="9" t="inlineStr">
        <is>
          <t>Tickets</t>
        </is>
      </c>
      <c r="F4" s="9" t="inlineStr">
        <is>
          <t>Family?</t>
        </is>
      </c>
      <c r="G4" s="9" t="inlineStr">
        <is>
          <t>Priority</t>
        </is>
      </c>
      <c r="H4" s="9" t="inlineStr">
        <is>
          <t>Notes</t>
        </is>
      </c>
    </row>
    <row r="5">
      <c r="A5" s="22" t="inlineStr">
        <is>
          <t>Angels Landing</t>
        </is>
      </c>
      <c r="B5" s="21" t="inlineStr">
        <is>
          <t>Zion NP</t>
        </is>
      </c>
      <c r="C5" s="43" t="n">
        <v>0</v>
      </c>
      <c r="D5" s="21" t="inlineStr">
        <is>
          <t>Sunrise best</t>
        </is>
      </c>
      <c r="E5" s="21" t="inlineStr">
        <is>
          <t>Permit req.</t>
        </is>
      </c>
      <c r="F5" s="21" t="inlineStr">
        <is>
          <t>No</t>
        </is>
      </c>
      <c r="G5" s="21" t="inlineStr">
        <is>
          <t>High</t>
        </is>
      </c>
      <c r="H5" s="22" t="inlineStr">
        <is>
          <t>Chains section — not for kids</t>
        </is>
      </c>
    </row>
    <row r="6">
      <c r="A6" s="26" t="inlineStr">
        <is>
          <t>The Narrows</t>
        </is>
      </c>
      <c r="B6" s="25" t="inlineStr">
        <is>
          <t>Zion NP</t>
        </is>
      </c>
      <c r="C6" s="37" t="n">
        <v>0</v>
      </c>
      <c r="D6" s="25" t="inlineStr">
        <is>
          <t>Midday</t>
        </is>
      </c>
      <c r="E6" s="25" t="inlineStr">
        <is>
          <t>None</t>
        </is>
      </c>
      <c r="F6" s="25" t="inlineStr">
        <is>
          <t>Yes</t>
        </is>
      </c>
      <c r="G6" s="25" t="inlineStr">
        <is>
          <t>High</t>
        </is>
      </c>
      <c r="H6" s="26" t="inlineStr">
        <is>
          <t>Rent water shoes</t>
        </is>
      </c>
    </row>
    <row r="7">
      <c r="A7" s="22" t="inlineStr">
        <is>
          <t>Bryce Amphitheater</t>
        </is>
      </c>
      <c r="B7" s="21" t="inlineStr">
        <is>
          <t>Bryce</t>
        </is>
      </c>
      <c r="C7" s="43" t="n">
        <v>0</v>
      </c>
      <c r="D7" s="21" t="inlineStr">
        <is>
          <t>Sunrise</t>
        </is>
      </c>
      <c r="E7" s="21" t="inlineStr">
        <is>
          <t>None</t>
        </is>
      </c>
      <c r="F7" s="21" t="inlineStr">
        <is>
          <t>Yes</t>
        </is>
      </c>
      <c r="G7" s="21" t="inlineStr">
        <is>
          <t>High</t>
        </is>
      </c>
      <c r="H7" s="22" t="inlineStr">
        <is>
          <t>Navajo/Queens loop</t>
        </is>
      </c>
    </row>
    <row r="8">
      <c r="A8" s="26" t="inlineStr">
        <is>
          <t>Scenic Byway 12</t>
        </is>
      </c>
      <c r="B8" s="25" t="inlineStr">
        <is>
          <t>Utah</t>
        </is>
      </c>
      <c r="C8" s="37" t="n">
        <v>0</v>
      </c>
      <c r="D8" s="25" t="inlineStr">
        <is>
          <t>All day</t>
        </is>
      </c>
      <c r="E8" s="25" t="inlineStr">
        <is>
          <t>None</t>
        </is>
      </c>
      <c r="F8" s="25" t="inlineStr">
        <is>
          <t>Yes</t>
        </is>
      </c>
      <c r="G8" s="25" t="inlineStr">
        <is>
          <t>High</t>
        </is>
      </c>
      <c r="H8" s="26" t="inlineStr">
        <is>
          <t>Just drive it slow</t>
        </is>
      </c>
    </row>
    <row r="9">
      <c r="A9" s="22" t="inlineStr">
        <is>
          <t>Delicate Arch</t>
        </is>
      </c>
      <c r="B9" s="21" t="inlineStr">
        <is>
          <t>Arches</t>
        </is>
      </c>
      <c r="C9" s="43" t="n">
        <v>0</v>
      </c>
      <c r="D9" s="21" t="inlineStr">
        <is>
          <t>Sunset</t>
        </is>
      </c>
      <c r="E9" s="21" t="inlineStr">
        <is>
          <t>Timed entry</t>
        </is>
      </c>
      <c r="F9" s="21" t="inlineStr">
        <is>
          <t>Yes</t>
        </is>
      </c>
      <c r="G9" s="21" t="inlineStr">
        <is>
          <t>High</t>
        </is>
      </c>
      <c r="H9" s="22" t="inlineStr">
        <is>
          <t>3mi round trip</t>
        </is>
      </c>
    </row>
    <row r="10">
      <c r="A10" s="26" t="inlineStr">
        <is>
          <t>Mesa Verde Cliff Tour</t>
        </is>
      </c>
      <c r="B10" s="25" t="inlineStr">
        <is>
          <t>Mesa Verde</t>
        </is>
      </c>
      <c r="C10" s="37" t="n">
        <v>20</v>
      </c>
      <c r="D10" s="25" t="inlineStr">
        <is>
          <t>10a / 2p</t>
        </is>
      </c>
      <c r="E10" s="25" t="inlineStr">
        <is>
          <t>Ranger tour</t>
        </is>
      </c>
      <c r="F10" s="25" t="inlineStr">
        <is>
          <t>Yes</t>
        </is>
      </c>
      <c r="G10" s="25" t="inlineStr">
        <is>
          <t>Medium</t>
        </is>
      </c>
      <c r="H10" s="26" t="inlineStr">
        <is>
          <t>Book ahead</t>
        </is>
      </c>
    </row>
    <row r="11">
      <c r="A11" s="22" t="inlineStr">
        <is>
          <t>Monument Valley Loop</t>
        </is>
      </c>
      <c r="B11" s="21" t="inlineStr">
        <is>
          <t>Navajo</t>
        </is>
      </c>
      <c r="C11" s="43" t="n">
        <v>8</v>
      </c>
      <c r="D11" s="21" t="inlineStr">
        <is>
          <t>Golden hour</t>
        </is>
      </c>
      <c r="E11" s="21" t="inlineStr">
        <is>
          <t>Per vehicle</t>
        </is>
      </c>
      <c r="F11" s="21" t="inlineStr">
        <is>
          <t>Yes</t>
        </is>
      </c>
      <c r="G11" s="21" t="inlineStr">
        <is>
          <t>High</t>
        </is>
      </c>
      <c r="H11" s="22" t="inlineStr">
        <is>
          <t>17mi dirt loop</t>
        </is>
      </c>
    </row>
    <row r="12">
      <c r="A12" s="26" t="inlineStr">
        <is>
          <t>Grand Canyon Rim Trail</t>
        </is>
      </c>
      <c r="B12" s="25" t="inlineStr">
        <is>
          <t>Grand Canyon</t>
        </is>
      </c>
      <c r="C12" s="37" t="n">
        <v>0</v>
      </c>
      <c r="D12" s="25" t="inlineStr">
        <is>
          <t>Sunset</t>
        </is>
      </c>
      <c r="E12" s="25" t="inlineStr">
        <is>
          <t>None</t>
        </is>
      </c>
      <c r="F12" s="25" t="inlineStr">
        <is>
          <t>Yes</t>
        </is>
      </c>
      <c r="G12" s="25" t="inlineStr">
        <is>
          <t>High</t>
        </is>
      </c>
      <c r="H12" s="26" t="inlineStr">
        <is>
          <t>Hopi Point shuttle</t>
        </is>
      </c>
    </row>
    <row r="13">
      <c r="A13" s="22" t="inlineStr">
        <is>
          <t>Antelope Canyon (opt.)</t>
        </is>
      </c>
      <c r="B13" s="21" t="inlineStr">
        <is>
          <t>Page, AZ</t>
        </is>
      </c>
      <c r="C13" s="43" t="n">
        <v>65</v>
      </c>
      <c r="D13" s="21" t="inlineStr">
        <is>
          <t>Guided</t>
        </is>
      </c>
      <c r="E13" s="21" t="inlineStr">
        <is>
          <t>Tour only</t>
        </is>
      </c>
      <c r="F13" s="21" t="inlineStr">
        <is>
          <t>Yes</t>
        </is>
      </c>
      <c r="G13" s="21" t="inlineStr">
        <is>
          <t>Medium</t>
        </is>
      </c>
      <c r="H13" s="22" t="inlineStr">
        <is>
          <t>Detour if time</t>
        </is>
      </c>
    </row>
    <row r="14">
      <c r="A14" s="26" t="inlineStr">
        <is>
          <t>Hoover Dam</t>
        </is>
      </c>
      <c r="B14" s="25" t="inlineStr">
        <is>
          <t>NV/AZ</t>
        </is>
      </c>
      <c r="C14" s="37" t="n">
        <v>15</v>
      </c>
      <c r="D14" s="25" t="inlineStr">
        <is>
          <t>9a-5p</t>
        </is>
      </c>
      <c r="E14" s="25" t="inlineStr">
        <is>
          <t>Tour opt.</t>
        </is>
      </c>
      <c r="F14" s="25" t="inlineStr">
        <is>
          <t>Yes</t>
        </is>
      </c>
      <c r="G14" s="25" t="inlineStr">
        <is>
          <t>Low</t>
        </is>
      </c>
      <c r="H14" s="26" t="inlineStr">
        <is>
          <t>Last-day stop</t>
        </is>
      </c>
    </row>
    <row r="15">
      <c r="A15" s="22" t="n"/>
      <c r="B15" s="21" t="n"/>
      <c r="C15" s="43" t="n"/>
      <c r="D15" s="21" t="n"/>
      <c r="E15" s="21" t="n"/>
      <c r="F15" s="21" t="n"/>
      <c r="G15" s="21" t="n"/>
      <c r="H15" s="22" t="n"/>
    </row>
    <row r="16">
      <c r="A16" s="26" t="n"/>
      <c r="B16" s="25" t="n"/>
      <c r="C16" s="37" t="n"/>
      <c r="D16" s="25" t="n"/>
      <c r="E16" s="25" t="n"/>
      <c r="F16" s="25" t="n"/>
      <c r="G16" s="25" t="n"/>
      <c r="H16" s="26" t="n"/>
    </row>
    <row r="17">
      <c r="A17" s="22" t="n"/>
      <c r="B17" s="21" t="n"/>
      <c r="C17" s="43" t="n"/>
      <c r="D17" s="21" t="n"/>
      <c r="E17" s="21" t="n"/>
      <c r="F17" s="21" t="n"/>
      <c r="G17" s="21" t="n"/>
      <c r="H17" s="22" t="n"/>
    </row>
    <row r="18">
      <c r="A18" s="26" t="n"/>
      <c r="B18" s="25" t="n"/>
      <c r="C18" s="37" t="n"/>
      <c r="D18" s="25" t="n"/>
      <c r="E18" s="25" t="n"/>
      <c r="F18" s="25" t="n"/>
      <c r="G18" s="25" t="n"/>
      <c r="H18" s="26" t="n"/>
    </row>
    <row r="19">
      <c r="A19" s="22" t="n"/>
      <c r="B19" s="21" t="n"/>
      <c r="C19" s="43" t="n"/>
      <c r="D19" s="21" t="n"/>
      <c r="E19" s="21" t="n"/>
      <c r="F19" s="21" t="n"/>
      <c r="G19" s="21" t="n"/>
      <c r="H19" s="22" t="n"/>
    </row>
    <row r="20">
      <c r="A20" s="26" t="n"/>
      <c r="B20" s="25" t="n"/>
      <c r="C20" s="37" t="n"/>
      <c r="D20" s="25" t="n"/>
      <c r="E20" s="25" t="n"/>
      <c r="F20" s="25" t="n"/>
      <c r="G20" s="25" t="n"/>
      <c r="H20" s="26" t="n"/>
    </row>
    <row r="21">
      <c r="A21" s="22" t="n"/>
      <c r="B21" s="21" t="n"/>
      <c r="C21" s="43" t="n"/>
      <c r="D21" s="21" t="n"/>
      <c r="E21" s="21" t="n"/>
      <c r="F21" s="21" t="n"/>
      <c r="G21" s="21" t="n"/>
      <c r="H21" s="22" t="n"/>
    </row>
    <row r="22">
      <c r="A22" s="26" t="n"/>
      <c r="B22" s="25" t="n"/>
      <c r="C22" s="37" t="n"/>
      <c r="D22" s="25" t="n"/>
      <c r="E22" s="25" t="n"/>
      <c r="F22" s="25" t="n"/>
      <c r="G22" s="25" t="n"/>
      <c r="H22" s="26" t="n"/>
    </row>
    <row r="23">
      <c r="A23" s="22" t="n"/>
      <c r="B23" s="21" t="n"/>
      <c r="C23" s="43" t="n"/>
      <c r="D23" s="21" t="n"/>
      <c r="E23" s="21" t="n"/>
      <c r="F23" s="21" t="n"/>
      <c r="G23" s="21" t="n"/>
      <c r="H23" s="22" t="n"/>
    </row>
    <row r="24">
      <c r="A24" s="26" t="n"/>
      <c r="B24" s="25" t="n"/>
      <c r="C24" s="37" t="n"/>
      <c r="D24" s="25" t="n"/>
      <c r="E24" s="25" t="n"/>
      <c r="F24" s="25" t="n"/>
      <c r="G24" s="25" t="n"/>
      <c r="H24" s="26" t="n"/>
    </row>
    <row r="25">
      <c r="A25" s="22" t="n"/>
      <c r="B25" s="21" t="n"/>
      <c r="C25" s="43" t="n"/>
      <c r="D25" s="21" t="n"/>
      <c r="E25" s="21" t="n"/>
      <c r="F25" s="21" t="n"/>
      <c r="G25" s="21" t="n"/>
      <c r="H25" s="22" t="n"/>
    </row>
    <row r="26">
      <c r="A26" s="26" t="n"/>
      <c r="B26" s="25" t="n"/>
      <c r="C26" s="37" t="n"/>
      <c r="D26" s="25" t="n"/>
      <c r="E26" s="25" t="n"/>
      <c r="F26" s="25" t="n"/>
      <c r="G26" s="25" t="n"/>
      <c r="H26" s="26" t="n"/>
    </row>
    <row r="27">
      <c r="A27" s="22" t="n"/>
      <c r="B27" s="21" t="n"/>
      <c r="C27" s="43" t="n"/>
      <c r="D27" s="21" t="n"/>
      <c r="E27" s="21" t="n"/>
      <c r="F27" s="21" t="n"/>
      <c r="G27" s="21" t="n"/>
      <c r="H27" s="22" t="n"/>
    </row>
    <row r="28">
      <c r="A28" s="26" t="n"/>
      <c r="B28" s="25" t="n"/>
      <c r="C28" s="37" t="n"/>
      <c r="D28" s="25" t="n"/>
      <c r="E28" s="25" t="n"/>
      <c r="F28" s="25" t="n"/>
      <c r="G28" s="25" t="n"/>
      <c r="H28" s="26" t="n"/>
    </row>
    <row r="29">
      <c r="A29" s="22" t="n"/>
      <c r="B29" s="21" t="n"/>
      <c r="C29" s="43" t="n"/>
      <c r="D29" s="21" t="n"/>
      <c r="E29" s="21" t="n"/>
      <c r="F29" s="21" t="n"/>
      <c r="G29" s="21" t="n"/>
      <c r="H29" s="22" t="n"/>
    </row>
    <row r="30">
      <c r="A30" s="26" t="n"/>
      <c r="B30" s="25" t="n"/>
      <c r="C30" s="37" t="n"/>
      <c r="D30" s="25" t="n"/>
      <c r="E30" s="25" t="n"/>
      <c r="F30" s="25" t="n"/>
      <c r="G30" s="25" t="n"/>
      <c r="H30" s="26" t="n"/>
    </row>
    <row r="31">
      <c r="A31" s="22" t="n"/>
      <c r="B31" s="21" t="n"/>
      <c r="C31" s="43" t="n"/>
      <c r="D31" s="21" t="n"/>
      <c r="E31" s="21" t="n"/>
      <c r="F31" s="21" t="n"/>
      <c r="G31" s="21" t="n"/>
      <c r="H31" s="22" t="n"/>
    </row>
    <row r="32">
      <c r="A32" s="26" t="n"/>
      <c r="B32" s="25" t="n"/>
      <c r="C32" s="37" t="n"/>
      <c r="D32" s="25" t="n"/>
      <c r="E32" s="25" t="n"/>
      <c r="F32" s="25" t="n"/>
      <c r="G32" s="25" t="n"/>
      <c r="H32" s="26" t="n"/>
    </row>
    <row r="33">
      <c r="A33" s="22" t="n"/>
      <c r="B33" s="21" t="n"/>
      <c r="C33" s="43" t="n"/>
      <c r="D33" s="21" t="n"/>
      <c r="E33" s="21" t="n"/>
      <c r="F33" s="21" t="n"/>
      <c r="G33" s="21" t="n"/>
      <c r="H33" s="22" t="n"/>
    </row>
    <row r="34">
      <c r="A34" s="26" t="n"/>
      <c r="B34" s="25" t="n"/>
      <c r="C34" s="37" t="n"/>
      <c r="D34" s="25" t="n"/>
      <c r="E34" s="25" t="n"/>
      <c r="F34" s="25" t="n"/>
      <c r="G34" s="25" t="n"/>
      <c r="H34" s="26" t="n"/>
    </row>
  </sheetData>
  <mergeCells count="2">
    <mergeCell ref="A2:H2"/>
    <mergeCell ref="A1:H1"/>
  </mergeCells>
  <conditionalFormatting sqref="G5:G34">
    <cfRule type="cellIs" priority="1" operator="equal" dxfId="1">
      <formula>"High"</formula>
    </cfRule>
  </conditionalFormatting>
  <dataValidations count="2">
    <dataValidation sqref="F5:F34" showDropDown="0" showInputMessage="0" showErrorMessage="0" allowBlank="1" type="list">
      <formula1>=YesNoList</formula1>
    </dataValidation>
    <dataValidation sqref="G5:G34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2" customWidth="1" min="4" max="4"/>
    <col width="15" customWidth="1" min="5" max="5"/>
    <col width="24" customWidth="1" min="6" max="6"/>
    <col width="14" customWidth="1" min="7" max="7"/>
  </cols>
  <sheetData>
    <row r="1" ht="46" customHeight="1">
      <c r="A1" s="1" t="inlineStr">
        <is>
          <t xml:space="preserve">  🍽  RESTAURANT &amp; FOOD PLANNER</t>
        </is>
      </c>
    </row>
    <row r="2" ht="22" customHeight="1">
      <c r="A2" s="2" t="inlineStr">
        <is>
          <t xml:space="preserve">  Fed on the road — restaurants, grocery stops, budget &amp; dietary needs.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Place</t>
        </is>
      </c>
      <c r="B4" s="9" t="inlineStr">
        <is>
          <t>Type</t>
        </is>
      </c>
      <c r="C4" s="9" t="inlineStr">
        <is>
          <t>City</t>
        </is>
      </c>
      <c r="D4" s="9" t="inlineStr">
        <is>
          <t>Est. Cost</t>
        </is>
      </c>
      <c r="E4" s="9" t="inlineStr">
        <is>
          <t>Reservation</t>
        </is>
      </c>
      <c r="F4" s="9" t="inlineStr">
        <is>
          <t>Notes</t>
        </is>
      </c>
      <c r="G4" s="9" t="inlineStr">
        <is>
          <t>Dietary</t>
        </is>
      </c>
    </row>
    <row r="5">
      <c r="A5" s="22" t="inlineStr">
        <is>
          <t>Oscar's Cafe</t>
        </is>
      </c>
      <c r="B5" s="21" t="inlineStr">
        <is>
          <t>Restaurant</t>
        </is>
      </c>
      <c r="C5" s="21" t="inlineStr">
        <is>
          <t>Springdale</t>
        </is>
      </c>
      <c r="D5" s="43" t="n">
        <v>60</v>
      </c>
      <c r="E5" s="21" t="inlineStr">
        <is>
          <t>No</t>
        </is>
      </c>
      <c r="F5" s="22" t="inlineStr">
        <is>
          <t>Post-hike dinner</t>
        </is>
      </c>
      <c r="G5" s="22" t="inlineStr">
        <is>
          <t>—</t>
        </is>
      </c>
    </row>
    <row r="6">
      <c r="A6" s="26" t="inlineStr">
        <is>
          <t>Bryce general store</t>
        </is>
      </c>
      <c r="B6" s="25" t="inlineStr">
        <is>
          <t>Grocery</t>
        </is>
      </c>
      <c r="C6" s="25" t="inlineStr">
        <is>
          <t>Bryce</t>
        </is>
      </c>
      <c r="D6" s="37" t="n">
        <v>45</v>
      </c>
      <c r="E6" s="25" t="inlineStr">
        <is>
          <t>No</t>
        </is>
      </c>
      <c r="F6" s="26" t="inlineStr">
        <is>
          <t>Trail snacks &amp; water</t>
        </is>
      </c>
      <c r="G6" s="26" t="inlineStr">
        <is>
          <t>Restock</t>
        </is>
      </c>
    </row>
    <row r="7">
      <c r="A7" s="22" t="inlineStr">
        <is>
          <t>Hell's Backbone Grill</t>
        </is>
      </c>
      <c r="B7" s="21" t="inlineStr">
        <is>
          <t>Restaurant</t>
        </is>
      </c>
      <c r="C7" s="21" t="inlineStr">
        <is>
          <t>Boulder, UT</t>
        </is>
      </c>
      <c r="D7" s="43" t="n">
        <v>90</v>
      </c>
      <c r="E7" s="21" t="inlineStr">
        <is>
          <t>Yes 7pm</t>
        </is>
      </c>
      <c r="F7" s="22" t="inlineStr">
        <is>
          <t>Farm-to-table splurge</t>
        </is>
      </c>
      <c r="G7" s="22" t="inlineStr">
        <is>
          <t>Veg options</t>
        </is>
      </c>
    </row>
    <row r="8">
      <c r="A8" s="26" t="inlineStr">
        <is>
          <t>Moab City Market</t>
        </is>
      </c>
      <c r="B8" s="25" t="inlineStr">
        <is>
          <t>Grocery</t>
        </is>
      </c>
      <c r="C8" s="25" t="inlineStr">
        <is>
          <t>Moab</t>
        </is>
      </c>
      <c r="D8" s="37" t="n">
        <v>70</v>
      </c>
      <c r="E8" s="25" t="inlineStr">
        <is>
          <t>No</t>
        </is>
      </c>
      <c r="F8" s="26" t="inlineStr">
        <is>
          <t>3-day resupply</t>
        </is>
      </c>
      <c r="G8" s="26" t="inlineStr">
        <is>
          <t>Cooler ice</t>
        </is>
      </c>
    </row>
    <row r="9">
      <c r="A9" s="22" t="inlineStr">
        <is>
          <t>Milt's Stop &amp; Eat</t>
        </is>
      </c>
      <c r="B9" s="21" t="inlineStr">
        <is>
          <t>Restaurant</t>
        </is>
      </c>
      <c r="C9" s="21" t="inlineStr">
        <is>
          <t>Moab</t>
        </is>
      </c>
      <c r="D9" s="43" t="n">
        <v>40</v>
      </c>
      <c r="E9" s="21" t="inlineStr">
        <is>
          <t>No</t>
        </is>
      </c>
      <c r="F9" s="22" t="inlineStr">
        <is>
          <t>Classic burgers</t>
        </is>
      </c>
      <c r="G9" s="22" t="inlineStr">
        <is>
          <t>—</t>
        </is>
      </c>
    </row>
    <row r="10">
      <c r="A10" s="26" t="inlineStr">
        <is>
          <t>Van cook — pasta night</t>
        </is>
      </c>
      <c r="B10" s="25" t="inlineStr">
        <is>
          <t>Picnic</t>
        </is>
      </c>
      <c r="C10" s="25" t="inlineStr">
        <is>
          <t>Campground</t>
        </is>
      </c>
      <c r="D10" s="37" t="n">
        <v>15</v>
      </c>
      <c r="E10" s="25" t="inlineStr">
        <is>
          <t>No</t>
        </is>
      </c>
      <c r="F10" s="26" t="inlineStr">
        <is>
          <t>Camp stove dinner</t>
        </is>
      </c>
      <c r="G10" s="26" t="inlineStr">
        <is>
          <t>Quick &amp; cheap</t>
        </is>
      </c>
    </row>
    <row r="11">
      <c r="A11" s="22" t="inlineStr">
        <is>
          <t>Cameron Trading Post</t>
        </is>
      </c>
      <c r="B11" s="21" t="inlineStr">
        <is>
          <t>Restaurant</t>
        </is>
      </c>
      <c r="C11" s="21" t="inlineStr">
        <is>
          <t>Cameron, AZ</t>
        </is>
      </c>
      <c r="D11" s="43" t="n">
        <v>50</v>
      </c>
      <c r="E11" s="21" t="inlineStr">
        <is>
          <t>No</t>
        </is>
      </c>
      <c r="F11" s="22" t="inlineStr">
        <is>
          <t>Navajo tacos</t>
        </is>
      </c>
      <c r="G11" s="22" t="inlineStr">
        <is>
          <t>Gas stop combo</t>
        </is>
      </c>
    </row>
    <row r="12">
      <c r="A12" s="26" t="inlineStr">
        <is>
          <t>El Tovar Dining</t>
        </is>
      </c>
      <c r="B12" s="25" t="inlineStr">
        <is>
          <t>Restaurant</t>
        </is>
      </c>
      <c r="C12" s="25" t="inlineStr">
        <is>
          <t>Grand Canyon</t>
        </is>
      </c>
      <c r="D12" s="37" t="n">
        <v>110</v>
      </c>
      <c r="E12" s="25" t="inlineStr">
        <is>
          <t>Yes 6:30pm</t>
        </is>
      </c>
      <c r="F12" s="26" t="inlineStr">
        <is>
          <t>Rim-view dinner</t>
        </is>
      </c>
      <c r="G12" s="26" t="inlineStr">
        <is>
          <t>Reserve early</t>
        </is>
      </c>
    </row>
    <row r="13">
      <c r="A13" s="22" t="n"/>
      <c r="B13" s="21" t="n"/>
      <c r="C13" s="21" t="n"/>
      <c r="D13" s="43" t="n"/>
      <c r="E13" s="21" t="n"/>
      <c r="F13" s="22" t="n"/>
      <c r="G13" s="22" t="n"/>
    </row>
    <row r="14">
      <c r="A14" s="26" t="n"/>
      <c r="B14" s="25" t="n"/>
      <c r="C14" s="25" t="n"/>
      <c r="D14" s="37" t="n"/>
      <c r="E14" s="25" t="n"/>
      <c r="F14" s="26" t="n"/>
      <c r="G14" s="26" t="n"/>
    </row>
    <row r="15">
      <c r="A15" s="22" t="n"/>
      <c r="B15" s="21" t="n"/>
      <c r="C15" s="21" t="n"/>
      <c r="D15" s="43" t="n"/>
      <c r="E15" s="21" t="n"/>
      <c r="F15" s="22" t="n"/>
      <c r="G15" s="22" t="n"/>
    </row>
    <row r="16">
      <c r="A16" s="26" t="n"/>
      <c r="B16" s="25" t="n"/>
      <c r="C16" s="25" t="n"/>
      <c r="D16" s="37" t="n"/>
      <c r="E16" s="25" t="n"/>
      <c r="F16" s="26" t="n"/>
      <c r="G16" s="26" t="n"/>
    </row>
    <row r="17">
      <c r="A17" s="22" t="n"/>
      <c r="B17" s="21" t="n"/>
      <c r="C17" s="21" t="n"/>
      <c r="D17" s="43" t="n"/>
      <c r="E17" s="21" t="n"/>
      <c r="F17" s="22" t="n"/>
      <c r="G17" s="22" t="n"/>
    </row>
    <row r="18">
      <c r="A18" s="26" t="n"/>
      <c r="B18" s="25" t="n"/>
      <c r="C18" s="25" t="n"/>
      <c r="D18" s="37" t="n"/>
      <c r="E18" s="25" t="n"/>
      <c r="F18" s="26" t="n"/>
      <c r="G18" s="26" t="n"/>
    </row>
    <row r="19">
      <c r="A19" s="22" t="n"/>
      <c r="B19" s="21" t="n"/>
      <c r="C19" s="21" t="n"/>
      <c r="D19" s="43" t="n"/>
      <c r="E19" s="21" t="n"/>
      <c r="F19" s="22" t="n"/>
      <c r="G19" s="22" t="n"/>
    </row>
    <row r="20">
      <c r="A20" s="26" t="n"/>
      <c r="B20" s="25" t="n"/>
      <c r="C20" s="25" t="n"/>
      <c r="D20" s="37" t="n"/>
      <c r="E20" s="25" t="n"/>
      <c r="F20" s="26" t="n"/>
      <c r="G20" s="26" t="n"/>
    </row>
    <row r="21">
      <c r="A21" s="22" t="n"/>
      <c r="B21" s="21" t="n"/>
      <c r="C21" s="21" t="n"/>
      <c r="D21" s="43" t="n"/>
      <c r="E21" s="21" t="n"/>
      <c r="F21" s="22" t="n"/>
      <c r="G21" s="22" t="n"/>
    </row>
    <row r="22">
      <c r="A22" s="26" t="n"/>
      <c r="B22" s="25" t="n"/>
      <c r="C22" s="25" t="n"/>
      <c r="D22" s="37" t="n"/>
      <c r="E22" s="25" t="n"/>
      <c r="F22" s="26" t="n"/>
      <c r="G22" s="26" t="n"/>
    </row>
    <row r="23">
      <c r="A23" s="22" t="n"/>
      <c r="B23" s="21" t="n"/>
      <c r="C23" s="21" t="n"/>
      <c r="D23" s="43" t="n"/>
      <c r="E23" s="21" t="n"/>
      <c r="F23" s="22" t="n"/>
      <c r="G23" s="22" t="n"/>
    </row>
    <row r="24">
      <c r="A24" s="26" t="n"/>
      <c r="B24" s="25" t="n"/>
      <c r="C24" s="25" t="n"/>
      <c r="D24" s="37" t="n"/>
      <c r="E24" s="25" t="n"/>
      <c r="F24" s="26" t="n"/>
      <c r="G24" s="26" t="n"/>
    </row>
    <row r="25">
      <c r="A25" s="22" t="n"/>
      <c r="B25" s="21" t="n"/>
      <c r="C25" s="21" t="n"/>
      <c r="D25" s="43" t="n"/>
      <c r="E25" s="21" t="n"/>
      <c r="F25" s="22" t="n"/>
      <c r="G25" s="22" t="n"/>
    </row>
    <row r="26">
      <c r="A26" s="26" t="n"/>
      <c r="B26" s="25" t="n"/>
      <c r="C26" s="25" t="n"/>
      <c r="D26" s="37" t="n"/>
      <c r="E26" s="25" t="n"/>
      <c r="F26" s="26" t="n"/>
      <c r="G26" s="26" t="n"/>
    </row>
    <row r="27">
      <c r="A27" s="22" t="n"/>
      <c r="B27" s="21" t="n"/>
      <c r="C27" s="21" t="n"/>
      <c r="D27" s="43" t="n"/>
      <c r="E27" s="21" t="n"/>
      <c r="F27" s="22" t="n"/>
      <c r="G27" s="22" t="n"/>
    </row>
    <row r="28">
      <c r="A28" s="26" t="n"/>
      <c r="B28" s="25" t="n"/>
      <c r="C28" s="25" t="n"/>
      <c r="D28" s="37" t="n"/>
      <c r="E28" s="25" t="n"/>
      <c r="F28" s="26" t="n"/>
      <c r="G28" s="26" t="n"/>
    </row>
    <row r="29">
      <c r="A29" s="22" t="n"/>
      <c r="B29" s="21" t="n"/>
      <c r="C29" s="21" t="n"/>
      <c r="D29" s="43" t="n"/>
      <c r="E29" s="21" t="n"/>
      <c r="F29" s="22" t="n"/>
      <c r="G29" s="22" t="n"/>
    </row>
    <row r="30">
      <c r="A30" s="26" t="n"/>
      <c r="B30" s="25" t="n"/>
      <c r="C30" s="25" t="n"/>
      <c r="D30" s="37" t="n"/>
      <c r="E30" s="25" t="n"/>
      <c r="F30" s="26" t="n"/>
      <c r="G30" s="26" t="n"/>
    </row>
    <row r="31">
      <c r="A31" s="22" t="n"/>
      <c r="B31" s="21" t="n"/>
      <c r="C31" s="21" t="n"/>
      <c r="D31" s="43" t="n"/>
      <c r="E31" s="21" t="n"/>
      <c r="F31" s="22" t="n"/>
      <c r="G31" s="22" t="n"/>
    </row>
    <row r="32">
      <c r="A32" s="26" t="n"/>
      <c r="B32" s="25" t="n"/>
      <c r="C32" s="25" t="n"/>
      <c r="D32" s="37" t="n"/>
      <c r="E32" s="25" t="n"/>
      <c r="F32" s="26" t="n"/>
      <c r="G32" s="26" t="n"/>
    </row>
    <row r="33">
      <c r="A33" s="22" t="n"/>
      <c r="B33" s="21" t="n"/>
      <c r="C33" s="21" t="n"/>
      <c r="D33" s="43" t="n"/>
      <c r="E33" s="21" t="n"/>
      <c r="F33" s="22" t="n"/>
      <c r="G33" s="22" t="n"/>
    </row>
    <row r="34">
      <c r="A34" s="26" t="n"/>
      <c r="B34" s="25" t="n"/>
      <c r="C34" s="25" t="n"/>
      <c r="D34" s="37" t="n"/>
      <c r="E34" s="25" t="n"/>
      <c r="F34" s="26" t="n"/>
      <c r="G34" s="26" t="n"/>
    </row>
  </sheetData>
  <mergeCells count="2">
    <mergeCell ref="A2:G2"/>
    <mergeCell ref="A1:G1"/>
  </mergeCells>
  <conditionalFormatting sqref="E5:E34">
    <cfRule type="cellIs" priority="1" operator="beginsWith" dxfId="1">
      <formula>"Yes"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8" customWidth="1" min="4" max="4"/>
    <col width="12" customWidth="1" min="5" max="5"/>
  </cols>
  <sheetData>
    <row r="1" ht="46" customHeight="1">
      <c r="A1" s="1" t="inlineStr">
        <is>
          <t xml:space="preserve">  🎒  PACKING COMMAND CENTER</t>
        </is>
      </c>
    </row>
    <row r="2" ht="22" customHeight="1">
      <c r="A2" s="2" t="inlineStr">
        <is>
          <t xml:space="preserve">  Everything for the road — assign items, track quantity &amp; check them off.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Item</t>
        </is>
      </c>
      <c r="B4" s="9" t="inlineStr">
        <is>
          <t>Category</t>
        </is>
      </c>
      <c r="C4" s="9" t="inlineStr">
        <is>
          <t>For</t>
        </is>
      </c>
      <c r="D4" s="9" t="inlineStr">
        <is>
          <t>Qty</t>
        </is>
      </c>
      <c r="E4" s="9" t="inlineStr">
        <is>
          <t>Packed?</t>
        </is>
      </c>
    </row>
    <row r="5">
      <c r="A5" s="22" t="inlineStr">
        <is>
          <t>Base layers &amp; tees</t>
        </is>
      </c>
      <c r="B5" s="21" t="inlineStr">
        <is>
          <t>Clothing</t>
        </is>
      </c>
      <c r="C5" s="21" t="inlineStr">
        <is>
          <t>Both</t>
        </is>
      </c>
      <c r="D5" s="23" t="n">
        <v>14</v>
      </c>
      <c r="E5" s="21" t="inlineStr">
        <is>
          <t>Yes</t>
        </is>
      </c>
    </row>
    <row r="6">
      <c r="A6" s="26" t="inlineStr">
        <is>
          <t>Hiking pants/shorts</t>
        </is>
      </c>
      <c r="B6" s="25" t="inlineStr">
        <is>
          <t>Clothing</t>
        </is>
      </c>
      <c r="C6" s="25" t="inlineStr">
        <is>
          <t>Both</t>
        </is>
      </c>
      <c r="D6" s="27" t="n">
        <v>8</v>
      </c>
      <c r="E6" s="25" t="inlineStr">
        <is>
          <t>Yes</t>
        </is>
      </c>
    </row>
    <row r="7">
      <c r="A7" s="22" t="inlineStr">
        <is>
          <t>Rain shells</t>
        </is>
      </c>
      <c r="B7" s="21" t="inlineStr">
        <is>
          <t>Clothing</t>
        </is>
      </c>
      <c r="C7" s="21" t="inlineStr">
        <is>
          <t>Both</t>
        </is>
      </c>
      <c r="D7" s="23" t="n">
        <v>2</v>
      </c>
      <c r="E7" s="21" t="inlineStr">
        <is>
          <t>Yes</t>
        </is>
      </c>
    </row>
    <row r="8">
      <c r="A8" s="26" t="inlineStr">
        <is>
          <t>Warm layers (parks are cold)</t>
        </is>
      </c>
      <c r="B8" s="25" t="inlineStr">
        <is>
          <t>Clothing</t>
        </is>
      </c>
      <c r="C8" s="25" t="inlineStr">
        <is>
          <t>Both</t>
        </is>
      </c>
      <c r="D8" s="27" t="n">
        <v>4</v>
      </c>
      <c r="E8" s="25" t="inlineStr">
        <is>
          <t>No</t>
        </is>
      </c>
    </row>
    <row r="9">
      <c r="A9" s="22" t="inlineStr">
        <is>
          <t>Hiking boots</t>
        </is>
      </c>
      <c r="B9" s="21" t="inlineStr">
        <is>
          <t>Hiking Gear</t>
        </is>
      </c>
      <c r="C9" s="21" t="inlineStr">
        <is>
          <t>Both</t>
        </is>
      </c>
      <c r="D9" s="23" t="n">
        <v>2</v>
      </c>
      <c r="E9" s="21" t="inlineStr">
        <is>
          <t>Yes</t>
        </is>
      </c>
    </row>
    <row r="10">
      <c r="A10" s="26" t="inlineStr">
        <is>
          <t>Trail runners</t>
        </is>
      </c>
      <c r="B10" s="25" t="inlineStr">
        <is>
          <t>Hiking Gear</t>
        </is>
      </c>
      <c r="C10" s="25" t="inlineStr">
        <is>
          <t>Both</t>
        </is>
      </c>
      <c r="D10" s="27" t="n">
        <v>2</v>
      </c>
      <c r="E10" s="25" t="inlineStr">
        <is>
          <t>Yes</t>
        </is>
      </c>
    </row>
    <row r="11">
      <c r="A11" s="22" t="inlineStr">
        <is>
          <t>Daypacks</t>
        </is>
      </c>
      <c r="B11" s="21" t="inlineStr">
        <is>
          <t>Hiking Gear</t>
        </is>
      </c>
      <c r="C11" s="21" t="inlineStr">
        <is>
          <t>Both</t>
        </is>
      </c>
      <c r="D11" s="23" t="n">
        <v>2</v>
      </c>
      <c r="E11" s="21" t="inlineStr">
        <is>
          <t>Yes</t>
        </is>
      </c>
    </row>
    <row r="12">
      <c r="A12" s="26" t="inlineStr">
        <is>
          <t>Trekking poles</t>
        </is>
      </c>
      <c r="B12" s="25" t="inlineStr">
        <is>
          <t>Hiking Gear</t>
        </is>
      </c>
      <c r="C12" s="25" t="inlineStr">
        <is>
          <t>Jake</t>
        </is>
      </c>
      <c r="D12" s="27" t="n">
        <v>2</v>
      </c>
      <c r="E12" s="25" t="inlineStr">
        <is>
          <t>No</t>
        </is>
      </c>
    </row>
    <row r="13">
      <c r="A13" s="22" t="inlineStr">
        <is>
          <t>Tent (backup)</t>
        </is>
      </c>
      <c r="B13" s="21" t="inlineStr">
        <is>
          <t>Camping Gear</t>
        </is>
      </c>
      <c r="C13" s="21" t="inlineStr">
        <is>
          <t>Jake</t>
        </is>
      </c>
      <c r="D13" s="23" t="n">
        <v>1</v>
      </c>
      <c r="E13" s="21" t="inlineStr">
        <is>
          <t>Yes</t>
        </is>
      </c>
    </row>
    <row r="14">
      <c r="A14" s="26" t="inlineStr">
        <is>
          <t>Sleeping bags</t>
        </is>
      </c>
      <c r="B14" s="25" t="inlineStr">
        <is>
          <t>Camping Gear</t>
        </is>
      </c>
      <c r="C14" s="25" t="inlineStr">
        <is>
          <t>Both</t>
        </is>
      </c>
      <c r="D14" s="27" t="n">
        <v>2</v>
      </c>
      <c r="E14" s="25" t="inlineStr">
        <is>
          <t>Yes</t>
        </is>
      </c>
    </row>
    <row r="15">
      <c r="A15" s="22" t="inlineStr">
        <is>
          <t>Camp stove + fuel</t>
        </is>
      </c>
      <c r="B15" s="21" t="inlineStr">
        <is>
          <t>Cooking Equipment</t>
        </is>
      </c>
      <c r="C15" s="21" t="inlineStr">
        <is>
          <t>Nora</t>
        </is>
      </c>
      <c r="D15" s="23" t="n">
        <v>1</v>
      </c>
      <c r="E15" s="21" t="inlineStr">
        <is>
          <t>Yes</t>
        </is>
      </c>
    </row>
    <row r="16">
      <c r="A16" s="26" t="inlineStr">
        <is>
          <t>Cookset &amp; utensils</t>
        </is>
      </c>
      <c r="B16" s="25" t="inlineStr">
        <is>
          <t>Cooking Equipment</t>
        </is>
      </c>
      <c r="C16" s="25" t="inlineStr">
        <is>
          <t>Nora</t>
        </is>
      </c>
      <c r="D16" s="27" t="n">
        <v>1</v>
      </c>
      <c r="E16" s="25" t="inlineStr">
        <is>
          <t>Yes</t>
        </is>
      </c>
    </row>
    <row r="17">
      <c r="A17" s="22" t="inlineStr">
        <is>
          <t>Cooler + ice packs</t>
        </is>
      </c>
      <c r="B17" s="21" t="inlineStr">
        <is>
          <t>Cooking Equipment</t>
        </is>
      </c>
      <c r="C17" s="21" t="inlineStr">
        <is>
          <t>Nora</t>
        </is>
      </c>
      <c r="D17" s="23" t="n">
        <v>1</v>
      </c>
      <c r="E17" s="21" t="inlineStr">
        <is>
          <t>Yes</t>
        </is>
      </c>
    </row>
    <row r="18">
      <c r="A18" s="26" t="inlineStr">
        <is>
          <t>Headlamps</t>
        </is>
      </c>
      <c r="B18" s="25" t="inlineStr">
        <is>
          <t>Camping Gear</t>
        </is>
      </c>
      <c r="C18" s="25" t="inlineStr">
        <is>
          <t>Both</t>
        </is>
      </c>
      <c r="D18" s="27" t="n">
        <v>2</v>
      </c>
      <c r="E18" s="25" t="inlineStr">
        <is>
          <t>Yes</t>
        </is>
      </c>
    </row>
    <row r="19">
      <c r="A19" s="22" t="inlineStr">
        <is>
          <t>Camp chairs</t>
        </is>
      </c>
      <c r="B19" s="21" t="inlineStr">
        <is>
          <t>Camping Gear</t>
        </is>
      </c>
      <c r="C19" s="21" t="inlineStr">
        <is>
          <t>Jake</t>
        </is>
      </c>
      <c r="D19" s="23" t="n">
        <v>2</v>
      </c>
      <c r="E19" s="21" t="inlineStr">
        <is>
          <t>No</t>
        </is>
      </c>
    </row>
    <row r="20">
      <c r="A20" s="26" t="inlineStr">
        <is>
          <t>Power bank + cords</t>
        </is>
      </c>
      <c r="B20" s="25" t="inlineStr">
        <is>
          <t>Electronics</t>
        </is>
      </c>
      <c r="C20" s="25" t="inlineStr">
        <is>
          <t>Both</t>
        </is>
      </c>
      <c r="D20" s="27" t="n">
        <v>1</v>
      </c>
      <c r="E20" s="25" t="inlineStr">
        <is>
          <t>Yes</t>
        </is>
      </c>
    </row>
    <row r="21">
      <c r="A21" s="22" t="inlineStr">
        <is>
          <t>Dash cam / GPS</t>
        </is>
      </c>
      <c r="B21" s="21" t="inlineStr">
        <is>
          <t>Electronics</t>
        </is>
      </c>
      <c r="C21" s="21" t="inlineStr">
        <is>
          <t>Jake</t>
        </is>
      </c>
      <c r="D21" s="23" t="n">
        <v>1</v>
      </c>
      <c r="E21" s="21" t="inlineStr">
        <is>
          <t>Yes</t>
        </is>
      </c>
    </row>
    <row r="22">
      <c r="A22" s="26" t="inlineStr">
        <is>
          <t>Camera + lenses</t>
        </is>
      </c>
      <c r="B22" s="25" t="inlineStr">
        <is>
          <t>Electronics</t>
        </is>
      </c>
      <c r="C22" s="25" t="inlineStr">
        <is>
          <t>Nora</t>
        </is>
      </c>
      <c r="D22" s="27" t="n">
        <v>1</v>
      </c>
      <c r="E22" s="25" t="inlineStr">
        <is>
          <t>No</t>
        </is>
      </c>
    </row>
    <row r="23">
      <c r="A23" s="22" t="inlineStr">
        <is>
          <t>Jumper cables</t>
        </is>
      </c>
      <c r="B23" s="21" t="inlineStr">
        <is>
          <t>Vehicle Supplies</t>
        </is>
      </c>
      <c r="C23" s="21" t="inlineStr">
        <is>
          <t>Jake</t>
        </is>
      </c>
      <c r="D23" s="23" t="n">
        <v>1</v>
      </c>
      <c r="E23" s="21" t="inlineStr">
        <is>
          <t>Yes</t>
        </is>
      </c>
    </row>
    <row r="24">
      <c r="A24" s="26" t="inlineStr">
        <is>
          <t>Tire repair kit</t>
        </is>
      </c>
      <c r="B24" s="25" t="inlineStr">
        <is>
          <t>Vehicle Supplies</t>
        </is>
      </c>
      <c r="C24" s="25" t="inlineStr">
        <is>
          <t>Jake</t>
        </is>
      </c>
      <c r="D24" s="27" t="n">
        <v>1</v>
      </c>
      <c r="E24" s="25" t="inlineStr">
        <is>
          <t>Yes</t>
        </is>
      </c>
    </row>
    <row r="25">
      <c r="A25" s="22" t="inlineStr">
        <is>
          <t>Extra motor oil &amp; coolant</t>
        </is>
      </c>
      <c r="B25" s="21" t="inlineStr">
        <is>
          <t>Vehicle Supplies</t>
        </is>
      </c>
      <c r="C25" s="21" t="inlineStr">
        <is>
          <t>Jake</t>
        </is>
      </c>
      <c r="D25" s="23" t="n">
        <v>1</v>
      </c>
      <c r="E25" s="21" t="inlineStr">
        <is>
          <t>No</t>
        </is>
      </c>
    </row>
    <row r="26">
      <c r="A26" s="26" t="inlineStr">
        <is>
          <t>First-aid kit</t>
        </is>
      </c>
      <c r="B26" s="25" t="inlineStr">
        <is>
          <t>Emergency Kit</t>
        </is>
      </c>
      <c r="C26" s="25" t="inlineStr">
        <is>
          <t>Nora</t>
        </is>
      </c>
      <c r="D26" s="27" t="n">
        <v>1</v>
      </c>
      <c r="E26" s="25" t="inlineStr">
        <is>
          <t>Yes</t>
        </is>
      </c>
    </row>
    <row r="27">
      <c r="A27" s="22" t="inlineStr">
        <is>
          <t>Emergency water (gal)</t>
        </is>
      </c>
      <c r="B27" s="21" t="inlineStr">
        <is>
          <t>Emergency Kit</t>
        </is>
      </c>
      <c r="C27" s="21" t="inlineStr">
        <is>
          <t>Both</t>
        </is>
      </c>
      <c r="D27" s="23" t="n">
        <v>5</v>
      </c>
      <c r="E27" s="21" t="inlineStr">
        <is>
          <t>Yes</t>
        </is>
      </c>
    </row>
    <row r="28">
      <c r="A28" s="26" t="inlineStr">
        <is>
          <t>Reflective triangles</t>
        </is>
      </c>
      <c r="B28" s="25" t="inlineStr">
        <is>
          <t>Emergency Kit</t>
        </is>
      </c>
      <c r="C28" s="25" t="inlineStr">
        <is>
          <t>Jake</t>
        </is>
      </c>
      <c r="D28" s="27" t="n">
        <v>1</v>
      </c>
      <c r="E28" s="25" t="inlineStr">
        <is>
          <t>No</t>
        </is>
      </c>
    </row>
    <row r="29">
      <c r="A29" s="22" t="inlineStr">
        <is>
          <t>Paper maps (no signal!)</t>
        </is>
      </c>
      <c r="B29" s="21" t="inlineStr">
        <is>
          <t>Documents</t>
        </is>
      </c>
      <c r="C29" s="21" t="inlineStr">
        <is>
          <t>Both</t>
        </is>
      </c>
      <c r="D29" s="23" t="n">
        <v>3</v>
      </c>
      <c r="E29" s="21" t="inlineStr">
        <is>
          <t>Yes</t>
        </is>
      </c>
    </row>
    <row r="30">
      <c r="A30" s="26" t="inlineStr">
        <is>
          <t>Park passes / America the Beautiful</t>
        </is>
      </c>
      <c r="B30" s="25" t="inlineStr">
        <is>
          <t>Documents</t>
        </is>
      </c>
      <c r="C30" s="25" t="inlineStr">
        <is>
          <t>Nora</t>
        </is>
      </c>
      <c r="D30" s="27" t="n">
        <v>1</v>
      </c>
      <c r="E30" s="25" t="inlineStr">
        <is>
          <t>Yes</t>
        </is>
      </c>
    </row>
    <row r="31">
      <c r="A31" s="22" t="inlineStr">
        <is>
          <t>Insurance &amp; registration</t>
        </is>
      </c>
      <c r="B31" s="21" t="inlineStr">
        <is>
          <t>Documents</t>
        </is>
      </c>
      <c r="C31" s="21" t="inlineStr">
        <is>
          <t>Jake</t>
        </is>
      </c>
      <c r="D31" s="23" t="n">
        <v>1</v>
      </c>
      <c r="E31" s="21" t="inlineStr">
        <is>
          <t>Yes</t>
        </is>
      </c>
    </row>
    <row r="32">
      <c r="A32" s="26" t="inlineStr">
        <is>
          <t>Sunscreen &amp; bug spray</t>
        </is>
      </c>
      <c r="B32" s="25" t="inlineStr">
        <is>
          <t>Emergency Kit</t>
        </is>
      </c>
      <c r="C32" s="25" t="inlineStr">
        <is>
          <t>Both</t>
        </is>
      </c>
      <c r="D32" s="27" t="n">
        <v>3</v>
      </c>
      <c r="E32" s="25" t="inlineStr">
        <is>
          <t>Yes</t>
        </is>
      </c>
    </row>
    <row r="33">
      <c r="A33" s="22" t="inlineStr">
        <is>
          <t>Water filter</t>
        </is>
      </c>
      <c r="B33" s="21" t="inlineStr">
        <is>
          <t>Hiking Gear</t>
        </is>
      </c>
      <c r="C33" s="21" t="inlineStr">
        <is>
          <t>Jake</t>
        </is>
      </c>
      <c r="D33" s="23" t="n">
        <v>1</v>
      </c>
      <c r="E33" s="21" t="inlineStr">
        <is>
          <t>No</t>
        </is>
      </c>
    </row>
    <row r="34">
      <c r="A34" s="26" t="inlineStr">
        <is>
          <t>Trash bags</t>
        </is>
      </c>
      <c r="B34" s="25" t="inlineStr">
        <is>
          <t>Camping Gear</t>
        </is>
      </c>
      <c r="C34" s="25" t="inlineStr">
        <is>
          <t>Both</t>
        </is>
      </c>
      <c r="D34" s="27" t="n">
        <v>10</v>
      </c>
      <c r="E34" s="25" t="inlineStr">
        <is>
          <t>Yes</t>
        </is>
      </c>
    </row>
    <row r="35">
      <c r="A35" s="22" t="n"/>
      <c r="B35" s="21" t="n"/>
      <c r="C35" s="21" t="n"/>
      <c r="D35" s="23" t="n"/>
      <c r="E35" s="21" t="n"/>
    </row>
    <row r="36">
      <c r="A36" s="26" t="n"/>
      <c r="B36" s="25" t="n"/>
      <c r="C36" s="25" t="n"/>
      <c r="D36" s="27" t="n"/>
      <c r="E36" s="25" t="n"/>
    </row>
    <row r="37">
      <c r="A37" s="22" t="n"/>
      <c r="B37" s="21" t="n"/>
      <c r="C37" s="21" t="n"/>
      <c r="D37" s="23" t="n"/>
      <c r="E37" s="21" t="n"/>
    </row>
    <row r="38">
      <c r="A38" s="26" t="n"/>
      <c r="B38" s="25" t="n"/>
      <c r="C38" s="25" t="n"/>
      <c r="D38" s="27" t="n"/>
      <c r="E38" s="25" t="n"/>
    </row>
    <row r="39">
      <c r="A39" s="22" t="n"/>
      <c r="B39" s="21" t="n"/>
      <c r="C39" s="21" t="n"/>
      <c r="D39" s="23" t="n"/>
      <c r="E39" s="21" t="n"/>
    </row>
    <row r="40">
      <c r="A40" s="26" t="n"/>
      <c r="B40" s="25" t="n"/>
      <c r="C40" s="25" t="n"/>
      <c r="D40" s="27" t="n"/>
      <c r="E40" s="25" t="n"/>
    </row>
    <row r="41">
      <c r="A41" s="22" t="n"/>
      <c r="B41" s="21" t="n"/>
      <c r="C41" s="21" t="n"/>
      <c r="D41" s="23" t="n"/>
      <c r="E41" s="21" t="n"/>
    </row>
    <row r="42">
      <c r="A42" s="26" t="n"/>
      <c r="B42" s="25" t="n"/>
      <c r="C42" s="25" t="n"/>
      <c r="D42" s="27" t="n"/>
      <c r="E42" s="25" t="n"/>
    </row>
    <row r="43">
      <c r="A43" s="22" t="n"/>
      <c r="B43" s="21" t="n"/>
      <c r="C43" s="21" t="n"/>
      <c r="D43" s="23" t="n"/>
      <c r="E43" s="21" t="n"/>
    </row>
    <row r="44">
      <c r="A44" s="26" t="n"/>
      <c r="B44" s="25" t="n"/>
      <c r="C44" s="25" t="n"/>
      <c r="D44" s="27" t="n"/>
      <c r="E44" s="25" t="n"/>
    </row>
    <row r="45">
      <c r="A45" s="22" t="n"/>
      <c r="B45" s="21" t="n"/>
      <c r="C45" s="21" t="n"/>
      <c r="D45" s="23" t="n"/>
      <c r="E45" s="21" t="n"/>
    </row>
    <row r="46">
      <c r="A46" s="26" t="n"/>
      <c r="B46" s="25" t="n"/>
      <c r="C46" s="25" t="n"/>
      <c r="D46" s="27" t="n"/>
      <c r="E46" s="25" t="n"/>
    </row>
    <row r="47">
      <c r="A47" s="22" t="n"/>
      <c r="B47" s="21" t="n"/>
      <c r="C47" s="21" t="n"/>
      <c r="D47" s="23" t="n"/>
      <c r="E47" s="21" t="n"/>
    </row>
    <row r="48">
      <c r="A48" s="26" t="n"/>
      <c r="B48" s="25" t="n"/>
      <c r="C48" s="25" t="n"/>
      <c r="D48" s="27" t="n"/>
      <c r="E48" s="25" t="n"/>
    </row>
    <row r="49">
      <c r="A49" s="22" t="n"/>
      <c r="B49" s="21" t="n"/>
      <c r="C49" s="21" t="n"/>
      <c r="D49" s="23" t="n"/>
      <c r="E49" s="21" t="n"/>
    </row>
    <row r="50">
      <c r="A50" s="26" t="n"/>
      <c r="B50" s="25" t="n"/>
      <c r="C50" s="25" t="n"/>
      <c r="D50" s="27" t="n"/>
      <c r="E50" s="25" t="n"/>
    </row>
    <row r="51">
      <c r="A51" s="22" t="n"/>
      <c r="B51" s="21" t="n"/>
      <c r="C51" s="21" t="n"/>
      <c r="D51" s="23" t="n"/>
      <c r="E51" s="21" t="n"/>
    </row>
    <row r="52">
      <c r="A52" s="26" t="n"/>
      <c r="B52" s="25" t="n"/>
      <c r="C52" s="25" t="n"/>
      <c r="D52" s="27" t="n"/>
      <c r="E52" s="25" t="n"/>
    </row>
    <row r="53">
      <c r="A53" s="22" t="n"/>
      <c r="B53" s="21" t="n"/>
      <c r="C53" s="21" t="n"/>
      <c r="D53" s="23" t="n"/>
      <c r="E53" s="21" t="n"/>
    </row>
    <row r="54">
      <c r="A54" s="26" t="n"/>
      <c r="B54" s="25" t="n"/>
      <c r="C54" s="25" t="n"/>
      <c r="D54" s="27" t="n"/>
      <c r="E54" s="25" t="n"/>
    </row>
    <row r="55">
      <c r="A55" s="22" t="n"/>
      <c r="B55" s="21" t="n"/>
      <c r="C55" s="21" t="n"/>
      <c r="D55" s="23" t="n"/>
      <c r="E55" s="21" t="n"/>
    </row>
    <row r="56">
      <c r="A56" s="26" t="n"/>
      <c r="B56" s="25" t="n"/>
      <c r="C56" s="25" t="n"/>
      <c r="D56" s="27" t="n"/>
      <c r="E56" s="25" t="n"/>
    </row>
    <row r="57">
      <c r="A57" s="22" t="n"/>
      <c r="B57" s="21" t="n"/>
      <c r="C57" s="21" t="n"/>
      <c r="D57" s="23" t="n"/>
      <c r="E57" s="21" t="n"/>
    </row>
    <row r="58">
      <c r="A58" s="26" t="n"/>
      <c r="B58" s="25" t="n"/>
      <c r="C58" s="25" t="n"/>
      <c r="D58" s="27" t="n"/>
      <c r="E58" s="25" t="n"/>
    </row>
    <row r="59">
      <c r="A59" s="22" t="n"/>
      <c r="B59" s="21" t="n"/>
      <c r="C59" s="21" t="n"/>
      <c r="D59" s="23" t="n"/>
      <c r="E59" s="21" t="n"/>
    </row>
    <row r="60">
      <c r="A60" s="26" t="n"/>
      <c r="B60" s="25" t="n"/>
      <c r="C60" s="25" t="n"/>
      <c r="D60" s="27" t="n"/>
      <c r="E60" s="25" t="n"/>
    </row>
    <row r="61">
      <c r="A61" s="22" t="n"/>
      <c r="B61" s="21" t="n"/>
      <c r="C61" s="21" t="n"/>
      <c r="D61" s="23" t="n"/>
      <c r="E61" s="21" t="n"/>
    </row>
    <row r="62">
      <c r="A62" s="26" t="n"/>
      <c r="B62" s="25" t="n"/>
      <c r="C62" s="25" t="n"/>
      <c r="D62" s="27" t="n"/>
      <c r="E62" s="25" t="n"/>
    </row>
    <row r="63">
      <c r="A63" s="22" t="n"/>
      <c r="B63" s="21" t="n"/>
      <c r="C63" s="21" t="n"/>
      <c r="D63" s="23" t="n"/>
      <c r="E63" s="21" t="n"/>
    </row>
    <row r="64">
      <c r="A64" s="26" t="n"/>
      <c r="B64" s="25" t="n"/>
      <c r="C64" s="25" t="n"/>
      <c r="D64" s="27" t="n"/>
      <c r="E64" s="25" t="n"/>
    </row>
  </sheetData>
  <mergeCells count="2">
    <mergeCell ref="A2:E2"/>
    <mergeCell ref="A1:E1"/>
  </mergeCells>
  <conditionalFormatting sqref="E5:E64">
    <cfRule type="cellIs" priority="1" operator="equal" dxfId="1">
      <formula>"Yes"</formula>
    </cfRule>
    <cfRule type="cellIs" priority="2" operator="equal" dxfId="2">
      <formula>"No"</formula>
    </cfRule>
  </conditionalFormatting>
  <dataValidations count="2">
    <dataValidation sqref="B5:B64" showDropDown="0" showInputMessage="0" showErrorMessage="0" allowBlank="1" type="list">
      <formula1>=PackCatList</formula1>
    </dataValidation>
    <dataValidation sqref="E5:E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6" customWidth="1" min="3" max="3"/>
    <col width="4" customWidth="1" min="4" max="4"/>
    <col width="24" customWidth="1" min="5" max="5"/>
    <col width="28" customWidth="1" min="6" max="6"/>
    <col width="2" customWidth="1" min="7" max="7"/>
  </cols>
  <sheetData>
    <row r="1" ht="46" customHeight="1">
      <c r="A1" s="1" t="inlineStr">
        <is>
          <t xml:space="preserve">  🚨  EMERGENCY &amp; SAFETY CENTER</t>
        </is>
      </c>
    </row>
    <row r="2" ht="22" customHeight="1">
      <c r="A2" s="2" t="inlineStr">
        <is>
          <t xml:space="preserve">  Peace of mind on remote roads — contacts, coverage &amp; safety, one tap away.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CONTACTS &amp; COVERAGE</t>
        </is>
      </c>
      <c r="E5" s="4" t="inlineStr">
        <is>
          <t>SAFETY &amp; MEDICAL</t>
        </is>
      </c>
    </row>
    <row r="6" ht="24" customHeight="1">
      <c r="B6" s="19" t="inlineStr">
        <is>
          <t>Emergency</t>
        </is>
      </c>
      <c r="C6" s="20" t="inlineStr">
        <is>
          <t>911</t>
        </is>
      </c>
      <c r="E6" s="19" t="inlineStr">
        <is>
          <t>Blood types</t>
        </is>
      </c>
      <c r="F6" s="33" t="inlineStr">
        <is>
          <t>On phone note</t>
        </is>
      </c>
    </row>
    <row r="7" ht="24" customHeight="1">
      <c r="B7" s="19" t="inlineStr">
        <is>
          <t>Roadside (AAA)</t>
        </is>
      </c>
      <c r="C7" s="20" t="inlineStr">
        <is>
          <t>800-555-0199</t>
        </is>
      </c>
      <c r="E7" s="19" t="inlineStr">
        <is>
          <t>Allergies</t>
        </is>
      </c>
      <c r="F7" s="33" t="inlineStr">
        <is>
          <t>Nora — penicillin</t>
        </is>
      </c>
    </row>
    <row r="8" ht="24" customHeight="1">
      <c r="B8" s="19" t="inlineStr">
        <is>
          <t>Insurance 24/7</t>
        </is>
      </c>
      <c r="C8" s="20" t="inlineStr">
        <is>
          <t>800-555-0100</t>
        </is>
      </c>
      <c r="E8" s="19" t="inlineStr">
        <is>
          <t>Medications</t>
        </is>
      </c>
      <c r="F8" s="33" t="inlineStr">
        <is>
          <t>In first-aid kit</t>
        </is>
      </c>
    </row>
    <row r="9" ht="24" customHeight="1">
      <c r="B9" s="19" t="inlineStr">
        <is>
          <t>Home Contact (Mom)</t>
        </is>
      </c>
      <c r="C9" s="20" t="inlineStr">
        <is>
          <t>555-0110</t>
        </is>
      </c>
      <c r="E9" s="19" t="inlineStr">
        <is>
          <t>Nearest hospitals</t>
        </is>
      </c>
      <c r="F9" s="33" t="inlineStr">
        <is>
          <t>Save offline maps</t>
        </is>
      </c>
    </row>
    <row r="10" ht="24" customHeight="1">
      <c r="B10" s="19" t="inlineStr">
        <is>
          <t>Vehicle Mfr. Roadside</t>
        </is>
      </c>
      <c r="C10" s="20" t="inlineStr">
        <is>
          <t>800-555-0177</t>
        </is>
      </c>
      <c r="E10" s="19" t="inlineStr">
        <is>
          <t>Emergency supplies</t>
        </is>
      </c>
      <c r="F10" s="33" t="inlineStr">
        <is>
          <t>Water, blanket, flares, kit</t>
        </is>
      </c>
    </row>
    <row r="11" ht="24" customHeight="1">
      <c r="B11" s="19" t="inlineStr">
        <is>
          <t>Poison Control</t>
        </is>
      </c>
      <c r="C11" s="20" t="inlineStr">
        <is>
          <t>800-222-1222</t>
        </is>
      </c>
      <c r="E11" s="19" t="inlineStr">
        <is>
          <t>Weather alerts</t>
        </is>
      </c>
      <c r="F11" s="33" t="inlineStr">
        <is>
          <t>NOAA app + radio</t>
        </is>
      </c>
    </row>
    <row r="12" ht="24" customHeight="1">
      <c r="B12" s="19" t="inlineStr">
        <is>
          <t>Trip Buddy (Sam)</t>
        </is>
      </c>
      <c r="C12" s="20" t="inlineStr">
        <is>
          <t>555-0142</t>
        </is>
      </c>
      <c r="E12" s="19" t="inlineStr">
        <is>
          <t>Cell dead zones</t>
        </is>
      </c>
      <c r="F12" s="33" t="inlineStr">
        <is>
          <t>Download offline maps</t>
        </is>
      </c>
    </row>
    <row r="13" ht="24" customHeight="1">
      <c r="B13" s="19" t="inlineStr">
        <is>
          <t>Bank (lost card)</t>
        </is>
      </c>
      <c r="C13" s="20" t="inlineStr">
        <is>
          <t>800-555-0155</t>
        </is>
      </c>
      <c r="E13" s="19" t="inlineStr">
        <is>
          <t>Check-in plan</t>
        </is>
      </c>
      <c r="F13" s="33" t="inlineStr">
        <is>
          <t>Text home each night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2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 ht="46" customHeight="1">
      <c r="A1" s="1" t="inlineStr">
        <is>
          <t xml:space="preserve">  📔  ROAD TRIP JOURNAL</t>
        </is>
      </c>
    </row>
    <row r="2" ht="22" customHeight="1">
      <c r="A2" s="2" t="inlineStr">
        <is>
          <t xml:space="preserve">  One line a day keeps the adventure forever — write it before the campfire dies.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Best Memory</t>
        </is>
      </c>
      <c r="C4" s="9" t="inlineStr">
        <is>
          <t>Scenic Highlight</t>
        </is>
      </c>
      <c r="D4" s="9" t="inlineStr">
        <is>
          <t>Favorite Meal</t>
        </is>
      </c>
      <c r="E4" s="9" t="inlineStr">
        <is>
          <t>Funny Moment</t>
        </is>
      </c>
      <c r="F4" s="9" t="inlineStr">
        <is>
          <t>Wildlife</t>
        </is>
      </c>
      <c r="G4" s="9" t="inlineStr">
        <is>
          <t>Lesson Learned</t>
        </is>
      </c>
    </row>
    <row r="5">
      <c r="A5" s="31" t="n">
        <v>46243</v>
      </c>
      <c r="B5" s="22" t="inlineStr">
        <is>
          <t>First glimpse of Zion's walls</t>
        </is>
      </c>
      <c r="C5" s="22" t="inlineStr">
        <is>
          <t>The canyon narrows</t>
        </is>
      </c>
      <c r="D5" s="22" t="inlineStr">
        <is>
          <t>Van-cooked tacos</t>
        </is>
      </c>
      <c r="E5" s="22" t="inlineStr">
        <is>
          <t>Jake's parallel-park fail</t>
        </is>
      </c>
      <c r="F5" s="22" t="inlineStr">
        <is>
          <t>Bighorn sheep on the cliff</t>
        </is>
      </c>
      <c r="G5" s="22" t="inlineStr">
        <is>
          <t>Leave earlier for shuttles</t>
        </is>
      </c>
    </row>
    <row r="6">
      <c r="A6" s="32" t="n">
        <v>46244</v>
      </c>
      <c r="B6" s="26" t="inlineStr">
        <is>
          <t>Made it up Angels Landing</t>
        </is>
      </c>
      <c r="C6" s="26" t="inlineStr">
        <is>
          <t>Chains &amp; the drop-offs</t>
        </is>
      </c>
      <c r="D6" s="26" t="inlineStr">
        <is>
          <t>Zion Lodge bison burger</t>
        </is>
      </c>
      <c r="E6" s="26" t="inlineStr">
        <is>
          <t>Nora's victory dance</t>
        </is>
      </c>
      <c r="F6" s="26" t="inlineStr">
        <is>
          <t>California condor overhead</t>
        </is>
      </c>
      <c r="G6" s="26" t="inlineStr">
        <is>
          <t>Start hikes at dawn</t>
        </is>
      </c>
    </row>
    <row r="7">
      <c r="A7" s="31" t="n">
        <v>46245</v>
      </c>
      <c r="B7" s="22" t="inlineStr">
        <is>
          <t>Bryce hoodoos at sunrise</t>
        </is>
      </c>
      <c r="C7" s="22" t="inlineStr">
        <is>
          <t>Amphitheater glowing orange</t>
        </is>
      </c>
      <c r="D7" s="22" t="inlineStr">
        <is>
          <t>Trail mix summit snack</t>
        </is>
      </c>
      <c r="E7" s="22" t="inlineStr">
        <is>
          <t>Got 'lost' on Queens loop</t>
        </is>
      </c>
      <c r="F7" s="22" t="inlineStr">
        <is>
          <t>Pronghorn near the road</t>
        </is>
      </c>
      <c r="G7" s="22" t="inlineStr">
        <is>
          <t>Layers — it was 34°F</t>
        </is>
      </c>
    </row>
    <row r="8">
      <c r="A8" s="32" t="n">
        <v>46246</v>
      </c>
      <c r="B8" s="26" t="inlineStr">
        <is>
          <t>Byway 12 is unreal</t>
        </is>
      </c>
      <c r="C8" s="26" t="inlineStr">
        <is>
          <t>Cliff-edge switchbacks</t>
        </is>
      </c>
      <c r="D8" s="26" t="inlineStr">
        <is>
          <t>Hell's Backbone farm dinner</t>
        </is>
      </c>
      <c r="E8" s="26" t="inlineStr">
        <is>
          <t>Sang the whole soundtrack</t>
        </is>
      </c>
      <c r="F8" s="26" t="inlineStr">
        <is>
          <t>Deer crossing at dusk</t>
        </is>
      </c>
      <c r="G8" s="26" t="inlineStr">
        <is>
          <t>Fuel up when you can</t>
        </is>
      </c>
    </row>
    <row r="9">
      <c r="A9" s="31" t="n"/>
      <c r="B9" s="22" t="n"/>
      <c r="C9" s="22" t="n"/>
      <c r="D9" s="22" t="n"/>
      <c r="E9" s="22" t="n"/>
      <c r="F9" s="22" t="n"/>
      <c r="G9" s="22" t="n"/>
    </row>
    <row r="10">
      <c r="A10" s="32" t="n"/>
      <c r="B10" s="26" t="n"/>
      <c r="C10" s="26" t="n"/>
      <c r="D10" s="26" t="n"/>
      <c r="E10" s="26" t="n"/>
      <c r="F10" s="26" t="n"/>
      <c r="G10" s="26" t="n"/>
    </row>
    <row r="11">
      <c r="A11" s="31" t="n"/>
      <c r="B11" s="22" t="n"/>
      <c r="C11" s="22" t="n"/>
      <c r="D11" s="22" t="n"/>
      <c r="E11" s="22" t="n"/>
      <c r="F11" s="22" t="n"/>
      <c r="G11" s="22" t="n"/>
    </row>
    <row r="12">
      <c r="A12" s="32" t="n"/>
      <c r="B12" s="26" t="n"/>
      <c r="C12" s="26" t="n"/>
      <c r="D12" s="26" t="n"/>
      <c r="E12" s="26" t="n"/>
      <c r="F12" s="26" t="n"/>
      <c r="G12" s="26" t="n"/>
    </row>
    <row r="13">
      <c r="A13" s="31" t="n"/>
      <c r="B13" s="22" t="n"/>
      <c r="C13" s="22" t="n"/>
      <c r="D13" s="22" t="n"/>
      <c r="E13" s="22" t="n"/>
      <c r="F13" s="22" t="n"/>
      <c r="G13" s="22" t="n"/>
    </row>
    <row r="14">
      <c r="A14" s="32" t="n"/>
      <c r="B14" s="26" t="n"/>
      <c r="C14" s="26" t="n"/>
      <c r="D14" s="26" t="n"/>
      <c r="E14" s="26" t="n"/>
      <c r="F14" s="26" t="n"/>
      <c r="G14" s="26" t="n"/>
    </row>
    <row r="15">
      <c r="A15" s="31" t="n"/>
      <c r="B15" s="22" t="n"/>
      <c r="C15" s="22" t="n"/>
      <c r="D15" s="22" t="n"/>
      <c r="E15" s="22" t="n"/>
      <c r="F15" s="22" t="n"/>
      <c r="G15" s="22" t="n"/>
    </row>
    <row r="16">
      <c r="A16" s="32" t="n"/>
      <c r="B16" s="26" t="n"/>
      <c r="C16" s="26" t="n"/>
      <c r="D16" s="26" t="n"/>
      <c r="E16" s="26" t="n"/>
      <c r="F16" s="26" t="n"/>
      <c r="G16" s="26" t="n"/>
    </row>
    <row r="17">
      <c r="A17" s="31" t="n"/>
      <c r="B17" s="22" t="n"/>
      <c r="C17" s="22" t="n"/>
      <c r="D17" s="22" t="n"/>
      <c r="E17" s="22" t="n"/>
      <c r="F17" s="22" t="n"/>
      <c r="G17" s="22" t="n"/>
    </row>
    <row r="18">
      <c r="A18" s="32" t="n"/>
      <c r="B18" s="26" t="n"/>
      <c r="C18" s="26" t="n"/>
      <c r="D18" s="26" t="n"/>
      <c r="E18" s="26" t="n"/>
      <c r="F18" s="26" t="n"/>
      <c r="G18" s="26" t="n"/>
    </row>
    <row r="19">
      <c r="A19" s="31" t="n"/>
      <c r="B19" s="22" t="n"/>
      <c r="C19" s="22" t="n"/>
      <c r="D19" s="22" t="n"/>
      <c r="E19" s="22" t="n"/>
      <c r="F19" s="22" t="n"/>
      <c r="G19" s="22" t="n"/>
    </row>
    <row r="20">
      <c r="A20" s="32" t="n"/>
      <c r="B20" s="26" t="n"/>
      <c r="C20" s="26" t="n"/>
      <c r="D20" s="26" t="n"/>
      <c r="E20" s="26" t="n"/>
      <c r="F20" s="26" t="n"/>
      <c r="G20" s="26" t="n"/>
    </row>
    <row r="21">
      <c r="A21" s="31" t="n"/>
      <c r="B21" s="22" t="n"/>
      <c r="C21" s="22" t="n"/>
      <c r="D21" s="22" t="n"/>
      <c r="E21" s="22" t="n"/>
      <c r="F21" s="22" t="n"/>
      <c r="G21" s="22" t="n"/>
    </row>
    <row r="22">
      <c r="A22" s="32" t="n"/>
      <c r="B22" s="26" t="n"/>
      <c r="C22" s="26" t="n"/>
      <c r="D22" s="26" t="n"/>
      <c r="E22" s="26" t="n"/>
      <c r="F22" s="26" t="n"/>
      <c r="G22" s="26" t="n"/>
    </row>
    <row r="23">
      <c r="A23" s="31" t="n"/>
      <c r="B23" s="22" t="n"/>
      <c r="C23" s="22" t="n"/>
      <c r="D23" s="22" t="n"/>
      <c r="E23" s="22" t="n"/>
      <c r="F23" s="22" t="n"/>
      <c r="G23" s="22" t="n"/>
    </row>
    <row r="24">
      <c r="A24" s="32" t="n"/>
      <c r="B24" s="26" t="n"/>
      <c r="C24" s="26" t="n"/>
      <c r="D24" s="26" t="n"/>
      <c r="E24" s="26" t="n"/>
      <c r="F24" s="26" t="n"/>
      <c r="G24" s="26" t="n"/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PHOTO &amp; MEMORY GALLERY</t>
        </is>
      </c>
    </row>
    <row r="2" ht="22" customHeight="1">
      <c r="A2" s="2" t="inlineStr">
        <is>
          <t xml:space="preserve">  Keep the views — drop in photos and caption the stops you'll never forget.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YOUR PHOTOS</t>
        </is>
      </c>
    </row>
    <row r="6" ht="26" customHeight="1">
      <c r="B6" s="49" t="inlineStr">
        <is>
          <t>Excel: Insert ▸ Pictures ▸ Place in Cell (or drag a photo) into any framed box below. Google Sheets: click a box, Insert ▸ Image ▸ Image in cell, or paste =IMAGE("paste-link-here"). Caption each memory underneath — scenic views, campsites, wildlife, landmarks, the rig &amp; sunsets.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50" t="inlineStr">
        <is>
          <t>🖼
Scenic View
(add photo)</t>
        </is>
      </c>
      <c r="C9" s="50" t="inlineStr">
        <is>
          <t>🖼
Campsite
(add photo)</t>
        </is>
      </c>
      <c r="D9" s="50" t="inlineStr">
        <is>
          <t>🖼
Wildlife
(add photo)</t>
        </is>
      </c>
    </row>
    <row r="10"/>
    <row r="11"/>
    <row r="12"/>
    <row r="13" ht="30" customHeight="1">
      <c r="B13" s="51" t="inlineStr">
        <is>
          <t>Date · Location · caption…</t>
        </is>
      </c>
      <c r="C13" s="51" t="inlineStr">
        <is>
          <t>Date · Location · caption…</t>
        </is>
      </c>
      <c r="D13" s="51" t="inlineStr">
        <is>
          <t>Date · Location · caption…</t>
        </is>
      </c>
    </row>
    <row r="15" ht="120" customHeight="1">
      <c r="B15" s="50" t="inlineStr">
        <is>
          <t>🖼
Landmark
(add photo)</t>
        </is>
      </c>
      <c r="C15" s="50" t="inlineStr">
        <is>
          <t>🖼
The Rig
(add photo)</t>
        </is>
      </c>
      <c r="D15" s="50" t="inlineStr">
        <is>
          <t>🖼
Sunset
(add photo)</t>
        </is>
      </c>
    </row>
    <row r="16"/>
    <row r="17"/>
    <row r="18"/>
    <row r="19" ht="30" customHeight="1">
      <c r="B19" s="51" t="inlineStr">
        <is>
          <t>Date · Location · caption…</t>
        </is>
      </c>
      <c r="C19" s="51" t="inlineStr">
        <is>
          <t>Date · Location · caption…</t>
        </is>
      </c>
      <c r="D19" s="51" t="inlineStr">
        <is>
          <t>Date · Location · caption…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24" customWidth="1" min="4" max="4"/>
    <col width="14" customWidth="1" min="5" max="5"/>
    <col width="12" customWidth="1" min="6" max="6"/>
    <col width="22" customWidth="1" min="7" max="7"/>
  </cols>
  <sheetData>
    <row r="1" ht="46" customHeight="1">
      <c r="A1" s="1" t="inlineStr">
        <is>
          <t xml:space="preserve">  🏔  NATIONAL PARK CHECKLIST</t>
        </is>
      </c>
    </row>
    <row r="2" ht="22" customHeight="1">
      <c r="A2" s="2" t="inlineStr">
        <is>
          <t xml:space="preserve">  Collect the parks — fees, must-do trails &amp; visitor centers, checked off as you go.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Park</t>
        </is>
      </c>
      <c r="B4" s="9" t="inlineStr">
        <is>
          <t>Visit Date</t>
        </is>
      </c>
      <c r="C4" s="9" t="inlineStr">
        <is>
          <t>Entrance Fee</t>
        </is>
      </c>
      <c r="D4" s="9" t="inlineStr">
        <is>
          <t>Must-Do Trails</t>
        </is>
      </c>
      <c r="E4" s="9" t="inlineStr">
        <is>
          <t>Visitor Center</t>
        </is>
      </c>
      <c r="F4" s="9" t="inlineStr">
        <is>
          <t>Completed?</t>
        </is>
      </c>
      <c r="G4" s="9" t="inlineStr">
        <is>
          <t>Notes</t>
        </is>
      </c>
    </row>
    <row r="5">
      <c r="A5" s="22" t="inlineStr">
        <is>
          <t>Zion National Park</t>
        </is>
      </c>
      <c r="B5" s="31" t="n">
        <v>46243</v>
      </c>
      <c r="C5" s="43" t="n">
        <v>35</v>
      </c>
      <c r="D5" s="22" t="inlineStr">
        <is>
          <t>Angels Landing, Narrows</t>
        </is>
      </c>
      <c r="E5" s="21" t="inlineStr">
        <is>
          <t>Yes</t>
        </is>
      </c>
      <c r="F5" s="21" t="inlineStr">
        <is>
          <t>No</t>
        </is>
      </c>
      <c r="G5" s="22" t="inlineStr">
        <is>
          <t>Shuttle mandatory</t>
        </is>
      </c>
    </row>
    <row r="6">
      <c r="A6" s="26" t="inlineStr">
        <is>
          <t>Bryce Canyon NP</t>
        </is>
      </c>
      <c r="B6" s="32" t="n">
        <v>46245</v>
      </c>
      <c r="C6" s="37" t="n">
        <v>35</v>
      </c>
      <c r="D6" s="26" t="inlineStr">
        <is>
          <t>Navajo/Queens Loop</t>
        </is>
      </c>
      <c r="E6" s="25" t="inlineStr">
        <is>
          <t>Yes</t>
        </is>
      </c>
      <c r="F6" s="25" t="inlineStr">
        <is>
          <t>No</t>
        </is>
      </c>
      <c r="G6" s="26" t="inlineStr">
        <is>
          <t>Sunrise Point first</t>
        </is>
      </c>
    </row>
    <row r="7">
      <c r="A7" s="22" t="inlineStr">
        <is>
          <t>Capitol Reef NP</t>
        </is>
      </c>
      <c r="B7" s="31" t="n">
        <v>46246</v>
      </c>
      <c r="C7" s="43" t="n">
        <v>20</v>
      </c>
      <c r="D7" s="22" t="inlineStr">
        <is>
          <t>Hickman Bridge</t>
        </is>
      </c>
      <c r="E7" s="21" t="inlineStr">
        <is>
          <t>Yes</t>
        </is>
      </c>
      <c r="F7" s="21" t="inlineStr">
        <is>
          <t>No</t>
        </is>
      </c>
      <c r="G7" s="22" t="inlineStr">
        <is>
          <t>Free scenic drive</t>
        </is>
      </c>
    </row>
    <row r="8">
      <c r="A8" s="26" t="inlineStr">
        <is>
          <t>Arches NP</t>
        </is>
      </c>
      <c r="B8" s="32" t="n">
        <v>46248</v>
      </c>
      <c r="C8" s="37" t="n">
        <v>30</v>
      </c>
      <c r="D8" s="26" t="inlineStr">
        <is>
          <t>Delicate Arch, Windows</t>
        </is>
      </c>
      <c r="E8" s="25" t="inlineStr">
        <is>
          <t>Yes</t>
        </is>
      </c>
      <c r="F8" s="25" t="inlineStr">
        <is>
          <t>No</t>
        </is>
      </c>
      <c r="G8" s="26" t="inlineStr">
        <is>
          <t>Timed entry ticket</t>
        </is>
      </c>
    </row>
    <row r="9">
      <c r="A9" s="22" t="inlineStr">
        <is>
          <t>Canyonlands NP</t>
        </is>
      </c>
      <c r="B9" s="31" t="n">
        <v>46248</v>
      </c>
      <c r="C9" s="43" t="n">
        <v>30</v>
      </c>
      <c r="D9" s="22" t="inlineStr">
        <is>
          <t>Mesa Arch, Grand View</t>
        </is>
      </c>
      <c r="E9" s="21" t="inlineStr">
        <is>
          <t>Yes</t>
        </is>
      </c>
      <c r="F9" s="21" t="inlineStr">
        <is>
          <t>No</t>
        </is>
      </c>
      <c r="G9" s="22" t="inlineStr">
        <is>
          <t>Island in the Sky</t>
        </is>
      </c>
    </row>
    <row r="10">
      <c r="A10" s="26" t="inlineStr">
        <is>
          <t>Mesa Verde NP</t>
        </is>
      </c>
      <c r="B10" s="32" t="n">
        <v>46249</v>
      </c>
      <c r="C10" s="37" t="n">
        <v>30</v>
      </c>
      <c r="D10" s="26" t="inlineStr">
        <is>
          <t>Cliff Palace tour</t>
        </is>
      </c>
      <c r="E10" s="25" t="inlineStr">
        <is>
          <t>Yes</t>
        </is>
      </c>
      <c r="F10" s="25" t="inlineStr">
        <is>
          <t>No</t>
        </is>
      </c>
      <c r="G10" s="26" t="inlineStr">
        <is>
          <t>Ranger tour ticket</t>
        </is>
      </c>
    </row>
    <row r="11">
      <c r="A11" s="22" t="inlineStr">
        <is>
          <t>Grand Canyon NP</t>
        </is>
      </c>
      <c r="B11" s="31" t="n">
        <v>46252</v>
      </c>
      <c r="C11" s="43" t="n">
        <v>35</v>
      </c>
      <c r="D11" s="22" t="inlineStr">
        <is>
          <t>Rim Trail, Bright Angel</t>
        </is>
      </c>
      <c r="E11" s="21" t="inlineStr">
        <is>
          <t>Yes</t>
        </is>
      </c>
      <c r="F11" s="21" t="inlineStr">
        <is>
          <t>No</t>
        </is>
      </c>
      <c r="G11" s="22" t="inlineStr">
        <is>
          <t>South Rim</t>
        </is>
      </c>
    </row>
    <row r="12">
      <c r="A12" s="26" t="n"/>
      <c r="B12" s="32" t="n"/>
      <c r="C12" s="37" t="n"/>
      <c r="D12" s="26" t="n"/>
      <c r="E12" s="25" t="n"/>
      <c r="F12" s="25" t="n"/>
      <c r="G12" s="26" t="n"/>
    </row>
    <row r="13">
      <c r="A13" s="22" t="n"/>
      <c r="B13" s="31" t="n"/>
      <c r="C13" s="43" t="n"/>
      <c r="D13" s="22" t="n"/>
      <c r="E13" s="21" t="n"/>
      <c r="F13" s="21" t="n"/>
      <c r="G13" s="22" t="n"/>
    </row>
    <row r="14">
      <c r="A14" s="26" t="n"/>
      <c r="B14" s="32" t="n"/>
      <c r="C14" s="37" t="n"/>
      <c r="D14" s="26" t="n"/>
      <c r="E14" s="25" t="n"/>
      <c r="F14" s="25" t="n"/>
      <c r="G14" s="26" t="n"/>
    </row>
    <row r="15">
      <c r="A15" s="22" t="n"/>
      <c r="B15" s="31" t="n"/>
      <c r="C15" s="43" t="n"/>
      <c r="D15" s="22" t="n"/>
      <c r="E15" s="21" t="n"/>
      <c r="F15" s="21" t="n"/>
      <c r="G15" s="22" t="n"/>
    </row>
    <row r="16">
      <c r="A16" s="26" t="n"/>
      <c r="B16" s="32" t="n"/>
      <c r="C16" s="37" t="n"/>
      <c r="D16" s="26" t="n"/>
      <c r="E16" s="25" t="n"/>
      <c r="F16" s="25" t="n"/>
      <c r="G16" s="26" t="n"/>
    </row>
    <row r="17">
      <c r="A17" s="22" t="n"/>
      <c r="B17" s="31" t="n"/>
      <c r="C17" s="43" t="n"/>
      <c r="D17" s="22" t="n"/>
      <c r="E17" s="21" t="n"/>
      <c r="F17" s="21" t="n"/>
      <c r="G17" s="22" t="n"/>
    </row>
    <row r="18">
      <c r="A18" s="26" t="n"/>
      <c r="B18" s="32" t="n"/>
      <c r="C18" s="37" t="n"/>
      <c r="D18" s="26" t="n"/>
      <c r="E18" s="25" t="n"/>
      <c r="F18" s="25" t="n"/>
      <c r="G18" s="26" t="n"/>
    </row>
    <row r="19">
      <c r="A19" s="22" t="n"/>
      <c r="B19" s="31" t="n"/>
      <c r="C19" s="43" t="n"/>
      <c r="D19" s="22" t="n"/>
      <c r="E19" s="21" t="n"/>
      <c r="F19" s="21" t="n"/>
      <c r="G19" s="22" t="n"/>
    </row>
    <row r="20">
      <c r="A20" s="26" t="n"/>
      <c r="B20" s="32" t="n"/>
      <c r="C20" s="37" t="n"/>
      <c r="D20" s="26" t="n"/>
      <c r="E20" s="25" t="n"/>
      <c r="F20" s="25" t="n"/>
      <c r="G20" s="26" t="n"/>
    </row>
    <row r="22">
      <c r="A22" s="52" t="inlineStr">
        <is>
          <t>Tip: an America the Beautiful pass ($80) covers all 7 parks — pays for itself.</t>
        </is>
      </c>
    </row>
  </sheetData>
  <mergeCells count="2">
    <mergeCell ref="A2:G2"/>
    <mergeCell ref="A1:G1"/>
  </mergeCells>
  <conditionalFormatting sqref="F5:F20">
    <cfRule type="cellIs" priority="1" operator="equal" dxfId="1">
      <formula>"Yes"</formula>
    </cfRule>
  </conditionalFormatting>
  <dataValidations count="2">
    <dataValidation sqref="E5:E20" showDropDown="0" showInputMessage="0" showErrorMessage="0" allowBlank="1" type="list">
      <formula1>=YesNoList</formula1>
    </dataValidation>
    <dataValidation sqref="F5:F20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6" customWidth="1" min="5" max="5"/>
    <col width="24" customWidth="1" min="6" max="6"/>
  </cols>
  <sheetData>
    <row r="1" ht="46" customHeight="1">
      <c r="A1" s="1" t="inlineStr">
        <is>
          <t xml:space="preserve">  🎁  TRAVEL REWARDS TRACKER</t>
        </is>
      </c>
    </row>
    <row r="2" ht="22" customHeight="1">
      <c r="A2" s="2" t="inlineStr">
        <is>
          <t xml:space="preserve">  Travel for less — points, fuel perks &amp; park passes with expirations &amp; goals.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Program</t>
        </is>
      </c>
      <c r="B4" s="9" t="inlineStr">
        <is>
          <t>Type</t>
        </is>
      </c>
      <c r="C4" s="9" t="inlineStr">
        <is>
          <t>Balance</t>
        </is>
      </c>
      <c r="D4" s="9" t="inlineStr">
        <is>
          <t>Expires</t>
        </is>
      </c>
      <c r="E4" s="9" t="inlineStr">
        <is>
          <t>Redemption Goal</t>
        </is>
      </c>
      <c r="F4" s="9" t="inlineStr">
        <is>
          <t>Notes</t>
        </is>
      </c>
    </row>
    <row r="5">
      <c r="A5" s="21" t="inlineStr">
        <is>
          <t>Marriott Bonvoy</t>
        </is>
      </c>
      <c r="B5" s="21" t="inlineStr">
        <is>
          <t>Hotel</t>
        </is>
      </c>
      <c r="C5" s="23" t="n">
        <v>52000</v>
      </c>
      <c r="D5" s="21" t="n">
        <v>46713</v>
      </c>
      <c r="E5" s="22" t="inlineStr">
        <is>
          <t>2 free park-town nights</t>
        </is>
      </c>
      <c r="F5" s="22" t="inlineStr">
        <is>
          <t>Pooled account</t>
        </is>
      </c>
    </row>
    <row r="6">
      <c r="A6" s="25" t="inlineStr">
        <is>
          <t>GetUpside (fuel)</t>
        </is>
      </c>
      <c r="B6" s="25" t="inlineStr">
        <is>
          <t>Fuel</t>
        </is>
      </c>
      <c r="C6" s="27" t="n">
        <v>34</v>
      </c>
      <c r="D6" s="25" t="n">
        <v>46413</v>
      </c>
      <c r="E6" s="26" t="inlineStr">
        <is>
          <t>Cash back per gallon</t>
        </is>
      </c>
      <c r="F6" s="26" t="inlineStr">
        <is>
          <t>Scan every receipt</t>
        </is>
      </c>
    </row>
    <row r="7">
      <c r="A7" s="21" t="inlineStr">
        <is>
          <t>Chase Sapphire</t>
        </is>
      </c>
      <c r="B7" s="21" t="inlineStr">
        <is>
          <t>Credit Card</t>
        </is>
      </c>
      <c r="C7" s="23" t="n">
        <v>71000</v>
      </c>
      <c r="D7" s="21" t="inlineStr">
        <is>
          <t>None</t>
        </is>
      </c>
      <c r="E7" s="22" t="inlineStr">
        <is>
          <t>Transfer to travel</t>
        </is>
      </c>
      <c r="F7" s="22" t="inlineStr">
        <is>
          <t>3x on travel &amp; gas</t>
        </is>
      </c>
    </row>
    <row r="8">
      <c r="A8" s="25" t="inlineStr">
        <is>
          <t>Costco Gas Rewards</t>
        </is>
      </c>
      <c r="B8" s="25" t="inlineStr">
        <is>
          <t>Fuel</t>
        </is>
      </c>
      <c r="C8" s="27" t="n">
        <v>62</v>
      </c>
      <c r="D8" s="25" t="inlineStr">
        <is>
          <t>None</t>
        </is>
      </c>
      <c r="E8" s="26" t="inlineStr">
        <is>
          <t>Cheapest fill-ups</t>
        </is>
      </c>
      <c r="F8" s="26" t="inlineStr">
        <is>
          <t>Members only</t>
        </is>
      </c>
    </row>
    <row r="9">
      <c r="A9" s="21" t="inlineStr">
        <is>
          <t>America the Beautiful</t>
        </is>
      </c>
      <c r="B9" s="21" t="inlineStr">
        <is>
          <t>Parks</t>
        </is>
      </c>
      <c r="C9" s="23" t="n">
        <v>1</v>
      </c>
      <c r="D9" s="21" t="n">
        <v>46578</v>
      </c>
      <c r="E9" s="22" t="inlineStr">
        <is>
          <t>All-park entry pass</t>
        </is>
      </c>
      <c r="F9" s="22" t="inlineStr">
        <is>
          <t>$80 — covers this trip</t>
        </is>
      </c>
    </row>
    <row r="10">
      <c r="A10" s="25" t="inlineStr">
        <is>
          <t>Wyndham Rewards</t>
        </is>
      </c>
      <c r="B10" s="25" t="inlineStr">
        <is>
          <t>Hotel</t>
        </is>
      </c>
      <c r="C10" s="27" t="n">
        <v>18000</v>
      </c>
      <c r="D10" s="25" t="n">
        <v>46613</v>
      </c>
      <c r="E10" s="26" t="inlineStr">
        <is>
          <t>1 free night</t>
        </is>
      </c>
      <c r="F10" s="26" t="inlineStr">
        <is>
          <t>Backup for overflow</t>
        </is>
      </c>
    </row>
    <row r="11">
      <c r="A11" s="21" t="n"/>
      <c r="B11" s="21" t="n"/>
      <c r="C11" s="23" t="n"/>
      <c r="D11" s="21" t="n"/>
      <c r="E11" s="22" t="n"/>
      <c r="F11" s="22" t="n"/>
    </row>
    <row r="12">
      <c r="A12" s="25" t="n"/>
      <c r="B12" s="25" t="n"/>
      <c r="C12" s="27" t="n"/>
      <c r="D12" s="25" t="n"/>
      <c r="E12" s="26" t="n"/>
      <c r="F12" s="26" t="n"/>
    </row>
    <row r="13">
      <c r="A13" s="21" t="n"/>
      <c r="B13" s="21" t="n"/>
      <c r="C13" s="23" t="n"/>
      <c r="D13" s="21" t="n"/>
      <c r="E13" s="22" t="n"/>
      <c r="F13" s="22" t="n"/>
    </row>
    <row r="14">
      <c r="A14" s="25" t="n"/>
      <c r="B14" s="25" t="n"/>
      <c r="C14" s="27" t="n"/>
      <c r="D14" s="25" t="n"/>
      <c r="E14" s="26" t="n"/>
      <c r="F14" s="26" t="n"/>
    </row>
    <row r="15">
      <c r="A15" s="21" t="n"/>
      <c r="B15" s="21" t="n"/>
      <c r="C15" s="23" t="n"/>
      <c r="D15" s="21" t="n"/>
      <c r="E15" s="22" t="n"/>
      <c r="F15" s="22" t="n"/>
    </row>
    <row r="16">
      <c r="A16" s="25" t="n"/>
      <c r="B16" s="25" t="n"/>
      <c r="C16" s="27" t="n"/>
      <c r="D16" s="25" t="n"/>
      <c r="E16" s="26" t="n"/>
      <c r="F16" s="26" t="n"/>
    </row>
    <row r="17">
      <c r="A17" s="21" t="n"/>
      <c r="B17" s="21" t="n"/>
      <c r="C17" s="23" t="n"/>
      <c r="D17" s="21" t="n"/>
      <c r="E17" s="22" t="n"/>
      <c r="F17" s="22" t="n"/>
    </row>
    <row r="18">
      <c r="A18" s="25" t="n"/>
      <c r="B18" s="25" t="n"/>
      <c r="C18" s="27" t="n"/>
      <c r="D18" s="25" t="n"/>
      <c r="E18" s="26" t="n"/>
      <c r="F18" s="26" t="n"/>
    </row>
    <row r="19">
      <c r="A19" s="21" t="n"/>
      <c r="B19" s="21" t="n"/>
      <c r="C19" s="23" t="n"/>
      <c r="D19" s="21" t="n"/>
      <c r="E19" s="22" t="n"/>
      <c r="F19" s="22" t="n"/>
    </row>
    <row r="20">
      <c r="A20" s="25" t="n"/>
      <c r="B20" s="25" t="n"/>
      <c r="C20" s="27" t="n"/>
      <c r="D20" s="25" t="n"/>
      <c r="E20" s="26" t="n"/>
      <c r="F20" s="26" t="n"/>
    </row>
    <row r="21">
      <c r="A21" s="21" t="n"/>
      <c r="B21" s="21" t="n"/>
      <c r="C21" s="23" t="n"/>
      <c r="D21" s="21" t="n"/>
      <c r="E21" s="22" t="n"/>
      <c r="F21" s="22" t="n"/>
    </row>
    <row r="22">
      <c r="A22" s="25" t="n"/>
      <c r="B22" s="25" t="n"/>
      <c r="C22" s="27" t="n"/>
      <c r="D22" s="25" t="n"/>
      <c r="E22" s="26" t="n"/>
      <c r="F22" s="26" t="n"/>
    </row>
    <row r="23">
      <c r="A23" s="21" t="n"/>
      <c r="B23" s="21" t="n"/>
      <c r="C23" s="23" t="n"/>
      <c r="D23" s="21" t="n"/>
      <c r="E23" s="22" t="n"/>
      <c r="F23" s="22" t="n"/>
    </row>
    <row r="24">
      <c r="A24" s="25" t="n"/>
      <c r="B24" s="25" t="n"/>
      <c r="C24" s="27" t="n"/>
      <c r="D24" s="25" t="n"/>
      <c r="E24" s="26" t="n"/>
      <c r="F24" s="26" t="n"/>
    </row>
  </sheetData>
  <mergeCells count="2">
    <mergeCell ref="A2:F2"/>
    <mergeCell ref="A1:F1"/>
  </mergeCells>
  <conditionalFormatting sqref="C5:C24">
    <cfRule type="dataBar" priority="1">
      <dataBar showValue="1">
        <cfvo type="num" val="0"/>
        <cfvo type="num" val="72000"/>
        <color rgb="00C9A86A"/>
      </dataBar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3" customWidth="1" min="4" max="4"/>
    <col width="22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📊  ROAD TRIP ANALYTICS</t>
        </is>
      </c>
    </row>
    <row r="2" ht="22" customHeight="1">
      <c r="A2" s="2" t="inlineStr">
        <is>
          <t xml:space="preserve">  The whole journey by the numbers — plus a live Trip Readiness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4" t="inlineStr">
        <is>
          <t>TRIP READINESS</t>
        </is>
      </c>
      <c r="E5" s="7" t="inlineStr">
        <is>
          <t>TRIP SNAPSHOT</t>
        </is>
      </c>
    </row>
    <row r="6" ht="30" customHeight="1">
      <c r="B6" s="9" t="inlineStr">
        <is>
          <t>Dimension</t>
        </is>
      </c>
      <c r="C6" s="9" t="inlineStr">
        <is>
          <t>Score</t>
        </is>
      </c>
      <c r="E6" s="19" t="inlineStr">
        <is>
          <t>Total distance (mi)</t>
        </is>
      </c>
      <c r="F6" s="44">
        <f>SUM(DailyMiles)</f>
        <v/>
      </c>
    </row>
    <row r="7">
      <c r="B7" s="33" t="inlineStr">
        <is>
          <t>Fund vs budget</t>
        </is>
      </c>
      <c r="C7" s="53">
        <f>IFERROR(MIN(SavedTotal/TripBudget,1),0)</f>
        <v/>
      </c>
      <c r="E7" s="19" t="inlineStr">
        <is>
          <t>Driving hours</t>
        </is>
      </c>
      <c r="F7" s="45">
        <f>SUM(DriveTime)</f>
        <v/>
      </c>
    </row>
    <row r="8">
      <c r="B8" s="26" t="inlineStr">
        <is>
          <t>Packing complete</t>
        </is>
      </c>
      <c r="C8" s="54">
        <f>IFERROR(COUNTIF(PackStatus,"Yes")/COUNTA(PackStatus),0)</f>
        <v/>
      </c>
      <c r="E8" s="19" t="inlineStr">
        <is>
          <t>Total budget</t>
        </is>
      </c>
      <c r="F8" s="39">
        <f>TripBudget</f>
        <v/>
      </c>
    </row>
    <row r="9">
      <c r="B9" s="33" t="inlineStr">
        <is>
          <t>Vehicle ready</t>
        </is>
      </c>
      <c r="C9" s="53">
        <f>IFERROR(COUNTIF(VehStatus,"OK")/COUNTA(VehStatus),0)</f>
        <v/>
      </c>
      <c r="E9" s="19" t="inlineStr">
        <is>
          <t>Spent so far</t>
        </is>
      </c>
      <c r="F9" s="39">
        <f>SpentTotal</f>
        <v/>
      </c>
    </row>
    <row r="10">
      <c r="B10" s="26" t="inlineStr">
        <is>
          <t>Bookings confirmed</t>
        </is>
      </c>
      <c r="C10" s="54">
        <f>IFERROR((COUNTIF(StayBooked,"Yes")+COUNTIF(CampReserved,"Yes"))/(COUNTA(StayBooked)+COUNTA(CampReserved)),0)</f>
        <v/>
      </c>
      <c r="E10" s="19" t="inlineStr">
        <is>
          <t>Cost / traveler</t>
        </is>
      </c>
      <c r="F10" s="39">
        <f>IFERROR(TripBudget/TravelerCount,0)</f>
        <v/>
      </c>
    </row>
    <row r="11">
      <c r="E11" s="19" t="inlineStr">
        <is>
          <t>Attractions planned</t>
        </is>
      </c>
      <c r="F11" s="44">
        <f>COUNTA(AttractionName)</f>
        <v/>
      </c>
    </row>
    <row r="12">
      <c r="E12" s="19" t="inlineStr">
        <is>
          <t>Parks on the list</t>
        </is>
      </c>
      <c r="F12" s="44">
        <f>COUNTA(ParkName)</f>
        <v/>
      </c>
    </row>
    <row r="13">
      <c r="E13" s="19" t="inlineStr">
        <is>
          <t>Readiness score</t>
        </is>
      </c>
      <c r="F13" s="48">
        <f>IFERROR(AVERAGE(ReadinessRange),0)</f>
        <v/>
      </c>
    </row>
    <row r="14" ht="20" customHeight="1">
      <c r="B14" s="7" t="inlineStr">
        <is>
          <t>DAILY MILEAGE</t>
        </is>
      </c>
    </row>
    <row r="15">
      <c r="B15" s="9" t="inlineStr">
        <is>
          <t>Day</t>
        </is>
      </c>
      <c r="C15" s="9" t="inlineStr">
        <is>
          <t>Miles</t>
        </is>
      </c>
    </row>
    <row r="16">
      <c r="B16" s="33" t="inlineStr">
        <is>
          <t>Day 1</t>
        </is>
      </c>
      <c r="C16" s="55" t="n">
        <v>165</v>
      </c>
    </row>
    <row r="17">
      <c r="B17" s="26" t="inlineStr">
        <is>
          <t>Day 4</t>
        </is>
      </c>
      <c r="C17" s="27" t="n">
        <v>120</v>
      </c>
    </row>
    <row r="18">
      <c r="B18" s="33" t="inlineStr">
        <is>
          <t>Day 5</t>
        </is>
      </c>
      <c r="C18" s="55" t="n">
        <v>150</v>
      </c>
    </row>
    <row r="19">
      <c r="B19" s="26" t="inlineStr">
        <is>
          <t>Day 7</t>
        </is>
      </c>
      <c r="C19" s="27" t="n">
        <v>150</v>
      </c>
    </row>
    <row r="20">
      <c r="B20" s="33" t="inlineStr">
        <is>
          <t>Day 9</t>
        </is>
      </c>
      <c r="C20" s="55" t="n">
        <v>180</v>
      </c>
    </row>
    <row r="21">
      <c r="B21" s="26" t="inlineStr">
        <is>
          <t>Day 12</t>
        </is>
      </c>
      <c r="C21" s="27" t="n">
        <v>280</v>
      </c>
    </row>
  </sheetData>
  <mergeCells count="5">
    <mergeCell ref="A1:G1"/>
    <mergeCell ref="B5:C5"/>
    <mergeCell ref="E5:F5"/>
    <mergeCell ref="B14:C14"/>
    <mergeCell ref="A2:G2"/>
  </mergeCells>
  <conditionalFormatting sqref="C7:C10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trip &amp; vehicle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TRIP INPUTS</t>
        </is>
      </c>
      <c r="E5" s="4" t="inlineStr">
        <is>
          <t>DROPDOWN LISTS</t>
        </is>
      </c>
    </row>
    <row r="6">
      <c r="B6" s="19" t="inlineStr">
        <is>
          <t>Trip Name</t>
        </is>
      </c>
      <c r="C6" s="56" t="inlineStr">
        <is>
          <t>Great Southwest Loop</t>
        </is>
      </c>
      <c r="E6" s="9" t="inlineStr">
        <is>
          <t>Expense Category</t>
        </is>
      </c>
      <c r="F6" s="9" t="inlineStr">
        <is>
          <t>Accommodation</t>
        </is>
      </c>
      <c r="G6" s="9" t="inlineStr">
        <is>
          <t>Activity Type</t>
        </is>
      </c>
      <c r="H6" s="9" t="inlineStr">
        <is>
          <t>Packing Category</t>
        </is>
      </c>
      <c r="I6" s="9" t="inlineStr">
        <is>
          <t>Fuel Type</t>
        </is>
      </c>
      <c r="J6" s="9" t="inlineStr">
        <is>
          <t>Vehicle Type</t>
        </is>
      </c>
      <c r="K6" s="9" t="inlineStr">
        <is>
          <t>Road Condition</t>
        </is>
      </c>
      <c r="L6" s="9" t="inlineStr">
        <is>
          <t>Reservation</t>
        </is>
      </c>
    </row>
    <row r="7">
      <c r="B7" s="19" t="inlineStr">
        <is>
          <t>Start Location</t>
        </is>
      </c>
      <c r="C7" s="56" t="inlineStr">
        <is>
          <t>Las Vegas, NV</t>
        </is>
      </c>
      <c r="E7" s="33" t="inlineStr">
        <is>
          <t>Fuel</t>
        </is>
      </c>
      <c r="F7" s="33" t="inlineStr">
        <is>
          <t>Hotel</t>
        </is>
      </c>
      <c r="G7" s="33" t="inlineStr">
        <is>
          <t>National Park</t>
        </is>
      </c>
      <c r="H7" s="33" t="inlineStr">
        <is>
          <t>Clothing</t>
        </is>
      </c>
      <c r="I7" s="33" t="inlineStr">
        <is>
          <t>Regular</t>
        </is>
      </c>
      <c r="J7" s="33" t="inlineStr">
        <is>
          <t>SUV</t>
        </is>
      </c>
      <c r="K7" s="33" t="inlineStr">
        <is>
          <t>Clear</t>
        </is>
      </c>
      <c r="L7" s="33" t="inlineStr">
        <is>
          <t>Reserved</t>
        </is>
      </c>
    </row>
    <row r="8">
      <c r="B8" s="19" t="inlineStr">
        <is>
          <t>Destination</t>
        </is>
      </c>
      <c r="C8" s="56" t="inlineStr">
        <is>
          <t>5 National Parks</t>
        </is>
      </c>
      <c r="E8" s="33" t="inlineStr">
        <is>
          <t>Hotels</t>
        </is>
      </c>
      <c r="F8" s="33" t="inlineStr">
        <is>
          <t>Cabin</t>
        </is>
      </c>
      <c r="G8" s="33" t="inlineStr">
        <is>
          <t>Scenic Drive</t>
        </is>
      </c>
      <c r="H8" s="33" t="inlineStr">
        <is>
          <t>Camping Gear</t>
        </is>
      </c>
      <c r="I8" s="33" t="inlineStr">
        <is>
          <t>Mid-grade</t>
        </is>
      </c>
      <c r="J8" s="33" t="inlineStr">
        <is>
          <t>Camper Van</t>
        </is>
      </c>
      <c r="K8" s="33" t="inlineStr">
        <is>
          <t>Construction</t>
        </is>
      </c>
      <c r="L8" s="33" t="inlineStr">
        <is>
          <t>Requested</t>
        </is>
      </c>
    </row>
    <row r="9">
      <c r="B9" s="19" t="inlineStr">
        <is>
          <t>Departure Date</t>
        </is>
      </c>
      <c r="C9" s="57" t="n">
        <v>46243</v>
      </c>
      <c r="E9" s="33" t="inlineStr">
        <is>
          <t>Campgrounds</t>
        </is>
      </c>
      <c r="F9" s="33" t="inlineStr">
        <is>
          <t>Campground</t>
        </is>
      </c>
      <c r="G9" s="33" t="inlineStr">
        <is>
          <t>Hike</t>
        </is>
      </c>
      <c r="H9" s="33" t="inlineStr">
        <is>
          <t>Electronics</t>
        </is>
      </c>
      <c r="I9" s="33" t="inlineStr">
        <is>
          <t>Premium</t>
        </is>
      </c>
      <c r="J9" s="33" t="inlineStr">
        <is>
          <t>RV</t>
        </is>
      </c>
      <c r="K9" s="33" t="inlineStr">
        <is>
          <t>Mountain</t>
        </is>
      </c>
      <c r="L9" s="33" t="inlineStr">
        <is>
          <t>Open</t>
        </is>
      </c>
    </row>
    <row r="10">
      <c r="B10" s="19" t="inlineStr">
        <is>
          <t>Return Date</t>
        </is>
      </c>
      <c r="C10" s="57" t="n">
        <v>46254</v>
      </c>
      <c r="E10" s="33" t="inlineStr">
        <is>
          <t>Food &amp; Dining</t>
        </is>
      </c>
      <c r="F10" s="33" t="inlineStr">
        <is>
          <t>RV Park</t>
        </is>
      </c>
      <c r="G10" s="33" t="inlineStr">
        <is>
          <t>Landmark</t>
        </is>
      </c>
      <c r="H10" s="33" t="inlineStr">
        <is>
          <t>Vehicle Supplies</t>
        </is>
      </c>
      <c r="I10" s="33" t="inlineStr">
        <is>
          <t>Diesel</t>
        </is>
      </c>
      <c r="J10" s="33" t="inlineStr">
        <is>
          <t>Truck</t>
        </is>
      </c>
      <c r="K10" s="33" t="inlineStr">
        <is>
          <t>Gravel</t>
        </is>
      </c>
      <c r="L10" s="33" t="inlineStr">
        <is>
          <t>Waitlist</t>
        </is>
      </c>
    </row>
    <row r="11">
      <c r="B11" s="19" t="inlineStr">
        <is>
          <t>Travelers</t>
        </is>
      </c>
      <c r="C11" s="58" t="n">
        <v>2</v>
      </c>
      <c r="E11" s="33" t="inlineStr">
        <is>
          <t>Attractions</t>
        </is>
      </c>
      <c r="F11" s="33" t="inlineStr">
        <is>
          <t>Vacation Rental</t>
        </is>
      </c>
      <c r="G11" s="33" t="inlineStr">
        <is>
          <t>Museum</t>
        </is>
      </c>
      <c r="H11" s="33" t="inlineStr">
        <is>
          <t>Emergency Kit</t>
        </is>
      </c>
      <c r="I11" s="33" t="inlineStr">
        <is>
          <t>EV</t>
        </is>
      </c>
      <c r="J11" s="33" t="inlineStr">
        <is>
          <t>Sedan</t>
        </is>
      </c>
      <c r="K11" s="33" t="inlineStr">
        <is>
          <t>Weather</t>
        </is>
      </c>
    </row>
    <row r="12">
      <c r="B12" s="19" t="inlineStr">
        <is>
          <t>Vehicle</t>
        </is>
      </c>
      <c r="C12" s="56" t="inlineStr">
        <is>
          <t>2020 Ford Transit Camper</t>
        </is>
      </c>
      <c r="E12" s="33" t="inlineStr">
        <is>
          <t>Vehicle Maintenance</t>
        </is>
      </c>
      <c r="F12" s="33" t="inlineStr">
        <is>
          <t>Motel</t>
        </is>
      </c>
      <c r="G12" s="33" t="inlineStr">
        <is>
          <t>Town</t>
        </is>
      </c>
      <c r="H12" s="33" t="inlineStr">
        <is>
          <t>Cooking Equipment</t>
        </is>
      </c>
      <c r="J12" s="33" t="inlineStr">
        <is>
          <t>Motorcycle</t>
        </is>
      </c>
      <c r="K12" s="33" t="inlineStr">
        <is>
          <t>Remote</t>
        </is>
      </c>
    </row>
    <row r="13">
      <c r="B13" s="19" t="inlineStr">
        <is>
          <t>Avg MPG</t>
        </is>
      </c>
      <c r="C13" s="59" t="n">
        <v>16</v>
      </c>
      <c r="E13" s="33" t="inlineStr">
        <is>
          <t>Parking</t>
        </is>
      </c>
      <c r="G13" s="33" t="inlineStr">
        <is>
          <t>Outdoor</t>
        </is>
      </c>
      <c r="H13" s="33" t="inlineStr">
        <is>
          <t>Hiking Gear</t>
        </is>
      </c>
      <c r="J13" s="33" t="inlineStr">
        <is>
          <t>Crossover</t>
        </is>
      </c>
    </row>
    <row r="14">
      <c r="B14" s="19" t="inlineStr">
        <is>
          <t>Fuel Price ($/gal)</t>
        </is>
      </c>
      <c r="C14" s="60" t="n">
        <v>3.6</v>
      </c>
      <c r="E14" s="33" t="inlineStr">
        <is>
          <t>Tolls</t>
        </is>
      </c>
      <c r="G14" s="33" t="inlineStr">
        <is>
          <t>Food</t>
        </is>
      </c>
      <c r="H14" s="33" t="inlineStr">
        <is>
          <t>Documents</t>
        </is>
      </c>
    </row>
    <row r="15">
      <c r="E15" s="33" t="inlineStr">
        <is>
          <t>Insurance</t>
        </is>
      </c>
      <c r="H15" s="33" t="inlineStr">
        <is>
          <t>Pet Supplies</t>
        </is>
      </c>
    </row>
    <row r="16">
      <c r="E16" s="33" t="inlineStr">
        <is>
          <t>Souvenirs</t>
        </is>
      </c>
      <c r="H16" s="33" t="inlineStr">
        <is>
          <t>Kids Items</t>
        </is>
      </c>
    </row>
    <row r="17">
      <c r="E17" s="33" t="inlineStr">
        <is>
          <t>Emergency Fund</t>
        </is>
      </c>
    </row>
    <row r="18">
      <c r="E18" s="33" t="inlineStr">
        <is>
          <t>Miscellaneous</t>
        </is>
      </c>
    </row>
    <row r="20">
      <c r="E20" s="9" t="inlineStr">
        <is>
          <t>Priority</t>
        </is>
      </c>
      <c r="F20" s="9" t="inlineStr">
        <is>
          <t>Yes / No</t>
        </is>
      </c>
      <c r="G20" s="9" t="inlineStr">
        <is>
          <t>Veh. Status</t>
        </is>
      </c>
      <c r="H20" s="9" t="inlineStr">
        <is>
          <t>Currency</t>
        </is>
      </c>
    </row>
    <row r="21">
      <c r="E21" s="33" t="inlineStr">
        <is>
          <t>High</t>
        </is>
      </c>
      <c r="F21" s="33" t="inlineStr">
        <is>
          <t>Yes</t>
        </is>
      </c>
      <c r="G21" s="33" t="inlineStr">
        <is>
          <t>OK</t>
        </is>
      </c>
      <c r="H21" s="33" t="inlineStr">
        <is>
          <t>USD</t>
        </is>
      </c>
    </row>
    <row r="22">
      <c r="E22" s="33" t="inlineStr">
        <is>
          <t>Medium</t>
        </is>
      </c>
      <c r="F22" s="33" t="inlineStr">
        <is>
          <t>No</t>
        </is>
      </c>
      <c r="G22" s="33" t="inlineStr">
        <is>
          <t>Due Soon</t>
        </is>
      </c>
      <c r="H22" s="33" t="inlineStr">
        <is>
          <t>CAD</t>
        </is>
      </c>
    </row>
    <row r="23">
      <c r="E23" s="33" t="inlineStr">
        <is>
          <t>Low</t>
        </is>
      </c>
      <c r="G23" s="33" t="inlineStr">
        <is>
          <t>Overdue</t>
        </is>
      </c>
      <c r="H23" s="33" t="inlineStr">
        <is>
          <t>EUR</t>
        </is>
      </c>
    </row>
    <row r="24">
      <c r="H24" s="33" t="inlineStr">
        <is>
          <t>GBP</t>
        </is>
      </c>
    </row>
    <row r="25">
      <c r="H25" s="33" t="inlineStr">
        <is>
          <t>AUD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2026-07-10T22:51:22Z</dcterms:created>
  <dcterms:modified xsi:type="dcterms:W3CDTF">2026-07-10T22:51:22Z</dcterms:modified>
</cp:coreProperties>
</file>