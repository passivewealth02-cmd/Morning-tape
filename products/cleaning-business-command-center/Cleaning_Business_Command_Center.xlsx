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Job P&amp;L" sheetId="3" state="visible" r:id="rId3"/>
    <sheet name="Services &amp; Pricing" sheetId="4" state="visible" r:id="rId4"/>
    <sheet name="Clients" sheetId="5" state="visible" r:id="rId5"/>
    <sheet name="Schedule" sheetId="6" state="visible" r:id="rId6"/>
    <sheet name="Leads &amp; Quotes" sheetId="7" state="visible" r:id="rId7"/>
    <sheet name="Supplies" sheetId="8" state="visible" r:id="rId8"/>
    <sheet name="Team &amp; Labor" sheetId="9" state="visible" r:id="rId9"/>
    <sheet name="Mileage &amp; Vehicle" sheetId="10" state="visible" r:id="rId10"/>
    <sheet name="Expenses" sheetId="11" state="visible" r:id="rId11"/>
    <sheet name="Reviews &amp; Referrals" sheetId="12" state="visible" r:id="rId12"/>
    <sheet name="Monthly Summary" sheetId="13" state="visible" r:id="rId13"/>
    <sheet name="Settings" sheetId="14" state="visible" r:id="rId14"/>
  </sheets>
  <definedNames>
    <definedName name="Business">Settings!$C$6</definedName>
    <definedName name="Owner">Settings!$C$7</definedName>
    <definedName name="MarginGoal">Settings!$C$8</definedName>
    <definedName name="HourGoal">Settings!$C$9</definedName>
    <definedName name="ProfitGoal">Settings!$C$10</definedName>
    <definedName name="MRRGoal">Settings!$C$11</definedName>
    <definedName name="ClientGoal">Settings!$C$12</definedName>
    <definedName name="Currency">Settings!$C$13</definedName>
    <definedName name="FreqList">Settings!$E$7:$E$10</definedName>
    <definedName name="JobStatusList">Settings!$F$7:$F$11</definedName>
    <definedName name="LeadStageList">Settings!$G$7:$G$10</definedName>
    <definedName name="YesNoList">Settings!$H$7:$H$8</definedName>
    <definedName name="JobPrice">'Job P&amp;L'!$C$6</definedName>
    <definedName name="JobSupplies">'Job P&amp;L'!$C$7</definedName>
    <definedName name="JobLabor">'Job P&amp;L'!$C$8</definedName>
    <definedName name="JobTravel">'Job P&amp;L'!$C$9</definedName>
    <definedName name="JobCosts">'Job P&amp;L'!$C$10</definedName>
    <definedName name="JobProfit">'Job P&amp;L'!$C$11</definedName>
    <definedName name="JobHours">'Job P&amp;L'!$C$13</definedName>
    <definedName name="ProfitHour">'Job P&amp;L'!$C$14</definedName>
    <definedName name="JobMargin">'Job P&amp;L'!$C$15</definedName>
    <definedName name="SvcName">'Services &amp; Pricing'!$B$5:$B$10</definedName>
    <definedName name="SvcPrice">'Services &amp; Pricing'!$C$5:$C$10</definedName>
    <definedName name="ClientName">'Clients'!$B$5:$B$16</definedName>
    <definedName name="ClientJobs">'Clients'!$E$5:$E$16</definedName>
    <definedName name="ClientRev">'Clients'!$F$5:$F$16</definedName>
    <definedName name="MRR">'Clients'!$F$17</definedName>
    <definedName name="RecurringJobs">'Clients'!$E$17</definedName>
    <definedName name="RecurringClients">'Clients'!$F$19</definedName>
    <definedName name="OneTimeRev">'Clients'!$F$20</definedName>
    <definedName name="OneTimeJobs">'Clients'!$F$21</definedName>
    <definedName name="MonthlyRevenue">'Clients'!$F$22</definedName>
    <definedName name="JobsMonth">'Clients'!$F$23</definedName>
    <definedName name="AvgJob">'Clients'!$F$24</definedName>
    <definedName name="LeadQuote">'Leads &amp; Quotes'!$D$5:$D$28</definedName>
    <definedName name="ExpAmt">'Expenses'!$C$5:$C$10</definedName>
    <definedName name="ExpTotal">'Expenses'!$C$11</definedName>
    <definedName name="NetProfit">'Expenses'!$C$13</definedName>
    <definedName name="RevRating">'Reviews &amp; Referrals'!$C$5:$C$28</definedName>
    <definedName name="MonthProfit">'Monthly Summary'!$E$5:$E$10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C94C4C"/>
    </font>
    <font>
      <b val="1"/>
      <color rgb="001B4F48"/>
      <sz val="13"/>
    </font>
    <font>
      <b val="1"/>
      <color rgb="001B4F48"/>
      <sz val="12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63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9" borderId="3" applyAlignment="1" pivotButton="0" quotePrefix="0" xfId="0">
      <alignment horizontal="center" vertical="center"/>
    </xf>
    <xf numFmtId="0" fontId="0" fillId="9" borderId="3" pivotButton="0" quotePrefix="0" xfId="0"/>
    <xf numFmtId="164" fontId="15" fillId="9" borderId="2" applyAlignment="1" pivotButton="0" quotePrefix="0" xfId="0">
      <alignment horizontal="center" vertical="center"/>
    </xf>
    <xf numFmtId="0" fontId="0" fillId="9" borderId="2" pivotButton="0" quotePrefix="0" xfId="0"/>
    <xf numFmtId="9" fontId="15" fillId="9" borderId="2" applyAlignment="1" pivotButton="0" quotePrefix="0" xfId="0">
      <alignment horizontal="center" vertical="center"/>
    </xf>
    <xf numFmtId="166" fontId="15" fillId="9" borderId="2" applyAlignment="1" pivotButton="0" quotePrefix="0" xfId="0">
      <alignment horizontal="center" vertical="center"/>
    </xf>
    <xf numFmtId="3" fontId="15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10" fillId="0" borderId="0" pivotButton="0" quotePrefix="0" xfId="0"/>
    <xf numFmtId="0" fontId="8" fillId="4" borderId="2" applyAlignment="1" pivotButton="0" quotePrefix="0" xfId="9">
      <alignment horizontal="left" vertical="center" indent="1"/>
    </xf>
    <xf numFmtId="164" fontId="7" fillId="3" borderId="2" applyAlignment="1" pivotButton="0" quotePrefix="0" xfId="8">
      <alignment horizontal="center" vertical="center"/>
    </xf>
    <xf numFmtId="164" fontId="11" fillId="3" borderId="2" applyAlignment="1" pivotButton="0" quotePrefix="0" xfId="6">
      <alignment horizontal="center" vertical="center" wrapText="1"/>
    </xf>
    <xf numFmtId="164" fontId="12" fillId="6" borderId="2" applyAlignment="1" pivotButton="0" quotePrefix="0" xfId="6">
      <alignment horizontal="center" vertical="center" wrapText="1"/>
    </xf>
    <xf numFmtId="165" fontId="7" fillId="3" borderId="2" applyAlignment="1" pivotButton="0" quotePrefix="0" xfId="8">
      <alignment horizontal="center" vertical="center"/>
    </xf>
    <xf numFmtId="166" fontId="13" fillId="6" borderId="2" applyAlignment="1" pivotButton="0" quotePrefix="0" xfId="6">
      <alignment horizontal="center" vertical="center" wrapText="1"/>
    </xf>
    <xf numFmtId="9" fontId="7" fillId="6" borderId="2" applyAlignment="1" pivotButton="0" quotePrefix="0" xfId="10">
      <alignment horizontal="left" vertical="center" indent="1"/>
    </xf>
    <xf numFmtId="164" fontId="6" fillId="0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165" fontId="7" fillId="8" borderId="2" applyAlignment="1" pivotButton="0" quotePrefix="0" xfId="8">
      <alignment horizontal="center" vertical="center"/>
    </xf>
    <xf numFmtId="164" fontId="6" fillId="8" borderId="2" applyAlignment="1" pivotButton="0" quotePrefix="0" xfId="6">
      <alignment horizontal="center" vertical="center" wrapText="1"/>
    </xf>
    <xf numFmtId="3" fontId="7" fillId="3" borderId="2" applyAlignment="1" pivotButton="0" quotePrefix="0" xfId="8">
      <alignment horizontal="center" vertical="center"/>
    </xf>
    <xf numFmtId="164" fontId="10" fillId="0" borderId="2" applyAlignment="1" pivotButton="0" quotePrefix="0" xfId="6">
      <alignment horizontal="center" vertical="center" wrapText="1"/>
    </xf>
    <xf numFmtId="3" fontId="7" fillId="8" borderId="2" applyAlignment="1" pivotButton="0" quotePrefix="0" xfId="8">
      <alignment horizontal="center" vertical="center"/>
    </xf>
    <xf numFmtId="164" fontId="10" fillId="8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3" fontId="10" fillId="3" borderId="2" applyAlignment="1" pivotButton="0" quotePrefix="0" xfId="6">
      <alignment horizontal="center" vertical="center" wrapText="1"/>
    </xf>
    <xf numFmtId="164" fontId="10" fillId="6" borderId="2" applyAlignment="1" pivotButton="0" quotePrefix="0" xfId="6">
      <alignment horizontal="center" vertical="center" wrapText="1"/>
    </xf>
    <xf numFmtId="3" fontId="7" fillId="6" borderId="2" applyAlignment="1" pivotButton="0" quotePrefix="0" xfId="10">
      <alignment horizontal="left" vertical="center" indent="1"/>
    </xf>
    <xf numFmtId="164" fontId="13" fillId="6" borderId="2" applyAlignment="1" pivotButton="0" quotePrefix="0" xfId="6">
      <alignment horizontal="center" vertical="center" wrapText="1"/>
    </xf>
    <xf numFmtId="164" fontId="7" fillId="6" borderId="2" applyAlignment="1" pivotButton="0" quotePrefix="0" xfId="10">
      <alignment horizontal="left" vertical="center" inden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166" fontId="7" fillId="3" borderId="2" applyAlignment="1" pivotButton="0" quotePrefix="0" xfId="8">
      <alignment horizontal="center" vertical="center"/>
    </xf>
    <xf numFmtId="166" fontId="6" fillId="0" borderId="2" applyAlignment="1" pivotButton="0" quotePrefix="0" xfId="6">
      <alignment horizontal="center" vertical="center" wrapText="1"/>
    </xf>
    <xf numFmtId="166" fontId="7" fillId="8" borderId="2" applyAlignment="1" pivotButton="0" quotePrefix="0" xfId="8">
      <alignment horizontal="center" vertical="center"/>
    </xf>
    <xf numFmtId="166" fontId="6" fillId="8" borderId="2" applyAlignment="1" pivotButton="0" quotePrefix="0" xfId="6">
      <alignment horizontal="center" vertical="center" wrapText="1"/>
    </xf>
    <xf numFmtId="166" fontId="10" fillId="3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165" fontId="10" fillId="6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Summary'!$E$5:$E$10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Summary'!$E$5:$E$10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🧽  CLEANING &amp; SERVICE BUSINESS COMMAND CENTER™</t>
        </is>
      </c>
    </row>
    <row r="2" ht="24" customHeight="1">
      <c r="A2" s="2" t="inlineStr">
        <is>
          <t xml:space="preserve">  Price every job, keep the calendar full, and grow recurring revenue.</t>
        </is>
      </c>
    </row>
    <row r="3" ht="6" customHeight="1">
      <c r="A3" s="3" t="n"/>
      <c r="B3" s="3" t="n"/>
      <c r="C3" s="3" t="n"/>
    </row>
    <row r="5">
      <c r="B5" s="4" t="inlineStr">
        <is>
          <t>YOUR WHOLE SERVICE BUSINESS, IN ONE PLACE</t>
        </is>
      </c>
    </row>
    <row r="6" ht="22" customHeight="1">
      <c r="B6" s="5" t="inlineStr">
        <is>
          <t>A service business lives or dies on two numbers: whether each job actually pays after supplies, labor and travel, and how much recurring revenue keeps the lights on. This makes both visible: a job-P&amp;L engine that shows your profit and your profit per hour on any job, and a client roster that turns weekly, biweekly and monthly clients into recurring revenue. Build your services &amp; pricing, run your schedule, track leads, supplies, team and mileage, and keep your books — all in ONE premium Google Sheets &amp; Excel system built for cleaners and home-service pros.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margin, profit-per-hour &amp; recurring goals.</t>
        </is>
      </c>
    </row>
    <row r="13" ht="22" customHeight="1">
      <c r="B13" s="8" t="inlineStr">
        <is>
          <t>2.  Price a job in Job P&amp;L — supplies, labor &amp; travel → profit per hour.</t>
        </is>
      </c>
    </row>
    <row r="14" ht="22" customHeight="1">
      <c r="B14" s="8" t="inlineStr">
        <is>
          <t>3.  Build Services &amp; Pricing and add your Clients by frequency.</t>
        </is>
      </c>
    </row>
    <row r="15" ht="22" customHeight="1">
      <c r="B15" s="8" t="inlineStr">
        <is>
          <t>4.  Run the Schedule and track Leads &amp; Quotes.</t>
        </is>
      </c>
    </row>
    <row r="16" ht="22" customHeight="1">
      <c r="B16" s="8" t="inlineStr">
        <is>
          <t>5.  Track supplies, team, mileage and expenses.</t>
        </is>
      </c>
    </row>
    <row r="17" ht="22" customHeight="1">
      <c r="B17" s="8" t="inlineStr">
        <is>
          <t>6.  Check the Dashboard: profit, recurring revenue &amp; a Service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cleaning business (Bright &amp; Tidy Co.) is included so you can see how it all connects — just type over it with your own jobs and clients. Profit per hour and recurring revenue are the two numbers that decide whether a service business is worth running, and they roll into a live Service Score. Twelve matching printable pages (job quote, service price list, schedule, supply list &amp; more) are included. This is a business tool, not financial, legal or tax advice — confirm figures with your own advisors.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Price by the hour of profit, and build the recurring book — that's a service business that lasts.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🧽  CLEANING &amp; SERVICE BUSINESS COMMAND CENTER™</t>
        </is>
      </c>
    </row>
    <row r="2" ht="24" customHeight="1">
      <c r="A2" s="2" t="inlineStr">
        <is>
          <t xml:space="preserve">  Profit per job &amp; hour, recurring revenue &amp; a Service Score — your whole business,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JOB PRICE</t>
        </is>
      </c>
      <c r="C5" s="13" t="n"/>
      <c r="D5" s="12" t="inlineStr">
        <is>
          <t>JOB COSTS</t>
        </is>
      </c>
      <c r="E5" s="13" t="n"/>
      <c r="F5" s="12" t="inlineStr">
        <is>
          <t>JOB PROFIT</t>
        </is>
      </c>
      <c r="G5" s="13" t="n"/>
      <c r="H5" s="12" t="inlineStr">
        <is>
          <t>JOB MARGIN</t>
        </is>
      </c>
      <c r="I5" s="13" t="n"/>
      <c r="J5" s="12" t="inlineStr">
        <is>
          <t>PROFIT / HOUR</t>
        </is>
      </c>
      <c r="K5" s="13" t="n"/>
      <c r="L5" s="12" t="inlineStr">
        <is>
          <t>JOBS / MONTH</t>
        </is>
      </c>
      <c r="M5" s="13" t="n"/>
    </row>
    <row r="6" ht="40" customHeight="1">
      <c r="B6" s="14">
        <f>JobPrice</f>
        <v/>
      </c>
      <c r="C6" s="15" t="n"/>
      <c r="D6" s="14">
        <f>JobCosts</f>
        <v/>
      </c>
      <c r="E6" s="15" t="n"/>
      <c r="F6" s="14">
        <f>JobProfit</f>
        <v/>
      </c>
      <c r="G6" s="15" t="n"/>
      <c r="H6" s="16">
        <f>JobMargin</f>
        <v/>
      </c>
      <c r="I6" s="15" t="n"/>
      <c r="J6" s="17">
        <f>ProfitHour</f>
        <v/>
      </c>
      <c r="K6" s="15" t="n"/>
      <c r="L6" s="18">
        <f>JobsMonth</f>
        <v/>
      </c>
      <c r="M6" s="15" t="n"/>
    </row>
    <row r="8" ht="18" customHeight="1">
      <c r="B8" s="12" t="inlineStr">
        <is>
          <t>MONTHLY REVENUE</t>
        </is>
      </c>
      <c r="C8" s="13" t="n"/>
      <c r="D8" s="12" t="inlineStr">
        <is>
          <t>RECURRING (MRR)</t>
        </is>
      </c>
      <c r="E8" s="13" t="n"/>
      <c r="F8" s="12" t="inlineStr">
        <is>
          <t>ACTIVE CLIENTS</t>
        </is>
      </c>
      <c r="G8" s="13" t="n"/>
      <c r="H8" s="12" t="inlineStr">
        <is>
          <t>MONTHLY PROFIT</t>
        </is>
      </c>
      <c r="I8" s="13" t="n"/>
      <c r="J8" s="12" t="inlineStr">
        <is>
          <t>AVG JOB</t>
        </is>
      </c>
      <c r="K8" s="13" t="n"/>
      <c r="L8" s="12" t="inlineStr">
        <is>
          <t>SERVICE SCORE</t>
        </is>
      </c>
      <c r="M8" s="13" t="n"/>
    </row>
    <row r="9" ht="40" customHeight="1">
      <c r="B9" s="14">
        <f>MonthlyRevenue</f>
        <v/>
      </c>
      <c r="C9" s="15" t="n"/>
      <c r="D9" s="14">
        <f>MRR</f>
        <v/>
      </c>
      <c r="E9" s="15" t="n"/>
      <c r="F9" s="18">
        <f>RecurringClients</f>
        <v/>
      </c>
      <c r="G9" s="15" t="n"/>
      <c r="H9" s="14">
        <f>NetProfit</f>
        <v/>
      </c>
      <c r="I9" s="15" t="n"/>
      <c r="J9" s="14">
        <f>AvgJob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SERVICE HEALTH</t>
        </is>
      </c>
      <c r="H11" s="4" t="inlineStr">
        <is>
          <t>PROFIT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9" t="inlineStr">
        <is>
          <t>Job margin healthy</t>
        </is>
      </c>
      <c r="C13" s="20">
        <f>IFERROR(MIN(JobMargin/MarginGoal,1),0)</f>
        <v/>
      </c>
      <c r="D13" s="21">
        <f>IF(C13&gt;=0.85,"Strong",IF(C13&gt;=0.6,"OK","Watch"))</f>
        <v/>
      </c>
    </row>
    <row r="14">
      <c r="B14" s="22" t="inlineStr">
        <is>
          <t>Profit/hour on target</t>
        </is>
      </c>
      <c r="C14" s="23">
        <f>IFERROR(MIN(ProfitHour/HourGoal,1),0)</f>
        <v/>
      </c>
      <c r="D14" s="24">
        <f>IF(C14&gt;=0.85,"Strong",IF(C14&gt;=0.6,"OK","Watch"))</f>
        <v/>
      </c>
    </row>
    <row r="15">
      <c r="B15" s="19" t="inlineStr">
        <is>
          <t>Services priced</t>
        </is>
      </c>
      <c r="C15" s="20">
        <f>IFERROR(COUNTIF(SvcPrice,"&gt;0")/COUNTA(SvcName),0)</f>
        <v/>
      </c>
      <c r="D15" s="21">
        <f>IF(C15&gt;=0.85,"Strong",IF(C15&gt;=0.6,"OK","Watch"))</f>
        <v/>
      </c>
    </row>
    <row r="16">
      <c r="B16" s="22" t="inlineStr">
        <is>
          <t>Profitable</t>
        </is>
      </c>
      <c r="C16" s="23">
        <f>IFERROR(MIN(NetProfit/ProfitGoal,1),0)</f>
        <v/>
      </c>
      <c r="D16" s="24">
        <f>IF(C16&gt;=0.85,"Strong",IF(C16&gt;=0.6,"OK","Watch"))</f>
        <v/>
      </c>
    </row>
    <row r="17">
      <c r="B17" s="19" t="inlineStr">
        <is>
          <t>Recurring revenue healthy</t>
        </is>
      </c>
      <c r="C17" s="20">
        <f>IFERROR(MIN(MRR/MRRGoal,1),0)</f>
        <v/>
      </c>
      <c r="D17" s="21">
        <f>IF(C17&gt;=0.85,"Strong",IF(C17&gt;=0.6,"OK","Watch"))</f>
        <v/>
      </c>
    </row>
    <row r="18">
      <c r="B18" s="22" t="inlineStr">
        <is>
          <t>Client base growing</t>
        </is>
      </c>
      <c r="C18" s="23">
        <f>IFERROR(MIN(RecurringClients/ClientGoal,1),0)</f>
        <v/>
      </c>
      <c r="D18" s="24">
        <f>IF(C18&gt;=0.85,"Strong",IF(C18&gt;=0.6,"OK","Watch"))</f>
        <v/>
      </c>
    </row>
    <row r="21" ht="26" customHeight="1">
      <c r="B21" s="2" t="inlineStr">
        <is>
          <t>Cleaning &amp; Service Business Command Center™ — price every job, grow recurring revenue.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🧮  JOB P&amp;L</t>
        </is>
      </c>
    </row>
    <row r="2" ht="22" customHeight="1">
      <c r="A2" s="2" t="inlineStr">
        <is>
          <t xml:space="preserve">  Price a job to the profit — supplies, labor and travel out, and what you make per hour.</t>
        </is>
      </c>
    </row>
    <row r="3" ht="6" customHeight="1">
      <c r="A3" s="3" t="n"/>
      <c r="B3" s="3" t="n"/>
      <c r="C3" s="3" t="n"/>
    </row>
    <row r="5">
      <c r="B5" s="4" t="inlineStr">
        <is>
          <t>JOB</t>
        </is>
      </c>
      <c r="C5" s="25" t="inlineStr">
        <is>
          <t>Standard Home Clean (3BR)</t>
        </is>
      </c>
    </row>
    <row r="6">
      <c r="B6" s="26" t="inlineStr">
        <is>
          <t>Job price</t>
        </is>
      </c>
      <c r="C6" s="27" t="n">
        <v>180</v>
      </c>
    </row>
    <row r="7">
      <c r="B7" s="26" t="inlineStr">
        <is>
          <t>− Supplies</t>
        </is>
      </c>
      <c r="C7" s="27" t="n">
        <v>18</v>
      </c>
    </row>
    <row r="8">
      <c r="B8" s="26" t="inlineStr">
        <is>
          <t>− Labor (helper)</t>
        </is>
      </c>
      <c r="C8" s="27" t="n">
        <v>50</v>
      </c>
    </row>
    <row r="9">
      <c r="B9" s="26" t="inlineStr">
        <is>
          <t>− Travel &amp; fuel</t>
        </is>
      </c>
      <c r="C9" s="27" t="n">
        <v>12</v>
      </c>
    </row>
    <row r="10">
      <c r="B10" s="9">
        <f> JOB COSTS</f>
        <v/>
      </c>
      <c r="C10" s="28">
        <f>JobSupplies+JobLabor+JobTravel</f>
        <v/>
      </c>
    </row>
    <row r="11">
      <c r="B11" s="9">
        <f> JOB PROFIT</f>
        <v/>
      </c>
      <c r="C11" s="29">
        <f>JobPrice-JobCosts</f>
        <v/>
      </c>
    </row>
    <row r="13">
      <c r="B13" s="26" t="inlineStr">
        <is>
          <t>Hours on the job (all cleaners)</t>
        </is>
      </c>
      <c r="C13" s="30" t="n">
        <v>2.5</v>
      </c>
    </row>
    <row r="14">
      <c r="B14" s="9">
        <f> PROFIT PER HOUR</f>
        <v/>
      </c>
      <c r="C14" s="31">
        <f>IFERROR(JobProfit/JobHours,0)</f>
        <v/>
      </c>
    </row>
    <row r="15">
      <c r="B15" s="26" t="inlineStr">
        <is>
          <t>Job margin</t>
        </is>
      </c>
      <c r="C15" s="32">
        <f>IFERROR(JobProfit/JobPrice,0)</f>
        <v/>
      </c>
    </row>
    <row r="17">
      <c r="B17" s="7" t="inlineStr">
        <is>
          <t>Copy this for every service — price by the hour of profit, not the sticker.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📋  SERVICES &amp; PRICING</t>
        </is>
      </c>
    </row>
    <row r="2" ht="22" customHeight="1">
      <c r="A2" s="2" t="inlineStr">
        <is>
          <t xml:space="preserve">  Your menu — price, hours and the rate per hour, so every quote is priced for profit.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Service</t>
        </is>
      </c>
      <c r="C4" s="9" t="inlineStr">
        <is>
          <t>Price</t>
        </is>
      </c>
      <c r="D4" s="9" t="inlineStr">
        <is>
          <t>Hours</t>
        </is>
      </c>
      <c r="E4" s="9" t="inlineStr">
        <is>
          <t>$ / Hour</t>
        </is>
      </c>
    </row>
    <row r="5">
      <c r="B5" s="19" t="inlineStr">
        <is>
          <t>Standard Home Clean (3BR)</t>
        </is>
      </c>
      <c r="C5" s="27" t="n">
        <v>180</v>
      </c>
      <c r="D5" s="30" t="n">
        <v>2.5</v>
      </c>
      <c r="E5" s="33">
        <f>IFERROR(C5/D5,0)</f>
        <v/>
      </c>
    </row>
    <row r="6">
      <c r="B6" s="22" t="inlineStr">
        <is>
          <t>Deep Clean</t>
        </is>
      </c>
      <c r="C6" s="34" t="n">
        <v>320</v>
      </c>
      <c r="D6" s="35" t="n">
        <v>5</v>
      </c>
      <c r="E6" s="36">
        <f>IFERROR(C6/D6,0)</f>
        <v/>
      </c>
    </row>
    <row r="7">
      <c r="B7" s="19" t="inlineStr">
        <is>
          <t>Move-out Clean</t>
        </is>
      </c>
      <c r="C7" s="27" t="n">
        <v>380</v>
      </c>
      <c r="D7" s="30" t="n">
        <v>6</v>
      </c>
      <c r="E7" s="33">
        <f>IFERROR(C7/D7,0)</f>
        <v/>
      </c>
    </row>
    <row r="8">
      <c r="B8" s="22" t="inlineStr">
        <is>
          <t>Office Clean (weekly)</t>
        </is>
      </c>
      <c r="C8" s="34" t="n">
        <v>220</v>
      </c>
      <c r="D8" s="35" t="n">
        <v>3</v>
      </c>
      <c r="E8" s="36">
        <f>IFERROR(C8/D8,0)</f>
        <v/>
      </c>
    </row>
    <row r="9">
      <c r="B9" s="19" t="inlineStr">
        <is>
          <t>Apartment / Studio</t>
        </is>
      </c>
      <c r="C9" s="27" t="n">
        <v>120</v>
      </c>
      <c r="D9" s="30" t="n">
        <v>1.5</v>
      </c>
      <c r="E9" s="33">
        <f>IFERROR(C9/D9,0)</f>
        <v/>
      </c>
    </row>
    <row r="10">
      <c r="B10" s="22" t="inlineStr">
        <is>
          <t>Add-on: Inside Oven</t>
        </is>
      </c>
      <c r="C10" s="34" t="n">
        <v>45</v>
      </c>
      <c r="D10" s="35" t="n">
        <v>0.75</v>
      </c>
      <c r="E10" s="36">
        <f>IFERROR(C10/D10,0)</f>
        <v/>
      </c>
    </row>
  </sheetData>
  <mergeCells count="2">
    <mergeCell ref="A2:E2"/>
    <mergeCell ref="A1:E1"/>
  </mergeCells>
  <conditionalFormatting sqref="E5:E10">
    <cfRule type="colorScale" priority="1">
      <colorScale>
        <cfvo type="num" val="40"/>
        <cfvo type="num" val="60"/>
        <cfvo type="num" val="80"/>
        <color rgb="FFFBE6E6"/>
        <color rgb="FFFFF3CD"/>
        <color rgb="FF75E6C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2" customWidth="1" min="4" max="4"/>
    <col width="12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🔁  CLIENTS</t>
        </is>
      </c>
    </row>
    <row r="2" ht="22" customHeight="1">
      <c r="A2" s="2" t="inlineStr">
        <is>
          <t xml:space="preserve">  Your recurring book — frequency, price and jobs a month turn into recurring revenue.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Client</t>
        </is>
      </c>
      <c r="C4" s="9" t="inlineStr">
        <is>
          <t>Frequency</t>
        </is>
      </c>
      <c r="D4" s="9" t="inlineStr">
        <is>
          <t>Price</t>
        </is>
      </c>
      <c r="E4" s="9" t="inlineStr">
        <is>
          <t>Jobs/mo</t>
        </is>
      </c>
      <c r="F4" s="9" t="inlineStr">
        <is>
          <t>Monthly Rev</t>
        </is>
      </c>
    </row>
    <row r="5">
      <c r="B5" s="19" t="inlineStr">
        <is>
          <t>The Hardings</t>
        </is>
      </c>
      <c r="C5" s="21" t="inlineStr">
        <is>
          <t>Weekly</t>
        </is>
      </c>
      <c r="D5" s="27" t="n">
        <v>180</v>
      </c>
      <c r="E5" s="37" t="n">
        <v>4</v>
      </c>
      <c r="F5" s="38">
        <f>D5*E5</f>
        <v/>
      </c>
    </row>
    <row r="6">
      <c r="B6" s="22" t="inlineStr">
        <is>
          <t>Cedar Offices</t>
        </is>
      </c>
      <c r="C6" s="24" t="inlineStr">
        <is>
          <t>Weekly</t>
        </is>
      </c>
      <c r="D6" s="34" t="n">
        <v>180</v>
      </c>
      <c r="E6" s="39" t="n">
        <v>4</v>
      </c>
      <c r="F6" s="40">
        <f>D6*E6</f>
        <v/>
      </c>
    </row>
    <row r="7">
      <c r="B7" s="19" t="inlineStr">
        <is>
          <t>Marlow Home</t>
        </is>
      </c>
      <c r="C7" s="21" t="inlineStr">
        <is>
          <t>Weekly</t>
        </is>
      </c>
      <c r="D7" s="27" t="n">
        <v>180</v>
      </c>
      <c r="E7" s="37" t="n">
        <v>4</v>
      </c>
      <c r="F7" s="38">
        <f>D7*E7</f>
        <v/>
      </c>
    </row>
    <row r="8">
      <c r="B8" s="22" t="inlineStr">
        <is>
          <t>Bexley Flat</t>
        </is>
      </c>
      <c r="C8" s="24" t="inlineStr">
        <is>
          <t>Biweekly</t>
        </is>
      </c>
      <c r="D8" s="34" t="n">
        <v>180</v>
      </c>
      <c r="E8" s="39" t="n">
        <v>2</v>
      </c>
      <c r="F8" s="40">
        <f>D8*E8</f>
        <v/>
      </c>
    </row>
    <row r="9">
      <c r="B9" s="19" t="inlineStr">
        <is>
          <t>The Ortons</t>
        </is>
      </c>
      <c r="C9" s="21" t="inlineStr">
        <is>
          <t>Biweekly</t>
        </is>
      </c>
      <c r="D9" s="27" t="n">
        <v>180</v>
      </c>
      <c r="E9" s="37" t="n">
        <v>2</v>
      </c>
      <c r="F9" s="38">
        <f>D9*E9</f>
        <v/>
      </c>
    </row>
    <row r="10">
      <c r="B10" s="22" t="inlineStr">
        <is>
          <t>Quinn Studio</t>
        </is>
      </c>
      <c r="C10" s="24" t="inlineStr">
        <is>
          <t>Biweekly</t>
        </is>
      </c>
      <c r="D10" s="34" t="n">
        <v>180</v>
      </c>
      <c r="E10" s="39" t="n">
        <v>2</v>
      </c>
      <c r="F10" s="40">
        <f>D10*E10</f>
        <v/>
      </c>
    </row>
    <row r="11">
      <c r="B11" s="19" t="inlineStr">
        <is>
          <t>Vale House</t>
        </is>
      </c>
      <c r="C11" s="21" t="inlineStr">
        <is>
          <t>Biweekly</t>
        </is>
      </c>
      <c r="D11" s="27" t="n">
        <v>180</v>
      </c>
      <c r="E11" s="37" t="n">
        <v>2</v>
      </c>
      <c r="F11" s="38">
        <f>D11*E11</f>
        <v/>
      </c>
    </row>
    <row r="12">
      <c r="B12" s="22" t="inlineStr">
        <is>
          <t>The Abbots</t>
        </is>
      </c>
      <c r="C12" s="24" t="inlineStr">
        <is>
          <t>Monthly</t>
        </is>
      </c>
      <c r="D12" s="34" t="n">
        <v>180</v>
      </c>
      <c r="E12" s="39" t="n">
        <v>1</v>
      </c>
      <c r="F12" s="40">
        <f>D12*E12</f>
        <v/>
      </c>
    </row>
    <row r="13">
      <c r="B13" s="19" t="inlineStr">
        <is>
          <t>Rowan Clinic</t>
        </is>
      </c>
      <c r="C13" s="21" t="inlineStr">
        <is>
          <t>Monthly</t>
        </is>
      </c>
      <c r="D13" s="27" t="n">
        <v>180</v>
      </c>
      <c r="E13" s="37" t="n">
        <v>1</v>
      </c>
      <c r="F13" s="38">
        <f>D13*E13</f>
        <v/>
      </c>
    </row>
    <row r="14">
      <c r="B14" s="22" t="inlineStr">
        <is>
          <t>Nash Loft</t>
        </is>
      </c>
      <c r="C14" s="24" t="inlineStr">
        <is>
          <t>Monthly</t>
        </is>
      </c>
      <c r="D14" s="34" t="n">
        <v>180</v>
      </c>
      <c r="E14" s="39" t="n">
        <v>1</v>
      </c>
      <c r="F14" s="40">
        <f>D14*E14</f>
        <v/>
      </c>
    </row>
    <row r="15">
      <c r="B15" s="19" t="inlineStr">
        <is>
          <t>Piper Home</t>
        </is>
      </c>
      <c r="C15" s="21" t="inlineStr">
        <is>
          <t>Monthly</t>
        </is>
      </c>
      <c r="D15" s="27" t="n">
        <v>180</v>
      </c>
      <c r="E15" s="37" t="n">
        <v>1</v>
      </c>
      <c r="F15" s="38">
        <f>D15*E15</f>
        <v/>
      </c>
    </row>
    <row r="16">
      <c r="B16" s="22" t="inlineStr">
        <is>
          <t>The Fenns</t>
        </is>
      </c>
      <c r="C16" s="24" t="inlineStr">
        <is>
          <t>Monthly</t>
        </is>
      </c>
      <c r="D16" s="34" t="n">
        <v>180</v>
      </c>
      <c r="E16" s="39" t="n">
        <v>1</v>
      </c>
      <c r="F16" s="40">
        <f>D16*E16</f>
        <v/>
      </c>
    </row>
    <row r="17">
      <c r="B17" s="9" t="inlineStr">
        <is>
          <t>RECURRING (MRR)</t>
        </is>
      </c>
      <c r="C17" s="41" t="n"/>
      <c r="D17" s="41" t="n"/>
      <c r="E17" s="42">
        <f>SUM(ClientJobs)</f>
        <v/>
      </c>
      <c r="F17" s="43">
        <f>SUM(ClientRev)</f>
        <v/>
      </c>
    </row>
    <row r="19">
      <c r="B19" s="26" t="inlineStr">
        <is>
          <t>Recurring clients</t>
        </is>
      </c>
      <c r="F19" s="44">
        <f>COUNTA(ClientName)</f>
        <v/>
      </c>
    </row>
    <row r="20">
      <c r="B20" s="26" t="inlineStr">
        <is>
          <t>One-time / deep-clean revenue</t>
        </is>
      </c>
      <c r="F20" s="27" t="n">
        <v>1500</v>
      </c>
    </row>
    <row r="21">
      <c r="B21" s="26" t="inlineStr">
        <is>
          <t>One-time jobs this month</t>
        </is>
      </c>
      <c r="F21" s="37" t="n">
        <v>6</v>
      </c>
    </row>
    <row r="22">
      <c r="B22" s="9">
        <f> MONTHLY REVENUE (recurring + one-time)</f>
        <v/>
      </c>
      <c r="F22" s="45">
        <f>MRR+OneTimeRev</f>
        <v/>
      </c>
    </row>
    <row r="23">
      <c r="B23" s="26" t="inlineStr">
        <is>
          <t>Jobs this month</t>
        </is>
      </c>
      <c r="F23" s="44">
        <f>RecurringJobs+OneTimeJobs</f>
        <v/>
      </c>
    </row>
    <row r="24">
      <c r="B24" s="26" t="inlineStr">
        <is>
          <t>Average job value</t>
        </is>
      </c>
      <c r="F24" s="46">
        <f>IFERROR(MonthlyRevenue/JobsMonth,0)</f>
        <v/>
      </c>
    </row>
  </sheetData>
  <mergeCells count="2">
    <mergeCell ref="A2:F2"/>
    <mergeCell ref="A1:F1"/>
  </mergeCells>
  <dataValidations count="12">
    <dataValidation sqref="C5" showDropDown="0" showInputMessage="0" showErrorMessage="0" allowBlank="1" type="list">
      <formula1>=FreqList</formula1>
    </dataValidation>
    <dataValidation sqref="C6" showDropDown="0" showInputMessage="0" showErrorMessage="0" allowBlank="1" type="list">
      <formula1>=FreqList</formula1>
    </dataValidation>
    <dataValidation sqref="C7" showDropDown="0" showInputMessage="0" showErrorMessage="0" allowBlank="1" type="list">
      <formula1>=FreqList</formula1>
    </dataValidation>
    <dataValidation sqref="C8" showDropDown="0" showInputMessage="0" showErrorMessage="0" allowBlank="1" type="list">
      <formula1>=FreqList</formula1>
    </dataValidation>
    <dataValidation sqref="C9" showDropDown="0" showInputMessage="0" showErrorMessage="0" allowBlank="1" type="list">
      <formula1>=FreqList</formula1>
    </dataValidation>
    <dataValidation sqref="C10" showDropDown="0" showInputMessage="0" showErrorMessage="0" allowBlank="1" type="list">
      <formula1>=FreqList</formula1>
    </dataValidation>
    <dataValidation sqref="C11" showDropDown="0" showInputMessage="0" showErrorMessage="0" allowBlank="1" type="list">
      <formula1>=FreqList</formula1>
    </dataValidation>
    <dataValidation sqref="C12" showDropDown="0" showInputMessage="0" showErrorMessage="0" allowBlank="1" type="list">
      <formula1>=FreqList</formula1>
    </dataValidation>
    <dataValidation sqref="C13" showDropDown="0" showInputMessage="0" showErrorMessage="0" allowBlank="1" type="list">
      <formula1>=FreqList</formula1>
    </dataValidation>
    <dataValidation sqref="C14" showDropDown="0" showInputMessage="0" showErrorMessage="0" allowBlank="1" type="list">
      <formula1>=FreqList</formula1>
    </dataValidation>
    <dataValidation sqref="C15" showDropDown="0" showInputMessage="0" showErrorMessage="0" allowBlank="1" type="list">
      <formula1>=FreqList</formula1>
    </dataValidation>
    <dataValidation sqref="C16" showDropDown="0" showInputMessage="0" showErrorMessage="0" allowBlank="1" type="list">
      <formula1>=FreqList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6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🗓  SCHEDULE</t>
        </is>
      </c>
    </row>
    <row r="2" ht="22" customHeight="1">
      <c r="A2" s="2" t="inlineStr">
        <is>
          <t xml:space="preserve">  This week's jobs — who, what service, which cleaner and the status.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Day</t>
        </is>
      </c>
      <c r="C4" s="9" t="inlineStr">
        <is>
          <t>Client / Job</t>
        </is>
      </c>
      <c r="D4" s="9" t="inlineStr">
        <is>
          <t>Service</t>
        </is>
      </c>
      <c r="E4" s="9" t="inlineStr">
        <is>
          <t>Cleaner</t>
        </is>
      </c>
      <c r="F4" s="9" t="inlineStr">
        <is>
          <t>Status</t>
        </is>
      </c>
    </row>
    <row r="5">
      <c r="B5" s="47" t="inlineStr">
        <is>
          <t>Mon</t>
        </is>
      </c>
      <c r="C5" s="47" t="inlineStr">
        <is>
          <t>The Hardings</t>
        </is>
      </c>
      <c r="D5" s="47" t="inlineStr">
        <is>
          <t>Standard</t>
        </is>
      </c>
      <c r="E5" s="47" t="inlineStr">
        <is>
          <t>Ava</t>
        </is>
      </c>
      <c r="F5" s="48" t="inlineStr">
        <is>
          <t>Paid</t>
        </is>
      </c>
    </row>
    <row r="6">
      <c r="B6" s="22" t="inlineStr">
        <is>
          <t>Mon</t>
        </is>
      </c>
      <c r="C6" s="22" t="inlineStr">
        <is>
          <t>Cedar Offices</t>
        </is>
      </c>
      <c r="D6" s="22" t="inlineStr">
        <is>
          <t>Office</t>
        </is>
      </c>
      <c r="E6" s="22" t="inlineStr">
        <is>
          <t>Ava</t>
        </is>
      </c>
      <c r="F6" s="24" t="inlineStr">
        <is>
          <t>Done</t>
        </is>
      </c>
    </row>
    <row r="7">
      <c r="B7" s="47" t="inlineStr">
        <is>
          <t>Tue</t>
        </is>
      </c>
      <c r="C7" s="47" t="inlineStr">
        <is>
          <t>Bexley Flat</t>
        </is>
      </c>
      <c r="D7" s="47" t="inlineStr">
        <is>
          <t>Standard</t>
        </is>
      </c>
      <c r="E7" s="47" t="inlineStr">
        <is>
          <t>Leo</t>
        </is>
      </c>
      <c r="F7" s="48" t="inlineStr">
        <is>
          <t>Scheduled</t>
        </is>
      </c>
    </row>
    <row r="8">
      <c r="B8" s="22" t="inlineStr">
        <is>
          <t>Wed</t>
        </is>
      </c>
      <c r="C8" s="22" t="inlineStr">
        <is>
          <t>Deep Clean — Voss</t>
        </is>
      </c>
      <c r="D8" s="22" t="inlineStr">
        <is>
          <t>Deep Clean</t>
        </is>
      </c>
      <c r="E8" s="22" t="inlineStr">
        <is>
          <t>Ava+Leo</t>
        </is>
      </c>
      <c r="F8" s="24" t="inlineStr">
        <is>
          <t>Scheduled</t>
        </is>
      </c>
    </row>
    <row r="9">
      <c r="B9" s="47" t="inlineStr">
        <is>
          <t>Thu</t>
        </is>
      </c>
      <c r="C9" s="47" t="inlineStr">
        <is>
          <t>Marlow Home</t>
        </is>
      </c>
      <c r="D9" s="47" t="inlineStr">
        <is>
          <t>Standard</t>
        </is>
      </c>
      <c r="E9" s="47" t="inlineStr">
        <is>
          <t>Ava</t>
        </is>
      </c>
      <c r="F9" s="48" t="inlineStr">
        <is>
          <t>Scheduled</t>
        </is>
      </c>
    </row>
    <row r="10">
      <c r="B10" s="22" t="inlineStr">
        <is>
          <t>Fri</t>
        </is>
      </c>
      <c r="C10" s="22" t="inlineStr">
        <is>
          <t>Move-out — Reyes</t>
        </is>
      </c>
      <c r="D10" s="22" t="inlineStr">
        <is>
          <t>Move-out</t>
        </is>
      </c>
      <c r="E10" s="22" t="inlineStr">
        <is>
          <t>Ava+Leo</t>
        </is>
      </c>
      <c r="F10" s="24" t="inlineStr">
        <is>
          <t>Scheduled</t>
        </is>
      </c>
    </row>
    <row r="11">
      <c r="B11" s="47" t="n"/>
      <c r="C11" s="47" t="n"/>
      <c r="D11" s="47" t="n"/>
      <c r="E11" s="47" t="n"/>
      <c r="F11" s="48" t="n"/>
    </row>
    <row r="12">
      <c r="B12" s="22" t="n"/>
      <c r="C12" s="22" t="n"/>
      <c r="D12" s="22" t="n"/>
      <c r="E12" s="22" t="n"/>
      <c r="F12" s="24" t="n"/>
    </row>
    <row r="13">
      <c r="B13" s="47" t="n"/>
      <c r="C13" s="47" t="n"/>
      <c r="D13" s="47" t="n"/>
      <c r="E13" s="47" t="n"/>
      <c r="F13" s="48" t="n"/>
    </row>
    <row r="14">
      <c r="B14" s="22" t="n"/>
      <c r="C14" s="22" t="n"/>
      <c r="D14" s="22" t="n"/>
      <c r="E14" s="22" t="n"/>
      <c r="F14" s="24" t="n"/>
    </row>
    <row r="15">
      <c r="B15" s="47" t="n"/>
      <c r="C15" s="47" t="n"/>
      <c r="D15" s="47" t="n"/>
      <c r="E15" s="47" t="n"/>
      <c r="F15" s="48" t="n"/>
    </row>
    <row r="16">
      <c r="B16" s="22" t="n"/>
      <c r="C16" s="22" t="n"/>
      <c r="D16" s="22" t="n"/>
      <c r="E16" s="22" t="n"/>
      <c r="F16" s="24" t="n"/>
    </row>
    <row r="17">
      <c r="B17" s="47" t="n"/>
      <c r="C17" s="47" t="n"/>
      <c r="D17" s="47" t="n"/>
      <c r="E17" s="47" t="n"/>
      <c r="F17" s="48" t="n"/>
    </row>
    <row r="18">
      <c r="B18" s="22" t="n"/>
      <c r="C18" s="22" t="n"/>
      <c r="D18" s="22" t="n"/>
      <c r="E18" s="22" t="n"/>
      <c r="F18" s="24" t="n"/>
    </row>
    <row r="19">
      <c r="B19" s="47" t="n"/>
      <c r="C19" s="47" t="n"/>
      <c r="D19" s="47" t="n"/>
      <c r="E19" s="47" t="n"/>
      <c r="F19" s="48" t="n"/>
    </row>
    <row r="20">
      <c r="B20" s="22" t="n"/>
      <c r="C20" s="22" t="n"/>
      <c r="D20" s="22" t="n"/>
      <c r="E20" s="22" t="n"/>
      <c r="F20" s="24" t="n"/>
    </row>
    <row r="21">
      <c r="B21" s="47" t="n"/>
      <c r="C21" s="47" t="n"/>
      <c r="D21" s="47" t="n"/>
      <c r="E21" s="47" t="n"/>
      <c r="F21" s="48" t="n"/>
    </row>
    <row r="22">
      <c r="B22" s="22" t="n"/>
      <c r="C22" s="22" t="n"/>
      <c r="D22" s="22" t="n"/>
      <c r="E22" s="22" t="n"/>
      <c r="F22" s="24" t="n"/>
    </row>
    <row r="23">
      <c r="B23" s="47" t="n"/>
      <c r="C23" s="47" t="n"/>
      <c r="D23" s="47" t="n"/>
      <c r="E23" s="47" t="n"/>
      <c r="F23" s="48" t="n"/>
    </row>
    <row r="24">
      <c r="B24" s="22" t="n"/>
      <c r="C24" s="22" t="n"/>
      <c r="D24" s="22" t="n"/>
      <c r="E24" s="22" t="n"/>
      <c r="F24" s="24" t="n"/>
    </row>
    <row r="25">
      <c r="B25" s="47" t="n"/>
      <c r="C25" s="47" t="n"/>
      <c r="D25" s="47" t="n"/>
      <c r="E25" s="47" t="n"/>
      <c r="F25" s="48" t="n"/>
    </row>
    <row r="26">
      <c r="B26" s="22" t="n"/>
      <c r="C26" s="22" t="n"/>
      <c r="D26" s="22" t="n"/>
      <c r="E26" s="22" t="n"/>
      <c r="F26" s="24" t="n"/>
    </row>
    <row r="27">
      <c r="B27" s="47" t="n"/>
      <c r="C27" s="47" t="n"/>
      <c r="D27" s="47" t="n"/>
      <c r="E27" s="47" t="n"/>
      <c r="F27" s="48" t="n"/>
    </row>
    <row r="28">
      <c r="B28" s="22" t="n"/>
      <c r="C28" s="22" t="n"/>
      <c r="D28" s="22" t="n"/>
      <c r="E28" s="22" t="n"/>
      <c r="F28" s="24" t="n"/>
    </row>
    <row r="29">
      <c r="B29" s="47" t="n"/>
      <c r="C29" s="47" t="n"/>
      <c r="D29" s="47" t="n"/>
      <c r="E29" s="47" t="n"/>
      <c r="F29" s="48" t="n"/>
    </row>
    <row r="30">
      <c r="B30" s="22" t="n"/>
      <c r="C30" s="22" t="n"/>
      <c r="D30" s="22" t="n"/>
      <c r="E30" s="22" t="n"/>
      <c r="F30" s="24" t="n"/>
    </row>
    <row r="31">
      <c r="B31" s="47" t="n"/>
      <c r="C31" s="47" t="n"/>
      <c r="D31" s="47" t="n"/>
      <c r="E31" s="47" t="n"/>
      <c r="F31" s="48" t="n"/>
    </row>
    <row r="32">
      <c r="B32" s="22" t="n"/>
      <c r="C32" s="22" t="n"/>
      <c r="D32" s="22" t="n"/>
      <c r="E32" s="22" t="n"/>
      <c r="F32" s="24" t="n"/>
    </row>
  </sheetData>
  <mergeCells count="2">
    <mergeCell ref="A2:F2"/>
    <mergeCell ref="A1:F1"/>
  </mergeCells>
  <dataValidations count="1">
    <dataValidation sqref="F5:F32" showDropDown="0" showInputMessage="0" showErrorMessage="0" allowBlank="1" type="list">
      <formula1>=JobStatusList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🔍  LEADS &amp; QUOTES</t>
        </is>
      </c>
    </row>
    <row r="2" ht="22" customHeight="1">
      <c r="A2" s="2" t="inlineStr">
        <is>
          <t xml:space="preserve">  Every enquiry — source, quote and stage, so nothing falls through the cracks.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Lead</t>
        </is>
      </c>
      <c r="C4" s="9" t="inlineStr">
        <is>
          <t>Source</t>
        </is>
      </c>
      <c r="D4" s="9" t="inlineStr">
        <is>
          <t>Quote</t>
        </is>
      </c>
      <c r="E4" s="9" t="inlineStr">
        <is>
          <t>Stage</t>
        </is>
      </c>
    </row>
    <row r="5">
      <c r="B5" s="47" t="inlineStr">
        <is>
          <t>Tanaka move-out</t>
        </is>
      </c>
      <c r="C5" s="47" t="inlineStr">
        <is>
          <t>Google</t>
        </is>
      </c>
      <c r="D5" s="49" t="n">
        <v>380</v>
      </c>
      <c r="E5" s="48" t="inlineStr">
        <is>
          <t>Quoted</t>
        </is>
      </c>
    </row>
    <row r="6">
      <c r="B6" s="22" t="inlineStr">
        <is>
          <t>Bright Dental</t>
        </is>
      </c>
      <c r="C6" s="22" t="inlineStr">
        <is>
          <t>Referral</t>
        </is>
      </c>
      <c r="D6" s="36" t="n">
        <v>260</v>
      </c>
      <c r="E6" s="24" t="inlineStr">
        <is>
          <t>Booked</t>
        </is>
      </c>
    </row>
    <row r="7">
      <c r="B7" s="47" t="inlineStr">
        <is>
          <t>Okafor deep clean</t>
        </is>
      </c>
      <c r="C7" s="47" t="inlineStr">
        <is>
          <t>Instagram</t>
        </is>
      </c>
      <c r="D7" s="49" t="n">
        <v>320</v>
      </c>
      <c r="E7" s="48" t="inlineStr">
        <is>
          <t>New</t>
        </is>
      </c>
    </row>
    <row r="8">
      <c r="B8" s="22" t="inlineStr">
        <is>
          <t>Hensley weekly</t>
        </is>
      </c>
      <c r="C8" s="22" t="inlineStr">
        <is>
          <t>Yard sign</t>
        </is>
      </c>
      <c r="D8" s="36" t="n">
        <v>180</v>
      </c>
      <c r="E8" s="24" t="inlineStr">
        <is>
          <t>Quoted</t>
        </is>
      </c>
    </row>
    <row r="9">
      <c r="B9" s="47" t="n"/>
      <c r="C9" s="47" t="n"/>
      <c r="D9" s="49" t="n"/>
      <c r="E9" s="48" t="n"/>
    </row>
    <row r="10">
      <c r="B10" s="22" t="n"/>
      <c r="C10" s="22" t="n"/>
      <c r="D10" s="36" t="n"/>
      <c r="E10" s="24" t="n"/>
    </row>
    <row r="11">
      <c r="B11" s="47" t="n"/>
      <c r="C11" s="47" t="n"/>
      <c r="D11" s="49" t="n"/>
      <c r="E11" s="48" t="n"/>
    </row>
    <row r="12">
      <c r="B12" s="22" t="n"/>
      <c r="C12" s="22" t="n"/>
      <c r="D12" s="36" t="n"/>
      <c r="E12" s="24" t="n"/>
    </row>
    <row r="13">
      <c r="B13" s="47" t="n"/>
      <c r="C13" s="47" t="n"/>
      <c r="D13" s="49" t="n"/>
      <c r="E13" s="48" t="n"/>
    </row>
    <row r="14">
      <c r="B14" s="22" t="n"/>
      <c r="C14" s="22" t="n"/>
      <c r="D14" s="36" t="n"/>
      <c r="E14" s="24" t="n"/>
    </row>
    <row r="15">
      <c r="B15" s="47" t="n"/>
      <c r="C15" s="47" t="n"/>
      <c r="D15" s="49" t="n"/>
      <c r="E15" s="48" t="n"/>
    </row>
    <row r="16">
      <c r="B16" s="22" t="n"/>
      <c r="C16" s="22" t="n"/>
      <c r="D16" s="36" t="n"/>
      <c r="E16" s="24" t="n"/>
    </row>
    <row r="17">
      <c r="B17" s="47" t="n"/>
      <c r="C17" s="47" t="n"/>
      <c r="D17" s="49" t="n"/>
      <c r="E17" s="48" t="n"/>
    </row>
    <row r="18">
      <c r="B18" s="22" t="n"/>
      <c r="C18" s="22" t="n"/>
      <c r="D18" s="36" t="n"/>
      <c r="E18" s="24" t="n"/>
    </row>
    <row r="19">
      <c r="B19" s="47" t="n"/>
      <c r="C19" s="47" t="n"/>
      <c r="D19" s="49" t="n"/>
      <c r="E19" s="48" t="n"/>
    </row>
    <row r="20">
      <c r="B20" s="22" t="n"/>
      <c r="C20" s="22" t="n"/>
      <c r="D20" s="36" t="n"/>
      <c r="E20" s="24" t="n"/>
    </row>
    <row r="21">
      <c r="B21" s="47" t="n"/>
      <c r="C21" s="47" t="n"/>
      <c r="D21" s="49" t="n"/>
      <c r="E21" s="48" t="n"/>
    </row>
    <row r="22">
      <c r="B22" s="22" t="n"/>
      <c r="C22" s="22" t="n"/>
      <c r="D22" s="36" t="n"/>
      <c r="E22" s="24" t="n"/>
    </row>
    <row r="23">
      <c r="B23" s="47" t="n"/>
      <c r="C23" s="47" t="n"/>
      <c r="D23" s="49" t="n"/>
      <c r="E23" s="48" t="n"/>
    </row>
    <row r="24">
      <c r="B24" s="22" t="n"/>
      <c r="C24" s="22" t="n"/>
      <c r="D24" s="36" t="n"/>
      <c r="E24" s="24" t="n"/>
    </row>
    <row r="25">
      <c r="B25" s="47" t="n"/>
      <c r="C25" s="47" t="n"/>
      <c r="D25" s="49" t="n"/>
      <c r="E25" s="48" t="n"/>
    </row>
    <row r="26">
      <c r="B26" s="22" t="n"/>
      <c r="C26" s="22" t="n"/>
      <c r="D26" s="36" t="n"/>
      <c r="E26" s="24" t="n"/>
    </row>
    <row r="27">
      <c r="B27" s="47" t="n"/>
      <c r="C27" s="47" t="n"/>
      <c r="D27" s="49" t="n"/>
      <c r="E27" s="48" t="n"/>
    </row>
    <row r="28">
      <c r="B28" s="22" t="n"/>
      <c r="C28" s="22" t="n"/>
      <c r="D28" s="36" t="n"/>
      <c r="E28" s="24" t="n"/>
    </row>
    <row r="29">
      <c r="B29" s="9" t="inlineStr">
        <is>
          <t>PIPELINE VALUE</t>
        </is>
      </c>
      <c r="C29" s="41" t="n"/>
      <c r="D29" s="43">
        <f>SUM(LeadQuote)</f>
        <v/>
      </c>
      <c r="E29" s="41" t="n"/>
    </row>
  </sheetData>
  <mergeCells count="2">
    <mergeCell ref="A2:E2"/>
    <mergeCell ref="A1:E1"/>
  </mergeCells>
  <dataValidations count="1">
    <dataValidation sqref="E5:E28" showDropDown="0" showInputMessage="0" showErrorMessage="0" allowBlank="1" type="list">
      <formula1>=LeadStageList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🧴  SUPPLIES</t>
        </is>
      </c>
    </row>
    <row r="2" ht="22" customHeight="1">
      <c r="A2" s="2" t="inlineStr">
        <is>
          <t xml:space="preserve">  Your par levels — what to keep on the van and what a full restock costs.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Item</t>
        </is>
      </c>
      <c r="C4" s="9" t="inlineStr">
        <is>
          <t>Par</t>
        </is>
      </c>
      <c r="D4" s="9" t="inlineStr">
        <is>
          <t>Unit Cost</t>
        </is>
      </c>
      <c r="E4" s="9" t="inlineStr">
        <is>
          <t>Restock $</t>
        </is>
      </c>
    </row>
    <row r="5">
      <c r="B5" s="19" t="inlineStr">
        <is>
          <t>All-purpose cleaner</t>
        </is>
      </c>
      <c r="C5" s="37" t="n">
        <v>6</v>
      </c>
      <c r="D5" s="50" t="n">
        <v>3.2</v>
      </c>
      <c r="E5" s="51">
        <f>C5*D5</f>
        <v/>
      </c>
    </row>
    <row r="6">
      <c r="B6" s="22" t="inlineStr">
        <is>
          <t>Microfiber cloths (pk)</t>
        </is>
      </c>
      <c r="C6" s="39" t="n">
        <v>4</v>
      </c>
      <c r="D6" s="52" t="n">
        <v>8.5</v>
      </c>
      <c r="E6" s="53">
        <f>C6*D6</f>
        <v/>
      </c>
    </row>
    <row r="7">
      <c r="B7" s="19" t="inlineStr">
        <is>
          <t>Glass cleaner</t>
        </is>
      </c>
      <c r="C7" s="37" t="n">
        <v>4</v>
      </c>
      <c r="D7" s="50" t="n">
        <v>2.8</v>
      </c>
      <c r="E7" s="51">
        <f>C7*D7</f>
        <v/>
      </c>
    </row>
    <row r="8">
      <c r="B8" s="22" t="inlineStr">
        <is>
          <t>Disinfectant</t>
        </is>
      </c>
      <c r="C8" s="39" t="n">
        <v>5</v>
      </c>
      <c r="D8" s="52" t="n">
        <v>4.1</v>
      </c>
      <c r="E8" s="53">
        <f>C8*D8</f>
        <v/>
      </c>
    </row>
    <row r="9">
      <c r="B9" s="19" t="inlineStr">
        <is>
          <t>Trash bags (box)</t>
        </is>
      </c>
      <c r="C9" s="37" t="n">
        <v>3</v>
      </c>
      <c r="D9" s="50" t="n">
        <v>9</v>
      </c>
      <c r="E9" s="51">
        <f>C9*D9</f>
        <v/>
      </c>
    </row>
    <row r="10">
      <c r="B10" s="22" t="inlineStr">
        <is>
          <t>Vacuum bags</t>
        </is>
      </c>
      <c r="C10" s="39" t="n">
        <v>8</v>
      </c>
      <c r="D10" s="52" t="n">
        <v>1.4</v>
      </c>
      <c r="E10" s="53">
        <f>C10*D10</f>
        <v/>
      </c>
    </row>
    <row r="11">
      <c r="B11" s="19" t="inlineStr">
        <is>
          <t>Gloves (box)</t>
        </is>
      </c>
      <c r="C11" s="37" t="n">
        <v>4</v>
      </c>
      <c r="D11" s="50" t="n">
        <v>6.5</v>
      </c>
      <c r="E11" s="51">
        <f>C11*D11</f>
        <v/>
      </c>
    </row>
    <row r="12">
      <c r="B12" s="22" t="inlineStr">
        <is>
          <t>Floor cleaner</t>
        </is>
      </c>
      <c r="C12" s="39" t="n">
        <v>3</v>
      </c>
      <c r="D12" s="52" t="n">
        <v>5.2</v>
      </c>
      <c r="E12" s="53">
        <f>C12*D12</f>
        <v/>
      </c>
    </row>
    <row r="13">
      <c r="B13" s="9" t="inlineStr">
        <is>
          <t>FULL RESTOCK</t>
        </is>
      </c>
      <c r="C13" s="41" t="n"/>
      <c r="D13" s="41" t="n"/>
      <c r="E13" s="54">
        <f>SUM(E5:E12)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2" customWidth="1" min="4" max="4"/>
    <col width="12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👥  TEAM &amp; LABOR</t>
        </is>
      </c>
    </row>
    <row r="2" ht="22" customHeight="1">
      <c r="A2" s="2" t="inlineStr">
        <is>
          <t xml:space="preserve">  Your crew — role, rate and hours, so labor cost is never a mystery.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Cleaner</t>
        </is>
      </c>
      <c r="C4" s="9" t="inlineStr">
        <is>
          <t>Role</t>
        </is>
      </c>
      <c r="D4" s="9" t="inlineStr">
        <is>
          <t>Rate/hr</t>
        </is>
      </c>
      <c r="E4" s="9" t="inlineStr">
        <is>
          <t>Hours</t>
        </is>
      </c>
      <c r="F4" s="9" t="inlineStr">
        <is>
          <t>Labor $</t>
        </is>
      </c>
    </row>
    <row r="5">
      <c r="B5" s="19" t="inlineStr">
        <is>
          <t>Ava (owner)</t>
        </is>
      </c>
      <c r="C5" s="21" t="inlineStr">
        <is>
          <t>Lead</t>
        </is>
      </c>
      <c r="D5" s="27" t="n">
        <v>0</v>
      </c>
      <c r="E5" s="37" t="n">
        <v>68</v>
      </c>
      <c r="F5" s="33">
        <f>D5*E5</f>
        <v/>
      </c>
    </row>
    <row r="6">
      <c r="B6" s="22" t="inlineStr">
        <is>
          <t>Leo</t>
        </is>
      </c>
      <c r="C6" s="24" t="inlineStr">
        <is>
          <t>Cleaner</t>
        </is>
      </c>
      <c r="D6" s="34" t="n">
        <v>20</v>
      </c>
      <c r="E6" s="39" t="n">
        <v>52</v>
      </c>
      <c r="F6" s="36">
        <f>D6*E6</f>
        <v/>
      </c>
    </row>
    <row r="7">
      <c r="B7" s="19" t="inlineStr">
        <is>
          <t>Mara</t>
        </is>
      </c>
      <c r="C7" s="21" t="inlineStr">
        <is>
          <t>Cleaner</t>
        </is>
      </c>
      <c r="D7" s="27" t="n">
        <v>19</v>
      </c>
      <c r="E7" s="37" t="n">
        <v>30</v>
      </c>
      <c r="F7" s="33">
        <f>D7*E7</f>
        <v/>
      </c>
    </row>
    <row r="8">
      <c r="B8" s="9" t="inlineStr">
        <is>
          <t>TOTAL LABOR</t>
        </is>
      </c>
      <c r="C8" s="41" t="n"/>
      <c r="D8" s="41" t="n"/>
      <c r="E8" s="41" t="n"/>
      <c r="F8" s="28">
        <f>SUM(F5:F7)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🚐  MILEAGE &amp; VEHICLE</t>
        </is>
      </c>
    </row>
    <row r="2" ht="22" customHeight="1">
      <c r="A2" s="2" t="inlineStr">
        <is>
          <t xml:space="preserve">  Every route — miles and cost, deductible and useful for pricing travel.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Day</t>
        </is>
      </c>
      <c r="C4" s="9" t="inlineStr">
        <is>
          <t>Route</t>
        </is>
      </c>
      <c r="D4" s="9" t="inlineStr">
        <is>
          <t>Miles</t>
        </is>
      </c>
      <c r="E4" s="9" t="inlineStr">
        <is>
          <t>Cost</t>
        </is>
      </c>
    </row>
    <row r="5">
      <c r="B5" s="47" t="inlineStr">
        <is>
          <t>Mon</t>
        </is>
      </c>
      <c r="C5" s="47" t="inlineStr">
        <is>
          <t>Harding + Cedar</t>
        </is>
      </c>
      <c r="D5" s="55" t="n">
        <v>22</v>
      </c>
      <c r="E5" s="56" t="n">
        <v>14.74</v>
      </c>
    </row>
    <row r="6">
      <c r="B6" s="22" t="inlineStr">
        <is>
          <t>Tue</t>
        </is>
      </c>
      <c r="C6" s="22" t="inlineStr">
        <is>
          <t>Bexley</t>
        </is>
      </c>
      <c r="D6" s="57" t="n">
        <v>12</v>
      </c>
      <c r="E6" s="53" t="n">
        <v>8.039999999999999</v>
      </c>
    </row>
    <row r="7">
      <c r="B7" s="47" t="inlineStr">
        <is>
          <t>Wed</t>
        </is>
      </c>
      <c r="C7" s="47" t="inlineStr">
        <is>
          <t>Voss deep clean</t>
        </is>
      </c>
      <c r="D7" s="55" t="n">
        <v>18</v>
      </c>
      <c r="E7" s="56" t="n">
        <v>12.06</v>
      </c>
    </row>
    <row r="8">
      <c r="B8" s="22" t="inlineStr">
        <is>
          <t>Thu</t>
        </is>
      </c>
      <c r="C8" s="22" t="inlineStr">
        <is>
          <t>Marlow</t>
        </is>
      </c>
      <c r="D8" s="57" t="n">
        <v>14</v>
      </c>
      <c r="E8" s="53" t="n">
        <v>9.380000000000001</v>
      </c>
    </row>
    <row r="9">
      <c r="B9" s="47" t="inlineStr">
        <is>
          <t>Fri</t>
        </is>
      </c>
      <c r="C9" s="47" t="inlineStr">
        <is>
          <t>Reyes move-out</t>
        </is>
      </c>
      <c r="D9" s="55" t="n">
        <v>26</v>
      </c>
      <c r="E9" s="56" t="n">
        <v>17.42</v>
      </c>
    </row>
    <row r="10">
      <c r="B10" s="22" t="n"/>
      <c r="C10" s="22" t="n"/>
      <c r="D10" s="57" t="n"/>
      <c r="E10" s="53" t="n"/>
    </row>
    <row r="11">
      <c r="B11" s="47" t="n"/>
      <c r="C11" s="47" t="n"/>
      <c r="D11" s="55" t="n"/>
      <c r="E11" s="56" t="n"/>
    </row>
    <row r="12">
      <c r="B12" s="22" t="n"/>
      <c r="C12" s="22" t="n"/>
      <c r="D12" s="57" t="n"/>
      <c r="E12" s="53" t="n"/>
    </row>
    <row r="13">
      <c r="B13" s="47" t="n"/>
      <c r="C13" s="47" t="n"/>
      <c r="D13" s="55" t="n"/>
      <c r="E13" s="56" t="n"/>
    </row>
    <row r="14">
      <c r="B14" s="22" t="n"/>
      <c r="C14" s="22" t="n"/>
      <c r="D14" s="57" t="n"/>
      <c r="E14" s="53" t="n"/>
    </row>
    <row r="15">
      <c r="B15" s="47" t="n"/>
      <c r="C15" s="47" t="n"/>
      <c r="D15" s="55" t="n"/>
      <c r="E15" s="56" t="n"/>
    </row>
    <row r="16">
      <c r="B16" s="22" t="n"/>
      <c r="C16" s="22" t="n"/>
      <c r="D16" s="57" t="n"/>
      <c r="E16" s="53" t="n"/>
    </row>
    <row r="17">
      <c r="B17" s="47" t="n"/>
      <c r="C17" s="47" t="n"/>
      <c r="D17" s="55" t="n"/>
      <c r="E17" s="56" t="n"/>
    </row>
    <row r="18">
      <c r="B18" s="22" t="n"/>
      <c r="C18" s="22" t="n"/>
      <c r="D18" s="57" t="n"/>
      <c r="E18" s="53" t="n"/>
    </row>
    <row r="19">
      <c r="B19" s="47" t="n"/>
      <c r="C19" s="47" t="n"/>
      <c r="D19" s="55" t="n"/>
      <c r="E19" s="56" t="n"/>
    </row>
    <row r="20">
      <c r="B20" s="22" t="n"/>
      <c r="C20" s="22" t="n"/>
      <c r="D20" s="57" t="n"/>
      <c r="E20" s="53" t="n"/>
    </row>
    <row r="21">
      <c r="B21" s="47" t="n"/>
      <c r="C21" s="47" t="n"/>
      <c r="D21" s="55" t="n"/>
      <c r="E21" s="56" t="n"/>
    </row>
    <row r="22">
      <c r="B22" s="22" t="n"/>
      <c r="C22" s="22" t="n"/>
      <c r="D22" s="57" t="n"/>
      <c r="E22" s="53" t="n"/>
    </row>
    <row r="23">
      <c r="B23" s="47" t="n"/>
      <c r="C23" s="47" t="n"/>
      <c r="D23" s="55" t="n"/>
      <c r="E23" s="56" t="n"/>
    </row>
    <row r="24">
      <c r="B24" s="22" t="n"/>
      <c r="C24" s="22" t="n"/>
      <c r="D24" s="57" t="n"/>
      <c r="E24" s="53" t="n"/>
    </row>
    <row r="25">
      <c r="B25" s="47" t="n"/>
      <c r="C25" s="47" t="n"/>
      <c r="D25" s="55" t="n"/>
      <c r="E25" s="56" t="n"/>
    </row>
    <row r="26">
      <c r="B26" s="22" t="n"/>
      <c r="C26" s="22" t="n"/>
      <c r="D26" s="57" t="n"/>
      <c r="E26" s="53" t="n"/>
    </row>
    <row r="27">
      <c r="B27" s="47" t="n"/>
      <c r="C27" s="47" t="n"/>
      <c r="D27" s="55" t="n"/>
      <c r="E27" s="56" t="n"/>
    </row>
    <row r="28">
      <c r="B28" s="22" t="n"/>
      <c r="C28" s="22" t="n"/>
      <c r="D28" s="57" t="n"/>
      <c r="E28" s="53" t="n"/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💰  EXPENSES</t>
        </is>
      </c>
    </row>
    <row r="2" ht="22" customHeight="1">
      <c r="A2" s="2" t="inlineStr">
        <is>
          <t xml:space="preserve">  Monthly costs — supplies, labor, fuel and overhead, netted against revenue.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Expense</t>
        </is>
      </c>
      <c r="C4" s="9" t="inlineStr">
        <is>
          <t>Amount</t>
        </is>
      </c>
    </row>
    <row r="5">
      <c r="B5" s="19" t="inlineStr">
        <is>
          <t>Supplies</t>
        </is>
      </c>
      <c r="C5" s="27" t="n">
        <v>560</v>
      </c>
    </row>
    <row r="6">
      <c r="B6" s="22" t="inlineStr">
        <is>
          <t>Helper labor</t>
        </is>
      </c>
      <c r="C6" s="34" t="n">
        <v>1800</v>
      </c>
    </row>
    <row r="7">
      <c r="B7" s="19" t="inlineStr">
        <is>
          <t>Fuel &amp; vehicle</t>
        </is>
      </c>
      <c r="C7" s="27" t="n">
        <v>380</v>
      </c>
    </row>
    <row r="8">
      <c r="B8" s="22" t="inlineStr">
        <is>
          <t>Insurance &amp; bonding</t>
        </is>
      </c>
      <c r="C8" s="34" t="n">
        <v>120</v>
      </c>
    </row>
    <row r="9">
      <c r="B9" s="19" t="inlineStr">
        <is>
          <t>Marketing &amp; leads</t>
        </is>
      </c>
      <c r="C9" s="27" t="n">
        <v>150</v>
      </c>
    </row>
    <row r="10">
      <c r="B10" s="22" t="inlineStr">
        <is>
          <t>Software &amp; phone</t>
        </is>
      </c>
      <c r="C10" s="34" t="n">
        <v>90</v>
      </c>
    </row>
    <row r="11">
      <c r="B11" s="9" t="inlineStr">
        <is>
          <t>TOTAL EXPENSES</t>
        </is>
      </c>
      <c r="C11" s="28">
        <f>SUM(ExpAmt)</f>
        <v/>
      </c>
    </row>
    <row r="13">
      <c r="B13" s="9">
        <f> MONTHLY PROFIT</f>
        <v/>
      </c>
      <c r="C13" s="29">
        <f>MonthlyRevenue-ExpTotal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8" customWidth="1" min="4" max="4"/>
    <col width="2" customWidth="1" min="5" max="5"/>
  </cols>
  <sheetData>
    <row r="1" ht="46" customHeight="1">
      <c r="A1" s="1" t="inlineStr">
        <is>
          <t xml:space="preserve">  ⭐  REVIEWS &amp; REFERRALS</t>
        </is>
      </c>
    </row>
    <row r="2" ht="22" customHeight="1">
      <c r="A2" s="2" t="inlineStr">
        <is>
          <t xml:space="preserve">  Every review and where it came from — referrals are the cheapest client you'll ever get.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Client</t>
        </is>
      </c>
      <c r="C4" s="9" t="inlineStr">
        <is>
          <t>Rating</t>
        </is>
      </c>
      <c r="D4" s="9" t="inlineStr">
        <is>
          <t>Source</t>
        </is>
      </c>
    </row>
    <row r="5">
      <c r="B5" s="47" t="inlineStr">
        <is>
          <t>The Hardings</t>
        </is>
      </c>
      <c r="C5" s="58" t="n">
        <v>5</v>
      </c>
      <c r="D5" s="47" t="inlineStr">
        <is>
          <t>Google</t>
        </is>
      </c>
    </row>
    <row r="6">
      <c r="B6" s="22" t="inlineStr">
        <is>
          <t>Cedar Offices</t>
        </is>
      </c>
      <c r="C6" s="59" t="n">
        <v>5</v>
      </c>
      <c r="D6" s="22" t="inlineStr">
        <is>
          <t>Referral</t>
        </is>
      </c>
    </row>
    <row r="7">
      <c r="B7" s="47" t="inlineStr">
        <is>
          <t>Bexley Flat</t>
        </is>
      </c>
      <c r="C7" s="58" t="n">
        <v>4</v>
      </c>
      <c r="D7" s="47" t="inlineStr">
        <is>
          <t>Google</t>
        </is>
      </c>
    </row>
    <row r="8">
      <c r="B8" s="22" t="inlineStr">
        <is>
          <t>The Ortons</t>
        </is>
      </c>
      <c r="C8" s="59" t="n">
        <v>5</v>
      </c>
      <c r="D8" s="22" t="inlineStr">
        <is>
          <t>Instagram</t>
        </is>
      </c>
    </row>
    <row r="9">
      <c r="B9" s="47" t="inlineStr">
        <is>
          <t>Vale House</t>
        </is>
      </c>
      <c r="C9" s="58" t="n">
        <v>5</v>
      </c>
      <c r="D9" s="47" t="inlineStr">
        <is>
          <t>Referral</t>
        </is>
      </c>
    </row>
    <row r="10">
      <c r="B10" s="22" t="n"/>
      <c r="C10" s="59" t="n"/>
      <c r="D10" s="22" t="n"/>
    </row>
    <row r="11">
      <c r="B11" s="47" t="n"/>
      <c r="C11" s="58" t="n"/>
      <c r="D11" s="47" t="n"/>
    </row>
    <row r="12">
      <c r="B12" s="22" t="n"/>
      <c r="C12" s="59" t="n"/>
      <c r="D12" s="22" t="n"/>
    </row>
    <row r="13">
      <c r="B13" s="47" t="n"/>
      <c r="C13" s="58" t="n"/>
      <c r="D13" s="47" t="n"/>
    </row>
    <row r="14">
      <c r="B14" s="22" t="n"/>
      <c r="C14" s="59" t="n"/>
      <c r="D14" s="22" t="n"/>
    </row>
    <row r="15">
      <c r="B15" s="47" t="n"/>
      <c r="C15" s="58" t="n"/>
      <c r="D15" s="47" t="n"/>
    </row>
    <row r="16">
      <c r="B16" s="22" t="n"/>
      <c r="C16" s="59" t="n"/>
      <c r="D16" s="22" t="n"/>
    </row>
    <row r="17">
      <c r="B17" s="47" t="n"/>
      <c r="C17" s="58" t="n"/>
      <c r="D17" s="47" t="n"/>
    </row>
    <row r="18">
      <c r="B18" s="22" t="n"/>
      <c r="C18" s="59" t="n"/>
      <c r="D18" s="22" t="n"/>
    </row>
    <row r="19">
      <c r="B19" s="47" t="n"/>
      <c r="C19" s="58" t="n"/>
      <c r="D19" s="47" t="n"/>
    </row>
    <row r="20">
      <c r="B20" s="22" t="n"/>
      <c r="C20" s="59" t="n"/>
      <c r="D20" s="22" t="n"/>
    </row>
    <row r="21">
      <c r="B21" s="47" t="n"/>
      <c r="C21" s="58" t="n"/>
      <c r="D21" s="47" t="n"/>
    </row>
    <row r="22">
      <c r="B22" s="22" t="n"/>
      <c r="C22" s="59" t="n"/>
      <c r="D22" s="22" t="n"/>
    </row>
    <row r="23">
      <c r="B23" s="47" t="n"/>
      <c r="C23" s="58" t="n"/>
      <c r="D23" s="47" t="n"/>
    </row>
    <row r="24">
      <c r="B24" s="22" t="n"/>
      <c r="C24" s="59" t="n"/>
      <c r="D24" s="22" t="n"/>
    </row>
    <row r="25">
      <c r="B25" s="47" t="n"/>
      <c r="C25" s="58" t="n"/>
      <c r="D25" s="47" t="n"/>
    </row>
    <row r="26">
      <c r="B26" s="22" t="n"/>
      <c r="C26" s="59" t="n"/>
      <c r="D26" s="22" t="n"/>
    </row>
    <row r="27">
      <c r="B27" s="47" t="n"/>
      <c r="C27" s="58" t="n"/>
      <c r="D27" s="47" t="n"/>
    </row>
    <row r="28">
      <c r="B28" s="22" t="n"/>
      <c r="C28" s="59" t="n"/>
      <c r="D28" s="22" t="n"/>
    </row>
    <row r="29">
      <c r="B29" s="9" t="inlineStr">
        <is>
          <t>AVG RATING</t>
        </is>
      </c>
      <c r="C29" s="60">
        <f>IFERROR(AVERAGE(RevRating),0)</f>
        <v/>
      </c>
      <c r="D29" s="41" t="n"/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📈  MONTHLY SUMMARY</t>
        </is>
      </c>
    </row>
    <row r="2" ht="22" customHeight="1">
      <c r="A2" s="2" t="inlineStr">
        <is>
          <t xml:space="preserve">  Revenue, costs &amp; profit by month — watch the recurring book compound.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Month</t>
        </is>
      </c>
      <c r="C4" s="9" t="inlineStr">
        <is>
          <t>Revenue</t>
        </is>
      </c>
      <c r="D4" s="9" t="inlineStr">
        <is>
          <t>Costs</t>
        </is>
      </c>
      <c r="E4" s="9" t="inlineStr">
        <is>
          <t>Profit</t>
        </is>
      </c>
    </row>
    <row r="5">
      <c r="B5" s="19" t="inlineStr">
        <is>
          <t>Jul</t>
        </is>
      </c>
      <c r="C5" s="27" t="n">
        <v>6000</v>
      </c>
      <c r="D5" s="27" t="n">
        <v>3100</v>
      </c>
      <c r="E5" s="38">
        <f>C5-D5</f>
        <v/>
      </c>
    </row>
    <row r="6">
      <c r="B6" s="22" t="inlineStr">
        <is>
          <t>Aug</t>
        </is>
      </c>
      <c r="C6" s="34" t="n">
        <v>6300</v>
      </c>
      <c r="D6" s="34" t="n">
        <v>3200</v>
      </c>
      <c r="E6" s="40">
        <f>C6-D6</f>
        <v/>
      </c>
    </row>
    <row r="7">
      <c r="B7" s="19" t="inlineStr">
        <is>
          <t>Sep</t>
        </is>
      </c>
      <c r="C7" s="27" t="n">
        <v>6600</v>
      </c>
      <c r="D7" s="27" t="n">
        <v>3300</v>
      </c>
      <c r="E7" s="38">
        <f>C7-D7</f>
        <v/>
      </c>
    </row>
    <row r="8">
      <c r="B8" s="22" t="inlineStr">
        <is>
          <t>Oct</t>
        </is>
      </c>
      <c r="C8" s="34" t="n">
        <v>6100</v>
      </c>
      <c r="D8" s="34" t="n">
        <v>3150</v>
      </c>
      <c r="E8" s="40">
        <f>C8-D8</f>
        <v/>
      </c>
    </row>
    <row r="9">
      <c r="B9" s="19" t="inlineStr">
        <is>
          <t>Nov</t>
        </is>
      </c>
      <c r="C9" s="27" t="n">
        <v>5700</v>
      </c>
      <c r="D9" s="27" t="n">
        <v>3000</v>
      </c>
      <c r="E9" s="38">
        <f>C9-D9</f>
        <v/>
      </c>
    </row>
    <row r="10">
      <c r="B10" s="22" t="inlineStr">
        <is>
          <t>Dec</t>
        </is>
      </c>
      <c r="C10" s="34" t="n">
        <v>6900</v>
      </c>
      <c r="D10" s="34" t="n">
        <v>3400</v>
      </c>
      <c r="E10" s="40">
        <f>C10-D10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TARGETS</t>
        </is>
      </c>
      <c r="E5" s="4" t="inlineStr">
        <is>
          <t>DROPDOWN LISTS</t>
        </is>
      </c>
    </row>
    <row r="6">
      <c r="B6" s="26" t="inlineStr">
        <is>
          <t>Business name</t>
        </is>
      </c>
      <c r="C6" s="61" t="inlineStr">
        <is>
          <t>Bright &amp; Tidy Co.</t>
        </is>
      </c>
      <c r="E6" s="9" t="inlineStr">
        <is>
          <t>Frequency</t>
        </is>
      </c>
      <c r="F6" s="9" t="inlineStr">
        <is>
          <t>Job status</t>
        </is>
      </c>
      <c r="G6" s="9" t="inlineStr">
        <is>
          <t>Lead stage</t>
        </is>
      </c>
      <c r="H6" s="9" t="inlineStr">
        <is>
          <t>Yes / No</t>
        </is>
      </c>
    </row>
    <row r="7">
      <c r="B7" s="26" t="inlineStr">
        <is>
          <t>Owner</t>
        </is>
      </c>
      <c r="C7" s="61" t="inlineStr">
        <is>
          <t>Ava</t>
        </is>
      </c>
      <c r="E7" s="19" t="inlineStr">
        <is>
          <t>Weekly</t>
        </is>
      </c>
      <c r="F7" s="19" t="inlineStr">
        <is>
          <t>Scheduled</t>
        </is>
      </c>
      <c r="G7" s="19" t="inlineStr">
        <is>
          <t>New</t>
        </is>
      </c>
      <c r="H7" s="19" t="inlineStr">
        <is>
          <t>Yes</t>
        </is>
      </c>
    </row>
    <row r="8">
      <c r="B8" s="26" t="inlineStr">
        <is>
          <t>Job-margin goal %</t>
        </is>
      </c>
      <c r="C8" s="62" t="n">
        <v>0.45</v>
      </c>
      <c r="E8" s="19" t="inlineStr">
        <is>
          <t>Biweekly</t>
        </is>
      </c>
      <c r="F8" s="19" t="inlineStr">
        <is>
          <t>Done</t>
        </is>
      </c>
      <c r="G8" s="19" t="inlineStr">
        <is>
          <t>Quoted</t>
        </is>
      </c>
      <c r="H8" s="19" t="inlineStr">
        <is>
          <t>No</t>
        </is>
      </c>
    </row>
    <row r="9">
      <c r="B9" s="26" t="inlineStr">
        <is>
          <t>Profit-per-hour goal ($)</t>
        </is>
      </c>
      <c r="C9" s="27" t="n">
        <v>32</v>
      </c>
      <c r="E9" s="19" t="inlineStr">
        <is>
          <t>Monthly</t>
        </is>
      </c>
      <c r="F9" s="19" t="inlineStr">
        <is>
          <t>Invoiced</t>
        </is>
      </c>
      <c r="G9" s="19" t="inlineStr">
        <is>
          <t>Booked</t>
        </is>
      </c>
    </row>
    <row r="10">
      <c r="B10" s="26" t="inlineStr">
        <is>
          <t>Monthly profit goal</t>
        </is>
      </c>
      <c r="C10" s="27" t="n">
        <v>2500</v>
      </c>
      <c r="E10" s="19" t="inlineStr">
        <is>
          <t>One-time</t>
        </is>
      </c>
      <c r="F10" s="19" t="inlineStr">
        <is>
          <t>Paid</t>
        </is>
      </c>
      <c r="G10" s="19" t="inlineStr">
        <is>
          <t>Lost</t>
        </is>
      </c>
    </row>
    <row r="11">
      <c r="B11" s="26" t="inlineStr">
        <is>
          <t>Recurring revenue goal</t>
        </is>
      </c>
      <c r="C11" s="27" t="n">
        <v>4000</v>
      </c>
      <c r="F11" s="19" t="inlineStr">
        <is>
          <t>Cancelled</t>
        </is>
      </c>
    </row>
    <row r="12">
      <c r="B12" s="26" t="inlineStr">
        <is>
          <t>Recurring-client goal</t>
        </is>
      </c>
      <c r="C12" s="37" t="n">
        <v>30</v>
      </c>
    </row>
    <row r="13">
      <c r="B13" s="26" t="inlineStr">
        <is>
          <t>Currency</t>
        </is>
      </c>
      <c r="C13" s="61" t="inlineStr">
        <is>
          <t>USD ($)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2026-07-23T22:57:38Z</dcterms:created>
  <dcterms:modified xsi:type="dcterms:W3CDTF">2026-07-23T22:57:38Z</dcterms:modified>
</cp:coreProperties>
</file>