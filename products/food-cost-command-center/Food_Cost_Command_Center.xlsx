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Food Cost Calc" sheetId="3" state="visible" r:id="rId3"/>
    <sheet name="Inventory Count" sheetId="4" state="visible" r:id="rId4"/>
    <sheet name="Purchases Log" sheetId="5" state="visible" r:id="rId5"/>
    <sheet name="Sales Log" sheetId="6" state="visible" r:id="rId6"/>
    <sheet name="Usage &amp; Variance" sheetId="7" state="visible" r:id="rId7"/>
    <sheet name="Par &amp; Ordering" sheetId="8" state="visible" r:id="rId8"/>
    <sheet name="Vendors" sheetId="9" state="visible" r:id="rId9"/>
    <sheet name="Price Tracker" sheetId="10" state="visible" r:id="rId10"/>
    <sheet name="Menu Costing" sheetId="11" state="visible" r:id="rId11"/>
    <sheet name="Waste Log" sheetId="12" state="visible" r:id="rId12"/>
    <sheet name="Categories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TargetFC">Settings!$C$8</definedName>
    <definedName name="VarLimit">Settings!$C$9</definedName>
    <definedName name="TurnGoal">Settings!$C$10</definedName>
    <definedName name="WasteLimit">Settings!$C$11</definedName>
    <definedName name="Currency">Settings!$C$12</definedName>
    <definedName name="UnitList">Settings!$E$7:$E$14</definedName>
    <definedName name="CatList">Settings!$F$7:$F$12</definedName>
    <definedName name="StatusList">Settings!$G$7:$G$10</definedName>
    <definedName name="YesNoList">Settings!$H$7:$H$8</definedName>
    <definedName name="InvItem">'Inventory Count'!$B$5:$B$18</definedName>
    <definedName name="InvExt">'Inventory Count'!$F$5:$F$18</definedName>
    <definedName name="InvValue">'Inventory Count'!$F$19</definedName>
    <definedName name="PurchAmt">'Purchases Log'!$D$5:$D$10</definedName>
    <definedName name="PurchTotal">'Purchases Log'!$D$11</definedName>
    <definedName name="SalesAmt">'Sales Log'!$C$5:$C$8</definedName>
    <definedName name="SalesTotal">'Sales Log'!$C$9</definedName>
    <definedName name="Beginning">'Food Cost Calc'!$C$6</definedName>
    <definedName name="FoodCostDollar">'Food Cost Calc'!$C$9</definedName>
    <definedName name="FoodCostPct">'Food Cost Calc'!$C$12</definedName>
    <definedName name="AvgInv">'Food Cost Calc'!$C$14</definedName>
    <definedName name="Turns">'Food Cost Calc'!$C$15</definedName>
    <definedName name="CatName">'Usage &amp; Variance'!$B$5:$B$10</definedName>
    <definedName name="CatActual">'Usage &amp; Variance'!$D$5:$D$10</definedName>
    <definedName name="VariancePct">'Usage &amp; Variance'!$E$11</definedName>
    <definedName name="ParItem">'Par &amp; Ordering'!$B$5:$B$12</definedName>
    <definedName name="ParLevel">'Par &amp; Ordering'!$C$5:$C$12</definedName>
    <definedName name="OrderVal">'Par &amp; Ordering'!$F$5:$F$12</definedName>
    <definedName name="ToOrderValue">'Par &amp; Ordering'!$F$13</definedName>
    <definedName name="VendorName">'Vendors'!$B$5:$B$28</definedName>
    <definedName name="WasteCost">'Waste Log'!$D$5:$D$28</definedName>
    <definedName name="WasteTotal">'Waste Log'!$D$29</definedName>
    <definedName name="CatLabel">'Categories'!$B$5:$B$10</definedName>
    <definedName name="CatSpend">'Categories'!$C$5:$C$10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0"/>
    <numFmt numFmtId="166" formatCode="&quot;$&quot;#,##0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1B4F48"/>
      <sz val="13"/>
    </font>
    <font>
      <b val="1"/>
      <color rgb="00C94C4C"/>
    </font>
    <font>
      <b val="1"/>
      <color rgb="00937356"/>
      <sz val="9"/>
    </font>
    <font>
      <b val="1"/>
      <color rgb="001B4F48"/>
      <sz val="18"/>
    </font>
    <font>
      <b val="1"/>
      <color rgb="001B4F48"/>
      <sz val="12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7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9" borderId="3" applyAlignment="1" pivotButton="0" quotePrefix="0" xfId="0">
      <alignment horizontal="center" vertical="center"/>
    </xf>
    <xf numFmtId="0" fontId="0" fillId="9" borderId="3" pivotButton="0" quotePrefix="0" xfId="0"/>
    <xf numFmtId="9" fontId="14" fillId="9" borderId="2" applyAlignment="1" pivotButton="0" quotePrefix="0" xfId="0">
      <alignment horizontal="center" vertical="center"/>
    </xf>
    <xf numFmtId="0" fontId="0" fillId="9" borderId="2" pivotButton="0" quotePrefix="0" xfId="0"/>
    <xf numFmtId="166" fontId="14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center" vertical="center"/>
    </xf>
    <xf numFmtId="164" fontId="14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0" fontId="10" fillId="3" borderId="2" applyAlignment="1" pivotButton="0" quotePrefix="0" xfId="6">
      <alignment horizontal="center" vertical="center" wrapText="1"/>
    </xf>
    <xf numFmtId="167" fontId="11" fillId="6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6" fontId="7" fillId="0" borderId="2" applyAlignment="1" pivotButton="0" quotePrefix="0" xfId="10">
      <alignment horizontal="left" vertical="center" indent="1"/>
    </xf>
    <xf numFmtId="2" fontId="7" fillId="6" borderId="2" applyAlignment="1" pivotButton="0" quotePrefix="0" xfId="10">
      <alignment horizontal="left" vertical="center" indent="1"/>
    </xf>
    <xf numFmtId="3" fontId="7" fillId="3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  <xf numFmtId="166" fontId="10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165" fontId="7" fillId="8" borderId="2" applyAlignment="1" pivotButton="0" quotePrefix="0" xfId="8">
      <alignment horizontal="center" vertical="center"/>
    </xf>
    <xf numFmtId="166" fontId="10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6" fontId="10" fillId="6" borderId="2" applyAlignment="1" pivotButton="0" quotePrefix="0" xfId="6">
      <alignment horizontal="center" vertical="center" wrapText="1"/>
    </xf>
    <xf numFmtId="166" fontId="7" fillId="3" borderId="2" applyAlignment="1" pivotButton="0" quotePrefix="0" xfId="8">
      <alignment horizontal="center" vertical="center"/>
    </xf>
    <xf numFmtId="166" fontId="7" fillId="8" borderId="2" applyAlignment="1" pivotButton="0" quotePrefix="0" xfId="8">
      <alignment horizontal="center" vertical="center"/>
    </xf>
    <xf numFmtId="166" fontId="10" fillId="3" borderId="2" applyAlignment="1" pivotButton="0" quotePrefix="0" xfId="6">
      <alignment horizontal="center" vertical="center" wrapText="1"/>
    </xf>
    <xf numFmtId="167" fontId="6" fillId="0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7" fontId="12" fillId="3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0" fontId="10" fillId="0" borderId="2" applyAlignment="1" pivotButton="0" quotePrefix="0" xfId="6">
      <alignment horizontal="center" vertical="center" wrapText="1"/>
    </xf>
    <xf numFmtId="0" fontId="10" fillId="8" borderId="2" applyAlignment="1" pivotButton="0" quotePrefix="0" xfId="6">
      <alignment horizontal="center" vertical="center" wrapText="1"/>
    </xf>
    <xf numFmtId="165" fontId="10" fillId="0" borderId="2" applyAlignment="1" pivotButton="0" quotePrefix="0" xfId="6">
      <alignment horizontal="center" vertical="center" wrapText="1"/>
    </xf>
    <xf numFmtId="165" fontId="10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5" fontId="12" fillId="3" borderId="2" applyAlignment="1" pivotButton="0" quotePrefix="0" xfId="6">
      <alignment horizontal="center" vertical="center" wrapText="1"/>
    </xf>
    <xf numFmtId="9" fontId="7" fillId="3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dxfs count="3">
    <dxf>
      <fill>
        <patternFill patternType="solid">
          <fgColor rgb="00FBE6E6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E5D3B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 Cost by Category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'Categories'!$B$5:$B$10</f>
            </numRef>
          </cat>
          <val>
            <numRef>
              <f>'Categories'!$C$5:$C$10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📋  FOOD COST &amp; INVENTORY COMMAND CENTER™</t>
        </is>
      </c>
    </row>
    <row r="2" ht="24" customHeight="1">
      <c r="A2" s="2" t="inlineStr">
        <is>
          <t xml:space="preserve">  Know your food cost to the point — and stop the leaks.</t>
        </is>
      </c>
    </row>
    <row r="3" ht="6" customHeight="1">
      <c r="A3" s="3" t="n"/>
      <c r="B3" s="3" t="n"/>
      <c r="C3" s="3" t="n"/>
    </row>
    <row r="5">
      <c r="B5" s="4" t="inlineStr">
        <is>
          <t>YOUR WHOLE FOOD-COST PICTURE, IN ONE PLACE</t>
        </is>
      </c>
    </row>
    <row r="6" ht="22" customHeight="1">
      <c r="B6" s="5" t="inlineStr">
        <is>
          <t>Food cost is the number that makes or breaks a kitchen — and most operators only guess at it. This fixes that: a period food-cost engine that takes your beginning inventory, adds purchases, subtracts ending inventory and divides by sales for a true food-cost %. Value your inventory to the dollar, compare theoretical usage to actual to catch shrinkage, set par levels, track vendor prices, cost your menu and log waste — all in ONE premium Google Sheets &amp; Excel system. Everything connects: your counts, purchases and sales flow straight into the food-cost %.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target food-cost % &amp; variance limit.</t>
        </is>
      </c>
    </row>
    <row r="13" ht="22" customHeight="1">
      <c r="B13" s="8" t="inlineStr">
        <is>
          <t>2.  Count your inventory — the extended value is your ending inventory.</t>
        </is>
      </c>
    </row>
    <row r="14" ht="22" customHeight="1">
      <c r="B14" s="8" t="inlineStr">
        <is>
          <t>3.  Log Purchases &amp; Sales for the period — totals flow automatically.</t>
        </is>
      </c>
    </row>
    <row r="15" ht="22" customHeight="1">
      <c r="B15" s="8" t="inlineStr">
        <is>
          <t>4.  The Food Cost Calc shows your true food-cost % to the point.</t>
        </is>
      </c>
    </row>
    <row r="16" ht="22" customHeight="1">
      <c r="B16" s="8" t="inlineStr">
        <is>
          <t>5.  Check Usage &amp; Variance for shrinkage; set Par &amp; Ordering.</t>
        </is>
      </c>
    </row>
    <row r="17" ht="22" customHeight="1">
      <c r="B17" s="8" t="inlineStr">
        <is>
          <t>6.  Check the Dashboard: food cost %, inventory value &amp; a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restaurant (The Harvest Table) is included so you can see how it all connects — just type over it with your own counts and invoices. Food cost % and inventory variance are the two numbers that decide whether a kitchen makes money, and they roll into a live Inventory Score. Twelve matching printable pages (inventory count sheet, food-cost worksheet, order guide, waste log &amp; more) are included. This is a business tool, not financial or legal advice — confirm figures with your own books.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Count it, cost it, control it — a point of food cost is real money.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📋  FOOD COST &amp; INVENTORY COMMAND CENTER™</t>
        </is>
      </c>
    </row>
    <row r="2" ht="24" customHeight="1">
      <c r="A2" s="2" t="inlineStr">
        <is>
          <t xml:space="preserve">  Food cost %, inventory value, variance &amp; a Score — your whole food-cost picture,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FOOD COST %</t>
        </is>
      </c>
      <c r="C5" s="13" t="n"/>
      <c r="D5" s="12" t="inlineStr">
        <is>
          <t>INVENTORY VALUE</t>
        </is>
      </c>
      <c r="E5" s="13" t="n"/>
      <c r="F5" s="12" t="inlineStr">
        <is>
          <t>PURCHASES</t>
        </is>
      </c>
      <c r="G5" s="13" t="n"/>
      <c r="H5" s="12" t="inlineStr">
        <is>
          <t>FOOD USED</t>
        </is>
      </c>
      <c r="I5" s="13" t="n"/>
      <c r="J5" s="12" t="inlineStr">
        <is>
          <t>SALES</t>
        </is>
      </c>
      <c r="K5" s="13" t="n"/>
      <c r="L5" s="12" t="inlineStr">
        <is>
          <t>TOP CATEGORY</t>
        </is>
      </c>
      <c r="M5" s="13" t="n"/>
    </row>
    <row r="6" ht="40" customHeight="1">
      <c r="B6" s="14">
        <f>FoodCostPct</f>
        <v/>
      </c>
      <c r="C6" s="15" t="n"/>
      <c r="D6" s="16">
        <f>InvValue</f>
        <v/>
      </c>
      <c r="E6" s="15" t="n"/>
      <c r="F6" s="16">
        <f>PurchTotal</f>
        <v/>
      </c>
      <c r="G6" s="15" t="n"/>
      <c r="H6" s="16">
        <f>FoodCostDollar</f>
        <v/>
      </c>
      <c r="I6" s="15" t="n"/>
      <c r="J6" s="16">
        <f>SalesTotal</f>
        <v/>
      </c>
      <c r="K6" s="15" t="n"/>
      <c r="L6" s="17">
        <f>INDEX(CatName,MATCH(MAX(CatActual),CatActual,0))</f>
        <v/>
      </c>
      <c r="M6" s="15" t="n"/>
    </row>
    <row r="8" ht="18" customHeight="1">
      <c r="B8" s="12" t="inlineStr">
        <is>
          <t>VARIANCE</t>
        </is>
      </c>
      <c r="C8" s="13" t="n"/>
      <c r="D8" s="12" t="inlineStr">
        <is>
          <t>ITEMS TRACKED</t>
        </is>
      </c>
      <c r="E8" s="13" t="n"/>
      <c r="F8" s="12" t="inlineStr">
        <is>
          <t>TO ORDER</t>
        </is>
      </c>
      <c r="G8" s="13" t="n"/>
      <c r="H8" s="12" t="inlineStr">
        <is>
          <t>INV TURNS</t>
        </is>
      </c>
      <c r="I8" s="13" t="n"/>
      <c r="J8" s="12" t="inlineStr">
        <is>
          <t>VENDORS</t>
        </is>
      </c>
      <c r="K8" s="13" t="n"/>
      <c r="L8" s="12" t="inlineStr">
        <is>
          <t>INVENTORY SCORE</t>
        </is>
      </c>
      <c r="M8" s="13" t="n"/>
    </row>
    <row r="9" ht="40" customHeight="1">
      <c r="B9" s="14">
        <f>VariancePct</f>
        <v/>
      </c>
      <c r="C9" s="15" t="n"/>
      <c r="D9" s="18">
        <f>COUNTA(InvItem)</f>
        <v/>
      </c>
      <c r="E9" s="15" t="n"/>
      <c r="F9" s="16">
        <f>ToOrderValue</f>
        <v/>
      </c>
      <c r="G9" s="15" t="n"/>
      <c r="H9" s="19">
        <f>Turns</f>
        <v/>
      </c>
      <c r="I9" s="15" t="n"/>
      <c r="J9" s="18">
        <f>COUNTA(VendorName)</f>
        <v/>
      </c>
      <c r="K9" s="15" t="n"/>
      <c r="L9" s="14">
        <f>IFERROR(AVERAGE(HealthRange),0)</f>
        <v/>
      </c>
      <c r="M9" s="15" t="n"/>
    </row>
    <row r="11" ht="26" customHeight="1">
      <c r="B11" s="4" t="inlineStr">
        <is>
          <t>INVENTORY HEALTH</t>
        </is>
      </c>
      <c r="H11" s="4" t="inlineStr">
        <is>
          <t>FOOD COST BY CATEGORY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Food cost on target</t>
        </is>
      </c>
      <c r="C13" s="21">
        <f>IFERROR(MIN(TargetFC/FoodCostPct,1),0)</f>
        <v/>
      </c>
      <c r="D13" s="22">
        <f>IF(C13&gt;=0.85,"Strong",IF(C13&gt;=0.6,"OK","Watch"))</f>
        <v/>
      </c>
    </row>
    <row r="14">
      <c r="B14" s="23" t="inlineStr">
        <is>
          <t>Inventory variance low</t>
        </is>
      </c>
      <c r="C14" s="24">
        <f>IFERROR(1-MIN(VariancePct/VarLimit,1),0)</f>
        <v/>
      </c>
      <c r="D14" s="25">
        <f>IF(C14&gt;=0.85,"Strong",IF(C14&gt;=0.6,"OK","Watch"))</f>
        <v/>
      </c>
    </row>
    <row r="15">
      <c r="B15" s="20" t="inlineStr">
        <is>
          <t>Inventory counted</t>
        </is>
      </c>
      <c r="C15" s="21">
        <f>IFERROR(COUNTIF(InvExt,"&gt;0")/COUNTA(InvItem),0)</f>
        <v/>
      </c>
      <c r="D15" s="22">
        <f>IF(C15&gt;=0.85,"Strong",IF(C15&gt;=0.6,"OK","Watch"))</f>
        <v/>
      </c>
    </row>
    <row r="16">
      <c r="B16" s="23" t="inlineStr">
        <is>
          <t>Pars set</t>
        </is>
      </c>
      <c r="C16" s="24">
        <f>IFERROR(COUNTIF(ParLevel,"&gt;0")/COUNTA(ParItem),0)</f>
        <v/>
      </c>
      <c r="D16" s="25">
        <f>IF(C16&gt;=0.85,"Strong",IF(C16&gt;=0.6,"OK","Watch"))</f>
        <v/>
      </c>
    </row>
    <row r="17">
      <c r="B17" s="20" t="inlineStr">
        <is>
          <t>Inventory turns healthy</t>
        </is>
      </c>
      <c r="C17" s="21">
        <f>IFERROR(MIN(Turns/TurnGoal,1),0)</f>
        <v/>
      </c>
      <c r="D17" s="22">
        <f>IF(C17&gt;=0.85,"Strong",IF(C17&gt;=0.6,"OK","Watch"))</f>
        <v/>
      </c>
    </row>
    <row r="18">
      <c r="B18" s="23" t="inlineStr">
        <is>
          <t>Gross margin</t>
        </is>
      </c>
      <c r="C18" s="24">
        <f>IFERROR(MIN((1-FoodCostPct)/0.7,1),0)</f>
        <v/>
      </c>
      <c r="D18" s="25">
        <f>IF(C18&gt;=0.85,"Strong",IF(C18&gt;=0.6,"OK","Watch"))</f>
        <v/>
      </c>
    </row>
    <row r="21" ht="26" customHeight="1">
      <c r="B21" s="2" t="inlineStr">
        <is>
          <t>Food Cost &amp; Inventory Command Center™ — count it, cost it, control it.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🧮  FOOD COST CALC</t>
        </is>
      </c>
    </row>
    <row r="2" ht="22" customHeight="1">
      <c r="A2" s="2" t="inlineStr">
        <is>
          <t xml:space="preserve">  Beginning + Purchases − Ending ÷ Sales = your true food-cost %. Everything flows in here.</t>
        </is>
      </c>
    </row>
    <row r="3" ht="6" customHeight="1">
      <c r="A3" s="3" t="n"/>
      <c r="B3" s="3" t="n"/>
      <c r="C3" s="3" t="n"/>
    </row>
    <row r="5" ht="30" customHeight="1">
      <c r="B5" s="9" t="inlineStr">
        <is>
          <t>Line</t>
        </is>
      </c>
      <c r="C5" s="9" t="inlineStr">
        <is>
          <t>Amount</t>
        </is>
      </c>
    </row>
    <row r="6">
      <c r="B6" s="20" t="inlineStr">
        <is>
          <t>Beginning inventory</t>
        </is>
      </c>
      <c r="C6" s="26" t="n">
        <v>12400</v>
      </c>
    </row>
    <row r="7">
      <c r="B7" s="23" t="inlineStr">
        <is>
          <t>+ Purchases (from log)</t>
        </is>
      </c>
      <c r="C7" s="25">
        <f>PurchTotal</f>
        <v/>
      </c>
    </row>
    <row r="8">
      <c r="B8" s="20" t="inlineStr">
        <is>
          <t>− Ending inventory (from count)</t>
        </is>
      </c>
      <c r="C8" s="22">
        <f>InvValue</f>
        <v/>
      </c>
    </row>
    <row r="9">
      <c r="B9" s="20">
        <f> Food used (COGS)</f>
        <v/>
      </c>
      <c r="C9" s="27">
        <f>C6+C7-C8</f>
        <v/>
      </c>
    </row>
    <row r="10">
      <c r="B10" s="20" t="inlineStr">
        <is>
          <t>÷ Food sales (from log)</t>
        </is>
      </c>
      <c r="C10" s="22">
        <f>SalesTotal</f>
        <v/>
      </c>
    </row>
    <row r="12">
      <c r="B12" s="9">
        <f> FOOD COST %</f>
        <v/>
      </c>
      <c r="C12" s="28">
        <f>IFERROR(FoodCostDollar/SalesTotal,0)</f>
        <v/>
      </c>
    </row>
    <row r="14">
      <c r="B14" s="29" t="inlineStr">
        <is>
          <t>Avg inventory  ·  (Begin + End) ÷ 2</t>
        </is>
      </c>
      <c r="C14" s="30">
        <f>(Beginning+InvValue)/2</f>
        <v/>
      </c>
    </row>
    <row r="15">
      <c r="B15" s="29" t="inlineStr">
        <is>
          <t>Inventory turns  ·  Food used ÷ Avg inventory</t>
        </is>
      </c>
      <c r="C15" s="31">
        <f>IFERROR(FoodCostDollar/AvgInv,0)</f>
        <v/>
      </c>
    </row>
    <row r="17">
      <c r="B17" s="7" t="inlineStr">
        <is>
          <t>Change one count or invoice and your food-cost % updates instantly.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4" customWidth="1" min="4" max="4"/>
    <col width="10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📦  INVENTORY COUNT</t>
        </is>
      </c>
    </row>
    <row r="2" ht="22" customHeight="1">
      <c r="A2" s="2" t="inlineStr">
        <is>
          <t xml:space="preserve">  Count × unit cost = extended value. Add it up and that's your inventory, to the dollar.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Count</t>
        </is>
      </c>
      <c r="D4" s="9" t="inlineStr">
        <is>
          <t>Unit Cost</t>
        </is>
      </c>
      <c r="E4" s="9" t="inlineStr">
        <is>
          <t>Unit</t>
        </is>
      </c>
      <c r="F4" s="9" t="inlineStr">
        <is>
          <t>Ext. Value</t>
        </is>
      </c>
    </row>
    <row r="5">
      <c r="B5" s="20" t="inlineStr">
        <is>
          <t>Beef</t>
        </is>
      </c>
      <c r="C5" s="32" t="n">
        <v>120</v>
      </c>
      <c r="D5" s="33" t="n">
        <v>6.5</v>
      </c>
      <c r="E5" s="22" t="inlineStr">
        <is>
          <t>lb</t>
        </is>
      </c>
      <c r="F5" s="34">
        <f>C5*D5</f>
        <v/>
      </c>
    </row>
    <row r="6">
      <c r="B6" s="23" t="inlineStr">
        <is>
          <t>Chicken</t>
        </is>
      </c>
      <c r="C6" s="35" t="n">
        <v>180</v>
      </c>
      <c r="D6" s="36" t="n">
        <v>2.8</v>
      </c>
      <c r="E6" s="25" t="inlineStr">
        <is>
          <t>lb</t>
        </is>
      </c>
      <c r="F6" s="37">
        <f>C6*D6</f>
        <v/>
      </c>
    </row>
    <row r="7">
      <c r="B7" s="20" t="inlineStr">
        <is>
          <t>Salmon</t>
        </is>
      </c>
      <c r="C7" s="32" t="n">
        <v>60</v>
      </c>
      <c r="D7" s="33" t="n">
        <v>9</v>
      </c>
      <c r="E7" s="22" t="inlineStr">
        <is>
          <t>lb</t>
        </is>
      </c>
      <c r="F7" s="34">
        <f>C7*D7</f>
        <v/>
      </c>
    </row>
    <row r="8">
      <c r="B8" s="23" t="inlineStr">
        <is>
          <t>Produce mix</t>
        </is>
      </c>
      <c r="C8" s="35" t="n">
        <v>24</v>
      </c>
      <c r="D8" s="36" t="n">
        <v>32</v>
      </c>
      <c r="E8" s="25" t="inlineStr">
        <is>
          <t>case</t>
        </is>
      </c>
      <c r="F8" s="37">
        <f>C8*D8</f>
        <v/>
      </c>
    </row>
    <row r="9">
      <c r="B9" s="20" t="inlineStr">
        <is>
          <t>Cheese</t>
        </is>
      </c>
      <c r="C9" s="32" t="n">
        <v>18</v>
      </c>
      <c r="D9" s="33" t="n">
        <v>48</v>
      </c>
      <c r="E9" s="22" t="inlineStr">
        <is>
          <t>case</t>
        </is>
      </c>
      <c r="F9" s="34">
        <f>C9*D9</f>
        <v/>
      </c>
    </row>
    <row r="10">
      <c r="B10" s="23" t="inlineStr">
        <is>
          <t>Dairy</t>
        </is>
      </c>
      <c r="C10" s="35" t="n">
        <v>20</v>
      </c>
      <c r="D10" s="36" t="n">
        <v>28</v>
      </c>
      <c r="E10" s="25" t="inlineStr">
        <is>
          <t>case</t>
        </is>
      </c>
      <c r="F10" s="37">
        <f>C10*D10</f>
        <v/>
      </c>
    </row>
    <row r="11">
      <c r="B11" s="20" t="inlineStr">
        <is>
          <t>Flour / dry</t>
        </is>
      </c>
      <c r="C11" s="32" t="n">
        <v>40</v>
      </c>
      <c r="D11" s="33" t="n">
        <v>22</v>
      </c>
      <c r="E11" s="22" t="inlineStr">
        <is>
          <t>case</t>
        </is>
      </c>
      <c r="F11" s="34">
        <f>C11*D11</f>
        <v/>
      </c>
    </row>
    <row r="12">
      <c r="B12" s="23" t="inlineStr">
        <is>
          <t>Canned goods</t>
        </is>
      </c>
      <c r="C12" s="35" t="n">
        <v>60</v>
      </c>
      <c r="D12" s="36" t="n">
        <v>18</v>
      </c>
      <c r="E12" s="25" t="inlineStr">
        <is>
          <t>case</t>
        </is>
      </c>
      <c r="F12" s="37">
        <f>C12*D12</f>
        <v/>
      </c>
    </row>
    <row r="13">
      <c r="B13" s="20" t="inlineStr">
        <is>
          <t>Beverages</t>
        </is>
      </c>
      <c r="C13" s="32" t="n">
        <v>50</v>
      </c>
      <c r="D13" s="33" t="n">
        <v>16</v>
      </c>
      <c r="E13" s="22" t="inlineStr">
        <is>
          <t>case</t>
        </is>
      </c>
      <c r="F13" s="34">
        <f>C13*D13</f>
        <v/>
      </c>
    </row>
    <row r="14">
      <c r="B14" s="23" t="inlineStr">
        <is>
          <t>Wine / beer</t>
        </is>
      </c>
      <c r="C14" s="35" t="n">
        <v>30</v>
      </c>
      <c r="D14" s="36" t="n">
        <v>40</v>
      </c>
      <c r="E14" s="25" t="inlineStr">
        <is>
          <t>case</t>
        </is>
      </c>
      <c r="F14" s="37">
        <f>C14*D14</f>
        <v/>
      </c>
    </row>
    <row r="15">
      <c r="B15" s="20" t="inlineStr">
        <is>
          <t>Frozen</t>
        </is>
      </c>
      <c r="C15" s="32" t="n">
        <v>45</v>
      </c>
      <c r="D15" s="33" t="n">
        <v>35</v>
      </c>
      <c r="E15" s="22" t="inlineStr">
        <is>
          <t>case</t>
        </is>
      </c>
      <c r="F15" s="34">
        <f>C15*D15</f>
        <v/>
      </c>
    </row>
    <row r="16">
      <c r="B16" s="23" t="inlineStr">
        <is>
          <t>Paper goods</t>
        </is>
      </c>
      <c r="C16" s="35" t="n">
        <v>55</v>
      </c>
      <c r="D16" s="36" t="n">
        <v>15</v>
      </c>
      <c r="E16" s="25" t="inlineStr">
        <is>
          <t>case</t>
        </is>
      </c>
      <c r="F16" s="37">
        <f>C16*D16</f>
        <v/>
      </c>
    </row>
    <row r="17">
      <c r="B17" s="20" t="inlineStr">
        <is>
          <t>Oil / fats</t>
        </is>
      </c>
      <c r="C17" s="32" t="n">
        <v>24</v>
      </c>
      <c r="D17" s="33" t="n">
        <v>19</v>
      </c>
      <c r="E17" s="22" t="inlineStr">
        <is>
          <t>jug</t>
        </is>
      </c>
      <c r="F17" s="34">
        <f>C17*D17</f>
        <v/>
      </c>
    </row>
    <row r="18">
      <c r="B18" s="23" t="inlineStr">
        <is>
          <t>Spices / misc</t>
        </is>
      </c>
      <c r="C18" s="35" t="n">
        <v>1</v>
      </c>
      <c r="D18" s="36" t="n">
        <v>968</v>
      </c>
      <c r="E18" s="25" t="inlineStr">
        <is>
          <t>lot</t>
        </is>
      </c>
      <c r="F18" s="37">
        <f>C18*D18</f>
        <v/>
      </c>
    </row>
    <row r="19">
      <c r="B19" s="9" t="inlineStr">
        <is>
          <t>INVENTORY VALUE</t>
        </is>
      </c>
      <c r="C19" s="38" t="n"/>
      <c r="D19" s="38" t="n"/>
      <c r="E19" s="38" t="n"/>
      <c r="F19" s="39">
        <f>SUM(InvExt)</f>
        <v/>
      </c>
    </row>
  </sheetData>
  <mergeCells count="2">
    <mergeCell ref="A2:F2"/>
    <mergeCell ref="A1:F1"/>
  </mergeCells>
  <dataValidations count="1">
    <dataValidation sqref="E5:E18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🧾  PURCHASES LOG</t>
        </is>
      </c>
    </row>
    <row r="2" ht="22" customHeight="1">
      <c r="A2" s="2" t="inlineStr">
        <is>
          <t xml:space="preserve">  Every invoice in — by vendor &amp; category. The total flows into your food cost.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Vendor</t>
        </is>
      </c>
      <c r="C4" s="9" t="inlineStr">
        <is>
          <t>Category</t>
        </is>
      </c>
      <c r="D4" s="9" t="inlineStr">
        <is>
          <t>Amount</t>
        </is>
      </c>
    </row>
    <row r="5">
      <c r="B5" s="20" t="inlineStr">
        <is>
          <t>Meat Co.</t>
        </is>
      </c>
      <c r="C5" s="20" t="inlineStr">
        <is>
          <t>Meat &amp; seafood</t>
        </is>
      </c>
      <c r="D5" s="40" t="n">
        <v>6800</v>
      </c>
    </row>
    <row r="6">
      <c r="B6" s="23" t="inlineStr">
        <is>
          <t>Green Farms</t>
        </is>
      </c>
      <c r="C6" s="23" t="inlineStr">
        <is>
          <t>Produce</t>
        </is>
      </c>
      <c r="D6" s="41" t="n">
        <v>3600</v>
      </c>
    </row>
    <row r="7">
      <c r="B7" s="20" t="inlineStr">
        <is>
          <t>Dairy Best</t>
        </is>
      </c>
      <c r="C7" s="20" t="inlineStr">
        <is>
          <t>Dairy &amp; eggs</t>
        </is>
      </c>
      <c r="D7" s="40" t="n">
        <v>2300</v>
      </c>
    </row>
    <row r="8">
      <c r="B8" s="23" t="inlineStr">
        <is>
          <t>Broadline Foods</t>
        </is>
      </c>
      <c r="C8" s="23" t="inlineStr">
        <is>
          <t>Dry goods</t>
        </is>
      </c>
      <c r="D8" s="41" t="n">
        <v>3200</v>
      </c>
    </row>
    <row r="9">
      <c r="B9" s="20" t="inlineStr">
        <is>
          <t>BevDist</t>
        </is>
      </c>
      <c r="C9" s="20" t="inlineStr">
        <is>
          <t>Beverages</t>
        </is>
      </c>
      <c r="D9" s="40" t="n">
        <v>1700</v>
      </c>
    </row>
    <row r="10">
      <c r="B10" s="23" t="inlineStr">
        <is>
          <t>PaperPlus</t>
        </is>
      </c>
      <c r="C10" s="23" t="inlineStr">
        <is>
          <t>Paper/disposables</t>
        </is>
      </c>
      <c r="D10" s="41" t="n">
        <v>1000</v>
      </c>
    </row>
    <row r="11">
      <c r="B11" s="9" t="inlineStr">
        <is>
          <t>PURCHASES TOTAL</t>
        </is>
      </c>
      <c r="C11" s="38" t="n"/>
      <c r="D11" s="42">
        <f>SUM(PurchAmt)</f>
        <v/>
      </c>
    </row>
  </sheetData>
  <mergeCells count="2">
    <mergeCell ref="A1:D1"/>
    <mergeCell ref="A2:D2"/>
  </mergeCells>
  <dataValidations count="6">
    <dataValidation sqref="C5" showDropDown="0" showInputMessage="0" showErrorMessage="0" allowBlank="1" type="list">
      <formula1>=CatList</formula1>
    </dataValidation>
    <dataValidation sqref="C6" showDropDown="0" showInputMessage="0" showErrorMessage="0" allowBlank="1" type="list">
      <formula1>=CatList</formula1>
    </dataValidation>
    <dataValidation sqref="C7" showDropDown="0" showInputMessage="0" showErrorMessage="0" allowBlank="1" type="list">
      <formula1>=CatList</formula1>
    </dataValidation>
    <dataValidation sqref="C8" showDropDown="0" showInputMessage="0" showErrorMessage="0" allowBlank="1" type="list">
      <formula1>=CatList</formula1>
    </dataValidation>
    <dataValidation sqref="C9" showDropDown="0" showInputMessage="0" showErrorMessage="0" allowBlank="1" type="list">
      <formula1>=CatList</formula1>
    </dataValidation>
    <dataValidation sqref="C10" showDropDown="0" showInputMessage="0" showErrorMessage="0" allowBlank="1" type="list">
      <formula1>=CatList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📈  SALES LOG</t>
        </is>
      </c>
    </row>
    <row r="2" ht="22" customHeight="1">
      <c r="A2" s="2" t="inlineStr">
        <is>
          <t xml:space="preserve">  Food sales for the period — the denominator of your food-cost %.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Period</t>
        </is>
      </c>
      <c r="C4" s="9" t="inlineStr">
        <is>
          <t>Sales</t>
        </is>
      </c>
    </row>
    <row r="5">
      <c r="B5" s="20" t="inlineStr">
        <is>
          <t>Week 1</t>
        </is>
      </c>
      <c r="C5" s="40" t="n">
        <v>15200</v>
      </c>
    </row>
    <row r="6">
      <c r="B6" s="23" t="inlineStr">
        <is>
          <t>Week 2</t>
        </is>
      </c>
      <c r="C6" s="41" t="n">
        <v>16400</v>
      </c>
    </row>
    <row r="7">
      <c r="B7" s="20" t="inlineStr">
        <is>
          <t>Week 3</t>
        </is>
      </c>
      <c r="C7" s="40" t="n">
        <v>16800</v>
      </c>
    </row>
    <row r="8">
      <c r="B8" s="23" t="inlineStr">
        <is>
          <t>Week 4</t>
        </is>
      </c>
      <c r="C8" s="41" t="n">
        <v>15600</v>
      </c>
    </row>
    <row r="9">
      <c r="B9" s="9" t="inlineStr">
        <is>
          <t>SALES TOTAL</t>
        </is>
      </c>
      <c r="C9" s="42">
        <f>SUM(SalesAmt)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🔍  USAGE &amp; VARIANCE</t>
        </is>
      </c>
    </row>
    <row r="2" ht="22" customHeight="1">
      <c r="A2" s="2" t="inlineStr">
        <is>
          <t xml:space="preserve">  Theoretical usage (what recipes say) vs actual (what you used) — the gap is shrinkage.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Category</t>
        </is>
      </c>
      <c r="C4" s="9" t="inlineStr">
        <is>
          <t>Theoretical</t>
        </is>
      </c>
      <c r="D4" s="9" t="inlineStr">
        <is>
          <t>Actual</t>
        </is>
      </c>
      <c r="E4" s="9" t="inlineStr">
        <is>
          <t>Variance %</t>
        </is>
      </c>
    </row>
    <row r="5">
      <c r="B5" s="20" t="inlineStr">
        <is>
          <t>Meat &amp; seafood</t>
        </is>
      </c>
      <c r="C5" s="40" t="n">
        <v>7000</v>
      </c>
      <c r="D5" s="40" t="n">
        <v>7200</v>
      </c>
      <c r="E5" s="43">
        <f>IFERROR((D5-C5)/C5,0)</f>
        <v/>
      </c>
    </row>
    <row r="6">
      <c r="B6" s="23" t="inlineStr">
        <is>
          <t>Produce</t>
        </is>
      </c>
      <c r="C6" s="41" t="n">
        <v>3800</v>
      </c>
      <c r="D6" s="41" t="n">
        <v>3900</v>
      </c>
      <c r="E6" s="44">
        <f>IFERROR((D6-C6)/C6,0)</f>
        <v/>
      </c>
    </row>
    <row r="7">
      <c r="B7" s="20" t="inlineStr">
        <is>
          <t>Dairy &amp; eggs</t>
        </is>
      </c>
      <c r="C7" s="40" t="n">
        <v>2350</v>
      </c>
      <c r="D7" s="40" t="n">
        <v>2400</v>
      </c>
      <c r="E7" s="43">
        <f>IFERROR((D7-C7)/C7,0)</f>
        <v/>
      </c>
    </row>
    <row r="8">
      <c r="B8" s="23" t="inlineStr">
        <is>
          <t>Dry goods</t>
        </is>
      </c>
      <c r="C8" s="41" t="n">
        <v>2650</v>
      </c>
      <c r="D8" s="41" t="n">
        <v>2700</v>
      </c>
      <c r="E8" s="44">
        <f>IFERROR((D8-C8)/C8,0)</f>
        <v/>
      </c>
    </row>
    <row r="9">
      <c r="B9" s="20" t="inlineStr">
        <is>
          <t>Beverages</t>
        </is>
      </c>
      <c r="C9" s="40" t="n">
        <v>1750</v>
      </c>
      <c r="D9" s="40" t="n">
        <v>1800</v>
      </c>
      <c r="E9" s="43">
        <f>IFERROR((D9-C9)/C9,0)</f>
        <v/>
      </c>
    </row>
    <row r="10">
      <c r="B10" s="23" t="inlineStr">
        <is>
          <t>Paper/disposables</t>
        </is>
      </c>
      <c r="C10" s="41" t="n">
        <v>1100</v>
      </c>
      <c r="D10" s="41" t="n">
        <v>1200</v>
      </c>
      <c r="E10" s="44">
        <f>IFERROR((D10-C10)/C10,0)</f>
        <v/>
      </c>
    </row>
    <row r="11">
      <c r="B11" s="9" t="inlineStr">
        <is>
          <t>TOTAL</t>
        </is>
      </c>
      <c r="C11" s="42">
        <f>SUM(C5:C10)</f>
        <v/>
      </c>
      <c r="D11" s="42">
        <f>SUM(D5:D10)</f>
        <v/>
      </c>
      <c r="E11" s="45">
        <f>IFERROR((D11-C11)/C11,0)</f>
        <v/>
      </c>
    </row>
  </sheetData>
  <mergeCells count="2">
    <mergeCell ref="A2:E2"/>
    <mergeCell ref="A1:E1"/>
  </mergeCells>
  <conditionalFormatting sqref="E5:E10">
    <cfRule type="cellIs" priority="1" operator="greaterThan" dxfId="0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12" customWidth="1" min="4" max="4"/>
    <col width="12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📥  PAR &amp; ORDERING</t>
        </is>
      </c>
    </row>
    <row r="2" ht="22" customHeight="1">
      <c r="A2" s="2" t="inlineStr">
        <is>
          <t xml:space="preserve">  Par vs on hand × unit cost = what to order and what it costs — before you run out.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Par</t>
        </is>
      </c>
      <c r="D4" s="9" t="inlineStr">
        <is>
          <t>On Hand</t>
        </is>
      </c>
      <c r="E4" s="9" t="inlineStr">
        <is>
          <t>Unit Cost</t>
        </is>
      </c>
      <c r="F4" s="9" t="inlineStr">
        <is>
          <t>Order $</t>
        </is>
      </c>
    </row>
    <row r="5">
      <c r="B5" s="20" t="inlineStr">
        <is>
          <t>Beef</t>
        </is>
      </c>
      <c r="C5" s="32" t="n">
        <v>150</v>
      </c>
      <c r="D5" s="32" t="n">
        <v>120</v>
      </c>
      <c r="E5" s="33" t="n">
        <v>6.5</v>
      </c>
      <c r="F5" s="34">
        <f>MAX(C5-D5,0)*E5</f>
        <v/>
      </c>
    </row>
    <row r="6">
      <c r="B6" s="23" t="inlineStr">
        <is>
          <t>Chicken</t>
        </is>
      </c>
      <c r="C6" s="35" t="n">
        <v>220</v>
      </c>
      <c r="D6" s="35" t="n">
        <v>180</v>
      </c>
      <c r="E6" s="36" t="n">
        <v>2.8</v>
      </c>
      <c r="F6" s="37">
        <f>MAX(C6-D6,0)*E6</f>
        <v/>
      </c>
    </row>
    <row r="7">
      <c r="B7" s="20" t="inlineStr">
        <is>
          <t>Salmon</t>
        </is>
      </c>
      <c r="C7" s="32" t="n">
        <v>90</v>
      </c>
      <c r="D7" s="32" t="n">
        <v>60</v>
      </c>
      <c r="E7" s="33" t="n">
        <v>9</v>
      </c>
      <c r="F7" s="34">
        <f>MAX(C7-D7,0)*E7</f>
        <v/>
      </c>
    </row>
    <row r="8">
      <c r="B8" s="23" t="inlineStr">
        <is>
          <t>Produce mix</t>
        </is>
      </c>
      <c r="C8" s="35" t="n">
        <v>40</v>
      </c>
      <c r="D8" s="35" t="n">
        <v>24</v>
      </c>
      <c r="E8" s="36" t="n">
        <v>32</v>
      </c>
      <c r="F8" s="37">
        <f>MAX(C8-D8,0)*E8</f>
        <v/>
      </c>
    </row>
    <row r="9">
      <c r="B9" s="20" t="inlineStr">
        <is>
          <t>Cheese</t>
        </is>
      </c>
      <c r="C9" s="32" t="n">
        <v>30</v>
      </c>
      <c r="D9" s="32" t="n">
        <v>18</v>
      </c>
      <c r="E9" s="33" t="n">
        <v>48</v>
      </c>
      <c r="F9" s="34">
        <f>MAX(C9-D9,0)*E9</f>
        <v/>
      </c>
    </row>
    <row r="10">
      <c r="B10" s="23" t="inlineStr">
        <is>
          <t>Dairy</t>
        </is>
      </c>
      <c r="C10" s="35" t="n">
        <v>30</v>
      </c>
      <c r="D10" s="35" t="n">
        <v>20</v>
      </c>
      <c r="E10" s="36" t="n">
        <v>28</v>
      </c>
      <c r="F10" s="37">
        <f>MAX(C10-D10,0)*E10</f>
        <v/>
      </c>
    </row>
    <row r="11">
      <c r="B11" s="20" t="inlineStr">
        <is>
          <t>Dry goods</t>
        </is>
      </c>
      <c r="C11" s="32" t="n">
        <v>60</v>
      </c>
      <c r="D11" s="32" t="n">
        <v>40</v>
      </c>
      <c r="E11" s="33" t="n">
        <v>22</v>
      </c>
      <c r="F11" s="34">
        <f>MAX(C11-D11,0)*E11</f>
        <v/>
      </c>
    </row>
    <row r="12">
      <c r="B12" s="23" t="inlineStr">
        <is>
          <t>Beverages</t>
        </is>
      </c>
      <c r="C12" s="35" t="n">
        <v>70</v>
      </c>
      <c r="D12" s="35" t="n">
        <v>50</v>
      </c>
      <c r="E12" s="36" t="n">
        <v>16</v>
      </c>
      <c r="F12" s="37">
        <f>MAX(C12-D12,0)*E12</f>
        <v/>
      </c>
    </row>
    <row r="13">
      <c r="B13" s="9" t="inlineStr">
        <is>
          <t>TO ORDER</t>
        </is>
      </c>
      <c r="C13" s="38" t="n"/>
      <c r="D13" s="38" t="n"/>
      <c r="E13" s="38" t="n"/>
      <c r="F13" s="42">
        <f>SUM(OrderVal)</f>
        <v/>
      </c>
    </row>
  </sheetData>
  <mergeCells count="2">
    <mergeCell ref="A2:F2"/>
    <mergeCell ref="A1:F1"/>
  </mergeCells>
  <conditionalFormatting sqref="D5:D12">
    <cfRule type="cellIs" priority="1" operator="lessThan" dxfId="0">
      <formula>C5*0.5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2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🤝  VENDORS</t>
        </is>
      </c>
    </row>
    <row r="2" ht="22" customHeight="1">
      <c r="A2" s="2" t="inlineStr">
        <is>
          <t xml:space="preserve">  Who you buy from — category, contact &amp; standing. Keep two per category.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Vendor</t>
        </is>
      </c>
      <c r="C4" s="9" t="inlineStr">
        <is>
          <t>Category</t>
        </is>
      </c>
      <c r="D4" s="9" t="inlineStr">
        <is>
          <t>Contact</t>
        </is>
      </c>
      <c r="E4" s="9" t="inlineStr">
        <is>
          <t>Status</t>
        </is>
      </c>
    </row>
    <row r="5">
      <c r="B5" s="46" t="inlineStr">
        <is>
          <t>Meat Co.</t>
        </is>
      </c>
      <c r="C5" s="46" t="inlineStr">
        <is>
          <t>Meat &amp; seafood</t>
        </is>
      </c>
      <c r="D5" s="46" t="inlineStr">
        <is>
          <t>orders@meatco.com</t>
        </is>
      </c>
      <c r="E5" s="47" t="inlineStr">
        <is>
          <t>Preferred</t>
        </is>
      </c>
    </row>
    <row r="6">
      <c r="B6" s="23" t="inlineStr">
        <is>
          <t>Green Farms</t>
        </is>
      </c>
      <c r="C6" s="23" t="inlineStr">
        <is>
          <t>Produce</t>
        </is>
      </c>
      <c r="D6" s="23" t="inlineStr">
        <is>
          <t>sales@greenfarms.com</t>
        </is>
      </c>
      <c r="E6" s="25" t="inlineStr">
        <is>
          <t>Preferred</t>
        </is>
      </c>
    </row>
    <row r="7">
      <c r="B7" s="46" t="inlineStr">
        <is>
          <t>Dairy Best</t>
        </is>
      </c>
      <c r="C7" s="46" t="inlineStr">
        <is>
          <t>Dairy &amp; eggs</t>
        </is>
      </c>
      <c r="D7" s="46" t="inlineStr">
        <is>
          <t>hello@dairybest.com</t>
        </is>
      </c>
      <c r="E7" s="47" t="inlineStr">
        <is>
          <t>Preferred</t>
        </is>
      </c>
    </row>
    <row r="8">
      <c r="B8" s="23" t="inlineStr">
        <is>
          <t>Broadline Foods</t>
        </is>
      </c>
      <c r="C8" s="23" t="inlineStr">
        <is>
          <t>Dry goods</t>
        </is>
      </c>
      <c r="D8" s="23" t="inlineStr">
        <is>
          <t>csr@broadline.com</t>
        </is>
      </c>
      <c r="E8" s="25" t="inlineStr">
        <is>
          <t>Backup</t>
        </is>
      </c>
    </row>
    <row r="9">
      <c r="B9" s="46" t="inlineStr">
        <is>
          <t>BevDist</t>
        </is>
      </c>
      <c r="C9" s="46" t="inlineStr">
        <is>
          <t>Beverages</t>
        </is>
      </c>
      <c r="D9" s="46" t="inlineStr">
        <is>
          <t>orders@bevdist.com</t>
        </is>
      </c>
      <c r="E9" s="47" t="inlineStr">
        <is>
          <t>Preferred</t>
        </is>
      </c>
    </row>
    <row r="10">
      <c r="B10" s="23" t="inlineStr">
        <is>
          <t>PaperPlus</t>
        </is>
      </c>
      <c r="C10" s="23" t="inlineStr">
        <is>
          <t>Paper/disposables</t>
        </is>
      </c>
      <c r="D10" s="23" t="inlineStr">
        <is>
          <t>team@paperplus.com</t>
        </is>
      </c>
      <c r="E10" s="25" t="inlineStr">
        <is>
          <t>Backup</t>
        </is>
      </c>
    </row>
    <row r="11">
      <c r="B11" s="46" t="n"/>
      <c r="C11" s="46" t="n"/>
      <c r="D11" s="46" t="n"/>
      <c r="E11" s="47" t="n"/>
    </row>
    <row r="12">
      <c r="B12" s="23" t="n"/>
      <c r="C12" s="23" t="n"/>
      <c r="D12" s="23" t="n"/>
      <c r="E12" s="25" t="n"/>
    </row>
    <row r="13">
      <c r="B13" s="46" t="n"/>
      <c r="C13" s="46" t="n"/>
      <c r="D13" s="46" t="n"/>
      <c r="E13" s="47" t="n"/>
    </row>
    <row r="14">
      <c r="B14" s="23" t="n"/>
      <c r="C14" s="23" t="n"/>
      <c r="D14" s="23" t="n"/>
      <c r="E14" s="25" t="n"/>
    </row>
    <row r="15">
      <c r="B15" s="46" t="n"/>
      <c r="C15" s="46" t="n"/>
      <c r="D15" s="46" t="n"/>
      <c r="E15" s="47" t="n"/>
    </row>
    <row r="16">
      <c r="B16" s="23" t="n"/>
      <c r="C16" s="23" t="n"/>
      <c r="D16" s="23" t="n"/>
      <c r="E16" s="25" t="n"/>
    </row>
    <row r="17">
      <c r="B17" s="46" t="n"/>
      <c r="C17" s="46" t="n"/>
      <c r="D17" s="46" t="n"/>
      <c r="E17" s="47" t="n"/>
    </row>
    <row r="18">
      <c r="B18" s="23" t="n"/>
      <c r="C18" s="23" t="n"/>
      <c r="D18" s="23" t="n"/>
      <c r="E18" s="25" t="n"/>
    </row>
    <row r="19">
      <c r="B19" s="46" t="n"/>
      <c r="C19" s="46" t="n"/>
      <c r="D19" s="46" t="n"/>
      <c r="E19" s="47" t="n"/>
    </row>
    <row r="20">
      <c r="B20" s="23" t="n"/>
      <c r="C20" s="23" t="n"/>
      <c r="D20" s="23" t="n"/>
      <c r="E20" s="25" t="n"/>
    </row>
    <row r="21">
      <c r="B21" s="46" t="n"/>
      <c r="C21" s="46" t="n"/>
      <c r="D21" s="46" t="n"/>
      <c r="E21" s="47" t="n"/>
    </row>
    <row r="22">
      <c r="B22" s="23" t="n"/>
      <c r="C22" s="23" t="n"/>
      <c r="D22" s="23" t="n"/>
      <c r="E22" s="25" t="n"/>
    </row>
    <row r="23">
      <c r="B23" s="46" t="n"/>
      <c r="C23" s="46" t="n"/>
      <c r="D23" s="46" t="n"/>
      <c r="E23" s="47" t="n"/>
    </row>
    <row r="24">
      <c r="B24" s="23" t="n"/>
      <c r="C24" s="23" t="n"/>
      <c r="D24" s="23" t="n"/>
      <c r="E24" s="25" t="n"/>
    </row>
    <row r="25">
      <c r="B25" s="46" t="n"/>
      <c r="C25" s="46" t="n"/>
      <c r="D25" s="46" t="n"/>
      <c r="E25" s="47" t="n"/>
    </row>
    <row r="26">
      <c r="B26" s="23" t="n"/>
      <c r="C26" s="23" t="n"/>
      <c r="D26" s="23" t="n"/>
      <c r="E26" s="25" t="n"/>
    </row>
    <row r="27">
      <c r="B27" s="46" t="n"/>
      <c r="C27" s="46" t="n"/>
      <c r="D27" s="46" t="n"/>
      <c r="E27" s="47" t="n"/>
    </row>
    <row r="28">
      <c r="B28" s="23" t="n"/>
      <c r="C28" s="23" t="n"/>
      <c r="D28" s="23" t="n"/>
      <c r="E28" s="25" t="n"/>
    </row>
  </sheetData>
  <mergeCells count="2">
    <mergeCell ref="A2:E2"/>
    <mergeCell ref="A1:E1"/>
  </mergeCells>
  <conditionalFormatting sqref="E5:E28">
    <cfRule type="cellIs" priority="1" operator="equal" dxfId="1">
      <formula>"Preferred"</formula>
    </cfRule>
    <cfRule type="cellIs" priority="2" operator="equal" dxfId="2">
      <formula>"Backup"</formula>
    </cfRule>
    <cfRule type="cellIs" priority="3" operator="equal" dxfId="0">
      <formula>"Watch"</formula>
    </cfRule>
  </conditionalFormatting>
  <dataValidations count="2">
    <dataValidation sqref="C5:C28" showDropDown="0" showInputMessage="0" showErrorMessage="0" allowBlank="1" type="list">
      <formula1>=CatList</formula1>
    </dataValidation>
    <dataValidation sqref="E5:E28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12" customWidth="1" min="4" max="4"/>
    <col width="18" customWidth="1" min="5" max="5"/>
    <col width="12" customWidth="1" min="6" max="6"/>
    <col width="14" customWidth="1" min="7" max="7"/>
    <col width="2" customWidth="1" min="8" max="8"/>
  </cols>
  <sheetData>
    <row r="1" ht="46" customHeight="1">
      <c r="A1" s="1" t="inlineStr">
        <is>
          <t xml:space="preserve">  🏷  PRICE TRACKER</t>
        </is>
      </c>
    </row>
    <row r="2" ht="22" customHeight="1">
      <c r="A2" s="2" t="inlineStr">
        <is>
          <t xml:space="preserve">  Compare two vendors on the same item — the cheaper one wins, and the gap adds up.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Item</t>
        </is>
      </c>
      <c r="C4" s="9" t="inlineStr">
        <is>
          <t>Vendor A</t>
        </is>
      </c>
      <c r="D4" s="9" t="inlineStr">
        <is>
          <t>Price A</t>
        </is>
      </c>
      <c r="E4" s="9" t="inlineStr">
        <is>
          <t>Vendor B</t>
        </is>
      </c>
      <c r="F4" s="9" t="inlineStr">
        <is>
          <t>Price B</t>
        </is>
      </c>
      <c r="G4" s="9" t="inlineStr">
        <is>
          <t>Best</t>
        </is>
      </c>
    </row>
    <row r="5">
      <c r="B5" s="20" t="inlineStr">
        <is>
          <t>Beef (lb)</t>
        </is>
      </c>
      <c r="C5" s="20" t="inlineStr">
        <is>
          <t>Meat Co.</t>
        </is>
      </c>
      <c r="D5" s="33" t="n">
        <v>6.5</v>
      </c>
      <c r="E5" s="20" t="inlineStr">
        <is>
          <t>Butcher Bros</t>
        </is>
      </c>
      <c r="F5" s="33" t="n">
        <v>6.85</v>
      </c>
      <c r="G5" s="48">
        <f>IF(D5&lt;=F5,C5,E5)</f>
        <v/>
      </c>
    </row>
    <row r="6">
      <c r="B6" s="23" t="inlineStr">
        <is>
          <t>Chicken (lb)</t>
        </is>
      </c>
      <c r="C6" s="23" t="inlineStr">
        <is>
          <t>Meat Co.</t>
        </is>
      </c>
      <c r="D6" s="36" t="n">
        <v>2.8</v>
      </c>
      <c r="E6" s="23" t="inlineStr">
        <is>
          <t>Poultry Direct</t>
        </is>
      </c>
      <c r="F6" s="36" t="n">
        <v>2.65</v>
      </c>
      <c r="G6" s="49">
        <f>IF(D6&lt;=F6,C6,E6)</f>
        <v/>
      </c>
    </row>
    <row r="7">
      <c r="B7" s="20" t="inlineStr">
        <is>
          <t>Salmon (lb)</t>
        </is>
      </c>
      <c r="C7" s="20" t="inlineStr">
        <is>
          <t>SeaFresh</t>
        </is>
      </c>
      <c r="D7" s="33" t="n">
        <v>9</v>
      </c>
      <c r="E7" s="20" t="inlineStr">
        <is>
          <t>Ocean Co.</t>
        </is>
      </c>
      <c r="F7" s="33" t="n">
        <v>9.4</v>
      </c>
      <c r="G7" s="48">
        <f>IF(D7&lt;=F7,C7,E7)</f>
        <v/>
      </c>
    </row>
    <row r="8">
      <c r="B8" s="23" t="inlineStr">
        <is>
          <t>Produce mix (case)</t>
        </is>
      </c>
      <c r="C8" s="23" t="inlineStr">
        <is>
          <t>Green Farms</t>
        </is>
      </c>
      <c r="D8" s="36" t="n">
        <v>32</v>
      </c>
      <c r="E8" s="23" t="inlineStr">
        <is>
          <t>City Produce</t>
        </is>
      </c>
      <c r="F8" s="36" t="n">
        <v>34.5</v>
      </c>
      <c r="G8" s="49">
        <f>IF(D8&lt;=F8,C8,E8)</f>
        <v/>
      </c>
    </row>
    <row r="9">
      <c r="B9" s="20" t="inlineStr">
        <is>
          <t>Cheese (case)</t>
        </is>
      </c>
      <c r="C9" s="20" t="inlineStr">
        <is>
          <t>Dairy Best</t>
        </is>
      </c>
      <c r="D9" s="33" t="n">
        <v>48</v>
      </c>
      <c r="E9" s="20" t="inlineStr">
        <is>
          <t>Cheese Hub</t>
        </is>
      </c>
      <c r="F9" s="33" t="n">
        <v>46</v>
      </c>
      <c r="G9" s="48">
        <f>IF(D9&lt;=F9,C9,E9)</f>
        <v/>
      </c>
    </row>
    <row r="10">
      <c r="B10" s="23" t="inlineStr">
        <is>
          <t>Cooking oil (jug)</t>
        </is>
      </c>
      <c r="C10" s="23" t="inlineStr">
        <is>
          <t>Broadline Foods</t>
        </is>
      </c>
      <c r="D10" s="36" t="n">
        <v>19</v>
      </c>
      <c r="E10" s="23" t="inlineStr">
        <is>
          <t>Restaurant Depot</t>
        </is>
      </c>
      <c r="F10" s="36" t="n">
        <v>17.8</v>
      </c>
      <c r="G10" s="49">
        <f>IF(D10&lt;=F10,C10,E10)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2" customWidth="1" min="5" max="5"/>
    <col width="14" customWidth="1" min="6" max="6"/>
    <col width="2" customWidth="1" min="7" max="7"/>
  </cols>
  <sheetData>
    <row r="1" ht="46" customHeight="1">
      <c r="A1" s="1" t="inlineStr">
        <is>
          <t xml:space="preserve">  🍽  MENU COSTING</t>
        </is>
      </c>
    </row>
    <row r="2" ht="22" customHeight="1">
      <c r="A2" s="2" t="inlineStr">
        <is>
          <t xml:space="preserve">  Plate cost vs menu price — the food-cost % and margin on every dish.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Item</t>
        </is>
      </c>
      <c r="C4" s="9" t="inlineStr">
        <is>
          <t>Plate Cost</t>
        </is>
      </c>
      <c r="D4" s="9" t="inlineStr">
        <is>
          <t>Menu Price</t>
        </is>
      </c>
      <c r="E4" s="9" t="inlineStr">
        <is>
          <t>Food %</t>
        </is>
      </c>
      <c r="F4" s="9" t="inlineStr">
        <is>
          <t>Margin</t>
        </is>
      </c>
    </row>
    <row r="5">
      <c r="B5" s="20" t="inlineStr">
        <is>
          <t>House Burger</t>
        </is>
      </c>
      <c r="C5" s="33" t="n">
        <v>3.85</v>
      </c>
      <c r="D5" s="33" t="n">
        <v>14</v>
      </c>
      <c r="E5" s="21">
        <f>IFERROR(C5/D5,0)</f>
        <v/>
      </c>
      <c r="F5" s="50">
        <f>D5-C5</f>
        <v/>
      </c>
    </row>
    <row r="6">
      <c r="B6" s="23" t="inlineStr">
        <is>
          <t>Grilled Salmon</t>
        </is>
      </c>
      <c r="C6" s="36" t="n">
        <v>6.2</v>
      </c>
      <c r="D6" s="36" t="n">
        <v>24</v>
      </c>
      <c r="E6" s="24">
        <f>IFERROR(C6/D6,0)</f>
        <v/>
      </c>
      <c r="F6" s="51">
        <f>D6-C6</f>
        <v/>
      </c>
    </row>
    <row r="7">
      <c r="B7" s="20" t="inlineStr">
        <is>
          <t>Caesar Salad</t>
        </is>
      </c>
      <c r="C7" s="33" t="n">
        <v>2.1</v>
      </c>
      <c r="D7" s="33" t="n">
        <v>12</v>
      </c>
      <c r="E7" s="21">
        <f>IFERROR(C7/D7,0)</f>
        <v/>
      </c>
      <c r="F7" s="50">
        <f>D7-C7</f>
        <v/>
      </c>
    </row>
    <row r="8">
      <c r="B8" s="23" t="inlineStr">
        <is>
          <t>Pasta Primavera</t>
        </is>
      </c>
      <c r="C8" s="36" t="n">
        <v>2.6</v>
      </c>
      <c r="D8" s="36" t="n">
        <v>16</v>
      </c>
      <c r="E8" s="24">
        <f>IFERROR(C8/D8,0)</f>
        <v/>
      </c>
      <c r="F8" s="51">
        <f>D8-C8</f>
        <v/>
      </c>
    </row>
    <row r="9">
      <c r="B9" s="20" t="inlineStr">
        <is>
          <t>Steak Frites</t>
        </is>
      </c>
      <c r="C9" s="33" t="n">
        <v>7.4</v>
      </c>
      <c r="D9" s="33" t="n">
        <v>29</v>
      </c>
      <c r="E9" s="21">
        <f>IFERROR(C9/D9,0)</f>
        <v/>
      </c>
      <c r="F9" s="50">
        <f>D9-C9</f>
        <v/>
      </c>
    </row>
    <row r="10">
      <c r="B10" s="23" t="inlineStr">
        <is>
          <t>Fish Tacos</t>
        </is>
      </c>
      <c r="C10" s="36" t="n">
        <v>3.3</v>
      </c>
      <c r="D10" s="36" t="n">
        <v>15</v>
      </c>
      <c r="E10" s="24">
        <f>IFERROR(C10/D10,0)</f>
        <v/>
      </c>
      <c r="F10" s="51">
        <f>D10-C10</f>
        <v/>
      </c>
    </row>
  </sheetData>
  <mergeCells count="2">
    <mergeCell ref="A2:F2"/>
    <mergeCell ref="A1:F1"/>
  </mergeCells>
  <conditionalFormatting sqref="E5:E10">
    <cfRule type="colorScale" priority="1">
      <colorScale>
        <cfvo type="num" val="0.2"/>
        <cfvo type="num" val="0.32"/>
        <cfvo type="num" val="0.45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🗑  WASTE LOG</t>
        </is>
      </c>
    </row>
    <row r="2" ht="22" customHeight="1">
      <c r="A2" s="2" t="inlineStr">
        <is>
          <t xml:space="preserve">  Spoilage, over-prep &amp; expired stock — the leaks that quietly raise your food cost.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Reason</t>
        </is>
      </c>
      <c r="D4" s="9" t="inlineStr">
        <is>
          <t>Cost</t>
        </is>
      </c>
    </row>
    <row r="5">
      <c r="B5" s="46" t="inlineStr">
        <is>
          <t>Spoilage</t>
        </is>
      </c>
      <c r="C5" s="46" t="inlineStr">
        <is>
          <t>Produce past date</t>
        </is>
      </c>
      <c r="D5" s="52" t="n">
        <v>140</v>
      </c>
    </row>
    <row r="6">
      <c r="B6" s="23" t="inlineStr">
        <is>
          <t>Over-prep</t>
        </is>
      </c>
      <c r="C6" s="23" t="inlineStr">
        <is>
          <t>Batch surplus</t>
        </is>
      </c>
      <c r="D6" s="53" t="n">
        <v>110</v>
      </c>
    </row>
    <row r="7">
      <c r="B7" s="46" t="inlineStr">
        <is>
          <t>Expired</t>
        </is>
      </c>
      <c r="C7" s="46" t="inlineStr">
        <is>
          <t>Dairy</t>
        </is>
      </c>
      <c r="D7" s="52" t="n">
        <v>80</v>
      </c>
    </row>
    <row r="8">
      <c r="B8" s="23" t="inlineStr">
        <is>
          <t>Spill / drop</t>
        </is>
      </c>
      <c r="C8" s="23" t="inlineStr">
        <is>
          <t>Handling</t>
        </is>
      </c>
      <c r="D8" s="53" t="n">
        <v>50</v>
      </c>
    </row>
    <row r="9">
      <c r="B9" s="46" t="n"/>
      <c r="C9" s="46" t="n"/>
      <c r="D9" s="52" t="n"/>
    </row>
    <row r="10">
      <c r="B10" s="23" t="n"/>
      <c r="C10" s="23" t="n"/>
      <c r="D10" s="53" t="n"/>
    </row>
    <row r="11">
      <c r="B11" s="46" t="n"/>
      <c r="C11" s="46" t="n"/>
      <c r="D11" s="52" t="n"/>
    </row>
    <row r="12">
      <c r="B12" s="23" t="n"/>
      <c r="C12" s="23" t="n"/>
      <c r="D12" s="53" t="n"/>
    </row>
    <row r="13">
      <c r="B13" s="46" t="n"/>
      <c r="C13" s="46" t="n"/>
      <c r="D13" s="52" t="n"/>
    </row>
    <row r="14">
      <c r="B14" s="23" t="n"/>
      <c r="C14" s="23" t="n"/>
      <c r="D14" s="53" t="n"/>
    </row>
    <row r="15">
      <c r="B15" s="46" t="n"/>
      <c r="C15" s="46" t="n"/>
      <c r="D15" s="52" t="n"/>
    </row>
    <row r="16">
      <c r="B16" s="23" t="n"/>
      <c r="C16" s="23" t="n"/>
      <c r="D16" s="53" t="n"/>
    </row>
    <row r="17">
      <c r="B17" s="46" t="n"/>
      <c r="C17" s="46" t="n"/>
      <c r="D17" s="52" t="n"/>
    </row>
    <row r="18">
      <c r="B18" s="23" t="n"/>
      <c r="C18" s="23" t="n"/>
      <c r="D18" s="53" t="n"/>
    </row>
    <row r="19">
      <c r="B19" s="46" t="n"/>
      <c r="C19" s="46" t="n"/>
      <c r="D19" s="52" t="n"/>
    </row>
    <row r="20">
      <c r="B20" s="23" t="n"/>
      <c r="C20" s="23" t="n"/>
      <c r="D20" s="53" t="n"/>
    </row>
    <row r="21">
      <c r="B21" s="46" t="n"/>
      <c r="C21" s="46" t="n"/>
      <c r="D21" s="52" t="n"/>
    </row>
    <row r="22">
      <c r="B22" s="23" t="n"/>
      <c r="C22" s="23" t="n"/>
      <c r="D22" s="53" t="n"/>
    </row>
    <row r="23">
      <c r="B23" s="46" t="n"/>
      <c r="C23" s="46" t="n"/>
      <c r="D23" s="52" t="n"/>
    </row>
    <row r="24">
      <c r="B24" s="23" t="n"/>
      <c r="C24" s="23" t="n"/>
      <c r="D24" s="53" t="n"/>
    </row>
    <row r="25">
      <c r="B25" s="46" t="n"/>
      <c r="C25" s="46" t="n"/>
      <c r="D25" s="52" t="n"/>
    </row>
    <row r="26">
      <c r="B26" s="23" t="n"/>
      <c r="C26" s="23" t="n"/>
      <c r="D26" s="53" t="n"/>
    </row>
    <row r="27">
      <c r="B27" s="46" t="n"/>
      <c r="C27" s="46" t="n"/>
      <c r="D27" s="52" t="n"/>
    </row>
    <row r="28">
      <c r="B28" s="23" t="n"/>
      <c r="C28" s="23" t="n"/>
      <c r="D28" s="53" t="n"/>
    </row>
    <row r="29">
      <c r="B29" s="9" t="inlineStr">
        <is>
          <t>TOTAL WASTE</t>
        </is>
      </c>
      <c r="C29" s="38" t="n"/>
      <c r="D29" s="54">
        <f>SUM(WasteCost)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📊  CATEGORIES</t>
        </is>
      </c>
    </row>
    <row r="2" ht="22" customHeight="1">
      <c r="A2" s="2" t="inlineStr">
        <is>
          <t xml:space="preserve">  Where the food dollar goes — each category's spend and share of food cost.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Category</t>
        </is>
      </c>
      <c r="C4" s="9" t="inlineStr">
        <is>
          <t>Food Cost $</t>
        </is>
      </c>
      <c r="D4" s="9" t="inlineStr">
        <is>
          <t>% of Total</t>
        </is>
      </c>
    </row>
    <row r="5">
      <c r="B5" s="20" t="inlineStr">
        <is>
          <t>Meat &amp; seafood</t>
        </is>
      </c>
      <c r="C5" s="40" t="n">
        <v>7200</v>
      </c>
      <c r="D5" s="21">
        <f>IFERROR(C5/SUM(CatSpend),0)</f>
        <v/>
      </c>
    </row>
    <row r="6">
      <c r="B6" s="23" t="inlineStr">
        <is>
          <t>Produce</t>
        </is>
      </c>
      <c r="C6" s="41" t="n">
        <v>3900</v>
      </c>
      <c r="D6" s="24">
        <f>IFERROR(C6/SUM(CatSpend),0)</f>
        <v/>
      </c>
    </row>
    <row r="7">
      <c r="B7" s="20" t="inlineStr">
        <is>
          <t>Dairy &amp; eggs</t>
        </is>
      </c>
      <c r="C7" s="40" t="n">
        <v>2400</v>
      </c>
      <c r="D7" s="21">
        <f>IFERROR(C7/SUM(CatSpend),0)</f>
        <v/>
      </c>
    </row>
    <row r="8">
      <c r="B8" s="23" t="inlineStr">
        <is>
          <t>Dry goods</t>
        </is>
      </c>
      <c r="C8" s="41" t="n">
        <v>2700</v>
      </c>
      <c r="D8" s="24">
        <f>IFERROR(C8/SUM(CatSpend),0)</f>
        <v/>
      </c>
    </row>
    <row r="9">
      <c r="B9" s="20" t="inlineStr">
        <is>
          <t>Beverages</t>
        </is>
      </c>
      <c r="C9" s="40" t="n">
        <v>1800</v>
      </c>
      <c r="D9" s="21">
        <f>IFERROR(C9/SUM(CatSpend),0)</f>
        <v/>
      </c>
    </row>
    <row r="10">
      <c r="B10" s="23" t="inlineStr">
        <is>
          <t>Paper/disposables</t>
        </is>
      </c>
      <c r="C10" s="41" t="n">
        <v>1200</v>
      </c>
      <c r="D10" s="24">
        <f>IFERROR(C10/SUM(CatSpend),0)</f>
        <v/>
      </c>
    </row>
    <row r="11">
      <c r="B11" s="9" t="inlineStr">
        <is>
          <t>TOTAL</t>
        </is>
      </c>
      <c r="C11" s="42">
        <f>SUM(CatSpend)</f>
        <v/>
      </c>
      <c r="D11" s="38" t="n"/>
    </row>
  </sheetData>
  <mergeCells count="2">
    <mergeCell ref="A1:D1"/>
    <mergeCell ref="A2:D2"/>
  </mergeCells>
  <conditionalFormatting sqref="D5:D10">
    <cfRule type="dataBar" priority="1">
      <dataBar showValue="1">
        <cfvo type="num" val="0"/>
        <cfvo type="max"/>
        <color rgb="001B4F48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29" t="inlineStr">
        <is>
          <t>Business name</t>
        </is>
      </c>
      <c r="C6" s="26" t="inlineStr">
        <is>
          <t>The Harvest Table</t>
        </is>
      </c>
      <c r="E6" s="9" t="inlineStr">
        <is>
          <t>Unit</t>
        </is>
      </c>
      <c r="F6" s="9" t="inlineStr">
        <is>
          <t>Category</t>
        </is>
      </c>
      <c r="G6" s="9" t="inlineStr">
        <is>
          <t>Status</t>
        </is>
      </c>
      <c r="H6" s="9" t="inlineStr">
        <is>
          <t>Yes / No</t>
        </is>
      </c>
    </row>
    <row r="7">
      <c r="B7" s="29" t="inlineStr">
        <is>
          <t>Owner</t>
        </is>
      </c>
      <c r="C7" s="26" t="inlineStr">
        <is>
          <t>Sam</t>
        </is>
      </c>
      <c r="E7" s="20" t="inlineStr">
        <is>
          <t>each</t>
        </is>
      </c>
      <c r="F7" s="20" t="inlineStr">
        <is>
          <t>Meat &amp; seafood</t>
        </is>
      </c>
      <c r="G7" s="20" t="inlineStr">
        <is>
          <t>Preferred</t>
        </is>
      </c>
      <c r="H7" s="20" t="inlineStr">
        <is>
          <t>Yes</t>
        </is>
      </c>
    </row>
    <row r="8">
      <c r="B8" s="29" t="inlineStr">
        <is>
          <t>Target food-cost %</t>
        </is>
      </c>
      <c r="C8" s="55" t="n">
        <v>0.3</v>
      </c>
      <c r="E8" s="20" t="inlineStr">
        <is>
          <t>lb</t>
        </is>
      </c>
      <c r="F8" s="20" t="inlineStr">
        <is>
          <t>Produce</t>
        </is>
      </c>
      <c r="G8" s="20" t="inlineStr">
        <is>
          <t>Backup</t>
        </is>
      </c>
      <c r="H8" s="20" t="inlineStr">
        <is>
          <t>No</t>
        </is>
      </c>
    </row>
    <row r="9">
      <c r="B9" s="29" t="inlineStr">
        <is>
          <t>Variance limit %</t>
        </is>
      </c>
      <c r="C9" s="55" t="n">
        <v>0.05</v>
      </c>
      <c r="E9" s="20" t="inlineStr">
        <is>
          <t>oz</t>
        </is>
      </c>
      <c r="F9" s="20" t="inlineStr">
        <is>
          <t>Dairy &amp; eggs</t>
        </is>
      </c>
      <c r="G9" s="20" t="inlineStr">
        <is>
          <t>New</t>
        </is>
      </c>
    </row>
    <row r="10">
      <c r="B10" s="29" t="inlineStr">
        <is>
          <t>Inventory-turns goal</t>
        </is>
      </c>
      <c r="C10" s="56" t="n">
        <v>1.5</v>
      </c>
      <c r="E10" s="20" t="inlineStr">
        <is>
          <t>case</t>
        </is>
      </c>
      <c r="F10" s="20" t="inlineStr">
        <is>
          <t>Dry goods</t>
        </is>
      </c>
      <c r="G10" s="20" t="inlineStr">
        <is>
          <t>Watch</t>
        </is>
      </c>
    </row>
    <row r="11">
      <c r="B11" s="29" t="inlineStr">
        <is>
          <t>Waste limit %</t>
        </is>
      </c>
      <c r="C11" s="55" t="n">
        <v>0.03</v>
      </c>
      <c r="E11" s="20" t="inlineStr">
        <is>
          <t>box</t>
        </is>
      </c>
      <c r="F11" s="20" t="inlineStr">
        <is>
          <t>Beverages</t>
        </is>
      </c>
    </row>
    <row r="12">
      <c r="B12" s="29" t="inlineStr">
        <is>
          <t>Currency</t>
        </is>
      </c>
      <c r="C12" s="26" t="inlineStr">
        <is>
          <t>USD ($)</t>
        </is>
      </c>
      <c r="E12" s="20" t="inlineStr">
        <is>
          <t>jug</t>
        </is>
      </c>
      <c r="F12" s="20" t="inlineStr">
        <is>
          <t>Paper/disposables</t>
        </is>
      </c>
    </row>
    <row r="13">
      <c r="E13" s="20" t="inlineStr">
        <is>
          <t>gal</t>
        </is>
      </c>
    </row>
    <row r="14">
      <c r="E14" s="20" t="inlineStr">
        <is>
          <t>lot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2026-07-22T14:09:49Z</dcterms:created>
  <dcterms:modified xsi:type="dcterms:W3CDTF">2026-07-22T14:09:49Z</dcterms:modified>
</cp:coreProperties>
</file>