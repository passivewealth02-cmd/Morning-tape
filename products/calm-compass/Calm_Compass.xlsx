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Check-In" sheetId="3" state="visible" r:id="rId3"/>
    <sheet name="Habits" sheetId="4" state="visible" r:id="rId4"/>
    <sheet name="Daily Planner" sheetId="5" state="visible" r:id="rId5"/>
    <sheet name="Social Prep" sheetId="6" state="visible" r:id="rId6"/>
    <sheet name="Reflection" sheetId="7" state="visible" r:id="rId7"/>
    <sheet name="Goals" sheetId="8" state="visible" r:id="rId8"/>
    <sheet name="Self-Care" sheetId="9" state="visible" r:id="rId9"/>
    <sheet name="Sleep" sheetId="10" state="visible" r:id="rId10"/>
    <sheet name="Exercise" sheetId="11" state="visible" r:id="rId11"/>
    <sheet name="Gratitude" sheetId="12" state="visible" r:id="rId12"/>
    <sheet name="Resources" sheetId="13" state="visible" r:id="rId13"/>
    <sheet name="Progress" sheetId="14" state="visible" r:id="rId14"/>
    <sheet name="Settings" sheetId="15" state="visible" r:id="rId15"/>
  </sheets>
  <definedNames>
    <definedName name="UserName">Settings!$C$6</definedName>
    <definedName name="WeekStart">Settings!$C$7</definedName>
    <definedName name="HabitGoal">Settings!$C$8</definedName>
    <definedName name="SleepTarget">Settings!$C$9</definedName>
    <definedName name="MindGoal">Settings!$C$10</definedName>
    <definedName name="ScaleList">Settings!$E$7:$E$16</definedName>
    <definedName name="YesNoList">Settings!$F$7:$F$8</definedName>
    <definedName name="GoalCatList">Settings!$G$7:$G$13</definedName>
    <definedName name="StatusList">Settings!$H$7:$H$9</definedName>
    <definedName name="IntensityList">Settings!$I$7:$I$9</definedName>
    <definedName name="QualityList">Settings!$E$21:$E$24</definedName>
    <definedName name="SelfCareList">Settings!$F$21:$F$26</definedName>
    <definedName name="ResTypeList">Settings!$G$21:$G$27</definedName>
    <definedName name="CheckDate">'Check-In'!$A$5:$A$64</definedName>
    <definedName name="CheckMood">'Check-In'!$B$5:$B$64</definedName>
    <definedName name="CheckEnergy">'Check-In'!$C$5:$C$64</definedName>
    <definedName name="CheckStress">'Check-In'!$D$5:$D$64</definedName>
    <definedName name="CheckSleep">'Check-In'!$E$5:$E$64</definedName>
    <definedName name="CheckWater">'Check-In'!$F$5:$F$64</definedName>
    <definedName name="CheckExercise">'Check-In'!$G$5:$G$64</definedName>
    <definedName name="CheckMindful">'Check-In'!$H$5:$H$64</definedName>
    <definedName name="CheckJournaled">'Check-In'!$I$5:$I$64</definedName>
    <definedName name="JournalStreak">'Check-In'!$L$5:$L$64</definedName>
    <definedName name="HabitSumNames">Habits!$A$69:$A$77</definedName>
    <definedName name="HabitSumPct">Habits!$C$69:$C$77</definedName>
    <definedName name="HabitDate">Habits!$A$5:$A$64</definedName>
    <definedName name="HabitDone">Habits!$K$5:$K$64</definedName>
    <definedName name="HabitPct">Habits!$L$5:$L$64</definedName>
    <definedName name="HabitStreak">Habits!$M$5:$M$64</definedName>
    <definedName name="GoalStatus">Goals!$E$5:$E$64</definedName>
    <definedName name="GoalProgress">Goals!$D$5:$D$64</definedName>
    <definedName name="SleepDate">Sleep!$A$5:$A$64</definedName>
    <definedName name="SleepTotal">Sleep!$D$5:$D$64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yyyy-mm-dd"/>
    <numFmt numFmtId="166" formatCode="mm/dd/yyyy"/>
    <numFmt numFmtId="167" formatCode="dddd, mmm d"/>
    <numFmt numFmtId="168" formatCode="0.0&quot; hrs&quot;"/>
    <numFmt numFmtId="169" formatCode="0&quot; min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i val="1"/>
      <color rgb="00333333"/>
      <sz val="11"/>
    </font>
    <font>
      <color rgb="00333333"/>
      <sz val="11"/>
    </font>
    <font>
      <color rgb="00BBBBBB"/>
      <sz val="9"/>
    </font>
    <font>
      <b val="1"/>
      <color rgb="001B4F48"/>
      <sz val="14"/>
    </font>
    <font>
      <b val="1"/>
      <color rgb="001B4F48"/>
      <sz val="46"/>
    </font>
    <font>
      <i val="1"/>
      <color rgb="00937356"/>
      <sz val="10"/>
    </font>
    <font>
      <b val="1"/>
      <color rgb="00937356"/>
      <sz val="10"/>
    </font>
    <font>
      <b val="1"/>
      <color rgb="001B4F48"/>
      <sz val="23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FBF8F2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7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  <border>
      <left/>
      <right/>
      <top style="thin">
        <color rgb="00D6D2C8"/>
      </top>
      <bottom/>
      <diagonal/>
    </border>
    <border>
      <left/>
      <right style="thin">
        <color rgb="00D6D2C8"/>
      </right>
      <top style="thin">
        <color rgb="00D6D2C8"/>
      </top>
      <bottom/>
      <diagonal/>
    </border>
    <border>
      <left/>
      <right style="thin">
        <color rgb="00D6D2C8"/>
      </right>
      <top style="thin">
        <color rgb="00D6D2C8"/>
      </top>
      <bottom style="thin">
        <color rgb="00D6D2C8"/>
      </bottom>
      <diagonal/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5" borderId="2" applyAlignment="1">
      <alignment horizontal="left" vertical="top" wrapText="1" indent="1"/>
    </xf>
    <xf numFmtId="0" fontId="6" fillId="0" borderId="1" applyAlignment="1">
      <alignment horizontal="left" vertical="top" wrapText="1" indent="1"/>
    </xf>
  </cellStyleXfs>
  <cellXfs count="55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6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5" fillId="8" borderId="3" applyAlignment="1" pivotButton="0" quotePrefix="0" xfId="0">
      <alignment horizontal="center" vertical="center"/>
    </xf>
    <xf numFmtId="0" fontId="0" fillId="8" borderId="3" pivotButton="0" quotePrefix="0" xfId="0"/>
    <xf numFmtId="164" fontId="16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16" fillId="8" borderId="2" applyAlignment="1" pivotButton="0" quotePrefix="0" xfId="0">
      <alignment horizontal="center" vertical="center"/>
    </xf>
    <xf numFmtId="9" fontId="16" fillId="8" borderId="2" applyAlignment="1" pivotButton="0" quotePrefix="0" xfId="0">
      <alignment horizontal="center" vertical="center"/>
    </xf>
    <xf numFmtId="168" fontId="16" fillId="8" borderId="2" applyAlignment="1" pivotButton="0" quotePrefix="0" xfId="0">
      <alignment horizontal="center" vertical="center"/>
    </xf>
    <xf numFmtId="169" fontId="16" fillId="8" borderId="2" applyAlignment="1" pivotButton="0" quotePrefix="0" xfId="0">
      <alignment horizontal="center" vertical="center"/>
    </xf>
    <xf numFmtId="166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11" fillId="0" borderId="0" applyAlignment="1" pivotButton="0" quotePrefix="0" xfId="0">
      <alignment horizontal="center"/>
    </xf>
    <xf numFmtId="166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11" fillId="8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0" fontId="11" fillId="9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7" fontId="7" fillId="3" borderId="2" applyAlignment="1" pivotButton="0" quotePrefix="0" xfId="8">
      <alignment horizontal="center" vertical="center"/>
    </xf>
    <xf numFmtId="0" fontId="12" fillId="0" borderId="2" applyAlignment="1" pivotButton="0" quotePrefix="0" xfId="6">
      <alignment horizontal="center" vertical="center" wrapText="1"/>
    </xf>
    <xf numFmtId="0" fontId="9" fillId="5" borderId="2" applyAlignment="1" pivotButton="0" quotePrefix="0" xfId="11">
      <alignment horizontal="left" vertical="top" wrapText="1" indent="1"/>
    </xf>
    <xf numFmtId="1" fontId="6" fillId="8" borderId="2" applyAlignment="1" pivotButton="0" quotePrefix="0" xfId="6">
      <alignment horizontal="center" vertical="center" wrapText="1"/>
    </xf>
    <xf numFmtId="1" fontId="6" fillId="9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9" fontId="13" fillId="5" borderId="3" applyAlignment="1" pivotButton="0" quotePrefix="0" xfId="10">
      <alignment horizontal="center" vertical="center"/>
    </xf>
    <xf numFmtId="0" fontId="0" fillId="5" borderId="3" pivotButton="0" quotePrefix="0" xfId="0"/>
    <xf numFmtId="164" fontId="7" fillId="0" borderId="2" applyAlignment="1" pivotButton="0" quotePrefix="0" xfId="10">
      <alignment horizontal="left" vertical="center" indent="1"/>
    </xf>
    <xf numFmtId="0" fontId="0" fillId="0" borderId="6" pivotButton="0" quotePrefix="0" xfId="0"/>
    <xf numFmtId="0" fontId="0" fillId="5" borderId="2" pivotButton="0" quotePrefix="0" xfId="0"/>
    <xf numFmtId="168" fontId="7" fillId="0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0" fontId="14" fillId="8" borderId="1" applyAlignment="1" pivotButton="0" quotePrefix="0" xfId="2">
      <alignment horizontal="left" vertical="center" indent="2"/>
    </xf>
    <xf numFmtId="0" fontId="0" fillId="8" borderId="0" pivotButton="0" quotePrefix="0" xfId="0"/>
    <xf numFmtId="1" fontId="7" fillId="0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prompt" xfId="11" hidden="0"/>
    <cellStyle name="body" xfId="12" hidden="0"/>
  </cellStyles>
  <dxfs count="1">
    <dxf>
      <fill>
        <patternFill patternType="solid">
          <fgColor rgb="00E3F8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Mood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'Check-In'!B4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'Check-In'!$A$5:$A$24</f>
            </numRef>
          </cat>
          <val>
            <numRef>
              <f>'Check-In'!$B$5:$B$24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Energy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'Check-In'!C4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'Check-In'!$A$5:$A$24</f>
            </numRef>
          </cat>
          <val>
            <numRef>
              <f>'Check-In'!$C$5:$C$24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Habit Consistency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'Habits'!$A$69:$A$77</f>
            </numRef>
          </cat>
          <val>
            <numRef>
              <f>'Habits'!$C$69:$C$77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Sleep Trend</a:t>
            </a:r>
          </a:p>
        </rich>
      </tx>
    </title>
    <plotArea>
      <lineChart>
        <grouping val="standard"/>
        <ser>
          <idx val="0"/>
          <order val="0"/>
          <tx>
            <strRef>
              <f>'Sleep'!D4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'Sleep'!$A$5:$A$24</f>
            </numRef>
          </cat>
          <val>
            <numRef>
              <f>'Sleep'!$D$5:$D$24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Sleep Trend</a:t>
            </a:r>
          </a:p>
        </rich>
      </tx>
    </title>
    <plotArea>
      <lineChart>
        <grouping val="standard"/>
        <ser>
          <idx val="0"/>
          <order val="0"/>
          <tx>
            <strRef>
              <f>'Sleep'!D4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'Sleep'!$A$5:$A$25</f>
            </numRef>
          </cat>
          <val>
            <numRef>
              <f>'Sleep'!$D$5:$D$25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Mood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'Check-In'!B4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'Check-In'!$A$5:$A$24</f>
            </numRef>
          </cat>
          <val>
            <numRef>
              <f>'Check-In'!$B$5:$B$24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Habit Consistency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'Habits'!$A$69:$A$77</f>
            </numRef>
          </cat>
          <val>
            <numRef>
              <f>'Habits'!$C$69:$C$77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3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3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43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30</row>
      <rowOff>0</rowOff>
    </from>
    <ext cx="43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32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3" customWidth="1" min="3" max="3"/>
  </cols>
  <sheetData>
    <row r="1" ht="58" customHeight="1">
      <c r="A1" s="1" t="inlineStr">
        <is>
          <t xml:space="preserve">  🌿  CALM COMPASS™</t>
        </is>
      </c>
    </row>
    <row r="2" ht="24" customHeight="1">
      <c r="A2" s="2" t="inlineStr">
        <is>
          <t xml:space="preserve">  Your calm, premium wellness operating system.</t>
        </is>
      </c>
    </row>
    <row r="3" ht="6" customHeight="1">
      <c r="A3" s="3" t="n"/>
      <c r="B3" s="3" t="n"/>
      <c r="C3" s="3" t="n"/>
    </row>
    <row r="5">
      <c r="B5" s="4" t="inlineStr">
        <is>
          <t>WELCOME</t>
        </is>
      </c>
    </row>
    <row r="6" ht="22" customHeight="1">
      <c r="B6" s="5" t="inlineStr">
        <is>
          <t>Calm Compass™ is a gentle, organized space to build healthy routines, notice your patterns, prepare for stressful moments, and celebrate your progress over time. Take it one small step at a time — there's no wrong way to use it.</t>
        </is>
      </c>
    </row>
    <row r="7" ht="22" customHeight="1"/>
    <row r="8" ht="22" customHeight="1"/>
    <row r="10">
      <c r="B10" s="6" t="inlineStr">
        <is>
          <t>HOW TO USE IT</t>
        </is>
      </c>
    </row>
    <row r="11" ht="22" customHeight="1">
      <c r="B11" s="5" t="inlineStr">
        <is>
          <t>1.  Open Settings and add your name &amp; simple goals (sleep, habits, mindfulness).</t>
        </is>
      </c>
    </row>
    <row r="12" ht="22" customHeight="1">
      <c r="B12" s="5" t="inlineStr">
        <is>
          <t>2.  Each day, fill in the Daily Check-In (mood, energy, sleep, a few notes).</t>
        </is>
      </c>
    </row>
    <row r="13" ht="22" customHeight="1">
      <c r="B13" s="5" t="inlineStr">
        <is>
          <t>3.  Tick off your Habits — streaks and your weekly routine score update for you.</t>
        </is>
      </c>
    </row>
    <row r="14" ht="22" customHeight="1">
      <c r="B14" s="5" t="inlineStr">
        <is>
          <t>4.  Use the Daily Planner, Social Prep, and Reflection pages whenever they help.</t>
        </is>
      </c>
    </row>
    <row r="15" ht="22" customHeight="1">
      <c r="B15" s="5" t="inlineStr">
        <is>
          <t>5.  Visit the Dashboard and Progress tabs to see your trends and wins over time.</t>
        </is>
      </c>
    </row>
    <row r="18" ht="26" customHeight="1">
      <c r="B18" s="7" t="inlineStr">
        <is>
          <t xml:space="preserve">  IMPORTANT — PLEASE READ</t>
        </is>
      </c>
    </row>
    <row r="19" ht="22" customHeight="1">
      <c r="B19" s="8" t="inlineStr">
        <is>
          <t>This planner is designed as a wellness and organization tool. It is not a medical device and is not a substitute for professional mental health care. If you are experiencing severe anxiety or emotional distress, please consider reaching out to a qualified mental health professional. If you are in crisis, contact your local emergency services or a crisis line in your country right away.</t>
        </is>
      </c>
    </row>
    <row r="20" ht="22" customHeight="1">
      <c r="B20" s="9" t="n"/>
    </row>
    <row r="21" ht="22" customHeight="1">
      <c r="B21" s="9" t="n"/>
    </row>
    <row r="22" ht="22" customHeight="1">
      <c r="B22" s="9" t="n"/>
    </row>
    <row r="24">
      <c r="B24" s="4" t="inlineStr">
        <is>
          <t>You've got this — one calm day at a time. 🌿</t>
        </is>
      </c>
    </row>
  </sheetData>
  <mergeCells count="13">
    <mergeCell ref="B12"/>
    <mergeCell ref="B13"/>
    <mergeCell ref="A1:C1"/>
    <mergeCell ref="B18"/>
    <mergeCell ref="A2:C2"/>
    <mergeCell ref="B15"/>
    <mergeCell ref="B11"/>
    <mergeCell ref="B24"/>
    <mergeCell ref="B10"/>
    <mergeCell ref="B19:B22"/>
    <mergeCell ref="B5"/>
    <mergeCell ref="B14"/>
    <mergeCell ref="B6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" customWidth="1" min="14" max="14"/>
  </cols>
  <sheetData>
    <row r="1" ht="56" customHeight="1">
      <c r="A1" s="1" t="inlineStr">
        <is>
          <t xml:space="preserve">  🌿  CALM COMPASS™</t>
        </is>
      </c>
    </row>
    <row r="2" ht="24" customHeight="1">
      <c r="A2" s="2" t="inlineStr">
        <is>
          <t xml:space="preserve">  Build calm routines, notice your patterns, and celebrate progress — one gentle day at a time.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24" customHeight="1">
      <c r="B5" s="10" t="inlineStr">
        <is>
          <t>AVG MOOD (1–10)</t>
        </is>
      </c>
      <c r="C5" s="11" t="n"/>
      <c r="D5" s="11" t="n"/>
      <c r="E5" s="10" t="inlineStr">
        <is>
          <t>HABITS COMPLETED</t>
        </is>
      </c>
      <c r="F5" s="11" t="n"/>
      <c r="G5" s="11" t="n"/>
      <c r="H5" s="10" t="inlineStr">
        <is>
          <t>ROUTINE SCORE</t>
        </is>
      </c>
      <c r="I5" s="11" t="n"/>
      <c r="J5" s="11" t="n"/>
      <c r="K5" s="10" t="inlineStr">
        <is>
          <t>AVG SLEEP</t>
        </is>
      </c>
      <c r="L5" s="11" t="n"/>
      <c r="M5" s="11" t="n"/>
    </row>
    <row r="6" ht="52" customHeight="1">
      <c r="B6" s="12">
        <f>IFERROR(AVERAGE(CheckMood),0)</f>
        <v/>
      </c>
      <c r="C6" s="13" t="n"/>
      <c r="D6" s="13" t="n"/>
      <c r="E6" s="14">
        <f>SUM(HabitDone)</f>
        <v/>
      </c>
      <c r="F6" s="13" t="n"/>
      <c r="G6" s="13" t="n"/>
      <c r="H6" s="15">
        <f>IFERROR(AVERAGE(HabitPct),0)</f>
        <v/>
      </c>
      <c r="I6" s="13" t="n"/>
      <c r="J6" s="13" t="n"/>
      <c r="K6" s="16">
        <f>IFERROR(AVERAGE(CheckSleep),0)</f>
        <v/>
      </c>
      <c r="L6" s="13" t="n"/>
      <c r="M6" s="13" t="n"/>
    </row>
    <row r="8" ht="24" customHeight="1">
      <c r="B8" s="10" t="inlineStr">
        <is>
          <t>EXERCISE SESSIONS</t>
        </is>
      </c>
      <c r="C8" s="11" t="n"/>
      <c r="D8" s="11" t="n"/>
      <c r="E8" s="10" t="inlineStr">
        <is>
          <t>JOURNALING STREAK</t>
        </is>
      </c>
      <c r="F8" s="11" t="n"/>
      <c r="G8" s="11" t="n"/>
      <c r="H8" s="10" t="inlineStr">
        <is>
          <t>MINDFUL MINUTES</t>
        </is>
      </c>
      <c r="I8" s="11" t="n"/>
      <c r="J8" s="11" t="n"/>
      <c r="K8" s="10" t="inlineStr">
        <is>
          <t>GOALS COMPLETED</t>
        </is>
      </c>
      <c r="L8" s="11" t="n"/>
      <c r="M8" s="11" t="n"/>
    </row>
    <row r="9" ht="52" customHeight="1">
      <c r="B9" s="14">
        <f>COUNTIF(CheckExercise,"Yes")</f>
        <v/>
      </c>
      <c r="C9" s="13" t="n"/>
      <c r="D9" s="13" t="n"/>
      <c r="E9" s="14">
        <f>IFERROR(LOOKUP(2,1/(JournalStreak&lt;&gt;""),JournalStreak),0)</f>
        <v/>
      </c>
      <c r="F9" s="13" t="n"/>
      <c r="G9" s="13" t="n"/>
      <c r="H9" s="17">
        <f>SUM(CheckMindful)</f>
        <v/>
      </c>
      <c r="I9" s="13" t="n"/>
      <c r="J9" s="13" t="n"/>
      <c r="K9" s="14">
        <f>COUNTIF(GoalStatus,"Complete")</f>
        <v/>
      </c>
      <c r="L9" s="13" t="n"/>
      <c r="M9" s="13" t="n"/>
    </row>
    <row r="11" ht="26" customHeight="1">
      <c r="B11" s="4" t="inlineStr">
        <is>
          <t>YOUR TRENDS</t>
        </is>
      </c>
    </row>
    <row r="30" ht="26" customHeight="1">
      <c r="B30" s="6" t="inlineStr">
        <is>
          <t>ROUTINE &amp; REST</t>
        </is>
      </c>
    </row>
    <row r="49" ht="26" customHeight="1">
      <c r="B49" s="2" t="inlineStr">
        <is>
          <t>Calm Compass™ is a wellness &amp; organization tool — not medical advice. See the Welcome tab.</t>
        </is>
      </c>
    </row>
  </sheetData>
  <mergeCells count="21">
    <mergeCell ref="B11:M11"/>
    <mergeCell ref="B8:D8"/>
    <mergeCell ref="E9:G9"/>
    <mergeCell ref="E6:G6"/>
    <mergeCell ref="A1:N1"/>
    <mergeCell ref="K8:M8"/>
    <mergeCell ref="B9:D9"/>
    <mergeCell ref="B49:M49"/>
    <mergeCell ref="B30:M30"/>
    <mergeCell ref="B6:D6"/>
    <mergeCell ref="B5:D5"/>
    <mergeCell ref="K6:M6"/>
    <mergeCell ref="H5:J5"/>
    <mergeCell ref="A2:N2"/>
    <mergeCell ref="H8:J8"/>
    <mergeCell ref="K9:M9"/>
    <mergeCell ref="E5:G5"/>
    <mergeCell ref="K5:M5"/>
    <mergeCell ref="E8:G8"/>
    <mergeCell ref="H9:J9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11" customWidth="1" min="7" max="7"/>
    <col width="12" customWidth="1" min="8" max="8"/>
    <col width="12" customWidth="1" min="9" max="9"/>
    <col width="30" customWidth="1" min="10" max="10"/>
    <col width="4" customWidth="1" min="11" max="11"/>
    <col hidden="1" width="12" customWidth="1" min="12" max="12"/>
  </cols>
  <sheetData>
    <row r="1" ht="46" customHeight="1">
      <c r="A1" s="1" t="inlineStr">
        <is>
          <t xml:space="preserve">  📝  DAILY CHECK-IN</t>
        </is>
      </c>
    </row>
    <row r="2" ht="22" customHeight="1">
      <c r="A2" s="2" t="inlineStr">
        <is>
          <t xml:space="preserve">  A 30-second daily snapshot. Be honest and kind to yourself.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7" t="inlineStr">
        <is>
          <t>Date</t>
        </is>
      </c>
      <c r="B4" s="7" t="inlineStr">
        <is>
          <t>Mood</t>
        </is>
      </c>
      <c r="C4" s="7" t="inlineStr">
        <is>
          <t>Energy</t>
        </is>
      </c>
      <c r="D4" s="7" t="inlineStr">
        <is>
          <t>Stress</t>
        </is>
      </c>
      <c r="E4" s="7" t="inlineStr">
        <is>
          <t>Sleep Hrs</t>
        </is>
      </c>
      <c r="F4" s="7" t="inlineStr">
        <is>
          <t>Water</t>
        </is>
      </c>
      <c r="G4" s="7" t="inlineStr">
        <is>
          <t>Exercised</t>
        </is>
      </c>
      <c r="H4" s="7" t="inlineStr">
        <is>
          <t>Mindful Min</t>
        </is>
      </c>
      <c r="I4" s="7" t="inlineStr">
        <is>
          <t>Journaled</t>
        </is>
      </c>
      <c r="J4" s="7" t="inlineStr">
        <is>
          <t>Notes</t>
        </is>
      </c>
      <c r="L4" s="7" t="inlineStr">
        <is>
          <t>Streak~</t>
        </is>
      </c>
    </row>
    <row r="5">
      <c r="A5" s="18" t="n">
        <v>46202</v>
      </c>
      <c r="B5" s="19" t="n">
        <v>7</v>
      </c>
      <c r="C5" s="19" t="n">
        <v>7</v>
      </c>
      <c r="D5" s="19" t="n">
        <v>4</v>
      </c>
      <c r="E5" s="20" t="n">
        <v>7.5</v>
      </c>
      <c r="F5" s="19" t="n">
        <v>7</v>
      </c>
      <c r="G5" s="19" t="inlineStr">
        <is>
          <t>Yes</t>
        </is>
      </c>
      <c r="H5" s="19" t="n">
        <v>15</v>
      </c>
      <c r="I5" s="19" t="inlineStr">
        <is>
          <t>Yes</t>
        </is>
      </c>
      <c r="J5" s="21" t="inlineStr">
        <is>
          <t>Used Social Prep — went well!</t>
        </is>
      </c>
      <c r="L5" s="22">
        <f>IF($A5="","",IF($I5="Yes",1,0))</f>
        <v/>
      </c>
    </row>
    <row r="6">
      <c r="A6" s="23" t="n">
        <v>46201</v>
      </c>
      <c r="B6" s="24" t="n">
        <v>6</v>
      </c>
      <c r="C6" s="24" t="n">
        <v>5</v>
      </c>
      <c r="D6" s="24" t="n">
        <v>5</v>
      </c>
      <c r="E6" s="25" t="n">
        <v>6.5</v>
      </c>
      <c r="F6" s="24" t="n">
        <v>6</v>
      </c>
      <c r="G6" s="24" t="inlineStr">
        <is>
          <t>Yes</t>
        </is>
      </c>
      <c r="H6" s="24" t="n">
        <v>10</v>
      </c>
      <c r="I6" s="24" t="inlineStr">
        <is>
          <t>No</t>
        </is>
      </c>
      <c r="J6" s="26" t="inlineStr">
        <is>
          <t>Slightly anxious before call</t>
        </is>
      </c>
      <c r="L6" s="22">
        <f>IF($A6="","",IF($I6="Yes",N(L5)+1,0))</f>
        <v/>
      </c>
    </row>
    <row r="7">
      <c r="A7" s="18" t="n">
        <v>46200</v>
      </c>
      <c r="B7" s="19" t="n">
        <v>7</v>
      </c>
      <c r="C7" s="19" t="n">
        <v>7</v>
      </c>
      <c r="D7" s="19" t="n">
        <v>4</v>
      </c>
      <c r="E7" s="20" t="n">
        <v>7.5</v>
      </c>
      <c r="F7" s="19" t="n">
        <v>7</v>
      </c>
      <c r="G7" s="19" t="inlineStr">
        <is>
          <t>Yes</t>
        </is>
      </c>
      <c r="H7" s="19" t="n">
        <v>10</v>
      </c>
      <c r="I7" s="19" t="inlineStr">
        <is>
          <t>Yes</t>
        </is>
      </c>
      <c r="J7" s="21" t="inlineStr"/>
      <c r="L7" s="22">
        <f>IF($A7="","",IF($I7="Yes",N(L6)+1,0))</f>
        <v/>
      </c>
    </row>
    <row r="8">
      <c r="A8" s="23" t="n">
        <v>46199</v>
      </c>
      <c r="B8" s="24" t="n">
        <v>8</v>
      </c>
      <c r="C8" s="24" t="n">
        <v>8</v>
      </c>
      <c r="D8" s="24" t="n">
        <v>2</v>
      </c>
      <c r="E8" s="25" t="n">
        <v>8.5</v>
      </c>
      <c r="F8" s="24" t="n">
        <v>8</v>
      </c>
      <c r="G8" s="24" t="inlineStr">
        <is>
          <t>Yes</t>
        </is>
      </c>
      <c r="H8" s="24" t="n">
        <v>20</v>
      </c>
      <c r="I8" s="24" t="inlineStr">
        <is>
          <t>Yes</t>
        </is>
      </c>
      <c r="J8" s="26" t="inlineStr">
        <is>
          <t>Great day outdoors</t>
        </is>
      </c>
      <c r="L8" s="22">
        <f>IF($A8="","",IF($I8="Yes",N(L7)+1,0))</f>
        <v/>
      </c>
    </row>
    <row r="9">
      <c r="A9" s="18" t="n">
        <v>46198</v>
      </c>
      <c r="B9" s="19" t="n">
        <v>6</v>
      </c>
      <c r="C9" s="19" t="n">
        <v>6</v>
      </c>
      <c r="D9" s="19" t="n">
        <v>5</v>
      </c>
      <c r="E9" s="20" t="n">
        <v>7</v>
      </c>
      <c r="F9" s="19" t="n">
        <v>6</v>
      </c>
      <c r="G9" s="19" t="inlineStr">
        <is>
          <t>No</t>
        </is>
      </c>
      <c r="H9" s="19" t="n">
        <v>5</v>
      </c>
      <c r="I9" s="19" t="inlineStr">
        <is>
          <t>Yes</t>
        </is>
      </c>
      <c r="J9" s="21" t="inlineStr">
        <is>
          <t>Busy but steady</t>
        </is>
      </c>
      <c r="L9" s="22">
        <f>IF($A9="","",IF($I9="Yes",N(L8)+1,0))</f>
        <v/>
      </c>
    </row>
    <row r="10">
      <c r="A10" s="23" t="n">
        <v>46197</v>
      </c>
      <c r="B10" s="24" t="n">
        <v>7</v>
      </c>
      <c r="C10" s="24" t="n">
        <v>6</v>
      </c>
      <c r="D10" s="24" t="n">
        <v>4</v>
      </c>
      <c r="E10" s="25" t="n">
        <v>7</v>
      </c>
      <c r="F10" s="24" t="n">
        <v>7</v>
      </c>
      <c r="G10" s="24" t="inlineStr">
        <is>
          <t>Yes</t>
        </is>
      </c>
      <c r="H10" s="24" t="n">
        <v>10</v>
      </c>
      <c r="I10" s="24" t="inlineStr">
        <is>
          <t>Yes</t>
        </is>
      </c>
      <c r="J10" s="26" t="inlineStr"/>
      <c r="L10" s="22">
        <f>IF($A10="","",IF($I10="Yes",N(L9)+1,0))</f>
        <v/>
      </c>
    </row>
    <row r="11">
      <c r="A11" s="18" t="n">
        <v>46196</v>
      </c>
      <c r="B11" s="19" t="n">
        <v>8</v>
      </c>
      <c r="C11" s="19" t="n">
        <v>7</v>
      </c>
      <c r="D11" s="19" t="n">
        <v>3</v>
      </c>
      <c r="E11" s="20" t="n">
        <v>8</v>
      </c>
      <c r="F11" s="19" t="n">
        <v>8</v>
      </c>
      <c r="G11" s="19" t="inlineStr">
        <is>
          <t>Yes</t>
        </is>
      </c>
      <c r="H11" s="19" t="n">
        <v>15</v>
      </c>
      <c r="I11" s="19" t="inlineStr">
        <is>
          <t>Yes</t>
        </is>
      </c>
      <c r="J11" s="21" t="inlineStr">
        <is>
          <t>Morning meditation helped</t>
        </is>
      </c>
      <c r="L11" s="22">
        <f>IF($A11="","",IF($I11="Yes",N(L10)+1,0))</f>
        <v/>
      </c>
    </row>
    <row r="12">
      <c r="A12" s="23" t="n">
        <v>46195</v>
      </c>
      <c r="B12" s="24" t="n">
        <v>5</v>
      </c>
      <c r="C12" s="24" t="n">
        <v>5</v>
      </c>
      <c r="D12" s="24" t="n">
        <v>6</v>
      </c>
      <c r="E12" s="25" t="n">
        <v>6.5</v>
      </c>
      <c r="F12" s="24" t="n">
        <v>5</v>
      </c>
      <c r="G12" s="24" t="inlineStr">
        <is>
          <t>No</t>
        </is>
      </c>
      <c r="H12" s="24" t="n">
        <v>0</v>
      </c>
      <c r="I12" s="24" t="inlineStr">
        <is>
          <t>Yes</t>
        </is>
      </c>
      <c r="J12" s="26" t="inlineStr">
        <is>
          <t>Low energy, early night</t>
        </is>
      </c>
      <c r="L12" s="22">
        <f>IF($A12="","",IF($I12="Yes",N(L11)+1,0))</f>
        <v/>
      </c>
    </row>
    <row r="13">
      <c r="A13" s="18" t="n">
        <v>46194</v>
      </c>
      <c r="B13" s="19" t="n">
        <v>7</v>
      </c>
      <c r="C13" s="19" t="n">
        <v>7</v>
      </c>
      <c r="D13" s="19" t="n">
        <v>4</v>
      </c>
      <c r="E13" s="20" t="n">
        <v>7.5</v>
      </c>
      <c r="F13" s="19" t="n">
        <v>7</v>
      </c>
      <c r="G13" s="19" t="inlineStr">
        <is>
          <t>Yes</t>
        </is>
      </c>
      <c r="H13" s="19" t="n">
        <v>10</v>
      </c>
      <c r="I13" s="19" t="inlineStr">
        <is>
          <t>Yes</t>
        </is>
      </c>
      <c r="J13" s="21" t="inlineStr">
        <is>
          <t>Called a friend</t>
        </is>
      </c>
      <c r="L13" s="22">
        <f>IF($A13="","",IF($I13="Yes",N(L12)+1,0))</f>
        <v/>
      </c>
    </row>
    <row r="14">
      <c r="A14" s="23" t="n">
        <v>46193</v>
      </c>
      <c r="B14" s="24" t="n">
        <v>6</v>
      </c>
      <c r="C14" s="24" t="n">
        <v>6</v>
      </c>
      <c r="D14" s="24" t="n">
        <v>5</v>
      </c>
      <c r="E14" s="25" t="n">
        <v>7</v>
      </c>
      <c r="F14" s="24" t="n">
        <v>6</v>
      </c>
      <c r="G14" s="24" t="inlineStr">
        <is>
          <t>Yes</t>
        </is>
      </c>
      <c r="H14" s="24" t="n">
        <v>10</v>
      </c>
      <c r="I14" s="24" t="inlineStr">
        <is>
          <t>No</t>
        </is>
      </c>
      <c r="J14" s="26" t="inlineStr"/>
      <c r="L14" s="22">
        <f>IF($A14="","",IF($I14="Yes",N(L13)+1,0))</f>
        <v/>
      </c>
    </row>
    <row r="15">
      <c r="A15" s="18" t="n">
        <v>46192</v>
      </c>
      <c r="B15" s="19" t="n">
        <v>8</v>
      </c>
      <c r="C15" s="19" t="n">
        <v>8</v>
      </c>
      <c r="D15" s="19" t="n">
        <v>3</v>
      </c>
      <c r="E15" s="20" t="n">
        <v>8</v>
      </c>
      <c r="F15" s="19" t="n">
        <v>8</v>
      </c>
      <c r="G15" s="19" t="inlineStr">
        <is>
          <t>Yes</t>
        </is>
      </c>
      <c r="H15" s="19" t="n">
        <v>20</v>
      </c>
      <c r="I15" s="19" t="inlineStr">
        <is>
          <t>Yes</t>
        </is>
      </c>
      <c r="J15" s="21" t="inlineStr">
        <is>
          <t>Rested day, felt calm</t>
        </is>
      </c>
      <c r="L15" s="22">
        <f>IF($A15="","",IF($I15="Yes",N(L14)+1,0))</f>
        <v/>
      </c>
    </row>
    <row r="16">
      <c r="A16" s="23" t="n">
        <v>46191</v>
      </c>
      <c r="B16" s="24" t="n">
        <v>5</v>
      </c>
      <c r="C16" s="24" t="n">
        <v>4</v>
      </c>
      <c r="D16" s="24" t="n">
        <v>7</v>
      </c>
      <c r="E16" s="25" t="n">
        <v>6</v>
      </c>
      <c r="F16" s="24" t="n">
        <v>5</v>
      </c>
      <c r="G16" s="24" t="inlineStr">
        <is>
          <t>No</t>
        </is>
      </c>
      <c r="H16" s="24" t="n">
        <v>5</v>
      </c>
      <c r="I16" s="24" t="inlineStr">
        <is>
          <t>Yes</t>
        </is>
      </c>
      <c r="J16" s="26" t="inlineStr">
        <is>
          <t>Tough meeting, breathed through it</t>
        </is>
      </c>
      <c r="L16" s="22">
        <f>IF($A16="","",IF($I16="Yes",N(L15)+1,0))</f>
        <v/>
      </c>
    </row>
    <row r="17">
      <c r="A17" s="18" t="n">
        <v>46190</v>
      </c>
      <c r="B17" s="19" t="n">
        <v>7</v>
      </c>
      <c r="C17" s="19" t="n">
        <v>7</v>
      </c>
      <c r="D17" s="19" t="n">
        <v>4</v>
      </c>
      <c r="E17" s="20" t="n">
        <v>7.5</v>
      </c>
      <c r="F17" s="19" t="n">
        <v>7</v>
      </c>
      <c r="G17" s="19" t="inlineStr">
        <is>
          <t>Yes</t>
        </is>
      </c>
      <c r="H17" s="19" t="n">
        <v>15</v>
      </c>
      <c r="I17" s="19" t="inlineStr">
        <is>
          <t>Yes</t>
        </is>
      </c>
      <c r="J17" s="21" t="inlineStr">
        <is>
          <t>Good walk at lunch</t>
        </is>
      </c>
      <c r="L17" s="22">
        <f>IF($A17="","",IF($I17="Yes",N(L16)+1,0))</f>
        <v/>
      </c>
    </row>
    <row r="18">
      <c r="A18" s="23" t="n">
        <v>46189</v>
      </c>
      <c r="B18" s="24" t="n">
        <v>6</v>
      </c>
      <c r="C18" s="24" t="n">
        <v>5</v>
      </c>
      <c r="D18" s="24" t="n">
        <v>6</v>
      </c>
      <c r="E18" s="25" t="n">
        <v>6.5</v>
      </c>
      <c r="F18" s="24" t="n">
        <v>6</v>
      </c>
      <c r="G18" s="24" t="inlineStr">
        <is>
          <t>Yes</t>
        </is>
      </c>
      <c r="H18" s="24" t="n">
        <v>10</v>
      </c>
      <c r="I18" s="24" t="inlineStr">
        <is>
          <t>Yes</t>
        </is>
      </c>
      <c r="J18" s="26" t="inlineStr">
        <is>
          <t>Felt rushed in the morning</t>
        </is>
      </c>
      <c r="L18" s="22">
        <f>IF($A18="","",IF($I18="Yes",N(L17)+1,0))</f>
        <v/>
      </c>
    </row>
    <row r="19">
      <c r="A19" s="18" t="n"/>
      <c r="B19" s="19" t="n"/>
      <c r="C19" s="19" t="n"/>
      <c r="D19" s="19" t="n"/>
      <c r="E19" s="20" t="n"/>
      <c r="F19" s="19" t="n"/>
      <c r="G19" s="19" t="n"/>
      <c r="H19" s="19" t="n"/>
      <c r="I19" s="19" t="n"/>
      <c r="J19" s="21" t="n"/>
      <c r="L19" s="22">
        <f>IF($A19="","",IF($I19="Yes",N(L18)+1,0))</f>
        <v/>
      </c>
    </row>
    <row r="20">
      <c r="A20" s="23" t="n"/>
      <c r="B20" s="24" t="n"/>
      <c r="C20" s="24" t="n"/>
      <c r="D20" s="24" t="n"/>
      <c r="E20" s="25" t="n"/>
      <c r="F20" s="24" t="n"/>
      <c r="G20" s="24" t="n"/>
      <c r="H20" s="24" t="n"/>
      <c r="I20" s="24" t="n"/>
      <c r="J20" s="26" t="n"/>
      <c r="L20" s="22">
        <f>IF($A20="","",IF($I20="Yes",N(L19)+1,0))</f>
        <v/>
      </c>
    </row>
    <row r="21">
      <c r="A21" s="18" t="n"/>
      <c r="B21" s="19" t="n"/>
      <c r="C21" s="19" t="n"/>
      <c r="D21" s="19" t="n"/>
      <c r="E21" s="20" t="n"/>
      <c r="F21" s="19" t="n"/>
      <c r="G21" s="19" t="n"/>
      <c r="H21" s="19" t="n"/>
      <c r="I21" s="19" t="n"/>
      <c r="J21" s="21" t="n"/>
      <c r="L21" s="22">
        <f>IF($A21="","",IF($I21="Yes",N(L20)+1,0))</f>
        <v/>
      </c>
    </row>
    <row r="22">
      <c r="A22" s="23" t="n"/>
      <c r="B22" s="24" t="n"/>
      <c r="C22" s="24" t="n"/>
      <c r="D22" s="24" t="n"/>
      <c r="E22" s="25" t="n"/>
      <c r="F22" s="24" t="n"/>
      <c r="G22" s="24" t="n"/>
      <c r="H22" s="24" t="n"/>
      <c r="I22" s="24" t="n"/>
      <c r="J22" s="26" t="n"/>
      <c r="L22" s="22">
        <f>IF($A22="","",IF($I22="Yes",N(L21)+1,0))</f>
        <v/>
      </c>
    </row>
    <row r="23">
      <c r="A23" s="18" t="n"/>
      <c r="B23" s="19" t="n"/>
      <c r="C23" s="19" t="n"/>
      <c r="D23" s="19" t="n"/>
      <c r="E23" s="20" t="n"/>
      <c r="F23" s="19" t="n"/>
      <c r="G23" s="19" t="n"/>
      <c r="H23" s="19" t="n"/>
      <c r="I23" s="19" t="n"/>
      <c r="J23" s="21" t="n"/>
      <c r="L23" s="22">
        <f>IF($A23="","",IF($I23="Yes",N(L22)+1,0))</f>
        <v/>
      </c>
    </row>
    <row r="24">
      <c r="A24" s="23" t="n"/>
      <c r="B24" s="24" t="n"/>
      <c r="C24" s="24" t="n"/>
      <c r="D24" s="24" t="n"/>
      <c r="E24" s="25" t="n"/>
      <c r="F24" s="24" t="n"/>
      <c r="G24" s="24" t="n"/>
      <c r="H24" s="24" t="n"/>
      <c r="I24" s="24" t="n"/>
      <c r="J24" s="26" t="n"/>
      <c r="L24" s="22">
        <f>IF($A24="","",IF($I24="Yes",N(L23)+1,0))</f>
        <v/>
      </c>
    </row>
    <row r="25">
      <c r="A25" s="18" t="n"/>
      <c r="B25" s="19" t="n"/>
      <c r="C25" s="19" t="n"/>
      <c r="D25" s="19" t="n"/>
      <c r="E25" s="20" t="n"/>
      <c r="F25" s="19" t="n"/>
      <c r="G25" s="19" t="n"/>
      <c r="H25" s="19" t="n"/>
      <c r="I25" s="19" t="n"/>
      <c r="J25" s="21" t="n"/>
      <c r="L25" s="22">
        <f>IF($A25="","",IF($I25="Yes",N(L24)+1,0))</f>
        <v/>
      </c>
    </row>
    <row r="26">
      <c r="A26" s="23" t="n"/>
      <c r="B26" s="24" t="n"/>
      <c r="C26" s="24" t="n"/>
      <c r="D26" s="24" t="n"/>
      <c r="E26" s="25" t="n"/>
      <c r="F26" s="24" t="n"/>
      <c r="G26" s="24" t="n"/>
      <c r="H26" s="24" t="n"/>
      <c r="I26" s="24" t="n"/>
      <c r="J26" s="26" t="n"/>
      <c r="L26" s="22">
        <f>IF($A26="","",IF($I26="Yes",N(L25)+1,0))</f>
        <v/>
      </c>
    </row>
    <row r="27">
      <c r="A27" s="18" t="n"/>
      <c r="B27" s="19" t="n"/>
      <c r="C27" s="19" t="n"/>
      <c r="D27" s="19" t="n"/>
      <c r="E27" s="20" t="n"/>
      <c r="F27" s="19" t="n"/>
      <c r="G27" s="19" t="n"/>
      <c r="H27" s="19" t="n"/>
      <c r="I27" s="19" t="n"/>
      <c r="J27" s="21" t="n"/>
      <c r="L27" s="22">
        <f>IF($A27="","",IF($I27="Yes",N(L26)+1,0))</f>
        <v/>
      </c>
    </row>
    <row r="28">
      <c r="A28" s="23" t="n"/>
      <c r="B28" s="24" t="n"/>
      <c r="C28" s="24" t="n"/>
      <c r="D28" s="24" t="n"/>
      <c r="E28" s="25" t="n"/>
      <c r="F28" s="24" t="n"/>
      <c r="G28" s="24" t="n"/>
      <c r="H28" s="24" t="n"/>
      <c r="I28" s="24" t="n"/>
      <c r="J28" s="26" t="n"/>
      <c r="L28" s="22">
        <f>IF($A28="","",IF($I28="Yes",N(L27)+1,0))</f>
        <v/>
      </c>
    </row>
    <row r="29">
      <c r="A29" s="18" t="n"/>
      <c r="B29" s="19" t="n"/>
      <c r="C29" s="19" t="n"/>
      <c r="D29" s="19" t="n"/>
      <c r="E29" s="20" t="n"/>
      <c r="F29" s="19" t="n"/>
      <c r="G29" s="19" t="n"/>
      <c r="H29" s="19" t="n"/>
      <c r="I29" s="19" t="n"/>
      <c r="J29" s="21" t="n"/>
      <c r="L29" s="22">
        <f>IF($A29="","",IF($I29="Yes",N(L28)+1,0))</f>
        <v/>
      </c>
    </row>
    <row r="30">
      <c r="A30" s="23" t="n"/>
      <c r="B30" s="24" t="n"/>
      <c r="C30" s="24" t="n"/>
      <c r="D30" s="24" t="n"/>
      <c r="E30" s="25" t="n"/>
      <c r="F30" s="24" t="n"/>
      <c r="G30" s="24" t="n"/>
      <c r="H30" s="24" t="n"/>
      <c r="I30" s="24" t="n"/>
      <c r="J30" s="26" t="n"/>
      <c r="L30" s="22">
        <f>IF($A30="","",IF($I30="Yes",N(L29)+1,0))</f>
        <v/>
      </c>
    </row>
    <row r="31">
      <c r="A31" s="18" t="n"/>
      <c r="B31" s="19" t="n"/>
      <c r="C31" s="19" t="n"/>
      <c r="D31" s="19" t="n"/>
      <c r="E31" s="20" t="n"/>
      <c r="F31" s="19" t="n"/>
      <c r="G31" s="19" t="n"/>
      <c r="H31" s="19" t="n"/>
      <c r="I31" s="19" t="n"/>
      <c r="J31" s="21" t="n"/>
      <c r="L31" s="22">
        <f>IF($A31="","",IF($I31="Yes",N(L30)+1,0))</f>
        <v/>
      </c>
    </row>
    <row r="32">
      <c r="A32" s="23" t="n"/>
      <c r="B32" s="24" t="n"/>
      <c r="C32" s="24" t="n"/>
      <c r="D32" s="24" t="n"/>
      <c r="E32" s="25" t="n"/>
      <c r="F32" s="24" t="n"/>
      <c r="G32" s="24" t="n"/>
      <c r="H32" s="24" t="n"/>
      <c r="I32" s="24" t="n"/>
      <c r="J32" s="26" t="n"/>
      <c r="L32" s="22">
        <f>IF($A32="","",IF($I32="Yes",N(L31)+1,0))</f>
        <v/>
      </c>
    </row>
    <row r="33">
      <c r="A33" s="18" t="n"/>
      <c r="B33" s="19" t="n"/>
      <c r="C33" s="19" t="n"/>
      <c r="D33" s="19" t="n"/>
      <c r="E33" s="20" t="n"/>
      <c r="F33" s="19" t="n"/>
      <c r="G33" s="19" t="n"/>
      <c r="H33" s="19" t="n"/>
      <c r="I33" s="19" t="n"/>
      <c r="J33" s="21" t="n"/>
      <c r="L33" s="22">
        <f>IF($A33="","",IF($I33="Yes",N(L32)+1,0))</f>
        <v/>
      </c>
    </row>
    <row r="34">
      <c r="A34" s="23" t="n"/>
      <c r="B34" s="24" t="n"/>
      <c r="C34" s="24" t="n"/>
      <c r="D34" s="24" t="n"/>
      <c r="E34" s="25" t="n"/>
      <c r="F34" s="24" t="n"/>
      <c r="G34" s="24" t="n"/>
      <c r="H34" s="24" t="n"/>
      <c r="I34" s="24" t="n"/>
      <c r="J34" s="26" t="n"/>
      <c r="L34" s="22">
        <f>IF($A34="","",IF($I34="Yes",N(L33)+1,0))</f>
        <v/>
      </c>
    </row>
    <row r="35">
      <c r="A35" s="18" t="n"/>
      <c r="B35" s="19" t="n"/>
      <c r="C35" s="19" t="n"/>
      <c r="D35" s="19" t="n"/>
      <c r="E35" s="20" t="n"/>
      <c r="F35" s="19" t="n"/>
      <c r="G35" s="19" t="n"/>
      <c r="H35" s="19" t="n"/>
      <c r="I35" s="19" t="n"/>
      <c r="J35" s="21" t="n"/>
      <c r="L35" s="22">
        <f>IF($A35="","",IF($I35="Yes",N(L34)+1,0))</f>
        <v/>
      </c>
    </row>
    <row r="36">
      <c r="A36" s="23" t="n"/>
      <c r="B36" s="24" t="n"/>
      <c r="C36" s="24" t="n"/>
      <c r="D36" s="24" t="n"/>
      <c r="E36" s="25" t="n"/>
      <c r="F36" s="24" t="n"/>
      <c r="G36" s="24" t="n"/>
      <c r="H36" s="24" t="n"/>
      <c r="I36" s="24" t="n"/>
      <c r="J36" s="26" t="n"/>
      <c r="L36" s="22">
        <f>IF($A36="","",IF($I36="Yes",N(L35)+1,0))</f>
        <v/>
      </c>
    </row>
    <row r="37">
      <c r="A37" s="18" t="n"/>
      <c r="B37" s="19" t="n"/>
      <c r="C37" s="19" t="n"/>
      <c r="D37" s="19" t="n"/>
      <c r="E37" s="20" t="n"/>
      <c r="F37" s="19" t="n"/>
      <c r="G37" s="19" t="n"/>
      <c r="H37" s="19" t="n"/>
      <c r="I37" s="19" t="n"/>
      <c r="J37" s="21" t="n"/>
      <c r="L37" s="22">
        <f>IF($A37="","",IF($I37="Yes",N(L36)+1,0))</f>
        <v/>
      </c>
    </row>
    <row r="38">
      <c r="A38" s="23" t="n"/>
      <c r="B38" s="24" t="n"/>
      <c r="C38" s="24" t="n"/>
      <c r="D38" s="24" t="n"/>
      <c r="E38" s="25" t="n"/>
      <c r="F38" s="24" t="n"/>
      <c r="G38" s="24" t="n"/>
      <c r="H38" s="24" t="n"/>
      <c r="I38" s="24" t="n"/>
      <c r="J38" s="26" t="n"/>
      <c r="L38" s="22">
        <f>IF($A38="","",IF($I38="Yes",N(L37)+1,0))</f>
        <v/>
      </c>
    </row>
    <row r="39">
      <c r="A39" s="18" t="n"/>
      <c r="B39" s="19" t="n"/>
      <c r="C39" s="19" t="n"/>
      <c r="D39" s="19" t="n"/>
      <c r="E39" s="20" t="n"/>
      <c r="F39" s="19" t="n"/>
      <c r="G39" s="19" t="n"/>
      <c r="H39" s="19" t="n"/>
      <c r="I39" s="19" t="n"/>
      <c r="J39" s="21" t="n"/>
      <c r="L39" s="22">
        <f>IF($A39="","",IF($I39="Yes",N(L38)+1,0))</f>
        <v/>
      </c>
    </row>
    <row r="40">
      <c r="A40" s="23" t="n"/>
      <c r="B40" s="24" t="n"/>
      <c r="C40" s="24" t="n"/>
      <c r="D40" s="24" t="n"/>
      <c r="E40" s="25" t="n"/>
      <c r="F40" s="24" t="n"/>
      <c r="G40" s="24" t="n"/>
      <c r="H40" s="24" t="n"/>
      <c r="I40" s="24" t="n"/>
      <c r="J40" s="26" t="n"/>
      <c r="L40" s="22">
        <f>IF($A40="","",IF($I40="Yes",N(L39)+1,0))</f>
        <v/>
      </c>
    </row>
    <row r="41">
      <c r="A41" s="18" t="n"/>
      <c r="B41" s="19" t="n"/>
      <c r="C41" s="19" t="n"/>
      <c r="D41" s="19" t="n"/>
      <c r="E41" s="20" t="n"/>
      <c r="F41" s="19" t="n"/>
      <c r="G41" s="19" t="n"/>
      <c r="H41" s="19" t="n"/>
      <c r="I41" s="19" t="n"/>
      <c r="J41" s="21" t="n"/>
      <c r="L41" s="22">
        <f>IF($A41="","",IF($I41="Yes",N(L40)+1,0))</f>
        <v/>
      </c>
    </row>
    <row r="42">
      <c r="A42" s="23" t="n"/>
      <c r="B42" s="24" t="n"/>
      <c r="C42" s="24" t="n"/>
      <c r="D42" s="24" t="n"/>
      <c r="E42" s="25" t="n"/>
      <c r="F42" s="24" t="n"/>
      <c r="G42" s="24" t="n"/>
      <c r="H42" s="24" t="n"/>
      <c r="I42" s="24" t="n"/>
      <c r="J42" s="26" t="n"/>
      <c r="L42" s="22">
        <f>IF($A42="","",IF($I42="Yes",N(L41)+1,0))</f>
        <v/>
      </c>
    </row>
    <row r="43">
      <c r="A43" s="18" t="n"/>
      <c r="B43" s="19" t="n"/>
      <c r="C43" s="19" t="n"/>
      <c r="D43" s="19" t="n"/>
      <c r="E43" s="20" t="n"/>
      <c r="F43" s="19" t="n"/>
      <c r="G43" s="19" t="n"/>
      <c r="H43" s="19" t="n"/>
      <c r="I43" s="19" t="n"/>
      <c r="J43" s="21" t="n"/>
      <c r="L43" s="22">
        <f>IF($A43="","",IF($I43="Yes",N(L42)+1,0))</f>
        <v/>
      </c>
    </row>
    <row r="44">
      <c r="A44" s="23" t="n"/>
      <c r="B44" s="24" t="n"/>
      <c r="C44" s="24" t="n"/>
      <c r="D44" s="24" t="n"/>
      <c r="E44" s="25" t="n"/>
      <c r="F44" s="24" t="n"/>
      <c r="G44" s="24" t="n"/>
      <c r="H44" s="24" t="n"/>
      <c r="I44" s="24" t="n"/>
      <c r="J44" s="26" t="n"/>
      <c r="L44" s="22">
        <f>IF($A44="","",IF($I44="Yes",N(L43)+1,0))</f>
        <v/>
      </c>
    </row>
    <row r="45">
      <c r="A45" s="18" t="n"/>
      <c r="B45" s="19" t="n"/>
      <c r="C45" s="19" t="n"/>
      <c r="D45" s="19" t="n"/>
      <c r="E45" s="20" t="n"/>
      <c r="F45" s="19" t="n"/>
      <c r="G45" s="19" t="n"/>
      <c r="H45" s="19" t="n"/>
      <c r="I45" s="19" t="n"/>
      <c r="J45" s="21" t="n"/>
      <c r="L45" s="22">
        <f>IF($A45="","",IF($I45="Yes",N(L44)+1,0))</f>
        <v/>
      </c>
    </row>
    <row r="46">
      <c r="A46" s="23" t="n"/>
      <c r="B46" s="24" t="n"/>
      <c r="C46" s="24" t="n"/>
      <c r="D46" s="24" t="n"/>
      <c r="E46" s="25" t="n"/>
      <c r="F46" s="24" t="n"/>
      <c r="G46" s="24" t="n"/>
      <c r="H46" s="24" t="n"/>
      <c r="I46" s="24" t="n"/>
      <c r="J46" s="26" t="n"/>
      <c r="L46" s="22">
        <f>IF($A46="","",IF($I46="Yes",N(L45)+1,0))</f>
        <v/>
      </c>
    </row>
    <row r="47">
      <c r="A47" s="18" t="n"/>
      <c r="B47" s="19" t="n"/>
      <c r="C47" s="19" t="n"/>
      <c r="D47" s="19" t="n"/>
      <c r="E47" s="20" t="n"/>
      <c r="F47" s="19" t="n"/>
      <c r="G47" s="19" t="n"/>
      <c r="H47" s="19" t="n"/>
      <c r="I47" s="19" t="n"/>
      <c r="J47" s="21" t="n"/>
      <c r="L47" s="22">
        <f>IF($A47="","",IF($I47="Yes",N(L46)+1,0))</f>
        <v/>
      </c>
    </row>
    <row r="48">
      <c r="A48" s="23" t="n"/>
      <c r="B48" s="24" t="n"/>
      <c r="C48" s="24" t="n"/>
      <c r="D48" s="24" t="n"/>
      <c r="E48" s="25" t="n"/>
      <c r="F48" s="24" t="n"/>
      <c r="G48" s="24" t="n"/>
      <c r="H48" s="24" t="n"/>
      <c r="I48" s="24" t="n"/>
      <c r="J48" s="26" t="n"/>
      <c r="L48" s="22">
        <f>IF($A48="","",IF($I48="Yes",N(L47)+1,0))</f>
        <v/>
      </c>
    </row>
    <row r="49">
      <c r="A49" s="18" t="n"/>
      <c r="B49" s="19" t="n"/>
      <c r="C49" s="19" t="n"/>
      <c r="D49" s="19" t="n"/>
      <c r="E49" s="20" t="n"/>
      <c r="F49" s="19" t="n"/>
      <c r="G49" s="19" t="n"/>
      <c r="H49" s="19" t="n"/>
      <c r="I49" s="19" t="n"/>
      <c r="J49" s="21" t="n"/>
      <c r="L49" s="22">
        <f>IF($A49="","",IF($I49="Yes",N(L48)+1,0))</f>
        <v/>
      </c>
    </row>
    <row r="50">
      <c r="A50" s="23" t="n"/>
      <c r="B50" s="24" t="n"/>
      <c r="C50" s="24" t="n"/>
      <c r="D50" s="24" t="n"/>
      <c r="E50" s="25" t="n"/>
      <c r="F50" s="24" t="n"/>
      <c r="G50" s="24" t="n"/>
      <c r="H50" s="24" t="n"/>
      <c r="I50" s="24" t="n"/>
      <c r="J50" s="26" t="n"/>
      <c r="L50" s="22">
        <f>IF($A50="","",IF($I50="Yes",N(L49)+1,0))</f>
        <v/>
      </c>
    </row>
    <row r="51">
      <c r="A51" s="18" t="n"/>
      <c r="B51" s="19" t="n"/>
      <c r="C51" s="19" t="n"/>
      <c r="D51" s="19" t="n"/>
      <c r="E51" s="20" t="n"/>
      <c r="F51" s="19" t="n"/>
      <c r="G51" s="19" t="n"/>
      <c r="H51" s="19" t="n"/>
      <c r="I51" s="19" t="n"/>
      <c r="J51" s="21" t="n"/>
      <c r="L51" s="22">
        <f>IF($A51="","",IF($I51="Yes",N(L50)+1,0))</f>
        <v/>
      </c>
    </row>
    <row r="52">
      <c r="A52" s="23" t="n"/>
      <c r="B52" s="24" t="n"/>
      <c r="C52" s="24" t="n"/>
      <c r="D52" s="24" t="n"/>
      <c r="E52" s="25" t="n"/>
      <c r="F52" s="24" t="n"/>
      <c r="G52" s="24" t="n"/>
      <c r="H52" s="24" t="n"/>
      <c r="I52" s="24" t="n"/>
      <c r="J52" s="26" t="n"/>
      <c r="L52" s="22">
        <f>IF($A52="","",IF($I52="Yes",N(L51)+1,0))</f>
        <v/>
      </c>
    </row>
    <row r="53">
      <c r="A53" s="18" t="n"/>
      <c r="B53" s="19" t="n"/>
      <c r="C53" s="19" t="n"/>
      <c r="D53" s="19" t="n"/>
      <c r="E53" s="20" t="n"/>
      <c r="F53" s="19" t="n"/>
      <c r="G53" s="19" t="n"/>
      <c r="H53" s="19" t="n"/>
      <c r="I53" s="19" t="n"/>
      <c r="J53" s="21" t="n"/>
      <c r="L53" s="22">
        <f>IF($A53="","",IF($I53="Yes",N(L52)+1,0))</f>
        <v/>
      </c>
    </row>
    <row r="54">
      <c r="A54" s="23" t="n"/>
      <c r="B54" s="24" t="n"/>
      <c r="C54" s="24" t="n"/>
      <c r="D54" s="24" t="n"/>
      <c r="E54" s="25" t="n"/>
      <c r="F54" s="24" t="n"/>
      <c r="G54" s="24" t="n"/>
      <c r="H54" s="24" t="n"/>
      <c r="I54" s="24" t="n"/>
      <c r="J54" s="26" t="n"/>
      <c r="L54" s="22">
        <f>IF($A54="","",IF($I54="Yes",N(L53)+1,0))</f>
        <v/>
      </c>
    </row>
    <row r="55">
      <c r="A55" s="18" t="n"/>
      <c r="B55" s="19" t="n"/>
      <c r="C55" s="19" t="n"/>
      <c r="D55" s="19" t="n"/>
      <c r="E55" s="20" t="n"/>
      <c r="F55" s="19" t="n"/>
      <c r="G55" s="19" t="n"/>
      <c r="H55" s="19" t="n"/>
      <c r="I55" s="19" t="n"/>
      <c r="J55" s="21" t="n"/>
      <c r="L55" s="22">
        <f>IF($A55="","",IF($I55="Yes",N(L54)+1,0))</f>
        <v/>
      </c>
    </row>
    <row r="56">
      <c r="A56" s="23" t="n"/>
      <c r="B56" s="24" t="n"/>
      <c r="C56" s="24" t="n"/>
      <c r="D56" s="24" t="n"/>
      <c r="E56" s="25" t="n"/>
      <c r="F56" s="24" t="n"/>
      <c r="G56" s="24" t="n"/>
      <c r="H56" s="24" t="n"/>
      <c r="I56" s="24" t="n"/>
      <c r="J56" s="26" t="n"/>
      <c r="L56" s="22">
        <f>IF($A56="","",IF($I56="Yes",N(L55)+1,0))</f>
        <v/>
      </c>
    </row>
    <row r="57">
      <c r="A57" s="18" t="n"/>
      <c r="B57" s="19" t="n"/>
      <c r="C57" s="19" t="n"/>
      <c r="D57" s="19" t="n"/>
      <c r="E57" s="20" t="n"/>
      <c r="F57" s="19" t="n"/>
      <c r="G57" s="19" t="n"/>
      <c r="H57" s="19" t="n"/>
      <c r="I57" s="19" t="n"/>
      <c r="J57" s="21" t="n"/>
      <c r="L57" s="22">
        <f>IF($A57="","",IF($I57="Yes",N(L56)+1,0))</f>
        <v/>
      </c>
    </row>
    <row r="58">
      <c r="A58" s="23" t="n"/>
      <c r="B58" s="24" t="n"/>
      <c r="C58" s="24" t="n"/>
      <c r="D58" s="24" t="n"/>
      <c r="E58" s="25" t="n"/>
      <c r="F58" s="24" t="n"/>
      <c r="G58" s="24" t="n"/>
      <c r="H58" s="24" t="n"/>
      <c r="I58" s="24" t="n"/>
      <c r="J58" s="26" t="n"/>
      <c r="L58" s="22">
        <f>IF($A58="","",IF($I58="Yes",N(L57)+1,0))</f>
        <v/>
      </c>
    </row>
    <row r="59">
      <c r="A59" s="18" t="n"/>
      <c r="B59" s="19" t="n"/>
      <c r="C59" s="19" t="n"/>
      <c r="D59" s="19" t="n"/>
      <c r="E59" s="20" t="n"/>
      <c r="F59" s="19" t="n"/>
      <c r="G59" s="19" t="n"/>
      <c r="H59" s="19" t="n"/>
      <c r="I59" s="19" t="n"/>
      <c r="J59" s="21" t="n"/>
      <c r="L59" s="22">
        <f>IF($A59="","",IF($I59="Yes",N(L58)+1,0))</f>
        <v/>
      </c>
    </row>
    <row r="60">
      <c r="A60" s="23" t="n"/>
      <c r="B60" s="24" t="n"/>
      <c r="C60" s="24" t="n"/>
      <c r="D60" s="24" t="n"/>
      <c r="E60" s="25" t="n"/>
      <c r="F60" s="24" t="n"/>
      <c r="G60" s="24" t="n"/>
      <c r="H60" s="24" t="n"/>
      <c r="I60" s="24" t="n"/>
      <c r="J60" s="26" t="n"/>
      <c r="L60" s="22">
        <f>IF($A60="","",IF($I60="Yes",N(L59)+1,0))</f>
        <v/>
      </c>
    </row>
    <row r="61">
      <c r="A61" s="18" t="n"/>
      <c r="B61" s="19" t="n"/>
      <c r="C61" s="19" t="n"/>
      <c r="D61" s="19" t="n"/>
      <c r="E61" s="20" t="n"/>
      <c r="F61" s="19" t="n"/>
      <c r="G61" s="19" t="n"/>
      <c r="H61" s="19" t="n"/>
      <c r="I61" s="19" t="n"/>
      <c r="J61" s="21" t="n"/>
      <c r="L61" s="22">
        <f>IF($A61="","",IF($I61="Yes",N(L60)+1,0))</f>
        <v/>
      </c>
    </row>
    <row r="62">
      <c r="A62" s="23" t="n"/>
      <c r="B62" s="24" t="n"/>
      <c r="C62" s="24" t="n"/>
      <c r="D62" s="24" t="n"/>
      <c r="E62" s="25" t="n"/>
      <c r="F62" s="24" t="n"/>
      <c r="G62" s="24" t="n"/>
      <c r="H62" s="24" t="n"/>
      <c r="I62" s="24" t="n"/>
      <c r="J62" s="26" t="n"/>
      <c r="L62" s="22">
        <f>IF($A62="","",IF($I62="Yes",N(L61)+1,0))</f>
        <v/>
      </c>
    </row>
    <row r="63">
      <c r="A63" s="18" t="n"/>
      <c r="B63" s="19" t="n"/>
      <c r="C63" s="19" t="n"/>
      <c r="D63" s="19" t="n"/>
      <c r="E63" s="20" t="n"/>
      <c r="F63" s="19" t="n"/>
      <c r="G63" s="19" t="n"/>
      <c r="H63" s="19" t="n"/>
      <c r="I63" s="19" t="n"/>
      <c r="J63" s="21" t="n"/>
      <c r="L63" s="22">
        <f>IF($A63="","",IF($I63="Yes",N(L62)+1,0))</f>
        <v/>
      </c>
    </row>
    <row r="64">
      <c r="A64" s="23" t="n"/>
      <c r="B64" s="24" t="n"/>
      <c r="C64" s="24" t="n"/>
      <c r="D64" s="24" t="n"/>
      <c r="E64" s="25" t="n"/>
      <c r="F64" s="24" t="n"/>
      <c r="G64" s="24" t="n"/>
      <c r="H64" s="24" t="n"/>
      <c r="I64" s="24" t="n"/>
      <c r="J64" s="26" t="n"/>
      <c r="L64" s="22">
        <f>IF($A64="","",IF($I64="Yes",N(L63)+1,0))</f>
        <v/>
      </c>
    </row>
  </sheetData>
  <mergeCells count="2">
    <mergeCell ref="A2:L2"/>
    <mergeCell ref="A1:L1"/>
  </mergeCells>
  <conditionalFormatting sqref="B5:B64">
    <cfRule type="colorScale" priority="1">
      <colorScale>
        <cfvo type="num" val="1"/>
        <cfvo type="num" val="5"/>
        <cfvo type="num" val="10"/>
        <color rgb="FFFBE6E6"/>
        <color rgb="FFFFF3CD"/>
        <color rgb="FF75E6C1"/>
      </colorScale>
    </cfRule>
  </conditionalFormatting>
  <conditionalFormatting sqref="D5:D64">
    <cfRule type="colorScale" priority="2">
      <colorScale>
        <cfvo type="num" val="1"/>
        <cfvo type="num" val="5"/>
        <cfvo type="num" val="10"/>
        <color rgb="FF75E6C1"/>
        <color rgb="FFFFF3CD"/>
        <color rgb="FFFBE6E6"/>
      </colorScale>
    </cfRule>
  </conditionalFormatting>
  <dataValidations count="3">
    <dataValidation sqref="B5:D64" showDropDown="0" showInputMessage="0" showErrorMessage="0" allowBlank="1" type="whole" operator="between">
      <formula1>1</formula1>
      <formula2>10</formula2>
    </dataValidation>
    <dataValidation sqref="G5:G64" showDropDown="0" showInputMessage="0" showErrorMessage="0" allowBlank="1" type="list">
      <formula1>=YesNoList</formula1>
    </dataValidation>
    <dataValidation sqref="I5:I6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M7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1" customWidth="1" min="13" max="13"/>
  </cols>
  <sheetData>
    <row r="1" ht="46" customHeight="1">
      <c r="A1" s="1" t="inlineStr">
        <is>
          <t xml:space="preserve">  🌱  HABIT TRACKER</t>
        </is>
      </c>
    </row>
    <row r="2" ht="22" customHeight="1">
      <c r="A2" s="2" t="inlineStr">
        <is>
          <t xml:space="preserve">  Tiny habits, big calm. Tick what you did — streaks update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30" customHeight="1">
      <c r="A4" s="7" t="inlineStr">
        <is>
          <t>Date</t>
        </is>
      </c>
      <c r="B4" s="7" t="inlineStr">
        <is>
          <t>Meditation</t>
        </is>
      </c>
      <c r="C4" s="7" t="inlineStr">
        <is>
          <t>Deep Breathing</t>
        </is>
      </c>
      <c r="D4" s="7" t="inlineStr">
        <is>
          <t>Exercise</t>
        </is>
      </c>
      <c r="E4" s="7" t="inlineStr">
        <is>
          <t>Reading</t>
        </is>
      </c>
      <c r="F4" s="7" t="inlineStr">
        <is>
          <t>Walking</t>
        </is>
      </c>
      <c r="G4" s="7" t="inlineStr">
        <is>
          <t>Healthy Meals</t>
        </is>
      </c>
      <c r="H4" s="7" t="inlineStr">
        <is>
          <t>Sleep Routine</t>
        </is>
      </c>
      <c r="I4" s="7" t="inlineStr">
        <is>
          <t>Gratitude</t>
        </is>
      </c>
      <c r="J4" s="7" t="inlineStr">
        <is>
          <t>Limit Screens</t>
        </is>
      </c>
      <c r="K4" s="7" t="inlineStr">
        <is>
          <t>Done</t>
        </is>
      </c>
      <c r="L4" s="7" t="inlineStr">
        <is>
          <t>Daily %</t>
        </is>
      </c>
      <c r="M4" s="7" t="inlineStr">
        <is>
          <t>Streak~</t>
        </is>
      </c>
    </row>
    <row r="5">
      <c r="A5" s="18" t="n">
        <v>46189</v>
      </c>
      <c r="B5" s="19" t="inlineStr">
        <is>
          <t>Yes</t>
        </is>
      </c>
      <c r="C5" s="19" t="inlineStr">
        <is>
          <t>Yes</t>
        </is>
      </c>
      <c r="D5" s="19" t="inlineStr">
        <is>
          <t>Yes</t>
        </is>
      </c>
      <c r="E5" s="19" t="inlineStr">
        <is>
          <t>Yes</t>
        </is>
      </c>
      <c r="F5" s="19" t="inlineStr">
        <is>
          <t>Yes</t>
        </is>
      </c>
      <c r="G5" s="19" t="inlineStr">
        <is>
          <t>Yes</t>
        </is>
      </c>
      <c r="H5" s="19" t="inlineStr">
        <is>
          <t>Yes</t>
        </is>
      </c>
      <c r="I5" s="19" t="inlineStr">
        <is>
          <t>Yes</t>
        </is>
      </c>
      <c r="J5" s="19" t="inlineStr">
        <is>
          <t>Yes</t>
        </is>
      </c>
      <c r="K5" s="19">
        <f>IF($A5="","",COUNTIF(B5:J5,"Yes"))</f>
        <v/>
      </c>
      <c r="L5" s="27">
        <f>IF($A5="","",K5/9)</f>
        <v/>
      </c>
      <c r="M5" s="28">
        <f>IF($A5="","",IF(K5&gt;=HabitGoal,1,0))</f>
        <v/>
      </c>
    </row>
    <row r="6">
      <c r="A6" s="23" t="n">
        <v>46190</v>
      </c>
      <c r="B6" s="24" t="inlineStr">
        <is>
          <t>Yes</t>
        </is>
      </c>
      <c r="C6" s="24" t="inlineStr">
        <is>
          <t>Yes</t>
        </is>
      </c>
      <c r="D6" s="24" t="inlineStr">
        <is>
          <t>Yes</t>
        </is>
      </c>
      <c r="E6" s="24" t="inlineStr">
        <is>
          <t>Yes</t>
        </is>
      </c>
      <c r="F6" s="24" t="n"/>
      <c r="G6" s="24" t="inlineStr">
        <is>
          <t>Yes</t>
        </is>
      </c>
      <c r="H6" s="24" t="inlineStr">
        <is>
          <t>Yes</t>
        </is>
      </c>
      <c r="I6" s="24" t="inlineStr">
        <is>
          <t>Yes</t>
        </is>
      </c>
      <c r="J6" s="24" t="n"/>
      <c r="K6" s="24">
        <f>IF($A6="","",COUNTIF(B6:J6,"Yes"))</f>
        <v/>
      </c>
      <c r="L6" s="29">
        <f>IF($A6="","",K6/9)</f>
        <v/>
      </c>
      <c r="M6" s="30">
        <f>IF($A6="","",IF(K6&gt;=HabitGoal,N(M5)+1,0))</f>
        <v/>
      </c>
    </row>
    <row r="7">
      <c r="A7" s="18" t="n">
        <v>46191</v>
      </c>
      <c r="B7" s="19" t="inlineStr">
        <is>
          <t>Yes</t>
        </is>
      </c>
      <c r="C7" s="19" t="inlineStr">
        <is>
          <t>Yes</t>
        </is>
      </c>
      <c r="D7" s="19" t="n"/>
      <c r="E7" s="19" t="inlineStr">
        <is>
          <t>Yes</t>
        </is>
      </c>
      <c r="F7" s="19" t="n"/>
      <c r="G7" s="19" t="inlineStr">
        <is>
          <t>Yes</t>
        </is>
      </c>
      <c r="H7" s="19" t="inlineStr">
        <is>
          <t>Yes</t>
        </is>
      </c>
      <c r="I7" s="19" t="inlineStr">
        <is>
          <t>Yes</t>
        </is>
      </c>
      <c r="J7" s="19" t="inlineStr">
        <is>
          <t>Yes</t>
        </is>
      </c>
      <c r="K7" s="19">
        <f>IF($A7="","",COUNTIF(B7:J7,"Yes"))</f>
        <v/>
      </c>
      <c r="L7" s="27">
        <f>IF($A7="","",K7/9)</f>
        <v/>
      </c>
      <c r="M7" s="28">
        <f>IF($A7="","",IF(K7&gt;=HabitGoal,N(M6)+1,0))</f>
        <v/>
      </c>
    </row>
    <row r="8">
      <c r="A8" s="23" t="n">
        <v>46192</v>
      </c>
      <c r="B8" s="24" t="n"/>
      <c r="C8" s="24" t="inlineStr">
        <is>
          <t>Yes</t>
        </is>
      </c>
      <c r="D8" s="24" t="inlineStr">
        <is>
          <t>Yes</t>
        </is>
      </c>
      <c r="E8" s="24" t="inlineStr">
        <is>
          <t>Yes</t>
        </is>
      </c>
      <c r="F8" s="24" t="inlineStr">
        <is>
          <t>Yes</t>
        </is>
      </c>
      <c r="G8" s="24" t="inlineStr">
        <is>
          <t>Yes</t>
        </is>
      </c>
      <c r="H8" s="24" t="inlineStr">
        <is>
          <t>Yes</t>
        </is>
      </c>
      <c r="I8" s="24" t="inlineStr">
        <is>
          <t>Yes</t>
        </is>
      </c>
      <c r="J8" s="24" t="inlineStr">
        <is>
          <t>Yes</t>
        </is>
      </c>
      <c r="K8" s="24">
        <f>IF($A8="","",COUNTIF(B8:J8,"Yes"))</f>
        <v/>
      </c>
      <c r="L8" s="29">
        <f>IF($A8="","",K8/9)</f>
        <v/>
      </c>
      <c r="M8" s="30">
        <f>IF($A8="","",IF(K8&gt;=HabitGoal,N(M7)+1,0))</f>
        <v/>
      </c>
    </row>
    <row r="9">
      <c r="A9" s="18" t="n">
        <v>46193</v>
      </c>
      <c r="B9" s="19" t="n"/>
      <c r="C9" s="19" t="inlineStr">
        <is>
          <t>Yes</t>
        </is>
      </c>
      <c r="D9" s="19" t="inlineStr">
        <is>
          <t>Yes</t>
        </is>
      </c>
      <c r="E9" s="19" t="inlineStr">
        <is>
          <t>Yes</t>
        </is>
      </c>
      <c r="F9" s="19" t="inlineStr">
        <is>
          <t>Yes</t>
        </is>
      </c>
      <c r="G9" s="19" t="inlineStr">
        <is>
          <t>Yes</t>
        </is>
      </c>
      <c r="H9" s="19" t="n"/>
      <c r="I9" s="19" t="n"/>
      <c r="J9" s="19" t="inlineStr">
        <is>
          <t>Yes</t>
        </is>
      </c>
      <c r="K9" s="19">
        <f>IF($A9="","",COUNTIF(B9:J9,"Yes"))</f>
        <v/>
      </c>
      <c r="L9" s="27">
        <f>IF($A9="","",K9/9)</f>
        <v/>
      </c>
      <c r="M9" s="28">
        <f>IF($A9="","",IF(K9&gt;=HabitGoal,N(M8)+1,0))</f>
        <v/>
      </c>
    </row>
    <row r="10">
      <c r="A10" s="23" t="n">
        <v>46194</v>
      </c>
      <c r="B10" s="24" t="inlineStr">
        <is>
          <t>Yes</t>
        </is>
      </c>
      <c r="C10" s="24" t="inlineStr">
        <is>
          <t>Yes</t>
        </is>
      </c>
      <c r="D10" s="24" t="n"/>
      <c r="E10" s="24" t="n"/>
      <c r="F10" s="24" t="inlineStr">
        <is>
          <t>Yes</t>
        </is>
      </c>
      <c r="G10" s="24" t="n"/>
      <c r="H10" s="24" t="inlineStr">
        <is>
          <t>Yes</t>
        </is>
      </c>
      <c r="I10" s="24" t="inlineStr">
        <is>
          <t>Yes</t>
        </is>
      </c>
      <c r="J10" s="24" t="n"/>
      <c r="K10" s="24">
        <f>IF($A10="","",COUNTIF(B10:J10,"Yes"))</f>
        <v/>
      </c>
      <c r="L10" s="29">
        <f>IF($A10="","",K10/9)</f>
        <v/>
      </c>
      <c r="M10" s="30">
        <f>IF($A10="","",IF(K10&gt;=HabitGoal,N(M9)+1,0))</f>
        <v/>
      </c>
    </row>
    <row r="11">
      <c r="A11" s="18" t="n">
        <v>46195</v>
      </c>
      <c r="B11" s="19" t="inlineStr">
        <is>
          <t>Yes</t>
        </is>
      </c>
      <c r="C11" s="19" t="inlineStr">
        <is>
          <t>Yes</t>
        </is>
      </c>
      <c r="D11" s="19" t="inlineStr">
        <is>
          <t>Yes</t>
        </is>
      </c>
      <c r="E11" s="19" t="inlineStr">
        <is>
          <t>Yes</t>
        </is>
      </c>
      <c r="F11" s="19" t="n"/>
      <c r="G11" s="19" t="inlineStr">
        <is>
          <t>Yes</t>
        </is>
      </c>
      <c r="H11" s="19" t="n"/>
      <c r="I11" s="19" t="inlineStr">
        <is>
          <t>Yes</t>
        </is>
      </c>
      <c r="J11" s="19" t="n"/>
      <c r="K11" s="19">
        <f>IF($A11="","",COUNTIF(B11:J11,"Yes"))</f>
        <v/>
      </c>
      <c r="L11" s="27">
        <f>IF($A11="","",K11/9)</f>
        <v/>
      </c>
      <c r="M11" s="28">
        <f>IF($A11="","",IF(K11&gt;=HabitGoal,N(M10)+1,0))</f>
        <v/>
      </c>
    </row>
    <row r="12">
      <c r="A12" s="23" t="n">
        <v>46196</v>
      </c>
      <c r="B12" s="24" t="inlineStr">
        <is>
          <t>Yes</t>
        </is>
      </c>
      <c r="C12" s="24" t="inlineStr">
        <is>
          <t>Yes</t>
        </is>
      </c>
      <c r="D12" s="24" t="inlineStr">
        <is>
          <t>Yes</t>
        </is>
      </c>
      <c r="E12" s="24" t="n"/>
      <c r="F12" s="24" t="n"/>
      <c r="G12" s="24" t="inlineStr">
        <is>
          <t>Yes</t>
        </is>
      </c>
      <c r="H12" s="24" t="inlineStr">
        <is>
          <t>Yes</t>
        </is>
      </c>
      <c r="I12" s="24" t="inlineStr">
        <is>
          <t>Yes</t>
        </is>
      </c>
      <c r="J12" s="24" t="n"/>
      <c r="K12" s="24">
        <f>IF($A12="","",COUNTIF(B12:J12,"Yes"))</f>
        <v/>
      </c>
      <c r="L12" s="29">
        <f>IF($A12="","",K12/9)</f>
        <v/>
      </c>
      <c r="M12" s="30">
        <f>IF($A12="","",IF(K12&gt;=HabitGoal,N(M11)+1,0))</f>
        <v/>
      </c>
    </row>
    <row r="13">
      <c r="A13" s="18" t="n">
        <v>46197</v>
      </c>
      <c r="B13" s="19" t="inlineStr">
        <is>
          <t>Yes</t>
        </is>
      </c>
      <c r="C13" s="19" t="n"/>
      <c r="D13" s="19" t="n"/>
      <c r="E13" s="19" t="inlineStr">
        <is>
          <t>Yes</t>
        </is>
      </c>
      <c r="F13" s="19" t="inlineStr">
        <is>
          <t>Yes</t>
        </is>
      </c>
      <c r="G13" s="19" t="inlineStr">
        <is>
          <t>Yes</t>
        </is>
      </c>
      <c r="H13" s="19" t="inlineStr">
        <is>
          <t>Yes</t>
        </is>
      </c>
      <c r="I13" s="19" t="inlineStr">
        <is>
          <t>Yes</t>
        </is>
      </c>
      <c r="J13" s="19" t="inlineStr">
        <is>
          <t>Yes</t>
        </is>
      </c>
      <c r="K13" s="19">
        <f>IF($A13="","",COUNTIF(B13:J13,"Yes"))</f>
        <v/>
      </c>
      <c r="L13" s="27">
        <f>IF($A13="","",K13/9)</f>
        <v/>
      </c>
      <c r="M13" s="28">
        <f>IF($A13="","",IF(K13&gt;=HabitGoal,N(M12)+1,0))</f>
        <v/>
      </c>
    </row>
    <row r="14">
      <c r="A14" s="23" t="n">
        <v>46198</v>
      </c>
      <c r="B14" s="24" t="inlineStr">
        <is>
          <t>Yes</t>
        </is>
      </c>
      <c r="C14" s="24" t="inlineStr">
        <is>
          <t>Yes</t>
        </is>
      </c>
      <c r="D14" s="24" t="n"/>
      <c r="E14" s="24" t="inlineStr">
        <is>
          <t>Yes</t>
        </is>
      </c>
      <c r="F14" s="24" t="inlineStr">
        <is>
          <t>Yes</t>
        </is>
      </c>
      <c r="G14" s="24" t="inlineStr">
        <is>
          <t>Yes</t>
        </is>
      </c>
      <c r="H14" s="24" t="n"/>
      <c r="I14" s="24" t="inlineStr">
        <is>
          <t>Yes</t>
        </is>
      </c>
      <c r="J14" s="24" t="inlineStr">
        <is>
          <t>Yes</t>
        </is>
      </c>
      <c r="K14" s="24">
        <f>IF($A14="","",COUNTIF(B14:J14,"Yes"))</f>
        <v/>
      </c>
      <c r="L14" s="29">
        <f>IF($A14="","",K14/9)</f>
        <v/>
      </c>
      <c r="M14" s="30">
        <f>IF($A14="","",IF(K14&gt;=HabitGoal,N(M13)+1,0))</f>
        <v/>
      </c>
    </row>
    <row r="15">
      <c r="A15" s="18" t="n">
        <v>46199</v>
      </c>
      <c r="B15" s="19" t="inlineStr">
        <is>
          <t>Yes</t>
        </is>
      </c>
      <c r="C15" s="19" t="n"/>
      <c r="D15" s="19" t="n"/>
      <c r="E15" s="19" t="n"/>
      <c r="F15" s="19" t="inlineStr">
        <is>
          <t>Yes</t>
        </is>
      </c>
      <c r="G15" s="19" t="inlineStr">
        <is>
          <t>Yes</t>
        </is>
      </c>
      <c r="H15" s="19" t="inlineStr">
        <is>
          <t>Yes</t>
        </is>
      </c>
      <c r="I15" s="19" t="n"/>
      <c r="J15" s="19" t="n"/>
      <c r="K15" s="19">
        <f>IF($A15="","",COUNTIF(B15:J15,"Yes"))</f>
        <v/>
      </c>
      <c r="L15" s="27">
        <f>IF($A15="","",K15/9)</f>
        <v/>
      </c>
      <c r="M15" s="28">
        <f>IF($A15="","",IF(K15&gt;=HabitGoal,N(M14)+1,0))</f>
        <v/>
      </c>
    </row>
    <row r="16">
      <c r="A16" s="23" t="n">
        <v>46200</v>
      </c>
      <c r="B16" s="24" t="inlineStr">
        <is>
          <t>Yes</t>
        </is>
      </c>
      <c r="C16" s="24" t="inlineStr">
        <is>
          <t>Yes</t>
        </is>
      </c>
      <c r="D16" s="24" t="inlineStr">
        <is>
          <t>Yes</t>
        </is>
      </c>
      <c r="E16" s="24" t="inlineStr">
        <is>
          <t>Yes</t>
        </is>
      </c>
      <c r="F16" s="24" t="inlineStr">
        <is>
          <t>Yes</t>
        </is>
      </c>
      <c r="G16" s="24" t="inlineStr">
        <is>
          <t>Yes</t>
        </is>
      </c>
      <c r="H16" s="24" t="inlineStr">
        <is>
          <t>Yes</t>
        </is>
      </c>
      <c r="I16" s="24" t="inlineStr">
        <is>
          <t>Yes</t>
        </is>
      </c>
      <c r="J16" s="24" t="inlineStr">
        <is>
          <t>Yes</t>
        </is>
      </c>
      <c r="K16" s="24">
        <f>IF($A16="","",COUNTIF(B16:J16,"Yes"))</f>
        <v/>
      </c>
      <c r="L16" s="29">
        <f>IF($A16="","",K16/9)</f>
        <v/>
      </c>
      <c r="M16" s="30">
        <f>IF($A16="","",IF(K16&gt;=HabitGoal,N(M15)+1,0))</f>
        <v/>
      </c>
    </row>
    <row r="17">
      <c r="A17" s="18" t="n">
        <v>46201</v>
      </c>
      <c r="B17" s="19" t="inlineStr">
        <is>
          <t>Yes</t>
        </is>
      </c>
      <c r="C17" s="19" t="inlineStr">
        <is>
          <t>Yes</t>
        </is>
      </c>
      <c r="D17" s="19" t="n"/>
      <c r="E17" s="19" t="n"/>
      <c r="F17" s="19" t="inlineStr">
        <is>
          <t>Yes</t>
        </is>
      </c>
      <c r="G17" s="19" t="inlineStr">
        <is>
          <t>Yes</t>
        </is>
      </c>
      <c r="H17" s="19" t="inlineStr">
        <is>
          <t>Yes</t>
        </is>
      </c>
      <c r="I17" s="19" t="inlineStr">
        <is>
          <t>Yes</t>
        </is>
      </c>
      <c r="J17" s="19" t="n"/>
      <c r="K17" s="19">
        <f>IF($A17="","",COUNTIF(B17:J17,"Yes"))</f>
        <v/>
      </c>
      <c r="L17" s="27">
        <f>IF($A17="","",K17/9)</f>
        <v/>
      </c>
      <c r="M17" s="28">
        <f>IF($A17="","",IF(K17&gt;=HabitGoal,N(M16)+1,0))</f>
        <v/>
      </c>
    </row>
    <row r="18">
      <c r="A18" s="23" t="n">
        <v>46202</v>
      </c>
      <c r="B18" s="24" t="n"/>
      <c r="C18" s="24" t="n"/>
      <c r="D18" s="24" t="n"/>
      <c r="E18" s="24" t="inlineStr">
        <is>
          <t>Yes</t>
        </is>
      </c>
      <c r="F18" s="24" t="inlineStr">
        <is>
          <t>Yes</t>
        </is>
      </c>
      <c r="G18" s="24" t="inlineStr">
        <is>
          <t>Yes</t>
        </is>
      </c>
      <c r="H18" s="24" t="inlineStr">
        <is>
          <t>Yes</t>
        </is>
      </c>
      <c r="I18" s="24" t="inlineStr">
        <is>
          <t>Yes</t>
        </is>
      </c>
      <c r="J18" s="24" t="inlineStr">
        <is>
          <t>Yes</t>
        </is>
      </c>
      <c r="K18" s="24">
        <f>IF($A18="","",COUNTIF(B18:J18,"Yes"))</f>
        <v/>
      </c>
      <c r="L18" s="29">
        <f>IF($A18="","",K18/9)</f>
        <v/>
      </c>
      <c r="M18" s="30">
        <f>IF($A18="","",IF(K18&gt;=HabitGoal,N(M17)+1,0))</f>
        <v/>
      </c>
    </row>
    <row r="19">
      <c r="A19" s="18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>
        <f>IF($A19="","",COUNTIF(B19:J19,"Yes"))</f>
        <v/>
      </c>
      <c r="L19" s="27">
        <f>IF($A19="","",K19/9)</f>
        <v/>
      </c>
      <c r="M19" s="28">
        <f>IF($A19="","",IF(K19&gt;=HabitGoal,N(M18)+1,0))</f>
        <v/>
      </c>
    </row>
    <row r="20">
      <c r="A20" s="23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>
        <f>IF($A20="","",COUNTIF(B20:J20,"Yes"))</f>
        <v/>
      </c>
      <c r="L20" s="29">
        <f>IF($A20="","",K20/9)</f>
        <v/>
      </c>
      <c r="M20" s="30">
        <f>IF($A20="","",IF(K20&gt;=HabitGoal,N(M19)+1,0))</f>
        <v/>
      </c>
    </row>
    <row r="21">
      <c r="A21" s="18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>
        <f>IF($A21="","",COUNTIF(B21:J21,"Yes"))</f>
        <v/>
      </c>
      <c r="L21" s="27">
        <f>IF($A21="","",K21/9)</f>
        <v/>
      </c>
      <c r="M21" s="28">
        <f>IF($A21="","",IF(K21&gt;=HabitGoal,N(M20)+1,0))</f>
        <v/>
      </c>
    </row>
    <row r="22">
      <c r="A22" s="23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>
        <f>IF($A22="","",COUNTIF(B22:J22,"Yes"))</f>
        <v/>
      </c>
      <c r="L22" s="29">
        <f>IF($A22="","",K22/9)</f>
        <v/>
      </c>
      <c r="M22" s="30">
        <f>IF($A22="","",IF(K22&gt;=HabitGoal,N(M21)+1,0))</f>
        <v/>
      </c>
    </row>
    <row r="23">
      <c r="A23" s="18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>
        <f>IF($A23="","",COUNTIF(B23:J23,"Yes"))</f>
        <v/>
      </c>
      <c r="L23" s="27">
        <f>IF($A23="","",K23/9)</f>
        <v/>
      </c>
      <c r="M23" s="28">
        <f>IF($A23="","",IF(K23&gt;=HabitGoal,N(M22)+1,0))</f>
        <v/>
      </c>
    </row>
    <row r="24">
      <c r="A24" s="23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>
        <f>IF($A24="","",COUNTIF(B24:J24,"Yes"))</f>
        <v/>
      </c>
      <c r="L24" s="29">
        <f>IF($A24="","",K24/9)</f>
        <v/>
      </c>
      <c r="M24" s="30">
        <f>IF($A24="","",IF(K24&gt;=HabitGoal,N(M23)+1,0))</f>
        <v/>
      </c>
    </row>
    <row r="25">
      <c r="A25" s="18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>
        <f>IF($A25="","",COUNTIF(B25:J25,"Yes"))</f>
        <v/>
      </c>
      <c r="L25" s="27">
        <f>IF($A25="","",K25/9)</f>
        <v/>
      </c>
      <c r="M25" s="28">
        <f>IF($A25="","",IF(K25&gt;=HabitGoal,N(M24)+1,0))</f>
        <v/>
      </c>
    </row>
    <row r="26">
      <c r="A26" s="23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>
        <f>IF($A26="","",COUNTIF(B26:J26,"Yes"))</f>
        <v/>
      </c>
      <c r="L26" s="29">
        <f>IF($A26="","",K26/9)</f>
        <v/>
      </c>
      <c r="M26" s="30">
        <f>IF($A26="","",IF(K26&gt;=HabitGoal,N(M25)+1,0))</f>
        <v/>
      </c>
    </row>
    <row r="27">
      <c r="A27" s="18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>
        <f>IF($A27="","",COUNTIF(B27:J27,"Yes"))</f>
        <v/>
      </c>
      <c r="L27" s="27">
        <f>IF($A27="","",K27/9)</f>
        <v/>
      </c>
      <c r="M27" s="28">
        <f>IF($A27="","",IF(K27&gt;=HabitGoal,N(M26)+1,0))</f>
        <v/>
      </c>
    </row>
    <row r="28">
      <c r="A28" s="23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>
        <f>IF($A28="","",COUNTIF(B28:J28,"Yes"))</f>
        <v/>
      </c>
      <c r="L28" s="29">
        <f>IF($A28="","",K28/9)</f>
        <v/>
      </c>
      <c r="M28" s="30">
        <f>IF($A28="","",IF(K28&gt;=HabitGoal,N(M27)+1,0))</f>
        <v/>
      </c>
    </row>
    <row r="29">
      <c r="A29" s="18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>
        <f>IF($A29="","",COUNTIF(B29:J29,"Yes"))</f>
        <v/>
      </c>
      <c r="L29" s="27">
        <f>IF($A29="","",K29/9)</f>
        <v/>
      </c>
      <c r="M29" s="28">
        <f>IF($A29="","",IF(K29&gt;=HabitGoal,N(M28)+1,0))</f>
        <v/>
      </c>
    </row>
    <row r="30">
      <c r="A30" s="23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>
        <f>IF($A30="","",COUNTIF(B30:J30,"Yes"))</f>
        <v/>
      </c>
      <c r="L30" s="29">
        <f>IF($A30="","",K30/9)</f>
        <v/>
      </c>
      <c r="M30" s="30">
        <f>IF($A30="","",IF(K30&gt;=HabitGoal,N(M29)+1,0))</f>
        <v/>
      </c>
    </row>
    <row r="31">
      <c r="A31" s="18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>
        <f>IF($A31="","",COUNTIF(B31:J31,"Yes"))</f>
        <v/>
      </c>
      <c r="L31" s="27">
        <f>IF($A31="","",K31/9)</f>
        <v/>
      </c>
      <c r="M31" s="28">
        <f>IF($A31="","",IF(K31&gt;=HabitGoal,N(M30)+1,0))</f>
        <v/>
      </c>
    </row>
    <row r="32">
      <c r="A32" s="23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>
        <f>IF($A32="","",COUNTIF(B32:J32,"Yes"))</f>
        <v/>
      </c>
      <c r="L32" s="29">
        <f>IF($A32="","",K32/9)</f>
        <v/>
      </c>
      <c r="M32" s="30">
        <f>IF($A32="","",IF(K32&gt;=HabitGoal,N(M31)+1,0))</f>
        <v/>
      </c>
    </row>
    <row r="33">
      <c r="A33" s="18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>
        <f>IF($A33="","",COUNTIF(B33:J33,"Yes"))</f>
        <v/>
      </c>
      <c r="L33" s="27">
        <f>IF($A33="","",K33/9)</f>
        <v/>
      </c>
      <c r="M33" s="28">
        <f>IF($A33="","",IF(K33&gt;=HabitGoal,N(M32)+1,0))</f>
        <v/>
      </c>
    </row>
    <row r="34">
      <c r="A34" s="23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>
        <f>IF($A34="","",COUNTIF(B34:J34,"Yes"))</f>
        <v/>
      </c>
      <c r="L34" s="29">
        <f>IF($A34="","",K34/9)</f>
        <v/>
      </c>
      <c r="M34" s="30">
        <f>IF($A34="","",IF(K34&gt;=HabitGoal,N(M33)+1,0))</f>
        <v/>
      </c>
    </row>
    <row r="35">
      <c r="A35" s="18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>
        <f>IF($A35="","",COUNTIF(B35:J35,"Yes"))</f>
        <v/>
      </c>
      <c r="L35" s="27">
        <f>IF($A35="","",K35/9)</f>
        <v/>
      </c>
      <c r="M35" s="28">
        <f>IF($A35="","",IF(K35&gt;=HabitGoal,N(M34)+1,0))</f>
        <v/>
      </c>
    </row>
    <row r="36">
      <c r="A36" s="23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>
        <f>IF($A36="","",COUNTIF(B36:J36,"Yes"))</f>
        <v/>
      </c>
      <c r="L36" s="29">
        <f>IF($A36="","",K36/9)</f>
        <v/>
      </c>
      <c r="M36" s="30">
        <f>IF($A36="","",IF(K36&gt;=HabitGoal,N(M35)+1,0))</f>
        <v/>
      </c>
    </row>
    <row r="37">
      <c r="A37" s="18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>
        <f>IF($A37="","",COUNTIF(B37:J37,"Yes"))</f>
        <v/>
      </c>
      <c r="L37" s="27">
        <f>IF($A37="","",K37/9)</f>
        <v/>
      </c>
      <c r="M37" s="28">
        <f>IF($A37="","",IF(K37&gt;=HabitGoal,N(M36)+1,0))</f>
        <v/>
      </c>
    </row>
    <row r="38">
      <c r="A38" s="23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>
        <f>IF($A38="","",COUNTIF(B38:J38,"Yes"))</f>
        <v/>
      </c>
      <c r="L38" s="29">
        <f>IF($A38="","",K38/9)</f>
        <v/>
      </c>
      <c r="M38" s="30">
        <f>IF($A38="","",IF(K38&gt;=HabitGoal,N(M37)+1,0))</f>
        <v/>
      </c>
    </row>
    <row r="39">
      <c r="A39" s="18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>
        <f>IF($A39="","",COUNTIF(B39:J39,"Yes"))</f>
        <v/>
      </c>
      <c r="L39" s="27">
        <f>IF($A39="","",K39/9)</f>
        <v/>
      </c>
      <c r="M39" s="28">
        <f>IF($A39="","",IF(K39&gt;=HabitGoal,N(M38)+1,0))</f>
        <v/>
      </c>
    </row>
    <row r="40">
      <c r="A40" s="23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>
        <f>IF($A40="","",COUNTIF(B40:J40,"Yes"))</f>
        <v/>
      </c>
      <c r="L40" s="29">
        <f>IF($A40="","",K40/9)</f>
        <v/>
      </c>
      <c r="M40" s="30">
        <f>IF($A40="","",IF(K40&gt;=HabitGoal,N(M39)+1,0))</f>
        <v/>
      </c>
    </row>
    <row r="41">
      <c r="A41" s="18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>
        <f>IF($A41="","",COUNTIF(B41:J41,"Yes"))</f>
        <v/>
      </c>
      <c r="L41" s="27">
        <f>IF($A41="","",K41/9)</f>
        <v/>
      </c>
      <c r="M41" s="28">
        <f>IF($A41="","",IF(K41&gt;=HabitGoal,N(M40)+1,0))</f>
        <v/>
      </c>
    </row>
    <row r="42">
      <c r="A42" s="23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>
        <f>IF($A42="","",COUNTIF(B42:J42,"Yes"))</f>
        <v/>
      </c>
      <c r="L42" s="29">
        <f>IF($A42="","",K42/9)</f>
        <v/>
      </c>
      <c r="M42" s="30">
        <f>IF($A42="","",IF(K42&gt;=HabitGoal,N(M41)+1,0))</f>
        <v/>
      </c>
    </row>
    <row r="43">
      <c r="A43" s="18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>
        <f>IF($A43="","",COUNTIF(B43:J43,"Yes"))</f>
        <v/>
      </c>
      <c r="L43" s="27">
        <f>IF($A43="","",K43/9)</f>
        <v/>
      </c>
      <c r="M43" s="28">
        <f>IF($A43="","",IF(K43&gt;=HabitGoal,N(M42)+1,0))</f>
        <v/>
      </c>
    </row>
    <row r="44">
      <c r="A44" s="23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>
        <f>IF($A44="","",COUNTIF(B44:J44,"Yes"))</f>
        <v/>
      </c>
      <c r="L44" s="29">
        <f>IF($A44="","",K44/9)</f>
        <v/>
      </c>
      <c r="M44" s="30">
        <f>IF($A44="","",IF(K44&gt;=HabitGoal,N(M43)+1,0))</f>
        <v/>
      </c>
    </row>
    <row r="45">
      <c r="A45" s="18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>
        <f>IF($A45="","",COUNTIF(B45:J45,"Yes"))</f>
        <v/>
      </c>
      <c r="L45" s="27">
        <f>IF($A45="","",K45/9)</f>
        <v/>
      </c>
      <c r="M45" s="28">
        <f>IF($A45="","",IF(K45&gt;=HabitGoal,N(M44)+1,0))</f>
        <v/>
      </c>
    </row>
    <row r="46">
      <c r="A46" s="23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>
        <f>IF($A46="","",COUNTIF(B46:J46,"Yes"))</f>
        <v/>
      </c>
      <c r="L46" s="29">
        <f>IF($A46="","",K46/9)</f>
        <v/>
      </c>
      <c r="M46" s="30">
        <f>IF($A46="","",IF(K46&gt;=HabitGoal,N(M45)+1,0))</f>
        <v/>
      </c>
    </row>
    <row r="47">
      <c r="A47" s="18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>
        <f>IF($A47="","",COUNTIF(B47:J47,"Yes"))</f>
        <v/>
      </c>
      <c r="L47" s="27">
        <f>IF($A47="","",K47/9)</f>
        <v/>
      </c>
      <c r="M47" s="28">
        <f>IF($A47="","",IF(K47&gt;=HabitGoal,N(M46)+1,0))</f>
        <v/>
      </c>
    </row>
    <row r="48">
      <c r="A48" s="23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>
        <f>IF($A48="","",COUNTIF(B48:J48,"Yes"))</f>
        <v/>
      </c>
      <c r="L48" s="29">
        <f>IF($A48="","",K48/9)</f>
        <v/>
      </c>
      <c r="M48" s="30">
        <f>IF($A48="","",IF(K48&gt;=HabitGoal,N(M47)+1,0))</f>
        <v/>
      </c>
    </row>
    <row r="49">
      <c r="A49" s="18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>
        <f>IF($A49="","",COUNTIF(B49:J49,"Yes"))</f>
        <v/>
      </c>
      <c r="L49" s="27">
        <f>IF($A49="","",K49/9)</f>
        <v/>
      </c>
      <c r="M49" s="28">
        <f>IF($A49="","",IF(K49&gt;=HabitGoal,N(M48)+1,0))</f>
        <v/>
      </c>
    </row>
    <row r="50">
      <c r="A50" s="23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>
        <f>IF($A50="","",COUNTIF(B50:J50,"Yes"))</f>
        <v/>
      </c>
      <c r="L50" s="29">
        <f>IF($A50="","",K50/9)</f>
        <v/>
      </c>
      <c r="M50" s="30">
        <f>IF($A50="","",IF(K50&gt;=HabitGoal,N(M49)+1,0))</f>
        <v/>
      </c>
    </row>
    <row r="51">
      <c r="A51" s="18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>
        <f>IF($A51="","",COUNTIF(B51:J51,"Yes"))</f>
        <v/>
      </c>
      <c r="L51" s="27">
        <f>IF($A51="","",K51/9)</f>
        <v/>
      </c>
      <c r="M51" s="28">
        <f>IF($A51="","",IF(K51&gt;=HabitGoal,N(M50)+1,0))</f>
        <v/>
      </c>
    </row>
    <row r="52">
      <c r="A52" s="23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>
        <f>IF($A52="","",COUNTIF(B52:J52,"Yes"))</f>
        <v/>
      </c>
      <c r="L52" s="29">
        <f>IF($A52="","",K52/9)</f>
        <v/>
      </c>
      <c r="M52" s="30">
        <f>IF($A52="","",IF(K52&gt;=HabitGoal,N(M51)+1,0))</f>
        <v/>
      </c>
    </row>
    <row r="53">
      <c r="A53" s="18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>
        <f>IF($A53="","",COUNTIF(B53:J53,"Yes"))</f>
        <v/>
      </c>
      <c r="L53" s="27">
        <f>IF($A53="","",K53/9)</f>
        <v/>
      </c>
      <c r="M53" s="28">
        <f>IF($A53="","",IF(K53&gt;=HabitGoal,N(M52)+1,0))</f>
        <v/>
      </c>
    </row>
    <row r="54">
      <c r="A54" s="23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>
        <f>IF($A54="","",COUNTIF(B54:J54,"Yes"))</f>
        <v/>
      </c>
      <c r="L54" s="29">
        <f>IF($A54="","",K54/9)</f>
        <v/>
      </c>
      <c r="M54" s="30">
        <f>IF($A54="","",IF(K54&gt;=HabitGoal,N(M53)+1,0))</f>
        <v/>
      </c>
    </row>
    <row r="55">
      <c r="A55" s="18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>
        <f>IF($A55="","",COUNTIF(B55:J55,"Yes"))</f>
        <v/>
      </c>
      <c r="L55" s="27">
        <f>IF($A55="","",K55/9)</f>
        <v/>
      </c>
      <c r="M55" s="28">
        <f>IF($A55="","",IF(K55&gt;=HabitGoal,N(M54)+1,0))</f>
        <v/>
      </c>
    </row>
    <row r="56">
      <c r="A56" s="23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>
        <f>IF($A56="","",COUNTIF(B56:J56,"Yes"))</f>
        <v/>
      </c>
      <c r="L56" s="29">
        <f>IF($A56="","",K56/9)</f>
        <v/>
      </c>
      <c r="M56" s="30">
        <f>IF($A56="","",IF(K56&gt;=HabitGoal,N(M55)+1,0))</f>
        <v/>
      </c>
    </row>
    <row r="57">
      <c r="A57" s="18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>
        <f>IF($A57="","",COUNTIF(B57:J57,"Yes"))</f>
        <v/>
      </c>
      <c r="L57" s="27">
        <f>IF($A57="","",K57/9)</f>
        <v/>
      </c>
      <c r="M57" s="28">
        <f>IF($A57="","",IF(K57&gt;=HabitGoal,N(M56)+1,0))</f>
        <v/>
      </c>
    </row>
    <row r="58">
      <c r="A58" s="23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>
        <f>IF($A58="","",COUNTIF(B58:J58,"Yes"))</f>
        <v/>
      </c>
      <c r="L58" s="29">
        <f>IF($A58="","",K58/9)</f>
        <v/>
      </c>
      <c r="M58" s="30">
        <f>IF($A58="","",IF(K58&gt;=HabitGoal,N(M57)+1,0))</f>
        <v/>
      </c>
    </row>
    <row r="59">
      <c r="A59" s="18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>
        <f>IF($A59="","",COUNTIF(B59:J59,"Yes"))</f>
        <v/>
      </c>
      <c r="L59" s="27">
        <f>IF($A59="","",K59/9)</f>
        <v/>
      </c>
      <c r="M59" s="28">
        <f>IF($A59="","",IF(K59&gt;=HabitGoal,N(M58)+1,0))</f>
        <v/>
      </c>
    </row>
    <row r="60">
      <c r="A60" s="23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>
        <f>IF($A60="","",COUNTIF(B60:J60,"Yes"))</f>
        <v/>
      </c>
      <c r="L60" s="29">
        <f>IF($A60="","",K60/9)</f>
        <v/>
      </c>
      <c r="M60" s="30">
        <f>IF($A60="","",IF(K60&gt;=HabitGoal,N(M59)+1,0))</f>
        <v/>
      </c>
    </row>
    <row r="61">
      <c r="A61" s="18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>
        <f>IF($A61="","",COUNTIF(B61:J61,"Yes"))</f>
        <v/>
      </c>
      <c r="L61" s="27">
        <f>IF($A61="","",K61/9)</f>
        <v/>
      </c>
      <c r="M61" s="28">
        <f>IF($A61="","",IF(K61&gt;=HabitGoal,N(M60)+1,0))</f>
        <v/>
      </c>
    </row>
    <row r="62">
      <c r="A62" s="23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>
        <f>IF($A62="","",COUNTIF(B62:J62,"Yes"))</f>
        <v/>
      </c>
      <c r="L62" s="29">
        <f>IF($A62="","",K62/9)</f>
        <v/>
      </c>
      <c r="M62" s="30">
        <f>IF($A62="","",IF(K62&gt;=HabitGoal,N(M61)+1,0))</f>
        <v/>
      </c>
    </row>
    <row r="63">
      <c r="A63" s="18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>
        <f>IF($A63="","",COUNTIF(B63:J63,"Yes"))</f>
        <v/>
      </c>
      <c r="L63" s="27">
        <f>IF($A63="","",K63/9)</f>
        <v/>
      </c>
      <c r="M63" s="28">
        <f>IF($A63="","",IF(K63&gt;=HabitGoal,N(M62)+1,0))</f>
        <v/>
      </c>
    </row>
    <row r="64">
      <c r="A64" s="23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>
        <f>IF($A64="","",COUNTIF(B64:J64,"Yes"))</f>
        <v/>
      </c>
      <c r="L64" s="29">
        <f>IF($A64="","",K64/9)</f>
        <v/>
      </c>
      <c r="M64" s="30">
        <f>IF($A64="","",IF(K64&gt;=HabitGoal,N(M63)+1,0))</f>
        <v/>
      </c>
    </row>
    <row r="67">
      <c r="A67" s="4" t="inlineStr">
        <is>
          <t>HABIT SUMMARY (last 60 days)</t>
        </is>
      </c>
    </row>
    <row r="68">
      <c r="A68" s="7" t="inlineStr">
        <is>
          <t>Habit</t>
        </is>
      </c>
      <c r="B68" s="7" t="inlineStr">
        <is>
          <t>Times Done</t>
        </is>
      </c>
      <c r="C68" s="7" t="inlineStr">
        <is>
          <t>Consistency %</t>
        </is>
      </c>
    </row>
    <row r="69">
      <c r="A69" s="31" t="inlineStr">
        <is>
          <t>Meditation</t>
        </is>
      </c>
      <c r="B69" s="32">
        <f>COUNTIF(B5:B64,"Yes")</f>
        <v/>
      </c>
      <c r="C69" s="33">
        <f>IFERROR(B69/MAX(COUNT(CheckDate),1),0)</f>
        <v/>
      </c>
    </row>
    <row r="70">
      <c r="A70" s="31" t="inlineStr">
        <is>
          <t>Deep Breathing</t>
        </is>
      </c>
      <c r="B70" s="32">
        <f>COUNTIF(C5:C64,"Yes")</f>
        <v/>
      </c>
      <c r="C70" s="33">
        <f>IFERROR(B70/MAX(COUNT(CheckDate),1),0)</f>
        <v/>
      </c>
    </row>
    <row r="71">
      <c r="A71" s="31" t="inlineStr">
        <is>
          <t>Exercise</t>
        </is>
      </c>
      <c r="B71" s="32">
        <f>COUNTIF(D5:D64,"Yes")</f>
        <v/>
      </c>
      <c r="C71" s="33">
        <f>IFERROR(B71/MAX(COUNT(CheckDate),1),0)</f>
        <v/>
      </c>
    </row>
    <row r="72">
      <c r="A72" s="31" t="inlineStr">
        <is>
          <t>Reading</t>
        </is>
      </c>
      <c r="B72" s="32">
        <f>COUNTIF(E5:E64,"Yes")</f>
        <v/>
      </c>
      <c r="C72" s="33">
        <f>IFERROR(B72/MAX(COUNT(CheckDate),1),0)</f>
        <v/>
      </c>
    </row>
    <row r="73">
      <c r="A73" s="31" t="inlineStr">
        <is>
          <t>Walking</t>
        </is>
      </c>
      <c r="B73" s="32">
        <f>COUNTIF(F5:F64,"Yes")</f>
        <v/>
      </c>
      <c r="C73" s="33">
        <f>IFERROR(B73/MAX(COUNT(CheckDate),1),0)</f>
        <v/>
      </c>
    </row>
    <row r="74">
      <c r="A74" s="31" t="inlineStr">
        <is>
          <t>Healthy Meals</t>
        </is>
      </c>
      <c r="B74" s="32">
        <f>COUNTIF(G5:G64,"Yes")</f>
        <v/>
      </c>
      <c r="C74" s="33">
        <f>IFERROR(B74/MAX(COUNT(CheckDate),1),0)</f>
        <v/>
      </c>
    </row>
    <row r="75">
      <c r="A75" s="31" t="inlineStr">
        <is>
          <t>Sleep Routine</t>
        </is>
      </c>
      <c r="B75" s="32">
        <f>COUNTIF(H5:H64,"Yes")</f>
        <v/>
      </c>
      <c r="C75" s="33">
        <f>IFERROR(B75/MAX(COUNT(CheckDate),1),0)</f>
        <v/>
      </c>
    </row>
    <row r="76">
      <c r="A76" s="31" t="inlineStr">
        <is>
          <t>Gratitude</t>
        </is>
      </c>
      <c r="B76" s="32">
        <f>COUNTIF(I5:I64,"Yes")</f>
        <v/>
      </c>
      <c r="C76" s="33">
        <f>IFERROR(B76/MAX(COUNT(CheckDate),1),0)</f>
        <v/>
      </c>
    </row>
    <row r="77">
      <c r="A77" s="31" t="inlineStr">
        <is>
          <t>Limit Screens</t>
        </is>
      </c>
      <c r="B77" s="32">
        <f>COUNTIF(J5:J64,"Yes")</f>
        <v/>
      </c>
      <c r="C77" s="33">
        <f>IFERROR(B77/MAX(COUNT(CheckDate),1),0)</f>
        <v/>
      </c>
    </row>
  </sheetData>
  <mergeCells count="3">
    <mergeCell ref="A67:C67"/>
    <mergeCell ref="A2:M2"/>
    <mergeCell ref="A1:M1"/>
  </mergeCells>
  <conditionalFormatting sqref="B5:J64">
    <cfRule type="cellIs" priority="1" operator="equal" dxfId="0">
      <formula>"Yes"</formula>
    </cfRule>
  </conditionalFormatting>
  <conditionalFormatting sqref="L5:L64">
    <cfRule type="dataBar" priority="2">
      <dataBar showValue="1">
        <cfvo type="num" val="0"/>
        <cfvo type="num" val="1"/>
        <color rgb="0075E6C1"/>
      </dataBar>
    </cfRule>
  </conditionalFormatting>
  <dataValidations count="1">
    <dataValidation sqref="B5:J6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34" customWidth="1" min="3" max="3"/>
    <col width="4" customWidth="1" min="4" max="4"/>
    <col width="22" customWidth="1" min="5" max="5"/>
    <col width="22" customWidth="1" min="6" max="6"/>
    <col width="2" customWidth="1" min="7" max="7"/>
  </cols>
  <sheetData>
    <row r="1" ht="46" customHeight="1">
      <c r="A1" s="1" t="inlineStr">
        <is>
          <t xml:space="preserve">  📋  DAILY PLANNER</t>
        </is>
      </c>
    </row>
    <row r="2" ht="22" customHeight="1">
      <c r="A2" s="2" t="inlineStr">
        <is>
          <t xml:space="preserve">  Gentle structure for a calmer day. Print or duplicate as needed.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>
      <c r="B5" s="34" t="inlineStr">
        <is>
          <t>Date</t>
        </is>
      </c>
      <c r="C5" s="35" t="n">
        <v>46202</v>
      </c>
    </row>
    <row r="7">
      <c r="B7" s="6" t="inlineStr">
        <is>
          <t>TOP 3 PRIORITIES</t>
        </is>
      </c>
      <c r="E7" s="6" t="inlineStr">
        <is>
          <t>SELF-CARE TODAY</t>
        </is>
      </c>
    </row>
    <row r="8">
      <c r="B8" s="32" t="inlineStr">
        <is>
          <t>1.</t>
        </is>
      </c>
      <c r="C8" s="31" t="inlineStr"/>
      <c r="E8" s="31" t="inlineStr">
        <is>
          <t>Move my body</t>
        </is>
      </c>
      <c r="F8" s="36" t="inlineStr">
        <is>
          <t>☐</t>
        </is>
      </c>
    </row>
    <row r="9">
      <c r="B9" s="32" t="inlineStr">
        <is>
          <t>2.</t>
        </is>
      </c>
      <c r="C9" s="31" t="inlineStr"/>
      <c r="E9" s="31" t="inlineStr">
        <is>
          <t>Drink water</t>
        </is>
      </c>
      <c r="F9" s="36" t="inlineStr">
        <is>
          <t>☐</t>
        </is>
      </c>
    </row>
    <row r="10">
      <c r="B10" s="32" t="inlineStr">
        <is>
          <t>3.</t>
        </is>
      </c>
      <c r="C10" s="31" t="inlineStr"/>
      <c r="E10" s="31" t="inlineStr">
        <is>
          <t>Step outside</t>
        </is>
      </c>
      <c r="F10" s="36" t="inlineStr">
        <is>
          <t>☐</t>
        </is>
      </c>
    </row>
    <row r="11">
      <c r="E11" s="31" t="inlineStr">
        <is>
          <t>Connect with someone</t>
        </is>
      </c>
      <c r="F11" s="36" t="inlineStr">
        <is>
          <t>☐</t>
        </is>
      </c>
    </row>
    <row r="12">
      <c r="B12" s="4" t="inlineStr">
        <is>
          <t>TIME BLOCKS</t>
        </is>
      </c>
      <c r="E12" s="31" t="inlineStr">
        <is>
          <t>Breathe / meditate</t>
        </is>
      </c>
      <c r="F12" s="36" t="inlineStr">
        <is>
          <t>☐</t>
        </is>
      </c>
    </row>
    <row r="13">
      <c r="B13" s="7" t="inlineStr">
        <is>
          <t>Time</t>
        </is>
      </c>
      <c r="C13" s="7" t="inlineStr">
        <is>
          <t>Plan</t>
        </is>
      </c>
      <c r="E13" s="31" t="inlineStr">
        <is>
          <t>Something I enjoy</t>
        </is>
      </c>
      <c r="F13" s="36" t="inlineStr">
        <is>
          <t>☐</t>
        </is>
      </c>
    </row>
    <row r="14">
      <c r="B14" s="32" t="inlineStr">
        <is>
          <t>6:00 AM</t>
        </is>
      </c>
      <c r="C14" s="31" t="inlineStr"/>
    </row>
    <row r="15">
      <c r="B15" s="24" t="inlineStr">
        <is>
          <t>7:00</t>
        </is>
      </c>
      <c r="C15" s="26" t="inlineStr"/>
      <c r="E15" s="4" t="inlineStr">
        <is>
          <t>REMEMBER TO BREAK</t>
        </is>
      </c>
    </row>
    <row r="16">
      <c r="B16" s="32" t="inlineStr">
        <is>
          <t>8:00</t>
        </is>
      </c>
      <c r="C16" s="31" t="inlineStr"/>
      <c r="E16" s="37" t="inlineStr">
        <is>
          <t>Pause every 60–90 minutes. A few slow breaths, a stretch, or a short walk keeps your nervous system calm.</t>
        </is>
      </c>
    </row>
    <row r="17">
      <c r="B17" s="24" t="inlineStr">
        <is>
          <t>9:00</t>
        </is>
      </c>
      <c r="C17" s="26" t="inlineStr"/>
    </row>
    <row r="18">
      <c r="B18" s="32" t="inlineStr">
        <is>
          <t>10:00</t>
        </is>
      </c>
      <c r="C18" s="31" t="inlineStr"/>
    </row>
    <row r="19">
      <c r="B19" s="24" t="inlineStr">
        <is>
          <t>11:00</t>
        </is>
      </c>
      <c r="C19" s="26" t="inlineStr"/>
    </row>
    <row r="20">
      <c r="B20" s="32" t="inlineStr">
        <is>
          <t>12:00 PM</t>
        </is>
      </c>
      <c r="C20" s="31" t="inlineStr"/>
      <c r="E20" s="6" t="inlineStr">
        <is>
          <t>NOTES</t>
        </is>
      </c>
    </row>
    <row r="21">
      <c r="B21" s="24" t="inlineStr">
        <is>
          <t>1:00</t>
        </is>
      </c>
      <c r="C21" s="26" t="inlineStr"/>
      <c r="E21" s="37" t="inlineStr"/>
    </row>
    <row r="22">
      <c r="B22" s="32" t="inlineStr">
        <is>
          <t>2:00</t>
        </is>
      </c>
      <c r="C22" s="31" t="inlineStr"/>
    </row>
    <row r="23">
      <c r="B23" s="24" t="inlineStr">
        <is>
          <t>3:00</t>
        </is>
      </c>
      <c r="C23" s="26" t="inlineStr"/>
    </row>
    <row r="24">
      <c r="B24" s="32" t="inlineStr">
        <is>
          <t>4:00</t>
        </is>
      </c>
      <c r="C24" s="31" t="inlineStr"/>
    </row>
    <row r="25">
      <c r="B25" s="24" t="inlineStr">
        <is>
          <t>5:00</t>
        </is>
      </c>
      <c r="C25" s="26" t="inlineStr"/>
    </row>
    <row r="26">
      <c r="B26" s="32" t="inlineStr">
        <is>
          <t>6:00</t>
        </is>
      </c>
      <c r="C26" s="31" t="inlineStr"/>
    </row>
    <row r="27">
      <c r="B27" s="24" t="inlineStr">
        <is>
          <t>7:00</t>
        </is>
      </c>
      <c r="C27" s="26" t="inlineStr"/>
    </row>
    <row r="28">
      <c r="B28" s="32" t="inlineStr">
        <is>
          <t>8:00</t>
        </is>
      </c>
      <c r="C28" s="31" t="inlineStr"/>
    </row>
    <row r="29">
      <c r="B29" s="24" t="inlineStr">
        <is>
          <t>9:00</t>
        </is>
      </c>
      <c r="C29" s="26" t="inlineStr"/>
    </row>
  </sheetData>
  <mergeCells count="9">
    <mergeCell ref="A2:F2"/>
    <mergeCell ref="E21:F28"/>
    <mergeCell ref="E20:F20"/>
    <mergeCell ref="B7:C7"/>
    <mergeCell ref="E15:F15"/>
    <mergeCell ref="E7:F7"/>
    <mergeCell ref="A1:F1"/>
    <mergeCell ref="E16:F18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26" customWidth="1" min="4" max="4"/>
    <col width="26" customWidth="1" min="5" max="5"/>
    <col width="24" customWidth="1" min="6" max="6"/>
    <col width="26" customWidth="1" min="7" max="7"/>
  </cols>
  <sheetData>
    <row r="1" ht="46" customHeight="1">
      <c r="A1" s="1" t="inlineStr">
        <is>
          <t xml:space="preserve">  🤝  SOCIAL PREPARATION PLANNER</t>
        </is>
      </c>
    </row>
    <row r="2" ht="22" customHeight="1">
      <c r="A2" s="2" t="inlineStr">
        <is>
          <t xml:space="preserve">  Prepare gently for social moments — then reflect with kindness afterward.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Event</t>
        </is>
      </c>
      <c r="B4" s="7" t="inlineStr">
        <is>
          <t>Date</t>
        </is>
      </c>
      <c r="C4" s="7" t="inlineStr">
        <is>
          <t>My Goal</t>
        </is>
      </c>
      <c r="D4" s="7" t="inlineStr">
        <is>
          <t>Things to Remember</t>
        </is>
      </c>
      <c r="E4" s="7" t="inlineStr">
        <is>
          <t>Conversation Topics</t>
        </is>
      </c>
      <c r="F4" s="7" t="inlineStr">
        <is>
          <t>Helpful Reminders</t>
        </is>
      </c>
      <c r="G4" s="7" t="inlineStr">
        <is>
          <t>Reflection Afterward</t>
        </is>
      </c>
    </row>
    <row r="5">
      <c r="A5" s="21" t="inlineStr">
        <is>
          <t>Team lunch</t>
        </is>
      </c>
      <c r="B5" s="18" t="n">
        <v>46205</v>
      </c>
      <c r="C5" s="21" t="inlineStr">
        <is>
          <t>Stay 30 min, ask 2 questions</t>
        </is>
      </c>
      <c r="D5" s="21" t="inlineStr">
        <is>
          <t>I can leave when I need to</t>
        </is>
      </c>
      <c r="E5" s="21" t="inlineStr">
        <is>
          <t>Weekend plans · new project</t>
        </is>
      </c>
      <c r="F5" s="21" t="inlineStr">
        <is>
          <t>Breathe before walking in</t>
        </is>
      </c>
      <c r="G5" s="21" t="inlineStr"/>
    </row>
    <row r="6">
      <c r="A6" s="26" t="inlineStr">
        <is>
          <t>Friend's birthday</t>
        </is>
      </c>
      <c r="B6" s="23" t="n">
        <v>46211</v>
      </c>
      <c r="C6" s="26" t="inlineStr">
        <is>
          <t>Arrive on time, enjoy one real chat</t>
        </is>
      </c>
      <c r="D6" s="26" t="inlineStr">
        <is>
          <t>People are glad I came</t>
        </is>
      </c>
      <c r="E6" s="26" t="inlineStr">
        <is>
          <t>Travel · shows · food</t>
        </is>
      </c>
      <c r="F6" s="26" t="inlineStr">
        <is>
          <t>It's okay to take a quiet break</t>
        </is>
      </c>
      <c r="G6" s="26" t="inlineStr"/>
    </row>
    <row r="7">
      <c r="A7" s="21" t="inlineStr">
        <is>
          <t>Work presentation</t>
        </is>
      </c>
      <c r="B7" s="18" t="n">
        <v>46216</v>
      </c>
      <c r="C7" s="21" t="inlineStr">
        <is>
          <t>Speak slowly, pause to breathe</t>
        </is>
      </c>
      <c r="D7" s="21" t="inlineStr">
        <is>
          <t>I am prepared</t>
        </is>
      </c>
      <c r="E7" s="21" t="inlineStr">
        <is>
          <t>Stick to my 3 key points</t>
        </is>
      </c>
      <c r="F7" s="21" t="inlineStr">
        <is>
          <t>Nerves are normal and pass</t>
        </is>
      </c>
      <c r="G7" s="21" t="inlineStr"/>
    </row>
    <row r="8">
      <c r="A8" s="26" t="n"/>
      <c r="B8" s="23" t="n"/>
      <c r="C8" s="26" t="n"/>
      <c r="D8" s="26" t="n"/>
      <c r="E8" s="26" t="n"/>
      <c r="F8" s="26" t="n"/>
      <c r="G8" s="26" t="n"/>
    </row>
    <row r="9">
      <c r="A9" s="21" t="n"/>
      <c r="B9" s="18" t="n"/>
      <c r="C9" s="21" t="n"/>
      <c r="D9" s="21" t="n"/>
      <c r="E9" s="21" t="n"/>
      <c r="F9" s="21" t="n"/>
      <c r="G9" s="21" t="n"/>
    </row>
    <row r="10">
      <c r="A10" s="26" t="n"/>
      <c r="B10" s="23" t="n"/>
      <c r="C10" s="26" t="n"/>
      <c r="D10" s="26" t="n"/>
      <c r="E10" s="26" t="n"/>
      <c r="F10" s="26" t="n"/>
      <c r="G10" s="26" t="n"/>
    </row>
    <row r="11">
      <c r="A11" s="21" t="n"/>
      <c r="B11" s="18" t="n"/>
      <c r="C11" s="21" t="n"/>
      <c r="D11" s="21" t="n"/>
      <c r="E11" s="21" t="n"/>
      <c r="F11" s="21" t="n"/>
      <c r="G11" s="21" t="n"/>
    </row>
    <row r="12">
      <c r="A12" s="26" t="n"/>
      <c r="B12" s="23" t="n"/>
      <c r="C12" s="26" t="n"/>
      <c r="D12" s="26" t="n"/>
      <c r="E12" s="26" t="n"/>
      <c r="F12" s="26" t="n"/>
      <c r="G12" s="26" t="n"/>
    </row>
    <row r="13">
      <c r="A13" s="21" t="n"/>
      <c r="B13" s="18" t="n"/>
      <c r="C13" s="21" t="n"/>
      <c r="D13" s="21" t="n"/>
      <c r="E13" s="21" t="n"/>
      <c r="F13" s="21" t="n"/>
      <c r="G13" s="21" t="n"/>
    </row>
    <row r="14">
      <c r="A14" s="26" t="n"/>
      <c r="B14" s="23" t="n"/>
      <c r="C14" s="26" t="n"/>
      <c r="D14" s="26" t="n"/>
      <c r="E14" s="26" t="n"/>
      <c r="F14" s="26" t="n"/>
      <c r="G14" s="26" t="n"/>
    </row>
    <row r="15">
      <c r="A15" s="21" t="n"/>
      <c r="B15" s="18" t="n"/>
      <c r="C15" s="21" t="n"/>
      <c r="D15" s="21" t="n"/>
      <c r="E15" s="21" t="n"/>
      <c r="F15" s="21" t="n"/>
      <c r="G15" s="21" t="n"/>
    </row>
    <row r="16">
      <c r="A16" s="26" t="n"/>
      <c r="B16" s="23" t="n"/>
      <c r="C16" s="26" t="n"/>
      <c r="D16" s="26" t="n"/>
      <c r="E16" s="26" t="n"/>
      <c r="F16" s="26" t="n"/>
      <c r="G16" s="26" t="n"/>
    </row>
    <row r="17">
      <c r="A17" s="21" t="n"/>
      <c r="B17" s="18" t="n"/>
      <c r="C17" s="21" t="n"/>
      <c r="D17" s="21" t="n"/>
      <c r="E17" s="21" t="n"/>
      <c r="F17" s="21" t="n"/>
      <c r="G17" s="21" t="n"/>
    </row>
    <row r="18">
      <c r="A18" s="26" t="n"/>
      <c r="B18" s="23" t="n"/>
      <c r="C18" s="26" t="n"/>
      <c r="D18" s="26" t="n"/>
      <c r="E18" s="26" t="n"/>
      <c r="F18" s="26" t="n"/>
      <c r="G18" s="26" t="n"/>
    </row>
    <row r="19">
      <c r="A19" s="21" t="n"/>
      <c r="B19" s="18" t="n"/>
      <c r="C19" s="21" t="n"/>
      <c r="D19" s="21" t="n"/>
      <c r="E19" s="21" t="n"/>
      <c r="F19" s="21" t="n"/>
      <c r="G19" s="21" t="n"/>
    </row>
    <row r="20">
      <c r="A20" s="26" t="n"/>
      <c r="B20" s="23" t="n"/>
      <c r="C20" s="26" t="n"/>
      <c r="D20" s="26" t="n"/>
      <c r="E20" s="26" t="n"/>
      <c r="F20" s="26" t="n"/>
      <c r="G20" s="26" t="n"/>
    </row>
    <row r="21">
      <c r="A21" s="21" t="n"/>
      <c r="B21" s="18" t="n"/>
      <c r="C21" s="21" t="n"/>
      <c r="D21" s="21" t="n"/>
      <c r="E21" s="21" t="n"/>
      <c r="F21" s="21" t="n"/>
      <c r="G21" s="21" t="n"/>
    </row>
    <row r="22">
      <c r="A22" s="26" t="n"/>
      <c r="B22" s="23" t="n"/>
      <c r="C22" s="26" t="n"/>
      <c r="D22" s="26" t="n"/>
      <c r="E22" s="26" t="n"/>
      <c r="F22" s="26" t="n"/>
      <c r="G22" s="26" t="n"/>
    </row>
    <row r="23">
      <c r="A23" s="21" t="n"/>
      <c r="B23" s="18" t="n"/>
      <c r="C23" s="21" t="n"/>
      <c r="D23" s="21" t="n"/>
      <c r="E23" s="21" t="n"/>
      <c r="F23" s="21" t="n"/>
      <c r="G23" s="21" t="n"/>
    </row>
    <row r="24">
      <c r="A24" s="26" t="n"/>
      <c r="B24" s="23" t="n"/>
      <c r="C24" s="26" t="n"/>
      <c r="D24" s="26" t="n"/>
      <c r="E24" s="26" t="n"/>
      <c r="F24" s="26" t="n"/>
      <c r="G24" s="26" t="n"/>
    </row>
    <row r="25">
      <c r="A25" s="21" t="n"/>
      <c r="B25" s="18" t="n"/>
      <c r="C25" s="21" t="n"/>
      <c r="D25" s="21" t="n"/>
      <c r="E25" s="21" t="n"/>
      <c r="F25" s="21" t="n"/>
      <c r="G25" s="21" t="n"/>
    </row>
    <row r="26">
      <c r="A26" s="26" t="n"/>
      <c r="B26" s="23" t="n"/>
      <c r="C26" s="26" t="n"/>
      <c r="D26" s="26" t="n"/>
      <c r="E26" s="26" t="n"/>
      <c r="F26" s="26" t="n"/>
      <c r="G26" s="26" t="n"/>
    </row>
    <row r="27">
      <c r="A27" s="21" t="n"/>
      <c r="B27" s="18" t="n"/>
      <c r="C27" s="21" t="n"/>
      <c r="D27" s="21" t="n"/>
      <c r="E27" s="21" t="n"/>
      <c r="F27" s="21" t="n"/>
      <c r="G27" s="21" t="n"/>
    </row>
    <row r="28">
      <c r="A28" s="26" t="n"/>
      <c r="B28" s="23" t="n"/>
      <c r="C28" s="26" t="n"/>
      <c r="D28" s="26" t="n"/>
      <c r="E28" s="26" t="n"/>
      <c r="F28" s="26" t="n"/>
      <c r="G28" s="26" t="n"/>
    </row>
    <row r="29">
      <c r="A29" s="21" t="n"/>
      <c r="B29" s="18" t="n"/>
      <c r="C29" s="21" t="n"/>
      <c r="D29" s="21" t="n"/>
      <c r="E29" s="21" t="n"/>
      <c r="F29" s="21" t="n"/>
      <c r="G29" s="21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4" customWidth="1" min="4" max="4"/>
    <col width="24" customWidth="1" min="5" max="5"/>
    <col width="24" customWidth="1" min="6" max="6"/>
  </cols>
  <sheetData>
    <row r="1" ht="46" customHeight="1">
      <c r="A1" s="1" t="inlineStr">
        <is>
          <t xml:space="preserve">  🪞  REFLECTION JOURNAL</t>
        </is>
      </c>
    </row>
    <row r="2" ht="22" customHeight="1">
      <c r="A2" s="2" t="inlineStr">
        <is>
          <t xml:space="preserve">  A few honest lines a day. There are no wrong answers.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Date</t>
        </is>
      </c>
      <c r="B4" s="7" t="inlineStr">
        <is>
          <t>What went well?</t>
        </is>
      </c>
      <c r="C4" s="7" t="inlineStr">
        <is>
          <t>What challenged me?</t>
        </is>
      </c>
      <c r="D4" s="7" t="inlineStr">
        <is>
          <t>What helped?</t>
        </is>
      </c>
      <c r="E4" s="7" t="inlineStr">
        <is>
          <t>Grateful for</t>
        </is>
      </c>
      <c r="F4" s="7" t="inlineStr">
        <is>
          <t>Improve tomorrow</t>
        </is>
      </c>
    </row>
    <row r="5">
      <c r="A5" s="18" t="n">
        <v>46200</v>
      </c>
      <c r="B5" s="21" t="inlineStr">
        <is>
          <t>Finished a hard task</t>
        </is>
      </c>
      <c r="C5" s="21" t="inlineStr">
        <is>
          <t>Felt anxious before a call</t>
        </is>
      </c>
      <c r="D5" s="21" t="inlineStr">
        <is>
          <t>Took 5 slow breaths</t>
        </is>
      </c>
      <c r="E5" s="21" t="inlineStr">
        <is>
          <t>A kind text from a friend</t>
        </is>
      </c>
      <c r="F5" s="21" t="inlineStr">
        <is>
          <t>Start earlier</t>
        </is>
      </c>
    </row>
    <row r="6">
      <c r="A6" s="23" t="n">
        <v>46201</v>
      </c>
      <c r="B6" s="26" t="inlineStr">
        <is>
          <t>Went for a walk</t>
        </is>
      </c>
      <c r="C6" s="26" t="inlineStr">
        <is>
          <t>Overthinking at night</t>
        </is>
      </c>
      <c r="D6" s="26" t="inlineStr">
        <is>
          <t>Wrote my worries down</t>
        </is>
      </c>
      <c r="E6" s="26" t="inlineStr">
        <is>
          <t>Warm coffee, quiet morning</t>
        </is>
      </c>
      <c r="F6" s="26" t="inlineStr">
        <is>
          <t>Phone off by 10pm</t>
        </is>
      </c>
    </row>
    <row r="7">
      <c r="A7" s="18" t="n">
        <v>46202</v>
      </c>
      <c r="B7" s="21" t="inlineStr">
        <is>
          <t>Used Social Prep &amp; it worked</t>
        </is>
      </c>
      <c r="C7" s="21" t="inlineStr">
        <is>
          <t>Crowded room felt loud</t>
        </is>
      </c>
      <c r="D7" s="21" t="inlineStr">
        <is>
          <t>Stepped outside for a minute</t>
        </is>
      </c>
      <c r="E7" s="21" t="inlineStr">
        <is>
          <t>Progress I'm making</t>
        </is>
      </c>
      <c r="F7" s="21" t="inlineStr">
        <is>
          <t>Keep using breaks</t>
        </is>
      </c>
    </row>
    <row r="8">
      <c r="A8" s="23" t="n"/>
      <c r="B8" s="26" t="n"/>
      <c r="C8" s="26" t="n"/>
      <c r="D8" s="26" t="n"/>
      <c r="E8" s="26" t="n"/>
      <c r="F8" s="26" t="n"/>
    </row>
    <row r="9">
      <c r="A9" s="18" t="n"/>
      <c r="B9" s="21" t="n"/>
      <c r="C9" s="21" t="n"/>
      <c r="D9" s="21" t="n"/>
      <c r="E9" s="21" t="n"/>
      <c r="F9" s="21" t="n"/>
    </row>
    <row r="10">
      <c r="A10" s="23" t="n"/>
      <c r="B10" s="26" t="n"/>
      <c r="C10" s="26" t="n"/>
      <c r="D10" s="26" t="n"/>
      <c r="E10" s="26" t="n"/>
      <c r="F10" s="26" t="n"/>
    </row>
    <row r="11">
      <c r="A11" s="18" t="n"/>
      <c r="B11" s="21" t="n"/>
      <c r="C11" s="21" t="n"/>
      <c r="D11" s="21" t="n"/>
      <c r="E11" s="21" t="n"/>
      <c r="F11" s="21" t="n"/>
    </row>
    <row r="12">
      <c r="A12" s="23" t="n"/>
      <c r="B12" s="26" t="n"/>
      <c r="C12" s="26" t="n"/>
      <c r="D12" s="26" t="n"/>
      <c r="E12" s="26" t="n"/>
      <c r="F12" s="26" t="n"/>
    </row>
    <row r="13">
      <c r="A13" s="18" t="n"/>
      <c r="B13" s="21" t="n"/>
      <c r="C13" s="21" t="n"/>
      <c r="D13" s="21" t="n"/>
      <c r="E13" s="21" t="n"/>
      <c r="F13" s="21" t="n"/>
    </row>
    <row r="14">
      <c r="A14" s="23" t="n"/>
      <c r="B14" s="26" t="n"/>
      <c r="C14" s="26" t="n"/>
      <c r="D14" s="26" t="n"/>
      <c r="E14" s="26" t="n"/>
      <c r="F14" s="26" t="n"/>
    </row>
    <row r="15">
      <c r="A15" s="18" t="n"/>
      <c r="B15" s="21" t="n"/>
      <c r="C15" s="21" t="n"/>
      <c r="D15" s="21" t="n"/>
      <c r="E15" s="21" t="n"/>
      <c r="F15" s="21" t="n"/>
    </row>
    <row r="16">
      <c r="A16" s="23" t="n"/>
      <c r="B16" s="26" t="n"/>
      <c r="C16" s="26" t="n"/>
      <c r="D16" s="26" t="n"/>
      <c r="E16" s="26" t="n"/>
      <c r="F16" s="26" t="n"/>
    </row>
    <row r="17">
      <c r="A17" s="18" t="n"/>
      <c r="B17" s="21" t="n"/>
      <c r="C17" s="21" t="n"/>
      <c r="D17" s="21" t="n"/>
      <c r="E17" s="21" t="n"/>
      <c r="F17" s="21" t="n"/>
    </row>
    <row r="18">
      <c r="A18" s="23" t="n"/>
      <c r="B18" s="26" t="n"/>
      <c r="C18" s="26" t="n"/>
      <c r="D18" s="26" t="n"/>
      <c r="E18" s="26" t="n"/>
      <c r="F18" s="26" t="n"/>
    </row>
    <row r="19">
      <c r="A19" s="18" t="n"/>
      <c r="B19" s="21" t="n"/>
      <c r="C19" s="21" t="n"/>
      <c r="D19" s="21" t="n"/>
      <c r="E19" s="21" t="n"/>
      <c r="F19" s="21" t="n"/>
    </row>
    <row r="20">
      <c r="A20" s="23" t="n"/>
      <c r="B20" s="26" t="n"/>
      <c r="C20" s="26" t="n"/>
      <c r="D20" s="26" t="n"/>
      <c r="E20" s="26" t="n"/>
      <c r="F20" s="26" t="n"/>
    </row>
    <row r="21">
      <c r="A21" s="18" t="n"/>
      <c r="B21" s="21" t="n"/>
      <c r="C21" s="21" t="n"/>
      <c r="D21" s="21" t="n"/>
      <c r="E21" s="21" t="n"/>
      <c r="F21" s="21" t="n"/>
    </row>
    <row r="22">
      <c r="A22" s="23" t="n"/>
      <c r="B22" s="26" t="n"/>
      <c r="C22" s="26" t="n"/>
      <c r="D22" s="26" t="n"/>
      <c r="E22" s="26" t="n"/>
      <c r="F22" s="26" t="n"/>
    </row>
    <row r="23">
      <c r="A23" s="18" t="n"/>
      <c r="B23" s="21" t="n"/>
      <c r="C23" s="21" t="n"/>
      <c r="D23" s="21" t="n"/>
      <c r="E23" s="21" t="n"/>
      <c r="F23" s="21" t="n"/>
    </row>
    <row r="24">
      <c r="A24" s="23" t="n"/>
      <c r="B24" s="26" t="n"/>
      <c r="C24" s="26" t="n"/>
      <c r="D24" s="26" t="n"/>
      <c r="E24" s="26" t="n"/>
      <c r="F24" s="26" t="n"/>
    </row>
    <row r="25">
      <c r="A25" s="18" t="n"/>
      <c r="B25" s="21" t="n"/>
      <c r="C25" s="21" t="n"/>
      <c r="D25" s="21" t="n"/>
      <c r="E25" s="21" t="n"/>
      <c r="F25" s="21" t="n"/>
    </row>
    <row r="26">
      <c r="A26" s="23" t="n"/>
      <c r="B26" s="26" t="n"/>
      <c r="C26" s="26" t="n"/>
      <c r="D26" s="26" t="n"/>
      <c r="E26" s="26" t="n"/>
      <c r="F26" s="26" t="n"/>
    </row>
    <row r="27">
      <c r="A27" s="18" t="n"/>
      <c r="B27" s="21" t="n"/>
      <c r="C27" s="21" t="n"/>
      <c r="D27" s="21" t="n"/>
      <c r="E27" s="21" t="n"/>
      <c r="F27" s="21" t="n"/>
    </row>
    <row r="28">
      <c r="A28" s="23" t="n"/>
      <c r="B28" s="26" t="n"/>
      <c r="C28" s="26" t="n"/>
      <c r="D28" s="26" t="n"/>
      <c r="E28" s="26" t="n"/>
      <c r="F28" s="26" t="n"/>
    </row>
    <row r="29">
      <c r="A29" s="18" t="n"/>
      <c r="B29" s="21" t="n"/>
      <c r="C29" s="21" t="n"/>
      <c r="D29" s="21" t="n"/>
      <c r="E29" s="21" t="n"/>
      <c r="F29" s="21" t="n"/>
    </row>
    <row r="30">
      <c r="A30" s="23" t="n"/>
      <c r="B30" s="26" t="n"/>
      <c r="C30" s="26" t="n"/>
      <c r="D30" s="26" t="n"/>
      <c r="E30" s="26" t="n"/>
      <c r="F30" s="26" t="n"/>
    </row>
    <row r="31">
      <c r="A31" s="18" t="n"/>
      <c r="B31" s="21" t="n"/>
      <c r="C31" s="21" t="n"/>
      <c r="D31" s="21" t="n"/>
      <c r="E31" s="21" t="n"/>
      <c r="F31" s="21" t="n"/>
    </row>
    <row r="32">
      <c r="A32" s="23" t="n"/>
      <c r="B32" s="26" t="n"/>
      <c r="C32" s="26" t="n"/>
      <c r="D32" s="26" t="n"/>
      <c r="E32" s="26" t="n"/>
      <c r="F32" s="26" t="n"/>
    </row>
    <row r="33">
      <c r="A33" s="18" t="n"/>
      <c r="B33" s="21" t="n"/>
      <c r="C33" s="21" t="n"/>
      <c r="D33" s="21" t="n"/>
      <c r="E33" s="21" t="n"/>
      <c r="F33" s="21" t="n"/>
    </row>
    <row r="34">
      <c r="A34" s="23" t="n"/>
      <c r="B34" s="26" t="n"/>
      <c r="C34" s="26" t="n"/>
      <c r="D34" s="26" t="n"/>
      <c r="E34" s="26" t="n"/>
      <c r="F34" s="26" t="n"/>
    </row>
    <row r="35">
      <c r="A35" s="18" t="n"/>
      <c r="B35" s="21" t="n"/>
      <c r="C35" s="21" t="n"/>
      <c r="D35" s="21" t="n"/>
      <c r="E35" s="21" t="n"/>
      <c r="F35" s="21" t="n"/>
    </row>
    <row r="36">
      <c r="A36" s="23" t="n"/>
      <c r="B36" s="26" t="n"/>
      <c r="C36" s="26" t="n"/>
      <c r="D36" s="26" t="n"/>
      <c r="E36" s="26" t="n"/>
      <c r="F36" s="26" t="n"/>
    </row>
    <row r="37">
      <c r="A37" s="18" t="n"/>
      <c r="B37" s="21" t="n"/>
      <c r="C37" s="21" t="n"/>
      <c r="D37" s="21" t="n"/>
      <c r="E37" s="21" t="n"/>
      <c r="F37" s="21" t="n"/>
    </row>
    <row r="38">
      <c r="A38" s="23" t="n"/>
      <c r="B38" s="26" t="n"/>
      <c r="C38" s="26" t="n"/>
      <c r="D38" s="26" t="n"/>
      <c r="E38" s="26" t="n"/>
      <c r="F38" s="26" t="n"/>
    </row>
    <row r="39">
      <c r="A39" s="18" t="n"/>
      <c r="B39" s="21" t="n"/>
      <c r="C39" s="21" t="n"/>
      <c r="D39" s="21" t="n"/>
      <c r="E39" s="21" t="n"/>
      <c r="F39" s="21" t="n"/>
    </row>
    <row r="40">
      <c r="A40" s="23" t="n"/>
      <c r="B40" s="26" t="n"/>
      <c r="C40" s="26" t="n"/>
      <c r="D40" s="26" t="n"/>
      <c r="E40" s="26" t="n"/>
      <c r="F40" s="26" t="n"/>
    </row>
    <row r="41">
      <c r="A41" s="18" t="n"/>
      <c r="B41" s="21" t="n"/>
      <c r="C41" s="21" t="n"/>
      <c r="D41" s="21" t="n"/>
      <c r="E41" s="21" t="n"/>
      <c r="F41" s="21" t="n"/>
    </row>
    <row r="42">
      <c r="A42" s="23" t="n"/>
      <c r="B42" s="26" t="n"/>
      <c r="C42" s="26" t="n"/>
      <c r="D42" s="26" t="n"/>
      <c r="E42" s="26" t="n"/>
      <c r="F42" s="26" t="n"/>
    </row>
    <row r="43">
      <c r="A43" s="18" t="n"/>
      <c r="B43" s="21" t="n"/>
      <c r="C43" s="21" t="n"/>
      <c r="D43" s="21" t="n"/>
      <c r="E43" s="21" t="n"/>
      <c r="F43" s="21" t="n"/>
    </row>
    <row r="44">
      <c r="A44" s="23" t="n"/>
      <c r="B44" s="26" t="n"/>
      <c r="C44" s="26" t="n"/>
      <c r="D44" s="26" t="n"/>
      <c r="E44" s="26" t="n"/>
      <c r="F44" s="26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2" customWidth="1" min="4" max="4"/>
    <col width="14" customWidth="1" min="5" max="5"/>
    <col width="26" customWidth="1" min="6" max="6"/>
    <col width="26" customWidth="1" min="7" max="7"/>
  </cols>
  <sheetData>
    <row r="1" ht="46" customHeight="1">
      <c r="A1" s="1" t="inlineStr">
        <is>
          <t xml:space="preserve">  🎯  PERSONAL GOALS</t>
        </is>
      </c>
    </row>
    <row r="2" ht="22" customHeight="1">
      <c r="A2" s="2" t="inlineStr">
        <is>
          <t xml:space="preserve">  Small, kind goals. Progress over perfection.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Goal</t>
        </is>
      </c>
      <c r="B4" s="7" t="inlineStr">
        <is>
          <t>Category</t>
        </is>
      </c>
      <c r="C4" s="7" t="inlineStr">
        <is>
          <t>Target Date</t>
        </is>
      </c>
      <c r="D4" s="7" t="inlineStr">
        <is>
          <t>Progress</t>
        </is>
      </c>
      <c r="E4" s="7" t="inlineStr">
        <is>
          <t>Status</t>
        </is>
      </c>
      <c r="F4" s="7" t="inlineStr">
        <is>
          <t>Milestones</t>
        </is>
      </c>
      <c r="G4" s="7" t="inlineStr">
        <is>
          <t>Notes</t>
        </is>
      </c>
    </row>
    <row r="5">
      <c r="A5" s="21" t="inlineStr">
        <is>
          <t>Meditate 5 days a week</t>
        </is>
      </c>
      <c r="B5" s="19" t="inlineStr">
        <is>
          <t>Health</t>
        </is>
      </c>
      <c r="C5" s="18" t="n">
        <v>46232</v>
      </c>
      <c r="D5" s="27" t="n">
        <v>0.6</v>
      </c>
      <c r="E5" s="19" t="inlineStr">
        <is>
          <t>In Progress</t>
        </is>
      </c>
      <c r="F5" s="21" t="inlineStr">
        <is>
          <t>Mon/Wed/Fri done</t>
        </is>
      </c>
      <c r="G5" s="21" t="inlineStr"/>
    </row>
    <row r="6">
      <c r="A6" s="26" t="inlineStr">
        <is>
          <t>Attend one social event</t>
        </is>
      </c>
      <c r="B6" s="24" t="inlineStr">
        <is>
          <t>Social</t>
        </is>
      </c>
      <c r="C6" s="23" t="n">
        <v>46216</v>
      </c>
      <c r="D6" s="29" t="n">
        <v>0.5</v>
      </c>
      <c r="E6" s="24" t="inlineStr">
        <is>
          <t>In Progress</t>
        </is>
      </c>
      <c r="F6" s="26" t="inlineStr">
        <is>
          <t>RSVP sent</t>
        </is>
      </c>
      <c r="G6" s="26" t="inlineStr">
        <is>
          <t>Use Social Prep</t>
        </is>
      </c>
    </row>
    <row r="7">
      <c r="A7" s="21" t="inlineStr">
        <is>
          <t>Read 2 calming books</t>
        </is>
      </c>
      <c r="B7" s="19" t="inlineStr">
        <is>
          <t>Learning</t>
        </is>
      </c>
      <c r="C7" s="18" t="n">
        <v>46262</v>
      </c>
      <c r="D7" s="27" t="n">
        <v>0.25</v>
      </c>
      <c r="E7" s="19" t="inlineStr">
        <is>
          <t>In Progress</t>
        </is>
      </c>
      <c r="F7" s="21" t="inlineStr">
        <is>
          <t>1 started</t>
        </is>
      </c>
      <c r="G7" s="21" t="inlineStr"/>
    </row>
    <row r="8">
      <c r="A8" s="26" t="inlineStr">
        <is>
          <t>Consistent 8-hr sleep</t>
        </is>
      </c>
      <c r="B8" s="24" t="inlineStr">
        <is>
          <t>Health</t>
        </is>
      </c>
      <c r="C8" s="23" t="n">
        <v>46223</v>
      </c>
      <c r="D8" s="29" t="n">
        <v>0.7</v>
      </c>
      <c r="E8" s="24" t="inlineStr">
        <is>
          <t>In Progress</t>
        </is>
      </c>
      <c r="F8" s="26" t="inlineStr">
        <is>
          <t>5/7 nights</t>
        </is>
      </c>
      <c r="G8" s="26" t="inlineStr"/>
    </row>
    <row r="9">
      <c r="A9" s="21" t="inlineStr">
        <is>
          <t>Daily gratitude for 30 days</t>
        </is>
      </c>
      <c r="B9" s="19" t="inlineStr">
        <is>
          <t>Personal</t>
        </is>
      </c>
      <c r="C9" s="18" t="n">
        <v>46232</v>
      </c>
      <c r="D9" s="27" t="n">
        <v>1</v>
      </c>
      <c r="E9" s="19" t="inlineStr">
        <is>
          <t>Complete</t>
        </is>
      </c>
      <c r="F9" s="21" t="inlineStr">
        <is>
          <t>Done!</t>
        </is>
      </c>
      <c r="G9" s="21" t="inlineStr">
        <is>
          <t>Felt a real shift</t>
        </is>
      </c>
    </row>
    <row r="10">
      <c r="A10" s="26" t="n"/>
      <c r="B10" s="24" t="n"/>
      <c r="C10" s="23" t="n"/>
      <c r="D10" s="29" t="n"/>
      <c r="E10" s="24" t="n"/>
      <c r="F10" s="26" t="n"/>
      <c r="G10" s="26" t="n"/>
    </row>
    <row r="11">
      <c r="A11" s="21" t="n"/>
      <c r="B11" s="19" t="n"/>
      <c r="C11" s="18" t="n"/>
      <c r="D11" s="27" t="n"/>
      <c r="E11" s="19" t="n"/>
      <c r="F11" s="21" t="n"/>
      <c r="G11" s="21" t="n"/>
    </row>
    <row r="12">
      <c r="A12" s="26" t="n"/>
      <c r="B12" s="24" t="n"/>
      <c r="C12" s="23" t="n"/>
      <c r="D12" s="29" t="n"/>
      <c r="E12" s="24" t="n"/>
      <c r="F12" s="26" t="n"/>
      <c r="G12" s="26" t="n"/>
    </row>
    <row r="13">
      <c r="A13" s="21" t="n"/>
      <c r="B13" s="19" t="n"/>
      <c r="C13" s="18" t="n"/>
      <c r="D13" s="27" t="n"/>
      <c r="E13" s="19" t="n"/>
      <c r="F13" s="21" t="n"/>
      <c r="G13" s="21" t="n"/>
    </row>
    <row r="14">
      <c r="A14" s="26" t="n"/>
      <c r="B14" s="24" t="n"/>
      <c r="C14" s="23" t="n"/>
      <c r="D14" s="29" t="n"/>
      <c r="E14" s="24" t="n"/>
      <c r="F14" s="26" t="n"/>
      <c r="G14" s="26" t="n"/>
    </row>
    <row r="15">
      <c r="A15" s="21" t="n"/>
      <c r="B15" s="19" t="n"/>
      <c r="C15" s="18" t="n"/>
      <c r="D15" s="27" t="n"/>
      <c r="E15" s="19" t="n"/>
      <c r="F15" s="21" t="n"/>
      <c r="G15" s="21" t="n"/>
    </row>
    <row r="16">
      <c r="A16" s="26" t="n"/>
      <c r="B16" s="24" t="n"/>
      <c r="C16" s="23" t="n"/>
      <c r="D16" s="29" t="n"/>
      <c r="E16" s="24" t="n"/>
      <c r="F16" s="26" t="n"/>
      <c r="G16" s="26" t="n"/>
    </row>
    <row r="17">
      <c r="A17" s="21" t="n"/>
      <c r="B17" s="19" t="n"/>
      <c r="C17" s="18" t="n"/>
      <c r="D17" s="27" t="n"/>
      <c r="E17" s="19" t="n"/>
      <c r="F17" s="21" t="n"/>
      <c r="G17" s="21" t="n"/>
    </row>
    <row r="18">
      <c r="A18" s="26" t="n"/>
      <c r="B18" s="24" t="n"/>
      <c r="C18" s="23" t="n"/>
      <c r="D18" s="29" t="n"/>
      <c r="E18" s="24" t="n"/>
      <c r="F18" s="26" t="n"/>
      <c r="G18" s="26" t="n"/>
    </row>
    <row r="19">
      <c r="A19" s="21" t="n"/>
      <c r="B19" s="19" t="n"/>
      <c r="C19" s="18" t="n"/>
      <c r="D19" s="27" t="n"/>
      <c r="E19" s="19" t="n"/>
      <c r="F19" s="21" t="n"/>
      <c r="G19" s="21" t="n"/>
    </row>
    <row r="20">
      <c r="A20" s="26" t="n"/>
      <c r="B20" s="24" t="n"/>
      <c r="C20" s="23" t="n"/>
      <c r="D20" s="29" t="n"/>
      <c r="E20" s="24" t="n"/>
      <c r="F20" s="26" t="n"/>
      <c r="G20" s="26" t="n"/>
    </row>
    <row r="21">
      <c r="A21" s="21" t="n"/>
      <c r="B21" s="19" t="n"/>
      <c r="C21" s="18" t="n"/>
      <c r="D21" s="27" t="n"/>
      <c r="E21" s="19" t="n"/>
      <c r="F21" s="21" t="n"/>
      <c r="G21" s="21" t="n"/>
    </row>
    <row r="22">
      <c r="A22" s="26" t="n"/>
      <c r="B22" s="24" t="n"/>
      <c r="C22" s="23" t="n"/>
      <c r="D22" s="29" t="n"/>
      <c r="E22" s="24" t="n"/>
      <c r="F22" s="26" t="n"/>
      <c r="G22" s="26" t="n"/>
    </row>
    <row r="23">
      <c r="A23" s="21" t="n"/>
      <c r="B23" s="19" t="n"/>
      <c r="C23" s="18" t="n"/>
      <c r="D23" s="27" t="n"/>
      <c r="E23" s="19" t="n"/>
      <c r="F23" s="21" t="n"/>
      <c r="G23" s="21" t="n"/>
    </row>
    <row r="24">
      <c r="A24" s="26" t="n"/>
      <c r="B24" s="24" t="n"/>
      <c r="C24" s="23" t="n"/>
      <c r="D24" s="29" t="n"/>
      <c r="E24" s="24" t="n"/>
      <c r="F24" s="26" t="n"/>
      <c r="G24" s="26" t="n"/>
    </row>
    <row r="25">
      <c r="A25" s="21" t="n"/>
      <c r="B25" s="19" t="n"/>
      <c r="C25" s="18" t="n"/>
      <c r="D25" s="27" t="n"/>
      <c r="E25" s="19" t="n"/>
      <c r="F25" s="21" t="n"/>
      <c r="G25" s="21" t="n"/>
    </row>
    <row r="26">
      <c r="A26" s="26" t="n"/>
      <c r="B26" s="24" t="n"/>
      <c r="C26" s="23" t="n"/>
      <c r="D26" s="29" t="n"/>
      <c r="E26" s="24" t="n"/>
      <c r="F26" s="26" t="n"/>
      <c r="G26" s="26" t="n"/>
    </row>
    <row r="27">
      <c r="A27" s="21" t="n"/>
      <c r="B27" s="19" t="n"/>
      <c r="C27" s="18" t="n"/>
      <c r="D27" s="27" t="n"/>
      <c r="E27" s="19" t="n"/>
      <c r="F27" s="21" t="n"/>
      <c r="G27" s="21" t="n"/>
    </row>
    <row r="28">
      <c r="A28" s="26" t="n"/>
      <c r="B28" s="24" t="n"/>
      <c r="C28" s="23" t="n"/>
      <c r="D28" s="29" t="n"/>
      <c r="E28" s="24" t="n"/>
      <c r="F28" s="26" t="n"/>
      <c r="G28" s="26" t="n"/>
    </row>
    <row r="29">
      <c r="A29" s="21" t="n"/>
      <c r="B29" s="19" t="n"/>
      <c r="C29" s="18" t="n"/>
      <c r="D29" s="27" t="n"/>
      <c r="E29" s="19" t="n"/>
      <c r="F29" s="21" t="n"/>
      <c r="G29" s="21" t="n"/>
    </row>
    <row r="30">
      <c r="A30" s="26" t="n"/>
      <c r="B30" s="24" t="n"/>
      <c r="C30" s="23" t="n"/>
      <c r="D30" s="29" t="n"/>
      <c r="E30" s="24" t="n"/>
      <c r="F30" s="26" t="n"/>
      <c r="G30" s="26" t="n"/>
    </row>
    <row r="31">
      <c r="A31" s="21" t="n"/>
      <c r="B31" s="19" t="n"/>
      <c r="C31" s="18" t="n"/>
      <c r="D31" s="27" t="n"/>
      <c r="E31" s="19" t="n"/>
      <c r="F31" s="21" t="n"/>
      <c r="G31" s="21" t="n"/>
    </row>
    <row r="32">
      <c r="A32" s="26" t="n"/>
      <c r="B32" s="24" t="n"/>
      <c r="C32" s="23" t="n"/>
      <c r="D32" s="29" t="n"/>
      <c r="E32" s="24" t="n"/>
      <c r="F32" s="26" t="n"/>
      <c r="G32" s="26" t="n"/>
    </row>
    <row r="33">
      <c r="A33" s="21" t="n"/>
      <c r="B33" s="19" t="n"/>
      <c r="C33" s="18" t="n"/>
      <c r="D33" s="27" t="n"/>
      <c r="E33" s="19" t="n"/>
      <c r="F33" s="21" t="n"/>
      <c r="G33" s="21" t="n"/>
    </row>
    <row r="34">
      <c r="A34" s="26" t="n"/>
      <c r="B34" s="24" t="n"/>
      <c r="C34" s="23" t="n"/>
      <c r="D34" s="29" t="n"/>
      <c r="E34" s="24" t="n"/>
      <c r="F34" s="26" t="n"/>
      <c r="G34" s="26" t="n"/>
    </row>
    <row r="35">
      <c r="A35" s="21" t="n"/>
      <c r="B35" s="19" t="n"/>
      <c r="C35" s="18" t="n"/>
      <c r="D35" s="27" t="n"/>
      <c r="E35" s="19" t="n"/>
      <c r="F35" s="21" t="n"/>
      <c r="G35" s="21" t="n"/>
    </row>
    <row r="36">
      <c r="A36" s="26" t="n"/>
      <c r="B36" s="24" t="n"/>
      <c r="C36" s="23" t="n"/>
      <c r="D36" s="29" t="n"/>
      <c r="E36" s="24" t="n"/>
      <c r="F36" s="26" t="n"/>
      <c r="G36" s="26" t="n"/>
    </row>
    <row r="37">
      <c r="A37" s="21" t="n"/>
      <c r="B37" s="19" t="n"/>
      <c r="C37" s="18" t="n"/>
      <c r="D37" s="27" t="n"/>
      <c r="E37" s="19" t="n"/>
      <c r="F37" s="21" t="n"/>
      <c r="G37" s="21" t="n"/>
    </row>
    <row r="38">
      <c r="A38" s="26" t="n"/>
      <c r="B38" s="24" t="n"/>
      <c r="C38" s="23" t="n"/>
      <c r="D38" s="29" t="n"/>
      <c r="E38" s="24" t="n"/>
      <c r="F38" s="26" t="n"/>
      <c r="G38" s="26" t="n"/>
    </row>
    <row r="39">
      <c r="A39" s="21" t="n"/>
      <c r="B39" s="19" t="n"/>
      <c r="C39" s="18" t="n"/>
      <c r="D39" s="27" t="n"/>
      <c r="E39" s="19" t="n"/>
      <c r="F39" s="21" t="n"/>
      <c r="G39" s="21" t="n"/>
    </row>
    <row r="40">
      <c r="A40" s="26" t="n"/>
      <c r="B40" s="24" t="n"/>
      <c r="C40" s="23" t="n"/>
      <c r="D40" s="29" t="n"/>
      <c r="E40" s="24" t="n"/>
      <c r="F40" s="26" t="n"/>
      <c r="G40" s="26" t="n"/>
    </row>
    <row r="41">
      <c r="A41" s="21" t="n"/>
      <c r="B41" s="19" t="n"/>
      <c r="C41" s="18" t="n"/>
      <c r="D41" s="27" t="n"/>
      <c r="E41" s="19" t="n"/>
      <c r="F41" s="21" t="n"/>
      <c r="G41" s="21" t="n"/>
    </row>
    <row r="42">
      <c r="A42" s="26" t="n"/>
      <c r="B42" s="24" t="n"/>
      <c r="C42" s="23" t="n"/>
      <c r="D42" s="29" t="n"/>
      <c r="E42" s="24" t="n"/>
      <c r="F42" s="26" t="n"/>
      <c r="G42" s="26" t="n"/>
    </row>
    <row r="43">
      <c r="A43" s="21" t="n"/>
      <c r="B43" s="19" t="n"/>
      <c r="C43" s="18" t="n"/>
      <c r="D43" s="27" t="n"/>
      <c r="E43" s="19" t="n"/>
      <c r="F43" s="21" t="n"/>
      <c r="G43" s="21" t="n"/>
    </row>
    <row r="44">
      <c r="A44" s="26" t="n"/>
      <c r="B44" s="24" t="n"/>
      <c r="C44" s="23" t="n"/>
      <c r="D44" s="29" t="n"/>
      <c r="E44" s="24" t="n"/>
      <c r="F44" s="26" t="n"/>
      <c r="G44" s="26" t="n"/>
    </row>
    <row r="45">
      <c r="A45" s="21" t="n"/>
      <c r="B45" s="19" t="n"/>
      <c r="C45" s="18" t="n"/>
      <c r="D45" s="27" t="n"/>
      <c r="E45" s="19" t="n"/>
      <c r="F45" s="21" t="n"/>
      <c r="G45" s="21" t="n"/>
    </row>
    <row r="46">
      <c r="A46" s="26" t="n"/>
      <c r="B46" s="24" t="n"/>
      <c r="C46" s="23" t="n"/>
      <c r="D46" s="29" t="n"/>
      <c r="E46" s="24" t="n"/>
      <c r="F46" s="26" t="n"/>
      <c r="G46" s="26" t="n"/>
    </row>
    <row r="47">
      <c r="A47" s="21" t="n"/>
      <c r="B47" s="19" t="n"/>
      <c r="C47" s="18" t="n"/>
      <c r="D47" s="27" t="n"/>
      <c r="E47" s="19" t="n"/>
      <c r="F47" s="21" t="n"/>
      <c r="G47" s="21" t="n"/>
    </row>
    <row r="48">
      <c r="A48" s="26" t="n"/>
      <c r="B48" s="24" t="n"/>
      <c r="C48" s="23" t="n"/>
      <c r="D48" s="29" t="n"/>
      <c r="E48" s="24" t="n"/>
      <c r="F48" s="26" t="n"/>
      <c r="G48" s="26" t="n"/>
    </row>
    <row r="49">
      <c r="A49" s="21" t="n"/>
      <c r="B49" s="19" t="n"/>
      <c r="C49" s="18" t="n"/>
      <c r="D49" s="27" t="n"/>
      <c r="E49" s="19" t="n"/>
      <c r="F49" s="21" t="n"/>
      <c r="G49" s="21" t="n"/>
    </row>
    <row r="50">
      <c r="A50" s="26" t="n"/>
      <c r="B50" s="24" t="n"/>
      <c r="C50" s="23" t="n"/>
      <c r="D50" s="29" t="n"/>
      <c r="E50" s="24" t="n"/>
      <c r="F50" s="26" t="n"/>
      <c r="G50" s="26" t="n"/>
    </row>
    <row r="51">
      <c r="A51" s="21" t="n"/>
      <c r="B51" s="19" t="n"/>
      <c r="C51" s="18" t="n"/>
      <c r="D51" s="27" t="n"/>
      <c r="E51" s="19" t="n"/>
      <c r="F51" s="21" t="n"/>
      <c r="G51" s="21" t="n"/>
    </row>
    <row r="52">
      <c r="A52" s="26" t="n"/>
      <c r="B52" s="24" t="n"/>
      <c r="C52" s="23" t="n"/>
      <c r="D52" s="29" t="n"/>
      <c r="E52" s="24" t="n"/>
      <c r="F52" s="26" t="n"/>
      <c r="G52" s="26" t="n"/>
    </row>
    <row r="53">
      <c r="A53" s="21" t="n"/>
      <c r="B53" s="19" t="n"/>
      <c r="C53" s="18" t="n"/>
      <c r="D53" s="27" t="n"/>
      <c r="E53" s="19" t="n"/>
      <c r="F53" s="21" t="n"/>
      <c r="G53" s="21" t="n"/>
    </row>
    <row r="54">
      <c r="A54" s="26" t="n"/>
      <c r="B54" s="24" t="n"/>
      <c r="C54" s="23" t="n"/>
      <c r="D54" s="29" t="n"/>
      <c r="E54" s="24" t="n"/>
      <c r="F54" s="26" t="n"/>
      <c r="G54" s="26" t="n"/>
    </row>
    <row r="55">
      <c r="A55" s="21" t="n"/>
      <c r="B55" s="19" t="n"/>
      <c r="C55" s="18" t="n"/>
      <c r="D55" s="27" t="n"/>
      <c r="E55" s="19" t="n"/>
      <c r="F55" s="21" t="n"/>
      <c r="G55" s="21" t="n"/>
    </row>
    <row r="56">
      <c r="A56" s="26" t="n"/>
      <c r="B56" s="24" t="n"/>
      <c r="C56" s="23" t="n"/>
      <c r="D56" s="29" t="n"/>
      <c r="E56" s="24" t="n"/>
      <c r="F56" s="26" t="n"/>
      <c r="G56" s="26" t="n"/>
    </row>
    <row r="57">
      <c r="A57" s="21" t="n"/>
      <c r="B57" s="19" t="n"/>
      <c r="C57" s="18" t="n"/>
      <c r="D57" s="27" t="n"/>
      <c r="E57" s="19" t="n"/>
      <c r="F57" s="21" t="n"/>
      <c r="G57" s="21" t="n"/>
    </row>
    <row r="58">
      <c r="A58" s="26" t="n"/>
      <c r="B58" s="24" t="n"/>
      <c r="C58" s="23" t="n"/>
      <c r="D58" s="29" t="n"/>
      <c r="E58" s="24" t="n"/>
      <c r="F58" s="26" t="n"/>
      <c r="G58" s="26" t="n"/>
    </row>
    <row r="59">
      <c r="A59" s="21" t="n"/>
      <c r="B59" s="19" t="n"/>
      <c r="C59" s="18" t="n"/>
      <c r="D59" s="27" t="n"/>
      <c r="E59" s="19" t="n"/>
      <c r="F59" s="21" t="n"/>
      <c r="G59" s="21" t="n"/>
    </row>
    <row r="60">
      <c r="A60" s="26" t="n"/>
      <c r="B60" s="24" t="n"/>
      <c r="C60" s="23" t="n"/>
      <c r="D60" s="29" t="n"/>
      <c r="E60" s="24" t="n"/>
      <c r="F60" s="26" t="n"/>
      <c r="G60" s="26" t="n"/>
    </row>
    <row r="61">
      <c r="A61" s="21" t="n"/>
      <c r="B61" s="19" t="n"/>
      <c r="C61" s="18" t="n"/>
      <c r="D61" s="27" t="n"/>
      <c r="E61" s="19" t="n"/>
      <c r="F61" s="21" t="n"/>
      <c r="G61" s="21" t="n"/>
    </row>
    <row r="62">
      <c r="A62" s="26" t="n"/>
      <c r="B62" s="24" t="n"/>
      <c r="C62" s="23" t="n"/>
      <c r="D62" s="29" t="n"/>
      <c r="E62" s="24" t="n"/>
      <c r="F62" s="26" t="n"/>
      <c r="G62" s="26" t="n"/>
    </row>
    <row r="63">
      <c r="A63" s="21" t="n"/>
      <c r="B63" s="19" t="n"/>
      <c r="C63" s="18" t="n"/>
      <c r="D63" s="27" t="n"/>
      <c r="E63" s="19" t="n"/>
      <c r="F63" s="21" t="n"/>
      <c r="G63" s="21" t="n"/>
    </row>
    <row r="64">
      <c r="A64" s="26" t="n"/>
      <c r="B64" s="24" t="n"/>
      <c r="C64" s="23" t="n"/>
      <c r="D64" s="29" t="n"/>
      <c r="E64" s="24" t="n"/>
      <c r="F64" s="26" t="n"/>
      <c r="G64" s="26" t="n"/>
    </row>
  </sheetData>
  <mergeCells count="2">
    <mergeCell ref="A2:G2"/>
    <mergeCell ref="A1:G1"/>
  </mergeCells>
  <conditionalFormatting sqref="D5:D64">
    <cfRule type="dataBar" priority="1">
      <dataBar showValue="1">
        <cfvo type="num" val="0"/>
        <cfvo type="num" val="1"/>
        <color rgb="0075E6C1"/>
      </dataBar>
    </cfRule>
  </conditionalFormatting>
  <conditionalFormatting sqref="E5:E64">
    <cfRule type="cellIs" priority="2" operator="equal" dxfId="0">
      <formula>"Complete"</formula>
    </cfRule>
  </conditionalFormatting>
  <dataValidations count="2">
    <dataValidation sqref="B5:B64" showDropDown="0" showInputMessage="0" showErrorMessage="0" allowBlank="1" type="list">
      <formula1>=GoalCatList</formula1>
    </dataValidation>
    <dataValidation sqref="E5:E6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4" customWidth="1" min="4" max="4"/>
    <col width="14" customWidth="1" min="5" max="5"/>
    <col width="26" customWidth="1" min="6" max="6"/>
  </cols>
  <sheetData>
    <row r="1" ht="46" customHeight="1">
      <c r="A1" s="1" t="inlineStr">
        <is>
          <t xml:space="preserve">  💗  SELF-CARE PLANNER</t>
        </is>
      </c>
    </row>
    <row r="2" ht="22" customHeight="1">
      <c r="A2" s="2" t="inlineStr">
        <is>
          <t xml:space="preserve">  Care isn't selfish — it's maintenance. Mix a few categories each week.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Category</t>
        </is>
      </c>
      <c r="B4" s="7" t="inlineStr">
        <is>
          <t>Activity</t>
        </is>
      </c>
      <c r="C4" s="7" t="inlineStr">
        <is>
          <t>Goal / Week</t>
        </is>
      </c>
      <c r="D4" s="7" t="inlineStr">
        <is>
          <t>Done This Week</t>
        </is>
      </c>
      <c r="E4" s="7" t="inlineStr">
        <is>
          <t>Last Done</t>
        </is>
      </c>
      <c r="F4" s="7" t="inlineStr">
        <is>
          <t>Notes</t>
        </is>
      </c>
    </row>
    <row r="5">
      <c r="A5" s="19" t="inlineStr">
        <is>
          <t>Physical</t>
        </is>
      </c>
      <c r="B5" s="21" t="inlineStr">
        <is>
          <t>Stretch or yoga</t>
        </is>
      </c>
      <c r="C5" s="38" t="n">
        <v>3</v>
      </c>
      <c r="D5" s="38" t="n">
        <v>2</v>
      </c>
      <c r="E5" s="18" t="n">
        <v>46201</v>
      </c>
      <c r="F5" s="21" t="inlineStr"/>
    </row>
    <row r="6">
      <c r="A6" s="24" t="inlineStr">
        <is>
          <t>Emotional</t>
        </is>
      </c>
      <c r="B6" s="26" t="inlineStr">
        <is>
          <t>Journal feelings</t>
        </is>
      </c>
      <c r="C6" s="39" t="n">
        <v>4</v>
      </c>
      <c r="D6" s="39" t="n">
        <v>3</v>
      </c>
      <c r="E6" s="23" t="n">
        <v>46202</v>
      </c>
      <c r="F6" s="26" t="inlineStr"/>
    </row>
    <row r="7">
      <c r="A7" s="19" t="inlineStr">
        <is>
          <t>Social</t>
        </is>
      </c>
      <c r="B7" s="21" t="inlineStr">
        <is>
          <t>Reach out to someone</t>
        </is>
      </c>
      <c r="C7" s="38" t="n">
        <v>2</v>
      </c>
      <c r="D7" s="38" t="n">
        <v>1</v>
      </c>
      <c r="E7" s="18" t="n">
        <v>46199</v>
      </c>
      <c r="F7" s="21" t="inlineStr"/>
    </row>
    <row r="8">
      <c r="A8" s="24" t="inlineStr">
        <is>
          <t>Creative</t>
        </is>
      </c>
      <c r="B8" s="26" t="inlineStr">
        <is>
          <t>Draw / play music</t>
        </is>
      </c>
      <c r="C8" s="39" t="n">
        <v>2</v>
      </c>
      <c r="D8" s="39" t="n">
        <v>1</v>
      </c>
      <c r="E8" s="23" t="n">
        <v>46197</v>
      </c>
      <c r="F8" s="26" t="inlineStr"/>
    </row>
    <row r="9">
      <c r="A9" s="19" t="inlineStr">
        <is>
          <t>Rest</t>
        </is>
      </c>
      <c r="B9" s="21" t="inlineStr">
        <is>
          <t>Screen-free wind-down</t>
        </is>
      </c>
      <c r="C9" s="38" t="n">
        <v>5</v>
      </c>
      <c r="D9" s="38" t="n">
        <v>4</v>
      </c>
      <c r="E9" s="18" t="n">
        <v>46202</v>
      </c>
      <c r="F9" s="21" t="inlineStr"/>
    </row>
    <row r="10">
      <c r="A10" s="24" t="inlineStr">
        <is>
          <t>Outdoor</t>
        </is>
      </c>
      <c r="B10" s="26" t="inlineStr">
        <is>
          <t>Walk in nature</t>
        </is>
      </c>
      <c r="C10" s="39" t="n">
        <v>3</v>
      </c>
      <c r="D10" s="39" t="n">
        <v>2</v>
      </c>
      <c r="E10" s="23" t="n">
        <v>46200</v>
      </c>
      <c r="F10" s="26" t="inlineStr"/>
    </row>
    <row r="11">
      <c r="A11" s="19" t="n"/>
      <c r="B11" s="21" t="n"/>
      <c r="C11" s="38" t="n"/>
      <c r="D11" s="38" t="n"/>
      <c r="E11" s="18" t="n"/>
      <c r="F11" s="21" t="n"/>
    </row>
    <row r="12">
      <c r="A12" s="24" t="n"/>
      <c r="B12" s="26" t="n"/>
      <c r="C12" s="39" t="n"/>
      <c r="D12" s="39" t="n"/>
      <c r="E12" s="23" t="n"/>
      <c r="F12" s="26" t="n"/>
    </row>
    <row r="13">
      <c r="A13" s="19" t="n"/>
      <c r="B13" s="21" t="n"/>
      <c r="C13" s="38" t="n"/>
      <c r="D13" s="38" t="n"/>
      <c r="E13" s="18" t="n"/>
      <c r="F13" s="21" t="n"/>
    </row>
    <row r="14">
      <c r="A14" s="24" t="n"/>
      <c r="B14" s="26" t="n"/>
      <c r="C14" s="39" t="n"/>
      <c r="D14" s="39" t="n"/>
      <c r="E14" s="23" t="n"/>
      <c r="F14" s="26" t="n"/>
    </row>
    <row r="15">
      <c r="A15" s="19" t="n"/>
      <c r="B15" s="21" t="n"/>
      <c r="C15" s="38" t="n"/>
      <c r="D15" s="38" t="n"/>
      <c r="E15" s="18" t="n"/>
      <c r="F15" s="21" t="n"/>
    </row>
    <row r="16">
      <c r="A16" s="24" t="n"/>
      <c r="B16" s="26" t="n"/>
      <c r="C16" s="39" t="n"/>
      <c r="D16" s="39" t="n"/>
      <c r="E16" s="23" t="n"/>
      <c r="F16" s="26" t="n"/>
    </row>
    <row r="17">
      <c r="A17" s="19" t="n"/>
      <c r="B17" s="21" t="n"/>
      <c r="C17" s="38" t="n"/>
      <c r="D17" s="38" t="n"/>
      <c r="E17" s="18" t="n"/>
      <c r="F17" s="21" t="n"/>
    </row>
    <row r="18">
      <c r="A18" s="24" t="n"/>
      <c r="B18" s="26" t="n"/>
      <c r="C18" s="39" t="n"/>
      <c r="D18" s="39" t="n"/>
      <c r="E18" s="23" t="n"/>
      <c r="F18" s="26" t="n"/>
    </row>
    <row r="19">
      <c r="A19" s="19" t="n"/>
      <c r="B19" s="21" t="n"/>
      <c r="C19" s="38" t="n"/>
      <c r="D19" s="38" t="n"/>
      <c r="E19" s="18" t="n"/>
      <c r="F19" s="21" t="n"/>
    </row>
    <row r="20">
      <c r="A20" s="24" t="n"/>
      <c r="B20" s="26" t="n"/>
      <c r="C20" s="39" t="n"/>
      <c r="D20" s="39" t="n"/>
      <c r="E20" s="23" t="n"/>
      <c r="F20" s="26" t="n"/>
    </row>
    <row r="21">
      <c r="A21" s="19" t="n"/>
      <c r="B21" s="21" t="n"/>
      <c r="C21" s="38" t="n"/>
      <c r="D21" s="38" t="n"/>
      <c r="E21" s="18" t="n"/>
      <c r="F21" s="21" t="n"/>
    </row>
    <row r="22">
      <c r="A22" s="24" t="n"/>
      <c r="B22" s="26" t="n"/>
      <c r="C22" s="39" t="n"/>
      <c r="D22" s="39" t="n"/>
      <c r="E22" s="23" t="n"/>
      <c r="F22" s="26" t="n"/>
    </row>
    <row r="23">
      <c r="A23" s="19" t="n"/>
      <c r="B23" s="21" t="n"/>
      <c r="C23" s="38" t="n"/>
      <c r="D23" s="38" t="n"/>
      <c r="E23" s="18" t="n"/>
      <c r="F23" s="21" t="n"/>
    </row>
    <row r="24">
      <c r="A24" s="24" t="n"/>
      <c r="B24" s="26" t="n"/>
      <c r="C24" s="39" t="n"/>
      <c r="D24" s="39" t="n"/>
      <c r="E24" s="23" t="n"/>
      <c r="F24" s="26" t="n"/>
    </row>
    <row r="25">
      <c r="A25" s="19" t="n"/>
      <c r="B25" s="21" t="n"/>
      <c r="C25" s="38" t="n"/>
      <c r="D25" s="38" t="n"/>
      <c r="E25" s="18" t="n"/>
      <c r="F25" s="21" t="n"/>
    </row>
    <row r="26">
      <c r="A26" s="24" t="n"/>
      <c r="B26" s="26" t="n"/>
      <c r="C26" s="39" t="n"/>
      <c r="D26" s="39" t="n"/>
      <c r="E26" s="23" t="n"/>
      <c r="F26" s="26" t="n"/>
    </row>
    <row r="27">
      <c r="A27" s="19" t="n"/>
      <c r="B27" s="21" t="n"/>
      <c r="C27" s="38" t="n"/>
      <c r="D27" s="38" t="n"/>
      <c r="E27" s="18" t="n"/>
      <c r="F27" s="21" t="n"/>
    </row>
    <row r="28">
      <c r="A28" s="24" t="n"/>
      <c r="B28" s="26" t="n"/>
      <c r="C28" s="39" t="n"/>
      <c r="D28" s="39" t="n"/>
      <c r="E28" s="23" t="n"/>
      <c r="F28" s="26" t="n"/>
    </row>
    <row r="29">
      <c r="A29" s="19" t="n"/>
      <c r="B29" s="21" t="n"/>
      <c r="C29" s="38" t="n"/>
      <c r="D29" s="38" t="n"/>
      <c r="E29" s="18" t="n"/>
      <c r="F29" s="21" t="n"/>
    </row>
  </sheetData>
  <mergeCells count="2">
    <mergeCell ref="A2:F2"/>
    <mergeCell ref="A1:F1"/>
  </mergeCells>
  <dataValidations count="1">
    <dataValidation sqref="A5:A29" showDropDown="0" showInputMessage="0" showErrorMessage="0" allowBlank="1" type="list">
      <formula1>=SelfCareList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 ht="46" customHeight="1">
      <c r="A1" s="1" t="inlineStr">
        <is>
          <t xml:space="preserve">  🌙  SLEEP TRACKER</t>
        </is>
      </c>
    </row>
    <row r="2" ht="22" customHeight="1">
      <c r="A2" s="2" t="inlineStr">
        <is>
          <t xml:space="preserve">  Rest is the foundation of calm. Notice your patterns gently.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Date</t>
        </is>
      </c>
      <c r="B4" s="7" t="inlineStr">
        <is>
          <t>Bedtime</t>
        </is>
      </c>
      <c r="C4" s="7" t="inlineStr">
        <is>
          <t>Wake Time</t>
        </is>
      </c>
      <c r="D4" s="7" t="inlineStr">
        <is>
          <t>Total Sleep</t>
        </is>
      </c>
      <c r="E4" s="7" t="inlineStr">
        <is>
          <t>Quality</t>
        </is>
      </c>
      <c r="F4" s="7" t="inlineStr">
        <is>
          <t>Notes</t>
        </is>
      </c>
    </row>
    <row r="5">
      <c r="A5" s="18" t="n">
        <v>46202</v>
      </c>
      <c r="B5" s="19" t="inlineStr">
        <is>
          <t>10:45 PM</t>
        </is>
      </c>
      <c r="C5" s="19" t="inlineStr">
        <is>
          <t>6:15 AM</t>
        </is>
      </c>
      <c r="D5" s="40" t="n">
        <v>7.5</v>
      </c>
      <c r="E5" s="19" t="inlineStr">
        <is>
          <t>Good</t>
        </is>
      </c>
      <c r="F5" s="21" t="inlineStr"/>
    </row>
    <row r="6">
      <c r="A6" s="23" t="n">
        <v>46201</v>
      </c>
      <c r="B6" s="24" t="inlineStr">
        <is>
          <t>11:15 PM</t>
        </is>
      </c>
      <c r="C6" s="24" t="inlineStr">
        <is>
          <t>5:45 AM</t>
        </is>
      </c>
      <c r="D6" s="41" t="n">
        <v>6.5</v>
      </c>
      <c r="E6" s="24" t="inlineStr">
        <is>
          <t>Fair</t>
        </is>
      </c>
      <c r="F6" s="26" t="inlineStr"/>
    </row>
    <row r="7">
      <c r="A7" s="18" t="n">
        <v>46200</v>
      </c>
      <c r="B7" s="19" t="inlineStr">
        <is>
          <t>10:45 PM</t>
        </is>
      </c>
      <c r="C7" s="19" t="inlineStr">
        <is>
          <t>6:15 AM</t>
        </is>
      </c>
      <c r="D7" s="40" t="n">
        <v>7.5</v>
      </c>
      <c r="E7" s="19" t="inlineStr">
        <is>
          <t>Good</t>
        </is>
      </c>
      <c r="F7" s="21" t="inlineStr"/>
    </row>
    <row r="8">
      <c r="A8" s="23" t="n">
        <v>46199</v>
      </c>
      <c r="B8" s="24" t="inlineStr">
        <is>
          <t>10:15 PM</t>
        </is>
      </c>
      <c r="C8" s="24" t="inlineStr">
        <is>
          <t>6:45 AM</t>
        </is>
      </c>
      <c r="D8" s="41" t="n">
        <v>8.5</v>
      </c>
      <c r="E8" s="24" t="inlineStr">
        <is>
          <t>Great</t>
        </is>
      </c>
      <c r="F8" s="26" t="inlineStr">
        <is>
          <t>Best sleep this week</t>
        </is>
      </c>
    </row>
    <row r="9">
      <c r="A9" s="18" t="n">
        <v>46198</v>
      </c>
      <c r="B9" s="19" t="inlineStr">
        <is>
          <t>11:00 PM</t>
        </is>
      </c>
      <c r="C9" s="19" t="inlineStr">
        <is>
          <t>6:00 AM</t>
        </is>
      </c>
      <c r="D9" s="40" t="n">
        <v>7</v>
      </c>
      <c r="E9" s="19" t="inlineStr">
        <is>
          <t>Good</t>
        </is>
      </c>
      <c r="F9" s="21" t="inlineStr"/>
    </row>
    <row r="10">
      <c r="A10" s="23" t="n">
        <v>46197</v>
      </c>
      <c r="B10" s="24" t="inlineStr">
        <is>
          <t>10:45 PM</t>
        </is>
      </c>
      <c r="C10" s="24" t="inlineStr">
        <is>
          <t>5:45 AM</t>
        </is>
      </c>
      <c r="D10" s="41" t="n">
        <v>7</v>
      </c>
      <c r="E10" s="24" t="inlineStr">
        <is>
          <t>Good</t>
        </is>
      </c>
      <c r="F10" s="26" t="inlineStr"/>
    </row>
    <row r="11">
      <c r="A11" s="18" t="n">
        <v>46196</v>
      </c>
      <c r="B11" s="19" t="inlineStr">
        <is>
          <t>10:15 PM</t>
        </is>
      </c>
      <c r="C11" s="19" t="inlineStr">
        <is>
          <t>6:15 AM</t>
        </is>
      </c>
      <c r="D11" s="40" t="n">
        <v>8</v>
      </c>
      <c r="E11" s="19" t="inlineStr">
        <is>
          <t>Great</t>
        </is>
      </c>
      <c r="F11" s="21" t="inlineStr"/>
    </row>
    <row r="12">
      <c r="A12" s="23" t="n">
        <v>46195</v>
      </c>
      <c r="B12" s="24" t="inlineStr">
        <is>
          <t>11:45 PM</t>
        </is>
      </c>
      <c r="C12" s="24" t="inlineStr">
        <is>
          <t>6:15 AM</t>
        </is>
      </c>
      <c r="D12" s="41" t="n">
        <v>6.5</v>
      </c>
      <c r="E12" s="24" t="inlineStr">
        <is>
          <t>Fair</t>
        </is>
      </c>
      <c r="F12" s="26" t="inlineStr">
        <is>
          <t>Late night</t>
        </is>
      </c>
    </row>
    <row r="13">
      <c r="A13" s="18" t="n">
        <v>46194</v>
      </c>
      <c r="B13" s="19" t="inlineStr">
        <is>
          <t>10:45 PM</t>
        </is>
      </c>
      <c r="C13" s="19" t="inlineStr">
        <is>
          <t>6:15 AM</t>
        </is>
      </c>
      <c r="D13" s="40" t="n">
        <v>7.5</v>
      </c>
      <c r="E13" s="19" t="inlineStr">
        <is>
          <t>Good</t>
        </is>
      </c>
      <c r="F13" s="21" t="inlineStr"/>
    </row>
    <row r="14">
      <c r="A14" s="23" t="n">
        <v>46193</v>
      </c>
      <c r="B14" s="24" t="inlineStr">
        <is>
          <t>11:00 PM</t>
        </is>
      </c>
      <c r="C14" s="24" t="inlineStr">
        <is>
          <t>6:00 AM</t>
        </is>
      </c>
      <c r="D14" s="41" t="n">
        <v>7</v>
      </c>
      <c r="E14" s="24" t="inlineStr">
        <is>
          <t>Good</t>
        </is>
      </c>
      <c r="F14" s="26" t="inlineStr"/>
    </row>
    <row r="15">
      <c r="A15" s="18" t="n">
        <v>46192</v>
      </c>
      <c r="B15" s="19" t="inlineStr">
        <is>
          <t>10:30 PM</t>
        </is>
      </c>
      <c r="C15" s="19" t="inlineStr">
        <is>
          <t>6:30 AM</t>
        </is>
      </c>
      <c r="D15" s="40" t="n">
        <v>8</v>
      </c>
      <c r="E15" s="19" t="inlineStr">
        <is>
          <t>Great</t>
        </is>
      </c>
      <c r="F15" s="21" t="inlineStr">
        <is>
          <t>Deep sleep</t>
        </is>
      </c>
    </row>
    <row r="16">
      <c r="A16" s="23" t="n">
        <v>46191</v>
      </c>
      <c r="B16" s="24" t="inlineStr">
        <is>
          <t>11:30 PM</t>
        </is>
      </c>
      <c r="C16" s="24" t="inlineStr">
        <is>
          <t>5:30 AM</t>
        </is>
      </c>
      <c r="D16" s="41" t="n">
        <v>6</v>
      </c>
      <c r="E16" s="24" t="inlineStr">
        <is>
          <t>Poor</t>
        </is>
      </c>
      <c r="F16" s="26" t="inlineStr">
        <is>
          <t>Restless</t>
        </is>
      </c>
    </row>
    <row r="17">
      <c r="A17" s="18" t="n">
        <v>46190</v>
      </c>
      <c r="B17" s="19" t="inlineStr">
        <is>
          <t>10:45 PM</t>
        </is>
      </c>
      <c r="C17" s="19" t="inlineStr">
        <is>
          <t>6:15 AM</t>
        </is>
      </c>
      <c r="D17" s="40" t="n">
        <v>7.5</v>
      </c>
      <c r="E17" s="19" t="inlineStr">
        <is>
          <t>Good</t>
        </is>
      </c>
      <c r="F17" s="21" t="inlineStr"/>
    </row>
    <row r="18">
      <c r="A18" s="23" t="n">
        <v>46189</v>
      </c>
      <c r="B18" s="24" t="inlineStr">
        <is>
          <t>11:15 PM</t>
        </is>
      </c>
      <c r="C18" s="24" t="inlineStr">
        <is>
          <t>6:30 AM</t>
        </is>
      </c>
      <c r="D18" s="41" t="n">
        <v>6.5</v>
      </c>
      <c r="E18" s="24" t="inlineStr">
        <is>
          <t>Fair</t>
        </is>
      </c>
      <c r="F18" s="26" t="inlineStr">
        <is>
          <t>Woke once</t>
        </is>
      </c>
    </row>
    <row r="19">
      <c r="A19" s="18" t="n"/>
      <c r="B19" s="19" t="n"/>
      <c r="C19" s="19" t="n"/>
      <c r="D19" s="40" t="n"/>
      <c r="E19" s="19" t="n"/>
      <c r="F19" s="21" t="n"/>
    </row>
    <row r="20">
      <c r="A20" s="23" t="n"/>
      <c r="B20" s="24" t="n"/>
      <c r="C20" s="24" t="n"/>
      <c r="D20" s="41" t="n"/>
      <c r="E20" s="24" t="n"/>
      <c r="F20" s="26" t="n"/>
    </row>
    <row r="21">
      <c r="A21" s="18" t="n"/>
      <c r="B21" s="19" t="n"/>
      <c r="C21" s="19" t="n"/>
      <c r="D21" s="40" t="n"/>
      <c r="E21" s="19" t="n"/>
      <c r="F21" s="21" t="n"/>
    </row>
    <row r="22">
      <c r="A22" s="23" t="n"/>
      <c r="B22" s="24" t="n"/>
      <c r="C22" s="24" t="n"/>
      <c r="D22" s="41" t="n"/>
      <c r="E22" s="24" t="n"/>
      <c r="F22" s="26" t="n"/>
    </row>
    <row r="23">
      <c r="A23" s="18" t="n"/>
      <c r="B23" s="19" t="n"/>
      <c r="C23" s="19" t="n"/>
      <c r="D23" s="40" t="n"/>
      <c r="E23" s="19" t="n"/>
      <c r="F23" s="21" t="n"/>
    </row>
    <row r="24">
      <c r="A24" s="23" t="n"/>
      <c r="B24" s="24" t="n"/>
      <c r="C24" s="24" t="n"/>
      <c r="D24" s="41" t="n"/>
      <c r="E24" s="24" t="n"/>
      <c r="F24" s="26" t="n"/>
    </row>
    <row r="25">
      <c r="A25" s="18" t="n"/>
      <c r="B25" s="19" t="n"/>
      <c r="C25" s="19" t="n"/>
      <c r="D25" s="40" t="n"/>
      <c r="E25" s="19" t="n"/>
      <c r="F25" s="21" t="n"/>
    </row>
    <row r="26">
      <c r="A26" s="23" t="n"/>
      <c r="B26" s="24" t="n"/>
      <c r="C26" s="24" t="n"/>
      <c r="D26" s="41" t="n"/>
      <c r="E26" s="24" t="n"/>
      <c r="F26" s="26" t="n"/>
    </row>
    <row r="27">
      <c r="A27" s="18" t="n"/>
      <c r="B27" s="19" t="n"/>
      <c r="C27" s="19" t="n"/>
      <c r="D27" s="40" t="n"/>
      <c r="E27" s="19" t="n"/>
      <c r="F27" s="21" t="n"/>
    </row>
    <row r="28">
      <c r="A28" s="23" t="n"/>
      <c r="B28" s="24" t="n"/>
      <c r="C28" s="24" t="n"/>
      <c r="D28" s="41" t="n"/>
      <c r="E28" s="24" t="n"/>
      <c r="F28" s="26" t="n"/>
    </row>
    <row r="29">
      <c r="A29" s="18" t="n"/>
      <c r="B29" s="19" t="n"/>
      <c r="C29" s="19" t="n"/>
      <c r="D29" s="40" t="n"/>
      <c r="E29" s="19" t="n"/>
      <c r="F29" s="21" t="n"/>
    </row>
    <row r="30">
      <c r="A30" s="23" t="n"/>
      <c r="B30" s="24" t="n"/>
      <c r="C30" s="24" t="n"/>
      <c r="D30" s="41" t="n"/>
      <c r="E30" s="24" t="n"/>
      <c r="F30" s="26" t="n"/>
    </row>
    <row r="31">
      <c r="A31" s="18" t="n"/>
      <c r="B31" s="19" t="n"/>
      <c r="C31" s="19" t="n"/>
      <c r="D31" s="40" t="n"/>
      <c r="E31" s="19" t="n"/>
      <c r="F31" s="21" t="n"/>
    </row>
    <row r="32">
      <c r="A32" s="23" t="n"/>
      <c r="B32" s="24" t="n"/>
      <c r="C32" s="24" t="n"/>
      <c r="D32" s="41" t="n"/>
      <c r="E32" s="24" t="n"/>
      <c r="F32" s="26" t="n"/>
    </row>
    <row r="33">
      <c r="A33" s="18" t="n"/>
      <c r="B33" s="19" t="n"/>
      <c r="C33" s="19" t="n"/>
      <c r="D33" s="40" t="n"/>
      <c r="E33" s="19" t="n"/>
      <c r="F33" s="21" t="n"/>
    </row>
    <row r="34">
      <c r="A34" s="23" t="n"/>
      <c r="B34" s="24" t="n"/>
      <c r="C34" s="24" t="n"/>
      <c r="D34" s="41" t="n"/>
      <c r="E34" s="24" t="n"/>
      <c r="F34" s="26" t="n"/>
    </row>
    <row r="35">
      <c r="A35" s="18" t="n"/>
      <c r="B35" s="19" t="n"/>
      <c r="C35" s="19" t="n"/>
      <c r="D35" s="40" t="n"/>
      <c r="E35" s="19" t="n"/>
      <c r="F35" s="21" t="n"/>
    </row>
    <row r="36">
      <c r="A36" s="23" t="n"/>
      <c r="B36" s="24" t="n"/>
      <c r="C36" s="24" t="n"/>
      <c r="D36" s="41" t="n"/>
      <c r="E36" s="24" t="n"/>
      <c r="F36" s="26" t="n"/>
    </row>
    <row r="37">
      <c r="A37" s="18" t="n"/>
      <c r="B37" s="19" t="n"/>
      <c r="C37" s="19" t="n"/>
      <c r="D37" s="40" t="n"/>
      <c r="E37" s="19" t="n"/>
      <c r="F37" s="21" t="n"/>
    </row>
    <row r="38">
      <c r="A38" s="23" t="n"/>
      <c r="B38" s="24" t="n"/>
      <c r="C38" s="24" t="n"/>
      <c r="D38" s="41" t="n"/>
      <c r="E38" s="24" t="n"/>
      <c r="F38" s="26" t="n"/>
    </row>
    <row r="39">
      <c r="A39" s="18" t="n"/>
      <c r="B39" s="19" t="n"/>
      <c r="C39" s="19" t="n"/>
      <c r="D39" s="40" t="n"/>
      <c r="E39" s="19" t="n"/>
      <c r="F39" s="21" t="n"/>
    </row>
    <row r="40">
      <c r="A40" s="23" t="n"/>
      <c r="B40" s="24" t="n"/>
      <c r="C40" s="24" t="n"/>
      <c r="D40" s="41" t="n"/>
      <c r="E40" s="24" t="n"/>
      <c r="F40" s="26" t="n"/>
    </row>
    <row r="41">
      <c r="A41" s="18" t="n"/>
      <c r="B41" s="19" t="n"/>
      <c r="C41" s="19" t="n"/>
      <c r="D41" s="40" t="n"/>
      <c r="E41" s="19" t="n"/>
      <c r="F41" s="21" t="n"/>
    </row>
    <row r="42">
      <c r="A42" s="23" t="n"/>
      <c r="B42" s="24" t="n"/>
      <c r="C42" s="24" t="n"/>
      <c r="D42" s="41" t="n"/>
      <c r="E42" s="24" t="n"/>
      <c r="F42" s="26" t="n"/>
    </row>
    <row r="43">
      <c r="A43" s="18" t="n"/>
      <c r="B43" s="19" t="n"/>
      <c r="C43" s="19" t="n"/>
      <c r="D43" s="40" t="n"/>
      <c r="E43" s="19" t="n"/>
      <c r="F43" s="21" t="n"/>
    </row>
    <row r="44">
      <c r="A44" s="23" t="n"/>
      <c r="B44" s="24" t="n"/>
      <c r="C44" s="24" t="n"/>
      <c r="D44" s="41" t="n"/>
      <c r="E44" s="24" t="n"/>
      <c r="F44" s="26" t="n"/>
    </row>
    <row r="45">
      <c r="A45" s="18" t="n"/>
      <c r="B45" s="19" t="n"/>
      <c r="C45" s="19" t="n"/>
      <c r="D45" s="40" t="n"/>
      <c r="E45" s="19" t="n"/>
      <c r="F45" s="21" t="n"/>
    </row>
    <row r="46">
      <c r="A46" s="23" t="n"/>
      <c r="B46" s="24" t="n"/>
      <c r="C46" s="24" t="n"/>
      <c r="D46" s="41" t="n"/>
      <c r="E46" s="24" t="n"/>
      <c r="F46" s="26" t="n"/>
    </row>
    <row r="47">
      <c r="A47" s="18" t="n"/>
      <c r="B47" s="19" t="n"/>
      <c r="C47" s="19" t="n"/>
      <c r="D47" s="40" t="n"/>
      <c r="E47" s="19" t="n"/>
      <c r="F47" s="21" t="n"/>
    </row>
    <row r="48">
      <c r="A48" s="23" t="n"/>
      <c r="B48" s="24" t="n"/>
      <c r="C48" s="24" t="n"/>
      <c r="D48" s="41" t="n"/>
      <c r="E48" s="24" t="n"/>
      <c r="F48" s="26" t="n"/>
    </row>
    <row r="49">
      <c r="A49" s="18" t="n"/>
      <c r="B49" s="19" t="n"/>
      <c r="C49" s="19" t="n"/>
      <c r="D49" s="40" t="n"/>
      <c r="E49" s="19" t="n"/>
      <c r="F49" s="21" t="n"/>
    </row>
    <row r="50">
      <c r="A50" s="23" t="n"/>
      <c r="B50" s="24" t="n"/>
      <c r="C50" s="24" t="n"/>
      <c r="D50" s="41" t="n"/>
      <c r="E50" s="24" t="n"/>
      <c r="F50" s="26" t="n"/>
    </row>
    <row r="51">
      <c r="A51" s="18" t="n"/>
      <c r="B51" s="19" t="n"/>
      <c r="C51" s="19" t="n"/>
      <c r="D51" s="40" t="n"/>
      <c r="E51" s="19" t="n"/>
      <c r="F51" s="21" t="n"/>
    </row>
    <row r="52">
      <c r="A52" s="23" t="n"/>
      <c r="B52" s="24" t="n"/>
      <c r="C52" s="24" t="n"/>
      <c r="D52" s="41" t="n"/>
      <c r="E52" s="24" t="n"/>
      <c r="F52" s="26" t="n"/>
    </row>
    <row r="53">
      <c r="A53" s="18" t="n"/>
      <c r="B53" s="19" t="n"/>
      <c r="C53" s="19" t="n"/>
      <c r="D53" s="40" t="n"/>
      <c r="E53" s="19" t="n"/>
      <c r="F53" s="21" t="n"/>
    </row>
    <row r="54">
      <c r="A54" s="23" t="n"/>
      <c r="B54" s="24" t="n"/>
      <c r="C54" s="24" t="n"/>
      <c r="D54" s="41" t="n"/>
      <c r="E54" s="24" t="n"/>
      <c r="F54" s="26" t="n"/>
    </row>
    <row r="55">
      <c r="A55" s="18" t="n"/>
      <c r="B55" s="19" t="n"/>
      <c r="C55" s="19" t="n"/>
      <c r="D55" s="40" t="n"/>
      <c r="E55" s="19" t="n"/>
      <c r="F55" s="21" t="n"/>
    </row>
    <row r="56">
      <c r="A56" s="23" t="n"/>
      <c r="B56" s="24" t="n"/>
      <c r="C56" s="24" t="n"/>
      <c r="D56" s="41" t="n"/>
      <c r="E56" s="24" t="n"/>
      <c r="F56" s="26" t="n"/>
    </row>
    <row r="57">
      <c r="A57" s="18" t="n"/>
      <c r="B57" s="19" t="n"/>
      <c r="C57" s="19" t="n"/>
      <c r="D57" s="40" t="n"/>
      <c r="E57" s="19" t="n"/>
      <c r="F57" s="21" t="n"/>
    </row>
    <row r="58">
      <c r="A58" s="23" t="n"/>
      <c r="B58" s="24" t="n"/>
      <c r="C58" s="24" t="n"/>
      <c r="D58" s="41" t="n"/>
      <c r="E58" s="24" t="n"/>
      <c r="F58" s="26" t="n"/>
    </row>
    <row r="59">
      <c r="A59" s="18" t="n"/>
      <c r="B59" s="19" t="n"/>
      <c r="C59" s="19" t="n"/>
      <c r="D59" s="40" t="n"/>
      <c r="E59" s="19" t="n"/>
      <c r="F59" s="21" t="n"/>
    </row>
    <row r="60">
      <c r="A60" s="23" t="n"/>
      <c r="B60" s="24" t="n"/>
      <c r="C60" s="24" t="n"/>
      <c r="D60" s="41" t="n"/>
      <c r="E60" s="24" t="n"/>
      <c r="F60" s="26" t="n"/>
    </row>
    <row r="61">
      <c r="A61" s="18" t="n"/>
      <c r="B61" s="19" t="n"/>
      <c r="C61" s="19" t="n"/>
      <c r="D61" s="40" t="n"/>
      <c r="E61" s="19" t="n"/>
      <c r="F61" s="21" t="n"/>
    </row>
    <row r="62">
      <c r="A62" s="23" t="n"/>
      <c r="B62" s="24" t="n"/>
      <c r="C62" s="24" t="n"/>
      <c r="D62" s="41" t="n"/>
      <c r="E62" s="24" t="n"/>
      <c r="F62" s="26" t="n"/>
    </row>
    <row r="63">
      <c r="A63" s="18" t="n"/>
      <c r="B63" s="19" t="n"/>
      <c r="C63" s="19" t="n"/>
      <c r="D63" s="40" t="n"/>
      <c r="E63" s="19" t="n"/>
      <c r="F63" s="21" t="n"/>
    </row>
    <row r="64">
      <c r="A64" s="23" t="n"/>
      <c r="B64" s="24" t="n"/>
      <c r="C64" s="24" t="n"/>
      <c r="D64" s="41" t="n"/>
      <c r="E64" s="24" t="n"/>
      <c r="F64" s="26" t="n"/>
    </row>
  </sheetData>
  <mergeCells count="2">
    <mergeCell ref="A2:F2"/>
    <mergeCell ref="A1:F1"/>
  </mergeCells>
  <conditionalFormatting sqref="D5:D64">
    <cfRule type="colorScale" priority="1">
      <colorScale>
        <cfvo type="num" val="4"/>
        <cfvo type="num" val="7"/>
        <cfvo type="num" val="9"/>
        <color rgb="FFFBE6E6"/>
        <color rgb="FFFFF3CD"/>
        <color rgb="FF75E6C1"/>
      </colorScale>
    </cfRule>
  </conditionalFormatting>
  <dataValidations count="1">
    <dataValidation sqref="E5:E64" showDropDown="0" showInputMessage="0" showErrorMessage="0" allowBlank="1" type="list">
      <formula1>=QualityList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4" customWidth="1" min="4" max="4"/>
    <col width="13" customWidth="1" min="5" max="5"/>
    <col width="12" customWidth="1" min="6" max="6"/>
    <col width="24" customWidth="1" min="7" max="7"/>
  </cols>
  <sheetData>
    <row r="1" ht="46" customHeight="1">
      <c r="A1" s="1" t="inlineStr">
        <is>
          <t xml:space="preserve">  🏃  EXERCISE &amp; MOVEMENT</t>
        </is>
      </c>
    </row>
    <row r="2" ht="22" customHeight="1">
      <c r="A2" s="2" t="inlineStr">
        <is>
          <t xml:space="preserve">  Movement lifts mood. Track how you feel before and after.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Date</t>
        </is>
      </c>
      <c r="B4" s="7" t="inlineStr">
        <is>
          <t>Activity</t>
        </is>
      </c>
      <c r="C4" s="7" t="inlineStr">
        <is>
          <t>Duration (min)</t>
        </is>
      </c>
      <c r="D4" s="7" t="inlineStr">
        <is>
          <t>Intensity</t>
        </is>
      </c>
      <c r="E4" s="7" t="inlineStr">
        <is>
          <t>Mood Before</t>
        </is>
      </c>
      <c r="F4" s="7" t="inlineStr">
        <is>
          <t>Mood After</t>
        </is>
      </c>
      <c r="G4" s="7" t="inlineStr">
        <is>
          <t>Notes</t>
        </is>
      </c>
    </row>
    <row r="5">
      <c r="A5" s="18" t="n">
        <v>46199</v>
      </c>
      <c r="B5" s="21" t="inlineStr">
        <is>
          <t>Walk</t>
        </is>
      </c>
      <c r="C5" s="38" t="n">
        <v>30</v>
      </c>
      <c r="D5" s="19" t="inlineStr">
        <is>
          <t>Low</t>
        </is>
      </c>
      <c r="E5" s="38" t="n">
        <v>5</v>
      </c>
      <c r="F5" s="38" t="n">
        <v>7</v>
      </c>
      <c r="G5" s="21" t="inlineStr">
        <is>
          <t>Felt clearer</t>
        </is>
      </c>
    </row>
    <row r="6">
      <c r="A6" s="23" t="n">
        <v>46200</v>
      </c>
      <c r="B6" s="26" t="inlineStr">
        <is>
          <t>Yoga</t>
        </is>
      </c>
      <c r="C6" s="39" t="n">
        <v>25</v>
      </c>
      <c r="D6" s="24" t="inlineStr">
        <is>
          <t>Low</t>
        </is>
      </c>
      <c r="E6" s="39" t="n">
        <v>6</v>
      </c>
      <c r="F6" s="39" t="n">
        <v>8</v>
      </c>
      <c r="G6" s="26" t="inlineStr">
        <is>
          <t>Very calming</t>
        </is>
      </c>
    </row>
    <row r="7">
      <c r="A7" s="18" t="n">
        <v>46201</v>
      </c>
      <c r="B7" s="21" t="inlineStr">
        <is>
          <t>Jog</t>
        </is>
      </c>
      <c r="C7" s="38" t="n">
        <v>20</v>
      </c>
      <c r="D7" s="19" t="inlineStr">
        <is>
          <t>Moderate</t>
        </is>
      </c>
      <c r="E7" s="38" t="n">
        <v>5</v>
      </c>
      <c r="F7" s="38" t="n">
        <v>7</v>
      </c>
      <c r="G7" s="21" t="inlineStr"/>
    </row>
    <row r="8">
      <c r="A8" s="23" t="n">
        <v>46202</v>
      </c>
      <c r="B8" s="26" t="inlineStr">
        <is>
          <t>Stretching</t>
        </is>
      </c>
      <c r="C8" s="39" t="n">
        <v>15</v>
      </c>
      <c r="D8" s="24" t="inlineStr">
        <is>
          <t>Low</t>
        </is>
      </c>
      <c r="E8" s="39" t="n">
        <v>6</v>
      </c>
      <c r="F8" s="39" t="n">
        <v>7</v>
      </c>
      <c r="G8" s="26" t="inlineStr">
        <is>
          <t>Quick reset</t>
        </is>
      </c>
    </row>
    <row r="9">
      <c r="A9" s="18" t="n"/>
      <c r="B9" s="21" t="n"/>
      <c r="C9" s="38" t="n"/>
      <c r="D9" s="19" t="n"/>
      <c r="E9" s="38" t="n"/>
      <c r="F9" s="38" t="n"/>
      <c r="G9" s="21" t="n"/>
    </row>
    <row r="10">
      <c r="A10" s="23" t="n"/>
      <c r="B10" s="26" t="n"/>
      <c r="C10" s="39" t="n"/>
      <c r="D10" s="24" t="n"/>
      <c r="E10" s="39" t="n"/>
      <c r="F10" s="39" t="n"/>
      <c r="G10" s="26" t="n"/>
    </row>
    <row r="11">
      <c r="A11" s="18" t="n"/>
      <c r="B11" s="21" t="n"/>
      <c r="C11" s="38" t="n"/>
      <c r="D11" s="19" t="n"/>
      <c r="E11" s="38" t="n"/>
      <c r="F11" s="38" t="n"/>
      <c r="G11" s="21" t="n"/>
    </row>
    <row r="12">
      <c r="A12" s="23" t="n"/>
      <c r="B12" s="26" t="n"/>
      <c r="C12" s="39" t="n"/>
      <c r="D12" s="24" t="n"/>
      <c r="E12" s="39" t="n"/>
      <c r="F12" s="39" t="n"/>
      <c r="G12" s="26" t="n"/>
    </row>
    <row r="13">
      <c r="A13" s="18" t="n"/>
      <c r="B13" s="21" t="n"/>
      <c r="C13" s="38" t="n"/>
      <c r="D13" s="19" t="n"/>
      <c r="E13" s="38" t="n"/>
      <c r="F13" s="38" t="n"/>
      <c r="G13" s="21" t="n"/>
    </row>
    <row r="14">
      <c r="A14" s="23" t="n"/>
      <c r="B14" s="26" t="n"/>
      <c r="C14" s="39" t="n"/>
      <c r="D14" s="24" t="n"/>
      <c r="E14" s="39" t="n"/>
      <c r="F14" s="39" t="n"/>
      <c r="G14" s="26" t="n"/>
    </row>
    <row r="15">
      <c r="A15" s="18" t="n"/>
      <c r="B15" s="21" t="n"/>
      <c r="C15" s="38" t="n"/>
      <c r="D15" s="19" t="n"/>
      <c r="E15" s="38" t="n"/>
      <c r="F15" s="38" t="n"/>
      <c r="G15" s="21" t="n"/>
    </row>
    <row r="16">
      <c r="A16" s="23" t="n"/>
      <c r="B16" s="26" t="n"/>
      <c r="C16" s="39" t="n"/>
      <c r="D16" s="24" t="n"/>
      <c r="E16" s="39" t="n"/>
      <c r="F16" s="39" t="n"/>
      <c r="G16" s="26" t="n"/>
    </row>
    <row r="17">
      <c r="A17" s="18" t="n"/>
      <c r="B17" s="21" t="n"/>
      <c r="C17" s="38" t="n"/>
      <c r="D17" s="19" t="n"/>
      <c r="E17" s="38" t="n"/>
      <c r="F17" s="38" t="n"/>
      <c r="G17" s="21" t="n"/>
    </row>
    <row r="18">
      <c r="A18" s="23" t="n"/>
      <c r="B18" s="26" t="n"/>
      <c r="C18" s="39" t="n"/>
      <c r="D18" s="24" t="n"/>
      <c r="E18" s="39" t="n"/>
      <c r="F18" s="39" t="n"/>
      <c r="G18" s="26" t="n"/>
    </row>
    <row r="19">
      <c r="A19" s="18" t="n"/>
      <c r="B19" s="21" t="n"/>
      <c r="C19" s="38" t="n"/>
      <c r="D19" s="19" t="n"/>
      <c r="E19" s="38" t="n"/>
      <c r="F19" s="38" t="n"/>
      <c r="G19" s="21" t="n"/>
    </row>
    <row r="20">
      <c r="A20" s="23" t="n"/>
      <c r="B20" s="26" t="n"/>
      <c r="C20" s="39" t="n"/>
      <c r="D20" s="24" t="n"/>
      <c r="E20" s="39" t="n"/>
      <c r="F20" s="39" t="n"/>
      <c r="G20" s="26" t="n"/>
    </row>
    <row r="21">
      <c r="A21" s="18" t="n"/>
      <c r="B21" s="21" t="n"/>
      <c r="C21" s="38" t="n"/>
      <c r="D21" s="19" t="n"/>
      <c r="E21" s="38" t="n"/>
      <c r="F21" s="38" t="n"/>
      <c r="G21" s="21" t="n"/>
    </row>
    <row r="22">
      <c r="A22" s="23" t="n"/>
      <c r="B22" s="26" t="n"/>
      <c r="C22" s="39" t="n"/>
      <c r="D22" s="24" t="n"/>
      <c r="E22" s="39" t="n"/>
      <c r="F22" s="39" t="n"/>
      <c r="G22" s="26" t="n"/>
    </row>
    <row r="23">
      <c r="A23" s="18" t="n"/>
      <c r="B23" s="21" t="n"/>
      <c r="C23" s="38" t="n"/>
      <c r="D23" s="19" t="n"/>
      <c r="E23" s="38" t="n"/>
      <c r="F23" s="38" t="n"/>
      <c r="G23" s="21" t="n"/>
    </row>
    <row r="24">
      <c r="A24" s="23" t="n"/>
      <c r="B24" s="26" t="n"/>
      <c r="C24" s="39" t="n"/>
      <c r="D24" s="24" t="n"/>
      <c r="E24" s="39" t="n"/>
      <c r="F24" s="39" t="n"/>
      <c r="G24" s="26" t="n"/>
    </row>
    <row r="25">
      <c r="A25" s="18" t="n"/>
      <c r="B25" s="21" t="n"/>
      <c r="C25" s="38" t="n"/>
      <c r="D25" s="19" t="n"/>
      <c r="E25" s="38" t="n"/>
      <c r="F25" s="38" t="n"/>
      <c r="G25" s="21" t="n"/>
    </row>
    <row r="26">
      <c r="A26" s="23" t="n"/>
      <c r="B26" s="26" t="n"/>
      <c r="C26" s="39" t="n"/>
      <c r="D26" s="24" t="n"/>
      <c r="E26" s="39" t="n"/>
      <c r="F26" s="39" t="n"/>
      <c r="G26" s="26" t="n"/>
    </row>
    <row r="27">
      <c r="A27" s="18" t="n"/>
      <c r="B27" s="21" t="n"/>
      <c r="C27" s="38" t="n"/>
      <c r="D27" s="19" t="n"/>
      <c r="E27" s="38" t="n"/>
      <c r="F27" s="38" t="n"/>
      <c r="G27" s="21" t="n"/>
    </row>
    <row r="28">
      <c r="A28" s="23" t="n"/>
      <c r="B28" s="26" t="n"/>
      <c r="C28" s="39" t="n"/>
      <c r="D28" s="24" t="n"/>
      <c r="E28" s="39" t="n"/>
      <c r="F28" s="39" t="n"/>
      <c r="G28" s="26" t="n"/>
    </row>
    <row r="29">
      <c r="A29" s="18" t="n"/>
      <c r="B29" s="21" t="n"/>
      <c r="C29" s="38" t="n"/>
      <c r="D29" s="19" t="n"/>
      <c r="E29" s="38" t="n"/>
      <c r="F29" s="38" t="n"/>
      <c r="G29" s="21" t="n"/>
    </row>
    <row r="30">
      <c r="A30" s="23" t="n"/>
      <c r="B30" s="26" t="n"/>
      <c r="C30" s="39" t="n"/>
      <c r="D30" s="24" t="n"/>
      <c r="E30" s="39" t="n"/>
      <c r="F30" s="39" t="n"/>
      <c r="G30" s="26" t="n"/>
    </row>
    <row r="31">
      <c r="A31" s="18" t="n"/>
      <c r="B31" s="21" t="n"/>
      <c r="C31" s="38" t="n"/>
      <c r="D31" s="19" t="n"/>
      <c r="E31" s="38" t="n"/>
      <c r="F31" s="38" t="n"/>
      <c r="G31" s="21" t="n"/>
    </row>
    <row r="32">
      <c r="A32" s="23" t="n"/>
      <c r="B32" s="26" t="n"/>
      <c r="C32" s="39" t="n"/>
      <c r="D32" s="24" t="n"/>
      <c r="E32" s="39" t="n"/>
      <c r="F32" s="39" t="n"/>
      <c r="G32" s="26" t="n"/>
    </row>
    <row r="33">
      <c r="A33" s="18" t="n"/>
      <c r="B33" s="21" t="n"/>
      <c r="C33" s="38" t="n"/>
      <c r="D33" s="19" t="n"/>
      <c r="E33" s="38" t="n"/>
      <c r="F33" s="38" t="n"/>
      <c r="G33" s="21" t="n"/>
    </row>
    <row r="34">
      <c r="A34" s="23" t="n"/>
      <c r="B34" s="26" t="n"/>
      <c r="C34" s="39" t="n"/>
      <c r="D34" s="24" t="n"/>
      <c r="E34" s="39" t="n"/>
      <c r="F34" s="39" t="n"/>
      <c r="G34" s="26" t="n"/>
    </row>
    <row r="35">
      <c r="A35" s="18" t="n"/>
      <c r="B35" s="21" t="n"/>
      <c r="C35" s="38" t="n"/>
      <c r="D35" s="19" t="n"/>
      <c r="E35" s="38" t="n"/>
      <c r="F35" s="38" t="n"/>
      <c r="G35" s="21" t="n"/>
    </row>
    <row r="36">
      <c r="A36" s="23" t="n"/>
      <c r="B36" s="26" t="n"/>
      <c r="C36" s="39" t="n"/>
      <c r="D36" s="24" t="n"/>
      <c r="E36" s="39" t="n"/>
      <c r="F36" s="39" t="n"/>
      <c r="G36" s="26" t="n"/>
    </row>
    <row r="37">
      <c r="A37" s="18" t="n"/>
      <c r="B37" s="21" t="n"/>
      <c r="C37" s="38" t="n"/>
      <c r="D37" s="19" t="n"/>
      <c r="E37" s="38" t="n"/>
      <c r="F37" s="38" t="n"/>
      <c r="G37" s="21" t="n"/>
    </row>
    <row r="38">
      <c r="A38" s="23" t="n"/>
      <c r="B38" s="26" t="n"/>
      <c r="C38" s="39" t="n"/>
      <c r="D38" s="24" t="n"/>
      <c r="E38" s="39" t="n"/>
      <c r="F38" s="39" t="n"/>
      <c r="G38" s="26" t="n"/>
    </row>
    <row r="39">
      <c r="A39" s="18" t="n"/>
      <c r="B39" s="21" t="n"/>
      <c r="C39" s="38" t="n"/>
      <c r="D39" s="19" t="n"/>
      <c r="E39" s="38" t="n"/>
      <c r="F39" s="38" t="n"/>
      <c r="G39" s="21" t="n"/>
    </row>
    <row r="40">
      <c r="A40" s="23" t="n"/>
      <c r="B40" s="26" t="n"/>
      <c r="C40" s="39" t="n"/>
      <c r="D40" s="24" t="n"/>
      <c r="E40" s="39" t="n"/>
      <c r="F40" s="39" t="n"/>
      <c r="G40" s="26" t="n"/>
    </row>
    <row r="41">
      <c r="A41" s="18" t="n"/>
      <c r="B41" s="21" t="n"/>
      <c r="C41" s="38" t="n"/>
      <c r="D41" s="19" t="n"/>
      <c r="E41" s="38" t="n"/>
      <c r="F41" s="38" t="n"/>
      <c r="G41" s="21" t="n"/>
    </row>
    <row r="42">
      <c r="A42" s="23" t="n"/>
      <c r="B42" s="26" t="n"/>
      <c r="C42" s="39" t="n"/>
      <c r="D42" s="24" t="n"/>
      <c r="E42" s="39" t="n"/>
      <c r="F42" s="39" t="n"/>
      <c r="G42" s="26" t="n"/>
    </row>
    <row r="43">
      <c r="A43" s="18" t="n"/>
      <c r="B43" s="21" t="n"/>
      <c r="C43" s="38" t="n"/>
      <c r="D43" s="19" t="n"/>
      <c r="E43" s="38" t="n"/>
      <c r="F43" s="38" t="n"/>
      <c r="G43" s="21" t="n"/>
    </row>
    <row r="44">
      <c r="A44" s="23" t="n"/>
      <c r="B44" s="26" t="n"/>
      <c r="C44" s="39" t="n"/>
      <c r="D44" s="24" t="n"/>
      <c r="E44" s="39" t="n"/>
      <c r="F44" s="39" t="n"/>
      <c r="G44" s="26" t="n"/>
    </row>
  </sheetData>
  <mergeCells count="2">
    <mergeCell ref="A2:G2"/>
    <mergeCell ref="A1:G1"/>
  </mergeCells>
  <dataValidations count="1">
    <dataValidation sqref="D5:D44" showDropDown="0" showInputMessage="0" showErrorMessage="0" allowBlank="1" type="list">
      <formula1>=IntensityList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8" customWidth="1" min="3" max="3"/>
    <col width="28" customWidth="1" min="4" max="4"/>
  </cols>
  <sheetData>
    <row r="1" ht="46" customHeight="1">
      <c r="A1" s="1" t="inlineStr">
        <is>
          <t xml:space="preserve">  🙏  GRATITUDE JOURNAL</t>
        </is>
      </c>
    </row>
    <row r="2" ht="22" customHeight="1">
      <c r="A2" s="2" t="inlineStr">
        <is>
          <t xml:space="preserve">  Naming the good rewires the mind toward calm. Keep it simple.</t>
        </is>
      </c>
    </row>
    <row r="3" ht="6" customHeight="1">
      <c r="A3" s="3" t="n"/>
      <c r="B3" s="3" t="n"/>
      <c r="C3" s="3" t="n"/>
      <c r="D3" s="3" t="n"/>
    </row>
    <row r="4" ht="30" customHeight="1">
      <c r="A4" s="7" t="inlineStr">
        <is>
          <t>Date</t>
        </is>
      </c>
      <c r="B4" s="7" t="inlineStr">
        <is>
          <t>Three things I'm grateful for</t>
        </is>
      </c>
      <c r="C4" s="7" t="inlineStr">
        <is>
          <t>One positive experience</t>
        </is>
      </c>
      <c r="D4" s="7" t="inlineStr">
        <is>
          <t>One act of kindness</t>
        </is>
      </c>
    </row>
    <row r="5">
      <c r="A5" s="18" t="n">
        <v>46200</v>
      </c>
      <c r="B5" s="21" t="inlineStr">
        <is>
          <t>Sunshine · coffee · my pet</t>
        </is>
      </c>
      <c r="C5" s="21" t="inlineStr">
        <is>
          <t>A good laugh at work</t>
        </is>
      </c>
      <c r="D5" s="21" t="inlineStr">
        <is>
          <t>Held the door for someone</t>
        </is>
      </c>
    </row>
    <row r="6">
      <c r="A6" s="23" t="n">
        <v>46201</v>
      </c>
      <c r="B6" s="26" t="inlineStr">
        <is>
          <t>Health · friends · music</t>
        </is>
      </c>
      <c r="C6" s="26" t="inlineStr">
        <is>
          <t>Finished a book</t>
        </is>
      </c>
      <c r="D6" s="26" t="inlineStr">
        <is>
          <t>Texted a friend to check in</t>
        </is>
      </c>
    </row>
    <row r="7">
      <c r="A7" s="18" t="n">
        <v>46202</v>
      </c>
      <c r="B7" s="21" t="inlineStr">
        <is>
          <t>Rest · safety · progress</t>
        </is>
      </c>
      <c r="C7" s="21" t="inlineStr">
        <is>
          <t>Calm evening walk</t>
        </is>
      </c>
      <c r="D7" s="21" t="inlineStr">
        <is>
          <t>Complimented a coworker</t>
        </is>
      </c>
    </row>
    <row r="8">
      <c r="A8" s="23" t="n"/>
      <c r="B8" s="26" t="n"/>
      <c r="C8" s="26" t="n"/>
      <c r="D8" s="26" t="n"/>
    </row>
    <row r="9">
      <c r="A9" s="18" t="n"/>
      <c r="B9" s="21" t="n"/>
      <c r="C9" s="21" t="n"/>
      <c r="D9" s="21" t="n"/>
    </row>
    <row r="10">
      <c r="A10" s="23" t="n"/>
      <c r="B10" s="26" t="n"/>
      <c r="C10" s="26" t="n"/>
      <c r="D10" s="26" t="n"/>
    </row>
    <row r="11">
      <c r="A11" s="18" t="n"/>
      <c r="B11" s="21" t="n"/>
      <c r="C11" s="21" t="n"/>
      <c r="D11" s="21" t="n"/>
    </row>
    <row r="12">
      <c r="A12" s="23" t="n"/>
      <c r="B12" s="26" t="n"/>
      <c r="C12" s="26" t="n"/>
      <c r="D12" s="26" t="n"/>
    </row>
    <row r="13">
      <c r="A13" s="18" t="n"/>
      <c r="B13" s="21" t="n"/>
      <c r="C13" s="21" t="n"/>
      <c r="D13" s="21" t="n"/>
    </row>
    <row r="14">
      <c r="A14" s="23" t="n"/>
      <c r="B14" s="26" t="n"/>
      <c r="C14" s="26" t="n"/>
      <c r="D14" s="26" t="n"/>
    </row>
    <row r="15">
      <c r="A15" s="18" t="n"/>
      <c r="B15" s="21" t="n"/>
      <c r="C15" s="21" t="n"/>
      <c r="D15" s="21" t="n"/>
    </row>
    <row r="16">
      <c r="A16" s="23" t="n"/>
      <c r="B16" s="26" t="n"/>
      <c r="C16" s="26" t="n"/>
      <c r="D16" s="26" t="n"/>
    </row>
    <row r="17">
      <c r="A17" s="18" t="n"/>
      <c r="B17" s="21" t="n"/>
      <c r="C17" s="21" t="n"/>
      <c r="D17" s="21" t="n"/>
    </row>
    <row r="18">
      <c r="A18" s="23" t="n"/>
      <c r="B18" s="26" t="n"/>
      <c r="C18" s="26" t="n"/>
      <c r="D18" s="26" t="n"/>
    </row>
    <row r="19">
      <c r="A19" s="18" t="n"/>
      <c r="B19" s="21" t="n"/>
      <c r="C19" s="21" t="n"/>
      <c r="D19" s="21" t="n"/>
    </row>
    <row r="20">
      <c r="A20" s="23" t="n"/>
      <c r="B20" s="26" t="n"/>
      <c r="C20" s="26" t="n"/>
      <c r="D20" s="26" t="n"/>
    </row>
    <row r="21">
      <c r="A21" s="18" t="n"/>
      <c r="B21" s="21" t="n"/>
      <c r="C21" s="21" t="n"/>
      <c r="D21" s="21" t="n"/>
    </row>
    <row r="22">
      <c r="A22" s="23" t="n"/>
      <c r="B22" s="26" t="n"/>
      <c r="C22" s="26" t="n"/>
      <c r="D22" s="26" t="n"/>
    </row>
    <row r="23">
      <c r="A23" s="18" t="n"/>
      <c r="B23" s="21" t="n"/>
      <c r="C23" s="21" t="n"/>
      <c r="D23" s="21" t="n"/>
    </row>
    <row r="24">
      <c r="A24" s="23" t="n"/>
      <c r="B24" s="26" t="n"/>
      <c r="C24" s="26" t="n"/>
      <c r="D24" s="26" t="n"/>
    </row>
    <row r="25">
      <c r="A25" s="18" t="n"/>
      <c r="B25" s="21" t="n"/>
      <c r="C25" s="21" t="n"/>
      <c r="D25" s="21" t="n"/>
    </row>
    <row r="26">
      <c r="A26" s="23" t="n"/>
      <c r="B26" s="26" t="n"/>
      <c r="C26" s="26" t="n"/>
      <c r="D26" s="26" t="n"/>
    </row>
    <row r="27">
      <c r="A27" s="18" t="n"/>
      <c r="B27" s="21" t="n"/>
      <c r="C27" s="21" t="n"/>
      <c r="D27" s="21" t="n"/>
    </row>
    <row r="28">
      <c r="A28" s="23" t="n"/>
      <c r="B28" s="26" t="n"/>
      <c r="C28" s="26" t="n"/>
      <c r="D28" s="26" t="n"/>
    </row>
    <row r="29">
      <c r="A29" s="18" t="n"/>
      <c r="B29" s="21" t="n"/>
      <c r="C29" s="21" t="n"/>
      <c r="D29" s="21" t="n"/>
    </row>
    <row r="30">
      <c r="A30" s="23" t="n"/>
      <c r="B30" s="26" t="n"/>
      <c r="C30" s="26" t="n"/>
      <c r="D30" s="26" t="n"/>
    </row>
    <row r="31">
      <c r="A31" s="18" t="n"/>
      <c r="B31" s="21" t="n"/>
      <c r="C31" s="21" t="n"/>
      <c r="D31" s="21" t="n"/>
    </row>
    <row r="32">
      <c r="A32" s="23" t="n"/>
      <c r="B32" s="26" t="n"/>
      <c r="C32" s="26" t="n"/>
      <c r="D32" s="26" t="n"/>
    </row>
    <row r="33">
      <c r="A33" s="18" t="n"/>
      <c r="B33" s="21" t="n"/>
      <c r="C33" s="21" t="n"/>
      <c r="D33" s="21" t="n"/>
    </row>
    <row r="34">
      <c r="A34" s="23" t="n"/>
      <c r="B34" s="26" t="n"/>
      <c r="C34" s="26" t="n"/>
      <c r="D34" s="26" t="n"/>
    </row>
    <row r="35">
      <c r="A35" s="18" t="n"/>
      <c r="B35" s="21" t="n"/>
      <c r="C35" s="21" t="n"/>
      <c r="D35" s="21" t="n"/>
    </row>
    <row r="36">
      <c r="A36" s="23" t="n"/>
      <c r="B36" s="26" t="n"/>
      <c r="C36" s="26" t="n"/>
      <c r="D36" s="26" t="n"/>
    </row>
    <row r="37">
      <c r="A37" s="18" t="n"/>
      <c r="B37" s="21" t="n"/>
      <c r="C37" s="21" t="n"/>
      <c r="D37" s="21" t="n"/>
    </row>
    <row r="38">
      <c r="A38" s="23" t="n"/>
      <c r="B38" s="26" t="n"/>
      <c r="C38" s="26" t="n"/>
      <c r="D38" s="26" t="n"/>
    </row>
    <row r="39">
      <c r="A39" s="18" t="n"/>
      <c r="B39" s="21" t="n"/>
      <c r="C39" s="21" t="n"/>
      <c r="D39" s="21" t="n"/>
    </row>
    <row r="40">
      <c r="A40" s="23" t="n"/>
      <c r="B40" s="26" t="n"/>
      <c r="C40" s="26" t="n"/>
      <c r="D40" s="26" t="n"/>
    </row>
    <row r="41">
      <c r="A41" s="18" t="n"/>
      <c r="B41" s="21" t="n"/>
      <c r="C41" s="21" t="n"/>
      <c r="D41" s="21" t="n"/>
    </row>
    <row r="42">
      <c r="A42" s="23" t="n"/>
      <c r="B42" s="26" t="n"/>
      <c r="C42" s="26" t="n"/>
      <c r="D42" s="26" t="n"/>
    </row>
    <row r="43">
      <c r="A43" s="18" t="n"/>
      <c r="B43" s="21" t="n"/>
      <c r="C43" s="21" t="n"/>
      <c r="D43" s="21" t="n"/>
    </row>
    <row r="44">
      <c r="A44" s="23" t="n"/>
      <c r="B44" s="26" t="n"/>
      <c r="C44" s="26" t="n"/>
      <c r="D44" s="26" t="n"/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28" customWidth="1" min="4" max="4"/>
  </cols>
  <sheetData>
    <row r="1" ht="46" customHeight="1">
      <c r="A1" s="1" t="inlineStr">
        <is>
          <t xml:space="preserve">  📚  RESOURCE LIBRARY</t>
        </is>
      </c>
    </row>
    <row r="2" ht="22" customHeight="1">
      <c r="A2" s="2" t="inlineStr">
        <is>
          <t xml:space="preserve">  Your toolkit of calm — books, podcasts, affirmations &amp; support contacts.</t>
        </is>
      </c>
    </row>
    <row r="3" ht="6" customHeight="1">
      <c r="A3" s="3" t="n"/>
      <c r="B3" s="3" t="n"/>
      <c r="C3" s="3" t="n"/>
      <c r="D3" s="3" t="n"/>
    </row>
    <row r="4" ht="30" customHeight="1">
      <c r="A4" s="7" t="inlineStr">
        <is>
          <t>Type</t>
        </is>
      </c>
      <c r="B4" s="7" t="inlineStr">
        <is>
          <t>Title</t>
        </is>
      </c>
      <c r="C4" s="7" t="inlineStr">
        <is>
          <t>Link / Detail</t>
        </is>
      </c>
      <c r="D4" s="7" t="inlineStr">
        <is>
          <t>Why It Helps</t>
        </is>
      </c>
    </row>
    <row r="5">
      <c r="A5" s="19" t="inlineStr">
        <is>
          <t>Book</t>
        </is>
      </c>
      <c r="B5" s="21" t="inlineStr">
        <is>
          <t>Breathing &amp; calm techniques</t>
        </is>
      </c>
      <c r="C5" s="21" t="inlineStr">
        <is>
          <t>(add link)</t>
        </is>
      </c>
      <c r="D5" s="21" t="inlineStr">
        <is>
          <t>Quick grounding tools</t>
        </is>
      </c>
    </row>
    <row r="6">
      <c r="A6" s="24" t="inlineStr">
        <is>
          <t>Podcast</t>
        </is>
      </c>
      <c r="B6" s="26" t="inlineStr">
        <is>
          <t>Daily calm / mindfulness</t>
        </is>
      </c>
      <c r="C6" s="26" t="inlineStr">
        <is>
          <t>(add link)</t>
        </is>
      </c>
      <c r="D6" s="26" t="inlineStr">
        <is>
          <t>Morning reset</t>
        </is>
      </c>
    </row>
    <row r="7">
      <c r="A7" s="19" t="inlineStr">
        <is>
          <t>App</t>
        </is>
      </c>
      <c r="B7" s="21" t="inlineStr">
        <is>
          <t>Meditation timer</t>
        </is>
      </c>
      <c r="C7" s="21" t="inlineStr">
        <is>
          <t>(add link)</t>
        </is>
      </c>
      <c r="D7" s="21" t="inlineStr">
        <is>
          <t>10-min sessions</t>
        </is>
      </c>
    </row>
    <row r="8">
      <c r="A8" s="24" t="inlineStr">
        <is>
          <t>Affirmation</t>
        </is>
      </c>
      <c r="B8" s="26" t="inlineStr">
        <is>
          <t>“This feeling will pass.”</t>
        </is>
      </c>
      <c r="C8" s="26" t="inlineStr">
        <is>
          <t>—</t>
        </is>
      </c>
      <c r="D8" s="26" t="inlineStr">
        <is>
          <t>Repeat when anxious</t>
        </is>
      </c>
    </row>
    <row r="9">
      <c r="A9" s="19" t="inlineStr">
        <is>
          <t>Affirmation</t>
        </is>
      </c>
      <c r="B9" s="21" t="inlineStr">
        <is>
          <t>“I am safe right now.”</t>
        </is>
      </c>
      <c r="C9" s="21" t="inlineStr">
        <is>
          <t>—</t>
        </is>
      </c>
      <c r="D9" s="21" t="inlineStr">
        <is>
          <t>Grounding</t>
        </is>
      </c>
    </row>
    <row r="10">
      <c r="A10" s="24" t="inlineStr">
        <is>
          <t>Contact</t>
        </is>
      </c>
      <c r="B10" s="26" t="inlineStr">
        <is>
          <t>Trusted friend / family</t>
        </is>
      </c>
      <c r="C10" s="26" t="inlineStr">
        <is>
          <t>(add phone)</t>
        </is>
      </c>
      <c r="D10" s="26" t="inlineStr">
        <is>
          <t>Reach out when low</t>
        </is>
      </c>
    </row>
    <row r="11">
      <c r="A11" s="19" t="inlineStr">
        <is>
          <t>Contact</t>
        </is>
      </c>
      <c r="B11" s="21" t="inlineStr">
        <is>
          <t>Therapist / counselor (optional)</t>
        </is>
      </c>
      <c r="C11" s="21" t="inlineStr">
        <is>
          <t>(add info)</t>
        </is>
      </c>
      <c r="D11" s="21" t="inlineStr">
        <is>
          <t>Professional support</t>
        </is>
      </c>
    </row>
    <row r="12">
      <c r="A12" s="24" t="inlineStr">
        <is>
          <t>Contact</t>
        </is>
      </c>
      <c r="B12" s="26" t="inlineStr">
        <is>
          <t>Local crisis / helpline</t>
        </is>
      </c>
      <c r="C12" s="26" t="inlineStr">
        <is>
          <t>(look up in your country)</t>
        </is>
      </c>
      <c r="D12" s="26" t="inlineStr">
        <is>
          <t>If in crisis</t>
        </is>
      </c>
    </row>
    <row r="13">
      <c r="A13" s="19" t="n"/>
      <c r="B13" s="21" t="n"/>
      <c r="C13" s="21" t="n"/>
      <c r="D13" s="21" t="n"/>
    </row>
    <row r="14">
      <c r="A14" s="24" t="n"/>
      <c r="B14" s="26" t="n"/>
      <c r="C14" s="26" t="n"/>
      <c r="D14" s="26" t="n"/>
    </row>
    <row r="15">
      <c r="A15" s="19" t="n"/>
      <c r="B15" s="21" t="n"/>
      <c r="C15" s="21" t="n"/>
      <c r="D15" s="21" t="n"/>
    </row>
    <row r="16">
      <c r="A16" s="24" t="n"/>
      <c r="B16" s="26" t="n"/>
      <c r="C16" s="26" t="n"/>
      <c r="D16" s="26" t="n"/>
    </row>
    <row r="17">
      <c r="A17" s="19" t="n"/>
      <c r="B17" s="21" t="n"/>
      <c r="C17" s="21" t="n"/>
      <c r="D17" s="21" t="n"/>
    </row>
    <row r="18">
      <c r="A18" s="24" t="n"/>
      <c r="B18" s="26" t="n"/>
      <c r="C18" s="26" t="n"/>
      <c r="D18" s="26" t="n"/>
    </row>
    <row r="19">
      <c r="A19" s="19" t="n"/>
      <c r="B19" s="21" t="n"/>
      <c r="C19" s="21" t="n"/>
      <c r="D19" s="21" t="n"/>
    </row>
    <row r="20">
      <c r="A20" s="24" t="n"/>
      <c r="B20" s="26" t="n"/>
      <c r="C20" s="26" t="n"/>
      <c r="D20" s="26" t="n"/>
    </row>
    <row r="21">
      <c r="A21" s="19" t="n"/>
      <c r="B21" s="21" t="n"/>
      <c r="C21" s="21" t="n"/>
      <c r="D21" s="21" t="n"/>
    </row>
    <row r="22">
      <c r="A22" s="24" t="n"/>
      <c r="B22" s="26" t="n"/>
      <c r="C22" s="26" t="n"/>
      <c r="D22" s="26" t="n"/>
    </row>
    <row r="23">
      <c r="A23" s="19" t="n"/>
      <c r="B23" s="21" t="n"/>
      <c r="C23" s="21" t="n"/>
      <c r="D23" s="21" t="n"/>
    </row>
    <row r="24">
      <c r="A24" s="24" t="n"/>
      <c r="B24" s="26" t="n"/>
      <c r="C24" s="26" t="n"/>
      <c r="D24" s="26" t="n"/>
    </row>
    <row r="25">
      <c r="A25" s="19" t="n"/>
      <c r="B25" s="21" t="n"/>
      <c r="C25" s="21" t="n"/>
      <c r="D25" s="21" t="n"/>
    </row>
    <row r="26">
      <c r="A26" s="24" t="n"/>
      <c r="B26" s="26" t="n"/>
      <c r="C26" s="26" t="n"/>
      <c r="D26" s="26" t="n"/>
    </row>
    <row r="27">
      <c r="A27" s="19" t="n"/>
      <c r="B27" s="21" t="n"/>
      <c r="C27" s="21" t="n"/>
      <c r="D27" s="21" t="n"/>
    </row>
    <row r="28">
      <c r="A28" s="24" t="n"/>
      <c r="B28" s="26" t="n"/>
      <c r="C28" s="26" t="n"/>
      <c r="D28" s="26" t="n"/>
    </row>
    <row r="29">
      <c r="A29" s="19" t="n"/>
      <c r="B29" s="21" t="n"/>
      <c r="C29" s="21" t="n"/>
      <c r="D29" s="21" t="n"/>
    </row>
    <row r="30">
      <c r="A30" s="24" t="n"/>
      <c r="B30" s="26" t="n"/>
      <c r="C30" s="26" t="n"/>
      <c r="D30" s="26" t="n"/>
    </row>
    <row r="31">
      <c r="A31" s="19" t="n"/>
      <c r="B31" s="21" t="n"/>
      <c r="C31" s="21" t="n"/>
      <c r="D31" s="21" t="n"/>
    </row>
    <row r="32">
      <c r="A32" s="24" t="n"/>
      <c r="B32" s="26" t="n"/>
      <c r="C32" s="26" t="n"/>
      <c r="D32" s="26" t="n"/>
    </row>
    <row r="33">
      <c r="A33" s="19" t="n"/>
      <c r="B33" s="21" t="n"/>
      <c r="C33" s="21" t="n"/>
      <c r="D33" s="21" t="n"/>
    </row>
    <row r="34">
      <c r="A34" s="24" t="n"/>
      <c r="B34" s="26" t="n"/>
      <c r="C34" s="26" t="n"/>
      <c r="D34" s="26" t="n"/>
    </row>
  </sheetData>
  <mergeCells count="2">
    <mergeCell ref="A1:D1"/>
    <mergeCell ref="A2:D2"/>
  </mergeCells>
  <dataValidations count="1">
    <dataValidation sqref="A5:A34" showDropDown="0" showInputMessage="0" showErrorMessage="0" allowBlank="1" type="list">
      <formula1>=ResTypeList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4" customWidth="1" min="5" max="5"/>
    <col width="30" customWidth="1" min="6" max="6"/>
    <col width="16" customWidth="1" min="7" max="7"/>
    <col width="2" customWidth="1" min="8" max="8"/>
  </cols>
  <sheetData>
    <row r="1" ht="46" customHeight="1">
      <c r="A1" s="1" t="inlineStr">
        <is>
          <t xml:space="preserve">  📈  PROGRESS</t>
        </is>
      </c>
    </row>
    <row r="2" ht="22" customHeight="1">
      <c r="A2" s="2" t="inlineStr">
        <is>
          <t xml:space="preserve">  Zoom out and see how far you've come. Be proud of small wins.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YOUR WELLNESS SCORE</t>
        </is>
      </c>
      <c r="E5" s="4" t="inlineStr">
        <is>
          <t>SNAPSHOT</t>
        </is>
      </c>
    </row>
    <row r="6">
      <c r="B6" s="42">
        <f>IFERROR(0.30*(AVERAGE(CheckMood)/10)+0.30*AVERAGE(HabitPct)+0.20*MIN(AVERAGE(CheckSleep)/SleepTarget,1)+0.20*(COUNTIF(CheckJournaled,"Yes")/MAX(COUNT(CheckDate),1)),0)</f>
        <v/>
      </c>
      <c r="C6" s="43" t="n"/>
      <c r="E6" s="34" t="inlineStr">
        <is>
          <t>Avg Mood (1–10)</t>
        </is>
      </c>
      <c r="F6" s="44">
        <f>IFERROR(AVERAGE(CheckMood),0)</f>
        <v/>
      </c>
      <c r="G6" s="45" t="n"/>
    </row>
    <row r="7">
      <c r="B7" s="46" t="n"/>
      <c r="C7" s="46" t="n"/>
      <c r="E7" s="34" t="inlineStr">
        <is>
          <t>Avg Sleep</t>
        </is>
      </c>
      <c r="F7" s="47">
        <f>IFERROR(AVERAGE(CheckSleep),0)</f>
        <v/>
      </c>
      <c r="G7" s="45" t="n"/>
    </row>
    <row r="8">
      <c r="B8" s="46" t="n"/>
      <c r="C8" s="46" t="n"/>
      <c r="E8" s="34" t="inlineStr">
        <is>
          <t>Avg Routine %</t>
        </is>
      </c>
      <c r="F8" s="48">
        <f>IFERROR(AVERAGE(HabitPct),0)</f>
        <v/>
      </c>
      <c r="G8" s="45" t="n"/>
    </row>
    <row r="9">
      <c r="B9" s="49" t="inlineStr">
        <is>
          <t>Blend of mood, routine, sleep &amp; journaling — gentle, not a grade.</t>
        </is>
      </c>
      <c r="C9" s="50" t="n"/>
      <c r="E9" s="34" t="inlineStr">
        <is>
          <t>Best Habit Streak</t>
        </is>
      </c>
      <c r="F9" s="51">
        <f>IFERROR(MAX(HabitStreak),0)</f>
        <v/>
      </c>
      <c r="G9" s="45" t="n"/>
    </row>
    <row r="10">
      <c r="E10" s="34" t="inlineStr">
        <is>
          <t>Journaling Days</t>
        </is>
      </c>
      <c r="F10" s="51">
        <f>COUNTIF(CheckJournaled,"Yes")</f>
        <v/>
      </c>
      <c r="G10" s="45" t="n"/>
    </row>
    <row r="11">
      <c r="E11" s="34" t="inlineStr">
        <is>
          <t>Goals Completed</t>
        </is>
      </c>
      <c r="F11" s="51">
        <f>COUNTIF(GoalStatus,"Complete")</f>
        <v/>
      </c>
      <c r="G11" s="45" t="n"/>
    </row>
    <row r="12">
      <c r="E12" s="34" t="inlineStr">
        <is>
          <t>Mindful Minutes (total)</t>
        </is>
      </c>
      <c r="F12" s="51">
        <f>SUM(CheckMindful)</f>
        <v/>
      </c>
      <c r="G12" s="45" t="n"/>
    </row>
    <row r="13">
      <c r="E13" s="34" t="inlineStr">
        <is>
          <t>Exercise Sessions</t>
        </is>
      </c>
      <c r="F13" s="51">
        <f>COUNTIF(CheckExercise,"Yes")</f>
        <v/>
      </c>
      <c r="G13" s="45" t="n"/>
    </row>
  </sheetData>
  <mergeCells count="14">
    <mergeCell ref="F11:G11"/>
    <mergeCell ref="F12:G12"/>
    <mergeCell ref="A1:G1"/>
    <mergeCell ref="F10:G10"/>
    <mergeCell ref="E5:G5"/>
    <mergeCell ref="B5:C5"/>
    <mergeCell ref="A2:G2"/>
    <mergeCell ref="F6:G6"/>
    <mergeCell ref="B6:C8"/>
    <mergeCell ref="F13:G13"/>
    <mergeCell ref="B9:C9"/>
    <mergeCell ref="F9:G9"/>
    <mergeCell ref="F7:G7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E5D3BA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Personalize your planner. Set once — the dashboards follow.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>
      <c r="B5" s="6" t="inlineStr">
        <is>
          <t>YOUR PREFERENCES</t>
        </is>
      </c>
      <c r="E5" s="4" t="inlineStr">
        <is>
          <t>DROPDOWN LISTS</t>
        </is>
      </c>
    </row>
    <row r="6">
      <c r="B6" s="34" t="inlineStr">
        <is>
          <t>Your Name</t>
        </is>
      </c>
      <c r="C6" s="52" t="inlineStr">
        <is>
          <t>Friend</t>
        </is>
      </c>
      <c r="E6" s="7" t="inlineStr">
        <is>
          <t>Scale 1–10</t>
        </is>
      </c>
      <c r="F6" s="7" t="inlineStr">
        <is>
          <t>Yes / No</t>
        </is>
      </c>
      <c r="G6" s="7" t="inlineStr">
        <is>
          <t>Goal Category</t>
        </is>
      </c>
      <c r="H6" s="7" t="inlineStr">
        <is>
          <t>Status</t>
        </is>
      </c>
      <c r="I6" s="7" t="inlineStr">
        <is>
          <t>Intensity</t>
        </is>
      </c>
    </row>
    <row r="7">
      <c r="B7" s="34" t="inlineStr">
        <is>
          <t>Week Starts On</t>
        </is>
      </c>
      <c r="C7" s="52" t="inlineStr">
        <is>
          <t>Monday</t>
        </is>
      </c>
      <c r="E7" s="31" t="n">
        <v>1</v>
      </c>
      <c r="F7" s="31" t="inlineStr">
        <is>
          <t>Yes</t>
        </is>
      </c>
      <c r="G7" s="31" t="inlineStr">
        <is>
          <t>Health</t>
        </is>
      </c>
      <c r="H7" s="31" t="inlineStr">
        <is>
          <t>Not Started</t>
        </is>
      </c>
      <c r="I7" s="31" t="inlineStr">
        <is>
          <t>Low</t>
        </is>
      </c>
    </row>
    <row r="8">
      <c r="B8" s="34" t="inlineStr">
        <is>
          <t>Daily Habit Goal (count)</t>
        </is>
      </c>
      <c r="C8" s="53" t="n">
        <v>7</v>
      </c>
      <c r="E8" s="31" t="n">
        <v>2</v>
      </c>
      <c r="F8" s="31" t="inlineStr">
        <is>
          <t>No</t>
        </is>
      </c>
      <c r="G8" s="31" t="inlineStr">
        <is>
          <t>Career</t>
        </is>
      </c>
      <c r="H8" s="31" t="inlineStr">
        <is>
          <t>In Progress</t>
        </is>
      </c>
      <c r="I8" s="31" t="inlineStr">
        <is>
          <t>Moderate</t>
        </is>
      </c>
    </row>
    <row r="9">
      <c r="B9" s="34" t="inlineStr">
        <is>
          <t>Target Sleep Hours</t>
        </is>
      </c>
      <c r="C9" s="54" t="n">
        <v>8</v>
      </c>
      <c r="E9" s="31" t="n">
        <v>3</v>
      </c>
      <c r="G9" s="31" t="inlineStr">
        <is>
          <t>Social</t>
        </is>
      </c>
      <c r="H9" s="31" t="inlineStr">
        <is>
          <t>Complete</t>
        </is>
      </c>
      <c r="I9" s="31" t="inlineStr">
        <is>
          <t>High</t>
        </is>
      </c>
    </row>
    <row r="10">
      <c r="B10" s="34" t="inlineStr">
        <is>
          <t>Mindfulness Goal (min/day)</t>
        </is>
      </c>
      <c r="C10" s="53" t="n">
        <v>10</v>
      </c>
      <c r="E10" s="31" t="n">
        <v>4</v>
      </c>
      <c r="G10" s="31" t="inlineStr">
        <is>
          <t>Personal</t>
        </is>
      </c>
    </row>
    <row r="11">
      <c r="E11" s="31" t="n">
        <v>5</v>
      </c>
      <c r="G11" s="31" t="inlineStr">
        <is>
          <t>Financial</t>
        </is>
      </c>
    </row>
    <row r="12">
      <c r="E12" s="31" t="n">
        <v>6</v>
      </c>
      <c r="G12" s="31" t="inlineStr">
        <is>
          <t>Learning</t>
        </is>
      </c>
    </row>
    <row r="13">
      <c r="E13" s="31" t="n">
        <v>7</v>
      </c>
      <c r="G13" s="31" t="inlineStr">
        <is>
          <t>Relationships</t>
        </is>
      </c>
    </row>
    <row r="14">
      <c r="E14" s="31" t="n">
        <v>8</v>
      </c>
    </row>
    <row r="15">
      <c r="E15" s="31" t="n">
        <v>9</v>
      </c>
    </row>
    <row r="16">
      <c r="E16" s="31" t="n">
        <v>10</v>
      </c>
    </row>
    <row r="20">
      <c r="E20" s="7" t="inlineStr">
        <is>
          <t>Sleep Quality</t>
        </is>
      </c>
      <c r="F20" s="7" t="inlineStr">
        <is>
          <t>Self-Care Type</t>
        </is>
      </c>
      <c r="G20" s="7" t="inlineStr">
        <is>
          <t>Resource Type</t>
        </is>
      </c>
    </row>
    <row r="21">
      <c r="E21" s="31" t="inlineStr">
        <is>
          <t>Poor</t>
        </is>
      </c>
      <c r="F21" s="31" t="inlineStr">
        <is>
          <t>Physical</t>
        </is>
      </c>
      <c r="G21" s="31" t="inlineStr">
        <is>
          <t>Book</t>
        </is>
      </c>
    </row>
    <row r="22">
      <c r="E22" s="31" t="inlineStr">
        <is>
          <t>Fair</t>
        </is>
      </c>
      <c r="F22" s="31" t="inlineStr">
        <is>
          <t>Emotional</t>
        </is>
      </c>
      <c r="G22" s="31" t="inlineStr">
        <is>
          <t>Podcast</t>
        </is>
      </c>
    </row>
    <row r="23">
      <c r="E23" s="31" t="inlineStr">
        <is>
          <t>Good</t>
        </is>
      </c>
      <c r="F23" s="31" t="inlineStr">
        <is>
          <t>Social</t>
        </is>
      </c>
      <c r="G23" s="31" t="inlineStr">
        <is>
          <t>Video</t>
        </is>
      </c>
    </row>
    <row r="24">
      <c r="E24" s="31" t="inlineStr">
        <is>
          <t>Great</t>
        </is>
      </c>
      <c r="F24" s="31" t="inlineStr">
        <is>
          <t>Creative</t>
        </is>
      </c>
      <c r="G24" s="31" t="inlineStr">
        <is>
          <t>Article</t>
        </is>
      </c>
    </row>
    <row r="25">
      <c r="F25" s="31" t="inlineStr">
        <is>
          <t>Rest</t>
        </is>
      </c>
      <c r="G25" s="31" t="inlineStr">
        <is>
          <t>App</t>
        </is>
      </c>
    </row>
    <row r="26">
      <c r="F26" s="31" t="inlineStr">
        <is>
          <t>Outdoor</t>
        </is>
      </c>
      <c r="G26" s="31" t="inlineStr">
        <is>
          <t>Affirmation</t>
        </is>
      </c>
    </row>
    <row r="27">
      <c r="G27" s="31" t="inlineStr">
        <is>
          <t>Contact</t>
        </is>
      </c>
    </row>
  </sheetData>
  <mergeCells count="4">
    <mergeCell ref="A1:I1"/>
    <mergeCell ref="E5:I5"/>
    <mergeCell ref="B5:C5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2026-06-29T15:48:00Z</dcterms:created>
  <dcterms:modified xsi:type="dcterms:W3CDTF">2026-06-29T15:48:00Z</dcterms:modified>
</cp:coreProperties>
</file>